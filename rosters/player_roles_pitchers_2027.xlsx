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Assignments" sheetId="2" state="visible" r:id="rId2"/>
    <sheet name="Roles" sheetId="3" state="visible" r:id="rId3"/>
    <sheet name="Te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b val="1"/>
      <i val="1"/>
      <sz val="10"/>
    </font>
    <font>
      <name val="Arial"/>
      <color rgb="000000FF"/>
      <sz val="10"/>
    </font>
    <font>
      <name val="Arial"/>
      <i val="1"/>
      <sz val="9"/>
    </font>
    <font>
      <name val="Arial"/>
      <i val="1"/>
      <color rgb="00808080"/>
      <sz val="9"/>
    </font>
    <font>
      <name val="Arial"/>
      <color rgb="00808080"/>
      <sz val="9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2" fontId="8" fillId="0" borderId="0" pivotButton="0" quotePrefix="0" xfId="0"/>
    <xf numFmtId="0" fontId="9" fillId="0" borderId="1" pivotButton="0" quotePrefix="0" xfId="0"/>
    <xf numFmtId="0" fontId="9" fillId="4" borderId="1" pivotButton="0" quotePrefix="0" xfId="0"/>
    <xf numFmtId="2" fontId="9" fillId="0" borderId="1" pivotButton="0" quotePrefix="0" xfId="0"/>
    <xf numFmtId="2" fontId="9" fillId="4" borderId="1" pivotButton="0" quotePrefix="0" xfId="0"/>
    <xf numFmtId="164" fontId="0" fillId="0" borderId="0" pivotButton="0" quotePrefix="0" xfId="0"/>
    <xf numFmtId="2" fontId="0" fillId="0" borderId="0" pivotButton="0" quotePrefix="0" xfId="0"/>
    <xf numFmtId="164" fontId="9" fillId="0" borderId="1" pivotButton="0" quotePrefix="0" xfId="0"/>
    <xf numFmtId="165" fontId="0" fillId="0" borderId="0" pivotButton="0" quotePrefix="0" xfId="0"/>
    <xf numFmtId="0" fontId="9" fillId="4" borderId="0" pivotButton="0" quotePrefix="0" xfId="0"/>
    <xf numFmtId="0" fontId="9" fillId="5" borderId="1" pivotButton="0" quotePrefix="0" xfId="0"/>
    <xf numFmtId="2" fontId="9" fillId="5" borderId="1" pivotButton="0" quotePrefix="0" xfId="0"/>
    <xf numFmtId="0" fontId="9" fillId="5" borderId="0" pivotButton="0" quotePrefix="0" xfId="0"/>
    <xf numFmtId="0" fontId="5" fillId="0" borderId="1" pivotButton="0" quotePrefix="0" xfId="0"/>
    <xf numFmtId="2" fontId="5" fillId="0" borderId="1" pivotButton="0" quotePrefix="0" xfId="0"/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2" fontId="5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Role assignments — pitchers</t>
        </is>
      </c>
    </row>
    <row r="2">
      <c r="A2" s="2" t="inlineStr"/>
    </row>
    <row r="3">
      <c r="A3" s="1" t="inlineStr">
        <is>
          <t>WHAT TO EDIT — the yellow cells on the Assignments sheet:</t>
        </is>
      </c>
    </row>
    <row r="4">
      <c r="A4" s="2" t="inlineStr">
        <is>
          <t xml:space="preserve">  * One probability per role column. They should sum to 1.00 for each player; the 'Role Prob Sum' column checks this.</t>
        </is>
      </c>
    </row>
    <row r="5">
      <c r="A5" s="2" t="inlineStr">
        <is>
          <t xml:space="preserve">  * Role Start — when the player takes the job (see the Timing table on the Roles sheet).</t>
        </is>
      </c>
    </row>
    <row r="6">
      <c r="A6" s="2" t="inlineStr">
        <is>
          <t xml:space="preserve">  * Availability — YOURS to set: the share of the season you expect him healthy and on an MLB roster. 1.00 = full year.</t>
        </is>
      </c>
    </row>
    <row r="7">
      <c r="A7" s="2" t="inlineStr">
        <is>
          <t xml:space="preserve">  * Exp Apps / IP/App (pitchers) — how often he is handed the ball, and how long he stays. His innings are the two multiplied, so for a pitcher AVAILABILITY IS EXP APPS: it is not a multiplier on this sheet and Durability stays 1.00 for him.</t>
        </is>
      </c>
    </row>
    <row r="8">
      <c r="A8" s="2" t="inlineStr">
        <is>
          <t xml:space="preserve">  * Durability — the model's, from his own games-played record against others in the same role. Centred on 1.00 and allowed to go above it: a player who misses nothing beats the league-average missed time his role's anchor was built from. Overwrite it if you disagree; Proj PA multiplies both.</t>
        </is>
      </c>
    </row>
    <row r="9">
      <c r="A9" s="2" t="inlineStr">
        <is>
          <t xml:space="preserve">  * Pos / Bats (or Throws) — needed for the typed-slot allocation and the platoon splits.</t>
        </is>
      </c>
    </row>
    <row r="10">
      <c r="A10" s="2" t="inlineStr"/>
    </row>
    <row r="11">
      <c r="A11" s="1" t="inlineStr">
        <is>
          <t>WHY PROBABILITIES AND NOT ONE ROLE:</t>
        </is>
      </c>
    </row>
    <row r="12">
      <c r="A12" s="2" t="inlineStr">
        <is>
          <t xml:space="preserve">  A player in a job battle is ~50% full-time / 30% platoon / 20% bench. Picking one label</t>
        </is>
      </c>
    </row>
    <row r="13">
      <c r="A13" s="2" t="inlineStr">
        <is>
          <t xml:space="preserve">  yields a plausible-looking IP figure that is the mean of a bimodal distribution — wrong in</t>
        </is>
      </c>
    </row>
    <row r="14">
      <c r="A14" s="2" t="inlineStr">
        <is>
          <t xml:space="preserve">  both worlds. Probabilities also give the model the variance, which is what season-long</t>
        </is>
      </c>
    </row>
    <row r="15">
      <c r="A15" s="2" t="inlineStr">
        <is>
          <t xml:space="preserve">  ranking and DFS leverage both want.</t>
        </is>
      </c>
    </row>
    <row r="16">
      <c r="A16" s="2" t="inlineStr"/>
    </row>
    <row r="17">
      <c r="A17" s="1" t="inlineStr">
        <is>
          <t>WHY ROLE START IS SEPARATE FROM THE ROLE:</t>
        </is>
      </c>
    </row>
    <row r="18">
      <c r="A18" s="2" t="inlineStr">
        <is>
          <t xml:space="preserve">  'Mid-season callup' conflates two things. A callup who becomes a full-timer and one who</t>
        </is>
      </c>
    </row>
    <row r="19">
      <c r="A19" s="2" t="inlineStr">
        <is>
          <t xml:space="preserve">  becomes a platoon bat have very different rate lines. Role x timing expresses both; one</t>
        </is>
      </c>
    </row>
    <row r="20">
      <c r="A20" s="2" t="inlineStr">
        <is>
          <t xml:space="preserve">  combined label cannot. It also means a mid-season callup and a player back from the IL in</t>
        </is>
      </c>
    </row>
    <row r="21">
      <c r="A21" s="2" t="inlineStr">
        <is>
          <t xml:space="preserve">  July are the same parameter.</t>
        </is>
      </c>
    </row>
    <row r="22">
      <c r="A22" s="2" t="inlineStr"/>
    </row>
    <row r="23">
      <c r="A23" s="1" t="inlineStr">
        <is>
          <t>WHY AVAILABILITY IS SEPARATE TOO:</t>
        </is>
      </c>
    </row>
    <row r="24">
      <c r="A24" s="2" t="inlineStr">
        <is>
          <t xml:space="preserve">  'Injured' is not a role. A full-time player who misses April is Full Time x 0.85, which no</t>
        </is>
      </c>
    </row>
    <row r="25">
      <c r="A25" s="2" t="inlineStr">
        <is>
          <t xml:space="preserve">  role label can say. A season-ending injury gives availability ~0, so the role collapses to</t>
        </is>
      </c>
    </row>
    <row r="26">
      <c r="A26" s="2" t="inlineStr">
        <is>
          <t xml:space="preserve">  the 1 IP floor — the existing rule, reached through the model rather than bolted on.</t>
        </is>
      </c>
    </row>
    <row r="27">
      <c r="A27" s="2" t="inlineStr"/>
    </row>
    <row r="28">
      <c r="A28" s="1" t="inlineStr">
        <is>
          <t>COLOUR KEY:</t>
        </is>
      </c>
    </row>
    <row r="29">
      <c r="A29" s="2" t="inlineStr">
        <is>
          <t xml:space="preserve">  Yellow = fill this in.   Blue text = a hardcoded anchor you may tune.   Black = formula.</t>
        </is>
      </c>
    </row>
    <row r="30">
      <c r="A30" s="2" t="inlineStr">
        <is>
          <t xml:space="preserve">  Green row = the example; delete it before use.</t>
        </is>
      </c>
    </row>
    <row r="31">
      <c r="A31" s="2" t="inlineStr"/>
    </row>
    <row r="32">
      <c r="A32" s="1" t="inlineStr">
        <is>
          <t>FREE AGENTS AND UNDER-PROJECTED TEAMS:</t>
        </is>
      </c>
    </row>
    <row r="33">
      <c r="A33" s="2" t="inlineStr">
        <is>
          <t xml:space="preserve">  Set Team to 'FA' for an unsigned player. He keeps a full rate line and can be given a role</t>
        </is>
      </c>
    </row>
    <row r="34">
      <c r="A34" s="2" t="inlineStr">
        <is>
          <t xml:space="preserve">  and playing time, and is excluded from every team aggregate. Then use the Teams sheet to</t>
        </is>
      </c>
    </row>
    <row r="35">
      <c r="A35" s="2" t="inlineStr">
        <is>
          <t xml:space="preserve">  reserve part of a club's budget for the signing you expect it to make, so that club is</t>
        </is>
      </c>
    </row>
    <row r="36">
      <c r="A36" s="2" t="inlineStr">
        <is>
          <t xml:space="preserve">  deliberately UNDER-projected instead of spreading those IP across the players on hand.</t>
        </is>
      </c>
    </row>
    <row r="37">
      <c r="A37" s="2" t="inlineStr"/>
    </row>
    <row r="38">
      <c r="A38" s="1" t="inlineStr">
        <is>
          <t>THE PROJECTION COLUMNS:</t>
        </is>
      </c>
    </row>
    <row r="39">
      <c r="A39" s="2" t="inlineStr">
        <is>
          <t xml:space="preserve">  Proj IP and the columns beside it are FORMULAS, so they update as you edit probabilities.</t>
        </is>
      </c>
    </row>
    <row r="40">
      <c r="A40" s="2" t="inlineStr">
        <is>
          <t xml:space="preserve">  They show blank until you open this file in Excel or LibreOffice, which computes them on</t>
        </is>
      </c>
    </row>
    <row r="41">
      <c r="A41" s="2" t="inlineStr">
        <is>
          <t xml:space="preserve">  open — openpyxl cannot write cached values alongside a formula. That is cosmetic: the</t>
        </is>
      </c>
    </row>
    <row r="42">
      <c r="A42" s="2" t="inlineStr">
        <is>
          <t xml:space="preserve">  pipeline reads the INPUT columns (role probabilities, Role Start, Availability) and recomputes</t>
        </is>
      </c>
    </row>
    <row r="43">
      <c r="A43" s="2" t="inlineStr">
        <is>
          <t xml:space="preserve">  the volumes itself, so a blank formula cell never reaches a projection.</t>
        </is>
      </c>
    </row>
    <row r="44">
      <c r="A44" s="2" t="inlineStr"/>
    </row>
    <row r="45">
      <c r="A45" s="1" t="inlineStr">
        <is>
          <t>CALIBRATION STATUS:</t>
        </is>
      </c>
    </row>
    <row r="46">
      <c r="A46" s="2" t="inlineStr">
        <is>
          <t xml:space="preserve">  Every anchor on the Roles sheet is a documented starting point, not a fitted value. Fit them</t>
        </is>
      </c>
    </row>
    <row r="47">
      <c r="A47" s="2" t="inlineStr">
        <is>
          <t xml:space="preserve">  from history (group real player-seasons by observed role) before trusting the levels. The</t>
        </is>
      </c>
    </row>
    <row r="48">
      <c r="A48" s="2" t="inlineStr">
        <is>
          <t xml:space="preserve">  cross-role ORDERING is more reliable than the absolute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05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8" customWidth="1" min="9" max="9"/>
    <col width="20" customWidth="1" min="10" max="10"/>
    <col width="11" customWidth="1" min="11" max="11"/>
    <col width="11" customWidth="1" min="12" max="12"/>
    <col width="11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46" customWidth="1" min="34" max="34"/>
  </cols>
  <sheetData>
    <row r="1" ht="46" customHeight="1">
      <c r="A1" s="3" t="inlineStr">
        <is>
          <t>PlayerId</t>
        </is>
      </c>
      <c r="B1" s="3" t="inlineStr">
        <is>
          <t>Name</t>
        </is>
      </c>
      <c r="C1" s="3" t="inlineStr">
        <is>
          <t>Team</t>
        </is>
      </c>
      <c r="D1" s="3" t="inlineStr">
        <is>
          <t>Age</t>
        </is>
      </c>
      <c r="E1" s="3" t="inlineStr">
        <is>
          <t>Throws</t>
        </is>
      </c>
      <c r="F1" s="3" t="inlineStr">
        <is>
          <t>Pos</t>
        </is>
      </c>
      <c r="G1" s="3" t="inlineStr">
        <is>
          <t>Last TBF</t>
        </is>
      </c>
      <c r="H1" s="3" t="inlineStr">
        <is>
          <t>Career</t>
        </is>
      </c>
      <c r="I1" s="3" t="inlineStr">
        <is>
          <t>Suggested Role</t>
        </is>
      </c>
      <c r="J1" s="3" t="inlineStr">
        <is>
          <t>Role Start</t>
        </is>
      </c>
      <c r="K1" s="3" t="inlineStr">
        <is>
          <t>Role Share</t>
        </is>
      </c>
      <c r="L1" s="3" t="inlineStr">
        <is>
          <t>Availability</t>
        </is>
      </c>
      <c r="M1" s="3" t="inlineStr">
        <is>
          <t>Durability</t>
        </is>
      </c>
      <c r="N1" s="3" t="inlineStr">
        <is>
          <t>Ace (SP1)</t>
        </is>
      </c>
      <c r="O1" s="3" t="inlineStr">
        <is>
          <t>Mid-Rotation Starter (SP2-3)</t>
        </is>
      </c>
      <c r="P1" s="3" t="inlineStr">
        <is>
          <t>End-of-Rotation Starter (SP4-5)</t>
        </is>
      </c>
      <c r="Q1" s="3" t="inlineStr">
        <is>
          <t>Innings-Limited Starter</t>
        </is>
      </c>
      <c r="R1" s="3" t="inlineStr">
        <is>
          <t>Swing Arm / Long Relief</t>
        </is>
      </c>
      <c r="S1" s="3" t="inlineStr">
        <is>
          <t>Opener</t>
        </is>
      </c>
      <c r="T1" s="3" t="inlineStr">
        <is>
          <t>Closer</t>
        </is>
      </c>
      <c r="U1" s="3" t="inlineStr">
        <is>
          <t>Late Inning RP (Setup)</t>
        </is>
      </c>
      <c r="V1" s="3" t="inlineStr">
        <is>
          <t>Middle Relief</t>
        </is>
      </c>
      <c r="W1" s="3" t="inlineStr">
        <is>
          <t>Bullpen Depth Arm</t>
        </is>
      </c>
      <c r="X1" s="3" t="inlineStr">
        <is>
          <t>Rehab / Injury Return</t>
        </is>
      </c>
      <c r="Y1" s="3" t="inlineStr">
        <is>
          <t>Depth (no MLB IP)</t>
        </is>
      </c>
      <c r="Z1" s="3" t="inlineStr">
        <is>
          <t>Proj IP</t>
        </is>
      </c>
      <c r="AA1" s="3" t="inlineStr">
        <is>
          <t>Role Prob Sum</t>
        </is>
      </c>
      <c r="AB1" s="3" t="inlineStr">
        <is>
          <t>Proj GS</t>
        </is>
      </c>
      <c r="AC1" s="3" t="inlineStr">
        <is>
          <t>Proj G</t>
        </is>
      </c>
      <c r="AD1" s="3" t="inlineStr">
        <is>
          <t>Exp Apps</t>
        </is>
      </c>
      <c r="AE1" s="3" t="inlineStr">
        <is>
          <t>IP/App</t>
        </is>
      </c>
      <c r="AF1" s="3" t="inlineStr">
        <is>
          <t>Save Wt</t>
        </is>
      </c>
      <c r="AG1" s="3" t="inlineStr">
        <is>
          <t>Hold Wt</t>
        </is>
      </c>
      <c r="AH1" s="3" t="inlineStr">
        <is>
          <t>Notes</t>
        </is>
      </c>
    </row>
    <row r="2">
      <c r="A2" s="4" t="inlineStr">
        <is>
          <t>ANCHORS -&gt;</t>
        </is>
      </c>
      <c r="N2" s="5" t="n">
        <v>195</v>
      </c>
      <c r="O2" s="5" t="n">
        <v>170</v>
      </c>
      <c r="P2" s="5" t="n">
        <v>110</v>
      </c>
      <c r="Q2" s="5" t="n">
        <v>110</v>
      </c>
      <c r="R2" s="5" t="n">
        <v>95</v>
      </c>
      <c r="S2" s="5" t="n">
        <v>55</v>
      </c>
      <c r="T2" s="5" t="n">
        <v>62</v>
      </c>
      <c r="U2" s="5" t="n">
        <v>65</v>
      </c>
      <c r="V2" s="5" t="n">
        <v>60</v>
      </c>
      <c r="W2" s="5" t="n">
        <v>40</v>
      </c>
      <c r="X2" s="5" t="n">
        <v>60</v>
      </c>
      <c r="Y2" s="5" t="n">
        <v>1</v>
      </c>
      <c r="Z2" s="6" t="inlineStr">
        <is>
          <t>&lt;- IP per 162 G at full availability</t>
        </is>
      </c>
    </row>
    <row r="3" hidden="1" outlineLevel="1">
      <c r="A3" s="7" t="inlineStr">
        <is>
          <t>anchor:gs</t>
        </is>
      </c>
      <c r="N3" s="8" t="n">
        <v>32</v>
      </c>
      <c r="O3" s="8" t="n">
        <v>30</v>
      </c>
      <c r="P3" s="8" t="n">
        <v>21</v>
      </c>
      <c r="Q3" s="8" t="n">
        <v>22</v>
      </c>
      <c r="R3" s="8" t="n">
        <v>8</v>
      </c>
      <c r="S3" s="8" t="n">
        <v>18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10</v>
      </c>
      <c r="Y3" s="8" t="n">
        <v>0</v>
      </c>
    </row>
    <row r="4" hidden="1" outlineLevel="1">
      <c r="A4" s="7" t="inlineStr">
        <is>
          <t>anchor:g</t>
        </is>
      </c>
      <c r="N4" s="8" t="n">
        <v>32</v>
      </c>
      <c r="O4" s="8" t="n">
        <v>30</v>
      </c>
      <c r="P4" s="8" t="n">
        <v>26</v>
      </c>
      <c r="Q4" s="8" t="n">
        <v>22</v>
      </c>
      <c r="R4" s="8" t="n">
        <v>30</v>
      </c>
      <c r="S4" s="8" t="n">
        <v>45</v>
      </c>
      <c r="T4" s="8" t="n">
        <v>60</v>
      </c>
      <c r="U4" s="8" t="n">
        <v>65</v>
      </c>
      <c r="V4" s="8" t="n">
        <v>58</v>
      </c>
      <c r="W4" s="8" t="n">
        <v>35</v>
      </c>
      <c r="X4" s="8" t="n">
        <v>14</v>
      </c>
      <c r="Y4" s="8" t="n">
        <v>1</v>
      </c>
    </row>
    <row r="5" hidden="1" outlineLevel="1">
      <c r="A5" s="7" t="inlineStr">
        <is>
          <t>anchor:sv</t>
        </is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0.005</v>
      </c>
      <c r="S5" s="8" t="n">
        <v>0</v>
      </c>
      <c r="T5" s="8" t="n">
        <v>0.8</v>
      </c>
      <c r="U5" s="8" t="n">
        <v>0.06</v>
      </c>
      <c r="V5" s="8" t="n">
        <v>0.017</v>
      </c>
      <c r="W5" s="8" t="n">
        <v>0.004</v>
      </c>
      <c r="X5" s="8" t="n">
        <v>0.01</v>
      </c>
      <c r="Y5" s="8" t="n">
        <v>0</v>
      </c>
    </row>
    <row r="6" hidden="1" outlineLevel="1">
      <c r="A6" s="7" t="inlineStr">
        <is>
          <t>anchor:hld</t>
        </is>
      </c>
      <c r="N6" s="8" t="n">
        <v>0</v>
      </c>
      <c r="O6" s="8" t="n">
        <v>0</v>
      </c>
      <c r="P6" s="8" t="n">
        <v>0.002</v>
      </c>
      <c r="Q6" s="8" t="n">
        <v>0</v>
      </c>
      <c r="R6" s="8" t="n">
        <v>0.02</v>
      </c>
      <c r="S6" s="8" t="n">
        <v>0.01</v>
      </c>
      <c r="T6" s="8" t="n">
        <v>0.02</v>
      </c>
      <c r="U6" s="8" t="n">
        <v>0.29</v>
      </c>
      <c r="V6" s="8" t="n">
        <v>0.09</v>
      </c>
      <c r="W6" s="8" t="n">
        <v>0.006</v>
      </c>
      <c r="X6" s="8" t="n">
        <v>0.02</v>
      </c>
      <c r="Y6" s="8" t="n">
        <v>0</v>
      </c>
    </row>
    <row r="7">
      <c r="A7" s="9" t="n">
        <v>999999</v>
      </c>
      <c r="B7" s="9" t="inlineStr">
        <is>
          <t>EXAMPLE — delete this row</t>
        </is>
      </c>
      <c r="C7" s="9" t="inlineStr">
        <is>
          <t>FA</t>
        </is>
      </c>
      <c r="D7" s="9" t="n">
        <v>30</v>
      </c>
      <c r="E7" s="10" t="inlineStr">
        <is>
          <t>R</t>
        </is>
      </c>
      <c r="F7" s="10" t="inlineStr">
        <is>
          <t>RP</t>
        </is>
      </c>
      <c r="G7" s="9" t="n"/>
      <c r="H7" s="9" t="n"/>
      <c r="I7" s="9" t="inlineStr">
        <is>
          <t>Late Inning RP (Setup)</t>
        </is>
      </c>
      <c r="J7" s="10" t="inlineStr">
        <is>
          <t>Opening Day</t>
        </is>
      </c>
      <c r="K7" s="11">
        <f>IFERROR(INDEX(Roles!$B$17:$B$20,MATCH(J7,Roles!$A$17:$A$20,0)),1)</f>
        <v/>
      </c>
      <c r="L7" s="12" t="n">
        <v>0.9</v>
      </c>
      <c r="M7" s="11" t="n">
        <v>1</v>
      </c>
      <c r="N7" s="12" t="n"/>
      <c r="O7" s="12" t="n"/>
      <c r="P7" s="12" t="n"/>
      <c r="Q7" s="12" t="n"/>
      <c r="R7" s="12" t="n"/>
      <c r="S7" s="12" t="n"/>
      <c r="T7" s="12" t="n">
        <v>0.7</v>
      </c>
      <c r="U7" s="12" t="n">
        <v>0.3</v>
      </c>
      <c r="V7" s="12" t="n"/>
      <c r="W7" s="12" t="n"/>
      <c r="X7" s="12" t="n"/>
      <c r="Y7" s="12" t="n"/>
      <c r="Z7" s="13">
        <f>SUMPRODUCT(N7:Y7,$N$2:$Y$2)*$K7*$L7*$M7</f>
        <v/>
      </c>
      <c r="AA7" s="14">
        <f>SUM(N7:Y7)</f>
        <v/>
      </c>
      <c r="AB7" s="13">
        <f>SUMPRODUCT(N7:Y7,$N$3:$Y$3)*$K7*$L7*$M7</f>
        <v/>
      </c>
      <c r="AC7" s="13">
        <f>SUMPRODUCT(N7:Y7,$N$4:$Y$4)*$K7*$L7*$M7</f>
        <v/>
      </c>
      <c r="AD7" s="15" t="n"/>
      <c r="AE7" s="11" t="n"/>
      <c r="AF7" s="16">
        <f>SUMPRODUCT(N7:Y7,$N$5:$Y$5)*$K7*$L7*$M7</f>
        <v/>
      </c>
      <c r="AG7" s="16">
        <f>SUMPRODUCT(N7:Y7,$N$6:$Y$6)*$K7*$L7*$M7</f>
        <v/>
      </c>
      <c r="AH7" s="17" t="inlineStr">
        <is>
          <t>70% closer / 30% setup — job not settled.</t>
        </is>
      </c>
    </row>
    <row r="8">
      <c r="A8" s="9" t="n">
        <v>695243</v>
      </c>
      <c r="B8" s="9" t="inlineStr">
        <is>
          <t>Mason Miller</t>
        </is>
      </c>
      <c r="C8" s="9" t="inlineStr">
        <is>
          <t>SD</t>
        </is>
      </c>
      <c r="D8" s="9" t="n">
        <v>28</v>
      </c>
      <c r="E8" s="18" t="inlineStr">
        <is>
          <t>R</t>
        </is>
      </c>
      <c r="F8" s="18" t="n"/>
      <c r="G8" s="9" t="n">
        <v>272</v>
      </c>
      <c r="H8" s="9" t="n">
        <v>894</v>
      </c>
      <c r="I8" s="9" t="inlineStr">
        <is>
          <t>Closer</t>
        </is>
      </c>
      <c r="J8" s="18" t="inlineStr">
        <is>
          <t>Opening Day</t>
        </is>
      </c>
      <c r="K8" s="11">
        <f>IFERROR(INDEX(Roles!$B$17:$B$20,MATCH(J8,Roles!$A$17:$A$20,0)),1)</f>
        <v/>
      </c>
      <c r="L8" s="19" t="n">
        <v>1</v>
      </c>
      <c r="M8" s="11" t="n">
        <v>1</v>
      </c>
      <c r="N8" s="19" t="n"/>
      <c r="O8" s="19" t="n"/>
      <c r="P8" s="19" t="n"/>
      <c r="Q8" s="19" t="n"/>
      <c r="R8" s="19" t="n"/>
      <c r="S8" s="19" t="n"/>
      <c r="T8" s="19" t="n">
        <v>0.85</v>
      </c>
      <c r="U8" s="19" t="n">
        <v>0.15</v>
      </c>
      <c r="V8" s="19" t="n"/>
      <c r="W8" s="19" t="n"/>
      <c r="X8" s="19" t="n"/>
      <c r="Y8" s="19" t="n"/>
      <c r="Z8" s="13">
        <f>SUMPRODUCT(N8:Y8,$N$2:$Y$2)*$K8*$L8*$M8</f>
        <v/>
      </c>
      <c r="AA8" s="14">
        <f>SUM(N8:Y8)</f>
        <v/>
      </c>
      <c r="AB8" s="13">
        <f>SUMPRODUCT(N8:Y8,$N$3:$Y$3)*$K8*$L8*$M8</f>
        <v/>
      </c>
      <c r="AC8" s="13">
        <f>SUMPRODUCT(N8:Y8,$N$4:$Y$4)*$K8*$L8*$M8</f>
        <v/>
      </c>
      <c r="AD8" s="15" t="n">
        <v>57.46</v>
      </c>
      <c r="AE8" s="11" t="n">
        <v>1.025136140146533</v>
      </c>
      <c r="AF8" s="16">
        <f>SUMPRODUCT(N8:Y8,$N$5:$Y$5)*$K8*$L8*$M8</f>
        <v/>
      </c>
      <c r="AG8" s="16">
        <f>SUMPRODUCT(N8:Y8,$N$6:$Y$6)*$K8*$L8*$M8</f>
        <v/>
      </c>
      <c r="AH8" s="20" t="n"/>
    </row>
    <row r="9">
      <c r="A9" s="9" t="n">
        <v>621242</v>
      </c>
      <c r="B9" s="9" t="inlineStr">
        <is>
          <t>Edwin Díaz</t>
        </is>
      </c>
      <c r="C9" s="9" t="inlineStr">
        <is>
          <t>LAD</t>
        </is>
      </c>
      <c r="D9" s="9" t="n">
        <v>33</v>
      </c>
      <c r="E9" s="18" t="inlineStr">
        <is>
          <t>R</t>
        </is>
      </c>
      <c r="F9" s="18" t="n"/>
      <c r="G9" s="9" t="n">
        <v>96</v>
      </c>
      <c r="H9" s="9" t="n">
        <v>805</v>
      </c>
      <c r="I9" s="9" t="inlineStr">
        <is>
          <t>Middle Relief</t>
        </is>
      </c>
      <c r="J9" s="18" t="inlineStr">
        <is>
          <t>Opening Day</t>
        </is>
      </c>
      <c r="K9" s="11">
        <f>IFERROR(INDEX(Roles!$B$17:$B$20,MATCH(J9,Roles!$A$17:$A$20,0)),1)</f>
        <v/>
      </c>
      <c r="L9" s="19" t="n">
        <v>1</v>
      </c>
      <c r="M9" s="11" t="n">
        <v>1</v>
      </c>
      <c r="N9" s="19" t="n"/>
      <c r="O9" s="19" t="n"/>
      <c r="P9" s="19" t="n"/>
      <c r="Q9" s="19" t="n"/>
      <c r="R9" s="19" t="n"/>
      <c r="S9" s="19" t="n"/>
      <c r="T9" s="19" t="n"/>
      <c r="U9" s="19" t="n"/>
      <c r="V9" s="19" t="n">
        <v>0.85</v>
      </c>
      <c r="W9" s="19" t="n">
        <v>0.15</v>
      </c>
      <c r="X9" s="19" t="n"/>
      <c r="Y9" s="19" t="n"/>
      <c r="Z9" s="13">
        <f>SUMPRODUCT(N9:Y9,$N$2:$Y$2)*$K9*$L9*$M9</f>
        <v/>
      </c>
      <c r="AA9" s="14">
        <f>SUM(N9:Y9)</f>
        <v/>
      </c>
      <c r="AB9" s="13">
        <f>SUMPRODUCT(N9:Y9,$N$3:$Y$3)*$K9*$L9*$M9</f>
        <v/>
      </c>
      <c r="AC9" s="13">
        <f>SUMPRODUCT(N9:Y9,$N$4:$Y$4)*$K9*$L9*$M9</f>
        <v/>
      </c>
      <c r="AD9" s="15" t="n">
        <v>38.83333333333333</v>
      </c>
      <c r="AE9" s="11" t="n">
        <v>1.024321265928019</v>
      </c>
      <c r="AF9" s="16">
        <f>SUMPRODUCT(N9:Y9,$N$5:$Y$5)*$K9*$L9*$M9</f>
        <v/>
      </c>
      <c r="AG9" s="16">
        <f>SUMPRODUCT(N9:Y9,$N$6:$Y$6)*$K9*$L9*$M9</f>
        <v/>
      </c>
      <c r="AH9" s="20" t="n"/>
    </row>
    <row r="10">
      <c r="A10" s="9" t="n">
        <v>694819</v>
      </c>
      <c r="B10" s="9" t="inlineStr">
        <is>
          <t>Jacob Misiorowski</t>
        </is>
      </c>
      <c r="C10" s="9" t="inlineStr">
        <is>
          <t>MIL</t>
        </is>
      </c>
      <c r="D10" s="9" t="n">
        <v>25</v>
      </c>
      <c r="E10" s="18" t="inlineStr">
        <is>
          <t>R</t>
        </is>
      </c>
      <c r="F10" s="18" t="n"/>
      <c r="G10" s="9" t="n">
        <v>665</v>
      </c>
      <c r="H10" s="9" t="n">
        <v>938</v>
      </c>
      <c r="I10" s="9" t="inlineStr">
        <is>
          <t>Ace (SP1)</t>
        </is>
      </c>
      <c r="J10" s="18" t="inlineStr">
        <is>
          <t>Opening Day</t>
        </is>
      </c>
      <c r="K10" s="11">
        <f>IFERROR(INDEX(Roles!$B$17:$B$20,MATCH(J10,Roles!$A$17:$A$20,0)),1)</f>
        <v/>
      </c>
      <c r="L10" s="19" t="n">
        <v>1</v>
      </c>
      <c r="M10" s="11" t="n">
        <v>1</v>
      </c>
      <c r="N10" s="19" t="n">
        <v>0.5</v>
      </c>
      <c r="O10" s="19" t="n">
        <v>0.5</v>
      </c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3">
        <f>SUMPRODUCT(N10:Y10,$N$2:$Y$2)*$K10*$L10*$M10</f>
        <v/>
      </c>
      <c r="AA10" s="14">
        <f>SUM(N10:Y10)</f>
        <v/>
      </c>
      <c r="AB10" s="13">
        <f>SUMPRODUCT(N10:Y10,$N$3:$Y$3)*$K10*$L10*$M10</f>
        <v/>
      </c>
      <c r="AC10" s="13">
        <f>SUMPRODUCT(N10:Y10,$N$4:$Y$4)*$K10*$L10*$M10</f>
        <v/>
      </c>
      <c r="AD10" s="15" t="n">
        <v>24.6</v>
      </c>
      <c r="AE10" s="11" t="n">
        <v>5.568253968253967</v>
      </c>
      <c r="AF10" s="16">
        <f>SUMPRODUCT(N10:Y10,$N$5:$Y$5)*$K10*$L10*$M10</f>
        <v/>
      </c>
      <c r="AG10" s="16">
        <f>SUMPRODUCT(N10:Y10,$N$6:$Y$6)*$K10*$L10*$M10</f>
        <v/>
      </c>
      <c r="AH10" s="20" t="n"/>
    </row>
    <row r="11">
      <c r="A11" s="9" t="n">
        <v>642585</v>
      </c>
      <c r="B11" s="9" t="inlineStr">
        <is>
          <t>Félix Bautista</t>
        </is>
      </c>
      <c r="C11" s="9" t="inlineStr">
        <is>
          <t>BAL</t>
        </is>
      </c>
      <c r="D11" s="9" t="n">
        <v>32</v>
      </c>
      <c r="E11" s="18" t="inlineStr">
        <is>
          <t>R</t>
        </is>
      </c>
      <c r="F11" s="18" t="n"/>
      <c r="G11" s="9" t="n">
        <v>10</v>
      </c>
      <c r="H11" s="9" t="n">
        <v>642</v>
      </c>
      <c r="I11" s="9" t="inlineStr">
        <is>
          <t>Late Inning RP (Setup)</t>
        </is>
      </c>
      <c r="J11" s="18" t="inlineStr">
        <is>
          <t>Opening Day</t>
        </is>
      </c>
      <c r="K11" s="11">
        <f>IFERROR(INDEX(Roles!$B$17:$B$20,MATCH(J11,Roles!$A$17:$A$20,0)),1)</f>
        <v/>
      </c>
      <c r="L11" s="19" t="n">
        <v>1</v>
      </c>
      <c r="M11" s="11" t="n">
        <v>1</v>
      </c>
      <c r="N11" s="19" t="n"/>
      <c r="O11" s="19" t="n"/>
      <c r="P11" s="19" t="n"/>
      <c r="Q11" s="19" t="n"/>
      <c r="R11" s="19" t="n"/>
      <c r="S11" s="19" t="n"/>
      <c r="T11" s="19" t="n"/>
      <c r="U11" s="19" t="n">
        <v>0.85</v>
      </c>
      <c r="V11" s="19" t="n">
        <v>0.15</v>
      </c>
      <c r="W11" s="19" t="n"/>
      <c r="X11" s="19" t="n"/>
      <c r="Y11" s="19" t="n"/>
      <c r="Z11" s="13">
        <f>SUMPRODUCT(N11:Y11,$N$2:$Y$2)*$K11*$L11*$M11</f>
        <v/>
      </c>
      <c r="AA11" s="14">
        <f>SUM(N11:Y11)</f>
        <v/>
      </c>
      <c r="AB11" s="13">
        <f>SUMPRODUCT(N11:Y11,$N$3:$Y$3)*$K11*$L11*$M11</f>
        <v/>
      </c>
      <c r="AC11" s="13">
        <f>SUMPRODUCT(N11:Y11,$N$4:$Y$4)*$K11*$L11*$M11</f>
        <v/>
      </c>
      <c r="AD11" s="15" t="n">
        <v>28.32</v>
      </c>
      <c r="AE11" s="11" t="n">
        <v>0.9857456140350878</v>
      </c>
      <c r="AF11" s="16">
        <f>SUMPRODUCT(N11:Y11,$N$5:$Y$5)*$K11*$L11*$M11</f>
        <v/>
      </c>
      <c r="AG11" s="16">
        <f>SUMPRODUCT(N11:Y11,$N$6:$Y$6)*$K11*$L11*$M11</f>
        <v/>
      </c>
      <c r="AH11" s="20" t="n"/>
    </row>
    <row r="12">
      <c r="A12" s="9" t="n">
        <v>623352</v>
      </c>
      <c r="B12" s="9" t="inlineStr">
        <is>
          <t>Josh Hader</t>
        </is>
      </c>
      <c r="C12" s="9" t="inlineStr">
        <is>
          <t>HOU</t>
        </is>
      </c>
      <c r="D12" s="9" t="n">
        <v>33</v>
      </c>
      <c r="E12" s="18" t="inlineStr">
        <is>
          <t>L</t>
        </is>
      </c>
      <c r="F12" s="18" t="n"/>
      <c r="G12" s="9" t="n">
        <v>167</v>
      </c>
      <c r="H12" s="9" t="n">
        <v>1101</v>
      </c>
      <c r="I12" s="9" t="inlineStr">
        <is>
          <t>Closer</t>
        </is>
      </c>
      <c r="J12" s="18" t="inlineStr">
        <is>
          <t>Opening Day</t>
        </is>
      </c>
      <c r="K12" s="11">
        <f>IFERROR(INDEX(Roles!$B$17:$B$20,MATCH(J12,Roles!$A$17:$A$20,0)),1)</f>
        <v/>
      </c>
      <c r="L12" s="19" t="n">
        <v>1</v>
      </c>
      <c r="M12" s="11" t="n">
        <v>1</v>
      </c>
      <c r="N12" s="19" t="n"/>
      <c r="O12" s="19" t="n"/>
      <c r="P12" s="19" t="n"/>
      <c r="Q12" s="19" t="n"/>
      <c r="R12" s="19" t="n"/>
      <c r="S12" s="19" t="n"/>
      <c r="T12" s="19" t="n">
        <v>0.85</v>
      </c>
      <c r="U12" s="19" t="n">
        <v>0.15</v>
      </c>
      <c r="V12" s="19" t="n"/>
      <c r="W12" s="19" t="n"/>
      <c r="X12" s="19" t="n"/>
      <c r="Y12" s="19" t="n"/>
      <c r="Z12" s="13">
        <f>SUMPRODUCT(N12:Y12,$N$2:$Y$2)*$K12*$L12*$M12</f>
        <v/>
      </c>
      <c r="AA12" s="14">
        <f>SUM(N12:Y12)</f>
        <v/>
      </c>
      <c r="AB12" s="13">
        <f>SUMPRODUCT(N12:Y12,$N$3:$Y$3)*$K12*$L12*$M12</f>
        <v/>
      </c>
      <c r="AC12" s="13">
        <f>SUMPRODUCT(N12:Y12,$N$4:$Y$4)*$K12*$L12*$M12</f>
        <v/>
      </c>
      <c r="AD12" s="15" t="n">
        <v>50.36</v>
      </c>
      <c r="AE12" s="11" t="n">
        <v>1.011694818562889</v>
      </c>
      <c r="AF12" s="16">
        <f>SUMPRODUCT(N12:Y12,$N$5:$Y$5)*$K12*$L12*$M12</f>
        <v/>
      </c>
      <c r="AG12" s="16">
        <f>SUMPRODUCT(N12:Y12,$N$6:$Y$6)*$K12*$L12*$M12</f>
        <v/>
      </c>
      <c r="AH12" s="20" t="n"/>
    </row>
    <row r="13">
      <c r="A13" s="9" t="n">
        <v>547973</v>
      </c>
      <c r="B13" s="9" t="inlineStr">
        <is>
          <t>Aroldis Chapman</t>
        </is>
      </c>
      <c r="C13" s="9" t="inlineStr">
        <is>
          <t>BOS</t>
        </is>
      </c>
      <c r="D13" s="9" t="n">
        <v>39</v>
      </c>
      <c r="E13" s="18" t="inlineStr">
        <is>
          <t>L</t>
        </is>
      </c>
      <c r="F13" s="18" t="n"/>
      <c r="G13" s="9" t="n">
        <v>213</v>
      </c>
      <c r="H13" s="9" t="n">
        <v>1115</v>
      </c>
      <c r="I13" s="9" t="inlineStr">
        <is>
          <t>Closer</t>
        </is>
      </c>
      <c r="J13" s="18" t="inlineStr">
        <is>
          <t>Opening Day</t>
        </is>
      </c>
      <c r="K13" s="11">
        <f>IFERROR(INDEX(Roles!$B$17:$B$20,MATCH(J13,Roles!$A$17:$A$20,0)),1)</f>
        <v/>
      </c>
      <c r="L13" s="19" t="n">
        <v>1</v>
      </c>
      <c r="M13" s="11" t="n">
        <v>1</v>
      </c>
      <c r="N13" s="19" t="n"/>
      <c r="O13" s="19" t="n"/>
      <c r="P13" s="19" t="n"/>
      <c r="Q13" s="19" t="n"/>
      <c r="R13" s="19" t="n"/>
      <c r="S13" s="19" t="n"/>
      <c r="T13" s="19" t="n">
        <v>0.85</v>
      </c>
      <c r="U13" s="19" t="n">
        <v>0.15</v>
      </c>
      <c r="V13" s="19" t="n"/>
      <c r="W13" s="19" t="n"/>
      <c r="X13" s="19" t="n"/>
      <c r="Y13" s="19" t="n"/>
      <c r="Z13" s="13">
        <f>SUMPRODUCT(N13:Y13,$N$2:$Y$2)*$K13*$L13*$M13</f>
        <v/>
      </c>
      <c r="AA13" s="14">
        <f>SUM(N13:Y13)</f>
        <v/>
      </c>
      <c r="AB13" s="13">
        <f>SUMPRODUCT(N13:Y13,$N$3:$Y$3)*$K13*$L13*$M13</f>
        <v/>
      </c>
      <c r="AC13" s="13">
        <f>SUMPRODUCT(N13:Y13,$N$4:$Y$4)*$K13*$L13*$M13</f>
        <v/>
      </c>
      <c r="AD13" s="15" t="n">
        <v>56.26000000000001</v>
      </c>
      <c r="AE13" s="11" t="n">
        <v>0.9824907231611456</v>
      </c>
      <c r="AF13" s="16">
        <f>SUMPRODUCT(N13:Y13,$N$5:$Y$5)*$K13*$L13*$M13</f>
        <v/>
      </c>
      <c r="AG13" s="16">
        <f>SUMPRODUCT(N13:Y13,$N$6:$Y$6)*$K13*$L13*$M13</f>
        <v/>
      </c>
      <c r="AH13" s="20" t="n"/>
    </row>
    <row r="14">
      <c r="A14" s="9" t="n">
        <v>671922</v>
      </c>
      <c r="B14" s="9" t="inlineStr">
        <is>
          <t>Cade Smith</t>
        </is>
      </c>
      <c r="C14" s="9" t="inlineStr">
        <is>
          <t>CLE</t>
        </is>
      </c>
      <c r="D14" s="9" t="n">
        <v>28</v>
      </c>
      <c r="E14" s="18" t="inlineStr">
        <is>
          <t>R</t>
        </is>
      </c>
      <c r="F14" s="18" t="n"/>
      <c r="G14" s="9" t="n">
        <v>295</v>
      </c>
      <c r="H14" s="9" t="n">
        <v>884</v>
      </c>
      <c r="I14" s="9" t="inlineStr">
        <is>
          <t>Closer</t>
        </is>
      </c>
      <c r="J14" s="18" t="inlineStr">
        <is>
          <t>Opening Day</t>
        </is>
      </c>
      <c r="K14" s="11">
        <f>IFERROR(INDEX(Roles!$B$17:$B$20,MATCH(J14,Roles!$A$17:$A$20,0)),1)</f>
        <v/>
      </c>
      <c r="L14" s="19" t="n">
        <v>1</v>
      </c>
      <c r="M14" s="11" t="n">
        <v>1</v>
      </c>
      <c r="N14" s="19" t="n"/>
      <c r="O14" s="19" t="n"/>
      <c r="P14" s="19" t="n"/>
      <c r="Q14" s="19" t="n"/>
      <c r="R14" s="19" t="n"/>
      <c r="S14" s="19" t="n"/>
      <c r="T14" s="19" t="n">
        <v>0.85</v>
      </c>
      <c r="U14" s="19" t="n">
        <v>0.15</v>
      </c>
      <c r="V14" s="19" t="n"/>
      <c r="W14" s="19" t="n"/>
      <c r="X14" s="19" t="n"/>
      <c r="Y14" s="19" t="n"/>
      <c r="Z14" s="13">
        <f>SUMPRODUCT(N14:Y14,$N$2:$Y$2)*$K14*$L14*$M14</f>
        <v/>
      </c>
      <c r="AA14" s="14">
        <f>SUM(N14:Y14)</f>
        <v/>
      </c>
      <c r="AB14" s="13">
        <f>SUMPRODUCT(N14:Y14,$N$3:$Y$3)*$K14*$L14*$M14</f>
        <v/>
      </c>
      <c r="AC14" s="13">
        <f>SUMPRODUCT(N14:Y14,$N$4:$Y$4)*$K14*$L14*$M14</f>
        <v/>
      </c>
      <c r="AD14" s="15" t="n">
        <v>63.46</v>
      </c>
      <c r="AE14" s="11" t="n">
        <v>1.011478146543149</v>
      </c>
      <c r="AF14" s="16">
        <f>SUMPRODUCT(N14:Y14,$N$5:$Y$5)*$K14*$L14*$M14</f>
        <v/>
      </c>
      <c r="AG14" s="16">
        <f>SUMPRODUCT(N14:Y14,$N$6:$Y$6)*$K14*$L14*$M14</f>
        <v/>
      </c>
      <c r="AH14" s="20" t="n"/>
    </row>
    <row r="15">
      <c r="A15" s="9" t="n">
        <v>642207</v>
      </c>
      <c r="B15" s="9" t="inlineStr">
        <is>
          <t>Devin Williams</t>
        </is>
      </c>
      <c r="C15" s="9" t="inlineStr">
        <is>
          <t>NYM</t>
        </is>
      </c>
      <c r="D15" s="9" t="n">
        <v>32</v>
      </c>
      <c r="E15" s="18" t="inlineStr">
        <is>
          <t>R</t>
        </is>
      </c>
      <c r="F15" s="18" t="n"/>
      <c r="G15" s="9" t="n">
        <v>184</v>
      </c>
      <c r="H15" s="9" t="n">
        <v>1002</v>
      </c>
      <c r="I15" s="9" t="inlineStr">
        <is>
          <t>Late Inning RP (Setup)</t>
        </is>
      </c>
      <c r="J15" s="18" t="inlineStr">
        <is>
          <t>Opening Day</t>
        </is>
      </c>
      <c r="K15" s="11">
        <f>IFERROR(INDEX(Roles!$B$17:$B$20,MATCH(J15,Roles!$A$17:$A$20,0)),1)</f>
        <v/>
      </c>
      <c r="L15" s="19" t="n">
        <v>1</v>
      </c>
      <c r="M15" s="11" t="n">
        <v>1</v>
      </c>
      <c r="N15" s="19" t="n"/>
      <c r="O15" s="19" t="n"/>
      <c r="P15" s="19" t="n"/>
      <c r="Q15" s="19" t="n"/>
      <c r="R15" s="19" t="n"/>
      <c r="S15" s="19" t="n"/>
      <c r="T15" s="19" t="n">
        <v>0.4</v>
      </c>
      <c r="U15" s="19" t="n">
        <v>0.6</v>
      </c>
      <c r="V15" s="19" t="n"/>
      <c r="W15" s="19" t="n"/>
      <c r="X15" s="19" t="n"/>
      <c r="Y15" s="19" t="n"/>
      <c r="Z15" s="13">
        <f>SUMPRODUCT(N15:Y15,$N$2:$Y$2)*$K15*$L15*$M15</f>
        <v/>
      </c>
      <c r="AA15" s="14">
        <f>SUM(N15:Y15)</f>
        <v/>
      </c>
      <c r="AB15" s="13">
        <f>SUMPRODUCT(N15:Y15,$N$3:$Y$3)*$K15*$L15*$M15</f>
        <v/>
      </c>
      <c r="AC15" s="13">
        <f>SUMPRODUCT(N15:Y15,$N$4:$Y$4)*$K15*$L15*$M15</f>
        <v/>
      </c>
      <c r="AD15" s="15" t="n">
        <v>48</v>
      </c>
      <c r="AE15" s="11" t="n">
        <v>0.9695216049382716</v>
      </c>
      <c r="AF15" s="16">
        <f>SUMPRODUCT(N15:Y15,$N$5:$Y$5)*$K15*$L15*$M15</f>
        <v/>
      </c>
      <c r="AG15" s="16">
        <f>SUMPRODUCT(N15:Y15,$N$6:$Y$6)*$K15*$L15*$M15</f>
        <v/>
      </c>
      <c r="AH15" s="20" t="n"/>
    </row>
    <row r="16">
      <c r="A16" s="9" t="n">
        <v>662253</v>
      </c>
      <c r="B16" s="9" t="inlineStr">
        <is>
          <t>Andrés Muñoz</t>
        </is>
      </c>
      <c r="C16" s="9" t="inlineStr">
        <is>
          <t>SEA</t>
        </is>
      </c>
      <c r="D16" s="9" t="n">
        <v>28</v>
      </c>
      <c r="E16" s="18" t="inlineStr">
        <is>
          <t>R</t>
        </is>
      </c>
      <c r="F16" s="18" t="n"/>
      <c r="G16" s="9" t="n">
        <v>240</v>
      </c>
      <c r="H16" s="9" t="n">
        <v>1185</v>
      </c>
      <c r="I16" s="9" t="inlineStr">
        <is>
          <t>Closer</t>
        </is>
      </c>
      <c r="J16" s="18" t="inlineStr">
        <is>
          <t>Opening Day</t>
        </is>
      </c>
      <c r="K16" s="11">
        <f>IFERROR(INDEX(Roles!$B$17:$B$20,MATCH(J16,Roles!$A$17:$A$20,0)),1)</f>
        <v/>
      </c>
      <c r="L16" s="19" t="n">
        <v>1</v>
      </c>
      <c r="M16" s="11" t="n">
        <v>1</v>
      </c>
      <c r="N16" s="19" t="n"/>
      <c r="O16" s="19" t="n"/>
      <c r="P16" s="19" t="n"/>
      <c r="Q16" s="19" t="n"/>
      <c r="R16" s="19" t="n"/>
      <c r="S16" s="19" t="n"/>
      <c r="T16" s="19" t="n">
        <v>0.85</v>
      </c>
      <c r="U16" s="19" t="n">
        <v>0.15</v>
      </c>
      <c r="V16" s="19" t="n"/>
      <c r="W16" s="19" t="n"/>
      <c r="X16" s="19" t="n"/>
      <c r="Y16" s="19" t="n"/>
      <c r="Z16" s="13">
        <f>SUMPRODUCT(N16:Y16,$N$2:$Y$2)*$K16*$L16*$M16</f>
        <v/>
      </c>
      <c r="AA16" s="14">
        <f>SUM(N16:Y16)</f>
        <v/>
      </c>
      <c r="AB16" s="13">
        <f>SUMPRODUCT(N16:Y16,$N$3:$Y$3)*$K16*$L16*$M16</f>
        <v/>
      </c>
      <c r="AC16" s="13">
        <f>SUMPRODUCT(N16:Y16,$N$4:$Y$4)*$K16*$L16*$M16</f>
        <v/>
      </c>
      <c r="AD16" s="15" t="n">
        <v>57.26000000000001</v>
      </c>
      <c r="AE16" s="11" t="n">
        <v>0.9890197899525864</v>
      </c>
      <c r="AF16" s="16">
        <f>SUMPRODUCT(N16:Y16,$N$5:$Y$5)*$K16*$L16*$M16</f>
        <v/>
      </c>
      <c r="AG16" s="16">
        <f>SUMPRODUCT(N16:Y16,$N$6:$Y$6)*$K16*$L16*$M16</f>
        <v/>
      </c>
      <c r="AH16" s="20" t="n"/>
    </row>
    <row r="17">
      <c r="A17" s="9" t="n">
        <v>518585</v>
      </c>
      <c r="B17" s="9" t="inlineStr">
        <is>
          <t>Fernando Cruz</t>
        </is>
      </c>
      <c r="C17" s="9" t="inlineStr">
        <is>
          <t>NYY</t>
        </is>
      </c>
      <c r="D17" s="9" t="n">
        <v>37</v>
      </c>
      <c r="E17" s="18" t="inlineStr">
        <is>
          <t>R</t>
        </is>
      </c>
      <c r="F17" s="18" t="n"/>
      <c r="G17" s="9" t="n">
        <v>234</v>
      </c>
      <c r="H17" s="9" t="n">
        <v>1065</v>
      </c>
      <c r="I17" s="9" t="inlineStr">
        <is>
          <t>Middle Relief</t>
        </is>
      </c>
      <c r="J17" s="18" t="inlineStr">
        <is>
          <t>Opening Day</t>
        </is>
      </c>
      <c r="K17" s="11">
        <f>IFERROR(INDEX(Roles!$B$17:$B$20,MATCH(J17,Roles!$A$17:$A$20,0)),1)</f>
        <v/>
      </c>
      <c r="L17" s="19" t="n">
        <v>1</v>
      </c>
      <c r="M17" s="11" t="n">
        <v>1</v>
      </c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>
        <v>0.5</v>
      </c>
      <c r="W17" s="19" t="n">
        <v>0.5</v>
      </c>
      <c r="X17" s="19" t="n"/>
      <c r="Y17" s="19" t="n"/>
      <c r="Z17" s="13">
        <f>SUMPRODUCT(N17:Y17,$N$2:$Y$2)*$K17*$L17*$M17</f>
        <v/>
      </c>
      <c r="AA17" s="14">
        <f>SUM(N17:Y17)</f>
        <v/>
      </c>
      <c r="AB17" s="13">
        <f>SUMPRODUCT(N17:Y17,$N$3:$Y$3)*$K17*$L17*$M17</f>
        <v/>
      </c>
      <c r="AC17" s="13">
        <f>SUMPRODUCT(N17:Y17,$N$4:$Y$4)*$K17*$L17*$M17</f>
        <v/>
      </c>
      <c r="AD17" s="15" t="n">
        <v>49.73333333333333</v>
      </c>
      <c r="AE17" s="11" t="n">
        <v>1.000254875886525</v>
      </c>
      <c r="AF17" s="16">
        <f>SUMPRODUCT(N17:Y17,$N$5:$Y$5)*$K17*$L17*$M17</f>
        <v/>
      </c>
      <c r="AG17" s="16">
        <f>SUMPRODUCT(N17:Y17,$N$6:$Y$6)*$K17*$L17*$M17</f>
        <v/>
      </c>
      <c r="AH17" s="20" t="n"/>
    </row>
    <row r="18">
      <c r="A18" s="9" t="n">
        <v>681870</v>
      </c>
      <c r="B18" s="9" t="inlineStr">
        <is>
          <t>Erik Sabrowski</t>
        </is>
      </c>
      <c r="C18" s="9" t="inlineStr">
        <is>
          <t>CLE</t>
        </is>
      </c>
      <c r="D18" s="9" t="n">
        <v>29</v>
      </c>
      <c r="E18" s="18" t="inlineStr">
        <is>
          <t>L</t>
        </is>
      </c>
      <c r="F18" s="18" t="n"/>
      <c r="G18" s="9" t="n">
        <v>203</v>
      </c>
      <c r="H18" s="9" t="n">
        <v>371</v>
      </c>
      <c r="I18" s="9" t="inlineStr">
        <is>
          <t>Late Inning RP (Setup)</t>
        </is>
      </c>
      <c r="J18" s="18" t="inlineStr">
        <is>
          <t>Opening Day</t>
        </is>
      </c>
      <c r="K18" s="11">
        <f>IFERROR(INDEX(Roles!$B$17:$B$20,MATCH(J18,Roles!$A$17:$A$20,0)),1)</f>
        <v/>
      </c>
      <c r="L18" s="19" t="n">
        <v>1</v>
      </c>
      <c r="M18" s="11" t="n">
        <v>1</v>
      </c>
      <c r="N18" s="19" t="n"/>
      <c r="O18" s="19" t="n"/>
      <c r="P18" s="19" t="n"/>
      <c r="Q18" s="19" t="n"/>
      <c r="R18" s="19" t="n"/>
      <c r="S18" s="19" t="n"/>
      <c r="T18" s="19" t="n"/>
      <c r="U18" s="19" t="n">
        <v>0.85</v>
      </c>
      <c r="V18" s="19" t="n">
        <v>0.15</v>
      </c>
      <c r="W18" s="19" t="n"/>
      <c r="X18" s="19" t="n"/>
      <c r="Y18" s="19" t="n"/>
      <c r="Z18" s="13">
        <f>SUMPRODUCT(N18:Y18,$N$2:$Y$2)*$K18*$L18*$M18</f>
        <v/>
      </c>
      <c r="AA18" s="14">
        <f>SUM(N18:Y18)</f>
        <v/>
      </c>
      <c r="AB18" s="13">
        <f>SUMPRODUCT(N18:Y18,$N$3:$Y$3)*$K18*$L18*$M18</f>
        <v/>
      </c>
      <c r="AC18" s="13">
        <f>SUMPRODUCT(N18:Y18,$N$4:$Y$4)*$K18*$L18*$M18</f>
        <v/>
      </c>
      <c r="AD18" s="15" t="n">
        <v>44.6</v>
      </c>
      <c r="AE18" s="11" t="n">
        <v>0.9436242344706912</v>
      </c>
      <c r="AF18" s="16">
        <f>SUMPRODUCT(N18:Y18,$N$5:$Y$5)*$K18*$L18*$M18</f>
        <v/>
      </c>
      <c r="AG18" s="16">
        <f>SUMPRODUCT(N18:Y18,$N$6:$Y$6)*$K18*$L18*$M18</f>
        <v/>
      </c>
      <c r="AH18" s="20" t="n"/>
    </row>
    <row r="19">
      <c r="A19" s="9" t="n">
        <v>682254</v>
      </c>
      <c r="B19" s="9" t="inlineStr">
        <is>
          <t>Mason Montgomery</t>
        </is>
      </c>
      <c r="C19" s="9" t="inlineStr">
        <is>
          <t>PIT</t>
        </is>
      </c>
      <c r="D19" s="9" t="n">
        <v>27</v>
      </c>
      <c r="E19" s="18" t="inlineStr">
        <is>
          <t>L</t>
        </is>
      </c>
      <c r="F19" s="18" t="n"/>
      <c r="G19" s="9" t="n">
        <v>278</v>
      </c>
      <c r="H19" s="9" t="n">
        <v>524</v>
      </c>
      <c r="I19" s="9" t="inlineStr">
        <is>
          <t>Closer</t>
        </is>
      </c>
      <c r="J19" s="18" t="inlineStr">
        <is>
          <t>Opening Day</t>
        </is>
      </c>
      <c r="K19" s="11">
        <f>IFERROR(INDEX(Roles!$B$17:$B$20,MATCH(J19,Roles!$A$17:$A$20,0)),1)</f>
        <v/>
      </c>
      <c r="L19" s="19" t="n">
        <v>1</v>
      </c>
      <c r="M19" s="11" t="n">
        <v>1</v>
      </c>
      <c r="N19" s="19" t="n"/>
      <c r="O19" s="19" t="n"/>
      <c r="P19" s="19" t="n"/>
      <c r="Q19" s="19" t="n"/>
      <c r="R19" s="19" t="n"/>
      <c r="S19" s="19" t="n"/>
      <c r="T19" s="19" t="n">
        <v>0.85</v>
      </c>
      <c r="U19" s="19" t="n">
        <v>0.15</v>
      </c>
      <c r="V19" s="19" t="n"/>
      <c r="W19" s="19" t="n"/>
      <c r="X19" s="19" t="n"/>
      <c r="Y19" s="19" t="n"/>
      <c r="Z19" s="13">
        <f>SUMPRODUCT(N19:Y19,$N$2:$Y$2)*$K19*$L19*$M19</f>
        <v/>
      </c>
      <c r="AA19" s="14">
        <f>SUM(N19:Y19)</f>
        <v/>
      </c>
      <c r="AB19" s="13">
        <f>SUMPRODUCT(N19:Y19,$N$3:$Y$3)*$K19*$L19*$M19</f>
        <v/>
      </c>
      <c r="AC19" s="13">
        <f>SUMPRODUCT(N19:Y19,$N$4:$Y$4)*$K19*$L19*$M19</f>
        <v/>
      </c>
      <c r="AD19" s="15" t="n">
        <v>53.46</v>
      </c>
      <c r="AE19" s="11" t="n">
        <v>0.9771381868760148</v>
      </c>
      <c r="AF19" s="16">
        <f>SUMPRODUCT(N19:Y19,$N$5:$Y$5)*$K19*$L19*$M19</f>
        <v/>
      </c>
      <c r="AG19" s="16">
        <f>SUMPRODUCT(N19:Y19,$N$6:$Y$6)*$K19*$L19*$M19</f>
        <v/>
      </c>
      <c r="AH19" s="20" t="n"/>
    </row>
    <row r="20">
      <c r="A20" s="9" t="n">
        <v>669093</v>
      </c>
      <c r="B20" s="9" t="inlineStr">
        <is>
          <t>Jeremiah Estrada</t>
        </is>
      </c>
      <c r="C20" s="9" t="inlineStr">
        <is>
          <t>SD</t>
        </is>
      </c>
      <c r="D20" s="9" t="n">
        <v>28</v>
      </c>
      <c r="E20" s="18" t="inlineStr">
        <is>
          <t>R</t>
        </is>
      </c>
      <c r="F20" s="18" t="n"/>
      <c r="G20" s="9" t="n">
        <v>126</v>
      </c>
      <c r="H20" s="9" t="n">
        <v>763</v>
      </c>
      <c r="I20" s="9" t="inlineStr">
        <is>
          <t>Middle Relief</t>
        </is>
      </c>
      <c r="J20" s="18" t="inlineStr">
        <is>
          <t>Opening Day</t>
        </is>
      </c>
      <c r="K20" s="11">
        <f>IFERROR(INDEX(Roles!$B$17:$B$20,MATCH(J20,Roles!$A$17:$A$20,0)),1)</f>
        <v/>
      </c>
      <c r="L20" s="19" t="n">
        <v>1</v>
      </c>
      <c r="M20" s="11" t="n">
        <v>1</v>
      </c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>
        <v>0.5</v>
      </c>
      <c r="W20" s="19" t="n">
        <v>0.5</v>
      </c>
      <c r="X20" s="19" t="n"/>
      <c r="Y20" s="19" t="n"/>
      <c r="Z20" s="13">
        <f>SUMPRODUCT(N20:Y20,$N$2:$Y$2)*$K20*$L20*$M20</f>
        <v/>
      </c>
      <c r="AA20" s="14">
        <f>SUM(N20:Y20)</f>
        <v/>
      </c>
      <c r="AB20" s="13">
        <f>SUMPRODUCT(N20:Y20,$N$3:$Y$3)*$K20*$L20*$M20</f>
        <v/>
      </c>
      <c r="AC20" s="13">
        <f>SUMPRODUCT(N20:Y20,$N$4:$Y$4)*$K20*$L20*$M20</f>
        <v/>
      </c>
      <c r="AD20" s="15" t="n">
        <v>46.23333333333333</v>
      </c>
      <c r="AE20" s="11" t="n">
        <v>1.006604082235731</v>
      </c>
      <c r="AF20" s="16">
        <f>SUMPRODUCT(N20:Y20,$N$5:$Y$5)*$K20*$L20*$M20</f>
        <v/>
      </c>
      <c r="AG20" s="16">
        <f>SUMPRODUCT(N20:Y20,$N$6:$Y$6)*$K20*$L20*$M20</f>
        <v/>
      </c>
      <c r="AH20" s="20" t="n"/>
    </row>
    <row r="21">
      <c r="A21" s="9" t="n">
        <v>650556</v>
      </c>
      <c r="B21" s="9" t="inlineStr">
        <is>
          <t>Bryan Abreu</t>
        </is>
      </c>
      <c r="C21" s="9" t="inlineStr">
        <is>
          <t>HOU</t>
        </is>
      </c>
      <c r="D21" s="9" t="n">
        <v>30</v>
      </c>
      <c r="E21" s="18" t="inlineStr">
        <is>
          <t>R</t>
        </is>
      </c>
      <c r="F21" s="18" t="n"/>
      <c r="G21" s="9" t="n">
        <v>268</v>
      </c>
      <c r="H21" s="9" t="n">
        <v>1424</v>
      </c>
      <c r="I21" s="9" t="inlineStr">
        <is>
          <t>Late Inning RP (Setup)</t>
        </is>
      </c>
      <c r="J21" s="18" t="inlineStr">
        <is>
          <t>Opening Day</t>
        </is>
      </c>
      <c r="K21" s="11">
        <f>IFERROR(INDEX(Roles!$B$17:$B$20,MATCH(J21,Roles!$A$17:$A$20,0)),1)</f>
        <v/>
      </c>
      <c r="L21" s="19" t="n">
        <v>1</v>
      </c>
      <c r="M21" s="11" t="n">
        <v>1</v>
      </c>
      <c r="N21" s="19" t="n"/>
      <c r="O21" s="19" t="n"/>
      <c r="P21" s="19" t="n"/>
      <c r="Q21" s="19" t="n"/>
      <c r="R21" s="19" t="n"/>
      <c r="S21" s="19" t="n"/>
      <c r="T21" s="19" t="n"/>
      <c r="U21" s="19" t="n">
        <v>0.85</v>
      </c>
      <c r="V21" s="19" t="n">
        <v>0.15</v>
      </c>
      <c r="W21" s="19" t="n"/>
      <c r="X21" s="19" t="n"/>
      <c r="Y21" s="19" t="n"/>
      <c r="Z21" s="13">
        <f>SUMPRODUCT(N21:Y21,$N$2:$Y$2)*$K21*$L21*$M21</f>
        <v/>
      </c>
      <c r="AA21" s="14">
        <f>SUM(N21:Y21)</f>
        <v/>
      </c>
      <c r="AB21" s="13">
        <f>SUMPRODUCT(N21:Y21,$N$3:$Y$3)*$K21*$L21*$M21</f>
        <v/>
      </c>
      <c r="AC21" s="13">
        <f>SUMPRODUCT(N21:Y21,$N$4:$Y$4)*$K21*$L21*$M21</f>
        <v/>
      </c>
      <c r="AD21" s="15" t="n">
        <v>60.8</v>
      </c>
      <c r="AE21" s="11" t="n">
        <v>0.9869123931623932</v>
      </c>
      <c r="AF21" s="16">
        <f>SUMPRODUCT(N21:Y21,$N$5:$Y$5)*$K21*$L21*$M21</f>
        <v/>
      </c>
      <c r="AG21" s="16">
        <f>SUMPRODUCT(N21:Y21,$N$6:$Y$6)*$K21*$L21*$M21</f>
        <v/>
      </c>
      <c r="AH21" s="20" t="n"/>
    </row>
    <row r="22">
      <c r="A22" s="9" t="n">
        <v>607192</v>
      </c>
      <c r="B22" s="9" t="inlineStr">
        <is>
          <t>Tyler Glasnow</t>
        </is>
      </c>
      <c r="C22" s="9" t="inlineStr">
        <is>
          <t>LAD</t>
        </is>
      </c>
      <c r="D22" s="9" t="n">
        <v>33</v>
      </c>
      <c r="E22" s="18" t="inlineStr">
        <is>
          <t>R</t>
        </is>
      </c>
      <c r="F22" s="18" t="n"/>
      <c r="G22" s="9" t="n">
        <v>288</v>
      </c>
      <c r="H22" s="9" t="n">
        <v>1687</v>
      </c>
      <c r="I22" s="9" t="inlineStr">
        <is>
          <t>End-of-Rotation Starter (SP4-5)</t>
        </is>
      </c>
      <c r="J22" s="18" t="inlineStr">
        <is>
          <t>Opening Day</t>
        </is>
      </c>
      <c r="K22" s="11">
        <f>IFERROR(INDEX(Roles!$B$17:$B$20,MATCH(J22,Roles!$A$17:$A$20,0)),1)</f>
        <v/>
      </c>
      <c r="L22" s="19" t="n">
        <v>1</v>
      </c>
      <c r="M22" s="11" t="n">
        <v>1</v>
      </c>
      <c r="N22" s="19" t="n"/>
      <c r="O22" s="19" t="n"/>
      <c r="P22" s="19" t="n">
        <v>0.5</v>
      </c>
      <c r="Q22" s="19" t="n"/>
      <c r="R22" s="19" t="n">
        <v>0.5</v>
      </c>
      <c r="S22" s="19" t="n"/>
      <c r="T22" s="19" t="n"/>
      <c r="U22" s="19" t="n"/>
      <c r="V22" s="19" t="n"/>
      <c r="W22" s="19" t="n"/>
      <c r="X22" s="19" t="n"/>
      <c r="Y22" s="19" t="n"/>
      <c r="Z22" s="13">
        <f>SUMPRODUCT(N22:Y22,$N$2:$Y$2)*$K22*$L22*$M22</f>
        <v/>
      </c>
      <c r="AA22" s="14">
        <f>SUM(N22:Y22)</f>
        <v/>
      </c>
      <c r="AB22" s="13">
        <f>SUMPRODUCT(N22:Y22,$N$3:$Y$3)*$K22*$L22*$M22</f>
        <v/>
      </c>
      <c r="AC22" s="13">
        <f>SUMPRODUCT(N22:Y22,$N$4:$Y$4)*$K22*$L22*$M22</f>
        <v/>
      </c>
      <c r="AD22" s="15" t="n">
        <v>16.1</v>
      </c>
      <c r="AE22" s="11" t="n">
        <v>4.881252386407025</v>
      </c>
      <c r="AF22" s="16">
        <f>SUMPRODUCT(N22:Y22,$N$5:$Y$5)*$K22*$L22*$M22</f>
        <v/>
      </c>
      <c r="AG22" s="16">
        <f>SUMPRODUCT(N22:Y22,$N$6:$Y$6)*$K22*$L22*$M22</f>
        <v/>
      </c>
      <c r="AH22" s="20" t="n"/>
    </row>
    <row r="23">
      <c r="A23" s="9" t="n">
        <v>605483</v>
      </c>
      <c r="B23" s="9" t="inlineStr">
        <is>
          <t>Blake Snell</t>
        </is>
      </c>
      <c r="C23" s="9" t="inlineStr">
        <is>
          <t>LAD</t>
        </is>
      </c>
      <c r="D23" s="9" t="n">
        <v>34</v>
      </c>
      <c r="E23" s="18" t="inlineStr">
        <is>
          <t>L</t>
        </is>
      </c>
      <c r="F23" s="18" t="n"/>
      <c r="G23" s="9" t="n">
        <v>173</v>
      </c>
      <c r="H23" s="9" t="n">
        <v>2122</v>
      </c>
      <c r="I23" s="9" t="inlineStr">
        <is>
          <t>Mid-Rotation Starter (SP2-3)</t>
        </is>
      </c>
      <c r="J23" s="18" t="inlineStr">
        <is>
          <t>Opening Day</t>
        </is>
      </c>
      <c r="K23" s="11">
        <f>IFERROR(INDEX(Roles!$B$17:$B$20,MATCH(J23,Roles!$A$17:$A$20,0)),1)</f>
        <v/>
      </c>
      <c r="L23" s="19" t="n">
        <v>1</v>
      </c>
      <c r="M23" s="11" t="n">
        <v>1</v>
      </c>
      <c r="N23" s="19" t="n"/>
      <c r="O23" s="19" t="n">
        <v>0.5</v>
      </c>
      <c r="P23" s="19" t="n">
        <v>0.5</v>
      </c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3">
        <f>SUMPRODUCT(N23:Y23,$N$2:$Y$2)*$K23*$L23*$M23</f>
        <v/>
      </c>
      <c r="AA23" s="14">
        <f>SUM(N23:Y23)</f>
        <v/>
      </c>
      <c r="AB23" s="13">
        <f>SUMPRODUCT(N23:Y23,$N$3:$Y$3)*$K23*$L23*$M23</f>
        <v/>
      </c>
      <c r="AC23" s="13">
        <f>SUMPRODUCT(N23:Y23,$N$4:$Y$4)*$K23*$L23*$M23</f>
        <v/>
      </c>
      <c r="AD23" s="15" t="n">
        <v>17.3</v>
      </c>
      <c r="AE23" s="11" t="n">
        <v>5.182899589631708</v>
      </c>
      <c r="AF23" s="16">
        <f>SUMPRODUCT(N23:Y23,$N$5:$Y$5)*$K23*$L23*$M23</f>
        <v/>
      </c>
      <c r="AG23" s="16">
        <f>SUMPRODUCT(N23:Y23,$N$6:$Y$6)*$K23*$L23*$M23</f>
        <v/>
      </c>
      <c r="AH23" s="20" t="n"/>
    </row>
    <row r="24">
      <c r="A24" s="9" t="n">
        <v>681911</v>
      </c>
      <c r="B24" s="9" t="inlineStr">
        <is>
          <t>Alex Vesia</t>
        </is>
      </c>
      <c r="C24" s="9" t="inlineStr">
        <is>
          <t>LAD</t>
        </is>
      </c>
      <c r="D24" s="9" t="n">
        <v>31</v>
      </c>
      <c r="E24" s="18" t="inlineStr">
        <is>
          <t>L</t>
        </is>
      </c>
      <c r="F24" s="18" t="n"/>
      <c r="G24" s="9" t="n">
        <v>237</v>
      </c>
      <c r="H24" s="9" t="n">
        <v>1181</v>
      </c>
      <c r="I24" s="9" t="inlineStr">
        <is>
          <t>Middle Relief</t>
        </is>
      </c>
      <c r="J24" s="18" t="inlineStr">
        <is>
          <t>Opening Day</t>
        </is>
      </c>
      <c r="K24" s="11">
        <f>IFERROR(INDEX(Roles!$B$17:$B$20,MATCH(J24,Roles!$A$17:$A$20,0)),1)</f>
        <v/>
      </c>
      <c r="L24" s="19" t="n">
        <v>1</v>
      </c>
      <c r="M24" s="11" t="n">
        <v>1</v>
      </c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>
        <v>0.85</v>
      </c>
      <c r="W24" s="19" t="n">
        <v>0.15</v>
      </c>
      <c r="X24" s="19" t="n"/>
      <c r="Y24" s="19" t="n"/>
      <c r="Z24" s="13">
        <f>SUMPRODUCT(N24:Y24,$N$2:$Y$2)*$K24*$L24*$M24</f>
        <v/>
      </c>
      <c r="AA24" s="14">
        <f>SUM(N24:Y24)</f>
        <v/>
      </c>
      <c r="AB24" s="13">
        <f>SUMPRODUCT(N24:Y24,$N$3:$Y$3)*$K24*$L24*$M24</f>
        <v/>
      </c>
      <c r="AC24" s="13">
        <f>SUMPRODUCT(N24:Y24,$N$4:$Y$4)*$K24*$L24*$M24</f>
        <v/>
      </c>
      <c r="AD24" s="15" t="n">
        <v>56.63333333333333</v>
      </c>
      <c r="AE24" s="11" t="n">
        <v>0.9752747645102322</v>
      </c>
      <c r="AF24" s="16">
        <f>SUMPRODUCT(N24:Y24,$N$5:$Y$5)*$K24*$L24*$M24</f>
        <v/>
      </c>
      <c r="AG24" s="16">
        <f>SUMPRODUCT(N24:Y24,$N$6:$Y$6)*$K24*$L24*$M24</f>
        <v/>
      </c>
      <c r="AH24" s="20" t="n"/>
    </row>
    <row r="25">
      <c r="A25" s="9" t="n">
        <v>675911</v>
      </c>
      <c r="B25" s="9" t="inlineStr">
        <is>
          <t>Spencer Strider</t>
        </is>
      </c>
      <c r="C25" s="9" t="inlineStr">
        <is>
          <t>ATL</t>
        </is>
      </c>
      <c r="D25" s="9" t="n">
        <v>28</v>
      </c>
      <c r="E25" s="18" t="inlineStr">
        <is>
          <t>R</t>
        </is>
      </c>
      <c r="F25" s="18" t="n"/>
      <c r="G25" s="9" t="n">
        <v>165</v>
      </c>
      <c r="H25" s="9" t="n">
        <v>2037</v>
      </c>
      <c r="I25" s="9" t="inlineStr">
        <is>
          <t>Bullpen Depth Arm</t>
        </is>
      </c>
      <c r="J25" s="18" t="inlineStr">
        <is>
          <t>Opening Day</t>
        </is>
      </c>
      <c r="K25" s="11">
        <f>IFERROR(INDEX(Roles!$B$17:$B$20,MATCH(J25,Roles!$A$17:$A$20,0)),1)</f>
        <v/>
      </c>
      <c r="L25" s="19" t="n">
        <v>1</v>
      </c>
      <c r="M25" s="11" t="n">
        <v>1</v>
      </c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>
        <v>1</v>
      </c>
      <c r="X25" s="19" t="n"/>
      <c r="Y25" s="19" t="n"/>
      <c r="Z25" s="13">
        <f>SUMPRODUCT(N25:Y25,$N$2:$Y$2)*$K25*$L25*$M25</f>
        <v/>
      </c>
      <c r="AA25" s="14">
        <f>SUM(N25:Y25)</f>
        <v/>
      </c>
      <c r="AB25" s="13">
        <f>SUMPRODUCT(N25:Y25,$N$3:$Y$3)*$K25*$L25*$M25</f>
        <v/>
      </c>
      <c r="AC25" s="13">
        <f>SUMPRODUCT(N25:Y25,$N$4:$Y$4)*$K25*$L25*$M25</f>
        <v/>
      </c>
      <c r="AD25" s="15" t="n">
        <v>12.86666666666666</v>
      </c>
      <c r="AE25" s="11" t="n">
        <v>2.545334295334295</v>
      </c>
      <c r="AF25" s="16">
        <f>SUMPRODUCT(N25:Y25,$N$5:$Y$5)*$K25*$L25*$M25</f>
        <v/>
      </c>
      <c r="AG25" s="16">
        <f>SUMPRODUCT(N25:Y25,$N$6:$Y$6)*$K25*$L25*$M25</f>
        <v/>
      </c>
      <c r="AH25" s="20" t="n"/>
    </row>
    <row r="26">
      <c r="A26" s="9" t="n">
        <v>676979</v>
      </c>
      <c r="B26" s="9" t="inlineStr">
        <is>
          <t>Garrett Crochet</t>
        </is>
      </c>
      <c r="C26" s="9" t="inlineStr">
        <is>
          <t>BOS</t>
        </is>
      </c>
      <c r="D26" s="9" t="n">
        <v>28</v>
      </c>
      <c r="E26" s="18" t="inlineStr">
        <is>
          <t>L</t>
        </is>
      </c>
      <c r="F26" s="18" t="n"/>
      <c r="G26" s="9" t="n">
        <v>138</v>
      </c>
      <c r="H26" s="9" t="n">
        <v>1611</v>
      </c>
      <c r="I26" s="9" t="inlineStr">
        <is>
          <t>Ace (SP1)</t>
        </is>
      </c>
      <c r="J26" s="18" t="inlineStr">
        <is>
          <t>Opening Day</t>
        </is>
      </c>
      <c r="K26" s="11">
        <f>IFERROR(INDEX(Roles!$B$17:$B$20,MATCH(J26,Roles!$A$17:$A$20,0)),1)</f>
        <v/>
      </c>
      <c r="L26" s="19" t="n">
        <v>1</v>
      </c>
      <c r="M26" s="11" t="n">
        <v>1</v>
      </c>
      <c r="N26" s="19" t="n">
        <v>0.5</v>
      </c>
      <c r="O26" s="19" t="n">
        <v>0.5</v>
      </c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3">
        <f>SUMPRODUCT(N26:Y26,$N$2:$Y$2)*$K26*$L26*$M26</f>
        <v/>
      </c>
      <c r="AA26" s="14">
        <f>SUM(N26:Y26)</f>
        <v/>
      </c>
      <c r="AB26" s="13">
        <f>SUMPRODUCT(N26:Y26,$N$3:$Y$3)*$K26*$L26*$M26</f>
        <v/>
      </c>
      <c r="AC26" s="13">
        <f>SUMPRODUCT(N26:Y26,$N$4:$Y$4)*$K26*$L26*$M26</f>
        <v/>
      </c>
      <c r="AD26" s="15" t="n">
        <v>21.6</v>
      </c>
      <c r="AE26" s="11" t="n">
        <v>5.636869952659426</v>
      </c>
      <c r="AF26" s="16">
        <f>SUMPRODUCT(N26:Y26,$N$5:$Y$5)*$K26*$L26*$M26</f>
        <v/>
      </c>
      <c r="AG26" s="16">
        <f>SUMPRODUCT(N26:Y26,$N$6:$Y$6)*$K26*$L26*$M26</f>
        <v/>
      </c>
      <c r="AH26" s="20" t="n"/>
    </row>
    <row r="27">
      <c r="A27" s="9" t="n">
        <v>519242</v>
      </c>
      <c r="B27" s="9" t="inlineStr">
        <is>
          <t>Chris Sale</t>
        </is>
      </c>
      <c r="C27" s="9" t="inlineStr">
        <is>
          <t>ATL</t>
        </is>
      </c>
      <c r="D27" s="9" t="n">
        <v>38</v>
      </c>
      <c r="E27" s="18" t="inlineStr">
        <is>
          <t>L</t>
        </is>
      </c>
      <c r="F27" s="18" t="n"/>
      <c r="G27" s="9" t="n">
        <v>648</v>
      </c>
      <c r="H27" s="9" t="n">
        <v>2310</v>
      </c>
      <c r="I27" s="9" t="inlineStr">
        <is>
          <t>Ace (SP1)</t>
        </is>
      </c>
      <c r="J27" s="18" t="inlineStr">
        <is>
          <t>Opening Day</t>
        </is>
      </c>
      <c r="K27" s="11">
        <f>IFERROR(INDEX(Roles!$B$17:$B$20,MATCH(J27,Roles!$A$17:$A$20,0)),1)</f>
        <v/>
      </c>
      <c r="L27" s="19" t="n">
        <v>1</v>
      </c>
      <c r="M27" s="11" t="n">
        <v>1</v>
      </c>
      <c r="N27" s="19" t="n">
        <v>0.5</v>
      </c>
      <c r="O27" s="19" t="n">
        <v>0.5</v>
      </c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3">
        <f>SUMPRODUCT(N27:Y27,$N$2:$Y$2)*$K27*$L27*$M27</f>
        <v/>
      </c>
      <c r="AA27" s="14">
        <f>SUM(N27:Y27)</f>
        <v/>
      </c>
      <c r="AB27" s="13">
        <f>SUMPRODUCT(N27:Y27,$N$3:$Y$3)*$K27*$L27*$M27</f>
        <v/>
      </c>
      <c r="AC27" s="13">
        <f>SUMPRODUCT(N27:Y27,$N$4:$Y$4)*$K27*$L27*$M27</f>
        <v/>
      </c>
      <c r="AD27" s="15" t="n">
        <v>25.4</v>
      </c>
      <c r="AE27" s="11" t="n">
        <v>5.756996658312447</v>
      </c>
      <c r="AF27" s="16">
        <f>SUMPRODUCT(N27:Y27,$N$5:$Y$5)*$K27*$L27*$M27</f>
        <v/>
      </c>
      <c r="AG27" s="16">
        <f>SUMPRODUCT(N27:Y27,$N$6:$Y$6)*$K27*$L27*$M27</f>
        <v/>
      </c>
      <c r="AH27" s="20" t="n"/>
    </row>
    <row r="28">
      <c r="A28" s="9" t="n">
        <v>656546</v>
      </c>
      <c r="B28" s="9" t="inlineStr">
        <is>
          <t>Jeff Hoffman</t>
        </is>
      </c>
      <c r="C28" s="9" t="inlineStr">
        <is>
          <t>MIN</t>
        </is>
      </c>
      <c r="D28" s="9" t="n">
        <v>34</v>
      </c>
      <c r="E28" s="18" t="inlineStr">
        <is>
          <t>R</t>
        </is>
      </c>
      <c r="F28" s="18" t="n"/>
      <c r="G28" s="9" t="n">
        <v>292</v>
      </c>
      <c r="H28" s="9" t="n">
        <v>1249</v>
      </c>
      <c r="I28" s="9" t="inlineStr">
        <is>
          <t>Closer</t>
        </is>
      </c>
      <c r="J28" s="18" t="inlineStr">
        <is>
          <t>Opening Day</t>
        </is>
      </c>
      <c r="K28" s="11">
        <f>IFERROR(INDEX(Roles!$B$17:$B$20,MATCH(J28,Roles!$A$17:$A$20,0)),1)</f>
        <v/>
      </c>
      <c r="L28" s="19" t="n">
        <v>1</v>
      </c>
      <c r="M28" s="11" t="n">
        <v>1</v>
      </c>
      <c r="N28" s="19" t="n"/>
      <c r="O28" s="19" t="n"/>
      <c r="P28" s="19" t="n"/>
      <c r="Q28" s="19" t="n"/>
      <c r="R28" s="19" t="n"/>
      <c r="S28" s="19" t="n"/>
      <c r="T28" s="19" t="n">
        <v>0.5</v>
      </c>
      <c r="U28" s="19" t="n">
        <v>0.5</v>
      </c>
      <c r="V28" s="19" t="n"/>
      <c r="W28" s="19" t="n"/>
      <c r="X28" s="19" t="n"/>
      <c r="Y28" s="19" t="n"/>
      <c r="Z28" s="13">
        <f>SUMPRODUCT(N28:Y28,$N$2:$Y$2)*$K28*$L28*$M28</f>
        <v/>
      </c>
      <c r="AA28" s="14">
        <f>SUM(N28:Y28)</f>
        <v/>
      </c>
      <c r="AB28" s="13">
        <f>SUMPRODUCT(N28:Y28,$N$3:$Y$3)*$K28*$L28*$M28</f>
        <v/>
      </c>
      <c r="AC28" s="13">
        <f>SUMPRODUCT(N28:Y28,$N$4:$Y$4)*$K28*$L28*$M28</f>
        <v/>
      </c>
      <c r="AD28" s="15" t="n">
        <v>62.46</v>
      </c>
      <c r="AE28" s="11" t="n">
        <v>0.9846350454367028</v>
      </c>
      <c r="AF28" s="16">
        <f>SUMPRODUCT(N28:Y28,$N$5:$Y$5)*$K28*$L28*$M28</f>
        <v/>
      </c>
      <c r="AG28" s="16">
        <f>SUMPRODUCT(N28:Y28,$N$6:$Y$6)*$K28*$L28*$M28</f>
        <v/>
      </c>
      <c r="AH28" s="20" t="n"/>
    </row>
    <row r="29">
      <c r="A29" s="9" t="n">
        <v>661395</v>
      </c>
      <c r="B29" s="9" t="inlineStr">
        <is>
          <t>Jhoan Duran</t>
        </is>
      </c>
      <c r="C29" s="9" t="inlineStr">
        <is>
          <t>PHI</t>
        </is>
      </c>
      <c r="D29" s="9" t="n">
        <v>29</v>
      </c>
      <c r="E29" s="18" t="inlineStr">
        <is>
          <t>R</t>
        </is>
      </c>
      <c r="F29" s="18" t="n"/>
      <c r="G29" s="9" t="n">
        <v>236</v>
      </c>
      <c r="H29" s="9" t="n">
        <v>1272</v>
      </c>
      <c r="I29" s="9" t="inlineStr">
        <is>
          <t>Closer</t>
        </is>
      </c>
      <c r="J29" s="18" t="inlineStr">
        <is>
          <t>Opening Day</t>
        </is>
      </c>
      <c r="K29" s="11">
        <f>IFERROR(INDEX(Roles!$B$17:$B$20,MATCH(J29,Roles!$A$17:$A$20,0)),1)</f>
        <v/>
      </c>
      <c r="L29" s="19" t="n">
        <v>1</v>
      </c>
      <c r="M29" s="11" t="n">
        <v>1</v>
      </c>
      <c r="N29" s="19" t="n"/>
      <c r="O29" s="19" t="n"/>
      <c r="P29" s="19" t="n"/>
      <c r="Q29" s="19" t="n"/>
      <c r="R29" s="19" t="n"/>
      <c r="S29" s="19" t="n"/>
      <c r="T29" s="19" t="n">
        <v>0.85</v>
      </c>
      <c r="U29" s="19" t="n">
        <v>0.15</v>
      </c>
      <c r="V29" s="19" t="n"/>
      <c r="W29" s="19" t="n"/>
      <c r="X29" s="19" t="n"/>
      <c r="Y29" s="19" t="n"/>
      <c r="Z29" s="13">
        <f>SUMPRODUCT(N29:Y29,$N$2:$Y$2)*$K29*$L29*$M29</f>
        <v/>
      </c>
      <c r="AA29" s="14">
        <f>SUM(N29:Y29)</f>
        <v/>
      </c>
      <c r="AB29" s="13">
        <f>SUMPRODUCT(N29:Y29,$N$3:$Y$3)*$K29*$L29*$M29</f>
        <v/>
      </c>
      <c r="AC29" s="13">
        <f>SUMPRODUCT(N29:Y29,$N$4:$Y$4)*$K29*$L29*$M29</f>
        <v/>
      </c>
      <c r="AD29" s="15" t="n">
        <v>58.66</v>
      </c>
      <c r="AE29" s="11" t="n">
        <v>0.9915300679345624</v>
      </c>
      <c r="AF29" s="16">
        <f>SUMPRODUCT(N29:Y29,$N$5:$Y$5)*$K29*$L29*$M29</f>
        <v/>
      </c>
      <c r="AG29" s="16">
        <f>SUMPRODUCT(N29:Y29,$N$6:$Y$6)*$K29*$L29*$M29</f>
        <v/>
      </c>
      <c r="AH29" s="20" t="n"/>
    </row>
    <row r="30">
      <c r="A30" s="9" t="n">
        <v>656302</v>
      </c>
      <c r="B30" s="9" t="inlineStr">
        <is>
          <t>Dylan Cease</t>
        </is>
      </c>
      <c r="C30" s="9" t="inlineStr">
        <is>
          <t>TOR</t>
        </is>
      </c>
      <c r="D30" s="9" t="n">
        <v>31</v>
      </c>
      <c r="E30" s="18" t="inlineStr">
        <is>
          <t>R</t>
        </is>
      </c>
      <c r="F30" s="18" t="n"/>
      <c r="G30" s="9" t="n">
        <v>685</v>
      </c>
      <c r="H30" s="9" t="n">
        <v>3700</v>
      </c>
      <c r="I30" s="9" t="inlineStr">
        <is>
          <t>Ace (SP1)</t>
        </is>
      </c>
      <c r="J30" s="18" t="inlineStr">
        <is>
          <t>Opening Day</t>
        </is>
      </c>
      <c r="K30" s="11">
        <f>IFERROR(INDEX(Roles!$B$17:$B$20,MATCH(J30,Roles!$A$17:$A$20,0)),1)</f>
        <v/>
      </c>
      <c r="L30" s="19" t="n">
        <v>1</v>
      </c>
      <c r="M30" s="11" t="n">
        <v>1</v>
      </c>
      <c r="N30" s="19" t="n">
        <v>0.5</v>
      </c>
      <c r="O30" s="19" t="n">
        <v>0.5</v>
      </c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3">
        <f>SUMPRODUCT(N30:Y30,$N$2:$Y$2)*$K30*$L30*$M30</f>
        <v/>
      </c>
      <c r="AA30" s="14">
        <f>SUM(N30:Y30)</f>
        <v/>
      </c>
      <c r="AB30" s="13">
        <f>SUMPRODUCT(N30:Y30,$N$3:$Y$3)*$K30*$L30*$M30</f>
        <v/>
      </c>
      <c r="AC30" s="13">
        <f>SUMPRODUCT(N30:Y30,$N$4:$Y$4)*$K30*$L30*$M30</f>
        <v/>
      </c>
      <c r="AD30" s="15" t="n">
        <v>28.6</v>
      </c>
      <c r="AE30" s="11" t="n">
        <v>5.61620082815735</v>
      </c>
      <c r="AF30" s="16">
        <f>SUMPRODUCT(N30:Y30,$N$5:$Y$5)*$K30*$L30*$M30</f>
        <v/>
      </c>
      <c r="AG30" s="16">
        <f>SUMPRODUCT(N30:Y30,$N$6:$Y$6)*$K30*$L30*$M30</f>
        <v/>
      </c>
      <c r="AH30" s="20" t="n"/>
    </row>
    <row r="31">
      <c r="A31" s="9" t="n">
        <v>660271</v>
      </c>
      <c r="B31" s="9" t="inlineStr">
        <is>
          <t>Shohei Ohtani</t>
        </is>
      </c>
      <c r="C31" s="9" t="inlineStr">
        <is>
          <t>LAD</t>
        </is>
      </c>
      <c r="D31" s="9" t="n">
        <v>32</v>
      </c>
      <c r="E31" s="18" t="inlineStr">
        <is>
          <t>R</t>
        </is>
      </c>
      <c r="F31" s="18" t="n"/>
      <c r="G31" s="9" t="n">
        <v>340</v>
      </c>
      <c r="H31" s="9" t="n">
        <v>1719</v>
      </c>
      <c r="I31" s="9" t="inlineStr">
        <is>
          <t>End-of-Rotation Starter (SP4-5)</t>
        </is>
      </c>
      <c r="J31" s="18" t="inlineStr">
        <is>
          <t>Opening Day</t>
        </is>
      </c>
      <c r="K31" s="11">
        <f>IFERROR(INDEX(Roles!$B$17:$B$20,MATCH(J31,Roles!$A$17:$A$20,0)),1)</f>
        <v/>
      </c>
      <c r="L31" s="19" t="n">
        <v>1</v>
      </c>
      <c r="M31" s="11" t="n">
        <v>1</v>
      </c>
      <c r="N31" s="19" t="n"/>
      <c r="O31" s="19" t="n"/>
      <c r="P31" s="19" t="n">
        <v>0.5</v>
      </c>
      <c r="Q31" s="19" t="n"/>
      <c r="R31" s="19" t="n">
        <v>0.5</v>
      </c>
      <c r="S31" s="19" t="n"/>
      <c r="T31" s="19" t="n"/>
      <c r="U31" s="19" t="n"/>
      <c r="V31" s="19" t="n"/>
      <c r="W31" s="19" t="n"/>
      <c r="X31" s="19" t="n"/>
      <c r="Y31" s="19" t="n"/>
      <c r="Z31" s="13">
        <f>SUMPRODUCT(N31:Y31,$N$2:$Y$2)*$K31*$L31*$M31</f>
        <v/>
      </c>
      <c r="AA31" s="14">
        <f>SUM(N31:Y31)</f>
        <v/>
      </c>
      <c r="AB31" s="13">
        <f>SUMPRODUCT(N31:Y31,$N$3:$Y$3)*$K31*$L31*$M31</f>
        <v/>
      </c>
      <c r="AC31" s="13">
        <f>SUMPRODUCT(N31:Y31,$N$4:$Y$4)*$K31*$L31*$M31</f>
        <v/>
      </c>
      <c r="AD31" s="15" t="n">
        <v>14.8</v>
      </c>
      <c r="AE31" s="11" t="n">
        <v>4.708465608465608</v>
      </c>
      <c r="AF31" s="16">
        <f>SUMPRODUCT(N31:Y31,$N$5:$Y$5)*$K31*$L31*$M31</f>
        <v/>
      </c>
      <c r="AG31" s="16">
        <f>SUMPRODUCT(N31:Y31,$N$6:$Y$6)*$K31*$L31*$M31</f>
        <v/>
      </c>
      <c r="AH31" s="20" t="n"/>
    </row>
    <row r="32">
      <c r="A32" s="9" t="n">
        <v>594798</v>
      </c>
      <c r="B32" s="9" t="inlineStr">
        <is>
          <t>Jacob deGrom</t>
        </is>
      </c>
      <c r="C32" s="9" t="inlineStr">
        <is>
          <t>TEX</t>
        </is>
      </c>
      <c r="D32" s="9" t="n">
        <v>39</v>
      </c>
      <c r="E32" s="18" t="inlineStr">
        <is>
          <t>R</t>
        </is>
      </c>
      <c r="F32" s="18" t="n"/>
      <c r="G32" s="9" t="n">
        <v>668</v>
      </c>
      <c r="H32" s="9" t="n">
        <v>1735</v>
      </c>
      <c r="I32" s="9" t="inlineStr">
        <is>
          <t>Ace (SP1)</t>
        </is>
      </c>
      <c r="J32" s="18" t="inlineStr">
        <is>
          <t>Opening Day</t>
        </is>
      </c>
      <c r="K32" s="11">
        <f>IFERROR(INDEX(Roles!$B$17:$B$20,MATCH(J32,Roles!$A$17:$A$20,0)),1)</f>
        <v/>
      </c>
      <c r="L32" s="19" t="n">
        <v>1</v>
      </c>
      <c r="M32" s="11" t="n">
        <v>1</v>
      </c>
      <c r="N32" s="19" t="n">
        <v>0.5</v>
      </c>
      <c r="O32" s="19" t="n">
        <v>0.5</v>
      </c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3">
        <f>SUMPRODUCT(N32:Y32,$N$2:$Y$2)*$K32*$L32*$M32</f>
        <v/>
      </c>
      <c r="AA32" s="14">
        <f>SUM(N32:Y32)</f>
        <v/>
      </c>
      <c r="AB32" s="13">
        <f>SUMPRODUCT(N32:Y32,$N$3:$Y$3)*$K32*$L32*$M32</f>
        <v/>
      </c>
      <c r="AC32" s="13">
        <f>SUMPRODUCT(N32:Y32,$N$4:$Y$4)*$K32*$L32*$M32</f>
        <v/>
      </c>
      <c r="AD32" s="15" t="n">
        <v>25.8</v>
      </c>
      <c r="AE32" s="11" t="n">
        <v>5.549450549450549</v>
      </c>
      <c r="AF32" s="16">
        <f>SUMPRODUCT(N32:Y32,$N$5:$Y$5)*$K32*$L32*$M32</f>
        <v/>
      </c>
      <c r="AG32" s="16">
        <f>SUMPRODUCT(N32:Y32,$N$6:$Y$6)*$K32*$L32*$M32</f>
        <v/>
      </c>
      <c r="AH32" s="20" t="n"/>
    </row>
    <row r="33">
      <c r="A33" s="9" t="n">
        <v>669373</v>
      </c>
      <c r="B33" s="9" t="inlineStr">
        <is>
          <t>Tarik Skubal</t>
        </is>
      </c>
      <c r="C33" s="9" t="inlineStr">
        <is>
          <t>LAD</t>
        </is>
      </c>
      <c r="D33" s="9" t="n">
        <v>30</v>
      </c>
      <c r="E33" s="18" t="inlineStr">
        <is>
          <t>L</t>
        </is>
      </c>
      <c r="F33" s="18" t="n"/>
      <c r="G33" s="9" t="n">
        <v>620</v>
      </c>
      <c r="H33" s="9" t="n">
        <v>2908</v>
      </c>
      <c r="I33" s="9" t="inlineStr">
        <is>
          <t>Ace (SP1)</t>
        </is>
      </c>
      <c r="J33" s="18" t="inlineStr">
        <is>
          <t>Opening Day</t>
        </is>
      </c>
      <c r="K33" s="11">
        <f>IFERROR(INDEX(Roles!$B$17:$B$20,MATCH(J33,Roles!$A$17:$A$20,0)),1)</f>
        <v/>
      </c>
      <c r="L33" s="19" t="n">
        <v>1</v>
      </c>
      <c r="M33" s="11" t="n">
        <v>1</v>
      </c>
      <c r="N33" s="19" t="n">
        <v>0.5</v>
      </c>
      <c r="O33" s="19" t="n">
        <v>0.5</v>
      </c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3">
        <f>SUMPRODUCT(N33:Y33,$N$2:$Y$2)*$K33*$L33*$M33</f>
        <v/>
      </c>
      <c r="AA33" s="14">
        <f>SUM(N33:Y33)</f>
        <v/>
      </c>
      <c r="AB33" s="13">
        <f>SUMPRODUCT(N33:Y33,$N$3:$Y$3)*$K33*$L33*$M33</f>
        <v/>
      </c>
      <c r="AC33" s="13">
        <f>SUMPRODUCT(N33:Y33,$N$4:$Y$4)*$K33*$L33*$M33</f>
        <v/>
      </c>
      <c r="AD33" s="15" t="n">
        <v>27.3</v>
      </c>
      <c r="AE33" s="11" t="n">
        <v>5.809709458832265</v>
      </c>
      <c r="AF33" s="16">
        <f>SUMPRODUCT(N33:Y33,$N$5:$Y$5)*$K33*$L33*$M33</f>
        <v/>
      </c>
      <c r="AG33" s="16">
        <f>SUMPRODUCT(N33:Y33,$N$6:$Y$6)*$K33*$L33*$M33</f>
        <v/>
      </c>
      <c r="AH33" s="20" t="n"/>
    </row>
    <row r="34">
      <c r="A34" s="9" t="n">
        <v>691799</v>
      </c>
      <c r="B34" s="9" t="inlineStr">
        <is>
          <t>Grant Taylor</t>
        </is>
      </c>
      <c r="C34" s="9" t="inlineStr">
        <is>
          <t>CWS</t>
        </is>
      </c>
      <c r="D34" s="9" t="n">
        <v>25</v>
      </c>
      <c r="E34" s="18" t="inlineStr">
        <is>
          <t>R</t>
        </is>
      </c>
      <c r="F34" s="18" t="n"/>
      <c r="G34" s="9" t="n">
        <v>336</v>
      </c>
      <c r="H34" s="9" t="n">
        <v>493</v>
      </c>
      <c r="I34" s="9" t="inlineStr">
        <is>
          <t>Closer</t>
        </is>
      </c>
      <c r="J34" s="18" t="inlineStr">
        <is>
          <t>Opening Day</t>
        </is>
      </c>
      <c r="K34" s="11">
        <f>IFERROR(INDEX(Roles!$B$17:$B$20,MATCH(J34,Roles!$A$17:$A$20,0)),1)</f>
        <v/>
      </c>
      <c r="L34" s="19" t="n">
        <v>1</v>
      </c>
      <c r="M34" s="11" t="n">
        <v>1</v>
      </c>
      <c r="N34" s="19" t="n"/>
      <c r="O34" s="19" t="n"/>
      <c r="P34" s="19" t="n"/>
      <c r="Q34" s="19" t="n"/>
      <c r="R34" s="19" t="n"/>
      <c r="S34" s="19" t="n"/>
      <c r="T34" s="19" t="n">
        <v>0.85</v>
      </c>
      <c r="U34" s="19" t="n">
        <v>0.15</v>
      </c>
      <c r="V34" s="19" t="n"/>
      <c r="W34" s="19" t="n"/>
      <c r="X34" s="19" t="n"/>
      <c r="Y34" s="19" t="n"/>
      <c r="Z34" s="13">
        <f>SUMPRODUCT(N34:Y34,$N$2:$Y$2)*$K34*$L34*$M34</f>
        <v/>
      </c>
      <c r="AA34" s="14">
        <f>SUM(N34:Y34)</f>
        <v/>
      </c>
      <c r="AB34" s="13">
        <f>SUMPRODUCT(N34:Y34,$N$3:$Y$3)*$K34*$L34*$M34</f>
        <v/>
      </c>
      <c r="AC34" s="13">
        <f>SUMPRODUCT(N34:Y34,$N$4:$Y$4)*$K34*$L34*$M34</f>
        <v/>
      </c>
      <c r="AD34" s="15" t="n">
        <v>50.4</v>
      </c>
      <c r="AE34" s="11" t="n">
        <v>1.099498642569804</v>
      </c>
      <c r="AF34" s="16">
        <f>SUMPRODUCT(N34:Y34,$N$5:$Y$5)*$K34*$L34*$M34</f>
        <v/>
      </c>
      <c r="AG34" s="16">
        <f>SUMPRODUCT(N34:Y34,$N$6:$Y$6)*$K34*$L34*$M34</f>
        <v/>
      </c>
      <c r="AH34" s="20" t="n"/>
    </row>
    <row r="35">
      <c r="A35" s="9" t="n">
        <v>693645</v>
      </c>
      <c r="B35" s="9" t="inlineStr">
        <is>
          <t>Cam Schlittler</t>
        </is>
      </c>
      <c r="C35" s="9" t="inlineStr">
        <is>
          <t>NYY</t>
        </is>
      </c>
      <c r="D35" s="9" t="n">
        <v>26</v>
      </c>
      <c r="E35" s="18" t="inlineStr">
        <is>
          <t>R</t>
        </is>
      </c>
      <c r="F35" s="18" t="n"/>
      <c r="G35" s="9" t="n">
        <v>761</v>
      </c>
      <c r="H35" s="9" t="n">
        <v>1065</v>
      </c>
      <c r="I35" s="9" t="inlineStr">
        <is>
          <t>Ace (SP1)</t>
        </is>
      </c>
      <c r="J35" s="18" t="inlineStr">
        <is>
          <t>Opening Day</t>
        </is>
      </c>
      <c r="K35" s="11">
        <f>IFERROR(INDEX(Roles!$B$17:$B$20,MATCH(J35,Roles!$A$17:$A$20,0)),1)</f>
        <v/>
      </c>
      <c r="L35" s="19" t="n">
        <v>1</v>
      </c>
      <c r="M35" s="11" t="n">
        <v>1</v>
      </c>
      <c r="N35" s="19" t="n">
        <v>0.5</v>
      </c>
      <c r="O35" s="19" t="n">
        <v>0.5</v>
      </c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3">
        <f>SUMPRODUCT(N35:Y35,$N$2:$Y$2)*$K35*$L35*$M35</f>
        <v/>
      </c>
      <c r="AA35" s="14">
        <f>SUM(N35:Y35)</f>
        <v/>
      </c>
      <c r="AB35" s="13">
        <f>SUMPRODUCT(N35:Y35,$N$3:$Y$3)*$K35*$L35*$M35</f>
        <v/>
      </c>
      <c r="AC35" s="13">
        <f>SUMPRODUCT(N35:Y35,$N$4:$Y$4)*$K35*$L35*$M35</f>
        <v/>
      </c>
      <c r="AD35" s="15" t="n">
        <v>25.44</v>
      </c>
      <c r="AE35" s="11" t="n">
        <v>5.654168228971377</v>
      </c>
      <c r="AF35" s="16">
        <f>SUMPRODUCT(N35:Y35,$N$5:$Y$5)*$K35*$L35*$M35</f>
        <v/>
      </c>
      <c r="AG35" s="16">
        <f>SUMPRODUCT(N35:Y35,$N$6:$Y$6)*$K35*$L35*$M35</f>
        <v/>
      </c>
      <c r="AH35" s="20" t="n"/>
    </row>
    <row r="36">
      <c r="A36" s="9" t="n">
        <v>664854</v>
      </c>
      <c r="B36" s="9" t="inlineStr">
        <is>
          <t>Ryan Helsley</t>
        </is>
      </c>
      <c r="C36" s="9" t="inlineStr">
        <is>
          <t>BAL</t>
        </is>
      </c>
      <c r="D36" s="9" t="n">
        <v>32</v>
      </c>
      <c r="E36" s="18" t="inlineStr">
        <is>
          <t>R</t>
        </is>
      </c>
      <c r="F36" s="18" t="n"/>
      <c r="G36" s="9" t="n">
        <v>68</v>
      </c>
      <c r="H36" s="9" t="n">
        <v>971</v>
      </c>
      <c r="I36" s="9" t="inlineStr">
        <is>
          <t>Closer</t>
        </is>
      </c>
      <c r="J36" s="18" t="inlineStr">
        <is>
          <t>Opening Day</t>
        </is>
      </c>
      <c r="K36" s="11">
        <f>IFERROR(INDEX(Roles!$B$17:$B$20,MATCH(J36,Roles!$A$17:$A$20,0)),1)</f>
        <v/>
      </c>
      <c r="L36" s="19" t="n">
        <v>1</v>
      </c>
      <c r="M36" s="11" t="n">
        <v>1</v>
      </c>
      <c r="N36" s="19" t="n"/>
      <c r="O36" s="19" t="n"/>
      <c r="P36" s="19" t="n"/>
      <c r="Q36" s="19" t="n"/>
      <c r="R36" s="19" t="n"/>
      <c r="S36" s="19" t="n"/>
      <c r="T36" s="19" t="n">
        <v>0.5</v>
      </c>
      <c r="U36" s="19" t="n">
        <v>0.5</v>
      </c>
      <c r="V36" s="19" t="n"/>
      <c r="W36" s="19" t="n"/>
      <c r="X36" s="19" t="n"/>
      <c r="Y36" s="19" t="n"/>
      <c r="Z36" s="13">
        <f>SUMPRODUCT(N36:Y36,$N$2:$Y$2)*$K36*$L36*$M36</f>
        <v/>
      </c>
      <c r="AA36" s="14">
        <f>SUM(N36:Y36)</f>
        <v/>
      </c>
      <c r="AB36" s="13">
        <f>SUMPRODUCT(N36:Y36,$N$3:$Y$3)*$K36*$L36*$M36</f>
        <v/>
      </c>
      <c r="AC36" s="13">
        <f>SUMPRODUCT(N36:Y36,$N$4:$Y$4)*$K36*$L36*$M36</f>
        <v/>
      </c>
      <c r="AD36" s="15" t="n">
        <v>43.36</v>
      </c>
      <c r="AE36" s="11" t="n">
        <v>0.9914815532308752</v>
      </c>
      <c r="AF36" s="16">
        <f>SUMPRODUCT(N36:Y36,$N$5:$Y$5)*$K36*$L36*$M36</f>
        <v/>
      </c>
      <c r="AG36" s="16">
        <f>SUMPRODUCT(N36:Y36,$N$6:$Y$6)*$K36*$L36*$M36</f>
        <v/>
      </c>
      <c r="AH36" s="20" t="n"/>
    </row>
    <row r="37">
      <c r="A37" s="9" t="n">
        <v>695505</v>
      </c>
      <c r="B37" s="9" t="inlineStr">
        <is>
          <t>Chase Burns</t>
        </is>
      </c>
      <c r="C37" s="9" t="inlineStr">
        <is>
          <t>CIN</t>
        </is>
      </c>
      <c r="D37" s="9" t="n">
        <v>24</v>
      </c>
      <c r="E37" s="18" t="inlineStr">
        <is>
          <t>R</t>
        </is>
      </c>
      <c r="F37" s="18" t="n"/>
      <c r="G37" s="9" t="n">
        <v>630</v>
      </c>
      <c r="H37" s="9" t="n">
        <v>818</v>
      </c>
      <c r="I37" s="9" t="inlineStr">
        <is>
          <t>Swing Arm / Long Relief</t>
        </is>
      </c>
      <c r="J37" s="18" t="inlineStr">
        <is>
          <t>Opening Day</t>
        </is>
      </c>
      <c r="K37" s="11">
        <f>IFERROR(INDEX(Roles!$B$17:$B$20,MATCH(J37,Roles!$A$17:$A$20,0)),1)</f>
        <v/>
      </c>
      <c r="L37" s="19" t="n">
        <v>1</v>
      </c>
      <c r="M37" s="11" t="n">
        <v>1</v>
      </c>
      <c r="N37" s="19" t="n"/>
      <c r="O37" s="19" t="n"/>
      <c r="P37" s="19" t="n"/>
      <c r="Q37" s="19" t="n"/>
      <c r="R37" s="19" t="n">
        <v>0.5</v>
      </c>
      <c r="S37" s="19" t="n"/>
      <c r="T37" s="19" t="n"/>
      <c r="U37" s="19" t="n"/>
      <c r="V37" s="19" t="n">
        <v>0.5</v>
      </c>
      <c r="W37" s="19" t="n"/>
      <c r="X37" s="19" t="n"/>
      <c r="Y37" s="19" t="n"/>
      <c r="Z37" s="13">
        <f>SUMPRODUCT(N37:Y37,$N$2:$Y$2)*$K37*$L37*$M37</f>
        <v/>
      </c>
      <c r="AA37" s="14">
        <f>SUM(N37:Y37)</f>
        <v/>
      </c>
      <c r="AB37" s="13">
        <f>SUMPRODUCT(N37:Y37,$N$3:$Y$3)*$K37*$L37*$M37</f>
        <v/>
      </c>
      <c r="AC37" s="13">
        <f>SUMPRODUCT(N37:Y37,$N$4:$Y$4)*$K37*$L37*$M37</f>
        <v/>
      </c>
      <c r="AD37" s="15" t="n">
        <v>21.69333333333333</v>
      </c>
      <c r="AE37" s="11" t="n">
        <v>3.289923755178362</v>
      </c>
      <c r="AF37" s="16">
        <f>SUMPRODUCT(N37:Y37,$N$5:$Y$5)*$K37*$L37*$M37</f>
        <v/>
      </c>
      <c r="AG37" s="16">
        <f>SUMPRODUCT(N37:Y37,$N$6:$Y$6)*$K37*$L37*$M37</f>
        <v/>
      </c>
      <c r="AH37" s="20" t="n"/>
    </row>
    <row r="38">
      <c r="A38" s="9" t="n">
        <v>656945</v>
      </c>
      <c r="B38" s="9" t="inlineStr">
        <is>
          <t>Tanner Scott</t>
        </is>
      </c>
      <c r="C38" s="9" t="inlineStr">
        <is>
          <t>LAD</t>
        </is>
      </c>
      <c r="D38" s="9" t="n">
        <v>32</v>
      </c>
      <c r="E38" s="18" t="inlineStr">
        <is>
          <t>L</t>
        </is>
      </c>
      <c r="F38" s="18" t="n"/>
      <c r="G38" s="9" t="n">
        <v>251</v>
      </c>
      <c r="H38" s="9" t="n">
        <v>1379</v>
      </c>
      <c r="I38" s="9" t="inlineStr">
        <is>
          <t>Closer</t>
        </is>
      </c>
      <c r="J38" s="18" t="inlineStr">
        <is>
          <t>Opening Day</t>
        </is>
      </c>
      <c r="K38" s="11">
        <f>IFERROR(INDEX(Roles!$B$17:$B$20,MATCH(J38,Roles!$A$17:$A$20,0)),1)</f>
        <v/>
      </c>
      <c r="L38" s="19" t="n">
        <v>1</v>
      </c>
      <c r="M38" s="11" t="n">
        <v>1</v>
      </c>
      <c r="N38" s="19" t="n"/>
      <c r="O38" s="19" t="n"/>
      <c r="P38" s="19" t="n"/>
      <c r="Q38" s="19" t="n"/>
      <c r="R38" s="19" t="n"/>
      <c r="S38" s="19" t="n"/>
      <c r="T38" s="19" t="n">
        <v>0.85</v>
      </c>
      <c r="U38" s="19" t="n">
        <v>0.15</v>
      </c>
      <c r="V38" s="19" t="n"/>
      <c r="W38" s="19" t="n"/>
      <c r="X38" s="19" t="n"/>
      <c r="Y38" s="19" t="n"/>
      <c r="Z38" s="13">
        <f>SUMPRODUCT(N38:Y38,$N$2:$Y$2)*$K38*$L38*$M38</f>
        <v/>
      </c>
      <c r="AA38" s="14">
        <f>SUM(N38:Y38)</f>
        <v/>
      </c>
      <c r="AB38" s="13">
        <f>SUMPRODUCT(N38:Y38,$N$3:$Y$3)*$K38*$L38*$M38</f>
        <v/>
      </c>
      <c r="AC38" s="13">
        <f>SUMPRODUCT(N38:Y38,$N$4:$Y$4)*$K38*$L38*$M38</f>
        <v/>
      </c>
      <c r="AD38" s="15" t="n">
        <v>60.26000000000001</v>
      </c>
      <c r="AE38" s="11" t="n">
        <v>0.982546754213094</v>
      </c>
      <c r="AF38" s="16">
        <f>SUMPRODUCT(N38:Y38,$N$5:$Y$5)*$K38*$L38*$M38</f>
        <v/>
      </c>
      <c r="AG38" s="16">
        <f>SUMPRODUCT(N38:Y38,$N$6:$Y$6)*$K38*$L38*$M38</f>
        <v/>
      </c>
      <c r="AH38" s="20" t="n"/>
    </row>
    <row r="39">
      <c r="A39" s="9" t="n">
        <v>670955</v>
      </c>
      <c r="B39" s="9" t="inlineStr">
        <is>
          <t>Edwin Uceta</t>
        </is>
      </c>
      <c r="C39" s="9" t="inlineStr">
        <is>
          <t>TB</t>
        </is>
      </c>
      <c r="D39" s="9" t="n">
        <v>29</v>
      </c>
      <c r="E39" s="18" t="inlineStr">
        <is>
          <t>R</t>
        </is>
      </c>
      <c r="F39" s="18" t="n"/>
      <c r="G39" s="9" t="n">
        <v>321</v>
      </c>
      <c r="H39" s="9" t="n">
        <v>564</v>
      </c>
      <c r="I39" s="9" t="inlineStr">
        <is>
          <t>Bullpen Depth Arm</t>
        </is>
      </c>
      <c r="J39" s="18" t="inlineStr">
        <is>
          <t>Opening Day</t>
        </is>
      </c>
      <c r="K39" s="11">
        <f>IFERROR(INDEX(Roles!$B$17:$B$20,MATCH(J39,Roles!$A$17:$A$20,0)),1)</f>
        <v/>
      </c>
      <c r="L39" s="19" t="n">
        <v>1</v>
      </c>
      <c r="M39" s="11" t="n">
        <v>1</v>
      </c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>
        <v>0.15</v>
      </c>
      <c r="W39" s="19" t="n">
        <v>0.85</v>
      </c>
      <c r="X39" s="19" t="n"/>
      <c r="Y39" s="19" t="n"/>
      <c r="Z39" s="13">
        <f>SUMPRODUCT(N39:Y39,$N$2:$Y$2)*$K39*$L39*$M39</f>
        <v/>
      </c>
      <c r="AA39" s="14">
        <f>SUM(N39:Y39)</f>
        <v/>
      </c>
      <c r="AB39" s="13">
        <f>SUMPRODUCT(N39:Y39,$N$3:$Y$3)*$K39*$L39*$M39</f>
        <v/>
      </c>
      <c r="AC39" s="13">
        <f>SUMPRODUCT(N39:Y39,$N$4:$Y$4)*$K39*$L39*$M39</f>
        <v/>
      </c>
      <c r="AD39" s="15" t="n">
        <v>39.66666666666667</v>
      </c>
      <c r="AE39" s="11" t="n">
        <v>1.181245696931971</v>
      </c>
      <c r="AF39" s="16">
        <f>SUMPRODUCT(N39:Y39,$N$5:$Y$5)*$K39*$L39*$M39</f>
        <v/>
      </c>
      <c r="AG39" s="16">
        <f>SUMPRODUCT(N39:Y39,$N$6:$Y$6)*$K39*$L39*$M39</f>
        <v/>
      </c>
      <c r="AH39" s="20" t="n"/>
    </row>
    <row r="40">
      <c r="A40" s="9" t="n">
        <v>694973</v>
      </c>
      <c r="B40" s="9" t="inlineStr">
        <is>
          <t>Paul Skenes</t>
        </is>
      </c>
      <c r="C40" s="9" t="inlineStr">
        <is>
          <t>PIT</t>
        </is>
      </c>
      <c r="D40" s="9" t="n">
        <v>25</v>
      </c>
      <c r="E40" s="18" t="inlineStr">
        <is>
          <t>R</t>
        </is>
      </c>
      <c r="F40" s="18" t="n"/>
      <c r="G40" s="9" t="n">
        <v>712</v>
      </c>
      <c r="H40" s="9" t="n">
        <v>1959</v>
      </c>
      <c r="I40" s="9" t="inlineStr">
        <is>
          <t>Ace (SP1)</t>
        </is>
      </c>
      <c r="J40" s="18" t="inlineStr">
        <is>
          <t>Opening Day</t>
        </is>
      </c>
      <c r="K40" s="11">
        <f>IFERROR(INDEX(Roles!$B$17:$B$20,MATCH(J40,Roles!$A$17:$A$20,0)),1)</f>
        <v/>
      </c>
      <c r="L40" s="19" t="n">
        <v>1</v>
      </c>
      <c r="M40" s="11" t="n">
        <v>1</v>
      </c>
      <c r="N40" s="19" t="n">
        <v>0.5</v>
      </c>
      <c r="O40" s="19" t="n">
        <v>0.5</v>
      </c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3">
        <f>SUMPRODUCT(N40:Y40,$N$2:$Y$2)*$K40*$L40*$M40</f>
        <v/>
      </c>
      <c r="AA40" s="14">
        <f>SUM(N40:Y40)</f>
        <v/>
      </c>
      <c r="AB40" s="13">
        <f>SUMPRODUCT(N40:Y40,$N$3:$Y$3)*$K40*$L40*$M40</f>
        <v/>
      </c>
      <c r="AC40" s="13">
        <f>SUMPRODUCT(N40:Y40,$N$4:$Y$4)*$K40*$L40*$M40</f>
        <v/>
      </c>
      <c r="AD40" s="15" t="n">
        <v>28.5</v>
      </c>
      <c r="AE40" s="11" t="n">
        <v>5.624598837713591</v>
      </c>
      <c r="AF40" s="16">
        <f>SUMPRODUCT(N40:Y40,$N$5:$Y$5)*$K40*$L40*$M40</f>
        <v/>
      </c>
      <c r="AG40" s="16">
        <f>SUMPRODUCT(N40:Y40,$N$6:$Y$6)*$K40*$L40*$M40</f>
        <v/>
      </c>
      <c r="AH40" s="20" t="n"/>
    </row>
    <row r="41">
      <c r="A41" s="9" t="n">
        <v>489446</v>
      </c>
      <c r="B41" s="9" t="inlineStr">
        <is>
          <t>Kirby Yates</t>
        </is>
      </c>
      <c r="C41" s="9" t="inlineStr">
        <is>
          <t>PIT</t>
        </is>
      </c>
      <c r="D41" s="9" t="n">
        <v>40</v>
      </c>
      <c r="E41" s="18" t="inlineStr">
        <is>
          <t>R</t>
        </is>
      </c>
      <c r="F41" s="18" t="n"/>
      <c r="G41" s="9" t="n">
        <v>178</v>
      </c>
      <c r="H41" s="9" t="n">
        <v>880</v>
      </c>
      <c r="I41" s="9" t="inlineStr">
        <is>
          <t>Late Inning RP (Setup)</t>
        </is>
      </c>
      <c r="J41" s="18" t="inlineStr">
        <is>
          <t>Opening Day</t>
        </is>
      </c>
      <c r="K41" s="11">
        <f>IFERROR(INDEX(Roles!$B$17:$B$20,MATCH(J41,Roles!$A$17:$A$20,0)),1)</f>
        <v/>
      </c>
      <c r="L41" s="19" t="n">
        <v>1</v>
      </c>
      <c r="M41" s="11" t="n">
        <v>1</v>
      </c>
      <c r="N41" s="19" t="n"/>
      <c r="O41" s="19" t="n"/>
      <c r="P41" s="19" t="n"/>
      <c r="Q41" s="19" t="n"/>
      <c r="R41" s="19" t="n"/>
      <c r="S41" s="19" t="n"/>
      <c r="T41" s="19" t="n"/>
      <c r="U41" s="19" t="n">
        <v>0.85</v>
      </c>
      <c r="V41" s="19" t="n">
        <v>0.15</v>
      </c>
      <c r="W41" s="19" t="n"/>
      <c r="X41" s="19" t="n"/>
      <c r="Y41" s="19" t="n"/>
      <c r="Z41" s="13">
        <f>SUMPRODUCT(N41:Y41,$N$2:$Y$2)*$K41*$L41*$M41</f>
        <v/>
      </c>
      <c r="AA41" s="14">
        <f>SUM(N41:Y41)</f>
        <v/>
      </c>
      <c r="AB41" s="13">
        <f>SUMPRODUCT(N41:Y41,$N$3:$Y$3)*$K41*$L41*$M41</f>
        <v/>
      </c>
      <c r="AC41" s="13">
        <f>SUMPRODUCT(N41:Y41,$N$4:$Y$4)*$K41*$L41*$M41</f>
        <v/>
      </c>
      <c r="AD41" s="15" t="n">
        <v>49.1</v>
      </c>
      <c r="AE41" s="11" t="n">
        <v>0.9622120029728723</v>
      </c>
      <c r="AF41" s="16">
        <f>SUMPRODUCT(N41:Y41,$N$5:$Y$5)*$K41*$L41*$M41</f>
        <v/>
      </c>
      <c r="AG41" s="16">
        <f>SUMPRODUCT(N41:Y41,$N$6:$Y$6)*$K41*$L41*$M41</f>
        <v/>
      </c>
      <c r="AH41" s="20" t="n"/>
    </row>
    <row r="42">
      <c r="A42" s="9" t="n">
        <v>502085</v>
      </c>
      <c r="B42" s="9" t="inlineStr">
        <is>
          <t>David Robertson</t>
        </is>
      </c>
      <c r="C42" s="9" t="inlineStr">
        <is>
          <t>PHI</t>
        </is>
      </c>
      <c r="D42" s="9" t="n">
        <v>42</v>
      </c>
      <c r="E42" s="18" t="inlineStr">
        <is>
          <t>R</t>
        </is>
      </c>
      <c r="F42" s="18" t="n"/>
      <c r="G42" s="9" t="n">
        <v>78</v>
      </c>
      <c r="H42" s="9" t="n">
        <v>907</v>
      </c>
      <c r="I42" s="9" t="inlineStr">
        <is>
          <t>Bullpen Depth Arm</t>
        </is>
      </c>
      <c r="J42" s="18" t="inlineStr">
        <is>
          <t>Opening Day</t>
        </is>
      </c>
      <c r="K42" s="11">
        <f>IFERROR(INDEX(Roles!$B$17:$B$20,MATCH(J42,Roles!$A$17:$A$20,0)),1)</f>
        <v/>
      </c>
      <c r="L42" s="19" t="n">
        <v>1</v>
      </c>
      <c r="M42" s="11" t="n">
        <v>1</v>
      </c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>
        <v>1</v>
      </c>
      <c r="X42" s="19" t="n"/>
      <c r="Y42" s="19" t="n"/>
      <c r="Z42" s="13">
        <f>SUMPRODUCT(N42:Y42,$N$2:$Y$2)*$K42*$L42*$M42</f>
        <v/>
      </c>
      <c r="AA42" s="14">
        <f>SUM(N42:Y42)</f>
        <v/>
      </c>
      <c r="AB42" s="13">
        <f>SUMPRODUCT(N42:Y42,$N$3:$Y$3)*$K42*$L42*$M42</f>
        <v/>
      </c>
      <c r="AC42" s="13">
        <f>SUMPRODUCT(N42:Y42,$N$4:$Y$4)*$K42*$L42*$M42</f>
        <v/>
      </c>
      <c r="AD42" s="15" t="n">
        <v>27.26666666666667</v>
      </c>
      <c r="AE42" s="11" t="n">
        <v>1.132782855005077</v>
      </c>
      <c r="AF42" s="16">
        <f>SUMPRODUCT(N42:Y42,$N$5:$Y$5)*$K42*$L42*$M42</f>
        <v/>
      </c>
      <c r="AG42" s="16">
        <f>SUMPRODUCT(N42:Y42,$N$6:$Y$6)*$K42*$L42*$M42</f>
        <v/>
      </c>
      <c r="AH42" s="20" t="n"/>
    </row>
    <row r="43">
      <c r="A43" s="9" t="n">
        <v>668881</v>
      </c>
      <c r="B43" s="9" t="inlineStr">
        <is>
          <t>Hunter Greene</t>
        </is>
      </c>
      <c r="C43" s="9" t="inlineStr">
        <is>
          <t>CIN</t>
        </is>
      </c>
      <c r="D43" s="9" t="n">
        <v>27</v>
      </c>
      <c r="E43" s="18" t="inlineStr">
        <is>
          <t>R</t>
        </is>
      </c>
      <c r="F43" s="18" t="n"/>
      <c r="G43" s="9" t="n">
        <v>121</v>
      </c>
      <c r="H43" s="9" t="n">
        <v>2181</v>
      </c>
      <c r="I43" s="9" t="inlineStr">
        <is>
          <t>Swing Arm / Long Relief</t>
        </is>
      </c>
      <c r="J43" s="18" t="inlineStr">
        <is>
          <t>Opening Day</t>
        </is>
      </c>
      <c r="K43" s="11">
        <f>IFERROR(INDEX(Roles!$B$17:$B$20,MATCH(J43,Roles!$A$17:$A$20,0)),1)</f>
        <v/>
      </c>
      <c r="L43" s="19" t="n">
        <v>1</v>
      </c>
      <c r="M43" s="11" t="n">
        <v>1</v>
      </c>
      <c r="N43" s="19" t="n"/>
      <c r="O43" s="19" t="n"/>
      <c r="P43" s="19" t="n"/>
      <c r="Q43" s="19" t="n"/>
      <c r="R43" s="19" t="n">
        <v>0.5</v>
      </c>
      <c r="S43" s="19" t="n"/>
      <c r="T43" s="19" t="n"/>
      <c r="U43" s="19" t="n"/>
      <c r="V43" s="19" t="n">
        <v>0.5</v>
      </c>
      <c r="W43" s="19" t="n"/>
      <c r="X43" s="19" t="n"/>
      <c r="Y43" s="19" t="n"/>
      <c r="Z43" s="13">
        <f>SUMPRODUCT(N43:Y43,$N$2:$Y$2)*$K43*$L43*$M43</f>
        <v/>
      </c>
      <c r="AA43" s="14">
        <f>SUM(N43:Y43)</f>
        <v/>
      </c>
      <c r="AB43" s="13">
        <f>SUMPRODUCT(N43:Y43,$N$3:$Y$3)*$K43*$L43*$M43</f>
        <v/>
      </c>
      <c r="AC43" s="13">
        <f>SUMPRODUCT(N43:Y43,$N$4:$Y$4)*$K43*$L43*$M43</f>
        <v/>
      </c>
      <c r="AD43" s="15" t="n">
        <v>16.03333333333333</v>
      </c>
      <c r="AE43" s="11" t="n">
        <v>3.561596458463029</v>
      </c>
      <c r="AF43" s="16">
        <f>SUMPRODUCT(N43:Y43,$N$5:$Y$5)*$K43*$L43*$M43</f>
        <v/>
      </c>
      <c r="AG43" s="16">
        <f>SUMPRODUCT(N43:Y43,$N$6:$Y$6)*$K43*$L43*$M43</f>
        <v/>
      </c>
      <c r="AH43" s="20" t="n"/>
    </row>
    <row r="44">
      <c r="A44" s="9" t="n">
        <v>666142</v>
      </c>
      <c r="B44" s="9" t="inlineStr">
        <is>
          <t>Cole Ragans</t>
        </is>
      </c>
      <c r="C44" s="9" t="inlineStr">
        <is>
          <t>KC</t>
        </is>
      </c>
      <c r="D44" s="9" t="n">
        <v>29</v>
      </c>
      <c r="E44" s="18" t="inlineStr">
        <is>
          <t>L</t>
        </is>
      </c>
      <c r="F44" s="18" t="n"/>
      <c r="G44" s="9" t="n">
        <v>151</v>
      </c>
      <c r="H44" s="9" t="n">
        <v>1736</v>
      </c>
      <c r="I44" s="9" t="inlineStr">
        <is>
          <t>Swing Arm / Long Relief</t>
        </is>
      </c>
      <c r="J44" s="18" t="inlineStr">
        <is>
          <t>Opening Day</t>
        </is>
      </c>
      <c r="K44" s="11">
        <f>IFERROR(INDEX(Roles!$B$17:$B$20,MATCH(J44,Roles!$A$17:$A$20,0)),1)</f>
        <v/>
      </c>
      <c r="L44" s="19" t="n">
        <v>1</v>
      </c>
      <c r="M44" s="11" t="n">
        <v>1</v>
      </c>
      <c r="N44" s="19" t="n"/>
      <c r="O44" s="19" t="n"/>
      <c r="P44" s="19" t="n"/>
      <c r="Q44" s="19" t="n"/>
      <c r="R44" s="19" t="n">
        <v>0.5</v>
      </c>
      <c r="S44" s="19" t="n"/>
      <c r="T44" s="19" t="n"/>
      <c r="U44" s="19" t="n"/>
      <c r="V44" s="19" t="n">
        <v>0.5</v>
      </c>
      <c r="W44" s="19" t="n"/>
      <c r="X44" s="19" t="n"/>
      <c r="Y44" s="19" t="n"/>
      <c r="Z44" s="13">
        <f>SUMPRODUCT(N44:Y44,$N$2:$Y$2)*$K44*$L44*$M44</f>
        <v/>
      </c>
      <c r="AA44" s="14">
        <f>SUM(N44:Y44)</f>
        <v/>
      </c>
      <c r="AB44" s="13">
        <f>SUMPRODUCT(N44:Y44,$N$3:$Y$3)*$K44*$L44*$M44</f>
        <v/>
      </c>
      <c r="AC44" s="13">
        <f>SUMPRODUCT(N44:Y44,$N$4:$Y$4)*$K44*$L44*$M44</f>
        <v/>
      </c>
      <c r="AD44" s="15" t="n">
        <v>16.33333333333333</v>
      </c>
      <c r="AE44" s="11" t="n">
        <v>3.358190057310409</v>
      </c>
      <c r="AF44" s="16">
        <f>SUMPRODUCT(N44:Y44,$N$5:$Y$5)*$K44*$L44*$M44</f>
        <v/>
      </c>
      <c r="AG44" s="16">
        <f>SUMPRODUCT(N44:Y44,$N$6:$Y$6)*$K44*$L44*$M44</f>
        <v/>
      </c>
      <c r="AH44" s="20" t="n"/>
    </row>
    <row r="45">
      <c r="A45" s="9" t="n">
        <v>554430</v>
      </c>
      <c r="B45" s="9" t="inlineStr">
        <is>
          <t>Zack Wheeler</t>
        </is>
      </c>
      <c r="C45" s="9" t="inlineStr">
        <is>
          <t>PHI</t>
        </is>
      </c>
      <c r="D45" s="9" t="n">
        <v>37</v>
      </c>
      <c r="E45" s="18" t="inlineStr">
        <is>
          <t>R</t>
        </is>
      </c>
      <c r="F45" s="18" t="n"/>
      <c r="G45" s="9" t="n">
        <v>645</v>
      </c>
      <c r="H45" s="9" t="n">
        <v>3411</v>
      </c>
      <c r="I45" s="9" t="inlineStr">
        <is>
          <t>Mid-Rotation Starter (SP2-3)</t>
        </is>
      </c>
      <c r="J45" s="18" t="inlineStr">
        <is>
          <t>Opening Day</t>
        </is>
      </c>
      <c r="K45" s="11">
        <f>IFERROR(INDEX(Roles!$B$17:$B$20,MATCH(J45,Roles!$A$17:$A$20,0)),1)</f>
        <v/>
      </c>
      <c r="L45" s="19" t="n">
        <v>1</v>
      </c>
      <c r="M45" s="11" t="n">
        <v>1</v>
      </c>
      <c r="N45" s="19" t="n"/>
      <c r="O45" s="19" t="n">
        <v>0.5</v>
      </c>
      <c r="P45" s="19" t="n">
        <v>0.5</v>
      </c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3">
        <f>SUMPRODUCT(N45:Y45,$N$2:$Y$2)*$K45*$L45*$M45</f>
        <v/>
      </c>
      <c r="AA45" s="14">
        <f>SUM(N45:Y45)</f>
        <v/>
      </c>
      <c r="AB45" s="13">
        <f>SUMPRODUCT(N45:Y45,$N$3:$Y$3)*$K45*$L45*$M45</f>
        <v/>
      </c>
      <c r="AC45" s="13">
        <f>SUMPRODUCT(N45:Y45,$N$4:$Y$4)*$K45*$L45*$M45</f>
        <v/>
      </c>
      <c r="AD45" s="15" t="n">
        <v>26.8</v>
      </c>
      <c r="AE45" s="11" t="n">
        <v>5.472244077279483</v>
      </c>
      <c r="AF45" s="16">
        <f>SUMPRODUCT(N45:Y45,$N$5:$Y$5)*$K45*$L45*$M45</f>
        <v/>
      </c>
      <c r="AG45" s="16">
        <f>SUMPRODUCT(N45:Y45,$N$6:$Y$6)*$K45*$L45*$M45</f>
        <v/>
      </c>
      <c r="AH45" s="20" t="n"/>
    </row>
    <row r="46">
      <c r="A46" s="9" t="n">
        <v>805427</v>
      </c>
      <c r="B46" s="9" t="inlineStr">
        <is>
          <t>Drew Sommers</t>
        </is>
      </c>
      <c r="C46" s="9" t="inlineStr">
        <is>
          <t>DET</t>
        </is>
      </c>
      <c r="D46" s="9" t="n">
        <v>26</v>
      </c>
      <c r="E46" s="18" t="inlineStr">
        <is>
          <t>L</t>
        </is>
      </c>
      <c r="F46" s="18" t="n"/>
      <c r="G46" s="9" t="n">
        <v>169</v>
      </c>
      <c r="H46" s="9" t="n">
        <v>188</v>
      </c>
      <c r="I46" s="9" t="inlineStr">
        <is>
          <t>Swing Arm / Long Relief</t>
        </is>
      </c>
      <c r="J46" s="18" t="inlineStr">
        <is>
          <t>Opening Day</t>
        </is>
      </c>
      <c r="K46" s="11">
        <f>IFERROR(INDEX(Roles!$B$17:$B$20,MATCH(J46,Roles!$A$17:$A$20,0)),1)</f>
        <v/>
      </c>
      <c r="L46" s="19" t="n">
        <v>1</v>
      </c>
      <c r="M46" s="11" t="n">
        <v>1</v>
      </c>
      <c r="N46" s="19" t="n"/>
      <c r="O46" s="19" t="n"/>
      <c r="P46" s="19" t="n"/>
      <c r="Q46" s="19" t="n"/>
      <c r="R46" s="19" t="n">
        <v>0.6</v>
      </c>
      <c r="S46" s="19" t="n"/>
      <c r="T46" s="19" t="n"/>
      <c r="U46" s="19" t="n"/>
      <c r="V46" s="19" t="n">
        <v>0.4</v>
      </c>
      <c r="W46" s="19" t="n"/>
      <c r="X46" s="19" t="n"/>
      <c r="Y46" s="19" t="n"/>
      <c r="Z46" s="13">
        <f>SUMPRODUCT(N46:Y46,$N$2:$Y$2)*$K46*$L46*$M46</f>
        <v/>
      </c>
      <c r="AA46" s="14">
        <f>SUM(N46:Y46)</f>
        <v/>
      </c>
      <c r="AB46" s="13">
        <f>SUMPRODUCT(N46:Y46,$N$3:$Y$3)*$K46*$L46*$M46</f>
        <v/>
      </c>
      <c r="AC46" s="13">
        <f>SUMPRODUCT(N46:Y46,$N$4:$Y$4)*$K46*$L46*$M46</f>
        <v/>
      </c>
      <c r="AD46" s="15" t="n">
        <v>24.57333333333333</v>
      </c>
      <c r="AE46" s="11" t="n">
        <v>1.972624413332801</v>
      </c>
      <c r="AF46" s="16">
        <f>SUMPRODUCT(N46:Y46,$N$5:$Y$5)*$K46*$L46*$M46</f>
        <v/>
      </c>
      <c r="AG46" s="16">
        <f>SUMPRODUCT(N46:Y46,$N$6:$Y$6)*$K46*$L46*$M46</f>
        <v/>
      </c>
      <c r="AH46" s="20" t="n"/>
    </row>
    <row r="47">
      <c r="A47" s="9" t="n">
        <v>605540</v>
      </c>
      <c r="B47" s="9" t="inlineStr">
        <is>
          <t>Brandon Woodruff</t>
        </is>
      </c>
      <c r="C47" s="9" t="inlineStr">
        <is>
          <t>MIL</t>
        </is>
      </c>
      <c r="D47" s="9" t="n">
        <v>34</v>
      </c>
      <c r="E47" s="18" t="inlineStr">
        <is>
          <t>R</t>
        </is>
      </c>
      <c r="F47" s="18" t="n"/>
      <c r="G47" s="9" t="n">
        <v>174</v>
      </c>
      <c r="H47" s="9" t="n">
        <v>1304</v>
      </c>
      <c r="I47" s="9" t="inlineStr">
        <is>
          <t>Bullpen Depth Arm</t>
        </is>
      </c>
      <c r="J47" s="18" t="inlineStr">
        <is>
          <t>Opening Day</t>
        </is>
      </c>
      <c r="K47" s="11">
        <f>IFERROR(INDEX(Roles!$B$17:$B$20,MATCH(J47,Roles!$A$17:$A$20,0)),1)</f>
        <v/>
      </c>
      <c r="L47" s="19" t="n">
        <v>1</v>
      </c>
      <c r="M47" s="11" t="n">
        <v>1</v>
      </c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>
        <v>0.15</v>
      </c>
      <c r="W47" s="19" t="n">
        <v>0.85</v>
      </c>
      <c r="X47" s="19" t="n"/>
      <c r="Y47" s="19" t="n"/>
      <c r="Z47" s="13">
        <f>SUMPRODUCT(N47:Y47,$N$2:$Y$2)*$K47*$L47*$M47</f>
        <v/>
      </c>
      <c r="AA47" s="14">
        <f>SUM(N47:Y47)</f>
        <v/>
      </c>
      <c r="AB47" s="13">
        <f>SUMPRODUCT(N47:Y47,$N$3:$Y$3)*$K47*$L47*$M47</f>
        <v/>
      </c>
      <c r="AC47" s="13">
        <f>SUMPRODUCT(N47:Y47,$N$4:$Y$4)*$K47*$L47*$M47</f>
        <v/>
      </c>
      <c r="AD47" s="15" t="n">
        <v>11.78666666666666</v>
      </c>
      <c r="AE47" s="11" t="n">
        <v>2.535711927868791</v>
      </c>
      <c r="AF47" s="16">
        <f>SUMPRODUCT(N47:Y47,$N$5:$Y$5)*$K47*$L47*$M47</f>
        <v/>
      </c>
      <c r="AG47" s="16">
        <f>SUMPRODUCT(N47:Y47,$N$6:$Y$6)*$K47*$L47*$M47</f>
        <v/>
      </c>
      <c r="AH47" s="20" t="n"/>
    </row>
    <row r="48">
      <c r="A48" s="9" t="n">
        <v>664076</v>
      </c>
      <c r="B48" s="9" t="inlineStr">
        <is>
          <t>Garrett Cleavinger</t>
        </is>
      </c>
      <c r="C48" s="9" t="inlineStr">
        <is>
          <t>TB</t>
        </is>
      </c>
      <c r="D48" s="9" t="n">
        <v>33</v>
      </c>
      <c r="E48" s="18" t="inlineStr">
        <is>
          <t>L</t>
        </is>
      </c>
      <c r="F48" s="18" t="n"/>
      <c r="G48" s="9" t="n">
        <v>181</v>
      </c>
      <c r="H48" s="9" t="n">
        <v>830</v>
      </c>
      <c r="I48" s="9" t="inlineStr">
        <is>
          <t>Late Inning RP (Setup)</t>
        </is>
      </c>
      <c r="J48" s="18" t="inlineStr">
        <is>
          <t>Opening Day</t>
        </is>
      </c>
      <c r="K48" s="11">
        <f>IFERROR(INDEX(Roles!$B$17:$B$20,MATCH(J48,Roles!$A$17:$A$20,0)),1)</f>
        <v/>
      </c>
      <c r="L48" s="19" t="n">
        <v>1</v>
      </c>
      <c r="M48" s="11" t="n">
        <v>1</v>
      </c>
      <c r="N48" s="19" t="n"/>
      <c r="O48" s="19" t="n"/>
      <c r="P48" s="19" t="n"/>
      <c r="Q48" s="19" t="n"/>
      <c r="R48" s="19" t="n"/>
      <c r="S48" s="19" t="n"/>
      <c r="T48" s="19" t="n"/>
      <c r="U48" s="19" t="n">
        <v>0.85</v>
      </c>
      <c r="V48" s="19" t="n">
        <v>0.15</v>
      </c>
      <c r="W48" s="19" t="n"/>
      <c r="X48" s="19" t="n"/>
      <c r="Y48" s="19" t="n"/>
      <c r="Z48" s="13">
        <f>SUMPRODUCT(N48:Y48,$N$2:$Y$2)*$K48*$L48*$M48</f>
        <v/>
      </c>
      <c r="AA48" s="14">
        <f>SUM(N48:Y48)</f>
        <v/>
      </c>
      <c r="AB48" s="13">
        <f>SUMPRODUCT(N48:Y48,$N$3:$Y$3)*$K48*$L48*$M48</f>
        <v/>
      </c>
      <c r="AC48" s="13">
        <f>SUMPRODUCT(N48:Y48,$N$4:$Y$4)*$K48*$L48*$M48</f>
        <v/>
      </c>
      <c r="AD48" s="15" t="n">
        <v>54.7</v>
      </c>
      <c r="AE48" s="11" t="n">
        <v>0.9476721439749608</v>
      </c>
      <c r="AF48" s="16">
        <f>SUMPRODUCT(N48:Y48,$N$5:$Y$5)*$K48*$L48*$M48</f>
        <v/>
      </c>
      <c r="AG48" s="16">
        <f>SUMPRODUCT(N48:Y48,$N$6:$Y$6)*$K48*$L48*$M48</f>
        <v/>
      </c>
      <c r="AH48" s="20" t="n"/>
    </row>
    <row r="49">
      <c r="A49" s="9" t="n">
        <v>641729</v>
      </c>
      <c r="B49" s="9" t="inlineStr">
        <is>
          <t>Joe Jiménez</t>
        </is>
      </c>
      <c r="C49" s="9" t="inlineStr">
        <is>
          <t>ATL</t>
        </is>
      </c>
      <c r="D49" s="9" t="n">
        <v>32</v>
      </c>
      <c r="E49" s="18" t="inlineStr">
        <is>
          <t>R</t>
        </is>
      </c>
      <c r="F49" s="18" t="n"/>
      <c r="G49" s="9" t="n">
        <v>277</v>
      </c>
      <c r="H49" s="9" t="n">
        <v>746</v>
      </c>
      <c r="I49" s="9" t="inlineStr">
        <is>
          <t>Bullpen Depth Arm</t>
        </is>
      </c>
      <c r="J49" s="18" t="inlineStr">
        <is>
          <t>Opening Day</t>
        </is>
      </c>
      <c r="K49" s="11">
        <f>IFERROR(INDEX(Roles!$B$17:$B$20,MATCH(J49,Roles!$A$17:$A$20,0)),1)</f>
        <v/>
      </c>
      <c r="L49" s="19" t="n">
        <v>1</v>
      </c>
      <c r="M49" s="11" t="n">
        <v>1</v>
      </c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>
        <v>0.5</v>
      </c>
      <c r="X49" s="19" t="n"/>
      <c r="Y49" s="19" t="n">
        <v>0.5</v>
      </c>
      <c r="Z49" s="13">
        <f>SUMPRODUCT(N49:Y49,$N$2:$Y$2)*$K49*$L49*$M49</f>
        <v/>
      </c>
      <c r="AA49" s="14">
        <f>SUM(N49:Y49)</f>
        <v/>
      </c>
      <c r="AB49" s="13">
        <f>SUMPRODUCT(N49:Y49,$N$3:$Y$3)*$K49*$L49*$M49</f>
        <v/>
      </c>
      <c r="AC49" s="13">
        <f>SUMPRODUCT(N49:Y49,$N$4:$Y$4)*$K49*$L49*$M49</f>
        <v/>
      </c>
      <c r="AD49" s="15" t="n">
        <v>47.06666666666667</v>
      </c>
      <c r="AE49" s="11" t="n">
        <v>1.13323016221567</v>
      </c>
      <c r="AF49" s="16">
        <f>SUMPRODUCT(N49:Y49,$N$5:$Y$5)*$K49*$L49*$M49</f>
        <v/>
      </c>
      <c r="AG49" s="16">
        <f>SUMPRODUCT(N49:Y49,$N$6:$Y$6)*$K49*$L49*$M49</f>
        <v/>
      </c>
      <c r="AH49" s="20" t="n"/>
    </row>
    <row r="50">
      <c r="A50" s="9" t="n">
        <v>696519</v>
      </c>
      <c r="B50" s="9" t="inlineStr">
        <is>
          <t>Samy Natera Jr.</t>
        </is>
      </c>
      <c r="C50" s="9" t="inlineStr">
        <is>
          <t>LAA</t>
        </is>
      </c>
      <c r="D50" s="9" t="n">
        <v>27</v>
      </c>
      <c r="E50" s="18" t="inlineStr">
        <is>
          <t>L</t>
        </is>
      </c>
      <c r="F50" s="18" t="n"/>
      <c r="G50" s="9" t="n">
        <v>131</v>
      </c>
      <c r="H50" s="9" t="n">
        <v>131</v>
      </c>
      <c r="I50" s="9" t="inlineStr">
        <is>
          <t>Bullpen Depth Arm</t>
        </is>
      </c>
      <c r="J50" s="18" t="inlineStr">
        <is>
          <t>Opening Day</t>
        </is>
      </c>
      <c r="K50" s="11">
        <f>IFERROR(INDEX(Roles!$B$17:$B$20,MATCH(J50,Roles!$A$17:$A$20,0)),1)</f>
        <v/>
      </c>
      <c r="L50" s="19" t="n">
        <v>1</v>
      </c>
      <c r="M50" s="11" t="n">
        <v>1</v>
      </c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>
        <v>0.15</v>
      </c>
      <c r="W50" s="19" t="n">
        <v>0.85</v>
      </c>
      <c r="X50" s="19" t="n"/>
      <c r="Y50" s="19" t="n"/>
      <c r="Z50" s="13">
        <f>SUMPRODUCT(N50:Y50,$N$2:$Y$2)*$K50*$L50*$M50</f>
        <v/>
      </c>
      <c r="AA50" s="14">
        <f>SUM(N50:Y50)</f>
        <v/>
      </c>
      <c r="AB50" s="13">
        <f>SUMPRODUCT(N50:Y50,$N$3:$Y$3)*$K50*$L50*$M50</f>
        <v/>
      </c>
      <c r="AC50" s="13">
        <f>SUMPRODUCT(N50:Y50,$N$4:$Y$4)*$K50*$L50*$M50</f>
        <v/>
      </c>
      <c r="AD50" s="15" t="n">
        <v>22.46666666666667</v>
      </c>
      <c r="AE50" s="11" t="n">
        <v>1.178491261824595</v>
      </c>
      <c r="AF50" s="16">
        <f>SUMPRODUCT(N50:Y50,$N$5:$Y$5)*$K50*$L50*$M50</f>
        <v/>
      </c>
      <c r="AG50" s="16">
        <f>SUMPRODUCT(N50:Y50,$N$6:$Y$6)*$K50*$L50*$M50</f>
        <v/>
      </c>
      <c r="AH50" s="20" t="n"/>
    </row>
    <row r="51">
      <c r="A51" s="9" t="n">
        <v>677053</v>
      </c>
      <c r="B51" s="9" t="inlineStr">
        <is>
          <t>Andrew Nardi</t>
        </is>
      </c>
      <c r="C51" s="9" t="inlineStr">
        <is>
          <t>MIA</t>
        </is>
      </c>
      <c r="D51" s="9" t="n">
        <v>28</v>
      </c>
      <c r="E51" s="18" t="inlineStr">
        <is>
          <t>L</t>
        </is>
      </c>
      <c r="F51" s="18" t="n"/>
      <c r="G51" s="9" t="n">
        <v>99</v>
      </c>
      <c r="H51" s="9" t="n">
        <v>629</v>
      </c>
      <c r="I51" s="9" t="inlineStr">
        <is>
          <t>Bullpen Depth Arm</t>
        </is>
      </c>
      <c r="J51" s="18" t="inlineStr">
        <is>
          <t>Opening Day</t>
        </is>
      </c>
      <c r="K51" s="11">
        <f>IFERROR(INDEX(Roles!$B$17:$B$20,MATCH(J51,Roles!$A$17:$A$20,0)),1)</f>
        <v/>
      </c>
      <c r="L51" s="19" t="n">
        <v>1</v>
      </c>
      <c r="M51" s="11" t="n">
        <v>1</v>
      </c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>
        <v>0.15</v>
      </c>
      <c r="W51" s="19" t="n">
        <v>0.85</v>
      </c>
      <c r="X51" s="19" t="n"/>
      <c r="Y51" s="19" t="n"/>
      <c r="Z51" s="13">
        <f>SUMPRODUCT(N51:Y51,$N$2:$Y$2)*$K51*$L51*$M51</f>
        <v/>
      </c>
      <c r="AA51" s="14">
        <f>SUM(N51:Y51)</f>
        <v/>
      </c>
      <c r="AB51" s="13">
        <f>SUMPRODUCT(N51:Y51,$N$3:$Y$3)*$K51*$L51*$M51</f>
        <v/>
      </c>
      <c r="AC51" s="13">
        <f>SUMPRODUCT(N51:Y51,$N$4:$Y$4)*$K51*$L51*$M51</f>
        <v/>
      </c>
      <c r="AD51" s="15" t="n">
        <v>25.76666666666667</v>
      </c>
      <c r="AE51" s="11" t="n">
        <v>1.094210285752574</v>
      </c>
      <c r="AF51" s="16">
        <f>SUMPRODUCT(N51:Y51,$N$5:$Y$5)*$K51*$L51*$M51</f>
        <v/>
      </c>
      <c r="AG51" s="16">
        <f>SUMPRODUCT(N51:Y51,$N$6:$Y$6)*$K51*$L51*$M51</f>
        <v/>
      </c>
      <c r="AH51" s="20" t="n"/>
    </row>
    <row r="52">
      <c r="A52" s="9" t="n">
        <v>666374</v>
      </c>
      <c r="B52" s="9" t="inlineStr">
        <is>
          <t>Matt Brash</t>
        </is>
      </c>
      <c r="C52" s="9" t="inlineStr">
        <is>
          <t>SEA</t>
        </is>
      </c>
      <c r="D52" s="9" t="n">
        <v>29</v>
      </c>
      <c r="E52" s="18" t="inlineStr">
        <is>
          <t>R</t>
        </is>
      </c>
      <c r="F52" s="18" t="n"/>
      <c r="G52" s="9" t="n">
        <v>64</v>
      </c>
      <c r="H52" s="9" t="n">
        <v>793</v>
      </c>
      <c r="I52" s="9" t="inlineStr">
        <is>
          <t>Bullpen Depth Arm</t>
        </is>
      </c>
      <c r="J52" s="18" t="inlineStr">
        <is>
          <t>Opening Day</t>
        </is>
      </c>
      <c r="K52" s="11">
        <f>IFERROR(INDEX(Roles!$B$17:$B$20,MATCH(J52,Roles!$A$17:$A$20,0)),1)</f>
        <v/>
      </c>
      <c r="L52" s="19" t="n">
        <v>1</v>
      </c>
      <c r="M52" s="11" t="n">
        <v>1</v>
      </c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>
        <v>0.15</v>
      </c>
      <c r="W52" s="19" t="n">
        <v>0.85</v>
      </c>
      <c r="X52" s="19" t="n"/>
      <c r="Y52" s="19" t="n"/>
      <c r="Z52" s="13">
        <f>SUMPRODUCT(N52:Y52,$N$2:$Y$2)*$K52*$L52*$M52</f>
        <v/>
      </c>
      <c r="AA52" s="14">
        <f>SUM(N52:Y52)</f>
        <v/>
      </c>
      <c r="AB52" s="13">
        <f>SUMPRODUCT(N52:Y52,$N$3:$Y$3)*$K52*$L52*$M52</f>
        <v/>
      </c>
      <c r="AC52" s="13">
        <f>SUMPRODUCT(N52:Y52,$N$4:$Y$4)*$K52*$L52*$M52</f>
        <v/>
      </c>
      <c r="AD52" s="15" t="n">
        <v>25.58666666666666</v>
      </c>
      <c r="AE52" s="11" t="n">
        <v>1.092002449432169</v>
      </c>
      <c r="AF52" s="16">
        <f>SUMPRODUCT(N52:Y52,$N$5:$Y$5)*$K52*$L52*$M52</f>
        <v/>
      </c>
      <c r="AG52" s="16">
        <f>SUMPRODUCT(N52:Y52,$N$6:$Y$6)*$K52*$L52*$M52</f>
        <v/>
      </c>
      <c r="AH52" s="20" t="n"/>
    </row>
    <row r="53">
      <c r="A53" s="9" t="n">
        <v>696146</v>
      </c>
      <c r="B53" s="9" t="inlineStr">
        <is>
          <t>Hagen Smith</t>
        </is>
      </c>
      <c r="C53" s="9" t="inlineStr">
        <is>
          <t>CWS</t>
        </is>
      </c>
      <c r="D53" s="9" t="n">
        <v>23</v>
      </c>
      <c r="E53" s="18" t="inlineStr">
        <is>
          <t>L</t>
        </is>
      </c>
      <c r="F53" s="18" t="n"/>
      <c r="G53" s="9" t="n">
        <v>110</v>
      </c>
      <c r="H53" s="9" t="n">
        <v>110</v>
      </c>
      <c r="I53" s="9" t="inlineStr">
        <is>
          <t>Late Inning RP (Setup)</t>
        </is>
      </c>
      <c r="J53" s="18" t="inlineStr">
        <is>
          <t>Opening Day</t>
        </is>
      </c>
      <c r="K53" s="11">
        <f>IFERROR(INDEX(Roles!$B$17:$B$20,MATCH(J53,Roles!$A$17:$A$20,0)),1)</f>
        <v/>
      </c>
      <c r="L53" s="19" t="n">
        <v>1</v>
      </c>
      <c r="M53" s="11" t="n">
        <v>1</v>
      </c>
      <c r="N53" s="19" t="n"/>
      <c r="O53" s="19" t="n"/>
      <c r="P53" s="19" t="n"/>
      <c r="Q53" s="19" t="n"/>
      <c r="R53" s="19" t="n"/>
      <c r="S53" s="19" t="n"/>
      <c r="T53" s="19" t="n"/>
      <c r="U53" s="19" t="n">
        <v>0.85</v>
      </c>
      <c r="V53" s="19" t="n">
        <v>0.15</v>
      </c>
      <c r="W53" s="19" t="n"/>
      <c r="X53" s="19" t="n"/>
      <c r="Y53" s="19" t="n"/>
      <c r="Z53" s="13">
        <f>SUMPRODUCT(N53:Y53,$N$2:$Y$2)*$K53*$L53*$M53</f>
        <v/>
      </c>
      <c r="AA53" s="14">
        <f>SUM(N53:Y53)</f>
        <v/>
      </c>
      <c r="AB53" s="13">
        <f>SUMPRODUCT(N53:Y53,$N$3:$Y$3)*$K53*$L53*$M53</f>
        <v/>
      </c>
      <c r="AC53" s="13">
        <f>SUMPRODUCT(N53:Y53,$N$4:$Y$4)*$K53*$L53*$M53</f>
        <v/>
      </c>
      <c r="AD53" s="15" t="n">
        <v>30</v>
      </c>
      <c r="AE53" s="11" t="n">
        <v>1.178240740740741</v>
      </c>
      <c r="AF53" s="16">
        <f>SUMPRODUCT(N53:Y53,$N$5:$Y$5)*$K53*$L53*$M53</f>
        <v/>
      </c>
      <c r="AG53" s="16">
        <f>SUMPRODUCT(N53:Y53,$N$6:$Y$6)*$K53*$L53*$M53</f>
        <v/>
      </c>
      <c r="AH53" s="20" t="n"/>
    </row>
    <row r="54">
      <c r="A54" s="9" t="n">
        <v>640462</v>
      </c>
      <c r="B54" s="9" t="inlineStr">
        <is>
          <t>A.J. Puk</t>
        </is>
      </c>
      <c r="C54" s="9" t="inlineStr">
        <is>
          <t>ARI</t>
        </is>
      </c>
      <c r="D54" s="9" t="n">
        <v>32</v>
      </c>
      <c r="E54" s="18" t="inlineStr">
        <is>
          <t>L</t>
        </is>
      </c>
      <c r="F54" s="18" t="n"/>
      <c r="G54" s="9" t="n">
        <v>35</v>
      </c>
      <c r="H54" s="9" t="n">
        <v>852</v>
      </c>
      <c r="I54" s="9" t="inlineStr">
        <is>
          <t>Bullpen Depth Arm</t>
        </is>
      </c>
      <c r="J54" s="18" t="inlineStr">
        <is>
          <t>Opening Day</t>
        </is>
      </c>
      <c r="K54" s="11">
        <f>IFERROR(INDEX(Roles!$B$17:$B$20,MATCH(J54,Roles!$A$17:$A$20,0)),1)</f>
        <v/>
      </c>
      <c r="L54" s="19" t="n">
        <v>1</v>
      </c>
      <c r="M54" s="11" t="n">
        <v>1</v>
      </c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>
        <v>0.15</v>
      </c>
      <c r="W54" s="19" t="n">
        <v>0.85</v>
      </c>
      <c r="X54" s="19" t="n"/>
      <c r="Y54" s="19" t="n"/>
      <c r="Z54" s="13">
        <f>SUMPRODUCT(N54:Y54,$N$2:$Y$2)*$K54*$L54*$M54</f>
        <v/>
      </c>
      <c r="AA54" s="14">
        <f>SUM(N54:Y54)</f>
        <v/>
      </c>
      <c r="AB54" s="13">
        <f>SUMPRODUCT(N54:Y54,$N$3:$Y$3)*$K54*$L54*$M54</f>
        <v/>
      </c>
      <c r="AC54" s="13">
        <f>SUMPRODUCT(N54:Y54,$N$4:$Y$4)*$K54*$L54*$M54</f>
        <v/>
      </c>
      <c r="AD54" s="15" t="n">
        <v>21.26666666666667</v>
      </c>
      <c r="AE54" s="11" t="n">
        <v>1.174726508059842</v>
      </c>
      <c r="AF54" s="16">
        <f>SUMPRODUCT(N54:Y54,$N$5:$Y$5)*$K54*$L54*$M54</f>
        <v/>
      </c>
      <c r="AG54" s="16">
        <f>SUMPRODUCT(N54:Y54,$N$6:$Y$6)*$K54*$L54*$M54</f>
        <v/>
      </c>
      <c r="AH54" s="20" t="n"/>
    </row>
    <row r="55">
      <c r="A55" s="9" t="n">
        <v>701656</v>
      </c>
      <c r="B55" s="9" t="inlineStr">
        <is>
          <t>Logan Henderson</t>
        </is>
      </c>
      <c r="C55" s="9" t="inlineStr">
        <is>
          <t>MIL</t>
        </is>
      </c>
      <c r="D55" s="9" t="n">
        <v>25</v>
      </c>
      <c r="E55" s="18" t="inlineStr">
        <is>
          <t>R</t>
        </is>
      </c>
      <c r="F55" s="18" t="n"/>
      <c r="G55" s="9" t="n">
        <v>371</v>
      </c>
      <c r="H55" s="9" t="n">
        <v>470</v>
      </c>
      <c r="I55" s="9" t="inlineStr">
        <is>
          <t>Mid-Rotation Starter (SP2-3)</t>
        </is>
      </c>
      <c r="J55" s="18" t="inlineStr">
        <is>
          <t>Opening Day</t>
        </is>
      </c>
      <c r="K55" s="11">
        <f>IFERROR(INDEX(Roles!$B$17:$B$20,MATCH(J55,Roles!$A$17:$A$20,0)),1)</f>
        <v/>
      </c>
      <c r="L55" s="19" t="n">
        <v>1</v>
      </c>
      <c r="M55" s="11" t="n">
        <v>1</v>
      </c>
      <c r="N55" s="19" t="n"/>
      <c r="O55" s="19" t="n">
        <v>0.5</v>
      </c>
      <c r="P55" s="19" t="n">
        <v>0.5</v>
      </c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3">
        <f>SUMPRODUCT(N55:Y55,$N$2:$Y$2)*$K55*$L55*$M55</f>
        <v/>
      </c>
      <c r="AA55" s="14">
        <f>SUM(N55:Y55)</f>
        <v/>
      </c>
      <c r="AB55" s="13">
        <f>SUMPRODUCT(N55:Y55,$N$3:$Y$3)*$K55*$L55*$M55</f>
        <v/>
      </c>
      <c r="AC55" s="13">
        <f>SUMPRODUCT(N55:Y55,$N$4:$Y$4)*$K55*$L55*$M55</f>
        <v/>
      </c>
      <c r="AD55" s="15" t="n">
        <v>18.08</v>
      </c>
      <c r="AE55" s="11" t="n">
        <v>5.269881272401435</v>
      </c>
      <c r="AF55" s="16">
        <f>SUMPRODUCT(N55:Y55,$N$5:$Y$5)*$K55*$L55*$M55</f>
        <v/>
      </c>
      <c r="AG55" s="16">
        <f>SUMPRODUCT(N55:Y55,$N$6:$Y$6)*$K55*$L55*$M55</f>
        <v/>
      </c>
      <c r="AH55" s="20" t="n"/>
    </row>
    <row r="56">
      <c r="A56" s="9" t="n">
        <v>669276</v>
      </c>
      <c r="B56" s="9" t="inlineStr">
        <is>
          <t>Dylan Lee</t>
        </is>
      </c>
      <c r="C56" s="9" t="inlineStr">
        <is>
          <t>ATL</t>
        </is>
      </c>
      <c r="D56" s="9" t="n">
        <v>32</v>
      </c>
      <c r="E56" s="18" t="inlineStr">
        <is>
          <t>L</t>
        </is>
      </c>
      <c r="F56" s="18" t="n"/>
      <c r="G56" s="9" t="n">
        <v>262</v>
      </c>
      <c r="H56" s="9" t="n">
        <v>1070</v>
      </c>
      <c r="I56" s="9" t="inlineStr">
        <is>
          <t>Late Inning RP (Setup)</t>
        </is>
      </c>
      <c r="J56" s="18" t="inlineStr">
        <is>
          <t>Opening Day</t>
        </is>
      </c>
      <c r="K56" s="11">
        <f>IFERROR(INDEX(Roles!$B$17:$B$20,MATCH(J56,Roles!$A$17:$A$20,0)),1)</f>
        <v/>
      </c>
      <c r="L56" s="19" t="n">
        <v>1</v>
      </c>
      <c r="M56" s="11" t="n">
        <v>1</v>
      </c>
      <c r="N56" s="19" t="n"/>
      <c r="O56" s="19" t="n"/>
      <c r="P56" s="19" t="n"/>
      <c r="Q56" s="19" t="n"/>
      <c r="R56" s="19" t="n"/>
      <c r="S56" s="19" t="n"/>
      <c r="T56" s="19" t="n"/>
      <c r="U56" s="19" t="n">
        <v>0.6</v>
      </c>
      <c r="V56" s="19" t="n">
        <v>0.4</v>
      </c>
      <c r="W56" s="19" t="n"/>
      <c r="X56" s="19" t="n"/>
      <c r="Y56" s="19" t="n"/>
      <c r="Z56" s="13">
        <f>SUMPRODUCT(N56:Y56,$N$2:$Y$2)*$K56*$L56*$M56</f>
        <v/>
      </c>
      <c r="AA56" s="14">
        <f>SUM(N56:Y56)</f>
        <v/>
      </c>
      <c r="AB56" s="13">
        <f>SUMPRODUCT(N56:Y56,$N$3:$Y$3)*$K56*$L56*$M56</f>
        <v/>
      </c>
      <c r="AC56" s="13">
        <f>SUMPRODUCT(N56:Y56,$N$4:$Y$4)*$K56*$L56*$M56</f>
        <v/>
      </c>
      <c r="AD56" s="15" t="n">
        <v>60.5</v>
      </c>
      <c r="AE56" s="11" t="n">
        <v>0.9804109496906108</v>
      </c>
      <c r="AF56" s="16">
        <f>SUMPRODUCT(N56:Y56,$N$5:$Y$5)*$K56*$L56*$M56</f>
        <v/>
      </c>
      <c r="AG56" s="16">
        <f>SUMPRODUCT(N56:Y56,$N$6:$Y$6)*$K56*$L56*$M56</f>
        <v/>
      </c>
      <c r="AH56" s="20" t="n"/>
    </row>
    <row r="57">
      <c r="A57" s="9" t="n">
        <v>666200</v>
      </c>
      <c r="B57" s="9" t="inlineStr">
        <is>
          <t>Jesús Luzardo</t>
        </is>
      </c>
      <c r="C57" s="9" t="inlineStr">
        <is>
          <t>PHI</t>
        </is>
      </c>
      <c r="D57" s="9" t="n">
        <v>29</v>
      </c>
      <c r="E57" s="18" t="inlineStr">
        <is>
          <t>L</t>
        </is>
      </c>
      <c r="F57" s="18" t="n"/>
      <c r="G57" s="9" t="n">
        <v>730</v>
      </c>
      <c r="H57" s="9" t="n">
        <v>2903</v>
      </c>
      <c r="I57" s="9" t="inlineStr">
        <is>
          <t>Mid-Rotation Starter (SP2-3)</t>
        </is>
      </c>
      <c r="J57" s="18" t="inlineStr">
        <is>
          <t>Opening Day</t>
        </is>
      </c>
      <c r="K57" s="11">
        <f>IFERROR(INDEX(Roles!$B$17:$B$20,MATCH(J57,Roles!$A$17:$A$20,0)),1)</f>
        <v/>
      </c>
      <c r="L57" s="19" t="n">
        <v>1</v>
      </c>
      <c r="M57" s="11" t="n">
        <v>1</v>
      </c>
      <c r="N57" s="19" t="n"/>
      <c r="O57" s="19" t="n">
        <v>0.5</v>
      </c>
      <c r="P57" s="19" t="n">
        <v>0.5</v>
      </c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3">
        <f>SUMPRODUCT(N57:Y57,$N$2:$Y$2)*$K57*$L57*$M57</f>
        <v/>
      </c>
      <c r="AA57" s="14">
        <f>SUM(N57:Y57)</f>
        <v/>
      </c>
      <c r="AB57" s="13">
        <f>SUMPRODUCT(N57:Y57,$N$3:$Y$3)*$K57*$L57*$M57</f>
        <v/>
      </c>
      <c r="AC57" s="13">
        <f>SUMPRODUCT(N57:Y57,$N$4:$Y$4)*$K57*$L57*$M57</f>
        <v/>
      </c>
      <c r="AD57" s="15" t="n">
        <v>27</v>
      </c>
      <c r="AE57" s="11" t="n">
        <v>5.423349311223388</v>
      </c>
      <c r="AF57" s="16">
        <f>SUMPRODUCT(N57:Y57,$N$5:$Y$5)*$K57*$L57*$M57</f>
        <v/>
      </c>
      <c r="AG57" s="16">
        <f>SUMPRODUCT(N57:Y57,$N$6:$Y$6)*$K57*$L57*$M57</f>
        <v/>
      </c>
      <c r="AH57" s="20" t="n"/>
    </row>
    <row r="58">
      <c r="A58" s="9" t="n">
        <v>643377</v>
      </c>
      <c r="B58" s="9" t="inlineStr">
        <is>
          <t>Griffin Jax</t>
        </is>
      </c>
      <c r="C58" s="9" t="inlineStr">
        <is>
          <t>TB</t>
        </is>
      </c>
      <c r="D58" s="9" t="n">
        <v>32</v>
      </c>
      <c r="E58" s="18" t="inlineStr">
        <is>
          <t>R</t>
        </is>
      </c>
      <c r="F58" s="18" t="n"/>
      <c r="G58" s="9" t="n">
        <v>459</v>
      </c>
      <c r="H58" s="9" t="n">
        <v>1582</v>
      </c>
      <c r="I58" s="9" t="inlineStr">
        <is>
          <t>End-of-Rotation Starter (SP4-5)</t>
        </is>
      </c>
      <c r="J58" s="18" t="inlineStr">
        <is>
          <t>Opening Day</t>
        </is>
      </c>
      <c r="K58" s="11">
        <f>IFERROR(INDEX(Roles!$B$17:$B$20,MATCH(J58,Roles!$A$17:$A$20,0)),1)</f>
        <v/>
      </c>
      <c r="L58" s="19" t="n">
        <v>1</v>
      </c>
      <c r="M58" s="11" t="n">
        <v>1</v>
      </c>
      <c r="N58" s="19" t="n"/>
      <c r="O58" s="19" t="n"/>
      <c r="P58" s="19" t="n">
        <v>0.5</v>
      </c>
      <c r="Q58" s="19" t="n"/>
      <c r="R58" s="19" t="n">
        <v>0.5</v>
      </c>
      <c r="S58" s="19" t="n"/>
      <c r="T58" s="19" t="n"/>
      <c r="U58" s="19" t="n"/>
      <c r="V58" s="19" t="n"/>
      <c r="W58" s="19" t="n"/>
      <c r="X58" s="19" t="n"/>
      <c r="Y58" s="19" t="n"/>
      <c r="Z58" s="13">
        <f>SUMPRODUCT(N58:Y58,$N$2:$Y$2)*$K58*$L58*$M58</f>
        <v/>
      </c>
      <c r="AA58" s="14">
        <f>SUM(N58:Y58)</f>
        <v/>
      </c>
      <c r="AB58" s="13">
        <f>SUMPRODUCT(N58:Y58,$N$3:$Y$3)*$K58*$L58*$M58</f>
        <v/>
      </c>
      <c r="AC58" s="13">
        <f>SUMPRODUCT(N58:Y58,$N$4:$Y$4)*$K58*$L58*$M58</f>
        <v/>
      </c>
      <c r="AD58" s="15" t="n">
        <v>38.4</v>
      </c>
      <c r="AE58" s="11" t="n">
        <v>3.599537037037036</v>
      </c>
      <c r="AF58" s="16">
        <f>SUMPRODUCT(N58:Y58,$N$5:$Y$5)*$K58*$L58*$M58</f>
        <v/>
      </c>
      <c r="AG58" s="16">
        <f>SUMPRODUCT(N58:Y58,$N$6:$Y$6)*$K58*$L58*$M58</f>
        <v/>
      </c>
      <c r="AH58" s="20" t="n"/>
    </row>
    <row r="59">
      <c r="A59" s="9" t="n">
        <v>666171</v>
      </c>
      <c r="B59" s="9" t="inlineStr">
        <is>
          <t>Ryan Zeferjahn</t>
        </is>
      </c>
      <c r="C59" s="9" t="inlineStr">
        <is>
          <t>CHC</t>
        </is>
      </c>
      <c r="D59" s="9" t="n">
        <v>29</v>
      </c>
      <c r="E59" s="18" t="inlineStr">
        <is>
          <t>R</t>
        </is>
      </c>
      <c r="F59" s="18" t="n"/>
      <c r="G59" s="9" t="n">
        <v>304</v>
      </c>
      <c r="H59" s="9" t="n">
        <v>625</v>
      </c>
      <c r="I59" s="9" t="inlineStr">
        <is>
          <t>Closer</t>
        </is>
      </c>
      <c r="J59" s="18" t="inlineStr">
        <is>
          <t>Opening Day</t>
        </is>
      </c>
      <c r="K59" s="11">
        <f>IFERROR(INDEX(Roles!$B$17:$B$20,MATCH(J59,Roles!$A$17:$A$20,0)),1)</f>
        <v/>
      </c>
      <c r="L59" s="19" t="n">
        <v>1</v>
      </c>
      <c r="M59" s="11" t="n">
        <v>1</v>
      </c>
      <c r="N59" s="19" t="n"/>
      <c r="O59" s="19" t="n"/>
      <c r="P59" s="19" t="n"/>
      <c r="Q59" s="19" t="n"/>
      <c r="R59" s="19" t="n"/>
      <c r="S59" s="19" t="n"/>
      <c r="T59" s="19" t="n">
        <v>0.85</v>
      </c>
      <c r="U59" s="19" t="n">
        <v>0.15</v>
      </c>
      <c r="V59" s="19" t="n"/>
      <c r="W59" s="19" t="n"/>
      <c r="X59" s="19" t="n"/>
      <c r="Y59" s="19" t="n"/>
      <c r="Z59" s="13">
        <f>SUMPRODUCT(N59:Y59,$N$2:$Y$2)*$K59*$L59*$M59</f>
        <v/>
      </c>
      <c r="AA59" s="14">
        <f>SUM(N59:Y59)</f>
        <v/>
      </c>
      <c r="AB59" s="13">
        <f>SUMPRODUCT(N59:Y59,$N$3:$Y$3)*$K59*$L59*$M59</f>
        <v/>
      </c>
      <c r="AC59" s="13">
        <f>SUMPRODUCT(N59:Y59,$N$4:$Y$4)*$K59*$L59*$M59</f>
        <v/>
      </c>
      <c r="AD59" s="15" t="n">
        <v>53.26000000000001</v>
      </c>
      <c r="AE59" s="11" t="n">
        <v>1.011560323010135</v>
      </c>
      <c r="AF59" s="16">
        <f>SUMPRODUCT(N59:Y59,$N$5:$Y$5)*$K59*$L59*$M59</f>
        <v/>
      </c>
      <c r="AG59" s="16">
        <f>SUMPRODUCT(N59:Y59,$N$6:$Y$6)*$K59*$L59*$M59</f>
        <v/>
      </c>
      <c r="AH59" s="20" t="n"/>
    </row>
    <row r="60">
      <c r="A60" s="9" t="n">
        <v>687396</v>
      </c>
      <c r="B60" s="9" t="inlineStr">
        <is>
          <t>Brent Headrick</t>
        </is>
      </c>
      <c r="C60" s="9" t="inlineStr">
        <is>
          <t>NYY</t>
        </is>
      </c>
      <c r="D60" s="9" t="n">
        <v>29</v>
      </c>
      <c r="E60" s="18" t="inlineStr">
        <is>
          <t>L</t>
        </is>
      </c>
      <c r="F60" s="18" t="n"/>
      <c r="G60" s="9" t="n">
        <v>326</v>
      </c>
      <c r="H60" s="9" t="n">
        <v>548</v>
      </c>
      <c r="I60" s="9" t="inlineStr">
        <is>
          <t>Late Inning RP (Setup)</t>
        </is>
      </c>
      <c r="J60" s="18" t="inlineStr">
        <is>
          <t>Opening Day</t>
        </is>
      </c>
      <c r="K60" s="11">
        <f>IFERROR(INDEX(Roles!$B$17:$B$20,MATCH(J60,Roles!$A$17:$A$20,0)),1)</f>
        <v/>
      </c>
      <c r="L60" s="19" t="n">
        <v>1</v>
      </c>
      <c r="M60" s="11" t="n">
        <v>1</v>
      </c>
      <c r="N60" s="19" t="n"/>
      <c r="O60" s="19" t="n"/>
      <c r="P60" s="19" t="n"/>
      <c r="Q60" s="19" t="n"/>
      <c r="R60" s="19" t="n"/>
      <c r="S60" s="19" t="n"/>
      <c r="T60" s="19" t="n"/>
      <c r="U60" s="19" t="n">
        <v>0.85</v>
      </c>
      <c r="V60" s="19" t="n">
        <v>0.15</v>
      </c>
      <c r="W60" s="19" t="n"/>
      <c r="X60" s="19" t="n"/>
      <c r="Y60" s="19" t="n"/>
      <c r="Z60" s="13">
        <f>SUMPRODUCT(N60:Y60,$N$2:$Y$2)*$K60*$L60*$M60</f>
        <v/>
      </c>
      <c r="AA60" s="14">
        <f>SUM(N60:Y60)</f>
        <v/>
      </c>
      <c r="AB60" s="13">
        <f>SUMPRODUCT(N60:Y60,$N$3:$Y$3)*$K60*$L60*$M60</f>
        <v/>
      </c>
      <c r="AC60" s="13">
        <f>SUMPRODUCT(N60:Y60,$N$4:$Y$4)*$K60*$L60*$M60</f>
        <v/>
      </c>
      <c r="AD60" s="15" t="n">
        <v>47</v>
      </c>
      <c r="AE60" s="11" t="n">
        <v>1.000249800159872</v>
      </c>
      <c r="AF60" s="16">
        <f>SUMPRODUCT(N60:Y60,$N$5:$Y$5)*$K60*$L60*$M60</f>
        <v/>
      </c>
      <c r="AG60" s="16">
        <f>SUMPRODUCT(N60:Y60,$N$6:$Y$6)*$K60*$L60*$M60</f>
        <v/>
      </c>
      <c r="AH60" s="20" t="n"/>
    </row>
    <row r="61">
      <c r="A61" s="9" t="n">
        <v>664126</v>
      </c>
      <c r="B61" s="9" t="inlineStr">
        <is>
          <t>Pete Fairbanks</t>
        </is>
      </c>
      <c r="C61" s="9" t="inlineStr">
        <is>
          <t>MIA</t>
        </is>
      </c>
      <c r="D61" s="9" t="n">
        <v>33</v>
      </c>
      <c r="E61" s="18" t="inlineStr">
        <is>
          <t>R</t>
        </is>
      </c>
      <c r="F61" s="18" t="n"/>
      <c r="G61" s="9" t="n">
        <v>183</v>
      </c>
      <c r="H61" s="9" t="n">
        <v>883</v>
      </c>
      <c r="I61" s="9" t="inlineStr">
        <is>
          <t>Closer</t>
        </is>
      </c>
      <c r="J61" s="18" t="inlineStr">
        <is>
          <t>Opening Day</t>
        </is>
      </c>
      <c r="K61" s="11">
        <f>IFERROR(INDEX(Roles!$B$17:$B$20,MATCH(J61,Roles!$A$17:$A$20,0)),1)</f>
        <v/>
      </c>
      <c r="L61" s="19" t="n">
        <v>1</v>
      </c>
      <c r="M61" s="11" t="n">
        <v>1</v>
      </c>
      <c r="N61" s="19" t="n"/>
      <c r="O61" s="19" t="n"/>
      <c r="P61" s="19" t="n"/>
      <c r="Q61" s="19" t="n"/>
      <c r="R61" s="19" t="n"/>
      <c r="S61" s="19" t="n"/>
      <c r="T61" s="19" t="n">
        <v>0.5</v>
      </c>
      <c r="U61" s="19" t="n">
        <v>0.5</v>
      </c>
      <c r="V61" s="19" t="n"/>
      <c r="W61" s="19" t="n"/>
      <c r="X61" s="19" t="n"/>
      <c r="Y61" s="19" t="n"/>
      <c r="Z61" s="13">
        <f>SUMPRODUCT(N61:Y61,$N$2:$Y$2)*$K61*$L61*$M61</f>
        <v/>
      </c>
      <c r="AA61" s="14">
        <f>SUM(N61:Y61)</f>
        <v/>
      </c>
      <c r="AB61" s="13">
        <f>SUMPRODUCT(N61:Y61,$N$3:$Y$3)*$K61*$L61*$M61</f>
        <v/>
      </c>
      <c r="AC61" s="13">
        <f>SUMPRODUCT(N61:Y61,$N$4:$Y$4)*$K61*$L61*$M61</f>
        <v/>
      </c>
      <c r="AD61" s="15" t="n">
        <v>50.76000000000001</v>
      </c>
      <c r="AE61" s="11" t="n">
        <v>0.985067685001591</v>
      </c>
      <c r="AF61" s="16">
        <f>SUMPRODUCT(N61:Y61,$N$5:$Y$5)*$K61*$L61*$M61</f>
        <v/>
      </c>
      <c r="AG61" s="16">
        <f>SUMPRODUCT(N61:Y61,$N$6:$Y$6)*$K61*$L61*$M61</f>
        <v/>
      </c>
      <c r="AH61" s="20" t="n"/>
    </row>
    <row r="62">
      <c r="A62" s="9" t="n">
        <v>656730</v>
      </c>
      <c r="B62" s="9" t="inlineStr">
        <is>
          <t>Trevor Megill</t>
        </is>
      </c>
      <c r="C62" s="9" t="inlineStr">
        <is>
          <t>MIL</t>
        </is>
      </c>
      <c r="D62" s="9" t="n">
        <v>33</v>
      </c>
      <c r="E62" s="18" t="inlineStr">
        <is>
          <t>R</t>
        </is>
      </c>
      <c r="F62" s="18" t="n"/>
      <c r="G62" s="9" t="n">
        <v>242</v>
      </c>
      <c r="H62" s="9" t="n">
        <v>961</v>
      </c>
      <c r="I62" s="9" t="inlineStr">
        <is>
          <t>Closer</t>
        </is>
      </c>
      <c r="J62" s="18" t="inlineStr">
        <is>
          <t>Opening Day</t>
        </is>
      </c>
      <c r="K62" s="11">
        <f>IFERROR(INDEX(Roles!$B$17:$B$20,MATCH(J62,Roles!$A$17:$A$20,0)),1)</f>
        <v/>
      </c>
      <c r="L62" s="19" t="n">
        <v>1</v>
      </c>
      <c r="M62" s="11" t="n">
        <v>1</v>
      </c>
      <c r="N62" s="19" t="n"/>
      <c r="O62" s="19" t="n"/>
      <c r="P62" s="19" t="n"/>
      <c r="Q62" s="19" t="n"/>
      <c r="R62" s="19" t="n"/>
      <c r="S62" s="19" t="n"/>
      <c r="T62" s="19" t="n">
        <v>0.85</v>
      </c>
      <c r="U62" s="19" t="n">
        <v>0.15</v>
      </c>
      <c r="V62" s="19" t="n"/>
      <c r="W62" s="19" t="n"/>
      <c r="X62" s="19" t="n"/>
      <c r="Y62" s="19" t="n"/>
      <c r="Z62" s="13">
        <f>SUMPRODUCT(N62:Y62,$N$2:$Y$2)*$K62*$L62*$M62</f>
        <v/>
      </c>
      <c r="AA62" s="14">
        <f>SUM(N62:Y62)</f>
        <v/>
      </c>
      <c r="AB62" s="13">
        <f>SUMPRODUCT(N62:Y62,$N$3:$Y$3)*$K62*$L62*$M62</f>
        <v/>
      </c>
      <c r="AC62" s="13">
        <f>SUMPRODUCT(N62:Y62,$N$4:$Y$4)*$K62*$L62*$M62</f>
        <v/>
      </c>
      <c r="AD62" s="15" t="n">
        <v>53.86</v>
      </c>
      <c r="AE62" s="11" t="n">
        <v>0.9909571492607536</v>
      </c>
      <c r="AF62" s="16">
        <f>SUMPRODUCT(N62:Y62,$N$5:$Y$5)*$K62*$L62*$M62</f>
        <v/>
      </c>
      <c r="AG62" s="16">
        <f>SUMPRODUCT(N62:Y62,$N$6:$Y$6)*$K62*$L62*$M62</f>
        <v/>
      </c>
      <c r="AH62" s="20" t="n"/>
    </row>
    <row r="63">
      <c r="A63" s="9" t="n">
        <v>623465</v>
      </c>
      <c r="B63" s="9" t="inlineStr">
        <is>
          <t>Evan Phillips</t>
        </is>
      </c>
      <c r="C63" s="9" t="inlineStr">
        <is>
          <t>LAD</t>
        </is>
      </c>
      <c r="D63" s="9" t="n">
        <v>32</v>
      </c>
      <c r="E63" s="18" t="inlineStr">
        <is>
          <t>R</t>
        </is>
      </c>
      <c r="F63" s="18" t="n"/>
      <c r="G63" s="9" t="n">
        <v>106</v>
      </c>
      <c r="H63" s="9" t="n">
        <v>823</v>
      </c>
      <c r="I63" s="9" t="inlineStr">
        <is>
          <t>Late Inning RP (Setup)</t>
        </is>
      </c>
      <c r="J63" s="18" t="inlineStr">
        <is>
          <t>Opening Day</t>
        </is>
      </c>
      <c r="K63" s="11">
        <f>IFERROR(INDEX(Roles!$B$17:$B$20,MATCH(J63,Roles!$A$17:$A$20,0)),1)</f>
        <v/>
      </c>
      <c r="L63" s="19" t="n">
        <v>1</v>
      </c>
      <c r="M63" s="11" t="n">
        <v>1</v>
      </c>
      <c r="N63" s="19" t="n"/>
      <c r="O63" s="19" t="n"/>
      <c r="P63" s="19" t="n"/>
      <c r="Q63" s="19" t="n"/>
      <c r="R63" s="19" t="n"/>
      <c r="S63" s="19" t="n"/>
      <c r="T63" s="19" t="n"/>
      <c r="U63" s="19" t="n">
        <v>0.6</v>
      </c>
      <c r="V63" s="19" t="n">
        <v>0.4</v>
      </c>
      <c r="W63" s="19" t="n"/>
      <c r="X63" s="19" t="n"/>
      <c r="Y63" s="19" t="n"/>
      <c r="Z63" s="13">
        <f>SUMPRODUCT(N63:Y63,$N$2:$Y$2)*$K63*$L63*$M63</f>
        <v/>
      </c>
      <c r="AA63" s="14">
        <f>SUM(N63:Y63)</f>
        <v/>
      </c>
      <c r="AB63" s="13">
        <f>SUMPRODUCT(N63:Y63,$N$3:$Y$3)*$K63*$L63*$M63</f>
        <v/>
      </c>
      <c r="AC63" s="13">
        <f>SUMPRODUCT(N63:Y63,$N$4:$Y$4)*$K63*$L63*$M63</f>
        <v/>
      </c>
      <c r="AD63" s="15" t="n">
        <v>36</v>
      </c>
      <c r="AE63" s="11" t="n">
        <v>0.945436507936508</v>
      </c>
      <c r="AF63" s="16">
        <f>SUMPRODUCT(N63:Y63,$N$5:$Y$5)*$K63*$L63*$M63</f>
        <v/>
      </c>
      <c r="AG63" s="16">
        <f>SUMPRODUCT(N63:Y63,$N$6:$Y$6)*$K63*$L63*$M63</f>
        <v/>
      </c>
      <c r="AH63" s="20" t="n"/>
    </row>
    <row r="64">
      <c r="A64" s="9" t="n">
        <v>675916</v>
      </c>
      <c r="B64" s="9" t="inlineStr">
        <is>
          <t>James Karinchak</t>
        </is>
      </c>
      <c r="C64" s="9" t="inlineStr">
        <is>
          <t>ATL</t>
        </is>
      </c>
      <c r="D64" s="9" t="n">
        <v>31</v>
      </c>
      <c r="E64" s="18" t="inlineStr">
        <is>
          <t>R</t>
        </is>
      </c>
      <c r="F64" s="18" t="n"/>
      <c r="G64" s="9" t="n">
        <v>37</v>
      </c>
      <c r="H64" s="9" t="n">
        <v>368</v>
      </c>
      <c r="I64" s="9" t="inlineStr">
        <is>
          <t>Bullpen Depth Arm</t>
        </is>
      </c>
      <c r="J64" s="18" t="inlineStr">
        <is>
          <t>Opening Day</t>
        </is>
      </c>
      <c r="K64" s="11">
        <f>IFERROR(INDEX(Roles!$B$17:$B$20,MATCH(J64,Roles!$A$17:$A$20,0)),1)</f>
        <v/>
      </c>
      <c r="L64" s="19" t="n">
        <v>1</v>
      </c>
      <c r="M64" s="11" t="n">
        <v>1</v>
      </c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>
        <v>1</v>
      </c>
      <c r="X64" s="19" t="n"/>
      <c r="Y64" s="19" t="n"/>
      <c r="Z64" s="13">
        <f>SUMPRODUCT(N64:Y64,$N$2:$Y$2)*$K64*$L64*$M64</f>
        <v/>
      </c>
      <c r="AA64" s="14">
        <f>SUM(N64:Y64)</f>
        <v/>
      </c>
      <c r="AB64" s="13">
        <f>SUMPRODUCT(N64:Y64,$N$3:$Y$3)*$K64*$L64*$M64</f>
        <v/>
      </c>
      <c r="AC64" s="13">
        <f>SUMPRODUCT(N64:Y64,$N$4:$Y$4)*$K64*$L64*$M64</f>
        <v/>
      </c>
      <c r="AD64" s="15" t="n">
        <v>11.06666666666667</v>
      </c>
      <c r="AE64" s="11" t="n">
        <v>1.159531826198493</v>
      </c>
      <c r="AF64" s="16">
        <f>SUMPRODUCT(N64:Y64,$N$5:$Y$5)*$K64*$L64*$M64</f>
        <v/>
      </c>
      <c r="AG64" s="16">
        <f>SUMPRODUCT(N64:Y64,$N$6:$Y$6)*$K64*$L64*$M64</f>
        <v/>
      </c>
      <c r="AH64" s="20" t="n"/>
    </row>
    <row r="65">
      <c r="A65" s="9" t="n">
        <v>621237</v>
      </c>
      <c r="B65" s="9" t="inlineStr">
        <is>
          <t>José Alvarado</t>
        </is>
      </c>
      <c r="C65" s="9" t="inlineStr">
        <is>
          <t>PHI</t>
        </is>
      </c>
      <c r="D65" s="9" t="n">
        <v>32</v>
      </c>
      <c r="E65" s="18" t="inlineStr">
        <is>
          <t>L</t>
        </is>
      </c>
      <c r="F65" s="18" t="n"/>
      <c r="G65" s="9" t="n">
        <v>273</v>
      </c>
      <c r="H65" s="9" t="n">
        <v>1031</v>
      </c>
      <c r="I65" s="9" t="inlineStr">
        <is>
          <t>Late Inning RP (Setup)</t>
        </is>
      </c>
      <c r="J65" s="18" t="inlineStr">
        <is>
          <t>Opening Day</t>
        </is>
      </c>
      <c r="K65" s="11">
        <f>IFERROR(INDEX(Roles!$B$17:$B$20,MATCH(J65,Roles!$A$17:$A$20,0)),1)</f>
        <v/>
      </c>
      <c r="L65" s="19" t="n">
        <v>1</v>
      </c>
      <c r="M65" s="11" t="n">
        <v>1</v>
      </c>
      <c r="N65" s="19" t="n"/>
      <c r="O65" s="19" t="n"/>
      <c r="P65" s="19" t="n"/>
      <c r="Q65" s="19" t="n"/>
      <c r="R65" s="19" t="n"/>
      <c r="S65" s="19" t="n"/>
      <c r="T65" s="19" t="n"/>
      <c r="U65" s="19" t="n">
        <v>0.85</v>
      </c>
      <c r="V65" s="19" t="n">
        <v>0.15</v>
      </c>
      <c r="W65" s="19" t="n"/>
      <c r="X65" s="19" t="n"/>
      <c r="Y65" s="19" t="n"/>
      <c r="Z65" s="13">
        <f>SUMPRODUCT(N65:Y65,$N$2:$Y$2)*$K65*$L65*$M65</f>
        <v/>
      </c>
      <c r="AA65" s="14">
        <f>SUM(N65:Y65)</f>
        <v/>
      </c>
      <c r="AB65" s="13">
        <f>SUMPRODUCT(N65:Y65,$N$3:$Y$3)*$K65*$L65*$M65</f>
        <v/>
      </c>
      <c r="AC65" s="13">
        <f>SUMPRODUCT(N65:Y65,$N$4:$Y$4)*$K65*$L65*$M65</f>
        <v/>
      </c>
      <c r="AD65" s="15" t="n">
        <v>51.8</v>
      </c>
      <c r="AE65" s="11" t="n">
        <v>0.9548824130879344</v>
      </c>
      <c r="AF65" s="16">
        <f>SUMPRODUCT(N65:Y65,$N$5:$Y$5)*$K65*$L65*$M65</f>
        <v/>
      </c>
      <c r="AG65" s="16">
        <f>SUMPRODUCT(N65:Y65,$N$6:$Y$6)*$K65*$L65*$M65</f>
        <v/>
      </c>
      <c r="AH65" s="20" t="n"/>
    </row>
    <row r="66">
      <c r="A66" s="9" t="n">
        <v>670280</v>
      </c>
      <c r="B66" s="9" t="inlineStr">
        <is>
          <t>David Bednar</t>
        </is>
      </c>
      <c r="C66" s="9" t="inlineStr">
        <is>
          <t>NYY</t>
        </is>
      </c>
      <c r="D66" s="9" t="n">
        <v>32</v>
      </c>
      <c r="E66" s="18" t="inlineStr">
        <is>
          <t>R</t>
        </is>
      </c>
      <c r="F66" s="18" t="n"/>
      <c r="G66" s="9" t="n">
        <v>280</v>
      </c>
      <c r="H66" s="9" t="n">
        <v>1280</v>
      </c>
      <c r="I66" s="9" t="inlineStr">
        <is>
          <t>Closer</t>
        </is>
      </c>
      <c r="J66" s="18" t="inlineStr">
        <is>
          <t>Opening Day</t>
        </is>
      </c>
      <c r="K66" s="11">
        <f>IFERROR(INDEX(Roles!$B$17:$B$20,MATCH(J66,Roles!$A$17:$A$20,0)),1)</f>
        <v/>
      </c>
      <c r="L66" s="19" t="n">
        <v>1</v>
      </c>
      <c r="M66" s="11" t="n">
        <v>1</v>
      </c>
      <c r="N66" s="19" t="n"/>
      <c r="O66" s="19" t="n"/>
      <c r="P66" s="19" t="n"/>
      <c r="Q66" s="19" t="n"/>
      <c r="R66" s="19" t="n"/>
      <c r="S66" s="19" t="n"/>
      <c r="T66" s="19" t="n">
        <v>0.85</v>
      </c>
      <c r="U66" s="19" t="n">
        <v>0.15</v>
      </c>
      <c r="V66" s="19" t="n"/>
      <c r="W66" s="19" t="n"/>
      <c r="X66" s="19" t="n"/>
      <c r="Y66" s="19" t="n"/>
      <c r="Z66" s="13">
        <f>SUMPRODUCT(N66:Y66,$N$2:$Y$2)*$K66*$L66*$M66</f>
        <v/>
      </c>
      <c r="AA66" s="14">
        <f>SUM(N66:Y66)</f>
        <v/>
      </c>
      <c r="AB66" s="13">
        <f>SUMPRODUCT(N66:Y66,$N$3:$Y$3)*$K66*$L66*$M66</f>
        <v/>
      </c>
      <c r="AC66" s="13">
        <f>SUMPRODUCT(N66:Y66,$N$4:$Y$4)*$K66*$L66*$M66</f>
        <v/>
      </c>
      <c r="AD66" s="15" t="n">
        <v>58.36</v>
      </c>
      <c r="AE66" s="11" t="n">
        <v>1.010350282042735</v>
      </c>
      <c r="AF66" s="16">
        <f>SUMPRODUCT(N66:Y66,$N$5:$Y$5)*$K66*$L66*$M66</f>
        <v/>
      </c>
      <c r="AG66" s="16">
        <f>SUMPRODUCT(N66:Y66,$N$6:$Y$6)*$K66*$L66*$M66</f>
        <v/>
      </c>
      <c r="AH66" s="20" t="n"/>
    </row>
    <row r="67">
      <c r="A67" s="9" t="n">
        <v>679885</v>
      </c>
      <c r="B67" s="9" t="inlineStr">
        <is>
          <t>Justin Martinez</t>
        </is>
      </c>
      <c r="C67" s="9" t="inlineStr">
        <is>
          <t>ARI</t>
        </is>
      </c>
      <c r="D67" s="9" t="n">
        <v>25</v>
      </c>
      <c r="E67" s="18" t="inlineStr">
        <is>
          <t>R</t>
        </is>
      </c>
      <c r="F67" s="18" t="n"/>
      <c r="G67" s="9" t="n">
        <v>55</v>
      </c>
      <c r="H67" s="9" t="n">
        <v>487</v>
      </c>
      <c r="I67" s="9" t="inlineStr">
        <is>
          <t>Closer</t>
        </is>
      </c>
      <c r="J67" s="18" t="inlineStr">
        <is>
          <t>Opening Day</t>
        </is>
      </c>
      <c r="K67" s="11">
        <f>IFERROR(INDEX(Roles!$B$17:$B$20,MATCH(J67,Roles!$A$17:$A$20,0)),1)</f>
        <v/>
      </c>
      <c r="L67" s="19" t="n">
        <v>1</v>
      </c>
      <c r="M67" s="11" t="n">
        <v>1</v>
      </c>
      <c r="N67" s="19" t="n"/>
      <c r="O67" s="19" t="n"/>
      <c r="P67" s="19" t="n"/>
      <c r="Q67" s="19" t="n"/>
      <c r="R67" s="19" t="n"/>
      <c r="S67" s="19" t="n"/>
      <c r="T67" s="19" t="n">
        <v>0.85</v>
      </c>
      <c r="U67" s="19" t="n">
        <v>0.15</v>
      </c>
      <c r="V67" s="19" t="n"/>
      <c r="W67" s="19" t="n"/>
      <c r="X67" s="19" t="n"/>
      <c r="Y67" s="19" t="n"/>
      <c r="Z67" s="13">
        <f>SUMPRODUCT(N67:Y67,$N$2:$Y$2)*$K67*$L67*$M67</f>
        <v/>
      </c>
      <c r="AA67" s="14">
        <f>SUM(N67:Y67)</f>
        <v/>
      </c>
      <c r="AB67" s="13">
        <f>SUMPRODUCT(N67:Y67,$N$3:$Y$3)*$K67*$L67*$M67</f>
        <v/>
      </c>
      <c r="AC67" s="13">
        <f>SUMPRODUCT(N67:Y67,$N$4:$Y$4)*$K67*$L67*$M67</f>
        <v/>
      </c>
      <c r="AD67" s="15" t="n">
        <v>34.46</v>
      </c>
      <c r="AE67" s="11" t="n">
        <v>1.003273879678374</v>
      </c>
      <c r="AF67" s="16">
        <f>SUMPRODUCT(N67:Y67,$N$5:$Y$5)*$K67*$L67*$M67</f>
        <v/>
      </c>
      <c r="AG67" s="16">
        <f>SUMPRODUCT(N67:Y67,$N$6:$Y$6)*$K67*$L67*$M67</f>
        <v/>
      </c>
      <c r="AH67" s="20" t="n"/>
    </row>
    <row r="68">
      <c r="A68" s="9" t="n">
        <v>676879</v>
      </c>
      <c r="B68" s="9" t="inlineStr">
        <is>
          <t>Aaron Ashby</t>
        </is>
      </c>
      <c r="C68" s="9" t="inlineStr">
        <is>
          <t>MIL</t>
        </is>
      </c>
      <c r="D68" s="9" t="n">
        <v>29</v>
      </c>
      <c r="E68" s="18" t="inlineStr">
        <is>
          <t>L</t>
        </is>
      </c>
      <c r="F68" s="18" t="n"/>
      <c r="G68" s="9" t="n">
        <v>383</v>
      </c>
      <c r="H68" s="9" t="n">
        <v>1247</v>
      </c>
      <c r="I68" s="9" t="inlineStr">
        <is>
          <t>Late Inning RP (Setup)</t>
        </is>
      </c>
      <c r="J68" s="18" t="inlineStr">
        <is>
          <t>Opening Day</t>
        </is>
      </c>
      <c r="K68" s="11">
        <f>IFERROR(INDEX(Roles!$B$17:$B$20,MATCH(J68,Roles!$A$17:$A$20,0)),1)</f>
        <v/>
      </c>
      <c r="L68" s="19" t="n">
        <v>1</v>
      </c>
      <c r="M68" s="11" t="n">
        <v>1</v>
      </c>
      <c r="N68" s="19" t="n"/>
      <c r="O68" s="19" t="n"/>
      <c r="P68" s="19" t="n"/>
      <c r="Q68" s="19" t="n"/>
      <c r="R68" s="19" t="n"/>
      <c r="S68" s="19" t="n"/>
      <c r="T68" s="19" t="n"/>
      <c r="U68" s="19" t="n">
        <v>0.85</v>
      </c>
      <c r="V68" s="19" t="n">
        <v>0.15</v>
      </c>
      <c r="W68" s="19" t="n"/>
      <c r="X68" s="19" t="n"/>
      <c r="Y68" s="19" t="n"/>
      <c r="Z68" s="13">
        <f>SUMPRODUCT(N68:Y68,$N$2:$Y$2)*$K68*$L68*$M68</f>
        <v/>
      </c>
      <c r="AA68" s="14">
        <f>SUM(N68:Y68)</f>
        <v/>
      </c>
      <c r="AB68" s="13">
        <f>SUMPRODUCT(N68:Y68,$N$3:$Y$3)*$K68*$L68*$M68</f>
        <v/>
      </c>
      <c r="AC68" s="13">
        <f>SUMPRODUCT(N68:Y68,$N$4:$Y$4)*$K68*$L68*$M68</f>
        <v/>
      </c>
      <c r="AD68" s="15" t="n">
        <v>51.7</v>
      </c>
      <c r="AE68" s="11" t="n">
        <v>1.100405982905983</v>
      </c>
      <c r="AF68" s="16">
        <f>SUMPRODUCT(N68:Y68,$N$5:$Y$5)*$K68*$L68*$M68</f>
        <v/>
      </c>
      <c r="AG68" s="16">
        <f>SUMPRODUCT(N68:Y68,$N$6:$Y$6)*$K68*$L68*$M68</f>
        <v/>
      </c>
      <c r="AH68" s="20" t="n"/>
    </row>
    <row r="69">
      <c r="A69" s="9" t="n">
        <v>523260</v>
      </c>
      <c r="B69" s="9" t="inlineStr">
        <is>
          <t>Joe Kelly</t>
        </is>
      </c>
      <c r="C69" s="9" t="inlineStr">
        <is>
          <t>LAD</t>
        </is>
      </c>
      <c r="D69" s="9" t="n">
        <v>39</v>
      </c>
      <c r="E69" s="18" t="inlineStr">
        <is>
          <t>R</t>
        </is>
      </c>
      <c r="F69" s="18" t="n"/>
      <c r="G69" s="9" t="n">
        <v>143</v>
      </c>
      <c r="H69" s="9" t="n">
        <v>481</v>
      </c>
      <c r="I69" s="9" t="inlineStr">
        <is>
          <t>Depth (no MLB IP)</t>
        </is>
      </c>
      <c r="J69" s="18" t="inlineStr">
        <is>
          <t>Opening Day</t>
        </is>
      </c>
      <c r="K69" s="11">
        <f>IFERROR(INDEX(Roles!$B$17:$B$20,MATCH(J69,Roles!$A$17:$A$20,0)),1)</f>
        <v/>
      </c>
      <c r="L69" s="19" t="n">
        <v>1</v>
      </c>
      <c r="M69" s="11" t="n">
        <v>1</v>
      </c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>
        <v>1</v>
      </c>
      <c r="Z69" s="13">
        <f>SUMPRODUCT(N69:Y69,$N$2:$Y$2)*$K69*$L69*$M69</f>
        <v/>
      </c>
      <c r="AA69" s="14">
        <f>SUM(N69:Y69)</f>
        <v/>
      </c>
      <c r="AB69" s="13">
        <f>SUMPRODUCT(N69:Y69,$N$3:$Y$3)*$K69*$L69*$M69</f>
        <v/>
      </c>
      <c r="AC69" s="13">
        <f>SUMPRODUCT(N69:Y69,$N$4:$Y$4)*$K69*$L69*$M69</f>
        <v/>
      </c>
      <c r="AD69" s="15" t="n">
        <v>22.2</v>
      </c>
      <c r="AE69" s="11" t="n">
        <v>0.9789594356261022</v>
      </c>
      <c r="AF69" s="16">
        <f>SUMPRODUCT(N69:Y69,$N$5:$Y$5)*$K69*$L69*$M69</f>
        <v/>
      </c>
      <c r="AG69" s="16">
        <f>SUMPRODUCT(N69:Y69,$N$6:$Y$6)*$K69*$L69*$M69</f>
        <v/>
      </c>
      <c r="AH69" s="20" t="n"/>
    </row>
    <row r="70">
      <c r="A70" s="9" t="n">
        <v>668909</v>
      </c>
      <c r="B70" s="9" t="inlineStr">
        <is>
          <t>Gavin Williams</t>
        </is>
      </c>
      <c r="C70" s="9" t="inlineStr">
        <is>
          <t>CLE</t>
        </is>
      </c>
      <c r="D70" s="9" t="n">
        <v>27</v>
      </c>
      <c r="E70" s="18" t="inlineStr">
        <is>
          <t>R</t>
        </is>
      </c>
      <c r="F70" s="18" t="n"/>
      <c r="G70" s="9" t="n">
        <v>746</v>
      </c>
      <c r="H70" s="9" t="n">
        <v>2127</v>
      </c>
      <c r="I70" s="9" t="inlineStr">
        <is>
          <t>Mid-Rotation Starter (SP2-3)</t>
        </is>
      </c>
      <c r="J70" s="18" t="inlineStr">
        <is>
          <t>Opening Day</t>
        </is>
      </c>
      <c r="K70" s="11">
        <f>IFERROR(INDEX(Roles!$B$17:$B$20,MATCH(J70,Roles!$A$17:$A$20,0)),1)</f>
        <v/>
      </c>
      <c r="L70" s="19" t="n">
        <v>1</v>
      </c>
      <c r="M70" s="11" t="n">
        <v>1</v>
      </c>
      <c r="N70" s="19" t="n"/>
      <c r="O70" s="19" t="n">
        <v>0.5</v>
      </c>
      <c r="P70" s="19" t="n">
        <v>0.5</v>
      </c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3">
        <f>SUMPRODUCT(N70:Y70,$N$2:$Y$2)*$K70*$L70*$M70</f>
        <v/>
      </c>
      <c r="AA70" s="14">
        <f>SUM(N70:Y70)</f>
        <v/>
      </c>
      <c r="AB70" s="13">
        <f>SUMPRODUCT(N70:Y70,$N$3:$Y$3)*$K70*$L70*$M70</f>
        <v/>
      </c>
      <c r="AC70" s="13">
        <f>SUMPRODUCT(N70:Y70,$N$4:$Y$4)*$K70*$L70*$M70</f>
        <v/>
      </c>
      <c r="AD70" s="15" t="n">
        <v>27.8</v>
      </c>
      <c r="AE70" s="11" t="n">
        <v>5.316915914802456</v>
      </c>
      <c r="AF70" s="16">
        <f>SUMPRODUCT(N70:Y70,$N$5:$Y$5)*$K70*$L70*$M70</f>
        <v/>
      </c>
      <c r="AG70" s="16">
        <f>SUMPRODUCT(N70:Y70,$N$6:$Y$6)*$K70*$L70*$M70</f>
        <v/>
      </c>
      <c r="AH70" s="20" t="n"/>
    </row>
    <row r="71">
      <c r="A71" s="9" t="n">
        <v>642100</v>
      </c>
      <c r="B71" s="9" t="inlineStr">
        <is>
          <t>Gabe Speier</t>
        </is>
      </c>
      <c r="C71" s="9" t="inlineStr">
        <is>
          <t>SEA</t>
        </is>
      </c>
      <c r="D71" s="9" t="n">
        <v>32</v>
      </c>
      <c r="E71" s="18" t="inlineStr">
        <is>
          <t>L</t>
        </is>
      </c>
      <c r="F71" s="18" t="n"/>
      <c r="G71" s="9" t="n">
        <v>190</v>
      </c>
      <c r="H71" s="9" t="n">
        <v>830</v>
      </c>
      <c r="I71" s="9" t="inlineStr">
        <is>
          <t>Late Inning RP (Setup)</t>
        </is>
      </c>
      <c r="J71" s="18" t="inlineStr">
        <is>
          <t>Opening Day</t>
        </is>
      </c>
      <c r="K71" s="11">
        <f>IFERROR(INDEX(Roles!$B$17:$B$20,MATCH(J71,Roles!$A$17:$A$20,0)),1)</f>
        <v/>
      </c>
      <c r="L71" s="19" t="n">
        <v>1</v>
      </c>
      <c r="M71" s="11" t="n">
        <v>1</v>
      </c>
      <c r="N71" s="19" t="n"/>
      <c r="O71" s="19" t="n"/>
      <c r="P71" s="19" t="n"/>
      <c r="Q71" s="19" t="n"/>
      <c r="R71" s="19" t="n"/>
      <c r="S71" s="19" t="n"/>
      <c r="T71" s="19" t="n">
        <v>0.4</v>
      </c>
      <c r="U71" s="19" t="n">
        <v>0.6</v>
      </c>
      <c r="V71" s="19" t="n"/>
      <c r="W71" s="19" t="n"/>
      <c r="X71" s="19" t="n"/>
      <c r="Y71" s="19" t="n"/>
      <c r="Z71" s="13">
        <f>SUMPRODUCT(N71:Y71,$N$2:$Y$2)*$K71*$L71*$M71</f>
        <v/>
      </c>
      <c r="AA71" s="14">
        <f>SUM(N71:Y71)</f>
        <v/>
      </c>
      <c r="AB71" s="13">
        <f>SUMPRODUCT(N71:Y71,$N$3:$Y$3)*$K71*$L71*$M71</f>
        <v/>
      </c>
      <c r="AC71" s="13">
        <f>SUMPRODUCT(N71:Y71,$N$4:$Y$4)*$K71*$L71*$M71</f>
        <v/>
      </c>
      <c r="AD71" s="15" t="n">
        <v>53.5</v>
      </c>
      <c r="AE71" s="11" t="n">
        <v>0.9373380304502754</v>
      </c>
      <c r="AF71" s="16">
        <f>SUMPRODUCT(N71:Y71,$N$5:$Y$5)*$K71*$L71*$M71</f>
        <v/>
      </c>
      <c r="AG71" s="16">
        <f>SUMPRODUCT(N71:Y71,$N$6:$Y$6)*$K71*$L71*$M71</f>
        <v/>
      </c>
      <c r="AH71" s="20" t="n"/>
    </row>
    <row r="72">
      <c r="A72" s="9" t="n">
        <v>686218</v>
      </c>
      <c r="B72" s="9" t="inlineStr">
        <is>
          <t>Emmet Sheehan</t>
        </is>
      </c>
      <c r="C72" s="9" t="inlineStr">
        <is>
          <t>LAD</t>
        </is>
      </c>
      <c r="D72" s="9" t="n">
        <v>27</v>
      </c>
      <c r="E72" s="18" t="inlineStr">
        <is>
          <t>R</t>
        </is>
      </c>
      <c r="F72" s="18" t="n"/>
      <c r="G72" s="9" t="n">
        <v>472</v>
      </c>
      <c r="H72" s="9" t="n">
        <v>1011</v>
      </c>
      <c r="I72" s="9" t="inlineStr">
        <is>
          <t>End-of-Rotation Starter (SP4-5)</t>
        </is>
      </c>
      <c r="J72" s="18" t="inlineStr">
        <is>
          <t>Opening Day</t>
        </is>
      </c>
      <c r="K72" s="11">
        <f>IFERROR(INDEX(Roles!$B$17:$B$20,MATCH(J72,Roles!$A$17:$A$20,0)),1)</f>
        <v/>
      </c>
      <c r="L72" s="19" t="n">
        <v>1</v>
      </c>
      <c r="M72" s="11" t="n">
        <v>1</v>
      </c>
      <c r="N72" s="19" t="n"/>
      <c r="O72" s="19" t="n"/>
      <c r="P72" s="19" t="n">
        <v>1</v>
      </c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3">
        <f>SUMPRODUCT(N72:Y72,$N$2:$Y$2)*$K72*$L72*$M72</f>
        <v/>
      </c>
      <c r="AA72" s="14">
        <f>SUM(N72:Y72)</f>
        <v/>
      </c>
      <c r="AB72" s="13">
        <f>SUMPRODUCT(N72:Y72,$N$3:$Y$3)*$K72*$L72*$M72</f>
        <v/>
      </c>
      <c r="AC72" s="13">
        <f>SUMPRODUCT(N72:Y72,$N$4:$Y$4)*$K72*$L72*$M72</f>
        <v/>
      </c>
      <c r="AD72" s="15" t="n">
        <v>18.28</v>
      </c>
      <c r="AE72" s="11" t="n">
        <v>4.665544332210999</v>
      </c>
      <c r="AF72" s="16">
        <f>SUMPRODUCT(N72:Y72,$N$5:$Y$5)*$K72*$L72*$M72</f>
        <v/>
      </c>
      <c r="AG72" s="16">
        <f>SUMPRODUCT(N72:Y72,$N$6:$Y$6)*$K72*$L72*$M72</f>
        <v/>
      </c>
      <c r="AH72" s="20" t="n"/>
    </row>
    <row r="73">
      <c r="A73" s="9" t="n">
        <v>671305</v>
      </c>
      <c r="B73" s="9" t="inlineStr">
        <is>
          <t>Michel Otañez</t>
        </is>
      </c>
      <c r="C73" s="9" t="inlineStr">
        <is>
          <t>OAK</t>
        </is>
      </c>
      <c r="D73" s="9" t="n">
        <v>29</v>
      </c>
      <c r="E73" s="18" t="inlineStr">
        <is>
          <t>R</t>
        </is>
      </c>
      <c r="F73" s="18" t="n"/>
      <c r="G73" s="9" t="n">
        <v>28</v>
      </c>
      <c r="H73" s="9" t="n">
        <v>179</v>
      </c>
      <c r="I73" s="9" t="inlineStr">
        <is>
          <t>Bullpen Depth Arm</t>
        </is>
      </c>
      <c r="J73" s="18" t="inlineStr">
        <is>
          <t>Opening Day</t>
        </is>
      </c>
      <c r="K73" s="11">
        <f>IFERROR(INDEX(Roles!$B$17:$B$20,MATCH(J73,Roles!$A$17:$A$20,0)),1)</f>
        <v/>
      </c>
      <c r="L73" s="19" t="n">
        <v>1</v>
      </c>
      <c r="M73" s="11" t="n">
        <v>1</v>
      </c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>
        <v>0.15</v>
      </c>
      <c r="W73" s="19" t="n">
        <v>0.85</v>
      </c>
      <c r="X73" s="19" t="n"/>
      <c r="Y73" s="19" t="n"/>
      <c r="Z73" s="13">
        <f>SUMPRODUCT(N73:Y73,$N$2:$Y$2)*$K73*$L73*$M73</f>
        <v/>
      </c>
      <c r="AA73" s="14">
        <f>SUM(N73:Y73)</f>
        <v/>
      </c>
      <c r="AB73" s="13">
        <f>SUMPRODUCT(N73:Y73,$N$3:$Y$3)*$K73*$L73*$M73</f>
        <v/>
      </c>
      <c r="AC73" s="13">
        <f>SUMPRODUCT(N73:Y73,$N$4:$Y$4)*$K73*$L73*$M73</f>
        <v/>
      </c>
      <c r="AD73" s="15" t="n">
        <v>15.26666666666667</v>
      </c>
      <c r="AE73" s="11" t="n">
        <v>1.111692320025653</v>
      </c>
      <c r="AF73" s="16">
        <f>SUMPRODUCT(N73:Y73,$N$5:$Y$5)*$K73*$L73*$M73</f>
        <v/>
      </c>
      <c r="AG73" s="16">
        <f>SUMPRODUCT(N73:Y73,$N$6:$Y$6)*$K73*$L73*$M73</f>
        <v/>
      </c>
      <c r="AH73" s="20" t="n"/>
    </row>
    <row r="74">
      <c r="A74" s="9" t="n">
        <v>673380</v>
      </c>
      <c r="B74" s="9" t="inlineStr">
        <is>
          <t>Dedniel Núñez</t>
        </is>
      </c>
      <c r="C74" s="9" t="inlineStr">
        <is>
          <t>NYM</t>
        </is>
      </c>
      <c r="D74" s="9" t="n">
        <v>31</v>
      </c>
      <c r="E74" s="18" t="inlineStr">
        <is>
          <t>R</t>
        </is>
      </c>
      <c r="F74" s="18" t="n"/>
      <c r="G74" s="9" t="n">
        <v>72</v>
      </c>
      <c r="H74" s="9" t="n">
        <v>248</v>
      </c>
      <c r="I74" s="9" t="inlineStr">
        <is>
          <t>Late Inning RP (Setup)</t>
        </is>
      </c>
      <c r="J74" s="18" t="inlineStr">
        <is>
          <t>Opening Day</t>
        </is>
      </c>
      <c r="K74" s="11">
        <f>IFERROR(INDEX(Roles!$B$17:$B$20,MATCH(J74,Roles!$A$17:$A$20,0)),1)</f>
        <v/>
      </c>
      <c r="L74" s="19" t="n">
        <v>1</v>
      </c>
      <c r="M74" s="11" t="n">
        <v>1</v>
      </c>
      <c r="N74" s="19" t="n"/>
      <c r="O74" s="19" t="n"/>
      <c r="P74" s="19" t="n"/>
      <c r="Q74" s="19" t="n"/>
      <c r="R74" s="19" t="n"/>
      <c r="S74" s="19" t="n"/>
      <c r="T74" s="19" t="n"/>
      <c r="U74" s="19" t="n">
        <v>0.85</v>
      </c>
      <c r="V74" s="19" t="n">
        <v>0.15</v>
      </c>
      <c r="W74" s="19" t="n"/>
      <c r="X74" s="19" t="n"/>
      <c r="Y74" s="19" t="n"/>
      <c r="Z74" s="13">
        <f>SUMPRODUCT(N74:Y74,$N$2:$Y$2)*$K74*$L74*$M74</f>
        <v/>
      </c>
      <c r="AA74" s="14">
        <f>SUM(N74:Y74)</f>
        <v/>
      </c>
      <c r="AB74" s="13">
        <f>SUMPRODUCT(N74:Y74,$N$3:$Y$3)*$K74*$L74*$M74</f>
        <v/>
      </c>
      <c r="AC74" s="13">
        <f>SUMPRODUCT(N74:Y74,$N$4:$Y$4)*$K74*$L74*$M74</f>
        <v/>
      </c>
      <c r="AD74" s="15" t="n">
        <v>29.1</v>
      </c>
      <c r="AE74" s="11" t="n">
        <v>1.034581930415264</v>
      </c>
      <c r="AF74" s="16">
        <f>SUMPRODUCT(N74:Y74,$N$5:$Y$5)*$K74*$L74*$M74</f>
        <v/>
      </c>
      <c r="AG74" s="16">
        <f>SUMPRODUCT(N74:Y74,$N$6:$Y$6)*$K74*$L74*$M74</f>
        <v/>
      </c>
      <c r="AH74" s="20" t="n"/>
    </row>
    <row r="75">
      <c r="A75" s="9" t="n">
        <v>518886</v>
      </c>
      <c r="B75" s="9" t="inlineStr">
        <is>
          <t>Craig Kimbrel</t>
        </is>
      </c>
      <c r="C75" s="9" t="inlineStr">
        <is>
          <t>KC</t>
        </is>
      </c>
      <c r="D75" s="9" t="n">
        <v>39</v>
      </c>
      <c r="E75" s="18" t="inlineStr">
        <is>
          <t>R</t>
        </is>
      </c>
      <c r="F75" s="18" t="n"/>
      <c r="G75" s="9" t="n">
        <v>196</v>
      </c>
      <c r="H75" s="9" t="n">
        <v>1015</v>
      </c>
      <c r="I75" s="9" t="inlineStr">
        <is>
          <t>Late Inning RP (Setup)</t>
        </is>
      </c>
      <c r="J75" s="18" t="inlineStr">
        <is>
          <t>Opening Day</t>
        </is>
      </c>
      <c r="K75" s="11">
        <f>IFERROR(INDEX(Roles!$B$17:$B$20,MATCH(J75,Roles!$A$17:$A$20,0)),1)</f>
        <v/>
      </c>
      <c r="L75" s="19" t="n">
        <v>1</v>
      </c>
      <c r="M75" s="11" t="n">
        <v>1</v>
      </c>
      <c r="N75" s="19" t="n"/>
      <c r="O75" s="19" t="n"/>
      <c r="P75" s="19" t="n"/>
      <c r="Q75" s="19" t="n"/>
      <c r="R75" s="19" t="n"/>
      <c r="S75" s="19" t="n"/>
      <c r="T75" s="19" t="n"/>
      <c r="U75" s="19" t="n">
        <v>0.85</v>
      </c>
      <c r="V75" s="19" t="n">
        <v>0.15</v>
      </c>
      <c r="W75" s="19" t="n"/>
      <c r="X75" s="19" t="n"/>
      <c r="Y75" s="19" t="n"/>
      <c r="Z75" s="13">
        <f>SUMPRODUCT(N75:Y75,$N$2:$Y$2)*$K75*$L75*$M75</f>
        <v/>
      </c>
      <c r="AA75" s="14">
        <f>SUM(N75:Y75)</f>
        <v/>
      </c>
      <c r="AB75" s="13">
        <f>SUMPRODUCT(N75:Y75,$N$3:$Y$3)*$K75*$L75*$M75</f>
        <v/>
      </c>
      <c r="AC75" s="13">
        <f>SUMPRODUCT(N75:Y75,$N$4:$Y$4)*$K75*$L75*$M75</f>
        <v/>
      </c>
      <c r="AD75" s="15" t="n">
        <v>41.5</v>
      </c>
      <c r="AE75" s="11" t="n">
        <v>0.9801008968609864</v>
      </c>
      <c r="AF75" s="16">
        <f>SUMPRODUCT(N75:Y75,$N$5:$Y$5)*$K75*$L75*$M75</f>
        <v/>
      </c>
      <c r="AG75" s="16">
        <f>SUMPRODUCT(N75:Y75,$N$6:$Y$6)*$K75*$L75*$M75</f>
        <v/>
      </c>
      <c r="AH75" s="20" t="n"/>
    </row>
    <row r="76">
      <c r="A76" s="9" t="n">
        <v>621345</v>
      </c>
      <c r="B76" s="9" t="inlineStr">
        <is>
          <t>A.J. Minter</t>
        </is>
      </c>
      <c r="C76" s="9" t="inlineStr">
        <is>
          <t>MIN</t>
        </is>
      </c>
      <c r="D76" s="9" t="n">
        <v>33</v>
      </c>
      <c r="E76" s="18" t="inlineStr">
        <is>
          <t>L</t>
        </is>
      </c>
      <c r="F76" s="18" t="n"/>
      <c r="G76" s="9" t="n">
        <v>186</v>
      </c>
      <c r="H76" s="9" t="n">
        <v>895</v>
      </c>
      <c r="I76" s="9" t="inlineStr">
        <is>
          <t>Late Inning RP (Setup)</t>
        </is>
      </c>
      <c r="J76" s="18" t="inlineStr">
        <is>
          <t>Opening Day</t>
        </is>
      </c>
      <c r="K76" s="11">
        <f>IFERROR(INDEX(Roles!$B$17:$B$20,MATCH(J76,Roles!$A$17:$A$20,0)),1)</f>
        <v/>
      </c>
      <c r="L76" s="19" t="n">
        <v>1</v>
      </c>
      <c r="M76" s="11" t="n">
        <v>1</v>
      </c>
      <c r="N76" s="19" t="n"/>
      <c r="O76" s="19" t="n"/>
      <c r="P76" s="19" t="n"/>
      <c r="Q76" s="19" t="n"/>
      <c r="R76" s="19" t="n"/>
      <c r="S76" s="19" t="n"/>
      <c r="T76" s="19" t="n"/>
      <c r="U76" s="19" t="n">
        <v>0.85</v>
      </c>
      <c r="V76" s="19" t="n">
        <v>0.15</v>
      </c>
      <c r="W76" s="19" t="n"/>
      <c r="X76" s="19" t="n"/>
      <c r="Y76" s="19" t="n"/>
      <c r="Z76" s="13">
        <f>SUMPRODUCT(N76:Y76,$N$2:$Y$2)*$K76*$L76*$M76</f>
        <v/>
      </c>
      <c r="AA76" s="14">
        <f>SUM(N76:Y76)</f>
        <v/>
      </c>
      <c r="AB76" s="13">
        <f>SUMPRODUCT(N76:Y76,$N$3:$Y$3)*$K76*$L76*$M76</f>
        <v/>
      </c>
      <c r="AC76" s="13">
        <f>SUMPRODUCT(N76:Y76,$N$4:$Y$4)*$K76*$L76*$M76</f>
        <v/>
      </c>
      <c r="AD76" s="15" t="n">
        <v>40.1</v>
      </c>
      <c r="AE76" s="11" t="n">
        <v>0.96806884635832</v>
      </c>
      <c r="AF76" s="16">
        <f>SUMPRODUCT(N76:Y76,$N$5:$Y$5)*$K76*$L76*$M76</f>
        <v/>
      </c>
      <c r="AG76" s="16">
        <f>SUMPRODUCT(N76:Y76,$N$6:$Y$6)*$K76*$L76*$M76</f>
        <v/>
      </c>
      <c r="AH76" s="20" t="n"/>
    </row>
    <row r="77">
      <c r="A77" s="9" t="n">
        <v>669062</v>
      </c>
      <c r="B77" s="9" t="inlineStr">
        <is>
          <t>Erik Miller</t>
        </is>
      </c>
      <c r="C77" s="9" t="inlineStr">
        <is>
          <t>BOS</t>
        </is>
      </c>
      <c r="D77" s="9" t="n">
        <v>29</v>
      </c>
      <c r="E77" s="18" t="inlineStr">
        <is>
          <t>L</t>
        </is>
      </c>
      <c r="F77" s="18" t="n"/>
      <c r="G77" s="9" t="n">
        <v>227</v>
      </c>
      <c r="H77" s="9" t="n">
        <v>639</v>
      </c>
      <c r="I77" s="9" t="inlineStr">
        <is>
          <t>Late Inning RP (Setup)</t>
        </is>
      </c>
      <c r="J77" s="18" t="inlineStr">
        <is>
          <t>Opening Day</t>
        </is>
      </c>
      <c r="K77" s="11">
        <f>IFERROR(INDEX(Roles!$B$17:$B$20,MATCH(J77,Roles!$A$17:$A$20,0)),1)</f>
        <v/>
      </c>
      <c r="L77" s="19" t="n">
        <v>1</v>
      </c>
      <c r="M77" s="11" t="n">
        <v>1</v>
      </c>
      <c r="N77" s="19" t="n"/>
      <c r="O77" s="19" t="n"/>
      <c r="P77" s="19" t="n"/>
      <c r="Q77" s="19" t="n"/>
      <c r="R77" s="19" t="n"/>
      <c r="S77" s="19" t="n"/>
      <c r="T77" s="19" t="n"/>
      <c r="U77" s="19" t="n">
        <v>0.85</v>
      </c>
      <c r="V77" s="19" t="n">
        <v>0.15</v>
      </c>
      <c r="W77" s="19" t="n"/>
      <c r="X77" s="19" t="n"/>
      <c r="Y77" s="19" t="n"/>
      <c r="Z77" s="13">
        <f>SUMPRODUCT(N77:Y77,$N$2:$Y$2)*$K77*$L77*$M77</f>
        <v/>
      </c>
      <c r="AA77" s="14">
        <f>SUM(N77:Y77)</f>
        <v/>
      </c>
      <c r="AB77" s="13">
        <f>SUMPRODUCT(N77:Y77,$N$3:$Y$3)*$K77*$L77*$M77</f>
        <v/>
      </c>
      <c r="AC77" s="13">
        <f>SUMPRODUCT(N77:Y77,$N$4:$Y$4)*$K77*$L77*$M77</f>
        <v/>
      </c>
      <c r="AD77" s="15" t="n">
        <v>50.8</v>
      </c>
      <c r="AE77" s="11" t="n">
        <v>0.956487341772152</v>
      </c>
      <c r="AF77" s="16">
        <f>SUMPRODUCT(N77:Y77,$N$5:$Y$5)*$K77*$L77*$M77</f>
        <v/>
      </c>
      <c r="AG77" s="16">
        <f>SUMPRODUCT(N77:Y77,$N$6:$Y$6)*$K77*$L77*$M77</f>
        <v/>
      </c>
      <c r="AH77" s="20" t="n"/>
    </row>
    <row r="78">
      <c r="A78" s="9" t="n">
        <v>628452</v>
      </c>
      <c r="B78" s="9" t="inlineStr">
        <is>
          <t>Raisel Iglesias</t>
        </is>
      </c>
      <c r="C78" s="9" t="inlineStr">
        <is>
          <t>ATL</t>
        </is>
      </c>
      <c r="D78" s="9" t="n">
        <v>37</v>
      </c>
      <c r="E78" s="18" t="inlineStr">
        <is>
          <t>R</t>
        </is>
      </c>
      <c r="F78" s="18" t="n"/>
      <c r="G78" s="9" t="n">
        <v>239</v>
      </c>
      <c r="H78" s="9" t="n">
        <v>1241</v>
      </c>
      <c r="I78" s="9" t="inlineStr">
        <is>
          <t>Closer</t>
        </is>
      </c>
      <c r="J78" s="18" t="inlineStr">
        <is>
          <t>Opening Day</t>
        </is>
      </c>
      <c r="K78" s="11">
        <f>IFERROR(INDEX(Roles!$B$17:$B$20,MATCH(J78,Roles!$A$17:$A$20,0)),1)</f>
        <v/>
      </c>
      <c r="L78" s="19" t="n">
        <v>1</v>
      </c>
      <c r="M78" s="11" t="n">
        <v>1</v>
      </c>
      <c r="N78" s="19" t="n"/>
      <c r="O78" s="19" t="n"/>
      <c r="P78" s="19" t="n"/>
      <c r="Q78" s="19" t="n"/>
      <c r="R78" s="19" t="n"/>
      <c r="S78" s="19" t="n"/>
      <c r="T78" s="19" t="n">
        <v>0.85</v>
      </c>
      <c r="U78" s="19" t="n">
        <v>0.15</v>
      </c>
      <c r="V78" s="19" t="n"/>
      <c r="W78" s="19" t="n"/>
      <c r="X78" s="19" t="n"/>
      <c r="Y78" s="19" t="n"/>
      <c r="Z78" s="13">
        <f>SUMPRODUCT(N78:Y78,$N$2:$Y$2)*$K78*$L78*$M78</f>
        <v/>
      </c>
      <c r="AA78" s="14">
        <f>SUM(N78:Y78)</f>
        <v/>
      </c>
      <c r="AB78" s="13">
        <f>SUMPRODUCT(N78:Y78,$N$3:$Y$3)*$K78*$L78*$M78</f>
        <v/>
      </c>
      <c r="AC78" s="13">
        <f>SUMPRODUCT(N78:Y78,$N$4:$Y$4)*$K78*$L78*$M78</f>
        <v/>
      </c>
      <c r="AD78" s="15" t="n">
        <v>58.46</v>
      </c>
      <c r="AE78" s="11" t="n">
        <v>1.00336720092052</v>
      </c>
      <c r="AF78" s="16">
        <f>SUMPRODUCT(N78:Y78,$N$5:$Y$5)*$K78*$L78*$M78</f>
        <v/>
      </c>
      <c r="AG78" s="16">
        <f>SUMPRODUCT(N78:Y78,$N$6:$Y$6)*$K78*$L78*$M78</f>
        <v/>
      </c>
      <c r="AH78" s="20" t="n"/>
    </row>
    <row r="79">
      <c r="A79" s="9" t="n">
        <v>808967</v>
      </c>
      <c r="B79" s="9" t="inlineStr">
        <is>
          <t>Yoshinobu Yamamoto</t>
        </is>
      </c>
      <c r="C79" s="9" t="inlineStr">
        <is>
          <t>LAD</t>
        </is>
      </c>
      <c r="D79" s="9" t="n">
        <v>28</v>
      </c>
      <c r="E79" s="18" t="inlineStr">
        <is>
          <t>R</t>
        </is>
      </c>
      <c r="F79" s="18" t="n"/>
      <c r="G79" s="9" t="n">
        <v>708</v>
      </c>
      <c r="H79" s="9" t="n">
        <v>1760</v>
      </c>
      <c r="I79" s="9" t="inlineStr">
        <is>
          <t>Mid-Rotation Starter (SP2-3)</t>
        </is>
      </c>
      <c r="J79" s="18" t="inlineStr">
        <is>
          <t>Opening Day</t>
        </is>
      </c>
      <c r="K79" s="11">
        <f>IFERROR(INDEX(Roles!$B$17:$B$20,MATCH(J79,Roles!$A$17:$A$20,0)),1)</f>
        <v/>
      </c>
      <c r="L79" s="19" t="n">
        <v>1</v>
      </c>
      <c r="M79" s="11" t="n">
        <v>1</v>
      </c>
      <c r="N79" s="19" t="n"/>
      <c r="O79" s="19" t="n">
        <v>0.5</v>
      </c>
      <c r="P79" s="19" t="n">
        <v>0.5</v>
      </c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3">
        <f>SUMPRODUCT(N79:Y79,$N$2:$Y$2)*$K79*$L79*$M79</f>
        <v/>
      </c>
      <c r="AA79" s="14">
        <f>SUM(N79:Y79)</f>
        <v/>
      </c>
      <c r="AB79" s="13">
        <f>SUMPRODUCT(N79:Y79,$N$3:$Y$3)*$K79*$L79*$M79</f>
        <v/>
      </c>
      <c r="AC79" s="13">
        <f>SUMPRODUCT(N79:Y79,$N$4:$Y$4)*$K79*$L79*$M79</f>
        <v/>
      </c>
      <c r="AD79" s="15" t="n">
        <v>26.6</v>
      </c>
      <c r="AE79" s="11" t="n">
        <v>5.51137218460994</v>
      </c>
      <c r="AF79" s="16">
        <f>SUMPRODUCT(N79:Y79,$N$5:$Y$5)*$K79*$L79*$M79</f>
        <v/>
      </c>
      <c r="AG79" s="16">
        <f>SUMPRODUCT(N79:Y79,$N$6:$Y$6)*$K79*$L79*$M79</f>
        <v/>
      </c>
      <c r="AH79" s="20" t="n"/>
    </row>
    <row r="80">
      <c r="A80" s="9" t="n">
        <v>543037</v>
      </c>
      <c r="B80" s="9" t="inlineStr">
        <is>
          <t>Gerrit Cole</t>
        </is>
      </c>
      <c r="C80" s="9" t="inlineStr">
        <is>
          <t>NYY</t>
        </is>
      </c>
      <c r="D80" s="9" t="n">
        <v>36</v>
      </c>
      <c r="E80" s="18" t="inlineStr">
        <is>
          <t>R</t>
        </is>
      </c>
      <c r="F80" s="18" t="n"/>
      <c r="G80" s="9" t="n">
        <v>519</v>
      </c>
      <c r="H80" s="9" t="n">
        <v>2523</v>
      </c>
      <c r="I80" s="9" t="inlineStr">
        <is>
          <t>Mid-Rotation Starter (SP2-3)</t>
        </is>
      </c>
      <c r="J80" s="18" t="inlineStr">
        <is>
          <t>Opening Day</t>
        </is>
      </c>
      <c r="K80" s="11">
        <f>IFERROR(INDEX(Roles!$B$17:$B$20,MATCH(J80,Roles!$A$17:$A$20,0)),1)</f>
        <v/>
      </c>
      <c r="L80" s="19" t="n">
        <v>1</v>
      </c>
      <c r="M80" s="11" t="n">
        <v>1</v>
      </c>
      <c r="N80" s="19" t="n"/>
      <c r="O80" s="19" t="n">
        <v>0.5</v>
      </c>
      <c r="P80" s="19" t="n">
        <v>0.5</v>
      </c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3">
        <f>SUMPRODUCT(N80:Y80,$N$2:$Y$2)*$K80*$L80*$M80</f>
        <v/>
      </c>
      <c r="AA80" s="14">
        <f>SUM(N80:Y80)</f>
        <v/>
      </c>
      <c r="AB80" s="13">
        <f>SUMPRODUCT(N80:Y80,$N$3:$Y$3)*$K80*$L80*$M80</f>
        <v/>
      </c>
      <c r="AC80" s="13">
        <f>SUMPRODUCT(N80:Y80,$N$4:$Y$4)*$K80*$L80*$M80</f>
        <v/>
      </c>
      <c r="AD80" s="15" t="n">
        <v>22.85</v>
      </c>
      <c r="AE80" s="11" t="n">
        <v>5.381180636524594</v>
      </c>
      <c r="AF80" s="16">
        <f>SUMPRODUCT(N80:Y80,$N$5:$Y$5)*$K80*$L80*$M80</f>
        <v/>
      </c>
      <c r="AG80" s="16">
        <f>SUMPRODUCT(N80:Y80,$N$6:$Y$6)*$K80*$L80*$M80</f>
        <v/>
      </c>
      <c r="AH80" s="20" t="n"/>
    </row>
    <row r="81">
      <c r="A81" s="9" t="n">
        <v>693855</v>
      </c>
      <c r="B81" s="9" t="inlineStr">
        <is>
          <t>Ian Seymour</t>
        </is>
      </c>
      <c r="C81" s="9" t="inlineStr">
        <is>
          <t>TB</t>
        </is>
      </c>
      <c r="D81" s="9" t="n">
        <v>28</v>
      </c>
      <c r="E81" s="18" t="inlineStr">
        <is>
          <t>L</t>
        </is>
      </c>
      <c r="F81" s="18" t="n"/>
      <c r="G81" s="9" t="n">
        <v>551</v>
      </c>
      <c r="H81" s="9" t="n">
        <v>793</v>
      </c>
      <c r="I81" s="9" t="inlineStr">
        <is>
          <t>Swing Arm / Long Relief</t>
        </is>
      </c>
      <c r="J81" s="18" t="inlineStr">
        <is>
          <t>Opening Day</t>
        </is>
      </c>
      <c r="K81" s="11">
        <f>IFERROR(INDEX(Roles!$B$17:$B$20,MATCH(J81,Roles!$A$17:$A$20,0)),1)</f>
        <v/>
      </c>
      <c r="L81" s="19" t="n">
        <v>1</v>
      </c>
      <c r="M81" s="11" t="n">
        <v>1</v>
      </c>
      <c r="N81" s="19" t="n"/>
      <c r="O81" s="19" t="n"/>
      <c r="P81" s="19" t="n"/>
      <c r="Q81" s="19" t="n"/>
      <c r="R81" s="19" t="n">
        <v>0.5</v>
      </c>
      <c r="S81" s="19" t="n"/>
      <c r="T81" s="19" t="n"/>
      <c r="U81" s="19" t="n"/>
      <c r="V81" s="19" t="n">
        <v>0.5</v>
      </c>
      <c r="W81" s="19" t="n"/>
      <c r="X81" s="19" t="n"/>
      <c r="Y81" s="19" t="n"/>
      <c r="Z81" s="13">
        <f>SUMPRODUCT(N81:Y81,$N$2:$Y$2)*$K81*$L81*$M81</f>
        <v/>
      </c>
      <c r="AA81" s="14">
        <f>SUM(N81:Y81)</f>
        <v/>
      </c>
      <c r="AB81" s="13">
        <f>SUMPRODUCT(N81:Y81,$N$3:$Y$3)*$K81*$L81*$M81</f>
        <v/>
      </c>
      <c r="AC81" s="13">
        <f>SUMPRODUCT(N81:Y81,$N$4:$Y$4)*$K81*$L81*$M81</f>
        <v/>
      </c>
      <c r="AD81" s="15" t="n">
        <v>29.61333333333333</v>
      </c>
      <c r="AE81" s="11" t="n">
        <v>2.621933225468348</v>
      </c>
      <c r="AF81" s="16">
        <f>SUMPRODUCT(N81:Y81,$N$5:$Y$5)*$K81*$L81*$M81</f>
        <v/>
      </c>
      <c r="AG81" s="16">
        <f>SUMPRODUCT(N81:Y81,$N$6:$Y$6)*$K81*$L81*$M81</f>
        <v/>
      </c>
      <c r="AH81" s="20" t="n"/>
    </row>
    <row r="82">
      <c r="A82" s="9" t="n">
        <v>683003</v>
      </c>
      <c r="B82" s="9" t="inlineStr">
        <is>
          <t>Jared Jones</t>
        </is>
      </c>
      <c r="C82" s="9" t="inlineStr">
        <is>
          <t>PIT</t>
        </is>
      </c>
      <c r="D82" s="9" t="n">
        <v>25</v>
      </c>
      <c r="E82" s="18" t="inlineStr">
        <is>
          <t>R</t>
        </is>
      </c>
      <c r="F82" s="18" t="n"/>
      <c r="G82" s="9" t="n">
        <v>415</v>
      </c>
      <c r="H82" s="9" t="n">
        <v>919</v>
      </c>
      <c r="I82" s="9" t="inlineStr">
        <is>
          <t>Mid-Rotation Starter (SP2-3)</t>
        </is>
      </c>
      <c r="J82" s="18" t="inlineStr">
        <is>
          <t>Opening Day</t>
        </is>
      </c>
      <c r="K82" s="11">
        <f>IFERROR(INDEX(Roles!$B$17:$B$20,MATCH(J82,Roles!$A$17:$A$20,0)),1)</f>
        <v/>
      </c>
      <c r="L82" s="19" t="n">
        <v>1</v>
      </c>
      <c r="M82" s="11" t="n">
        <v>1</v>
      </c>
      <c r="N82" s="19" t="n"/>
      <c r="O82" s="19" t="n">
        <v>0.5</v>
      </c>
      <c r="P82" s="19" t="n">
        <v>0.5</v>
      </c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3">
        <f>SUMPRODUCT(N82:Y82,$N$2:$Y$2)*$K82*$L82*$M82</f>
        <v/>
      </c>
      <c r="AA82" s="14">
        <f>SUM(N82:Y82)</f>
        <v/>
      </c>
      <c r="AB82" s="13">
        <f>SUMPRODUCT(N82:Y82,$N$3:$Y$3)*$K82*$L82*$M82</f>
        <v/>
      </c>
      <c r="AC82" s="13">
        <f>SUMPRODUCT(N82:Y82,$N$4:$Y$4)*$K82*$L82*$M82</f>
        <v/>
      </c>
      <c r="AD82" s="15" t="n">
        <v>23.15</v>
      </c>
      <c r="AE82" s="11" t="n">
        <v>5.142736664558297</v>
      </c>
      <c r="AF82" s="16">
        <f>SUMPRODUCT(N82:Y82,$N$5:$Y$5)*$K82*$L82*$M82</f>
        <v/>
      </c>
      <c r="AG82" s="16">
        <f>SUMPRODUCT(N82:Y82,$N$6:$Y$6)*$K82*$L82*$M82</f>
        <v/>
      </c>
      <c r="AH82" s="20" t="n"/>
    </row>
    <row r="83">
      <c r="A83" s="9" t="n">
        <v>643410</v>
      </c>
      <c r="B83" s="9" t="inlineStr">
        <is>
          <t>Mark Leiter Jr.</t>
        </is>
      </c>
      <c r="C83" s="9" t="inlineStr">
        <is>
          <t>OAK</t>
        </is>
      </c>
      <c r="D83" s="9" t="n">
        <v>36</v>
      </c>
      <c r="E83" s="18" t="inlineStr">
        <is>
          <t>R</t>
        </is>
      </c>
      <c r="F83" s="18" t="n"/>
      <c r="G83" s="9" t="n">
        <v>144</v>
      </c>
      <c r="H83" s="9" t="n">
        <v>1170</v>
      </c>
      <c r="I83" s="9" t="inlineStr">
        <is>
          <t>Bullpen Depth Arm</t>
        </is>
      </c>
      <c r="J83" s="18" t="inlineStr">
        <is>
          <t>Opening Day</t>
        </is>
      </c>
      <c r="K83" s="11">
        <f>IFERROR(INDEX(Roles!$B$17:$B$20,MATCH(J83,Roles!$A$17:$A$20,0)),1)</f>
        <v/>
      </c>
      <c r="L83" s="19" t="n">
        <v>1</v>
      </c>
      <c r="M83" s="11" t="n">
        <v>1</v>
      </c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>
        <v>0.15</v>
      </c>
      <c r="W83" s="19" t="n">
        <v>0.85</v>
      </c>
      <c r="X83" s="19" t="n"/>
      <c r="Y83" s="19" t="n"/>
      <c r="Z83" s="13">
        <f>SUMPRODUCT(N83:Y83,$N$2:$Y$2)*$K83*$L83*$M83</f>
        <v/>
      </c>
      <c r="AA83" s="14">
        <f>SUM(N83:Y83)</f>
        <v/>
      </c>
      <c r="AB83" s="13">
        <f>SUMPRODUCT(N83:Y83,$N$3:$Y$3)*$K83*$L83*$M83</f>
        <v/>
      </c>
      <c r="AC83" s="13">
        <f>SUMPRODUCT(N83:Y83,$N$4:$Y$4)*$K83*$L83*$M83</f>
        <v/>
      </c>
      <c r="AD83" s="15" t="n">
        <v>34.26666666666667</v>
      </c>
      <c r="AE83" s="11" t="n">
        <v>1.099486932820266</v>
      </c>
      <c r="AF83" s="16">
        <f>SUMPRODUCT(N83:Y83,$N$5:$Y$5)*$K83*$L83*$M83</f>
        <v/>
      </c>
      <c r="AG83" s="16">
        <f>SUMPRODUCT(N83:Y83,$N$6:$Y$6)*$K83*$L83*$M83</f>
        <v/>
      </c>
      <c r="AH83" s="20" t="n"/>
    </row>
    <row r="84">
      <c r="A84" s="9" t="n">
        <v>445276</v>
      </c>
      <c r="B84" s="9" t="inlineStr">
        <is>
          <t>Kenley Jansen</t>
        </is>
      </c>
      <c r="C84" s="9" t="inlineStr">
        <is>
          <t>DET</t>
        </is>
      </c>
      <c r="D84" s="9" t="n">
        <v>39</v>
      </c>
      <c r="E84" s="18" t="inlineStr">
        <is>
          <t>R</t>
        </is>
      </c>
      <c r="F84" s="18" t="n"/>
      <c r="G84" s="9" t="n">
        <v>180</v>
      </c>
      <c r="H84" s="9" t="n">
        <v>1080</v>
      </c>
      <c r="I84" s="9" t="inlineStr">
        <is>
          <t>Closer</t>
        </is>
      </c>
      <c r="J84" s="18" t="inlineStr">
        <is>
          <t>Opening Day</t>
        </is>
      </c>
      <c r="K84" s="11">
        <f>IFERROR(INDEX(Roles!$B$17:$B$20,MATCH(J84,Roles!$A$17:$A$20,0)),1)</f>
        <v/>
      </c>
      <c r="L84" s="19" t="n">
        <v>1</v>
      </c>
      <c r="M84" s="11" t="n">
        <v>1</v>
      </c>
      <c r="N84" s="19" t="n"/>
      <c r="O84" s="19" t="n"/>
      <c r="P84" s="19" t="n"/>
      <c r="Q84" s="19" t="n"/>
      <c r="R84" s="19" t="n"/>
      <c r="S84" s="19" t="n"/>
      <c r="T84" s="19" t="n">
        <v>0.85</v>
      </c>
      <c r="U84" s="19" t="n">
        <v>0.15</v>
      </c>
      <c r="V84" s="19" t="n"/>
      <c r="W84" s="19" t="n"/>
      <c r="X84" s="19" t="n"/>
      <c r="Y84" s="19" t="n"/>
      <c r="Z84" s="13">
        <f>SUMPRODUCT(N84:Y84,$N$2:$Y$2)*$K84*$L84*$M84</f>
        <v/>
      </c>
      <c r="AA84" s="14">
        <f>SUM(N84:Y84)</f>
        <v/>
      </c>
      <c r="AB84" s="13">
        <f>SUMPRODUCT(N84:Y84,$N$3:$Y$3)*$K84*$L84*$M84</f>
        <v/>
      </c>
      <c r="AC84" s="13">
        <f>SUMPRODUCT(N84:Y84,$N$4:$Y$4)*$K84*$L84*$M84</f>
        <v/>
      </c>
      <c r="AD84" s="15" t="n">
        <v>52.96</v>
      </c>
      <c r="AE84" s="11" t="n">
        <v>0.981832922261807</v>
      </c>
      <c r="AF84" s="16">
        <f>SUMPRODUCT(N84:Y84,$N$5:$Y$5)*$K84*$L84*$M84</f>
        <v/>
      </c>
      <c r="AG84" s="16">
        <f>SUMPRODUCT(N84:Y84,$N$6:$Y$6)*$K84*$L84*$M84</f>
        <v/>
      </c>
      <c r="AH84" s="20" t="n"/>
    </row>
    <row r="85">
      <c r="A85" s="9" t="n">
        <v>801139</v>
      </c>
      <c r="B85" s="9" t="inlineStr">
        <is>
          <t>Payton Tolle</t>
        </is>
      </c>
      <c r="C85" s="9" t="inlineStr">
        <is>
          <t>BOS</t>
        </is>
      </c>
      <c r="D85" s="9" t="n">
        <v>24</v>
      </c>
      <c r="E85" s="18" t="inlineStr">
        <is>
          <t>L</t>
        </is>
      </c>
      <c r="F85" s="18" t="n"/>
      <c r="G85" s="9" t="n">
        <v>603</v>
      </c>
      <c r="H85" s="9" t="n">
        <v>677</v>
      </c>
      <c r="I85" s="9" t="inlineStr">
        <is>
          <t>Mid-Rotation Starter (SP2-3)</t>
        </is>
      </c>
      <c r="J85" s="18" t="inlineStr">
        <is>
          <t>Opening Day</t>
        </is>
      </c>
      <c r="K85" s="11">
        <f>IFERROR(INDEX(Roles!$B$17:$B$20,MATCH(J85,Roles!$A$17:$A$20,0)),1)</f>
        <v/>
      </c>
      <c r="L85" s="19" t="n">
        <v>1</v>
      </c>
      <c r="M85" s="11" t="n">
        <v>1</v>
      </c>
      <c r="N85" s="19" t="n"/>
      <c r="O85" s="19" t="n">
        <v>0.5</v>
      </c>
      <c r="P85" s="19" t="n">
        <v>0.5</v>
      </c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3">
        <f>SUMPRODUCT(N85:Y85,$N$2:$Y$2)*$K85*$L85*$M85</f>
        <v/>
      </c>
      <c r="AA85" s="14">
        <f>SUM(N85:Y85)</f>
        <v/>
      </c>
      <c r="AB85" s="13">
        <f>SUMPRODUCT(N85:Y85,$N$3:$Y$3)*$K85*$L85*$M85</f>
        <v/>
      </c>
      <c r="AC85" s="13">
        <f>SUMPRODUCT(N85:Y85,$N$4:$Y$4)*$K85*$L85*$M85</f>
        <v/>
      </c>
      <c r="AD85" s="15" t="n">
        <v>21.44</v>
      </c>
      <c r="AE85" s="11" t="n">
        <v>5.203833567087425</v>
      </c>
      <c r="AF85" s="16">
        <f>SUMPRODUCT(N85:Y85,$N$5:$Y$5)*$K85*$L85*$M85</f>
        <v/>
      </c>
      <c r="AG85" s="16">
        <f>SUMPRODUCT(N85:Y85,$N$6:$Y$6)*$K85*$L85*$M85</f>
        <v/>
      </c>
      <c r="AH85" s="20" t="n"/>
    </row>
    <row r="86">
      <c r="A86" s="9" t="n">
        <v>680742</v>
      </c>
      <c r="B86" s="9" t="inlineStr">
        <is>
          <t>Jonathan Bowlan</t>
        </is>
      </c>
      <c r="C86" s="9" t="inlineStr">
        <is>
          <t>PHI</t>
        </is>
      </c>
      <c r="D86" s="9" t="n">
        <v>30</v>
      </c>
      <c r="E86" s="18" t="inlineStr">
        <is>
          <t>R</t>
        </is>
      </c>
      <c r="F86" s="18" t="n"/>
      <c r="G86" s="9" t="n">
        <v>229</v>
      </c>
      <c r="H86" s="9" t="n">
        <v>440</v>
      </c>
      <c r="I86" s="9" t="inlineStr">
        <is>
          <t>Swing Arm / Long Relief</t>
        </is>
      </c>
      <c r="J86" s="18" t="inlineStr">
        <is>
          <t>Opening Day</t>
        </is>
      </c>
      <c r="K86" s="11">
        <f>IFERROR(INDEX(Roles!$B$17:$B$20,MATCH(J86,Roles!$A$17:$A$20,0)),1)</f>
        <v/>
      </c>
      <c r="L86" s="19" t="n">
        <v>1</v>
      </c>
      <c r="M86" s="11" t="n">
        <v>1</v>
      </c>
      <c r="N86" s="19" t="n"/>
      <c r="O86" s="19" t="n"/>
      <c r="P86" s="19" t="n"/>
      <c r="Q86" s="19" t="n"/>
      <c r="R86" s="19" t="n">
        <v>0.6</v>
      </c>
      <c r="S86" s="19" t="n"/>
      <c r="T86" s="19" t="n"/>
      <c r="U86" s="19" t="n"/>
      <c r="V86" s="19" t="n">
        <v>0.4</v>
      </c>
      <c r="W86" s="19" t="n"/>
      <c r="X86" s="19" t="n"/>
      <c r="Y86" s="19" t="n"/>
      <c r="Z86" s="13">
        <f>SUMPRODUCT(N86:Y86,$N$2:$Y$2)*$K86*$L86*$M86</f>
        <v/>
      </c>
      <c r="AA86" s="14">
        <f>SUM(N86:Y86)</f>
        <v/>
      </c>
      <c r="AB86" s="13">
        <f>SUMPRODUCT(N86:Y86,$N$3:$Y$3)*$K86*$L86*$M86</f>
        <v/>
      </c>
      <c r="AC86" s="13">
        <f>SUMPRODUCT(N86:Y86,$N$4:$Y$4)*$K86*$L86*$M86</f>
        <v/>
      </c>
      <c r="AD86" s="15" t="n">
        <v>32.73333333333333</v>
      </c>
      <c r="AE86" s="11" t="n">
        <v>2.021243354510048</v>
      </c>
      <c r="AF86" s="16">
        <f>SUMPRODUCT(N86:Y86,$N$5:$Y$5)*$K86*$L86*$M86</f>
        <v/>
      </c>
      <c r="AG86" s="16">
        <f>SUMPRODUCT(N86:Y86,$N$6:$Y$6)*$K86*$L86*$M86</f>
        <v/>
      </c>
      <c r="AH86" s="20" t="n"/>
    </row>
    <row r="87">
      <c r="A87" s="9" t="n">
        <v>601713</v>
      </c>
      <c r="B87" s="9" t="inlineStr">
        <is>
          <t>Nick Pivetta</t>
        </is>
      </c>
      <c r="C87" s="9" t="inlineStr">
        <is>
          <t>SD</t>
        </is>
      </c>
      <c r="D87" s="9" t="n">
        <v>34</v>
      </c>
      <c r="E87" s="18" t="inlineStr">
        <is>
          <t>R</t>
        </is>
      </c>
      <c r="F87" s="18" t="n"/>
      <c r="G87" s="9" t="n">
        <v>140</v>
      </c>
      <c r="H87" s="9" t="n">
        <v>2816</v>
      </c>
      <c r="I87" s="9" t="inlineStr">
        <is>
          <t>Mid-Rotation Starter (SP2-3)</t>
        </is>
      </c>
      <c r="J87" s="18" t="inlineStr">
        <is>
          <t>Opening Day</t>
        </is>
      </c>
      <c r="K87" s="11">
        <f>IFERROR(INDEX(Roles!$B$17:$B$20,MATCH(J87,Roles!$A$17:$A$20,0)),1)</f>
        <v/>
      </c>
      <c r="L87" s="19" t="n">
        <v>1</v>
      </c>
      <c r="M87" s="11" t="n">
        <v>1</v>
      </c>
      <c r="N87" s="19" t="n"/>
      <c r="O87" s="19" t="n">
        <v>0.5</v>
      </c>
      <c r="P87" s="19" t="n">
        <v>0.5</v>
      </c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3">
        <f>SUMPRODUCT(N87:Y87,$N$2:$Y$2)*$K87*$L87*$M87</f>
        <v/>
      </c>
      <c r="AA87" s="14">
        <f>SUM(N87:Y87)</f>
        <v/>
      </c>
      <c r="AB87" s="13">
        <f>SUMPRODUCT(N87:Y87,$N$3:$Y$3)*$K87*$L87*$M87</f>
        <v/>
      </c>
      <c r="AC87" s="13">
        <f>SUMPRODUCT(N87:Y87,$N$4:$Y$4)*$K87*$L87*$M87</f>
        <v/>
      </c>
      <c r="AD87" s="15" t="n">
        <v>21.7</v>
      </c>
      <c r="AE87" s="11" t="n">
        <v>5.277793637199861</v>
      </c>
      <c r="AF87" s="16">
        <f>SUMPRODUCT(N87:Y87,$N$5:$Y$5)*$K87*$L87*$M87</f>
        <v/>
      </c>
      <c r="AG87" s="16">
        <f>SUMPRODUCT(N87:Y87,$N$6:$Y$6)*$K87*$L87*$M87</f>
        <v/>
      </c>
      <c r="AH87" s="20" t="n"/>
    </row>
    <row r="88">
      <c r="A88" s="9" t="n">
        <v>682842</v>
      </c>
      <c r="B88" s="9" t="inlineStr">
        <is>
          <t>Abner Uribe</t>
        </is>
      </c>
      <c r="C88" s="9" t="inlineStr">
        <is>
          <t>MIL</t>
        </is>
      </c>
      <c r="D88" s="9" t="n">
        <v>27</v>
      </c>
      <c r="E88" s="18" t="inlineStr">
        <is>
          <t>R</t>
        </is>
      </c>
      <c r="F88" s="18" t="n"/>
      <c r="G88" s="9" t="n">
        <v>234</v>
      </c>
      <c r="H88" s="9" t="n">
        <v>725</v>
      </c>
      <c r="I88" s="9" t="inlineStr">
        <is>
          <t>Late Inning RP (Setup)</t>
        </is>
      </c>
      <c r="J88" s="18" t="inlineStr">
        <is>
          <t>Opening Day</t>
        </is>
      </c>
      <c r="K88" s="11">
        <f>IFERROR(INDEX(Roles!$B$17:$B$20,MATCH(J88,Roles!$A$17:$A$20,0)),1)</f>
        <v/>
      </c>
      <c r="L88" s="19" t="n">
        <v>1</v>
      </c>
      <c r="M88" s="11" t="n">
        <v>1</v>
      </c>
      <c r="N88" s="19" t="n"/>
      <c r="O88" s="19" t="n"/>
      <c r="P88" s="19" t="n"/>
      <c r="Q88" s="19" t="n"/>
      <c r="R88" s="19" t="n"/>
      <c r="S88" s="19" t="n"/>
      <c r="T88" s="19" t="n"/>
      <c r="U88" s="19" t="n">
        <v>0.85</v>
      </c>
      <c r="V88" s="19" t="n">
        <v>0.15</v>
      </c>
      <c r="W88" s="19" t="n"/>
      <c r="X88" s="19" t="n"/>
      <c r="Y88" s="19" t="n"/>
      <c r="Z88" s="13">
        <f>SUMPRODUCT(N88:Y88,$N$2:$Y$2)*$K88*$L88*$M88</f>
        <v/>
      </c>
      <c r="AA88" s="14">
        <f>SUM(N88:Y88)</f>
        <v/>
      </c>
      <c r="AB88" s="13">
        <f>SUMPRODUCT(N88:Y88,$N$3:$Y$3)*$K88*$L88*$M88</f>
        <v/>
      </c>
      <c r="AC88" s="13">
        <f>SUMPRODUCT(N88:Y88,$N$4:$Y$4)*$K88*$L88*$M88</f>
        <v/>
      </c>
      <c r="AD88" s="15" t="n">
        <v>53.9</v>
      </c>
      <c r="AE88" s="11" t="n">
        <v>0.9892130963816844</v>
      </c>
      <c r="AF88" s="16">
        <f>SUMPRODUCT(N88:Y88,$N$5:$Y$5)*$K88*$L88*$M88</f>
        <v/>
      </c>
      <c r="AG88" s="16">
        <f>SUMPRODUCT(N88:Y88,$N$6:$Y$6)*$K88*$L88*$M88</f>
        <v/>
      </c>
      <c r="AH88" s="20" t="n"/>
    </row>
    <row r="89">
      <c r="A89" s="9" t="n">
        <v>664776</v>
      </c>
      <c r="B89" s="9" t="inlineStr">
        <is>
          <t>Jake Cousins</t>
        </is>
      </c>
      <c r="C89" s="9" t="inlineStr">
        <is>
          <t>NYY</t>
        </is>
      </c>
      <c r="D89" s="9" t="n">
        <v>32</v>
      </c>
      <c r="E89" s="18" t="inlineStr">
        <is>
          <t>R</t>
        </is>
      </c>
      <c r="F89" s="18" t="n"/>
      <c r="G89" s="9" t="n">
        <v>155</v>
      </c>
      <c r="H89" s="9" t="n">
        <v>259</v>
      </c>
      <c r="I89" s="9" t="inlineStr">
        <is>
          <t>Bullpen Depth Arm</t>
        </is>
      </c>
      <c r="J89" s="18" t="inlineStr">
        <is>
          <t>Opening Day</t>
        </is>
      </c>
      <c r="K89" s="11">
        <f>IFERROR(INDEX(Roles!$B$17:$B$20,MATCH(J89,Roles!$A$17:$A$20,0)),1)</f>
        <v/>
      </c>
      <c r="L89" s="19" t="n">
        <v>1</v>
      </c>
      <c r="M89" s="11" t="n">
        <v>1</v>
      </c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>
        <v>0.5</v>
      </c>
      <c r="X89" s="19" t="n"/>
      <c r="Y89" s="19" t="n">
        <v>0.5</v>
      </c>
      <c r="Z89" s="13">
        <f>SUMPRODUCT(N89:Y89,$N$2:$Y$2)*$K89*$L89*$M89</f>
        <v/>
      </c>
      <c r="AA89" s="14">
        <f>SUM(N89:Y89)</f>
        <v/>
      </c>
      <c r="AB89" s="13">
        <f>SUMPRODUCT(N89:Y89,$N$3:$Y$3)*$K89*$L89*$M89</f>
        <v/>
      </c>
      <c r="AC89" s="13">
        <f>SUMPRODUCT(N89:Y89,$N$4:$Y$4)*$K89*$L89*$M89</f>
        <v/>
      </c>
      <c r="AD89" s="15" t="n">
        <v>27.86666666666667</v>
      </c>
      <c r="AE89" s="11" t="n">
        <v>1.14384947718281</v>
      </c>
      <c r="AF89" s="16">
        <f>SUMPRODUCT(N89:Y89,$N$5:$Y$5)*$K89*$L89*$M89</f>
        <v/>
      </c>
      <c r="AG89" s="16">
        <f>SUMPRODUCT(N89:Y89,$N$6:$Y$6)*$K89*$L89*$M89</f>
        <v/>
      </c>
      <c r="AH89" s="20" t="n"/>
    </row>
    <row r="90">
      <c r="A90" s="9" t="n">
        <v>600917</v>
      </c>
      <c r="B90" s="9" t="inlineStr">
        <is>
          <t>José Leclerc</t>
        </is>
      </c>
      <c r="C90" s="9" t="inlineStr">
        <is>
          <t>OAK</t>
        </is>
      </c>
      <c r="D90" s="9" t="n">
        <v>33</v>
      </c>
      <c r="E90" s="18" t="inlineStr">
        <is>
          <t>R</t>
        </is>
      </c>
      <c r="F90" s="18" t="n"/>
      <c r="G90" s="9" t="n">
        <v>46</v>
      </c>
      <c r="H90" s="9" t="n">
        <v>765</v>
      </c>
      <c r="I90" s="9" t="inlineStr">
        <is>
          <t>Bullpen Depth Arm</t>
        </is>
      </c>
      <c r="J90" s="18" t="inlineStr">
        <is>
          <t>Opening Day</t>
        </is>
      </c>
      <c r="K90" s="11">
        <f>IFERROR(INDEX(Roles!$B$17:$B$20,MATCH(J90,Roles!$A$17:$A$20,0)),1)</f>
        <v/>
      </c>
      <c r="L90" s="19" t="n">
        <v>1</v>
      </c>
      <c r="M90" s="11" t="n">
        <v>1</v>
      </c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>
        <v>1</v>
      </c>
      <c r="X90" s="19" t="n"/>
      <c r="Y90" s="19" t="n"/>
      <c r="Z90" s="13">
        <f>SUMPRODUCT(N90:Y90,$N$2:$Y$2)*$K90*$L90*$M90</f>
        <v/>
      </c>
      <c r="AA90" s="14">
        <f>SUM(N90:Y90)</f>
        <v/>
      </c>
      <c r="AB90" s="13">
        <f>SUMPRODUCT(N90:Y90,$N$3:$Y$3)*$K90*$L90*$M90</f>
        <v/>
      </c>
      <c r="AC90" s="13">
        <f>SUMPRODUCT(N90:Y90,$N$4:$Y$4)*$K90*$L90*$M90</f>
        <v/>
      </c>
      <c r="AD90" s="15" t="n">
        <v>22.46666666666667</v>
      </c>
      <c r="AE90" s="11" t="n">
        <v>1.137485970819304</v>
      </c>
      <c r="AF90" s="16">
        <f>SUMPRODUCT(N90:Y90,$N$5:$Y$5)*$K90*$L90*$M90</f>
        <v/>
      </c>
      <c r="AG90" s="16">
        <f>SUMPRODUCT(N90:Y90,$N$6:$Y$6)*$K90*$L90*$M90</f>
        <v/>
      </c>
      <c r="AH90" s="20" t="n"/>
    </row>
    <row r="91">
      <c r="A91" s="9" t="n">
        <v>657746</v>
      </c>
      <c r="B91" s="9" t="inlineStr">
        <is>
          <t>Joe Ryan</t>
        </is>
      </c>
      <c r="C91" s="9" t="inlineStr">
        <is>
          <t>MIN</t>
        </is>
      </c>
      <c r="D91" s="9" t="n">
        <v>31</v>
      </c>
      <c r="E91" s="18" t="inlineStr">
        <is>
          <t>R</t>
        </is>
      </c>
      <c r="F91" s="18" t="n"/>
      <c r="G91" s="9" t="n">
        <v>614</v>
      </c>
      <c r="H91" s="9" t="n">
        <v>3117</v>
      </c>
      <c r="I91" s="9" t="inlineStr">
        <is>
          <t>Ace (SP1)</t>
        </is>
      </c>
      <c r="J91" s="18" t="inlineStr">
        <is>
          <t>Opening Day</t>
        </is>
      </c>
      <c r="K91" s="11">
        <f>IFERROR(INDEX(Roles!$B$17:$B$20,MATCH(J91,Roles!$A$17:$A$20,0)),1)</f>
        <v/>
      </c>
      <c r="L91" s="19" t="n">
        <v>1</v>
      </c>
      <c r="M91" s="11" t="n">
        <v>1</v>
      </c>
      <c r="N91" s="19" t="n">
        <v>0.5</v>
      </c>
      <c r="O91" s="19" t="n">
        <v>0.5</v>
      </c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3">
        <f>SUMPRODUCT(N91:Y91,$N$2:$Y$2)*$K91*$L91*$M91</f>
        <v/>
      </c>
      <c r="AA91" s="14">
        <f>SUM(N91:Y91)</f>
        <v/>
      </c>
      <c r="AB91" s="13">
        <f>SUMPRODUCT(N91:Y91,$N$3:$Y$3)*$K91*$L91*$M91</f>
        <v/>
      </c>
      <c r="AC91" s="13">
        <f>SUMPRODUCT(N91:Y91,$N$4:$Y$4)*$K91*$L91*$M91</f>
        <v/>
      </c>
      <c r="AD91" s="15" t="n">
        <v>26.8</v>
      </c>
      <c r="AE91" s="11" t="n">
        <v>5.57534901510805</v>
      </c>
      <c r="AF91" s="16">
        <f>SUMPRODUCT(N91:Y91,$N$5:$Y$5)*$K91*$L91*$M91</f>
        <v/>
      </c>
      <c r="AG91" s="16">
        <f>SUMPRODUCT(N91:Y91,$N$6:$Y$6)*$K91*$L91*$M91</f>
        <v/>
      </c>
      <c r="AH91" s="20" t="n"/>
    </row>
    <row r="92">
      <c r="A92" s="9" t="n">
        <v>667427</v>
      </c>
      <c r="B92" s="9" t="inlineStr">
        <is>
          <t>Zach Jackson</t>
        </is>
      </c>
      <c r="C92" s="9" t="inlineStr">
        <is>
          <t>OAK</t>
        </is>
      </c>
      <c r="D92" s="9" t="n">
        <v>32</v>
      </c>
      <c r="E92" s="18" t="inlineStr">
        <is>
          <t>R</t>
        </is>
      </c>
      <c r="F92" s="18" t="n"/>
      <c r="G92" s="9" t="n">
        <v>80</v>
      </c>
      <c r="H92" s="9" t="n">
        <v>282</v>
      </c>
      <c r="I92" s="9" t="inlineStr">
        <is>
          <t>Depth (no MLB IP)</t>
        </is>
      </c>
      <c r="J92" s="18" t="inlineStr">
        <is>
          <t>Opening Day</t>
        </is>
      </c>
      <c r="K92" s="11">
        <f>IFERROR(INDEX(Roles!$B$17:$B$20,MATCH(J92,Roles!$A$17:$A$20,0)),1)</f>
        <v/>
      </c>
      <c r="L92" s="19" t="n">
        <v>1</v>
      </c>
      <c r="M92" s="11" t="n">
        <v>1</v>
      </c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>
        <v>1</v>
      </c>
      <c r="Z92" s="13">
        <f>SUMPRODUCT(N92:Y92,$N$2:$Y$2)*$K92*$L92*$M92</f>
        <v/>
      </c>
      <c r="AA92" s="14">
        <f>SUM(N92:Y92)</f>
        <v/>
      </c>
      <c r="AB92" s="13">
        <f>SUMPRODUCT(N92:Y92,$N$3:$Y$3)*$K92*$L92*$M92</f>
        <v/>
      </c>
      <c r="AC92" s="13">
        <f>SUMPRODUCT(N92:Y92,$N$4:$Y$4)*$K92*$L92*$M92</f>
        <v/>
      </c>
      <c r="AD92" s="15" t="n">
        <v>3</v>
      </c>
      <c r="AE92" s="11" t="n">
        <v>1.011296296296296</v>
      </c>
      <c r="AF92" s="16">
        <f>SUMPRODUCT(N92:Y92,$N$5:$Y$5)*$K92*$L92*$M92</f>
        <v/>
      </c>
      <c r="AG92" s="16">
        <f>SUMPRODUCT(N92:Y92,$N$6:$Y$6)*$K92*$L92*$M92</f>
        <v/>
      </c>
      <c r="AH92" s="20" t="n"/>
    </row>
    <row r="93">
      <c r="A93" s="9" t="n">
        <v>672282</v>
      </c>
      <c r="B93" s="9" t="inlineStr">
        <is>
          <t>Reid Detmers</t>
        </is>
      </c>
      <c r="C93" s="9" t="inlineStr">
        <is>
          <t>LAA</t>
        </is>
      </c>
      <c r="D93" s="9" t="n">
        <v>27</v>
      </c>
      <c r="E93" s="18" t="inlineStr">
        <is>
          <t>L</t>
        </is>
      </c>
      <c r="F93" s="18" t="n"/>
      <c r="G93" s="9" t="n">
        <v>740</v>
      </c>
      <c r="H93" s="9" t="n">
        <v>2580</v>
      </c>
      <c r="I93" s="9" t="inlineStr">
        <is>
          <t>Ace (SP1)</t>
        </is>
      </c>
      <c r="J93" s="18" t="inlineStr">
        <is>
          <t>Opening Day</t>
        </is>
      </c>
      <c r="K93" s="11">
        <f>IFERROR(INDEX(Roles!$B$17:$B$20,MATCH(J93,Roles!$A$17:$A$20,0)),1)</f>
        <v/>
      </c>
      <c r="L93" s="19" t="n">
        <v>1</v>
      </c>
      <c r="M93" s="11" t="n">
        <v>1</v>
      </c>
      <c r="N93" s="19" t="n">
        <v>0.5</v>
      </c>
      <c r="O93" s="19" t="n">
        <v>0.5</v>
      </c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3">
        <f>SUMPRODUCT(N93:Y93,$N$2:$Y$2)*$K93*$L93*$M93</f>
        <v/>
      </c>
      <c r="AA93" s="14">
        <f>SUM(N93:Y93)</f>
        <v/>
      </c>
      <c r="AB93" s="13">
        <f>SUMPRODUCT(N93:Y93,$N$3:$Y$3)*$K93*$L93*$M93</f>
        <v/>
      </c>
      <c r="AC93" s="13">
        <f>SUMPRODUCT(N93:Y93,$N$4:$Y$4)*$K93*$L93*$M93</f>
        <v/>
      </c>
      <c r="AD93" s="15" t="n">
        <v>33.7</v>
      </c>
      <c r="AE93" s="11" t="n">
        <v>4.837757514353259</v>
      </c>
      <c r="AF93" s="16">
        <f>SUMPRODUCT(N93:Y93,$N$5:$Y$5)*$K93*$L93*$M93</f>
        <v/>
      </c>
      <c r="AG93" s="16">
        <f>SUMPRODUCT(N93:Y93,$N$6:$Y$6)*$K93*$L93*$M93</f>
        <v/>
      </c>
      <c r="AH93" s="20" t="n"/>
    </row>
    <row r="94">
      <c r="A94" s="9" t="n">
        <v>682982</v>
      </c>
      <c r="B94" s="9" t="inlineStr">
        <is>
          <t>Daniel Espino</t>
        </is>
      </c>
      <c r="C94" s="9" t="inlineStr">
        <is>
          <t>CLE</t>
        </is>
      </c>
      <c r="D94" s="9" t="n">
        <v>26</v>
      </c>
      <c r="E94" s="18" t="inlineStr">
        <is>
          <t>R</t>
        </is>
      </c>
      <c r="F94" s="18" t="n"/>
      <c r="G94" s="9" t="n">
        <v>65</v>
      </c>
      <c r="H94" s="9" t="n">
        <v>65</v>
      </c>
      <c r="I94" s="9" t="inlineStr">
        <is>
          <t>Swing Arm / Long Relief</t>
        </is>
      </c>
      <c r="J94" s="18" t="inlineStr">
        <is>
          <t>Opening Day</t>
        </is>
      </c>
      <c r="K94" s="11">
        <f>IFERROR(INDEX(Roles!$B$17:$B$20,MATCH(J94,Roles!$A$17:$A$20,0)),1)</f>
        <v/>
      </c>
      <c r="L94" s="19" t="n">
        <v>1</v>
      </c>
      <c r="M94" s="11" t="n">
        <v>1</v>
      </c>
      <c r="N94" s="19" t="n"/>
      <c r="O94" s="19" t="n"/>
      <c r="P94" s="19" t="n"/>
      <c r="Q94" s="19" t="n"/>
      <c r="R94" s="19" t="n">
        <v>0.6</v>
      </c>
      <c r="S94" s="19" t="n"/>
      <c r="T94" s="19" t="n"/>
      <c r="U94" s="19" t="n"/>
      <c r="V94" s="19" t="n"/>
      <c r="W94" s="19" t="n">
        <v>0.4</v>
      </c>
      <c r="X94" s="19" t="n"/>
      <c r="Y94" s="19" t="n"/>
      <c r="Z94" s="13">
        <f>SUMPRODUCT(N94:Y94,$N$2:$Y$2)*$K94*$L94*$M94</f>
        <v/>
      </c>
      <c r="AA94" s="14">
        <f>SUM(N94:Y94)</f>
        <v/>
      </c>
      <c r="AB94" s="13">
        <f>SUMPRODUCT(N94:Y94,$N$3:$Y$3)*$K94*$L94*$M94</f>
        <v/>
      </c>
      <c r="AC94" s="13">
        <f>SUMPRODUCT(N94:Y94,$N$4:$Y$4)*$K94*$L94*$M94</f>
        <v/>
      </c>
      <c r="AD94" s="15" t="n">
        <v>16.53333333333333</v>
      </c>
      <c r="AE94" s="11" t="n">
        <v>2.033567525370804</v>
      </c>
      <c r="AF94" s="16">
        <f>SUMPRODUCT(N94:Y94,$N$5:$Y$5)*$K94*$L94*$M94</f>
        <v/>
      </c>
      <c r="AG94" s="16">
        <f>SUMPRODUCT(N94:Y94,$N$6:$Y$6)*$K94*$L94*$M94</f>
        <v/>
      </c>
      <c r="AH94" s="20" t="n"/>
    </row>
    <row r="95">
      <c r="A95" s="9" t="n">
        <v>621381</v>
      </c>
      <c r="B95" s="9" t="inlineStr">
        <is>
          <t>Matt Strahm</t>
        </is>
      </c>
      <c r="C95" s="9" t="inlineStr">
        <is>
          <t>KC</t>
        </is>
      </c>
      <c r="D95" s="9" t="n">
        <v>35</v>
      </c>
      <c r="E95" s="18" t="inlineStr">
        <is>
          <t>L</t>
        </is>
      </c>
      <c r="F95" s="18" t="n"/>
      <c r="G95" s="9" t="n">
        <v>161</v>
      </c>
      <c r="H95" s="9" t="n">
        <v>1198</v>
      </c>
      <c r="I95" s="9" t="inlineStr">
        <is>
          <t>Closer</t>
        </is>
      </c>
      <c r="J95" s="18" t="inlineStr">
        <is>
          <t>Opening Day</t>
        </is>
      </c>
      <c r="K95" s="11">
        <f>IFERROR(INDEX(Roles!$B$17:$B$20,MATCH(J95,Roles!$A$17:$A$20,0)),1)</f>
        <v/>
      </c>
      <c r="L95" s="19" t="n">
        <v>1</v>
      </c>
      <c r="M95" s="11" t="n">
        <v>1</v>
      </c>
      <c r="N95" s="19" t="n"/>
      <c r="O95" s="19" t="n"/>
      <c r="P95" s="19" t="n"/>
      <c r="Q95" s="19" t="n"/>
      <c r="R95" s="19" t="n"/>
      <c r="S95" s="19" t="n"/>
      <c r="T95" s="19" t="n">
        <v>1</v>
      </c>
      <c r="U95" s="19" t="n"/>
      <c r="V95" s="19" t="n"/>
      <c r="W95" s="19" t="n"/>
      <c r="X95" s="19" t="n"/>
      <c r="Y95" s="19" t="n"/>
      <c r="Z95" s="13">
        <f>SUMPRODUCT(N95:Y95,$N$2:$Y$2)*$K95*$L95*$M95</f>
        <v/>
      </c>
      <c r="AA95" s="14">
        <f>SUM(N95:Y95)</f>
        <v/>
      </c>
      <c r="AB95" s="13">
        <f>SUMPRODUCT(N95:Y95,$N$3:$Y$3)*$K95*$L95*$M95</f>
        <v/>
      </c>
      <c r="AC95" s="13">
        <f>SUMPRODUCT(N95:Y95,$N$4:$Y$4)*$K95*$L95*$M95</f>
        <v/>
      </c>
      <c r="AD95" s="15" t="n">
        <v>52.26000000000001</v>
      </c>
      <c r="AE95" s="11" t="n">
        <v>0.9748056362568596</v>
      </c>
      <c r="AF95" s="16">
        <f>SUMPRODUCT(N95:Y95,$N$5:$Y$5)*$K95*$L95*$M95</f>
        <v/>
      </c>
      <c r="AG95" s="16">
        <f>SUMPRODUCT(N95:Y95,$N$6:$Y$6)*$K95*$L95*$M95</f>
        <v/>
      </c>
      <c r="AH95" s="20" t="n"/>
    </row>
    <row r="96">
      <c r="A96" s="9" t="n">
        <v>676477</v>
      </c>
      <c r="B96" s="9" t="inlineStr">
        <is>
          <t>Garrett Whitlock</t>
        </is>
      </c>
      <c r="C96" s="9" t="inlineStr">
        <is>
          <t>BOS</t>
        </is>
      </c>
      <c r="D96" s="9" t="n">
        <v>31</v>
      </c>
      <c r="E96" s="18" t="inlineStr">
        <is>
          <t>R</t>
        </is>
      </c>
      <c r="F96" s="18" t="n"/>
      <c r="G96" s="9" t="n">
        <v>198</v>
      </c>
      <c r="H96" s="9" t="n">
        <v>1181</v>
      </c>
      <c r="I96" s="9" t="inlineStr">
        <is>
          <t>Late Inning RP (Setup)</t>
        </is>
      </c>
      <c r="J96" s="18" t="inlineStr">
        <is>
          <t>Opening Day</t>
        </is>
      </c>
      <c r="K96" s="11">
        <f>IFERROR(INDEX(Roles!$B$17:$B$20,MATCH(J96,Roles!$A$17:$A$20,0)),1)</f>
        <v/>
      </c>
      <c r="L96" s="19" t="n">
        <v>1</v>
      </c>
      <c r="M96" s="11" t="n">
        <v>1</v>
      </c>
      <c r="N96" s="19" t="n"/>
      <c r="O96" s="19" t="n"/>
      <c r="P96" s="19" t="n"/>
      <c r="Q96" s="19" t="n"/>
      <c r="R96" s="19" t="n"/>
      <c r="S96" s="19" t="n"/>
      <c r="T96" s="19" t="n"/>
      <c r="U96" s="19" t="n">
        <v>0.85</v>
      </c>
      <c r="V96" s="19" t="n">
        <v>0.15</v>
      </c>
      <c r="W96" s="19" t="n"/>
      <c r="X96" s="19" t="n"/>
      <c r="Y96" s="19" t="n"/>
      <c r="Z96" s="13">
        <f>SUMPRODUCT(N96:Y96,$N$2:$Y$2)*$K96*$L96*$M96</f>
        <v/>
      </c>
      <c r="AA96" s="14">
        <f>SUM(N96:Y96)</f>
        <v/>
      </c>
      <c r="AB96" s="13">
        <f>SUMPRODUCT(N96:Y96,$N$3:$Y$3)*$K96*$L96*$M96</f>
        <v/>
      </c>
      <c r="AC96" s="13">
        <f>SUMPRODUCT(N96:Y96,$N$4:$Y$4)*$K96*$L96*$M96</f>
        <v/>
      </c>
      <c r="AD96" s="15" t="n">
        <v>48.2</v>
      </c>
      <c r="AE96" s="11" t="n">
        <v>1.026772030651341</v>
      </c>
      <c r="AF96" s="16">
        <f>SUMPRODUCT(N96:Y96,$N$5:$Y$5)*$K96*$L96*$M96</f>
        <v/>
      </c>
      <c r="AG96" s="16">
        <f>SUMPRODUCT(N96:Y96,$N$6:$Y$6)*$K96*$L96*$M96</f>
        <v/>
      </c>
      <c r="AH96" s="20" t="n"/>
    </row>
    <row r="97">
      <c r="A97" s="9" t="n">
        <v>607074</v>
      </c>
      <c r="B97" s="9" t="inlineStr">
        <is>
          <t>Carlos Rodón</t>
        </is>
      </c>
      <c r="C97" s="9" t="inlineStr">
        <is>
          <t>NYY</t>
        </is>
      </c>
      <c r="D97" s="9" t="n">
        <v>34</v>
      </c>
      <c r="E97" s="18" t="inlineStr">
        <is>
          <t>L</t>
        </is>
      </c>
      <c r="F97" s="18" t="n"/>
      <c r="G97" s="9" t="n">
        <v>340</v>
      </c>
      <c r="H97" s="9" t="n">
        <v>2861</v>
      </c>
      <c r="I97" s="9" t="inlineStr">
        <is>
          <t>End-of-Rotation Starter (SP4-5)</t>
        </is>
      </c>
      <c r="J97" s="18" t="inlineStr">
        <is>
          <t>Opening Day</t>
        </is>
      </c>
      <c r="K97" s="11">
        <f>IFERROR(INDEX(Roles!$B$17:$B$20,MATCH(J97,Roles!$A$17:$A$20,0)),1)</f>
        <v/>
      </c>
      <c r="L97" s="19" t="n">
        <v>1</v>
      </c>
      <c r="M97" s="11" t="n">
        <v>1</v>
      </c>
      <c r="N97" s="19" t="n"/>
      <c r="O97" s="19" t="n"/>
      <c r="P97" s="19" t="n">
        <v>0.5</v>
      </c>
      <c r="Q97" s="19" t="n"/>
      <c r="R97" s="19" t="n">
        <v>0.5</v>
      </c>
      <c r="S97" s="19" t="n"/>
      <c r="T97" s="19" t="n"/>
      <c r="U97" s="19" t="n"/>
      <c r="V97" s="19" t="n"/>
      <c r="W97" s="19" t="n"/>
      <c r="X97" s="19" t="n"/>
      <c r="Y97" s="19" t="n"/>
      <c r="Z97" s="13">
        <f>SUMPRODUCT(N97:Y97,$N$2:$Y$2)*$K97*$L97*$M97</f>
        <v/>
      </c>
      <c r="AA97" s="14">
        <f>SUM(N97:Y97)</f>
        <v/>
      </c>
      <c r="AB97" s="13">
        <f>SUMPRODUCT(N97:Y97,$N$3:$Y$3)*$K97*$L97*$M97</f>
        <v/>
      </c>
      <c r="AC97" s="13">
        <f>SUMPRODUCT(N97:Y97,$N$4:$Y$4)*$K97*$L97*$M97</f>
        <v/>
      </c>
      <c r="AD97" s="15" t="n">
        <v>21</v>
      </c>
      <c r="AE97" s="11" t="n">
        <v>4.906139015728057</v>
      </c>
      <c r="AF97" s="16">
        <f>SUMPRODUCT(N97:Y97,$N$5:$Y$5)*$K97*$L97*$M97</f>
        <v/>
      </c>
      <c r="AG97" s="16">
        <f>SUMPRODUCT(N97:Y97,$N$6:$Y$6)*$K97*$L97*$M97</f>
        <v/>
      </c>
      <c r="AH97" s="20" t="n"/>
    </row>
    <row r="98">
      <c r="A98" s="9" t="n">
        <v>641941</v>
      </c>
      <c r="B98" s="9" t="inlineStr">
        <is>
          <t>Emilio Pagán</t>
        </is>
      </c>
      <c r="C98" s="9" t="inlineStr">
        <is>
          <t>CIN</t>
        </is>
      </c>
      <c r="D98" s="9" t="n">
        <v>36</v>
      </c>
      <c r="E98" s="18" t="inlineStr">
        <is>
          <t>R</t>
        </is>
      </c>
      <c r="F98" s="18" t="n"/>
      <c r="G98" s="9" t="n">
        <v>174</v>
      </c>
      <c r="H98" s="9" t="n">
        <v>1149</v>
      </c>
      <c r="I98" s="9" t="inlineStr">
        <is>
          <t>Closer</t>
        </is>
      </c>
      <c r="J98" s="18" t="inlineStr">
        <is>
          <t>Opening Day</t>
        </is>
      </c>
      <c r="K98" s="11">
        <f>IFERROR(INDEX(Roles!$B$17:$B$20,MATCH(J98,Roles!$A$17:$A$20,0)),1)</f>
        <v/>
      </c>
      <c r="L98" s="19" t="n">
        <v>1</v>
      </c>
      <c r="M98" s="11" t="n">
        <v>1</v>
      </c>
      <c r="N98" s="19" t="n"/>
      <c r="O98" s="19" t="n"/>
      <c r="P98" s="19" t="n"/>
      <c r="Q98" s="19" t="n"/>
      <c r="R98" s="19" t="n"/>
      <c r="S98" s="19" t="n"/>
      <c r="T98" s="19" t="n">
        <v>0.85</v>
      </c>
      <c r="U98" s="19" t="n">
        <v>0.15</v>
      </c>
      <c r="V98" s="19" t="n"/>
      <c r="W98" s="19" t="n"/>
      <c r="X98" s="19" t="n"/>
      <c r="Y98" s="19" t="n"/>
      <c r="Z98" s="13">
        <f>SUMPRODUCT(N98:Y98,$N$2:$Y$2)*$K98*$L98*$M98</f>
        <v/>
      </c>
      <c r="AA98" s="14">
        <f>SUM(N98:Y98)</f>
        <v/>
      </c>
      <c r="AB98" s="13">
        <f>SUMPRODUCT(N98:Y98,$N$3:$Y$3)*$K98*$L98*$M98</f>
        <v/>
      </c>
      <c r="AC98" s="13">
        <f>SUMPRODUCT(N98:Y98,$N$4:$Y$4)*$K98*$L98*$M98</f>
        <v/>
      </c>
      <c r="AD98" s="15" t="n">
        <v>51.46</v>
      </c>
      <c r="AE98" s="11" t="n">
        <v>0.9922022392137624</v>
      </c>
      <c r="AF98" s="16">
        <f>SUMPRODUCT(N98:Y98,$N$5:$Y$5)*$K98*$L98*$M98</f>
        <v/>
      </c>
      <c r="AG98" s="16">
        <f>SUMPRODUCT(N98:Y98,$N$6:$Y$6)*$K98*$L98*$M98</f>
        <v/>
      </c>
      <c r="AH98" s="20" t="n"/>
    </row>
    <row r="99">
      <c r="A99" s="9" t="n">
        <v>678495</v>
      </c>
      <c r="B99" s="9" t="inlineStr">
        <is>
          <t>Randy Rodríguez</t>
        </is>
      </c>
      <c r="C99" s="9" t="inlineStr">
        <is>
          <t>SF</t>
        </is>
      </c>
      <c r="D99" s="9" t="n">
        <v>27</v>
      </c>
      <c r="E99" s="18" t="inlineStr">
        <is>
          <t>R</t>
        </is>
      </c>
      <c r="F99" s="18" t="n"/>
      <c r="G99" s="9" t="n">
        <v>198</v>
      </c>
      <c r="H99" s="9" t="n">
        <v>419</v>
      </c>
      <c r="I99" s="9" t="inlineStr">
        <is>
          <t>Closer</t>
        </is>
      </c>
      <c r="J99" s="18" t="inlineStr">
        <is>
          <t>Opening Day</t>
        </is>
      </c>
      <c r="K99" s="11">
        <f>IFERROR(INDEX(Roles!$B$17:$B$20,MATCH(J99,Roles!$A$17:$A$20,0)),1)</f>
        <v/>
      </c>
      <c r="L99" s="19" t="n">
        <v>1</v>
      </c>
      <c r="M99" s="11" t="n">
        <v>1</v>
      </c>
      <c r="N99" s="19" t="n"/>
      <c r="O99" s="19" t="n"/>
      <c r="P99" s="19" t="n"/>
      <c r="Q99" s="19" t="n"/>
      <c r="R99" s="19" t="n"/>
      <c r="S99" s="19" t="n"/>
      <c r="T99" s="19" t="n">
        <v>0.5</v>
      </c>
      <c r="U99" s="19" t="n">
        <v>0.5</v>
      </c>
      <c r="V99" s="19" t="n"/>
      <c r="W99" s="19" t="n"/>
      <c r="X99" s="19" t="n"/>
      <c r="Y99" s="19" t="n"/>
      <c r="Z99" s="13">
        <f>SUMPRODUCT(N99:Y99,$N$2:$Y$2)*$K99*$L99*$M99</f>
        <v/>
      </c>
      <c r="AA99" s="14">
        <f>SUM(N99:Y99)</f>
        <v/>
      </c>
      <c r="AB99" s="13">
        <f>SUMPRODUCT(N99:Y99,$N$3:$Y$3)*$K99*$L99*$M99</f>
        <v/>
      </c>
      <c r="AC99" s="13">
        <f>SUMPRODUCT(N99:Y99,$N$4:$Y$4)*$K99*$L99*$M99</f>
        <v/>
      </c>
      <c r="AD99" s="15" t="n">
        <v>47.16</v>
      </c>
      <c r="AE99" s="11" t="n">
        <v>1.048587413880797</v>
      </c>
      <c r="AF99" s="16">
        <f>SUMPRODUCT(N99:Y99,$N$5:$Y$5)*$K99*$L99*$M99</f>
        <v/>
      </c>
      <c r="AG99" s="16">
        <f>SUMPRODUCT(N99:Y99,$N$6:$Y$6)*$K99*$L99*$M99</f>
        <v/>
      </c>
      <c r="AH99" s="20" t="n"/>
    </row>
    <row r="100">
      <c r="A100" s="9" t="n">
        <v>596112</v>
      </c>
      <c r="B100" s="9" t="inlineStr">
        <is>
          <t>Robert Stephenson</t>
        </is>
      </c>
      <c r="C100" s="9" t="inlineStr">
        <is>
          <t>LAA</t>
        </is>
      </c>
      <c r="D100" s="9" t="n">
        <v>34</v>
      </c>
      <c r="E100" s="18" t="inlineStr">
        <is>
          <t>R</t>
        </is>
      </c>
      <c r="F100" s="18" t="n"/>
      <c r="G100" s="9" t="n">
        <v>42</v>
      </c>
      <c r="H100" s="9" t="n">
        <v>490</v>
      </c>
      <c r="I100" s="9" t="inlineStr">
        <is>
          <t>Bullpen Depth Arm</t>
        </is>
      </c>
      <c r="J100" s="18" t="inlineStr">
        <is>
          <t>Opening Day</t>
        </is>
      </c>
      <c r="K100" s="11">
        <f>IFERROR(INDEX(Roles!$B$17:$B$20,MATCH(J100,Roles!$A$17:$A$20,0)),1)</f>
        <v/>
      </c>
      <c r="L100" s="19" t="n">
        <v>1</v>
      </c>
      <c r="M100" s="11" t="n">
        <v>1</v>
      </c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>
        <v>0.15</v>
      </c>
      <c r="W100" s="19" t="n">
        <v>0.85</v>
      </c>
      <c r="X100" s="19" t="n"/>
      <c r="Y100" s="19" t="n"/>
      <c r="Z100" s="13">
        <f>SUMPRODUCT(N100:Y100,$N$2:$Y$2)*$K100*$L100*$M100</f>
        <v/>
      </c>
      <c r="AA100" s="14">
        <f>SUM(N100:Y100)</f>
        <v/>
      </c>
      <c r="AB100" s="13">
        <f>SUMPRODUCT(N100:Y100,$N$3:$Y$3)*$K100*$L100*$M100</f>
        <v/>
      </c>
      <c r="AC100" s="13">
        <f>SUMPRODUCT(N100:Y100,$N$4:$Y$4)*$K100*$L100*$M100</f>
        <v/>
      </c>
      <c r="AD100" s="15" t="n">
        <v>12.86666666666666</v>
      </c>
      <c r="AE100" s="11" t="n">
        <v>1.079284912618246</v>
      </c>
      <c r="AF100" s="16">
        <f>SUMPRODUCT(N100:Y100,$N$5:$Y$5)*$K100*$L100*$M100</f>
        <v/>
      </c>
      <c r="AG100" s="16">
        <f>SUMPRODUCT(N100:Y100,$N$6:$Y$6)*$K100*$L100*$M100</f>
        <v/>
      </c>
      <c r="AH100" s="20" t="n"/>
    </row>
    <row r="101">
      <c r="A101" s="9" t="n">
        <v>573204</v>
      </c>
      <c r="B101" s="9" t="inlineStr">
        <is>
          <t>Caleb Thielbar</t>
        </is>
      </c>
      <c r="C101" s="9" t="inlineStr">
        <is>
          <t>CHC</t>
        </is>
      </c>
      <c r="D101" s="9" t="n">
        <v>40</v>
      </c>
      <c r="E101" s="18" t="inlineStr">
        <is>
          <t>L</t>
        </is>
      </c>
      <c r="F101" s="18" t="n"/>
      <c r="G101" s="9" t="n">
        <v>212</v>
      </c>
      <c r="H101" s="9" t="n">
        <v>1013</v>
      </c>
      <c r="I101" s="9" t="inlineStr">
        <is>
          <t>Late Inning RP (Setup)</t>
        </is>
      </c>
      <c r="J101" s="18" t="inlineStr">
        <is>
          <t>Opening Day</t>
        </is>
      </c>
      <c r="K101" s="11">
        <f>IFERROR(INDEX(Roles!$B$17:$B$20,MATCH(J101,Roles!$A$17:$A$20,0)),1)</f>
        <v/>
      </c>
      <c r="L101" s="19" t="n">
        <v>1</v>
      </c>
      <c r="M101" s="11" t="n">
        <v>1</v>
      </c>
      <c r="N101" s="19" t="n"/>
      <c r="O101" s="19" t="n"/>
      <c r="P101" s="19" t="n"/>
      <c r="Q101" s="19" t="n"/>
      <c r="R101" s="19" t="n"/>
      <c r="S101" s="19" t="n"/>
      <c r="T101" s="19" t="n"/>
      <c r="U101" s="19" t="n">
        <v>0.6</v>
      </c>
      <c r="V101" s="19" t="n">
        <v>0.4</v>
      </c>
      <c r="W101" s="19" t="n"/>
      <c r="X101" s="19" t="n"/>
      <c r="Y101" s="19" t="n"/>
      <c r="Z101" s="13">
        <f>SUMPRODUCT(N101:Y101,$N$2:$Y$2)*$K101*$L101*$M101</f>
        <v/>
      </c>
      <c r="AA101" s="14">
        <f>SUM(N101:Y101)</f>
        <v/>
      </c>
      <c r="AB101" s="13">
        <f>SUMPRODUCT(N101:Y101,$N$3:$Y$3)*$K101*$L101*$M101</f>
        <v/>
      </c>
      <c r="AC101" s="13">
        <f>SUMPRODUCT(N101:Y101,$N$4:$Y$4)*$K101*$L101*$M101</f>
        <v/>
      </c>
      <c r="AD101" s="15" t="n">
        <v>55.9</v>
      </c>
      <c r="AE101" s="11" t="n">
        <v>0.9443119891008176</v>
      </c>
      <c r="AF101" s="16">
        <f>SUMPRODUCT(N101:Y101,$N$5:$Y$5)*$K101*$L101*$M101</f>
        <v/>
      </c>
      <c r="AG101" s="16">
        <f>SUMPRODUCT(N101:Y101,$N$6:$Y$6)*$K101*$L101*$M101</f>
        <v/>
      </c>
      <c r="AH101" s="20" t="n"/>
    </row>
    <row r="102">
      <c r="A102" s="9" t="n">
        <v>669302</v>
      </c>
      <c r="B102" s="9" t="inlineStr">
        <is>
          <t>Logan Gilbert</t>
        </is>
      </c>
      <c r="C102" s="9" t="inlineStr">
        <is>
          <t>SEA</t>
        </is>
      </c>
      <c r="D102" s="9" t="n">
        <v>30</v>
      </c>
      <c r="E102" s="18" t="inlineStr">
        <is>
          <t>R</t>
        </is>
      </c>
      <c r="F102" s="18" t="n"/>
      <c r="G102" s="9" t="n">
        <v>750</v>
      </c>
      <c r="H102" s="9" t="n">
        <v>3624</v>
      </c>
      <c r="I102" s="9" t="inlineStr">
        <is>
          <t>Ace (SP1)</t>
        </is>
      </c>
      <c r="J102" s="18" t="inlineStr">
        <is>
          <t>Opening Day</t>
        </is>
      </c>
      <c r="K102" s="11">
        <f>IFERROR(INDEX(Roles!$B$17:$B$20,MATCH(J102,Roles!$A$17:$A$20,0)),1)</f>
        <v/>
      </c>
      <c r="L102" s="19" t="n">
        <v>1</v>
      </c>
      <c r="M102" s="11" t="n">
        <v>1</v>
      </c>
      <c r="N102" s="19" t="n">
        <v>0.5</v>
      </c>
      <c r="O102" s="19" t="n">
        <v>0.5</v>
      </c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3">
        <f>SUMPRODUCT(N102:Y102,$N$2:$Y$2)*$K102*$L102*$M102</f>
        <v/>
      </c>
      <c r="AA102" s="14">
        <f>SUM(N102:Y102)</f>
        <v/>
      </c>
      <c r="AB102" s="13">
        <f>SUMPRODUCT(N102:Y102,$N$3:$Y$3)*$K102*$L102*$M102</f>
        <v/>
      </c>
      <c r="AC102" s="13">
        <f>SUMPRODUCT(N102:Y102,$N$4:$Y$4)*$K102*$L102*$M102</f>
        <v/>
      </c>
      <c r="AD102" s="15" t="n">
        <v>28.1</v>
      </c>
      <c r="AE102" s="11" t="n">
        <v>5.661612130885873</v>
      </c>
      <c r="AF102" s="16">
        <f>SUMPRODUCT(N102:Y102,$N$5:$Y$5)*$K102*$L102*$M102</f>
        <v/>
      </c>
      <c r="AG102" s="16">
        <f>SUMPRODUCT(N102:Y102,$N$6:$Y$6)*$K102*$L102*$M102</f>
        <v/>
      </c>
      <c r="AH102" s="20" t="n"/>
    </row>
    <row r="103">
      <c r="A103" s="9" t="n">
        <v>678692</v>
      </c>
      <c r="B103" s="9" t="inlineStr">
        <is>
          <t>Ronny Henriquez</t>
        </is>
      </c>
      <c r="C103" s="9" t="inlineStr">
        <is>
          <t>MIA</t>
        </is>
      </c>
      <c r="D103" s="9" t="n">
        <v>27</v>
      </c>
      <c r="E103" s="18" t="inlineStr">
        <is>
          <t>R</t>
        </is>
      </c>
      <c r="F103" s="18" t="n"/>
      <c r="G103" s="9" t="n">
        <v>303</v>
      </c>
      <c r="H103" s="9" t="n">
        <v>435</v>
      </c>
      <c r="I103" s="9" t="inlineStr">
        <is>
          <t>Bullpen Depth Arm</t>
        </is>
      </c>
      <c r="J103" s="18" t="inlineStr">
        <is>
          <t>Opening Day</t>
        </is>
      </c>
      <c r="K103" s="11">
        <f>IFERROR(INDEX(Roles!$B$17:$B$20,MATCH(J103,Roles!$A$17:$A$20,0)),1)</f>
        <v/>
      </c>
      <c r="L103" s="19" t="n">
        <v>1</v>
      </c>
      <c r="M103" s="11" t="n">
        <v>1</v>
      </c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>
        <v>0.15</v>
      </c>
      <c r="W103" s="19" t="n">
        <v>0.85</v>
      </c>
      <c r="X103" s="19" t="n"/>
      <c r="Y103" s="19" t="n"/>
      <c r="Z103" s="13">
        <f>SUMPRODUCT(N103:Y103,$N$2:$Y$2)*$K103*$L103*$M103</f>
        <v/>
      </c>
      <c r="AA103" s="14">
        <f>SUM(N103:Y103)</f>
        <v/>
      </c>
      <c r="AB103" s="13">
        <f>SUMPRODUCT(N103:Y103,$N$3:$Y$3)*$K103*$L103*$M103</f>
        <v/>
      </c>
      <c r="AC103" s="13">
        <f>SUMPRODUCT(N103:Y103,$N$4:$Y$4)*$K103*$L103*$M103</f>
        <v/>
      </c>
      <c r="AD103" s="15" t="n">
        <v>36.46666666666667</v>
      </c>
      <c r="AE103" s="11" t="n">
        <v>1.159371492704826</v>
      </c>
      <c r="AF103" s="16">
        <f>SUMPRODUCT(N103:Y103,$N$5:$Y$5)*$K103*$L103*$M103</f>
        <v/>
      </c>
      <c r="AG103" s="16">
        <f>SUMPRODUCT(N103:Y103,$N$6:$Y$6)*$K103*$L103*$M103</f>
        <v/>
      </c>
      <c r="AH103" s="20" t="n"/>
    </row>
    <row r="104">
      <c r="A104" s="9" t="n">
        <v>800311</v>
      </c>
      <c r="B104" s="9" t="inlineStr">
        <is>
          <t>Didier Fuentes</t>
        </is>
      </c>
      <c r="C104" s="9" t="inlineStr">
        <is>
          <t>ATL</t>
        </is>
      </c>
      <c r="D104" s="9" t="n">
        <v>22</v>
      </c>
      <c r="E104" s="18" t="inlineStr">
        <is>
          <t>R</t>
        </is>
      </c>
      <c r="F104" s="18" t="n"/>
      <c r="G104" s="9" t="n">
        <v>297</v>
      </c>
      <c r="H104" s="9" t="n">
        <v>366</v>
      </c>
      <c r="I104" s="9" t="inlineStr">
        <is>
          <t>Swing Arm / Long Relief</t>
        </is>
      </c>
      <c r="J104" s="18" t="inlineStr">
        <is>
          <t>Opening Day</t>
        </is>
      </c>
      <c r="K104" s="11">
        <f>IFERROR(INDEX(Roles!$B$17:$B$20,MATCH(J104,Roles!$A$17:$A$20,0)),1)</f>
        <v/>
      </c>
      <c r="L104" s="19" t="n">
        <v>1</v>
      </c>
      <c r="M104" s="11" t="n">
        <v>1</v>
      </c>
      <c r="N104" s="19" t="n"/>
      <c r="O104" s="19" t="n"/>
      <c r="P104" s="19" t="n"/>
      <c r="Q104" s="19" t="n"/>
      <c r="R104" s="19" t="n">
        <v>0.6</v>
      </c>
      <c r="S104" s="19" t="n"/>
      <c r="T104" s="19" t="n"/>
      <c r="U104" s="19" t="n">
        <v>0.4</v>
      </c>
      <c r="V104" s="19" t="n"/>
      <c r="W104" s="19" t="n"/>
      <c r="X104" s="19" t="n"/>
      <c r="Y104" s="19" t="n"/>
      <c r="Z104" s="13">
        <f>SUMPRODUCT(N104:Y104,$N$2:$Y$2)*$K104*$L104*$M104</f>
        <v/>
      </c>
      <c r="AA104" s="14">
        <f>SUM(N104:Y104)</f>
        <v/>
      </c>
      <c r="AB104" s="13">
        <f>SUMPRODUCT(N104:Y104,$N$3:$Y$3)*$K104*$L104*$M104</f>
        <v/>
      </c>
      <c r="AC104" s="13">
        <f>SUMPRODUCT(N104:Y104,$N$4:$Y$4)*$K104*$L104*$M104</f>
        <v/>
      </c>
      <c r="AD104" s="15" t="n">
        <v>29.97333333333333</v>
      </c>
      <c r="AE104" s="11" t="n">
        <v>2.119037610840889</v>
      </c>
      <c r="AF104" s="16">
        <f>SUMPRODUCT(N104:Y104,$N$5:$Y$5)*$K104*$L104*$M104</f>
        <v/>
      </c>
      <c r="AG104" s="16">
        <f>SUMPRODUCT(N104:Y104,$N$6:$Y$6)*$K104*$L104*$M104</f>
        <v/>
      </c>
      <c r="AH104" s="20" t="n"/>
    </row>
    <row r="105">
      <c r="A105" s="9" t="n">
        <v>663893</v>
      </c>
      <c r="B105" s="9" t="inlineStr">
        <is>
          <t>Brendon Little</t>
        </is>
      </c>
      <c r="C105" s="9" t="inlineStr">
        <is>
          <t>TOR</t>
        </is>
      </c>
      <c r="D105" s="9" t="n">
        <v>30</v>
      </c>
      <c r="E105" s="18" t="inlineStr">
        <is>
          <t>L</t>
        </is>
      </c>
      <c r="F105" s="18" t="n"/>
      <c r="G105" s="9" t="n">
        <v>132</v>
      </c>
      <c r="H105" s="9" t="n">
        <v>626</v>
      </c>
      <c r="I105" s="9" t="inlineStr">
        <is>
          <t>Middle Relief</t>
        </is>
      </c>
      <c r="J105" s="18" t="inlineStr">
        <is>
          <t>Opening Day</t>
        </is>
      </c>
      <c r="K105" s="11">
        <f>IFERROR(INDEX(Roles!$B$17:$B$20,MATCH(J105,Roles!$A$17:$A$20,0)),1)</f>
        <v/>
      </c>
      <c r="L105" s="19" t="n">
        <v>1</v>
      </c>
      <c r="M105" s="11" t="n">
        <v>1</v>
      </c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>
        <v>0.85</v>
      </c>
      <c r="W105" s="19" t="n">
        <v>0.15</v>
      </c>
      <c r="X105" s="19" t="n"/>
      <c r="Y105" s="19" t="n"/>
      <c r="Z105" s="13">
        <f>SUMPRODUCT(N105:Y105,$N$2:$Y$2)*$K105*$L105*$M105</f>
        <v/>
      </c>
      <c r="AA105" s="14">
        <f>SUM(N105:Y105)</f>
        <v/>
      </c>
      <c r="AB105" s="13">
        <f>SUMPRODUCT(N105:Y105,$N$3:$Y$3)*$K105*$L105*$M105</f>
        <v/>
      </c>
      <c r="AC105" s="13">
        <f>SUMPRODUCT(N105:Y105,$N$4:$Y$4)*$K105*$L105*$M105</f>
        <v/>
      </c>
      <c r="AD105" s="15" t="n">
        <v>44.43333333333333</v>
      </c>
      <c r="AE105" s="11" t="n">
        <v>0.989181175923936</v>
      </c>
      <c r="AF105" s="16">
        <f>SUMPRODUCT(N105:Y105,$N$5:$Y$5)*$K105*$L105*$M105</f>
        <v/>
      </c>
      <c r="AG105" s="16">
        <f>SUMPRODUCT(N105:Y105,$N$6:$Y$6)*$K105*$L105*$M105</f>
        <v/>
      </c>
      <c r="AH105" s="20" t="n"/>
    </row>
    <row r="106">
      <c r="A106" s="9" t="n">
        <v>622250</v>
      </c>
      <c r="B106" s="9" t="inlineStr">
        <is>
          <t>Josh Sborz</t>
        </is>
      </c>
      <c r="C106" s="9" t="inlineStr">
        <is>
          <t>TEX</t>
        </is>
      </c>
      <c r="D106" s="9" t="n">
        <v>33</v>
      </c>
      <c r="E106" s="18" t="inlineStr">
        <is>
          <t>R</t>
        </is>
      </c>
      <c r="F106" s="18" t="n"/>
      <c r="G106" s="9" t="n">
        <v>69</v>
      </c>
      <c r="H106" s="9" t="n">
        <v>384</v>
      </c>
      <c r="I106" s="9" t="inlineStr">
        <is>
          <t>Depth (no MLB IP)</t>
        </is>
      </c>
      <c r="J106" s="18" t="inlineStr">
        <is>
          <t>Opening Day</t>
        </is>
      </c>
      <c r="K106" s="11">
        <f>IFERROR(INDEX(Roles!$B$17:$B$20,MATCH(J106,Roles!$A$17:$A$20,0)),1)</f>
        <v/>
      </c>
      <c r="L106" s="19" t="n">
        <v>1</v>
      </c>
      <c r="M106" s="11" t="n">
        <v>1</v>
      </c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>
        <v>1</v>
      </c>
      <c r="Z106" s="13">
        <f>SUMPRODUCT(N106:Y106,$N$2:$Y$2)*$K106*$L106*$M106</f>
        <v/>
      </c>
      <c r="AA106" s="14">
        <f>SUM(N106:Y106)</f>
        <v/>
      </c>
      <c r="AB106" s="13">
        <f>SUMPRODUCT(N106:Y106,$N$3:$Y$3)*$K106*$L106*$M106</f>
        <v/>
      </c>
      <c r="AC106" s="13">
        <f>SUMPRODUCT(N106:Y106,$N$4:$Y$4)*$K106*$L106*$M106</f>
        <v/>
      </c>
      <c r="AD106" s="15" t="n">
        <v>11.4</v>
      </c>
      <c r="AE106" s="11" t="n">
        <v>0.994458968772694</v>
      </c>
      <c r="AF106" s="16">
        <f>SUMPRODUCT(N106:Y106,$N$5:$Y$5)*$K106*$L106*$M106</f>
        <v/>
      </c>
      <c r="AG106" s="16">
        <f>SUMPRODUCT(N106:Y106,$N$6:$Y$6)*$K106*$L106*$M106</f>
        <v/>
      </c>
      <c r="AH106" s="20" t="n"/>
    </row>
    <row r="107">
      <c r="A107" s="9" t="n">
        <v>686613</v>
      </c>
      <c r="B107" s="9" t="inlineStr">
        <is>
          <t>Hunter Brown</t>
        </is>
      </c>
      <c r="C107" s="9" t="inlineStr">
        <is>
          <t>HOU</t>
        </is>
      </c>
      <c r="D107" s="9" t="n">
        <v>28</v>
      </c>
      <c r="E107" s="18" t="inlineStr">
        <is>
          <t>R</t>
        </is>
      </c>
      <c r="F107" s="18" t="n"/>
      <c r="G107" s="9" t="n">
        <v>451</v>
      </c>
      <c r="H107" s="9" t="n">
        <v>2637</v>
      </c>
      <c r="I107" s="9" t="inlineStr">
        <is>
          <t>Ace (SP1)</t>
        </is>
      </c>
      <c r="J107" s="18" t="inlineStr">
        <is>
          <t>Opening Day</t>
        </is>
      </c>
      <c r="K107" s="11">
        <f>IFERROR(INDEX(Roles!$B$17:$B$20,MATCH(J107,Roles!$A$17:$A$20,0)),1)</f>
        <v/>
      </c>
      <c r="L107" s="19" t="n">
        <v>1</v>
      </c>
      <c r="M107" s="11" t="n">
        <v>1</v>
      </c>
      <c r="N107" s="19" t="n">
        <v>0.5</v>
      </c>
      <c r="O107" s="19" t="n">
        <v>0.5</v>
      </c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3">
        <f>SUMPRODUCT(N107:Y107,$N$2:$Y$2)*$K107*$L107*$M107</f>
        <v/>
      </c>
      <c r="AA107" s="14">
        <f>SUM(N107:Y107)</f>
        <v/>
      </c>
      <c r="AB107" s="13">
        <f>SUMPRODUCT(N107:Y107,$N$3:$Y$3)*$K107*$L107*$M107</f>
        <v/>
      </c>
      <c r="AC107" s="13">
        <f>SUMPRODUCT(N107:Y107,$N$4:$Y$4)*$K107*$L107*$M107</f>
        <v/>
      </c>
      <c r="AD107" s="15" t="n">
        <v>25.5</v>
      </c>
      <c r="AE107" s="11" t="n">
        <v>5.625479821558252</v>
      </c>
      <c r="AF107" s="16">
        <f>SUMPRODUCT(N107:Y107,$N$5:$Y$5)*$K107*$L107*$M107</f>
        <v/>
      </c>
      <c r="AG107" s="16">
        <f>SUMPRODUCT(N107:Y107,$N$6:$Y$6)*$K107*$L107*$M107</f>
        <v/>
      </c>
      <c r="AH107" s="20" t="n"/>
    </row>
    <row r="108">
      <c r="A108" s="9" t="n">
        <v>595345</v>
      </c>
      <c r="B108" s="9" t="inlineStr">
        <is>
          <t>Steven Okert</t>
        </is>
      </c>
      <c r="C108" s="9" t="inlineStr">
        <is>
          <t>HOU</t>
        </is>
      </c>
      <c r="D108" s="9" t="n">
        <v>35</v>
      </c>
      <c r="E108" s="18" t="inlineStr">
        <is>
          <t>L</t>
        </is>
      </c>
      <c r="F108" s="18" t="n"/>
      <c r="G108" s="9" t="n">
        <v>261</v>
      </c>
      <c r="H108" s="9" t="n">
        <v>1165</v>
      </c>
      <c r="I108" s="9" t="inlineStr">
        <is>
          <t>Late Inning RP (Setup)</t>
        </is>
      </c>
      <c r="J108" s="18" t="inlineStr">
        <is>
          <t>Opening Day</t>
        </is>
      </c>
      <c r="K108" s="11">
        <f>IFERROR(INDEX(Roles!$B$17:$B$20,MATCH(J108,Roles!$A$17:$A$20,0)),1)</f>
        <v/>
      </c>
      <c r="L108" s="19" t="n">
        <v>1</v>
      </c>
      <c r="M108" s="11" t="n">
        <v>1</v>
      </c>
      <c r="N108" s="19" t="n"/>
      <c r="O108" s="19" t="n"/>
      <c r="P108" s="19" t="n"/>
      <c r="Q108" s="19" t="n"/>
      <c r="R108" s="19" t="n"/>
      <c r="S108" s="19" t="n"/>
      <c r="T108" s="19" t="n"/>
      <c r="U108" s="19" t="n">
        <v>0.6</v>
      </c>
      <c r="V108" s="19" t="n">
        <v>0.4</v>
      </c>
      <c r="W108" s="19" t="n"/>
      <c r="X108" s="19" t="n"/>
      <c r="Y108" s="19" t="n"/>
      <c r="Z108" s="13">
        <f>SUMPRODUCT(N108:Y108,$N$2:$Y$2)*$K108*$L108*$M108</f>
        <v/>
      </c>
      <c r="AA108" s="14">
        <f>SUM(N108:Y108)</f>
        <v/>
      </c>
      <c r="AB108" s="13">
        <f>SUMPRODUCT(N108:Y108,$N$3:$Y$3)*$K108*$L108*$M108</f>
        <v/>
      </c>
      <c r="AC108" s="13">
        <f>SUMPRODUCT(N108:Y108,$N$4:$Y$4)*$K108*$L108*$M108</f>
        <v/>
      </c>
      <c r="AD108" s="15" t="n">
        <v>57.6</v>
      </c>
      <c r="AE108" s="11" t="n">
        <v>0.9910300925925928</v>
      </c>
      <c r="AF108" s="16">
        <f>SUMPRODUCT(N108:Y108,$N$5:$Y$5)*$K108*$L108*$M108</f>
        <v/>
      </c>
      <c r="AG108" s="16">
        <f>SUMPRODUCT(N108:Y108,$N$6:$Y$6)*$K108*$L108*$M108</f>
        <v/>
      </c>
      <c r="AH108" s="20" t="n"/>
    </row>
    <row r="109">
      <c r="A109" s="9" t="n">
        <v>521230</v>
      </c>
      <c r="B109" s="9" t="inlineStr">
        <is>
          <t>Liam Hendriks</t>
        </is>
      </c>
      <c r="C109" s="9" t="inlineStr">
        <is>
          <t>BOS</t>
        </is>
      </c>
      <c r="D109" s="9" t="n">
        <v>38</v>
      </c>
      <c r="E109" s="18" t="inlineStr">
        <is>
          <t>R</t>
        </is>
      </c>
      <c r="F109" s="18" t="n"/>
      <c r="G109" s="9" t="n">
        <v>59</v>
      </c>
      <c r="H109" s="9" t="n">
        <v>314</v>
      </c>
      <c r="I109" s="9" t="inlineStr">
        <is>
          <t>Bullpen Depth Arm</t>
        </is>
      </c>
      <c r="J109" s="18" t="inlineStr">
        <is>
          <t>Opening Day</t>
        </is>
      </c>
      <c r="K109" s="11">
        <f>IFERROR(INDEX(Roles!$B$17:$B$20,MATCH(J109,Roles!$A$17:$A$20,0)),1)</f>
        <v/>
      </c>
      <c r="L109" s="19" t="n">
        <v>1</v>
      </c>
      <c r="M109" s="11" t="n">
        <v>1</v>
      </c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>
        <v>1</v>
      </c>
      <c r="X109" s="19" t="n"/>
      <c r="Y109" s="19" t="n"/>
      <c r="Z109" s="13">
        <f>SUMPRODUCT(N109:Y109,$N$2:$Y$2)*$K109*$L109*$M109</f>
        <v/>
      </c>
      <c r="AA109" s="14">
        <f>SUM(N109:Y109)</f>
        <v/>
      </c>
      <c r="AB109" s="13">
        <f>SUMPRODUCT(N109:Y109,$N$3:$Y$3)*$K109*$L109*$M109</f>
        <v/>
      </c>
      <c r="AC109" s="13">
        <f>SUMPRODUCT(N109:Y109,$N$4:$Y$4)*$K109*$L109*$M109</f>
        <v/>
      </c>
      <c r="AD109" s="15" t="n">
        <v>14.06666666666667</v>
      </c>
      <c r="AE109" s="11" t="n">
        <v>1.126903960237294</v>
      </c>
      <c r="AF109" s="16">
        <f>SUMPRODUCT(N109:Y109,$N$5:$Y$5)*$K109*$L109*$M109</f>
        <v/>
      </c>
      <c r="AG109" s="16">
        <f>SUMPRODUCT(N109:Y109,$N$6:$Y$6)*$K109*$L109*$M109</f>
        <v/>
      </c>
      <c r="AH109" s="20" t="n"/>
    </row>
    <row r="110">
      <c r="A110" s="9" t="n">
        <v>837227</v>
      </c>
      <c r="B110" s="9" t="inlineStr">
        <is>
          <t>Tatsuya Imai</t>
        </is>
      </c>
      <c r="C110" s="9" t="inlineStr">
        <is>
          <t>HOU</t>
        </is>
      </c>
      <c r="D110" s="9" t="n">
        <v>29</v>
      </c>
      <c r="E110" s="18" t="inlineStr">
        <is>
          <t>R</t>
        </is>
      </c>
      <c r="F110" s="18" t="n"/>
      <c r="G110" s="9" t="n">
        <v>338</v>
      </c>
      <c r="H110" s="9" t="n">
        <v>338</v>
      </c>
      <c r="I110" s="9" t="inlineStr">
        <is>
          <t>Swing Arm / Long Relief</t>
        </is>
      </c>
      <c r="J110" s="18" t="inlineStr">
        <is>
          <t>Opening Day</t>
        </is>
      </c>
      <c r="K110" s="11">
        <f>IFERROR(INDEX(Roles!$B$17:$B$20,MATCH(J110,Roles!$A$17:$A$20,0)),1)</f>
        <v/>
      </c>
      <c r="L110" s="19" t="n">
        <v>1</v>
      </c>
      <c r="M110" s="11" t="n">
        <v>1</v>
      </c>
      <c r="N110" s="19" t="n"/>
      <c r="O110" s="19" t="n"/>
      <c r="P110" s="19" t="n"/>
      <c r="Q110" s="19" t="n"/>
      <c r="R110" s="19" t="n">
        <v>0.6</v>
      </c>
      <c r="S110" s="19" t="n"/>
      <c r="T110" s="19" t="n"/>
      <c r="U110" s="19" t="n"/>
      <c r="V110" s="19" t="n"/>
      <c r="W110" s="19" t="n">
        <v>0.4</v>
      </c>
      <c r="X110" s="19" t="n"/>
      <c r="Y110" s="19" t="n"/>
      <c r="Z110" s="13">
        <f>SUMPRODUCT(N110:Y110,$N$2:$Y$2)*$K110*$L110*$M110</f>
        <v/>
      </c>
      <c r="AA110" s="14">
        <f>SUM(N110:Y110)</f>
        <v/>
      </c>
      <c r="AB110" s="13">
        <f>SUMPRODUCT(N110:Y110,$N$3:$Y$3)*$K110*$L110*$M110</f>
        <v/>
      </c>
      <c r="AC110" s="13">
        <f>SUMPRODUCT(N110:Y110,$N$4:$Y$4)*$K110*$L110*$M110</f>
        <v/>
      </c>
      <c r="AD110" s="15" t="n">
        <v>21.93333333333333</v>
      </c>
      <c r="AE110" s="11" t="n">
        <v>2.77959927140255</v>
      </c>
      <c r="AF110" s="16">
        <f>SUMPRODUCT(N110:Y110,$N$5:$Y$5)*$K110*$L110*$M110</f>
        <v/>
      </c>
      <c r="AG110" s="16">
        <f>SUMPRODUCT(N110:Y110,$N$6:$Y$6)*$K110*$L110*$M110</f>
        <v/>
      </c>
      <c r="AH110" s="20" t="n"/>
    </row>
    <row r="111">
      <c r="A111" s="9" t="n">
        <v>592779</v>
      </c>
      <c r="B111" s="9" t="inlineStr">
        <is>
          <t>Brock Stewart</t>
        </is>
      </c>
      <c r="C111" s="9" t="inlineStr">
        <is>
          <t>LAD</t>
        </is>
      </c>
      <c r="D111" s="9" t="n">
        <v>35</v>
      </c>
      <c r="E111" s="18" t="inlineStr">
        <is>
          <t>R</t>
        </is>
      </c>
      <c r="F111" s="18" t="n"/>
      <c r="G111" s="9" t="n">
        <v>103</v>
      </c>
      <c r="H111" s="9" t="n">
        <v>438</v>
      </c>
      <c r="I111" s="9" t="inlineStr">
        <is>
          <t>Late Inning RP (Setup)</t>
        </is>
      </c>
      <c r="J111" s="18" t="inlineStr">
        <is>
          <t>Opening Day</t>
        </is>
      </c>
      <c r="K111" s="11">
        <f>IFERROR(INDEX(Roles!$B$17:$B$20,MATCH(J111,Roles!$A$17:$A$20,0)),1)</f>
        <v/>
      </c>
      <c r="L111" s="19" t="n">
        <v>1</v>
      </c>
      <c r="M111" s="11" t="n">
        <v>1</v>
      </c>
      <c r="N111" s="19" t="n"/>
      <c r="O111" s="19" t="n"/>
      <c r="P111" s="19" t="n"/>
      <c r="Q111" s="19" t="n"/>
      <c r="R111" s="19" t="n"/>
      <c r="S111" s="19" t="n"/>
      <c r="T111" s="19" t="n"/>
      <c r="U111" s="19" t="n">
        <v>0.85</v>
      </c>
      <c r="V111" s="19" t="n">
        <v>0.15</v>
      </c>
      <c r="W111" s="19" t="n"/>
      <c r="X111" s="19" t="n"/>
      <c r="Y111" s="19" t="n"/>
      <c r="Z111" s="13">
        <f>SUMPRODUCT(N111:Y111,$N$2:$Y$2)*$K111*$L111*$M111</f>
        <v/>
      </c>
      <c r="AA111" s="14">
        <f>SUM(N111:Y111)</f>
        <v/>
      </c>
      <c r="AB111" s="13">
        <f>SUMPRODUCT(N111:Y111,$N$3:$Y$3)*$K111*$L111*$M111</f>
        <v/>
      </c>
      <c r="AC111" s="13">
        <f>SUMPRODUCT(N111:Y111,$N$4:$Y$4)*$K111*$L111*$M111</f>
        <v/>
      </c>
      <c r="AD111" s="15" t="n">
        <v>37.8</v>
      </c>
      <c r="AE111" s="11" t="n">
        <v>0.966173835125448</v>
      </c>
      <c r="AF111" s="16">
        <f>SUMPRODUCT(N111:Y111,$N$5:$Y$5)*$K111*$L111*$M111</f>
        <v/>
      </c>
      <c r="AG111" s="16">
        <f>SUMPRODUCT(N111:Y111,$N$6:$Y$6)*$K111*$L111*$M111</f>
        <v/>
      </c>
      <c r="AH111" s="20" t="n"/>
    </row>
    <row r="112">
      <c r="A112" s="9" t="n">
        <v>687863</v>
      </c>
      <c r="B112" s="9" t="inlineStr">
        <is>
          <t>Porter Hodge</t>
        </is>
      </c>
      <c r="C112" s="9" t="inlineStr">
        <is>
          <t>CHC</t>
        </is>
      </c>
      <c r="D112" s="9" t="n">
        <v>26</v>
      </c>
      <c r="E112" s="18" t="inlineStr">
        <is>
          <t>R</t>
        </is>
      </c>
      <c r="F112" s="18" t="n"/>
      <c r="G112" s="9" t="n">
        <v>147</v>
      </c>
      <c r="H112" s="9" t="n">
        <v>311</v>
      </c>
      <c r="I112" s="9" t="inlineStr">
        <is>
          <t>Bullpen Depth Arm</t>
        </is>
      </c>
      <c r="J112" s="18" t="inlineStr">
        <is>
          <t>Opening Day</t>
        </is>
      </c>
      <c r="K112" s="11">
        <f>IFERROR(INDEX(Roles!$B$17:$B$20,MATCH(J112,Roles!$A$17:$A$20,0)),1)</f>
        <v/>
      </c>
      <c r="L112" s="19" t="n">
        <v>1</v>
      </c>
      <c r="M112" s="11" t="n">
        <v>1</v>
      </c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>
        <v>0.15</v>
      </c>
      <c r="W112" s="19" t="n">
        <v>0.85</v>
      </c>
      <c r="X112" s="19" t="n"/>
      <c r="Y112" s="19" t="n"/>
      <c r="Z112" s="13">
        <f>SUMPRODUCT(N112:Y112,$N$2:$Y$2)*$K112*$L112*$M112</f>
        <v/>
      </c>
      <c r="AA112" s="14">
        <f>SUM(N112:Y112)</f>
        <v/>
      </c>
      <c r="AB112" s="13">
        <f>SUMPRODUCT(N112:Y112,$N$3:$Y$3)*$K112*$L112*$M112</f>
        <v/>
      </c>
      <c r="AC112" s="13">
        <f>SUMPRODUCT(N112:Y112,$N$4:$Y$4)*$K112*$L112*$M112</f>
        <v/>
      </c>
      <c r="AD112" s="15" t="n">
        <v>27.86666666666667</v>
      </c>
      <c r="AE112" s="11" t="n">
        <v>1.128834462167796</v>
      </c>
      <c r="AF112" s="16">
        <f>SUMPRODUCT(N112:Y112,$N$5:$Y$5)*$K112*$L112*$M112</f>
        <v/>
      </c>
      <c r="AG112" s="16">
        <f>SUMPRODUCT(N112:Y112,$N$6:$Y$6)*$K112*$L112*$M112</f>
        <v/>
      </c>
      <c r="AH112" s="20" t="n"/>
    </row>
    <row r="113">
      <c r="A113" s="9" t="n">
        <v>664294</v>
      </c>
      <c r="B113" s="9" t="inlineStr">
        <is>
          <t>Dauri Moreta</t>
        </is>
      </c>
      <c r="C113" s="9" t="inlineStr">
        <is>
          <t>PIT</t>
        </is>
      </c>
      <c r="D113" s="9" t="n">
        <v>31</v>
      </c>
      <c r="E113" s="18" t="inlineStr">
        <is>
          <t>R</t>
        </is>
      </c>
      <c r="F113" s="18" t="n"/>
      <c r="G113" s="9" t="n">
        <v>68</v>
      </c>
      <c r="H113" s="9" t="n">
        <v>467</v>
      </c>
      <c r="I113" s="9" t="inlineStr">
        <is>
          <t>Bullpen Depth Arm</t>
        </is>
      </c>
      <c r="J113" s="18" t="inlineStr">
        <is>
          <t>Opening Day</t>
        </is>
      </c>
      <c r="K113" s="11">
        <f>IFERROR(INDEX(Roles!$B$17:$B$20,MATCH(J113,Roles!$A$17:$A$20,0)),1)</f>
        <v/>
      </c>
      <c r="L113" s="19" t="n">
        <v>1</v>
      </c>
      <c r="M113" s="11" t="n">
        <v>1</v>
      </c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>
        <v>1</v>
      </c>
      <c r="X113" s="19" t="n"/>
      <c r="Y113" s="19" t="n"/>
      <c r="Z113" s="13">
        <f>SUMPRODUCT(N113:Y113,$N$2:$Y$2)*$K113*$L113*$M113</f>
        <v/>
      </c>
      <c r="AA113" s="14">
        <f>SUM(N113:Y113)</f>
        <v/>
      </c>
      <c r="AB113" s="13">
        <f>SUMPRODUCT(N113:Y113,$N$3:$Y$3)*$K113*$L113*$M113</f>
        <v/>
      </c>
      <c r="AC113" s="13">
        <f>SUMPRODUCT(N113:Y113,$N$4:$Y$4)*$K113*$L113*$M113</f>
        <v/>
      </c>
      <c r="AD113" s="15" t="n">
        <v>16.46666666666667</v>
      </c>
      <c r="AE113" s="11" t="n">
        <v>1.11014911014911</v>
      </c>
      <c r="AF113" s="16">
        <f>SUMPRODUCT(N113:Y113,$N$5:$Y$5)*$K113*$L113*$M113</f>
        <v/>
      </c>
      <c r="AG113" s="16">
        <f>SUMPRODUCT(N113:Y113,$N$6:$Y$6)*$K113*$L113*$M113</f>
        <v/>
      </c>
      <c r="AH113" s="20" t="n"/>
    </row>
    <row r="114">
      <c r="A114" s="9" t="n">
        <v>666808</v>
      </c>
      <c r="B114" s="9" t="inlineStr">
        <is>
          <t>Camilo Doval</t>
        </is>
      </c>
      <c r="C114" s="9" t="inlineStr">
        <is>
          <t>SF</t>
        </is>
      </c>
      <c r="D114" s="9" t="n">
        <v>29</v>
      </c>
      <c r="E114" s="18" t="inlineStr">
        <is>
          <t>R</t>
        </is>
      </c>
      <c r="F114" s="18" t="n"/>
      <c r="G114" s="9" t="n">
        <v>273</v>
      </c>
      <c r="H114" s="9" t="n">
        <v>1389</v>
      </c>
      <c r="I114" s="9" t="inlineStr">
        <is>
          <t>Late Inning RP (Setup)</t>
        </is>
      </c>
      <c r="J114" s="18" t="inlineStr">
        <is>
          <t>Opening Day</t>
        </is>
      </c>
      <c r="K114" s="11">
        <f>IFERROR(INDEX(Roles!$B$17:$B$20,MATCH(J114,Roles!$A$17:$A$20,0)),1)</f>
        <v/>
      </c>
      <c r="L114" s="19" t="n">
        <v>1</v>
      </c>
      <c r="M114" s="11" t="n">
        <v>1</v>
      </c>
      <c r="N114" s="19" t="n"/>
      <c r="O114" s="19" t="n"/>
      <c r="P114" s="19" t="n"/>
      <c r="Q114" s="19" t="n"/>
      <c r="R114" s="19" t="n"/>
      <c r="S114" s="19" t="n"/>
      <c r="T114" s="19" t="n"/>
      <c r="U114" s="19" t="n">
        <v>0.6</v>
      </c>
      <c r="V114" s="19" t="n">
        <v>0.4</v>
      </c>
      <c r="W114" s="19" t="n"/>
      <c r="X114" s="19" t="n"/>
      <c r="Y114" s="19" t="n"/>
      <c r="Z114" s="13">
        <f>SUMPRODUCT(N114:Y114,$N$2:$Y$2)*$K114*$L114*$M114</f>
        <v/>
      </c>
      <c r="AA114" s="14">
        <f>SUM(N114:Y114)</f>
        <v/>
      </c>
      <c r="AB114" s="13">
        <f>SUMPRODUCT(N114:Y114,$N$3:$Y$3)*$K114*$L114*$M114</f>
        <v/>
      </c>
      <c r="AC114" s="13">
        <f>SUMPRODUCT(N114:Y114,$N$4:$Y$4)*$K114*$L114*$M114</f>
        <v/>
      </c>
      <c r="AD114" s="15" t="n">
        <v>59</v>
      </c>
      <c r="AE114" s="11" t="n">
        <v>0.971000837520938</v>
      </c>
      <c r="AF114" s="16">
        <f>SUMPRODUCT(N114:Y114,$N$5:$Y$5)*$K114*$L114*$M114</f>
        <v/>
      </c>
      <c r="AG114" s="16">
        <f>SUMPRODUCT(N114:Y114,$N$6:$Y$6)*$K114*$L114*$M114</f>
        <v/>
      </c>
      <c r="AH114" s="20" t="n"/>
    </row>
    <row r="115">
      <c r="A115" s="9" t="n">
        <v>641329</v>
      </c>
      <c r="B115" s="9" t="inlineStr">
        <is>
          <t>Bryan Baker</t>
        </is>
      </c>
      <c r="C115" s="9" t="inlineStr">
        <is>
          <t>TB</t>
        </is>
      </c>
      <c r="D115" s="9" t="n">
        <v>32</v>
      </c>
      <c r="E115" s="18" t="inlineStr">
        <is>
          <t>R</t>
        </is>
      </c>
      <c r="F115" s="18" t="n"/>
      <c r="G115" s="9" t="n">
        <v>244</v>
      </c>
      <c r="H115" s="9" t="n">
        <v>1088</v>
      </c>
      <c r="I115" s="9" t="inlineStr">
        <is>
          <t>Closer</t>
        </is>
      </c>
      <c r="J115" s="18" t="inlineStr">
        <is>
          <t>Opening Day</t>
        </is>
      </c>
      <c r="K115" s="11">
        <f>IFERROR(INDEX(Roles!$B$17:$B$20,MATCH(J115,Roles!$A$17:$A$20,0)),1)</f>
        <v/>
      </c>
      <c r="L115" s="19" t="n">
        <v>1</v>
      </c>
      <c r="M115" s="11" t="n">
        <v>1</v>
      </c>
      <c r="N115" s="19" t="n"/>
      <c r="O115" s="19" t="n"/>
      <c r="P115" s="19" t="n"/>
      <c r="Q115" s="19" t="n"/>
      <c r="R115" s="19" t="n"/>
      <c r="S115" s="19" t="n"/>
      <c r="T115" s="19" t="n">
        <v>0.85</v>
      </c>
      <c r="U115" s="19" t="n">
        <v>0.15</v>
      </c>
      <c r="V115" s="19" t="n"/>
      <c r="W115" s="19" t="n"/>
      <c r="X115" s="19" t="n"/>
      <c r="Y115" s="19" t="n"/>
      <c r="Z115" s="13">
        <f>SUMPRODUCT(N115:Y115,$N$2:$Y$2)*$K115*$L115*$M115</f>
        <v/>
      </c>
      <c r="AA115" s="14">
        <f>SUM(N115:Y115)</f>
        <v/>
      </c>
      <c r="AB115" s="13">
        <f>SUMPRODUCT(N115:Y115,$N$3:$Y$3)*$K115*$L115*$M115</f>
        <v/>
      </c>
      <c r="AC115" s="13">
        <f>SUMPRODUCT(N115:Y115,$N$4:$Y$4)*$K115*$L115*$M115</f>
        <v/>
      </c>
      <c r="AD115" s="15" t="n">
        <v>56.16</v>
      </c>
      <c r="AE115" s="11" t="n">
        <v>0.9910771258149536</v>
      </c>
      <c r="AF115" s="16">
        <f>SUMPRODUCT(N115:Y115,$N$5:$Y$5)*$K115*$L115*$M115</f>
        <v/>
      </c>
      <c r="AG115" s="16">
        <f>SUMPRODUCT(N115:Y115,$N$6:$Y$6)*$K115*$L115*$M115</f>
        <v/>
      </c>
      <c r="AH115" s="20" t="n"/>
    </row>
    <row r="116">
      <c r="A116" s="9" t="n">
        <v>623149</v>
      </c>
      <c r="B116" s="9" t="inlineStr">
        <is>
          <t>Paul Sewald</t>
        </is>
      </c>
      <c r="C116" s="9" t="inlineStr">
        <is>
          <t>TOR</t>
        </is>
      </c>
      <c r="D116" s="9" t="n">
        <v>37</v>
      </c>
      <c r="E116" s="18" t="inlineStr">
        <is>
          <t>R</t>
        </is>
      </c>
      <c r="F116" s="18" t="n"/>
      <c r="G116" s="9" t="n">
        <v>219</v>
      </c>
      <c r="H116" s="9" t="n">
        <v>956</v>
      </c>
      <c r="I116" s="9" t="inlineStr">
        <is>
          <t>Middle Relief</t>
        </is>
      </c>
      <c r="J116" s="18" t="inlineStr">
        <is>
          <t>Opening Day</t>
        </is>
      </c>
      <c r="K116" s="11">
        <f>IFERROR(INDEX(Roles!$B$17:$B$20,MATCH(J116,Roles!$A$17:$A$20,0)),1)</f>
        <v/>
      </c>
      <c r="L116" s="19" t="n">
        <v>1</v>
      </c>
      <c r="M116" s="11" t="n">
        <v>1</v>
      </c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>
        <v>0.6</v>
      </c>
      <c r="W116" s="19" t="n">
        <v>0.4</v>
      </c>
      <c r="X116" s="19" t="n"/>
      <c r="Y116" s="19" t="n"/>
      <c r="Z116" s="13">
        <f>SUMPRODUCT(N116:Y116,$N$2:$Y$2)*$K116*$L116*$M116</f>
        <v/>
      </c>
      <c r="AA116" s="14">
        <f>SUM(N116:Y116)</f>
        <v/>
      </c>
      <c r="AB116" s="13">
        <f>SUMPRODUCT(N116:Y116,$N$3:$Y$3)*$K116*$L116*$M116</f>
        <v/>
      </c>
      <c r="AC116" s="13">
        <f>SUMPRODUCT(N116:Y116,$N$4:$Y$4)*$K116*$L116*$M116</f>
        <v/>
      </c>
      <c r="AD116" s="15" t="n">
        <v>41.93333333333333</v>
      </c>
      <c r="AE116" s="11" t="n">
        <v>0.9820359216381588</v>
      </c>
      <c r="AF116" s="16">
        <f>SUMPRODUCT(N116:Y116,$N$5:$Y$5)*$K116*$L116*$M116</f>
        <v/>
      </c>
      <c r="AG116" s="16">
        <f>SUMPRODUCT(N116:Y116,$N$6:$Y$6)*$K116*$L116*$M116</f>
        <v/>
      </c>
      <c r="AH116" s="20" t="n"/>
    </row>
    <row r="117">
      <c r="A117" s="9" t="n">
        <v>593576</v>
      </c>
      <c r="B117" s="9" t="inlineStr">
        <is>
          <t>Héctor Neris</t>
        </is>
      </c>
      <c r="C117" s="9" t="inlineStr">
        <is>
          <t>HOU</t>
        </is>
      </c>
      <c r="D117" s="9" t="n">
        <v>38</v>
      </c>
      <c r="E117" s="18" t="inlineStr">
        <is>
          <t>R</t>
        </is>
      </c>
      <c r="F117" s="18" t="n"/>
      <c r="G117" s="9" t="n">
        <v>124</v>
      </c>
      <c r="H117" s="9" t="n">
        <v>920</v>
      </c>
      <c r="I117" s="9" t="inlineStr">
        <is>
          <t>Bullpen Depth Arm</t>
        </is>
      </c>
      <c r="J117" s="18" t="inlineStr">
        <is>
          <t>Opening Day</t>
        </is>
      </c>
      <c r="K117" s="11">
        <f>IFERROR(INDEX(Roles!$B$17:$B$20,MATCH(J117,Roles!$A$17:$A$20,0)),1)</f>
        <v/>
      </c>
      <c r="L117" s="19" t="n">
        <v>1</v>
      </c>
      <c r="M117" s="11" t="n">
        <v>1</v>
      </c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>
        <v>1</v>
      </c>
      <c r="X117" s="19" t="n"/>
      <c r="Y117" s="19" t="n"/>
      <c r="Z117" s="13">
        <f>SUMPRODUCT(N117:Y117,$N$2:$Y$2)*$K117*$L117*$M117</f>
        <v/>
      </c>
      <c r="AA117" s="14">
        <f>SUM(N117:Y117)</f>
        <v/>
      </c>
      <c r="AB117" s="13">
        <f>SUMPRODUCT(N117:Y117,$N$3:$Y$3)*$K117*$L117*$M117</f>
        <v/>
      </c>
      <c r="AC117" s="13">
        <f>SUMPRODUCT(N117:Y117,$N$4:$Y$4)*$K117*$L117*$M117</f>
        <v/>
      </c>
      <c r="AD117" s="15" t="n">
        <v>32.06666666666667</v>
      </c>
      <c r="AE117" s="11" t="n">
        <v>1.086018919352253</v>
      </c>
      <c r="AF117" s="16">
        <f>SUMPRODUCT(N117:Y117,$N$5:$Y$5)*$K117*$L117*$M117</f>
        <v/>
      </c>
      <c r="AG117" s="16">
        <f>SUMPRODUCT(N117:Y117,$N$6:$Y$6)*$K117*$L117*$M117</f>
        <v/>
      </c>
      <c r="AH117" s="20" t="n"/>
    </row>
    <row r="118">
      <c r="A118" s="9" t="n">
        <v>554340</v>
      </c>
      <c r="B118" s="9" t="inlineStr">
        <is>
          <t>Yimi García</t>
        </is>
      </c>
      <c r="C118" s="9" t="inlineStr">
        <is>
          <t>TOR</t>
        </is>
      </c>
      <c r="D118" s="9" t="n">
        <v>36</v>
      </c>
      <c r="E118" s="18" t="inlineStr">
        <is>
          <t>R</t>
        </is>
      </c>
      <c r="F118" s="18" t="n"/>
      <c r="G118" s="9" t="n">
        <v>90</v>
      </c>
      <c r="H118" s="9" t="n">
        <v>772</v>
      </c>
      <c r="I118" s="9" t="inlineStr">
        <is>
          <t>Bullpen Depth Arm</t>
        </is>
      </c>
      <c r="J118" s="18" t="inlineStr">
        <is>
          <t>Opening Day</t>
        </is>
      </c>
      <c r="K118" s="11">
        <f>IFERROR(INDEX(Roles!$B$17:$B$20,MATCH(J118,Roles!$A$17:$A$20,0)),1)</f>
        <v/>
      </c>
      <c r="L118" s="19" t="n">
        <v>1</v>
      </c>
      <c r="M118" s="11" t="n">
        <v>1</v>
      </c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>
        <v>0.15</v>
      </c>
      <c r="W118" s="19" t="n">
        <v>0.85</v>
      </c>
      <c r="X118" s="19" t="n"/>
      <c r="Y118" s="19" t="n"/>
      <c r="Z118" s="13">
        <f>SUMPRODUCT(N118:Y118,$N$2:$Y$2)*$K118*$L118*$M118</f>
        <v/>
      </c>
      <c r="AA118" s="14">
        <f>SUM(N118:Y118)</f>
        <v/>
      </c>
      <c r="AB118" s="13">
        <f>SUMPRODUCT(N118:Y118,$N$3:$Y$3)*$K118*$L118*$M118</f>
        <v/>
      </c>
      <c r="AC118" s="13">
        <f>SUMPRODUCT(N118:Y118,$N$4:$Y$4)*$K118*$L118*$M118</f>
        <v/>
      </c>
      <c r="AD118" s="15" t="n">
        <v>22.26666666666667</v>
      </c>
      <c r="AE118" s="11" t="n">
        <v>1.126808339659745</v>
      </c>
      <c r="AF118" s="16">
        <f>SUMPRODUCT(N118:Y118,$N$5:$Y$5)*$K118*$L118*$M118</f>
        <v/>
      </c>
      <c r="AG118" s="16">
        <f>SUMPRODUCT(N118:Y118,$N$6:$Y$6)*$K118*$L118*$M118</f>
        <v/>
      </c>
      <c r="AH118" s="20" t="n"/>
    </row>
    <row r="119">
      <c r="A119" s="9" t="n">
        <v>805299</v>
      </c>
      <c r="B119" s="9" t="inlineStr">
        <is>
          <t>Brandyn Garcia</t>
        </is>
      </c>
      <c r="C119" s="9" t="inlineStr">
        <is>
          <t>ARI</t>
        </is>
      </c>
      <c r="D119" s="9" t="n">
        <v>27</v>
      </c>
      <c r="E119" s="18" t="inlineStr">
        <is>
          <t>L</t>
        </is>
      </c>
      <c r="F119" s="18" t="n"/>
      <c r="G119" s="9" t="n">
        <v>192</v>
      </c>
      <c r="H119" s="9" t="n">
        <v>258</v>
      </c>
      <c r="I119" s="9" t="inlineStr">
        <is>
          <t>Closer</t>
        </is>
      </c>
      <c r="J119" s="18" t="inlineStr">
        <is>
          <t>Opening Day</t>
        </is>
      </c>
      <c r="K119" s="11">
        <f>IFERROR(INDEX(Roles!$B$17:$B$20,MATCH(J119,Roles!$A$17:$A$20,0)),1)</f>
        <v/>
      </c>
      <c r="L119" s="19" t="n">
        <v>1</v>
      </c>
      <c r="M119" s="11" t="n">
        <v>1</v>
      </c>
      <c r="N119" s="19" t="n"/>
      <c r="O119" s="19" t="n"/>
      <c r="P119" s="19" t="n"/>
      <c r="Q119" s="19" t="n"/>
      <c r="R119" s="19" t="n"/>
      <c r="S119" s="19" t="n"/>
      <c r="T119" s="19" t="n">
        <v>0.85</v>
      </c>
      <c r="U119" s="19" t="n">
        <v>0.15</v>
      </c>
      <c r="V119" s="19" t="n"/>
      <c r="W119" s="19" t="n"/>
      <c r="X119" s="19" t="n"/>
      <c r="Y119" s="19" t="n"/>
      <c r="Z119" s="13">
        <f>SUMPRODUCT(N119:Y119,$N$2:$Y$2)*$K119*$L119*$M119</f>
        <v/>
      </c>
      <c r="AA119" s="14">
        <f>SUM(N119:Y119)</f>
        <v/>
      </c>
      <c r="AB119" s="13">
        <f>SUMPRODUCT(N119:Y119,$N$3:$Y$3)*$K119*$L119*$M119</f>
        <v/>
      </c>
      <c r="AC119" s="13">
        <f>SUMPRODUCT(N119:Y119,$N$4:$Y$4)*$K119*$L119*$M119</f>
        <v/>
      </c>
      <c r="AD119" s="15" t="n">
        <v>44.04</v>
      </c>
      <c r="AE119" s="11" t="n">
        <v>0.9751378615926072</v>
      </c>
      <c r="AF119" s="16">
        <f>SUMPRODUCT(N119:Y119,$N$5:$Y$5)*$K119*$L119*$M119</f>
        <v/>
      </c>
      <c r="AG119" s="16">
        <f>SUMPRODUCT(N119:Y119,$N$6:$Y$6)*$K119*$L119*$M119</f>
        <v/>
      </c>
      <c r="AH119" s="20" t="n"/>
    </row>
    <row r="120">
      <c r="A120" s="9" t="n">
        <v>663558</v>
      </c>
      <c r="B120" s="9" t="inlineStr">
        <is>
          <t>Jovani Morán</t>
        </is>
      </c>
      <c r="C120" s="9" t="inlineStr">
        <is>
          <t>BOS</t>
        </is>
      </c>
      <c r="D120" s="9" t="n">
        <v>30</v>
      </c>
      <c r="E120" s="18" t="inlineStr">
        <is>
          <t>L</t>
        </is>
      </c>
      <c r="F120" s="18" t="n"/>
      <c r="G120" s="9" t="n">
        <v>272</v>
      </c>
      <c r="H120" s="9" t="n">
        <v>640</v>
      </c>
      <c r="I120" s="9" t="inlineStr">
        <is>
          <t>Middle Relief</t>
        </is>
      </c>
      <c r="J120" s="18" t="inlineStr">
        <is>
          <t>Opening Day</t>
        </is>
      </c>
      <c r="K120" s="11">
        <f>IFERROR(INDEX(Roles!$B$17:$B$20,MATCH(J120,Roles!$A$17:$A$20,0)),1)</f>
        <v/>
      </c>
      <c r="L120" s="19" t="n">
        <v>1</v>
      </c>
      <c r="M120" s="11" t="n">
        <v>1</v>
      </c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>
        <v>0.85</v>
      </c>
      <c r="W120" s="19" t="n">
        <v>0.15</v>
      </c>
      <c r="X120" s="19" t="n"/>
      <c r="Y120" s="19" t="n"/>
      <c r="Z120" s="13">
        <f>SUMPRODUCT(N120:Y120,$N$2:$Y$2)*$K120*$L120*$M120</f>
        <v/>
      </c>
      <c r="AA120" s="14">
        <f>SUM(N120:Y120)</f>
        <v/>
      </c>
      <c r="AB120" s="13">
        <f>SUMPRODUCT(N120:Y120,$N$3:$Y$3)*$K120*$L120*$M120</f>
        <v/>
      </c>
      <c r="AC120" s="13">
        <f>SUMPRODUCT(N120:Y120,$N$4:$Y$4)*$K120*$L120*$M120</f>
        <v/>
      </c>
      <c r="AD120" s="15" t="n">
        <v>33.21333333333333</v>
      </c>
      <c r="AE120" s="11" t="n">
        <v>1.132866708498358</v>
      </c>
      <c r="AF120" s="16">
        <f>SUMPRODUCT(N120:Y120,$N$5:$Y$5)*$K120*$L120*$M120</f>
        <v/>
      </c>
      <c r="AG120" s="16">
        <f>SUMPRODUCT(N120:Y120,$N$6:$Y$6)*$K120*$L120*$M120</f>
        <v/>
      </c>
      <c r="AH120" s="20" t="n"/>
    </row>
    <row r="121">
      <c r="A121" s="9" t="n">
        <v>605177</v>
      </c>
      <c r="B121" s="9" t="inlineStr">
        <is>
          <t>Andrew Chafin</t>
        </is>
      </c>
      <c r="C121" s="9" t="inlineStr">
        <is>
          <t>LAA</t>
        </is>
      </c>
      <c r="D121" s="9" t="n">
        <v>37</v>
      </c>
      <c r="E121" s="18" t="inlineStr">
        <is>
          <t>L</t>
        </is>
      </c>
      <c r="F121" s="18" t="n"/>
      <c r="G121" s="9" t="n">
        <v>143</v>
      </c>
      <c r="H121" s="9" t="n">
        <v>856</v>
      </c>
      <c r="I121" s="9" t="inlineStr">
        <is>
          <t>Closer</t>
        </is>
      </c>
      <c r="J121" s="18" t="inlineStr">
        <is>
          <t>Opening Day</t>
        </is>
      </c>
      <c r="K121" s="11">
        <f>IFERROR(INDEX(Roles!$B$17:$B$20,MATCH(J121,Roles!$A$17:$A$20,0)),1)</f>
        <v/>
      </c>
      <c r="L121" s="19" t="n">
        <v>1</v>
      </c>
      <c r="M121" s="11" t="n">
        <v>1</v>
      </c>
      <c r="N121" s="19" t="n"/>
      <c r="O121" s="19" t="n"/>
      <c r="P121" s="19" t="n"/>
      <c r="Q121" s="19" t="n"/>
      <c r="R121" s="19" t="n"/>
      <c r="S121" s="19" t="n"/>
      <c r="T121" s="19" t="n">
        <v>1</v>
      </c>
      <c r="U121" s="19" t="n"/>
      <c r="V121" s="19" t="n"/>
      <c r="W121" s="19" t="n"/>
      <c r="X121" s="19" t="n"/>
      <c r="Y121" s="19" t="n"/>
      <c r="Z121" s="13">
        <f>SUMPRODUCT(N121:Y121,$N$2:$Y$2)*$K121*$L121*$M121</f>
        <v/>
      </c>
      <c r="AA121" s="14">
        <f>SUM(N121:Y121)</f>
        <v/>
      </c>
      <c r="AB121" s="13">
        <f>SUMPRODUCT(N121:Y121,$N$3:$Y$3)*$K121*$L121*$M121</f>
        <v/>
      </c>
      <c r="AC121" s="13">
        <f>SUMPRODUCT(N121:Y121,$N$4:$Y$4)*$K121*$L121*$M121</f>
        <v/>
      </c>
      <c r="AD121" s="15" t="n">
        <v>49.36</v>
      </c>
      <c r="AE121" s="11" t="n">
        <v>0.95150753339148</v>
      </c>
      <c r="AF121" s="16">
        <f>SUMPRODUCT(N121:Y121,$N$5:$Y$5)*$K121*$L121*$M121</f>
        <v/>
      </c>
      <c r="AG121" s="16">
        <f>SUMPRODUCT(N121:Y121,$N$6:$Y$6)*$K121*$L121*$M121</f>
        <v/>
      </c>
      <c r="AH121" s="20" t="n"/>
    </row>
    <row r="122">
      <c r="A122" s="9" t="n">
        <v>657585</v>
      </c>
      <c r="B122" s="9" t="inlineStr">
        <is>
          <t>Reed Garrett</t>
        </is>
      </c>
      <c r="C122" s="9" t="inlineStr">
        <is>
          <t>NYM</t>
        </is>
      </c>
      <c r="D122" s="9" t="n">
        <v>34</v>
      </c>
      <c r="E122" s="18" t="inlineStr">
        <is>
          <t>R</t>
        </is>
      </c>
      <c r="F122" s="18" t="n"/>
      <c r="G122" s="9" t="n">
        <v>238</v>
      </c>
      <c r="H122" s="9" t="n">
        <v>621</v>
      </c>
      <c r="I122" s="9" t="inlineStr">
        <is>
          <t>Bullpen Depth Arm</t>
        </is>
      </c>
      <c r="J122" s="18" t="inlineStr">
        <is>
          <t>Opening Day</t>
        </is>
      </c>
      <c r="K122" s="11">
        <f>IFERROR(INDEX(Roles!$B$17:$B$20,MATCH(J122,Roles!$A$17:$A$20,0)),1)</f>
        <v/>
      </c>
      <c r="L122" s="19" t="n">
        <v>1</v>
      </c>
      <c r="M122" s="11" t="n">
        <v>1</v>
      </c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>
        <v>0.15</v>
      </c>
      <c r="W122" s="19" t="n">
        <v>0.85</v>
      </c>
      <c r="X122" s="19" t="n"/>
      <c r="Y122" s="19" t="n"/>
      <c r="Z122" s="13">
        <f>SUMPRODUCT(N122:Y122,$N$2:$Y$2)*$K122*$L122*$M122</f>
        <v/>
      </c>
      <c r="AA122" s="14">
        <f>SUM(N122:Y122)</f>
        <v/>
      </c>
      <c r="AB122" s="13">
        <f>SUMPRODUCT(N122:Y122,$N$3:$Y$3)*$K122*$L122*$M122</f>
        <v/>
      </c>
      <c r="AC122" s="13">
        <f>SUMPRODUCT(N122:Y122,$N$4:$Y$4)*$K122*$L122*$M122</f>
        <v/>
      </c>
      <c r="AD122" s="15" t="n">
        <v>39.46666666666667</v>
      </c>
      <c r="AE122" s="11" t="n">
        <v>1.13286808158603</v>
      </c>
      <c r="AF122" s="16">
        <f>SUMPRODUCT(N122:Y122,$N$5:$Y$5)*$K122*$L122*$M122</f>
        <v/>
      </c>
      <c r="AG122" s="16">
        <f>SUMPRODUCT(N122:Y122,$N$6:$Y$6)*$K122*$L122*$M122</f>
        <v/>
      </c>
      <c r="AH122" s="20" t="n"/>
    </row>
    <row r="123">
      <c r="A123" s="9" t="n">
        <v>665660</v>
      </c>
      <c r="B123" s="9" t="inlineStr">
        <is>
          <t>Elvis Alvarado</t>
        </is>
      </c>
      <c r="C123" s="9" t="inlineStr">
        <is>
          <t>OAK</t>
        </is>
      </c>
      <c r="D123" s="9" t="n">
        <v>28</v>
      </c>
      <c r="E123" s="18" t="inlineStr">
        <is>
          <t>R</t>
        </is>
      </c>
      <c r="F123" s="18" t="n"/>
      <c r="G123" s="9" t="n">
        <v>229</v>
      </c>
      <c r="H123" s="9" t="n">
        <v>412</v>
      </c>
      <c r="I123" s="9" t="inlineStr">
        <is>
          <t>Closer</t>
        </is>
      </c>
      <c r="J123" s="18" t="inlineStr">
        <is>
          <t>Opening Day</t>
        </is>
      </c>
      <c r="K123" s="11">
        <f>IFERROR(INDEX(Roles!$B$17:$B$20,MATCH(J123,Roles!$A$17:$A$20,0)),1)</f>
        <v/>
      </c>
      <c r="L123" s="19" t="n">
        <v>1</v>
      </c>
      <c r="M123" s="11" t="n">
        <v>1</v>
      </c>
      <c r="N123" s="19" t="n"/>
      <c r="O123" s="19" t="n"/>
      <c r="P123" s="19" t="n"/>
      <c r="Q123" s="19" t="n"/>
      <c r="R123" s="19" t="n"/>
      <c r="S123" s="19" t="n"/>
      <c r="T123" s="19" t="n">
        <v>0.85</v>
      </c>
      <c r="U123" s="19" t="n">
        <v>0.15</v>
      </c>
      <c r="V123" s="19" t="n"/>
      <c r="W123" s="19" t="n"/>
      <c r="X123" s="19" t="n"/>
      <c r="Y123" s="19" t="n"/>
      <c r="Z123" s="13">
        <f>SUMPRODUCT(N123:Y123,$N$2:$Y$2)*$K123*$L123*$M123</f>
        <v/>
      </c>
      <c r="AA123" s="14">
        <f>SUM(N123:Y123)</f>
        <v/>
      </c>
      <c r="AB123" s="13">
        <f>SUMPRODUCT(N123:Y123,$N$3:$Y$3)*$K123*$L123*$M123</f>
        <v/>
      </c>
      <c r="AC123" s="13">
        <f>SUMPRODUCT(N123:Y123,$N$4:$Y$4)*$K123*$L123*$M123</f>
        <v/>
      </c>
      <c r="AD123" s="15" t="n">
        <v>49.2</v>
      </c>
      <c r="AE123" s="11" t="n">
        <v>1.014434436293476</v>
      </c>
      <c r="AF123" s="16">
        <f>SUMPRODUCT(N123:Y123,$N$5:$Y$5)*$K123*$L123*$M123</f>
        <v/>
      </c>
      <c r="AG123" s="16">
        <f>SUMPRODUCT(N123:Y123,$N$6:$Y$6)*$K123*$L123*$M123</f>
        <v/>
      </c>
      <c r="AH123" s="20" t="n"/>
    </row>
    <row r="124">
      <c r="A124" s="9" t="n">
        <v>621114</v>
      </c>
      <c r="B124" s="9" t="inlineStr">
        <is>
          <t>Ryan Burr</t>
        </is>
      </c>
      <c r="C124" s="9" t="inlineStr">
        <is>
          <t>TOR</t>
        </is>
      </c>
      <c r="D124" s="9" t="n">
        <v>33</v>
      </c>
      <c r="E124" s="18" t="inlineStr">
        <is>
          <t>R</t>
        </is>
      </c>
      <c r="F124" s="18" t="n"/>
      <c r="G124" s="9" t="n">
        <v>8</v>
      </c>
      <c r="H124" s="9" t="n">
        <v>187</v>
      </c>
      <c r="I124" s="9" t="inlineStr">
        <is>
          <t>Depth (no MLB IP)</t>
        </is>
      </c>
      <c r="J124" s="18" t="inlineStr">
        <is>
          <t>Opening Day</t>
        </is>
      </c>
      <c r="K124" s="11">
        <f>IFERROR(INDEX(Roles!$B$17:$B$20,MATCH(J124,Roles!$A$17:$A$20,0)),1)</f>
        <v/>
      </c>
      <c r="L124" s="19" t="n">
        <v>1</v>
      </c>
      <c r="M124" s="11" t="n">
        <v>1</v>
      </c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>
        <v>1</v>
      </c>
      <c r="Z124" s="13">
        <f>SUMPRODUCT(N124:Y124,$N$2:$Y$2)*$K124*$L124*$M124</f>
        <v/>
      </c>
      <c r="AA124" s="14">
        <f>SUM(N124:Y124)</f>
        <v/>
      </c>
      <c r="AB124" s="13">
        <f>SUMPRODUCT(N124:Y124,$N$3:$Y$3)*$K124*$L124*$M124</f>
        <v/>
      </c>
      <c r="AC124" s="13">
        <f>SUMPRODUCT(N124:Y124,$N$4:$Y$4)*$K124*$L124*$M124</f>
        <v/>
      </c>
      <c r="AD124" s="15" t="n">
        <v>8.800000000000001</v>
      </c>
      <c r="AE124" s="11" t="n">
        <v>0.995834957764782</v>
      </c>
      <c r="AF124" s="16">
        <f>SUMPRODUCT(N124:Y124,$N$5:$Y$5)*$K124*$L124*$M124</f>
        <v/>
      </c>
      <c r="AG124" s="16">
        <f>SUMPRODUCT(N124:Y124,$N$6:$Y$6)*$K124*$L124*$M124</f>
        <v/>
      </c>
      <c r="AH124" s="20" t="n"/>
    </row>
    <row r="125">
      <c r="A125" s="9" t="n">
        <v>493603</v>
      </c>
      <c r="B125" s="9" t="inlineStr">
        <is>
          <t>Adam Ottavino</t>
        </is>
      </c>
      <c r="C125" s="9" t="inlineStr">
        <is>
          <t>NYM</t>
        </is>
      </c>
      <c r="D125" s="9" t="n">
        <v>41</v>
      </c>
      <c r="E125" s="18" t="inlineStr">
        <is>
          <t>R</t>
        </is>
      </c>
      <c r="F125" s="18" t="n"/>
      <c r="G125" s="9" t="n">
        <v>9</v>
      </c>
      <c r="H125" s="9" t="n">
        <v>773</v>
      </c>
      <c r="I125" s="9" t="inlineStr">
        <is>
          <t>Depth (no MLB IP)</t>
        </is>
      </c>
      <c r="J125" s="18" t="inlineStr">
        <is>
          <t>Opening Day</t>
        </is>
      </c>
      <c r="K125" s="11">
        <f>IFERROR(INDEX(Roles!$B$17:$B$20,MATCH(J125,Roles!$A$17:$A$20,0)),1)</f>
        <v/>
      </c>
      <c r="L125" s="19" t="n">
        <v>1</v>
      </c>
      <c r="M125" s="11" t="n">
        <v>1</v>
      </c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>
        <v>1</v>
      </c>
      <c r="Z125" s="13">
        <f>SUMPRODUCT(N125:Y125,$N$2:$Y$2)*$K125*$L125*$M125</f>
        <v/>
      </c>
      <c r="AA125" s="14">
        <f>SUM(N125:Y125)</f>
        <v/>
      </c>
      <c r="AB125" s="13">
        <f>SUMPRODUCT(N125:Y125,$N$3:$Y$3)*$K125*$L125*$M125</f>
        <v/>
      </c>
      <c r="AC125" s="13">
        <f>SUMPRODUCT(N125:Y125,$N$4:$Y$4)*$K125*$L125*$M125</f>
        <v/>
      </c>
      <c r="AD125" s="15" t="n">
        <v>14.4</v>
      </c>
      <c r="AE125" s="11" t="n">
        <v>0.9738608305274972</v>
      </c>
      <c r="AF125" s="16">
        <f>SUMPRODUCT(N125:Y125,$N$5:$Y$5)*$K125*$L125*$M125</f>
        <v/>
      </c>
      <c r="AG125" s="16">
        <f>SUMPRODUCT(N125:Y125,$N$6:$Y$6)*$K125*$L125*$M125</f>
        <v/>
      </c>
      <c r="AH125" s="20" t="n"/>
    </row>
    <row r="126">
      <c r="A126" s="9" t="n">
        <v>691587</v>
      </c>
      <c r="B126" s="9" t="inlineStr">
        <is>
          <t>Eury Pérez</t>
        </is>
      </c>
      <c r="C126" s="9" t="inlineStr">
        <is>
          <t>MIA</t>
        </is>
      </c>
      <c r="D126" s="9" t="n">
        <v>24</v>
      </c>
      <c r="E126" s="18" t="inlineStr">
        <is>
          <t>R</t>
        </is>
      </c>
      <c r="F126" s="18" t="n"/>
      <c r="G126" s="9" t="n">
        <v>660</v>
      </c>
      <c r="H126" s="9" t="n">
        <v>1419</v>
      </c>
      <c r="I126" s="9" t="inlineStr">
        <is>
          <t>Mid-Rotation Starter (SP2-3)</t>
        </is>
      </c>
      <c r="J126" s="18" t="inlineStr">
        <is>
          <t>Opening Day</t>
        </is>
      </c>
      <c r="K126" s="11">
        <f>IFERROR(INDEX(Roles!$B$17:$B$20,MATCH(J126,Roles!$A$17:$A$20,0)),1)</f>
        <v/>
      </c>
      <c r="L126" s="19" t="n">
        <v>1</v>
      </c>
      <c r="M126" s="11" t="n">
        <v>1</v>
      </c>
      <c r="N126" s="19" t="n"/>
      <c r="O126" s="19" t="n">
        <v>0.5</v>
      </c>
      <c r="P126" s="19" t="n">
        <v>0.5</v>
      </c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3">
        <f>SUMPRODUCT(N126:Y126,$N$2:$Y$2)*$K126*$L126*$M126</f>
        <v/>
      </c>
      <c r="AA126" s="14">
        <f>SUM(N126:Y126)</f>
        <v/>
      </c>
      <c r="AB126" s="13">
        <f>SUMPRODUCT(N126:Y126,$N$3:$Y$3)*$K126*$L126*$M126</f>
        <v/>
      </c>
      <c r="AC126" s="13">
        <f>SUMPRODUCT(N126:Y126,$N$4:$Y$4)*$K126*$L126*$M126</f>
        <v/>
      </c>
      <c r="AD126" s="15" t="n">
        <v>26</v>
      </c>
      <c r="AE126" s="11" t="n">
        <v>5.181499862145024</v>
      </c>
      <c r="AF126" s="16">
        <f>SUMPRODUCT(N126:Y126,$N$5:$Y$5)*$K126*$L126*$M126</f>
        <v/>
      </c>
      <c r="AG126" s="16">
        <f>SUMPRODUCT(N126:Y126,$N$6:$Y$6)*$K126*$L126*$M126</f>
        <v/>
      </c>
      <c r="AH126" s="20" t="n"/>
    </row>
    <row r="127">
      <c r="A127" s="9" t="n">
        <v>683618</v>
      </c>
      <c r="B127" s="9" t="inlineStr">
        <is>
          <t>Edgardo Henriquez</t>
        </is>
      </c>
      <c r="C127" s="9" t="inlineStr">
        <is>
          <t>LAD</t>
        </is>
      </c>
      <c r="D127" s="9" t="n">
        <v>25</v>
      </c>
      <c r="E127" s="18" t="inlineStr">
        <is>
          <t>R</t>
        </is>
      </c>
      <c r="F127" s="18" t="n"/>
      <c r="G127" s="9" t="n">
        <v>242</v>
      </c>
      <c r="H127" s="9" t="n">
        <v>334</v>
      </c>
      <c r="I127" s="9" t="inlineStr">
        <is>
          <t>Middle Relief</t>
        </is>
      </c>
      <c r="J127" s="18" t="inlineStr">
        <is>
          <t>Opening Day</t>
        </is>
      </c>
      <c r="K127" s="11">
        <f>IFERROR(INDEX(Roles!$B$17:$B$20,MATCH(J127,Roles!$A$17:$A$20,0)),1)</f>
        <v/>
      </c>
      <c r="L127" s="19" t="n">
        <v>1</v>
      </c>
      <c r="M127" s="11" t="n">
        <v>1</v>
      </c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>
        <v>0.6</v>
      </c>
      <c r="W127" s="19" t="n">
        <v>0.4</v>
      </c>
      <c r="X127" s="19" t="n"/>
      <c r="Y127" s="19" t="n"/>
      <c r="Z127" s="13">
        <f>SUMPRODUCT(N127:Y127,$N$2:$Y$2)*$K127*$L127*$M127</f>
        <v/>
      </c>
      <c r="AA127" s="14">
        <f>SUM(N127:Y127)</f>
        <v/>
      </c>
      <c r="AB127" s="13">
        <f>SUMPRODUCT(N127:Y127,$N$3:$Y$3)*$K127*$L127*$M127</f>
        <v/>
      </c>
      <c r="AC127" s="13">
        <f>SUMPRODUCT(N127:Y127,$N$4:$Y$4)*$K127*$L127*$M127</f>
        <v/>
      </c>
      <c r="AD127" s="15" t="n">
        <v>37.73333333333333</v>
      </c>
      <c r="AE127" s="11" t="n">
        <v>1.009916711635317</v>
      </c>
      <c r="AF127" s="16">
        <f>SUMPRODUCT(N127:Y127,$N$5:$Y$5)*$K127*$L127*$M127</f>
        <v/>
      </c>
      <c r="AG127" s="16">
        <f>SUMPRODUCT(N127:Y127,$N$6:$Y$6)*$K127*$L127*$M127</f>
        <v/>
      </c>
      <c r="AH127" s="20" t="n"/>
    </row>
    <row r="128">
      <c r="A128" s="9" t="n">
        <v>571479</v>
      </c>
      <c r="B128" s="9" t="inlineStr">
        <is>
          <t>Andrew Bellatti</t>
        </is>
      </c>
      <c r="C128" s="9" t="inlineStr">
        <is>
          <t>PHI</t>
        </is>
      </c>
      <c r="D128" s="9" t="n">
        <v>35</v>
      </c>
      <c r="E128" s="18" t="inlineStr">
        <is>
          <t>R</t>
        </is>
      </c>
      <c r="F128" s="18" t="n"/>
      <c r="G128" s="9" t="n">
        <v>113</v>
      </c>
      <c r="H128" s="9" t="n">
        <v>343</v>
      </c>
      <c r="I128" s="9" t="inlineStr">
        <is>
          <t>Depth (no MLB IP)</t>
        </is>
      </c>
      <c r="J128" s="18" t="inlineStr">
        <is>
          <t>Opening Day</t>
        </is>
      </c>
      <c r="K128" s="11">
        <f>IFERROR(INDEX(Roles!$B$17:$B$20,MATCH(J128,Roles!$A$17:$A$20,0)),1)</f>
        <v/>
      </c>
      <c r="L128" s="19" t="n">
        <v>1</v>
      </c>
      <c r="M128" s="11" t="n">
        <v>1</v>
      </c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>
        <v>1</v>
      </c>
      <c r="Z128" s="13">
        <f>SUMPRODUCT(N128:Y128,$N$2:$Y$2)*$K128*$L128*$M128</f>
        <v/>
      </c>
      <c r="AA128" s="14">
        <f>SUM(N128:Y128)</f>
        <v/>
      </c>
      <c r="AB128" s="13">
        <f>SUMPRODUCT(N128:Y128,$N$3:$Y$3)*$K128*$L128*$M128</f>
        <v/>
      </c>
      <c r="AC128" s="13">
        <f>SUMPRODUCT(N128:Y128,$N$4:$Y$4)*$K128*$L128*$M128</f>
        <v/>
      </c>
      <c r="AD128" s="15" t="n">
        <v>3</v>
      </c>
      <c r="AE128" s="11" t="n">
        <v>1.011296296296296</v>
      </c>
      <c r="AF128" s="16">
        <f>SUMPRODUCT(N128:Y128,$N$5:$Y$5)*$K128*$L128*$M128</f>
        <v/>
      </c>
      <c r="AG128" s="16">
        <f>SUMPRODUCT(N128:Y128,$N$6:$Y$6)*$K128*$L128*$M128</f>
        <v/>
      </c>
      <c r="AH128" s="20" t="n"/>
    </row>
    <row r="129">
      <c r="A129" s="9" t="n">
        <v>642547</v>
      </c>
      <c r="B129" s="9" t="inlineStr">
        <is>
          <t>Freddy Peralta</t>
        </is>
      </c>
      <c r="C129" s="9" t="inlineStr">
        <is>
          <t>TB</t>
        </is>
      </c>
      <c r="D129" s="9" t="n">
        <v>31</v>
      </c>
      <c r="E129" s="18" t="inlineStr">
        <is>
          <t>R</t>
        </is>
      </c>
      <c r="F129" s="18" t="n"/>
      <c r="G129" s="9" t="n">
        <v>730</v>
      </c>
      <c r="H129" s="9" t="n">
        <v>3175</v>
      </c>
      <c r="I129" s="9" t="inlineStr">
        <is>
          <t>Mid-Rotation Starter (SP2-3)</t>
        </is>
      </c>
      <c r="J129" s="18" t="inlineStr">
        <is>
          <t>Opening Day</t>
        </is>
      </c>
      <c r="K129" s="11">
        <f>IFERROR(INDEX(Roles!$B$17:$B$20,MATCH(J129,Roles!$A$17:$A$20,0)),1)</f>
        <v/>
      </c>
      <c r="L129" s="19" t="n">
        <v>1</v>
      </c>
      <c r="M129" s="11" t="n">
        <v>1</v>
      </c>
      <c r="N129" s="19" t="n"/>
      <c r="O129" s="19" t="n">
        <v>0.5</v>
      </c>
      <c r="P129" s="19" t="n">
        <v>0.5</v>
      </c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3">
        <f>SUMPRODUCT(N129:Y129,$N$2:$Y$2)*$K129*$L129*$M129</f>
        <v/>
      </c>
      <c r="AA129" s="14">
        <f>SUM(N129:Y129)</f>
        <v/>
      </c>
      <c r="AB129" s="13">
        <f>SUMPRODUCT(N129:Y129,$N$3:$Y$3)*$K129*$L129*$M129</f>
        <v/>
      </c>
      <c r="AC129" s="13">
        <f>SUMPRODUCT(N129:Y129,$N$4:$Y$4)*$K129*$L129*$M129</f>
        <v/>
      </c>
      <c r="AD129" s="15" t="n">
        <v>29.8</v>
      </c>
      <c r="AE129" s="11" t="n">
        <v>5.24616635258471</v>
      </c>
      <c r="AF129" s="16">
        <f>SUMPRODUCT(N129:Y129,$N$5:$Y$5)*$K129*$L129*$M129</f>
        <v/>
      </c>
      <c r="AG129" s="16">
        <f>SUMPRODUCT(N129:Y129,$N$6:$Y$6)*$K129*$L129*$M129</f>
        <v/>
      </c>
      <c r="AH129" s="20" t="n"/>
    </row>
    <row r="130">
      <c r="A130" s="9" t="n">
        <v>622780</v>
      </c>
      <c r="B130" s="9" t="inlineStr">
        <is>
          <t>Angel Perdomo</t>
        </is>
      </c>
      <c r="C130" s="9" t="inlineStr">
        <is>
          <t>PIT</t>
        </is>
      </c>
      <c r="D130" s="9" t="n">
        <v>33</v>
      </c>
      <c r="E130" s="18" t="inlineStr">
        <is>
          <t>L</t>
        </is>
      </c>
      <c r="F130" s="18" t="n"/>
      <c r="G130" s="9" t="n">
        <v>16</v>
      </c>
      <c r="H130" s="9" t="n">
        <v>133</v>
      </c>
      <c r="I130" s="9" t="inlineStr">
        <is>
          <t>Depth (no MLB IP)</t>
        </is>
      </c>
      <c r="J130" s="18" t="inlineStr">
        <is>
          <t>Opening Day</t>
        </is>
      </c>
      <c r="K130" s="11">
        <f>IFERROR(INDEX(Roles!$B$17:$B$20,MATCH(J130,Roles!$A$17:$A$20,0)),1)</f>
        <v/>
      </c>
      <c r="L130" s="19" t="n">
        <v>1</v>
      </c>
      <c r="M130" s="11" t="n">
        <v>1</v>
      </c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>
        <v>1</v>
      </c>
      <c r="Z130" s="13">
        <f>SUMPRODUCT(N130:Y130,$N$2:$Y$2)*$K130*$L130*$M130</f>
        <v/>
      </c>
      <c r="AA130" s="14">
        <f>SUM(N130:Y130)</f>
        <v/>
      </c>
      <c r="AB130" s="13">
        <f>SUMPRODUCT(N130:Y130,$N$3:$Y$3)*$K130*$L130*$M130</f>
        <v/>
      </c>
      <c r="AC130" s="13">
        <f>SUMPRODUCT(N130:Y130,$N$4:$Y$4)*$K130*$L130*$M130</f>
        <v/>
      </c>
      <c r="AD130" s="15" t="n">
        <v>3.6</v>
      </c>
      <c r="AE130" s="11" t="n">
        <v>0.9519753086419752</v>
      </c>
      <c r="AF130" s="16">
        <f>SUMPRODUCT(N130:Y130,$N$5:$Y$5)*$K130*$L130*$M130</f>
        <v/>
      </c>
      <c r="AG130" s="16">
        <f>SUMPRODUCT(N130:Y130,$N$6:$Y$6)*$K130*$L130*$M130</f>
        <v/>
      </c>
      <c r="AH130" s="20" t="n"/>
    </row>
    <row r="131">
      <c r="A131" s="9" t="n">
        <v>656427</v>
      </c>
      <c r="B131" s="9" t="inlineStr">
        <is>
          <t>Jack Flaherty</t>
        </is>
      </c>
      <c r="C131" s="9" t="inlineStr">
        <is>
          <t>DET</t>
        </is>
      </c>
      <c r="D131" s="9" t="n">
        <v>31</v>
      </c>
      <c r="E131" s="18" t="inlineStr">
        <is>
          <t>R</t>
        </is>
      </c>
      <c r="F131" s="18" t="n"/>
      <c r="G131" s="9" t="n">
        <v>396</v>
      </c>
      <c r="H131" s="9" t="n">
        <v>2543</v>
      </c>
      <c r="I131" s="9" t="inlineStr">
        <is>
          <t>Mid-Rotation Starter (SP2-3)</t>
        </is>
      </c>
      <c r="J131" s="18" t="inlineStr">
        <is>
          <t>Opening Day</t>
        </is>
      </c>
      <c r="K131" s="11">
        <f>IFERROR(INDEX(Roles!$B$17:$B$20,MATCH(J131,Roles!$A$17:$A$20,0)),1)</f>
        <v/>
      </c>
      <c r="L131" s="19" t="n">
        <v>1</v>
      </c>
      <c r="M131" s="11" t="n">
        <v>1</v>
      </c>
      <c r="N131" s="19" t="n"/>
      <c r="O131" s="19" t="n">
        <v>0.5</v>
      </c>
      <c r="P131" s="19" t="n">
        <v>0.5</v>
      </c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3">
        <f>SUMPRODUCT(N131:Y131,$N$2:$Y$2)*$K131*$L131*$M131</f>
        <v/>
      </c>
      <c r="AA131" s="14">
        <f>SUM(N131:Y131)</f>
        <v/>
      </c>
      <c r="AB131" s="13">
        <f>SUMPRODUCT(N131:Y131,$N$3:$Y$3)*$K131*$L131*$M131</f>
        <v/>
      </c>
      <c r="AC131" s="13">
        <f>SUMPRODUCT(N131:Y131,$N$4:$Y$4)*$K131*$L131*$M131</f>
        <v/>
      </c>
      <c r="AD131" s="15" t="n">
        <v>25.4</v>
      </c>
      <c r="AE131" s="11" t="n">
        <v>5.133978494623658</v>
      </c>
      <c r="AF131" s="16">
        <f>SUMPRODUCT(N131:Y131,$N$5:$Y$5)*$K131*$L131*$M131</f>
        <v/>
      </c>
      <c r="AG131" s="16">
        <f>SUMPRODUCT(N131:Y131,$N$6:$Y$6)*$K131*$L131*$M131</f>
        <v/>
      </c>
      <c r="AH131" s="20" t="n"/>
    </row>
    <row r="132">
      <c r="A132" s="9" t="n">
        <v>518617</v>
      </c>
      <c r="B132" s="9" t="inlineStr">
        <is>
          <t>Jake Diekman</t>
        </is>
      </c>
      <c r="C132" s="9" t="inlineStr">
        <is>
          <t>NYM</t>
        </is>
      </c>
      <c r="D132" s="9" t="n">
        <v>40</v>
      </c>
      <c r="E132" s="18" t="inlineStr">
        <is>
          <t>L</t>
        </is>
      </c>
      <c r="F132" s="18" t="n"/>
      <c r="G132" s="9" t="n">
        <v>145</v>
      </c>
      <c r="H132" s="9" t="n">
        <v>657</v>
      </c>
      <c r="I132" s="9" t="inlineStr">
        <is>
          <t>Depth (no MLB IP)</t>
        </is>
      </c>
      <c r="J132" s="18" t="inlineStr">
        <is>
          <t>Opening Day</t>
        </is>
      </c>
      <c r="K132" s="11">
        <f>IFERROR(INDEX(Roles!$B$17:$B$20,MATCH(J132,Roles!$A$17:$A$20,0)),1)</f>
        <v/>
      </c>
      <c r="L132" s="19" t="n">
        <v>1</v>
      </c>
      <c r="M132" s="11" t="n">
        <v>1</v>
      </c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>
        <v>1</v>
      </c>
      <c r="Z132" s="13">
        <f>SUMPRODUCT(N132:Y132,$N$2:$Y$2)*$K132*$L132*$M132</f>
        <v/>
      </c>
      <c r="AA132" s="14">
        <f>SUM(N132:Y132)</f>
        <v/>
      </c>
      <c r="AB132" s="13">
        <f>SUMPRODUCT(N132:Y132,$N$3:$Y$3)*$K132*$L132*$M132</f>
        <v/>
      </c>
      <c r="AC132" s="13">
        <f>SUMPRODUCT(N132:Y132,$N$4:$Y$4)*$K132*$L132*$M132</f>
        <v/>
      </c>
      <c r="AD132" s="15" t="n">
        <v>27</v>
      </c>
      <c r="AE132" s="11" t="n">
        <v>0.9222595463680734</v>
      </c>
      <c r="AF132" s="16">
        <f>SUMPRODUCT(N132:Y132,$N$5:$Y$5)*$K132*$L132*$M132</f>
        <v/>
      </c>
      <c r="AG132" s="16">
        <f>SUMPRODUCT(N132:Y132,$N$6:$Y$6)*$K132*$L132*$M132</f>
        <v/>
      </c>
      <c r="AH132" s="20" t="n"/>
    </row>
    <row r="133">
      <c r="A133" s="9" t="n">
        <v>690997</v>
      </c>
      <c r="B133" s="9" t="inlineStr">
        <is>
          <t>Nolan McLean</t>
        </is>
      </c>
      <c r="C133" s="9" t="inlineStr">
        <is>
          <t>NYM</t>
        </is>
      </c>
      <c r="D133" s="9" t="n">
        <v>25</v>
      </c>
      <c r="E133" s="18" t="inlineStr">
        <is>
          <t>R</t>
        </is>
      </c>
      <c r="F133" s="18" t="n"/>
      <c r="G133" s="9" t="n">
        <v>747</v>
      </c>
      <c r="H133" s="9" t="n">
        <v>935</v>
      </c>
      <c r="I133" s="9" t="inlineStr">
        <is>
          <t>Ace (SP1)</t>
        </is>
      </c>
      <c r="J133" s="18" t="inlineStr">
        <is>
          <t>Opening Day</t>
        </is>
      </c>
      <c r="K133" s="11">
        <f>IFERROR(INDEX(Roles!$B$17:$B$20,MATCH(J133,Roles!$A$17:$A$20,0)),1)</f>
        <v/>
      </c>
      <c r="L133" s="19" t="n">
        <v>1</v>
      </c>
      <c r="M133" s="11" t="n">
        <v>1</v>
      </c>
      <c r="N133" s="19" t="n">
        <v>0.5</v>
      </c>
      <c r="O133" s="19" t="n">
        <v>0.5</v>
      </c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3">
        <f>SUMPRODUCT(N133:Y133,$N$2:$Y$2)*$K133*$L133*$M133</f>
        <v/>
      </c>
      <c r="AA133" s="14">
        <f>SUM(N133:Y133)</f>
        <v/>
      </c>
      <c r="AB133" s="13">
        <f>SUMPRODUCT(N133:Y133,$N$3:$Y$3)*$K133*$L133*$M133</f>
        <v/>
      </c>
      <c r="AC133" s="13">
        <f>SUMPRODUCT(N133:Y133,$N$4:$Y$4)*$K133*$L133*$M133</f>
        <v/>
      </c>
      <c r="AD133" s="15" t="n">
        <v>23.28</v>
      </c>
      <c r="AE133" s="11" t="n">
        <v>5.687927770496576</v>
      </c>
      <c r="AF133" s="16">
        <f>SUMPRODUCT(N133:Y133,$N$5:$Y$5)*$K133*$L133*$M133</f>
        <v/>
      </c>
      <c r="AG133" s="16">
        <f>SUMPRODUCT(N133:Y133,$N$6:$Y$6)*$K133*$L133*$M133</f>
        <v/>
      </c>
      <c r="AH133" s="20" t="n"/>
    </row>
    <row r="134">
      <c r="A134" s="9" t="n">
        <v>595014</v>
      </c>
      <c r="B134" s="9" t="inlineStr">
        <is>
          <t>Blake Treinen</t>
        </is>
      </c>
      <c r="C134" s="9" t="inlineStr">
        <is>
          <t>LAD</t>
        </is>
      </c>
      <c r="D134" s="9" t="n">
        <v>39</v>
      </c>
      <c r="E134" s="18" t="inlineStr">
        <is>
          <t>R</t>
        </is>
      </c>
      <c r="F134" s="18" t="n"/>
      <c r="G134" s="9" t="n">
        <v>130</v>
      </c>
      <c r="H134" s="9" t="n">
        <v>460</v>
      </c>
      <c r="I134" s="9" t="inlineStr">
        <is>
          <t>Bullpen Depth Arm</t>
        </is>
      </c>
      <c r="J134" s="18" t="inlineStr">
        <is>
          <t>Opening Day</t>
        </is>
      </c>
      <c r="K134" s="11">
        <f>IFERROR(INDEX(Roles!$B$17:$B$20,MATCH(J134,Roles!$A$17:$A$20,0)),1)</f>
        <v/>
      </c>
      <c r="L134" s="19" t="n">
        <v>1</v>
      </c>
      <c r="M134" s="11" t="n">
        <v>1</v>
      </c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>
        <v>0.15</v>
      </c>
      <c r="W134" s="19" t="n">
        <v>0.85</v>
      </c>
      <c r="X134" s="19" t="n"/>
      <c r="Y134" s="19" t="n"/>
      <c r="Z134" s="13">
        <f>SUMPRODUCT(N134:Y134,$N$2:$Y$2)*$K134*$L134*$M134</f>
        <v/>
      </c>
      <c r="AA134" s="14">
        <f>SUM(N134:Y134)</f>
        <v/>
      </c>
      <c r="AB134" s="13">
        <f>SUMPRODUCT(N134:Y134,$N$3:$Y$3)*$K134*$L134*$M134</f>
        <v/>
      </c>
      <c r="AC134" s="13">
        <f>SUMPRODUCT(N134:Y134,$N$4:$Y$4)*$K134*$L134*$M134</f>
        <v/>
      </c>
      <c r="AD134" s="15" t="n">
        <v>27.86666666666667</v>
      </c>
      <c r="AE134" s="11" t="n">
        <v>1.085290918624252</v>
      </c>
      <c r="AF134" s="16">
        <f>SUMPRODUCT(N134:Y134,$N$5:$Y$5)*$K134*$L134*$M134</f>
        <v/>
      </c>
      <c r="AG134" s="16">
        <f>SUMPRODUCT(N134:Y134,$N$6:$Y$6)*$K134*$L134*$M134</f>
        <v/>
      </c>
      <c r="AH134" s="20" t="n"/>
    </row>
    <row r="135">
      <c r="A135" s="9" t="n">
        <v>622554</v>
      </c>
      <c r="B135" s="9" t="inlineStr">
        <is>
          <t>Seranthony Domínguez</t>
        </is>
      </c>
      <c r="C135" s="9" t="inlineStr">
        <is>
          <t>SEA</t>
        </is>
      </c>
      <c r="D135" s="9" t="n">
        <v>32</v>
      </c>
      <c r="E135" s="18" t="inlineStr">
        <is>
          <t>R</t>
        </is>
      </c>
      <c r="F135" s="18" t="n"/>
      <c r="G135" s="9" t="n">
        <v>260</v>
      </c>
      <c r="H135" s="9" t="n">
        <v>1207</v>
      </c>
      <c r="I135" s="9" t="inlineStr">
        <is>
          <t>Late Inning RP (Setup)</t>
        </is>
      </c>
      <c r="J135" s="18" t="inlineStr">
        <is>
          <t>Opening Day</t>
        </is>
      </c>
      <c r="K135" s="11">
        <f>IFERROR(INDEX(Roles!$B$17:$B$20,MATCH(J135,Roles!$A$17:$A$20,0)),1)</f>
        <v/>
      </c>
      <c r="L135" s="19" t="n">
        <v>1</v>
      </c>
      <c r="M135" s="11" t="n">
        <v>1</v>
      </c>
      <c r="N135" s="19" t="n"/>
      <c r="O135" s="19" t="n"/>
      <c r="P135" s="19" t="n"/>
      <c r="Q135" s="19" t="n"/>
      <c r="R135" s="19" t="n"/>
      <c r="S135" s="19" t="n"/>
      <c r="T135" s="19" t="n"/>
      <c r="U135" s="19" t="n">
        <v>0.85</v>
      </c>
      <c r="V135" s="19" t="n">
        <v>0.15</v>
      </c>
      <c r="W135" s="19" t="n"/>
      <c r="X135" s="19" t="n"/>
      <c r="Y135" s="19" t="n"/>
      <c r="Z135" s="13">
        <f>SUMPRODUCT(N135:Y135,$N$2:$Y$2)*$K135*$L135*$M135</f>
        <v/>
      </c>
      <c r="AA135" s="14">
        <f>SUM(N135:Y135)</f>
        <v/>
      </c>
      <c r="AB135" s="13">
        <f>SUMPRODUCT(N135:Y135,$N$3:$Y$3)*$K135*$L135*$M135</f>
        <v/>
      </c>
      <c r="AC135" s="13">
        <f>SUMPRODUCT(N135:Y135,$N$4:$Y$4)*$K135*$L135*$M135</f>
        <v/>
      </c>
      <c r="AD135" s="15" t="n">
        <v>59</v>
      </c>
      <c r="AE135" s="11" t="n">
        <v>0.969604969290899</v>
      </c>
      <c r="AF135" s="16">
        <f>SUMPRODUCT(N135:Y135,$N$5:$Y$5)*$K135*$L135*$M135</f>
        <v/>
      </c>
      <c r="AG135" s="16">
        <f>SUMPRODUCT(N135:Y135,$N$6:$Y$6)*$K135*$L135*$M135</f>
        <v/>
      </c>
      <c r="AH135" s="20" t="n"/>
    </row>
    <row r="136">
      <c r="A136" s="9" t="n">
        <v>670970</v>
      </c>
      <c r="B136" s="9" t="inlineStr">
        <is>
          <t>Adrian Morejon</t>
        </is>
      </c>
      <c r="C136" s="9" t="inlineStr">
        <is>
          <t>SD</t>
        </is>
      </c>
      <c r="D136" s="9" t="n">
        <v>28</v>
      </c>
      <c r="E136" s="18" t="inlineStr">
        <is>
          <t>L</t>
        </is>
      </c>
      <c r="F136" s="18" t="n"/>
      <c r="G136" s="9" t="n">
        <v>352</v>
      </c>
      <c r="H136" s="9" t="n">
        <v>1095</v>
      </c>
      <c r="I136" s="9" t="inlineStr">
        <is>
          <t>Late Inning RP (Setup)</t>
        </is>
      </c>
      <c r="J136" s="18" t="inlineStr">
        <is>
          <t>Opening Day</t>
        </is>
      </c>
      <c r="K136" s="11">
        <f>IFERROR(INDEX(Roles!$B$17:$B$20,MATCH(J136,Roles!$A$17:$A$20,0)),1)</f>
        <v/>
      </c>
      <c r="L136" s="19" t="n">
        <v>1</v>
      </c>
      <c r="M136" s="11" t="n">
        <v>1</v>
      </c>
      <c r="N136" s="19" t="n"/>
      <c r="O136" s="19" t="n"/>
      <c r="P136" s="19" t="n"/>
      <c r="Q136" s="19" t="n"/>
      <c r="R136" s="19" t="n"/>
      <c r="S136" s="19" t="n"/>
      <c r="T136" s="19" t="n"/>
      <c r="U136" s="19" t="n">
        <v>0.85</v>
      </c>
      <c r="V136" s="19" t="n">
        <v>0.15</v>
      </c>
      <c r="W136" s="19" t="n"/>
      <c r="X136" s="19" t="n"/>
      <c r="Y136" s="19" t="n"/>
      <c r="Z136" s="13">
        <f>SUMPRODUCT(N136:Y136,$N$2:$Y$2)*$K136*$L136*$M136</f>
        <v/>
      </c>
      <c r="AA136" s="14">
        <f>SUM(N136:Y136)</f>
        <v/>
      </c>
      <c r="AB136" s="13">
        <f>SUMPRODUCT(N136:Y136,$N$3:$Y$3)*$K136*$L136*$M136</f>
        <v/>
      </c>
      <c r="AC136" s="13">
        <f>SUMPRODUCT(N136:Y136,$N$4:$Y$4)*$K136*$L136*$M136</f>
        <v/>
      </c>
      <c r="AD136" s="15" t="n">
        <v>63</v>
      </c>
      <c r="AE136" s="11" t="n">
        <v>1.016647640791476</v>
      </c>
      <c r="AF136" s="16">
        <f>SUMPRODUCT(N136:Y136,$N$5:$Y$5)*$K136*$L136*$M136</f>
        <v/>
      </c>
      <c r="AG136" s="16">
        <f>SUMPRODUCT(N136:Y136,$N$6:$Y$6)*$K136*$L136*$M136</f>
        <v/>
      </c>
      <c r="AH136" s="20" t="n"/>
    </row>
    <row r="137">
      <c r="A137" s="9" t="n">
        <v>664747</v>
      </c>
      <c r="B137" s="9" t="inlineStr">
        <is>
          <t>Alexis Díaz</t>
        </is>
      </c>
      <c r="C137" s="9" t="inlineStr">
        <is>
          <t>ATL</t>
        </is>
      </c>
      <c r="D137" s="9" t="n">
        <v>30</v>
      </c>
      <c r="E137" s="18" t="inlineStr">
        <is>
          <t>R</t>
        </is>
      </c>
      <c r="F137" s="18" t="n"/>
      <c r="G137" s="9" t="n">
        <v>85</v>
      </c>
      <c r="H137" s="9" t="n">
        <v>868</v>
      </c>
      <c r="I137" s="9" t="inlineStr">
        <is>
          <t>Bullpen Depth Arm</t>
        </is>
      </c>
      <c r="J137" s="18" t="inlineStr">
        <is>
          <t>Opening Day</t>
        </is>
      </c>
      <c r="K137" s="11">
        <f>IFERROR(INDEX(Roles!$B$17:$B$20,MATCH(J137,Roles!$A$17:$A$20,0)),1)</f>
        <v/>
      </c>
      <c r="L137" s="19" t="n">
        <v>1</v>
      </c>
      <c r="M137" s="11" t="n">
        <v>1</v>
      </c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>
        <v>1</v>
      </c>
      <c r="X137" s="19" t="n"/>
      <c r="Y137" s="19" t="n"/>
      <c r="Z137" s="13">
        <f>SUMPRODUCT(N137:Y137,$N$2:$Y$2)*$K137*$L137*$M137</f>
        <v/>
      </c>
      <c r="AA137" s="14">
        <f>SUM(N137:Y137)</f>
        <v/>
      </c>
      <c r="AB137" s="13">
        <f>SUMPRODUCT(N137:Y137,$N$3:$Y$3)*$K137*$L137*$M137</f>
        <v/>
      </c>
      <c r="AC137" s="13">
        <f>SUMPRODUCT(N137:Y137,$N$4:$Y$4)*$K137*$L137*$M137</f>
        <v/>
      </c>
      <c r="AD137" s="15" t="n">
        <v>24.86666666666667</v>
      </c>
      <c r="AE137" s="11" t="n">
        <v>1.119794171877505</v>
      </c>
      <c r="AF137" s="16">
        <f>SUMPRODUCT(N137:Y137,$N$5:$Y$5)*$K137*$L137*$M137</f>
        <v/>
      </c>
      <c r="AG137" s="16">
        <f>SUMPRODUCT(N137:Y137,$N$6:$Y$6)*$K137*$L137*$M137</f>
        <v/>
      </c>
      <c r="AH137" s="20" t="n"/>
    </row>
    <row r="138">
      <c r="A138" s="9" t="n">
        <v>663986</v>
      </c>
      <c r="B138" s="9" t="inlineStr">
        <is>
          <t>Trevor Stephan</t>
        </is>
      </c>
      <c r="C138" s="9" t="inlineStr">
        <is>
          <t>CLE</t>
        </is>
      </c>
      <c r="D138" s="9" t="n">
        <v>31</v>
      </c>
      <c r="E138" s="18" t="inlineStr">
        <is>
          <t>R</t>
        </is>
      </c>
      <c r="F138" s="18" t="n"/>
      <c r="G138" s="9" t="n">
        <v>294</v>
      </c>
      <c r="H138" s="9" t="n">
        <v>561</v>
      </c>
      <c r="I138" s="9" t="inlineStr">
        <is>
          <t>Depth (no MLB IP)</t>
        </is>
      </c>
      <c r="J138" s="18" t="inlineStr">
        <is>
          <t>Opening Day</t>
        </is>
      </c>
      <c r="K138" s="11">
        <f>IFERROR(INDEX(Roles!$B$17:$B$20,MATCH(J138,Roles!$A$17:$A$20,0)),1)</f>
        <v/>
      </c>
      <c r="L138" s="19" t="n">
        <v>1</v>
      </c>
      <c r="M138" s="11" t="n">
        <v>1</v>
      </c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>
        <v>1</v>
      </c>
      <c r="Z138" s="13">
        <f>SUMPRODUCT(N138:Y138,$N$2:$Y$2)*$K138*$L138*$M138</f>
        <v/>
      </c>
      <c r="AA138" s="14">
        <f>SUM(N138:Y138)</f>
        <v/>
      </c>
      <c r="AB138" s="13">
        <f>SUMPRODUCT(N138:Y138,$N$3:$Y$3)*$K138*$L138*$M138</f>
        <v/>
      </c>
      <c r="AC138" s="13">
        <f>SUMPRODUCT(N138:Y138,$N$4:$Y$4)*$K138*$L138*$M138</f>
        <v/>
      </c>
      <c r="AD138" s="15" t="n">
        <v>3</v>
      </c>
      <c r="AE138" s="11" t="n">
        <v>1.011296296296296</v>
      </c>
      <c r="AF138" s="16">
        <f>SUMPRODUCT(N138:Y138,$N$5:$Y$5)*$K138*$L138*$M138</f>
        <v/>
      </c>
      <c r="AG138" s="16">
        <f>SUMPRODUCT(N138:Y138,$N$6:$Y$6)*$K138*$L138*$M138</f>
        <v/>
      </c>
      <c r="AH138" s="20" t="n"/>
    </row>
    <row r="139">
      <c r="A139" s="9" t="n">
        <v>664208</v>
      </c>
      <c r="B139" s="9" t="inlineStr">
        <is>
          <t>Phil Maton</t>
        </is>
      </c>
      <c r="C139" s="9" t="inlineStr">
        <is>
          <t>CHC</t>
        </is>
      </c>
      <c r="D139" s="9" t="n">
        <v>34</v>
      </c>
      <c r="E139" s="18" t="inlineStr">
        <is>
          <t>R</t>
        </is>
      </c>
      <c r="F139" s="18" t="n"/>
      <c r="G139" s="9" t="n">
        <v>136</v>
      </c>
      <c r="H139" s="9" t="n">
        <v>1204</v>
      </c>
      <c r="I139" s="9" t="inlineStr">
        <is>
          <t>Bullpen Depth Arm</t>
        </is>
      </c>
      <c r="J139" s="18" t="inlineStr">
        <is>
          <t>Opening Day</t>
        </is>
      </c>
      <c r="K139" s="11">
        <f>IFERROR(INDEX(Roles!$B$17:$B$20,MATCH(J139,Roles!$A$17:$A$20,0)),1)</f>
        <v/>
      </c>
      <c r="L139" s="19" t="n">
        <v>1</v>
      </c>
      <c r="M139" s="11" t="n">
        <v>1</v>
      </c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>
        <v>0.15</v>
      </c>
      <c r="W139" s="19" t="n">
        <v>0.85</v>
      </c>
      <c r="X139" s="19" t="n"/>
      <c r="Y139" s="19" t="n"/>
      <c r="Z139" s="13">
        <f>SUMPRODUCT(N139:Y139,$N$2:$Y$2)*$K139*$L139*$M139</f>
        <v/>
      </c>
      <c r="AA139" s="14">
        <f>SUM(N139:Y139)</f>
        <v/>
      </c>
      <c r="AB139" s="13">
        <f>SUMPRODUCT(N139:Y139,$N$3:$Y$3)*$K139*$L139*$M139</f>
        <v/>
      </c>
      <c r="AC139" s="13">
        <f>SUMPRODUCT(N139:Y139,$N$4:$Y$4)*$K139*$L139*$M139</f>
        <v/>
      </c>
      <c r="AD139" s="15" t="n">
        <v>34.66666666666667</v>
      </c>
      <c r="AE139" s="11" t="n">
        <v>1.111468820664223</v>
      </c>
      <c r="AF139" s="16">
        <f>SUMPRODUCT(N139:Y139,$N$5:$Y$5)*$K139*$L139*$M139</f>
        <v/>
      </c>
      <c r="AG139" s="16">
        <f>SUMPRODUCT(N139:Y139,$N$6:$Y$6)*$K139*$L139*$M139</f>
        <v/>
      </c>
      <c r="AH139" s="20" t="n"/>
    </row>
    <row r="140">
      <c r="A140" s="9" t="n">
        <v>592094</v>
      </c>
      <c r="B140" s="9" t="inlineStr">
        <is>
          <t>Jason Adam</t>
        </is>
      </c>
      <c r="C140" s="9" t="inlineStr">
        <is>
          <t>SD</t>
        </is>
      </c>
      <c r="D140" s="9" t="n">
        <v>35</v>
      </c>
      <c r="E140" s="18" t="inlineStr">
        <is>
          <t>R</t>
        </is>
      </c>
      <c r="F140" s="18" t="n"/>
      <c r="G140" s="9" t="n">
        <v>142</v>
      </c>
      <c r="H140" s="9" t="n">
        <v>1153</v>
      </c>
      <c r="I140" s="9" t="inlineStr">
        <is>
          <t>Late Inning RP (Setup)</t>
        </is>
      </c>
      <c r="J140" s="18" t="inlineStr">
        <is>
          <t>Opening Day</t>
        </is>
      </c>
      <c r="K140" s="11">
        <f>IFERROR(INDEX(Roles!$B$17:$B$20,MATCH(J140,Roles!$A$17:$A$20,0)),1)</f>
        <v/>
      </c>
      <c r="L140" s="19" t="n">
        <v>1</v>
      </c>
      <c r="M140" s="11" t="n">
        <v>1</v>
      </c>
      <c r="N140" s="19" t="n"/>
      <c r="O140" s="19" t="n"/>
      <c r="P140" s="19" t="n"/>
      <c r="Q140" s="19" t="n"/>
      <c r="R140" s="19" t="n"/>
      <c r="S140" s="19" t="n"/>
      <c r="T140" s="19" t="n"/>
      <c r="U140" s="19" t="n">
        <v>0.85</v>
      </c>
      <c r="V140" s="19" t="n">
        <v>0.15</v>
      </c>
      <c r="W140" s="19" t="n"/>
      <c r="X140" s="19" t="n"/>
      <c r="Y140" s="19" t="n"/>
      <c r="Z140" s="13">
        <f>SUMPRODUCT(N140:Y140,$N$2:$Y$2)*$K140*$L140*$M140</f>
        <v/>
      </c>
      <c r="AA140" s="14">
        <f>SUM(N140:Y140)</f>
        <v/>
      </c>
      <c r="AB140" s="13">
        <f>SUMPRODUCT(N140:Y140,$N$3:$Y$3)*$K140*$L140*$M140</f>
        <v/>
      </c>
      <c r="AC140" s="13">
        <f>SUMPRODUCT(N140:Y140,$N$4:$Y$4)*$K140*$L140*$M140</f>
        <v/>
      </c>
      <c r="AD140" s="15" t="n">
        <v>51</v>
      </c>
      <c r="AE140" s="11" t="n">
        <v>0.9818745632424878</v>
      </c>
      <c r="AF140" s="16">
        <f>SUMPRODUCT(N140:Y140,$N$5:$Y$5)*$K140*$L140*$M140</f>
        <v/>
      </c>
      <c r="AG140" s="16">
        <f>SUMPRODUCT(N140:Y140,$N$6:$Y$6)*$K140*$L140*$M140</f>
        <v/>
      </c>
      <c r="AH140" s="20" t="n"/>
    </row>
    <row r="141">
      <c r="A141" s="9" t="n">
        <v>673540</v>
      </c>
      <c r="B141" s="9" t="inlineStr">
        <is>
          <t>Kodai Senga</t>
        </is>
      </c>
      <c r="C141" s="9" t="inlineStr">
        <is>
          <t>NYM</t>
        </is>
      </c>
      <c r="D141" s="9" t="n">
        <v>34</v>
      </c>
      <c r="E141" s="18" t="inlineStr">
        <is>
          <t>R</t>
        </is>
      </c>
      <c r="F141" s="18" t="n"/>
      <c r="G141" s="9" t="n">
        <v>283</v>
      </c>
      <c r="H141" s="9" t="n">
        <v>1479</v>
      </c>
      <c r="I141" s="9" t="inlineStr">
        <is>
          <t>Closer</t>
        </is>
      </c>
      <c r="J141" s="18" t="inlineStr">
        <is>
          <t>Opening Day</t>
        </is>
      </c>
      <c r="K141" s="11">
        <f>IFERROR(INDEX(Roles!$B$17:$B$20,MATCH(J141,Roles!$A$17:$A$20,0)),1)</f>
        <v/>
      </c>
      <c r="L141" s="19" t="n">
        <v>1</v>
      </c>
      <c r="M141" s="11" t="n">
        <v>1</v>
      </c>
      <c r="N141" s="19" t="n"/>
      <c r="O141" s="19" t="n"/>
      <c r="P141" s="19" t="n"/>
      <c r="Q141" s="19" t="n"/>
      <c r="R141" s="19" t="n"/>
      <c r="S141" s="19" t="n"/>
      <c r="T141" s="19" t="n">
        <v>0.85</v>
      </c>
      <c r="U141" s="19" t="n">
        <v>0.15</v>
      </c>
      <c r="V141" s="19" t="n"/>
      <c r="W141" s="19" t="n"/>
      <c r="X141" s="19" t="n"/>
      <c r="Y141" s="19" t="n"/>
      <c r="Z141" s="13">
        <f>SUMPRODUCT(N141:Y141,$N$2:$Y$2)*$K141*$L141*$M141</f>
        <v/>
      </c>
      <c r="AA141" s="14">
        <f>SUM(N141:Y141)</f>
        <v/>
      </c>
      <c r="AB141" s="13">
        <f>SUMPRODUCT(N141:Y141,$N$3:$Y$3)*$K141*$L141*$M141</f>
        <v/>
      </c>
      <c r="AC141" s="13">
        <f>SUMPRODUCT(N141:Y141,$N$4:$Y$4)*$K141*$L141*$M141</f>
        <v/>
      </c>
      <c r="AD141" s="15" t="n">
        <v>33.96</v>
      </c>
      <c r="AE141" s="11" t="n">
        <v>1.673994463442436</v>
      </c>
      <c r="AF141" s="16">
        <f>SUMPRODUCT(N141:Y141,$N$5:$Y$5)*$K141*$L141*$M141</f>
        <v/>
      </c>
      <c r="AG141" s="16">
        <f>SUMPRODUCT(N141:Y141,$N$6:$Y$6)*$K141*$L141*$M141</f>
        <v/>
      </c>
      <c r="AH141" s="20" t="n"/>
    </row>
    <row r="142">
      <c r="A142" s="9" t="n">
        <v>681320</v>
      </c>
      <c r="B142" s="9" t="inlineStr">
        <is>
          <t>Nate Lavender</t>
        </is>
      </c>
      <c r="C142" s="9" t="inlineStr">
        <is>
          <t>NYM</t>
        </is>
      </c>
      <c r="D142" s="9" t="n">
        <v>27</v>
      </c>
      <c r="E142" s="18" t="inlineStr">
        <is>
          <t>L</t>
        </is>
      </c>
      <c r="F142" s="18" t="n"/>
      <c r="G142" s="9" t="n">
        <v>79</v>
      </c>
      <c r="H142" s="9" t="n">
        <v>79</v>
      </c>
      <c r="I142" s="9" t="inlineStr">
        <is>
          <t>Late Inning RP (Setup)</t>
        </is>
      </c>
      <c r="J142" s="18" t="inlineStr">
        <is>
          <t>Opening Day</t>
        </is>
      </c>
      <c r="K142" s="11">
        <f>IFERROR(INDEX(Roles!$B$17:$B$20,MATCH(J142,Roles!$A$17:$A$20,0)),1)</f>
        <v/>
      </c>
      <c r="L142" s="19" t="n">
        <v>1</v>
      </c>
      <c r="M142" s="11" t="n">
        <v>1</v>
      </c>
      <c r="N142" s="19" t="n"/>
      <c r="O142" s="19" t="n"/>
      <c r="P142" s="19" t="n"/>
      <c r="Q142" s="19" t="n"/>
      <c r="R142" s="19" t="n"/>
      <c r="S142" s="19" t="n"/>
      <c r="T142" s="19" t="n"/>
      <c r="U142" s="19" t="n">
        <v>0.85</v>
      </c>
      <c r="V142" s="19" t="n">
        <v>0.15</v>
      </c>
      <c r="W142" s="19" t="n"/>
      <c r="X142" s="19" t="n"/>
      <c r="Y142" s="19" t="n"/>
      <c r="Z142" s="13">
        <f>SUMPRODUCT(N142:Y142,$N$2:$Y$2)*$K142*$L142*$M142</f>
        <v/>
      </c>
      <c r="AA142" s="14">
        <f>SUM(N142:Y142)</f>
        <v/>
      </c>
      <c r="AB142" s="13">
        <f>SUMPRODUCT(N142:Y142,$N$3:$Y$3)*$K142*$L142*$M142</f>
        <v/>
      </c>
      <c r="AC142" s="13">
        <f>SUMPRODUCT(N142:Y142,$N$4:$Y$4)*$K142*$L142*$M142</f>
        <v/>
      </c>
      <c r="AD142" s="15" t="n">
        <v>31.8</v>
      </c>
      <c r="AE142" s="11" t="n">
        <v>1.003637566137566</v>
      </c>
      <c r="AF142" s="16">
        <f>SUMPRODUCT(N142:Y142,$N$5:$Y$5)*$K142*$L142*$M142</f>
        <v/>
      </c>
      <c r="AG142" s="16">
        <f>SUMPRODUCT(N142:Y142,$N$6:$Y$6)*$K142*$L142*$M142</f>
        <v/>
      </c>
      <c r="AH142" s="20" t="n"/>
    </row>
    <row r="143">
      <c r="A143" s="9" t="n">
        <v>640451</v>
      </c>
      <c r="B143" s="9" t="inlineStr">
        <is>
          <t>Hunter Harvey</t>
        </is>
      </c>
      <c r="C143" s="9" t="inlineStr">
        <is>
          <t>KC</t>
        </is>
      </c>
      <c r="D143" s="9" t="n">
        <v>32</v>
      </c>
      <c r="E143" s="18" t="inlineStr">
        <is>
          <t>R</t>
        </is>
      </c>
      <c r="F143" s="18" t="n"/>
      <c r="G143" s="9" t="n">
        <v>18</v>
      </c>
      <c r="H143" s="9" t="n">
        <v>668</v>
      </c>
      <c r="I143" s="9" t="inlineStr">
        <is>
          <t>Bullpen Depth Arm</t>
        </is>
      </c>
      <c r="J143" s="18" t="inlineStr">
        <is>
          <t>Opening Day</t>
        </is>
      </c>
      <c r="K143" s="11">
        <f>IFERROR(INDEX(Roles!$B$17:$B$20,MATCH(J143,Roles!$A$17:$A$20,0)),1)</f>
        <v/>
      </c>
      <c r="L143" s="19" t="n">
        <v>1</v>
      </c>
      <c r="M143" s="11" t="n">
        <v>1</v>
      </c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>
        <v>0.15</v>
      </c>
      <c r="W143" s="19" t="n">
        <v>0.85</v>
      </c>
      <c r="X143" s="19" t="n"/>
      <c r="Y143" s="19" t="n"/>
      <c r="Z143" s="13">
        <f>SUMPRODUCT(N143:Y143,$N$2:$Y$2)*$K143*$L143*$M143</f>
        <v/>
      </c>
      <c r="AA143" s="14">
        <f>SUM(N143:Y143)</f>
        <v/>
      </c>
      <c r="AB143" s="13">
        <f>SUMPRODUCT(N143:Y143,$N$3:$Y$3)*$K143*$L143*$M143</f>
        <v/>
      </c>
      <c r="AC143" s="13">
        <f>SUMPRODUCT(N143:Y143,$N$4:$Y$4)*$K143*$L143*$M143</f>
        <v/>
      </c>
      <c r="AD143" s="15" t="n">
        <v>14.16666666666667</v>
      </c>
      <c r="AE143" s="11" t="n">
        <v>1.13091889954635</v>
      </c>
      <c r="AF143" s="16">
        <f>SUMPRODUCT(N143:Y143,$N$5:$Y$5)*$K143*$L143*$M143</f>
        <v/>
      </c>
      <c r="AG143" s="16">
        <f>SUMPRODUCT(N143:Y143,$N$6:$Y$6)*$K143*$L143*$M143</f>
        <v/>
      </c>
      <c r="AH143" s="20" t="n"/>
    </row>
    <row r="144">
      <c r="A144" s="9" t="n">
        <v>650671</v>
      </c>
      <c r="B144" s="9" t="inlineStr">
        <is>
          <t>José Quijada</t>
        </is>
      </c>
      <c r="C144" s="9" t="inlineStr">
        <is>
          <t>LAA</t>
        </is>
      </c>
      <c r="D144" s="9" t="n">
        <v>31</v>
      </c>
      <c r="E144" s="18" t="inlineStr">
        <is>
          <t>L</t>
        </is>
      </c>
      <c r="F144" s="18" t="n"/>
      <c r="G144" s="9" t="n">
        <v>8</v>
      </c>
      <c r="H144" s="9" t="n">
        <v>302</v>
      </c>
      <c r="I144" s="9" t="inlineStr">
        <is>
          <t>Depth (no MLB IP)</t>
        </is>
      </c>
      <c r="J144" s="18" t="inlineStr">
        <is>
          <t>Opening Day</t>
        </is>
      </c>
      <c r="K144" s="11">
        <f>IFERROR(INDEX(Roles!$B$17:$B$20,MATCH(J144,Roles!$A$17:$A$20,0)),1)</f>
        <v/>
      </c>
      <c r="L144" s="19" t="n">
        <v>1</v>
      </c>
      <c r="M144" s="11" t="n">
        <v>1</v>
      </c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>
        <v>1</v>
      </c>
      <c r="Z144" s="13">
        <f>SUMPRODUCT(N144:Y144,$N$2:$Y$2)*$K144*$L144*$M144</f>
        <v/>
      </c>
      <c r="AA144" s="14">
        <f>SUM(N144:Y144)</f>
        <v/>
      </c>
      <c r="AB144" s="13">
        <f>SUMPRODUCT(N144:Y144,$N$3:$Y$3)*$K144*$L144*$M144</f>
        <v/>
      </c>
      <c r="AC144" s="13">
        <f>SUMPRODUCT(N144:Y144,$N$4:$Y$4)*$K144*$L144*$M144</f>
        <v/>
      </c>
      <c r="AD144" s="15" t="n">
        <v>6.4</v>
      </c>
      <c r="AE144" s="11" t="n">
        <v>0.9562488129154794</v>
      </c>
      <c r="AF144" s="16">
        <f>SUMPRODUCT(N144:Y144,$N$5:$Y$5)*$K144*$L144*$M144</f>
        <v/>
      </c>
      <c r="AG144" s="16">
        <f>SUMPRODUCT(N144:Y144,$N$6:$Y$6)*$K144*$L144*$M144</f>
        <v/>
      </c>
      <c r="AH144" s="20" t="n"/>
    </row>
    <row r="145">
      <c r="A145" s="9" t="n">
        <v>605447</v>
      </c>
      <c r="B145" s="9" t="inlineStr">
        <is>
          <t>Jordan Romano</t>
        </is>
      </c>
      <c r="C145" s="9" t="inlineStr">
        <is>
          <t>COL</t>
        </is>
      </c>
      <c r="D145" s="9" t="n">
        <v>34</v>
      </c>
      <c r="E145" s="18" t="inlineStr">
        <is>
          <t>R</t>
        </is>
      </c>
      <c r="F145" s="18" t="n"/>
      <c r="G145" s="9" t="n">
        <v>153</v>
      </c>
      <c r="H145" s="9" t="n">
        <v>908</v>
      </c>
      <c r="I145" s="9" t="inlineStr">
        <is>
          <t>Closer</t>
        </is>
      </c>
      <c r="J145" s="18" t="inlineStr">
        <is>
          <t>Opening Day</t>
        </is>
      </c>
      <c r="K145" s="11">
        <f>IFERROR(INDEX(Roles!$B$17:$B$20,MATCH(J145,Roles!$A$17:$A$20,0)),1)</f>
        <v/>
      </c>
      <c r="L145" s="19" t="n">
        <v>1</v>
      </c>
      <c r="M145" s="11" t="n">
        <v>1</v>
      </c>
      <c r="N145" s="19" t="n"/>
      <c r="O145" s="19" t="n"/>
      <c r="P145" s="19" t="n"/>
      <c r="Q145" s="19" t="n"/>
      <c r="R145" s="19" t="n"/>
      <c r="S145" s="19" t="n"/>
      <c r="T145" s="19" t="n">
        <v>0.85</v>
      </c>
      <c r="U145" s="19" t="n">
        <v>0.15</v>
      </c>
      <c r="V145" s="19" t="n"/>
      <c r="W145" s="19" t="n"/>
      <c r="X145" s="19" t="n"/>
      <c r="Y145" s="19" t="n"/>
      <c r="Z145" s="13">
        <f>SUMPRODUCT(N145:Y145,$N$2:$Y$2)*$K145*$L145*$M145</f>
        <v/>
      </c>
      <c r="AA145" s="14">
        <f>SUM(N145:Y145)</f>
        <v/>
      </c>
      <c r="AB145" s="13">
        <f>SUMPRODUCT(N145:Y145,$N$3:$Y$3)*$K145*$L145*$M145</f>
        <v/>
      </c>
      <c r="AC145" s="13">
        <f>SUMPRODUCT(N145:Y145,$N$4:$Y$4)*$K145*$L145*$M145</f>
        <v/>
      </c>
      <c r="AD145" s="15" t="n">
        <v>42.86</v>
      </c>
      <c r="AE145" s="11" t="n">
        <v>0.9628493018088622</v>
      </c>
      <c r="AF145" s="16">
        <f>SUMPRODUCT(N145:Y145,$N$5:$Y$5)*$K145*$L145*$M145</f>
        <v/>
      </c>
      <c r="AG145" s="16">
        <f>SUMPRODUCT(N145:Y145,$N$6:$Y$6)*$K145*$L145*$M145</f>
        <v/>
      </c>
      <c r="AH145" s="20" t="n"/>
    </row>
    <row r="146">
      <c r="A146" s="9" t="n">
        <v>664849</v>
      </c>
      <c r="B146" s="9" t="inlineStr">
        <is>
          <t>Danny Young</t>
        </is>
      </c>
      <c r="C146" s="9" t="inlineStr">
        <is>
          <t>ATL</t>
        </is>
      </c>
      <c r="D146" s="9" t="n">
        <v>33</v>
      </c>
      <c r="E146" s="18" t="inlineStr">
        <is>
          <t>L</t>
        </is>
      </c>
      <c r="F146" s="18" t="n"/>
      <c r="G146" s="9" t="n">
        <v>65</v>
      </c>
      <c r="H146" s="9" t="n">
        <v>334</v>
      </c>
      <c r="I146" s="9" t="inlineStr">
        <is>
          <t>Bullpen Depth Arm</t>
        </is>
      </c>
      <c r="J146" s="18" t="inlineStr">
        <is>
          <t>Opening Day</t>
        </is>
      </c>
      <c r="K146" s="11">
        <f>IFERROR(INDEX(Roles!$B$17:$B$20,MATCH(J146,Roles!$A$17:$A$20,0)),1)</f>
        <v/>
      </c>
      <c r="L146" s="19" t="n">
        <v>1</v>
      </c>
      <c r="M146" s="11" t="n">
        <v>1</v>
      </c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>
        <v>1</v>
      </c>
      <c r="X146" s="19" t="n"/>
      <c r="Y146" s="19" t="n"/>
      <c r="Z146" s="13">
        <f>SUMPRODUCT(N146:Y146,$N$2:$Y$2)*$K146*$L146*$M146</f>
        <v/>
      </c>
      <c r="AA146" s="14">
        <f>SUM(N146:Y146)</f>
        <v/>
      </c>
      <c r="AB146" s="13">
        <f>SUMPRODUCT(N146:Y146,$N$3:$Y$3)*$K146*$L146*$M146</f>
        <v/>
      </c>
      <c r="AC146" s="13">
        <f>SUMPRODUCT(N146:Y146,$N$4:$Y$4)*$K146*$L146*$M146</f>
        <v/>
      </c>
      <c r="AD146" s="15" t="n">
        <v>16.66666666666666</v>
      </c>
      <c r="AE146" s="11" t="n">
        <v>1.078274811608145</v>
      </c>
      <c r="AF146" s="16">
        <f>SUMPRODUCT(N146:Y146,$N$5:$Y$5)*$K146*$L146*$M146</f>
        <v/>
      </c>
      <c r="AG146" s="16">
        <f>SUMPRODUCT(N146:Y146,$N$6:$Y$6)*$K146*$L146*$M146</f>
        <v/>
      </c>
      <c r="AH146" s="20" t="n"/>
    </row>
    <row r="147">
      <c r="A147" s="9" t="n">
        <v>657024</v>
      </c>
      <c r="B147" s="9" t="inlineStr">
        <is>
          <t>Erik Swanson</t>
        </is>
      </c>
      <c r="C147" s="9" t="inlineStr">
        <is>
          <t>TOR</t>
        </is>
      </c>
      <c r="D147" s="9" t="n">
        <v>33</v>
      </c>
      <c r="E147" s="18" t="inlineStr">
        <is>
          <t>R</t>
        </is>
      </c>
      <c r="F147" s="18" t="n"/>
      <c r="G147" s="9" t="n">
        <v>30</v>
      </c>
      <c r="H147" s="9" t="n">
        <v>666</v>
      </c>
      <c r="I147" s="9" t="inlineStr">
        <is>
          <t>Bullpen Depth Arm</t>
        </is>
      </c>
      <c r="J147" s="18" t="inlineStr">
        <is>
          <t>Opening Day</t>
        </is>
      </c>
      <c r="K147" s="11">
        <f>IFERROR(INDEX(Roles!$B$17:$B$20,MATCH(J147,Roles!$A$17:$A$20,0)),1)</f>
        <v/>
      </c>
      <c r="L147" s="19" t="n">
        <v>1</v>
      </c>
      <c r="M147" s="11" t="n">
        <v>1</v>
      </c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>
        <v>1</v>
      </c>
      <c r="X147" s="19" t="n"/>
      <c r="Y147" s="19" t="n"/>
      <c r="Z147" s="13">
        <f>SUMPRODUCT(N147:Y147,$N$2:$Y$2)*$K147*$L147*$M147</f>
        <v/>
      </c>
      <c r="AA147" s="14">
        <f>SUM(N147:Y147)</f>
        <v/>
      </c>
      <c r="AB147" s="13">
        <f>SUMPRODUCT(N147:Y147,$N$3:$Y$3)*$K147*$L147*$M147</f>
        <v/>
      </c>
      <c r="AC147" s="13">
        <f>SUMPRODUCT(N147:Y147,$N$4:$Y$4)*$K147*$L147*$M147</f>
        <v/>
      </c>
      <c r="AD147" s="15" t="n">
        <v>17.06666666666667</v>
      </c>
      <c r="AE147" s="11" t="n">
        <v>1.093904795659182</v>
      </c>
      <c r="AF147" s="16">
        <f>SUMPRODUCT(N147:Y147,$N$5:$Y$5)*$K147*$L147*$M147</f>
        <v/>
      </c>
      <c r="AG147" s="16">
        <f>SUMPRODUCT(N147:Y147,$N$6:$Y$6)*$K147*$L147*$M147</f>
        <v/>
      </c>
      <c r="AH147" s="20" t="n"/>
    </row>
    <row r="148">
      <c r="A148" s="9" t="n">
        <v>676917</v>
      </c>
      <c r="B148" s="9" t="inlineStr">
        <is>
          <t>Cade Cavalli</t>
        </is>
      </c>
      <c r="C148" s="9" t="inlineStr">
        <is>
          <t>WSH</t>
        </is>
      </c>
      <c r="D148" s="9" t="n">
        <v>28</v>
      </c>
      <c r="E148" s="18" t="inlineStr">
        <is>
          <t>R</t>
        </is>
      </c>
      <c r="F148" s="18" t="n"/>
      <c r="G148" s="9" t="n">
        <v>706</v>
      </c>
      <c r="H148" s="9" t="n">
        <v>948</v>
      </c>
      <c r="I148" s="9" t="inlineStr">
        <is>
          <t>Ace (SP1)</t>
        </is>
      </c>
      <c r="J148" s="18" t="inlineStr">
        <is>
          <t>Opening Day</t>
        </is>
      </c>
      <c r="K148" s="11">
        <f>IFERROR(INDEX(Roles!$B$17:$B$20,MATCH(J148,Roles!$A$17:$A$20,0)),1)</f>
        <v/>
      </c>
      <c r="L148" s="19" t="n">
        <v>1</v>
      </c>
      <c r="M148" s="11" t="n">
        <v>1</v>
      </c>
      <c r="N148" s="19" t="n">
        <v>0.5</v>
      </c>
      <c r="O148" s="19" t="n">
        <v>0.5</v>
      </c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3">
        <f>SUMPRODUCT(N148:Y148,$N$2:$Y$2)*$K148*$L148*$M148</f>
        <v/>
      </c>
      <c r="AA148" s="14">
        <f>SUM(N148:Y148)</f>
        <v/>
      </c>
      <c r="AB148" s="13">
        <f>SUMPRODUCT(N148:Y148,$N$3:$Y$3)*$K148*$L148*$M148</f>
        <v/>
      </c>
      <c r="AC148" s="13">
        <f>SUMPRODUCT(N148:Y148,$N$4:$Y$4)*$K148*$L148*$M148</f>
        <v/>
      </c>
      <c r="AD148" s="15" t="n">
        <v>24.12</v>
      </c>
      <c r="AE148" s="11" t="n">
        <v>5.488368910782703</v>
      </c>
      <c r="AF148" s="16">
        <f>SUMPRODUCT(N148:Y148,$N$5:$Y$5)*$K148*$L148*$M148</f>
        <v/>
      </c>
      <c r="AG148" s="16">
        <f>SUMPRODUCT(N148:Y148,$N$6:$Y$6)*$K148*$L148*$M148</f>
        <v/>
      </c>
      <c r="AH148" s="20" t="n"/>
    </row>
    <row r="149">
      <c r="A149" s="9" t="n">
        <v>669165</v>
      </c>
      <c r="B149" s="9" t="inlineStr">
        <is>
          <t>Kyle Hurt</t>
        </is>
      </c>
      <c r="C149" s="9" t="inlineStr">
        <is>
          <t>LAD</t>
        </is>
      </c>
      <c r="D149" s="9" t="n">
        <v>29</v>
      </c>
      <c r="E149" s="18" t="inlineStr">
        <is>
          <t>R</t>
        </is>
      </c>
      <c r="F149" s="18" t="n"/>
      <c r="G149" s="9" t="n">
        <v>198</v>
      </c>
      <c r="H149" s="9" t="n">
        <v>231</v>
      </c>
      <c r="I149" s="9" t="inlineStr">
        <is>
          <t>Middle Relief</t>
        </is>
      </c>
      <c r="J149" s="18" t="inlineStr">
        <is>
          <t>Opening Day</t>
        </is>
      </c>
      <c r="K149" s="11">
        <f>IFERROR(INDEX(Roles!$B$17:$B$20,MATCH(J149,Roles!$A$17:$A$20,0)),1)</f>
        <v/>
      </c>
      <c r="L149" s="19" t="n">
        <v>1</v>
      </c>
      <c r="M149" s="11" t="n">
        <v>1</v>
      </c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>
        <v>0.8</v>
      </c>
      <c r="W149" s="19" t="n">
        <v>0.2</v>
      </c>
      <c r="X149" s="19" t="n"/>
      <c r="Y149" s="19" t="n"/>
      <c r="Z149" s="13">
        <f>SUMPRODUCT(N149:Y149,$N$2:$Y$2)*$K149*$L149*$M149</f>
        <v/>
      </c>
      <c r="AA149" s="14">
        <f>SUM(N149:Y149)</f>
        <v/>
      </c>
      <c r="AB149" s="13">
        <f>SUMPRODUCT(N149:Y149,$N$3:$Y$3)*$K149*$L149*$M149</f>
        <v/>
      </c>
      <c r="AC149" s="13">
        <f>SUMPRODUCT(N149:Y149,$N$4:$Y$4)*$K149*$L149*$M149</f>
        <v/>
      </c>
      <c r="AD149" s="15" t="n">
        <v>34.98333333333333</v>
      </c>
      <c r="AE149" s="11" t="n">
        <v>1.04387627506348</v>
      </c>
      <c r="AF149" s="16">
        <f>SUMPRODUCT(N149:Y149,$N$5:$Y$5)*$K149*$L149*$M149</f>
        <v/>
      </c>
      <c r="AG149" s="16">
        <f>SUMPRODUCT(N149:Y149,$N$6:$Y$6)*$K149*$L149*$M149</f>
        <v/>
      </c>
      <c r="AH149" s="20" t="n"/>
    </row>
    <row r="150">
      <c r="A150" s="9" t="n">
        <v>572955</v>
      </c>
      <c r="B150" s="9" t="inlineStr">
        <is>
          <t>Pierce Johnson</t>
        </is>
      </c>
      <c r="C150" s="9" t="inlineStr">
        <is>
          <t>CIN</t>
        </is>
      </c>
      <c r="D150" s="9" t="n">
        <v>36</v>
      </c>
      <c r="E150" s="18" t="inlineStr">
        <is>
          <t>R</t>
        </is>
      </c>
      <c r="F150" s="18" t="n"/>
      <c r="G150" s="9" t="n">
        <v>211</v>
      </c>
      <c r="H150" s="9" t="n">
        <v>1026</v>
      </c>
      <c r="I150" s="9" t="inlineStr">
        <is>
          <t>Middle Relief</t>
        </is>
      </c>
      <c r="J150" s="18" t="inlineStr">
        <is>
          <t>Opening Day</t>
        </is>
      </c>
      <c r="K150" s="11">
        <f>IFERROR(INDEX(Roles!$B$17:$B$20,MATCH(J150,Roles!$A$17:$A$20,0)),1)</f>
        <v/>
      </c>
      <c r="L150" s="19" t="n">
        <v>1</v>
      </c>
      <c r="M150" s="11" t="n">
        <v>1</v>
      </c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>
        <v>0.85</v>
      </c>
      <c r="W150" s="19" t="n">
        <v>0.15</v>
      </c>
      <c r="X150" s="19" t="n"/>
      <c r="Y150" s="19" t="n"/>
      <c r="Z150" s="13">
        <f>SUMPRODUCT(N150:Y150,$N$2:$Y$2)*$K150*$L150*$M150</f>
        <v/>
      </c>
      <c r="AA150" s="14">
        <f>SUM(N150:Y150)</f>
        <v/>
      </c>
      <c r="AB150" s="13">
        <f>SUMPRODUCT(N150:Y150,$N$3:$Y$3)*$K150*$L150*$M150</f>
        <v/>
      </c>
      <c r="AC150" s="13">
        <f>SUMPRODUCT(N150:Y150,$N$4:$Y$4)*$K150*$L150*$M150</f>
        <v/>
      </c>
      <c r="AD150" s="15" t="n">
        <v>50.33333333333333</v>
      </c>
      <c r="AE150" s="11" t="n">
        <v>0.9890813428028794</v>
      </c>
      <c r="AF150" s="16">
        <f>SUMPRODUCT(N150:Y150,$N$5:$Y$5)*$K150*$L150*$M150</f>
        <v/>
      </c>
      <c r="AG150" s="16">
        <f>SUMPRODUCT(N150:Y150,$N$6:$Y$6)*$K150*$L150*$M150</f>
        <v/>
      </c>
      <c r="AH150" s="20" t="n"/>
    </row>
    <row r="151">
      <c r="A151" s="9" t="n">
        <v>686973</v>
      </c>
      <c r="B151" s="9" t="inlineStr">
        <is>
          <t>Louis Varland</t>
        </is>
      </c>
      <c r="C151" s="9" t="inlineStr">
        <is>
          <t>TOR</t>
        </is>
      </c>
      <c r="D151" s="9" t="n">
        <v>29</v>
      </c>
      <c r="E151" s="18" t="inlineStr">
        <is>
          <t>R</t>
        </is>
      </c>
      <c r="F151" s="18" t="n"/>
      <c r="G151" s="9" t="n">
        <v>307</v>
      </c>
      <c r="H151" s="9" t="n">
        <v>1230</v>
      </c>
      <c r="I151" s="9" t="inlineStr">
        <is>
          <t>Closer</t>
        </is>
      </c>
      <c r="J151" s="18" t="inlineStr">
        <is>
          <t>Opening Day</t>
        </is>
      </c>
      <c r="K151" s="11">
        <f>IFERROR(INDEX(Roles!$B$17:$B$20,MATCH(J151,Roles!$A$17:$A$20,0)),1)</f>
        <v/>
      </c>
      <c r="L151" s="19" t="n">
        <v>1</v>
      </c>
      <c r="M151" s="11" t="n">
        <v>1</v>
      </c>
      <c r="N151" s="19" t="n"/>
      <c r="O151" s="19" t="n"/>
      <c r="P151" s="19" t="n"/>
      <c r="Q151" s="19" t="n"/>
      <c r="R151" s="19" t="n"/>
      <c r="S151" s="19" t="n"/>
      <c r="T151" s="19" t="n">
        <v>0.85</v>
      </c>
      <c r="U151" s="19" t="n">
        <v>0.15</v>
      </c>
      <c r="V151" s="19" t="n"/>
      <c r="W151" s="19" t="n"/>
      <c r="X151" s="19" t="n"/>
      <c r="Y151" s="19" t="n"/>
      <c r="Z151" s="13">
        <f>SUMPRODUCT(N151:Y151,$N$2:$Y$2)*$K151*$L151*$M151</f>
        <v/>
      </c>
      <c r="AA151" s="14">
        <f>SUM(N151:Y151)</f>
        <v/>
      </c>
      <c r="AB151" s="13">
        <f>SUMPRODUCT(N151:Y151,$N$3:$Y$3)*$K151*$L151*$M151</f>
        <v/>
      </c>
      <c r="AC151" s="13">
        <f>SUMPRODUCT(N151:Y151,$N$4:$Y$4)*$K151*$L151*$M151</f>
        <v/>
      </c>
      <c r="AD151" s="15" t="n">
        <v>57.86</v>
      </c>
      <c r="AE151" s="11" t="n">
        <v>1.048473890395626</v>
      </c>
      <c r="AF151" s="16">
        <f>SUMPRODUCT(N151:Y151,$N$5:$Y$5)*$K151*$L151*$M151</f>
        <v/>
      </c>
      <c r="AG151" s="16">
        <f>SUMPRODUCT(N151:Y151,$N$6:$Y$6)*$K151*$L151*$M151</f>
        <v/>
      </c>
      <c r="AH151" s="20" t="n"/>
    </row>
    <row r="152">
      <c r="A152" s="9" t="n">
        <v>641154</v>
      </c>
      <c r="B152" s="9" t="inlineStr">
        <is>
          <t>Pablo López</t>
        </is>
      </c>
      <c r="C152" s="9" t="inlineStr">
        <is>
          <t>MIN</t>
        </is>
      </c>
      <c r="D152" s="9" t="n">
        <v>31</v>
      </c>
      <c r="E152" s="18" t="inlineStr">
        <is>
          <t>R</t>
        </is>
      </c>
      <c r="F152" s="18" t="n"/>
      <c r="G152" s="9" t="n">
        <v>312</v>
      </c>
      <c r="H152" s="9" t="n">
        <v>2621</v>
      </c>
      <c r="I152" s="9" t="inlineStr">
        <is>
          <t>Bullpen Depth Arm</t>
        </is>
      </c>
      <c r="J152" s="18" t="inlineStr">
        <is>
          <t>Opening Day</t>
        </is>
      </c>
      <c r="K152" s="11">
        <f>IFERROR(INDEX(Roles!$B$17:$B$20,MATCH(J152,Roles!$A$17:$A$20,0)),1)</f>
        <v/>
      </c>
      <c r="L152" s="19" t="n">
        <v>1</v>
      </c>
      <c r="M152" s="11" t="n">
        <v>1</v>
      </c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>
        <v>1</v>
      </c>
      <c r="X152" s="19" t="n"/>
      <c r="Y152" s="19" t="n"/>
      <c r="Z152" s="13">
        <f>SUMPRODUCT(N152:Y152,$N$2:$Y$2)*$K152*$L152*$M152</f>
        <v/>
      </c>
      <c r="AA152" s="14">
        <f>SUM(N152:Y152)</f>
        <v/>
      </c>
      <c r="AB152" s="13">
        <f>SUMPRODUCT(N152:Y152,$N$3:$Y$3)*$K152*$L152*$M152</f>
        <v/>
      </c>
      <c r="AC152" s="13">
        <f>SUMPRODUCT(N152:Y152,$N$4:$Y$4)*$K152*$L152*$M152</f>
        <v/>
      </c>
      <c r="AD152" s="15" t="n">
        <v>17.66666666666666</v>
      </c>
      <c r="AE152" s="11" t="n">
        <v>2.671877505210839</v>
      </c>
      <c r="AF152" s="16">
        <f>SUMPRODUCT(N152:Y152,$N$5:$Y$5)*$K152*$L152*$M152</f>
        <v/>
      </c>
      <c r="AG152" s="16">
        <f>SUMPRODUCT(N152:Y152,$N$6:$Y$6)*$K152*$L152*$M152</f>
        <v/>
      </c>
      <c r="AH152" s="20" t="n"/>
    </row>
    <row r="153">
      <c r="A153" s="9" t="n">
        <v>703725</v>
      </c>
      <c r="B153" s="9" t="inlineStr">
        <is>
          <t>Luis Gastelum</t>
        </is>
      </c>
      <c r="C153" s="9" t="inlineStr">
        <is>
          <t>STL</t>
        </is>
      </c>
      <c r="D153" s="9" t="n">
        <v>25</v>
      </c>
      <c r="E153" s="18" t="inlineStr">
        <is>
          <t>R</t>
        </is>
      </c>
      <c r="F153" s="18" t="n"/>
      <c r="G153" s="9" t="n">
        <v>152</v>
      </c>
      <c r="H153" s="9" t="n">
        <v>152</v>
      </c>
      <c r="I153" s="9" t="inlineStr">
        <is>
          <t>Middle Relief</t>
        </is>
      </c>
      <c r="J153" s="18" t="inlineStr">
        <is>
          <t>Opening Day</t>
        </is>
      </c>
      <c r="K153" s="11">
        <f>IFERROR(INDEX(Roles!$B$17:$B$20,MATCH(J153,Roles!$A$17:$A$20,0)),1)</f>
        <v/>
      </c>
      <c r="L153" s="19" t="n">
        <v>1</v>
      </c>
      <c r="M153" s="11" t="n">
        <v>1</v>
      </c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>
        <v>0.85</v>
      </c>
      <c r="W153" s="19" t="n">
        <v>0.15</v>
      </c>
      <c r="X153" s="19" t="n"/>
      <c r="Y153" s="19" t="n"/>
      <c r="Z153" s="13">
        <f>SUMPRODUCT(N153:Y153,$N$2:$Y$2)*$K153*$L153*$M153</f>
        <v/>
      </c>
      <c r="AA153" s="14">
        <f>SUM(N153:Y153)</f>
        <v/>
      </c>
      <c r="AB153" s="13">
        <f>SUMPRODUCT(N153:Y153,$N$3:$Y$3)*$K153*$L153*$M153</f>
        <v/>
      </c>
      <c r="AC153" s="13">
        <f>SUMPRODUCT(N153:Y153,$N$4:$Y$4)*$K153*$L153*$M153</f>
        <v/>
      </c>
      <c r="AD153" s="15" t="n">
        <v>35.13333333333333</v>
      </c>
      <c r="AE153" s="11" t="n">
        <v>1.04862088895842</v>
      </c>
      <c r="AF153" s="16">
        <f>SUMPRODUCT(N153:Y153,$N$5:$Y$5)*$K153*$L153*$M153</f>
        <v/>
      </c>
      <c r="AG153" s="16">
        <f>SUMPRODUCT(N153:Y153,$N$6:$Y$6)*$K153*$L153*$M153</f>
        <v/>
      </c>
      <c r="AH153" s="20" t="n"/>
    </row>
    <row r="154">
      <c r="A154" s="9" t="n">
        <v>699134</v>
      </c>
      <c r="B154" s="9" t="inlineStr">
        <is>
          <t>Bradgley Rodriguez</t>
        </is>
      </c>
      <c r="C154" s="9" t="inlineStr">
        <is>
          <t>SD</t>
        </is>
      </c>
      <c r="D154" s="9" t="n">
        <v>23</v>
      </c>
      <c r="E154" s="18" t="inlineStr">
        <is>
          <t>R</t>
        </is>
      </c>
      <c r="F154" s="18" t="n"/>
      <c r="G154" s="9" t="n">
        <v>301</v>
      </c>
      <c r="H154" s="9" t="n">
        <v>332</v>
      </c>
      <c r="I154" s="9" t="inlineStr">
        <is>
          <t>Late Inning RP (Setup)</t>
        </is>
      </c>
      <c r="J154" s="18" t="inlineStr">
        <is>
          <t>Opening Day</t>
        </is>
      </c>
      <c r="K154" s="11">
        <f>IFERROR(INDEX(Roles!$B$17:$B$20,MATCH(J154,Roles!$A$17:$A$20,0)),1)</f>
        <v/>
      </c>
      <c r="L154" s="19" t="n">
        <v>1</v>
      </c>
      <c r="M154" s="11" t="n">
        <v>1</v>
      </c>
      <c r="N154" s="19" t="n"/>
      <c r="O154" s="19" t="n"/>
      <c r="P154" s="19" t="n"/>
      <c r="Q154" s="19" t="n"/>
      <c r="R154" s="19" t="n"/>
      <c r="S154" s="19" t="n"/>
      <c r="T154" s="19" t="n"/>
      <c r="U154" s="19" t="n">
        <v>0.6</v>
      </c>
      <c r="V154" s="19" t="n">
        <v>0.4</v>
      </c>
      <c r="W154" s="19" t="n"/>
      <c r="X154" s="19" t="n"/>
      <c r="Y154" s="19" t="n"/>
      <c r="Z154" s="13">
        <f>SUMPRODUCT(N154:Y154,$N$2:$Y$2)*$K154*$L154*$M154</f>
        <v/>
      </c>
      <c r="AA154" s="14">
        <f>SUM(N154:Y154)</f>
        <v/>
      </c>
      <c r="AB154" s="13">
        <f>SUMPRODUCT(N154:Y154,$N$3:$Y$3)*$K154*$L154*$M154</f>
        <v/>
      </c>
      <c r="AC154" s="13">
        <f>SUMPRODUCT(N154:Y154,$N$4:$Y$4)*$K154*$L154*$M154</f>
        <v/>
      </c>
      <c r="AD154" s="15" t="n">
        <v>45.36</v>
      </c>
      <c r="AE154" s="11" t="n">
        <v>1.022617227319062</v>
      </c>
      <c r="AF154" s="16">
        <f>SUMPRODUCT(N154:Y154,$N$5:$Y$5)*$K154*$L154*$M154</f>
        <v/>
      </c>
      <c r="AG154" s="16">
        <f>SUMPRODUCT(N154:Y154,$N$6:$Y$6)*$K154*$L154*$M154</f>
        <v/>
      </c>
      <c r="AH154" s="20" t="n"/>
    </row>
    <row r="155">
      <c r="A155" s="9" t="n">
        <v>606149</v>
      </c>
      <c r="B155" s="9" t="inlineStr">
        <is>
          <t>Giovanny Gallegos</t>
        </is>
      </c>
      <c r="C155" s="9" t="inlineStr">
        <is>
          <t>STL</t>
        </is>
      </c>
      <c r="D155" s="9" t="n">
        <v>35</v>
      </c>
      <c r="E155" s="18" t="inlineStr">
        <is>
          <t>R</t>
        </is>
      </c>
      <c r="F155" s="18" t="n"/>
      <c r="G155" s="9" t="n">
        <v>94</v>
      </c>
      <c r="H155" s="9" t="n">
        <v>558</v>
      </c>
      <c r="I155" s="9" t="inlineStr">
        <is>
          <t>Depth (no MLB IP)</t>
        </is>
      </c>
      <c r="J155" s="18" t="inlineStr">
        <is>
          <t>Opening Day</t>
        </is>
      </c>
      <c r="K155" s="11">
        <f>IFERROR(INDEX(Roles!$B$17:$B$20,MATCH(J155,Roles!$A$17:$A$20,0)),1)</f>
        <v/>
      </c>
      <c r="L155" s="19" t="n">
        <v>1</v>
      </c>
      <c r="M155" s="11" t="n">
        <v>1</v>
      </c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>
        <v>1</v>
      </c>
      <c r="Z155" s="13">
        <f>SUMPRODUCT(N155:Y155,$N$2:$Y$2)*$K155*$L155*$M155</f>
        <v/>
      </c>
      <c r="AA155" s="14">
        <f>SUM(N155:Y155)</f>
        <v/>
      </c>
      <c r="AB155" s="13">
        <f>SUMPRODUCT(N155:Y155,$N$3:$Y$3)*$K155*$L155*$M155</f>
        <v/>
      </c>
      <c r="AC155" s="13">
        <f>SUMPRODUCT(N155:Y155,$N$4:$Y$4)*$K155*$L155*$M155</f>
        <v/>
      </c>
      <c r="AD155" s="15" t="n">
        <v>13.8</v>
      </c>
      <c r="AE155" s="11" t="n">
        <v>1.002239858906526</v>
      </c>
      <c r="AF155" s="16">
        <f>SUMPRODUCT(N155:Y155,$N$5:$Y$5)*$K155*$L155*$M155</f>
        <v/>
      </c>
      <c r="AG155" s="16">
        <f>SUMPRODUCT(N155:Y155,$N$6:$Y$6)*$K155*$L155*$M155</f>
        <v/>
      </c>
      <c r="AH155" s="20" t="n"/>
    </row>
    <row r="156">
      <c r="A156" s="9" t="n">
        <v>681035</v>
      </c>
      <c r="B156" s="9" t="inlineStr">
        <is>
          <t>Christian Scott</t>
        </is>
      </c>
      <c r="C156" s="9" t="inlineStr">
        <is>
          <t>NYM</t>
        </is>
      </c>
      <c r="D156" s="9" t="n">
        <v>28</v>
      </c>
      <c r="E156" s="18" t="inlineStr">
        <is>
          <t>R</t>
        </is>
      </c>
      <c r="F156" s="18" t="n"/>
      <c r="G156" s="9" t="n">
        <v>474</v>
      </c>
      <c r="H156" s="9" t="n">
        <v>671</v>
      </c>
      <c r="I156" s="9" t="inlineStr">
        <is>
          <t>Bullpen Depth Arm</t>
        </is>
      </c>
      <c r="J156" s="18" t="inlineStr">
        <is>
          <t>Opening Day</t>
        </is>
      </c>
      <c r="K156" s="11">
        <f>IFERROR(INDEX(Roles!$B$17:$B$20,MATCH(J156,Roles!$A$17:$A$20,0)),1)</f>
        <v/>
      </c>
      <c r="L156" s="19" t="n">
        <v>1</v>
      </c>
      <c r="M156" s="11" t="n">
        <v>1</v>
      </c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>
        <v>1</v>
      </c>
      <c r="X156" s="19" t="n"/>
      <c r="Y156" s="19" t="n"/>
      <c r="Z156" s="13">
        <f>SUMPRODUCT(N156:Y156,$N$2:$Y$2)*$K156*$L156*$M156</f>
        <v/>
      </c>
      <c r="AA156" s="14">
        <f>SUM(N156:Y156)</f>
        <v/>
      </c>
      <c r="AB156" s="13">
        <f>SUMPRODUCT(N156:Y156,$N$3:$Y$3)*$K156*$L156*$M156</f>
        <v/>
      </c>
      <c r="AC156" s="13">
        <f>SUMPRODUCT(N156:Y156,$N$4:$Y$4)*$K156*$L156*$M156</f>
        <v/>
      </c>
      <c r="AD156" s="15" t="n">
        <v>17.36666666666667</v>
      </c>
      <c r="AE156" s="11" t="n">
        <v>2.41404274737608</v>
      </c>
      <c r="AF156" s="16">
        <f>SUMPRODUCT(N156:Y156,$N$5:$Y$5)*$K156*$L156*$M156</f>
        <v/>
      </c>
      <c r="AG156" s="16">
        <f>SUMPRODUCT(N156:Y156,$N$6:$Y$6)*$K156*$L156*$M156</f>
        <v/>
      </c>
      <c r="AH156" s="20" t="n"/>
    </row>
    <row r="157">
      <c r="A157" s="9" t="n">
        <v>656464</v>
      </c>
      <c r="B157" s="9" t="inlineStr">
        <is>
          <t>Kevin Ginkel</t>
        </is>
      </c>
      <c r="C157" s="9" t="inlineStr">
        <is>
          <t>ARI</t>
        </is>
      </c>
      <c r="D157" s="9" t="n">
        <v>33</v>
      </c>
      <c r="E157" s="18" t="inlineStr">
        <is>
          <t>R</t>
        </is>
      </c>
      <c r="F157" s="18" t="n"/>
      <c r="G157" s="9" t="n">
        <v>275</v>
      </c>
      <c r="H157" s="9" t="n">
        <v>1065</v>
      </c>
      <c r="I157" s="9" t="inlineStr">
        <is>
          <t>Closer</t>
        </is>
      </c>
      <c r="J157" s="18" t="inlineStr">
        <is>
          <t>Opening Day</t>
        </is>
      </c>
      <c r="K157" s="11">
        <f>IFERROR(INDEX(Roles!$B$17:$B$20,MATCH(J157,Roles!$A$17:$A$20,0)),1)</f>
        <v/>
      </c>
      <c r="L157" s="19" t="n">
        <v>1</v>
      </c>
      <c r="M157" s="11" t="n">
        <v>1</v>
      </c>
      <c r="N157" s="19" t="n"/>
      <c r="O157" s="19" t="n"/>
      <c r="P157" s="19" t="n"/>
      <c r="Q157" s="19" t="n"/>
      <c r="R157" s="19" t="n"/>
      <c r="S157" s="19" t="n"/>
      <c r="T157" s="19" t="n">
        <v>0.85</v>
      </c>
      <c r="U157" s="19" t="n">
        <v>0.15</v>
      </c>
      <c r="V157" s="19" t="n"/>
      <c r="W157" s="19" t="n"/>
      <c r="X157" s="19" t="n"/>
      <c r="Y157" s="19" t="n"/>
      <c r="Z157" s="13">
        <f>SUMPRODUCT(N157:Y157,$N$2:$Y$2)*$K157*$L157*$M157</f>
        <v/>
      </c>
      <c r="AA157" s="14">
        <f>SUM(N157:Y157)</f>
        <v/>
      </c>
      <c r="AB157" s="13">
        <f>SUMPRODUCT(N157:Y157,$N$3:$Y$3)*$K157*$L157*$M157</f>
        <v/>
      </c>
      <c r="AC157" s="13">
        <f>SUMPRODUCT(N157:Y157,$N$4:$Y$4)*$K157*$L157*$M157</f>
        <v/>
      </c>
      <c r="AD157" s="15" t="n">
        <v>55.36</v>
      </c>
      <c r="AE157" s="11" t="n">
        <v>0.9762973839518784</v>
      </c>
      <c r="AF157" s="16">
        <f>SUMPRODUCT(N157:Y157,$N$5:$Y$5)*$K157*$L157*$M157</f>
        <v/>
      </c>
      <c r="AG157" s="16">
        <f>SUMPRODUCT(N157:Y157,$N$6:$Y$6)*$K157*$L157*$M157</f>
        <v/>
      </c>
      <c r="AH157" s="20" t="n"/>
    </row>
    <row r="158">
      <c r="A158" s="9" t="n">
        <v>682825</v>
      </c>
      <c r="B158" s="9" t="inlineStr">
        <is>
          <t>Luis Mey</t>
        </is>
      </c>
      <c r="C158" s="9" t="inlineStr">
        <is>
          <t>CIN</t>
        </is>
      </c>
      <c r="D158" s="9" t="n">
        <v>26</v>
      </c>
      <c r="E158" s="18" t="inlineStr">
        <is>
          <t>R</t>
        </is>
      </c>
      <c r="F158" s="18" t="n"/>
      <c r="G158" s="9" t="n">
        <v>165</v>
      </c>
      <c r="H158" s="9" t="n">
        <v>261</v>
      </c>
      <c r="I158" s="9" t="inlineStr">
        <is>
          <t>Swing Arm / Long Relief</t>
        </is>
      </c>
      <c r="J158" s="18" t="inlineStr">
        <is>
          <t>Opening Day</t>
        </is>
      </c>
      <c r="K158" s="11">
        <f>IFERROR(INDEX(Roles!$B$17:$B$20,MATCH(J158,Roles!$A$17:$A$20,0)),1)</f>
        <v/>
      </c>
      <c r="L158" s="19" t="n">
        <v>1</v>
      </c>
      <c r="M158" s="11" t="n">
        <v>1</v>
      </c>
      <c r="N158" s="19" t="n"/>
      <c r="O158" s="19" t="n"/>
      <c r="P158" s="19" t="n"/>
      <c r="Q158" s="19" t="n"/>
      <c r="R158" s="19" t="n">
        <v>0.6</v>
      </c>
      <c r="S158" s="19" t="n"/>
      <c r="T158" s="19" t="n"/>
      <c r="U158" s="19" t="n"/>
      <c r="V158" s="19" t="n"/>
      <c r="W158" s="19" t="n">
        <v>0.4</v>
      </c>
      <c r="X158" s="19" t="n"/>
      <c r="Y158" s="19" t="n"/>
      <c r="Z158" s="13">
        <f>SUMPRODUCT(N158:Y158,$N$2:$Y$2)*$K158*$L158*$M158</f>
        <v/>
      </c>
      <c r="AA158" s="14">
        <f>SUM(N158:Y158)</f>
        <v/>
      </c>
      <c r="AB158" s="13">
        <f>SUMPRODUCT(N158:Y158,$N$3:$Y$3)*$K158*$L158*$M158</f>
        <v/>
      </c>
      <c r="AC158" s="13">
        <f>SUMPRODUCT(N158:Y158,$N$4:$Y$4)*$K158*$L158*$M158</f>
        <v/>
      </c>
      <c r="AD158" s="15" t="n">
        <v>24.09333333333333</v>
      </c>
      <c r="AE158" s="11" t="n">
        <v>2.034402947258858</v>
      </c>
      <c r="AF158" s="16">
        <f>SUMPRODUCT(N158:Y158,$N$5:$Y$5)*$K158*$L158*$M158</f>
        <v/>
      </c>
      <c r="AG158" s="16">
        <f>SUMPRODUCT(N158:Y158,$N$6:$Y$6)*$K158*$L158*$M158</f>
        <v/>
      </c>
      <c r="AH158" s="20" t="n"/>
    </row>
    <row r="159">
      <c r="A159" s="9" t="n">
        <v>642397</v>
      </c>
      <c r="B159" s="9" t="inlineStr">
        <is>
          <t>Gregory Soto</t>
        </is>
      </c>
      <c r="C159" s="9" t="inlineStr">
        <is>
          <t>PIT</t>
        </is>
      </c>
      <c r="D159" s="9" t="n">
        <v>32</v>
      </c>
      <c r="E159" s="18" t="inlineStr">
        <is>
          <t>L</t>
        </is>
      </c>
      <c r="F159" s="18" t="n"/>
      <c r="G159" s="9" t="n">
        <v>285</v>
      </c>
      <c r="H159" s="9" t="n">
        <v>1321</v>
      </c>
      <c r="I159" s="9" t="inlineStr">
        <is>
          <t>Late Inning RP (Setup)</t>
        </is>
      </c>
      <c r="J159" s="18" t="inlineStr">
        <is>
          <t>Opening Day</t>
        </is>
      </c>
      <c r="K159" s="11">
        <f>IFERROR(INDEX(Roles!$B$17:$B$20,MATCH(J159,Roles!$A$17:$A$20,0)),1)</f>
        <v/>
      </c>
      <c r="L159" s="19" t="n">
        <v>1</v>
      </c>
      <c r="M159" s="11" t="n">
        <v>1</v>
      </c>
      <c r="N159" s="19" t="n"/>
      <c r="O159" s="19" t="n"/>
      <c r="P159" s="19" t="n"/>
      <c r="Q159" s="19" t="n"/>
      <c r="R159" s="19" t="n"/>
      <c r="S159" s="19" t="n"/>
      <c r="T159" s="19" t="n">
        <v>0.4</v>
      </c>
      <c r="U159" s="19" t="n">
        <v>0.6</v>
      </c>
      <c r="V159" s="19" t="n"/>
      <c r="W159" s="19" t="n"/>
      <c r="X159" s="19" t="n"/>
      <c r="Y159" s="19" t="n"/>
      <c r="Z159" s="13">
        <f>SUMPRODUCT(N159:Y159,$N$2:$Y$2)*$K159*$L159*$M159</f>
        <v/>
      </c>
      <c r="AA159" s="14">
        <f>SUM(N159:Y159)</f>
        <v/>
      </c>
      <c r="AB159" s="13">
        <f>SUMPRODUCT(N159:Y159,$N$3:$Y$3)*$K159*$L159*$M159</f>
        <v/>
      </c>
      <c r="AC159" s="13">
        <f>SUMPRODUCT(N159:Y159,$N$4:$Y$4)*$K159*$L159*$M159</f>
        <v/>
      </c>
      <c r="AD159" s="15" t="n">
        <v>60.5</v>
      </c>
      <c r="AE159" s="11" t="n">
        <v>0.9621166263115416</v>
      </c>
      <c r="AF159" s="16">
        <f>SUMPRODUCT(N159:Y159,$N$5:$Y$5)*$K159*$L159*$M159</f>
        <v/>
      </c>
      <c r="AG159" s="16">
        <f>SUMPRODUCT(N159:Y159,$N$6:$Y$6)*$K159*$L159*$M159</f>
        <v/>
      </c>
      <c r="AH159" s="20" t="n"/>
    </row>
    <row r="160">
      <c r="A160" s="9" t="n">
        <v>671737</v>
      </c>
      <c r="B160" s="9" t="inlineStr">
        <is>
          <t>Taj Bradley</t>
        </is>
      </c>
      <c r="C160" s="9" t="inlineStr">
        <is>
          <t>MIN</t>
        </is>
      </c>
      <c r="D160" s="9" t="n">
        <v>26</v>
      </c>
      <c r="E160" s="18" t="inlineStr">
        <is>
          <t>R</t>
        </is>
      </c>
      <c r="F160" s="18" t="n"/>
      <c r="G160" s="9" t="n">
        <v>748</v>
      </c>
      <c r="H160" s="9" t="n">
        <v>2391</v>
      </c>
      <c r="I160" s="9" t="inlineStr">
        <is>
          <t>Mid-Rotation Starter (SP2-3)</t>
        </is>
      </c>
      <c r="J160" s="18" t="inlineStr">
        <is>
          <t>Opening Day</t>
        </is>
      </c>
      <c r="K160" s="11">
        <f>IFERROR(INDEX(Roles!$B$17:$B$20,MATCH(J160,Roles!$A$17:$A$20,0)),1)</f>
        <v/>
      </c>
      <c r="L160" s="19" t="n">
        <v>1</v>
      </c>
      <c r="M160" s="11" t="n">
        <v>1</v>
      </c>
      <c r="N160" s="19" t="n"/>
      <c r="O160" s="19" t="n">
        <v>0.5</v>
      </c>
      <c r="P160" s="19" t="n">
        <v>0.5</v>
      </c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3">
        <f>SUMPRODUCT(N160:Y160,$N$2:$Y$2)*$K160*$L160*$M160</f>
        <v/>
      </c>
      <c r="AA160" s="14">
        <f>SUM(N160:Y160)</f>
        <v/>
      </c>
      <c r="AB160" s="13">
        <f>SUMPRODUCT(N160:Y160,$N$3:$Y$3)*$K160*$L160*$M160</f>
        <v/>
      </c>
      <c r="AC160" s="13">
        <f>SUMPRODUCT(N160:Y160,$N$4:$Y$4)*$K160*$L160*$M160</f>
        <v/>
      </c>
      <c r="AD160" s="15" t="n">
        <v>27.6</v>
      </c>
      <c r="AE160" s="11" t="n">
        <v>5.326769192298076</v>
      </c>
      <c r="AF160" s="16">
        <f>SUMPRODUCT(N160:Y160,$N$5:$Y$5)*$K160*$L160*$M160</f>
        <v/>
      </c>
      <c r="AG160" s="16">
        <f>SUMPRODUCT(N160:Y160,$N$6:$Y$6)*$K160*$L160*$M160</f>
        <v/>
      </c>
      <c r="AH160" s="20" t="n"/>
    </row>
    <row r="161">
      <c r="A161" s="9" t="n">
        <v>456713</v>
      </c>
      <c r="B161" s="9" t="inlineStr">
        <is>
          <t>Matt Bush</t>
        </is>
      </c>
      <c r="C161" s="9" t="inlineStr">
        <is>
          <t>MIL</t>
        </is>
      </c>
      <c r="D161" s="9" t="n">
        <v>41</v>
      </c>
      <c r="E161" s="18" t="inlineStr">
        <is>
          <t>R</t>
        </is>
      </c>
      <c r="F161" s="18" t="n"/>
      <c r="G161" s="9" t="n">
        <v>48</v>
      </c>
      <c r="H161" s="9" t="n">
        <v>292</v>
      </c>
      <c r="I161" s="9" t="inlineStr">
        <is>
          <t>Depth (no MLB IP)</t>
        </is>
      </c>
      <c r="J161" s="18" t="inlineStr">
        <is>
          <t>Opening Day</t>
        </is>
      </c>
      <c r="K161" s="11">
        <f>IFERROR(INDEX(Roles!$B$17:$B$20,MATCH(J161,Roles!$A$17:$A$20,0)),1)</f>
        <v/>
      </c>
      <c r="L161" s="19" t="n">
        <v>1</v>
      </c>
      <c r="M161" s="11" t="n">
        <v>1</v>
      </c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>
        <v>1</v>
      </c>
      <c r="Z161" s="13">
        <f>SUMPRODUCT(N161:Y161,$N$2:$Y$2)*$K161*$L161*$M161</f>
        <v/>
      </c>
      <c r="AA161" s="14">
        <f>SUM(N161:Y161)</f>
        <v/>
      </c>
      <c r="AB161" s="13">
        <f>SUMPRODUCT(N161:Y161,$N$3:$Y$3)*$K161*$L161*$M161</f>
        <v/>
      </c>
      <c r="AC161" s="13">
        <f>SUMPRODUCT(N161:Y161,$N$4:$Y$4)*$K161*$L161*$M161</f>
        <v/>
      </c>
      <c r="AD161" s="15" t="n">
        <v>3</v>
      </c>
      <c r="AE161" s="11" t="n">
        <v>1.011296296296296</v>
      </c>
      <c r="AF161" s="16">
        <f>SUMPRODUCT(N161:Y161,$N$5:$Y$5)*$K161*$L161*$M161</f>
        <v/>
      </c>
      <c r="AG161" s="16">
        <f>SUMPRODUCT(N161:Y161,$N$6:$Y$6)*$K161*$L161*$M161</f>
        <v/>
      </c>
      <c r="AH161" s="20" t="n"/>
    </row>
    <row r="162">
      <c r="A162" s="9" t="n">
        <v>641871</v>
      </c>
      <c r="B162" s="9" t="inlineStr">
        <is>
          <t>Keynan Middleton</t>
        </is>
      </c>
      <c r="C162" s="9" t="inlineStr">
        <is>
          <t>NYY</t>
        </is>
      </c>
      <c r="D162" s="9" t="n">
        <v>33</v>
      </c>
      <c r="E162" s="18" t="inlineStr">
        <is>
          <t>R</t>
        </is>
      </c>
      <c r="F162" s="18" t="n"/>
      <c r="G162" s="9" t="n">
        <v>212</v>
      </c>
      <c r="H162" s="9" t="n">
        <v>281</v>
      </c>
      <c r="I162" s="9" t="inlineStr">
        <is>
          <t>Depth (no MLB IP)</t>
        </is>
      </c>
      <c r="J162" s="18" t="inlineStr">
        <is>
          <t>Opening Day</t>
        </is>
      </c>
      <c r="K162" s="11">
        <f>IFERROR(INDEX(Roles!$B$17:$B$20,MATCH(J162,Roles!$A$17:$A$20,0)),1)</f>
        <v/>
      </c>
      <c r="L162" s="19" t="n">
        <v>1</v>
      </c>
      <c r="M162" s="11" t="n">
        <v>1</v>
      </c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>
        <v>1</v>
      </c>
      <c r="Z162" s="13">
        <f>SUMPRODUCT(N162:Y162,$N$2:$Y$2)*$K162*$L162*$M162</f>
        <v/>
      </c>
      <c r="AA162" s="14">
        <f>SUM(N162:Y162)</f>
        <v/>
      </c>
      <c r="AB162" s="13">
        <f>SUMPRODUCT(N162:Y162,$N$3:$Y$3)*$K162*$L162*$M162</f>
        <v/>
      </c>
      <c r="AC162" s="13">
        <f>SUMPRODUCT(N162:Y162,$N$4:$Y$4)*$K162*$L162*$M162</f>
        <v/>
      </c>
      <c r="AD162" s="15" t="n">
        <v>3</v>
      </c>
      <c r="AE162" s="11" t="n">
        <v>1.011296296296296</v>
      </c>
      <c r="AF162" s="16">
        <f>SUMPRODUCT(N162:Y162,$N$5:$Y$5)*$K162*$L162*$M162</f>
        <v/>
      </c>
      <c r="AG162" s="16">
        <f>SUMPRODUCT(N162:Y162,$N$6:$Y$6)*$K162*$L162*$M162</f>
        <v/>
      </c>
      <c r="AH162" s="20" t="n"/>
    </row>
    <row r="163">
      <c r="A163" s="9" t="n">
        <v>694037</v>
      </c>
      <c r="B163" s="9" t="inlineStr">
        <is>
          <t>Daniel Palencia</t>
        </is>
      </c>
      <c r="C163" s="9" t="inlineStr">
        <is>
          <t>CHC</t>
        </is>
      </c>
      <c r="D163" s="9" t="n">
        <v>27</v>
      </c>
      <c r="E163" s="18" t="inlineStr">
        <is>
          <t>R</t>
        </is>
      </c>
      <c r="F163" s="18" t="n"/>
      <c r="G163" s="9" t="n">
        <v>123</v>
      </c>
      <c r="H163" s="9" t="n">
        <v>526</v>
      </c>
      <c r="I163" s="9" t="inlineStr">
        <is>
          <t>Late Inning RP (Setup)</t>
        </is>
      </c>
      <c r="J163" s="18" t="inlineStr">
        <is>
          <t>Opening Day</t>
        </is>
      </c>
      <c r="K163" s="11">
        <f>IFERROR(INDEX(Roles!$B$17:$B$20,MATCH(J163,Roles!$A$17:$A$20,0)),1)</f>
        <v/>
      </c>
      <c r="L163" s="19" t="n">
        <v>1</v>
      </c>
      <c r="M163" s="11" t="n">
        <v>1</v>
      </c>
      <c r="N163" s="19" t="n"/>
      <c r="O163" s="19" t="n"/>
      <c r="P163" s="19" t="n"/>
      <c r="Q163" s="19" t="n"/>
      <c r="R163" s="19" t="n"/>
      <c r="S163" s="19" t="n"/>
      <c r="T163" s="19" t="n"/>
      <c r="U163" s="19" t="n">
        <v>0.85</v>
      </c>
      <c r="V163" s="19" t="n">
        <v>0.15</v>
      </c>
      <c r="W163" s="19" t="n"/>
      <c r="X163" s="19" t="n"/>
      <c r="Y163" s="19" t="n"/>
      <c r="Z163" s="13">
        <f>SUMPRODUCT(N163:Y163,$N$2:$Y$2)*$K163*$L163*$M163</f>
        <v/>
      </c>
      <c r="AA163" s="14">
        <f>SUM(N163:Y163)</f>
        <v/>
      </c>
      <c r="AB163" s="13">
        <f>SUMPRODUCT(N163:Y163,$N$3:$Y$3)*$K163*$L163*$M163</f>
        <v/>
      </c>
      <c r="AC163" s="13">
        <f>SUMPRODUCT(N163:Y163,$N$4:$Y$4)*$K163*$L163*$M163</f>
        <v/>
      </c>
      <c r="AD163" s="15" t="n">
        <v>40.6</v>
      </c>
      <c r="AE163" s="11" t="n">
        <v>0.9852673935617862</v>
      </c>
      <c r="AF163" s="16">
        <f>SUMPRODUCT(N163:Y163,$N$5:$Y$5)*$K163*$L163*$M163</f>
        <v/>
      </c>
      <c r="AG163" s="16">
        <f>SUMPRODUCT(N163:Y163,$N$6:$Y$6)*$K163*$L163*$M163</f>
        <v/>
      </c>
      <c r="AH163" s="20" t="n"/>
    </row>
    <row r="164">
      <c r="A164" s="9" t="n">
        <v>668968</v>
      </c>
      <c r="B164" s="9" t="inlineStr">
        <is>
          <t>Hans Crouse</t>
        </is>
      </c>
      <c r="C164" s="9" t="inlineStr">
        <is>
          <t>LAA</t>
        </is>
      </c>
      <c r="D164" s="9" t="n">
        <v>28</v>
      </c>
      <c r="E164" s="18" t="inlineStr">
        <is>
          <t>R</t>
        </is>
      </c>
      <c r="F164" s="18" t="n"/>
      <c r="G164" s="9" t="n">
        <v>107</v>
      </c>
      <c r="H164" s="9" t="n">
        <v>107</v>
      </c>
      <c r="I164" s="9" t="inlineStr">
        <is>
          <t>Depth (no MLB IP)</t>
        </is>
      </c>
      <c r="J164" s="18" t="inlineStr">
        <is>
          <t>Opening Day</t>
        </is>
      </c>
      <c r="K164" s="11">
        <f>IFERROR(INDEX(Roles!$B$17:$B$20,MATCH(J164,Roles!$A$17:$A$20,0)),1)</f>
        <v/>
      </c>
      <c r="L164" s="19" t="n">
        <v>1</v>
      </c>
      <c r="M164" s="11" t="n">
        <v>1</v>
      </c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>
        <v>1</v>
      </c>
      <c r="Z164" s="13">
        <f>SUMPRODUCT(N164:Y164,$N$2:$Y$2)*$K164*$L164*$M164</f>
        <v/>
      </c>
      <c r="AA164" s="14">
        <f>SUM(N164:Y164)</f>
        <v/>
      </c>
      <c r="AB164" s="13">
        <f>SUMPRODUCT(N164:Y164,$N$3:$Y$3)*$K164*$L164*$M164</f>
        <v/>
      </c>
      <c r="AC164" s="13">
        <f>SUMPRODUCT(N164:Y164,$N$4:$Y$4)*$K164*$L164*$M164</f>
        <v/>
      </c>
      <c r="AD164" s="15" t="n">
        <v>16.2</v>
      </c>
      <c r="AE164" s="11" t="n">
        <v>1.011975308641975</v>
      </c>
      <c r="AF164" s="16">
        <f>SUMPRODUCT(N164:Y164,$N$5:$Y$5)*$K164*$L164*$M164</f>
        <v/>
      </c>
      <c r="AG164" s="16">
        <f>SUMPRODUCT(N164:Y164,$N$6:$Y$6)*$K164*$L164*$M164</f>
        <v/>
      </c>
      <c r="AH164" s="20" t="n"/>
    </row>
    <row r="165">
      <c r="A165" s="9" t="n">
        <v>666661</v>
      </c>
      <c r="B165" s="9" t="inlineStr">
        <is>
          <t>Juan Morillo</t>
        </is>
      </c>
      <c r="C165" s="9" t="inlineStr">
        <is>
          <t>ARI</t>
        </is>
      </c>
      <c r="D165" s="9" t="n">
        <v>28</v>
      </c>
      <c r="E165" s="18" t="inlineStr">
        <is>
          <t>R</t>
        </is>
      </c>
      <c r="F165" s="18" t="n"/>
      <c r="G165" s="9" t="n">
        <v>264</v>
      </c>
      <c r="H165" s="9" t="n">
        <v>416</v>
      </c>
      <c r="I165" s="9" t="inlineStr">
        <is>
          <t>Closer</t>
        </is>
      </c>
      <c r="J165" s="18" t="inlineStr">
        <is>
          <t>Opening Day</t>
        </is>
      </c>
      <c r="K165" s="11">
        <f>IFERROR(INDEX(Roles!$B$17:$B$20,MATCH(J165,Roles!$A$17:$A$20,0)),1)</f>
        <v/>
      </c>
      <c r="L165" s="19" t="n">
        <v>1</v>
      </c>
      <c r="M165" s="11" t="n">
        <v>1</v>
      </c>
      <c r="N165" s="19" t="n"/>
      <c r="O165" s="19" t="n"/>
      <c r="P165" s="19" t="n"/>
      <c r="Q165" s="19" t="n"/>
      <c r="R165" s="19" t="n"/>
      <c r="S165" s="19" t="n"/>
      <c r="T165" s="19" t="n">
        <v>0.85</v>
      </c>
      <c r="U165" s="19" t="n">
        <v>0.15</v>
      </c>
      <c r="V165" s="19" t="n"/>
      <c r="W165" s="19" t="n"/>
      <c r="X165" s="19" t="n"/>
      <c r="Y165" s="19" t="n"/>
      <c r="Z165" s="13">
        <f>SUMPRODUCT(N165:Y165,$N$2:$Y$2)*$K165*$L165*$M165</f>
        <v/>
      </c>
      <c r="AA165" s="14">
        <f>SUM(N165:Y165)</f>
        <v/>
      </c>
      <c r="AB165" s="13">
        <f>SUMPRODUCT(N165:Y165,$N$3:$Y$3)*$K165*$L165*$M165</f>
        <v/>
      </c>
      <c r="AC165" s="13">
        <f>SUMPRODUCT(N165:Y165,$N$4:$Y$4)*$K165*$L165*$M165</f>
        <v/>
      </c>
      <c r="AD165" s="15" t="n">
        <v>55.44</v>
      </c>
      <c r="AE165" s="11" t="n">
        <v>0.9658377708136938</v>
      </c>
      <c r="AF165" s="16">
        <f>SUMPRODUCT(N165:Y165,$N$5:$Y$5)*$K165*$L165*$M165</f>
        <v/>
      </c>
      <c r="AG165" s="16">
        <f>SUMPRODUCT(N165:Y165,$N$6:$Y$6)*$K165*$L165*$M165</f>
        <v/>
      </c>
      <c r="AH165" s="20" t="n"/>
    </row>
    <row r="166">
      <c r="A166" s="9" t="n">
        <v>656529</v>
      </c>
      <c r="B166" s="9" t="inlineStr">
        <is>
          <t>Sam Hentges</t>
        </is>
      </c>
      <c r="C166" s="9" t="inlineStr">
        <is>
          <t>SF</t>
        </is>
      </c>
      <c r="D166" s="9" t="n">
        <v>30</v>
      </c>
      <c r="E166" s="18" t="inlineStr">
        <is>
          <t>L</t>
        </is>
      </c>
      <c r="F166" s="18" t="n"/>
      <c r="G166" s="9" t="n">
        <v>173</v>
      </c>
      <c r="H166" s="9" t="n">
        <v>732</v>
      </c>
      <c r="I166" s="9" t="inlineStr">
        <is>
          <t>Late Inning RP (Setup)</t>
        </is>
      </c>
      <c r="J166" s="18" t="inlineStr">
        <is>
          <t>Opening Day</t>
        </is>
      </c>
      <c r="K166" s="11">
        <f>IFERROR(INDEX(Roles!$B$17:$B$20,MATCH(J166,Roles!$A$17:$A$20,0)),1)</f>
        <v/>
      </c>
      <c r="L166" s="19" t="n">
        <v>1</v>
      </c>
      <c r="M166" s="11" t="n">
        <v>1</v>
      </c>
      <c r="N166" s="19" t="n"/>
      <c r="O166" s="19" t="n"/>
      <c r="P166" s="19" t="n"/>
      <c r="Q166" s="19" t="n"/>
      <c r="R166" s="19" t="n"/>
      <c r="S166" s="19" t="n"/>
      <c r="T166" s="19" t="n"/>
      <c r="U166" s="19" t="n">
        <v>0.85</v>
      </c>
      <c r="V166" s="19" t="n">
        <v>0.15</v>
      </c>
      <c r="W166" s="19" t="n"/>
      <c r="X166" s="19" t="n"/>
      <c r="Y166" s="19" t="n"/>
      <c r="Z166" s="13">
        <f>SUMPRODUCT(N166:Y166,$N$2:$Y$2)*$K166*$L166*$M166</f>
        <v/>
      </c>
      <c r="AA166" s="14">
        <f>SUM(N166:Y166)</f>
        <v/>
      </c>
      <c r="AB166" s="13">
        <f>SUMPRODUCT(N166:Y166,$N$3:$Y$3)*$K166*$L166*$M166</f>
        <v/>
      </c>
      <c r="AC166" s="13">
        <f>SUMPRODUCT(N166:Y166,$N$4:$Y$4)*$K166*$L166*$M166</f>
        <v/>
      </c>
      <c r="AD166" s="15" t="n">
        <v>43.2</v>
      </c>
      <c r="AE166" s="11" t="n">
        <v>0.9381944444444444</v>
      </c>
      <c r="AF166" s="16">
        <f>SUMPRODUCT(N166:Y166,$N$5:$Y$5)*$K166*$L166*$M166</f>
        <v/>
      </c>
      <c r="AG166" s="16">
        <f>SUMPRODUCT(N166:Y166,$N$6:$Y$6)*$K166*$L166*$M166</f>
        <v/>
      </c>
      <c r="AH166" s="20" t="n"/>
    </row>
    <row r="167">
      <c r="A167" s="9" t="n">
        <v>592332</v>
      </c>
      <c r="B167" s="9" t="inlineStr">
        <is>
          <t>Kevin Gausman</t>
        </is>
      </c>
      <c r="C167" s="9" t="inlineStr">
        <is>
          <t>CHC</t>
        </is>
      </c>
      <c r="D167" s="9" t="n">
        <v>36</v>
      </c>
      <c r="E167" s="18" t="inlineStr">
        <is>
          <t>R</t>
        </is>
      </c>
      <c r="F167" s="18" t="n"/>
      <c r="G167" s="9" t="n">
        <v>750</v>
      </c>
      <c r="H167" s="9" t="n">
        <v>3769</v>
      </c>
      <c r="I167" s="9" t="inlineStr">
        <is>
          <t>Mid-Rotation Starter (SP2-3)</t>
        </is>
      </c>
      <c r="J167" s="18" t="inlineStr">
        <is>
          <t>Opening Day</t>
        </is>
      </c>
      <c r="K167" s="11">
        <f>IFERROR(INDEX(Roles!$B$17:$B$20,MATCH(J167,Roles!$A$17:$A$20,0)),1)</f>
        <v/>
      </c>
      <c r="L167" s="19" t="n">
        <v>1</v>
      </c>
      <c r="M167" s="11" t="n">
        <v>1</v>
      </c>
      <c r="N167" s="19" t="n"/>
      <c r="O167" s="19" t="n">
        <v>0.5</v>
      </c>
      <c r="P167" s="19" t="n">
        <v>0.5</v>
      </c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3">
        <f>SUMPRODUCT(N167:Y167,$N$2:$Y$2)*$K167*$L167*$M167</f>
        <v/>
      </c>
      <c r="AA167" s="14">
        <f>SUM(N167:Y167)</f>
        <v/>
      </c>
      <c r="AB167" s="13">
        <f>SUMPRODUCT(N167:Y167,$N$3:$Y$3)*$K167*$L167*$M167</f>
        <v/>
      </c>
      <c r="AC167" s="13">
        <f>SUMPRODUCT(N167:Y167,$N$4:$Y$4)*$K167*$L167*$M167</f>
        <v/>
      </c>
      <c r="AD167" s="15" t="n">
        <v>29.5</v>
      </c>
      <c r="AE167" s="11" t="n">
        <v>5.38925481806752</v>
      </c>
      <c r="AF167" s="16">
        <f>SUMPRODUCT(N167:Y167,$N$5:$Y$5)*$K167*$L167*$M167</f>
        <v/>
      </c>
      <c r="AG167" s="16">
        <f>SUMPRODUCT(N167:Y167,$N$6:$Y$6)*$K167*$L167*$M167</f>
        <v/>
      </c>
      <c r="AH167" s="20" t="n"/>
    </row>
    <row r="168">
      <c r="A168" s="9" t="n">
        <v>676962</v>
      </c>
      <c r="B168" s="9" t="inlineStr">
        <is>
          <t>Ben Brown</t>
        </is>
      </c>
      <c r="C168" s="9" t="inlineStr">
        <is>
          <t>CHC</t>
        </is>
      </c>
      <c r="D168" s="9" t="n">
        <v>27</v>
      </c>
      <c r="E168" s="18" t="inlineStr">
        <is>
          <t>R</t>
        </is>
      </c>
      <c r="F168" s="18" t="n"/>
      <c r="G168" s="9" t="n">
        <v>265</v>
      </c>
      <c r="H168" s="9" t="n">
        <v>959</v>
      </c>
      <c r="I168" s="9" t="inlineStr">
        <is>
          <t>Bullpen Depth Arm</t>
        </is>
      </c>
      <c r="J168" s="18" t="inlineStr">
        <is>
          <t>Opening Day</t>
        </is>
      </c>
      <c r="K168" s="11">
        <f>IFERROR(INDEX(Roles!$B$17:$B$20,MATCH(J168,Roles!$A$17:$A$20,0)),1)</f>
        <v/>
      </c>
      <c r="L168" s="19" t="n">
        <v>1</v>
      </c>
      <c r="M168" s="11" t="n">
        <v>1</v>
      </c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>
        <v>0.15</v>
      </c>
      <c r="W168" s="19" t="n">
        <v>0.85</v>
      </c>
      <c r="X168" s="19" t="n"/>
      <c r="Y168" s="19" t="n"/>
      <c r="Z168" s="13">
        <f>SUMPRODUCT(N168:Y168,$N$2:$Y$2)*$K168*$L168*$M168</f>
        <v/>
      </c>
      <c r="AA168" s="14">
        <f>SUM(N168:Y168)</f>
        <v/>
      </c>
      <c r="AB168" s="13">
        <f>SUMPRODUCT(N168:Y168,$N$3:$Y$3)*$K168*$L168*$M168</f>
        <v/>
      </c>
      <c r="AC168" s="13">
        <f>SUMPRODUCT(N168:Y168,$N$4:$Y$4)*$K168*$L168*$M168</f>
        <v/>
      </c>
      <c r="AD168" s="15" t="n">
        <v>18.16666666666666</v>
      </c>
      <c r="AE168" s="11" t="n">
        <v>2.060173801507135</v>
      </c>
      <c r="AF168" s="16">
        <f>SUMPRODUCT(N168:Y168,$N$5:$Y$5)*$K168*$L168*$M168</f>
        <v/>
      </c>
      <c r="AG168" s="16">
        <f>SUMPRODUCT(N168:Y168,$N$6:$Y$6)*$K168*$L168*$M168</f>
        <v/>
      </c>
      <c r="AH168" s="20" t="n"/>
    </row>
    <row r="169">
      <c r="A169" s="9" t="n">
        <v>680755</v>
      </c>
      <c r="B169" s="9" t="inlineStr">
        <is>
          <t>Braydon Fisher</t>
        </is>
      </c>
      <c r="C169" s="9" t="inlineStr">
        <is>
          <t>TOR</t>
        </is>
      </c>
      <c r="D169" s="9" t="n">
        <v>26</v>
      </c>
      <c r="E169" s="18" t="inlineStr">
        <is>
          <t>R</t>
        </is>
      </c>
      <c r="F169" s="18" t="n"/>
      <c r="G169" s="9" t="n">
        <v>310</v>
      </c>
      <c r="H169" s="9" t="n">
        <v>512</v>
      </c>
      <c r="I169" s="9" t="inlineStr">
        <is>
          <t>Late Inning RP (Setup)</t>
        </is>
      </c>
      <c r="J169" s="18" t="inlineStr">
        <is>
          <t>Opening Day</t>
        </is>
      </c>
      <c r="K169" s="11">
        <f>IFERROR(INDEX(Roles!$B$17:$B$20,MATCH(J169,Roles!$A$17:$A$20,0)),1)</f>
        <v/>
      </c>
      <c r="L169" s="19" t="n">
        <v>1</v>
      </c>
      <c r="M169" s="11" t="n">
        <v>1</v>
      </c>
      <c r="N169" s="19" t="n"/>
      <c r="O169" s="19" t="n"/>
      <c r="P169" s="19" t="n"/>
      <c r="Q169" s="19" t="n"/>
      <c r="R169" s="19" t="n"/>
      <c r="S169" s="19" t="n"/>
      <c r="T169" s="19" t="n"/>
      <c r="U169" s="19" t="n">
        <v>0.85</v>
      </c>
      <c r="V169" s="19" t="n">
        <v>0.15</v>
      </c>
      <c r="W169" s="19" t="n"/>
      <c r="X169" s="19" t="n"/>
      <c r="Y169" s="19" t="n"/>
      <c r="Z169" s="13">
        <f>SUMPRODUCT(N169:Y169,$N$2:$Y$2)*$K169*$L169*$M169</f>
        <v/>
      </c>
      <c r="AA169" s="14">
        <f>SUM(N169:Y169)</f>
        <v/>
      </c>
      <c r="AB169" s="13">
        <f>SUMPRODUCT(N169:Y169,$N$3:$Y$3)*$K169*$L169*$M169</f>
        <v/>
      </c>
      <c r="AC169" s="13">
        <f>SUMPRODUCT(N169:Y169,$N$4:$Y$4)*$K169*$L169*$M169</f>
        <v/>
      </c>
      <c r="AD169" s="15" t="n">
        <v>58.67999999999999</v>
      </c>
      <c r="AE169" s="11" t="n">
        <v>0.9910292131036812</v>
      </c>
      <c r="AF169" s="16">
        <f>SUMPRODUCT(N169:Y169,$N$5:$Y$5)*$K169*$L169*$M169</f>
        <v/>
      </c>
      <c r="AG169" s="16">
        <f>SUMPRODUCT(N169:Y169,$N$6:$Y$6)*$K169*$L169*$M169</f>
        <v/>
      </c>
      <c r="AH169" s="20" t="n"/>
    </row>
    <row r="170">
      <c r="A170" s="9" t="n">
        <v>676282</v>
      </c>
      <c r="B170" s="9" t="inlineStr">
        <is>
          <t>Joey Cantillo</t>
        </is>
      </c>
      <c r="C170" s="9" t="inlineStr">
        <is>
          <t>CLE</t>
        </is>
      </c>
      <c r="D170" s="9" t="n">
        <v>27</v>
      </c>
      <c r="E170" s="18" t="inlineStr">
        <is>
          <t>L</t>
        </is>
      </c>
      <c r="F170" s="18" t="n"/>
      <c r="G170" s="9" t="n">
        <v>687</v>
      </c>
      <c r="H170" s="9" t="n">
        <v>1251</v>
      </c>
      <c r="I170" s="9" t="inlineStr">
        <is>
          <t>End-of-Rotation Starter (SP4-5)</t>
        </is>
      </c>
      <c r="J170" s="18" t="inlineStr">
        <is>
          <t>Opening Day</t>
        </is>
      </c>
      <c r="K170" s="11">
        <f>IFERROR(INDEX(Roles!$B$17:$B$20,MATCH(J170,Roles!$A$17:$A$20,0)),1)</f>
        <v/>
      </c>
      <c r="L170" s="19" t="n">
        <v>1</v>
      </c>
      <c r="M170" s="11" t="n">
        <v>1</v>
      </c>
      <c r="N170" s="19" t="n"/>
      <c r="O170" s="19" t="n"/>
      <c r="P170" s="19" t="n">
        <v>0.5</v>
      </c>
      <c r="Q170" s="19" t="n"/>
      <c r="R170" s="19" t="n">
        <v>0.5</v>
      </c>
      <c r="S170" s="19" t="n"/>
      <c r="T170" s="19" t="n"/>
      <c r="U170" s="19" t="n"/>
      <c r="V170" s="19" t="n"/>
      <c r="W170" s="19" t="n"/>
      <c r="X170" s="19" t="n"/>
      <c r="Y170" s="19" t="n"/>
      <c r="Z170" s="13">
        <f>SUMPRODUCT(N170:Y170,$N$2:$Y$2)*$K170*$L170*$M170</f>
        <v/>
      </c>
      <c r="AA170" s="14">
        <f>SUM(N170:Y170)</f>
        <v/>
      </c>
      <c r="AB170" s="13">
        <f>SUMPRODUCT(N170:Y170,$N$3:$Y$3)*$K170*$L170*$M170</f>
        <v/>
      </c>
      <c r="AC170" s="13">
        <f>SUMPRODUCT(N170:Y170,$N$4:$Y$4)*$K170*$L170*$M170</f>
        <v/>
      </c>
      <c r="AD170" s="15" t="n">
        <v>24</v>
      </c>
      <c r="AE170" s="11" t="n">
        <v>4.374789562289562</v>
      </c>
      <c r="AF170" s="16">
        <f>SUMPRODUCT(N170:Y170,$N$5:$Y$5)*$K170*$L170*$M170</f>
        <v/>
      </c>
      <c r="AG170" s="16">
        <f>SUMPRODUCT(N170:Y170,$N$6:$Y$6)*$K170*$L170*$M170</f>
        <v/>
      </c>
      <c r="AH170" s="20" t="n"/>
    </row>
    <row r="171">
      <c r="A171" s="9" t="n">
        <v>458677</v>
      </c>
      <c r="B171" s="9" t="inlineStr">
        <is>
          <t>Justin Wilson</t>
        </is>
      </c>
      <c r="C171" s="9" t="inlineStr">
        <is>
          <t>BOS</t>
        </is>
      </c>
      <c r="D171" s="9" t="n">
        <v>39</v>
      </c>
      <c r="E171" s="18" t="inlineStr">
        <is>
          <t>L</t>
        </is>
      </c>
      <c r="F171" s="18" t="n"/>
      <c r="G171" s="9" t="n">
        <v>207</v>
      </c>
      <c r="H171" s="9" t="n">
        <v>429</v>
      </c>
      <c r="I171" s="9" t="inlineStr">
        <is>
          <t>Middle Relief</t>
        </is>
      </c>
      <c r="J171" s="18" t="inlineStr">
        <is>
          <t>Opening Day</t>
        </is>
      </c>
      <c r="K171" s="11">
        <f>IFERROR(INDEX(Roles!$B$17:$B$20,MATCH(J171,Roles!$A$17:$A$20,0)),1)</f>
        <v/>
      </c>
      <c r="L171" s="19" t="n">
        <v>1</v>
      </c>
      <c r="M171" s="11" t="n">
        <v>1</v>
      </c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>
        <v>1</v>
      </c>
      <c r="W171" s="19" t="n"/>
      <c r="X171" s="19" t="n"/>
      <c r="Y171" s="19" t="n"/>
      <c r="Z171" s="13">
        <f>SUMPRODUCT(N171:Y171,$N$2:$Y$2)*$K171*$L171*$M171</f>
        <v/>
      </c>
      <c r="AA171" s="14">
        <f>SUM(N171:Y171)</f>
        <v/>
      </c>
      <c r="AB171" s="13">
        <f>SUMPRODUCT(N171:Y171,$N$3:$Y$3)*$K171*$L171*$M171</f>
        <v/>
      </c>
      <c r="AC171" s="13">
        <f>SUMPRODUCT(N171:Y171,$N$4:$Y$4)*$K171*$L171*$M171</f>
        <v/>
      </c>
      <c r="AD171" s="15" t="n">
        <v>51.13333333333333</v>
      </c>
      <c r="AE171" s="11" t="n">
        <v>0.9516590272906764</v>
      </c>
      <c r="AF171" s="16">
        <f>SUMPRODUCT(N171:Y171,$N$5:$Y$5)*$K171*$L171*$M171</f>
        <v/>
      </c>
      <c r="AG171" s="16">
        <f>SUMPRODUCT(N171:Y171,$N$6:$Y$6)*$K171*$L171*$M171</f>
        <v/>
      </c>
      <c r="AH171" s="20" t="n"/>
    </row>
    <row r="172">
      <c r="A172" s="9" t="n">
        <v>669203</v>
      </c>
      <c r="B172" s="9" t="inlineStr">
        <is>
          <t>Corbin Burnes</t>
        </is>
      </c>
      <c r="C172" s="9" t="inlineStr">
        <is>
          <t>ARI</t>
        </is>
      </c>
      <c r="D172" s="9" t="n">
        <v>32</v>
      </c>
      <c r="E172" s="18" t="inlineStr">
        <is>
          <t>R</t>
        </is>
      </c>
      <c r="F172" s="18" t="n"/>
      <c r="G172" s="9" t="n">
        <v>47</v>
      </c>
      <c r="H172" s="9" t="n">
        <v>2677</v>
      </c>
      <c r="I172" s="9" t="inlineStr">
        <is>
          <t>Ace (SP1)</t>
        </is>
      </c>
      <c r="J172" s="18" t="inlineStr">
        <is>
          <t>Opening Day</t>
        </is>
      </c>
      <c r="K172" s="11">
        <f>IFERROR(INDEX(Roles!$B$17:$B$20,MATCH(J172,Roles!$A$17:$A$20,0)),1)</f>
        <v/>
      </c>
      <c r="L172" s="19" t="n">
        <v>1</v>
      </c>
      <c r="M172" s="11" t="n">
        <v>1</v>
      </c>
      <c r="N172" s="19" t="n">
        <v>0.5</v>
      </c>
      <c r="O172" s="19" t="n">
        <v>0.5</v>
      </c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3">
        <f>SUMPRODUCT(N172:Y172,$N$2:$Y$2)*$K172*$L172*$M172</f>
        <v/>
      </c>
      <c r="AA172" s="14">
        <f>SUM(N172:Y172)</f>
        <v/>
      </c>
      <c r="AB172" s="13">
        <f>SUMPRODUCT(N172:Y172,$N$3:$Y$3)*$K172*$L172*$M172</f>
        <v/>
      </c>
      <c r="AC172" s="13">
        <f>SUMPRODUCT(N172:Y172,$N$4:$Y$4)*$K172*$L172*$M172</f>
        <v/>
      </c>
      <c r="AD172" s="15" t="n">
        <v>16.5</v>
      </c>
      <c r="AE172" s="11" t="n">
        <v>5.619047619047618</v>
      </c>
      <c r="AF172" s="16">
        <f>SUMPRODUCT(N172:Y172,$N$5:$Y$5)*$K172*$L172*$M172</f>
        <v/>
      </c>
      <c r="AG172" s="16">
        <f>SUMPRODUCT(N172:Y172,$N$6:$Y$6)*$K172*$L172*$M172</f>
        <v/>
      </c>
      <c r="AH172" s="20" t="n"/>
    </row>
    <row r="173">
      <c r="A173" s="9" t="n">
        <v>656887</v>
      </c>
      <c r="B173" s="9" t="inlineStr">
        <is>
          <t>Sean Reid-Foley</t>
        </is>
      </c>
      <c r="C173" s="9" t="inlineStr">
        <is>
          <t>NYM</t>
        </is>
      </c>
      <c r="D173" s="9" t="n">
        <v>31</v>
      </c>
      <c r="E173" s="18" t="inlineStr">
        <is>
          <t>R</t>
        </is>
      </c>
      <c r="F173" s="18" t="n"/>
      <c r="G173" s="9" t="n">
        <v>90</v>
      </c>
      <c r="H173" s="9" t="n">
        <v>168</v>
      </c>
      <c r="I173" s="9" t="inlineStr">
        <is>
          <t>Depth (no MLB IP)</t>
        </is>
      </c>
      <c r="J173" s="18" t="inlineStr">
        <is>
          <t>Opening Day</t>
        </is>
      </c>
      <c r="K173" s="11">
        <f>IFERROR(INDEX(Roles!$B$17:$B$20,MATCH(J173,Roles!$A$17:$A$20,0)),1)</f>
        <v/>
      </c>
      <c r="L173" s="19" t="n">
        <v>1</v>
      </c>
      <c r="M173" s="11" t="n">
        <v>1</v>
      </c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>
        <v>1</v>
      </c>
      <c r="Z173" s="13">
        <f>SUMPRODUCT(N173:Y173,$N$2:$Y$2)*$K173*$L173*$M173</f>
        <v/>
      </c>
      <c r="AA173" s="14">
        <f>SUM(N173:Y173)</f>
        <v/>
      </c>
      <c r="AB173" s="13">
        <f>SUMPRODUCT(N173:Y173,$N$3:$Y$3)*$K173*$L173*$M173</f>
        <v/>
      </c>
      <c r="AC173" s="13">
        <f>SUMPRODUCT(N173:Y173,$N$4:$Y$4)*$K173*$L173*$M173</f>
        <v/>
      </c>
      <c r="AD173" s="15" t="n">
        <v>15</v>
      </c>
      <c r="AE173" s="11" t="n">
        <v>0.9882071926999464</v>
      </c>
      <c r="AF173" s="16">
        <f>SUMPRODUCT(N173:Y173,$N$5:$Y$5)*$K173*$L173*$M173</f>
        <v/>
      </c>
      <c r="AG173" s="16">
        <f>SUMPRODUCT(N173:Y173,$N$6:$Y$6)*$K173*$L173*$M173</f>
        <v/>
      </c>
      <c r="AH173" s="20" t="n"/>
    </row>
    <row r="174">
      <c r="A174" s="9" t="n">
        <v>676263</v>
      </c>
      <c r="B174" s="9" t="inlineStr">
        <is>
          <t>Jack Dreyer</t>
        </is>
      </c>
      <c r="C174" s="9" t="inlineStr">
        <is>
          <t>LAD</t>
        </is>
      </c>
      <c r="D174" s="9" t="n">
        <v>28</v>
      </c>
      <c r="E174" s="18" t="inlineStr">
        <is>
          <t>L</t>
        </is>
      </c>
      <c r="F174" s="18" t="n"/>
      <c r="G174" s="9" t="n">
        <v>261</v>
      </c>
      <c r="H174" s="9" t="n">
        <v>568</v>
      </c>
      <c r="I174" s="9" t="inlineStr">
        <is>
          <t>Late Inning RP (Setup)</t>
        </is>
      </c>
      <c r="J174" s="18" t="inlineStr">
        <is>
          <t>Opening Day</t>
        </is>
      </c>
      <c r="K174" s="11">
        <f>IFERROR(INDEX(Roles!$B$17:$B$20,MATCH(J174,Roles!$A$17:$A$20,0)),1)</f>
        <v/>
      </c>
      <c r="L174" s="19" t="n">
        <v>1</v>
      </c>
      <c r="M174" s="11" t="n">
        <v>1</v>
      </c>
      <c r="N174" s="19" t="n"/>
      <c r="O174" s="19" t="n"/>
      <c r="P174" s="19" t="n"/>
      <c r="Q174" s="19" t="n"/>
      <c r="R174" s="19" t="n"/>
      <c r="S174" s="19" t="n"/>
      <c r="T174" s="19" t="n"/>
      <c r="U174" s="19" t="n">
        <v>0.85</v>
      </c>
      <c r="V174" s="19" t="n">
        <v>0.15</v>
      </c>
      <c r="W174" s="19" t="n"/>
      <c r="X174" s="19" t="n"/>
      <c r="Y174" s="19" t="n"/>
      <c r="Z174" s="13">
        <f>SUMPRODUCT(N174:Y174,$N$2:$Y$2)*$K174*$L174*$M174</f>
        <v/>
      </c>
      <c r="AA174" s="14">
        <f>SUM(N174:Y174)</f>
        <v/>
      </c>
      <c r="AB174" s="13">
        <f>SUMPRODUCT(N174:Y174,$N$3:$Y$3)*$K174*$L174*$M174</f>
        <v/>
      </c>
      <c r="AC174" s="13">
        <f>SUMPRODUCT(N174:Y174,$N$4:$Y$4)*$K174*$L174*$M174</f>
        <v/>
      </c>
      <c r="AD174" s="15" t="n">
        <v>59.4</v>
      </c>
      <c r="AE174" s="11" t="n">
        <v>1.004664179104478</v>
      </c>
      <c r="AF174" s="16">
        <f>SUMPRODUCT(N174:Y174,$N$5:$Y$5)*$K174*$L174*$M174</f>
        <v/>
      </c>
      <c r="AG174" s="16">
        <f>SUMPRODUCT(N174:Y174,$N$6:$Y$6)*$K174*$L174*$M174</f>
        <v/>
      </c>
      <c r="AH174" s="20" t="n"/>
    </row>
    <row r="175">
      <c r="A175" s="9" t="n">
        <v>543243</v>
      </c>
      <c r="B175" s="9" t="inlineStr">
        <is>
          <t>Sonny Gray</t>
        </is>
      </c>
      <c r="C175" s="9" t="inlineStr">
        <is>
          <t>BOS</t>
        </is>
      </c>
      <c r="D175" s="9" t="n">
        <v>37</v>
      </c>
      <c r="E175" s="18" t="inlineStr">
        <is>
          <t>R</t>
        </is>
      </c>
      <c r="F175" s="18" t="n"/>
      <c r="G175" s="9" t="n">
        <v>683</v>
      </c>
      <c r="H175" s="9" t="n">
        <v>3349</v>
      </c>
      <c r="I175" s="9" t="inlineStr">
        <is>
          <t>Mid-Rotation Starter (SP2-3)</t>
        </is>
      </c>
      <c r="J175" s="18" t="inlineStr">
        <is>
          <t>Opening Day</t>
        </is>
      </c>
      <c r="K175" s="11">
        <f>IFERROR(INDEX(Roles!$B$17:$B$20,MATCH(J175,Roles!$A$17:$A$20,0)),1)</f>
        <v/>
      </c>
      <c r="L175" s="19" t="n">
        <v>1</v>
      </c>
      <c r="M175" s="11" t="n">
        <v>1</v>
      </c>
      <c r="N175" s="19" t="n"/>
      <c r="O175" s="19" t="n">
        <v>0.5</v>
      </c>
      <c r="P175" s="19" t="n">
        <v>0.5</v>
      </c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3">
        <f>SUMPRODUCT(N175:Y175,$N$2:$Y$2)*$K175*$L175*$M175</f>
        <v/>
      </c>
      <c r="AA175" s="14">
        <f>SUM(N175:Y175)</f>
        <v/>
      </c>
      <c r="AB175" s="13">
        <f>SUMPRODUCT(N175:Y175,$N$3:$Y$3)*$K175*$L175*$M175</f>
        <v/>
      </c>
      <c r="AC175" s="13">
        <f>SUMPRODUCT(N175:Y175,$N$4:$Y$4)*$K175*$L175*$M175</f>
        <v/>
      </c>
      <c r="AD175" s="15" t="n">
        <v>28.3</v>
      </c>
      <c r="AE175" s="11" t="n">
        <v>5.396287619390882</v>
      </c>
      <c r="AF175" s="16">
        <f>SUMPRODUCT(N175:Y175,$N$5:$Y$5)*$K175*$L175*$M175</f>
        <v/>
      </c>
      <c r="AG175" s="16">
        <f>SUMPRODUCT(N175:Y175,$N$6:$Y$6)*$K175*$L175*$M175</f>
        <v/>
      </c>
      <c r="AH175" s="20" t="n"/>
    </row>
    <row r="176">
      <c r="A176" s="9" t="n">
        <v>656848</v>
      </c>
      <c r="B176" s="9" t="inlineStr">
        <is>
          <t>Michael Petersen</t>
        </is>
      </c>
      <c r="C176" s="9" t="inlineStr">
        <is>
          <t>MIA</t>
        </is>
      </c>
      <c r="D176" s="9" t="n">
        <v>33</v>
      </c>
      <c r="E176" s="18" t="inlineStr">
        <is>
          <t>R</t>
        </is>
      </c>
      <c r="F176" s="18" t="n"/>
      <c r="G176" s="9" t="n">
        <v>269</v>
      </c>
      <c r="H176" s="9" t="n">
        <v>438</v>
      </c>
      <c r="I176" s="9" t="inlineStr">
        <is>
          <t>Late Inning RP (Setup)</t>
        </is>
      </c>
      <c r="J176" s="18" t="inlineStr">
        <is>
          <t>Opening Day</t>
        </is>
      </c>
      <c r="K176" s="11">
        <f>IFERROR(INDEX(Roles!$B$17:$B$20,MATCH(J176,Roles!$A$17:$A$20,0)),1)</f>
        <v/>
      </c>
      <c r="L176" s="19" t="n">
        <v>1</v>
      </c>
      <c r="M176" s="11" t="n">
        <v>1</v>
      </c>
      <c r="N176" s="19" t="n"/>
      <c r="O176" s="19" t="n"/>
      <c r="P176" s="19" t="n"/>
      <c r="Q176" s="19" t="n"/>
      <c r="R176" s="19" t="n"/>
      <c r="S176" s="19" t="n"/>
      <c r="T176" s="19" t="n"/>
      <c r="U176" s="19" t="n">
        <v>0.85</v>
      </c>
      <c r="V176" s="19" t="n">
        <v>0.15</v>
      </c>
      <c r="W176" s="19" t="n"/>
      <c r="X176" s="19" t="n"/>
      <c r="Y176" s="19" t="n"/>
      <c r="Z176" s="13">
        <f>SUMPRODUCT(N176:Y176,$N$2:$Y$2)*$K176*$L176*$M176</f>
        <v/>
      </c>
      <c r="AA176" s="14">
        <f>SUM(N176:Y176)</f>
        <v/>
      </c>
      <c r="AB176" s="13">
        <f>SUMPRODUCT(N176:Y176,$N$3:$Y$3)*$K176*$L176*$M176</f>
        <v/>
      </c>
      <c r="AC176" s="13">
        <f>SUMPRODUCT(N176:Y176,$N$4:$Y$4)*$K176*$L176*$M176</f>
        <v/>
      </c>
      <c r="AD176" s="15" t="n">
        <v>43.3</v>
      </c>
      <c r="AE176" s="11" t="n">
        <v>1.009192023974182</v>
      </c>
      <c r="AF176" s="16">
        <f>SUMPRODUCT(N176:Y176,$N$5:$Y$5)*$K176*$L176*$M176</f>
        <v/>
      </c>
      <c r="AG176" s="16">
        <f>SUMPRODUCT(N176:Y176,$N$6:$Y$6)*$K176*$L176*$M176</f>
        <v/>
      </c>
      <c r="AH176" s="20" t="n"/>
    </row>
    <row r="177">
      <c r="A177" s="9" t="n">
        <v>571946</v>
      </c>
      <c r="B177" s="9" t="inlineStr">
        <is>
          <t>Shelby Miller</t>
        </is>
      </c>
      <c r="C177" s="9" t="inlineStr">
        <is>
          <t>MIL</t>
        </is>
      </c>
      <c r="D177" s="9" t="n">
        <v>36</v>
      </c>
      <c r="E177" s="18" t="inlineStr">
        <is>
          <t>R</t>
        </is>
      </c>
      <c r="F177" s="18" t="n"/>
      <c r="G177" s="9" t="n">
        <v>186</v>
      </c>
      <c r="H177" s="9" t="n">
        <v>604</v>
      </c>
      <c r="I177" s="9" t="inlineStr">
        <is>
          <t>Bullpen Depth Arm</t>
        </is>
      </c>
      <c r="J177" s="18" t="inlineStr">
        <is>
          <t>Opening Day</t>
        </is>
      </c>
      <c r="K177" s="11">
        <f>IFERROR(INDEX(Roles!$B$17:$B$20,MATCH(J177,Roles!$A$17:$A$20,0)),1)</f>
        <v/>
      </c>
      <c r="L177" s="19" t="n">
        <v>1</v>
      </c>
      <c r="M177" s="11" t="n">
        <v>1</v>
      </c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>
        <v>0.15</v>
      </c>
      <c r="W177" s="19" t="n">
        <v>0.85</v>
      </c>
      <c r="X177" s="19" t="n"/>
      <c r="Y177" s="19" t="n"/>
      <c r="Z177" s="13">
        <f>SUMPRODUCT(N177:Y177,$N$2:$Y$2)*$K177*$L177*$M177</f>
        <v/>
      </c>
      <c r="AA177" s="14">
        <f>SUM(N177:Y177)</f>
        <v/>
      </c>
      <c r="AB177" s="13">
        <f>SUMPRODUCT(N177:Y177,$N$3:$Y$3)*$K177*$L177*$M177</f>
        <v/>
      </c>
      <c r="AC177" s="13">
        <f>SUMPRODUCT(N177:Y177,$N$4:$Y$4)*$K177*$L177*$M177</f>
        <v/>
      </c>
      <c r="AD177" s="15" t="n">
        <v>35.06666666666667</v>
      </c>
      <c r="AE177" s="11" t="n">
        <v>1.136352183971231</v>
      </c>
      <c r="AF177" s="16">
        <f>SUMPRODUCT(N177:Y177,$N$5:$Y$5)*$K177*$L177*$M177</f>
        <v/>
      </c>
      <c r="AG177" s="16">
        <f>SUMPRODUCT(N177:Y177,$N$6:$Y$6)*$K177*$L177*$M177</f>
        <v/>
      </c>
      <c r="AH177" s="20" t="n"/>
    </row>
    <row r="178">
      <c r="A178" s="9" t="n">
        <v>622098</v>
      </c>
      <c r="B178" s="9" t="inlineStr">
        <is>
          <t>Drew Smith</t>
        </is>
      </c>
      <c r="C178" s="9" t="inlineStr">
        <is>
          <t>NYM</t>
        </is>
      </c>
      <c r="D178" s="9" t="n">
        <v>33</v>
      </c>
      <c r="E178" s="18" t="inlineStr">
        <is>
          <t>R</t>
        </is>
      </c>
      <c r="F178" s="18" t="n"/>
      <c r="G178" s="9" t="n">
        <v>79</v>
      </c>
      <c r="H178" s="9" t="n">
        <v>510</v>
      </c>
      <c r="I178" s="9" t="inlineStr">
        <is>
          <t>Depth (no MLB IP)</t>
        </is>
      </c>
      <c r="J178" s="18" t="inlineStr">
        <is>
          <t>Opening Day</t>
        </is>
      </c>
      <c r="K178" s="11">
        <f>IFERROR(INDEX(Roles!$B$17:$B$20,MATCH(J178,Roles!$A$17:$A$20,0)),1)</f>
        <v/>
      </c>
      <c r="L178" s="19" t="n">
        <v>1</v>
      </c>
      <c r="M178" s="11" t="n">
        <v>1</v>
      </c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>
        <v>1</v>
      </c>
      <c r="Z178" s="13">
        <f>SUMPRODUCT(N178:Y178,$N$2:$Y$2)*$K178*$L178*$M178</f>
        <v/>
      </c>
      <c r="AA178" s="14">
        <f>SUM(N178:Y178)</f>
        <v/>
      </c>
      <c r="AB178" s="13">
        <f>SUMPRODUCT(N178:Y178,$N$3:$Y$3)*$K178*$L178*$M178</f>
        <v/>
      </c>
      <c r="AC178" s="13">
        <f>SUMPRODUCT(N178:Y178,$N$4:$Y$4)*$K178*$L178*$M178</f>
        <v/>
      </c>
      <c r="AD178" s="15" t="n">
        <v>12.6</v>
      </c>
      <c r="AE178" s="11" t="n">
        <v>0.9841390513320336</v>
      </c>
      <c r="AF178" s="16">
        <f>SUMPRODUCT(N178:Y178,$N$5:$Y$5)*$K178*$L178*$M178</f>
        <v/>
      </c>
      <c r="AG178" s="16">
        <f>SUMPRODUCT(N178:Y178,$N$6:$Y$6)*$K178*$L178*$M178</f>
        <v/>
      </c>
      <c r="AH178" s="20" t="n"/>
    </row>
    <row r="179">
      <c r="A179" s="9" t="n">
        <v>681895</v>
      </c>
      <c r="B179" s="9" t="inlineStr">
        <is>
          <t>Evan Sisk</t>
        </is>
      </c>
      <c r="C179" s="9" t="inlineStr">
        <is>
          <t>PIT</t>
        </is>
      </c>
      <c r="D179" s="9" t="n">
        <v>30</v>
      </c>
      <c r="E179" s="18" t="inlineStr">
        <is>
          <t>L</t>
        </is>
      </c>
      <c r="F179" s="18" t="n"/>
      <c r="G179" s="9" t="n">
        <v>197</v>
      </c>
      <c r="H179" s="9" t="n">
        <v>277</v>
      </c>
      <c r="I179" s="9" t="inlineStr">
        <is>
          <t>Middle Relief</t>
        </is>
      </c>
      <c r="J179" s="18" t="inlineStr">
        <is>
          <t>Opening Day</t>
        </is>
      </c>
      <c r="K179" s="11">
        <f>IFERROR(INDEX(Roles!$B$17:$B$20,MATCH(J179,Roles!$A$17:$A$20,0)),1)</f>
        <v/>
      </c>
      <c r="L179" s="19" t="n">
        <v>1</v>
      </c>
      <c r="M179" s="11" t="n">
        <v>1</v>
      </c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>
        <v>1</v>
      </c>
      <c r="W179" s="19" t="n"/>
      <c r="X179" s="19" t="n"/>
      <c r="Y179" s="19" t="n"/>
      <c r="Z179" s="13">
        <f>SUMPRODUCT(N179:Y179,$N$2:$Y$2)*$K179*$L179*$M179</f>
        <v/>
      </c>
      <c r="AA179" s="14">
        <f>SUM(N179:Y179)</f>
        <v/>
      </c>
      <c r="AB179" s="13">
        <f>SUMPRODUCT(N179:Y179,$N$3:$Y$3)*$K179*$L179*$M179</f>
        <v/>
      </c>
      <c r="AC179" s="13">
        <f>SUMPRODUCT(N179:Y179,$N$4:$Y$4)*$K179*$L179*$M179</f>
        <v/>
      </c>
      <c r="AD179" s="15" t="n">
        <v>34.05333333333333</v>
      </c>
      <c r="AE179" s="11" t="n">
        <v>1.03973037623159</v>
      </c>
      <c r="AF179" s="16">
        <f>SUMPRODUCT(N179:Y179,$N$5:$Y$5)*$K179*$L179*$M179</f>
        <v/>
      </c>
      <c r="AG179" s="16">
        <f>SUMPRODUCT(N179:Y179,$N$6:$Y$6)*$K179*$L179*$M179</f>
        <v/>
      </c>
      <c r="AH179" s="20" t="n"/>
    </row>
    <row r="180">
      <c r="A180" s="9" t="n">
        <v>702021</v>
      </c>
      <c r="B180" s="9" t="inlineStr">
        <is>
          <t>Will Dion</t>
        </is>
      </c>
      <c r="C180" s="9" t="inlineStr">
        <is>
          <t>WSH</t>
        </is>
      </c>
      <c r="D180" s="9" t="n">
        <v>27</v>
      </c>
      <c r="E180" s="18" t="inlineStr">
        <is>
          <t>L</t>
        </is>
      </c>
      <c r="F180" s="18" t="n"/>
      <c r="G180" s="9" t="n">
        <v>201</v>
      </c>
      <c r="H180" s="9" t="n">
        <v>201</v>
      </c>
      <c r="I180" s="9" t="inlineStr">
        <is>
          <t>Swing Arm / Long Relief</t>
        </is>
      </c>
      <c r="J180" s="18" t="inlineStr">
        <is>
          <t>Opening Day</t>
        </is>
      </c>
      <c r="K180" s="11">
        <f>IFERROR(INDEX(Roles!$B$17:$B$20,MATCH(J180,Roles!$A$17:$A$20,0)),1)</f>
        <v/>
      </c>
      <c r="L180" s="19" t="n">
        <v>1</v>
      </c>
      <c r="M180" s="11" t="n">
        <v>1</v>
      </c>
      <c r="N180" s="19" t="n"/>
      <c r="O180" s="19" t="n"/>
      <c r="P180" s="19" t="n"/>
      <c r="Q180" s="19" t="n"/>
      <c r="R180" s="19" t="n">
        <v>0.6</v>
      </c>
      <c r="S180" s="19" t="n"/>
      <c r="T180" s="19" t="n"/>
      <c r="U180" s="19" t="n"/>
      <c r="V180" s="19" t="n">
        <v>0.4</v>
      </c>
      <c r="W180" s="19" t="n"/>
      <c r="X180" s="19" t="n"/>
      <c r="Y180" s="19" t="n"/>
      <c r="Z180" s="13">
        <f>SUMPRODUCT(N180:Y180,$N$2:$Y$2)*$K180*$L180*$M180</f>
        <v/>
      </c>
      <c r="AA180" s="14">
        <f>SUM(N180:Y180)</f>
        <v/>
      </c>
      <c r="AB180" s="13">
        <f>SUMPRODUCT(N180:Y180,$N$3:$Y$3)*$K180*$L180*$M180</f>
        <v/>
      </c>
      <c r="AC180" s="13">
        <f>SUMPRODUCT(N180:Y180,$N$4:$Y$4)*$K180*$L180*$M180</f>
        <v/>
      </c>
      <c r="AD180" s="15" t="n">
        <v>24.33333333333333</v>
      </c>
      <c r="AE180" s="11" t="n">
        <v>2.281656884571274</v>
      </c>
      <c r="AF180" s="16">
        <f>SUMPRODUCT(N180:Y180,$N$5:$Y$5)*$K180*$L180*$M180</f>
        <v/>
      </c>
      <c r="AG180" s="16">
        <f>SUMPRODUCT(N180:Y180,$N$6:$Y$6)*$K180*$L180*$M180</f>
        <v/>
      </c>
      <c r="AH180" s="20" t="n"/>
    </row>
    <row r="181">
      <c r="A181" s="9" t="n">
        <v>687792</v>
      </c>
      <c r="B181" s="9" t="inlineStr">
        <is>
          <t>DJ Herz</t>
        </is>
      </c>
      <c r="C181" s="9" t="inlineStr">
        <is>
          <t>WSH</t>
        </is>
      </c>
      <c r="D181" s="9" t="n">
        <v>26</v>
      </c>
      <c r="E181" s="18" t="inlineStr">
        <is>
          <t>L</t>
        </is>
      </c>
      <c r="F181" s="18" t="n"/>
      <c r="G181" s="9" t="n">
        <v>35</v>
      </c>
      <c r="H181" s="9" t="n">
        <v>417</v>
      </c>
      <c r="I181" s="9" t="inlineStr">
        <is>
          <t>End-of-Rotation Starter (SP4-5)</t>
        </is>
      </c>
      <c r="J181" s="18" t="inlineStr">
        <is>
          <t>Opening Day</t>
        </is>
      </c>
      <c r="K181" s="11">
        <f>IFERROR(INDEX(Roles!$B$17:$B$20,MATCH(J181,Roles!$A$17:$A$20,0)),1)</f>
        <v/>
      </c>
      <c r="L181" s="19" t="n">
        <v>1</v>
      </c>
      <c r="M181" s="11" t="n">
        <v>1</v>
      </c>
      <c r="N181" s="19" t="n"/>
      <c r="O181" s="19" t="n"/>
      <c r="P181" s="19" t="n">
        <v>0.5</v>
      </c>
      <c r="Q181" s="19" t="n"/>
      <c r="R181" s="19" t="n">
        <v>0.5</v>
      </c>
      <c r="S181" s="19" t="n"/>
      <c r="T181" s="19" t="n"/>
      <c r="U181" s="19" t="n"/>
      <c r="V181" s="19" t="n"/>
      <c r="W181" s="19" t="n"/>
      <c r="X181" s="19" t="n"/>
      <c r="Y181" s="19" t="n"/>
      <c r="Z181" s="13">
        <f>SUMPRODUCT(N181:Y181,$N$2:$Y$2)*$K181*$L181*$M181</f>
        <v/>
      </c>
      <c r="AA181" s="14">
        <f>SUM(N181:Y181)</f>
        <v/>
      </c>
      <c r="AB181" s="13">
        <f>SUMPRODUCT(N181:Y181,$N$3:$Y$3)*$K181*$L181*$M181</f>
        <v/>
      </c>
      <c r="AC181" s="13">
        <f>SUMPRODUCT(N181:Y181,$N$4:$Y$4)*$K181*$L181*$M181</f>
        <v/>
      </c>
      <c r="AD181" s="15" t="n">
        <v>10.15</v>
      </c>
      <c r="AE181" s="11" t="n">
        <v>4.499259259259259</v>
      </c>
      <c r="AF181" s="16">
        <f>SUMPRODUCT(N181:Y181,$N$5:$Y$5)*$K181*$L181*$M181</f>
        <v/>
      </c>
      <c r="AG181" s="16">
        <f>SUMPRODUCT(N181:Y181,$N$6:$Y$6)*$K181*$L181*$M181</f>
        <v/>
      </c>
      <c r="AH181" s="20" t="n"/>
    </row>
    <row r="182">
      <c r="A182" s="9" t="n">
        <v>667297</v>
      </c>
      <c r="B182" s="9" t="inlineStr">
        <is>
          <t>Tommy Nance</t>
        </is>
      </c>
      <c r="C182" s="9" t="inlineStr">
        <is>
          <t>MIN</t>
        </is>
      </c>
      <c r="D182" s="9" t="n">
        <v>36</v>
      </c>
      <c r="E182" s="18" t="inlineStr">
        <is>
          <t>R</t>
        </is>
      </c>
      <c r="F182" s="18" t="n"/>
      <c r="G182" s="9" t="n">
        <v>258</v>
      </c>
      <c r="H182" s="9" t="n">
        <v>673</v>
      </c>
      <c r="I182" s="9" t="inlineStr">
        <is>
          <t>Middle Relief</t>
        </is>
      </c>
      <c r="J182" s="18" t="inlineStr">
        <is>
          <t>Opening Day</t>
        </is>
      </c>
      <c r="K182" s="11">
        <f>IFERROR(INDEX(Roles!$B$17:$B$20,MATCH(J182,Roles!$A$17:$A$20,0)),1)</f>
        <v/>
      </c>
      <c r="L182" s="19" t="n">
        <v>1</v>
      </c>
      <c r="M182" s="11" t="n">
        <v>1</v>
      </c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>
        <v>0.85</v>
      </c>
      <c r="W182" s="19" t="n">
        <v>0.15</v>
      </c>
      <c r="X182" s="19" t="n"/>
      <c r="Y182" s="19" t="n"/>
      <c r="Z182" s="13">
        <f>SUMPRODUCT(N182:Y182,$N$2:$Y$2)*$K182*$L182*$M182</f>
        <v/>
      </c>
      <c r="AA182" s="14">
        <f>SUM(N182:Y182)</f>
        <v/>
      </c>
      <c r="AB182" s="13">
        <f>SUMPRODUCT(N182:Y182,$N$3:$Y$3)*$K182*$L182*$M182</f>
        <v/>
      </c>
      <c r="AC182" s="13">
        <f>SUMPRODUCT(N182:Y182,$N$4:$Y$4)*$K182*$L182*$M182</f>
        <v/>
      </c>
      <c r="AD182" s="15" t="n">
        <v>39.83333333333333</v>
      </c>
      <c r="AE182" s="11" t="n">
        <v>1.040184048086613</v>
      </c>
      <c r="AF182" s="16">
        <f>SUMPRODUCT(N182:Y182,$N$5:$Y$5)*$K182*$L182*$M182</f>
        <v/>
      </c>
      <c r="AG182" s="16">
        <f>SUMPRODUCT(N182:Y182,$N$6:$Y$6)*$K182*$L182*$M182</f>
        <v/>
      </c>
      <c r="AH182" s="20" t="n"/>
    </row>
    <row r="183">
      <c r="A183" s="9" t="n">
        <v>613534</v>
      </c>
      <c r="B183" s="9" t="inlineStr">
        <is>
          <t>Austin Adams</t>
        </is>
      </c>
      <c r="C183" s="9" t="inlineStr">
        <is>
          <t>OAK</t>
        </is>
      </c>
      <c r="D183" s="9" t="n">
        <v>36</v>
      </c>
      <c r="E183" s="18" t="inlineStr">
        <is>
          <t>R</t>
        </is>
      </c>
      <c r="F183" s="18" t="n"/>
      <c r="G183" s="9" t="n">
        <v>191</v>
      </c>
      <c r="H183" s="9" t="n">
        <v>281</v>
      </c>
      <c r="I183" s="9" t="inlineStr">
        <is>
          <t>Depth (no MLB IP)</t>
        </is>
      </c>
      <c r="J183" s="18" t="inlineStr">
        <is>
          <t>Opening Day</t>
        </is>
      </c>
      <c r="K183" s="11">
        <f>IFERROR(INDEX(Roles!$B$17:$B$20,MATCH(J183,Roles!$A$17:$A$20,0)),1)</f>
        <v/>
      </c>
      <c r="L183" s="19" t="n">
        <v>1</v>
      </c>
      <c r="M183" s="11" t="n">
        <v>1</v>
      </c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>
        <v>1</v>
      </c>
      <c r="Z183" s="13">
        <f>SUMPRODUCT(N183:Y183,$N$2:$Y$2)*$K183*$L183*$M183</f>
        <v/>
      </c>
      <c r="AA183" s="14">
        <f>SUM(N183:Y183)</f>
        <v/>
      </c>
      <c r="AB183" s="13">
        <f>SUMPRODUCT(N183:Y183,$N$3:$Y$3)*$K183*$L183*$M183</f>
        <v/>
      </c>
      <c r="AC183" s="13">
        <f>SUMPRODUCT(N183:Y183,$N$4:$Y$4)*$K183*$L183*$M183</f>
        <v/>
      </c>
      <c r="AD183" s="15" t="n">
        <v>34.8</v>
      </c>
      <c r="AE183" s="11" t="n">
        <v>0.9202292768959436</v>
      </c>
      <c r="AF183" s="16">
        <f>SUMPRODUCT(N183:Y183,$N$5:$Y$5)*$K183*$L183*$M183</f>
        <v/>
      </c>
      <c r="AG183" s="16">
        <f>SUMPRODUCT(N183:Y183,$N$6:$Y$6)*$K183*$L183*$M183</f>
        <v/>
      </c>
      <c r="AH183" s="20" t="n"/>
    </row>
    <row r="184">
      <c r="A184" s="9" t="n">
        <v>669199</v>
      </c>
      <c r="B184" s="9" t="inlineStr">
        <is>
          <t>Lake Bachar</t>
        </is>
      </c>
      <c r="C184" s="9" t="inlineStr">
        <is>
          <t>PIT</t>
        </is>
      </c>
      <c r="D184" s="9" t="n">
        <v>32</v>
      </c>
      <c r="E184" s="18" t="inlineStr">
        <is>
          <t>R</t>
        </is>
      </c>
      <c r="F184" s="18" t="n"/>
      <c r="G184" s="9" t="n">
        <v>358</v>
      </c>
      <c r="H184" s="9" t="n">
        <v>694</v>
      </c>
      <c r="I184" s="9" t="inlineStr">
        <is>
          <t>Swing Arm / Long Relief</t>
        </is>
      </c>
      <c r="J184" s="18" t="inlineStr">
        <is>
          <t>Opening Day</t>
        </is>
      </c>
      <c r="K184" s="11">
        <f>IFERROR(INDEX(Roles!$B$17:$B$20,MATCH(J184,Roles!$A$17:$A$20,0)),1)</f>
        <v/>
      </c>
      <c r="L184" s="19" t="n">
        <v>1</v>
      </c>
      <c r="M184" s="11" t="n">
        <v>1</v>
      </c>
      <c r="N184" s="19" t="n"/>
      <c r="O184" s="19" t="n"/>
      <c r="P184" s="19" t="n"/>
      <c r="Q184" s="19" t="n"/>
      <c r="R184" s="19" t="n">
        <v>0.6</v>
      </c>
      <c r="S184" s="19" t="n"/>
      <c r="T184" s="19" t="n"/>
      <c r="U184" s="19" t="n"/>
      <c r="V184" s="19" t="n">
        <v>0.4</v>
      </c>
      <c r="W184" s="19" t="n"/>
      <c r="X184" s="19" t="n"/>
      <c r="Y184" s="19" t="n"/>
      <c r="Z184" s="13">
        <f>SUMPRODUCT(N184:Y184,$N$2:$Y$2)*$K184*$L184*$M184</f>
        <v/>
      </c>
      <c r="AA184" s="14">
        <f>SUM(N184:Y184)</f>
        <v/>
      </c>
      <c r="AB184" s="13">
        <f>SUMPRODUCT(N184:Y184,$N$3:$Y$3)*$K184*$L184*$M184</f>
        <v/>
      </c>
      <c r="AC184" s="13">
        <f>SUMPRODUCT(N184:Y184,$N$4:$Y$4)*$K184*$L184*$M184</f>
        <v/>
      </c>
      <c r="AD184" s="15" t="n">
        <v>35.63333333333333</v>
      </c>
      <c r="AE184" s="11" t="n">
        <v>2.167074018877298</v>
      </c>
      <c r="AF184" s="16">
        <f>SUMPRODUCT(N184:Y184,$N$5:$Y$5)*$K184*$L184*$M184</f>
        <v/>
      </c>
      <c r="AG184" s="16">
        <f>SUMPRODUCT(N184:Y184,$N$6:$Y$6)*$K184*$L184*$M184</f>
        <v/>
      </c>
      <c r="AH184" s="20" t="n"/>
    </row>
    <row r="185">
      <c r="A185" s="9" t="n">
        <v>681217</v>
      </c>
      <c r="B185" s="9" t="inlineStr">
        <is>
          <t>Chase Silseth</t>
        </is>
      </c>
      <c r="C185" s="9" t="inlineStr">
        <is>
          <t>TEX</t>
        </is>
      </c>
      <c r="D185" s="9" t="n">
        <v>27</v>
      </c>
      <c r="E185" s="18" t="inlineStr">
        <is>
          <t>R</t>
        </is>
      </c>
      <c r="F185" s="18" t="n"/>
      <c r="G185" s="9" t="n">
        <v>271</v>
      </c>
      <c r="H185" s="9" t="n">
        <v>708</v>
      </c>
      <c r="I185" s="9" t="inlineStr">
        <is>
          <t>Late Inning RP (Setup)</t>
        </is>
      </c>
      <c r="J185" s="18" t="inlineStr">
        <is>
          <t>Opening Day</t>
        </is>
      </c>
      <c r="K185" s="11">
        <f>IFERROR(INDEX(Roles!$B$17:$B$20,MATCH(J185,Roles!$A$17:$A$20,0)),1)</f>
        <v/>
      </c>
      <c r="L185" s="19" t="n">
        <v>1</v>
      </c>
      <c r="M185" s="11" t="n">
        <v>1</v>
      </c>
      <c r="N185" s="19" t="n"/>
      <c r="O185" s="19" t="n"/>
      <c r="P185" s="19" t="n"/>
      <c r="Q185" s="19" t="n"/>
      <c r="R185" s="19" t="n"/>
      <c r="S185" s="19" t="n"/>
      <c r="T185" s="19" t="n"/>
      <c r="U185" s="19" t="n">
        <v>0.85</v>
      </c>
      <c r="V185" s="19" t="n">
        <v>0.15</v>
      </c>
      <c r="W185" s="19" t="n"/>
      <c r="X185" s="19" t="n"/>
      <c r="Y185" s="19" t="n"/>
      <c r="Z185" s="13">
        <f>SUMPRODUCT(N185:Y185,$N$2:$Y$2)*$K185*$L185*$M185</f>
        <v/>
      </c>
      <c r="AA185" s="14">
        <f>SUM(N185:Y185)</f>
        <v/>
      </c>
      <c r="AB185" s="13">
        <f>SUMPRODUCT(N185:Y185,$N$3:$Y$3)*$K185*$L185*$M185</f>
        <v/>
      </c>
      <c r="AC185" s="13">
        <f>SUMPRODUCT(N185:Y185,$N$4:$Y$4)*$K185*$L185*$M185</f>
        <v/>
      </c>
      <c r="AD185" s="15" t="n">
        <v>43.3</v>
      </c>
      <c r="AE185" s="11" t="n">
        <v>0.950178653757492</v>
      </c>
      <c r="AF185" s="16">
        <f>SUMPRODUCT(N185:Y185,$N$5:$Y$5)*$K185*$L185*$M185</f>
        <v/>
      </c>
      <c r="AG185" s="16">
        <f>SUMPRODUCT(N185:Y185,$N$6:$Y$6)*$K185*$L185*$M185</f>
        <v/>
      </c>
      <c r="AH185" s="20" t="n"/>
    </row>
    <row r="186">
      <c r="A186" s="9" t="n">
        <v>672860</v>
      </c>
      <c r="B186" s="9" t="inlineStr">
        <is>
          <t>Prelander Berroa</t>
        </is>
      </c>
      <c r="C186" s="9" t="inlineStr">
        <is>
          <t>CWS</t>
        </is>
      </c>
      <c r="D186" s="9" t="n">
        <v>27</v>
      </c>
      <c r="E186" s="18" t="inlineStr">
        <is>
          <t>R</t>
        </is>
      </c>
      <c r="F186" s="18" t="n"/>
      <c r="G186" s="9" t="n">
        <v>83</v>
      </c>
      <c r="H186" s="9" t="n">
        <v>91</v>
      </c>
      <c r="I186" s="9" t="inlineStr">
        <is>
          <t>Bullpen Depth Arm</t>
        </is>
      </c>
      <c r="J186" s="18" t="inlineStr">
        <is>
          <t>Opening Day</t>
        </is>
      </c>
      <c r="K186" s="11">
        <f>IFERROR(INDEX(Roles!$B$17:$B$20,MATCH(J186,Roles!$A$17:$A$20,0)),1)</f>
        <v/>
      </c>
      <c r="L186" s="19" t="n">
        <v>1</v>
      </c>
      <c r="M186" s="11" t="n">
        <v>1</v>
      </c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>
        <v>0.5</v>
      </c>
      <c r="X186" s="19" t="n"/>
      <c r="Y186" s="19" t="n">
        <v>0.5</v>
      </c>
      <c r="Z186" s="13">
        <f>SUMPRODUCT(N186:Y186,$N$2:$Y$2)*$K186*$L186*$M186</f>
        <v/>
      </c>
      <c r="AA186" s="14">
        <f>SUM(N186:Y186)</f>
        <v/>
      </c>
      <c r="AB186" s="13">
        <f>SUMPRODUCT(N186:Y186,$N$3:$Y$3)*$K186*$L186*$M186</f>
        <v/>
      </c>
      <c r="AC186" s="13">
        <f>SUMPRODUCT(N186:Y186,$N$4:$Y$4)*$K186*$L186*$M186</f>
        <v/>
      </c>
      <c r="AD186" s="15" t="n">
        <v>15.86666666666666</v>
      </c>
      <c r="AE186" s="11" t="n">
        <v>1.174056154448311</v>
      </c>
      <c r="AF186" s="16">
        <f>SUMPRODUCT(N186:Y186,$N$5:$Y$5)*$K186*$L186*$M186</f>
        <v/>
      </c>
      <c r="AG186" s="16">
        <f>SUMPRODUCT(N186:Y186,$N$6:$Y$6)*$K186*$L186*$M186</f>
        <v/>
      </c>
      <c r="AH186" s="20" t="n"/>
    </row>
    <row r="187">
      <c r="A187" s="9" t="n">
        <v>677952</v>
      </c>
      <c r="B187" s="9" t="inlineStr">
        <is>
          <t>Braxton Ashcraft</t>
        </is>
      </c>
      <c r="C187" s="9" t="inlineStr">
        <is>
          <t>PIT</t>
        </is>
      </c>
      <c r="D187" s="9" t="n">
        <v>27</v>
      </c>
      <c r="E187" s="18" t="inlineStr">
        <is>
          <t>R</t>
        </is>
      </c>
      <c r="F187" s="18" t="n"/>
      <c r="G187" s="9" t="n">
        <v>667</v>
      </c>
      <c r="H187" s="9" t="n">
        <v>959</v>
      </c>
      <c r="I187" s="9" t="inlineStr">
        <is>
          <t>End-of-Rotation Starter (SP4-5)</t>
        </is>
      </c>
      <c r="J187" s="18" t="inlineStr">
        <is>
          <t>Opening Day</t>
        </is>
      </c>
      <c r="K187" s="11">
        <f>IFERROR(INDEX(Roles!$B$17:$B$20,MATCH(J187,Roles!$A$17:$A$20,0)),1)</f>
        <v/>
      </c>
      <c r="L187" s="19" t="n">
        <v>1</v>
      </c>
      <c r="M187" s="11" t="n">
        <v>1</v>
      </c>
      <c r="N187" s="19" t="n"/>
      <c r="O187" s="19" t="n"/>
      <c r="P187" s="19" t="n">
        <v>0.5</v>
      </c>
      <c r="Q187" s="19" t="n"/>
      <c r="R187" s="19" t="n">
        <v>0.5</v>
      </c>
      <c r="S187" s="19" t="n"/>
      <c r="T187" s="19" t="n"/>
      <c r="U187" s="19" t="n"/>
      <c r="V187" s="19" t="n"/>
      <c r="W187" s="19" t="n"/>
      <c r="X187" s="19" t="n"/>
      <c r="Y187" s="19" t="n"/>
      <c r="Z187" s="13">
        <f>SUMPRODUCT(N187:Y187,$N$2:$Y$2)*$K187*$L187*$M187</f>
        <v/>
      </c>
      <c r="AA187" s="14">
        <f>SUM(N187:Y187)</f>
        <v/>
      </c>
      <c r="AB187" s="13">
        <f>SUMPRODUCT(N187:Y187,$N$3:$Y$3)*$K187*$L187*$M187</f>
        <v/>
      </c>
      <c r="AC187" s="13">
        <f>SUMPRODUCT(N187:Y187,$N$4:$Y$4)*$K187*$L187*$M187</f>
        <v/>
      </c>
      <c r="AD187" s="15" t="n">
        <v>22.72</v>
      </c>
      <c r="AE187" s="11" t="n">
        <v>4.594226579520697</v>
      </c>
      <c r="AF187" s="16">
        <f>SUMPRODUCT(N187:Y187,$N$5:$Y$5)*$K187*$L187*$M187</f>
        <v/>
      </c>
      <c r="AG187" s="16">
        <f>SUMPRODUCT(N187:Y187,$N$6:$Y$6)*$K187*$L187*$M187</f>
        <v/>
      </c>
      <c r="AH187" s="20" t="n"/>
    </row>
    <row r="188">
      <c r="A188" s="9" t="n">
        <v>592155</v>
      </c>
      <c r="B188" s="9" t="inlineStr">
        <is>
          <t>Cam Booser</t>
        </is>
      </c>
      <c r="C188" s="9" t="inlineStr">
        <is>
          <t>TB</t>
        </is>
      </c>
      <c r="D188" s="9" t="n">
        <v>35</v>
      </c>
      <c r="E188" s="18" t="inlineStr">
        <is>
          <t>L</t>
        </is>
      </c>
      <c r="F188" s="18" t="n"/>
      <c r="G188" s="9" t="n">
        <v>152</v>
      </c>
      <c r="H188" s="9" t="n">
        <v>478</v>
      </c>
      <c r="I188" s="9" t="inlineStr">
        <is>
          <t>Middle Relief</t>
        </is>
      </c>
      <c r="J188" s="18" t="inlineStr">
        <is>
          <t>Opening Day</t>
        </is>
      </c>
      <c r="K188" s="11">
        <f>IFERROR(INDEX(Roles!$B$17:$B$20,MATCH(J188,Roles!$A$17:$A$20,0)),1)</f>
        <v/>
      </c>
      <c r="L188" s="19" t="n">
        <v>1</v>
      </c>
      <c r="M188" s="11" t="n">
        <v>1</v>
      </c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>
        <v>0.85</v>
      </c>
      <c r="W188" s="19" t="n">
        <v>0.15</v>
      </c>
      <c r="X188" s="19" t="n"/>
      <c r="Y188" s="19" t="n"/>
      <c r="Z188" s="13">
        <f>SUMPRODUCT(N188:Y188,$N$2:$Y$2)*$K188*$L188*$M188</f>
        <v/>
      </c>
      <c r="AA188" s="14">
        <f>SUM(N188:Y188)</f>
        <v/>
      </c>
      <c r="AB188" s="13">
        <f>SUMPRODUCT(N188:Y188,$N$3:$Y$3)*$K188*$L188*$M188</f>
        <v/>
      </c>
      <c r="AC188" s="13">
        <f>SUMPRODUCT(N188:Y188,$N$4:$Y$4)*$K188*$L188*$M188</f>
        <v/>
      </c>
      <c r="AD188" s="15" t="n">
        <v>39.43333333333333</v>
      </c>
      <c r="AE188" s="11" t="n">
        <v>0.9963862299126156</v>
      </c>
      <c r="AF188" s="16">
        <f>SUMPRODUCT(N188:Y188,$N$5:$Y$5)*$K188*$L188*$M188</f>
        <v/>
      </c>
      <c r="AG188" s="16">
        <f>SUMPRODUCT(N188:Y188,$N$6:$Y$6)*$K188*$L188*$M188</f>
        <v/>
      </c>
      <c r="AH188" s="20" t="n"/>
    </row>
    <row r="189">
      <c r="A189" s="9" t="n">
        <v>663556</v>
      </c>
      <c r="B189" s="9" t="inlineStr">
        <is>
          <t>Shane McClanahan</t>
        </is>
      </c>
      <c r="C189" s="9" t="inlineStr">
        <is>
          <t>TB</t>
        </is>
      </c>
      <c r="D189" s="9" t="n">
        <v>30</v>
      </c>
      <c r="E189" s="18" t="inlineStr">
        <is>
          <t>L</t>
        </is>
      </c>
      <c r="F189" s="18" t="n"/>
      <c r="G189" s="9" t="n">
        <v>487</v>
      </c>
      <c r="H189" s="9" t="n">
        <v>1597</v>
      </c>
      <c r="I189" s="9" t="inlineStr">
        <is>
          <t>Mid-Rotation Starter (SP2-3)</t>
        </is>
      </c>
      <c r="J189" s="18" t="inlineStr">
        <is>
          <t>Opening Day</t>
        </is>
      </c>
      <c r="K189" s="11">
        <f>IFERROR(INDEX(Roles!$B$17:$B$20,MATCH(J189,Roles!$A$17:$A$20,0)),1)</f>
        <v/>
      </c>
      <c r="L189" s="19" t="n">
        <v>1</v>
      </c>
      <c r="M189" s="11" t="n">
        <v>1</v>
      </c>
      <c r="N189" s="19" t="n"/>
      <c r="O189" s="19" t="n">
        <v>0.5</v>
      </c>
      <c r="P189" s="19" t="n">
        <v>0.5</v>
      </c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3">
        <f>SUMPRODUCT(N189:Y189,$N$2:$Y$2)*$K189*$L189*$M189</f>
        <v/>
      </c>
      <c r="AA189" s="14">
        <f>SUM(N189:Y189)</f>
        <v/>
      </c>
      <c r="AB189" s="13">
        <f>SUMPRODUCT(N189:Y189,$N$3:$Y$3)*$K189*$L189*$M189</f>
        <v/>
      </c>
      <c r="AC189" s="13">
        <f>SUMPRODUCT(N189:Y189,$N$4:$Y$4)*$K189*$L189*$M189</f>
        <v/>
      </c>
      <c r="AD189" s="15" t="n">
        <v>24.8</v>
      </c>
      <c r="AE189" s="11" t="n">
        <v>5.108422939068102</v>
      </c>
      <c r="AF189" s="16">
        <f>SUMPRODUCT(N189:Y189,$N$5:$Y$5)*$K189*$L189*$M189</f>
        <v/>
      </c>
      <c r="AG189" s="16">
        <f>SUMPRODUCT(N189:Y189,$N$6:$Y$6)*$K189*$L189*$M189</f>
        <v/>
      </c>
      <c r="AH189" s="20" t="n"/>
    </row>
    <row r="190">
      <c r="A190" s="9" t="n">
        <v>668831</v>
      </c>
      <c r="B190" s="9" t="inlineStr">
        <is>
          <t>Garrett Stallings</t>
        </is>
      </c>
      <c r="C190" s="9" t="inlineStr">
        <is>
          <t>MIL</t>
        </is>
      </c>
      <c r="D190" s="9" t="n">
        <v>29</v>
      </c>
      <c r="E190" s="18" t="inlineStr">
        <is>
          <t>R</t>
        </is>
      </c>
      <c r="F190" s="18" t="n"/>
      <c r="G190" s="9" t="n">
        <v>51</v>
      </c>
      <c r="H190" s="9" t="n">
        <v>51</v>
      </c>
      <c r="I190" s="9" t="inlineStr">
        <is>
          <t>Swing Arm / Long Relief</t>
        </is>
      </c>
      <c r="J190" s="18" t="inlineStr">
        <is>
          <t>Opening Day</t>
        </is>
      </c>
      <c r="K190" s="11">
        <f>IFERROR(INDEX(Roles!$B$17:$B$20,MATCH(J190,Roles!$A$17:$A$20,0)),1)</f>
        <v/>
      </c>
      <c r="L190" s="19" t="n">
        <v>1</v>
      </c>
      <c r="M190" s="11" t="n">
        <v>1</v>
      </c>
      <c r="N190" s="19" t="n"/>
      <c r="O190" s="19" t="n"/>
      <c r="P190" s="19" t="n"/>
      <c r="Q190" s="19" t="n"/>
      <c r="R190" s="19" t="n">
        <v>0.55</v>
      </c>
      <c r="S190" s="19" t="n"/>
      <c r="T190" s="19" t="n"/>
      <c r="U190" s="19" t="n"/>
      <c r="V190" s="19" t="n">
        <v>0.45</v>
      </c>
      <c r="W190" s="19" t="n"/>
      <c r="X190" s="19" t="n"/>
      <c r="Y190" s="19" t="n"/>
      <c r="Z190" s="13">
        <f>SUMPRODUCT(N190:Y190,$N$2:$Y$2)*$K190*$L190*$M190</f>
        <v/>
      </c>
      <c r="AA190" s="14">
        <f>SUM(N190:Y190)</f>
        <v/>
      </c>
      <c r="AB190" s="13">
        <f>SUMPRODUCT(N190:Y190,$N$3:$Y$3)*$K190*$L190*$M190</f>
        <v/>
      </c>
      <c r="AC190" s="13">
        <f>SUMPRODUCT(N190:Y190,$N$4:$Y$4)*$K190*$L190*$M190</f>
        <v/>
      </c>
      <c r="AD190" s="15" t="n">
        <v>11.73333333333333</v>
      </c>
      <c r="AE190" s="11" t="n">
        <v>2.446265938069217</v>
      </c>
      <c r="AF190" s="16">
        <f>SUMPRODUCT(N190:Y190,$N$5:$Y$5)*$K190*$L190*$M190</f>
        <v/>
      </c>
      <c r="AG190" s="16">
        <f>SUMPRODUCT(N190:Y190,$N$6:$Y$6)*$K190*$L190*$M190</f>
        <v/>
      </c>
      <c r="AH190" s="20" t="n"/>
    </row>
    <row r="191">
      <c r="A191" s="9" t="n">
        <v>676714</v>
      </c>
      <c r="B191" s="9" t="inlineStr">
        <is>
          <t>Brandon Hughes</t>
        </is>
      </c>
      <c r="C191" s="9" t="inlineStr">
        <is>
          <t>ARI</t>
        </is>
      </c>
      <c r="D191" s="9" t="n">
        <v>31</v>
      </c>
      <c r="E191" s="18" t="inlineStr">
        <is>
          <t>L</t>
        </is>
      </c>
      <c r="F191" s="18" t="n"/>
      <c r="G191" s="9" t="n">
        <v>89</v>
      </c>
      <c r="H191" s="9" t="n">
        <v>391</v>
      </c>
      <c r="I191" s="9" t="inlineStr">
        <is>
          <t>Depth (no MLB IP)</t>
        </is>
      </c>
      <c r="J191" s="18" t="inlineStr">
        <is>
          <t>Opening Day</t>
        </is>
      </c>
      <c r="K191" s="11">
        <f>IFERROR(INDEX(Roles!$B$17:$B$20,MATCH(J191,Roles!$A$17:$A$20,0)),1)</f>
        <v/>
      </c>
      <c r="L191" s="19" t="n">
        <v>1</v>
      </c>
      <c r="M191" s="11" t="n">
        <v>1</v>
      </c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>
        <v>1</v>
      </c>
      <c r="Z191" s="13">
        <f>SUMPRODUCT(N191:Y191,$N$2:$Y$2)*$K191*$L191*$M191</f>
        <v/>
      </c>
      <c r="AA191" s="14">
        <f>SUM(N191:Y191)</f>
        <v/>
      </c>
      <c r="AB191" s="13">
        <f>SUMPRODUCT(N191:Y191,$N$3:$Y$3)*$K191*$L191*$M191</f>
        <v/>
      </c>
      <c r="AC191" s="13">
        <f>SUMPRODUCT(N191:Y191,$N$4:$Y$4)*$K191*$L191*$M191</f>
        <v/>
      </c>
      <c r="AD191" s="15" t="n">
        <v>10.2</v>
      </c>
      <c r="AE191" s="11" t="n">
        <v>1.06679012345679</v>
      </c>
      <c r="AF191" s="16">
        <f>SUMPRODUCT(N191:Y191,$N$5:$Y$5)*$K191*$L191*$M191</f>
        <v/>
      </c>
      <c r="AG191" s="16">
        <f>SUMPRODUCT(N191:Y191,$N$6:$Y$6)*$K191*$L191*$M191</f>
        <v/>
      </c>
      <c r="AH191" s="20" t="n"/>
    </row>
    <row r="192">
      <c r="A192" s="9" t="n">
        <v>650633</v>
      </c>
      <c r="B192" s="9" t="inlineStr">
        <is>
          <t>Michael King</t>
        </is>
      </c>
      <c r="C192" s="9" t="inlineStr">
        <is>
          <t>SD</t>
        </is>
      </c>
      <c r="D192" s="9" t="n">
        <v>32</v>
      </c>
      <c r="E192" s="18" t="inlineStr">
        <is>
          <t>R</t>
        </is>
      </c>
      <c r="F192" s="18" t="n"/>
      <c r="G192" s="9" t="n">
        <v>757</v>
      </c>
      <c r="H192" s="9" t="n">
        <v>2421</v>
      </c>
      <c r="I192" s="9" t="inlineStr">
        <is>
          <t>Ace (SP1)</t>
        </is>
      </c>
      <c r="J192" s="18" t="inlineStr">
        <is>
          <t>Opening Day</t>
        </is>
      </c>
      <c r="K192" s="11">
        <f>IFERROR(INDEX(Roles!$B$17:$B$20,MATCH(J192,Roles!$A$17:$A$20,0)),1)</f>
        <v/>
      </c>
      <c r="L192" s="19" t="n">
        <v>1</v>
      </c>
      <c r="M192" s="11" t="n">
        <v>1</v>
      </c>
      <c r="N192" s="19" t="n">
        <v>0.5</v>
      </c>
      <c r="O192" s="19" t="n">
        <v>0.5</v>
      </c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3">
        <f>SUMPRODUCT(N192:Y192,$N$2:$Y$2)*$K192*$L192*$M192</f>
        <v/>
      </c>
      <c r="AA192" s="14">
        <f>SUM(N192:Y192)</f>
        <v/>
      </c>
      <c r="AB192" s="13">
        <f>SUMPRODUCT(N192:Y192,$N$3:$Y$3)*$K192*$L192*$M192</f>
        <v/>
      </c>
      <c r="AC192" s="13">
        <f>SUMPRODUCT(N192:Y192,$N$4:$Y$4)*$K192*$L192*$M192</f>
        <v/>
      </c>
      <c r="AD192" s="15" t="n">
        <v>25.9</v>
      </c>
      <c r="AE192" s="11" t="n">
        <v>5.604488929329693</v>
      </c>
      <c r="AF192" s="16">
        <f>SUMPRODUCT(N192:Y192,$N$5:$Y$5)*$K192*$L192*$M192</f>
        <v/>
      </c>
      <c r="AG192" s="16">
        <f>SUMPRODUCT(N192:Y192,$N$6:$Y$6)*$K192*$L192*$M192</f>
        <v/>
      </c>
      <c r="AH192" s="20" t="n"/>
    </row>
    <row r="193">
      <c r="A193" s="9" t="n">
        <v>800048</v>
      </c>
      <c r="B193" s="9" t="inlineStr">
        <is>
          <t>Parker Messick</t>
        </is>
      </c>
      <c r="C193" s="9" t="inlineStr">
        <is>
          <t>CLE</t>
        </is>
      </c>
      <c r="D193" s="9" t="n">
        <v>26</v>
      </c>
      <c r="E193" s="18" t="inlineStr">
        <is>
          <t>L</t>
        </is>
      </c>
      <c r="F193" s="18" t="n"/>
      <c r="G193" s="9" t="n">
        <v>747</v>
      </c>
      <c r="H193" s="9" t="n">
        <v>912</v>
      </c>
      <c r="I193" s="9" t="inlineStr">
        <is>
          <t>Ace (SP1)</t>
        </is>
      </c>
      <c r="J193" s="18" t="inlineStr">
        <is>
          <t>Opening Day</t>
        </is>
      </c>
      <c r="K193" s="11">
        <f>IFERROR(INDEX(Roles!$B$17:$B$20,MATCH(J193,Roles!$A$17:$A$20,0)),1)</f>
        <v/>
      </c>
      <c r="L193" s="19" t="n">
        <v>1</v>
      </c>
      <c r="M193" s="11" t="n">
        <v>1</v>
      </c>
      <c r="N193" s="19" t="n">
        <v>0.5</v>
      </c>
      <c r="O193" s="19" t="n">
        <v>0.5</v>
      </c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3">
        <f>SUMPRODUCT(N193:Y193,$N$2:$Y$2)*$K193*$L193*$M193</f>
        <v/>
      </c>
      <c r="AA193" s="14">
        <f>SUM(N193:Y193)</f>
        <v/>
      </c>
      <c r="AB193" s="13">
        <f>SUMPRODUCT(N193:Y193,$N$3:$Y$3)*$K193*$L193*$M193</f>
        <v/>
      </c>
      <c r="AC193" s="13">
        <f>SUMPRODUCT(N193:Y193,$N$4:$Y$4)*$K193*$L193*$M193</f>
        <v/>
      </c>
      <c r="AD193" s="15" t="n">
        <v>23.4</v>
      </c>
      <c r="AE193" s="11" t="n">
        <v>5.680375180375179</v>
      </c>
      <c r="AF193" s="16">
        <f>SUMPRODUCT(N193:Y193,$N$5:$Y$5)*$K193*$L193*$M193</f>
        <v/>
      </c>
      <c r="AG193" s="16">
        <f>SUMPRODUCT(N193:Y193,$N$6:$Y$6)*$K193*$L193*$M193</f>
        <v/>
      </c>
      <c r="AH193" s="20" t="n"/>
    </row>
    <row r="194">
      <c r="A194" s="9" t="n">
        <v>596133</v>
      </c>
      <c r="B194" s="9" t="inlineStr">
        <is>
          <t>Luke Weaver</t>
        </is>
      </c>
      <c r="C194" s="9" t="inlineStr">
        <is>
          <t>PIT</t>
        </is>
      </c>
      <c r="D194" s="9" t="n">
        <v>33</v>
      </c>
      <c r="E194" s="18" t="inlineStr">
        <is>
          <t>R</t>
        </is>
      </c>
      <c r="F194" s="18" t="n"/>
      <c r="G194" s="9" t="n">
        <v>238</v>
      </c>
      <c r="H194" s="9" t="n">
        <v>1568</v>
      </c>
      <c r="I194" s="9" t="inlineStr">
        <is>
          <t>Late Inning RP (Setup)</t>
        </is>
      </c>
      <c r="J194" s="18" t="inlineStr">
        <is>
          <t>Opening Day</t>
        </is>
      </c>
      <c r="K194" s="11">
        <f>IFERROR(INDEX(Roles!$B$17:$B$20,MATCH(J194,Roles!$A$17:$A$20,0)),1)</f>
        <v/>
      </c>
      <c r="L194" s="19" t="n">
        <v>1</v>
      </c>
      <c r="M194" s="11" t="n">
        <v>1</v>
      </c>
      <c r="N194" s="19" t="n"/>
      <c r="O194" s="19" t="n"/>
      <c r="P194" s="19" t="n"/>
      <c r="Q194" s="19" t="n"/>
      <c r="R194" s="19" t="n"/>
      <c r="S194" s="19" t="n"/>
      <c r="T194" s="19" t="n"/>
      <c r="U194" s="19" t="n">
        <v>0.85</v>
      </c>
      <c r="V194" s="19" t="n">
        <v>0.15</v>
      </c>
      <c r="W194" s="19" t="n"/>
      <c r="X194" s="19" t="n"/>
      <c r="Y194" s="19" t="n"/>
      <c r="Z194" s="13">
        <f>SUMPRODUCT(N194:Y194,$N$2:$Y$2)*$K194*$L194*$M194</f>
        <v/>
      </c>
      <c r="AA194" s="14">
        <f>SUM(N194:Y194)</f>
        <v/>
      </c>
      <c r="AB194" s="13">
        <f>SUMPRODUCT(N194:Y194,$N$3:$Y$3)*$K194*$L194*$M194</f>
        <v/>
      </c>
      <c r="AC194" s="13">
        <f>SUMPRODUCT(N194:Y194,$N$4:$Y$4)*$K194*$L194*$M194</f>
        <v/>
      </c>
      <c r="AD194" s="15" t="n">
        <v>56.2</v>
      </c>
      <c r="AE194" s="11" t="n">
        <v>1.014977477477477</v>
      </c>
      <c r="AF194" s="16">
        <f>SUMPRODUCT(N194:Y194,$N$5:$Y$5)*$K194*$L194*$M194</f>
        <v/>
      </c>
      <c r="AG194" s="16">
        <f>SUMPRODUCT(N194:Y194,$N$6:$Y$6)*$K194*$L194*$M194</f>
        <v/>
      </c>
      <c r="AH194" s="20" t="n"/>
    </row>
    <row r="195">
      <c r="A195" s="9" t="n">
        <v>605400</v>
      </c>
      <c r="B195" s="9" t="inlineStr">
        <is>
          <t>Aaron Nola</t>
        </is>
      </c>
      <c r="C195" s="9" t="inlineStr">
        <is>
          <t>PHI</t>
        </is>
      </c>
      <c r="D195" s="9" t="n">
        <v>34</v>
      </c>
      <c r="E195" s="18" t="inlineStr">
        <is>
          <t>R</t>
        </is>
      </c>
      <c r="F195" s="18" t="n"/>
      <c r="G195" s="9" t="n">
        <v>744</v>
      </c>
      <c r="H195" s="9" t="n">
        <v>3568</v>
      </c>
      <c r="I195" s="9" t="inlineStr">
        <is>
          <t>End-of-Rotation Starter (SP4-5)</t>
        </is>
      </c>
      <c r="J195" s="18" t="inlineStr">
        <is>
          <t>Opening Day</t>
        </is>
      </c>
      <c r="K195" s="11">
        <f>IFERROR(INDEX(Roles!$B$17:$B$20,MATCH(J195,Roles!$A$17:$A$20,0)),1)</f>
        <v/>
      </c>
      <c r="L195" s="19" t="n">
        <v>1</v>
      </c>
      <c r="M195" s="11" t="n">
        <v>1</v>
      </c>
      <c r="N195" s="19" t="n"/>
      <c r="O195" s="19" t="n"/>
      <c r="P195" s="19" t="n">
        <v>0.5</v>
      </c>
      <c r="Q195" s="19" t="n"/>
      <c r="R195" s="19" t="n">
        <v>0.5</v>
      </c>
      <c r="S195" s="19" t="n"/>
      <c r="T195" s="19" t="n"/>
      <c r="U195" s="19" t="n"/>
      <c r="V195" s="19" t="n"/>
      <c r="W195" s="19" t="n"/>
      <c r="X195" s="19" t="n"/>
      <c r="Y195" s="19" t="n"/>
      <c r="Z195" s="13">
        <f>SUMPRODUCT(N195:Y195,$N$2:$Y$2)*$K195*$L195*$M195</f>
        <v/>
      </c>
      <c r="AA195" s="14">
        <f>SUM(N195:Y195)</f>
        <v/>
      </c>
      <c r="AB195" s="13">
        <f>SUMPRODUCT(N195:Y195,$N$3:$Y$3)*$K195*$L195*$M195</f>
        <v/>
      </c>
      <c r="AC195" s="13">
        <f>SUMPRODUCT(N195:Y195,$N$4:$Y$4)*$K195*$L195*$M195</f>
        <v/>
      </c>
      <c r="AD195" s="15" t="n">
        <v>23</v>
      </c>
      <c r="AE195" s="11" t="n">
        <v>4.872378402498885</v>
      </c>
      <c r="AF195" s="16">
        <f>SUMPRODUCT(N195:Y195,$N$5:$Y$5)*$K195*$L195*$M195</f>
        <v/>
      </c>
      <c r="AG195" s="16">
        <f>SUMPRODUCT(N195:Y195,$N$6:$Y$6)*$K195*$L195*$M195</f>
        <v/>
      </c>
      <c r="AH195" s="20" t="n"/>
    </row>
    <row r="196">
      <c r="A196" s="9" t="n">
        <v>676395</v>
      </c>
      <c r="B196" s="9" t="inlineStr">
        <is>
          <t>Robert Garcia</t>
        </is>
      </c>
      <c r="C196" s="9" t="inlineStr">
        <is>
          <t>TEX</t>
        </is>
      </c>
      <c r="D196" s="9" t="n">
        <v>31</v>
      </c>
      <c r="E196" s="18" t="inlineStr">
        <is>
          <t>L</t>
        </is>
      </c>
      <c r="F196" s="18" t="n"/>
      <c r="G196" s="9" t="n">
        <v>71</v>
      </c>
      <c r="H196" s="9" t="n">
        <v>718</v>
      </c>
      <c r="I196" s="9" t="inlineStr">
        <is>
          <t>Late Inning RP (Setup)</t>
        </is>
      </c>
      <c r="J196" s="18" t="inlineStr">
        <is>
          <t>Opening Day</t>
        </is>
      </c>
      <c r="K196" s="11">
        <f>IFERROR(INDEX(Roles!$B$17:$B$20,MATCH(J196,Roles!$A$17:$A$20,0)),1)</f>
        <v/>
      </c>
      <c r="L196" s="19" t="n">
        <v>1</v>
      </c>
      <c r="M196" s="11" t="n">
        <v>1</v>
      </c>
      <c r="N196" s="19" t="n"/>
      <c r="O196" s="19" t="n"/>
      <c r="P196" s="19" t="n"/>
      <c r="Q196" s="19" t="n"/>
      <c r="R196" s="19" t="n"/>
      <c r="S196" s="19" t="n"/>
      <c r="T196" s="19" t="n"/>
      <c r="U196" s="19" t="n">
        <v>0.6</v>
      </c>
      <c r="V196" s="19" t="n">
        <v>0.4</v>
      </c>
      <c r="W196" s="19" t="n"/>
      <c r="X196" s="19" t="n"/>
      <c r="Y196" s="19" t="n"/>
      <c r="Z196" s="13">
        <f>SUMPRODUCT(N196:Y196,$N$2:$Y$2)*$K196*$L196*$M196</f>
        <v/>
      </c>
      <c r="AA196" s="14">
        <f>SUM(N196:Y196)</f>
        <v/>
      </c>
      <c r="AB196" s="13">
        <f>SUMPRODUCT(N196:Y196,$N$3:$Y$3)*$K196*$L196*$M196</f>
        <v/>
      </c>
      <c r="AC196" s="13">
        <f>SUMPRODUCT(N196:Y196,$N$4:$Y$4)*$K196*$L196*$M196</f>
        <v/>
      </c>
      <c r="AD196" s="15" t="n">
        <v>46.6</v>
      </c>
      <c r="AE196" s="11" t="n">
        <v>0.956153690186537</v>
      </c>
      <c r="AF196" s="16">
        <f>SUMPRODUCT(N196:Y196,$N$5:$Y$5)*$K196*$L196*$M196</f>
        <v/>
      </c>
      <c r="AG196" s="16">
        <f>SUMPRODUCT(N196:Y196,$N$6:$Y$6)*$K196*$L196*$M196</f>
        <v/>
      </c>
      <c r="AH196" s="20" t="n"/>
    </row>
    <row r="197">
      <c r="A197" s="9" t="n">
        <v>686752</v>
      </c>
      <c r="B197" s="9" t="inlineStr">
        <is>
          <t>Ryan Pepiot</t>
        </is>
      </c>
      <c r="C197" s="9" t="inlineStr">
        <is>
          <t>TB</t>
        </is>
      </c>
      <c r="D197" s="9" t="n">
        <v>29</v>
      </c>
      <c r="E197" s="18" t="inlineStr">
        <is>
          <t>R</t>
        </is>
      </c>
      <c r="F197" s="18" t="n"/>
      <c r="G197" s="9" t="n">
        <v>679</v>
      </c>
      <c r="H197" s="9" t="n">
        <v>1537</v>
      </c>
      <c r="I197" s="9" t="inlineStr">
        <is>
          <t>Swing Arm / Long Relief</t>
        </is>
      </c>
      <c r="J197" s="18" t="inlineStr">
        <is>
          <t>Opening Day</t>
        </is>
      </c>
      <c r="K197" s="11">
        <f>IFERROR(INDEX(Roles!$B$17:$B$20,MATCH(J197,Roles!$A$17:$A$20,0)),1)</f>
        <v/>
      </c>
      <c r="L197" s="19" t="n">
        <v>1</v>
      </c>
      <c r="M197" s="11" t="n">
        <v>1</v>
      </c>
      <c r="N197" s="19" t="n"/>
      <c r="O197" s="19" t="n"/>
      <c r="P197" s="19" t="n"/>
      <c r="Q197" s="19" t="n"/>
      <c r="R197" s="19" t="n">
        <v>0.5</v>
      </c>
      <c r="S197" s="19" t="n"/>
      <c r="T197" s="19" t="n"/>
      <c r="U197" s="19" t="n"/>
      <c r="V197" s="19" t="n">
        <v>0.5</v>
      </c>
      <c r="W197" s="19" t="n"/>
      <c r="X197" s="19" t="n"/>
      <c r="Y197" s="19" t="n"/>
      <c r="Z197" s="13">
        <f>SUMPRODUCT(N197:Y197,$N$2:$Y$2)*$K197*$L197*$M197</f>
        <v/>
      </c>
      <c r="AA197" s="14">
        <f>SUM(N197:Y197)</f>
        <v/>
      </c>
      <c r="AB197" s="13">
        <f>SUMPRODUCT(N197:Y197,$N$3:$Y$3)*$K197*$L197*$M197</f>
        <v/>
      </c>
      <c r="AC197" s="13">
        <f>SUMPRODUCT(N197:Y197,$N$4:$Y$4)*$K197*$L197*$M197</f>
        <v/>
      </c>
      <c r="AD197" s="15" t="n">
        <v>25.73333333333333</v>
      </c>
      <c r="AE197" s="11" t="n">
        <v>3.431114422917702</v>
      </c>
      <c r="AF197" s="16">
        <f>SUMPRODUCT(N197:Y197,$N$5:$Y$5)*$K197*$L197*$M197</f>
        <v/>
      </c>
      <c r="AG197" s="16">
        <f>SUMPRODUCT(N197:Y197,$N$6:$Y$6)*$K197*$L197*$M197</f>
        <v/>
      </c>
      <c r="AH197" s="20" t="n"/>
    </row>
    <row r="198">
      <c r="A198" s="9" t="n">
        <v>689147</v>
      </c>
      <c r="B198" s="9" t="inlineStr">
        <is>
          <t>Orion Kerkering</t>
        </is>
      </c>
      <c r="C198" s="9" t="inlineStr">
        <is>
          <t>PHI</t>
        </is>
      </c>
      <c r="D198" s="9" t="n">
        <v>26</v>
      </c>
      <c r="E198" s="18" t="inlineStr">
        <is>
          <t>R</t>
        </is>
      </c>
      <c r="F198" s="18" t="n"/>
      <c r="G198" s="9" t="n">
        <v>268</v>
      </c>
      <c r="H198" s="9" t="n">
        <v>805</v>
      </c>
      <c r="I198" s="9" t="inlineStr">
        <is>
          <t>Middle Relief</t>
        </is>
      </c>
      <c r="J198" s="18" t="inlineStr">
        <is>
          <t>Opening Day</t>
        </is>
      </c>
      <c r="K198" s="11">
        <f>IFERROR(INDEX(Roles!$B$17:$B$20,MATCH(J198,Roles!$A$17:$A$20,0)),1)</f>
        <v/>
      </c>
      <c r="L198" s="19" t="n">
        <v>1</v>
      </c>
      <c r="M198" s="11" t="n">
        <v>1</v>
      </c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>
        <v>1</v>
      </c>
      <c r="W198" s="19" t="n"/>
      <c r="X198" s="19" t="n"/>
      <c r="Y198" s="19" t="n"/>
      <c r="Z198" s="13">
        <f>SUMPRODUCT(N198:Y198,$N$2:$Y$2)*$K198*$L198*$M198</f>
        <v/>
      </c>
      <c r="AA198" s="14">
        <f>SUM(N198:Y198)</f>
        <v/>
      </c>
      <c r="AB198" s="13">
        <f>SUMPRODUCT(N198:Y198,$N$3:$Y$3)*$K198*$L198*$M198</f>
        <v/>
      </c>
      <c r="AC198" s="13">
        <f>SUMPRODUCT(N198:Y198,$N$4:$Y$4)*$K198*$L198*$M198</f>
        <v/>
      </c>
      <c r="AD198" s="15" t="n">
        <v>53.53333333333333</v>
      </c>
      <c r="AE198" s="11" t="n">
        <v>0.9958447957032488</v>
      </c>
      <c r="AF198" s="16">
        <f>SUMPRODUCT(N198:Y198,$N$5:$Y$5)*$K198*$L198*$M198</f>
        <v/>
      </c>
      <c r="AG198" s="16">
        <f>SUMPRODUCT(N198:Y198,$N$6:$Y$6)*$K198*$L198*$M198</f>
        <v/>
      </c>
      <c r="AH198" s="20" t="n"/>
    </row>
    <row r="199">
      <c r="A199" s="9" t="n">
        <v>543339</v>
      </c>
      <c r="B199" s="9" t="inlineStr">
        <is>
          <t>Daniel Hudson</t>
        </is>
      </c>
      <c r="C199" s="9" t="inlineStr">
        <is>
          <t>LAD</t>
        </is>
      </c>
      <c r="D199" s="9" t="n">
        <v>40</v>
      </c>
      <c r="E199" s="18" t="inlineStr">
        <is>
          <t>R</t>
        </is>
      </c>
      <c r="F199" s="18" t="n"/>
      <c r="G199" s="9" t="n">
        <v>253</v>
      </c>
      <c r="H199" s="9" t="n">
        <v>364</v>
      </c>
      <c r="I199" s="9" t="inlineStr">
        <is>
          <t>Depth (no MLB IP)</t>
        </is>
      </c>
      <c r="J199" s="18" t="inlineStr">
        <is>
          <t>Opening Day</t>
        </is>
      </c>
      <c r="K199" s="11">
        <f>IFERROR(INDEX(Roles!$B$17:$B$20,MATCH(J199,Roles!$A$17:$A$20,0)),1)</f>
        <v/>
      </c>
      <c r="L199" s="19" t="n">
        <v>1</v>
      </c>
      <c r="M199" s="11" t="n">
        <v>1</v>
      </c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>
        <v>1</v>
      </c>
      <c r="Z199" s="13">
        <f>SUMPRODUCT(N199:Y199,$N$2:$Y$2)*$K199*$L199*$M199</f>
        <v/>
      </c>
      <c r="AA199" s="14">
        <f>SUM(N199:Y199)</f>
        <v/>
      </c>
      <c r="AB199" s="13">
        <f>SUMPRODUCT(N199:Y199,$N$3:$Y$3)*$K199*$L199*$M199</f>
        <v/>
      </c>
      <c r="AC199" s="13">
        <f>SUMPRODUCT(N199:Y199,$N$4:$Y$4)*$K199*$L199*$M199</f>
        <v/>
      </c>
      <c r="AD199" s="15" t="n">
        <v>40.2</v>
      </c>
      <c r="AE199" s="11" t="n">
        <v>0.9972744539411204</v>
      </c>
      <c r="AF199" s="16">
        <f>SUMPRODUCT(N199:Y199,$N$5:$Y$5)*$K199*$L199*$M199</f>
        <v/>
      </c>
      <c r="AG199" s="16">
        <f>SUMPRODUCT(N199:Y199,$N$6:$Y$6)*$K199*$L199*$M199</f>
        <v/>
      </c>
      <c r="AH199" s="20" t="n"/>
    </row>
    <row r="200">
      <c r="A200" s="9" t="n">
        <v>673929</v>
      </c>
      <c r="B200" s="9" t="inlineStr">
        <is>
          <t>Jordan Leasure</t>
        </is>
      </c>
      <c r="C200" s="9" t="inlineStr">
        <is>
          <t>CWS</t>
        </is>
      </c>
      <c r="D200" s="9" t="n">
        <v>28</v>
      </c>
      <c r="E200" s="18" t="inlineStr">
        <is>
          <t>R</t>
        </is>
      </c>
      <c r="F200" s="18" t="n"/>
      <c r="G200" s="9" t="n">
        <v>78</v>
      </c>
      <c r="H200" s="9" t="n">
        <v>489</v>
      </c>
      <c r="I200" s="9" t="inlineStr">
        <is>
          <t>Bullpen Depth Arm</t>
        </is>
      </c>
      <c r="J200" s="18" t="inlineStr">
        <is>
          <t>Opening Day</t>
        </is>
      </c>
      <c r="K200" s="11">
        <f>IFERROR(INDEX(Roles!$B$17:$B$20,MATCH(J200,Roles!$A$17:$A$20,0)),1)</f>
        <v/>
      </c>
      <c r="L200" s="19" t="n">
        <v>1</v>
      </c>
      <c r="M200" s="11" t="n">
        <v>1</v>
      </c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>
        <v>0.15</v>
      </c>
      <c r="W200" s="19" t="n">
        <v>0.85</v>
      </c>
      <c r="X200" s="19" t="n"/>
      <c r="Y200" s="19" t="n"/>
      <c r="Z200" s="13">
        <f>SUMPRODUCT(N200:Y200,$N$2:$Y$2)*$K200*$L200*$M200</f>
        <v/>
      </c>
      <c r="AA200" s="14">
        <f>SUM(N200:Y200)</f>
        <v/>
      </c>
      <c r="AB200" s="13">
        <f>SUMPRODUCT(N200:Y200,$N$3:$Y$3)*$K200*$L200*$M200</f>
        <v/>
      </c>
      <c r="AC200" s="13">
        <f>SUMPRODUCT(N200:Y200,$N$4:$Y$4)*$K200*$L200*$M200</f>
        <v/>
      </c>
      <c r="AD200" s="15" t="n">
        <v>27.96666666666667</v>
      </c>
      <c r="AE200" s="11" t="n">
        <v>1.124377089997419</v>
      </c>
      <c r="AF200" s="16">
        <f>SUMPRODUCT(N200:Y200,$N$5:$Y$5)*$K200*$L200*$M200</f>
        <v/>
      </c>
      <c r="AG200" s="16">
        <f>SUMPRODUCT(N200:Y200,$N$6:$Y$6)*$K200*$L200*$M200</f>
        <v/>
      </c>
      <c r="AH200" s="20" t="n"/>
    </row>
    <row r="201">
      <c r="A201" s="9" t="n">
        <v>690986</v>
      </c>
      <c r="B201" s="9" t="inlineStr">
        <is>
          <t>Kyle Harrison</t>
        </is>
      </c>
      <c r="C201" s="9" t="inlineStr">
        <is>
          <t>MIL</t>
        </is>
      </c>
      <c r="D201" s="9" t="n">
        <v>25</v>
      </c>
      <c r="E201" s="18" t="inlineStr">
        <is>
          <t>L</t>
        </is>
      </c>
      <c r="F201" s="18" t="n"/>
      <c r="G201" s="9" t="n">
        <v>505</v>
      </c>
      <c r="H201" s="9" t="n">
        <v>1340</v>
      </c>
      <c r="I201" s="9" t="inlineStr">
        <is>
          <t>Bullpen Depth Arm</t>
        </is>
      </c>
      <c r="J201" s="18" t="inlineStr">
        <is>
          <t>Opening Day</t>
        </is>
      </c>
      <c r="K201" s="11">
        <f>IFERROR(INDEX(Roles!$B$17:$B$20,MATCH(J201,Roles!$A$17:$A$20,0)),1)</f>
        <v/>
      </c>
      <c r="L201" s="19" t="n">
        <v>1</v>
      </c>
      <c r="M201" s="11" t="n">
        <v>1</v>
      </c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>
        <v>0.15</v>
      </c>
      <c r="W201" s="19" t="n">
        <v>0.85</v>
      </c>
      <c r="X201" s="19" t="n"/>
      <c r="Y201" s="19" t="n"/>
      <c r="Z201" s="13">
        <f>SUMPRODUCT(N201:Y201,$N$2:$Y$2)*$K201*$L201*$M201</f>
        <v/>
      </c>
      <c r="AA201" s="14">
        <f>SUM(N201:Y201)</f>
        <v/>
      </c>
      <c r="AB201" s="13">
        <f>SUMPRODUCT(N201:Y201,$N$3:$Y$3)*$K201*$L201*$M201</f>
        <v/>
      </c>
      <c r="AC201" s="13">
        <f>SUMPRODUCT(N201:Y201,$N$4:$Y$4)*$K201*$L201*$M201</f>
        <v/>
      </c>
      <c r="AD201" s="15" t="n">
        <v>18.66666666666666</v>
      </c>
      <c r="AE201" s="11" t="n">
        <v>2.19296012629346</v>
      </c>
      <c r="AF201" s="16">
        <f>SUMPRODUCT(N201:Y201,$N$5:$Y$5)*$K201*$L201*$M201</f>
        <v/>
      </c>
      <c r="AG201" s="16">
        <f>SUMPRODUCT(N201:Y201,$N$6:$Y$6)*$K201*$L201*$M201</f>
        <v/>
      </c>
      <c r="AH201" s="20" t="n"/>
    </row>
    <row r="202">
      <c r="A202" s="9" t="n">
        <v>820862</v>
      </c>
      <c r="B202" s="9" t="inlineStr">
        <is>
          <t>José Fermin</t>
        </is>
      </c>
      <c r="C202" s="9" t="inlineStr">
        <is>
          <t>LAA</t>
        </is>
      </c>
      <c r="D202" s="9" t="n">
        <v>25</v>
      </c>
      <c r="E202" s="18" t="inlineStr">
        <is>
          <t>R</t>
        </is>
      </c>
      <c r="F202" s="18" t="n"/>
      <c r="G202" s="9" t="n">
        <v>238</v>
      </c>
      <c r="H202" s="9" t="n">
        <v>390</v>
      </c>
      <c r="I202" s="9" t="inlineStr">
        <is>
          <t>Late Inning RP (Setup)</t>
        </is>
      </c>
      <c r="J202" s="18" t="inlineStr">
        <is>
          <t>Opening Day</t>
        </is>
      </c>
      <c r="K202" s="11">
        <f>IFERROR(INDEX(Roles!$B$17:$B$20,MATCH(J202,Roles!$A$17:$A$20,0)),1)</f>
        <v/>
      </c>
      <c r="L202" s="19" t="n">
        <v>1</v>
      </c>
      <c r="M202" s="11" t="n">
        <v>1</v>
      </c>
      <c r="N202" s="19" t="n"/>
      <c r="O202" s="19" t="n"/>
      <c r="P202" s="19" t="n"/>
      <c r="Q202" s="19" t="n"/>
      <c r="R202" s="19" t="n"/>
      <c r="S202" s="19" t="n"/>
      <c r="T202" s="19" t="n"/>
      <c r="U202" s="19" t="n">
        <v>0.85</v>
      </c>
      <c r="V202" s="19" t="n">
        <v>0.15</v>
      </c>
      <c r="W202" s="19" t="n"/>
      <c r="X202" s="19" t="n"/>
      <c r="Y202" s="19" t="n"/>
      <c r="Z202" s="13">
        <f>SUMPRODUCT(N202:Y202,$N$2:$Y$2)*$K202*$L202*$M202</f>
        <v/>
      </c>
      <c r="AA202" s="14">
        <f>SUM(N202:Y202)</f>
        <v/>
      </c>
      <c r="AB202" s="13">
        <f>SUMPRODUCT(N202:Y202,$N$3:$Y$3)*$K202*$L202*$M202</f>
        <v/>
      </c>
      <c r="AC202" s="13">
        <f>SUMPRODUCT(N202:Y202,$N$4:$Y$4)*$K202*$L202*$M202</f>
        <v/>
      </c>
      <c r="AD202" s="15" t="n">
        <v>47.88</v>
      </c>
      <c r="AE202" s="11" t="n">
        <v>0.9800383542538352</v>
      </c>
      <c r="AF202" s="16">
        <f>SUMPRODUCT(N202:Y202,$N$5:$Y$5)*$K202*$L202*$M202</f>
        <v/>
      </c>
      <c r="AG202" s="16">
        <f>SUMPRODUCT(N202:Y202,$N$6:$Y$6)*$K202*$L202*$M202</f>
        <v/>
      </c>
      <c r="AH202" s="20" t="n"/>
    </row>
    <row r="203">
      <c r="A203" s="9" t="n">
        <v>579328</v>
      </c>
      <c r="B203" s="9" t="inlineStr">
        <is>
          <t>Yusei Kikuchi</t>
        </is>
      </c>
      <c r="C203" s="9" t="inlineStr">
        <is>
          <t>LAA</t>
        </is>
      </c>
      <c r="D203" s="9" t="n">
        <v>36</v>
      </c>
      <c r="E203" s="18" t="inlineStr">
        <is>
          <t>L</t>
        </is>
      </c>
      <c r="F203" s="18" t="n"/>
      <c r="G203" s="9" t="n">
        <v>305</v>
      </c>
      <c r="H203" s="9" t="n">
        <v>2967</v>
      </c>
      <c r="I203" s="9" t="inlineStr">
        <is>
          <t>Mid-Rotation Starter (SP2-3)</t>
        </is>
      </c>
      <c r="J203" s="18" t="inlineStr">
        <is>
          <t>Opening Day</t>
        </is>
      </c>
      <c r="K203" s="11">
        <f>IFERROR(INDEX(Roles!$B$17:$B$20,MATCH(J203,Roles!$A$17:$A$20,0)),1)</f>
        <v/>
      </c>
      <c r="L203" s="19" t="n">
        <v>1</v>
      </c>
      <c r="M203" s="11" t="n">
        <v>1</v>
      </c>
      <c r="N203" s="19" t="n"/>
      <c r="O203" s="19" t="n">
        <v>0.5</v>
      </c>
      <c r="P203" s="19" t="n">
        <v>0.5</v>
      </c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3">
        <f>SUMPRODUCT(N203:Y203,$N$2:$Y$2)*$K203*$L203*$M203</f>
        <v/>
      </c>
      <c r="AA203" s="14">
        <f>SUM(N203:Y203)</f>
        <v/>
      </c>
      <c r="AB203" s="13">
        <f>SUMPRODUCT(N203:Y203,$N$3:$Y$3)*$K203*$L203*$M203</f>
        <v/>
      </c>
      <c r="AC203" s="13">
        <f>SUMPRODUCT(N203:Y203,$N$4:$Y$4)*$K203*$L203*$M203</f>
        <v/>
      </c>
      <c r="AD203" s="15" t="n">
        <v>24.4</v>
      </c>
      <c r="AE203" s="11" t="n">
        <v>5.220327700972863</v>
      </c>
      <c r="AF203" s="16">
        <f>SUMPRODUCT(N203:Y203,$N$5:$Y$5)*$K203*$L203*$M203</f>
        <v/>
      </c>
      <c r="AG203" s="16">
        <f>SUMPRODUCT(N203:Y203,$N$6:$Y$6)*$K203*$L203*$M203</f>
        <v/>
      </c>
      <c r="AH203" s="20" t="n"/>
    </row>
    <row r="204">
      <c r="A204" s="9" t="n">
        <v>455119</v>
      </c>
      <c r="B204" s="9" t="inlineStr">
        <is>
          <t>Chris Martin</t>
        </is>
      </c>
      <c r="C204" s="9" t="inlineStr">
        <is>
          <t>TEX</t>
        </is>
      </c>
      <c r="D204" s="9" t="n">
        <v>41</v>
      </c>
      <c r="E204" s="18" t="inlineStr">
        <is>
          <t>R</t>
        </is>
      </c>
      <c r="F204" s="18" t="n"/>
      <c r="G204" s="9" t="n">
        <v>66</v>
      </c>
      <c r="H204" s="9" t="n">
        <v>844</v>
      </c>
      <c r="I204" s="9" t="inlineStr">
        <is>
          <t>Closer</t>
        </is>
      </c>
      <c r="J204" s="18" t="inlineStr">
        <is>
          <t>Opening Day</t>
        </is>
      </c>
      <c r="K204" s="11">
        <f>IFERROR(INDEX(Roles!$B$17:$B$20,MATCH(J204,Roles!$A$17:$A$20,0)),1)</f>
        <v/>
      </c>
      <c r="L204" s="19" t="n">
        <v>1</v>
      </c>
      <c r="M204" s="11" t="n">
        <v>1</v>
      </c>
      <c r="N204" s="19" t="n"/>
      <c r="O204" s="19" t="n"/>
      <c r="P204" s="19" t="n"/>
      <c r="Q204" s="19" t="n"/>
      <c r="R204" s="19" t="n"/>
      <c r="S204" s="19" t="n"/>
      <c r="T204" s="19" t="n">
        <v>1</v>
      </c>
      <c r="U204" s="19" t="n"/>
      <c r="V204" s="19" t="n"/>
      <c r="W204" s="19" t="n"/>
      <c r="X204" s="19" t="n"/>
      <c r="Y204" s="19" t="n"/>
      <c r="Z204" s="13">
        <f>SUMPRODUCT(N204:Y204,$N$2:$Y$2)*$K204*$L204*$M204</f>
        <v/>
      </c>
      <c r="AA204" s="14">
        <f>SUM(N204:Y204)</f>
        <v/>
      </c>
      <c r="AB204" s="13">
        <f>SUMPRODUCT(N204:Y204,$N$3:$Y$3)*$K204*$L204*$M204</f>
        <v/>
      </c>
      <c r="AC204" s="13">
        <f>SUMPRODUCT(N204:Y204,$N$4:$Y$4)*$K204*$L204*$M204</f>
        <v/>
      </c>
      <c r="AD204" s="15" t="n">
        <v>39.26000000000001</v>
      </c>
      <c r="AE204" s="11" t="n">
        <v>0.9675928649397678</v>
      </c>
      <c r="AF204" s="16">
        <f>SUMPRODUCT(N204:Y204,$N$5:$Y$5)*$K204*$L204*$M204</f>
        <v/>
      </c>
      <c r="AG204" s="16">
        <f>SUMPRODUCT(N204:Y204,$N$6:$Y$6)*$K204*$L204*$M204</f>
        <v/>
      </c>
      <c r="AH204" s="20" t="n"/>
    </row>
    <row r="205">
      <c r="A205" s="9" t="n">
        <v>641656</v>
      </c>
      <c r="B205" s="9" t="inlineStr">
        <is>
          <t>Ian Hamilton</t>
        </is>
      </c>
      <c r="C205" s="9" t="inlineStr">
        <is>
          <t>NYY</t>
        </is>
      </c>
      <c r="D205" s="9" t="n">
        <v>32</v>
      </c>
      <c r="E205" s="18" t="inlineStr">
        <is>
          <t>R</t>
        </is>
      </c>
      <c r="F205" s="18" t="n"/>
      <c r="G205" s="9" t="n">
        <v>23</v>
      </c>
      <c r="H205" s="9" t="n">
        <v>602</v>
      </c>
      <c r="I205" s="9" t="inlineStr">
        <is>
          <t>Middle Relief</t>
        </is>
      </c>
      <c r="J205" s="18" t="inlineStr">
        <is>
          <t>Opening Day</t>
        </is>
      </c>
      <c r="K205" s="11">
        <f>IFERROR(INDEX(Roles!$B$17:$B$20,MATCH(J205,Roles!$A$17:$A$20,0)),1)</f>
        <v/>
      </c>
      <c r="L205" s="19" t="n">
        <v>1</v>
      </c>
      <c r="M205" s="11" t="n">
        <v>1</v>
      </c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>
        <v>1</v>
      </c>
      <c r="W205" s="19" t="n"/>
      <c r="X205" s="19" t="n"/>
      <c r="Y205" s="19" t="n"/>
      <c r="Z205" s="13">
        <f>SUMPRODUCT(N205:Y205,$N$2:$Y$2)*$K205*$L205*$M205</f>
        <v/>
      </c>
      <c r="AA205" s="14">
        <f>SUM(N205:Y205)</f>
        <v/>
      </c>
      <c r="AB205" s="13">
        <f>SUMPRODUCT(N205:Y205,$N$3:$Y$3)*$K205*$L205*$M205</f>
        <v/>
      </c>
      <c r="AC205" s="13">
        <f>SUMPRODUCT(N205:Y205,$N$4:$Y$4)*$K205*$L205*$M205</f>
        <v/>
      </c>
      <c r="AD205" s="15" t="n">
        <v>26.63333333333333</v>
      </c>
      <c r="AE205" s="11" t="n">
        <v>1.057957957119018</v>
      </c>
      <c r="AF205" s="16">
        <f>SUMPRODUCT(N205:Y205,$N$5:$Y$5)*$K205*$L205*$M205</f>
        <v/>
      </c>
      <c r="AG205" s="16">
        <f>SUMPRODUCT(N205:Y205,$N$6:$Y$6)*$K205*$L205*$M205</f>
        <v/>
      </c>
      <c r="AH205" s="20" t="n"/>
    </row>
    <row r="206">
      <c r="A206" s="9" t="n">
        <v>607237</v>
      </c>
      <c r="B206" s="9" t="inlineStr">
        <is>
          <t>Amir Garrett</t>
        </is>
      </c>
      <c r="C206" s="9" t="inlineStr">
        <is>
          <t>KC</t>
        </is>
      </c>
      <c r="D206" s="9" t="n">
        <v>35</v>
      </c>
      <c r="E206" s="18" t="inlineStr">
        <is>
          <t>L</t>
        </is>
      </c>
      <c r="F206" s="18" t="n"/>
      <c r="G206" s="9" t="n">
        <v>24</v>
      </c>
      <c r="H206" s="9" t="n">
        <v>332</v>
      </c>
      <c r="I206" s="9" t="inlineStr">
        <is>
          <t>Depth (no MLB IP)</t>
        </is>
      </c>
      <c r="J206" s="18" t="inlineStr">
        <is>
          <t>Opening Day</t>
        </is>
      </c>
      <c r="K206" s="11">
        <f>IFERROR(INDEX(Roles!$B$17:$B$20,MATCH(J206,Roles!$A$17:$A$20,0)),1)</f>
        <v/>
      </c>
      <c r="L206" s="19" t="n">
        <v>1</v>
      </c>
      <c r="M206" s="11" t="n">
        <v>1</v>
      </c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>
        <v>1</v>
      </c>
      <c r="Z206" s="13">
        <f>SUMPRODUCT(N206:Y206,$N$2:$Y$2)*$K206*$L206*$M206</f>
        <v/>
      </c>
      <c r="AA206" s="14">
        <f>SUM(N206:Y206)</f>
        <v/>
      </c>
      <c r="AB206" s="13">
        <f>SUMPRODUCT(N206:Y206,$N$3:$Y$3)*$K206*$L206*$M206</f>
        <v/>
      </c>
      <c r="AC206" s="13">
        <f>SUMPRODUCT(N206:Y206,$N$4:$Y$4)*$K206*$L206*$M206</f>
        <v/>
      </c>
      <c r="AD206" s="15" t="n">
        <v>4.8</v>
      </c>
      <c r="AE206" s="11" t="n">
        <v>0.9704938271604936</v>
      </c>
      <c r="AF206" s="16">
        <f>SUMPRODUCT(N206:Y206,$N$5:$Y$5)*$K206*$L206*$M206</f>
        <v/>
      </c>
      <c r="AG206" s="16">
        <f>SUMPRODUCT(N206:Y206,$N$6:$Y$6)*$K206*$L206*$M206</f>
        <v/>
      </c>
      <c r="AH206" s="20" t="n"/>
    </row>
    <row r="207">
      <c r="A207" s="9" t="n">
        <v>669111</v>
      </c>
      <c r="B207" s="9" t="inlineStr">
        <is>
          <t>John McMillon</t>
        </is>
      </c>
      <c r="C207" s="9" t="inlineStr">
        <is>
          <t>MIA</t>
        </is>
      </c>
      <c r="D207" s="9" t="n">
        <v>29</v>
      </c>
      <c r="E207" s="18" t="inlineStr">
        <is>
          <t>R</t>
        </is>
      </c>
      <c r="F207" s="18" t="n"/>
      <c r="G207" s="9" t="n">
        <v>47</v>
      </c>
      <c r="H207" s="9" t="n">
        <v>60</v>
      </c>
      <c r="I207" s="9" t="inlineStr">
        <is>
          <t>Depth (no MLB IP)</t>
        </is>
      </c>
      <c r="J207" s="18" t="inlineStr">
        <is>
          <t>Opening Day</t>
        </is>
      </c>
      <c r="K207" s="11">
        <f>IFERROR(INDEX(Roles!$B$17:$B$20,MATCH(J207,Roles!$A$17:$A$20,0)),1)</f>
        <v/>
      </c>
      <c r="L207" s="19" t="n">
        <v>1</v>
      </c>
      <c r="M207" s="11" t="n">
        <v>1</v>
      </c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>
        <v>1</v>
      </c>
      <c r="Z207" s="13">
        <f>SUMPRODUCT(N207:Y207,$N$2:$Y$2)*$K207*$L207*$M207</f>
        <v/>
      </c>
      <c r="AA207" s="14">
        <f>SUM(N207:Y207)</f>
        <v/>
      </c>
      <c r="AB207" s="13">
        <f>SUMPRODUCT(N207:Y207,$N$3:$Y$3)*$K207*$L207*$M207</f>
        <v/>
      </c>
      <c r="AC207" s="13">
        <f>SUMPRODUCT(N207:Y207,$N$4:$Y$4)*$K207*$L207*$M207</f>
        <v/>
      </c>
      <c r="AD207" s="15" t="n">
        <v>7.2</v>
      </c>
      <c r="AE207" s="11" t="n">
        <v>1.074197530864197</v>
      </c>
      <c r="AF207" s="16">
        <f>SUMPRODUCT(N207:Y207,$N$5:$Y$5)*$K207*$L207*$M207</f>
        <v/>
      </c>
      <c r="AG207" s="16">
        <f>SUMPRODUCT(N207:Y207,$N$6:$Y$6)*$K207*$L207*$M207</f>
        <v/>
      </c>
      <c r="AH207" s="20" t="n"/>
    </row>
    <row r="208">
      <c r="A208" s="9" t="n">
        <v>669022</v>
      </c>
      <c r="B208" s="9" t="inlineStr">
        <is>
          <t>MacKenzie Gore</t>
        </is>
      </c>
      <c r="C208" s="9" t="inlineStr">
        <is>
          <t>TEX</t>
        </is>
      </c>
      <c r="D208" s="9" t="n">
        <v>28</v>
      </c>
      <c r="E208" s="18" t="inlineStr">
        <is>
          <t>L</t>
        </is>
      </c>
      <c r="F208" s="18" t="n"/>
      <c r="G208" s="9" t="n">
        <v>750</v>
      </c>
      <c r="H208" s="9" t="n">
        <v>3052</v>
      </c>
      <c r="I208" s="9" t="inlineStr">
        <is>
          <t>Mid-Rotation Starter (SP2-3)</t>
        </is>
      </c>
      <c r="J208" s="18" t="inlineStr">
        <is>
          <t>Opening Day</t>
        </is>
      </c>
      <c r="K208" s="11">
        <f>IFERROR(INDEX(Roles!$B$17:$B$20,MATCH(J208,Roles!$A$17:$A$20,0)),1)</f>
        <v/>
      </c>
      <c r="L208" s="19" t="n">
        <v>1</v>
      </c>
      <c r="M208" s="11" t="n">
        <v>1</v>
      </c>
      <c r="N208" s="19" t="n"/>
      <c r="O208" s="19" t="n">
        <v>0.5</v>
      </c>
      <c r="P208" s="19" t="n">
        <v>0.5</v>
      </c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3">
        <f>SUMPRODUCT(N208:Y208,$N$2:$Y$2)*$K208*$L208*$M208</f>
        <v/>
      </c>
      <c r="AA208" s="14">
        <f>SUM(N208:Y208)</f>
        <v/>
      </c>
      <c r="AB208" s="13">
        <f>SUMPRODUCT(N208:Y208,$N$3:$Y$3)*$K208*$L208*$M208</f>
        <v/>
      </c>
      <c r="AC208" s="13">
        <f>SUMPRODUCT(N208:Y208,$N$4:$Y$4)*$K208*$L208*$M208</f>
        <v/>
      </c>
      <c r="AD208" s="15" t="n">
        <v>29.8</v>
      </c>
      <c r="AE208" s="11" t="n">
        <v>5.195765436204413</v>
      </c>
      <c r="AF208" s="16">
        <f>SUMPRODUCT(N208:Y208,$N$5:$Y$5)*$K208*$L208*$M208</f>
        <v/>
      </c>
      <c r="AG208" s="16">
        <f>SUMPRODUCT(N208:Y208,$N$6:$Y$6)*$K208*$L208*$M208</f>
        <v/>
      </c>
      <c r="AH208" s="20" t="n"/>
    </row>
    <row r="209">
      <c r="A209" s="9" t="n">
        <v>670950</v>
      </c>
      <c r="B209" s="9" t="inlineStr">
        <is>
          <t>Trevor Richards</t>
        </is>
      </c>
      <c r="C209" s="9" t="inlineStr">
        <is>
          <t>CWS</t>
        </is>
      </c>
      <c r="D209" s="9" t="n">
        <v>34</v>
      </c>
      <c r="E209" s="18" t="inlineStr">
        <is>
          <t>R</t>
        </is>
      </c>
      <c r="F209" s="18" t="n"/>
      <c r="G209" s="9" t="n">
        <v>345</v>
      </c>
      <c r="H209" s="9" t="n">
        <v>1247</v>
      </c>
      <c r="I209" s="9" t="inlineStr">
        <is>
          <t>Swing Arm / Long Relief</t>
        </is>
      </c>
      <c r="J209" s="18" t="inlineStr">
        <is>
          <t>Opening Day</t>
        </is>
      </c>
      <c r="K209" s="11">
        <f>IFERROR(INDEX(Roles!$B$17:$B$20,MATCH(J209,Roles!$A$17:$A$20,0)),1)</f>
        <v/>
      </c>
      <c r="L209" s="19" t="n">
        <v>1</v>
      </c>
      <c r="M209" s="11" t="n">
        <v>1</v>
      </c>
      <c r="N209" s="19" t="n"/>
      <c r="O209" s="19" t="n"/>
      <c r="P209" s="19" t="n"/>
      <c r="Q209" s="19" t="n"/>
      <c r="R209" s="19" t="n">
        <v>0.6</v>
      </c>
      <c r="S209" s="19" t="n"/>
      <c r="T209" s="19" t="n"/>
      <c r="U209" s="19" t="n"/>
      <c r="V209" s="19" t="n">
        <v>0.4</v>
      </c>
      <c r="W209" s="19" t="n"/>
      <c r="X209" s="19" t="n"/>
      <c r="Y209" s="19" t="n"/>
      <c r="Z209" s="13">
        <f>SUMPRODUCT(N209:Y209,$N$2:$Y$2)*$K209*$L209*$M209</f>
        <v/>
      </c>
      <c r="AA209" s="14">
        <f>SUM(N209:Y209)</f>
        <v/>
      </c>
      <c r="AB209" s="13">
        <f>SUMPRODUCT(N209:Y209,$N$3:$Y$3)*$K209*$L209*$M209</f>
        <v/>
      </c>
      <c r="AC209" s="13">
        <f>SUMPRODUCT(N209:Y209,$N$4:$Y$4)*$K209*$L209*$M209</f>
        <v/>
      </c>
      <c r="AD209" s="15" t="n">
        <v>30.83333333333333</v>
      </c>
      <c r="AE209" s="11" t="n">
        <v>2.146706466703578</v>
      </c>
      <c r="AF209" s="16">
        <f>SUMPRODUCT(N209:Y209,$N$5:$Y$5)*$K209*$L209*$M209</f>
        <v/>
      </c>
      <c r="AG209" s="16">
        <f>SUMPRODUCT(N209:Y209,$N$6:$Y$6)*$K209*$L209*$M209</f>
        <v/>
      </c>
      <c r="AH209" s="20" t="n"/>
    </row>
    <row r="210">
      <c r="A210" s="9" t="n">
        <v>676254</v>
      </c>
      <c r="B210" s="9" t="inlineStr">
        <is>
          <t>Ryan Walker</t>
        </is>
      </c>
      <c r="C210" s="9" t="inlineStr">
        <is>
          <t>SF</t>
        </is>
      </c>
      <c r="D210" s="9" t="n">
        <v>31</v>
      </c>
      <c r="E210" s="18" t="inlineStr">
        <is>
          <t>R</t>
        </is>
      </c>
      <c r="F210" s="18" t="n"/>
      <c r="G210" s="9" t="n">
        <v>155</v>
      </c>
      <c r="H210" s="9" t="n">
        <v>992</v>
      </c>
      <c r="I210" s="9" t="inlineStr">
        <is>
          <t>Middle Relief</t>
        </is>
      </c>
      <c r="J210" s="18" t="inlineStr">
        <is>
          <t>Opening Day</t>
        </is>
      </c>
      <c r="K210" s="11">
        <f>IFERROR(INDEX(Roles!$B$17:$B$20,MATCH(J210,Roles!$A$17:$A$20,0)),1)</f>
        <v/>
      </c>
      <c r="L210" s="19" t="n">
        <v>1</v>
      </c>
      <c r="M210" s="11" t="n">
        <v>1</v>
      </c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>
        <v>1</v>
      </c>
      <c r="W210" s="19" t="n"/>
      <c r="X210" s="19" t="n"/>
      <c r="Y210" s="19" t="n"/>
      <c r="Z210" s="13">
        <f>SUMPRODUCT(N210:Y210,$N$2:$Y$2)*$K210*$L210*$M210</f>
        <v/>
      </c>
      <c r="AA210" s="14">
        <f>SUM(N210:Y210)</f>
        <v/>
      </c>
      <c r="AB210" s="13">
        <f>SUMPRODUCT(N210:Y210,$N$3:$Y$3)*$K210*$L210*$M210</f>
        <v/>
      </c>
      <c r="AC210" s="13">
        <f>SUMPRODUCT(N210:Y210,$N$4:$Y$4)*$K210*$L210*$M210</f>
        <v/>
      </c>
      <c r="AD210" s="15" t="n">
        <v>45.83333333333333</v>
      </c>
      <c r="AE210" s="11" t="n">
        <v>1.011401714043009</v>
      </c>
      <c r="AF210" s="16">
        <f>SUMPRODUCT(N210:Y210,$N$5:$Y$5)*$K210*$L210*$M210</f>
        <v/>
      </c>
      <c r="AG210" s="16">
        <f>SUMPRODUCT(N210:Y210,$N$6:$Y$6)*$K210*$L210*$M210</f>
        <v/>
      </c>
      <c r="AH210" s="20" t="n"/>
    </row>
    <row r="211">
      <c r="A211" s="9" t="n">
        <v>686642</v>
      </c>
      <c r="B211" s="9" t="inlineStr">
        <is>
          <t>Fraser Ellard</t>
        </is>
      </c>
      <c r="C211" s="9" t="inlineStr">
        <is>
          <t>CWS</t>
        </is>
      </c>
      <c r="D211" s="9" t="n">
        <v>29</v>
      </c>
      <c r="E211" s="18" t="inlineStr">
        <is>
          <t>L</t>
        </is>
      </c>
      <c r="F211" s="18" t="n"/>
      <c r="G211" s="9" t="n">
        <v>74</v>
      </c>
      <c r="H211" s="9" t="n">
        <v>175</v>
      </c>
      <c r="I211" s="9" t="inlineStr">
        <is>
          <t>Bullpen Depth Arm</t>
        </is>
      </c>
      <c r="J211" s="18" t="inlineStr">
        <is>
          <t>Opening Day</t>
        </is>
      </c>
      <c r="K211" s="11">
        <f>IFERROR(INDEX(Roles!$B$17:$B$20,MATCH(J211,Roles!$A$17:$A$20,0)),1)</f>
        <v/>
      </c>
      <c r="L211" s="19" t="n">
        <v>1</v>
      </c>
      <c r="M211" s="11" t="n">
        <v>1</v>
      </c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>
        <v>1</v>
      </c>
      <c r="X211" s="19" t="n"/>
      <c r="Y211" s="19" t="n"/>
      <c r="Z211" s="13">
        <f>SUMPRODUCT(N211:Y211,$N$2:$Y$2)*$K211*$L211*$M211</f>
        <v/>
      </c>
      <c r="AA211" s="14">
        <f>SUM(N211:Y211)</f>
        <v/>
      </c>
      <c r="AB211" s="13">
        <f>SUMPRODUCT(N211:Y211,$N$3:$Y$3)*$K211*$L211*$M211</f>
        <v/>
      </c>
      <c r="AC211" s="13">
        <f>SUMPRODUCT(N211:Y211,$N$4:$Y$4)*$K211*$L211*$M211</f>
        <v/>
      </c>
      <c r="AD211" s="15" t="n">
        <v>17.86666666666667</v>
      </c>
      <c r="AE211" s="11" t="n">
        <v>1.118447025550851</v>
      </c>
      <c r="AF211" s="16">
        <f>SUMPRODUCT(N211:Y211,$N$5:$Y$5)*$K211*$L211*$M211</f>
        <v/>
      </c>
      <c r="AG211" s="16">
        <f>SUMPRODUCT(N211:Y211,$N$6:$Y$6)*$K211*$L211*$M211</f>
        <v/>
      </c>
      <c r="AH211" s="20" t="n"/>
    </row>
    <row r="212">
      <c r="A212" s="9" t="n">
        <v>676742</v>
      </c>
      <c r="B212" s="9" t="inlineStr">
        <is>
          <t>Cam Sanders</t>
        </is>
      </c>
      <c r="C212" s="9" t="inlineStr">
        <is>
          <t>BAL</t>
        </is>
      </c>
      <c r="D212" s="9" t="n">
        <v>30</v>
      </c>
      <c r="E212" s="18" t="inlineStr">
        <is>
          <t>R</t>
        </is>
      </c>
      <c r="F212" s="18" t="n"/>
      <c r="G212" s="9" t="n">
        <v>131</v>
      </c>
      <c r="H212" s="9" t="n">
        <v>165</v>
      </c>
      <c r="I212" s="9" t="inlineStr">
        <is>
          <t>Middle Relief</t>
        </is>
      </c>
      <c r="J212" s="18" t="inlineStr">
        <is>
          <t>Opening Day</t>
        </is>
      </c>
      <c r="K212" s="11">
        <f>IFERROR(INDEX(Roles!$B$17:$B$20,MATCH(J212,Roles!$A$17:$A$20,0)),1)</f>
        <v/>
      </c>
      <c r="L212" s="19" t="n">
        <v>1</v>
      </c>
      <c r="M212" s="11" t="n">
        <v>1</v>
      </c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>
        <v>0.85</v>
      </c>
      <c r="W212" s="19" t="n">
        <v>0.15</v>
      </c>
      <c r="X212" s="19" t="n"/>
      <c r="Y212" s="19" t="n"/>
      <c r="Z212" s="13">
        <f>SUMPRODUCT(N212:Y212,$N$2:$Y$2)*$K212*$L212*$M212</f>
        <v/>
      </c>
      <c r="AA212" s="14">
        <f>SUM(N212:Y212)</f>
        <v/>
      </c>
      <c r="AB212" s="13">
        <f>SUMPRODUCT(N212:Y212,$N$3:$Y$3)*$K212*$L212*$M212</f>
        <v/>
      </c>
      <c r="AC212" s="13">
        <f>SUMPRODUCT(N212:Y212,$N$4:$Y$4)*$K212*$L212*$M212</f>
        <v/>
      </c>
      <c r="AD212" s="15" t="n">
        <v>26.25333333333333</v>
      </c>
      <c r="AE212" s="11" t="n">
        <v>1.040995616627266</v>
      </c>
      <c r="AF212" s="16">
        <f>SUMPRODUCT(N212:Y212,$N$5:$Y$5)*$K212*$L212*$M212</f>
        <v/>
      </c>
      <c r="AG212" s="16">
        <f>SUMPRODUCT(N212:Y212,$N$6:$Y$6)*$K212*$L212*$M212</f>
        <v/>
      </c>
      <c r="AH212" s="20" t="n"/>
    </row>
    <row r="213">
      <c r="A213" s="9" t="n">
        <v>693433</v>
      </c>
      <c r="B213" s="9" t="inlineStr">
        <is>
          <t>Bryan Woo</t>
        </is>
      </c>
      <c r="C213" s="9" t="inlineStr">
        <is>
          <t>SEA</t>
        </is>
      </c>
      <c r="D213" s="9" t="n">
        <v>27</v>
      </c>
      <c r="E213" s="18" t="inlineStr">
        <is>
          <t>R</t>
        </is>
      </c>
      <c r="F213" s="18" t="n"/>
      <c r="G213" s="9" t="n">
        <v>710</v>
      </c>
      <c r="H213" s="9" t="n">
        <v>2284</v>
      </c>
      <c r="I213" s="9" t="inlineStr">
        <is>
          <t>Mid-Rotation Starter (SP2-3)</t>
        </is>
      </c>
      <c r="J213" s="18" t="inlineStr">
        <is>
          <t>Opening Day</t>
        </is>
      </c>
      <c r="K213" s="11">
        <f>IFERROR(INDEX(Roles!$B$17:$B$20,MATCH(J213,Roles!$A$17:$A$20,0)),1)</f>
        <v/>
      </c>
      <c r="L213" s="19" t="n">
        <v>1</v>
      </c>
      <c r="M213" s="11" t="n">
        <v>1</v>
      </c>
      <c r="N213" s="19" t="n"/>
      <c r="O213" s="19" t="n">
        <v>0.5</v>
      </c>
      <c r="P213" s="19" t="n">
        <v>0.5</v>
      </c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3">
        <f>SUMPRODUCT(N213:Y213,$N$2:$Y$2)*$K213*$L213*$M213</f>
        <v/>
      </c>
      <c r="AA213" s="14">
        <f>SUM(N213:Y213)</f>
        <v/>
      </c>
      <c r="AB213" s="13">
        <f>SUMPRODUCT(N213:Y213,$N$3:$Y$3)*$K213*$L213*$M213</f>
        <v/>
      </c>
      <c r="AC213" s="13">
        <f>SUMPRODUCT(N213:Y213,$N$4:$Y$4)*$K213*$L213*$M213</f>
        <v/>
      </c>
      <c r="AD213" s="15" t="n">
        <v>27.6</v>
      </c>
      <c r="AE213" s="11" t="n">
        <v>5.434004334416938</v>
      </c>
      <c r="AF213" s="16">
        <f>SUMPRODUCT(N213:Y213,$N$5:$Y$5)*$K213*$L213*$M213</f>
        <v/>
      </c>
      <c r="AG213" s="16">
        <f>SUMPRODUCT(N213:Y213,$N$6:$Y$6)*$K213*$L213*$M213</f>
        <v/>
      </c>
      <c r="AH213" s="20" t="n"/>
    </row>
    <row r="214">
      <c r="A214" s="9" t="n">
        <v>678022</v>
      </c>
      <c r="B214" s="9" t="inlineStr">
        <is>
          <t>Jack Perkins</t>
        </is>
      </c>
      <c r="C214" s="9" t="inlineStr">
        <is>
          <t>OAK</t>
        </is>
      </c>
      <c r="D214" s="9" t="n">
        <v>27</v>
      </c>
      <c r="E214" s="18" t="inlineStr">
        <is>
          <t>R</t>
        </is>
      </c>
      <c r="F214" s="18" t="n"/>
      <c r="G214" s="9" t="n">
        <v>541</v>
      </c>
      <c r="H214" s="9" t="n">
        <v>702</v>
      </c>
      <c r="I214" s="9" t="inlineStr">
        <is>
          <t>Mid-Rotation Starter (SP2-3)</t>
        </is>
      </c>
      <c r="J214" s="18" t="inlineStr">
        <is>
          <t>Opening Day</t>
        </is>
      </c>
      <c r="K214" s="11">
        <f>IFERROR(INDEX(Roles!$B$17:$B$20,MATCH(J214,Roles!$A$17:$A$20,0)),1)</f>
        <v/>
      </c>
      <c r="L214" s="19" t="n">
        <v>1</v>
      </c>
      <c r="M214" s="11" t="n">
        <v>1</v>
      </c>
      <c r="N214" s="19" t="n"/>
      <c r="O214" s="19" t="n">
        <v>0.5</v>
      </c>
      <c r="P214" s="19" t="n">
        <v>0.5</v>
      </c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3">
        <f>SUMPRODUCT(N214:Y214,$N$2:$Y$2)*$K214*$L214*$M214</f>
        <v/>
      </c>
      <c r="AA214" s="14">
        <f>SUM(N214:Y214)</f>
        <v/>
      </c>
      <c r="AB214" s="13">
        <f>SUMPRODUCT(N214:Y214,$N$3:$Y$3)*$K214*$L214*$M214</f>
        <v/>
      </c>
      <c r="AC214" s="13">
        <f>SUMPRODUCT(N214:Y214,$N$4:$Y$4)*$K214*$L214*$M214</f>
        <v/>
      </c>
      <c r="AD214" s="15" t="n">
        <v>26.6</v>
      </c>
      <c r="AE214" s="11" t="n">
        <v>4.556776848533122</v>
      </c>
      <c r="AF214" s="16">
        <f>SUMPRODUCT(N214:Y214,$N$5:$Y$5)*$K214*$L214*$M214</f>
        <v/>
      </c>
      <c r="AG214" s="16">
        <f>SUMPRODUCT(N214:Y214,$N$6:$Y$6)*$K214*$L214*$M214</f>
        <v/>
      </c>
      <c r="AH214" s="20" t="n"/>
    </row>
    <row r="215">
      <c r="A215" s="9" t="n">
        <v>805345</v>
      </c>
      <c r="B215" s="9" t="inlineStr">
        <is>
          <t>Trent Harris</t>
        </is>
      </c>
      <c r="C215" s="9" t="inlineStr">
        <is>
          <t>SF</t>
        </is>
      </c>
      <c r="D215" s="9" t="n">
        <v>28</v>
      </c>
      <c r="E215" s="18" t="inlineStr">
        <is>
          <t>R</t>
        </is>
      </c>
      <c r="F215" s="18" t="n"/>
      <c r="G215" s="9" t="n">
        <v>94</v>
      </c>
      <c r="H215" s="9" t="n">
        <v>94</v>
      </c>
      <c r="I215" s="9" t="inlineStr">
        <is>
          <t>Closer</t>
        </is>
      </c>
      <c r="J215" s="18" t="inlineStr">
        <is>
          <t>Opening Day</t>
        </is>
      </c>
      <c r="K215" s="11">
        <f>IFERROR(INDEX(Roles!$B$17:$B$20,MATCH(J215,Roles!$A$17:$A$20,0)),1)</f>
        <v/>
      </c>
      <c r="L215" s="19" t="n">
        <v>1</v>
      </c>
      <c r="M215" s="11" t="n">
        <v>1</v>
      </c>
      <c r="N215" s="19" t="n"/>
      <c r="O215" s="19" t="n"/>
      <c r="P215" s="19" t="n"/>
      <c r="Q215" s="19" t="n"/>
      <c r="R215" s="19" t="n"/>
      <c r="S215" s="19" t="n"/>
      <c r="T215" s="19" t="n">
        <v>0.85</v>
      </c>
      <c r="U215" s="19" t="n">
        <v>0.15</v>
      </c>
      <c r="V215" s="19" t="n"/>
      <c r="W215" s="19" t="n"/>
      <c r="X215" s="19" t="n"/>
      <c r="Y215" s="19" t="n"/>
      <c r="Z215" s="13">
        <f>SUMPRODUCT(N215:Y215,$N$2:$Y$2)*$K215*$L215*$M215</f>
        <v/>
      </c>
      <c r="AA215" s="14">
        <f>SUM(N215:Y215)</f>
        <v/>
      </c>
      <c r="AB215" s="13">
        <f>SUMPRODUCT(N215:Y215,$N$3:$Y$3)*$K215*$L215*$M215</f>
        <v/>
      </c>
      <c r="AC215" s="13">
        <f>SUMPRODUCT(N215:Y215,$N$4:$Y$4)*$K215*$L215*$M215</f>
        <v/>
      </c>
      <c r="AD215" s="15" t="n">
        <v>33.36</v>
      </c>
      <c r="AE215" s="11" t="n">
        <v>1.022698899103394</v>
      </c>
      <c r="AF215" s="16">
        <f>SUMPRODUCT(N215:Y215,$N$5:$Y$5)*$K215*$L215*$M215</f>
        <v/>
      </c>
      <c r="AG215" s="16">
        <f>SUMPRODUCT(N215:Y215,$N$6:$Y$6)*$K215*$L215*$M215</f>
        <v/>
      </c>
      <c r="AH215" s="20" t="n"/>
    </row>
    <row r="216">
      <c r="A216" s="9" t="n">
        <v>670036</v>
      </c>
      <c r="B216" s="9" t="inlineStr">
        <is>
          <t>Matt Festa</t>
        </is>
      </c>
      <c r="C216" s="9" t="inlineStr">
        <is>
          <t>CLE</t>
        </is>
      </c>
      <c r="D216" s="9" t="n">
        <v>34</v>
      </c>
      <c r="E216" s="18" t="inlineStr">
        <is>
          <t>R</t>
        </is>
      </c>
      <c r="F216" s="18" t="n"/>
      <c r="G216" s="9" t="n">
        <v>289</v>
      </c>
      <c r="H216" s="9" t="n">
        <v>877</v>
      </c>
      <c r="I216" s="9" t="inlineStr">
        <is>
          <t>Middle Relief</t>
        </is>
      </c>
      <c r="J216" s="18" t="inlineStr">
        <is>
          <t>Opening Day</t>
        </is>
      </c>
      <c r="K216" s="11">
        <f>IFERROR(INDEX(Roles!$B$17:$B$20,MATCH(J216,Roles!$A$17:$A$20,0)),1)</f>
        <v/>
      </c>
      <c r="L216" s="19" t="n">
        <v>1</v>
      </c>
      <c r="M216" s="11" t="n">
        <v>1</v>
      </c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>
        <v>0.85</v>
      </c>
      <c r="W216" s="19" t="n">
        <v>0.15</v>
      </c>
      <c r="X216" s="19" t="n"/>
      <c r="Y216" s="19" t="n"/>
      <c r="Z216" s="13">
        <f>SUMPRODUCT(N216:Y216,$N$2:$Y$2)*$K216*$L216*$M216</f>
        <v/>
      </c>
      <c r="AA216" s="14">
        <f>SUM(N216:Y216)</f>
        <v/>
      </c>
      <c r="AB216" s="13">
        <f>SUMPRODUCT(N216:Y216,$N$3:$Y$3)*$K216*$L216*$M216</f>
        <v/>
      </c>
      <c r="AC216" s="13">
        <f>SUMPRODUCT(N216:Y216,$N$4:$Y$4)*$K216*$L216*$M216</f>
        <v/>
      </c>
      <c r="AD216" s="15" t="n">
        <v>49.03333333333333</v>
      </c>
      <c r="AE216" s="11" t="n">
        <v>1.012758925125268</v>
      </c>
      <c r="AF216" s="16">
        <f>SUMPRODUCT(N216:Y216,$N$5:$Y$5)*$K216*$L216*$M216</f>
        <v/>
      </c>
      <c r="AG216" s="16">
        <f>SUMPRODUCT(N216:Y216,$N$6:$Y$6)*$K216*$L216*$M216</f>
        <v/>
      </c>
      <c r="AH216" s="20" t="n"/>
    </row>
    <row r="217">
      <c r="A217" s="9" t="n">
        <v>621053</v>
      </c>
      <c r="B217" s="9" t="inlineStr">
        <is>
          <t>Tyler Ferguson</t>
        </is>
      </c>
      <c r="C217" s="9" t="inlineStr">
        <is>
          <t>CHC</t>
        </is>
      </c>
      <c r="D217" s="9" t="n">
        <v>33</v>
      </c>
      <c r="E217" s="18" t="inlineStr">
        <is>
          <t>R</t>
        </is>
      </c>
      <c r="F217" s="18" t="n"/>
      <c r="G217" s="9" t="n">
        <v>78</v>
      </c>
      <c r="H217" s="9" t="n">
        <v>531</v>
      </c>
      <c r="I217" s="9" t="inlineStr">
        <is>
          <t>Bullpen Depth Arm</t>
        </is>
      </c>
      <c r="J217" s="18" t="inlineStr">
        <is>
          <t>Opening Day</t>
        </is>
      </c>
      <c r="K217" s="11">
        <f>IFERROR(INDEX(Roles!$B$17:$B$20,MATCH(J217,Roles!$A$17:$A$20,0)),1)</f>
        <v/>
      </c>
      <c r="L217" s="19" t="n">
        <v>1</v>
      </c>
      <c r="M217" s="11" t="n">
        <v>1</v>
      </c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>
        <v>1</v>
      </c>
      <c r="X217" s="19" t="n"/>
      <c r="Y217" s="19" t="n"/>
      <c r="Z217" s="13">
        <f>SUMPRODUCT(N217:Y217,$N$2:$Y$2)*$K217*$L217*$M217</f>
        <v/>
      </c>
      <c r="AA217" s="14">
        <f>SUM(N217:Y217)</f>
        <v/>
      </c>
      <c r="AB217" s="13">
        <f>SUMPRODUCT(N217:Y217,$N$3:$Y$3)*$K217*$L217*$M217</f>
        <v/>
      </c>
      <c r="AC217" s="13">
        <f>SUMPRODUCT(N217:Y217,$N$4:$Y$4)*$K217*$L217*$M217</f>
        <v/>
      </c>
      <c r="AD217" s="15" t="n">
        <v>27.06666666666667</v>
      </c>
      <c r="AE217" s="11" t="n">
        <v>1.149378370562171</v>
      </c>
      <c r="AF217" s="16">
        <f>SUMPRODUCT(N217:Y217,$N$5:$Y$5)*$K217*$L217*$M217</f>
        <v/>
      </c>
      <c r="AG217" s="16">
        <f>SUMPRODUCT(N217:Y217,$N$6:$Y$6)*$K217*$L217*$M217</f>
        <v/>
      </c>
      <c r="AH217" s="20" t="n"/>
    </row>
    <row r="218">
      <c r="A218" s="9" t="n">
        <v>694361</v>
      </c>
      <c r="B218" s="9" t="inlineStr">
        <is>
          <t>Will Klein</t>
        </is>
      </c>
      <c r="C218" s="9" t="inlineStr">
        <is>
          <t>LAD</t>
        </is>
      </c>
      <c r="D218" s="9" t="n">
        <v>27</v>
      </c>
      <c r="E218" s="18" t="inlineStr">
        <is>
          <t>R</t>
        </is>
      </c>
      <c r="F218" s="18" t="n"/>
      <c r="G218" s="9" t="n">
        <v>189</v>
      </c>
      <c r="H218" s="9" t="n">
        <v>297</v>
      </c>
      <c r="I218" s="9" t="inlineStr">
        <is>
          <t>Bullpen Depth Arm</t>
        </is>
      </c>
      <c r="J218" s="18" t="inlineStr">
        <is>
          <t>Opening Day</t>
        </is>
      </c>
      <c r="K218" s="11">
        <f>IFERROR(INDEX(Roles!$B$17:$B$20,MATCH(J218,Roles!$A$17:$A$20,0)),1)</f>
        <v/>
      </c>
      <c r="L218" s="19" t="n">
        <v>1</v>
      </c>
      <c r="M218" s="11" t="n">
        <v>1</v>
      </c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>
        <v>0.15</v>
      </c>
      <c r="W218" s="19" t="n">
        <v>0.85</v>
      </c>
      <c r="X218" s="19" t="n"/>
      <c r="Y218" s="19" t="n"/>
      <c r="Z218" s="13">
        <f>SUMPRODUCT(N218:Y218,$N$2:$Y$2)*$K218*$L218*$M218</f>
        <v/>
      </c>
      <c r="AA218" s="14">
        <f>SUM(N218:Y218)</f>
        <v/>
      </c>
      <c r="AB218" s="13">
        <f>SUMPRODUCT(N218:Y218,$N$3:$Y$3)*$K218*$L218*$M218</f>
        <v/>
      </c>
      <c r="AC218" s="13">
        <f>SUMPRODUCT(N218:Y218,$N$4:$Y$4)*$K218*$L218*$M218</f>
        <v/>
      </c>
      <c r="AD218" s="15" t="n">
        <v>20.06666666666666</v>
      </c>
      <c r="AE218" s="11" t="n">
        <v>1.178821949655283</v>
      </c>
      <c r="AF218" s="16">
        <f>SUMPRODUCT(N218:Y218,$N$5:$Y$5)*$K218*$L218*$M218</f>
        <v/>
      </c>
      <c r="AG218" s="16">
        <f>SUMPRODUCT(N218:Y218,$N$6:$Y$6)*$K218*$L218*$M218</f>
        <v/>
      </c>
      <c r="AH218" s="20" t="n"/>
    </row>
    <row r="219">
      <c r="A219" s="9" t="n">
        <v>605130</v>
      </c>
      <c r="B219" s="9" t="inlineStr">
        <is>
          <t>Scott Barlow</t>
        </is>
      </c>
      <c r="C219" s="9" t="inlineStr">
        <is>
          <t>OAK</t>
        </is>
      </c>
      <c r="D219" s="9" t="n">
        <v>34</v>
      </c>
      <c r="E219" s="18" t="inlineStr">
        <is>
          <t>R</t>
        </is>
      </c>
      <c r="F219" s="18" t="n"/>
      <c r="G219" s="9" t="n">
        <v>152</v>
      </c>
      <c r="H219" s="9" t="n">
        <v>1285</v>
      </c>
      <c r="I219" s="9" t="inlineStr">
        <is>
          <t>Bullpen Depth Arm</t>
        </is>
      </c>
      <c r="J219" s="18" t="inlineStr">
        <is>
          <t>Opening Day</t>
        </is>
      </c>
      <c r="K219" s="11">
        <f>IFERROR(INDEX(Roles!$B$17:$B$20,MATCH(J219,Roles!$A$17:$A$20,0)),1)</f>
        <v/>
      </c>
      <c r="L219" s="19" t="n">
        <v>1</v>
      </c>
      <c r="M219" s="11" t="n">
        <v>1</v>
      </c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>
        <v>1</v>
      </c>
      <c r="X219" s="19" t="n"/>
      <c r="Y219" s="19" t="n"/>
      <c r="Z219" s="13">
        <f>SUMPRODUCT(N219:Y219,$N$2:$Y$2)*$K219*$L219*$M219</f>
        <v/>
      </c>
      <c r="AA219" s="14">
        <f>SUM(N219:Y219)</f>
        <v/>
      </c>
      <c r="AB219" s="13">
        <f>SUMPRODUCT(N219:Y219,$N$3:$Y$3)*$K219*$L219*$M219</f>
        <v/>
      </c>
      <c r="AC219" s="13">
        <f>SUMPRODUCT(N219:Y219,$N$4:$Y$4)*$K219*$L219*$M219</f>
        <v/>
      </c>
      <c r="AD219" s="15" t="n">
        <v>37.76666666666667</v>
      </c>
      <c r="AE219" s="11" t="n">
        <v>1.104380101264836</v>
      </c>
      <c r="AF219" s="16">
        <f>SUMPRODUCT(N219:Y219,$N$5:$Y$5)*$K219*$L219*$M219</f>
        <v/>
      </c>
      <c r="AG219" s="16">
        <f>SUMPRODUCT(N219:Y219,$N$6:$Y$6)*$K219*$L219*$M219</f>
        <v/>
      </c>
      <c r="AH219" s="20" t="n"/>
    </row>
    <row r="220">
      <c r="A220" s="9" t="n">
        <v>664991</v>
      </c>
      <c r="B220" s="9" t="inlineStr">
        <is>
          <t>Grant Wolfram</t>
        </is>
      </c>
      <c r="C220" s="9" t="inlineStr">
        <is>
          <t>BAL</t>
        </is>
      </c>
      <c r="D220" s="9" t="n">
        <v>30</v>
      </c>
      <c r="E220" s="18" t="inlineStr">
        <is>
          <t>L</t>
        </is>
      </c>
      <c r="F220" s="18" t="n"/>
      <c r="G220" s="9" t="n">
        <v>226</v>
      </c>
      <c r="H220" s="9" t="n">
        <v>359</v>
      </c>
      <c r="I220" s="9" t="inlineStr">
        <is>
          <t>Late Inning RP (Setup)</t>
        </is>
      </c>
      <c r="J220" s="18" t="inlineStr">
        <is>
          <t>Opening Day</t>
        </is>
      </c>
      <c r="K220" s="11">
        <f>IFERROR(INDEX(Roles!$B$17:$B$20,MATCH(J220,Roles!$A$17:$A$20,0)),1)</f>
        <v/>
      </c>
      <c r="L220" s="19" t="n">
        <v>1</v>
      </c>
      <c r="M220" s="11" t="n">
        <v>1</v>
      </c>
      <c r="N220" s="19" t="n"/>
      <c r="O220" s="19" t="n"/>
      <c r="P220" s="19" t="n"/>
      <c r="Q220" s="19" t="n"/>
      <c r="R220" s="19" t="n"/>
      <c r="S220" s="19" t="n"/>
      <c r="T220" s="19" t="n"/>
      <c r="U220" s="19" t="n">
        <v>0.6</v>
      </c>
      <c r="V220" s="19" t="n">
        <v>0.4</v>
      </c>
      <c r="W220" s="19" t="n"/>
      <c r="X220" s="19" t="n"/>
      <c r="Y220" s="19" t="n"/>
      <c r="Z220" s="13">
        <f>SUMPRODUCT(N220:Y220,$N$2:$Y$2)*$K220*$L220*$M220</f>
        <v/>
      </c>
      <c r="AA220" s="14">
        <f>SUM(N220:Y220)</f>
        <v/>
      </c>
      <c r="AB220" s="13">
        <f>SUMPRODUCT(N220:Y220,$N$3:$Y$3)*$K220*$L220*$M220</f>
        <v/>
      </c>
      <c r="AC220" s="13">
        <f>SUMPRODUCT(N220:Y220,$N$4:$Y$4)*$K220*$L220*$M220</f>
        <v/>
      </c>
      <c r="AD220" s="15" t="n">
        <v>45.84</v>
      </c>
      <c r="AE220" s="11" t="n">
        <v>0.975538038038038</v>
      </c>
      <c r="AF220" s="16">
        <f>SUMPRODUCT(N220:Y220,$N$5:$Y$5)*$K220*$L220*$M220</f>
        <v/>
      </c>
      <c r="AG220" s="16">
        <f>SUMPRODUCT(N220:Y220,$N$6:$Y$6)*$K220*$L220*$M220</f>
        <v/>
      </c>
      <c r="AH220" s="20" t="n"/>
    </row>
    <row r="221">
      <c r="A221" s="9" t="n">
        <v>670990</v>
      </c>
      <c r="B221" s="9" t="inlineStr">
        <is>
          <t>Yohan Ramírez</t>
        </is>
      </c>
      <c r="C221" s="9" t="inlineStr">
        <is>
          <t>PIT</t>
        </is>
      </c>
      <c r="D221" s="9" t="n">
        <v>32</v>
      </c>
      <c r="E221" s="18" t="inlineStr">
        <is>
          <t>R</t>
        </is>
      </c>
      <c r="F221" s="18" t="n"/>
      <c r="G221" s="9" t="n">
        <v>362</v>
      </c>
      <c r="H221" s="9" t="n">
        <v>1068</v>
      </c>
      <c r="I221" s="9" t="inlineStr">
        <is>
          <t>Middle Relief</t>
        </is>
      </c>
      <c r="J221" s="18" t="inlineStr">
        <is>
          <t>Opening Day</t>
        </is>
      </c>
      <c r="K221" s="11">
        <f>IFERROR(INDEX(Roles!$B$17:$B$20,MATCH(J221,Roles!$A$17:$A$20,0)),1)</f>
        <v/>
      </c>
      <c r="L221" s="19" t="n">
        <v>1</v>
      </c>
      <c r="M221" s="11" t="n">
        <v>1</v>
      </c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>
        <v>0.85</v>
      </c>
      <c r="W221" s="19" t="n">
        <v>0.15</v>
      </c>
      <c r="X221" s="19" t="n"/>
      <c r="Y221" s="19" t="n"/>
      <c r="Z221" s="13">
        <f>SUMPRODUCT(N221:Y221,$N$2:$Y$2)*$K221*$L221*$M221</f>
        <v/>
      </c>
      <c r="AA221" s="14">
        <f>SUM(N221:Y221)</f>
        <v/>
      </c>
      <c r="AB221" s="13">
        <f>SUMPRODUCT(N221:Y221,$N$3:$Y$3)*$K221*$L221*$M221</f>
        <v/>
      </c>
      <c r="AC221" s="13">
        <f>SUMPRODUCT(N221:Y221,$N$4:$Y$4)*$K221*$L221*$M221</f>
        <v/>
      </c>
      <c r="AD221" s="15" t="n">
        <v>43.13333333333333</v>
      </c>
      <c r="AE221" s="11" t="n">
        <v>1.119503702177605</v>
      </c>
      <c r="AF221" s="16">
        <f>SUMPRODUCT(N221:Y221,$N$5:$Y$5)*$K221*$L221*$M221</f>
        <v/>
      </c>
      <c r="AG221" s="16">
        <f>SUMPRODUCT(N221:Y221,$N$6:$Y$6)*$K221*$L221*$M221</f>
        <v/>
      </c>
      <c r="AH221" s="20" t="n"/>
    </row>
    <row r="222">
      <c r="A222" s="9" t="n">
        <v>663158</v>
      </c>
      <c r="B222" s="9" t="inlineStr">
        <is>
          <t>Robert Suarez</t>
        </is>
      </c>
      <c r="C222" s="9" t="inlineStr">
        <is>
          <t>ATL</t>
        </is>
      </c>
      <c r="D222" s="9" t="n">
        <v>36</v>
      </c>
      <c r="E222" s="18" t="inlineStr">
        <is>
          <t>R</t>
        </is>
      </c>
      <c r="F222" s="18" t="n"/>
      <c r="G222" s="9" t="n">
        <v>130</v>
      </c>
      <c r="H222" s="9" t="n">
        <v>956</v>
      </c>
      <c r="I222" s="9" t="inlineStr">
        <is>
          <t>Late Inning RP (Setup)</t>
        </is>
      </c>
      <c r="J222" s="18" t="inlineStr">
        <is>
          <t>Opening Day</t>
        </is>
      </c>
      <c r="K222" s="11">
        <f>IFERROR(INDEX(Roles!$B$17:$B$20,MATCH(J222,Roles!$A$17:$A$20,0)),1)</f>
        <v/>
      </c>
      <c r="L222" s="19" t="n">
        <v>1</v>
      </c>
      <c r="M222" s="11" t="n">
        <v>1</v>
      </c>
      <c r="N222" s="19" t="n"/>
      <c r="O222" s="19" t="n"/>
      <c r="P222" s="19" t="n"/>
      <c r="Q222" s="19" t="n"/>
      <c r="R222" s="19" t="n"/>
      <c r="S222" s="19" t="n"/>
      <c r="T222" s="19" t="n"/>
      <c r="U222" s="19" t="n">
        <v>0.85</v>
      </c>
      <c r="V222" s="19" t="n">
        <v>0.15</v>
      </c>
      <c r="W222" s="19" t="n"/>
      <c r="X222" s="19" t="n"/>
      <c r="Y222" s="19" t="n"/>
      <c r="Z222" s="13">
        <f>SUMPRODUCT(N222:Y222,$N$2:$Y$2)*$K222*$L222*$M222</f>
        <v/>
      </c>
      <c r="AA222" s="14">
        <f>SUM(N222:Y222)</f>
        <v/>
      </c>
      <c r="AB222" s="13">
        <f>SUMPRODUCT(N222:Y222,$N$3:$Y$3)*$K222*$L222*$M222</f>
        <v/>
      </c>
      <c r="AC222" s="13">
        <f>SUMPRODUCT(N222:Y222,$N$4:$Y$4)*$K222*$L222*$M222</f>
        <v/>
      </c>
      <c r="AD222" s="15" t="n">
        <v>49.6</v>
      </c>
      <c r="AE222" s="11" t="n">
        <v>0.9956140350877194</v>
      </c>
      <c r="AF222" s="16">
        <f>SUMPRODUCT(N222:Y222,$N$5:$Y$5)*$K222*$L222*$M222</f>
        <v/>
      </c>
      <c r="AG222" s="16">
        <f>SUMPRODUCT(N222:Y222,$N$6:$Y$6)*$K222*$L222*$M222</f>
        <v/>
      </c>
      <c r="AH222" s="20" t="n"/>
    </row>
    <row r="223">
      <c r="A223" s="9" t="n">
        <v>548384</v>
      </c>
      <c r="B223" s="9" t="inlineStr">
        <is>
          <t>Brooks Raley</t>
        </is>
      </c>
      <c r="C223" s="9" t="inlineStr">
        <is>
          <t>PHI</t>
        </is>
      </c>
      <c r="D223" s="9" t="n">
        <v>39</v>
      </c>
      <c r="E223" s="18" t="inlineStr">
        <is>
          <t>L</t>
        </is>
      </c>
      <c r="F223" s="18" t="n"/>
      <c r="G223" s="9" t="n">
        <v>224</v>
      </c>
      <c r="H223" s="9" t="n">
        <v>803</v>
      </c>
      <c r="I223" s="9" t="inlineStr">
        <is>
          <t>Late Inning RP (Setup)</t>
        </is>
      </c>
      <c r="J223" s="18" t="inlineStr">
        <is>
          <t>Opening Day</t>
        </is>
      </c>
      <c r="K223" s="11">
        <f>IFERROR(INDEX(Roles!$B$17:$B$20,MATCH(J223,Roles!$A$17:$A$20,0)),1)</f>
        <v/>
      </c>
      <c r="L223" s="19" t="n">
        <v>1</v>
      </c>
      <c r="M223" s="11" t="n">
        <v>1</v>
      </c>
      <c r="N223" s="19" t="n"/>
      <c r="O223" s="19" t="n"/>
      <c r="P223" s="19" t="n"/>
      <c r="Q223" s="19" t="n"/>
      <c r="R223" s="19" t="n"/>
      <c r="S223" s="19" t="n"/>
      <c r="T223" s="19" t="n"/>
      <c r="U223" s="19" t="n">
        <v>0.6</v>
      </c>
      <c r="V223" s="19" t="n">
        <v>0.4</v>
      </c>
      <c r="W223" s="19" t="n"/>
      <c r="X223" s="19" t="n"/>
      <c r="Y223" s="19" t="n"/>
      <c r="Z223" s="13">
        <f>SUMPRODUCT(N223:Y223,$N$2:$Y$2)*$K223*$L223*$M223</f>
        <v/>
      </c>
      <c r="AA223" s="14">
        <f>SUM(N223:Y223)</f>
        <v/>
      </c>
      <c r="AB223" s="13">
        <f>SUMPRODUCT(N223:Y223,$N$3:$Y$3)*$K223*$L223*$M223</f>
        <v/>
      </c>
      <c r="AC223" s="13">
        <f>SUMPRODUCT(N223:Y223,$N$4:$Y$4)*$K223*$L223*$M223</f>
        <v/>
      </c>
      <c r="AD223" s="15" t="n">
        <v>44.3</v>
      </c>
      <c r="AE223" s="11" t="n">
        <v>0.9470174856131032</v>
      </c>
      <c r="AF223" s="16">
        <f>SUMPRODUCT(N223:Y223,$N$5:$Y$5)*$K223*$L223*$M223</f>
        <v/>
      </c>
      <c r="AG223" s="16">
        <f>SUMPRODUCT(N223:Y223,$N$6:$Y$6)*$K223*$L223*$M223</f>
        <v/>
      </c>
      <c r="AH223" s="20" t="n"/>
    </row>
    <row r="224">
      <c r="A224" s="9" t="n">
        <v>680885</v>
      </c>
      <c r="B224" s="9" t="inlineStr">
        <is>
          <t>Spencer Schwellenbach</t>
        </is>
      </c>
      <c r="C224" s="9" t="inlineStr">
        <is>
          <t>ATL</t>
        </is>
      </c>
      <c r="D224" s="9" t="n">
        <v>27</v>
      </c>
      <c r="E224" s="18" t="inlineStr">
        <is>
          <t>R</t>
        </is>
      </c>
      <c r="F224" s="18" t="n"/>
      <c r="G224" s="9" t="n">
        <v>434</v>
      </c>
      <c r="H224" s="9" t="n">
        <v>934</v>
      </c>
      <c r="I224" s="9" t="inlineStr">
        <is>
          <t>Bullpen Depth Arm</t>
        </is>
      </c>
      <c r="J224" s="18" t="inlineStr">
        <is>
          <t>Opening Day</t>
        </is>
      </c>
      <c r="K224" s="11">
        <f>IFERROR(INDEX(Roles!$B$17:$B$20,MATCH(J224,Roles!$A$17:$A$20,0)),1)</f>
        <v/>
      </c>
      <c r="L224" s="19" t="n">
        <v>1</v>
      </c>
      <c r="M224" s="11" t="n">
        <v>1</v>
      </c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>
        <v>1</v>
      </c>
      <c r="X224" s="19" t="n"/>
      <c r="Y224" s="19" t="n"/>
      <c r="Z224" s="13">
        <f>SUMPRODUCT(N224:Y224,$N$2:$Y$2)*$K224*$L224*$M224</f>
        <v/>
      </c>
      <c r="AA224" s="14">
        <f>SUM(N224:Y224)</f>
        <v/>
      </c>
      <c r="AB224" s="13">
        <f>SUMPRODUCT(N224:Y224,$N$3:$Y$3)*$K224*$L224*$M224</f>
        <v/>
      </c>
      <c r="AC224" s="13">
        <f>SUMPRODUCT(N224:Y224,$N$4:$Y$4)*$K224*$L224*$M224</f>
        <v/>
      </c>
      <c r="AD224" s="15" t="n">
        <v>16.66666666666666</v>
      </c>
      <c r="AE224" s="11" t="n">
        <v>2.892416225749559</v>
      </c>
      <c r="AF224" s="16">
        <f>SUMPRODUCT(N224:Y224,$N$5:$Y$5)*$K224*$L224*$M224</f>
        <v/>
      </c>
      <c r="AG224" s="16">
        <f>SUMPRODUCT(N224:Y224,$N$6:$Y$6)*$K224*$L224*$M224</f>
        <v/>
      </c>
      <c r="AH224" s="20" t="n"/>
    </row>
    <row r="225">
      <c r="A225" s="9" t="n">
        <v>656638</v>
      </c>
      <c r="B225" s="9" t="inlineStr">
        <is>
          <t>Alex Lange</t>
        </is>
      </c>
      <c r="C225" s="9" t="inlineStr">
        <is>
          <t>KC</t>
        </is>
      </c>
      <c r="D225" s="9" t="n">
        <v>31</v>
      </c>
      <c r="E225" s="18" t="inlineStr">
        <is>
          <t>R</t>
        </is>
      </c>
      <c r="F225" s="18" t="n"/>
      <c r="G225" s="9" t="n">
        <v>275</v>
      </c>
      <c r="H225" s="9" t="n">
        <v>930</v>
      </c>
      <c r="I225" s="9" t="inlineStr">
        <is>
          <t>Late Inning RP (Setup)</t>
        </is>
      </c>
      <c r="J225" s="18" t="inlineStr">
        <is>
          <t>Opening Day</t>
        </is>
      </c>
      <c r="K225" s="11">
        <f>IFERROR(INDEX(Roles!$B$17:$B$20,MATCH(J225,Roles!$A$17:$A$20,0)),1)</f>
        <v/>
      </c>
      <c r="L225" s="19" t="n">
        <v>1</v>
      </c>
      <c r="M225" s="11" t="n">
        <v>1</v>
      </c>
      <c r="N225" s="19" t="n"/>
      <c r="O225" s="19" t="n"/>
      <c r="P225" s="19" t="n"/>
      <c r="Q225" s="19" t="n"/>
      <c r="R225" s="19" t="n"/>
      <c r="S225" s="19" t="n"/>
      <c r="T225" s="19" t="n"/>
      <c r="U225" s="19" t="n">
        <v>0.85</v>
      </c>
      <c r="V225" s="19" t="n">
        <v>0.15</v>
      </c>
      <c r="W225" s="19" t="n"/>
      <c r="X225" s="19" t="n"/>
      <c r="Y225" s="19" t="n"/>
      <c r="Z225" s="13">
        <f>SUMPRODUCT(N225:Y225,$N$2:$Y$2)*$K225*$L225*$M225</f>
        <v/>
      </c>
      <c r="AA225" s="14">
        <f>SUM(N225:Y225)</f>
        <v/>
      </c>
      <c r="AB225" s="13">
        <f>SUMPRODUCT(N225:Y225,$N$3:$Y$3)*$K225*$L225*$M225</f>
        <v/>
      </c>
      <c r="AC225" s="13">
        <f>SUMPRODUCT(N225:Y225,$N$4:$Y$4)*$K225*$L225*$M225</f>
        <v/>
      </c>
      <c r="AD225" s="15" t="n">
        <v>39.2</v>
      </c>
      <c r="AE225" s="11" t="n">
        <v>0.9941666666666666</v>
      </c>
      <c r="AF225" s="16">
        <f>SUMPRODUCT(N225:Y225,$N$5:$Y$5)*$K225*$L225*$M225</f>
        <v/>
      </c>
      <c r="AG225" s="16">
        <f>SUMPRODUCT(N225:Y225,$N$6:$Y$6)*$K225*$L225*$M225</f>
        <v/>
      </c>
      <c r="AH225" s="20" t="n"/>
    </row>
    <row r="226">
      <c r="A226" s="9" t="n">
        <v>681432</v>
      </c>
      <c r="B226" s="9" t="inlineStr">
        <is>
          <t>Luke Little</t>
        </is>
      </c>
      <c r="C226" s="9" t="inlineStr">
        <is>
          <t>CHC</t>
        </is>
      </c>
      <c r="D226" s="9" t="n">
        <v>26</v>
      </c>
      <c r="E226" s="18" t="inlineStr">
        <is>
          <t>L</t>
        </is>
      </c>
      <c r="F226" s="18" t="n"/>
      <c r="G226" s="9" t="n">
        <v>5</v>
      </c>
      <c r="H226" s="9" t="n">
        <v>159</v>
      </c>
      <c r="I226" s="9" t="inlineStr">
        <is>
          <t>Depth (no MLB IP)</t>
        </is>
      </c>
      <c r="J226" s="18" t="inlineStr">
        <is>
          <t>Opening Day</t>
        </is>
      </c>
      <c r="K226" s="11">
        <f>IFERROR(INDEX(Roles!$B$17:$B$20,MATCH(J226,Roles!$A$17:$A$20,0)),1)</f>
        <v/>
      </c>
      <c r="L226" s="19" t="n">
        <v>1</v>
      </c>
      <c r="M226" s="11" t="n">
        <v>1</v>
      </c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>
        <v>1</v>
      </c>
      <c r="Z226" s="13">
        <f>SUMPRODUCT(N226:Y226,$N$2:$Y$2)*$K226*$L226*$M226</f>
        <v/>
      </c>
      <c r="AA226" s="14">
        <f>SUM(N226:Y226)</f>
        <v/>
      </c>
      <c r="AB226" s="13">
        <f>SUMPRODUCT(N226:Y226,$N$3:$Y$3)*$K226*$L226*$M226</f>
        <v/>
      </c>
      <c r="AC226" s="13">
        <f>SUMPRODUCT(N226:Y226,$N$4:$Y$4)*$K226*$L226*$M226</f>
        <v/>
      </c>
      <c r="AD226" s="15" t="n">
        <v>4.9</v>
      </c>
      <c r="AE226" s="11" t="n">
        <v>0.9835068401735066</v>
      </c>
      <c r="AF226" s="16">
        <f>SUMPRODUCT(N226:Y226,$N$5:$Y$5)*$K226*$L226*$M226</f>
        <v/>
      </c>
      <c r="AG226" s="16">
        <f>SUMPRODUCT(N226:Y226,$N$6:$Y$6)*$K226*$L226*$M226</f>
        <v/>
      </c>
      <c r="AH226" s="20" t="n"/>
    </row>
    <row r="227">
      <c r="A227" s="9" t="n">
        <v>682171</v>
      </c>
      <c r="B227" s="9" t="inlineStr">
        <is>
          <t>Penn Murfee</t>
        </is>
      </c>
      <c r="C227" s="9" t="inlineStr">
        <is>
          <t>CWS</t>
        </is>
      </c>
      <c r="D227" s="9" t="n">
        <v>33</v>
      </c>
      <c r="E227" s="18" t="inlineStr">
        <is>
          <t>R</t>
        </is>
      </c>
      <c r="F227" s="18" t="n"/>
      <c r="G227" s="9" t="n">
        <v>63</v>
      </c>
      <c r="H227" s="9" t="n">
        <v>393</v>
      </c>
      <c r="I227" s="9" t="inlineStr">
        <is>
          <t>Bullpen Depth Arm</t>
        </is>
      </c>
      <c r="J227" s="18" t="inlineStr">
        <is>
          <t>Opening Day</t>
        </is>
      </c>
      <c r="K227" s="11">
        <f>IFERROR(INDEX(Roles!$B$17:$B$20,MATCH(J227,Roles!$A$17:$A$20,0)),1)</f>
        <v/>
      </c>
      <c r="L227" s="19" t="n">
        <v>1</v>
      </c>
      <c r="M227" s="11" t="n">
        <v>1</v>
      </c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>
        <v>1</v>
      </c>
      <c r="X227" s="19" t="n"/>
      <c r="Y227" s="19" t="n"/>
      <c r="Z227" s="13">
        <f>SUMPRODUCT(N227:Y227,$N$2:$Y$2)*$K227*$L227*$M227</f>
        <v/>
      </c>
      <c r="AA227" s="14">
        <f>SUM(N227:Y227)</f>
        <v/>
      </c>
      <c r="AB227" s="13">
        <f>SUMPRODUCT(N227:Y227,$N$3:$Y$3)*$K227*$L227*$M227</f>
        <v/>
      </c>
      <c r="AC227" s="13">
        <f>SUMPRODUCT(N227:Y227,$N$4:$Y$4)*$K227*$L227*$M227</f>
        <v/>
      </c>
      <c r="AD227" s="15" t="n">
        <v>14.66666666666667</v>
      </c>
      <c r="AE227" s="11" t="n">
        <v>1.08298861632195</v>
      </c>
      <c r="AF227" s="16">
        <f>SUMPRODUCT(N227:Y227,$N$5:$Y$5)*$K227*$L227*$M227</f>
        <v/>
      </c>
      <c r="AG227" s="16">
        <f>SUMPRODUCT(N227:Y227,$N$6:$Y$6)*$K227*$L227*$M227</f>
        <v/>
      </c>
      <c r="AH227" s="20" t="n"/>
    </row>
    <row r="228">
      <c r="A228" s="9" t="n">
        <v>813349</v>
      </c>
      <c r="B228" s="9" t="inlineStr">
        <is>
          <t>Connelly Early</t>
        </is>
      </c>
      <c r="C228" s="9" t="inlineStr">
        <is>
          <t>WSH</t>
        </is>
      </c>
      <c r="D228" s="9" t="n">
        <v>25</v>
      </c>
      <c r="E228" s="18" t="inlineStr">
        <is>
          <t>L</t>
        </is>
      </c>
      <c r="F228" s="18" t="n"/>
      <c r="G228" s="9" t="n">
        <v>400</v>
      </c>
      <c r="H228" s="9" t="n">
        <v>479</v>
      </c>
      <c r="I228" s="9" t="inlineStr">
        <is>
          <t>Mid-Rotation Starter (SP2-3)</t>
        </is>
      </c>
      <c r="J228" s="18" t="inlineStr">
        <is>
          <t>Opening Day</t>
        </is>
      </c>
      <c r="K228" s="11">
        <f>IFERROR(INDEX(Roles!$B$17:$B$20,MATCH(J228,Roles!$A$17:$A$20,0)),1)</f>
        <v/>
      </c>
      <c r="L228" s="19" t="n">
        <v>1</v>
      </c>
      <c r="M228" s="11" t="n">
        <v>1</v>
      </c>
      <c r="N228" s="19" t="n"/>
      <c r="O228" s="19" t="n">
        <v>0.5</v>
      </c>
      <c r="P228" s="19" t="n">
        <v>0.5</v>
      </c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3">
        <f>SUMPRODUCT(N228:Y228,$N$2:$Y$2)*$K228*$L228*$M228</f>
        <v/>
      </c>
      <c r="AA228" s="14">
        <f>SUM(N228:Y228)</f>
        <v/>
      </c>
      <c r="AB228" s="13">
        <f>SUMPRODUCT(N228:Y228,$N$3:$Y$3)*$K228*$L228*$M228</f>
        <v/>
      </c>
      <c r="AC228" s="13">
        <f>SUMPRODUCT(N228:Y228,$N$4:$Y$4)*$K228*$L228*$M228</f>
        <v/>
      </c>
      <c r="AD228" s="15" t="n">
        <v>17.84</v>
      </c>
      <c r="AE228" s="11" t="n">
        <v>5.204301075268819</v>
      </c>
      <c r="AF228" s="16">
        <f>SUMPRODUCT(N228:Y228,$N$5:$Y$5)*$K228*$L228*$M228</f>
        <v/>
      </c>
      <c r="AG228" s="16">
        <f>SUMPRODUCT(N228:Y228,$N$6:$Y$6)*$K228*$L228*$M228</f>
        <v/>
      </c>
      <c r="AH228" s="20" t="n"/>
    </row>
    <row r="229">
      <c r="A229" s="9" t="n">
        <v>676454</v>
      </c>
      <c r="B229" s="9" t="inlineStr">
        <is>
          <t>Brendan Cellucci</t>
        </is>
      </c>
      <c r="C229" s="9" t="inlineStr">
        <is>
          <t>TOR</t>
        </is>
      </c>
      <c r="D229" s="9" t="n">
        <v>29</v>
      </c>
      <c r="E229" s="18" t="inlineStr">
        <is>
          <t>L</t>
        </is>
      </c>
      <c r="F229" s="18" t="n"/>
      <c r="G229" s="9" t="n">
        <v>30</v>
      </c>
      <c r="H229" s="9" t="n">
        <v>30</v>
      </c>
      <c r="I229" s="9" t="inlineStr">
        <is>
          <t>Middle Relief</t>
        </is>
      </c>
      <c r="J229" s="18" t="inlineStr">
        <is>
          <t>Opening Day</t>
        </is>
      </c>
      <c r="K229" s="11">
        <f>IFERROR(INDEX(Roles!$B$17:$B$20,MATCH(J229,Roles!$A$17:$A$20,0)),1)</f>
        <v/>
      </c>
      <c r="L229" s="19" t="n">
        <v>1</v>
      </c>
      <c r="M229" s="11" t="n">
        <v>1</v>
      </c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>
        <v>0.6</v>
      </c>
      <c r="W229" s="19" t="n">
        <v>0.4</v>
      </c>
      <c r="X229" s="19" t="n"/>
      <c r="Y229" s="19" t="n"/>
      <c r="Z229" s="13">
        <f>SUMPRODUCT(N229:Y229,$N$2:$Y$2)*$K229*$L229*$M229</f>
        <v/>
      </c>
      <c r="AA229" s="14">
        <f>SUM(N229:Y229)</f>
        <v/>
      </c>
      <c r="AB229" s="13">
        <f>SUMPRODUCT(N229:Y229,$N$3:$Y$3)*$K229*$L229*$M229</f>
        <v/>
      </c>
      <c r="AC229" s="13">
        <f>SUMPRODUCT(N229:Y229,$N$4:$Y$4)*$K229*$L229*$M229</f>
        <v/>
      </c>
      <c r="AD229" s="15" t="n">
        <v>18.33333333333333</v>
      </c>
      <c r="AE229" s="11" t="n">
        <v>1.170625246256895</v>
      </c>
      <c r="AF229" s="16">
        <f>SUMPRODUCT(N229:Y229,$N$5:$Y$5)*$K229*$L229*$M229</f>
        <v/>
      </c>
      <c r="AG229" s="16">
        <f>SUMPRODUCT(N229:Y229,$N$6:$Y$6)*$K229*$L229*$M229</f>
        <v/>
      </c>
      <c r="AH229" s="20" t="n"/>
    </row>
    <row r="230">
      <c r="A230" s="9" t="n">
        <v>681676</v>
      </c>
      <c r="B230" s="9" t="inlineStr">
        <is>
          <t>Ryan Fernandez</t>
        </is>
      </c>
      <c r="C230" s="9" t="inlineStr">
        <is>
          <t>STL</t>
        </is>
      </c>
      <c r="D230" s="9" t="n">
        <v>29</v>
      </c>
      <c r="E230" s="18" t="inlineStr">
        <is>
          <t>R</t>
        </is>
      </c>
      <c r="F230" s="18" t="n"/>
      <c r="G230" s="9" t="n">
        <v>100</v>
      </c>
      <c r="H230" s="9" t="n">
        <v>525</v>
      </c>
      <c r="I230" s="9" t="inlineStr">
        <is>
          <t>Bullpen Depth Arm</t>
        </is>
      </c>
      <c r="J230" s="18" t="inlineStr">
        <is>
          <t>Opening Day</t>
        </is>
      </c>
      <c r="K230" s="11">
        <f>IFERROR(INDEX(Roles!$B$17:$B$20,MATCH(J230,Roles!$A$17:$A$20,0)),1)</f>
        <v/>
      </c>
      <c r="L230" s="19" t="n">
        <v>1</v>
      </c>
      <c r="M230" s="11" t="n">
        <v>1</v>
      </c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>
        <v>1</v>
      </c>
      <c r="X230" s="19" t="n"/>
      <c r="Y230" s="19" t="n"/>
      <c r="Z230" s="13">
        <f>SUMPRODUCT(N230:Y230,$N$2:$Y$2)*$K230*$L230*$M230</f>
        <v/>
      </c>
      <c r="AA230" s="14">
        <f>SUM(N230:Y230)</f>
        <v/>
      </c>
      <c r="AB230" s="13">
        <f>SUMPRODUCT(N230:Y230,$N$3:$Y$3)*$K230*$L230*$M230</f>
        <v/>
      </c>
      <c r="AC230" s="13">
        <f>SUMPRODUCT(N230:Y230,$N$4:$Y$4)*$K230*$L230*$M230</f>
        <v/>
      </c>
      <c r="AD230" s="15" t="n">
        <v>23.36666666666667</v>
      </c>
      <c r="AE230" s="11" t="n">
        <v>1.17124975882038</v>
      </c>
      <c r="AF230" s="16">
        <f>SUMPRODUCT(N230:Y230,$N$5:$Y$5)*$K230*$L230*$M230</f>
        <v/>
      </c>
      <c r="AG230" s="16">
        <f>SUMPRODUCT(N230:Y230,$N$6:$Y$6)*$K230*$L230*$M230</f>
        <v/>
      </c>
      <c r="AH230" s="20" t="n"/>
    </row>
    <row r="231">
      <c r="A231" s="9" t="n">
        <v>592773</v>
      </c>
      <c r="B231" s="9" t="inlineStr">
        <is>
          <t>Ryne Stanek</t>
        </is>
      </c>
      <c r="C231" s="9" t="inlineStr">
        <is>
          <t>STL</t>
        </is>
      </c>
      <c r="D231" s="9" t="n">
        <v>35</v>
      </c>
      <c r="E231" s="18" t="inlineStr">
        <is>
          <t>R</t>
        </is>
      </c>
      <c r="F231" s="18" t="n"/>
      <c r="G231" s="9" t="n">
        <v>267</v>
      </c>
      <c r="H231" s="9" t="n">
        <v>1200</v>
      </c>
      <c r="I231" s="9" t="inlineStr">
        <is>
          <t>Late Inning RP (Setup)</t>
        </is>
      </c>
      <c r="J231" s="18" t="inlineStr">
        <is>
          <t>Opening Day</t>
        </is>
      </c>
      <c r="K231" s="11">
        <f>IFERROR(INDEX(Roles!$B$17:$B$20,MATCH(J231,Roles!$A$17:$A$20,0)),1)</f>
        <v/>
      </c>
      <c r="L231" s="19" t="n">
        <v>1</v>
      </c>
      <c r="M231" s="11" t="n">
        <v>1</v>
      </c>
      <c r="N231" s="19" t="n"/>
      <c r="O231" s="19" t="n"/>
      <c r="P231" s="19" t="n"/>
      <c r="Q231" s="19" t="n"/>
      <c r="R231" s="19" t="n"/>
      <c r="S231" s="19" t="n"/>
      <c r="T231" s="19" t="n"/>
      <c r="U231" s="19" t="n">
        <v>0.85</v>
      </c>
      <c r="V231" s="19" t="n">
        <v>0.15</v>
      </c>
      <c r="W231" s="19" t="n"/>
      <c r="X231" s="19" t="n"/>
      <c r="Y231" s="19" t="n"/>
      <c r="Z231" s="13">
        <f>SUMPRODUCT(N231:Y231,$N$2:$Y$2)*$K231*$L231*$M231</f>
        <v/>
      </c>
      <c r="AA231" s="14">
        <f>SUM(N231:Y231)</f>
        <v/>
      </c>
      <c r="AB231" s="13">
        <f>SUMPRODUCT(N231:Y231,$N$3:$Y$3)*$K231*$L231*$M231</f>
        <v/>
      </c>
      <c r="AC231" s="13">
        <f>SUMPRODUCT(N231:Y231,$N$4:$Y$4)*$K231*$L231*$M231</f>
        <v/>
      </c>
      <c r="AD231" s="15" t="n">
        <v>59.5</v>
      </c>
      <c r="AE231" s="11" t="n">
        <v>0.9536290322580644</v>
      </c>
      <c r="AF231" s="16">
        <f>SUMPRODUCT(N231:Y231,$N$5:$Y$5)*$K231*$L231*$M231</f>
        <v/>
      </c>
      <c r="AG231" s="16">
        <f>SUMPRODUCT(N231:Y231,$N$6:$Y$6)*$K231*$L231*$M231</f>
        <v/>
      </c>
      <c r="AH231" s="20" t="n"/>
    </row>
    <row r="232">
      <c r="A232" s="9" t="n">
        <v>701581</v>
      </c>
      <c r="B232" s="9" t="inlineStr">
        <is>
          <t>David Festa</t>
        </is>
      </c>
      <c r="C232" s="9" t="inlineStr">
        <is>
          <t>MIN</t>
        </is>
      </c>
      <c r="D232" s="9" t="n">
        <v>27</v>
      </c>
      <c r="E232" s="18" t="inlineStr">
        <is>
          <t>R</t>
        </is>
      </c>
      <c r="F232" s="18" t="n"/>
      <c r="G232" s="9" t="n">
        <v>229</v>
      </c>
      <c r="H232" s="9" t="n">
        <v>506</v>
      </c>
      <c r="I232" s="9" t="inlineStr">
        <is>
          <t>Bullpen Depth Arm</t>
        </is>
      </c>
      <c r="J232" s="18" t="inlineStr">
        <is>
          <t>Opening Day</t>
        </is>
      </c>
      <c r="K232" s="11">
        <f>IFERROR(INDEX(Roles!$B$17:$B$20,MATCH(J232,Roles!$A$17:$A$20,0)),1)</f>
        <v/>
      </c>
      <c r="L232" s="19" t="n">
        <v>1</v>
      </c>
      <c r="M232" s="11" t="n">
        <v>1</v>
      </c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>
        <v>1</v>
      </c>
      <c r="X232" s="19" t="n"/>
      <c r="Y232" s="19" t="n"/>
      <c r="Z232" s="13">
        <f>SUMPRODUCT(N232:Y232,$N$2:$Y$2)*$K232*$L232*$M232</f>
        <v/>
      </c>
      <c r="AA232" s="14">
        <f>SUM(N232:Y232)</f>
        <v/>
      </c>
      <c r="AB232" s="13">
        <f>SUMPRODUCT(N232:Y232,$N$3:$Y$3)*$K232*$L232*$M232</f>
        <v/>
      </c>
      <c r="AC232" s="13">
        <f>SUMPRODUCT(N232:Y232,$N$4:$Y$4)*$K232*$L232*$M232</f>
        <v/>
      </c>
      <c r="AD232" s="15" t="n">
        <v>12.86666666666666</v>
      </c>
      <c r="AE232" s="11" t="n">
        <v>2.384840468173801</v>
      </c>
      <c r="AF232" s="16">
        <f>SUMPRODUCT(N232:Y232,$N$5:$Y$5)*$K232*$L232*$M232</f>
        <v/>
      </c>
      <c r="AG232" s="16">
        <f>SUMPRODUCT(N232:Y232,$N$6:$Y$6)*$K232*$L232*$M232</f>
        <v/>
      </c>
      <c r="AH232" s="20" t="n"/>
    </row>
    <row r="233">
      <c r="A233" s="9" t="n">
        <v>450203</v>
      </c>
      <c r="B233" s="9" t="inlineStr">
        <is>
          <t>Charlie Morton</t>
        </is>
      </c>
      <c r="C233" s="9" t="inlineStr">
        <is>
          <t>ATL</t>
        </is>
      </c>
      <c r="D233" s="9" t="n">
        <v>43</v>
      </c>
      <c r="E233" s="18" t="inlineStr">
        <is>
          <t>R</t>
        </is>
      </c>
      <c r="F233" s="18" t="n"/>
      <c r="G233" s="9" t="n">
        <v>654</v>
      </c>
      <c r="H233" s="9" t="n">
        <v>2799</v>
      </c>
      <c r="I233" s="9" t="inlineStr">
        <is>
          <t>End-of-Rotation Starter (SP4-5)</t>
        </is>
      </c>
      <c r="J233" s="18" t="inlineStr">
        <is>
          <t>Opening Day</t>
        </is>
      </c>
      <c r="K233" s="11">
        <f>IFERROR(INDEX(Roles!$B$17:$B$20,MATCH(J233,Roles!$A$17:$A$20,0)),1)</f>
        <v/>
      </c>
      <c r="L233" s="19" t="n">
        <v>1</v>
      </c>
      <c r="M233" s="11" t="n">
        <v>1</v>
      </c>
      <c r="N233" s="19" t="n"/>
      <c r="O233" s="19" t="n"/>
      <c r="P233" s="19" t="n">
        <v>1</v>
      </c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3">
        <f>SUMPRODUCT(N233:Y233,$N$2:$Y$2)*$K233*$L233*$M233</f>
        <v/>
      </c>
      <c r="AA233" s="14">
        <f>SUM(N233:Y233)</f>
        <v/>
      </c>
      <c r="AB233" s="13">
        <f>SUMPRODUCT(N233:Y233,$N$3:$Y$3)*$K233*$L233*$M233</f>
        <v/>
      </c>
      <c r="AC233" s="13">
        <f>SUMPRODUCT(N233:Y233,$N$4:$Y$4)*$K233*$L233*$M233</f>
        <v/>
      </c>
      <c r="AD233" s="15" t="n">
        <v>25.6</v>
      </c>
      <c r="AE233" s="11" t="n">
        <v>4.597222222222222</v>
      </c>
      <c r="AF233" s="16">
        <f>SUMPRODUCT(N233:Y233,$N$5:$Y$5)*$K233*$L233*$M233</f>
        <v/>
      </c>
      <c r="AG233" s="16">
        <f>SUMPRODUCT(N233:Y233,$N$6:$Y$6)*$K233*$L233*$M233</f>
        <v/>
      </c>
      <c r="AH233" s="20" t="n"/>
    </row>
    <row r="234">
      <c r="A234" s="9" t="n">
        <v>650911</v>
      </c>
      <c r="B234" s="9" t="inlineStr">
        <is>
          <t>Cristopher Sánchez</t>
        </is>
      </c>
      <c r="C234" s="9" t="inlineStr">
        <is>
          <t>PHI</t>
        </is>
      </c>
      <c r="D234" s="9" t="n">
        <v>30</v>
      </c>
      <c r="E234" s="18" t="inlineStr">
        <is>
          <t>L</t>
        </is>
      </c>
      <c r="F234" s="18" t="n"/>
      <c r="G234" s="9" t="n">
        <v>857</v>
      </c>
      <c r="H234" s="9" t="n">
        <v>2991</v>
      </c>
      <c r="I234" s="9" t="inlineStr">
        <is>
          <t>Ace (SP1)</t>
        </is>
      </c>
      <c r="J234" s="18" t="inlineStr">
        <is>
          <t>Opening Day</t>
        </is>
      </c>
      <c r="K234" s="11">
        <f>IFERROR(INDEX(Roles!$B$17:$B$20,MATCH(J234,Roles!$A$17:$A$20,0)),1)</f>
        <v/>
      </c>
      <c r="L234" s="19" t="n">
        <v>1</v>
      </c>
      <c r="M234" s="11" t="n">
        <v>1</v>
      </c>
      <c r="N234" s="19" t="n">
        <v>0.5</v>
      </c>
      <c r="O234" s="19" t="n">
        <v>0.5</v>
      </c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3">
        <f>SUMPRODUCT(N234:Y234,$N$2:$Y$2)*$K234*$L234*$M234</f>
        <v/>
      </c>
      <c r="AA234" s="14">
        <f>SUM(N234:Y234)</f>
        <v/>
      </c>
      <c r="AB234" s="13">
        <f>SUMPRODUCT(N234:Y234,$N$3:$Y$3)*$K234*$L234*$M234</f>
        <v/>
      </c>
      <c r="AC234" s="13">
        <f>SUMPRODUCT(N234:Y234,$N$4:$Y$4)*$K234*$L234*$M234</f>
        <v/>
      </c>
      <c r="AD234" s="15" t="n">
        <v>29.6</v>
      </c>
      <c r="AE234" s="11" t="n">
        <v>5.819342169857633</v>
      </c>
      <c r="AF234" s="16">
        <f>SUMPRODUCT(N234:Y234,$N$5:$Y$5)*$K234*$L234*$M234</f>
        <v/>
      </c>
      <c r="AG234" s="16">
        <f>SUMPRODUCT(N234:Y234,$N$6:$Y$6)*$K234*$L234*$M234</f>
        <v/>
      </c>
      <c r="AH234" s="20" t="n"/>
    </row>
    <row r="235">
      <c r="A235" s="9" t="n">
        <v>671212</v>
      </c>
      <c r="B235" s="9" t="inlineStr">
        <is>
          <t>Joe Boyle</t>
        </is>
      </c>
      <c r="C235" s="9" t="inlineStr">
        <is>
          <t>TB</t>
        </is>
      </c>
      <c r="D235" s="9" t="n">
        <v>27</v>
      </c>
      <c r="E235" s="18" t="inlineStr">
        <is>
          <t>R</t>
        </is>
      </c>
      <c r="F235" s="18" t="n"/>
      <c r="G235" s="9" t="n">
        <v>81</v>
      </c>
      <c r="H235" s="9" t="n">
        <v>593</v>
      </c>
      <c r="I235" s="9" t="inlineStr">
        <is>
          <t>End-of-Rotation Starter (SP4-5)</t>
        </is>
      </c>
      <c r="J235" s="18" t="inlineStr">
        <is>
          <t>Opening Day</t>
        </is>
      </c>
      <c r="K235" s="11">
        <f>IFERROR(INDEX(Roles!$B$17:$B$20,MATCH(J235,Roles!$A$17:$A$20,0)),1)</f>
        <v/>
      </c>
      <c r="L235" s="19" t="n">
        <v>1</v>
      </c>
      <c r="M235" s="11" t="n">
        <v>1</v>
      </c>
      <c r="N235" s="19" t="n"/>
      <c r="O235" s="19" t="n"/>
      <c r="P235" s="19" t="n">
        <v>1</v>
      </c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3">
        <f>SUMPRODUCT(N235:Y235,$N$2:$Y$2)*$K235*$L235*$M235</f>
        <v/>
      </c>
      <c r="AA235" s="14">
        <f>SUM(N235:Y235)</f>
        <v/>
      </c>
      <c r="AB235" s="13">
        <f>SUMPRODUCT(N235:Y235,$N$3:$Y$3)*$K235*$L235*$M235</f>
        <v/>
      </c>
      <c r="AC235" s="13">
        <f>SUMPRODUCT(N235:Y235,$N$4:$Y$4)*$K235*$L235*$M235</f>
        <v/>
      </c>
      <c r="AD235" s="15" t="n">
        <v>11.5</v>
      </c>
      <c r="AE235" s="11" t="n">
        <v>4.400871459694989</v>
      </c>
      <c r="AF235" s="16">
        <f>SUMPRODUCT(N235:Y235,$N$5:$Y$5)*$K235*$L235*$M235</f>
        <v/>
      </c>
      <c r="AG235" s="16">
        <f>SUMPRODUCT(N235:Y235,$N$6:$Y$6)*$K235*$L235*$M235</f>
        <v/>
      </c>
      <c r="AH235" s="20" t="n"/>
    </row>
    <row r="236">
      <c r="A236" s="9" t="n">
        <v>625643</v>
      </c>
      <c r="B236" s="9" t="inlineStr">
        <is>
          <t>Reynaldo López</t>
        </is>
      </c>
      <c r="C236" s="9" t="inlineStr">
        <is>
          <t>ATL</t>
        </is>
      </c>
      <c r="D236" s="9" t="n">
        <v>33</v>
      </c>
      <c r="E236" s="18" t="inlineStr">
        <is>
          <t>R</t>
        </is>
      </c>
      <c r="F236" s="18" t="n"/>
      <c r="G236" s="9" t="n">
        <v>346</v>
      </c>
      <c r="H236" s="9" t="n">
        <v>1446</v>
      </c>
      <c r="I236" s="9" t="inlineStr">
        <is>
          <t>End-of-Rotation Starter (SP4-5)</t>
        </is>
      </c>
      <c r="J236" s="18" t="inlineStr">
        <is>
          <t>Opening Day</t>
        </is>
      </c>
      <c r="K236" s="11">
        <f>IFERROR(INDEX(Roles!$B$17:$B$20,MATCH(J236,Roles!$A$17:$A$20,0)),1)</f>
        <v/>
      </c>
      <c r="L236" s="19" t="n">
        <v>1</v>
      </c>
      <c r="M236" s="11" t="n">
        <v>1</v>
      </c>
      <c r="N236" s="19" t="n"/>
      <c r="O236" s="19" t="n"/>
      <c r="P236" s="19" t="n">
        <v>0.5</v>
      </c>
      <c r="Q236" s="19" t="n"/>
      <c r="R236" s="19" t="n">
        <v>0.5</v>
      </c>
      <c r="S236" s="19" t="n"/>
      <c r="T236" s="19" t="n"/>
      <c r="U236" s="19" t="n"/>
      <c r="V236" s="19" t="n"/>
      <c r="W236" s="19" t="n"/>
      <c r="X236" s="19" t="n"/>
      <c r="Y236" s="19" t="n"/>
      <c r="Z236" s="13">
        <f>SUMPRODUCT(N236:Y236,$N$2:$Y$2)*$K236*$L236*$M236</f>
        <v/>
      </c>
      <c r="AA236" s="14">
        <f>SUM(N236:Y236)</f>
        <v/>
      </c>
      <c r="AB236" s="13">
        <f>SUMPRODUCT(N236:Y236,$N$3:$Y$3)*$K236*$L236*$M236</f>
        <v/>
      </c>
      <c r="AC236" s="13">
        <f>SUMPRODUCT(N236:Y236,$N$4:$Y$4)*$K236*$L236*$M236</f>
        <v/>
      </c>
      <c r="AD236" s="15" t="n">
        <v>17</v>
      </c>
      <c r="AE236" s="11" t="n">
        <v>4.243535988819008</v>
      </c>
      <c r="AF236" s="16">
        <f>SUMPRODUCT(N236:Y236,$N$5:$Y$5)*$K236*$L236*$M236</f>
        <v/>
      </c>
      <c r="AG236" s="16">
        <f>SUMPRODUCT(N236:Y236,$N$6:$Y$6)*$K236*$L236*$M236</f>
        <v/>
      </c>
      <c r="AH236" s="20" t="n"/>
    </row>
    <row r="237">
      <c r="A237" s="9" t="n">
        <v>680704</v>
      </c>
      <c r="B237" s="9" t="inlineStr">
        <is>
          <t>Nick Sandlin</t>
        </is>
      </c>
      <c r="C237" s="9" t="inlineStr">
        <is>
          <t>LAA</t>
        </is>
      </c>
      <c r="D237" s="9" t="n">
        <v>30</v>
      </c>
      <c r="E237" s="18" t="inlineStr">
        <is>
          <t>R</t>
        </is>
      </c>
      <c r="F237" s="18" t="n"/>
      <c r="G237" s="9" t="n">
        <v>40</v>
      </c>
      <c r="H237" s="9" t="n">
        <v>774</v>
      </c>
      <c r="I237" s="9" t="inlineStr">
        <is>
          <t>Bullpen Depth Arm</t>
        </is>
      </c>
      <c r="J237" s="18" t="inlineStr">
        <is>
          <t>Opening Day</t>
        </is>
      </c>
      <c r="K237" s="11">
        <f>IFERROR(INDEX(Roles!$B$17:$B$20,MATCH(J237,Roles!$A$17:$A$20,0)),1)</f>
        <v/>
      </c>
      <c r="L237" s="19" t="n">
        <v>1</v>
      </c>
      <c r="M237" s="11" t="n">
        <v>1</v>
      </c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>
        <v>1</v>
      </c>
      <c r="X237" s="19" t="n"/>
      <c r="Y237" s="19" t="n"/>
      <c r="Z237" s="13">
        <f>SUMPRODUCT(N237:Y237,$N$2:$Y$2)*$K237*$L237*$M237</f>
        <v/>
      </c>
      <c r="AA237" s="14">
        <f>SUM(N237:Y237)</f>
        <v/>
      </c>
      <c r="AB237" s="13">
        <f>SUMPRODUCT(N237:Y237,$N$3:$Y$3)*$K237*$L237*$M237</f>
        <v/>
      </c>
      <c r="AC237" s="13">
        <f>SUMPRODUCT(N237:Y237,$N$4:$Y$4)*$K237*$L237*$M237</f>
        <v/>
      </c>
      <c r="AD237" s="15" t="n">
        <v>18.66666666666666</v>
      </c>
      <c r="AE237" s="11" t="n">
        <v>1.099797733131066</v>
      </c>
      <c r="AF237" s="16">
        <f>SUMPRODUCT(N237:Y237,$N$5:$Y$5)*$K237*$L237*$M237</f>
        <v/>
      </c>
      <c r="AG237" s="16">
        <f>SUMPRODUCT(N237:Y237,$N$6:$Y$6)*$K237*$L237*$M237</f>
        <v/>
      </c>
      <c r="AH237" s="20" t="n"/>
    </row>
    <row r="238">
      <c r="A238" s="9" t="n">
        <v>673513</v>
      </c>
      <c r="B238" s="9" t="inlineStr">
        <is>
          <t>Yuki Matsui</t>
        </is>
      </c>
      <c r="C238" s="9" t="inlineStr">
        <is>
          <t>SD</t>
        </is>
      </c>
      <c r="D238" s="9" t="n">
        <v>31</v>
      </c>
      <c r="E238" s="18" t="inlineStr">
        <is>
          <t>L</t>
        </is>
      </c>
      <c r="F238" s="18" t="n"/>
      <c r="G238" s="9" t="n">
        <v>260</v>
      </c>
      <c r="H238" s="9" t="n">
        <v>789</v>
      </c>
      <c r="I238" s="9" t="inlineStr">
        <is>
          <t>Middle Relief</t>
        </is>
      </c>
      <c r="J238" s="18" t="inlineStr">
        <is>
          <t>Opening Day</t>
        </is>
      </c>
      <c r="K238" s="11">
        <f>IFERROR(INDEX(Roles!$B$17:$B$20,MATCH(J238,Roles!$A$17:$A$20,0)),1)</f>
        <v/>
      </c>
      <c r="L238" s="19" t="n">
        <v>1</v>
      </c>
      <c r="M238" s="11" t="n">
        <v>1</v>
      </c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>
        <v>0.6</v>
      </c>
      <c r="W238" s="19" t="n">
        <v>0.4</v>
      </c>
      <c r="X238" s="19" t="n"/>
      <c r="Y238" s="19" t="n"/>
      <c r="Z238" s="13">
        <f>SUMPRODUCT(N238:Y238,$N$2:$Y$2)*$K238*$L238*$M238</f>
        <v/>
      </c>
      <c r="AA238" s="14">
        <f>SUM(N238:Y238)</f>
        <v/>
      </c>
      <c r="AB238" s="13">
        <f>SUMPRODUCT(N238:Y238,$N$3:$Y$3)*$K238*$L238*$M238</f>
        <v/>
      </c>
      <c r="AC238" s="13">
        <f>SUMPRODUCT(N238:Y238,$N$4:$Y$4)*$K238*$L238*$M238</f>
        <v/>
      </c>
      <c r="AD238" s="15" t="n">
        <v>49.53333333333333</v>
      </c>
      <c r="AE238" s="11" t="n">
        <v>1.05440557831309</v>
      </c>
      <c r="AF238" s="16">
        <f>SUMPRODUCT(N238:Y238,$N$5:$Y$5)*$K238*$L238*$M238</f>
        <v/>
      </c>
      <c r="AG238" s="16">
        <f>SUMPRODUCT(N238:Y238,$N$6:$Y$6)*$K238*$L238*$M238</f>
        <v/>
      </c>
      <c r="AH238" s="20" t="n"/>
    </row>
    <row r="239">
      <c r="A239" s="9" t="n">
        <v>657031</v>
      </c>
      <c r="B239" s="9" t="inlineStr">
        <is>
          <t>Josh Taylor</t>
        </is>
      </c>
      <c r="C239" s="9" t="inlineStr">
        <is>
          <t>KC</t>
        </is>
      </c>
      <c r="D239" s="9" t="n">
        <v>34</v>
      </c>
      <c r="E239" s="18" t="inlineStr">
        <is>
          <t>L</t>
        </is>
      </c>
      <c r="F239" s="18" t="n"/>
      <c r="G239" s="9" t="n">
        <v>83</v>
      </c>
      <c r="H239" s="9" t="n">
        <v>83</v>
      </c>
      <c r="I239" s="9" t="inlineStr">
        <is>
          <t>Depth (no MLB IP)</t>
        </is>
      </c>
      <c r="J239" s="18" t="inlineStr">
        <is>
          <t>Opening Day</t>
        </is>
      </c>
      <c r="K239" s="11">
        <f>IFERROR(INDEX(Roles!$B$17:$B$20,MATCH(J239,Roles!$A$17:$A$20,0)),1)</f>
        <v/>
      </c>
      <c r="L239" s="19" t="n">
        <v>1</v>
      </c>
      <c r="M239" s="11" t="n">
        <v>1</v>
      </c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>
        <v>1</v>
      </c>
      <c r="Z239" s="13">
        <f>SUMPRODUCT(N239:Y239,$N$2:$Y$2)*$K239*$L239*$M239</f>
        <v/>
      </c>
      <c r="AA239" s="14">
        <f>SUM(N239:Y239)</f>
        <v/>
      </c>
      <c r="AB239" s="13">
        <f>SUMPRODUCT(N239:Y239,$N$3:$Y$3)*$K239*$L239*$M239</f>
        <v/>
      </c>
      <c r="AC239" s="13">
        <f>SUMPRODUCT(N239:Y239,$N$4:$Y$4)*$K239*$L239*$M239</f>
        <v/>
      </c>
      <c r="AD239" s="15" t="n">
        <v>3</v>
      </c>
      <c r="AE239" s="11" t="n">
        <v>1.011296296296296</v>
      </c>
      <c r="AF239" s="16">
        <f>SUMPRODUCT(N239:Y239,$N$5:$Y$5)*$K239*$L239*$M239</f>
        <v/>
      </c>
      <c r="AG239" s="16">
        <f>SUMPRODUCT(N239:Y239,$N$6:$Y$6)*$K239*$L239*$M239</f>
        <v/>
      </c>
      <c r="AH239" s="20" t="n"/>
    </row>
    <row r="240">
      <c r="A240" s="9" t="n">
        <v>665795</v>
      </c>
      <c r="B240" s="9" t="inlineStr">
        <is>
          <t>Edward Cabrera</t>
        </is>
      </c>
      <c r="C240" s="9" t="inlineStr">
        <is>
          <t>CHC</t>
        </is>
      </c>
      <c r="D240" s="9" t="n">
        <v>29</v>
      </c>
      <c r="E240" s="18" t="inlineStr">
        <is>
          <t>R</t>
        </is>
      </c>
      <c r="F240" s="18" t="n"/>
      <c r="G240" s="9" t="n">
        <v>350</v>
      </c>
      <c r="H240" s="9" t="n">
        <v>2074</v>
      </c>
      <c r="I240" s="9" t="inlineStr">
        <is>
          <t>Swing Arm / Long Relief</t>
        </is>
      </c>
      <c r="J240" s="18" t="inlineStr">
        <is>
          <t>Opening Day</t>
        </is>
      </c>
      <c r="K240" s="11">
        <f>IFERROR(INDEX(Roles!$B$17:$B$20,MATCH(J240,Roles!$A$17:$A$20,0)),1)</f>
        <v/>
      </c>
      <c r="L240" s="19" t="n">
        <v>1</v>
      </c>
      <c r="M240" s="11" t="n">
        <v>1</v>
      </c>
      <c r="N240" s="19" t="n"/>
      <c r="O240" s="19" t="n"/>
      <c r="P240" s="19" t="n"/>
      <c r="Q240" s="19" t="n"/>
      <c r="R240" s="19" t="n">
        <v>0.6</v>
      </c>
      <c r="S240" s="19" t="n"/>
      <c r="T240" s="19" t="n"/>
      <c r="U240" s="19" t="n"/>
      <c r="V240" s="19" t="n">
        <v>0.4</v>
      </c>
      <c r="W240" s="19" t="n"/>
      <c r="X240" s="19" t="n"/>
      <c r="Y240" s="19" t="n"/>
      <c r="Z240" s="13">
        <f>SUMPRODUCT(N240:Y240,$N$2:$Y$2)*$K240*$L240*$M240</f>
        <v/>
      </c>
      <c r="AA240" s="14">
        <f>SUM(N240:Y240)</f>
        <v/>
      </c>
      <c r="AB240" s="13">
        <f>SUMPRODUCT(N240:Y240,$N$3:$Y$3)*$K240*$L240*$M240</f>
        <v/>
      </c>
      <c r="AC240" s="13">
        <f>SUMPRODUCT(N240:Y240,$N$4:$Y$4)*$K240*$L240*$M240</f>
        <v/>
      </c>
      <c r="AD240" s="15" t="n">
        <v>20.73333333333333</v>
      </c>
      <c r="AE240" s="11" t="n">
        <v>3.286653945123891</v>
      </c>
      <c r="AF240" s="16">
        <f>SUMPRODUCT(N240:Y240,$N$5:$Y$5)*$K240*$L240*$M240</f>
        <v/>
      </c>
      <c r="AG240" s="16">
        <f>SUMPRODUCT(N240:Y240,$N$6:$Y$6)*$K240*$L240*$M240</f>
        <v/>
      </c>
      <c r="AH240" s="20" t="n"/>
    </row>
    <row r="241">
      <c r="A241" s="9" t="n">
        <v>689296</v>
      </c>
      <c r="B241" s="9" t="inlineStr">
        <is>
          <t>Anthony Nunez</t>
        </is>
      </c>
      <c r="C241" s="9" t="inlineStr">
        <is>
          <t>BAL</t>
        </is>
      </c>
      <c r="D241" s="9" t="n">
        <v>25</v>
      </c>
      <c r="E241" s="18" t="inlineStr">
        <is>
          <t>R</t>
        </is>
      </c>
      <c r="F241" s="18" t="n"/>
      <c r="G241" s="9" t="n">
        <v>255</v>
      </c>
      <c r="H241" s="9" t="n">
        <v>255</v>
      </c>
      <c r="I241" s="9" t="inlineStr">
        <is>
          <t>Swing Arm / Long Relief</t>
        </is>
      </c>
      <c r="J241" s="18" t="inlineStr">
        <is>
          <t>Opening Day</t>
        </is>
      </c>
      <c r="K241" s="11">
        <f>IFERROR(INDEX(Roles!$B$17:$B$20,MATCH(J241,Roles!$A$17:$A$20,0)),1)</f>
        <v/>
      </c>
      <c r="L241" s="19" t="n">
        <v>1</v>
      </c>
      <c r="M241" s="11" t="n">
        <v>1</v>
      </c>
      <c r="N241" s="19" t="n"/>
      <c r="O241" s="19" t="n"/>
      <c r="P241" s="19" t="n"/>
      <c r="Q241" s="19" t="n"/>
      <c r="R241" s="19" t="n">
        <v>0.6</v>
      </c>
      <c r="S241" s="19" t="n"/>
      <c r="T241" s="19" t="n"/>
      <c r="U241" s="19" t="n"/>
      <c r="V241" s="19" t="n"/>
      <c r="W241" s="19" t="n">
        <v>0.4</v>
      </c>
      <c r="X241" s="19" t="n"/>
      <c r="Y241" s="19" t="n"/>
      <c r="Z241" s="13">
        <f>SUMPRODUCT(N241:Y241,$N$2:$Y$2)*$K241*$L241*$M241</f>
        <v/>
      </c>
      <c r="AA241" s="14">
        <f>SUM(N241:Y241)</f>
        <v/>
      </c>
      <c r="AB241" s="13">
        <f>SUMPRODUCT(N241:Y241,$N$3:$Y$3)*$K241*$L241*$M241</f>
        <v/>
      </c>
      <c r="AC241" s="13">
        <f>SUMPRODUCT(N241:Y241,$N$4:$Y$4)*$K241*$L241*$M241</f>
        <v/>
      </c>
      <c r="AD241" s="15" t="n">
        <v>39.33333333333333</v>
      </c>
      <c r="AE241" s="11" t="n">
        <v>2.050966792770072</v>
      </c>
      <c r="AF241" s="16">
        <f>SUMPRODUCT(N241:Y241,$N$5:$Y$5)*$K241*$L241*$M241</f>
        <v/>
      </c>
      <c r="AG241" s="16">
        <f>SUMPRODUCT(N241:Y241,$N$6:$Y$6)*$K241*$L241*$M241</f>
        <v/>
      </c>
      <c r="AH241" s="20" t="n"/>
    </row>
    <row r="242">
      <c r="A242" s="9" t="n">
        <v>806185</v>
      </c>
      <c r="B242" s="9" t="inlineStr">
        <is>
          <t>Hayden Birdsong</t>
        </is>
      </c>
      <c r="C242" s="9" t="inlineStr">
        <is>
          <t>SF</t>
        </is>
      </c>
      <c r="D242" s="9" t="n">
        <v>25</v>
      </c>
      <c r="E242" s="18" t="inlineStr">
        <is>
          <t>R</t>
        </is>
      </c>
      <c r="F242" s="18" t="n"/>
      <c r="G242" s="9" t="n">
        <v>298</v>
      </c>
      <c r="H242" s="9" t="n">
        <v>613</v>
      </c>
      <c r="I242" s="9" t="inlineStr">
        <is>
          <t>Swing Arm / Long Relief</t>
        </is>
      </c>
      <c r="J242" s="18" t="inlineStr">
        <is>
          <t>Opening Day</t>
        </is>
      </c>
      <c r="K242" s="11">
        <f>IFERROR(INDEX(Roles!$B$17:$B$20,MATCH(J242,Roles!$A$17:$A$20,0)),1)</f>
        <v/>
      </c>
      <c r="L242" s="19" t="n">
        <v>1</v>
      </c>
      <c r="M242" s="11" t="n">
        <v>1</v>
      </c>
      <c r="N242" s="19" t="n"/>
      <c r="O242" s="19" t="n"/>
      <c r="P242" s="19" t="n"/>
      <c r="Q242" s="19" t="n"/>
      <c r="R242" s="19" t="n">
        <v>0.5</v>
      </c>
      <c r="S242" s="19" t="n"/>
      <c r="T242" s="19" t="n"/>
      <c r="U242" s="19" t="n"/>
      <c r="V242" s="19" t="n">
        <v>0.5</v>
      </c>
      <c r="W242" s="19" t="n"/>
      <c r="X242" s="19" t="n"/>
      <c r="Y242" s="19" t="n"/>
      <c r="Z242" s="13">
        <f>SUMPRODUCT(N242:Y242,$N$2:$Y$2)*$K242*$L242*$M242</f>
        <v/>
      </c>
      <c r="AA242" s="14">
        <f>SUM(N242:Y242)</f>
        <v/>
      </c>
      <c r="AB242" s="13">
        <f>SUMPRODUCT(N242:Y242,$N$3:$Y$3)*$K242*$L242*$M242</f>
        <v/>
      </c>
      <c r="AC242" s="13">
        <f>SUMPRODUCT(N242:Y242,$N$4:$Y$4)*$K242*$L242*$M242</f>
        <v/>
      </c>
      <c r="AD242" s="15" t="n">
        <v>19.73333333333333</v>
      </c>
      <c r="AE242" s="11" t="n">
        <v>2.837070535770366</v>
      </c>
      <c r="AF242" s="16">
        <f>SUMPRODUCT(N242:Y242,$N$5:$Y$5)*$K242*$L242*$M242</f>
        <v/>
      </c>
      <c r="AG242" s="16">
        <f>SUMPRODUCT(N242:Y242,$N$6:$Y$6)*$K242*$L242*$M242</f>
        <v/>
      </c>
      <c r="AH242" s="20" t="n"/>
    </row>
    <row r="243">
      <c r="A243" s="9" t="n">
        <v>656641</v>
      </c>
      <c r="B243" s="9" t="inlineStr">
        <is>
          <t>Jacob Latz</t>
        </is>
      </c>
      <c r="C243" s="9" t="inlineStr">
        <is>
          <t>TEX</t>
        </is>
      </c>
      <c r="D243" s="9" t="n">
        <v>31</v>
      </c>
      <c r="E243" s="18" t="inlineStr">
        <is>
          <t>L</t>
        </is>
      </c>
      <c r="F243" s="18" t="n"/>
      <c r="G243" s="9" t="n">
        <v>271</v>
      </c>
      <c r="H243" s="9" t="n">
        <v>833</v>
      </c>
      <c r="I243" s="9" t="inlineStr">
        <is>
          <t>Closer</t>
        </is>
      </c>
      <c r="J243" s="18" t="inlineStr">
        <is>
          <t>Opening Day</t>
        </is>
      </c>
      <c r="K243" s="11">
        <f>IFERROR(INDEX(Roles!$B$17:$B$20,MATCH(J243,Roles!$A$17:$A$20,0)),1)</f>
        <v/>
      </c>
      <c r="L243" s="19" t="n">
        <v>1</v>
      </c>
      <c r="M243" s="11" t="n">
        <v>1</v>
      </c>
      <c r="N243" s="19" t="n"/>
      <c r="O243" s="19" t="n"/>
      <c r="P243" s="19" t="n"/>
      <c r="Q243" s="19" t="n"/>
      <c r="R243" s="19" t="n"/>
      <c r="S243" s="19" t="n"/>
      <c r="T243" s="19" t="n">
        <v>0.85</v>
      </c>
      <c r="U243" s="19" t="n">
        <v>0.15</v>
      </c>
      <c r="V243" s="19" t="n"/>
      <c r="W243" s="19" t="n"/>
      <c r="X243" s="19" t="n"/>
      <c r="Y243" s="19" t="n"/>
      <c r="Z243" s="13">
        <f>SUMPRODUCT(N243:Y243,$N$2:$Y$2)*$K243*$L243*$M243</f>
        <v/>
      </c>
      <c r="AA243" s="14">
        <f>SUM(N243:Y243)</f>
        <v/>
      </c>
      <c r="AB243" s="13">
        <f>SUMPRODUCT(N243:Y243,$N$3:$Y$3)*$K243*$L243*$M243</f>
        <v/>
      </c>
      <c r="AC243" s="13">
        <f>SUMPRODUCT(N243:Y243,$N$4:$Y$4)*$K243*$L243*$M243</f>
        <v/>
      </c>
      <c r="AD243" s="15" t="n">
        <v>48.76000000000001</v>
      </c>
      <c r="AE243" s="11" t="n">
        <v>1.171494547899042</v>
      </c>
      <c r="AF243" s="16">
        <f>SUMPRODUCT(N243:Y243,$N$5:$Y$5)*$K243*$L243*$M243</f>
        <v/>
      </c>
      <c r="AG243" s="16">
        <f>SUMPRODUCT(N243:Y243,$N$6:$Y$6)*$K243*$L243*$M243</f>
        <v/>
      </c>
      <c r="AH243" s="20" t="n"/>
    </row>
    <row r="244">
      <c r="A244" s="9" t="n">
        <v>689254</v>
      </c>
      <c r="B244" s="9" t="inlineStr">
        <is>
          <t>Mason Fluharty</t>
        </is>
      </c>
      <c r="C244" s="9" t="inlineStr">
        <is>
          <t>TOR</t>
        </is>
      </c>
      <c r="D244" s="9" t="n">
        <v>25</v>
      </c>
      <c r="E244" s="18" t="inlineStr">
        <is>
          <t>L</t>
        </is>
      </c>
      <c r="F244" s="18" t="n"/>
      <c r="G244" s="9" t="n">
        <v>263</v>
      </c>
      <c r="H244" s="9" t="n">
        <v>478</v>
      </c>
      <c r="I244" s="9" t="inlineStr">
        <is>
          <t>Middle Relief</t>
        </is>
      </c>
      <c r="J244" s="18" t="inlineStr">
        <is>
          <t>Opening Day</t>
        </is>
      </c>
      <c r="K244" s="11">
        <f>IFERROR(INDEX(Roles!$B$17:$B$20,MATCH(J244,Roles!$A$17:$A$20,0)),1)</f>
        <v/>
      </c>
      <c r="L244" s="19" t="n">
        <v>1</v>
      </c>
      <c r="M244" s="11" t="n">
        <v>1</v>
      </c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>
        <v>0.85</v>
      </c>
      <c r="W244" s="19" t="n">
        <v>0.15</v>
      </c>
      <c r="X244" s="19" t="n"/>
      <c r="Y244" s="19" t="n"/>
      <c r="Z244" s="13">
        <f>SUMPRODUCT(N244:Y244,$N$2:$Y$2)*$K244*$L244*$M244</f>
        <v/>
      </c>
      <c r="AA244" s="14">
        <f>SUM(N244:Y244)</f>
        <v/>
      </c>
      <c r="AB244" s="13">
        <f>SUMPRODUCT(N244:Y244,$N$3:$Y$3)*$K244*$L244*$M244</f>
        <v/>
      </c>
      <c r="AC244" s="13">
        <f>SUMPRODUCT(N244:Y244,$N$4:$Y$4)*$K244*$L244*$M244</f>
        <v/>
      </c>
      <c r="AD244" s="15" t="n">
        <v>57.81333333333332</v>
      </c>
      <c r="AE244" s="11" t="n">
        <v>0.9615052627636528</v>
      </c>
      <c r="AF244" s="16">
        <f>SUMPRODUCT(N244:Y244,$N$5:$Y$5)*$K244*$L244*$M244</f>
        <v/>
      </c>
      <c r="AG244" s="16">
        <f>SUMPRODUCT(N244:Y244,$N$6:$Y$6)*$K244*$L244*$M244</f>
        <v/>
      </c>
      <c r="AH244" s="20" t="n"/>
    </row>
    <row r="245">
      <c r="A245" s="9" t="n">
        <v>453286</v>
      </c>
      <c r="B245" s="9" t="inlineStr">
        <is>
          <t>Max Scherzer</t>
        </is>
      </c>
      <c r="C245" s="9" t="inlineStr">
        <is>
          <t>TOR</t>
        </is>
      </c>
      <c r="D245" s="9" t="n">
        <v>42</v>
      </c>
      <c r="E245" s="18" t="inlineStr">
        <is>
          <t>R</t>
        </is>
      </c>
      <c r="F245" s="18" t="n"/>
      <c r="G245" s="9" t="n">
        <v>364</v>
      </c>
      <c r="H245" s="9" t="n">
        <v>2085</v>
      </c>
      <c r="I245" s="9" t="inlineStr">
        <is>
          <t>End-of-Rotation Starter (SP4-5)</t>
        </is>
      </c>
      <c r="J245" s="18" t="inlineStr">
        <is>
          <t>Opening Day</t>
        </is>
      </c>
      <c r="K245" s="11">
        <f>IFERROR(INDEX(Roles!$B$17:$B$20,MATCH(J245,Roles!$A$17:$A$20,0)),1)</f>
        <v/>
      </c>
      <c r="L245" s="19" t="n">
        <v>1</v>
      </c>
      <c r="M245" s="11" t="n">
        <v>1</v>
      </c>
      <c r="N245" s="19" t="n"/>
      <c r="O245" s="19" t="n"/>
      <c r="P245" s="19" t="n">
        <v>0.5</v>
      </c>
      <c r="Q245" s="19" t="n"/>
      <c r="R245" s="19" t="n">
        <v>0.5</v>
      </c>
      <c r="S245" s="19" t="n"/>
      <c r="T245" s="19" t="n"/>
      <c r="U245" s="19" t="n"/>
      <c r="V245" s="19" t="n"/>
      <c r="W245" s="19" t="n"/>
      <c r="X245" s="19" t="n"/>
      <c r="Y245" s="19" t="n"/>
      <c r="Z245" s="13">
        <f>SUMPRODUCT(N245:Y245,$N$2:$Y$2)*$K245*$L245*$M245</f>
        <v/>
      </c>
      <c r="AA245" s="14">
        <f>SUM(N245:Y245)</f>
        <v/>
      </c>
      <c r="AB245" s="13">
        <f>SUMPRODUCT(N245:Y245,$N$3:$Y$3)*$K245*$L245*$M245</f>
        <v/>
      </c>
      <c r="AC245" s="13">
        <f>SUMPRODUCT(N245:Y245,$N$4:$Y$4)*$K245*$L245*$M245</f>
        <v/>
      </c>
      <c r="AD245" s="15" t="n">
        <v>16.1</v>
      </c>
      <c r="AE245" s="11" t="n">
        <v>4.64299350897289</v>
      </c>
      <c r="AF245" s="16">
        <f>SUMPRODUCT(N245:Y245,$N$5:$Y$5)*$K245*$L245*$M245</f>
        <v/>
      </c>
      <c r="AG245" s="16">
        <f>SUMPRODUCT(N245:Y245,$N$6:$Y$6)*$K245*$L245*$M245</f>
        <v/>
      </c>
      <c r="AH245" s="20" t="n"/>
    </row>
    <row r="246">
      <c r="A246" s="9" t="n">
        <v>669308</v>
      </c>
      <c r="B246" s="9" t="inlineStr">
        <is>
          <t>Sean Reynolds</t>
        </is>
      </c>
      <c r="C246" s="9" t="inlineStr">
        <is>
          <t>SD</t>
        </is>
      </c>
      <c r="D246" s="9" t="n">
        <v>29</v>
      </c>
      <c r="E246" s="18" t="inlineStr">
        <is>
          <t>R</t>
        </is>
      </c>
      <c r="F246" s="18" t="n"/>
      <c r="G246" s="9" t="n">
        <v>117</v>
      </c>
      <c r="H246" s="9" t="n">
        <v>166</v>
      </c>
      <c r="I246" s="9" t="inlineStr">
        <is>
          <t>Bullpen Depth Arm</t>
        </is>
      </c>
      <c r="J246" s="18" t="inlineStr">
        <is>
          <t>Opening Day</t>
        </is>
      </c>
      <c r="K246" s="11">
        <f>IFERROR(INDEX(Roles!$B$17:$B$20,MATCH(J246,Roles!$A$17:$A$20,0)),1)</f>
        <v/>
      </c>
      <c r="L246" s="19" t="n">
        <v>1</v>
      </c>
      <c r="M246" s="11" t="n">
        <v>1</v>
      </c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>
        <v>1</v>
      </c>
      <c r="X246" s="19" t="n"/>
      <c r="Y246" s="19" t="n"/>
      <c r="Z246" s="13">
        <f>SUMPRODUCT(N246:Y246,$N$2:$Y$2)*$K246*$L246*$M246</f>
        <v/>
      </c>
      <c r="AA246" s="14">
        <f>SUM(N246:Y246)</f>
        <v/>
      </c>
      <c r="AB246" s="13">
        <f>SUMPRODUCT(N246:Y246,$N$3:$Y$3)*$K246*$L246*$M246</f>
        <v/>
      </c>
      <c r="AC246" s="13">
        <f>SUMPRODUCT(N246:Y246,$N$4:$Y$4)*$K246*$L246*$M246</f>
        <v/>
      </c>
      <c r="AD246" s="15" t="n">
        <v>15.06666666666667</v>
      </c>
      <c r="AE246" s="11" t="n">
        <v>1.262500042641887</v>
      </c>
      <c r="AF246" s="16">
        <f>SUMPRODUCT(N246:Y246,$N$5:$Y$5)*$K246*$L246*$M246</f>
        <v/>
      </c>
      <c r="AG246" s="16">
        <f>SUMPRODUCT(N246:Y246,$N$6:$Y$6)*$K246*$L246*$M246</f>
        <v/>
      </c>
      <c r="AH246" s="20" t="n"/>
    </row>
    <row r="247">
      <c r="A247" s="9" t="n">
        <v>573124</v>
      </c>
      <c r="B247" s="9" t="inlineStr">
        <is>
          <t>Taylor Rogers</t>
        </is>
      </c>
      <c r="C247" s="9" t="inlineStr">
        <is>
          <t>MIN</t>
        </is>
      </c>
      <c r="D247" s="9" t="n">
        <v>36</v>
      </c>
      <c r="E247" s="18" t="inlineStr">
        <is>
          <t>L</t>
        </is>
      </c>
      <c r="F247" s="18" t="n"/>
      <c r="G247" s="9" t="n">
        <v>276</v>
      </c>
      <c r="H247" s="9" t="n">
        <v>1236</v>
      </c>
      <c r="I247" s="9" t="inlineStr">
        <is>
          <t>Middle Relief</t>
        </is>
      </c>
      <c r="J247" s="18" t="inlineStr">
        <is>
          <t>Opening Day</t>
        </is>
      </c>
      <c r="K247" s="11">
        <f>IFERROR(INDEX(Roles!$B$17:$B$20,MATCH(J247,Roles!$A$17:$A$20,0)),1)</f>
        <v/>
      </c>
      <c r="L247" s="19" t="n">
        <v>1</v>
      </c>
      <c r="M247" s="11" t="n">
        <v>1</v>
      </c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>
        <v>0.85</v>
      </c>
      <c r="W247" s="19" t="n">
        <v>0.15</v>
      </c>
      <c r="X247" s="19" t="n"/>
      <c r="Y247" s="19" t="n"/>
      <c r="Z247" s="13">
        <f>SUMPRODUCT(N247:Y247,$N$2:$Y$2)*$K247*$L247*$M247</f>
        <v/>
      </c>
      <c r="AA247" s="14">
        <f>SUM(N247:Y247)</f>
        <v/>
      </c>
      <c r="AB247" s="13">
        <f>SUMPRODUCT(N247:Y247,$N$3:$Y$3)*$K247*$L247*$M247</f>
        <v/>
      </c>
      <c r="AC247" s="13">
        <f>SUMPRODUCT(N247:Y247,$N$4:$Y$4)*$K247*$L247*$M247</f>
        <v/>
      </c>
      <c r="AD247" s="15" t="n">
        <v>52.03333333333333</v>
      </c>
      <c r="AE247" s="11" t="n">
        <v>0.9950716766014488</v>
      </c>
      <c r="AF247" s="16">
        <f>SUMPRODUCT(N247:Y247,$N$5:$Y$5)*$K247*$L247*$M247</f>
        <v/>
      </c>
      <c r="AG247" s="16">
        <f>SUMPRODUCT(N247:Y247,$N$6:$Y$6)*$K247*$L247*$M247</f>
        <v/>
      </c>
      <c r="AH247" s="20" t="n"/>
    </row>
    <row r="248">
      <c r="A248" s="9" t="n">
        <v>681544</v>
      </c>
      <c r="B248" s="9" t="inlineStr">
        <is>
          <t>Wyatt Olds</t>
        </is>
      </c>
      <c r="C248" s="9" t="inlineStr">
        <is>
          <t>BOS</t>
        </is>
      </c>
      <c r="D248" s="9" t="n">
        <v>27</v>
      </c>
      <c r="E248" s="18" t="inlineStr">
        <is>
          <t>R</t>
        </is>
      </c>
      <c r="F248" s="18" t="n"/>
      <c r="G248" s="9" t="n">
        <v>68</v>
      </c>
      <c r="H248" s="9" t="n">
        <v>68</v>
      </c>
      <c r="I248" s="9" t="inlineStr">
        <is>
          <t>Swing Arm / Long Relief</t>
        </is>
      </c>
      <c r="J248" s="18" t="inlineStr">
        <is>
          <t>Opening Day</t>
        </is>
      </c>
      <c r="K248" s="11">
        <f>IFERROR(INDEX(Roles!$B$17:$B$20,MATCH(J248,Roles!$A$17:$A$20,0)),1)</f>
        <v/>
      </c>
      <c r="L248" s="19" t="n">
        <v>1</v>
      </c>
      <c r="M248" s="11" t="n">
        <v>1</v>
      </c>
      <c r="N248" s="19" t="n"/>
      <c r="O248" s="19" t="n"/>
      <c r="P248" s="19" t="n"/>
      <c r="Q248" s="19" t="n"/>
      <c r="R248" s="19" t="n">
        <v>0.6</v>
      </c>
      <c r="S248" s="19" t="n"/>
      <c r="T248" s="19" t="n"/>
      <c r="U248" s="19" t="n"/>
      <c r="V248" s="19" t="n"/>
      <c r="W248" s="19" t="n">
        <v>0.4</v>
      </c>
      <c r="X248" s="19" t="n"/>
      <c r="Y248" s="19" t="n"/>
      <c r="Z248" s="13">
        <f>SUMPRODUCT(N248:Y248,$N$2:$Y$2)*$K248*$L248*$M248</f>
        <v/>
      </c>
      <c r="AA248" s="14">
        <f>SUM(N248:Y248)</f>
        <v/>
      </c>
      <c r="AB248" s="13">
        <f>SUMPRODUCT(N248:Y248,$N$3:$Y$3)*$K248*$L248*$M248</f>
        <v/>
      </c>
      <c r="AC248" s="13">
        <f>SUMPRODUCT(N248:Y248,$N$4:$Y$4)*$K248*$L248*$M248</f>
        <v/>
      </c>
      <c r="AD248" s="15" t="n">
        <v>16.53333333333333</v>
      </c>
      <c r="AE248" s="11" t="n">
        <v>2.041504033307312</v>
      </c>
      <c r="AF248" s="16">
        <f>SUMPRODUCT(N248:Y248,$N$5:$Y$5)*$K248*$L248*$M248</f>
        <v/>
      </c>
      <c r="AG248" s="16">
        <f>SUMPRODUCT(N248:Y248,$N$6:$Y$6)*$K248*$L248*$M248</f>
        <v/>
      </c>
      <c r="AH248" s="20" t="n"/>
    </row>
    <row r="249">
      <c r="A249" s="9" t="n">
        <v>660825</v>
      </c>
      <c r="B249" s="9" t="inlineStr">
        <is>
          <t>Eduard Bazardo</t>
        </is>
      </c>
      <c r="C249" s="9" t="inlineStr">
        <is>
          <t>SEA</t>
        </is>
      </c>
      <c r="D249" s="9" t="n">
        <v>31</v>
      </c>
      <c r="E249" s="18" t="inlineStr">
        <is>
          <t>R</t>
        </is>
      </c>
      <c r="F249" s="18" t="n"/>
      <c r="G249" s="9" t="n">
        <v>297</v>
      </c>
      <c r="H249" s="9" t="n">
        <v>850</v>
      </c>
      <c r="I249" s="9" t="inlineStr">
        <is>
          <t>Late Inning RP (Setup)</t>
        </is>
      </c>
      <c r="J249" s="18" t="inlineStr">
        <is>
          <t>Opening Day</t>
        </is>
      </c>
      <c r="K249" s="11">
        <f>IFERROR(INDEX(Roles!$B$17:$B$20,MATCH(J249,Roles!$A$17:$A$20,0)),1)</f>
        <v/>
      </c>
      <c r="L249" s="19" t="n">
        <v>1</v>
      </c>
      <c r="M249" s="11" t="n">
        <v>1</v>
      </c>
      <c r="N249" s="19" t="n"/>
      <c r="O249" s="19" t="n"/>
      <c r="P249" s="19" t="n"/>
      <c r="Q249" s="19" t="n"/>
      <c r="R249" s="19" t="n"/>
      <c r="S249" s="19" t="n"/>
      <c r="T249" s="19" t="n">
        <v>0.4</v>
      </c>
      <c r="U249" s="19" t="n">
        <v>0.6</v>
      </c>
      <c r="V249" s="19" t="n"/>
      <c r="W249" s="19" t="n"/>
      <c r="X249" s="19" t="n"/>
      <c r="Y249" s="19" t="n"/>
      <c r="Z249" s="13">
        <f>SUMPRODUCT(N249:Y249,$N$2:$Y$2)*$K249*$L249*$M249</f>
        <v/>
      </c>
      <c r="AA249" s="14">
        <f>SUM(N249:Y249)</f>
        <v/>
      </c>
      <c r="AB249" s="13">
        <f>SUMPRODUCT(N249:Y249,$N$3:$Y$3)*$K249*$L249*$M249</f>
        <v/>
      </c>
      <c r="AC249" s="13">
        <f>SUMPRODUCT(N249:Y249,$N$4:$Y$4)*$K249*$L249*$M249</f>
        <v/>
      </c>
      <c r="AD249" s="15" t="n">
        <v>58</v>
      </c>
      <c r="AE249" s="11" t="n">
        <v>0.992196449026346</v>
      </c>
      <c r="AF249" s="16">
        <f>SUMPRODUCT(N249:Y249,$N$5:$Y$5)*$K249*$L249*$M249</f>
        <v/>
      </c>
      <c r="AG249" s="16">
        <f>SUMPRODUCT(N249:Y249,$N$6:$Y$6)*$K249*$L249*$M249</f>
        <v/>
      </c>
      <c r="AH249" s="20" t="n"/>
    </row>
    <row r="250">
      <c r="A250" s="9" t="n">
        <v>690925</v>
      </c>
      <c r="B250" s="9" t="inlineStr">
        <is>
          <t>Clayton Beeter</t>
        </is>
      </c>
      <c r="C250" s="9" t="inlineStr">
        <is>
          <t>WSH</t>
        </is>
      </c>
      <c r="D250" s="9" t="n">
        <v>28</v>
      </c>
      <c r="E250" s="18" t="inlineStr">
        <is>
          <t>R</t>
        </is>
      </c>
      <c r="F250" s="18" t="n"/>
      <c r="G250" s="9" t="n">
        <v>209</v>
      </c>
      <c r="H250" s="9" t="n">
        <v>328</v>
      </c>
      <c r="I250" s="9" t="inlineStr">
        <is>
          <t>Middle Relief</t>
        </is>
      </c>
      <c r="J250" s="18" t="inlineStr">
        <is>
          <t>Opening Day</t>
        </is>
      </c>
      <c r="K250" s="11">
        <f>IFERROR(INDEX(Roles!$B$17:$B$20,MATCH(J250,Roles!$A$17:$A$20,0)),1)</f>
        <v/>
      </c>
      <c r="L250" s="19" t="n">
        <v>1</v>
      </c>
      <c r="M250" s="11" t="n">
        <v>1</v>
      </c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>
        <v>1</v>
      </c>
      <c r="W250" s="19" t="n"/>
      <c r="X250" s="19" t="n"/>
      <c r="Y250" s="19" t="n"/>
      <c r="Z250" s="13">
        <f>SUMPRODUCT(N250:Y250,$N$2:$Y$2)*$K250*$L250*$M250</f>
        <v/>
      </c>
      <c r="AA250" s="14">
        <f>SUM(N250:Y250)</f>
        <v/>
      </c>
      <c r="AB250" s="13">
        <f>SUMPRODUCT(N250:Y250,$N$3:$Y$3)*$K250*$L250*$M250</f>
        <v/>
      </c>
      <c r="AC250" s="13">
        <f>SUMPRODUCT(N250:Y250,$N$4:$Y$4)*$K250*$L250*$M250</f>
        <v/>
      </c>
      <c r="AD250" s="15" t="n">
        <v>35.23333333333333</v>
      </c>
      <c r="AE250" s="11" t="n">
        <v>1.011636989707663</v>
      </c>
      <c r="AF250" s="16">
        <f>SUMPRODUCT(N250:Y250,$N$5:$Y$5)*$K250*$L250*$M250</f>
        <v/>
      </c>
      <c r="AG250" s="16">
        <f>SUMPRODUCT(N250:Y250,$N$6:$Y$6)*$K250*$L250*$M250</f>
        <v/>
      </c>
      <c r="AH250" s="20" t="n"/>
    </row>
    <row r="251">
      <c r="A251" s="9" t="n">
        <v>682790</v>
      </c>
      <c r="B251" s="9" t="inlineStr">
        <is>
          <t>Wikelman González</t>
        </is>
      </c>
      <c r="C251" s="9" t="inlineStr">
        <is>
          <t>CWS</t>
        </is>
      </c>
      <c r="D251" s="9" t="n">
        <v>25</v>
      </c>
      <c r="E251" s="18" t="inlineStr">
        <is>
          <t>R</t>
        </is>
      </c>
      <c r="F251" s="18" t="n"/>
      <c r="G251" s="9" t="n">
        <v>87</v>
      </c>
      <c r="H251" s="9" t="n">
        <v>87</v>
      </c>
      <c r="I251" s="9" t="inlineStr">
        <is>
          <t>Bullpen Depth Arm</t>
        </is>
      </c>
      <c r="J251" s="18" t="inlineStr">
        <is>
          <t>Opening Day</t>
        </is>
      </c>
      <c r="K251" s="11">
        <f>IFERROR(INDEX(Roles!$B$17:$B$20,MATCH(J251,Roles!$A$17:$A$20,0)),1)</f>
        <v/>
      </c>
      <c r="L251" s="19" t="n">
        <v>1</v>
      </c>
      <c r="M251" s="11" t="n">
        <v>1</v>
      </c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>
        <v>0.15</v>
      </c>
      <c r="W251" s="19" t="n">
        <v>0.85</v>
      </c>
      <c r="X251" s="19" t="n"/>
      <c r="Y251" s="19" t="n"/>
      <c r="Z251" s="13">
        <f>SUMPRODUCT(N251:Y251,$N$2:$Y$2)*$K251*$L251*$M251</f>
        <v/>
      </c>
      <c r="AA251" s="14">
        <f>SUM(N251:Y251)</f>
        <v/>
      </c>
      <c r="AB251" s="13">
        <f>SUMPRODUCT(N251:Y251,$N$3:$Y$3)*$K251*$L251*$M251</f>
        <v/>
      </c>
      <c r="AC251" s="13">
        <f>SUMPRODUCT(N251:Y251,$N$4:$Y$4)*$K251*$L251*$M251</f>
        <v/>
      </c>
      <c r="AD251" s="15" t="n">
        <v>15.26666666666667</v>
      </c>
      <c r="AE251" s="11" t="n">
        <v>1.225118245951579</v>
      </c>
      <c r="AF251" s="16">
        <f>SUMPRODUCT(N251:Y251,$N$5:$Y$5)*$K251*$L251*$M251</f>
        <v/>
      </c>
      <c r="AG251" s="16">
        <f>SUMPRODUCT(N251:Y251,$N$6:$Y$6)*$K251*$L251*$M251</f>
        <v/>
      </c>
      <c r="AH251" s="20" t="n"/>
    </row>
    <row r="252">
      <c r="A252" s="9" t="n">
        <v>657240</v>
      </c>
      <c r="B252" s="9" t="inlineStr">
        <is>
          <t>Julian Merryweather</t>
        </is>
      </c>
      <c r="C252" s="9" t="inlineStr">
        <is>
          <t>CHC</t>
        </is>
      </c>
      <c r="D252" s="9" t="n">
        <v>35</v>
      </c>
      <c r="E252" s="18" t="inlineStr">
        <is>
          <t>R</t>
        </is>
      </c>
      <c r="F252" s="18" t="n"/>
      <c r="G252" s="9" t="n">
        <v>88</v>
      </c>
      <c r="H252" s="9" t="n">
        <v>584</v>
      </c>
      <c r="I252" s="9" t="inlineStr">
        <is>
          <t>Bullpen Depth Arm</t>
        </is>
      </c>
      <c r="J252" s="18" t="inlineStr">
        <is>
          <t>Opening Day</t>
        </is>
      </c>
      <c r="K252" s="11">
        <f>IFERROR(INDEX(Roles!$B$17:$B$20,MATCH(J252,Roles!$A$17:$A$20,0)),1)</f>
        <v/>
      </c>
      <c r="L252" s="19" t="n">
        <v>1</v>
      </c>
      <c r="M252" s="11" t="n">
        <v>1</v>
      </c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>
        <v>1</v>
      </c>
      <c r="X252" s="19" t="n"/>
      <c r="Y252" s="19" t="n"/>
      <c r="Z252" s="13">
        <f>SUMPRODUCT(N252:Y252,$N$2:$Y$2)*$K252*$L252*$M252</f>
        <v/>
      </c>
      <c r="AA252" s="14">
        <f>SUM(N252:Y252)</f>
        <v/>
      </c>
      <c r="AB252" s="13">
        <f>SUMPRODUCT(N252:Y252,$N$3:$Y$3)*$K252*$L252*$M252</f>
        <v/>
      </c>
      <c r="AC252" s="13">
        <f>SUMPRODUCT(N252:Y252,$N$4:$Y$4)*$K252*$L252*$M252</f>
        <v/>
      </c>
      <c r="AD252" s="15" t="n">
        <v>17.06666666666667</v>
      </c>
      <c r="AE252" s="11" t="n">
        <v>1.107550019830722</v>
      </c>
      <c r="AF252" s="16">
        <f>SUMPRODUCT(N252:Y252,$N$5:$Y$5)*$K252*$L252*$M252</f>
        <v/>
      </c>
      <c r="AG252" s="16">
        <f>SUMPRODUCT(N252:Y252,$N$6:$Y$6)*$K252*$L252*$M252</f>
        <v/>
      </c>
      <c r="AH252" s="20" t="n"/>
    </row>
    <row r="253">
      <c r="A253" s="9" t="n">
        <v>669796</v>
      </c>
      <c r="B253" s="9" t="inlineStr">
        <is>
          <t>Jose E. Hernandez</t>
        </is>
      </c>
      <c r="C253" s="9" t="inlineStr">
        <is>
          <t>PIT</t>
        </is>
      </c>
      <c r="D253" s="9" t="n">
        <v>29</v>
      </c>
      <c r="E253" s="18" t="inlineStr">
        <is>
          <t>L</t>
        </is>
      </c>
      <c r="F253" s="18" t="n"/>
      <c r="G253" s="9" t="n">
        <v>25</v>
      </c>
      <c r="H253" s="9" t="n">
        <v>248</v>
      </c>
      <c r="I253" s="9" t="inlineStr">
        <is>
          <t>Depth (no MLB IP)</t>
        </is>
      </c>
      <c r="J253" s="18" t="inlineStr">
        <is>
          <t>Opening Day</t>
        </is>
      </c>
      <c r="K253" s="11">
        <f>IFERROR(INDEX(Roles!$B$17:$B$20,MATCH(J253,Roles!$A$17:$A$20,0)),1)</f>
        <v/>
      </c>
      <c r="L253" s="19" t="n">
        <v>1</v>
      </c>
      <c r="M253" s="11" t="n">
        <v>1</v>
      </c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>
        <v>1</v>
      </c>
      <c r="Z253" s="13">
        <f>SUMPRODUCT(N253:Y253,$N$2:$Y$2)*$K253*$L253*$M253</f>
        <v/>
      </c>
      <c r="AA253" s="14">
        <f>SUM(N253:Y253)</f>
        <v/>
      </c>
      <c r="AB253" s="13">
        <f>SUMPRODUCT(N253:Y253,$N$3:$Y$3)*$K253*$L253*$M253</f>
        <v/>
      </c>
      <c r="AC253" s="13">
        <f>SUMPRODUCT(N253:Y253,$N$4:$Y$4)*$K253*$L253*$M253</f>
        <v/>
      </c>
      <c r="AD253" s="15" t="n">
        <v>5.4</v>
      </c>
      <c r="AE253" s="11" t="n">
        <v>0.9281657848324514</v>
      </c>
      <c r="AF253" s="16">
        <f>SUMPRODUCT(N253:Y253,$N$5:$Y$5)*$K253*$L253*$M253</f>
        <v/>
      </c>
      <c r="AG253" s="16">
        <f>SUMPRODUCT(N253:Y253,$N$6:$Y$6)*$K253*$L253*$M253</f>
        <v/>
      </c>
      <c r="AH253" s="20" t="n"/>
    </row>
    <row r="254">
      <c r="A254" s="9" t="n">
        <v>664299</v>
      </c>
      <c r="B254" s="9" t="inlineStr">
        <is>
          <t>Cristian Javier</t>
        </is>
      </c>
      <c r="C254" s="9" t="inlineStr">
        <is>
          <t>HOU</t>
        </is>
      </c>
      <c r="D254" s="9" t="n">
        <v>30</v>
      </c>
      <c r="E254" s="18" t="inlineStr">
        <is>
          <t>R</t>
        </is>
      </c>
      <c r="F254" s="18" t="n"/>
      <c r="G254" s="9" t="n">
        <v>276</v>
      </c>
      <c r="H254" s="9" t="n">
        <v>1855</v>
      </c>
      <c r="I254" s="9" t="inlineStr">
        <is>
          <t>End-of-Rotation Starter (SP4-5)</t>
        </is>
      </c>
      <c r="J254" s="18" t="inlineStr">
        <is>
          <t>Opening Day</t>
        </is>
      </c>
      <c r="K254" s="11">
        <f>IFERROR(INDEX(Roles!$B$17:$B$20,MATCH(J254,Roles!$A$17:$A$20,0)),1)</f>
        <v/>
      </c>
      <c r="L254" s="19" t="n">
        <v>1</v>
      </c>
      <c r="M254" s="11" t="n">
        <v>1</v>
      </c>
      <c r="N254" s="19" t="n"/>
      <c r="O254" s="19" t="n"/>
      <c r="P254" s="19" t="n">
        <v>0.5</v>
      </c>
      <c r="Q254" s="19" t="n"/>
      <c r="R254" s="19" t="n">
        <v>0.5</v>
      </c>
      <c r="S254" s="19" t="n"/>
      <c r="T254" s="19" t="n"/>
      <c r="U254" s="19" t="n"/>
      <c r="V254" s="19" t="n"/>
      <c r="W254" s="19" t="n"/>
      <c r="X254" s="19" t="n"/>
      <c r="Y254" s="19" t="n"/>
      <c r="Z254" s="13">
        <f>SUMPRODUCT(N254:Y254,$N$2:$Y$2)*$K254*$L254*$M254</f>
        <v/>
      </c>
      <c r="AA254" s="14">
        <f>SUM(N254:Y254)</f>
        <v/>
      </c>
      <c r="AB254" s="13">
        <f>SUMPRODUCT(N254:Y254,$N$3:$Y$3)*$K254*$L254*$M254</f>
        <v/>
      </c>
      <c r="AC254" s="13">
        <f>SUMPRODUCT(N254:Y254,$N$4:$Y$4)*$K254*$L254*$M254</f>
        <v/>
      </c>
      <c r="AD254" s="15" t="n">
        <v>13.8</v>
      </c>
      <c r="AE254" s="11" t="n">
        <v>4.377877877877877</v>
      </c>
      <c r="AF254" s="16">
        <f>SUMPRODUCT(N254:Y254,$N$5:$Y$5)*$K254*$L254*$M254</f>
        <v/>
      </c>
      <c r="AG254" s="16">
        <f>SUMPRODUCT(N254:Y254,$N$6:$Y$6)*$K254*$L254*$M254</f>
        <v/>
      </c>
      <c r="AH254" s="20" t="n"/>
    </row>
    <row r="255">
      <c r="A255" s="9" t="n">
        <v>680732</v>
      </c>
      <c r="B255" s="9" t="inlineStr">
        <is>
          <t>Sean Burke</t>
        </is>
      </c>
      <c r="C255" s="9" t="inlineStr">
        <is>
          <t>CWS</t>
        </is>
      </c>
      <c r="D255" s="9" t="n">
        <v>27</v>
      </c>
      <c r="E255" s="18" t="inlineStr">
        <is>
          <t>R</t>
        </is>
      </c>
      <c r="F255" s="18" t="n"/>
      <c r="G255" s="9" t="n">
        <v>716</v>
      </c>
      <c r="H255" s="9" t="n">
        <v>1388</v>
      </c>
      <c r="I255" s="9" t="inlineStr">
        <is>
          <t>Ace (SP1)</t>
        </is>
      </c>
      <c r="J255" s="18" t="inlineStr">
        <is>
          <t>Opening Day</t>
        </is>
      </c>
      <c r="K255" s="11">
        <f>IFERROR(INDEX(Roles!$B$17:$B$20,MATCH(J255,Roles!$A$17:$A$20,0)),1)</f>
        <v/>
      </c>
      <c r="L255" s="19" t="n">
        <v>1</v>
      </c>
      <c r="M255" s="11" t="n">
        <v>1</v>
      </c>
      <c r="N255" s="19" t="n">
        <v>0.5</v>
      </c>
      <c r="O255" s="19" t="n">
        <v>0.5</v>
      </c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3">
        <f>SUMPRODUCT(N255:Y255,$N$2:$Y$2)*$K255*$L255*$M255</f>
        <v/>
      </c>
      <c r="AA255" s="14">
        <f>SUM(N255:Y255)</f>
        <v/>
      </c>
      <c r="AB255" s="13">
        <f>SUMPRODUCT(N255:Y255,$N$3:$Y$3)*$K255*$L255*$M255</f>
        <v/>
      </c>
      <c r="AC255" s="13">
        <f>SUMPRODUCT(N255:Y255,$N$4:$Y$4)*$K255*$L255*$M255</f>
        <v/>
      </c>
      <c r="AD255" s="15" t="n">
        <v>25.8</v>
      </c>
      <c r="AE255" s="11" t="n">
        <v>5.465404965404965</v>
      </c>
      <c r="AF255" s="16">
        <f>SUMPRODUCT(N255:Y255,$N$5:$Y$5)*$K255*$L255*$M255</f>
        <v/>
      </c>
      <c r="AG255" s="16">
        <f>SUMPRODUCT(N255:Y255,$N$6:$Y$6)*$K255*$L255*$M255</f>
        <v/>
      </c>
      <c r="AH255" s="20" t="n"/>
    </row>
    <row r="256">
      <c r="A256" s="9" t="n">
        <v>623454</v>
      </c>
      <c r="B256" s="9" t="inlineStr">
        <is>
          <t>Drew Anderson</t>
        </is>
      </c>
      <c r="C256" s="9" t="inlineStr">
        <is>
          <t>DET</t>
        </is>
      </c>
      <c r="D256" s="9" t="n">
        <v>33</v>
      </c>
      <c r="E256" s="18" t="inlineStr">
        <is>
          <t>R</t>
        </is>
      </c>
      <c r="F256" s="18" t="n"/>
      <c r="G256" s="9" t="n">
        <v>456</v>
      </c>
      <c r="H256" s="9" t="n">
        <v>456</v>
      </c>
      <c r="I256" s="9" t="inlineStr">
        <is>
          <t>Swing Arm / Long Relief</t>
        </is>
      </c>
      <c r="J256" s="18" t="inlineStr">
        <is>
          <t>Opening Day</t>
        </is>
      </c>
      <c r="K256" s="11">
        <f>IFERROR(INDEX(Roles!$B$17:$B$20,MATCH(J256,Roles!$A$17:$A$20,0)),1)</f>
        <v/>
      </c>
      <c r="L256" s="19" t="n">
        <v>1</v>
      </c>
      <c r="M256" s="11" t="n">
        <v>1</v>
      </c>
      <c r="N256" s="19" t="n"/>
      <c r="O256" s="19" t="n"/>
      <c r="P256" s="19" t="n"/>
      <c r="Q256" s="19" t="n"/>
      <c r="R256" s="19" t="n">
        <v>0.5</v>
      </c>
      <c r="S256" s="19" t="n"/>
      <c r="T256" s="19" t="n"/>
      <c r="U256" s="19" t="n"/>
      <c r="V256" s="19" t="n">
        <v>0.5</v>
      </c>
      <c r="W256" s="19" t="n"/>
      <c r="X256" s="19" t="n"/>
      <c r="Y256" s="19" t="n"/>
      <c r="Z256" s="13">
        <f>SUMPRODUCT(N256:Y256,$N$2:$Y$2)*$K256*$L256*$M256</f>
        <v/>
      </c>
      <c r="AA256" s="14">
        <f>SUM(N256:Y256)</f>
        <v/>
      </c>
      <c r="AB256" s="13">
        <f>SUMPRODUCT(N256:Y256,$N$3:$Y$3)*$K256*$L256*$M256</f>
        <v/>
      </c>
      <c r="AC256" s="13">
        <f>SUMPRODUCT(N256:Y256,$N$4:$Y$4)*$K256*$L256*$M256</f>
        <v/>
      </c>
      <c r="AD256" s="15" t="n">
        <v>37.53333333333333</v>
      </c>
      <c r="AE256" s="11" t="n">
        <v>2.40318203784246</v>
      </c>
      <c r="AF256" s="16">
        <f>SUMPRODUCT(N256:Y256,$N$5:$Y$5)*$K256*$L256*$M256</f>
        <v/>
      </c>
      <c r="AG256" s="16">
        <f>SUMPRODUCT(N256:Y256,$N$6:$Y$6)*$K256*$L256*$M256</f>
        <v/>
      </c>
      <c r="AH256" s="20" t="n"/>
    </row>
    <row r="257">
      <c r="A257" s="9" t="n">
        <v>605397</v>
      </c>
      <c r="B257" s="9" t="inlineStr">
        <is>
          <t>Joe Musgrove</t>
        </is>
      </c>
      <c r="C257" s="9" t="inlineStr">
        <is>
          <t>SD</t>
        </is>
      </c>
      <c r="D257" s="9" t="n">
        <v>34</v>
      </c>
      <c r="E257" s="18" t="inlineStr">
        <is>
          <t>R</t>
        </is>
      </c>
      <c r="F257" s="18" t="n"/>
      <c r="G257" s="9" t="n">
        <v>410</v>
      </c>
      <c r="H257" s="9" t="n">
        <v>1549</v>
      </c>
      <c r="I257" s="9" t="inlineStr">
        <is>
          <t>Bullpen Depth Arm</t>
        </is>
      </c>
      <c r="J257" s="18" t="inlineStr">
        <is>
          <t>Opening Day</t>
        </is>
      </c>
      <c r="K257" s="11">
        <f>IFERROR(INDEX(Roles!$B$17:$B$20,MATCH(J257,Roles!$A$17:$A$20,0)),1)</f>
        <v/>
      </c>
      <c r="L257" s="19" t="n">
        <v>1</v>
      </c>
      <c r="M257" s="11" t="n">
        <v>1</v>
      </c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>
        <v>0.5</v>
      </c>
      <c r="X257" s="19" t="n"/>
      <c r="Y257" s="19" t="n">
        <v>0.5</v>
      </c>
      <c r="Z257" s="13">
        <f>SUMPRODUCT(N257:Y257,$N$2:$Y$2)*$K257*$L257*$M257</f>
        <v/>
      </c>
      <c r="AA257" s="14">
        <f>SUM(N257:Y257)</f>
        <v/>
      </c>
      <c r="AB257" s="13">
        <f>SUMPRODUCT(N257:Y257,$N$3:$Y$3)*$K257*$L257*$M257</f>
        <v/>
      </c>
      <c r="AC257" s="13">
        <f>SUMPRODUCT(N257:Y257,$N$4:$Y$4)*$K257*$L257*$M257</f>
        <v/>
      </c>
      <c r="AD257" s="15" t="n">
        <v>17.06666666666667</v>
      </c>
      <c r="AE257" s="11" t="n">
        <v>2.550045146536375</v>
      </c>
      <c r="AF257" s="16">
        <f>SUMPRODUCT(N257:Y257,$N$5:$Y$5)*$K257*$L257*$M257</f>
        <v/>
      </c>
      <c r="AG257" s="16">
        <f>SUMPRODUCT(N257:Y257,$N$6:$Y$6)*$K257*$L257*$M257</f>
        <v/>
      </c>
      <c r="AH257" s="20" t="n"/>
    </row>
    <row r="258">
      <c r="A258" s="9" t="n">
        <v>640470</v>
      </c>
      <c r="B258" s="9" t="inlineStr">
        <is>
          <t>Adbert Alzolay</t>
        </is>
      </c>
      <c r="C258" s="9" t="inlineStr">
        <is>
          <t>CHC</t>
        </is>
      </c>
      <c r="D258" s="9" t="n">
        <v>32</v>
      </c>
      <c r="E258" s="18" t="inlineStr">
        <is>
          <t>R</t>
        </is>
      </c>
      <c r="F258" s="18" t="n"/>
      <c r="G258" s="9" t="n">
        <v>75</v>
      </c>
      <c r="H258" s="9" t="n">
        <v>380</v>
      </c>
      <c r="I258" s="9" t="inlineStr">
        <is>
          <t>Depth (no MLB IP)</t>
        </is>
      </c>
      <c r="J258" s="18" t="inlineStr">
        <is>
          <t>Opening Day</t>
        </is>
      </c>
      <c r="K258" s="11">
        <f>IFERROR(INDEX(Roles!$B$17:$B$20,MATCH(J258,Roles!$A$17:$A$20,0)),1)</f>
        <v/>
      </c>
      <c r="L258" s="19" t="n">
        <v>1</v>
      </c>
      <c r="M258" s="11" t="n">
        <v>1</v>
      </c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>
        <v>1</v>
      </c>
      <c r="Z258" s="13">
        <f>SUMPRODUCT(N258:Y258,$N$2:$Y$2)*$K258*$L258*$M258</f>
        <v/>
      </c>
      <c r="AA258" s="14">
        <f>SUM(N258:Y258)</f>
        <v/>
      </c>
      <c r="AB258" s="13">
        <f>SUMPRODUCT(N258:Y258,$N$3:$Y$3)*$K258*$L258*$M258</f>
        <v/>
      </c>
      <c r="AC258" s="13">
        <f>SUMPRODUCT(N258:Y258,$N$4:$Y$4)*$K258*$L258*$M258</f>
        <v/>
      </c>
      <c r="AD258" s="15" t="n">
        <v>12</v>
      </c>
      <c r="AE258" s="11" t="n">
        <v>0.9951851851851852</v>
      </c>
      <c r="AF258" s="16">
        <f>SUMPRODUCT(N258:Y258,$N$5:$Y$5)*$K258*$L258*$M258</f>
        <v/>
      </c>
      <c r="AG258" s="16">
        <f>SUMPRODUCT(N258:Y258,$N$6:$Y$6)*$K258*$L258*$M258</f>
        <v/>
      </c>
      <c r="AH258" s="20" t="n"/>
    </row>
    <row r="259">
      <c r="A259" s="9" t="n">
        <v>680916</v>
      </c>
      <c r="B259" s="9" t="inlineStr">
        <is>
          <t>Franco Aleman</t>
        </is>
      </c>
      <c r="C259" s="9" t="inlineStr">
        <is>
          <t>CLE</t>
        </is>
      </c>
      <c r="D259" s="9" t="n">
        <v>27</v>
      </c>
      <c r="E259" s="18" t="inlineStr">
        <is>
          <t>R</t>
        </is>
      </c>
      <c r="F259" s="18" t="n"/>
      <c r="G259" s="9" t="n">
        <v>103</v>
      </c>
      <c r="H259" s="9" t="n">
        <v>103</v>
      </c>
      <c r="I259" s="9" t="inlineStr">
        <is>
          <t>Bullpen Depth Arm</t>
        </is>
      </c>
      <c r="J259" s="18" t="inlineStr">
        <is>
          <t>Opening Day</t>
        </is>
      </c>
      <c r="K259" s="11">
        <f>IFERROR(INDEX(Roles!$B$17:$B$20,MATCH(J259,Roles!$A$17:$A$20,0)),1)</f>
        <v/>
      </c>
      <c r="L259" s="19" t="n">
        <v>1</v>
      </c>
      <c r="M259" s="11" t="n">
        <v>1</v>
      </c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>
        <v>1</v>
      </c>
      <c r="X259" s="19" t="n"/>
      <c r="Y259" s="19" t="n"/>
      <c r="Z259" s="13">
        <f>SUMPRODUCT(N259:Y259,$N$2:$Y$2)*$K259*$L259*$M259</f>
        <v/>
      </c>
      <c r="AA259" s="14">
        <f>SUM(N259:Y259)</f>
        <v/>
      </c>
      <c r="AB259" s="13">
        <f>SUMPRODUCT(N259:Y259,$N$3:$Y$3)*$K259*$L259*$M259</f>
        <v/>
      </c>
      <c r="AC259" s="13">
        <f>SUMPRODUCT(N259:Y259,$N$4:$Y$4)*$K259*$L259*$M259</f>
        <v/>
      </c>
      <c r="AD259" s="15" t="n">
        <v>18.26666666666667</v>
      </c>
      <c r="AE259" s="11" t="n">
        <v>1.156004489337822</v>
      </c>
      <c r="AF259" s="16">
        <f>SUMPRODUCT(N259:Y259,$N$5:$Y$5)*$K259*$L259*$M259</f>
        <v/>
      </c>
      <c r="AG259" s="16">
        <f>SUMPRODUCT(N259:Y259,$N$6:$Y$6)*$K259*$L259*$M259</f>
        <v/>
      </c>
      <c r="AH259" s="20" t="n"/>
    </row>
    <row r="260">
      <c r="A260" s="9" t="n">
        <v>676105</v>
      </c>
      <c r="B260" s="9" t="inlineStr">
        <is>
          <t>Jeff Criswell</t>
        </is>
      </c>
      <c r="C260" s="9" t="inlineStr">
        <is>
          <t>COL</t>
        </is>
      </c>
      <c r="D260" s="9" t="n">
        <v>28</v>
      </c>
      <c r="E260" s="18" t="inlineStr">
        <is>
          <t>R</t>
        </is>
      </c>
      <c r="F260" s="18" t="n"/>
      <c r="G260" s="9" t="n">
        <v>18</v>
      </c>
      <c r="H260" s="9" t="n">
        <v>105</v>
      </c>
      <c r="I260" s="9" t="inlineStr">
        <is>
          <t>Depth (no MLB IP)</t>
        </is>
      </c>
      <c r="J260" s="18" t="inlineStr">
        <is>
          <t>Opening Day</t>
        </is>
      </c>
      <c r="K260" s="11">
        <f>IFERROR(INDEX(Roles!$B$17:$B$20,MATCH(J260,Roles!$A$17:$A$20,0)),1)</f>
        <v/>
      </c>
      <c r="L260" s="19" t="n">
        <v>1</v>
      </c>
      <c r="M260" s="11" t="n">
        <v>1</v>
      </c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>
        <v>1</v>
      </c>
      <c r="Z260" s="13">
        <f>SUMPRODUCT(N260:Y260,$N$2:$Y$2)*$K260*$L260*$M260</f>
        <v/>
      </c>
      <c r="AA260" s="14">
        <f>SUM(N260:Y260)</f>
        <v/>
      </c>
      <c r="AB260" s="13">
        <f>SUMPRODUCT(N260:Y260,$N$3:$Y$3)*$K260*$L260*$M260</f>
        <v/>
      </c>
      <c r="AC260" s="13">
        <f>SUMPRODUCT(N260:Y260,$N$4:$Y$4)*$K260*$L260*$M260</f>
        <v/>
      </c>
      <c r="AD260" s="15" t="n">
        <v>4.5</v>
      </c>
      <c r="AE260" s="11" t="n">
        <v>1.153995510662177</v>
      </c>
      <c r="AF260" s="16">
        <f>SUMPRODUCT(N260:Y260,$N$5:$Y$5)*$K260*$L260*$M260</f>
        <v/>
      </c>
      <c r="AG260" s="16">
        <f>SUMPRODUCT(N260:Y260,$N$6:$Y$6)*$K260*$L260*$M260</f>
        <v/>
      </c>
      <c r="AH260" s="20" t="n"/>
    </row>
    <row r="261">
      <c r="A261" s="9" t="n">
        <v>592848</v>
      </c>
      <c r="B261" s="9" t="inlineStr">
        <is>
          <t>Zack Weiss</t>
        </is>
      </c>
      <c r="C261" s="9" t="inlineStr">
        <is>
          <t>BOS</t>
        </is>
      </c>
      <c r="D261" s="9" t="n">
        <v>35</v>
      </c>
      <c r="E261" s="18" t="inlineStr">
        <is>
          <t>R</t>
        </is>
      </c>
      <c r="F261" s="18" t="n"/>
      <c r="G261" s="9" t="n">
        <v>58</v>
      </c>
      <c r="H261" s="9" t="n">
        <v>114</v>
      </c>
      <c r="I261" s="9" t="inlineStr">
        <is>
          <t>Depth (no MLB IP)</t>
        </is>
      </c>
      <c r="J261" s="18" t="inlineStr">
        <is>
          <t>Opening Day</t>
        </is>
      </c>
      <c r="K261" s="11">
        <f>IFERROR(INDEX(Roles!$B$17:$B$20,MATCH(J261,Roles!$A$17:$A$20,0)),1)</f>
        <v/>
      </c>
      <c r="L261" s="19" t="n">
        <v>1</v>
      </c>
      <c r="M261" s="11" t="n">
        <v>1</v>
      </c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>
        <v>1</v>
      </c>
      <c r="Z261" s="13">
        <f>SUMPRODUCT(N261:Y261,$N$2:$Y$2)*$K261*$L261*$M261</f>
        <v/>
      </c>
      <c r="AA261" s="14">
        <f>SUM(N261:Y261)</f>
        <v/>
      </c>
      <c r="AB261" s="13">
        <f>SUMPRODUCT(N261:Y261,$N$3:$Y$3)*$K261*$L261*$M261</f>
        <v/>
      </c>
      <c r="AC261" s="13">
        <f>SUMPRODUCT(N261:Y261,$N$4:$Y$4)*$K261*$L261*$M261</f>
        <v/>
      </c>
      <c r="AD261" s="15" t="n">
        <v>3</v>
      </c>
      <c r="AE261" s="11" t="n">
        <v>1.011296296296296</v>
      </c>
      <c r="AF261" s="16">
        <f>SUMPRODUCT(N261:Y261,$N$5:$Y$5)*$K261*$L261*$M261</f>
        <v/>
      </c>
      <c r="AG261" s="16">
        <f>SUMPRODUCT(N261:Y261,$N$6:$Y$6)*$K261*$L261*$M261</f>
        <v/>
      </c>
      <c r="AH261" s="20" t="n"/>
    </row>
    <row r="262">
      <c r="A262" s="9" t="n">
        <v>607481</v>
      </c>
      <c r="B262" s="9" t="inlineStr">
        <is>
          <t>Aaron Bummer</t>
        </is>
      </c>
      <c r="C262" s="9" t="inlineStr">
        <is>
          <t>KC</t>
        </is>
      </c>
      <c r="D262" s="9" t="n">
        <v>33</v>
      </c>
      <c r="E262" s="18" t="inlineStr">
        <is>
          <t>L</t>
        </is>
      </c>
      <c r="F262" s="18" t="n"/>
      <c r="G262" s="9" t="n">
        <v>88</v>
      </c>
      <c r="H262" s="9" t="n">
        <v>951</v>
      </c>
      <c r="I262" s="9" t="inlineStr">
        <is>
          <t>Late Inning RP (Setup)</t>
        </is>
      </c>
      <c r="J262" s="18" t="inlineStr">
        <is>
          <t>Opening Day</t>
        </is>
      </c>
      <c r="K262" s="11">
        <f>IFERROR(INDEX(Roles!$B$17:$B$20,MATCH(J262,Roles!$A$17:$A$20,0)),1)</f>
        <v/>
      </c>
      <c r="L262" s="19" t="n">
        <v>1</v>
      </c>
      <c r="M262" s="11" t="n">
        <v>1</v>
      </c>
      <c r="N262" s="19" t="n"/>
      <c r="O262" s="19" t="n"/>
      <c r="P262" s="19" t="n"/>
      <c r="Q262" s="19" t="n"/>
      <c r="R262" s="19" t="n"/>
      <c r="S262" s="19" t="n"/>
      <c r="T262" s="19" t="n"/>
      <c r="U262" s="19" t="n">
        <v>1</v>
      </c>
      <c r="V262" s="19" t="n"/>
      <c r="W262" s="19" t="n"/>
      <c r="X262" s="19" t="n"/>
      <c r="Y262" s="19" t="n"/>
      <c r="Z262" s="13">
        <f>SUMPRODUCT(N262:Y262,$N$2:$Y$2)*$K262*$L262*$M262</f>
        <v/>
      </c>
      <c r="AA262" s="14">
        <f>SUM(N262:Y262)</f>
        <v/>
      </c>
      <c r="AB262" s="13">
        <f>SUMPRODUCT(N262:Y262,$N$3:$Y$3)*$K262*$L262*$M262</f>
        <v/>
      </c>
      <c r="AC262" s="13">
        <f>SUMPRODUCT(N262:Y262,$N$4:$Y$4)*$K262*$L262*$M262</f>
        <v/>
      </c>
      <c r="AD262" s="15" t="n">
        <v>39.5</v>
      </c>
      <c r="AE262" s="11" t="n">
        <v>1.011117952928298</v>
      </c>
      <c r="AF262" s="16">
        <f>SUMPRODUCT(N262:Y262,$N$5:$Y$5)*$K262*$L262*$M262</f>
        <v/>
      </c>
      <c r="AG262" s="16">
        <f>SUMPRODUCT(N262:Y262,$N$6:$Y$6)*$K262*$L262*$M262</f>
        <v/>
      </c>
      <c r="AH262" s="20" t="n"/>
    </row>
    <row r="263">
      <c r="A263" s="9" t="n">
        <v>677651</v>
      </c>
      <c r="B263" s="9" t="inlineStr">
        <is>
          <t>Luis Garcia</t>
        </is>
      </c>
      <c r="C263" s="9" t="inlineStr">
        <is>
          <t>HOU</t>
        </is>
      </c>
      <c r="D263" s="9" t="n">
        <v>30</v>
      </c>
      <c r="E263" s="18" t="inlineStr">
        <is>
          <t>R</t>
        </is>
      </c>
      <c r="F263" s="18" t="n"/>
      <c r="G263" s="9" t="n">
        <v>28</v>
      </c>
      <c r="H263" s="9" t="n">
        <v>786</v>
      </c>
      <c r="I263" s="9" t="inlineStr">
        <is>
          <t>End-of-Rotation Starter (SP4-5)</t>
        </is>
      </c>
      <c r="J263" s="18" t="inlineStr">
        <is>
          <t>Opening Day</t>
        </is>
      </c>
      <c r="K263" s="11">
        <f>IFERROR(INDEX(Roles!$B$17:$B$20,MATCH(J263,Roles!$A$17:$A$20,0)),1)</f>
        <v/>
      </c>
      <c r="L263" s="19" t="n">
        <v>1</v>
      </c>
      <c r="M263" s="11" t="n">
        <v>1</v>
      </c>
      <c r="N263" s="19" t="n"/>
      <c r="O263" s="19" t="n"/>
      <c r="P263" s="19" t="n">
        <v>1</v>
      </c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3">
        <f>SUMPRODUCT(N263:Y263,$N$2:$Y$2)*$K263*$L263*$M263</f>
        <v/>
      </c>
      <c r="AA263" s="14">
        <f>SUM(N263:Y263)</f>
        <v/>
      </c>
      <c r="AB263" s="13">
        <f>SUMPRODUCT(N263:Y263,$N$3:$Y$3)*$K263*$L263*$M263</f>
        <v/>
      </c>
      <c r="AC263" s="13">
        <f>SUMPRODUCT(N263:Y263,$N$4:$Y$4)*$K263*$L263*$M263</f>
        <v/>
      </c>
      <c r="AD263" s="15" t="n">
        <v>7.6</v>
      </c>
      <c r="AE263" s="11" t="n">
        <v>4.314814814814814</v>
      </c>
      <c r="AF263" s="16">
        <f>SUMPRODUCT(N263:Y263,$N$5:$Y$5)*$K263*$L263*$M263</f>
        <v/>
      </c>
      <c r="AG263" s="16">
        <f>SUMPRODUCT(N263:Y263,$N$6:$Y$6)*$K263*$L263*$M263</f>
        <v/>
      </c>
      <c r="AH263" s="20" t="n"/>
    </row>
    <row r="264">
      <c r="A264" s="9" t="n">
        <v>641360</v>
      </c>
      <c r="B264" s="9" t="inlineStr">
        <is>
          <t>Phil Bickford</t>
        </is>
      </c>
      <c r="C264" s="9" t="inlineStr">
        <is>
          <t>NYY</t>
        </is>
      </c>
      <c r="D264" s="9" t="n">
        <v>31</v>
      </c>
      <c r="E264" s="18" t="inlineStr">
        <is>
          <t>R</t>
        </is>
      </c>
      <c r="F264" s="18" t="n"/>
      <c r="G264" s="9" t="n">
        <v>39</v>
      </c>
      <c r="H264" s="9" t="n">
        <v>590</v>
      </c>
      <c r="I264" s="9" t="inlineStr">
        <is>
          <t>Depth (no MLB IP)</t>
        </is>
      </c>
      <c r="J264" s="18" t="inlineStr">
        <is>
          <t>Opening Day</t>
        </is>
      </c>
      <c r="K264" s="11">
        <f>IFERROR(INDEX(Roles!$B$17:$B$20,MATCH(J264,Roles!$A$17:$A$20,0)),1)</f>
        <v/>
      </c>
      <c r="L264" s="19" t="n">
        <v>1</v>
      </c>
      <c r="M264" s="11" t="n">
        <v>1</v>
      </c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>
        <v>1</v>
      </c>
      <c r="Z264" s="13">
        <f>SUMPRODUCT(N264:Y264,$N$2:$Y$2)*$K264*$L264*$M264</f>
        <v/>
      </c>
      <c r="AA264" s="14">
        <f>SUM(N264:Y264)</f>
        <v/>
      </c>
      <c r="AB264" s="13">
        <f>SUMPRODUCT(N264:Y264,$N$3:$Y$3)*$K264*$L264*$M264</f>
        <v/>
      </c>
      <c r="AC264" s="13">
        <f>SUMPRODUCT(N264:Y264,$N$4:$Y$4)*$K264*$L264*$M264</f>
        <v/>
      </c>
      <c r="AD264" s="15" t="n">
        <v>6</v>
      </c>
      <c r="AE264" s="11" t="n">
        <v>1.02141975308642</v>
      </c>
      <c r="AF264" s="16">
        <f>SUMPRODUCT(N264:Y264,$N$5:$Y$5)*$K264*$L264*$M264</f>
        <v/>
      </c>
      <c r="AG264" s="16">
        <f>SUMPRODUCT(N264:Y264,$N$6:$Y$6)*$K264*$L264*$M264</f>
        <v/>
      </c>
      <c r="AH264" s="20" t="n"/>
    </row>
    <row r="265">
      <c r="A265" s="9" t="n">
        <v>676684</v>
      </c>
      <c r="B265" s="9" t="inlineStr">
        <is>
          <t>Will Vest</t>
        </is>
      </c>
      <c r="C265" s="9" t="inlineStr">
        <is>
          <t>DET</t>
        </is>
      </c>
      <c r="D265" s="9" t="n">
        <v>32</v>
      </c>
      <c r="E265" s="18" t="inlineStr">
        <is>
          <t>R</t>
        </is>
      </c>
      <c r="F265" s="18" t="n"/>
      <c r="G265" s="9" t="n">
        <v>116</v>
      </c>
      <c r="H265" s="9" t="n">
        <v>1160</v>
      </c>
      <c r="I265" s="9" t="inlineStr">
        <is>
          <t>Bullpen Depth Arm</t>
        </is>
      </c>
      <c r="J265" s="18" t="inlineStr">
        <is>
          <t>Opening Day</t>
        </is>
      </c>
      <c r="K265" s="11">
        <f>IFERROR(INDEX(Roles!$B$17:$B$20,MATCH(J265,Roles!$A$17:$A$20,0)),1)</f>
        <v/>
      </c>
      <c r="L265" s="19" t="n">
        <v>1</v>
      </c>
      <c r="M265" s="11" t="n">
        <v>1</v>
      </c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>
        <v>0.15</v>
      </c>
      <c r="W265" s="19" t="n">
        <v>0.85</v>
      </c>
      <c r="X265" s="19" t="n"/>
      <c r="Y265" s="19" t="n"/>
      <c r="Z265" s="13">
        <f>SUMPRODUCT(N265:Y265,$N$2:$Y$2)*$K265*$L265*$M265</f>
        <v/>
      </c>
      <c r="AA265" s="14">
        <f>SUM(N265:Y265)</f>
        <v/>
      </c>
      <c r="AB265" s="13">
        <f>SUMPRODUCT(N265:Y265,$N$3:$Y$3)*$K265*$L265*$M265</f>
        <v/>
      </c>
      <c r="AC265" s="13">
        <f>SUMPRODUCT(N265:Y265,$N$4:$Y$4)*$K265*$L265*$M265</f>
        <v/>
      </c>
      <c r="AD265" s="15" t="n">
        <v>33.46666666666667</v>
      </c>
      <c r="AE265" s="11" t="n">
        <v>1.146431195591867</v>
      </c>
      <c r="AF265" s="16">
        <f>SUMPRODUCT(N265:Y265,$N$5:$Y$5)*$K265*$L265*$M265</f>
        <v/>
      </c>
      <c r="AG265" s="16">
        <f>SUMPRODUCT(N265:Y265,$N$6:$Y$6)*$K265*$L265*$M265</f>
        <v/>
      </c>
      <c r="AH265" s="20" t="n"/>
    </row>
    <row r="266">
      <c r="A266" s="9" t="n">
        <v>669622</v>
      </c>
      <c r="B266" s="9" t="inlineStr">
        <is>
          <t>Anthony Bender</t>
        </is>
      </c>
      <c r="C266" s="9" t="inlineStr">
        <is>
          <t>MIA</t>
        </is>
      </c>
      <c r="D266" s="9" t="n">
        <v>32</v>
      </c>
      <c r="E266" s="18" t="inlineStr">
        <is>
          <t>R</t>
        </is>
      </c>
      <c r="F266" s="18" t="n"/>
      <c r="G266" s="9" t="n">
        <v>140</v>
      </c>
      <c r="H266" s="9" t="n">
        <v>650</v>
      </c>
      <c r="I266" s="9" t="inlineStr">
        <is>
          <t>Bullpen Depth Arm</t>
        </is>
      </c>
      <c r="J266" s="18" t="inlineStr">
        <is>
          <t>Opening Day</t>
        </is>
      </c>
      <c r="K266" s="11">
        <f>IFERROR(INDEX(Roles!$B$17:$B$20,MATCH(J266,Roles!$A$17:$A$20,0)),1)</f>
        <v/>
      </c>
      <c r="L266" s="19" t="n">
        <v>1</v>
      </c>
      <c r="M266" s="11" t="n">
        <v>1</v>
      </c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>
        <v>0.15</v>
      </c>
      <c r="W266" s="19" t="n">
        <v>0.85</v>
      </c>
      <c r="X266" s="19" t="n"/>
      <c r="Y266" s="19" t="n"/>
      <c r="Z266" s="13">
        <f>SUMPRODUCT(N266:Y266,$N$2:$Y$2)*$K266*$L266*$M266</f>
        <v/>
      </c>
      <c r="AA266" s="14">
        <f>SUM(N266:Y266)</f>
        <v/>
      </c>
      <c r="AB266" s="13">
        <f>SUMPRODUCT(N266:Y266,$N$3:$Y$3)*$K266*$L266*$M266</f>
        <v/>
      </c>
      <c r="AC266" s="13">
        <f>SUMPRODUCT(N266:Y266,$N$4:$Y$4)*$K266*$L266*$M266</f>
        <v/>
      </c>
      <c r="AD266" s="15" t="n">
        <v>32.26666666666667</v>
      </c>
      <c r="AE266" s="11" t="n">
        <v>1.122309139852999</v>
      </c>
      <c r="AF266" s="16">
        <f>SUMPRODUCT(N266:Y266,$N$5:$Y$5)*$K266*$L266*$M266</f>
        <v/>
      </c>
      <c r="AG266" s="16">
        <f>SUMPRODUCT(N266:Y266,$N$6:$Y$6)*$K266*$L266*$M266</f>
        <v/>
      </c>
      <c r="AH266" s="20" t="n"/>
    </row>
    <row r="267">
      <c r="A267" s="9" t="n">
        <v>605242</v>
      </c>
      <c r="B267" s="9" t="inlineStr">
        <is>
          <t>Michael Fulmer</t>
        </is>
      </c>
      <c r="C267" s="9" t="inlineStr">
        <is>
          <t>NYY</t>
        </is>
      </c>
      <c r="D267" s="9" t="n">
        <v>34</v>
      </c>
      <c r="E267" s="18" t="inlineStr">
        <is>
          <t>R</t>
        </is>
      </c>
      <c r="F267" s="18" t="n"/>
      <c r="G267" s="9" t="n">
        <v>61</v>
      </c>
      <c r="H267" s="9" t="n">
        <v>597</v>
      </c>
      <c r="I267" s="9" t="inlineStr">
        <is>
          <t>Middle Relief</t>
        </is>
      </c>
      <c r="J267" s="18" t="inlineStr">
        <is>
          <t>Opening Day</t>
        </is>
      </c>
      <c r="K267" s="11">
        <f>IFERROR(INDEX(Roles!$B$17:$B$20,MATCH(J267,Roles!$A$17:$A$20,0)),1)</f>
        <v/>
      </c>
      <c r="L267" s="19" t="n">
        <v>1</v>
      </c>
      <c r="M267" s="11" t="n">
        <v>1</v>
      </c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>
        <v>0.6</v>
      </c>
      <c r="W267" s="19" t="n">
        <v>0.4</v>
      </c>
      <c r="X267" s="19" t="n"/>
      <c r="Y267" s="19" t="n"/>
      <c r="Z267" s="13">
        <f>SUMPRODUCT(N267:Y267,$N$2:$Y$2)*$K267*$L267*$M267</f>
        <v/>
      </c>
      <c r="AA267" s="14">
        <f>SUM(N267:Y267)</f>
        <v/>
      </c>
      <c r="AB267" s="13">
        <f>SUMPRODUCT(N267:Y267,$N$3:$Y$3)*$K267*$L267*$M267</f>
        <v/>
      </c>
      <c r="AC267" s="13">
        <f>SUMPRODUCT(N267:Y267,$N$4:$Y$4)*$K267*$L267*$M267</f>
        <v/>
      </c>
      <c r="AD267" s="15" t="n">
        <v>20.85333333333333</v>
      </c>
      <c r="AE267" s="11" t="n">
        <v>1.031191695058638</v>
      </c>
      <c r="AF267" s="16">
        <f>SUMPRODUCT(N267:Y267,$N$5:$Y$5)*$K267*$L267*$M267</f>
        <v/>
      </c>
      <c r="AG267" s="16">
        <f>SUMPRODUCT(N267:Y267,$N$6:$Y$6)*$K267*$L267*$M267</f>
        <v/>
      </c>
      <c r="AH267" s="20" t="n"/>
    </row>
    <row r="268">
      <c r="A268" s="9" t="n">
        <v>657006</v>
      </c>
      <c r="B268" s="9" t="inlineStr">
        <is>
          <t>Justin Steele</t>
        </is>
      </c>
      <c r="C268" s="9" t="inlineStr">
        <is>
          <t>CHC</t>
        </is>
      </c>
      <c r="D268" s="9" t="n">
        <v>31</v>
      </c>
      <c r="E268" s="18" t="inlineStr">
        <is>
          <t>L</t>
        </is>
      </c>
      <c r="F268" s="18" t="n"/>
      <c r="G268" s="9" t="n">
        <v>92</v>
      </c>
      <c r="H268" s="9" t="n">
        <v>1875</v>
      </c>
      <c r="I268" s="9" t="inlineStr">
        <is>
          <t>Bullpen Depth Arm</t>
        </is>
      </c>
      <c r="J268" s="18" t="inlineStr">
        <is>
          <t>Opening Day</t>
        </is>
      </c>
      <c r="K268" s="11">
        <f>IFERROR(INDEX(Roles!$B$17:$B$20,MATCH(J268,Roles!$A$17:$A$20,0)),1)</f>
        <v/>
      </c>
      <c r="L268" s="19" t="n">
        <v>1</v>
      </c>
      <c r="M268" s="11" t="n">
        <v>1</v>
      </c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>
        <v>0.15</v>
      </c>
      <c r="W268" s="19" t="n">
        <v>0.85</v>
      </c>
      <c r="X268" s="19" t="n"/>
      <c r="Y268" s="19" t="n"/>
      <c r="Z268" s="13">
        <f>SUMPRODUCT(N268:Y268,$N$2:$Y$2)*$K268*$L268*$M268</f>
        <v/>
      </c>
      <c r="AA268" s="14">
        <f>SUM(N268:Y268)</f>
        <v/>
      </c>
      <c r="AB268" s="13">
        <f>SUMPRODUCT(N268:Y268,$N$3:$Y$3)*$K268*$L268*$M268</f>
        <v/>
      </c>
      <c r="AC268" s="13">
        <f>SUMPRODUCT(N268:Y268,$N$4:$Y$4)*$K268*$L268*$M268</f>
        <v/>
      </c>
      <c r="AD268" s="15" t="n">
        <v>12.06666666666667</v>
      </c>
      <c r="AE268" s="11" t="n">
        <v>2.676507134840468</v>
      </c>
      <c r="AF268" s="16">
        <f>SUMPRODUCT(N268:Y268,$N$5:$Y$5)*$K268*$L268*$M268</f>
        <v/>
      </c>
      <c r="AG268" s="16">
        <f>SUMPRODUCT(N268:Y268,$N$6:$Y$6)*$K268*$L268*$M268</f>
        <v/>
      </c>
      <c r="AH268" s="20" t="n"/>
    </row>
    <row r="269">
      <c r="A269" s="9" t="n">
        <v>642376</v>
      </c>
      <c r="B269" s="9" t="inlineStr">
        <is>
          <t>Jefry Yan</t>
        </is>
      </c>
      <c r="C269" s="9" t="inlineStr">
        <is>
          <t>NYM</t>
        </is>
      </c>
      <c r="D269" s="9" t="n">
        <v>30</v>
      </c>
      <c r="E269" s="18" t="inlineStr">
        <is>
          <t>L</t>
        </is>
      </c>
      <c r="F269" s="18" t="n"/>
      <c r="G269" s="9" t="n">
        <v>96</v>
      </c>
      <c r="H269" s="9" t="n">
        <v>96</v>
      </c>
      <c r="I269" s="9" t="inlineStr">
        <is>
          <t>Middle Relief</t>
        </is>
      </c>
      <c r="J269" s="18" t="inlineStr">
        <is>
          <t>Opening Day</t>
        </is>
      </c>
      <c r="K269" s="11">
        <f>IFERROR(INDEX(Roles!$B$17:$B$20,MATCH(J269,Roles!$A$17:$A$20,0)),1)</f>
        <v/>
      </c>
      <c r="L269" s="19" t="n">
        <v>1</v>
      </c>
      <c r="M269" s="11" t="n">
        <v>1</v>
      </c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>
        <v>0.6</v>
      </c>
      <c r="W269" s="19" t="n">
        <v>0.4</v>
      </c>
      <c r="X269" s="19" t="n"/>
      <c r="Y269" s="19" t="n"/>
      <c r="Z269" s="13">
        <f>SUMPRODUCT(N269:Y269,$N$2:$Y$2)*$K269*$L269*$M269</f>
        <v/>
      </c>
      <c r="AA269" s="14">
        <f>SUM(N269:Y269)</f>
        <v/>
      </c>
      <c r="AB269" s="13">
        <f>SUMPRODUCT(N269:Y269,$N$3:$Y$3)*$K269*$L269*$M269</f>
        <v/>
      </c>
      <c r="AC269" s="13">
        <f>SUMPRODUCT(N269:Y269,$N$4:$Y$4)*$K269*$L269*$M269</f>
        <v/>
      </c>
      <c r="AD269" s="15" t="n">
        <v>25.53333333333333</v>
      </c>
      <c r="AE269" s="11" t="n">
        <v>1.065686974651957</v>
      </c>
      <c r="AF269" s="16">
        <f>SUMPRODUCT(N269:Y269,$N$5:$Y$5)*$K269*$L269*$M269</f>
        <v/>
      </c>
      <c r="AG269" s="16">
        <f>SUMPRODUCT(N269:Y269,$N$6:$Y$6)*$K269*$L269*$M269</f>
        <v/>
      </c>
      <c r="AH269" s="20" t="n"/>
    </row>
    <row r="270">
      <c r="A270" s="9" t="n">
        <v>694494</v>
      </c>
      <c r="B270" s="9" t="inlineStr">
        <is>
          <t>Ty Johnson</t>
        </is>
      </c>
      <c r="C270" s="9" t="inlineStr">
        <is>
          <t>TB</t>
        </is>
      </c>
      <c r="D270" s="9" t="n">
        <v>26</v>
      </c>
      <c r="E270" s="18" t="inlineStr">
        <is>
          <t>R</t>
        </is>
      </c>
      <c r="F270" s="18" t="n"/>
      <c r="G270" s="9" t="n">
        <v>34</v>
      </c>
      <c r="H270" s="9" t="n">
        <v>34</v>
      </c>
      <c r="I270" s="9" t="inlineStr">
        <is>
          <t>Bullpen Depth Arm</t>
        </is>
      </c>
      <c r="J270" s="18" t="inlineStr">
        <is>
          <t>Early Season (~May)</t>
        </is>
      </c>
      <c r="K270" s="11">
        <f>IFERROR(INDEX(Roles!$B$17:$B$20,MATCH(J270,Roles!$A$17:$A$20,0)),1)</f>
        <v/>
      </c>
      <c r="L270" s="19" t="n">
        <v>1</v>
      </c>
      <c r="M270" s="11" t="n">
        <v>1</v>
      </c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>
        <v>1</v>
      </c>
      <c r="X270" s="19" t="n"/>
      <c r="Y270" s="19" t="n"/>
      <c r="Z270" s="13">
        <f>SUMPRODUCT(N270:Y270,$N$2:$Y$2)*$K270*$L270*$M270</f>
        <v/>
      </c>
      <c r="AA270" s="14">
        <f>SUM(N270:Y270)</f>
        <v/>
      </c>
      <c r="AB270" s="13">
        <f>SUMPRODUCT(N270:Y270,$N$3:$Y$3)*$K270*$L270*$M270</f>
        <v/>
      </c>
      <c r="AC270" s="13">
        <f>SUMPRODUCT(N270:Y270,$N$4:$Y$4)*$K270*$L270*$M270</f>
        <v/>
      </c>
      <c r="AD270" s="15" t="n">
        <v>10.46666666666666</v>
      </c>
      <c r="AE270" s="11" t="n">
        <v>1.120951579284912</v>
      </c>
      <c r="AF270" s="16">
        <f>SUMPRODUCT(N270:Y270,$N$5:$Y$5)*$K270*$L270*$M270</f>
        <v/>
      </c>
      <c r="AG270" s="16">
        <f>SUMPRODUCT(N270:Y270,$N$6:$Y$6)*$K270*$L270*$M270</f>
        <v/>
      </c>
      <c r="AH270" s="20" t="n"/>
    </row>
    <row r="271">
      <c r="A271" s="9" t="n">
        <v>506433</v>
      </c>
      <c r="B271" s="9" t="inlineStr">
        <is>
          <t>Yu Darvish</t>
        </is>
      </c>
      <c r="C271" s="9" t="inlineStr">
        <is>
          <t>SD</t>
        </is>
      </c>
      <c r="D271" s="9" t="n">
        <v>40</v>
      </c>
      <c r="E271" s="18" t="inlineStr">
        <is>
          <t>R</t>
        </is>
      </c>
      <c r="F271" s="18" t="n"/>
      <c r="G271" s="9" t="n">
        <v>296</v>
      </c>
      <c r="H271" s="9" t="n">
        <v>1972</v>
      </c>
      <c r="I271" s="9" t="inlineStr">
        <is>
          <t>Swing Arm / Long Relief</t>
        </is>
      </c>
      <c r="J271" s="18" t="inlineStr">
        <is>
          <t>Opening Day</t>
        </is>
      </c>
      <c r="K271" s="11">
        <f>IFERROR(INDEX(Roles!$B$17:$B$20,MATCH(J271,Roles!$A$17:$A$20,0)),1)</f>
        <v/>
      </c>
      <c r="L271" s="19" t="n">
        <v>1</v>
      </c>
      <c r="M271" s="11" t="n">
        <v>1</v>
      </c>
      <c r="N271" s="19" t="n"/>
      <c r="O271" s="19" t="n"/>
      <c r="P271" s="19" t="n"/>
      <c r="Q271" s="19" t="n"/>
      <c r="R271" s="19" t="n">
        <v>0.5</v>
      </c>
      <c r="S271" s="19" t="n"/>
      <c r="T271" s="19" t="n"/>
      <c r="U271" s="19" t="n"/>
      <c r="V271" s="19" t="n">
        <v>0.5</v>
      </c>
      <c r="W271" s="19" t="n"/>
      <c r="X271" s="19" t="n"/>
      <c r="Y271" s="19" t="n"/>
      <c r="Z271" s="13">
        <f>SUMPRODUCT(N271:Y271,$N$2:$Y$2)*$K271*$L271*$M271</f>
        <v/>
      </c>
      <c r="AA271" s="14">
        <f>SUM(N271:Y271)</f>
        <v/>
      </c>
      <c r="AB271" s="13">
        <f>SUMPRODUCT(N271:Y271,$N$3:$Y$3)*$K271*$L271*$M271</f>
        <v/>
      </c>
      <c r="AC271" s="13">
        <f>SUMPRODUCT(N271:Y271,$N$4:$Y$4)*$K271*$L271*$M271</f>
        <v/>
      </c>
      <c r="AD271" s="15" t="n">
        <v>17.33333333333333</v>
      </c>
      <c r="AE271" s="11" t="n">
        <v>3.303753860774531</v>
      </c>
      <c r="AF271" s="16">
        <f>SUMPRODUCT(N271:Y271,$N$5:$Y$5)*$K271*$L271*$M271</f>
        <v/>
      </c>
      <c r="AG271" s="16">
        <f>SUMPRODUCT(N271:Y271,$N$6:$Y$6)*$K271*$L271*$M271</f>
        <v/>
      </c>
      <c r="AH271" s="20" t="n"/>
    </row>
    <row r="272">
      <c r="A272" s="9" t="n">
        <v>656257</v>
      </c>
      <c r="B272" s="9" t="inlineStr">
        <is>
          <t>Jeff Brigham</t>
        </is>
      </c>
      <c r="C272" s="9" t="inlineStr">
        <is>
          <t>NYM</t>
        </is>
      </c>
      <c r="D272" s="9" t="n">
        <v>35</v>
      </c>
      <c r="E272" s="18" t="inlineStr">
        <is>
          <t>R</t>
        </is>
      </c>
      <c r="F272" s="18" t="n"/>
      <c r="G272" s="9" t="n">
        <v>18</v>
      </c>
      <c r="H272" s="9" t="n">
        <v>279</v>
      </c>
      <c r="I272" s="9" t="inlineStr">
        <is>
          <t>Depth (no MLB IP)</t>
        </is>
      </c>
      <c r="J272" s="18" t="inlineStr">
        <is>
          <t>Opening Day</t>
        </is>
      </c>
      <c r="K272" s="11">
        <f>IFERROR(INDEX(Roles!$B$17:$B$20,MATCH(J272,Roles!$A$17:$A$20,0)),1)</f>
        <v/>
      </c>
      <c r="L272" s="19" t="n">
        <v>1</v>
      </c>
      <c r="M272" s="11" t="n">
        <v>1</v>
      </c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>
        <v>1</v>
      </c>
      <c r="Z272" s="13">
        <f>SUMPRODUCT(N272:Y272,$N$2:$Y$2)*$K272*$L272*$M272</f>
        <v/>
      </c>
      <c r="AA272" s="14">
        <f>SUM(N272:Y272)</f>
        <v/>
      </c>
      <c r="AB272" s="13">
        <f>SUMPRODUCT(N272:Y272,$N$3:$Y$3)*$K272*$L272*$M272</f>
        <v/>
      </c>
      <c r="AC272" s="13">
        <f>SUMPRODUCT(N272:Y272,$N$4:$Y$4)*$K272*$L272*$M272</f>
        <v/>
      </c>
      <c r="AD272" s="15" t="n">
        <v>3.6</v>
      </c>
      <c r="AE272" s="11" t="n">
        <v>0.9519753086419752</v>
      </c>
      <c r="AF272" s="16">
        <f>SUMPRODUCT(N272:Y272,$N$5:$Y$5)*$K272*$L272*$M272</f>
        <v/>
      </c>
      <c r="AG272" s="16">
        <f>SUMPRODUCT(N272:Y272,$N$6:$Y$6)*$K272*$L272*$M272</f>
        <v/>
      </c>
      <c r="AH272" s="20" t="n"/>
    </row>
    <row r="273">
      <c r="A273" s="9" t="n">
        <v>688158</v>
      </c>
      <c r="B273" s="9" t="inlineStr">
        <is>
          <t>David Morgan</t>
        </is>
      </c>
      <c r="C273" s="9" t="inlineStr">
        <is>
          <t>SD</t>
        </is>
      </c>
      <c r="D273" s="9" t="n">
        <v>27</v>
      </c>
      <c r="E273" s="18" t="inlineStr">
        <is>
          <t>R</t>
        </is>
      </c>
      <c r="F273" s="18" t="n"/>
      <c r="G273" s="9" t="n">
        <v>162</v>
      </c>
      <c r="H273" s="9" t="n">
        <v>355</v>
      </c>
      <c r="I273" s="9" t="inlineStr">
        <is>
          <t>Swing Arm / Long Relief</t>
        </is>
      </c>
      <c r="J273" s="18" t="inlineStr">
        <is>
          <t>Opening Day</t>
        </is>
      </c>
      <c r="K273" s="11">
        <f>IFERROR(INDEX(Roles!$B$17:$B$20,MATCH(J273,Roles!$A$17:$A$20,0)),1)</f>
        <v/>
      </c>
      <c r="L273" s="19" t="n">
        <v>1</v>
      </c>
      <c r="M273" s="11" t="n">
        <v>1</v>
      </c>
      <c r="N273" s="19" t="n"/>
      <c r="O273" s="19" t="n"/>
      <c r="P273" s="19" t="n"/>
      <c r="Q273" s="19" t="n"/>
      <c r="R273" s="19" t="n">
        <v>0.6</v>
      </c>
      <c r="S273" s="19" t="n"/>
      <c r="T273" s="19" t="n"/>
      <c r="U273" s="19" t="n"/>
      <c r="V273" s="19" t="n"/>
      <c r="W273" s="19" t="n">
        <v>0.4</v>
      </c>
      <c r="X273" s="19" t="n"/>
      <c r="Y273" s="19" t="n"/>
      <c r="Z273" s="13">
        <f>SUMPRODUCT(N273:Y273,$N$2:$Y$2)*$K273*$L273*$M273</f>
        <v/>
      </c>
      <c r="AA273" s="14">
        <f>SUM(N273:Y273)</f>
        <v/>
      </c>
      <c r="AB273" s="13">
        <f>SUMPRODUCT(N273:Y273,$N$3:$Y$3)*$K273*$L273*$M273</f>
        <v/>
      </c>
      <c r="AC273" s="13">
        <f>SUMPRODUCT(N273:Y273,$N$4:$Y$4)*$K273*$L273*$M273</f>
        <v/>
      </c>
      <c r="AD273" s="15" t="n">
        <v>29.49333333333333</v>
      </c>
      <c r="AE273" s="11" t="n">
        <v>2.033032479891939</v>
      </c>
      <c r="AF273" s="16">
        <f>SUMPRODUCT(N273:Y273,$N$5:$Y$5)*$K273*$L273*$M273</f>
        <v/>
      </c>
      <c r="AG273" s="16">
        <f>SUMPRODUCT(N273:Y273,$N$6:$Y$6)*$K273*$L273*$M273</f>
        <v/>
      </c>
      <c r="AH273" s="20" t="n"/>
    </row>
    <row r="274">
      <c r="A274" s="9" t="n">
        <v>683175</v>
      </c>
      <c r="B274" s="9" t="inlineStr">
        <is>
          <t>Connor Phillips</t>
        </is>
      </c>
      <c r="C274" s="9" t="inlineStr">
        <is>
          <t>CIN</t>
        </is>
      </c>
      <c r="D274" s="9" t="n">
        <v>26</v>
      </c>
      <c r="E274" s="18" t="inlineStr">
        <is>
          <t>R</t>
        </is>
      </c>
      <c r="F274" s="18" t="n"/>
      <c r="G274" s="9" t="n">
        <v>145</v>
      </c>
      <c r="H274" s="9" t="n">
        <v>339</v>
      </c>
      <c r="I274" s="9" t="inlineStr">
        <is>
          <t>Bullpen Depth Arm</t>
        </is>
      </c>
      <c r="J274" s="18" t="inlineStr">
        <is>
          <t>Opening Day</t>
        </is>
      </c>
      <c r="K274" s="11">
        <f>IFERROR(INDEX(Roles!$B$17:$B$20,MATCH(J274,Roles!$A$17:$A$20,0)),1)</f>
        <v/>
      </c>
      <c r="L274" s="19" t="n">
        <v>1</v>
      </c>
      <c r="M274" s="11" t="n">
        <v>1</v>
      </c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>
        <v>0.15</v>
      </c>
      <c r="W274" s="19" t="n">
        <v>0.85</v>
      </c>
      <c r="X274" s="19" t="n"/>
      <c r="Y274" s="19" t="n"/>
      <c r="Z274" s="13">
        <f>SUMPRODUCT(N274:Y274,$N$2:$Y$2)*$K274*$L274*$M274</f>
        <v/>
      </c>
      <c r="AA274" s="14">
        <f>SUM(N274:Y274)</f>
        <v/>
      </c>
      <c r="AB274" s="13">
        <f>SUMPRODUCT(N274:Y274,$N$3:$Y$3)*$K274*$L274*$M274</f>
        <v/>
      </c>
      <c r="AC274" s="13">
        <f>SUMPRODUCT(N274:Y274,$N$4:$Y$4)*$K274*$L274*$M274</f>
        <v/>
      </c>
      <c r="AD274" s="15" t="n">
        <v>20.42666666666667</v>
      </c>
      <c r="AE274" s="11" t="n">
        <v>1.180910928878408</v>
      </c>
      <c r="AF274" s="16">
        <f>SUMPRODUCT(N274:Y274,$N$5:$Y$5)*$K274*$L274*$M274</f>
        <v/>
      </c>
      <c r="AG274" s="16">
        <f>SUMPRODUCT(N274:Y274,$N$6:$Y$6)*$K274*$L274*$M274</f>
        <v/>
      </c>
      <c r="AH274" s="20" t="n"/>
    </row>
    <row r="275">
      <c r="A275" s="9" t="n">
        <v>519151</v>
      </c>
      <c r="B275" s="9" t="inlineStr">
        <is>
          <t>Ryan Pressly</t>
        </is>
      </c>
      <c r="C275" s="9" t="inlineStr">
        <is>
          <t>CHC</t>
        </is>
      </c>
      <c r="D275" s="9" t="n">
        <v>38</v>
      </c>
      <c r="E275" s="18" t="inlineStr">
        <is>
          <t>R</t>
        </is>
      </c>
      <c r="F275" s="18" t="n"/>
      <c r="G275" s="9" t="n">
        <v>182</v>
      </c>
      <c r="H275" s="9" t="n">
        <v>876</v>
      </c>
      <c r="I275" s="9" t="inlineStr">
        <is>
          <t>Late Inning RP (Setup)</t>
        </is>
      </c>
      <c r="J275" s="18" t="inlineStr">
        <is>
          <t>Opening Day</t>
        </is>
      </c>
      <c r="K275" s="11">
        <f>IFERROR(INDEX(Roles!$B$17:$B$20,MATCH(J275,Roles!$A$17:$A$20,0)),1)</f>
        <v/>
      </c>
      <c r="L275" s="19" t="n">
        <v>1</v>
      </c>
      <c r="M275" s="11" t="n">
        <v>1</v>
      </c>
      <c r="N275" s="19" t="n"/>
      <c r="O275" s="19" t="n"/>
      <c r="P275" s="19" t="n"/>
      <c r="Q275" s="19" t="n"/>
      <c r="R275" s="19" t="n"/>
      <c r="S275" s="19" t="n"/>
      <c r="T275" s="19" t="n"/>
      <c r="U275" s="19" t="n">
        <v>1</v>
      </c>
      <c r="V275" s="19" t="n"/>
      <c r="W275" s="19" t="n"/>
      <c r="X275" s="19" t="n"/>
      <c r="Y275" s="19" t="n"/>
      <c r="Z275" s="13">
        <f>SUMPRODUCT(N275:Y275,$N$2:$Y$2)*$K275*$L275*$M275</f>
        <v/>
      </c>
      <c r="AA275" s="14">
        <f>SUM(N275:Y275)</f>
        <v/>
      </c>
      <c r="AB275" s="13">
        <f>SUMPRODUCT(N275:Y275,$N$3:$Y$3)*$K275*$L275*$M275</f>
        <v/>
      </c>
      <c r="AC275" s="13">
        <f>SUMPRODUCT(N275:Y275,$N$4:$Y$4)*$K275*$L275*$M275</f>
        <v/>
      </c>
      <c r="AD275" s="15" t="n">
        <v>48.6</v>
      </c>
      <c r="AE275" s="11" t="n">
        <v>0.9756708238851096</v>
      </c>
      <c r="AF275" s="16">
        <f>SUMPRODUCT(N275:Y275,$N$5:$Y$5)*$K275*$L275*$M275</f>
        <v/>
      </c>
      <c r="AG275" s="16">
        <f>SUMPRODUCT(N275:Y275,$N$6:$Y$6)*$K275*$L275*$M275</f>
        <v/>
      </c>
      <c r="AH275" s="20" t="n"/>
    </row>
    <row r="276">
      <c r="A276" s="9" t="n">
        <v>656986</v>
      </c>
      <c r="B276" s="9" t="inlineStr">
        <is>
          <t>Bennett Sousa</t>
        </is>
      </c>
      <c r="C276" s="9" t="inlineStr">
        <is>
          <t>HOU</t>
        </is>
      </c>
      <c r="D276" s="9" t="n">
        <v>32</v>
      </c>
      <c r="E276" s="18" t="inlineStr">
        <is>
          <t>L</t>
        </is>
      </c>
      <c r="F276" s="18" t="n"/>
      <c r="G276" s="9" t="n">
        <v>141</v>
      </c>
      <c r="H276" s="9" t="n">
        <v>470</v>
      </c>
      <c r="I276" s="9" t="inlineStr">
        <is>
          <t>Late Inning RP (Setup)</t>
        </is>
      </c>
      <c r="J276" s="18" t="inlineStr">
        <is>
          <t>Opening Day</t>
        </is>
      </c>
      <c r="K276" s="11">
        <f>IFERROR(INDEX(Roles!$B$17:$B$20,MATCH(J276,Roles!$A$17:$A$20,0)),1)</f>
        <v/>
      </c>
      <c r="L276" s="19" t="n">
        <v>1</v>
      </c>
      <c r="M276" s="11" t="n">
        <v>1</v>
      </c>
      <c r="N276" s="19" t="n"/>
      <c r="O276" s="19" t="n"/>
      <c r="P276" s="19" t="n"/>
      <c r="Q276" s="19" t="n"/>
      <c r="R276" s="19" t="n"/>
      <c r="S276" s="19" t="n"/>
      <c r="T276" s="19" t="n"/>
      <c r="U276" s="19" t="n">
        <v>0.85</v>
      </c>
      <c r="V276" s="19" t="n">
        <v>0.15</v>
      </c>
      <c r="W276" s="19" t="n"/>
      <c r="X276" s="19" t="n"/>
      <c r="Y276" s="19" t="n"/>
      <c r="Z276" s="13">
        <f>SUMPRODUCT(N276:Y276,$N$2:$Y$2)*$K276*$L276*$M276</f>
        <v/>
      </c>
      <c r="AA276" s="14">
        <f>SUM(N276:Y276)</f>
        <v/>
      </c>
      <c r="AB276" s="13">
        <f>SUMPRODUCT(N276:Y276,$N$3:$Y$3)*$K276*$L276*$M276</f>
        <v/>
      </c>
      <c r="AC276" s="13">
        <f>SUMPRODUCT(N276:Y276,$N$4:$Y$4)*$K276*$L276*$M276</f>
        <v/>
      </c>
      <c r="AD276" s="15" t="n">
        <v>42.36</v>
      </c>
      <c r="AE276" s="11" t="n">
        <v>0.9901770293609672</v>
      </c>
      <c r="AF276" s="16">
        <f>SUMPRODUCT(N276:Y276,$N$5:$Y$5)*$K276*$L276*$M276</f>
        <v/>
      </c>
      <c r="AG276" s="16">
        <f>SUMPRODUCT(N276:Y276,$N$6:$Y$6)*$K276*$L276*$M276</f>
        <v/>
      </c>
      <c r="AH276" s="20" t="n"/>
    </row>
    <row r="277">
      <c r="A277" s="9" t="n">
        <v>519043</v>
      </c>
      <c r="B277" s="9" t="inlineStr">
        <is>
          <t>Matt Moore</t>
        </is>
      </c>
      <c r="C277" s="9" t="inlineStr">
        <is>
          <t>LAA</t>
        </is>
      </c>
      <c r="D277" s="9" t="n">
        <v>38</v>
      </c>
      <c r="E277" s="18" t="inlineStr">
        <is>
          <t>L</t>
        </is>
      </c>
      <c r="F277" s="18" t="n"/>
      <c r="G277" s="9" t="n">
        <v>210</v>
      </c>
      <c r="H277" s="9" t="n">
        <v>732</v>
      </c>
      <c r="I277" s="9" t="inlineStr">
        <is>
          <t>Depth (no MLB IP)</t>
        </is>
      </c>
      <c r="J277" s="18" t="inlineStr">
        <is>
          <t>Opening Day</t>
        </is>
      </c>
      <c r="K277" s="11">
        <f>IFERROR(INDEX(Roles!$B$17:$B$20,MATCH(J277,Roles!$A$17:$A$20,0)),1)</f>
        <v/>
      </c>
      <c r="L277" s="19" t="n">
        <v>1</v>
      </c>
      <c r="M277" s="11" t="n">
        <v>1</v>
      </c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>
        <v>1</v>
      </c>
      <c r="Z277" s="13">
        <f>SUMPRODUCT(N277:Y277,$N$2:$Y$2)*$K277*$L277*$M277</f>
        <v/>
      </c>
      <c r="AA277" s="14">
        <f>SUM(N277:Y277)</f>
        <v/>
      </c>
      <c r="AB277" s="13">
        <f>SUMPRODUCT(N277:Y277,$N$3:$Y$3)*$K277*$L277*$M277</f>
        <v/>
      </c>
      <c r="AC277" s="13">
        <f>SUMPRODUCT(N277:Y277,$N$4:$Y$4)*$K277*$L277*$M277</f>
        <v/>
      </c>
      <c r="AD277" s="15" t="n">
        <v>31.8</v>
      </c>
      <c r="AE277" s="11" t="n">
        <v>0.9901016702977484</v>
      </c>
      <c r="AF277" s="16">
        <f>SUMPRODUCT(N277:Y277,$N$5:$Y$5)*$K277*$L277*$M277</f>
        <v/>
      </c>
      <c r="AG277" s="16">
        <f>SUMPRODUCT(N277:Y277,$N$6:$Y$6)*$K277*$L277*$M277</f>
        <v/>
      </c>
      <c r="AH277" s="20" t="n"/>
    </row>
    <row r="278">
      <c r="A278" s="9" t="n">
        <v>640455</v>
      </c>
      <c r="B278" s="9" t="inlineStr">
        <is>
          <t>Sean Manaea</t>
        </is>
      </c>
      <c r="C278" s="9" t="inlineStr">
        <is>
          <t>NYM</t>
        </is>
      </c>
      <c r="D278" s="9" t="n">
        <v>35</v>
      </c>
      <c r="E278" s="18" t="inlineStr">
        <is>
          <t>L</t>
        </is>
      </c>
      <c r="F278" s="18" t="n"/>
      <c r="G278" s="9" t="n">
        <v>653</v>
      </c>
      <c r="H278" s="9" t="n">
        <v>2824</v>
      </c>
      <c r="I278" s="9" t="inlineStr">
        <is>
          <t>Mid-Rotation Starter (SP2-3)</t>
        </is>
      </c>
      <c r="J278" s="18" t="inlineStr">
        <is>
          <t>Opening Day</t>
        </is>
      </c>
      <c r="K278" s="11">
        <f>IFERROR(INDEX(Roles!$B$17:$B$20,MATCH(J278,Roles!$A$17:$A$20,0)),1)</f>
        <v/>
      </c>
      <c r="L278" s="19" t="n">
        <v>1</v>
      </c>
      <c r="M278" s="11" t="n">
        <v>1</v>
      </c>
      <c r="N278" s="19" t="n"/>
      <c r="O278" s="19" t="n">
        <v>0.5</v>
      </c>
      <c r="P278" s="19" t="n">
        <v>0.5</v>
      </c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3">
        <f>SUMPRODUCT(N278:Y278,$N$2:$Y$2)*$K278*$L278*$M278</f>
        <v/>
      </c>
      <c r="AA278" s="14">
        <f>SUM(N278:Y278)</f>
        <v/>
      </c>
      <c r="AB278" s="13">
        <f>SUMPRODUCT(N278:Y278,$N$3:$Y$3)*$K278*$L278*$M278</f>
        <v/>
      </c>
      <c r="AC278" s="13">
        <f>SUMPRODUCT(N278:Y278,$N$4:$Y$4)*$K278*$L278*$M278</f>
        <v/>
      </c>
      <c r="AD278" s="15" t="n">
        <v>26.5</v>
      </c>
      <c r="AE278" s="11" t="n">
        <v>5.032681048108818</v>
      </c>
      <c r="AF278" s="16">
        <f>SUMPRODUCT(N278:Y278,$N$5:$Y$5)*$K278*$L278*$M278</f>
        <v/>
      </c>
      <c r="AG278" s="16">
        <f>SUMPRODUCT(N278:Y278,$N$6:$Y$6)*$K278*$L278*$M278</f>
        <v/>
      </c>
      <c r="AH278" s="20" t="n"/>
    </row>
    <row r="279">
      <c r="A279" s="9" t="n">
        <v>688497</v>
      </c>
      <c r="B279" s="9" t="inlineStr">
        <is>
          <t>Taylor Rashi</t>
        </is>
      </c>
      <c r="C279" s="9" t="inlineStr">
        <is>
          <t>OAK</t>
        </is>
      </c>
      <c r="D279" s="9" t="n">
        <v>31</v>
      </c>
      <c r="E279" s="18" t="inlineStr">
        <is>
          <t>R</t>
        </is>
      </c>
      <c r="F279" s="18" t="n"/>
      <c r="G279" s="9" t="n">
        <v>26</v>
      </c>
      <c r="H279" s="9" t="n">
        <v>98</v>
      </c>
      <c r="I279" s="9" t="inlineStr">
        <is>
          <t>Bullpen Depth Arm</t>
        </is>
      </c>
      <c r="J279" s="18" t="inlineStr">
        <is>
          <t>Opening Day</t>
        </is>
      </c>
      <c r="K279" s="11">
        <f>IFERROR(INDEX(Roles!$B$17:$B$20,MATCH(J279,Roles!$A$17:$A$20,0)),1)</f>
        <v/>
      </c>
      <c r="L279" s="19" t="n">
        <v>1</v>
      </c>
      <c r="M279" s="11" t="n">
        <v>1</v>
      </c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>
        <v>1</v>
      </c>
      <c r="X279" s="19" t="n"/>
      <c r="Y279" s="19" t="n"/>
      <c r="Z279" s="13">
        <f>SUMPRODUCT(N279:Y279,$N$2:$Y$2)*$K279*$L279*$M279</f>
        <v/>
      </c>
      <c r="AA279" s="14">
        <f>SUM(N279:Y279)</f>
        <v/>
      </c>
      <c r="AB279" s="13">
        <f>SUMPRODUCT(N279:Y279,$N$3:$Y$3)*$K279*$L279*$M279</f>
        <v/>
      </c>
      <c r="AC279" s="13">
        <f>SUMPRODUCT(N279:Y279,$N$4:$Y$4)*$K279*$L279*$M279</f>
        <v/>
      </c>
      <c r="AD279" s="15" t="n">
        <v>9.506666666666666</v>
      </c>
      <c r="AE279" s="11" t="n">
        <v>1.318868245951579</v>
      </c>
      <c r="AF279" s="16">
        <f>SUMPRODUCT(N279:Y279,$N$5:$Y$5)*$K279*$L279*$M279</f>
        <v/>
      </c>
      <c r="AG279" s="16">
        <f>SUMPRODUCT(N279:Y279,$N$6:$Y$6)*$K279*$L279*$M279</f>
        <v/>
      </c>
      <c r="AH279" s="20" t="n"/>
    </row>
    <row r="280">
      <c r="A280" s="9" t="n">
        <v>680694</v>
      </c>
      <c r="B280" s="9" t="inlineStr">
        <is>
          <t>Kyle Bradish</t>
        </is>
      </c>
      <c r="C280" s="9" t="inlineStr">
        <is>
          <t>BAL</t>
        </is>
      </c>
      <c r="D280" s="9" t="n">
        <v>30</v>
      </c>
      <c r="E280" s="18" t="inlineStr">
        <is>
          <t>R</t>
        </is>
      </c>
      <c r="F280" s="18" t="n"/>
      <c r="G280" s="9" t="n">
        <v>669</v>
      </c>
      <c r="H280" s="9" t="n">
        <v>2138</v>
      </c>
      <c r="I280" s="9" t="inlineStr">
        <is>
          <t>End-of-Rotation Starter (SP4-5)</t>
        </is>
      </c>
      <c r="J280" s="18" t="inlineStr">
        <is>
          <t>Opening Day</t>
        </is>
      </c>
      <c r="K280" s="11">
        <f>IFERROR(INDEX(Roles!$B$17:$B$20,MATCH(J280,Roles!$A$17:$A$20,0)),1)</f>
        <v/>
      </c>
      <c r="L280" s="19" t="n">
        <v>1</v>
      </c>
      <c r="M280" s="11" t="n">
        <v>1</v>
      </c>
      <c r="N280" s="19" t="n"/>
      <c r="O280" s="19" t="n"/>
      <c r="P280" s="19" t="n">
        <v>0.5</v>
      </c>
      <c r="Q280" s="19" t="n"/>
      <c r="R280" s="19" t="n">
        <v>0.5</v>
      </c>
      <c r="S280" s="19" t="n"/>
      <c r="T280" s="19" t="n"/>
      <c r="U280" s="19" t="n"/>
      <c r="V280" s="19" t="n"/>
      <c r="W280" s="19" t="n"/>
      <c r="X280" s="19" t="n"/>
      <c r="Y280" s="19" t="n"/>
      <c r="Z280" s="13">
        <f>SUMPRODUCT(N280:Y280,$N$2:$Y$2)*$K280*$L280*$M280</f>
        <v/>
      </c>
      <c r="AA280" s="14">
        <f>SUM(N280:Y280)</f>
        <v/>
      </c>
      <c r="AB280" s="13">
        <f>SUMPRODUCT(N280:Y280,$N$3:$Y$3)*$K280*$L280*$M280</f>
        <v/>
      </c>
      <c r="AC280" s="13">
        <f>SUMPRODUCT(N280:Y280,$N$4:$Y$4)*$K280*$L280*$M280</f>
        <v/>
      </c>
      <c r="AD280" s="15" t="n">
        <v>17.1</v>
      </c>
      <c r="AE280" s="11" t="n">
        <v>4.80754586362063</v>
      </c>
      <c r="AF280" s="16">
        <f>SUMPRODUCT(N280:Y280,$N$5:$Y$5)*$K280*$L280*$M280</f>
        <v/>
      </c>
      <c r="AG280" s="16">
        <f>SUMPRODUCT(N280:Y280,$N$6:$Y$6)*$K280*$L280*$M280</f>
        <v/>
      </c>
      <c r="AH280" s="20" t="n"/>
    </row>
    <row r="281">
      <c r="A281" s="9" t="n">
        <v>695611</v>
      </c>
      <c r="B281" s="9" t="inlineStr">
        <is>
          <t>Gage Jump</t>
        </is>
      </c>
      <c r="C281" s="9" t="inlineStr">
        <is>
          <t>OAK</t>
        </is>
      </c>
      <c r="D281" s="9" t="n">
        <v>24</v>
      </c>
      <c r="E281" s="18" t="inlineStr">
        <is>
          <t>L</t>
        </is>
      </c>
      <c r="F281" s="18" t="n"/>
      <c r="G281" s="9" t="n">
        <v>437</v>
      </c>
      <c r="H281" s="9" t="n">
        <v>437</v>
      </c>
      <c r="I281" s="9" t="inlineStr">
        <is>
          <t>Bullpen Depth Arm</t>
        </is>
      </c>
      <c r="J281" s="18" t="inlineStr">
        <is>
          <t>Opening Day</t>
        </is>
      </c>
      <c r="K281" s="11">
        <f>IFERROR(INDEX(Roles!$B$17:$B$20,MATCH(J281,Roles!$A$17:$A$20,0)),1)</f>
        <v/>
      </c>
      <c r="L281" s="19" t="n">
        <v>1</v>
      </c>
      <c r="M281" s="11" t="n">
        <v>1</v>
      </c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>
        <v>1</v>
      </c>
      <c r="X281" s="19" t="n"/>
      <c r="Y281" s="19" t="n"/>
      <c r="Z281" s="13">
        <f>SUMPRODUCT(N281:Y281,$N$2:$Y$2)*$K281*$L281*$M281</f>
        <v/>
      </c>
      <c r="AA281" s="14">
        <f>SUM(N281:Y281)</f>
        <v/>
      </c>
      <c r="AB281" s="13">
        <f>SUMPRODUCT(N281:Y281,$N$3:$Y$3)*$K281*$L281*$M281</f>
        <v/>
      </c>
      <c r="AC281" s="13">
        <f>SUMPRODUCT(N281:Y281,$N$4:$Y$4)*$K281*$L281*$M281</f>
        <v/>
      </c>
      <c r="AD281" s="15" t="n">
        <v>17.66666666666666</v>
      </c>
      <c r="AE281" s="11" t="n">
        <v>2.445951579284913</v>
      </c>
      <c r="AF281" s="16">
        <f>SUMPRODUCT(N281:Y281,$N$5:$Y$5)*$K281*$L281*$M281</f>
        <v/>
      </c>
      <c r="AG281" s="16">
        <f>SUMPRODUCT(N281:Y281,$N$6:$Y$6)*$K281*$L281*$M281</f>
        <v/>
      </c>
      <c r="AH281" s="20" t="n"/>
    </row>
    <row r="282">
      <c r="A282" s="9" t="n">
        <v>696070</v>
      </c>
      <c r="B282" s="9" t="inlineStr">
        <is>
          <t>Kendry Rojas</t>
        </is>
      </c>
      <c r="C282" s="9" t="inlineStr">
        <is>
          <t>MIN</t>
        </is>
      </c>
      <c r="D282" s="9" t="n">
        <v>24</v>
      </c>
      <c r="E282" s="18" t="inlineStr">
        <is>
          <t>L</t>
        </is>
      </c>
      <c r="F282" s="18" t="n"/>
      <c r="G282" s="9" t="n">
        <v>130</v>
      </c>
      <c r="H282" s="9" t="n">
        <v>130</v>
      </c>
      <c r="I282" s="9" t="inlineStr">
        <is>
          <t>Bullpen Depth Arm</t>
        </is>
      </c>
      <c r="J282" s="18" t="inlineStr">
        <is>
          <t>Opening Day</t>
        </is>
      </c>
      <c r="K282" s="11">
        <f>IFERROR(INDEX(Roles!$B$17:$B$20,MATCH(J282,Roles!$A$17:$A$20,0)),1)</f>
        <v/>
      </c>
      <c r="L282" s="19" t="n">
        <v>1</v>
      </c>
      <c r="M282" s="11" t="n">
        <v>1</v>
      </c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>
        <v>1</v>
      </c>
      <c r="X282" s="19" t="n"/>
      <c r="Y282" s="19" t="n"/>
      <c r="Z282" s="13">
        <f>SUMPRODUCT(N282:Y282,$N$2:$Y$2)*$K282*$L282*$M282</f>
        <v/>
      </c>
      <c r="AA282" s="14">
        <f>SUM(N282:Y282)</f>
        <v/>
      </c>
      <c r="AB282" s="13">
        <f>SUMPRODUCT(N282:Y282,$N$3:$Y$3)*$K282*$L282*$M282</f>
        <v/>
      </c>
      <c r="AC282" s="13">
        <f>SUMPRODUCT(N282:Y282,$N$4:$Y$4)*$K282*$L282*$M282</f>
        <v/>
      </c>
      <c r="AD282" s="15" t="n">
        <v>12.86666666666666</v>
      </c>
      <c r="AE282" s="11" t="n">
        <v>1.625581208914542</v>
      </c>
      <c r="AF282" s="16">
        <f>SUMPRODUCT(N282:Y282,$N$5:$Y$5)*$K282*$L282*$M282</f>
        <v/>
      </c>
      <c r="AG282" s="16">
        <f>SUMPRODUCT(N282:Y282,$N$6:$Y$6)*$K282*$L282*$M282</f>
        <v/>
      </c>
      <c r="AH282" s="20" t="n"/>
    </row>
    <row r="283">
      <c r="A283" s="9" t="n">
        <v>804636</v>
      </c>
      <c r="B283" s="9" t="inlineStr">
        <is>
          <t>Jonah Tong</t>
        </is>
      </c>
      <c r="C283" s="9" t="inlineStr">
        <is>
          <t>NYM</t>
        </is>
      </c>
      <c r="D283" s="9" t="n">
        <v>24</v>
      </c>
      <c r="E283" s="18" t="inlineStr">
        <is>
          <t>R</t>
        </is>
      </c>
      <c r="F283" s="18" t="n"/>
      <c r="G283" s="9" t="n">
        <v>134</v>
      </c>
      <c r="H283" s="9" t="n">
        <v>221</v>
      </c>
      <c r="I283" s="9" t="inlineStr">
        <is>
          <t>End-of-Rotation Starter (SP4-5)</t>
        </is>
      </c>
      <c r="J283" s="18" t="inlineStr">
        <is>
          <t>Opening Day</t>
        </is>
      </c>
      <c r="K283" s="11">
        <f>IFERROR(INDEX(Roles!$B$17:$B$20,MATCH(J283,Roles!$A$17:$A$20,0)),1)</f>
        <v/>
      </c>
      <c r="L283" s="19" t="n">
        <v>1</v>
      </c>
      <c r="M283" s="11" t="n">
        <v>1</v>
      </c>
      <c r="N283" s="19" t="n"/>
      <c r="O283" s="19" t="n"/>
      <c r="P283" s="19" t="n">
        <v>0.5</v>
      </c>
      <c r="Q283" s="19" t="n"/>
      <c r="R283" s="19" t="n">
        <v>0.5</v>
      </c>
      <c r="S283" s="19" t="n"/>
      <c r="T283" s="19" t="n"/>
      <c r="U283" s="19" t="n"/>
      <c r="V283" s="19" t="n"/>
      <c r="W283" s="19" t="n"/>
      <c r="X283" s="19" t="n"/>
      <c r="Y283" s="19" t="n"/>
      <c r="Z283" s="13">
        <f>SUMPRODUCT(N283:Y283,$N$2:$Y$2)*$K283*$L283*$M283</f>
        <v/>
      </c>
      <c r="AA283" s="14">
        <f>SUM(N283:Y283)</f>
        <v/>
      </c>
      <c r="AB283" s="13">
        <f>SUMPRODUCT(N283:Y283,$N$3:$Y$3)*$K283*$L283*$M283</f>
        <v/>
      </c>
      <c r="AC283" s="13">
        <f>SUMPRODUCT(N283:Y283,$N$4:$Y$4)*$K283*$L283*$M283</f>
        <v/>
      </c>
      <c r="AD283" s="15" t="n">
        <v>10.12</v>
      </c>
      <c r="AE283" s="11" t="n">
        <v>4.427718040621267</v>
      </c>
      <c r="AF283" s="16">
        <f>SUMPRODUCT(N283:Y283,$N$5:$Y$5)*$K283*$L283*$M283</f>
        <v/>
      </c>
      <c r="AG283" s="16">
        <f>SUMPRODUCT(N283:Y283,$N$6:$Y$6)*$K283*$L283*$M283</f>
        <v/>
      </c>
      <c r="AH283" s="20" t="n"/>
    </row>
    <row r="284">
      <c r="A284" s="9" t="n">
        <v>656731</v>
      </c>
      <c r="B284" s="9" t="inlineStr">
        <is>
          <t>Tylor Megill</t>
        </is>
      </c>
      <c r="C284" s="9" t="inlineStr">
        <is>
          <t>NYM</t>
        </is>
      </c>
      <c r="D284" s="9" t="n">
        <v>31</v>
      </c>
      <c r="E284" s="18" t="inlineStr">
        <is>
          <t>R</t>
        </is>
      </c>
      <c r="F284" s="18" t="n"/>
      <c r="G284" s="9" t="n">
        <v>305</v>
      </c>
      <c r="H284" s="9" t="n">
        <v>1409</v>
      </c>
      <c r="I284" s="9" t="inlineStr">
        <is>
          <t>Swing Arm / Long Relief</t>
        </is>
      </c>
      <c r="J284" s="18" t="inlineStr">
        <is>
          <t>Opening Day</t>
        </is>
      </c>
      <c r="K284" s="11">
        <f>IFERROR(INDEX(Roles!$B$17:$B$20,MATCH(J284,Roles!$A$17:$A$20,0)),1)</f>
        <v/>
      </c>
      <c r="L284" s="19" t="n">
        <v>1</v>
      </c>
      <c r="M284" s="11" t="n">
        <v>1</v>
      </c>
      <c r="N284" s="19" t="n"/>
      <c r="O284" s="19" t="n"/>
      <c r="P284" s="19" t="n"/>
      <c r="Q284" s="19" t="n"/>
      <c r="R284" s="19" t="n">
        <v>0.5</v>
      </c>
      <c r="S284" s="19" t="n"/>
      <c r="T284" s="19" t="n"/>
      <c r="U284" s="19" t="n"/>
      <c r="V284" s="19" t="n">
        <v>0.5</v>
      </c>
      <c r="W284" s="19" t="n"/>
      <c r="X284" s="19" t="n"/>
      <c r="Y284" s="19" t="n"/>
      <c r="Z284" s="13">
        <f>SUMPRODUCT(N284:Y284,$N$2:$Y$2)*$K284*$L284*$M284</f>
        <v/>
      </c>
      <c r="AA284" s="14">
        <f>SUM(N284:Y284)</f>
        <v/>
      </c>
      <c r="AB284" s="13">
        <f>SUMPRODUCT(N284:Y284,$N$3:$Y$3)*$K284*$L284*$M284</f>
        <v/>
      </c>
      <c r="AC284" s="13">
        <f>SUMPRODUCT(N284:Y284,$N$4:$Y$4)*$K284*$L284*$M284</f>
        <v/>
      </c>
      <c r="AD284" s="15" t="n">
        <v>16.93333333333333</v>
      </c>
      <c r="AE284" s="11" t="n">
        <v>3.294750786554065</v>
      </c>
      <c r="AF284" s="16">
        <f>SUMPRODUCT(N284:Y284,$N$5:$Y$5)*$K284*$L284*$M284</f>
        <v/>
      </c>
      <c r="AG284" s="16">
        <f>SUMPRODUCT(N284:Y284,$N$6:$Y$6)*$K284*$L284*$M284</f>
        <v/>
      </c>
      <c r="AH284" s="20" t="n"/>
    </row>
    <row r="285">
      <c r="A285" s="9" t="n">
        <v>702303</v>
      </c>
      <c r="B285" s="9" t="inlineStr">
        <is>
          <t>Riley Martin</t>
        </is>
      </c>
      <c r="C285" s="9" t="inlineStr">
        <is>
          <t>CHC</t>
        </is>
      </c>
      <c r="D285" s="9" t="n">
        <v>29</v>
      </c>
      <c r="E285" s="18" t="inlineStr">
        <is>
          <t>L</t>
        </is>
      </c>
      <c r="F285" s="18" t="n"/>
      <c r="G285" s="9" t="n">
        <v>31</v>
      </c>
      <c r="H285" s="9" t="n">
        <v>31</v>
      </c>
      <c r="I285" s="9" t="inlineStr">
        <is>
          <t>Bullpen Depth Arm</t>
        </is>
      </c>
      <c r="J285" s="18" t="inlineStr">
        <is>
          <t>Opening Day</t>
        </is>
      </c>
      <c r="K285" s="11">
        <f>IFERROR(INDEX(Roles!$B$17:$B$20,MATCH(J285,Roles!$A$17:$A$20,0)),1)</f>
        <v/>
      </c>
      <c r="L285" s="19" t="n">
        <v>1</v>
      </c>
      <c r="M285" s="11" t="n">
        <v>1</v>
      </c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>
        <v>0.15</v>
      </c>
      <c r="W285" s="19" t="n">
        <v>0.85</v>
      </c>
      <c r="X285" s="19" t="n"/>
      <c r="Y285" s="19" t="n"/>
      <c r="Z285" s="13">
        <f>SUMPRODUCT(N285:Y285,$N$2:$Y$2)*$K285*$L285*$M285</f>
        <v/>
      </c>
      <c r="AA285" s="14">
        <f>SUM(N285:Y285)</f>
        <v/>
      </c>
      <c r="AB285" s="13">
        <f>SUMPRODUCT(N285:Y285,$N$3:$Y$3)*$K285*$L285*$M285</f>
        <v/>
      </c>
      <c r="AC285" s="13">
        <f>SUMPRODUCT(N285:Y285,$N$4:$Y$4)*$K285*$L285*$M285</f>
        <v/>
      </c>
      <c r="AD285" s="15" t="n">
        <v>10.46666666666666</v>
      </c>
      <c r="AE285" s="11" t="n">
        <v>1.14872935706269</v>
      </c>
      <c r="AF285" s="16">
        <f>SUMPRODUCT(N285:Y285,$N$5:$Y$5)*$K285*$L285*$M285</f>
        <v/>
      </c>
      <c r="AG285" s="16">
        <f>SUMPRODUCT(N285:Y285,$N$6:$Y$6)*$K285*$L285*$M285</f>
        <v/>
      </c>
      <c r="AH285" s="20" t="n"/>
    </row>
    <row r="286">
      <c r="A286" s="9" t="n">
        <v>686580</v>
      </c>
      <c r="B286" s="9" t="inlineStr">
        <is>
          <t>Justin Slaten</t>
        </is>
      </c>
      <c r="C286" s="9" t="inlineStr">
        <is>
          <t>BOS</t>
        </is>
      </c>
      <c r="D286" s="9" t="n">
        <v>29</v>
      </c>
      <c r="E286" s="18" t="inlineStr">
        <is>
          <t>R</t>
        </is>
      </c>
      <c r="F286" s="18" t="n"/>
      <c r="G286" s="9" t="n">
        <v>137</v>
      </c>
      <c r="H286" s="9" t="n">
        <v>498</v>
      </c>
      <c r="I286" s="9" t="inlineStr">
        <is>
          <t>Bullpen Depth Arm</t>
        </is>
      </c>
      <c r="J286" s="18" t="inlineStr">
        <is>
          <t>Opening Day</t>
        </is>
      </c>
      <c r="K286" s="11">
        <f>IFERROR(INDEX(Roles!$B$17:$B$20,MATCH(J286,Roles!$A$17:$A$20,0)),1)</f>
        <v/>
      </c>
      <c r="L286" s="19" t="n">
        <v>1</v>
      </c>
      <c r="M286" s="11" t="n">
        <v>1</v>
      </c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>
        <v>0.15</v>
      </c>
      <c r="W286" s="19" t="n">
        <v>0.85</v>
      </c>
      <c r="X286" s="19" t="n"/>
      <c r="Y286" s="19" t="n"/>
      <c r="Z286" s="13">
        <f>SUMPRODUCT(N286:Y286,$N$2:$Y$2)*$K286*$L286*$M286</f>
        <v/>
      </c>
      <c r="AA286" s="14">
        <f>SUM(N286:Y286)</f>
        <v/>
      </c>
      <c r="AB286" s="13">
        <f>SUMPRODUCT(N286:Y286,$N$3:$Y$3)*$K286*$L286*$M286</f>
        <v/>
      </c>
      <c r="AC286" s="13">
        <f>SUMPRODUCT(N286:Y286,$N$4:$Y$4)*$K286*$L286*$M286</f>
        <v/>
      </c>
      <c r="AD286" s="15" t="n">
        <v>28.06666666666667</v>
      </c>
      <c r="AE286" s="11" t="n">
        <v>1.124919833253167</v>
      </c>
      <c r="AF286" s="16">
        <f>SUMPRODUCT(N286:Y286,$N$5:$Y$5)*$K286*$L286*$M286</f>
        <v/>
      </c>
      <c r="AG286" s="16">
        <f>SUMPRODUCT(N286:Y286,$N$6:$Y$6)*$K286*$L286*$M286</f>
        <v/>
      </c>
      <c r="AH286" s="20" t="n"/>
    </row>
    <row r="287">
      <c r="A287" s="9" t="n">
        <v>622075</v>
      </c>
      <c r="B287" s="9" t="inlineStr">
        <is>
          <t>Yency Almonte</t>
        </is>
      </c>
      <c r="C287" s="9" t="inlineStr">
        <is>
          <t>CHC</t>
        </is>
      </c>
      <c r="D287" s="9" t="n">
        <v>33</v>
      </c>
      <c r="E287" s="18" t="inlineStr">
        <is>
          <t>R</t>
        </is>
      </c>
      <c r="F287" s="18" t="n"/>
      <c r="G287" s="9" t="n">
        <v>67</v>
      </c>
      <c r="H287" s="9" t="n">
        <v>410</v>
      </c>
      <c r="I287" s="9" t="inlineStr">
        <is>
          <t>Depth (no MLB IP)</t>
        </is>
      </c>
      <c r="J287" s="18" t="inlineStr">
        <is>
          <t>Opening Day</t>
        </is>
      </c>
      <c r="K287" s="11">
        <f>IFERROR(INDEX(Roles!$B$17:$B$20,MATCH(J287,Roles!$A$17:$A$20,0)),1)</f>
        <v/>
      </c>
      <c r="L287" s="19" t="n">
        <v>1</v>
      </c>
      <c r="M287" s="11" t="n">
        <v>1</v>
      </c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>
        <v>1</v>
      </c>
      <c r="Z287" s="13">
        <f>SUMPRODUCT(N287:Y287,$N$2:$Y$2)*$K287*$L287*$M287</f>
        <v/>
      </c>
      <c r="AA287" s="14">
        <f>SUM(N287:Y287)</f>
        <v/>
      </c>
      <c r="AB287" s="13">
        <f>SUMPRODUCT(N287:Y287,$N$3:$Y$3)*$K287*$L287*$M287</f>
        <v/>
      </c>
      <c r="AC287" s="13">
        <f>SUMPRODUCT(N287:Y287,$N$4:$Y$4)*$K287*$L287*$M287</f>
        <v/>
      </c>
      <c r="AD287" s="15" t="n">
        <v>11.4</v>
      </c>
      <c r="AE287" s="11" t="n">
        <v>0.9813870733478576</v>
      </c>
      <c r="AF287" s="16">
        <f>SUMPRODUCT(N287:Y287,$N$5:$Y$5)*$K287*$L287*$M287</f>
        <v/>
      </c>
      <c r="AG287" s="16">
        <f>SUMPRODUCT(N287:Y287,$N$6:$Y$6)*$K287*$L287*$M287</f>
        <v/>
      </c>
      <c r="AH287" s="20" t="n"/>
    </row>
    <row r="288">
      <c r="A288" s="9" t="n">
        <v>656629</v>
      </c>
      <c r="B288" s="9" t="inlineStr">
        <is>
          <t>Michael Kopech</t>
        </is>
      </c>
      <c r="C288" s="9" t="inlineStr">
        <is>
          <t>LAD</t>
        </is>
      </c>
      <c r="D288" s="9" t="n">
        <v>31</v>
      </c>
      <c r="E288" s="18" t="inlineStr">
        <is>
          <t>R</t>
        </is>
      </c>
      <c r="F288" s="18" t="n"/>
      <c r="G288" s="9" t="n">
        <v>53</v>
      </c>
      <c r="H288" s="9" t="n">
        <v>1417</v>
      </c>
      <c r="I288" s="9" t="inlineStr">
        <is>
          <t>Bullpen Depth Arm</t>
        </is>
      </c>
      <c r="J288" s="18" t="inlineStr">
        <is>
          <t>Opening Day</t>
        </is>
      </c>
      <c r="K288" s="11">
        <f>IFERROR(INDEX(Roles!$B$17:$B$20,MATCH(J288,Roles!$A$17:$A$20,0)),1)</f>
        <v/>
      </c>
      <c r="L288" s="19" t="n">
        <v>1</v>
      </c>
      <c r="M288" s="11" t="n">
        <v>1</v>
      </c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>
        <v>1</v>
      </c>
      <c r="X288" s="19" t="n"/>
      <c r="Y288" s="19" t="n"/>
      <c r="Z288" s="13">
        <f>SUMPRODUCT(N288:Y288,$N$2:$Y$2)*$K288*$L288*$M288</f>
        <v/>
      </c>
      <c r="AA288" s="14">
        <f>SUM(N288:Y288)</f>
        <v/>
      </c>
      <c r="AB288" s="13">
        <f>SUMPRODUCT(N288:Y288,$N$3:$Y$3)*$K288*$L288*$M288</f>
        <v/>
      </c>
      <c r="AC288" s="13">
        <f>SUMPRODUCT(N288:Y288,$N$4:$Y$4)*$K288*$L288*$M288</f>
        <v/>
      </c>
      <c r="AD288" s="15" t="n">
        <v>24.66666666666666</v>
      </c>
      <c r="AE288" s="11" t="n">
        <v>1.116127017881404</v>
      </c>
      <c r="AF288" s="16">
        <f>SUMPRODUCT(N288:Y288,$N$5:$Y$5)*$K288*$L288*$M288</f>
        <v/>
      </c>
      <c r="AG288" s="16">
        <f>SUMPRODUCT(N288:Y288,$N$6:$Y$6)*$K288*$L288*$M288</f>
        <v/>
      </c>
      <c r="AH288" s="20" t="n"/>
    </row>
    <row r="289">
      <c r="A289" s="9" t="n">
        <v>656876</v>
      </c>
      <c r="B289" s="9" t="inlineStr">
        <is>
          <t>Drew Rasmussen</t>
        </is>
      </c>
      <c r="C289" s="9" t="inlineStr">
        <is>
          <t>TB</t>
        </is>
      </c>
      <c r="D289" s="9" t="n">
        <v>31</v>
      </c>
      <c r="E289" s="18" t="inlineStr">
        <is>
          <t>R</t>
        </is>
      </c>
      <c r="F289" s="18" t="n"/>
      <c r="G289" s="9" t="n">
        <v>669</v>
      </c>
      <c r="H289" s="9" t="n">
        <v>2131</v>
      </c>
      <c r="I289" s="9" t="inlineStr">
        <is>
          <t>Ace (SP1)</t>
        </is>
      </c>
      <c r="J289" s="18" t="inlineStr">
        <is>
          <t>Opening Day</t>
        </is>
      </c>
      <c r="K289" s="11">
        <f>IFERROR(INDEX(Roles!$B$17:$B$20,MATCH(J289,Roles!$A$17:$A$20,0)),1)</f>
        <v/>
      </c>
      <c r="L289" s="19" t="n">
        <v>1</v>
      </c>
      <c r="M289" s="11" t="n">
        <v>1</v>
      </c>
      <c r="N289" s="19" t="n">
        <v>0.5</v>
      </c>
      <c r="O289" s="19" t="n">
        <v>0.5</v>
      </c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3">
        <f>SUMPRODUCT(N289:Y289,$N$2:$Y$2)*$K289*$L289*$M289</f>
        <v/>
      </c>
      <c r="AA289" s="14">
        <f>SUM(N289:Y289)</f>
        <v/>
      </c>
      <c r="AB289" s="13">
        <f>SUMPRODUCT(N289:Y289,$N$3:$Y$3)*$K289*$L289*$M289</f>
        <v/>
      </c>
      <c r="AC289" s="13">
        <f>SUMPRODUCT(N289:Y289,$N$4:$Y$4)*$K289*$L289*$M289</f>
        <v/>
      </c>
      <c r="AD289" s="15" t="n">
        <v>27</v>
      </c>
      <c r="AE289" s="11" t="n">
        <v>5.421957671957672</v>
      </c>
      <c r="AF289" s="16">
        <f>SUMPRODUCT(N289:Y289,$N$5:$Y$5)*$K289*$L289*$M289</f>
        <v/>
      </c>
      <c r="AG289" s="16">
        <f>SUMPRODUCT(N289:Y289,$N$6:$Y$6)*$K289*$L289*$M289</f>
        <v/>
      </c>
      <c r="AH289" s="20" t="n"/>
    </row>
    <row r="290">
      <c r="A290" s="9" t="n">
        <v>571710</v>
      </c>
      <c r="B290" s="9" t="inlineStr">
        <is>
          <t>Mychal Givens</t>
        </is>
      </c>
      <c r="C290" s="9" t="inlineStr">
        <is>
          <t>NYM</t>
        </is>
      </c>
      <c r="D290" s="9" t="n">
        <v>37</v>
      </c>
      <c r="E290" s="18" t="inlineStr">
        <is>
          <t>R</t>
        </is>
      </c>
      <c r="F290" s="18" t="n"/>
      <c r="G290" s="9" t="n">
        <v>22</v>
      </c>
      <c r="H290" s="9" t="n">
        <v>282</v>
      </c>
      <c r="I290" s="9" t="inlineStr">
        <is>
          <t>Depth (no MLB IP)</t>
        </is>
      </c>
      <c r="J290" s="18" t="inlineStr">
        <is>
          <t>Opening Day</t>
        </is>
      </c>
      <c r="K290" s="11">
        <f>IFERROR(INDEX(Roles!$B$17:$B$20,MATCH(J290,Roles!$A$17:$A$20,0)),1)</f>
        <v/>
      </c>
      <c r="L290" s="19" t="n">
        <v>1</v>
      </c>
      <c r="M290" s="11" t="n">
        <v>1</v>
      </c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>
        <v>1</v>
      </c>
      <c r="Z290" s="13">
        <f>SUMPRODUCT(N290:Y290,$N$2:$Y$2)*$K290*$L290*$M290</f>
        <v/>
      </c>
      <c r="AA290" s="14">
        <f>SUM(N290:Y290)</f>
        <v/>
      </c>
      <c r="AB290" s="13">
        <f>SUMPRODUCT(N290:Y290,$N$3:$Y$3)*$K290*$L290*$M290</f>
        <v/>
      </c>
      <c r="AC290" s="13">
        <f>SUMPRODUCT(N290:Y290,$N$4:$Y$4)*$K290*$L290*$M290</f>
        <v/>
      </c>
      <c r="AD290" s="15" t="n">
        <v>3</v>
      </c>
      <c r="AE290" s="11" t="n">
        <v>1.011296296296296</v>
      </c>
      <c r="AF290" s="16">
        <f>SUMPRODUCT(N290:Y290,$N$5:$Y$5)*$K290*$L290*$M290</f>
        <v/>
      </c>
      <c r="AG290" s="16">
        <f>SUMPRODUCT(N290:Y290,$N$6:$Y$6)*$K290*$L290*$M290</f>
        <v/>
      </c>
      <c r="AH290" s="20" t="n"/>
    </row>
    <row r="291">
      <c r="A291" s="9" t="n">
        <v>686751</v>
      </c>
      <c r="B291" s="9" t="inlineStr">
        <is>
          <t>Seth Johnson</t>
        </is>
      </c>
      <c r="C291" s="9" t="inlineStr">
        <is>
          <t>OAK</t>
        </is>
      </c>
      <c r="D291" s="9" t="n">
        <v>28</v>
      </c>
      <c r="E291" s="18" t="inlineStr">
        <is>
          <t>R</t>
        </is>
      </c>
      <c r="F291" s="18" t="n"/>
      <c r="G291" s="9" t="n">
        <v>158</v>
      </c>
      <c r="H291" s="9" t="n">
        <v>230</v>
      </c>
      <c r="I291" s="9" t="inlineStr">
        <is>
          <t>Bullpen Depth Arm</t>
        </is>
      </c>
      <c r="J291" s="18" t="inlineStr">
        <is>
          <t>Opening Day</t>
        </is>
      </c>
      <c r="K291" s="11">
        <f>IFERROR(INDEX(Roles!$B$17:$B$20,MATCH(J291,Roles!$A$17:$A$20,0)),1)</f>
        <v/>
      </c>
      <c r="L291" s="19" t="n">
        <v>1</v>
      </c>
      <c r="M291" s="11" t="n">
        <v>1</v>
      </c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>
        <v>0.15</v>
      </c>
      <c r="W291" s="19" t="n">
        <v>0.85</v>
      </c>
      <c r="X291" s="19" t="n"/>
      <c r="Y291" s="19" t="n"/>
      <c r="Z291" s="13">
        <f>SUMPRODUCT(N291:Y291,$N$2:$Y$2)*$K291*$L291*$M291</f>
        <v/>
      </c>
      <c r="AA291" s="14">
        <f>SUM(N291:Y291)</f>
        <v/>
      </c>
      <c r="AB291" s="13">
        <f>SUMPRODUCT(N291:Y291,$N$3:$Y$3)*$K291*$L291*$M291</f>
        <v/>
      </c>
      <c r="AC291" s="13">
        <f>SUMPRODUCT(N291:Y291,$N$4:$Y$4)*$K291*$L291*$M291</f>
        <v/>
      </c>
      <c r="AD291" s="15" t="n">
        <v>16.16666666666666</v>
      </c>
      <c r="AE291" s="11" t="n">
        <v>1.209972743306076</v>
      </c>
      <c r="AF291" s="16">
        <f>SUMPRODUCT(N291:Y291,$N$5:$Y$5)*$K291*$L291*$M291</f>
        <v/>
      </c>
      <c r="AG291" s="16">
        <f>SUMPRODUCT(N291:Y291,$N$6:$Y$6)*$K291*$L291*$M291</f>
        <v/>
      </c>
      <c r="AH291" s="20" t="n"/>
    </row>
    <row r="292">
      <c r="A292" s="9" t="n">
        <v>542914</v>
      </c>
      <c r="B292" s="9" t="inlineStr">
        <is>
          <t>Anthony Bass</t>
        </is>
      </c>
      <c r="C292" s="9" t="inlineStr">
        <is>
          <t>TOR</t>
        </is>
      </c>
      <c r="D292" s="9" t="n">
        <v>39</v>
      </c>
      <c r="E292" s="18" t="inlineStr">
        <is>
          <t>R</t>
        </is>
      </c>
      <c r="F292" s="18" t="n"/>
      <c r="G292" s="9" t="n">
        <v>88</v>
      </c>
      <c r="H292" s="9" t="n">
        <v>363</v>
      </c>
      <c r="I292" s="9" t="inlineStr">
        <is>
          <t>Depth (no MLB IP)</t>
        </is>
      </c>
      <c r="J292" s="18" t="inlineStr">
        <is>
          <t>Opening Day</t>
        </is>
      </c>
      <c r="K292" s="11">
        <f>IFERROR(INDEX(Roles!$B$17:$B$20,MATCH(J292,Roles!$A$17:$A$20,0)),1)</f>
        <v/>
      </c>
      <c r="L292" s="19" t="n">
        <v>1</v>
      </c>
      <c r="M292" s="11" t="n">
        <v>1</v>
      </c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>
        <v>1</v>
      </c>
      <c r="Z292" s="13">
        <f>SUMPRODUCT(N292:Y292,$N$2:$Y$2)*$K292*$L292*$M292</f>
        <v/>
      </c>
      <c r="AA292" s="14">
        <f>SUM(N292:Y292)</f>
        <v/>
      </c>
      <c r="AB292" s="13">
        <f>SUMPRODUCT(N292:Y292,$N$3:$Y$3)*$K292*$L292*$M292</f>
        <v/>
      </c>
      <c r="AC292" s="13">
        <f>SUMPRODUCT(N292:Y292,$N$4:$Y$4)*$K292*$L292*$M292</f>
        <v/>
      </c>
      <c r="AD292" s="15" t="n">
        <v>3</v>
      </c>
      <c r="AE292" s="11" t="n">
        <v>1.011296296296296</v>
      </c>
      <c r="AF292" s="16">
        <f>SUMPRODUCT(N292:Y292,$N$5:$Y$5)*$K292*$L292*$M292</f>
        <v/>
      </c>
      <c r="AG292" s="16">
        <f>SUMPRODUCT(N292:Y292,$N$6:$Y$6)*$K292*$L292*$M292</f>
        <v/>
      </c>
      <c r="AH292" s="20" t="n"/>
    </row>
    <row r="293">
      <c r="A293" s="9" t="n">
        <v>805123</v>
      </c>
      <c r="B293" s="9" t="inlineStr">
        <is>
          <t>AJ Blubaugh</t>
        </is>
      </c>
      <c r="C293" s="9" t="inlineStr">
        <is>
          <t>HOU</t>
        </is>
      </c>
      <c r="D293" s="9" t="n">
        <v>26</v>
      </c>
      <c r="E293" s="18" t="inlineStr">
        <is>
          <t>R</t>
        </is>
      </c>
      <c r="F293" s="18" t="n"/>
      <c r="G293" s="9" t="n">
        <v>401</v>
      </c>
      <c r="H293" s="9" t="n">
        <v>525</v>
      </c>
      <c r="I293" s="9" t="inlineStr">
        <is>
          <t>Swing Arm / Long Relief</t>
        </is>
      </c>
      <c r="J293" s="18" t="inlineStr">
        <is>
          <t>Opening Day</t>
        </is>
      </c>
      <c r="K293" s="11">
        <f>IFERROR(INDEX(Roles!$B$17:$B$20,MATCH(J293,Roles!$A$17:$A$20,0)),1)</f>
        <v/>
      </c>
      <c r="L293" s="19" t="n">
        <v>1</v>
      </c>
      <c r="M293" s="11" t="n">
        <v>1</v>
      </c>
      <c r="N293" s="19" t="n"/>
      <c r="O293" s="19" t="n"/>
      <c r="P293" s="19" t="n"/>
      <c r="Q293" s="19" t="n"/>
      <c r="R293" s="19" t="n">
        <v>0.6</v>
      </c>
      <c r="S293" s="19" t="n"/>
      <c r="T293" s="19" t="n"/>
      <c r="U293" s="19" t="n"/>
      <c r="V293" s="19" t="n">
        <v>0.4</v>
      </c>
      <c r="W293" s="19" t="n"/>
      <c r="X293" s="19" t="n"/>
      <c r="Y293" s="19" t="n"/>
      <c r="Z293" s="13">
        <f>SUMPRODUCT(N293:Y293,$N$2:$Y$2)*$K293*$L293*$M293</f>
        <v/>
      </c>
      <c r="AA293" s="14">
        <f>SUM(N293:Y293)</f>
        <v/>
      </c>
      <c r="AB293" s="13">
        <f>SUMPRODUCT(N293:Y293,$N$3:$Y$3)*$K293*$L293*$M293</f>
        <v/>
      </c>
      <c r="AC293" s="13">
        <f>SUMPRODUCT(N293:Y293,$N$4:$Y$4)*$K293*$L293*$M293</f>
        <v/>
      </c>
      <c r="AD293" s="15" t="n">
        <v>33.81333333333333</v>
      </c>
      <c r="AE293" s="11" t="n">
        <v>2.216774764652809</v>
      </c>
      <c r="AF293" s="16">
        <f>SUMPRODUCT(N293:Y293,$N$5:$Y$5)*$K293*$L293*$M293</f>
        <v/>
      </c>
      <c r="AG293" s="16">
        <f>SUMPRODUCT(N293:Y293,$N$6:$Y$6)*$K293*$L293*$M293</f>
        <v/>
      </c>
      <c r="AH293" s="20" t="n"/>
    </row>
    <row r="294">
      <c r="A294" s="9" t="n">
        <v>542888</v>
      </c>
      <c r="B294" s="9" t="inlineStr">
        <is>
          <t>Shawn Armstrong</t>
        </is>
      </c>
      <c r="C294" s="9" t="inlineStr">
        <is>
          <t>CLE</t>
        </is>
      </c>
      <c r="D294" s="9" t="n">
        <v>36</v>
      </c>
      <c r="E294" s="18" t="inlineStr">
        <is>
          <t>R</t>
        </is>
      </c>
      <c r="F294" s="18" t="n"/>
      <c r="G294" s="9" t="n">
        <v>154</v>
      </c>
      <c r="H294" s="9" t="n">
        <v>1209</v>
      </c>
      <c r="I294" s="9" t="inlineStr">
        <is>
          <t>Late Inning RP (Setup)</t>
        </is>
      </c>
      <c r="J294" s="18" t="inlineStr">
        <is>
          <t>Opening Day</t>
        </is>
      </c>
      <c r="K294" s="11">
        <f>IFERROR(INDEX(Roles!$B$17:$B$20,MATCH(J294,Roles!$A$17:$A$20,0)),1)</f>
        <v/>
      </c>
      <c r="L294" s="19" t="n">
        <v>1</v>
      </c>
      <c r="M294" s="11" t="n">
        <v>1</v>
      </c>
      <c r="N294" s="19" t="n"/>
      <c r="O294" s="19" t="n"/>
      <c r="P294" s="19" t="n"/>
      <c r="Q294" s="19" t="n"/>
      <c r="R294" s="19" t="n"/>
      <c r="S294" s="19" t="n"/>
      <c r="T294" s="19" t="n"/>
      <c r="U294" s="19" t="n">
        <v>0.6</v>
      </c>
      <c r="V294" s="19" t="n">
        <v>0.4</v>
      </c>
      <c r="W294" s="19" t="n"/>
      <c r="X294" s="19" t="n"/>
      <c r="Y294" s="19" t="n"/>
      <c r="Z294" s="13">
        <f>SUMPRODUCT(N294:Y294,$N$2:$Y$2)*$K294*$L294*$M294</f>
        <v/>
      </c>
      <c r="AA294" s="14">
        <f>SUM(N294:Y294)</f>
        <v/>
      </c>
      <c r="AB294" s="13">
        <f>SUMPRODUCT(N294:Y294,$N$3:$Y$3)*$K294*$L294*$M294</f>
        <v/>
      </c>
      <c r="AC294" s="13">
        <f>SUMPRODUCT(N294:Y294,$N$4:$Y$4)*$K294*$L294*$M294</f>
        <v/>
      </c>
      <c r="AD294" s="15" t="n">
        <v>51.4</v>
      </c>
      <c r="AE294" s="11" t="n">
        <v>0.991675293305728</v>
      </c>
      <c r="AF294" s="16">
        <f>SUMPRODUCT(N294:Y294,$N$5:$Y$5)*$K294*$L294*$M294</f>
        <v/>
      </c>
      <c r="AG294" s="16">
        <f>SUMPRODUCT(N294:Y294,$N$6:$Y$6)*$K294*$L294*$M294</f>
        <v/>
      </c>
      <c r="AH294" s="20" t="n"/>
    </row>
    <row r="295">
      <c r="A295" s="9" t="n">
        <v>685464</v>
      </c>
      <c r="B295" s="9" t="inlineStr">
        <is>
          <t>Cade Winquest</t>
        </is>
      </c>
      <c r="C295" s="9" t="inlineStr">
        <is>
          <t>STL</t>
        </is>
      </c>
      <c r="D295" s="9" t="n">
        <v>27</v>
      </c>
      <c r="E295" s="18" t="inlineStr">
        <is>
          <t>R</t>
        </is>
      </c>
      <c r="F295" s="18" t="n"/>
      <c r="G295" s="9" t="n">
        <v>57</v>
      </c>
      <c r="H295" s="9" t="n">
        <v>57</v>
      </c>
      <c r="I295" s="9" t="inlineStr">
        <is>
          <t>Middle Relief</t>
        </is>
      </c>
      <c r="J295" s="18" t="inlineStr">
        <is>
          <t>Opening Day</t>
        </is>
      </c>
      <c r="K295" s="11">
        <f>IFERROR(INDEX(Roles!$B$17:$B$20,MATCH(J295,Roles!$A$17:$A$20,0)),1)</f>
        <v/>
      </c>
      <c r="L295" s="19" t="n">
        <v>1</v>
      </c>
      <c r="M295" s="11" t="n">
        <v>1</v>
      </c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>
        <v>0.85</v>
      </c>
      <c r="W295" s="19" t="n">
        <v>0.15</v>
      </c>
      <c r="X295" s="19" t="n"/>
      <c r="Y295" s="19" t="n"/>
      <c r="Z295" s="13">
        <f>SUMPRODUCT(N295:Y295,$N$2:$Y$2)*$K295*$L295*$M295</f>
        <v/>
      </c>
      <c r="AA295" s="14">
        <f>SUM(N295:Y295)</f>
        <v/>
      </c>
      <c r="AB295" s="13">
        <f>SUMPRODUCT(N295:Y295,$N$3:$Y$3)*$K295*$L295*$M295</f>
        <v/>
      </c>
      <c r="AC295" s="13">
        <f>SUMPRODUCT(N295:Y295,$N$4:$Y$4)*$K295*$L295*$M295</f>
        <v/>
      </c>
      <c r="AD295" s="15" t="n">
        <v>21.33333333333333</v>
      </c>
      <c r="AE295" s="11" t="n">
        <v>1.103285178916828</v>
      </c>
      <c r="AF295" s="16">
        <f>SUMPRODUCT(N295:Y295,$N$5:$Y$5)*$K295*$L295*$M295</f>
        <v/>
      </c>
      <c r="AG295" s="16">
        <f>SUMPRODUCT(N295:Y295,$N$6:$Y$6)*$K295*$L295*$M295</f>
        <v/>
      </c>
      <c r="AH295" s="20" t="n"/>
    </row>
    <row r="296">
      <c r="A296" s="9" t="n">
        <v>682274</v>
      </c>
      <c r="B296" s="9" t="inlineStr">
        <is>
          <t>Yaramil Hiraldo</t>
        </is>
      </c>
      <c r="C296" s="9" t="inlineStr">
        <is>
          <t>BAL</t>
        </is>
      </c>
      <c r="D296" s="9" t="n">
        <v>31</v>
      </c>
      <c r="E296" s="18" t="inlineStr">
        <is>
          <t>R</t>
        </is>
      </c>
      <c r="F296" s="18" t="n"/>
      <c r="G296" s="9" t="n">
        <v>48</v>
      </c>
      <c r="H296" s="9" t="n">
        <v>132</v>
      </c>
      <c r="I296" s="9" t="inlineStr">
        <is>
          <t>Bullpen Depth Arm</t>
        </is>
      </c>
      <c r="J296" s="18" t="inlineStr">
        <is>
          <t>Opening Day</t>
        </is>
      </c>
      <c r="K296" s="11">
        <f>IFERROR(INDEX(Roles!$B$17:$B$20,MATCH(J296,Roles!$A$17:$A$20,0)),1)</f>
        <v/>
      </c>
      <c r="L296" s="19" t="n">
        <v>1</v>
      </c>
      <c r="M296" s="11" t="n">
        <v>1</v>
      </c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>
        <v>1</v>
      </c>
      <c r="X296" s="19" t="n"/>
      <c r="Y296" s="19" t="n"/>
      <c r="Z296" s="13">
        <f>SUMPRODUCT(N296:Y296,$N$2:$Y$2)*$K296*$L296*$M296</f>
        <v/>
      </c>
      <c r="AA296" s="14">
        <f>SUM(N296:Y296)</f>
        <v/>
      </c>
      <c r="AB296" s="13">
        <f>SUMPRODUCT(N296:Y296,$N$3:$Y$3)*$K296*$L296*$M296</f>
        <v/>
      </c>
      <c r="AC296" s="13">
        <f>SUMPRODUCT(N296:Y296,$N$4:$Y$4)*$K296*$L296*$M296</f>
        <v/>
      </c>
      <c r="AD296" s="15" t="n">
        <v>12.86666666666666</v>
      </c>
      <c r="AE296" s="11" t="n">
        <v>1.175581208914542</v>
      </c>
      <c r="AF296" s="16">
        <f>SUMPRODUCT(N296:Y296,$N$5:$Y$5)*$K296*$L296*$M296</f>
        <v/>
      </c>
      <c r="AG296" s="16">
        <f>SUMPRODUCT(N296:Y296,$N$6:$Y$6)*$K296*$L296*$M296</f>
        <v/>
      </c>
      <c r="AH296" s="20" t="n"/>
    </row>
    <row r="297">
      <c r="A297" s="9" t="n">
        <v>659275</v>
      </c>
      <c r="B297" s="9" t="inlineStr">
        <is>
          <t>Dinelson Lamet</t>
        </is>
      </c>
      <c r="C297" s="9" t="inlineStr">
        <is>
          <t>BOS</t>
        </is>
      </c>
      <c r="D297" s="9" t="n">
        <v>34</v>
      </c>
      <c r="E297" s="18" t="inlineStr">
        <is>
          <t>R</t>
        </is>
      </c>
      <c r="F297" s="18" t="n"/>
      <c r="G297" s="9" t="n">
        <v>18</v>
      </c>
      <c r="H297" s="9" t="n">
        <v>312</v>
      </c>
      <c r="I297" s="9" t="inlineStr">
        <is>
          <t>Depth (no MLB IP)</t>
        </is>
      </c>
      <c r="J297" s="18" t="inlineStr">
        <is>
          <t>Opening Day</t>
        </is>
      </c>
      <c r="K297" s="11">
        <f>IFERROR(INDEX(Roles!$B$17:$B$20,MATCH(J297,Roles!$A$17:$A$20,0)),1)</f>
        <v/>
      </c>
      <c r="L297" s="19" t="n">
        <v>1</v>
      </c>
      <c r="M297" s="11" t="n">
        <v>1</v>
      </c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>
        <v>1</v>
      </c>
      <c r="Z297" s="13">
        <f>SUMPRODUCT(N297:Y297,$N$2:$Y$2)*$K297*$L297*$M297</f>
        <v/>
      </c>
      <c r="AA297" s="14">
        <f>SUM(N297:Y297)</f>
        <v/>
      </c>
      <c r="AB297" s="13">
        <f>SUMPRODUCT(N297:Y297,$N$3:$Y$3)*$K297*$L297*$M297</f>
        <v/>
      </c>
      <c r="AC297" s="13">
        <f>SUMPRODUCT(N297:Y297,$N$4:$Y$4)*$K297*$L297*$M297</f>
        <v/>
      </c>
      <c r="AD297" s="15" t="n">
        <v>3</v>
      </c>
      <c r="AE297" s="11" t="n">
        <v>1.155679012345679</v>
      </c>
      <c r="AF297" s="16">
        <f>SUMPRODUCT(N297:Y297,$N$5:$Y$5)*$K297*$L297*$M297</f>
        <v/>
      </c>
      <c r="AG297" s="16">
        <f>SUMPRODUCT(N297:Y297,$N$6:$Y$6)*$K297*$L297*$M297</f>
        <v/>
      </c>
      <c r="AH297" s="20" t="n"/>
    </row>
    <row r="298">
      <c r="A298" s="9" t="n">
        <v>657097</v>
      </c>
      <c r="B298" s="9" t="inlineStr">
        <is>
          <t>Jacob Webb</t>
        </is>
      </c>
      <c r="C298" s="9" t="inlineStr">
        <is>
          <t>CHC</t>
        </is>
      </c>
      <c r="D298" s="9" t="n">
        <v>33</v>
      </c>
      <c r="E298" s="18" t="inlineStr">
        <is>
          <t>R</t>
        </is>
      </c>
      <c r="F298" s="18" t="n"/>
      <c r="G298" s="9" t="n">
        <v>284</v>
      </c>
      <c r="H298" s="9" t="n">
        <v>1020</v>
      </c>
      <c r="I298" s="9" t="inlineStr">
        <is>
          <t>Late Inning RP (Setup)</t>
        </is>
      </c>
      <c r="J298" s="18" t="inlineStr">
        <is>
          <t>Opening Day</t>
        </is>
      </c>
      <c r="K298" s="11">
        <f>IFERROR(INDEX(Roles!$B$17:$B$20,MATCH(J298,Roles!$A$17:$A$20,0)),1)</f>
        <v/>
      </c>
      <c r="L298" s="19" t="n">
        <v>1</v>
      </c>
      <c r="M298" s="11" t="n">
        <v>1</v>
      </c>
      <c r="N298" s="19" t="n"/>
      <c r="O298" s="19" t="n"/>
      <c r="P298" s="19" t="n"/>
      <c r="Q298" s="19" t="n"/>
      <c r="R298" s="19" t="n"/>
      <c r="S298" s="19" t="n"/>
      <c r="T298" s="19" t="n"/>
      <c r="U298" s="19" t="n">
        <v>0.85</v>
      </c>
      <c r="V298" s="19" t="n">
        <v>0.15</v>
      </c>
      <c r="W298" s="19" t="n"/>
      <c r="X298" s="19" t="n"/>
      <c r="Y298" s="19" t="n"/>
      <c r="Z298" s="13">
        <f>SUMPRODUCT(N298:Y298,$N$2:$Y$2)*$K298*$L298*$M298</f>
        <v/>
      </c>
      <c r="AA298" s="14">
        <f>SUM(N298:Y298)</f>
        <v/>
      </c>
      <c r="AB298" s="13">
        <f>SUMPRODUCT(N298:Y298,$N$3:$Y$3)*$K298*$L298*$M298</f>
        <v/>
      </c>
      <c r="AC298" s="13">
        <f>SUMPRODUCT(N298:Y298,$N$4:$Y$4)*$K298*$L298*$M298</f>
        <v/>
      </c>
      <c r="AD298" s="15" t="n">
        <v>56.6</v>
      </c>
      <c r="AE298" s="11" t="n">
        <v>1.00701871657754</v>
      </c>
      <c r="AF298" s="16">
        <f>SUMPRODUCT(N298:Y298,$N$5:$Y$5)*$K298*$L298*$M298</f>
        <v/>
      </c>
      <c r="AG298" s="16">
        <f>SUMPRODUCT(N298:Y298,$N$6:$Y$6)*$K298*$L298*$M298</f>
        <v/>
      </c>
      <c r="AH298" s="20" t="n"/>
    </row>
    <row r="299">
      <c r="A299" s="9" t="n">
        <v>670329</v>
      </c>
      <c r="B299" s="9" t="inlineStr">
        <is>
          <t>Rico Garcia</t>
        </is>
      </c>
      <c r="C299" s="9" t="inlineStr">
        <is>
          <t>BAL</t>
        </is>
      </c>
      <c r="D299" s="9" t="n">
        <v>33</v>
      </c>
      <c r="E299" s="18" t="inlineStr">
        <is>
          <t>R</t>
        </is>
      </c>
      <c r="F299" s="18" t="n"/>
      <c r="G299" s="9" t="n">
        <v>265</v>
      </c>
      <c r="H299" s="9" t="n">
        <v>502</v>
      </c>
      <c r="I299" s="9" t="inlineStr">
        <is>
          <t>Closer</t>
        </is>
      </c>
      <c r="J299" s="18" t="inlineStr">
        <is>
          <t>Opening Day</t>
        </is>
      </c>
      <c r="K299" s="11">
        <f>IFERROR(INDEX(Roles!$B$17:$B$20,MATCH(J299,Roles!$A$17:$A$20,0)),1)</f>
        <v/>
      </c>
      <c r="L299" s="19" t="n">
        <v>1</v>
      </c>
      <c r="M299" s="11" t="n">
        <v>1</v>
      </c>
      <c r="N299" s="19" t="n"/>
      <c r="O299" s="19" t="n"/>
      <c r="P299" s="19" t="n"/>
      <c r="Q299" s="19" t="n"/>
      <c r="R299" s="19" t="n"/>
      <c r="S299" s="19" t="n"/>
      <c r="T299" s="19" t="n">
        <v>0.85</v>
      </c>
      <c r="U299" s="19" t="n">
        <v>0.15</v>
      </c>
      <c r="V299" s="19" t="n"/>
      <c r="W299" s="19" t="n"/>
      <c r="X299" s="19" t="n"/>
      <c r="Y299" s="19" t="n"/>
      <c r="Z299" s="13">
        <f>SUMPRODUCT(N299:Y299,$N$2:$Y$2)*$K299*$L299*$M299</f>
        <v/>
      </c>
      <c r="AA299" s="14">
        <f>SUM(N299:Y299)</f>
        <v/>
      </c>
      <c r="AB299" s="13">
        <f>SUMPRODUCT(N299:Y299,$N$3:$Y$3)*$K299*$L299*$M299</f>
        <v/>
      </c>
      <c r="AC299" s="13">
        <f>SUMPRODUCT(N299:Y299,$N$4:$Y$4)*$K299*$L299*$M299</f>
        <v/>
      </c>
      <c r="AD299" s="15" t="n">
        <v>54.12</v>
      </c>
      <c r="AE299" s="11" t="n">
        <v>0.9867921282142906</v>
      </c>
      <c r="AF299" s="16">
        <f>SUMPRODUCT(N299:Y299,$N$5:$Y$5)*$K299*$L299*$M299</f>
        <v/>
      </c>
      <c r="AG299" s="16">
        <f>SUMPRODUCT(N299:Y299,$N$6:$Y$6)*$K299*$L299*$M299</f>
        <v/>
      </c>
      <c r="AH299" s="20" t="n"/>
    </row>
    <row r="300">
      <c r="A300" s="9" t="n">
        <v>702056</v>
      </c>
      <c r="B300" s="9" t="inlineStr">
        <is>
          <t>Trey Yesavage</t>
        </is>
      </c>
      <c r="C300" s="9" t="inlineStr">
        <is>
          <t>TOR</t>
        </is>
      </c>
      <c r="D300" s="9" t="n">
        <v>23</v>
      </c>
      <c r="E300" s="18" t="inlineStr">
        <is>
          <t>R</t>
        </is>
      </c>
      <c r="F300" s="18" t="n"/>
      <c r="G300" s="9" t="n">
        <v>401</v>
      </c>
      <c r="H300" s="9" t="n">
        <v>463</v>
      </c>
      <c r="I300" s="9" t="inlineStr">
        <is>
          <t>Mid-Rotation Starter (SP2-3)</t>
        </is>
      </c>
      <c r="J300" s="18" t="inlineStr">
        <is>
          <t>Opening Day</t>
        </is>
      </c>
      <c r="K300" s="11">
        <f>IFERROR(INDEX(Roles!$B$17:$B$20,MATCH(J300,Roles!$A$17:$A$20,0)),1)</f>
        <v/>
      </c>
      <c r="L300" s="19" t="n">
        <v>1</v>
      </c>
      <c r="M300" s="11" t="n">
        <v>1</v>
      </c>
      <c r="N300" s="19" t="n"/>
      <c r="O300" s="19" t="n">
        <v>0.5</v>
      </c>
      <c r="P300" s="19" t="n">
        <v>0.5</v>
      </c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3">
        <f>SUMPRODUCT(N300:Y300,$N$2:$Y$2)*$K300*$L300*$M300</f>
        <v/>
      </c>
      <c r="AA300" s="14">
        <f>SUM(N300:Y300)</f>
        <v/>
      </c>
      <c r="AB300" s="13">
        <f>SUMPRODUCT(N300:Y300,$N$3:$Y$3)*$K300*$L300*$M300</f>
        <v/>
      </c>
      <c r="AC300" s="13">
        <f>SUMPRODUCT(N300:Y300,$N$4:$Y$4)*$K300*$L300*$M300</f>
        <v/>
      </c>
      <c r="AD300" s="15" t="n">
        <v>18.32</v>
      </c>
      <c r="AE300" s="11" t="n">
        <v>5.090746171391334</v>
      </c>
      <c r="AF300" s="16">
        <f>SUMPRODUCT(N300:Y300,$N$5:$Y$5)*$K300*$L300*$M300</f>
        <v/>
      </c>
      <c r="AG300" s="16">
        <f>SUMPRODUCT(N300:Y300,$N$6:$Y$6)*$K300*$L300*$M300</f>
        <v/>
      </c>
      <c r="AH300" s="20" t="n"/>
    </row>
    <row r="301">
      <c r="A301" s="9" t="n">
        <v>676534</v>
      </c>
      <c r="B301" s="9" t="inlineStr">
        <is>
          <t>Calvin Faucher</t>
        </is>
      </c>
      <c r="C301" s="9" t="inlineStr">
        <is>
          <t>MIA</t>
        </is>
      </c>
      <c r="D301" s="9" t="n">
        <v>31</v>
      </c>
      <c r="E301" s="18" t="inlineStr">
        <is>
          <t>R</t>
        </is>
      </c>
      <c r="F301" s="18" t="n"/>
      <c r="G301" s="9" t="n">
        <v>294</v>
      </c>
      <c r="H301" s="9" t="n">
        <v>1005</v>
      </c>
      <c r="I301" s="9" t="inlineStr">
        <is>
          <t>Closer</t>
        </is>
      </c>
      <c r="J301" s="18" t="inlineStr">
        <is>
          <t>Opening Day</t>
        </is>
      </c>
      <c r="K301" s="11">
        <f>IFERROR(INDEX(Roles!$B$17:$B$20,MATCH(J301,Roles!$A$17:$A$20,0)),1)</f>
        <v/>
      </c>
      <c r="L301" s="19" t="n">
        <v>1</v>
      </c>
      <c r="M301" s="11" t="n">
        <v>1</v>
      </c>
      <c r="N301" s="19" t="n"/>
      <c r="O301" s="19" t="n"/>
      <c r="P301" s="19" t="n"/>
      <c r="Q301" s="19" t="n"/>
      <c r="R301" s="19" t="n"/>
      <c r="S301" s="19" t="n"/>
      <c r="T301" s="19" t="n">
        <v>0.85</v>
      </c>
      <c r="U301" s="19" t="n">
        <v>0.15</v>
      </c>
      <c r="V301" s="19" t="n"/>
      <c r="W301" s="19" t="n"/>
      <c r="X301" s="19" t="n"/>
      <c r="Y301" s="19" t="n"/>
      <c r="Z301" s="13">
        <f>SUMPRODUCT(N301:Y301,$N$2:$Y$2)*$K301*$L301*$M301</f>
        <v/>
      </c>
      <c r="AA301" s="14">
        <f>SUM(N301:Y301)</f>
        <v/>
      </c>
      <c r="AB301" s="13">
        <f>SUMPRODUCT(N301:Y301,$N$3:$Y$3)*$K301*$L301*$M301</f>
        <v/>
      </c>
      <c r="AC301" s="13">
        <f>SUMPRODUCT(N301:Y301,$N$4:$Y$4)*$K301*$L301*$M301</f>
        <v/>
      </c>
      <c r="AD301" s="15" t="n">
        <v>59.16</v>
      </c>
      <c r="AE301" s="11" t="n">
        <v>0.9933800697845644</v>
      </c>
      <c r="AF301" s="16">
        <f>SUMPRODUCT(N301:Y301,$N$5:$Y$5)*$K301*$L301*$M301</f>
        <v/>
      </c>
      <c r="AG301" s="16">
        <f>SUMPRODUCT(N301:Y301,$N$6:$Y$6)*$K301*$L301*$M301</f>
        <v/>
      </c>
      <c r="AH301" s="20" t="n"/>
    </row>
    <row r="302">
      <c r="A302" s="9" t="n">
        <v>647336</v>
      </c>
      <c r="B302" s="9" t="inlineStr">
        <is>
          <t>Michael Soroka</t>
        </is>
      </c>
      <c r="C302" s="9" t="inlineStr">
        <is>
          <t>ARI</t>
        </is>
      </c>
      <c r="D302" s="9" t="n">
        <v>29</v>
      </c>
      <c r="E302" s="18" t="inlineStr">
        <is>
          <t>R</t>
        </is>
      </c>
      <c r="F302" s="18" t="n"/>
      <c r="G302" s="9" t="n">
        <v>473</v>
      </c>
      <c r="H302" s="9" t="n">
        <v>1344</v>
      </c>
      <c r="I302" s="9" t="inlineStr">
        <is>
          <t>Mid-Rotation Starter (SP2-3)</t>
        </is>
      </c>
      <c r="J302" s="18" t="inlineStr">
        <is>
          <t>Opening Day</t>
        </is>
      </c>
      <c r="K302" s="11">
        <f>IFERROR(INDEX(Roles!$B$17:$B$20,MATCH(J302,Roles!$A$17:$A$20,0)),1)</f>
        <v/>
      </c>
      <c r="L302" s="19" t="n">
        <v>1</v>
      </c>
      <c r="M302" s="11" t="n">
        <v>1</v>
      </c>
      <c r="N302" s="19" t="n"/>
      <c r="O302" s="19" t="n">
        <v>0.5</v>
      </c>
      <c r="P302" s="19" t="n">
        <v>0.5</v>
      </c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3">
        <f>SUMPRODUCT(N302:Y302,$N$2:$Y$2)*$K302*$L302*$M302</f>
        <v/>
      </c>
      <c r="AA302" s="14">
        <f>SUM(N302:Y302)</f>
        <v/>
      </c>
      <c r="AB302" s="13">
        <f>SUMPRODUCT(N302:Y302,$N$3:$Y$3)*$K302*$L302*$M302</f>
        <v/>
      </c>
      <c r="AC302" s="13">
        <f>SUMPRODUCT(N302:Y302,$N$4:$Y$4)*$K302*$L302*$M302</f>
        <v/>
      </c>
      <c r="AD302" s="15" t="n">
        <v>23.9</v>
      </c>
      <c r="AE302" s="11" t="n">
        <v>4.968299482277978</v>
      </c>
      <c r="AF302" s="16">
        <f>SUMPRODUCT(N302:Y302,$N$5:$Y$5)*$K302*$L302*$M302</f>
        <v/>
      </c>
      <c r="AG302" s="16">
        <f>SUMPRODUCT(N302:Y302,$N$6:$Y$6)*$K302*$L302*$M302</f>
        <v/>
      </c>
      <c r="AH302" s="20" t="n"/>
    </row>
    <row r="303">
      <c r="A303" s="9" t="n">
        <v>542585</v>
      </c>
      <c r="B303" s="9" t="inlineStr">
        <is>
          <t>José Cisnero</t>
        </is>
      </c>
      <c r="C303" s="9" t="inlineStr">
        <is>
          <t>LAA</t>
        </is>
      </c>
      <c r="D303" s="9" t="n">
        <v>38</v>
      </c>
      <c r="E303" s="18" t="inlineStr">
        <is>
          <t>R</t>
        </is>
      </c>
      <c r="F303" s="18" t="n"/>
      <c r="G303" s="9" t="n">
        <v>74</v>
      </c>
      <c r="H303" s="9" t="n">
        <v>446</v>
      </c>
      <c r="I303" s="9" t="inlineStr">
        <is>
          <t>Depth (no MLB IP)</t>
        </is>
      </c>
      <c r="J303" s="18" t="inlineStr">
        <is>
          <t>Opening Day</t>
        </is>
      </c>
      <c r="K303" s="11">
        <f>IFERROR(INDEX(Roles!$B$17:$B$20,MATCH(J303,Roles!$A$17:$A$20,0)),1)</f>
        <v/>
      </c>
      <c r="L303" s="19" t="n">
        <v>1</v>
      </c>
      <c r="M303" s="11" t="n">
        <v>1</v>
      </c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>
        <v>1</v>
      </c>
      <c r="Z303" s="13">
        <f>SUMPRODUCT(N303:Y303,$N$2:$Y$2)*$K303*$L303*$M303</f>
        <v/>
      </c>
      <c r="AA303" s="14">
        <f>SUM(N303:Y303)</f>
        <v/>
      </c>
      <c r="AB303" s="13">
        <f>SUMPRODUCT(N303:Y303,$N$3:$Y$3)*$K303*$L303*$M303</f>
        <v/>
      </c>
      <c r="AC303" s="13">
        <f>SUMPRODUCT(N303:Y303,$N$4:$Y$4)*$K303*$L303*$M303</f>
        <v/>
      </c>
      <c r="AD303" s="15" t="n">
        <v>10.2</v>
      </c>
      <c r="AE303" s="11" t="n">
        <v>1.022345679012346</v>
      </c>
      <c r="AF303" s="16">
        <f>SUMPRODUCT(N303:Y303,$N$5:$Y$5)*$K303*$L303*$M303</f>
        <v/>
      </c>
      <c r="AG303" s="16">
        <f>SUMPRODUCT(N303:Y303,$N$6:$Y$6)*$K303*$L303*$M303</f>
        <v/>
      </c>
      <c r="AH303" s="20" t="n"/>
    </row>
    <row r="304">
      <c r="A304" s="9" t="n">
        <v>682120</v>
      </c>
      <c r="B304" s="9" t="inlineStr">
        <is>
          <t>Tim Herrin</t>
        </is>
      </c>
      <c r="C304" s="9" t="inlineStr">
        <is>
          <t>CLE</t>
        </is>
      </c>
      <c r="D304" s="9" t="n">
        <v>30</v>
      </c>
      <c r="E304" s="18" t="inlineStr">
        <is>
          <t>L</t>
        </is>
      </c>
      <c r="F304" s="18" t="n"/>
      <c r="G304" s="9" t="n">
        <v>240</v>
      </c>
      <c r="H304" s="9" t="n">
        <v>812</v>
      </c>
      <c r="I304" s="9" t="inlineStr">
        <is>
          <t>Middle Relief</t>
        </is>
      </c>
      <c r="J304" s="18" t="inlineStr">
        <is>
          <t>Opening Day</t>
        </is>
      </c>
      <c r="K304" s="11">
        <f>IFERROR(INDEX(Roles!$B$17:$B$20,MATCH(J304,Roles!$A$17:$A$20,0)),1)</f>
        <v/>
      </c>
      <c r="L304" s="19" t="n">
        <v>1</v>
      </c>
      <c r="M304" s="11" t="n">
        <v>1</v>
      </c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>
        <v>0.85</v>
      </c>
      <c r="W304" s="19" t="n">
        <v>0.15</v>
      </c>
      <c r="X304" s="19" t="n"/>
      <c r="Y304" s="19" t="n"/>
      <c r="Z304" s="13">
        <f>SUMPRODUCT(N304:Y304,$N$2:$Y$2)*$K304*$L304*$M304</f>
        <v/>
      </c>
      <c r="AA304" s="14">
        <f>SUM(N304:Y304)</f>
        <v/>
      </c>
      <c r="AB304" s="13">
        <f>SUMPRODUCT(N304:Y304,$N$3:$Y$3)*$K304*$L304*$M304</f>
        <v/>
      </c>
      <c r="AC304" s="13">
        <f>SUMPRODUCT(N304:Y304,$N$4:$Y$4)*$K304*$L304*$M304</f>
        <v/>
      </c>
      <c r="AD304" s="15" t="n">
        <v>53.13333333333333</v>
      </c>
      <c r="AE304" s="11" t="n">
        <v>0.9677895981087472</v>
      </c>
      <c r="AF304" s="16">
        <f>SUMPRODUCT(N304:Y304,$N$5:$Y$5)*$K304*$L304*$M304</f>
        <v/>
      </c>
      <c r="AG304" s="16">
        <f>SUMPRODUCT(N304:Y304,$N$6:$Y$6)*$K304*$L304*$M304</f>
        <v/>
      </c>
      <c r="AH304" s="20" t="n"/>
    </row>
    <row r="305">
      <c r="A305" s="9" t="n">
        <v>665734</v>
      </c>
      <c r="B305" s="9" t="inlineStr">
        <is>
          <t>Angel Felipe</t>
        </is>
      </c>
      <c r="C305" s="9" t="inlineStr">
        <is>
          <t>OAK</t>
        </is>
      </c>
      <c r="D305" s="9" t="n">
        <v>29</v>
      </c>
      <c r="E305" s="18" t="inlineStr">
        <is>
          <t>R</t>
        </is>
      </c>
      <c r="F305" s="18" t="n"/>
      <c r="G305" s="9" t="n">
        <v>64</v>
      </c>
      <c r="H305" s="9" t="n">
        <v>64</v>
      </c>
      <c r="I305" s="9" t="inlineStr">
        <is>
          <t>Depth (no MLB IP)</t>
        </is>
      </c>
      <c r="J305" s="18" t="inlineStr">
        <is>
          <t>Opening Day</t>
        </is>
      </c>
      <c r="K305" s="11">
        <f>IFERROR(INDEX(Roles!$B$17:$B$20,MATCH(J305,Roles!$A$17:$A$20,0)),1)</f>
        <v/>
      </c>
      <c r="L305" s="19" t="n">
        <v>1</v>
      </c>
      <c r="M305" s="11" t="n">
        <v>1</v>
      </c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>
        <v>1</v>
      </c>
      <c r="Z305" s="13">
        <f>SUMPRODUCT(N305:Y305,$N$2:$Y$2)*$K305*$L305*$M305</f>
        <v/>
      </c>
      <c r="AA305" s="14">
        <f>SUM(N305:Y305)</f>
        <v/>
      </c>
      <c r="AB305" s="13">
        <f>SUMPRODUCT(N305:Y305,$N$3:$Y$3)*$K305*$L305*$M305</f>
        <v/>
      </c>
      <c r="AC305" s="13">
        <f>SUMPRODUCT(N305:Y305,$N$4:$Y$4)*$K305*$L305*$M305</f>
        <v/>
      </c>
      <c r="AD305" s="15" t="n">
        <v>3</v>
      </c>
      <c r="AE305" s="11" t="n">
        <v>1.011296296296296</v>
      </c>
      <c r="AF305" s="16">
        <f>SUMPRODUCT(N305:Y305,$N$5:$Y$5)*$K305*$L305*$M305</f>
        <v/>
      </c>
      <c r="AG305" s="16">
        <f>SUMPRODUCT(N305:Y305,$N$6:$Y$6)*$K305*$L305*$M305</f>
        <v/>
      </c>
      <c r="AH305" s="20" t="n"/>
    </row>
    <row r="306">
      <c r="A306" s="9" t="n">
        <v>663574</v>
      </c>
      <c r="B306" s="9" t="inlineStr">
        <is>
          <t>Tony Santillan</t>
        </is>
      </c>
      <c r="C306" s="9" t="inlineStr">
        <is>
          <t>CIN</t>
        </is>
      </c>
      <c r="D306" s="9" t="n">
        <v>30</v>
      </c>
      <c r="E306" s="18" t="inlineStr">
        <is>
          <t>R</t>
        </is>
      </c>
      <c r="F306" s="18" t="n"/>
      <c r="G306" s="9" t="n">
        <v>191</v>
      </c>
      <c r="H306" s="9" t="n">
        <v>728</v>
      </c>
      <c r="I306" s="9" t="inlineStr">
        <is>
          <t>Bullpen Depth Arm</t>
        </is>
      </c>
      <c r="J306" s="18" t="inlineStr">
        <is>
          <t>Opening Day</t>
        </is>
      </c>
      <c r="K306" s="11">
        <f>IFERROR(INDEX(Roles!$B$17:$B$20,MATCH(J306,Roles!$A$17:$A$20,0)),1)</f>
        <v/>
      </c>
      <c r="L306" s="19" t="n">
        <v>1</v>
      </c>
      <c r="M306" s="11" t="n">
        <v>1</v>
      </c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>
        <v>0.15</v>
      </c>
      <c r="W306" s="19" t="n">
        <v>0.85</v>
      </c>
      <c r="X306" s="19" t="n"/>
      <c r="Y306" s="19" t="n"/>
      <c r="Z306" s="13">
        <f>SUMPRODUCT(N306:Y306,$N$2:$Y$2)*$K306*$L306*$M306</f>
        <v/>
      </c>
      <c r="AA306" s="14">
        <f>SUM(N306:Y306)</f>
        <v/>
      </c>
      <c r="AB306" s="13">
        <f>SUMPRODUCT(N306:Y306,$N$3:$Y$3)*$K306*$L306*$M306</f>
        <v/>
      </c>
      <c r="AC306" s="13">
        <f>SUMPRODUCT(N306:Y306,$N$4:$Y$4)*$K306*$L306*$M306</f>
        <v/>
      </c>
      <c r="AD306" s="15" t="n">
        <v>37.76666666666667</v>
      </c>
      <c r="AE306" s="11" t="n">
        <v>1.112341333525134</v>
      </c>
      <c r="AF306" s="16">
        <f>SUMPRODUCT(N306:Y306,$N$5:$Y$5)*$K306*$L306*$M306</f>
        <v/>
      </c>
      <c r="AG306" s="16">
        <f>SUMPRODUCT(N306:Y306,$N$6:$Y$6)*$K306*$L306*$M306</f>
        <v/>
      </c>
      <c r="AH306" s="20" t="n"/>
    </row>
    <row r="307">
      <c r="A307" s="9" t="n">
        <v>628711</v>
      </c>
      <c r="B307" s="9" t="inlineStr">
        <is>
          <t>Julio Urías</t>
        </is>
      </c>
      <c r="C307" s="9" t="inlineStr">
        <is>
          <t>LAD</t>
        </is>
      </c>
      <c r="D307" s="9" t="n">
        <v>30</v>
      </c>
      <c r="E307" s="18" t="inlineStr">
        <is>
          <t>L</t>
        </is>
      </c>
      <c r="F307" s="18" t="n"/>
      <c r="G307" s="9" t="n">
        <v>482</v>
      </c>
      <c r="H307" s="9" t="n">
        <v>1171</v>
      </c>
      <c r="I307" s="9" t="inlineStr">
        <is>
          <t>Depth (no MLB IP)</t>
        </is>
      </c>
      <c r="J307" s="18" t="inlineStr">
        <is>
          <t>Opening Day</t>
        </is>
      </c>
      <c r="K307" s="11">
        <f>IFERROR(INDEX(Roles!$B$17:$B$20,MATCH(J307,Roles!$A$17:$A$20,0)),1)</f>
        <v/>
      </c>
      <c r="L307" s="19" t="n">
        <v>1</v>
      </c>
      <c r="M307" s="11" t="n">
        <v>1</v>
      </c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>
        <v>1</v>
      </c>
      <c r="Z307" s="13">
        <f>SUMPRODUCT(N307:Y307,$N$2:$Y$2)*$K307*$L307*$M307</f>
        <v/>
      </c>
      <c r="AA307" s="14">
        <f>SUM(N307:Y307)</f>
        <v/>
      </c>
      <c r="AB307" s="13">
        <f>SUMPRODUCT(N307:Y307,$N$3:$Y$3)*$K307*$L307*$M307</f>
        <v/>
      </c>
      <c r="AC307" s="13">
        <f>SUMPRODUCT(N307:Y307,$N$4:$Y$4)*$K307*$L307*$M307</f>
        <v/>
      </c>
      <c r="AD307" s="15" t="n">
        <v>3</v>
      </c>
      <c r="AE307" s="11" t="n">
        <v>1.011296296296296</v>
      </c>
      <c r="AF307" s="16">
        <f>SUMPRODUCT(N307:Y307,$N$5:$Y$5)*$K307*$L307*$M307</f>
        <v/>
      </c>
      <c r="AG307" s="16">
        <f>SUMPRODUCT(N307:Y307,$N$6:$Y$6)*$K307*$L307*$M307</f>
        <v/>
      </c>
      <c r="AH307" s="20" t="n"/>
    </row>
    <row r="308">
      <c r="A308" s="9" t="n">
        <v>665622</v>
      </c>
      <c r="B308" s="9" t="inlineStr">
        <is>
          <t>Luis Medina</t>
        </is>
      </c>
      <c r="C308" s="9" t="inlineStr">
        <is>
          <t>OAK</t>
        </is>
      </c>
      <c r="D308" s="9" t="n">
        <v>28</v>
      </c>
      <c r="E308" s="18" t="inlineStr">
        <is>
          <t>R</t>
        </is>
      </c>
      <c r="F308" s="18" t="n"/>
      <c r="G308" s="9" t="n">
        <v>317</v>
      </c>
      <c r="H308" s="9" t="n">
        <v>992</v>
      </c>
      <c r="I308" s="9" t="inlineStr">
        <is>
          <t>Late Inning RP (Setup)</t>
        </is>
      </c>
      <c r="J308" s="18" t="inlineStr">
        <is>
          <t>Opening Day</t>
        </is>
      </c>
      <c r="K308" s="11">
        <f>IFERROR(INDEX(Roles!$B$17:$B$20,MATCH(J308,Roles!$A$17:$A$20,0)),1)</f>
        <v/>
      </c>
      <c r="L308" s="19" t="n">
        <v>1</v>
      </c>
      <c r="M308" s="11" t="n">
        <v>1</v>
      </c>
      <c r="N308" s="19" t="n"/>
      <c r="O308" s="19" t="n"/>
      <c r="P308" s="19" t="n"/>
      <c r="Q308" s="19" t="n"/>
      <c r="R308" s="19" t="n"/>
      <c r="S308" s="19" t="n"/>
      <c r="T308" s="19" t="n"/>
      <c r="U308" s="19" t="n">
        <v>0.85</v>
      </c>
      <c r="V308" s="19" t="n">
        <v>0.15</v>
      </c>
      <c r="W308" s="19" t="n"/>
      <c r="X308" s="19" t="n"/>
      <c r="Y308" s="19" t="n"/>
      <c r="Z308" s="13">
        <f>SUMPRODUCT(N308:Y308,$N$2:$Y$2)*$K308*$L308*$M308</f>
        <v/>
      </c>
      <c r="AA308" s="14">
        <f>SUM(N308:Y308)</f>
        <v/>
      </c>
      <c r="AB308" s="13">
        <f>SUMPRODUCT(N308:Y308,$N$3:$Y$3)*$K308*$L308*$M308</f>
        <v/>
      </c>
      <c r="AC308" s="13">
        <f>SUMPRODUCT(N308:Y308,$N$4:$Y$4)*$K308*$L308*$M308</f>
        <v/>
      </c>
      <c r="AD308" s="15" t="n">
        <v>47.4</v>
      </c>
      <c r="AE308" s="11" t="n">
        <v>1.118942080378251</v>
      </c>
      <c r="AF308" s="16">
        <f>SUMPRODUCT(N308:Y308,$N$5:$Y$5)*$K308*$L308*$M308</f>
        <v/>
      </c>
      <c r="AG308" s="16">
        <f>SUMPRODUCT(N308:Y308,$N$6:$Y$6)*$K308*$L308*$M308</f>
        <v/>
      </c>
      <c r="AH308" s="20" t="n"/>
    </row>
    <row r="309">
      <c r="A309" s="9" t="n">
        <v>661403</v>
      </c>
      <c r="B309" s="9" t="inlineStr">
        <is>
          <t>Emmanuel Clase</t>
        </is>
      </c>
      <c r="C309" s="9" t="inlineStr">
        <is>
          <t>CLE</t>
        </is>
      </c>
      <c r="D309" s="9" t="n">
        <v>29</v>
      </c>
      <c r="E309" s="18" t="inlineStr">
        <is>
          <t>R</t>
        </is>
      </c>
      <c r="F309" s="18" t="n"/>
      <c r="G309" s="9" t="n">
        <v>201</v>
      </c>
      <c r="H309" s="9" t="n">
        <v>1044</v>
      </c>
      <c r="I309" s="9" t="inlineStr">
        <is>
          <t>Bullpen Depth Arm</t>
        </is>
      </c>
      <c r="J309" s="18" t="inlineStr">
        <is>
          <t>Opening Day</t>
        </is>
      </c>
      <c r="K309" s="11">
        <f>IFERROR(INDEX(Roles!$B$17:$B$20,MATCH(J309,Roles!$A$17:$A$20,0)),1)</f>
        <v/>
      </c>
      <c r="L309" s="19" t="n">
        <v>1</v>
      </c>
      <c r="M309" s="11" t="n">
        <v>1</v>
      </c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>
        <v>0.15</v>
      </c>
      <c r="W309" s="19" t="n">
        <v>0.85</v>
      </c>
      <c r="X309" s="19" t="n"/>
      <c r="Y309" s="19" t="n"/>
      <c r="Z309" s="13">
        <f>SUMPRODUCT(N309:Y309,$N$2:$Y$2)*$K309*$L309*$M309</f>
        <v/>
      </c>
      <c r="AA309" s="14">
        <f>SUM(N309:Y309)</f>
        <v/>
      </c>
      <c r="AB309" s="13">
        <f>SUMPRODUCT(N309:Y309,$N$3:$Y$3)*$K309*$L309*$M309</f>
        <v/>
      </c>
      <c r="AC309" s="13">
        <f>SUMPRODUCT(N309:Y309,$N$4:$Y$4)*$K309*$L309*$M309</f>
        <v/>
      </c>
      <c r="AD309" s="15" t="n">
        <v>39.66666666666667</v>
      </c>
      <c r="AE309" s="11" t="n">
        <v>1.132879683860076</v>
      </c>
      <c r="AF309" s="16">
        <f>SUMPRODUCT(N309:Y309,$N$5:$Y$5)*$K309*$L309*$M309</f>
        <v/>
      </c>
      <c r="AG309" s="16">
        <f>SUMPRODUCT(N309:Y309,$N$6:$Y$6)*$K309*$L309*$M309</f>
        <v/>
      </c>
      <c r="AH309" s="20" t="n"/>
    </row>
    <row r="310">
      <c r="A310" s="9" t="n">
        <v>621074</v>
      </c>
      <c r="B310" s="9" t="inlineStr">
        <is>
          <t>Michael Rucker</t>
        </is>
      </c>
      <c r="C310" s="9" t="inlineStr">
        <is>
          <t>SEA</t>
        </is>
      </c>
      <c r="D310" s="9" t="n">
        <v>33</v>
      </c>
      <c r="E310" s="18" t="inlineStr">
        <is>
          <t>R</t>
        </is>
      </c>
      <c r="F310" s="18" t="n"/>
      <c r="G310" s="9" t="n">
        <v>186</v>
      </c>
      <c r="H310" s="9" t="n">
        <v>591</v>
      </c>
      <c r="I310" s="9" t="inlineStr">
        <is>
          <t>Middle Relief</t>
        </is>
      </c>
      <c r="J310" s="18" t="inlineStr">
        <is>
          <t>Opening Day</t>
        </is>
      </c>
      <c r="K310" s="11">
        <f>IFERROR(INDEX(Roles!$B$17:$B$20,MATCH(J310,Roles!$A$17:$A$20,0)),1)</f>
        <v/>
      </c>
      <c r="L310" s="19" t="n">
        <v>1</v>
      </c>
      <c r="M310" s="11" t="n">
        <v>1</v>
      </c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>
        <v>0.85</v>
      </c>
      <c r="W310" s="19" t="n">
        <v>0.15</v>
      </c>
      <c r="X310" s="19" t="n"/>
      <c r="Y310" s="19" t="n"/>
      <c r="Z310" s="13">
        <f>SUMPRODUCT(N310:Y310,$N$2:$Y$2)*$K310*$L310*$M310</f>
        <v/>
      </c>
      <c r="AA310" s="14">
        <f>SUM(N310:Y310)</f>
        <v/>
      </c>
      <c r="AB310" s="13">
        <f>SUMPRODUCT(N310:Y310,$N$3:$Y$3)*$K310*$L310*$M310</f>
        <v/>
      </c>
      <c r="AC310" s="13">
        <f>SUMPRODUCT(N310:Y310,$N$4:$Y$4)*$K310*$L310*$M310</f>
        <v/>
      </c>
      <c r="AD310" s="15" t="n">
        <v>36.93333333333333</v>
      </c>
      <c r="AE310" s="11" t="n">
        <v>1.082537158168807</v>
      </c>
      <c r="AF310" s="16">
        <f>SUMPRODUCT(N310:Y310,$N$5:$Y$5)*$K310*$L310*$M310</f>
        <v/>
      </c>
      <c r="AG310" s="16">
        <f>SUMPRODUCT(N310:Y310,$N$6:$Y$6)*$K310*$L310*$M310</f>
        <v/>
      </c>
      <c r="AH310" s="20" t="n"/>
    </row>
    <row r="311">
      <c r="A311" s="9" t="n">
        <v>694335</v>
      </c>
      <c r="B311" s="9" t="inlineStr">
        <is>
          <t>Matt Svanson</t>
        </is>
      </c>
      <c r="C311" s="9" t="inlineStr">
        <is>
          <t>STL</t>
        </is>
      </c>
      <c r="D311" s="9" t="n">
        <v>28</v>
      </c>
      <c r="E311" s="18" t="inlineStr">
        <is>
          <t>R</t>
        </is>
      </c>
      <c r="F311" s="18" t="n"/>
      <c r="G311" s="9" t="n">
        <v>207</v>
      </c>
      <c r="H311" s="9" t="n">
        <v>441</v>
      </c>
      <c r="I311" s="9" t="inlineStr">
        <is>
          <t>Closer</t>
        </is>
      </c>
      <c r="J311" s="18" t="inlineStr">
        <is>
          <t>Opening Day</t>
        </is>
      </c>
      <c r="K311" s="11">
        <f>IFERROR(INDEX(Roles!$B$17:$B$20,MATCH(J311,Roles!$A$17:$A$20,0)),1)</f>
        <v/>
      </c>
      <c r="L311" s="19" t="n">
        <v>1</v>
      </c>
      <c r="M311" s="11" t="n">
        <v>1</v>
      </c>
      <c r="N311" s="19" t="n"/>
      <c r="O311" s="19" t="n"/>
      <c r="P311" s="19" t="n"/>
      <c r="Q311" s="19" t="n"/>
      <c r="R311" s="19" t="n"/>
      <c r="S311" s="19" t="n"/>
      <c r="T311" s="19" t="n">
        <v>1</v>
      </c>
      <c r="U311" s="19" t="n"/>
      <c r="V311" s="19" t="n"/>
      <c r="W311" s="19" t="n"/>
      <c r="X311" s="19" t="n"/>
      <c r="Y311" s="19" t="n"/>
      <c r="Z311" s="13">
        <f>SUMPRODUCT(N311:Y311,$N$2:$Y$2)*$K311*$L311*$M311</f>
        <v/>
      </c>
      <c r="AA311" s="14">
        <f>SUM(N311:Y311)</f>
        <v/>
      </c>
      <c r="AB311" s="13">
        <f>SUMPRODUCT(N311:Y311,$N$3:$Y$3)*$K311*$L311*$M311</f>
        <v/>
      </c>
      <c r="AC311" s="13">
        <f>SUMPRODUCT(N311:Y311,$N$4:$Y$4)*$K311*$L311*$M311</f>
        <v/>
      </c>
      <c r="AD311" s="15" t="n">
        <v>44.28</v>
      </c>
      <c r="AE311" s="11" t="n">
        <v>1.084862826938963</v>
      </c>
      <c r="AF311" s="16">
        <f>SUMPRODUCT(N311:Y311,$N$5:$Y$5)*$K311*$L311*$M311</f>
        <v/>
      </c>
      <c r="AG311" s="16">
        <f>SUMPRODUCT(N311:Y311,$N$6:$Y$6)*$K311*$L311*$M311</f>
        <v/>
      </c>
      <c r="AH311" s="20" t="n"/>
    </row>
    <row r="312">
      <c r="A312" s="9" t="n">
        <v>622088</v>
      </c>
      <c r="B312" s="9" t="inlineStr">
        <is>
          <t>Tejay Antone</t>
        </is>
      </c>
      <c r="C312" s="9" t="inlineStr">
        <is>
          <t>CIN</t>
        </is>
      </c>
      <c r="D312" s="9" t="n">
        <v>33</v>
      </c>
      <c r="E312" s="18" t="inlineStr">
        <is>
          <t>R</t>
        </is>
      </c>
      <c r="F312" s="18" t="n"/>
      <c r="G312" s="9" t="n">
        <v>234</v>
      </c>
      <c r="H312" s="9" t="n">
        <v>266</v>
      </c>
      <c r="I312" s="9" t="inlineStr">
        <is>
          <t>Late Inning RP (Setup)</t>
        </is>
      </c>
      <c r="J312" s="18" t="inlineStr">
        <is>
          <t>Opening Day</t>
        </is>
      </c>
      <c r="K312" s="11">
        <f>IFERROR(INDEX(Roles!$B$17:$B$20,MATCH(J312,Roles!$A$17:$A$20,0)),1)</f>
        <v/>
      </c>
      <c r="L312" s="19" t="n">
        <v>1</v>
      </c>
      <c r="M312" s="11" t="n">
        <v>1</v>
      </c>
      <c r="N312" s="19" t="n"/>
      <c r="O312" s="19" t="n"/>
      <c r="P312" s="19" t="n"/>
      <c r="Q312" s="19" t="n"/>
      <c r="R312" s="19" t="n"/>
      <c r="S312" s="19" t="n"/>
      <c r="T312" s="19" t="n"/>
      <c r="U312" s="19" t="n">
        <v>0.6</v>
      </c>
      <c r="V312" s="19" t="n">
        <v>0.4</v>
      </c>
      <c r="W312" s="19" t="n"/>
      <c r="X312" s="19" t="n"/>
      <c r="Y312" s="19" t="n"/>
      <c r="Z312" s="13">
        <f>SUMPRODUCT(N312:Y312,$N$2:$Y$2)*$K312*$L312*$M312</f>
        <v/>
      </c>
      <c r="AA312" s="14">
        <f>SUM(N312:Y312)</f>
        <v/>
      </c>
      <c r="AB312" s="13">
        <f>SUMPRODUCT(N312:Y312,$N$3:$Y$3)*$K312*$L312*$M312</f>
        <v/>
      </c>
      <c r="AC312" s="13">
        <f>SUMPRODUCT(N312:Y312,$N$4:$Y$4)*$K312*$L312*$M312</f>
        <v/>
      </c>
      <c r="AD312" s="15" t="n">
        <v>45.9</v>
      </c>
      <c r="AE312" s="11" t="n">
        <v>0.9724563046192261</v>
      </c>
      <c r="AF312" s="16">
        <f>SUMPRODUCT(N312:Y312,$N$5:$Y$5)*$K312*$L312*$M312</f>
        <v/>
      </c>
      <c r="AG312" s="16">
        <f>SUMPRODUCT(N312:Y312,$N$6:$Y$6)*$K312*$L312*$M312</f>
        <v/>
      </c>
      <c r="AH312" s="20" t="n"/>
    </row>
    <row r="313">
      <c r="A313" s="9" t="n">
        <v>674073</v>
      </c>
      <c r="B313" s="9" t="inlineStr">
        <is>
          <t>Jack Weisenburger</t>
        </is>
      </c>
      <c r="C313" s="9" t="inlineStr">
        <is>
          <t>NYM</t>
        </is>
      </c>
      <c r="D313" s="9" t="n">
        <v>29</v>
      </c>
      <c r="E313" s="18" t="inlineStr">
        <is>
          <t>R</t>
        </is>
      </c>
      <c r="F313" s="18" t="n"/>
      <c r="G313" s="9" t="n">
        <v>50</v>
      </c>
      <c r="H313" s="9" t="n">
        <v>50</v>
      </c>
      <c r="I313" s="9" t="inlineStr">
        <is>
          <t>Swing Arm / Long Relief</t>
        </is>
      </c>
      <c r="J313" s="18" t="inlineStr">
        <is>
          <t>Opening Day</t>
        </is>
      </c>
      <c r="K313" s="11">
        <f>IFERROR(INDEX(Roles!$B$17:$B$20,MATCH(J313,Roles!$A$17:$A$20,0)),1)</f>
        <v/>
      </c>
      <c r="L313" s="19" t="n">
        <v>1</v>
      </c>
      <c r="M313" s="11" t="n">
        <v>1</v>
      </c>
      <c r="N313" s="19" t="n"/>
      <c r="O313" s="19" t="n"/>
      <c r="P313" s="19" t="n"/>
      <c r="Q313" s="19" t="n"/>
      <c r="R313" s="19" t="n">
        <v>0.55</v>
      </c>
      <c r="S313" s="19" t="n"/>
      <c r="T313" s="19" t="n"/>
      <c r="U313" s="19" t="n"/>
      <c r="V313" s="19" t="n">
        <v>0.45</v>
      </c>
      <c r="W313" s="19" t="n"/>
      <c r="X313" s="19" t="n"/>
      <c r="Y313" s="19" t="n"/>
      <c r="Z313" s="13">
        <f>SUMPRODUCT(N313:Y313,$N$2:$Y$2)*$K313*$L313*$M313</f>
        <v/>
      </c>
      <c r="AA313" s="14">
        <f>SUM(N313:Y313)</f>
        <v/>
      </c>
      <c r="AB313" s="13">
        <f>SUMPRODUCT(N313:Y313,$N$3:$Y$3)*$K313*$L313*$M313</f>
        <v/>
      </c>
      <c r="AC313" s="13">
        <f>SUMPRODUCT(N313:Y313,$N$4:$Y$4)*$K313*$L313*$M313</f>
        <v/>
      </c>
      <c r="AD313" s="15" t="n">
        <v>12.33333333333333</v>
      </c>
      <c r="AE313" s="11" t="n">
        <v>2.271662763466042</v>
      </c>
      <c r="AF313" s="16">
        <f>SUMPRODUCT(N313:Y313,$N$5:$Y$5)*$K313*$L313*$M313</f>
        <v/>
      </c>
      <c r="AG313" s="16">
        <f>SUMPRODUCT(N313:Y313,$N$6:$Y$6)*$K313*$L313*$M313</f>
        <v/>
      </c>
      <c r="AH313" s="20" t="n"/>
    </row>
    <row r="314">
      <c r="A314" s="9" t="n">
        <v>685126</v>
      </c>
      <c r="B314" s="9" t="inlineStr">
        <is>
          <t>Brandon Eisert</t>
        </is>
      </c>
      <c r="C314" s="9" t="inlineStr">
        <is>
          <t>PIT</t>
        </is>
      </c>
      <c r="D314" s="9" t="n">
        <v>29</v>
      </c>
      <c r="E314" s="18" t="inlineStr">
        <is>
          <t>L</t>
        </is>
      </c>
      <c r="F314" s="18" t="n"/>
      <c r="G314" s="9" t="n">
        <v>189</v>
      </c>
      <c r="H314" s="9" t="n">
        <v>521</v>
      </c>
      <c r="I314" s="9" t="inlineStr">
        <is>
          <t>Middle Relief</t>
        </is>
      </c>
      <c r="J314" s="18" t="inlineStr">
        <is>
          <t>Opening Day</t>
        </is>
      </c>
      <c r="K314" s="11">
        <f>IFERROR(INDEX(Roles!$B$17:$B$20,MATCH(J314,Roles!$A$17:$A$20,0)),1)</f>
        <v/>
      </c>
      <c r="L314" s="19" t="n">
        <v>1</v>
      </c>
      <c r="M314" s="11" t="n">
        <v>1</v>
      </c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>
        <v>0.6</v>
      </c>
      <c r="W314" s="19" t="n">
        <v>0.4</v>
      </c>
      <c r="X314" s="19" t="n"/>
      <c r="Y314" s="19" t="n"/>
      <c r="Z314" s="13">
        <f>SUMPRODUCT(N314:Y314,$N$2:$Y$2)*$K314*$L314*$M314</f>
        <v/>
      </c>
      <c r="AA314" s="14">
        <f>SUM(N314:Y314)</f>
        <v/>
      </c>
      <c r="AB314" s="13">
        <f>SUMPRODUCT(N314:Y314,$N$3:$Y$3)*$K314*$L314*$M314</f>
        <v/>
      </c>
      <c r="AC314" s="13">
        <f>SUMPRODUCT(N314:Y314,$N$4:$Y$4)*$K314*$L314*$M314</f>
        <v/>
      </c>
      <c r="AD314" s="15" t="n">
        <v>41.43333333333333</v>
      </c>
      <c r="AE314" s="11" t="n">
        <v>1.0362099320663</v>
      </c>
      <c r="AF314" s="16">
        <f>SUMPRODUCT(N314:Y314,$N$5:$Y$5)*$K314*$L314*$M314</f>
        <v/>
      </c>
      <c r="AG314" s="16">
        <f>SUMPRODUCT(N314:Y314,$N$6:$Y$6)*$K314*$L314*$M314</f>
        <v/>
      </c>
      <c r="AH314" s="20" t="n"/>
    </row>
    <row r="315">
      <c r="A315" s="9" t="n">
        <v>687531</v>
      </c>
      <c r="B315" s="9" t="inlineStr">
        <is>
          <t>William Kempner</t>
        </is>
      </c>
      <c r="C315" s="9" t="inlineStr">
        <is>
          <t>MIA</t>
        </is>
      </c>
      <c r="D315" s="9" t="n">
        <v>26</v>
      </c>
      <c r="E315" s="18" t="inlineStr">
        <is>
          <t>R</t>
        </is>
      </c>
      <c r="F315" s="18" t="n"/>
      <c r="G315" s="9" t="n">
        <v>50</v>
      </c>
      <c r="H315" s="9" t="n">
        <v>50</v>
      </c>
      <c r="I315" s="9" t="inlineStr">
        <is>
          <t>Bullpen Depth Arm</t>
        </is>
      </c>
      <c r="J315" s="18" t="inlineStr">
        <is>
          <t>Opening Day</t>
        </is>
      </c>
      <c r="K315" s="11">
        <f>IFERROR(INDEX(Roles!$B$17:$B$20,MATCH(J315,Roles!$A$17:$A$20,0)),1)</f>
        <v/>
      </c>
      <c r="L315" s="19" t="n">
        <v>1</v>
      </c>
      <c r="M315" s="11" t="n">
        <v>1</v>
      </c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>
        <v>0.15</v>
      </c>
      <c r="W315" s="19" t="n">
        <v>0.85</v>
      </c>
      <c r="X315" s="19" t="n"/>
      <c r="Y315" s="19" t="n"/>
      <c r="Z315" s="13">
        <f>SUMPRODUCT(N315:Y315,$N$2:$Y$2)*$K315*$L315*$M315</f>
        <v/>
      </c>
      <c r="AA315" s="14">
        <f>SUM(N315:Y315)</f>
        <v/>
      </c>
      <c r="AB315" s="13">
        <f>SUMPRODUCT(N315:Y315,$N$3:$Y$3)*$K315*$L315*$M315</f>
        <v/>
      </c>
      <c r="AC315" s="13">
        <f>SUMPRODUCT(N315:Y315,$N$4:$Y$4)*$K315*$L315*$M315</f>
        <v/>
      </c>
      <c r="AD315" s="15" t="n">
        <v>11.06666666666667</v>
      </c>
      <c r="AE315" s="11" t="n">
        <v>1.258297258297258</v>
      </c>
      <c r="AF315" s="16">
        <f>SUMPRODUCT(N315:Y315,$N$5:$Y$5)*$K315*$L315*$M315</f>
        <v/>
      </c>
      <c r="AG315" s="16">
        <f>SUMPRODUCT(N315:Y315,$N$6:$Y$6)*$K315*$L315*$M315</f>
        <v/>
      </c>
      <c r="AH315" s="20" t="n"/>
    </row>
    <row r="316">
      <c r="A316" s="9" t="n">
        <v>676206</v>
      </c>
      <c r="B316" s="9" t="inlineStr">
        <is>
          <t>Freddy Tarnok</t>
        </is>
      </c>
      <c r="C316" s="9" t="inlineStr">
        <is>
          <t>MIA</t>
        </is>
      </c>
      <c r="D316" s="9" t="n">
        <v>28</v>
      </c>
      <c r="E316" s="18" t="inlineStr">
        <is>
          <t>R</t>
        </is>
      </c>
      <c r="F316" s="18" t="n"/>
      <c r="G316" s="9" t="n">
        <v>28</v>
      </c>
      <c r="H316" s="9" t="n">
        <v>96</v>
      </c>
      <c r="I316" s="9" t="inlineStr">
        <is>
          <t>Bullpen Depth Arm</t>
        </is>
      </c>
      <c r="J316" s="18" t="inlineStr">
        <is>
          <t>Opening Day</t>
        </is>
      </c>
      <c r="K316" s="11">
        <f>IFERROR(INDEX(Roles!$B$17:$B$20,MATCH(J316,Roles!$A$17:$A$20,0)),1)</f>
        <v/>
      </c>
      <c r="L316" s="19" t="n">
        <v>1</v>
      </c>
      <c r="M316" s="11" t="n">
        <v>1</v>
      </c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>
        <v>1</v>
      </c>
      <c r="X316" s="19" t="n"/>
      <c r="Y316" s="19" t="n"/>
      <c r="Z316" s="13">
        <f>SUMPRODUCT(N316:Y316,$N$2:$Y$2)*$K316*$L316*$M316</f>
        <v/>
      </c>
      <c r="AA316" s="14">
        <f>SUM(N316:Y316)</f>
        <v/>
      </c>
      <c r="AB316" s="13">
        <f>SUMPRODUCT(N316:Y316,$N$3:$Y$3)*$K316*$L316*$M316</f>
        <v/>
      </c>
      <c r="AC316" s="13">
        <f>SUMPRODUCT(N316:Y316,$N$4:$Y$4)*$K316*$L316*$M316</f>
        <v/>
      </c>
      <c r="AD316" s="15" t="n">
        <v>8.666666666666666</v>
      </c>
      <c r="AE316" s="11" t="n">
        <v>1.290396023729357</v>
      </c>
      <c r="AF316" s="16">
        <f>SUMPRODUCT(N316:Y316,$N$5:$Y$5)*$K316*$L316*$M316</f>
        <v/>
      </c>
      <c r="AG316" s="16">
        <f>SUMPRODUCT(N316:Y316,$N$6:$Y$6)*$K316*$L316*$M316</f>
        <v/>
      </c>
      <c r="AH316" s="20" t="n"/>
    </row>
    <row r="317">
      <c r="A317" s="9" t="n">
        <v>543135</v>
      </c>
      <c r="B317" s="9" t="inlineStr">
        <is>
          <t>Nathan Eovaldi</t>
        </is>
      </c>
      <c r="C317" s="9" t="inlineStr">
        <is>
          <t>TEX</t>
        </is>
      </c>
      <c r="D317" s="9" t="n">
        <v>37</v>
      </c>
      <c r="E317" s="18" t="inlineStr">
        <is>
          <t>R</t>
        </is>
      </c>
      <c r="F317" s="18" t="n"/>
      <c r="G317" s="9" t="n">
        <v>613</v>
      </c>
      <c r="H317" s="9" t="n">
        <v>2842</v>
      </c>
      <c r="I317" s="9" t="inlineStr">
        <is>
          <t>Mid-Rotation Starter (SP2-3)</t>
        </is>
      </c>
      <c r="J317" s="18" t="inlineStr">
        <is>
          <t>Opening Day</t>
        </is>
      </c>
      <c r="K317" s="11">
        <f>IFERROR(INDEX(Roles!$B$17:$B$20,MATCH(J317,Roles!$A$17:$A$20,0)),1)</f>
        <v/>
      </c>
      <c r="L317" s="19" t="n">
        <v>1</v>
      </c>
      <c r="M317" s="11" t="n">
        <v>1</v>
      </c>
      <c r="N317" s="19" t="n"/>
      <c r="O317" s="19" t="n">
        <v>0.5</v>
      </c>
      <c r="P317" s="19" t="n">
        <v>0.5</v>
      </c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3">
        <f>SUMPRODUCT(N317:Y317,$N$2:$Y$2)*$K317*$L317*$M317</f>
        <v/>
      </c>
      <c r="AA317" s="14">
        <f>SUM(N317:Y317)</f>
        <v/>
      </c>
      <c r="AB317" s="13">
        <f>SUMPRODUCT(N317:Y317,$N$3:$Y$3)*$K317*$L317*$M317</f>
        <v/>
      </c>
      <c r="AC317" s="13">
        <f>SUMPRODUCT(N317:Y317,$N$4:$Y$4)*$K317*$L317*$M317</f>
        <v/>
      </c>
      <c r="AD317" s="15" t="n">
        <v>25.8</v>
      </c>
      <c r="AE317" s="11" t="n">
        <v>5.34760042824559</v>
      </c>
      <c r="AF317" s="16">
        <f>SUMPRODUCT(N317:Y317,$N$5:$Y$5)*$K317*$L317*$M317</f>
        <v/>
      </c>
      <c r="AG317" s="16">
        <f>SUMPRODUCT(N317:Y317,$N$6:$Y$6)*$K317*$L317*$M317</f>
        <v/>
      </c>
      <c r="AH317" s="20" t="n"/>
    </row>
    <row r="318">
      <c r="A318" s="9" t="n">
        <v>676974</v>
      </c>
      <c r="B318" s="9" t="inlineStr">
        <is>
          <t>Max Meyer</t>
        </is>
      </c>
      <c r="C318" s="9" t="inlineStr">
        <is>
          <t>MIA</t>
        </is>
      </c>
      <c r="D318" s="9" t="n">
        <v>28</v>
      </c>
      <c r="E318" s="18" t="inlineStr">
        <is>
          <t>R</t>
        </is>
      </c>
      <c r="F318" s="18" t="n"/>
      <c r="G318" s="9" t="n">
        <v>462</v>
      </c>
      <c r="H318" s="9" t="n">
        <v>1021</v>
      </c>
      <c r="I318" s="9" t="inlineStr">
        <is>
          <t>Swing Arm / Long Relief</t>
        </is>
      </c>
      <c r="J318" s="18" t="inlineStr">
        <is>
          <t>Opening Day</t>
        </is>
      </c>
      <c r="K318" s="11">
        <f>IFERROR(INDEX(Roles!$B$17:$B$20,MATCH(J318,Roles!$A$17:$A$20,0)),1)</f>
        <v/>
      </c>
      <c r="L318" s="19" t="n">
        <v>1</v>
      </c>
      <c r="M318" s="11" t="n">
        <v>1</v>
      </c>
      <c r="N318" s="19" t="n"/>
      <c r="O318" s="19" t="n"/>
      <c r="P318" s="19" t="n"/>
      <c r="Q318" s="19" t="n"/>
      <c r="R318" s="19" t="n">
        <v>0.5</v>
      </c>
      <c r="S318" s="19" t="n"/>
      <c r="T318" s="19" t="n"/>
      <c r="U318" s="19" t="n"/>
      <c r="V318" s="19" t="n">
        <v>0.5</v>
      </c>
      <c r="W318" s="19" t="n"/>
      <c r="X318" s="19" t="n"/>
      <c r="Y318" s="19" t="n"/>
      <c r="Z318" s="13">
        <f>SUMPRODUCT(N318:Y318,$N$2:$Y$2)*$K318*$L318*$M318</f>
        <v/>
      </c>
      <c r="AA318" s="14">
        <f>SUM(N318:Y318)</f>
        <v/>
      </c>
      <c r="AB318" s="13">
        <f>SUMPRODUCT(N318:Y318,$N$3:$Y$3)*$K318*$L318*$M318</f>
        <v/>
      </c>
      <c r="AC318" s="13">
        <f>SUMPRODUCT(N318:Y318,$N$4:$Y$4)*$K318*$L318*$M318</f>
        <v/>
      </c>
      <c r="AD318" s="15" t="n">
        <v>17.63333333333333</v>
      </c>
      <c r="AE318" s="11" t="n">
        <v>3.490710382513661</v>
      </c>
      <c r="AF318" s="16">
        <f>SUMPRODUCT(N318:Y318,$N$5:$Y$5)*$K318*$L318*$M318</f>
        <v/>
      </c>
      <c r="AG318" s="16">
        <f>SUMPRODUCT(N318:Y318,$N$6:$Y$6)*$K318*$L318*$M318</f>
        <v/>
      </c>
      <c r="AH318" s="20" t="n"/>
    </row>
    <row r="319">
      <c r="A319" s="9" t="n">
        <v>594580</v>
      </c>
      <c r="B319" s="9" t="inlineStr">
        <is>
          <t>Sam Moll</t>
        </is>
      </c>
      <c r="C319" s="9" t="inlineStr">
        <is>
          <t>CIN</t>
        </is>
      </c>
      <c r="D319" s="9" t="n">
        <v>35</v>
      </c>
      <c r="E319" s="18" t="inlineStr">
        <is>
          <t>L</t>
        </is>
      </c>
      <c r="F319" s="18" t="n"/>
      <c r="G319" s="9" t="n">
        <v>257</v>
      </c>
      <c r="H319" s="9" t="n">
        <v>945</v>
      </c>
      <c r="I319" s="9" t="inlineStr">
        <is>
          <t>Middle Relief</t>
        </is>
      </c>
      <c r="J319" s="18" t="inlineStr">
        <is>
          <t>Opening Day</t>
        </is>
      </c>
      <c r="K319" s="11">
        <f>IFERROR(INDEX(Roles!$B$17:$B$20,MATCH(J319,Roles!$A$17:$A$20,0)),1)</f>
        <v/>
      </c>
      <c r="L319" s="19" t="n">
        <v>1</v>
      </c>
      <c r="M319" s="11" t="n">
        <v>1</v>
      </c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>
        <v>1</v>
      </c>
      <c r="W319" s="19" t="n"/>
      <c r="X319" s="19" t="n"/>
      <c r="Y319" s="19" t="n"/>
      <c r="Z319" s="13">
        <f>SUMPRODUCT(N319:Y319,$N$2:$Y$2)*$K319*$L319*$M319</f>
        <v/>
      </c>
      <c r="AA319" s="14">
        <f>SUM(N319:Y319)</f>
        <v/>
      </c>
      <c r="AB319" s="13">
        <f>SUMPRODUCT(N319:Y319,$N$3:$Y$3)*$K319*$L319*$M319</f>
        <v/>
      </c>
      <c r="AC319" s="13">
        <f>SUMPRODUCT(N319:Y319,$N$4:$Y$4)*$K319*$L319*$M319</f>
        <v/>
      </c>
      <c r="AD319" s="15" t="n">
        <v>43.63333333333333</v>
      </c>
      <c r="AE319" s="11" t="n">
        <v>0.9698050488969056</v>
      </c>
      <c r="AF319" s="16">
        <f>SUMPRODUCT(N319:Y319,$N$5:$Y$5)*$K319*$L319*$M319</f>
        <v/>
      </c>
      <c r="AG319" s="16">
        <f>SUMPRODUCT(N319:Y319,$N$6:$Y$6)*$K319*$L319*$M319</f>
        <v/>
      </c>
      <c r="AH319" s="20" t="n"/>
    </row>
    <row r="320">
      <c r="A320" s="9" t="n">
        <v>669211</v>
      </c>
      <c r="B320" s="9" t="inlineStr">
        <is>
          <t>Keegan Akin</t>
        </is>
      </c>
      <c r="C320" s="9" t="inlineStr">
        <is>
          <t>BAL</t>
        </is>
      </c>
      <c r="D320" s="9" t="n">
        <v>32</v>
      </c>
      <c r="E320" s="18" t="inlineStr">
        <is>
          <t>L</t>
        </is>
      </c>
      <c r="F320" s="18" t="n"/>
      <c r="G320" s="9" t="n">
        <v>114</v>
      </c>
      <c r="H320" s="9" t="n">
        <v>1136</v>
      </c>
      <c r="I320" s="9" t="inlineStr">
        <is>
          <t>Bullpen Depth Arm</t>
        </is>
      </c>
      <c r="J320" s="18" t="inlineStr">
        <is>
          <t>Opening Day</t>
        </is>
      </c>
      <c r="K320" s="11">
        <f>IFERROR(INDEX(Roles!$B$17:$B$20,MATCH(J320,Roles!$A$17:$A$20,0)),1)</f>
        <v/>
      </c>
      <c r="L320" s="19" t="n">
        <v>1</v>
      </c>
      <c r="M320" s="11" t="n">
        <v>1</v>
      </c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>
        <v>0.15</v>
      </c>
      <c r="W320" s="19" t="n">
        <v>0.85</v>
      </c>
      <c r="X320" s="19" t="n"/>
      <c r="Y320" s="19" t="n"/>
      <c r="Z320" s="13">
        <f>SUMPRODUCT(N320:Y320,$N$2:$Y$2)*$K320*$L320*$M320</f>
        <v/>
      </c>
      <c r="AA320" s="14">
        <f>SUM(N320:Y320)</f>
        <v/>
      </c>
      <c r="AB320" s="13">
        <f>SUMPRODUCT(N320:Y320,$N$3:$Y$3)*$K320*$L320*$M320</f>
        <v/>
      </c>
      <c r="AC320" s="13">
        <f>SUMPRODUCT(N320:Y320,$N$4:$Y$4)*$K320*$L320*$M320</f>
        <v/>
      </c>
      <c r="AD320" s="15" t="n">
        <v>32.26666666666667</v>
      </c>
      <c r="AE320" s="11" t="n">
        <v>1.154055171599031</v>
      </c>
      <c r="AF320" s="16">
        <f>SUMPRODUCT(N320:Y320,$N$5:$Y$5)*$K320*$L320*$M320</f>
        <v/>
      </c>
      <c r="AG320" s="16">
        <f>SUMPRODUCT(N320:Y320,$N$6:$Y$6)*$K320*$L320*$M320</f>
        <v/>
      </c>
      <c r="AH320" s="20" t="n"/>
    </row>
    <row r="321">
      <c r="A321" s="9" t="n">
        <v>672391</v>
      </c>
      <c r="B321" s="9" t="inlineStr">
        <is>
          <t>Kaleb Ort</t>
        </is>
      </c>
      <c r="C321" s="9" t="inlineStr">
        <is>
          <t>HOU</t>
        </is>
      </c>
      <c r="D321" s="9" t="n">
        <v>35</v>
      </c>
      <c r="E321" s="18" t="inlineStr">
        <is>
          <t>R</t>
        </is>
      </c>
      <c r="F321" s="18" t="n"/>
      <c r="G321" s="9" t="n">
        <v>194</v>
      </c>
      <c r="H321" s="9" t="n">
        <v>528</v>
      </c>
      <c r="I321" s="9" t="inlineStr">
        <is>
          <t>Bullpen Depth Arm</t>
        </is>
      </c>
      <c r="J321" s="18" t="inlineStr">
        <is>
          <t>Opening Day</t>
        </is>
      </c>
      <c r="K321" s="11">
        <f>IFERROR(INDEX(Roles!$B$17:$B$20,MATCH(J321,Roles!$A$17:$A$20,0)),1)</f>
        <v/>
      </c>
      <c r="L321" s="19" t="n">
        <v>1</v>
      </c>
      <c r="M321" s="11" t="n">
        <v>1</v>
      </c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>
        <v>1</v>
      </c>
      <c r="X321" s="19" t="n"/>
      <c r="Y321" s="19" t="n"/>
      <c r="Z321" s="13">
        <f>SUMPRODUCT(N321:Y321,$N$2:$Y$2)*$K321*$L321*$M321</f>
        <v/>
      </c>
      <c r="AA321" s="14">
        <f>SUM(N321:Y321)</f>
        <v/>
      </c>
      <c r="AB321" s="13">
        <f>SUMPRODUCT(N321:Y321,$N$3:$Y$3)*$K321*$L321*$M321</f>
        <v/>
      </c>
      <c r="AC321" s="13">
        <f>SUMPRODUCT(N321:Y321,$N$4:$Y$4)*$K321*$L321*$M321</f>
        <v/>
      </c>
      <c r="AD321" s="15" t="n">
        <v>29.66666666666667</v>
      </c>
      <c r="AE321" s="11" t="n">
        <v>1.125581208914542</v>
      </c>
      <c r="AF321" s="16">
        <f>SUMPRODUCT(N321:Y321,$N$5:$Y$5)*$K321*$L321*$M321</f>
        <v/>
      </c>
      <c r="AG321" s="16">
        <f>SUMPRODUCT(N321:Y321,$N$6:$Y$6)*$K321*$L321*$M321</f>
        <v/>
      </c>
      <c r="AH321" s="20" t="n"/>
    </row>
    <row r="322">
      <c r="A322" s="9" t="n">
        <v>592662</v>
      </c>
      <c r="B322" s="9" t="inlineStr">
        <is>
          <t>Robbie Ray</t>
        </is>
      </c>
      <c r="C322" s="9" t="inlineStr">
        <is>
          <t>SD</t>
        </is>
      </c>
      <c r="D322" s="9" t="n">
        <v>35</v>
      </c>
      <c r="E322" s="18" t="inlineStr">
        <is>
          <t>L</t>
        </is>
      </c>
      <c r="F322" s="18" t="n"/>
      <c r="G322" s="9" t="n">
        <v>702</v>
      </c>
      <c r="H322" s="9" t="n">
        <v>2380</v>
      </c>
      <c r="I322" s="9" t="inlineStr">
        <is>
          <t>End-of-Rotation Starter (SP4-5)</t>
        </is>
      </c>
      <c r="J322" s="18" t="inlineStr">
        <is>
          <t>Opening Day</t>
        </is>
      </c>
      <c r="K322" s="11">
        <f>IFERROR(INDEX(Roles!$B$17:$B$20,MATCH(J322,Roles!$A$17:$A$20,0)),1)</f>
        <v/>
      </c>
      <c r="L322" s="19" t="n">
        <v>1</v>
      </c>
      <c r="M322" s="11" t="n">
        <v>1</v>
      </c>
      <c r="N322" s="19" t="n"/>
      <c r="O322" s="19" t="n"/>
      <c r="P322" s="19" t="n">
        <v>0.5</v>
      </c>
      <c r="Q322" s="19" t="n"/>
      <c r="R322" s="19" t="n">
        <v>0.5</v>
      </c>
      <c r="S322" s="19" t="n"/>
      <c r="T322" s="19" t="n"/>
      <c r="U322" s="19" t="n"/>
      <c r="V322" s="19" t="n"/>
      <c r="W322" s="19" t="n"/>
      <c r="X322" s="19" t="n"/>
      <c r="Y322" s="19" t="n"/>
      <c r="Z322" s="13">
        <f>SUMPRODUCT(N322:Y322,$N$2:$Y$2)*$K322*$L322*$M322</f>
        <v/>
      </c>
      <c r="AA322" s="14">
        <f>SUM(N322:Y322)</f>
        <v/>
      </c>
      <c r="AB322" s="13">
        <f>SUMPRODUCT(N322:Y322,$N$3:$Y$3)*$K322*$L322*$M322</f>
        <v/>
      </c>
      <c r="AC322" s="13">
        <f>SUMPRODUCT(N322:Y322,$N$4:$Y$4)*$K322*$L322*$M322</f>
        <v/>
      </c>
      <c r="AD322" s="15" t="n">
        <v>22.8</v>
      </c>
      <c r="AE322" s="11" t="n">
        <v>4.850722673893405</v>
      </c>
      <c r="AF322" s="16">
        <f>SUMPRODUCT(N322:Y322,$N$5:$Y$5)*$K322*$L322*$M322</f>
        <v/>
      </c>
      <c r="AG322" s="16">
        <f>SUMPRODUCT(N322:Y322,$N$6:$Y$6)*$K322*$L322*$M322</f>
        <v/>
      </c>
      <c r="AH322" s="20" t="n"/>
    </row>
    <row r="323">
      <c r="A323" s="9" t="n">
        <v>683000</v>
      </c>
      <c r="B323" s="9" t="inlineStr">
        <is>
          <t>Riley Cornelio</t>
        </is>
      </c>
      <c r="C323" s="9" t="inlineStr">
        <is>
          <t>WSH</t>
        </is>
      </c>
      <c r="D323" s="9" t="n">
        <v>27</v>
      </c>
      <c r="E323" s="18" t="inlineStr">
        <is>
          <t>R</t>
        </is>
      </c>
      <c r="F323" s="18" t="n"/>
      <c r="G323" s="9" t="n">
        <v>160</v>
      </c>
      <c r="H323" s="9" t="n">
        <v>160</v>
      </c>
      <c r="I323" s="9" t="inlineStr">
        <is>
          <t>Middle Relief</t>
        </is>
      </c>
      <c r="J323" s="18" t="inlineStr">
        <is>
          <t>Opening Day</t>
        </is>
      </c>
      <c r="K323" s="11">
        <f>IFERROR(INDEX(Roles!$B$17:$B$20,MATCH(J323,Roles!$A$17:$A$20,0)),1)</f>
        <v/>
      </c>
      <c r="L323" s="19" t="n">
        <v>1</v>
      </c>
      <c r="M323" s="11" t="n">
        <v>1</v>
      </c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>
        <v>0.5</v>
      </c>
      <c r="W323" s="19" t="n">
        <v>0.5</v>
      </c>
      <c r="X323" s="19" t="n"/>
      <c r="Y323" s="19" t="n"/>
      <c r="Z323" s="13">
        <f>SUMPRODUCT(N323:Y323,$N$2:$Y$2)*$K323*$L323*$M323</f>
        <v/>
      </c>
      <c r="AA323" s="14">
        <f>SUM(N323:Y323)</f>
        <v/>
      </c>
      <c r="AB323" s="13">
        <f>SUMPRODUCT(N323:Y323,$N$3:$Y$3)*$K323*$L323*$M323</f>
        <v/>
      </c>
      <c r="AC323" s="13">
        <f>SUMPRODUCT(N323:Y323,$N$4:$Y$4)*$K323*$L323*$M323</f>
        <v/>
      </c>
      <c r="AD323" s="15" t="n">
        <v>25.53333333333333</v>
      </c>
      <c r="AE323" s="11" t="n">
        <v>1.368156110454426</v>
      </c>
      <c r="AF323" s="16">
        <f>SUMPRODUCT(N323:Y323,$N$5:$Y$5)*$K323*$L323*$M323</f>
        <v/>
      </c>
      <c r="AG323" s="16">
        <f>SUMPRODUCT(N323:Y323,$N$6:$Y$6)*$K323*$L323*$M323</f>
        <v/>
      </c>
      <c r="AH323" s="20" t="n"/>
    </row>
    <row r="324">
      <c r="A324" s="9" t="n">
        <v>686993</v>
      </c>
      <c r="B324" s="9" t="inlineStr">
        <is>
          <t>Justin Sterner</t>
        </is>
      </c>
      <c r="C324" s="9" t="inlineStr">
        <is>
          <t>OAK</t>
        </is>
      </c>
      <c r="D324" s="9" t="n">
        <v>30</v>
      </c>
      <c r="E324" s="18" t="inlineStr">
        <is>
          <t>R</t>
        </is>
      </c>
      <c r="F324" s="18" t="n"/>
      <c r="G324" s="9" t="n">
        <v>184</v>
      </c>
      <c r="H324" s="9" t="n">
        <v>469</v>
      </c>
      <c r="I324" s="9" t="inlineStr">
        <is>
          <t>Bullpen Depth Arm</t>
        </is>
      </c>
      <c r="J324" s="18" t="inlineStr">
        <is>
          <t>Opening Day</t>
        </is>
      </c>
      <c r="K324" s="11">
        <f>IFERROR(INDEX(Roles!$B$17:$B$20,MATCH(J324,Roles!$A$17:$A$20,0)),1)</f>
        <v/>
      </c>
      <c r="L324" s="19" t="n">
        <v>1</v>
      </c>
      <c r="M324" s="11" t="n">
        <v>1</v>
      </c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>
        <v>0.15</v>
      </c>
      <c r="W324" s="19" t="n">
        <v>0.85</v>
      </c>
      <c r="X324" s="19" t="n"/>
      <c r="Y324" s="19" t="n"/>
      <c r="Z324" s="13">
        <f>SUMPRODUCT(N324:Y324,$N$2:$Y$2)*$K324*$L324*$M324</f>
        <v/>
      </c>
      <c r="AA324" s="14">
        <f>SUM(N324:Y324)</f>
        <v/>
      </c>
      <c r="AB324" s="13">
        <f>SUMPRODUCT(N324:Y324,$N$3:$Y$3)*$K324*$L324*$M324</f>
        <v/>
      </c>
      <c r="AC324" s="13">
        <f>SUMPRODUCT(N324:Y324,$N$4:$Y$4)*$K324*$L324*$M324</f>
        <v/>
      </c>
      <c r="AD324" s="15" t="n">
        <v>31.46666666666667</v>
      </c>
      <c r="AE324" s="11" t="n">
        <v>1.140008426830132</v>
      </c>
      <c r="AF324" s="16">
        <f>SUMPRODUCT(N324:Y324,$N$5:$Y$5)*$K324*$L324*$M324</f>
        <v/>
      </c>
      <c r="AG324" s="16">
        <f>SUMPRODUCT(N324:Y324,$N$6:$Y$6)*$K324*$L324*$M324</f>
        <v/>
      </c>
      <c r="AH324" s="20" t="n"/>
    </row>
    <row r="325">
      <c r="A325" s="9" t="n">
        <v>701542</v>
      </c>
      <c r="B325" s="9" t="inlineStr">
        <is>
          <t>Will Warren</t>
        </is>
      </c>
      <c r="C325" s="9" t="inlineStr">
        <is>
          <t>NYY</t>
        </is>
      </c>
      <c r="D325" s="9" t="n">
        <v>28</v>
      </c>
      <c r="E325" s="18" t="inlineStr">
        <is>
          <t>R</t>
        </is>
      </c>
      <c r="F325" s="18" t="n"/>
      <c r="G325" s="9" t="n">
        <v>677</v>
      </c>
      <c r="H325" s="9" t="n">
        <v>1498</v>
      </c>
      <c r="I325" s="9" t="inlineStr">
        <is>
          <t>End-of-Rotation Starter (SP4-5)</t>
        </is>
      </c>
      <c r="J325" s="18" t="inlineStr">
        <is>
          <t>Opening Day</t>
        </is>
      </c>
      <c r="K325" s="11">
        <f>IFERROR(INDEX(Roles!$B$17:$B$20,MATCH(J325,Roles!$A$17:$A$20,0)),1)</f>
        <v/>
      </c>
      <c r="L325" s="19" t="n">
        <v>1</v>
      </c>
      <c r="M325" s="11" t="n">
        <v>1</v>
      </c>
      <c r="N325" s="19" t="n"/>
      <c r="O325" s="19" t="n"/>
      <c r="P325" s="19" t="n">
        <v>0.5</v>
      </c>
      <c r="Q325" s="19" t="n"/>
      <c r="R325" s="19" t="n">
        <v>0.5</v>
      </c>
      <c r="S325" s="19" t="n"/>
      <c r="T325" s="19" t="n"/>
      <c r="U325" s="19" t="n"/>
      <c r="V325" s="19" t="n"/>
      <c r="W325" s="19" t="n"/>
      <c r="X325" s="19" t="n"/>
      <c r="Y325" s="19" t="n"/>
      <c r="Z325" s="13">
        <f>SUMPRODUCT(N325:Y325,$N$2:$Y$2)*$K325*$L325*$M325</f>
        <v/>
      </c>
      <c r="AA325" s="14">
        <f>SUM(N325:Y325)</f>
        <v/>
      </c>
      <c r="AB325" s="13">
        <f>SUMPRODUCT(N325:Y325,$N$3:$Y$3)*$K325*$L325*$M325</f>
        <v/>
      </c>
      <c r="AC325" s="13">
        <f>SUMPRODUCT(N325:Y325,$N$4:$Y$4)*$K325*$L325*$M325</f>
        <v/>
      </c>
      <c r="AD325" s="15" t="n">
        <v>23.2</v>
      </c>
      <c r="AE325" s="11" t="n">
        <v>4.654761904761904</v>
      </c>
      <c r="AF325" s="16">
        <f>SUMPRODUCT(N325:Y325,$N$5:$Y$5)*$K325*$L325*$M325</f>
        <v/>
      </c>
      <c r="AG325" s="16">
        <f>SUMPRODUCT(N325:Y325,$N$6:$Y$6)*$K325*$L325*$M325</f>
        <v/>
      </c>
      <c r="AH325" s="20" t="n"/>
    </row>
    <row r="326">
      <c r="A326" s="9" t="n">
        <v>570257</v>
      </c>
      <c r="B326" s="9" t="inlineStr">
        <is>
          <t>Joely Rodríguez</t>
        </is>
      </c>
      <c r="C326" s="9" t="inlineStr">
        <is>
          <t>BOS</t>
        </is>
      </c>
      <c r="D326" s="9" t="n">
        <v>35</v>
      </c>
      <c r="E326" s="18" t="inlineStr">
        <is>
          <t>L</t>
        </is>
      </c>
      <c r="F326" s="18" t="n"/>
      <c r="G326" s="9" t="n">
        <v>64</v>
      </c>
      <c r="H326" s="9" t="n">
        <v>331</v>
      </c>
      <c r="I326" s="9" t="inlineStr">
        <is>
          <t>Depth (no MLB IP)</t>
        </is>
      </c>
      <c r="J326" s="18" t="inlineStr">
        <is>
          <t>Opening Day</t>
        </is>
      </c>
      <c r="K326" s="11">
        <f>IFERROR(INDEX(Roles!$B$17:$B$20,MATCH(J326,Roles!$A$17:$A$20,0)),1)</f>
        <v/>
      </c>
      <c r="L326" s="19" t="n">
        <v>1</v>
      </c>
      <c r="M326" s="11" t="n">
        <v>1</v>
      </c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>
        <v>1</v>
      </c>
      <c r="Z326" s="13">
        <f>SUMPRODUCT(N326:Y326,$N$2:$Y$2)*$K326*$L326*$M326</f>
        <v/>
      </c>
      <c r="AA326" s="14">
        <f>SUM(N326:Y326)</f>
        <v/>
      </c>
      <c r="AB326" s="13">
        <f>SUMPRODUCT(N326:Y326,$N$3:$Y$3)*$K326*$L326*$M326</f>
        <v/>
      </c>
      <c r="AC326" s="13">
        <f>SUMPRODUCT(N326:Y326,$N$4:$Y$4)*$K326*$L326*$M326</f>
        <v/>
      </c>
      <c r="AD326" s="15" t="n">
        <v>9.6</v>
      </c>
      <c r="AE326" s="11" t="n">
        <v>0.9995943562610228</v>
      </c>
      <c r="AF326" s="16">
        <f>SUMPRODUCT(N326:Y326,$N$5:$Y$5)*$K326*$L326*$M326</f>
        <v/>
      </c>
      <c r="AG326" s="16">
        <f>SUMPRODUCT(N326:Y326,$N$6:$Y$6)*$K326*$L326*$M326</f>
        <v/>
      </c>
      <c r="AH326" s="20" t="n"/>
    </row>
    <row r="327">
      <c r="A327" s="9" t="n">
        <v>687309</v>
      </c>
      <c r="B327" s="9" t="inlineStr">
        <is>
          <t>Cooper Hjerpe</t>
        </is>
      </c>
      <c r="C327" s="9" t="inlineStr">
        <is>
          <t>STL</t>
        </is>
      </c>
      <c r="D327" s="9" t="n">
        <v>26</v>
      </c>
      <c r="E327" s="18" t="inlineStr">
        <is>
          <t>L</t>
        </is>
      </c>
      <c r="F327" s="18" t="n"/>
      <c r="G327" s="9" t="n">
        <v>55</v>
      </c>
      <c r="H327" s="9" t="n">
        <v>55</v>
      </c>
      <c r="I327" s="9" t="inlineStr">
        <is>
          <t>Bullpen Depth Arm</t>
        </is>
      </c>
      <c r="J327" s="18" t="inlineStr">
        <is>
          <t>Opening Day</t>
        </is>
      </c>
      <c r="K327" s="11">
        <f>IFERROR(INDEX(Roles!$B$17:$B$20,MATCH(J327,Roles!$A$17:$A$20,0)),1)</f>
        <v/>
      </c>
      <c r="L327" s="19" t="n">
        <v>1</v>
      </c>
      <c r="M327" s="11" t="n">
        <v>1</v>
      </c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>
        <v>1</v>
      </c>
      <c r="X327" s="19" t="n"/>
      <c r="Y327" s="19" t="n"/>
      <c r="Z327" s="13">
        <f>SUMPRODUCT(N327:Y327,$N$2:$Y$2)*$K327*$L327*$M327</f>
        <v/>
      </c>
      <c r="AA327" s="14">
        <f>SUM(N327:Y327)</f>
        <v/>
      </c>
      <c r="AB327" s="13">
        <f>SUMPRODUCT(N327:Y327,$N$3:$Y$3)*$K327*$L327*$M327</f>
        <v/>
      </c>
      <c r="AC327" s="13">
        <f>SUMPRODUCT(N327:Y327,$N$4:$Y$4)*$K327*$L327*$M327</f>
        <v/>
      </c>
      <c r="AD327" s="15" t="n">
        <v>8.066666666666666</v>
      </c>
      <c r="AE327" s="11" t="n">
        <v>1.829284912618246</v>
      </c>
      <c r="AF327" s="16">
        <f>SUMPRODUCT(N327:Y327,$N$5:$Y$5)*$K327*$L327*$M327</f>
        <v/>
      </c>
      <c r="AG327" s="16">
        <f>SUMPRODUCT(N327:Y327,$N$6:$Y$6)*$K327*$L327*$M327</f>
        <v/>
      </c>
      <c r="AH327" s="20" t="n"/>
    </row>
    <row r="328">
      <c r="A328" s="9" t="n">
        <v>676710</v>
      </c>
      <c r="B328" s="9" t="inlineStr">
        <is>
          <t>Kutter Crawford</t>
        </is>
      </c>
      <c r="C328" s="9" t="inlineStr">
        <is>
          <t>BOS</t>
        </is>
      </c>
      <c r="D328" s="9" t="n">
        <v>31</v>
      </c>
      <c r="E328" s="18" t="inlineStr">
        <is>
          <t>R</t>
        </is>
      </c>
      <c r="F328" s="18" t="n"/>
      <c r="G328" s="9" t="n">
        <v>759</v>
      </c>
      <c r="H328" s="9" t="n">
        <v>1620</v>
      </c>
      <c r="I328" s="9" t="inlineStr">
        <is>
          <t>Depth (no MLB IP)</t>
        </is>
      </c>
      <c r="J328" s="18" t="inlineStr">
        <is>
          <t>Opening Day</t>
        </is>
      </c>
      <c r="K328" s="11">
        <f>IFERROR(INDEX(Roles!$B$17:$B$20,MATCH(J328,Roles!$A$17:$A$20,0)),1)</f>
        <v/>
      </c>
      <c r="L328" s="19" t="n">
        <v>1</v>
      </c>
      <c r="M328" s="11" t="n">
        <v>1</v>
      </c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>
        <v>1</v>
      </c>
      <c r="Z328" s="13">
        <f>SUMPRODUCT(N328:Y328,$N$2:$Y$2)*$K328*$L328*$M328</f>
        <v/>
      </c>
      <c r="AA328" s="14">
        <f>SUM(N328:Y328)</f>
        <v/>
      </c>
      <c r="AB328" s="13">
        <f>SUMPRODUCT(N328:Y328,$N$3:$Y$3)*$K328*$L328*$M328</f>
        <v/>
      </c>
      <c r="AC328" s="13">
        <f>SUMPRODUCT(N328:Y328,$N$4:$Y$4)*$K328*$L328*$M328</f>
        <v/>
      </c>
      <c r="AD328" s="15" t="n">
        <v>21</v>
      </c>
      <c r="AE328" s="11" t="n">
        <v>2.529416386083053</v>
      </c>
      <c r="AF328" s="16">
        <f>SUMPRODUCT(N328:Y328,$N$5:$Y$5)*$K328*$L328*$M328</f>
        <v/>
      </c>
      <c r="AG328" s="16">
        <f>SUMPRODUCT(N328:Y328,$N$6:$Y$6)*$K328*$L328*$M328</f>
        <v/>
      </c>
      <c r="AH328" s="20" t="n"/>
    </row>
    <row r="329">
      <c r="A329" s="9" t="n">
        <v>678226</v>
      </c>
      <c r="B329" s="9" t="inlineStr">
        <is>
          <t>Daysbel Hernández</t>
        </is>
      </c>
      <c r="C329" s="9" t="inlineStr">
        <is>
          <t>ATL</t>
        </is>
      </c>
      <c r="D329" s="9" t="n">
        <v>30</v>
      </c>
      <c r="E329" s="18" t="inlineStr">
        <is>
          <t>R</t>
        </is>
      </c>
      <c r="F329" s="18" t="n"/>
      <c r="G329" s="9" t="n">
        <v>164</v>
      </c>
      <c r="H329" s="9" t="n">
        <v>258</v>
      </c>
      <c r="I329" s="9" t="inlineStr">
        <is>
          <t>Bullpen Depth Arm</t>
        </is>
      </c>
      <c r="J329" s="18" t="inlineStr">
        <is>
          <t>Opening Day</t>
        </is>
      </c>
      <c r="K329" s="11">
        <f>IFERROR(INDEX(Roles!$B$17:$B$20,MATCH(J329,Roles!$A$17:$A$20,0)),1)</f>
        <v/>
      </c>
      <c r="L329" s="19" t="n">
        <v>1</v>
      </c>
      <c r="M329" s="11" t="n">
        <v>1</v>
      </c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>
        <v>1</v>
      </c>
      <c r="X329" s="19" t="n"/>
      <c r="Y329" s="19" t="n"/>
      <c r="Z329" s="13">
        <f>SUMPRODUCT(N329:Y329,$N$2:$Y$2)*$K329*$L329*$M329</f>
        <v/>
      </c>
      <c r="AA329" s="14">
        <f>SUM(N329:Y329)</f>
        <v/>
      </c>
      <c r="AB329" s="13">
        <f>SUMPRODUCT(N329:Y329,$N$3:$Y$3)*$K329*$L329*$M329</f>
        <v/>
      </c>
      <c r="AC329" s="13">
        <f>SUMPRODUCT(N329:Y329,$N$4:$Y$4)*$K329*$L329*$M329</f>
        <v/>
      </c>
      <c r="AD329" s="15" t="n">
        <v>24.46666666666667</v>
      </c>
      <c r="AE329" s="11" t="n">
        <v>1.127748269592241</v>
      </c>
      <c r="AF329" s="16">
        <f>SUMPRODUCT(N329:Y329,$N$5:$Y$5)*$K329*$L329*$M329</f>
        <v/>
      </c>
      <c r="AG329" s="16">
        <f>SUMPRODUCT(N329:Y329,$N$6:$Y$6)*$K329*$L329*$M329</f>
        <v/>
      </c>
      <c r="AH329" s="20" t="n"/>
    </row>
    <row r="330">
      <c r="A330" s="9" t="n">
        <v>664202</v>
      </c>
      <c r="B330" s="9" t="inlineStr">
        <is>
          <t>Tyler Cyr</t>
        </is>
      </c>
      <c r="C330" s="9" t="inlineStr">
        <is>
          <t>OAK</t>
        </is>
      </c>
      <c r="D330" s="9" t="n">
        <v>34</v>
      </c>
      <c r="E330" s="18" t="inlineStr">
        <is>
          <t>R</t>
        </is>
      </c>
      <c r="F330" s="18" t="n"/>
      <c r="G330" s="9" t="n">
        <v>6</v>
      </c>
      <c r="H330" s="9" t="n">
        <v>61</v>
      </c>
      <c r="I330" s="9" t="inlineStr">
        <is>
          <t>Depth (no MLB IP)</t>
        </is>
      </c>
      <c r="J330" s="18" t="inlineStr">
        <is>
          <t>Opening Day</t>
        </is>
      </c>
      <c r="K330" s="11">
        <f>IFERROR(INDEX(Roles!$B$17:$B$20,MATCH(J330,Roles!$A$17:$A$20,0)),1)</f>
        <v/>
      </c>
      <c r="L330" s="19" t="n">
        <v>1</v>
      </c>
      <c r="M330" s="11" t="n">
        <v>1</v>
      </c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>
        <v>1</v>
      </c>
      <c r="Z330" s="13">
        <f>SUMPRODUCT(N330:Y330,$N$2:$Y$2)*$K330*$L330*$M330</f>
        <v/>
      </c>
      <c r="AA330" s="14">
        <f>SUM(N330:Y330)</f>
        <v/>
      </c>
      <c r="AB330" s="13">
        <f>SUMPRODUCT(N330:Y330,$N$3:$Y$3)*$K330*$L330*$M330</f>
        <v/>
      </c>
      <c r="AC330" s="13">
        <f>SUMPRODUCT(N330:Y330,$N$4:$Y$4)*$K330*$L330*$M330</f>
        <v/>
      </c>
      <c r="AD330" s="15" t="n">
        <v>3</v>
      </c>
      <c r="AE330" s="11" t="n">
        <v>1.011296296296296</v>
      </c>
      <c r="AF330" s="16">
        <f>SUMPRODUCT(N330:Y330,$N$5:$Y$5)*$K330*$L330*$M330</f>
        <v/>
      </c>
      <c r="AG330" s="16">
        <f>SUMPRODUCT(N330:Y330,$N$6:$Y$6)*$K330*$L330*$M330</f>
        <v/>
      </c>
      <c r="AH330" s="20" t="n"/>
    </row>
    <row r="331">
      <c r="A331" s="9" t="n">
        <v>689149</v>
      </c>
      <c r="B331" s="9" t="inlineStr">
        <is>
          <t>Chad Dallas</t>
        </is>
      </c>
      <c r="C331" s="9" t="inlineStr">
        <is>
          <t>TOR</t>
        </is>
      </c>
      <c r="D331" s="9" t="n">
        <v>27</v>
      </c>
      <c r="E331" s="18" t="inlineStr">
        <is>
          <t>R</t>
        </is>
      </c>
      <c r="F331" s="18" t="n"/>
      <c r="G331" s="9" t="n">
        <v>64</v>
      </c>
      <c r="H331" s="9" t="n">
        <v>64</v>
      </c>
      <c r="I331" s="9" t="inlineStr">
        <is>
          <t>Swing Arm / Long Relief</t>
        </is>
      </c>
      <c r="J331" s="18" t="inlineStr">
        <is>
          <t>Opening Day</t>
        </is>
      </c>
      <c r="K331" s="11">
        <f>IFERROR(INDEX(Roles!$B$17:$B$20,MATCH(J331,Roles!$A$17:$A$20,0)),1)</f>
        <v/>
      </c>
      <c r="L331" s="19" t="n">
        <v>1</v>
      </c>
      <c r="M331" s="11" t="n">
        <v>1</v>
      </c>
      <c r="N331" s="19" t="n"/>
      <c r="O331" s="19" t="n"/>
      <c r="P331" s="19" t="n"/>
      <c r="Q331" s="19" t="n"/>
      <c r="R331" s="19" t="n">
        <v>0.6</v>
      </c>
      <c r="S331" s="19" t="n"/>
      <c r="T331" s="19" t="n"/>
      <c r="U331" s="19" t="n"/>
      <c r="V331" s="19" t="n"/>
      <c r="W331" s="19" t="n">
        <v>0.4</v>
      </c>
      <c r="X331" s="19" t="n"/>
      <c r="Y331" s="19" t="n"/>
      <c r="Z331" s="13">
        <f>SUMPRODUCT(N331:Y331,$N$2:$Y$2)*$K331*$L331*$M331</f>
        <v/>
      </c>
      <c r="AA331" s="14">
        <f>SUM(N331:Y331)</f>
        <v/>
      </c>
      <c r="AB331" s="13">
        <f>SUMPRODUCT(N331:Y331,$N$3:$Y$3)*$K331*$L331*$M331</f>
        <v/>
      </c>
      <c r="AC331" s="13">
        <f>SUMPRODUCT(N331:Y331,$N$4:$Y$4)*$K331*$L331*$M331</f>
        <v/>
      </c>
      <c r="AD331" s="15" t="n">
        <v>11.73333333333333</v>
      </c>
      <c r="AE331" s="11" t="n">
        <v>2.464784456587735</v>
      </c>
      <c r="AF331" s="16">
        <f>SUMPRODUCT(N331:Y331,$N$5:$Y$5)*$K331*$L331*$M331</f>
        <v/>
      </c>
      <c r="AG331" s="16">
        <f>SUMPRODUCT(N331:Y331,$N$6:$Y$6)*$K331*$L331*$M331</f>
        <v/>
      </c>
      <c r="AH331" s="20" t="n"/>
    </row>
    <row r="332">
      <c r="A332" s="9" t="n">
        <v>608331</v>
      </c>
      <c r="B332" s="9" t="inlineStr">
        <is>
          <t>Max Fried</t>
        </is>
      </c>
      <c r="C332" s="9" t="inlineStr">
        <is>
          <t>NYY</t>
        </is>
      </c>
      <c r="D332" s="9" t="n">
        <v>33</v>
      </c>
      <c r="E332" s="18" t="inlineStr">
        <is>
          <t>L</t>
        </is>
      </c>
      <c r="F332" s="18" t="n"/>
      <c r="G332" s="9" t="n">
        <v>434</v>
      </c>
      <c r="H332" s="9" t="n">
        <v>2993</v>
      </c>
      <c r="I332" s="9" t="inlineStr">
        <is>
          <t>Mid-Rotation Starter (SP2-3)</t>
        </is>
      </c>
      <c r="J332" s="18" t="inlineStr">
        <is>
          <t>Opening Day</t>
        </is>
      </c>
      <c r="K332" s="11">
        <f>IFERROR(INDEX(Roles!$B$17:$B$20,MATCH(J332,Roles!$A$17:$A$20,0)),1)</f>
        <v/>
      </c>
      <c r="L332" s="19" t="n">
        <v>1</v>
      </c>
      <c r="M332" s="11" t="n">
        <v>1</v>
      </c>
      <c r="N332" s="19" t="n"/>
      <c r="O332" s="19" t="n">
        <v>0.5</v>
      </c>
      <c r="P332" s="19" t="n">
        <v>0.5</v>
      </c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3">
        <f>SUMPRODUCT(N332:Y332,$N$2:$Y$2)*$K332*$L332*$M332</f>
        <v/>
      </c>
      <c r="AA332" s="14">
        <f>SUM(N332:Y332)</f>
        <v/>
      </c>
      <c r="AB332" s="13">
        <f>SUMPRODUCT(N332:Y332,$N$3:$Y$3)*$K332*$L332*$M332</f>
        <v/>
      </c>
      <c r="AC332" s="13">
        <f>SUMPRODUCT(N332:Y332,$N$4:$Y$4)*$K332*$L332*$M332</f>
        <v/>
      </c>
      <c r="AD332" s="15" t="n">
        <v>25.7</v>
      </c>
      <c r="AE332" s="11" t="n">
        <v>5.436854311617121</v>
      </c>
      <c r="AF332" s="16">
        <f>SUMPRODUCT(N332:Y332,$N$5:$Y$5)*$K332*$L332*$M332</f>
        <v/>
      </c>
      <c r="AG332" s="16">
        <f>SUMPRODUCT(N332:Y332,$N$6:$Y$6)*$K332*$L332*$M332</f>
        <v/>
      </c>
      <c r="AH332" s="20" t="n"/>
    </row>
    <row r="333">
      <c r="A333" s="9" t="n">
        <v>672629</v>
      </c>
      <c r="B333" s="9" t="inlineStr">
        <is>
          <t>Gerardo Carrillo</t>
        </is>
      </c>
      <c r="C333" s="9" t="inlineStr">
        <is>
          <t>ARI</t>
        </is>
      </c>
      <c r="D333" s="9" t="n">
        <v>28</v>
      </c>
      <c r="E333" s="18" t="inlineStr">
        <is>
          <t>R</t>
        </is>
      </c>
      <c r="F333" s="18" t="n"/>
      <c r="G333" s="9" t="n">
        <v>81</v>
      </c>
      <c r="H333" s="9" t="n">
        <v>81</v>
      </c>
      <c r="I333" s="9" t="inlineStr">
        <is>
          <t>Bullpen Depth Arm</t>
        </is>
      </c>
      <c r="J333" s="18" t="inlineStr">
        <is>
          <t>Opening Day</t>
        </is>
      </c>
      <c r="K333" s="11">
        <f>IFERROR(INDEX(Roles!$B$17:$B$20,MATCH(J333,Roles!$A$17:$A$20,0)),1)</f>
        <v/>
      </c>
      <c r="L333" s="19" t="n">
        <v>1</v>
      </c>
      <c r="M333" s="11" t="n">
        <v>1</v>
      </c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>
        <v>1</v>
      </c>
      <c r="X333" s="19" t="n"/>
      <c r="Y333" s="19" t="n"/>
      <c r="Z333" s="13">
        <f>SUMPRODUCT(N333:Y333,$N$2:$Y$2)*$K333*$L333*$M333</f>
        <v/>
      </c>
      <c r="AA333" s="14">
        <f>SUM(N333:Y333)</f>
        <v/>
      </c>
      <c r="AB333" s="13">
        <f>SUMPRODUCT(N333:Y333,$N$3:$Y$3)*$K333*$L333*$M333</f>
        <v/>
      </c>
      <c r="AC333" s="13">
        <f>SUMPRODUCT(N333:Y333,$N$4:$Y$4)*$K333*$L333*$M333</f>
        <v/>
      </c>
      <c r="AD333" s="15" t="n">
        <v>13.46666666666666</v>
      </c>
      <c r="AE333" s="11" t="n">
        <v>1.245951579284912</v>
      </c>
      <c r="AF333" s="16">
        <f>SUMPRODUCT(N333:Y333,$N$5:$Y$5)*$K333*$L333*$M333</f>
        <v/>
      </c>
      <c r="AG333" s="16">
        <f>SUMPRODUCT(N333:Y333,$N$6:$Y$6)*$K333*$L333*$M333</f>
        <v/>
      </c>
      <c r="AH333" s="20" t="n"/>
    </row>
    <row r="334">
      <c r="A334" s="9" t="n">
        <v>594027</v>
      </c>
      <c r="B334" s="9" t="inlineStr">
        <is>
          <t>Tyron Guerrero</t>
        </is>
      </c>
      <c r="C334" s="9" t="inlineStr">
        <is>
          <t>BOS</t>
        </is>
      </c>
      <c r="D334" s="9" t="n">
        <v>36</v>
      </c>
      <c r="E334" s="18" t="inlineStr">
        <is>
          <t>R</t>
        </is>
      </c>
      <c r="F334" s="18" t="n"/>
      <c r="G334" s="9" t="n">
        <v>166</v>
      </c>
      <c r="H334" s="9" t="n">
        <v>166</v>
      </c>
      <c r="I334" s="9" t="inlineStr">
        <is>
          <t>Middle Relief</t>
        </is>
      </c>
      <c r="J334" s="18" t="inlineStr">
        <is>
          <t>Opening Day</t>
        </is>
      </c>
      <c r="K334" s="11">
        <f>IFERROR(INDEX(Roles!$B$17:$B$20,MATCH(J334,Roles!$A$17:$A$20,0)),1)</f>
        <v/>
      </c>
      <c r="L334" s="19" t="n">
        <v>1</v>
      </c>
      <c r="M334" s="11" t="n">
        <v>1</v>
      </c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>
        <v>0.5</v>
      </c>
      <c r="W334" s="19" t="n">
        <v>0.5</v>
      </c>
      <c r="X334" s="19" t="n"/>
      <c r="Y334" s="19" t="n"/>
      <c r="Z334" s="13">
        <f>SUMPRODUCT(N334:Y334,$N$2:$Y$2)*$K334*$L334*$M334</f>
        <v/>
      </c>
      <c r="AA334" s="14">
        <f>SUM(N334:Y334)</f>
        <v/>
      </c>
      <c r="AB334" s="13">
        <f>SUMPRODUCT(N334:Y334,$N$3:$Y$3)*$K334*$L334*$M334</f>
        <v/>
      </c>
      <c r="AC334" s="13">
        <f>SUMPRODUCT(N334:Y334,$N$4:$Y$4)*$K334*$L334*$M334</f>
        <v/>
      </c>
      <c r="AD334" s="15" t="n">
        <v>38.73333333333333</v>
      </c>
      <c r="AE334" s="11" t="n">
        <v>1.028032653664302</v>
      </c>
      <c r="AF334" s="16">
        <f>SUMPRODUCT(N334:Y334,$N$5:$Y$5)*$K334*$L334*$M334</f>
        <v/>
      </c>
      <c r="AG334" s="16">
        <f>SUMPRODUCT(N334:Y334,$N$6:$Y$6)*$K334*$L334*$M334</f>
        <v/>
      </c>
      <c r="AH334" s="20" t="n"/>
    </row>
    <row r="335">
      <c r="A335" s="9" t="n">
        <v>687570</v>
      </c>
      <c r="B335" s="9" t="inlineStr">
        <is>
          <t>Connor Prielipp</t>
        </is>
      </c>
      <c r="C335" s="9" t="inlineStr">
        <is>
          <t>MIN</t>
        </is>
      </c>
      <c r="D335" s="9" t="n">
        <v>26</v>
      </c>
      <c r="E335" s="18" t="inlineStr">
        <is>
          <t>L</t>
        </is>
      </c>
      <c r="F335" s="18" t="n"/>
      <c r="G335" s="9" t="n">
        <v>535</v>
      </c>
      <c r="H335" s="9" t="n">
        <v>535</v>
      </c>
      <c r="I335" s="9" t="inlineStr">
        <is>
          <t>End-of-Rotation Starter (SP4-5)</t>
        </is>
      </c>
      <c r="J335" s="18" t="inlineStr">
        <is>
          <t>Opening Day</t>
        </is>
      </c>
      <c r="K335" s="11">
        <f>IFERROR(INDEX(Roles!$B$17:$B$20,MATCH(J335,Roles!$A$17:$A$20,0)),1)</f>
        <v/>
      </c>
      <c r="L335" s="19" t="n">
        <v>1</v>
      </c>
      <c r="M335" s="11" t="n">
        <v>1</v>
      </c>
      <c r="N335" s="19" t="n"/>
      <c r="O335" s="19" t="n"/>
      <c r="P335" s="19" t="n">
        <v>0.5</v>
      </c>
      <c r="Q335" s="19" t="n"/>
      <c r="R335" s="19" t="n">
        <v>0.5</v>
      </c>
      <c r="S335" s="19" t="n"/>
      <c r="T335" s="19" t="n"/>
      <c r="U335" s="19" t="n"/>
      <c r="V335" s="19" t="n"/>
      <c r="W335" s="19" t="n"/>
      <c r="X335" s="19" t="n"/>
      <c r="Y335" s="19" t="n"/>
      <c r="Z335" s="13">
        <f>SUMPRODUCT(N335:Y335,$N$2:$Y$2)*$K335*$L335*$M335</f>
        <v/>
      </c>
      <c r="AA335" s="14">
        <f>SUM(N335:Y335)</f>
        <v/>
      </c>
      <c r="AB335" s="13">
        <f>SUMPRODUCT(N335:Y335,$N$3:$Y$3)*$K335*$L335*$M335</f>
        <v/>
      </c>
      <c r="AC335" s="13">
        <f>SUMPRODUCT(N335:Y335,$N$4:$Y$4)*$K335*$L335*$M335</f>
        <v/>
      </c>
      <c r="AD335" s="15" t="n">
        <v>20.8</v>
      </c>
      <c r="AE335" s="11" t="n">
        <v>4.782407407407408</v>
      </c>
      <c r="AF335" s="16">
        <f>SUMPRODUCT(N335:Y335,$N$5:$Y$5)*$K335*$L335*$M335</f>
        <v/>
      </c>
      <c r="AG335" s="16">
        <f>SUMPRODUCT(N335:Y335,$N$6:$Y$6)*$K335*$L335*$M335</f>
        <v/>
      </c>
      <c r="AH335" s="20" t="n"/>
    </row>
    <row r="336">
      <c r="A336" s="9" t="n">
        <v>621363</v>
      </c>
      <c r="B336" s="9" t="inlineStr">
        <is>
          <t>Colin Poche</t>
        </is>
      </c>
      <c r="C336" s="9" t="inlineStr">
        <is>
          <t>NYM</t>
        </is>
      </c>
      <c r="D336" s="9" t="n">
        <v>33</v>
      </c>
      <c r="E336" s="18" t="inlineStr">
        <is>
          <t>L</t>
        </is>
      </c>
      <c r="F336" s="18" t="n"/>
      <c r="G336" s="9" t="n">
        <v>52</v>
      </c>
      <c r="H336" s="9" t="n">
        <v>696</v>
      </c>
      <c r="I336" s="9" t="inlineStr">
        <is>
          <t>Bullpen Depth Arm</t>
        </is>
      </c>
      <c r="J336" s="18" t="inlineStr">
        <is>
          <t>Opening Day</t>
        </is>
      </c>
      <c r="K336" s="11">
        <f>IFERROR(INDEX(Roles!$B$17:$B$20,MATCH(J336,Roles!$A$17:$A$20,0)),1)</f>
        <v/>
      </c>
      <c r="L336" s="19" t="n">
        <v>1</v>
      </c>
      <c r="M336" s="11" t="n">
        <v>1</v>
      </c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>
        <v>1</v>
      </c>
      <c r="X336" s="19" t="n"/>
      <c r="Y336" s="19" t="n"/>
      <c r="Z336" s="13">
        <f>SUMPRODUCT(N336:Y336,$N$2:$Y$2)*$K336*$L336*$M336</f>
        <v/>
      </c>
      <c r="AA336" s="14">
        <f>SUM(N336:Y336)</f>
        <v/>
      </c>
      <c r="AB336" s="13">
        <f>SUMPRODUCT(N336:Y336,$N$3:$Y$3)*$K336*$L336*$M336</f>
        <v/>
      </c>
      <c r="AC336" s="13">
        <f>SUMPRODUCT(N336:Y336,$N$4:$Y$4)*$K336*$L336*$M336</f>
        <v/>
      </c>
      <c r="AD336" s="15" t="n">
        <v>19.86666666666667</v>
      </c>
      <c r="AE336" s="11" t="n">
        <v>1.064417932962534</v>
      </c>
      <c r="AF336" s="16">
        <f>SUMPRODUCT(N336:Y336,$N$5:$Y$5)*$K336*$L336*$M336</f>
        <v/>
      </c>
      <c r="AG336" s="16">
        <f>SUMPRODUCT(N336:Y336,$N$6:$Y$6)*$K336*$L336*$M336</f>
        <v/>
      </c>
      <c r="AH336" s="20" t="n"/>
    </row>
    <row r="337">
      <c r="A337" s="9" t="n">
        <v>622772</v>
      </c>
      <c r="B337" s="9" t="inlineStr">
        <is>
          <t>Jimmy Cordero</t>
        </is>
      </c>
      <c r="C337" s="9" t="inlineStr">
        <is>
          <t>NYY</t>
        </is>
      </c>
      <c r="D337" s="9" t="n">
        <v>35</v>
      </c>
      <c r="E337" s="18" t="inlineStr">
        <is>
          <t>R</t>
        </is>
      </c>
      <c r="F337" s="18" t="n"/>
      <c r="G337" s="9" t="n">
        <v>132</v>
      </c>
      <c r="H337" s="9" t="n">
        <v>132</v>
      </c>
      <c r="I337" s="9" t="inlineStr">
        <is>
          <t>Depth (no MLB IP)</t>
        </is>
      </c>
      <c r="J337" s="18" t="inlineStr">
        <is>
          <t>Opening Day</t>
        </is>
      </c>
      <c r="K337" s="11">
        <f>IFERROR(INDEX(Roles!$B$17:$B$20,MATCH(J337,Roles!$A$17:$A$20,0)),1)</f>
        <v/>
      </c>
      <c r="L337" s="19" t="n">
        <v>1</v>
      </c>
      <c r="M337" s="11" t="n">
        <v>1</v>
      </c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>
        <v>1</v>
      </c>
      <c r="Z337" s="13">
        <f>SUMPRODUCT(N337:Y337,$N$2:$Y$2)*$K337*$L337*$M337</f>
        <v/>
      </c>
      <c r="AA337" s="14">
        <f>SUM(N337:Y337)</f>
        <v/>
      </c>
      <c r="AB337" s="13">
        <f>SUMPRODUCT(N337:Y337,$N$3:$Y$3)*$K337*$L337*$M337</f>
        <v/>
      </c>
      <c r="AC337" s="13">
        <f>SUMPRODUCT(N337:Y337,$N$4:$Y$4)*$K337*$L337*$M337</f>
        <v/>
      </c>
      <c r="AD337" s="15" t="n">
        <v>3</v>
      </c>
      <c r="AE337" s="11" t="n">
        <v>1.011296296296296</v>
      </c>
      <c r="AF337" s="16">
        <f>SUMPRODUCT(N337:Y337,$N$5:$Y$5)*$K337*$L337*$M337</f>
        <v/>
      </c>
      <c r="AG337" s="16">
        <f>SUMPRODUCT(N337:Y337,$N$6:$Y$6)*$K337*$L337*$M337</f>
        <v/>
      </c>
      <c r="AH337" s="20" t="n"/>
    </row>
    <row r="338">
      <c r="A338" s="9" t="n">
        <v>669459</v>
      </c>
      <c r="B338" s="9" t="inlineStr">
        <is>
          <t>Kyle Nelson</t>
        </is>
      </c>
      <c r="C338" s="9" t="inlineStr">
        <is>
          <t>ARI</t>
        </is>
      </c>
      <c r="D338" s="9" t="n">
        <v>30</v>
      </c>
      <c r="E338" s="18" t="inlineStr">
        <is>
          <t>L</t>
        </is>
      </c>
      <c r="F338" s="18" t="n"/>
      <c r="G338" s="9" t="n">
        <v>11</v>
      </c>
      <c r="H338" s="9" t="n">
        <v>443</v>
      </c>
      <c r="I338" s="9" t="inlineStr">
        <is>
          <t>Depth (no MLB IP)</t>
        </is>
      </c>
      <c r="J338" s="18" t="inlineStr">
        <is>
          <t>Opening Day</t>
        </is>
      </c>
      <c r="K338" s="11">
        <f>IFERROR(INDEX(Roles!$B$17:$B$20,MATCH(J338,Roles!$A$17:$A$20,0)),1)</f>
        <v/>
      </c>
      <c r="L338" s="19" t="n">
        <v>1</v>
      </c>
      <c r="M338" s="11" t="n">
        <v>1</v>
      </c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>
        <v>1</v>
      </c>
      <c r="Z338" s="13">
        <f>SUMPRODUCT(N338:Y338,$N$2:$Y$2)*$K338*$L338*$M338</f>
        <v/>
      </c>
      <c r="AA338" s="14">
        <f>SUM(N338:Y338)</f>
        <v/>
      </c>
      <c r="AB338" s="13">
        <f>SUMPRODUCT(N338:Y338,$N$3:$Y$3)*$K338*$L338*$M338</f>
        <v/>
      </c>
      <c r="AC338" s="13">
        <f>SUMPRODUCT(N338:Y338,$N$4:$Y$4)*$K338*$L338*$M338</f>
        <v/>
      </c>
      <c r="AD338" s="15" t="n">
        <v>4.6</v>
      </c>
      <c r="AE338" s="11" t="n">
        <v>0.9617792302106024</v>
      </c>
      <c r="AF338" s="16">
        <f>SUMPRODUCT(N338:Y338,$N$5:$Y$5)*$K338*$L338*$M338</f>
        <v/>
      </c>
      <c r="AG338" s="16">
        <f>SUMPRODUCT(N338:Y338,$N$6:$Y$6)*$K338*$L338*$M338</f>
        <v/>
      </c>
      <c r="AH338" s="20" t="n"/>
    </row>
    <row r="339">
      <c r="A339" s="9" t="n">
        <v>690279</v>
      </c>
      <c r="B339" s="9" t="inlineStr">
        <is>
          <t>Mason Adams</t>
        </is>
      </c>
      <c r="C339" s="9" t="inlineStr">
        <is>
          <t>COL</t>
        </is>
      </c>
      <c r="D339" s="9" t="n">
        <v>27</v>
      </c>
      <c r="E339" s="18" t="inlineStr">
        <is>
          <t>R</t>
        </is>
      </c>
      <c r="F339" s="18" t="n"/>
      <c r="G339" s="9" t="n">
        <v>124</v>
      </c>
      <c r="H339" s="9" t="n">
        <v>124</v>
      </c>
      <c r="I339" s="9" t="inlineStr">
        <is>
          <t>End-of-Rotation Starter (SP4-5)</t>
        </is>
      </c>
      <c r="J339" s="18" t="inlineStr">
        <is>
          <t>Opening Day</t>
        </is>
      </c>
      <c r="K339" s="11">
        <f>IFERROR(INDEX(Roles!$B$17:$B$20,MATCH(J339,Roles!$A$17:$A$20,0)),1)</f>
        <v/>
      </c>
      <c r="L339" s="19" t="n">
        <v>1</v>
      </c>
      <c r="M339" s="11" t="n">
        <v>1</v>
      </c>
      <c r="N339" s="19" t="n"/>
      <c r="O339" s="19" t="n"/>
      <c r="P339" s="19" t="n">
        <v>0.5</v>
      </c>
      <c r="Q339" s="19" t="n"/>
      <c r="R339" s="19" t="n">
        <v>0.5</v>
      </c>
      <c r="S339" s="19" t="n"/>
      <c r="T339" s="19" t="n"/>
      <c r="U339" s="19" t="n"/>
      <c r="V339" s="19" t="n"/>
      <c r="W339" s="19" t="n"/>
      <c r="X339" s="19" t="n"/>
      <c r="Y339" s="19" t="n"/>
      <c r="Z339" s="13">
        <f>SUMPRODUCT(N339:Y339,$N$2:$Y$2)*$K339*$L339*$M339</f>
        <v/>
      </c>
      <c r="AA339" s="14">
        <f>SUM(N339:Y339)</f>
        <v/>
      </c>
      <c r="AB339" s="13">
        <f>SUMPRODUCT(N339:Y339,$N$3:$Y$3)*$K339*$L339*$M339</f>
        <v/>
      </c>
      <c r="AC339" s="13">
        <f>SUMPRODUCT(N339:Y339,$N$4:$Y$4)*$K339*$L339*$M339</f>
        <v/>
      </c>
      <c r="AD339" s="15" t="n">
        <v>10</v>
      </c>
      <c r="AE339" s="11" t="n">
        <v>4.648148148148148</v>
      </c>
      <c r="AF339" s="16">
        <f>SUMPRODUCT(N339:Y339,$N$5:$Y$5)*$K339*$L339*$M339</f>
        <v/>
      </c>
      <c r="AG339" s="16">
        <f>SUMPRODUCT(N339:Y339,$N$6:$Y$6)*$K339*$L339*$M339</f>
        <v/>
      </c>
      <c r="AH339" s="20" t="n"/>
    </row>
    <row r="340">
      <c r="A340" s="9" t="n">
        <v>669084</v>
      </c>
      <c r="B340" s="9" t="inlineStr">
        <is>
          <t>DL Hall</t>
        </is>
      </c>
      <c r="C340" s="9" t="inlineStr">
        <is>
          <t>MIL</t>
        </is>
      </c>
      <c r="D340" s="9" t="n">
        <v>28</v>
      </c>
      <c r="E340" s="18" t="inlineStr">
        <is>
          <t>L</t>
        </is>
      </c>
      <c r="F340" s="18" t="n"/>
      <c r="G340" s="9" t="n">
        <v>241</v>
      </c>
      <c r="H340" s="9" t="n">
        <v>738</v>
      </c>
      <c r="I340" s="9" t="inlineStr">
        <is>
          <t>Swing Arm / Long Relief</t>
        </is>
      </c>
      <c r="J340" s="18" t="inlineStr">
        <is>
          <t>Opening Day</t>
        </is>
      </c>
      <c r="K340" s="11">
        <f>IFERROR(INDEX(Roles!$B$17:$B$20,MATCH(J340,Roles!$A$17:$A$20,0)),1)</f>
        <v/>
      </c>
      <c r="L340" s="19" t="n">
        <v>1</v>
      </c>
      <c r="M340" s="11" t="n">
        <v>1</v>
      </c>
      <c r="N340" s="19" t="n"/>
      <c r="O340" s="19" t="n"/>
      <c r="P340" s="19" t="n"/>
      <c r="Q340" s="19" t="n"/>
      <c r="R340" s="19" t="n">
        <v>0.6</v>
      </c>
      <c r="S340" s="19" t="n"/>
      <c r="T340" s="19" t="n"/>
      <c r="U340" s="19" t="n"/>
      <c r="V340" s="19" t="n"/>
      <c r="W340" s="19" t="n">
        <v>0.4</v>
      </c>
      <c r="X340" s="19" t="n"/>
      <c r="Y340" s="19" t="n"/>
      <c r="Z340" s="13">
        <f>SUMPRODUCT(N340:Y340,$N$2:$Y$2)*$K340*$L340*$M340</f>
        <v/>
      </c>
      <c r="AA340" s="14">
        <f>SUM(N340:Y340)</f>
        <v/>
      </c>
      <c r="AB340" s="13">
        <f>SUMPRODUCT(N340:Y340,$N$3:$Y$3)*$K340*$L340*$M340</f>
        <v/>
      </c>
      <c r="AC340" s="13">
        <f>SUMPRODUCT(N340:Y340,$N$4:$Y$4)*$K340*$L340*$M340</f>
        <v/>
      </c>
      <c r="AD340" s="15" t="n">
        <v>27.53333333333333</v>
      </c>
      <c r="AE340" s="11" t="n">
        <v>2.191397667737029</v>
      </c>
      <c r="AF340" s="16">
        <f>SUMPRODUCT(N340:Y340,$N$5:$Y$5)*$K340*$L340*$M340</f>
        <v/>
      </c>
      <c r="AG340" s="16">
        <f>SUMPRODUCT(N340:Y340,$N$6:$Y$6)*$K340*$L340*$M340</f>
        <v/>
      </c>
      <c r="AH340" s="20" t="n"/>
    </row>
    <row r="341">
      <c r="A341" s="9" t="n">
        <v>695380</v>
      </c>
      <c r="B341" s="9" t="inlineStr">
        <is>
          <t>Alex Hoppe</t>
        </is>
      </c>
      <c r="C341" s="9" t="inlineStr">
        <is>
          <t>BAL</t>
        </is>
      </c>
      <c r="D341" s="9" t="n">
        <v>28</v>
      </c>
      <c r="E341" s="18" t="inlineStr">
        <is>
          <t>R</t>
        </is>
      </c>
      <c r="F341" s="18" t="n"/>
      <c r="G341" s="9" t="n">
        <v>192</v>
      </c>
      <c r="H341" s="9" t="n">
        <v>192</v>
      </c>
      <c r="I341" s="9" t="inlineStr">
        <is>
          <t>Middle Relief</t>
        </is>
      </c>
      <c r="J341" s="18" t="inlineStr">
        <is>
          <t>Opening Day</t>
        </is>
      </c>
      <c r="K341" s="11">
        <f>IFERROR(INDEX(Roles!$B$17:$B$20,MATCH(J341,Roles!$A$17:$A$20,0)),1)</f>
        <v/>
      </c>
      <c r="L341" s="19" t="n">
        <v>1</v>
      </c>
      <c r="M341" s="11" t="n">
        <v>1</v>
      </c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>
        <v>0.6</v>
      </c>
      <c r="W341" s="19" t="n">
        <v>0.4</v>
      </c>
      <c r="X341" s="19" t="n"/>
      <c r="Y341" s="19" t="n"/>
      <c r="Z341" s="13">
        <f>SUMPRODUCT(N341:Y341,$N$2:$Y$2)*$K341*$L341*$M341</f>
        <v/>
      </c>
      <c r="AA341" s="14">
        <f>SUM(N341:Y341)</f>
        <v/>
      </c>
      <c r="AB341" s="13">
        <f>SUMPRODUCT(N341:Y341,$N$3:$Y$3)*$K341*$L341*$M341</f>
        <v/>
      </c>
      <c r="AC341" s="13">
        <f>SUMPRODUCT(N341:Y341,$N$4:$Y$4)*$K341*$L341*$M341</f>
        <v/>
      </c>
      <c r="AD341" s="15" t="n">
        <v>39.93333333333333</v>
      </c>
      <c r="AE341" s="11" t="n">
        <v>1.027768103399752</v>
      </c>
      <c r="AF341" s="16">
        <f>SUMPRODUCT(N341:Y341,$N$5:$Y$5)*$K341*$L341*$M341</f>
        <v/>
      </c>
      <c r="AG341" s="16">
        <f>SUMPRODUCT(N341:Y341,$N$6:$Y$6)*$K341*$L341*$M341</f>
        <v/>
      </c>
      <c r="AH341" s="20" t="n"/>
    </row>
    <row r="342">
      <c r="A342" s="9" t="n">
        <v>641482</v>
      </c>
      <c r="B342" s="9" t="inlineStr">
        <is>
          <t>Nestor Cortes</t>
        </is>
      </c>
      <c r="C342" s="9" t="inlineStr">
        <is>
          <t>SD</t>
        </is>
      </c>
      <c r="D342" s="9" t="n">
        <v>32</v>
      </c>
      <c r="E342" s="18" t="inlineStr">
        <is>
          <t>L</t>
        </is>
      </c>
      <c r="F342" s="18" t="n"/>
      <c r="G342" s="9" t="n">
        <v>157</v>
      </c>
      <c r="H342" s="9" t="n">
        <v>1748</v>
      </c>
      <c r="I342" s="9" t="inlineStr">
        <is>
          <t>Mid-Rotation Starter (SP2-3)</t>
        </is>
      </c>
      <c r="J342" s="18" t="inlineStr">
        <is>
          <t>Opening Day</t>
        </is>
      </c>
      <c r="K342" s="11">
        <f>IFERROR(INDEX(Roles!$B$17:$B$20,MATCH(J342,Roles!$A$17:$A$20,0)),1)</f>
        <v/>
      </c>
      <c r="L342" s="19" t="n">
        <v>1</v>
      </c>
      <c r="M342" s="11" t="n">
        <v>1</v>
      </c>
      <c r="N342" s="19" t="n"/>
      <c r="O342" s="19" t="n">
        <v>1</v>
      </c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3">
        <f>SUMPRODUCT(N342:Y342,$N$2:$Y$2)*$K342*$L342*$M342</f>
        <v/>
      </c>
      <c r="AA342" s="14">
        <f>SUM(N342:Y342)</f>
        <v/>
      </c>
      <c r="AB342" s="13">
        <f>SUMPRODUCT(N342:Y342,$N$3:$Y$3)*$K342*$L342*$M342</f>
        <v/>
      </c>
      <c r="AC342" s="13">
        <f>SUMPRODUCT(N342:Y342,$N$4:$Y$4)*$K342*$L342*$M342</f>
        <v/>
      </c>
      <c r="AD342" s="15" t="n">
        <v>19.8</v>
      </c>
      <c r="AE342" s="11" t="n">
        <v>5.192938305498362</v>
      </c>
      <c r="AF342" s="16">
        <f>SUMPRODUCT(N342:Y342,$N$5:$Y$5)*$K342*$L342*$M342</f>
        <v/>
      </c>
      <c r="AG342" s="16">
        <f>SUMPRODUCT(N342:Y342,$N$6:$Y$6)*$K342*$L342*$M342</f>
        <v/>
      </c>
      <c r="AH342" s="20" t="n"/>
    </row>
    <row r="343">
      <c r="A343" s="9" t="n">
        <v>605154</v>
      </c>
      <c r="B343" s="9" t="inlineStr">
        <is>
          <t>John Brebbia</t>
        </is>
      </c>
      <c r="C343" s="9" t="inlineStr">
        <is>
          <t>ATL</t>
        </is>
      </c>
      <c r="D343" s="9" t="n">
        <v>37</v>
      </c>
      <c r="E343" s="18" t="inlineStr">
        <is>
          <t>R</t>
        </is>
      </c>
      <c r="F343" s="18" t="n"/>
      <c r="G343" s="9" t="n">
        <v>21</v>
      </c>
      <c r="H343" s="9" t="n">
        <v>827</v>
      </c>
      <c r="I343" s="9" t="inlineStr">
        <is>
          <t>Bullpen Depth Arm</t>
        </is>
      </c>
      <c r="J343" s="18" t="inlineStr">
        <is>
          <t>Opening Day</t>
        </is>
      </c>
      <c r="K343" s="11">
        <f>IFERROR(INDEX(Roles!$B$17:$B$20,MATCH(J343,Roles!$A$17:$A$20,0)),1)</f>
        <v/>
      </c>
      <c r="L343" s="19" t="n">
        <v>1</v>
      </c>
      <c r="M343" s="11" t="n">
        <v>1</v>
      </c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>
        <v>1</v>
      </c>
      <c r="X343" s="19" t="n"/>
      <c r="Y343" s="19" t="n"/>
      <c r="Z343" s="13">
        <f>SUMPRODUCT(N343:Y343,$N$2:$Y$2)*$K343*$L343*$M343</f>
        <v/>
      </c>
      <c r="AA343" s="14">
        <f>SUM(N343:Y343)</f>
        <v/>
      </c>
      <c r="AB343" s="13">
        <f>SUMPRODUCT(N343:Y343,$N$3:$Y$3)*$K343*$L343*$M343</f>
        <v/>
      </c>
      <c r="AC343" s="13">
        <f>SUMPRODUCT(N343:Y343,$N$4:$Y$4)*$K343*$L343*$M343</f>
        <v/>
      </c>
      <c r="AD343" s="15" t="n">
        <v>16.86666666666667</v>
      </c>
      <c r="AE343" s="11" t="n">
        <v>1.143769039602373</v>
      </c>
      <c r="AF343" s="16">
        <f>SUMPRODUCT(N343:Y343,$N$5:$Y$5)*$K343*$L343*$M343</f>
        <v/>
      </c>
      <c r="AG343" s="16">
        <f>SUMPRODUCT(N343:Y343,$N$6:$Y$6)*$K343*$L343*$M343</f>
        <v/>
      </c>
      <c r="AH343" s="20" t="n"/>
    </row>
    <row r="344">
      <c r="A344" s="9" t="n">
        <v>571656</v>
      </c>
      <c r="B344" s="9" t="inlineStr">
        <is>
          <t>Buck Farmer</t>
        </is>
      </c>
      <c r="C344" s="9" t="inlineStr">
        <is>
          <t>CIN</t>
        </is>
      </c>
      <c r="D344" s="9" t="n">
        <v>36</v>
      </c>
      <c r="E344" s="18" t="inlineStr">
        <is>
          <t>R</t>
        </is>
      </c>
      <c r="F344" s="18" t="n"/>
      <c r="G344" s="9" t="n">
        <v>299</v>
      </c>
      <c r="H344" s="9" t="n">
        <v>807</v>
      </c>
      <c r="I344" s="9" t="inlineStr">
        <is>
          <t>Depth (no MLB IP)</t>
        </is>
      </c>
      <c r="J344" s="18" t="inlineStr">
        <is>
          <t>Opening Day</t>
        </is>
      </c>
      <c r="K344" s="11">
        <f>IFERROR(INDEX(Roles!$B$17:$B$20,MATCH(J344,Roles!$A$17:$A$20,0)),1)</f>
        <v/>
      </c>
      <c r="L344" s="19" t="n">
        <v>1</v>
      </c>
      <c r="M344" s="11" t="n">
        <v>1</v>
      </c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>
        <v>1</v>
      </c>
      <c r="Z344" s="13">
        <f>SUMPRODUCT(N344:Y344,$N$2:$Y$2)*$K344*$L344*$M344</f>
        <v/>
      </c>
      <c r="AA344" s="14">
        <f>SUM(N344:Y344)</f>
        <v/>
      </c>
      <c r="AB344" s="13">
        <f>SUMPRODUCT(N344:Y344,$N$3:$Y$3)*$K344*$L344*$M344</f>
        <v/>
      </c>
      <c r="AC344" s="13">
        <f>SUMPRODUCT(N344:Y344,$N$4:$Y$4)*$K344*$L344*$M344</f>
        <v/>
      </c>
      <c r="AD344" s="15" t="n">
        <v>37.8</v>
      </c>
      <c r="AE344" s="11" t="n">
        <v>1.0621756729407</v>
      </c>
      <c r="AF344" s="16">
        <f>SUMPRODUCT(N344:Y344,$N$5:$Y$5)*$K344*$L344*$M344</f>
        <v/>
      </c>
      <c r="AG344" s="16">
        <f>SUMPRODUCT(N344:Y344,$N$6:$Y$6)*$K344*$L344*$M344</f>
        <v/>
      </c>
      <c r="AH344" s="20" t="n"/>
    </row>
    <row r="345">
      <c r="A345" s="9" t="n">
        <v>684007</v>
      </c>
      <c r="B345" s="9" t="inlineStr">
        <is>
          <t>Shota Imanaga</t>
        </is>
      </c>
      <c r="C345" s="9" t="inlineStr">
        <is>
          <t>CHC</t>
        </is>
      </c>
      <c r="D345" s="9" t="n">
        <v>33</v>
      </c>
      <c r="E345" s="18" t="inlineStr">
        <is>
          <t>L</t>
        </is>
      </c>
      <c r="F345" s="18" t="n"/>
      <c r="G345" s="9" t="n">
        <v>706</v>
      </c>
      <c r="H345" s="9" t="n">
        <v>1967</v>
      </c>
      <c r="I345" s="9" t="inlineStr">
        <is>
          <t>Mid-Rotation Starter (SP2-3)</t>
        </is>
      </c>
      <c r="J345" s="18" t="inlineStr">
        <is>
          <t>Opening Day</t>
        </is>
      </c>
      <c r="K345" s="11">
        <f>IFERROR(INDEX(Roles!$B$17:$B$20,MATCH(J345,Roles!$A$17:$A$20,0)),1)</f>
        <v/>
      </c>
      <c r="L345" s="19" t="n">
        <v>1</v>
      </c>
      <c r="M345" s="11" t="n">
        <v>1</v>
      </c>
      <c r="N345" s="19" t="n"/>
      <c r="O345" s="19" t="n">
        <v>0.5</v>
      </c>
      <c r="P345" s="19" t="n">
        <v>0.5</v>
      </c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3">
        <f>SUMPRODUCT(N345:Y345,$N$2:$Y$2)*$K345*$L345*$M345</f>
        <v/>
      </c>
      <c r="AA345" s="14">
        <f>SUM(N345:Y345)</f>
        <v/>
      </c>
      <c r="AB345" s="13">
        <f>SUMPRODUCT(N345:Y345,$N$3:$Y$3)*$K345*$L345*$M345</f>
        <v/>
      </c>
      <c r="AC345" s="13">
        <f>SUMPRODUCT(N345:Y345,$N$4:$Y$4)*$K345*$L345*$M345</f>
        <v/>
      </c>
      <c r="AD345" s="15" t="n">
        <v>27.9</v>
      </c>
      <c r="AE345" s="11" t="n">
        <v>5.346994367639529</v>
      </c>
      <c r="AF345" s="16">
        <f>SUMPRODUCT(N345:Y345,$N$5:$Y$5)*$K345*$L345*$M345</f>
        <v/>
      </c>
      <c r="AG345" s="16">
        <f>SUMPRODUCT(N345:Y345,$N$6:$Y$6)*$K345*$L345*$M345</f>
        <v/>
      </c>
      <c r="AH345" s="20" t="n"/>
    </row>
    <row r="346">
      <c r="A346" s="9" t="n">
        <v>693686</v>
      </c>
      <c r="B346" s="9" t="inlineStr">
        <is>
          <t>Spencer Miles</t>
        </is>
      </c>
      <c r="C346" s="9" t="inlineStr">
        <is>
          <t>TOR</t>
        </is>
      </c>
      <c r="D346" s="9" t="n">
        <v>26</v>
      </c>
      <c r="E346" s="18" t="inlineStr">
        <is>
          <t>R</t>
        </is>
      </c>
      <c r="F346" s="18" t="n"/>
      <c r="G346" s="9" t="n">
        <v>388</v>
      </c>
      <c r="H346" s="9" t="n">
        <v>388</v>
      </c>
      <c r="I346" s="9" t="inlineStr">
        <is>
          <t>Swing Arm / Long Relief</t>
        </is>
      </c>
      <c r="J346" s="18" t="inlineStr">
        <is>
          <t>Opening Day</t>
        </is>
      </c>
      <c r="K346" s="11">
        <f>IFERROR(INDEX(Roles!$B$17:$B$20,MATCH(J346,Roles!$A$17:$A$20,0)),1)</f>
        <v/>
      </c>
      <c r="L346" s="19" t="n">
        <v>1</v>
      </c>
      <c r="M346" s="11" t="n">
        <v>1</v>
      </c>
      <c r="N346" s="19" t="n"/>
      <c r="O346" s="19" t="n"/>
      <c r="P346" s="19" t="n"/>
      <c r="Q346" s="19" t="n"/>
      <c r="R346" s="19" t="n">
        <v>0.6</v>
      </c>
      <c r="S346" s="19" t="n"/>
      <c r="T346" s="19" t="n"/>
      <c r="U346" s="19" t="n"/>
      <c r="V346" s="19" t="n">
        <v>0.4</v>
      </c>
      <c r="W346" s="19" t="n"/>
      <c r="X346" s="19" t="n"/>
      <c r="Y346" s="19" t="n"/>
      <c r="Z346" s="13">
        <f>SUMPRODUCT(N346:Y346,$N$2:$Y$2)*$K346*$L346*$M346</f>
        <v/>
      </c>
      <c r="AA346" s="14">
        <f>SUM(N346:Y346)</f>
        <v/>
      </c>
      <c r="AB346" s="13">
        <f>SUMPRODUCT(N346:Y346,$N$3:$Y$3)*$K346*$L346*$M346</f>
        <v/>
      </c>
      <c r="AC346" s="13">
        <f>SUMPRODUCT(N346:Y346,$N$4:$Y$4)*$K346*$L346*$M346</f>
        <v/>
      </c>
      <c r="AD346" s="15" t="n">
        <v>37.53333333333333</v>
      </c>
      <c r="AE346" s="11" t="n">
        <v>2.31928181108509</v>
      </c>
      <c r="AF346" s="16">
        <f>SUMPRODUCT(N346:Y346,$N$5:$Y$5)*$K346*$L346*$M346</f>
        <v/>
      </c>
      <c r="AG346" s="16">
        <f>SUMPRODUCT(N346:Y346,$N$6:$Y$6)*$K346*$L346*$M346</f>
        <v/>
      </c>
      <c r="AH346" s="20" t="n"/>
    </row>
    <row r="347">
      <c r="A347" s="9" t="n">
        <v>674444</v>
      </c>
      <c r="B347" s="9" t="inlineStr">
        <is>
          <t>Steven Cruz</t>
        </is>
      </c>
      <c r="C347" s="9" t="inlineStr">
        <is>
          <t>KC</t>
        </is>
      </c>
      <c r="D347" s="9" t="n">
        <v>28</v>
      </c>
      <c r="E347" s="18" t="inlineStr">
        <is>
          <t>R</t>
        </is>
      </c>
      <c r="F347" s="18" t="n"/>
      <c r="G347" s="9" t="n">
        <v>246</v>
      </c>
      <c r="H347" s="9" t="n">
        <v>515</v>
      </c>
      <c r="I347" s="9" t="inlineStr">
        <is>
          <t>Closer</t>
        </is>
      </c>
      <c r="J347" s="18" t="inlineStr">
        <is>
          <t>Opening Day</t>
        </is>
      </c>
      <c r="K347" s="11">
        <f>IFERROR(INDEX(Roles!$B$17:$B$20,MATCH(J347,Roles!$A$17:$A$20,0)),1)</f>
        <v/>
      </c>
      <c r="L347" s="19" t="n">
        <v>1</v>
      </c>
      <c r="M347" s="11" t="n">
        <v>1</v>
      </c>
      <c r="N347" s="19" t="n"/>
      <c r="O347" s="19" t="n"/>
      <c r="P347" s="19" t="n"/>
      <c r="Q347" s="19" t="n"/>
      <c r="R347" s="19" t="n"/>
      <c r="S347" s="19" t="n"/>
      <c r="T347" s="19" t="n">
        <v>0.85</v>
      </c>
      <c r="U347" s="19" t="n">
        <v>0.15</v>
      </c>
      <c r="V347" s="19" t="n"/>
      <c r="W347" s="19" t="n"/>
      <c r="X347" s="19" t="n"/>
      <c r="Y347" s="19" t="n"/>
      <c r="Z347" s="13">
        <f>SUMPRODUCT(N347:Y347,$N$2:$Y$2)*$K347*$L347*$M347</f>
        <v/>
      </c>
      <c r="AA347" s="14">
        <f>SUM(N347:Y347)</f>
        <v/>
      </c>
      <c r="AB347" s="13">
        <f>SUMPRODUCT(N347:Y347,$N$3:$Y$3)*$K347*$L347*$M347</f>
        <v/>
      </c>
      <c r="AC347" s="13">
        <f>SUMPRODUCT(N347:Y347,$N$4:$Y$4)*$K347*$L347*$M347</f>
        <v/>
      </c>
      <c r="AD347" s="15" t="n">
        <v>46.86</v>
      </c>
      <c r="AE347" s="11" t="n">
        <v>1.009987515605493</v>
      </c>
      <c r="AF347" s="16">
        <f>SUMPRODUCT(N347:Y347,$N$5:$Y$5)*$K347*$L347*$M347</f>
        <v/>
      </c>
      <c r="AG347" s="16">
        <f>SUMPRODUCT(N347:Y347,$N$6:$Y$6)*$K347*$L347*$M347</f>
        <v/>
      </c>
      <c r="AH347" s="20" t="n"/>
    </row>
    <row r="348">
      <c r="A348" s="9" t="n">
        <v>804926</v>
      </c>
      <c r="B348" s="9" t="inlineStr">
        <is>
          <t>Austin Peterson</t>
        </is>
      </c>
      <c r="C348" s="9" t="inlineStr">
        <is>
          <t>CLE</t>
        </is>
      </c>
      <c r="D348" s="9" t="n">
        <v>27</v>
      </c>
      <c r="E348" s="18" t="inlineStr">
        <is>
          <t>R</t>
        </is>
      </c>
      <c r="F348" s="18" t="n"/>
      <c r="G348" s="9" t="n">
        <v>27</v>
      </c>
      <c r="H348" s="9" t="n">
        <v>27</v>
      </c>
      <c r="I348" s="9" t="inlineStr">
        <is>
          <t>Bullpen Depth Arm</t>
        </is>
      </c>
      <c r="J348" s="18" t="inlineStr">
        <is>
          <t>Opening Day</t>
        </is>
      </c>
      <c r="K348" s="11">
        <f>IFERROR(INDEX(Roles!$B$17:$B$20,MATCH(J348,Roles!$A$17:$A$20,0)),1)</f>
        <v/>
      </c>
      <c r="L348" s="19" t="n">
        <v>1</v>
      </c>
      <c r="M348" s="11" t="n">
        <v>1</v>
      </c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>
        <v>0.15</v>
      </c>
      <c r="W348" s="19" t="n">
        <v>0.85</v>
      </c>
      <c r="X348" s="19" t="n"/>
      <c r="Y348" s="19" t="n"/>
      <c r="Z348" s="13">
        <f>SUMPRODUCT(N348:Y348,$N$2:$Y$2)*$K348*$L348*$M348</f>
        <v/>
      </c>
      <c r="AA348" s="14">
        <f>SUM(N348:Y348)</f>
        <v/>
      </c>
      <c r="AB348" s="13">
        <f>SUMPRODUCT(N348:Y348,$N$3:$Y$3)*$K348*$L348*$M348</f>
        <v/>
      </c>
      <c r="AC348" s="13">
        <f>SUMPRODUCT(N348:Y348,$N$4:$Y$4)*$K348*$L348*$M348</f>
        <v/>
      </c>
      <c r="AD348" s="15" t="n">
        <v>6.866666666666665</v>
      </c>
      <c r="AE348" s="11" t="n">
        <v>1.968173801507134</v>
      </c>
      <c r="AF348" s="16">
        <f>SUMPRODUCT(N348:Y348,$N$5:$Y$5)*$K348*$L348*$M348</f>
        <v/>
      </c>
      <c r="AG348" s="16">
        <f>SUMPRODUCT(N348:Y348,$N$6:$Y$6)*$K348*$L348*$M348</f>
        <v/>
      </c>
      <c r="AH348" s="20" t="n"/>
    </row>
    <row r="349">
      <c r="A349" s="9" t="n">
        <v>676760</v>
      </c>
      <c r="B349" s="9" t="inlineStr">
        <is>
          <t>Ron Marinaccio</t>
        </is>
      </c>
      <c r="C349" s="9" t="inlineStr">
        <is>
          <t>CIN</t>
        </is>
      </c>
      <c r="D349" s="9" t="n">
        <v>31</v>
      </c>
      <c r="E349" s="18" t="inlineStr">
        <is>
          <t>R</t>
        </is>
      </c>
      <c r="F349" s="18" t="n"/>
      <c r="G349" s="9" t="n">
        <v>260</v>
      </c>
      <c r="H349" s="9" t="n">
        <v>787</v>
      </c>
      <c r="I349" s="9" t="inlineStr">
        <is>
          <t>Bullpen Depth Arm</t>
        </is>
      </c>
      <c r="J349" s="18" t="inlineStr">
        <is>
          <t>Opening Day</t>
        </is>
      </c>
      <c r="K349" s="11">
        <f>IFERROR(INDEX(Roles!$B$17:$B$20,MATCH(J349,Roles!$A$17:$A$20,0)),1)</f>
        <v/>
      </c>
      <c r="L349" s="19" t="n">
        <v>1</v>
      </c>
      <c r="M349" s="11" t="n">
        <v>1</v>
      </c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>
        <v>1</v>
      </c>
      <c r="X349" s="19" t="n"/>
      <c r="Y349" s="19" t="n"/>
      <c r="Z349" s="13">
        <f>SUMPRODUCT(N349:Y349,$N$2:$Y$2)*$K349*$L349*$M349</f>
        <v/>
      </c>
      <c r="AA349" s="14">
        <f>SUM(N349:Y349)</f>
        <v/>
      </c>
      <c r="AB349" s="13">
        <f>SUMPRODUCT(N349:Y349,$N$3:$Y$3)*$K349*$L349*$M349</f>
        <v/>
      </c>
      <c r="AC349" s="13">
        <f>SUMPRODUCT(N349:Y349,$N$4:$Y$4)*$K349*$L349*$M349</f>
        <v/>
      </c>
      <c r="AD349" s="15" t="n">
        <v>20.96666666666667</v>
      </c>
      <c r="AE349" s="11" t="n">
        <v>1.27572645219704</v>
      </c>
      <c r="AF349" s="16">
        <f>SUMPRODUCT(N349:Y349,$N$5:$Y$5)*$K349*$L349*$M349</f>
        <v/>
      </c>
      <c r="AG349" s="16">
        <f>SUMPRODUCT(N349:Y349,$N$6:$Y$6)*$K349*$L349*$M349</f>
        <v/>
      </c>
      <c r="AH349" s="20" t="n"/>
    </row>
    <row r="350">
      <c r="A350" s="9" t="n">
        <v>681293</v>
      </c>
      <c r="B350" s="9" t="inlineStr">
        <is>
          <t>Spencer Arrighetti</t>
        </is>
      </c>
      <c r="C350" s="9" t="inlineStr">
        <is>
          <t>TOR</t>
        </is>
      </c>
      <c r="D350" s="9" t="n">
        <v>27</v>
      </c>
      <c r="E350" s="18" t="inlineStr">
        <is>
          <t>R</t>
        </is>
      </c>
      <c r="F350" s="18" t="n"/>
      <c r="G350" s="9" t="n">
        <v>492</v>
      </c>
      <c r="H350" s="9" t="n">
        <v>1280</v>
      </c>
      <c r="I350" s="9" t="inlineStr">
        <is>
          <t>End-of-Rotation Starter (SP4-5)</t>
        </is>
      </c>
      <c r="J350" s="18" t="inlineStr">
        <is>
          <t>Opening Day</t>
        </is>
      </c>
      <c r="K350" s="11">
        <f>IFERROR(INDEX(Roles!$B$17:$B$20,MATCH(J350,Roles!$A$17:$A$20,0)),1)</f>
        <v/>
      </c>
      <c r="L350" s="19" t="n">
        <v>1</v>
      </c>
      <c r="M350" s="11" t="n">
        <v>1</v>
      </c>
      <c r="N350" s="19" t="n"/>
      <c r="O350" s="19" t="n"/>
      <c r="P350" s="19" t="n">
        <v>1</v>
      </c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3">
        <f>SUMPRODUCT(N350:Y350,$N$2:$Y$2)*$K350*$L350*$M350</f>
        <v/>
      </c>
      <c r="AA350" s="14">
        <f>SUM(N350:Y350)</f>
        <v/>
      </c>
      <c r="AB350" s="13">
        <f>SUMPRODUCT(N350:Y350,$N$3:$Y$3)*$K350*$L350*$M350</f>
        <v/>
      </c>
      <c r="AC350" s="13">
        <f>SUMPRODUCT(N350:Y350,$N$4:$Y$4)*$K350*$L350*$M350</f>
        <v/>
      </c>
      <c r="AD350" s="15" t="n">
        <v>17.9</v>
      </c>
      <c r="AE350" s="11" t="n">
        <v>4.624476650563607</v>
      </c>
      <c r="AF350" s="16">
        <f>SUMPRODUCT(N350:Y350,$N$5:$Y$5)*$K350*$L350*$M350</f>
        <v/>
      </c>
      <c r="AG350" s="16">
        <f>SUMPRODUCT(N350:Y350,$N$6:$Y$6)*$K350*$L350*$M350</f>
        <v/>
      </c>
      <c r="AH350" s="20" t="n"/>
    </row>
    <row r="351">
      <c r="A351" s="9" t="n">
        <v>642121</v>
      </c>
      <c r="B351" s="9" t="inlineStr">
        <is>
          <t>Cole Sulser</t>
        </is>
      </c>
      <c r="C351" s="9" t="inlineStr">
        <is>
          <t>TB</t>
        </is>
      </c>
      <c r="D351" s="9" t="n">
        <v>37</v>
      </c>
      <c r="E351" s="18" t="inlineStr">
        <is>
          <t>R</t>
        </is>
      </c>
      <c r="F351" s="18" t="n"/>
      <c r="G351" s="9" t="n">
        <v>236</v>
      </c>
      <c r="H351" s="9" t="n">
        <v>564</v>
      </c>
      <c r="I351" s="9" t="inlineStr">
        <is>
          <t>Middle Relief</t>
        </is>
      </c>
      <c r="J351" s="18" t="inlineStr">
        <is>
          <t>Opening Day</t>
        </is>
      </c>
      <c r="K351" s="11">
        <f>IFERROR(INDEX(Roles!$B$17:$B$20,MATCH(J351,Roles!$A$17:$A$20,0)),1)</f>
        <v/>
      </c>
      <c r="L351" s="19" t="n">
        <v>1</v>
      </c>
      <c r="M351" s="11" t="n">
        <v>1</v>
      </c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>
        <v>0.6</v>
      </c>
      <c r="W351" s="19" t="n">
        <v>0.4</v>
      </c>
      <c r="X351" s="19" t="n"/>
      <c r="Y351" s="19" t="n"/>
      <c r="Z351" s="13">
        <f>SUMPRODUCT(N351:Y351,$N$2:$Y$2)*$K351*$L351*$M351</f>
        <v/>
      </c>
      <c r="AA351" s="14">
        <f>SUM(N351:Y351)</f>
        <v/>
      </c>
      <c r="AB351" s="13">
        <f>SUMPRODUCT(N351:Y351,$N$3:$Y$3)*$K351*$L351*$M351</f>
        <v/>
      </c>
      <c r="AC351" s="13">
        <f>SUMPRODUCT(N351:Y351,$N$4:$Y$4)*$K351*$L351*$M351</f>
        <v/>
      </c>
      <c r="AD351" s="15" t="n">
        <v>34.63333333333333</v>
      </c>
      <c r="AE351" s="11" t="n">
        <v>1.075520090850232</v>
      </c>
      <c r="AF351" s="16">
        <f>SUMPRODUCT(N351:Y351,$N$5:$Y$5)*$K351*$L351*$M351</f>
        <v/>
      </c>
      <c r="AG351" s="16">
        <f>SUMPRODUCT(N351:Y351,$N$6:$Y$6)*$K351*$L351*$M351</f>
        <v/>
      </c>
      <c r="AH351" s="20" t="n"/>
    </row>
    <row r="352">
      <c r="A352" s="9" t="n">
        <v>683232</v>
      </c>
      <c r="B352" s="9" t="inlineStr">
        <is>
          <t>Nick Mears</t>
        </is>
      </c>
      <c r="C352" s="9" t="inlineStr">
        <is>
          <t>KC</t>
        </is>
      </c>
      <c r="D352" s="9" t="n">
        <v>30</v>
      </c>
      <c r="E352" s="18" t="inlineStr">
        <is>
          <t>R</t>
        </is>
      </c>
      <c r="F352" s="18" t="n"/>
      <c r="G352" s="9" t="n">
        <v>83</v>
      </c>
      <c r="H352" s="9" t="n">
        <v>655</v>
      </c>
      <c r="I352" s="9" t="inlineStr">
        <is>
          <t>Bullpen Depth Arm</t>
        </is>
      </c>
      <c r="J352" s="18" t="inlineStr">
        <is>
          <t>Opening Day</t>
        </is>
      </c>
      <c r="K352" s="11">
        <f>IFERROR(INDEX(Roles!$B$17:$B$20,MATCH(J352,Roles!$A$17:$A$20,0)),1)</f>
        <v/>
      </c>
      <c r="L352" s="19" t="n">
        <v>1</v>
      </c>
      <c r="M352" s="11" t="n">
        <v>1</v>
      </c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>
        <v>0.15</v>
      </c>
      <c r="W352" s="19" t="n">
        <v>0.85</v>
      </c>
      <c r="X352" s="19" t="n"/>
      <c r="Y352" s="19" t="n"/>
      <c r="Z352" s="13">
        <f>SUMPRODUCT(N352:Y352,$N$2:$Y$2)*$K352*$L352*$M352</f>
        <v/>
      </c>
      <c r="AA352" s="14">
        <f>SUM(N352:Y352)</f>
        <v/>
      </c>
      <c r="AB352" s="13">
        <f>SUMPRODUCT(N352:Y352,$N$3:$Y$3)*$K352*$L352*$M352</f>
        <v/>
      </c>
      <c r="AC352" s="13">
        <f>SUMPRODUCT(N352:Y352,$N$4:$Y$4)*$K352*$L352*$M352</f>
        <v/>
      </c>
      <c r="AD352" s="15" t="n">
        <v>29.96666666666667</v>
      </c>
      <c r="AE352" s="11" t="n">
        <v>1.115636078599041</v>
      </c>
      <c r="AF352" s="16">
        <f>SUMPRODUCT(N352:Y352,$N$5:$Y$5)*$K352*$L352*$M352</f>
        <v/>
      </c>
      <c r="AG352" s="16">
        <f>SUMPRODUCT(N352:Y352,$N$6:$Y$6)*$K352*$L352*$M352</f>
        <v/>
      </c>
      <c r="AH352" s="20" t="n"/>
    </row>
    <row r="353">
      <c r="A353" s="9" t="n">
        <v>678061</v>
      </c>
      <c r="B353" s="9" t="inlineStr">
        <is>
          <t>Ray Kerr</t>
        </is>
      </c>
      <c r="C353" s="9" t="inlineStr">
        <is>
          <t>ATL</t>
        </is>
      </c>
      <c r="D353" s="9" t="n">
        <v>32</v>
      </c>
      <c r="E353" s="18" t="inlineStr">
        <is>
          <t>L</t>
        </is>
      </c>
      <c r="F353" s="18" t="n"/>
      <c r="G353" s="9" t="n">
        <v>66</v>
      </c>
      <c r="H353" s="9" t="n">
        <v>304</v>
      </c>
      <c r="I353" s="9" t="inlineStr">
        <is>
          <t>Middle Relief</t>
        </is>
      </c>
      <c r="J353" s="18" t="inlineStr">
        <is>
          <t>Opening Day</t>
        </is>
      </c>
      <c r="K353" s="11">
        <f>IFERROR(INDEX(Roles!$B$17:$B$20,MATCH(J353,Roles!$A$17:$A$20,0)),1)</f>
        <v/>
      </c>
      <c r="L353" s="19" t="n">
        <v>1</v>
      </c>
      <c r="M353" s="11" t="n">
        <v>1</v>
      </c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>
        <v>0.6</v>
      </c>
      <c r="W353" s="19" t="n">
        <v>0.4</v>
      </c>
      <c r="X353" s="19" t="n"/>
      <c r="Y353" s="19" t="n"/>
      <c r="Z353" s="13">
        <f>SUMPRODUCT(N353:Y353,$N$2:$Y$2)*$K353*$L353*$M353</f>
        <v/>
      </c>
      <c r="AA353" s="14">
        <f>SUM(N353:Y353)</f>
        <v/>
      </c>
      <c r="AB353" s="13">
        <f>SUMPRODUCT(N353:Y353,$N$3:$Y$3)*$K353*$L353*$M353</f>
        <v/>
      </c>
      <c r="AC353" s="13">
        <f>SUMPRODUCT(N353:Y353,$N$4:$Y$4)*$K353*$L353*$M353</f>
        <v/>
      </c>
      <c r="AD353" s="15" t="n">
        <v>20.28333333333333</v>
      </c>
      <c r="AE353" s="11" t="n">
        <v>1.38584046147211</v>
      </c>
      <c r="AF353" s="16">
        <f>SUMPRODUCT(N353:Y353,$N$5:$Y$5)*$K353*$L353*$M353</f>
        <v/>
      </c>
      <c r="AG353" s="16">
        <f>SUMPRODUCT(N353:Y353,$N$6:$Y$6)*$K353*$L353*$M353</f>
        <v/>
      </c>
      <c r="AH353" s="20" t="n"/>
    </row>
    <row r="354">
      <c r="A354" s="9" t="n">
        <v>682608</v>
      </c>
      <c r="B354" s="9" t="inlineStr">
        <is>
          <t>Peyton Gray</t>
        </is>
      </c>
      <c r="C354" s="9" t="inlineStr">
        <is>
          <t>TEX</t>
        </is>
      </c>
      <c r="D354" s="9" t="n">
        <v>32</v>
      </c>
      <c r="E354" s="18" t="inlineStr">
        <is>
          <t>R</t>
        </is>
      </c>
      <c r="F354" s="18" t="n"/>
      <c r="G354" s="9" t="n">
        <v>249</v>
      </c>
      <c r="H354" s="9" t="n">
        <v>249</v>
      </c>
      <c r="I354" s="9" t="inlineStr">
        <is>
          <t>Swing Arm / Long Relief</t>
        </is>
      </c>
      <c r="J354" s="18" t="inlineStr">
        <is>
          <t>Opening Day</t>
        </is>
      </c>
      <c r="K354" s="11">
        <f>IFERROR(INDEX(Roles!$B$17:$B$20,MATCH(J354,Roles!$A$17:$A$20,0)),1)</f>
        <v/>
      </c>
      <c r="L354" s="19" t="n">
        <v>1</v>
      </c>
      <c r="M354" s="11" t="n">
        <v>1</v>
      </c>
      <c r="N354" s="19" t="n"/>
      <c r="O354" s="19" t="n"/>
      <c r="P354" s="19" t="n"/>
      <c r="Q354" s="19" t="n"/>
      <c r="R354" s="19" t="n">
        <v>0.6</v>
      </c>
      <c r="S354" s="19" t="n"/>
      <c r="T354" s="19" t="n"/>
      <c r="U354" s="19" t="n"/>
      <c r="V354" s="19" t="n">
        <v>0.4</v>
      </c>
      <c r="W354" s="19" t="n"/>
      <c r="X354" s="19" t="n"/>
      <c r="Y354" s="19" t="n"/>
      <c r="Z354" s="13">
        <f>SUMPRODUCT(N354:Y354,$N$2:$Y$2)*$K354*$L354*$M354</f>
        <v/>
      </c>
      <c r="AA354" s="14">
        <f>SUM(N354:Y354)</f>
        <v/>
      </c>
      <c r="AB354" s="13">
        <f>SUMPRODUCT(N354:Y354,$N$3:$Y$3)*$K354*$L354*$M354</f>
        <v/>
      </c>
      <c r="AC354" s="13">
        <f>SUMPRODUCT(N354:Y354,$N$4:$Y$4)*$K354*$L354*$M354</f>
        <v/>
      </c>
      <c r="AD354" s="15" t="n">
        <v>37.53333333333333</v>
      </c>
      <c r="AE354" s="11" t="n">
        <v>2.04944054124382</v>
      </c>
      <c r="AF354" s="16">
        <f>SUMPRODUCT(N354:Y354,$N$5:$Y$5)*$K354*$L354*$M354</f>
        <v/>
      </c>
      <c r="AG354" s="16">
        <f>SUMPRODUCT(N354:Y354,$N$6:$Y$6)*$K354*$L354*$M354</f>
        <v/>
      </c>
      <c r="AH354" s="20" t="n"/>
    </row>
    <row r="355">
      <c r="A355" s="9" t="n">
        <v>592254</v>
      </c>
      <c r="B355" s="9" t="inlineStr">
        <is>
          <t>José De León</t>
        </is>
      </c>
      <c r="C355" s="9" t="inlineStr">
        <is>
          <t>BOS</t>
        </is>
      </c>
      <c r="D355" s="9" t="n">
        <v>34</v>
      </c>
      <c r="E355" s="18" t="inlineStr">
        <is>
          <t>R</t>
        </is>
      </c>
      <c r="F355" s="18" t="n"/>
      <c r="G355" s="9" t="n">
        <v>28</v>
      </c>
      <c r="H355" s="9" t="n">
        <v>98</v>
      </c>
      <c r="I355" s="9" t="inlineStr">
        <is>
          <t>Ace (SP1)</t>
        </is>
      </c>
      <c r="J355" s="18" t="inlineStr">
        <is>
          <t>Opening Day</t>
        </is>
      </c>
      <c r="K355" s="11">
        <f>IFERROR(INDEX(Roles!$B$17:$B$20,MATCH(J355,Roles!$A$17:$A$20,0)),1)</f>
        <v/>
      </c>
      <c r="L355" s="19" t="n">
        <v>1</v>
      </c>
      <c r="M355" s="11" t="n">
        <v>1</v>
      </c>
      <c r="N355" s="19" t="n">
        <v>1</v>
      </c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3">
        <f>SUMPRODUCT(N355:Y355,$N$2:$Y$2)*$K355*$L355*$M355</f>
        <v/>
      </c>
      <c r="AA355" s="14">
        <f>SUM(N355:Y355)</f>
        <v/>
      </c>
      <c r="AB355" s="13">
        <f>SUMPRODUCT(N355:Y355,$N$3:$Y$3)*$K355*$L355*$M355</f>
        <v/>
      </c>
      <c r="AC355" s="13">
        <f>SUMPRODUCT(N355:Y355,$N$4:$Y$4)*$K355*$L355*$M355</f>
        <v/>
      </c>
      <c r="AD355" s="15" t="n">
        <v>10.8</v>
      </c>
      <c r="AE355" s="11" t="n">
        <v>5.968253968253968</v>
      </c>
      <c r="AF355" s="16">
        <f>SUMPRODUCT(N355:Y355,$N$5:$Y$5)*$K355*$L355*$M355</f>
        <v/>
      </c>
      <c r="AG355" s="16">
        <f>SUMPRODUCT(N355:Y355,$N$6:$Y$6)*$K355*$L355*$M355</f>
        <v/>
      </c>
      <c r="AH355" s="20" t="n"/>
    </row>
    <row r="356">
      <c r="A356" s="9" t="n">
        <v>621121</v>
      </c>
      <c r="B356" s="9" t="inlineStr">
        <is>
          <t>Lance McCullers Jr.</t>
        </is>
      </c>
      <c r="C356" s="9" t="inlineStr">
        <is>
          <t>MIL</t>
        </is>
      </c>
      <c r="D356" s="9" t="n">
        <v>33</v>
      </c>
      <c r="E356" s="18" t="inlineStr">
        <is>
          <t>R</t>
        </is>
      </c>
      <c r="F356" s="18" t="n"/>
      <c r="G356" s="9" t="n">
        <v>195</v>
      </c>
      <c r="H356" s="9" t="n">
        <v>664</v>
      </c>
      <c r="I356" s="9" t="inlineStr">
        <is>
          <t>End-of-Rotation Starter (SP4-5)</t>
        </is>
      </c>
      <c r="J356" s="18" t="inlineStr">
        <is>
          <t>Opening Day</t>
        </is>
      </c>
      <c r="K356" s="11">
        <f>IFERROR(INDEX(Roles!$B$17:$B$20,MATCH(J356,Roles!$A$17:$A$20,0)),1)</f>
        <v/>
      </c>
      <c r="L356" s="19" t="n">
        <v>1</v>
      </c>
      <c r="M356" s="11" t="n">
        <v>1</v>
      </c>
      <c r="N356" s="19" t="n"/>
      <c r="O356" s="19" t="n"/>
      <c r="P356" s="19" t="n">
        <v>1</v>
      </c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3">
        <f>SUMPRODUCT(N356:Y356,$N$2:$Y$2)*$K356*$L356*$M356</f>
        <v/>
      </c>
      <c r="AA356" s="14">
        <f>SUM(N356:Y356)</f>
        <v/>
      </c>
      <c r="AB356" s="13">
        <f>SUMPRODUCT(N356:Y356,$N$3:$Y$3)*$K356*$L356*$M356</f>
        <v/>
      </c>
      <c r="AC356" s="13">
        <f>SUMPRODUCT(N356:Y356,$N$4:$Y$4)*$K356*$L356*$M356</f>
        <v/>
      </c>
      <c r="AD356" s="15" t="n">
        <v>13.84</v>
      </c>
      <c r="AE356" s="11" t="n">
        <v>4.341696535244923</v>
      </c>
      <c r="AF356" s="16">
        <f>SUMPRODUCT(N356:Y356,$N$5:$Y$5)*$K356*$L356*$M356</f>
        <v/>
      </c>
      <c r="AG356" s="16">
        <f>SUMPRODUCT(N356:Y356,$N$6:$Y$6)*$K356*$L356*$M356</f>
        <v/>
      </c>
      <c r="AH356" s="20" t="n"/>
    </row>
    <row r="357">
      <c r="A357" s="9" t="n">
        <v>681006</v>
      </c>
      <c r="B357" s="9" t="inlineStr">
        <is>
          <t>Josh Simpson</t>
        </is>
      </c>
      <c r="C357" s="9" t="inlineStr">
        <is>
          <t>SEA</t>
        </is>
      </c>
      <c r="D357" s="9" t="n">
        <v>29</v>
      </c>
      <c r="E357" s="18" t="inlineStr">
        <is>
          <t>L</t>
        </is>
      </c>
      <c r="F357" s="18" t="n"/>
      <c r="G357" s="9" t="n">
        <v>38</v>
      </c>
      <c r="H357" s="9" t="n">
        <v>189</v>
      </c>
      <c r="I357" s="9" t="inlineStr">
        <is>
          <t>Bullpen Depth Arm</t>
        </is>
      </c>
      <c r="J357" s="18" t="inlineStr">
        <is>
          <t>Opening Day</t>
        </is>
      </c>
      <c r="K357" s="11">
        <f>IFERROR(INDEX(Roles!$B$17:$B$20,MATCH(J357,Roles!$A$17:$A$20,0)),1)</f>
        <v/>
      </c>
      <c r="L357" s="19" t="n">
        <v>1</v>
      </c>
      <c r="M357" s="11" t="n">
        <v>1</v>
      </c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>
        <v>1</v>
      </c>
      <c r="X357" s="19" t="n"/>
      <c r="Y357" s="19" t="n"/>
      <c r="Z357" s="13">
        <f>SUMPRODUCT(N357:Y357,$N$2:$Y$2)*$K357*$L357*$M357</f>
        <v/>
      </c>
      <c r="AA357" s="14">
        <f>SUM(N357:Y357)</f>
        <v/>
      </c>
      <c r="AB357" s="13">
        <f>SUMPRODUCT(N357:Y357,$N$3:$Y$3)*$K357*$L357*$M357</f>
        <v/>
      </c>
      <c r="AC357" s="13">
        <f>SUMPRODUCT(N357:Y357,$N$4:$Y$4)*$K357*$L357*$M357</f>
        <v/>
      </c>
      <c r="AD357" s="15" t="n">
        <v>15.98666666666666</v>
      </c>
      <c r="AE357" s="11" t="n">
        <v>1.12450455086114</v>
      </c>
      <c r="AF357" s="16">
        <f>SUMPRODUCT(N357:Y357,$N$5:$Y$5)*$K357*$L357*$M357</f>
        <v/>
      </c>
      <c r="AG357" s="16">
        <f>SUMPRODUCT(N357:Y357,$N$6:$Y$6)*$K357*$L357*$M357</f>
        <v/>
      </c>
      <c r="AH357" s="20" t="n"/>
    </row>
    <row r="358">
      <c r="A358" s="9" t="n">
        <v>815083</v>
      </c>
      <c r="B358" s="9" t="inlineStr">
        <is>
          <t>Mitch Farris</t>
        </is>
      </c>
      <c r="C358" s="9" t="inlineStr">
        <is>
          <t>LAA</t>
        </is>
      </c>
      <c r="D358" s="9" t="n">
        <v>26</v>
      </c>
      <c r="E358" s="18" t="inlineStr">
        <is>
          <t>L</t>
        </is>
      </c>
      <c r="F358" s="18" t="n"/>
      <c r="G358" s="9" t="n">
        <v>258</v>
      </c>
      <c r="H358" s="9" t="n">
        <v>365</v>
      </c>
      <c r="I358" s="9" t="inlineStr">
        <is>
          <t>Swing Arm / Long Relief</t>
        </is>
      </c>
      <c r="J358" s="18" t="inlineStr">
        <is>
          <t>Opening Day</t>
        </is>
      </c>
      <c r="K358" s="11">
        <f>IFERROR(INDEX(Roles!$B$17:$B$20,MATCH(J358,Roles!$A$17:$A$20,0)),1)</f>
        <v/>
      </c>
      <c r="L358" s="19" t="n">
        <v>1</v>
      </c>
      <c r="M358" s="11" t="n">
        <v>1</v>
      </c>
      <c r="N358" s="19" t="n"/>
      <c r="O358" s="19" t="n"/>
      <c r="P358" s="19" t="n"/>
      <c r="Q358" s="19" t="n"/>
      <c r="R358" s="19" t="n">
        <v>0.6</v>
      </c>
      <c r="S358" s="19" t="n"/>
      <c r="T358" s="19" t="n"/>
      <c r="U358" s="19" t="n"/>
      <c r="V358" s="19" t="n"/>
      <c r="W358" s="19" t="n">
        <v>0.4</v>
      </c>
      <c r="X358" s="19" t="n"/>
      <c r="Y358" s="19" t="n"/>
      <c r="Z358" s="13">
        <f>SUMPRODUCT(N358:Y358,$N$2:$Y$2)*$K358*$L358*$M358</f>
        <v/>
      </c>
      <c r="AA358" s="14">
        <f>SUM(N358:Y358)</f>
        <v/>
      </c>
      <c r="AB358" s="13">
        <f>SUMPRODUCT(N358:Y358,$N$3:$Y$3)*$K358*$L358*$M358</f>
        <v/>
      </c>
      <c r="AC358" s="13">
        <f>SUMPRODUCT(N358:Y358,$N$4:$Y$4)*$K358*$L358*$M358</f>
        <v/>
      </c>
      <c r="AD358" s="15" t="n">
        <v>21.21333333333333</v>
      </c>
      <c r="AE358" s="11" t="n">
        <v>2.367774602697148</v>
      </c>
      <c r="AF358" s="16">
        <f>SUMPRODUCT(N358:Y358,$N$5:$Y$5)*$K358*$L358*$M358</f>
        <v/>
      </c>
      <c r="AG358" s="16">
        <f>SUMPRODUCT(N358:Y358,$N$6:$Y$6)*$K358*$L358*$M358</f>
        <v/>
      </c>
      <c r="AH358" s="20" t="n"/>
    </row>
    <row r="359">
      <c r="A359" s="9" t="n">
        <v>660896</v>
      </c>
      <c r="B359" s="9" t="inlineStr">
        <is>
          <t>Jorge Alcala</t>
        </is>
      </c>
      <c r="C359" s="9" t="inlineStr">
        <is>
          <t>STL</t>
        </is>
      </c>
      <c r="D359" s="9" t="n">
        <v>31</v>
      </c>
      <c r="E359" s="18" t="inlineStr">
        <is>
          <t>R</t>
        </is>
      </c>
      <c r="F359" s="18" t="n"/>
      <c r="G359" s="9" t="n">
        <v>257</v>
      </c>
      <c r="H359" s="9" t="n">
        <v>577</v>
      </c>
      <c r="I359" s="9" t="inlineStr">
        <is>
          <t>Bullpen Depth Arm</t>
        </is>
      </c>
      <c r="J359" s="18" t="inlineStr">
        <is>
          <t>Opening Day</t>
        </is>
      </c>
      <c r="K359" s="11">
        <f>IFERROR(INDEX(Roles!$B$17:$B$20,MATCH(J359,Roles!$A$17:$A$20,0)),1)</f>
        <v/>
      </c>
      <c r="L359" s="19" t="n">
        <v>1</v>
      </c>
      <c r="M359" s="11" t="n">
        <v>1</v>
      </c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>
        <v>1</v>
      </c>
      <c r="X359" s="19" t="n"/>
      <c r="Y359" s="19" t="n"/>
      <c r="Z359" s="13">
        <f>SUMPRODUCT(N359:Y359,$N$2:$Y$2)*$K359*$L359*$M359</f>
        <v/>
      </c>
      <c r="AA359" s="14">
        <f>SUM(N359:Y359)</f>
        <v/>
      </c>
      <c r="AB359" s="13">
        <f>SUMPRODUCT(N359:Y359,$N$3:$Y$3)*$K359*$L359*$M359</f>
        <v/>
      </c>
      <c r="AC359" s="13">
        <f>SUMPRODUCT(N359:Y359,$N$4:$Y$4)*$K359*$L359*$M359</f>
        <v/>
      </c>
      <c r="AD359" s="15" t="n">
        <v>38.86666666666667</v>
      </c>
      <c r="AE359" s="11" t="n">
        <v>1.139525876473668</v>
      </c>
      <c r="AF359" s="16">
        <f>SUMPRODUCT(N359:Y359,$N$5:$Y$5)*$K359*$L359*$M359</f>
        <v/>
      </c>
      <c r="AG359" s="16">
        <f>SUMPRODUCT(N359:Y359,$N$6:$Y$6)*$K359*$L359*$M359</f>
        <v/>
      </c>
      <c r="AH359" s="20" t="n"/>
    </row>
    <row r="360">
      <c r="A360" s="9" t="n">
        <v>656458</v>
      </c>
      <c r="B360" s="9" t="inlineStr">
        <is>
          <t>Lucas Gilbreath</t>
        </is>
      </c>
      <c r="C360" s="9" t="inlineStr">
        <is>
          <t>COL</t>
        </is>
      </c>
      <c r="D360" s="9" t="n">
        <v>31</v>
      </c>
      <c r="E360" s="18" t="inlineStr">
        <is>
          <t>L</t>
        </is>
      </c>
      <c r="F360" s="18" t="n"/>
      <c r="G360" s="9" t="n">
        <v>4</v>
      </c>
      <c r="H360" s="9" t="n">
        <v>203</v>
      </c>
      <c r="I360" s="9" t="inlineStr">
        <is>
          <t>Depth (no MLB IP)</t>
        </is>
      </c>
      <c r="J360" s="18" t="inlineStr">
        <is>
          <t>Opening Day</t>
        </is>
      </c>
      <c r="K360" s="11">
        <f>IFERROR(INDEX(Roles!$B$17:$B$20,MATCH(J360,Roles!$A$17:$A$20,0)),1)</f>
        <v/>
      </c>
      <c r="L360" s="19" t="n">
        <v>1</v>
      </c>
      <c r="M360" s="11" t="n">
        <v>1</v>
      </c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>
        <v>1</v>
      </c>
      <c r="Z360" s="13">
        <f>SUMPRODUCT(N360:Y360,$N$2:$Y$2)*$K360*$L360*$M360</f>
        <v/>
      </c>
      <c r="AA360" s="14">
        <f>SUM(N360:Y360)</f>
        <v/>
      </c>
      <c r="AB360" s="13">
        <f>SUMPRODUCT(N360:Y360,$N$3:$Y$3)*$K360*$L360*$M360</f>
        <v/>
      </c>
      <c r="AC360" s="13">
        <f>SUMPRODUCT(N360:Y360,$N$4:$Y$4)*$K360*$L360*$M360</f>
        <v/>
      </c>
      <c r="AD360" s="15" t="n">
        <v>2.2</v>
      </c>
      <c r="AE360" s="11" t="n">
        <v>0.8741975308641974</v>
      </c>
      <c r="AF360" s="16">
        <f>SUMPRODUCT(N360:Y360,$N$5:$Y$5)*$K360*$L360*$M360</f>
        <v/>
      </c>
      <c r="AG360" s="16">
        <f>SUMPRODUCT(N360:Y360,$N$6:$Y$6)*$K360*$L360*$M360</f>
        <v/>
      </c>
      <c r="AH360" s="20" t="n"/>
    </row>
    <row r="361">
      <c r="A361" s="9" t="n">
        <v>686839</v>
      </c>
      <c r="B361" s="9" t="inlineStr">
        <is>
          <t>Brendan White</t>
        </is>
      </c>
      <c r="C361" s="9" t="inlineStr">
        <is>
          <t>DET</t>
        </is>
      </c>
      <c r="D361" s="9" t="n">
        <v>28</v>
      </c>
      <c r="E361" s="18" t="inlineStr">
        <is>
          <t>R</t>
        </is>
      </c>
      <c r="F361" s="18" t="n"/>
      <c r="G361" s="9" t="n">
        <v>177</v>
      </c>
      <c r="H361" s="9" t="n">
        <v>177</v>
      </c>
      <c r="I361" s="9" t="inlineStr">
        <is>
          <t>Depth (no MLB IP)</t>
        </is>
      </c>
      <c r="J361" s="18" t="inlineStr">
        <is>
          <t>Opening Day</t>
        </is>
      </c>
      <c r="K361" s="11">
        <f>IFERROR(INDEX(Roles!$B$17:$B$20,MATCH(J361,Roles!$A$17:$A$20,0)),1)</f>
        <v/>
      </c>
      <c r="L361" s="19" t="n">
        <v>1</v>
      </c>
      <c r="M361" s="11" t="n">
        <v>1</v>
      </c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>
        <v>1</v>
      </c>
      <c r="Z361" s="13">
        <f>SUMPRODUCT(N361:Y361,$N$2:$Y$2)*$K361*$L361*$M361</f>
        <v/>
      </c>
      <c r="AA361" s="14">
        <f>SUM(N361:Y361)</f>
        <v/>
      </c>
      <c r="AB361" s="13">
        <f>SUMPRODUCT(N361:Y361,$N$3:$Y$3)*$K361*$L361*$M361</f>
        <v/>
      </c>
      <c r="AC361" s="13">
        <f>SUMPRODUCT(N361:Y361,$N$4:$Y$4)*$K361*$L361*$M361</f>
        <v/>
      </c>
      <c r="AD361" s="15" t="n">
        <v>3</v>
      </c>
      <c r="AE361" s="11" t="n">
        <v>1.011296296296296</v>
      </c>
      <c r="AF361" s="16">
        <f>SUMPRODUCT(N361:Y361,$N$5:$Y$5)*$K361*$L361*$M361</f>
        <v/>
      </c>
      <c r="AG361" s="16">
        <f>SUMPRODUCT(N361:Y361,$N$6:$Y$6)*$K361*$L361*$M361</f>
        <v/>
      </c>
      <c r="AH361" s="20" t="n"/>
    </row>
    <row r="362">
      <c r="A362" s="9" t="n">
        <v>687798</v>
      </c>
      <c r="B362" s="9" t="inlineStr">
        <is>
          <t>Nick Robertson</t>
        </is>
      </c>
      <c r="C362" s="9" t="inlineStr">
        <is>
          <t>TOR</t>
        </is>
      </c>
      <c r="D362" s="9" t="n">
        <v>28</v>
      </c>
      <c r="E362" s="18" t="inlineStr">
        <is>
          <t>R</t>
        </is>
      </c>
      <c r="F362" s="18" t="n"/>
      <c r="G362" s="9" t="n">
        <v>55</v>
      </c>
      <c r="H362" s="9" t="n">
        <v>161</v>
      </c>
      <c r="I362" s="9" t="inlineStr">
        <is>
          <t>Depth (no MLB IP)</t>
        </is>
      </c>
      <c r="J362" s="18" t="inlineStr">
        <is>
          <t>Opening Day</t>
        </is>
      </c>
      <c r="K362" s="11">
        <f>IFERROR(INDEX(Roles!$B$17:$B$20,MATCH(J362,Roles!$A$17:$A$20,0)),1)</f>
        <v/>
      </c>
      <c r="L362" s="19" t="n">
        <v>1</v>
      </c>
      <c r="M362" s="11" t="n">
        <v>1</v>
      </c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>
        <v>1</v>
      </c>
      <c r="Z362" s="13">
        <f>SUMPRODUCT(N362:Y362,$N$2:$Y$2)*$K362*$L362*$M362</f>
        <v/>
      </c>
      <c r="AA362" s="14">
        <f>SUM(N362:Y362)</f>
        <v/>
      </c>
      <c r="AB362" s="13">
        <f>SUMPRODUCT(N362:Y362,$N$3:$Y$3)*$K362*$L362*$M362</f>
        <v/>
      </c>
      <c r="AC362" s="13">
        <f>SUMPRODUCT(N362:Y362,$N$4:$Y$4)*$K362*$L362*$M362</f>
        <v/>
      </c>
      <c r="AD362" s="15" t="n">
        <v>6.6</v>
      </c>
      <c r="AE362" s="11" t="n">
        <v>1.168024691358025</v>
      </c>
      <c r="AF362" s="16">
        <f>SUMPRODUCT(N362:Y362,$N$5:$Y$5)*$K362*$L362*$M362</f>
        <v/>
      </c>
      <c r="AG362" s="16">
        <f>SUMPRODUCT(N362:Y362,$N$6:$Y$6)*$K362*$L362*$M362</f>
        <v/>
      </c>
      <c r="AH362" s="20" t="n"/>
    </row>
    <row r="363">
      <c r="A363" s="9" t="n">
        <v>596057</v>
      </c>
      <c r="B363" s="9" t="inlineStr">
        <is>
          <t>Daniel Norris</t>
        </is>
      </c>
      <c r="C363" s="9" t="inlineStr">
        <is>
          <t>CLE</t>
        </is>
      </c>
      <c r="D363" s="9" t="n">
        <v>34</v>
      </c>
      <c r="E363" s="18" t="inlineStr">
        <is>
          <t>L</t>
        </is>
      </c>
      <c r="F363" s="18" t="n"/>
      <c r="G363" s="9" t="n">
        <v>63</v>
      </c>
      <c r="H363" s="9" t="n">
        <v>313</v>
      </c>
      <c r="I363" s="9" t="inlineStr">
        <is>
          <t>Depth (no MLB IP)</t>
        </is>
      </c>
      <c r="J363" s="18" t="inlineStr">
        <is>
          <t>Opening Day</t>
        </is>
      </c>
      <c r="K363" s="11">
        <f>IFERROR(INDEX(Roles!$B$17:$B$20,MATCH(J363,Roles!$A$17:$A$20,0)),1)</f>
        <v/>
      </c>
      <c r="L363" s="19" t="n">
        <v>1</v>
      </c>
      <c r="M363" s="11" t="n">
        <v>1</v>
      </c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>
        <v>1</v>
      </c>
      <c r="Z363" s="13">
        <f>SUMPRODUCT(N363:Y363,$N$2:$Y$2)*$K363*$L363*$M363</f>
        <v/>
      </c>
      <c r="AA363" s="14">
        <f>SUM(N363:Y363)</f>
        <v/>
      </c>
      <c r="AB363" s="13">
        <f>SUMPRODUCT(N363:Y363,$N$3:$Y$3)*$K363*$L363*$M363</f>
        <v/>
      </c>
      <c r="AC363" s="13">
        <f>SUMPRODUCT(N363:Y363,$N$4:$Y$4)*$K363*$L363*$M363</f>
        <v/>
      </c>
      <c r="AD363" s="15" t="n">
        <v>3</v>
      </c>
      <c r="AE363" s="11" t="n">
        <v>1.011296296296296</v>
      </c>
      <c r="AF363" s="16">
        <f>SUMPRODUCT(N363:Y363,$N$5:$Y$5)*$K363*$L363*$M363</f>
        <v/>
      </c>
      <c r="AG363" s="16">
        <f>SUMPRODUCT(N363:Y363,$N$6:$Y$6)*$K363*$L363*$M363</f>
        <v/>
      </c>
      <c r="AH363" s="20" t="n"/>
    </row>
    <row r="364">
      <c r="A364" s="9" t="n">
        <v>676604</v>
      </c>
      <c r="B364" s="9" t="inlineStr">
        <is>
          <t>Tyler Zuber</t>
        </is>
      </c>
      <c r="C364" s="9" t="inlineStr">
        <is>
          <t>MIA</t>
        </is>
      </c>
      <c r="D364" s="9" t="n">
        <v>32</v>
      </c>
      <c r="E364" s="18" t="inlineStr">
        <is>
          <t>R</t>
        </is>
      </c>
      <c r="F364" s="18" t="n"/>
      <c r="G364" s="9" t="n">
        <v>175</v>
      </c>
      <c r="H364" s="9" t="n">
        <v>249</v>
      </c>
      <c r="I364" s="9" t="inlineStr">
        <is>
          <t>Middle Relief</t>
        </is>
      </c>
      <c r="J364" s="18" t="inlineStr">
        <is>
          <t>Opening Day</t>
        </is>
      </c>
      <c r="K364" s="11">
        <f>IFERROR(INDEX(Roles!$B$17:$B$20,MATCH(J364,Roles!$A$17:$A$20,0)),1)</f>
        <v/>
      </c>
      <c r="L364" s="19" t="n">
        <v>1</v>
      </c>
      <c r="M364" s="11" t="n">
        <v>1</v>
      </c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>
        <v>0.5</v>
      </c>
      <c r="W364" s="19" t="n">
        <v>0.5</v>
      </c>
      <c r="X364" s="19" t="n"/>
      <c r="Y364" s="19" t="n"/>
      <c r="Z364" s="13">
        <f>SUMPRODUCT(N364:Y364,$N$2:$Y$2)*$K364*$L364*$M364</f>
        <v/>
      </c>
      <c r="AA364" s="14">
        <f>SUM(N364:Y364)</f>
        <v/>
      </c>
      <c r="AB364" s="13">
        <f>SUMPRODUCT(N364:Y364,$N$3:$Y$3)*$K364*$L364*$M364</f>
        <v/>
      </c>
      <c r="AC364" s="13">
        <f>SUMPRODUCT(N364:Y364,$N$4:$Y$4)*$K364*$L364*$M364</f>
        <v/>
      </c>
      <c r="AD364" s="15" t="n">
        <v>30.13333333333333</v>
      </c>
      <c r="AE364" s="11" t="n">
        <v>1.00588258151423</v>
      </c>
      <c r="AF364" s="16">
        <f>SUMPRODUCT(N364:Y364,$N$5:$Y$5)*$K364*$L364*$M364</f>
        <v/>
      </c>
      <c r="AG364" s="16">
        <f>SUMPRODUCT(N364:Y364,$N$6:$Y$6)*$K364*$L364*$M364</f>
        <v/>
      </c>
      <c r="AH364" s="20" t="n"/>
    </row>
    <row r="365">
      <c r="A365" s="9" t="n">
        <v>686934</v>
      </c>
      <c r="B365" s="9" t="inlineStr">
        <is>
          <t>Alex McFarlane</t>
        </is>
      </c>
      <c r="C365" s="9" t="inlineStr">
        <is>
          <t>PHI</t>
        </is>
      </c>
      <c r="D365" s="9" t="n">
        <v>26</v>
      </c>
      <c r="E365" s="18" t="inlineStr">
        <is>
          <t>R</t>
        </is>
      </c>
      <c r="F365" s="18" t="n"/>
      <c r="G365" s="9" t="n">
        <v>79</v>
      </c>
      <c r="H365" s="9" t="n">
        <v>79</v>
      </c>
      <c r="I365" s="9" t="inlineStr">
        <is>
          <t>Swing Arm / Long Relief</t>
        </is>
      </c>
      <c r="J365" s="18" t="inlineStr">
        <is>
          <t>Opening Day</t>
        </is>
      </c>
      <c r="K365" s="11">
        <f>IFERROR(INDEX(Roles!$B$17:$B$20,MATCH(J365,Roles!$A$17:$A$20,0)),1)</f>
        <v/>
      </c>
      <c r="L365" s="19" t="n">
        <v>1</v>
      </c>
      <c r="M365" s="11" t="n">
        <v>1</v>
      </c>
      <c r="N365" s="19" t="n"/>
      <c r="O365" s="19" t="n"/>
      <c r="P365" s="19" t="n"/>
      <c r="Q365" s="19" t="n"/>
      <c r="R365" s="19" t="n">
        <v>0.6</v>
      </c>
      <c r="S365" s="19" t="n"/>
      <c r="T365" s="19" t="n"/>
      <c r="U365" s="19" t="n">
        <v>0.4</v>
      </c>
      <c r="V365" s="19" t="n"/>
      <c r="W365" s="19" t="n"/>
      <c r="X365" s="19" t="n"/>
      <c r="Y365" s="19" t="n"/>
      <c r="Z365" s="13">
        <f>SUMPRODUCT(N365:Y365,$N$2:$Y$2)*$K365*$L365*$M365</f>
        <v/>
      </c>
      <c r="AA365" s="14">
        <f>SUM(N365:Y365)</f>
        <v/>
      </c>
      <c r="AB365" s="13">
        <f>SUMPRODUCT(N365:Y365,$N$3:$Y$3)*$K365*$L365*$M365</f>
        <v/>
      </c>
      <c r="AC365" s="13">
        <f>SUMPRODUCT(N365:Y365,$N$4:$Y$4)*$K365*$L365*$M365</f>
        <v/>
      </c>
      <c r="AD365" s="15" t="n">
        <v>19.53333333333333</v>
      </c>
      <c r="AE365" s="11" t="n">
        <v>2.001821493624773</v>
      </c>
      <c r="AF365" s="16">
        <f>SUMPRODUCT(N365:Y365,$N$5:$Y$5)*$K365*$L365*$M365</f>
        <v/>
      </c>
      <c r="AG365" s="16">
        <f>SUMPRODUCT(N365:Y365,$N$6:$Y$6)*$K365*$L365*$M365</f>
        <v/>
      </c>
      <c r="AH365" s="20" t="n"/>
    </row>
    <row r="366">
      <c r="A366" s="9" t="n">
        <v>543351</v>
      </c>
      <c r="B366" s="9" t="inlineStr">
        <is>
          <t>Jay Jackson</t>
        </is>
      </c>
      <c r="C366" s="9" t="inlineStr">
        <is>
          <t>MIN</t>
        </is>
      </c>
      <c r="D366" s="9" t="n">
        <v>39</v>
      </c>
      <c r="E366" s="18" t="inlineStr">
        <is>
          <t>R</t>
        </is>
      </c>
      <c r="F366" s="18" t="n"/>
      <c r="G366" s="9" t="n">
        <v>114</v>
      </c>
      <c r="H366" s="9" t="n">
        <v>235</v>
      </c>
      <c r="I366" s="9" t="inlineStr">
        <is>
          <t>Depth (no MLB IP)</t>
        </is>
      </c>
      <c r="J366" s="18" t="inlineStr">
        <is>
          <t>Opening Day</t>
        </is>
      </c>
      <c r="K366" s="11">
        <f>IFERROR(INDEX(Roles!$B$17:$B$20,MATCH(J366,Roles!$A$17:$A$20,0)),1)</f>
        <v/>
      </c>
      <c r="L366" s="19" t="n">
        <v>1</v>
      </c>
      <c r="M366" s="11" t="n">
        <v>1</v>
      </c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>
        <v>1</v>
      </c>
      <c r="Z366" s="13">
        <f>SUMPRODUCT(N366:Y366,$N$2:$Y$2)*$K366*$L366*$M366</f>
        <v/>
      </c>
      <c r="AA366" s="14">
        <f>SUM(N366:Y366)</f>
        <v/>
      </c>
      <c r="AB366" s="13">
        <f>SUMPRODUCT(N366:Y366,$N$3:$Y$3)*$K366*$L366*$M366</f>
        <v/>
      </c>
      <c r="AC366" s="13">
        <f>SUMPRODUCT(N366:Y366,$N$4:$Y$4)*$K366*$L366*$M366</f>
        <v/>
      </c>
      <c r="AD366" s="15" t="n">
        <v>13.2</v>
      </c>
      <c r="AE366" s="11" t="n">
        <v>1.113086419753086</v>
      </c>
      <c r="AF366" s="16">
        <f>SUMPRODUCT(N366:Y366,$N$5:$Y$5)*$K366*$L366*$M366</f>
        <v/>
      </c>
      <c r="AG366" s="16">
        <f>SUMPRODUCT(N366:Y366,$N$6:$Y$6)*$K366*$L366*$M366</f>
        <v/>
      </c>
      <c r="AH366" s="20" t="n"/>
    </row>
    <row r="367">
      <c r="A367" s="9" t="n">
        <v>453268</v>
      </c>
      <c r="B367" s="9" t="inlineStr">
        <is>
          <t>Daniel Bard</t>
        </is>
      </c>
      <c r="C367" s="9" t="inlineStr">
        <is>
          <t>COL</t>
        </is>
      </c>
      <c r="D367" s="9" t="n">
        <v>42</v>
      </c>
      <c r="E367" s="18" t="inlineStr">
        <is>
          <t>R</t>
        </is>
      </c>
      <c r="F367" s="18" t="n"/>
      <c r="G367" s="9" t="n">
        <v>232</v>
      </c>
      <c r="H367" s="9" t="n">
        <v>477</v>
      </c>
      <c r="I367" s="9" t="inlineStr">
        <is>
          <t>Depth (no MLB IP)</t>
        </is>
      </c>
      <c r="J367" s="18" t="inlineStr">
        <is>
          <t>Opening Day</t>
        </is>
      </c>
      <c r="K367" s="11">
        <f>IFERROR(INDEX(Roles!$B$17:$B$20,MATCH(J367,Roles!$A$17:$A$20,0)),1)</f>
        <v/>
      </c>
      <c r="L367" s="19" t="n">
        <v>1</v>
      </c>
      <c r="M367" s="11" t="n">
        <v>1</v>
      </c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>
        <v>1</v>
      </c>
      <c r="Z367" s="13">
        <f>SUMPRODUCT(N367:Y367,$N$2:$Y$2)*$K367*$L367*$M367</f>
        <v/>
      </c>
      <c r="AA367" s="14">
        <f>SUM(N367:Y367)</f>
        <v/>
      </c>
      <c r="AB367" s="13">
        <f>SUMPRODUCT(N367:Y367,$N$3:$Y$3)*$K367*$L367*$M367</f>
        <v/>
      </c>
      <c r="AC367" s="13">
        <f>SUMPRODUCT(N367:Y367,$N$4:$Y$4)*$K367*$L367*$M367</f>
        <v/>
      </c>
      <c r="AD367" s="15" t="n">
        <v>3</v>
      </c>
      <c r="AE367" s="11" t="n">
        <v>1.011296296296296</v>
      </c>
      <c r="AF367" s="16">
        <f>SUMPRODUCT(N367:Y367,$N$5:$Y$5)*$K367*$L367*$M367</f>
        <v/>
      </c>
      <c r="AG367" s="16">
        <f>SUMPRODUCT(N367:Y367,$N$6:$Y$6)*$K367*$L367*$M367</f>
        <v/>
      </c>
      <c r="AH367" s="20" t="n"/>
    </row>
    <row r="368">
      <c r="A368" s="9" t="n">
        <v>699044</v>
      </c>
      <c r="B368" s="9" t="inlineStr">
        <is>
          <t>Miguel Ullola</t>
        </is>
      </c>
      <c r="C368" s="9" t="inlineStr">
        <is>
          <t>HOU</t>
        </is>
      </c>
      <c r="D368" s="9" t="n">
        <v>25</v>
      </c>
      <c r="E368" s="18" t="inlineStr">
        <is>
          <t>R</t>
        </is>
      </c>
      <c r="F368" s="18" t="n"/>
      <c r="G368" s="9" t="n">
        <v>62</v>
      </c>
      <c r="H368" s="9" t="n">
        <v>62</v>
      </c>
      <c r="I368" s="9" t="inlineStr">
        <is>
          <t>Swing Arm / Long Relief</t>
        </is>
      </c>
      <c r="J368" s="18" t="inlineStr">
        <is>
          <t>Opening Day</t>
        </is>
      </c>
      <c r="K368" s="11">
        <f>IFERROR(INDEX(Roles!$B$17:$B$20,MATCH(J368,Roles!$A$17:$A$20,0)),1)</f>
        <v/>
      </c>
      <c r="L368" s="19" t="n">
        <v>1</v>
      </c>
      <c r="M368" s="11" t="n">
        <v>1</v>
      </c>
      <c r="N368" s="19" t="n"/>
      <c r="O368" s="19" t="n"/>
      <c r="P368" s="19" t="n"/>
      <c r="Q368" s="19" t="n"/>
      <c r="R368" s="19" t="n">
        <v>0.6</v>
      </c>
      <c r="S368" s="19" t="n"/>
      <c r="T368" s="19" t="n"/>
      <c r="U368" s="19" t="n"/>
      <c r="V368" s="19" t="n"/>
      <c r="W368" s="19" t="n">
        <v>0.4</v>
      </c>
      <c r="X368" s="19" t="n"/>
      <c r="Y368" s="19" t="n"/>
      <c r="Z368" s="13">
        <f>SUMPRODUCT(N368:Y368,$N$2:$Y$2)*$K368*$L368*$M368</f>
        <v/>
      </c>
      <c r="AA368" s="14">
        <f>SUM(N368:Y368)</f>
        <v/>
      </c>
      <c r="AB368" s="13">
        <f>SUMPRODUCT(N368:Y368,$N$3:$Y$3)*$K368*$L368*$M368</f>
        <v/>
      </c>
      <c r="AC368" s="13">
        <f>SUMPRODUCT(N368:Y368,$N$4:$Y$4)*$K368*$L368*$M368</f>
        <v/>
      </c>
      <c r="AD368" s="15" t="n">
        <v>14.73333333333333</v>
      </c>
      <c r="AE368" s="11" t="n">
        <v>2.173538665341944</v>
      </c>
      <c r="AF368" s="16">
        <f>SUMPRODUCT(N368:Y368,$N$5:$Y$5)*$K368*$L368*$M368</f>
        <v/>
      </c>
      <c r="AG368" s="16">
        <f>SUMPRODUCT(N368:Y368,$N$6:$Y$6)*$K368*$L368*$M368</f>
        <v/>
      </c>
      <c r="AH368" s="20" t="n"/>
    </row>
    <row r="369">
      <c r="A369" s="9" t="n">
        <v>669854</v>
      </c>
      <c r="B369" s="9" t="inlineStr">
        <is>
          <t>Ronel Blanco</t>
        </is>
      </c>
      <c r="C369" s="9" t="inlineStr">
        <is>
          <t>HOU</t>
        </is>
      </c>
      <c r="D369" s="9" t="n">
        <v>33</v>
      </c>
      <c r="E369" s="18" t="inlineStr">
        <is>
          <t>R</t>
        </is>
      </c>
      <c r="F369" s="18" t="n"/>
      <c r="G369" s="9" t="n">
        <v>143</v>
      </c>
      <c r="H369" s="9" t="n">
        <v>1276</v>
      </c>
      <c r="I369" s="9" t="inlineStr">
        <is>
          <t>Mid-Rotation Starter (SP2-3)</t>
        </is>
      </c>
      <c r="J369" s="18" t="inlineStr">
        <is>
          <t>Opening Day</t>
        </is>
      </c>
      <c r="K369" s="11">
        <f>IFERROR(INDEX(Roles!$B$17:$B$20,MATCH(J369,Roles!$A$17:$A$20,0)),1)</f>
        <v/>
      </c>
      <c r="L369" s="19" t="n">
        <v>1</v>
      </c>
      <c r="M369" s="11" t="n">
        <v>1</v>
      </c>
      <c r="N369" s="19" t="n"/>
      <c r="O369" s="19" t="n">
        <v>1</v>
      </c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3">
        <f>SUMPRODUCT(N369:Y369,$N$2:$Y$2)*$K369*$L369*$M369</f>
        <v/>
      </c>
      <c r="AA369" s="14">
        <f>SUM(N369:Y369)</f>
        <v/>
      </c>
      <c r="AB369" s="13">
        <f>SUMPRODUCT(N369:Y369,$N$3:$Y$3)*$K369*$L369*$M369</f>
        <v/>
      </c>
      <c r="AC369" s="13">
        <f>SUMPRODUCT(N369:Y369,$N$4:$Y$4)*$K369*$L369*$M369</f>
        <v/>
      </c>
      <c r="AD369" s="15" t="n">
        <v>17.6</v>
      </c>
      <c r="AE369" s="11" t="n">
        <v>5.159348864994027</v>
      </c>
      <c r="AF369" s="16">
        <f>SUMPRODUCT(N369:Y369,$N$5:$Y$5)*$K369*$L369*$M369</f>
        <v/>
      </c>
      <c r="AG369" s="16">
        <f>SUMPRODUCT(N369:Y369,$N$6:$Y$6)*$K369*$L369*$M369</f>
        <v/>
      </c>
      <c r="AH369" s="20" t="n"/>
    </row>
    <row r="370">
      <c r="A370" s="9" t="n">
        <v>675660</v>
      </c>
      <c r="B370" s="9" t="inlineStr">
        <is>
          <t>Shane Drohan</t>
        </is>
      </c>
      <c r="C370" s="9" t="inlineStr">
        <is>
          <t>MIL</t>
        </is>
      </c>
      <c r="D370" s="9" t="n">
        <v>28</v>
      </c>
      <c r="E370" s="18" t="inlineStr">
        <is>
          <t>L</t>
        </is>
      </c>
      <c r="F370" s="18" t="n"/>
      <c r="G370" s="9" t="n">
        <v>528</v>
      </c>
      <c r="H370" s="9" t="n">
        <v>528</v>
      </c>
      <c r="I370" s="9" t="inlineStr">
        <is>
          <t>Swing Arm / Long Relief</t>
        </is>
      </c>
      <c r="J370" s="18" t="inlineStr">
        <is>
          <t>Opening Day</t>
        </is>
      </c>
      <c r="K370" s="11">
        <f>IFERROR(INDEX(Roles!$B$17:$B$20,MATCH(J370,Roles!$A$17:$A$20,0)),1)</f>
        <v/>
      </c>
      <c r="L370" s="19" t="n">
        <v>1</v>
      </c>
      <c r="M370" s="11" t="n">
        <v>1</v>
      </c>
      <c r="N370" s="19" t="n"/>
      <c r="O370" s="19" t="n"/>
      <c r="P370" s="19" t="n">
        <v>0.4</v>
      </c>
      <c r="Q370" s="19" t="n"/>
      <c r="R370" s="19" t="n">
        <v>0.6</v>
      </c>
      <c r="S370" s="19" t="n"/>
      <c r="T370" s="19" t="n"/>
      <c r="U370" s="19" t="n"/>
      <c r="V370" s="19" t="n"/>
      <c r="W370" s="19" t="n"/>
      <c r="X370" s="19" t="n"/>
      <c r="Y370" s="19" t="n"/>
      <c r="Z370" s="13">
        <f>SUMPRODUCT(N370:Y370,$N$2:$Y$2)*$K370*$L370*$M370</f>
        <v/>
      </c>
      <c r="AA370" s="14">
        <f>SUM(N370:Y370)</f>
        <v/>
      </c>
      <c r="AB370" s="13">
        <f>SUMPRODUCT(N370:Y370,$N$3:$Y$3)*$K370*$L370*$M370</f>
        <v/>
      </c>
      <c r="AC370" s="13">
        <f>SUMPRODUCT(N370:Y370,$N$4:$Y$4)*$K370*$L370*$M370</f>
        <v/>
      </c>
      <c r="AD370" s="15" t="n">
        <v>27.93333333333333</v>
      </c>
      <c r="AE370" s="11" t="n">
        <v>2.927747419550699</v>
      </c>
      <c r="AF370" s="16">
        <f>SUMPRODUCT(N370:Y370,$N$5:$Y$5)*$K370*$L370*$M370</f>
        <v/>
      </c>
      <c r="AG370" s="16">
        <f>SUMPRODUCT(N370:Y370,$N$6:$Y$6)*$K370*$L370*$M370</f>
        <v/>
      </c>
      <c r="AH370" s="20" t="n"/>
    </row>
    <row r="371">
      <c r="A371" s="9" t="n">
        <v>658648</v>
      </c>
      <c r="B371" s="9" t="inlineStr">
        <is>
          <t>Pedro Avila</t>
        </is>
      </c>
      <c r="C371" s="9" t="inlineStr">
        <is>
          <t>CLE</t>
        </is>
      </c>
      <c r="D371" s="9" t="n">
        <v>30</v>
      </c>
      <c r="E371" s="18" t="inlineStr">
        <is>
          <t>R</t>
        </is>
      </c>
      <c r="F371" s="18" t="n"/>
      <c r="G371" s="9" t="n">
        <v>353</v>
      </c>
      <c r="H371" s="9" t="n">
        <v>591</v>
      </c>
      <c r="I371" s="9" t="inlineStr">
        <is>
          <t>Depth (no MLB IP)</t>
        </is>
      </c>
      <c r="J371" s="18" t="inlineStr">
        <is>
          <t>Opening Day</t>
        </is>
      </c>
      <c r="K371" s="11">
        <f>IFERROR(INDEX(Roles!$B$17:$B$20,MATCH(J371,Roles!$A$17:$A$20,0)),1)</f>
        <v/>
      </c>
      <c r="L371" s="19" t="n">
        <v>1</v>
      </c>
      <c r="M371" s="11" t="n">
        <v>1</v>
      </c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>
        <v>1</v>
      </c>
      <c r="Z371" s="13">
        <f>SUMPRODUCT(N371:Y371,$N$2:$Y$2)*$K371*$L371*$M371</f>
        <v/>
      </c>
      <c r="AA371" s="14">
        <f>SUM(N371:Y371)</f>
        <v/>
      </c>
      <c r="AB371" s="13">
        <f>SUMPRODUCT(N371:Y371,$N$3:$Y$3)*$K371*$L371*$M371</f>
        <v/>
      </c>
      <c r="AC371" s="13">
        <f>SUMPRODUCT(N371:Y371,$N$4:$Y$4)*$K371*$L371*$M371</f>
        <v/>
      </c>
      <c r="AD371" s="15" t="n">
        <v>33.6</v>
      </c>
      <c r="AE371" s="11" t="n">
        <v>1.184485596707819</v>
      </c>
      <c r="AF371" s="16">
        <f>SUMPRODUCT(N371:Y371,$N$5:$Y$5)*$K371*$L371*$M371</f>
        <v/>
      </c>
      <c r="AG371" s="16">
        <f>SUMPRODUCT(N371:Y371,$N$6:$Y$6)*$K371*$L371*$M371</f>
        <v/>
      </c>
      <c r="AH371" s="20" t="n"/>
    </row>
    <row r="372">
      <c r="A372" s="9" t="n">
        <v>663474</v>
      </c>
      <c r="B372" s="9" t="inlineStr">
        <is>
          <t>Triston McKenzie</t>
        </is>
      </c>
      <c r="C372" s="9" t="inlineStr">
        <is>
          <t>CLE</t>
        </is>
      </c>
      <c r="D372" s="9" t="n">
        <v>29</v>
      </c>
      <c r="E372" s="18" t="inlineStr">
        <is>
          <t>R</t>
        </is>
      </c>
      <c r="F372" s="18" t="n"/>
      <c r="G372" s="9" t="n">
        <v>30</v>
      </c>
      <c r="H372" s="9" t="n">
        <v>1184</v>
      </c>
      <c r="I372" s="9" t="inlineStr">
        <is>
          <t>End-of-Rotation Starter (SP4-5)</t>
        </is>
      </c>
      <c r="J372" s="18" t="inlineStr">
        <is>
          <t>Opening Day</t>
        </is>
      </c>
      <c r="K372" s="11">
        <f>IFERROR(INDEX(Roles!$B$17:$B$20,MATCH(J372,Roles!$A$17:$A$20,0)),1)</f>
        <v/>
      </c>
      <c r="L372" s="19" t="n">
        <v>1</v>
      </c>
      <c r="M372" s="11" t="n">
        <v>1</v>
      </c>
      <c r="N372" s="19" t="n"/>
      <c r="O372" s="19" t="n"/>
      <c r="P372" s="19" t="n">
        <v>1</v>
      </c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3">
        <f>SUMPRODUCT(N372:Y372,$N$2:$Y$2)*$K372*$L372*$M372</f>
        <v/>
      </c>
      <c r="AA372" s="14">
        <f>SUM(N372:Y372)</f>
        <v/>
      </c>
      <c r="AB372" s="13">
        <f>SUMPRODUCT(N372:Y372,$N$3:$Y$3)*$K372*$L372*$M372</f>
        <v/>
      </c>
      <c r="AC372" s="13">
        <f>SUMPRODUCT(N372:Y372,$N$4:$Y$4)*$K372*$L372*$M372</f>
        <v/>
      </c>
      <c r="AD372" s="15" t="n">
        <v>11.2</v>
      </c>
      <c r="AE372" s="11" t="n">
        <v>4.24537037037037</v>
      </c>
      <c r="AF372" s="16">
        <f>SUMPRODUCT(N372:Y372,$N$5:$Y$5)*$K372*$L372*$M372</f>
        <v/>
      </c>
      <c r="AG372" s="16">
        <f>SUMPRODUCT(N372:Y372,$N$6:$Y$6)*$K372*$L372*$M372</f>
        <v/>
      </c>
      <c r="AH372" s="20" t="n"/>
    </row>
    <row r="373">
      <c r="A373" s="9" t="n">
        <v>663687</v>
      </c>
      <c r="B373" s="9" t="inlineStr">
        <is>
          <t>Hogan Harris</t>
        </is>
      </c>
      <c r="C373" s="9" t="inlineStr">
        <is>
          <t>OAK</t>
        </is>
      </c>
      <c r="D373" s="9" t="n">
        <v>30</v>
      </c>
      <c r="E373" s="18" t="inlineStr">
        <is>
          <t>L</t>
        </is>
      </c>
      <c r="F373" s="18" t="n"/>
      <c r="G373" s="9" t="n">
        <v>311</v>
      </c>
      <c r="H373" s="9" t="n">
        <v>1177</v>
      </c>
      <c r="I373" s="9" t="inlineStr">
        <is>
          <t>Closer</t>
        </is>
      </c>
      <c r="J373" s="18" t="inlineStr">
        <is>
          <t>Opening Day</t>
        </is>
      </c>
      <c r="K373" s="11">
        <f>IFERROR(INDEX(Roles!$B$17:$B$20,MATCH(J373,Roles!$A$17:$A$20,0)),1)</f>
        <v/>
      </c>
      <c r="L373" s="19" t="n">
        <v>1</v>
      </c>
      <c r="M373" s="11" t="n">
        <v>1</v>
      </c>
      <c r="N373" s="19" t="n"/>
      <c r="O373" s="19" t="n"/>
      <c r="P373" s="19" t="n"/>
      <c r="Q373" s="19" t="n"/>
      <c r="R373" s="19" t="n"/>
      <c r="S373" s="19" t="n"/>
      <c r="T373" s="19" t="n">
        <v>0.85</v>
      </c>
      <c r="U373" s="19" t="n">
        <v>0.15</v>
      </c>
      <c r="V373" s="19" t="n"/>
      <c r="W373" s="19" t="n"/>
      <c r="X373" s="19" t="n"/>
      <c r="Y373" s="19" t="n"/>
      <c r="Z373" s="13">
        <f>SUMPRODUCT(N373:Y373,$N$2:$Y$2)*$K373*$L373*$M373</f>
        <v/>
      </c>
      <c r="AA373" s="14">
        <f>SUM(N373:Y373)</f>
        <v/>
      </c>
      <c r="AB373" s="13">
        <f>SUMPRODUCT(N373:Y373,$N$3:$Y$3)*$K373*$L373*$M373</f>
        <v/>
      </c>
      <c r="AC373" s="13">
        <f>SUMPRODUCT(N373:Y373,$N$4:$Y$4)*$K373*$L373*$M373</f>
        <v/>
      </c>
      <c r="AD373" s="15" t="n">
        <v>54.06</v>
      </c>
      <c r="AE373" s="11" t="n">
        <v>1.074932146026906</v>
      </c>
      <c r="AF373" s="16">
        <f>SUMPRODUCT(N373:Y373,$N$5:$Y$5)*$K373*$L373*$M373</f>
        <v/>
      </c>
      <c r="AG373" s="16">
        <f>SUMPRODUCT(N373:Y373,$N$6:$Y$6)*$K373*$L373*$M373</f>
        <v/>
      </c>
      <c r="AH373" s="20" t="n"/>
    </row>
    <row r="374">
      <c r="A374" s="9" t="n">
        <v>802408</v>
      </c>
      <c r="B374" s="9" t="inlineStr">
        <is>
          <t>Brycen Mautz</t>
        </is>
      </c>
      <c r="C374" s="9" t="inlineStr">
        <is>
          <t>STL</t>
        </is>
      </c>
      <c r="D374" s="9" t="n">
        <v>25</v>
      </c>
      <c r="E374" s="18" t="inlineStr">
        <is>
          <t>L</t>
        </is>
      </c>
      <c r="F374" s="18" t="n"/>
      <c r="G374" s="9" t="n">
        <v>75</v>
      </c>
      <c r="H374" s="9" t="n">
        <v>75</v>
      </c>
      <c r="I374" s="9" t="inlineStr">
        <is>
          <t>Swing Arm / Long Relief</t>
        </is>
      </c>
      <c r="J374" s="18" t="inlineStr">
        <is>
          <t>Opening Day</t>
        </is>
      </c>
      <c r="K374" s="11">
        <f>IFERROR(INDEX(Roles!$B$17:$B$20,MATCH(J374,Roles!$A$17:$A$20,0)),1)</f>
        <v/>
      </c>
      <c r="L374" s="19" t="n">
        <v>1</v>
      </c>
      <c r="M374" s="11" t="n">
        <v>1</v>
      </c>
      <c r="N374" s="19" t="n"/>
      <c r="O374" s="19" t="n"/>
      <c r="P374" s="19" t="n"/>
      <c r="Q374" s="19" t="n"/>
      <c r="R374" s="19" t="n">
        <v>0.6</v>
      </c>
      <c r="S374" s="19" t="n"/>
      <c r="T374" s="19" t="n"/>
      <c r="U374" s="19" t="n"/>
      <c r="V374" s="19" t="n"/>
      <c r="W374" s="19" t="n">
        <v>0.4</v>
      </c>
      <c r="X374" s="19" t="n"/>
      <c r="Y374" s="19" t="n"/>
      <c r="Z374" s="13">
        <f>SUMPRODUCT(N374:Y374,$N$2:$Y$2)*$K374*$L374*$M374</f>
        <v/>
      </c>
      <c r="AA374" s="14">
        <f>SUM(N374:Y374)</f>
        <v/>
      </c>
      <c r="AB374" s="13">
        <f>SUMPRODUCT(N374:Y374,$N$3:$Y$3)*$K374*$L374*$M374</f>
        <v/>
      </c>
      <c r="AC374" s="13">
        <f>SUMPRODUCT(N374:Y374,$N$4:$Y$4)*$K374*$L374*$M374</f>
        <v/>
      </c>
      <c r="AD374" s="15" t="n">
        <v>12.93333333333333</v>
      </c>
      <c r="AE374" s="11" t="n">
        <v>2.307377049180328</v>
      </c>
      <c r="AF374" s="16">
        <f>SUMPRODUCT(N374:Y374,$N$5:$Y$5)*$K374*$L374*$M374</f>
        <v/>
      </c>
      <c r="AG374" s="16">
        <f>SUMPRODUCT(N374:Y374,$N$6:$Y$6)*$K374*$L374*$M374</f>
        <v/>
      </c>
      <c r="AH374" s="20" t="n"/>
    </row>
    <row r="375">
      <c r="A375" s="9" t="n">
        <v>622766</v>
      </c>
      <c r="B375" s="9" t="inlineStr">
        <is>
          <t>Miguel Díaz</t>
        </is>
      </c>
      <c r="C375" s="9" t="inlineStr">
        <is>
          <t>DET</t>
        </is>
      </c>
      <c r="D375" s="9" t="n">
        <v>32</v>
      </c>
      <c r="E375" s="18" t="inlineStr">
        <is>
          <t>R</t>
        </is>
      </c>
      <c r="F375" s="18" t="n"/>
      <c r="G375" s="9" t="n">
        <v>3</v>
      </c>
      <c r="H375" s="9" t="n">
        <v>71</v>
      </c>
      <c r="I375" s="9" t="inlineStr">
        <is>
          <t>Depth (no MLB IP)</t>
        </is>
      </c>
      <c r="J375" s="18" t="inlineStr">
        <is>
          <t>Opening Day</t>
        </is>
      </c>
      <c r="K375" s="11">
        <f>IFERROR(INDEX(Roles!$B$17:$B$20,MATCH(J375,Roles!$A$17:$A$20,0)),1)</f>
        <v/>
      </c>
      <c r="L375" s="19" t="n">
        <v>1</v>
      </c>
      <c r="M375" s="11" t="n">
        <v>1</v>
      </c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>
        <v>1</v>
      </c>
      <c r="Z375" s="13">
        <f>SUMPRODUCT(N375:Y375,$N$2:$Y$2)*$K375*$L375*$M375</f>
        <v/>
      </c>
      <c r="AA375" s="14">
        <f>SUM(N375:Y375)</f>
        <v/>
      </c>
      <c r="AB375" s="13">
        <f>SUMPRODUCT(N375:Y375,$N$3:$Y$3)*$K375*$L375*$M375</f>
        <v/>
      </c>
      <c r="AC375" s="13">
        <f>SUMPRODUCT(N375:Y375,$N$4:$Y$4)*$K375*$L375*$M375</f>
        <v/>
      </c>
      <c r="AD375" s="15" t="n">
        <v>1.8</v>
      </c>
      <c r="AE375" s="11" t="n">
        <v>1.007530864197531</v>
      </c>
      <c r="AF375" s="16">
        <f>SUMPRODUCT(N375:Y375,$N$5:$Y$5)*$K375*$L375*$M375</f>
        <v/>
      </c>
      <c r="AG375" s="16">
        <f>SUMPRODUCT(N375:Y375,$N$6:$Y$6)*$K375*$L375*$M375</f>
        <v/>
      </c>
      <c r="AH375" s="20" t="n"/>
    </row>
    <row r="376">
      <c r="A376" s="9" t="n">
        <v>595897</v>
      </c>
      <c r="B376" s="9" t="inlineStr">
        <is>
          <t>Nick Burdi</t>
        </is>
      </c>
      <c r="C376" s="9" t="inlineStr">
        <is>
          <t>NYY</t>
        </is>
      </c>
      <c r="D376" s="9" t="n">
        <v>34</v>
      </c>
      <c r="E376" s="18" t="inlineStr">
        <is>
          <t>R</t>
        </is>
      </c>
      <c r="F376" s="18" t="n"/>
      <c r="G376" s="9" t="n">
        <v>21</v>
      </c>
      <c r="H376" s="9" t="n">
        <v>81</v>
      </c>
      <c r="I376" s="9" t="inlineStr">
        <is>
          <t>Depth (no MLB IP)</t>
        </is>
      </c>
      <c r="J376" s="18" t="inlineStr">
        <is>
          <t>Opening Day</t>
        </is>
      </c>
      <c r="K376" s="11">
        <f>IFERROR(INDEX(Roles!$B$17:$B$20,MATCH(J376,Roles!$A$17:$A$20,0)),1)</f>
        <v/>
      </c>
      <c r="L376" s="19" t="n">
        <v>1</v>
      </c>
      <c r="M376" s="11" t="n">
        <v>1</v>
      </c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>
        <v>1</v>
      </c>
      <c r="Z376" s="13">
        <f>SUMPRODUCT(N376:Y376,$N$2:$Y$2)*$K376*$L376*$M376</f>
        <v/>
      </c>
      <c r="AA376" s="14">
        <f>SUM(N376:Y376)</f>
        <v/>
      </c>
      <c r="AB376" s="13">
        <f>SUMPRODUCT(N376:Y376,$N$3:$Y$3)*$K376*$L376*$M376</f>
        <v/>
      </c>
      <c r="AC376" s="13">
        <f>SUMPRODUCT(N376:Y376,$N$4:$Y$4)*$K376*$L376*$M376</f>
        <v/>
      </c>
      <c r="AD376" s="15" t="n">
        <v>5.2</v>
      </c>
      <c r="AE376" s="11" t="n">
        <v>1.013086419753086</v>
      </c>
      <c r="AF376" s="16">
        <f>SUMPRODUCT(N376:Y376,$N$5:$Y$5)*$K376*$L376*$M376</f>
        <v/>
      </c>
      <c r="AG376" s="16">
        <f>SUMPRODUCT(N376:Y376,$N$6:$Y$6)*$K376*$L376*$M376</f>
        <v/>
      </c>
      <c r="AH376" s="20" t="n"/>
    </row>
    <row r="377">
      <c r="A377" s="9" t="n">
        <v>665645</v>
      </c>
      <c r="B377" s="9" t="inlineStr">
        <is>
          <t>Kervin Castro</t>
        </is>
      </c>
      <c r="C377" s="9" t="inlineStr">
        <is>
          <t>CHC</t>
        </is>
      </c>
      <c r="D377" s="9" t="n">
        <v>28</v>
      </c>
      <c r="E377" s="18" t="inlineStr">
        <is>
          <t>R</t>
        </is>
      </c>
      <c r="F377" s="18" t="n"/>
      <c r="G377" s="9" t="n">
        <v>23</v>
      </c>
      <c r="H377" s="9" t="n">
        <v>80</v>
      </c>
      <c r="I377" s="9" t="inlineStr">
        <is>
          <t>Bullpen Depth Arm</t>
        </is>
      </c>
      <c r="J377" s="18" t="inlineStr">
        <is>
          <t>Opening Day</t>
        </is>
      </c>
      <c r="K377" s="11">
        <f>IFERROR(INDEX(Roles!$B$17:$B$20,MATCH(J377,Roles!$A$17:$A$20,0)),1)</f>
        <v/>
      </c>
      <c r="L377" s="19" t="n">
        <v>1</v>
      </c>
      <c r="M377" s="11" t="n">
        <v>1</v>
      </c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>
        <v>0.5</v>
      </c>
      <c r="X377" s="19" t="n"/>
      <c r="Y377" s="19" t="n">
        <v>0.5</v>
      </c>
      <c r="Z377" s="13">
        <f>SUMPRODUCT(N377:Y377,$N$2:$Y$2)*$K377*$L377*$M377</f>
        <v/>
      </c>
      <c r="AA377" s="14">
        <f>SUM(N377:Y377)</f>
        <v/>
      </c>
      <c r="AB377" s="13">
        <f>SUMPRODUCT(N377:Y377,$N$3:$Y$3)*$K377*$L377*$M377</f>
        <v/>
      </c>
      <c r="AC377" s="13">
        <f>SUMPRODUCT(N377:Y377,$N$4:$Y$4)*$K377*$L377*$M377</f>
        <v/>
      </c>
      <c r="AD377" s="15" t="n">
        <v>8.666666666666666</v>
      </c>
      <c r="AE377" s="11" t="n">
        <v>1.22372935706269</v>
      </c>
      <c r="AF377" s="16">
        <f>SUMPRODUCT(N377:Y377,$N$5:$Y$5)*$K377*$L377*$M377</f>
        <v/>
      </c>
      <c r="AG377" s="16">
        <f>SUMPRODUCT(N377:Y377,$N$6:$Y$6)*$K377*$L377*$M377</f>
        <v/>
      </c>
      <c r="AH377" s="20" t="n"/>
    </row>
    <row r="378">
      <c r="A378" s="9" t="n">
        <v>811315</v>
      </c>
      <c r="B378" s="9" t="inlineStr">
        <is>
          <t>Brody Hopkins</t>
        </is>
      </c>
      <c r="C378" s="9" t="inlineStr">
        <is>
          <t>TB</t>
        </is>
      </c>
      <c r="D378" s="9" t="n">
        <v>25</v>
      </c>
      <c r="E378" s="18" t="inlineStr">
        <is>
          <t>R</t>
        </is>
      </c>
      <c r="F378" s="18" t="n"/>
      <c r="G378" s="9" t="n">
        <v>24</v>
      </c>
      <c r="H378" s="9" t="n">
        <v>24</v>
      </c>
      <c r="I378" s="9" t="inlineStr">
        <is>
          <t>Bullpen Depth Arm</t>
        </is>
      </c>
      <c r="J378" s="18" t="inlineStr">
        <is>
          <t>Opening Day</t>
        </is>
      </c>
      <c r="K378" s="11">
        <f>IFERROR(INDEX(Roles!$B$17:$B$20,MATCH(J378,Roles!$A$17:$A$20,0)),1)</f>
        <v/>
      </c>
      <c r="L378" s="19" t="n">
        <v>1</v>
      </c>
      <c r="M378" s="11" t="n">
        <v>1</v>
      </c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>
        <v>0.5</v>
      </c>
      <c r="X378" s="19" t="n"/>
      <c r="Y378" s="19" t="n">
        <v>0.5</v>
      </c>
      <c r="Z378" s="13">
        <f>SUMPRODUCT(N378:Y378,$N$2:$Y$2)*$K378*$L378*$M378</f>
        <v/>
      </c>
      <c r="AA378" s="14">
        <f>SUM(N378:Y378)</f>
        <v/>
      </c>
      <c r="AB378" s="13">
        <f>SUMPRODUCT(N378:Y378,$N$3:$Y$3)*$K378*$L378*$M378</f>
        <v/>
      </c>
      <c r="AC378" s="13">
        <f>SUMPRODUCT(N378:Y378,$N$4:$Y$4)*$K378*$L378*$M378</f>
        <v/>
      </c>
      <c r="AD378" s="15" t="n">
        <v>9.266666666666666</v>
      </c>
      <c r="AE378" s="11" t="n">
        <v>1.097803431136764</v>
      </c>
      <c r="AF378" s="16">
        <f>SUMPRODUCT(N378:Y378,$N$5:$Y$5)*$K378*$L378*$M378</f>
        <v/>
      </c>
      <c r="AG378" s="16">
        <f>SUMPRODUCT(N378:Y378,$N$6:$Y$6)*$K378*$L378*$M378</f>
        <v/>
      </c>
      <c r="AH378" s="20" t="n"/>
    </row>
    <row r="379">
      <c r="A379" s="9" t="n">
        <v>680899</v>
      </c>
      <c r="B379" s="9" t="inlineStr">
        <is>
          <t>Erik Tolman</t>
        </is>
      </c>
      <c r="C379" s="9" t="inlineStr">
        <is>
          <t>WSH</t>
        </is>
      </c>
      <c r="D379" s="9" t="n">
        <v>28</v>
      </c>
      <c r="E379" s="18" t="inlineStr">
        <is>
          <t>L</t>
        </is>
      </c>
      <c r="F379" s="18" t="n"/>
      <c r="G379" s="9" t="n">
        <v>67</v>
      </c>
      <c r="H379" s="9" t="n">
        <v>67</v>
      </c>
      <c r="I379" s="9" t="inlineStr">
        <is>
          <t>Closer</t>
        </is>
      </c>
      <c r="J379" s="18" t="inlineStr">
        <is>
          <t>Opening Day</t>
        </is>
      </c>
      <c r="K379" s="11">
        <f>IFERROR(INDEX(Roles!$B$17:$B$20,MATCH(J379,Roles!$A$17:$A$20,0)),1)</f>
        <v/>
      </c>
      <c r="L379" s="19" t="n">
        <v>1</v>
      </c>
      <c r="M379" s="11" t="n">
        <v>1</v>
      </c>
      <c r="N379" s="19" t="n"/>
      <c r="O379" s="19" t="n"/>
      <c r="P379" s="19" t="n"/>
      <c r="Q379" s="19" t="n"/>
      <c r="R379" s="19" t="n"/>
      <c r="S379" s="19" t="n"/>
      <c r="T379" s="19" t="n">
        <v>0.85</v>
      </c>
      <c r="U379" s="19" t="n">
        <v>0.15</v>
      </c>
      <c r="V379" s="19" t="n"/>
      <c r="W379" s="19" t="n"/>
      <c r="X379" s="19" t="n"/>
      <c r="Y379" s="19" t="n"/>
      <c r="Z379" s="13">
        <f>SUMPRODUCT(N379:Y379,$N$2:$Y$2)*$K379*$L379*$M379</f>
        <v/>
      </c>
      <c r="AA379" s="14">
        <f>SUM(N379:Y379)</f>
        <v/>
      </c>
      <c r="AB379" s="13">
        <f>SUMPRODUCT(N379:Y379,$N$3:$Y$3)*$K379*$L379*$M379</f>
        <v/>
      </c>
      <c r="AC379" s="13">
        <f>SUMPRODUCT(N379:Y379,$N$4:$Y$4)*$K379*$L379*$M379</f>
        <v/>
      </c>
      <c r="AD379" s="15" t="n">
        <v>29.16</v>
      </c>
      <c r="AE379" s="11" t="n">
        <v>1.009904286308781</v>
      </c>
      <c r="AF379" s="16">
        <f>SUMPRODUCT(N379:Y379,$N$5:$Y$5)*$K379*$L379*$M379</f>
        <v/>
      </c>
      <c r="AG379" s="16">
        <f>SUMPRODUCT(N379:Y379,$N$6:$Y$6)*$K379*$L379*$M379</f>
        <v/>
      </c>
      <c r="AH379" s="20" t="n"/>
    </row>
    <row r="380">
      <c r="A380" s="9" t="n">
        <v>663460</v>
      </c>
      <c r="B380" s="9" t="inlineStr">
        <is>
          <t>Kris Bubic</t>
        </is>
      </c>
      <c r="C380" s="9" t="inlineStr">
        <is>
          <t>LAD</t>
        </is>
      </c>
      <c r="D380" s="9" t="n">
        <v>29</v>
      </c>
      <c r="E380" s="18" t="inlineStr">
        <is>
          <t>L</t>
        </is>
      </c>
      <c r="F380" s="18" t="n"/>
      <c r="G380" s="9" t="n">
        <v>226</v>
      </c>
      <c r="H380" s="9" t="n">
        <v>1478</v>
      </c>
      <c r="I380" s="9" t="inlineStr">
        <is>
          <t>Swing Arm / Long Relief</t>
        </is>
      </c>
      <c r="J380" s="18" t="inlineStr">
        <is>
          <t>Opening Day</t>
        </is>
      </c>
      <c r="K380" s="11">
        <f>IFERROR(INDEX(Roles!$B$17:$B$20,MATCH(J380,Roles!$A$17:$A$20,0)),1)</f>
        <v/>
      </c>
      <c r="L380" s="19" t="n">
        <v>1</v>
      </c>
      <c r="M380" s="11" t="n">
        <v>1</v>
      </c>
      <c r="N380" s="19" t="n"/>
      <c r="O380" s="19" t="n"/>
      <c r="P380" s="19" t="n"/>
      <c r="Q380" s="19" t="n"/>
      <c r="R380" s="19" t="n">
        <v>0.6</v>
      </c>
      <c r="S380" s="19" t="n"/>
      <c r="T380" s="19" t="n"/>
      <c r="U380" s="19" t="n"/>
      <c r="V380" s="19" t="n"/>
      <c r="W380" s="19" t="n">
        <v>0.4</v>
      </c>
      <c r="X380" s="19" t="n"/>
      <c r="Y380" s="19" t="n"/>
      <c r="Z380" s="13">
        <f>SUMPRODUCT(N380:Y380,$N$2:$Y$2)*$K380*$L380*$M380</f>
        <v/>
      </c>
      <c r="AA380" s="14">
        <f>SUM(N380:Y380)</f>
        <v/>
      </c>
      <c r="AB380" s="13">
        <f>SUMPRODUCT(N380:Y380,$N$3:$Y$3)*$K380*$L380*$M380</f>
        <v/>
      </c>
      <c r="AC380" s="13">
        <f>SUMPRODUCT(N380:Y380,$N$4:$Y$4)*$K380*$L380*$M380</f>
        <v/>
      </c>
      <c r="AD380" s="15" t="n">
        <v>19.03333333333333</v>
      </c>
      <c r="AE380" s="11" t="n">
        <v>2.977356661820491</v>
      </c>
      <c r="AF380" s="16">
        <f>SUMPRODUCT(N380:Y380,$N$5:$Y$5)*$K380*$L380*$M380</f>
        <v/>
      </c>
      <c r="AG380" s="16">
        <f>SUMPRODUCT(N380:Y380,$N$6:$Y$6)*$K380*$L380*$M380</f>
        <v/>
      </c>
      <c r="AH380" s="20" t="n"/>
    </row>
    <row r="381">
      <c r="A381" s="9" t="n">
        <v>622491</v>
      </c>
      <c r="B381" s="9" t="inlineStr">
        <is>
          <t>Luis Castillo</t>
        </is>
      </c>
      <c r="C381" s="9" t="inlineStr">
        <is>
          <t>CWS</t>
        </is>
      </c>
      <c r="D381" s="9" t="n">
        <v>34</v>
      </c>
      <c r="E381" s="18" t="inlineStr">
        <is>
          <t>R</t>
        </is>
      </c>
      <c r="F381" s="18" t="n"/>
      <c r="G381" s="9" t="n">
        <v>592</v>
      </c>
      <c r="H381" s="9" t="n">
        <v>3473</v>
      </c>
      <c r="I381" s="9" t="inlineStr">
        <is>
          <t>Bullpen Depth Arm</t>
        </is>
      </c>
      <c r="J381" s="18" t="inlineStr">
        <is>
          <t>Opening Day</t>
        </is>
      </c>
      <c r="K381" s="11">
        <f>IFERROR(INDEX(Roles!$B$17:$B$20,MATCH(J381,Roles!$A$17:$A$20,0)),1)</f>
        <v/>
      </c>
      <c r="L381" s="19" t="n">
        <v>1</v>
      </c>
      <c r="M381" s="11" t="n">
        <v>1</v>
      </c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>
        <v>0.15</v>
      </c>
      <c r="W381" s="19" t="n">
        <v>0.85</v>
      </c>
      <c r="X381" s="19" t="n"/>
      <c r="Y381" s="19" t="n"/>
      <c r="Z381" s="13">
        <f>SUMPRODUCT(N381:Y381,$N$2:$Y$2)*$K381*$L381*$M381</f>
        <v/>
      </c>
      <c r="AA381" s="14">
        <f>SUM(N381:Y381)</f>
        <v/>
      </c>
      <c r="AB381" s="13">
        <f>SUMPRODUCT(N381:Y381,$N$3:$Y$3)*$K381*$L381*$M381</f>
        <v/>
      </c>
      <c r="AC381" s="13">
        <f>SUMPRODUCT(N381:Y381,$N$4:$Y$4)*$K381*$L381*$M381</f>
        <v/>
      </c>
      <c r="AD381" s="15" t="n">
        <v>23.76666666666667</v>
      </c>
      <c r="AE381" s="11" t="n">
        <v>2.511758822992709</v>
      </c>
      <c r="AF381" s="16">
        <f>SUMPRODUCT(N381:Y381,$N$5:$Y$5)*$K381*$L381*$M381</f>
        <v/>
      </c>
      <c r="AG381" s="16">
        <f>SUMPRODUCT(N381:Y381,$N$6:$Y$6)*$K381*$L381*$M381</f>
        <v/>
      </c>
      <c r="AH381" s="20" t="n"/>
    </row>
    <row r="382">
      <c r="A382" s="9" t="n">
        <v>684049</v>
      </c>
      <c r="B382" s="9" t="inlineStr">
        <is>
          <t>Brandan Bidois</t>
        </is>
      </c>
      <c r="C382" s="9" t="inlineStr">
        <is>
          <t>PIT</t>
        </is>
      </c>
      <c r="D382" s="9" t="n">
        <v>26</v>
      </c>
      <c r="E382" s="18" t="inlineStr">
        <is>
          <t>R</t>
        </is>
      </c>
      <c r="F382" s="18" t="n"/>
      <c r="G382" s="9" t="n">
        <v>80</v>
      </c>
      <c r="H382" s="9" t="n">
        <v>80</v>
      </c>
      <c r="I382" s="9" t="inlineStr">
        <is>
          <t>Bullpen Depth Arm</t>
        </is>
      </c>
      <c r="J382" s="18" t="inlineStr">
        <is>
          <t>Opening Day</t>
        </is>
      </c>
      <c r="K382" s="11">
        <f>IFERROR(INDEX(Roles!$B$17:$B$20,MATCH(J382,Roles!$A$17:$A$20,0)),1)</f>
        <v/>
      </c>
      <c r="L382" s="19" t="n">
        <v>1</v>
      </c>
      <c r="M382" s="11" t="n">
        <v>1</v>
      </c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>
        <v>1</v>
      </c>
      <c r="X382" s="19" t="n"/>
      <c r="Y382" s="19" t="n"/>
      <c r="Z382" s="13">
        <f>SUMPRODUCT(N382:Y382,$N$2:$Y$2)*$K382*$L382*$M382</f>
        <v/>
      </c>
      <c r="AA382" s="14">
        <f>SUM(N382:Y382)</f>
        <v/>
      </c>
      <c r="AB382" s="13">
        <f>SUMPRODUCT(N382:Y382,$N$3:$Y$3)*$K382*$L382*$M382</f>
        <v/>
      </c>
      <c r="AC382" s="13">
        <f>SUMPRODUCT(N382:Y382,$N$4:$Y$4)*$K382*$L382*$M382</f>
        <v/>
      </c>
      <c r="AD382" s="15" t="n">
        <v>14.66666666666667</v>
      </c>
      <c r="AE382" s="11" t="n">
        <v>1.149655282988616</v>
      </c>
      <c r="AF382" s="16">
        <f>SUMPRODUCT(N382:Y382,$N$5:$Y$5)*$K382*$L382*$M382</f>
        <v/>
      </c>
      <c r="AG382" s="16">
        <f>SUMPRODUCT(N382:Y382,$N$6:$Y$6)*$K382*$L382*$M382</f>
        <v/>
      </c>
      <c r="AH382" s="20" t="n"/>
    </row>
    <row r="383">
      <c r="A383" s="9" t="n">
        <v>697812</v>
      </c>
      <c r="B383" s="9" t="inlineStr">
        <is>
          <t>Joe Rock</t>
        </is>
      </c>
      <c r="C383" s="9" t="inlineStr">
        <is>
          <t>OAK</t>
        </is>
      </c>
      <c r="D383" s="9" t="n">
        <v>26</v>
      </c>
      <c r="E383" s="18" t="inlineStr">
        <is>
          <t>L</t>
        </is>
      </c>
      <c r="F383" s="18" t="n"/>
      <c r="G383" s="9" t="n">
        <v>56</v>
      </c>
      <c r="H383" s="9" t="n">
        <v>91</v>
      </c>
      <c r="I383" s="9" t="inlineStr">
        <is>
          <t>Bullpen Depth Arm</t>
        </is>
      </c>
      <c r="J383" s="18" t="inlineStr">
        <is>
          <t>Opening Day</t>
        </is>
      </c>
      <c r="K383" s="11">
        <f>IFERROR(INDEX(Roles!$B$17:$B$20,MATCH(J383,Roles!$A$17:$A$20,0)),1)</f>
        <v/>
      </c>
      <c r="L383" s="19" t="n">
        <v>1</v>
      </c>
      <c r="M383" s="11" t="n">
        <v>1</v>
      </c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>
        <v>1</v>
      </c>
      <c r="X383" s="19" t="n"/>
      <c r="Y383" s="19" t="n"/>
      <c r="Z383" s="13">
        <f>SUMPRODUCT(N383:Y383,$N$2:$Y$2)*$K383*$L383*$M383</f>
        <v/>
      </c>
      <c r="AA383" s="14">
        <f>SUM(N383:Y383)</f>
        <v/>
      </c>
      <c r="AB383" s="13">
        <f>SUMPRODUCT(N383:Y383,$N$3:$Y$3)*$K383*$L383*$M383</f>
        <v/>
      </c>
      <c r="AC383" s="13">
        <f>SUMPRODUCT(N383:Y383,$N$4:$Y$4)*$K383*$L383*$M383</f>
        <v/>
      </c>
      <c r="AD383" s="15" t="n">
        <v>8.186666666666667</v>
      </c>
      <c r="AE383" s="11" t="n">
        <v>1.536956870290204</v>
      </c>
      <c r="AF383" s="16">
        <f>SUMPRODUCT(N383:Y383,$N$5:$Y$5)*$K383*$L383*$M383</f>
        <v/>
      </c>
      <c r="AG383" s="16">
        <f>SUMPRODUCT(N383:Y383,$N$6:$Y$6)*$K383*$L383*$M383</f>
        <v/>
      </c>
      <c r="AH383" s="20" t="n"/>
    </row>
    <row r="384">
      <c r="A384" s="9" t="n">
        <v>674841</v>
      </c>
      <c r="B384" s="9" t="inlineStr">
        <is>
          <t>Andrew Alvarez</t>
        </is>
      </c>
      <c r="C384" s="9" t="inlineStr">
        <is>
          <t>WSH</t>
        </is>
      </c>
      <c r="D384" s="9" t="n">
        <v>28</v>
      </c>
      <c r="E384" s="18" t="inlineStr">
        <is>
          <t>L</t>
        </is>
      </c>
      <c r="F384" s="18" t="n"/>
      <c r="G384" s="9" t="n">
        <v>473</v>
      </c>
      <c r="H384" s="9" t="n">
        <v>571</v>
      </c>
      <c r="I384" s="9" t="inlineStr">
        <is>
          <t>Mid-Rotation Starter (SP2-3)</t>
        </is>
      </c>
      <c r="J384" s="18" t="inlineStr">
        <is>
          <t>Opening Day</t>
        </is>
      </c>
      <c r="K384" s="11">
        <f>IFERROR(INDEX(Roles!$B$17:$B$20,MATCH(J384,Roles!$A$17:$A$20,0)),1)</f>
        <v/>
      </c>
      <c r="L384" s="19" t="n">
        <v>1</v>
      </c>
      <c r="M384" s="11" t="n">
        <v>1</v>
      </c>
      <c r="N384" s="19" t="n"/>
      <c r="O384" s="19" t="n">
        <v>0.5</v>
      </c>
      <c r="P384" s="19" t="n">
        <v>0.5</v>
      </c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3">
        <f>SUMPRODUCT(N384:Y384,$N$2:$Y$2)*$K384*$L384*$M384</f>
        <v/>
      </c>
      <c r="AA384" s="14">
        <f>SUM(N384:Y384)</f>
        <v/>
      </c>
      <c r="AB384" s="13">
        <f>SUMPRODUCT(N384:Y384,$N$3:$Y$3)*$K384*$L384*$M384</f>
        <v/>
      </c>
      <c r="AC384" s="13">
        <f>SUMPRODUCT(N384:Y384,$N$4:$Y$4)*$K384*$L384*$M384</f>
        <v/>
      </c>
      <c r="AD384" s="15" t="n">
        <v>20.6</v>
      </c>
      <c r="AE384" s="11" t="n">
        <v>4.978030782205356</v>
      </c>
      <c r="AF384" s="16">
        <f>SUMPRODUCT(N384:Y384,$N$5:$Y$5)*$K384*$L384*$M384</f>
        <v/>
      </c>
      <c r="AG384" s="16">
        <f>SUMPRODUCT(N384:Y384,$N$6:$Y$6)*$K384*$L384*$M384</f>
        <v/>
      </c>
      <c r="AH384" s="20" t="n"/>
    </row>
    <row r="385">
      <c r="A385" s="9" t="n">
        <v>502202</v>
      </c>
      <c r="B385" s="9" t="inlineStr">
        <is>
          <t>Brad Boxberger</t>
        </is>
      </c>
      <c r="C385" s="9" t="inlineStr">
        <is>
          <t>CHC</t>
        </is>
      </c>
      <c r="D385" s="9" t="n">
        <v>39</v>
      </c>
      <c r="E385" s="18" t="inlineStr">
        <is>
          <t>R</t>
        </is>
      </c>
      <c r="F385" s="18" t="n"/>
      <c r="G385" s="9" t="n">
        <v>84</v>
      </c>
      <c r="H385" s="9" t="n">
        <v>352</v>
      </c>
      <c r="I385" s="9" t="inlineStr">
        <is>
          <t>Depth (no MLB IP)</t>
        </is>
      </c>
      <c r="J385" s="18" t="inlineStr">
        <is>
          <t>Opening Day</t>
        </is>
      </c>
      <c r="K385" s="11">
        <f>IFERROR(INDEX(Roles!$B$17:$B$20,MATCH(J385,Roles!$A$17:$A$20,0)),1)</f>
        <v/>
      </c>
      <c r="L385" s="19" t="n">
        <v>1</v>
      </c>
      <c r="M385" s="11" t="n">
        <v>1</v>
      </c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>
        <v>1</v>
      </c>
      <c r="Z385" s="13">
        <f>SUMPRODUCT(N385:Y385,$N$2:$Y$2)*$K385*$L385*$M385</f>
        <v/>
      </c>
      <c r="AA385" s="14">
        <f>SUM(N385:Y385)</f>
        <v/>
      </c>
      <c r="AB385" s="13">
        <f>SUMPRODUCT(N385:Y385,$N$3:$Y$3)*$K385*$L385*$M385</f>
        <v/>
      </c>
      <c r="AC385" s="13">
        <f>SUMPRODUCT(N385:Y385,$N$4:$Y$4)*$K385*$L385*$M385</f>
        <v/>
      </c>
      <c r="AD385" s="15" t="n">
        <v>3</v>
      </c>
      <c r="AE385" s="11" t="n">
        <v>1.011296296296296</v>
      </c>
      <c r="AF385" s="16">
        <f>SUMPRODUCT(N385:Y385,$N$5:$Y$5)*$K385*$L385*$M385</f>
        <v/>
      </c>
      <c r="AG385" s="16">
        <f>SUMPRODUCT(N385:Y385,$N$6:$Y$6)*$K385*$L385*$M385</f>
        <v/>
      </c>
      <c r="AH385" s="20" t="n"/>
    </row>
    <row r="386">
      <c r="A386" s="9" t="n">
        <v>660853</v>
      </c>
      <c r="B386" s="9" t="inlineStr">
        <is>
          <t>Enyel De Los Santos</t>
        </is>
      </c>
      <c r="C386" s="9" t="inlineStr">
        <is>
          <t>HOU</t>
        </is>
      </c>
      <c r="D386" s="9" t="n">
        <v>31</v>
      </c>
      <c r="E386" s="18" t="inlineStr">
        <is>
          <t>R</t>
        </is>
      </c>
      <c r="F386" s="18" t="n"/>
      <c r="G386" s="9" t="n">
        <v>301</v>
      </c>
      <c r="H386" s="9" t="n">
        <v>1336</v>
      </c>
      <c r="I386" s="9" t="inlineStr">
        <is>
          <t>Middle Relief</t>
        </is>
      </c>
      <c r="J386" s="18" t="inlineStr">
        <is>
          <t>Opening Day</t>
        </is>
      </c>
      <c r="K386" s="11">
        <f>IFERROR(INDEX(Roles!$B$17:$B$20,MATCH(J386,Roles!$A$17:$A$20,0)),1)</f>
        <v/>
      </c>
      <c r="L386" s="19" t="n">
        <v>1</v>
      </c>
      <c r="M386" s="11" t="n">
        <v>1</v>
      </c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>
        <v>0.5</v>
      </c>
      <c r="W386" s="19" t="n">
        <v>0.5</v>
      </c>
      <c r="X386" s="19" t="n"/>
      <c r="Y386" s="19" t="n"/>
      <c r="Z386" s="13">
        <f>SUMPRODUCT(N386:Y386,$N$2:$Y$2)*$K386*$L386*$M386</f>
        <v/>
      </c>
      <c r="AA386" s="14">
        <f>SUM(N386:Y386)</f>
        <v/>
      </c>
      <c r="AB386" s="13">
        <f>SUMPRODUCT(N386:Y386,$N$3:$Y$3)*$K386*$L386*$M386</f>
        <v/>
      </c>
      <c r="AC386" s="13">
        <f>SUMPRODUCT(N386:Y386,$N$4:$Y$4)*$K386*$L386*$M386</f>
        <v/>
      </c>
      <c r="AD386" s="15" t="n">
        <v>53.93333333333332</v>
      </c>
      <c r="AE386" s="11" t="n">
        <v>1.037783220557727</v>
      </c>
      <c r="AF386" s="16">
        <f>SUMPRODUCT(N386:Y386,$N$5:$Y$5)*$K386*$L386*$M386</f>
        <v/>
      </c>
      <c r="AG386" s="16">
        <f>SUMPRODUCT(N386:Y386,$N$6:$Y$6)*$K386*$L386*$M386</f>
        <v/>
      </c>
      <c r="AH386" s="20" t="n"/>
    </row>
    <row r="387">
      <c r="A387" s="9" t="n">
        <v>692064</v>
      </c>
      <c r="B387" s="9" t="inlineStr">
        <is>
          <t>José Rodríguez</t>
        </is>
      </c>
      <c r="C387" s="9" t="inlineStr">
        <is>
          <t>TOR</t>
        </is>
      </c>
      <c r="D387" s="9" t="n">
        <v>25</v>
      </c>
      <c r="E387" s="18" t="inlineStr">
        <is>
          <t>R</t>
        </is>
      </c>
      <c r="F387" s="18" t="n"/>
      <c r="G387" s="9" t="n">
        <v>16</v>
      </c>
      <c r="H387" s="9" t="n">
        <v>16</v>
      </c>
      <c r="I387" s="9" t="inlineStr">
        <is>
          <t>Middle Relief</t>
        </is>
      </c>
      <c r="J387" s="18" t="inlineStr">
        <is>
          <t>Opening Day</t>
        </is>
      </c>
      <c r="K387" s="11">
        <f>IFERROR(INDEX(Roles!$B$17:$B$20,MATCH(J387,Roles!$A$17:$A$20,0)),1)</f>
        <v/>
      </c>
      <c r="L387" s="19" t="n">
        <v>1</v>
      </c>
      <c r="M387" s="11" t="n">
        <v>1</v>
      </c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>
        <v>0.8</v>
      </c>
      <c r="W387" s="19" t="n">
        <v>0.2</v>
      </c>
      <c r="X387" s="19" t="n"/>
      <c r="Y387" s="19" t="n"/>
      <c r="Z387" s="13">
        <f>SUMPRODUCT(N387:Y387,$N$2:$Y$2)*$K387*$L387*$M387</f>
        <v/>
      </c>
      <c r="AA387" s="14">
        <f>SUM(N387:Y387)</f>
        <v/>
      </c>
      <c r="AB387" s="13">
        <f>SUMPRODUCT(N387:Y387,$N$3:$Y$3)*$K387*$L387*$M387</f>
        <v/>
      </c>
      <c r="AC387" s="13">
        <f>SUMPRODUCT(N387:Y387,$N$4:$Y$4)*$K387*$L387*$M387</f>
        <v/>
      </c>
      <c r="AD387" s="15" t="n">
        <v>17.13333333333333</v>
      </c>
      <c r="AE387" s="11" t="n">
        <v>1.078032653664303</v>
      </c>
      <c r="AF387" s="16">
        <f>SUMPRODUCT(N387:Y387,$N$5:$Y$5)*$K387*$L387*$M387</f>
        <v/>
      </c>
      <c r="AG387" s="16">
        <f>SUMPRODUCT(N387:Y387,$N$6:$Y$6)*$K387*$L387*$M387</f>
        <v/>
      </c>
      <c r="AH387" s="20" t="n"/>
    </row>
    <row r="388">
      <c r="A388" s="9" t="n">
        <v>543518</v>
      </c>
      <c r="B388" s="9" t="inlineStr">
        <is>
          <t>Scott McGough</t>
        </is>
      </c>
      <c r="C388" s="9" t="inlineStr">
        <is>
          <t>OAK</t>
        </is>
      </c>
      <c r="D388" s="9" t="n">
        <v>37</v>
      </c>
      <c r="E388" s="18" t="inlineStr">
        <is>
          <t>R</t>
        </is>
      </c>
      <c r="F388" s="18" t="n"/>
      <c r="G388" s="9" t="n">
        <v>75</v>
      </c>
      <c r="H388" s="9" t="n">
        <v>526</v>
      </c>
      <c r="I388" s="9" t="inlineStr">
        <is>
          <t>Bullpen Depth Arm</t>
        </is>
      </c>
      <c r="J388" s="18" t="inlineStr">
        <is>
          <t>Opening Day</t>
        </is>
      </c>
      <c r="K388" s="11">
        <f>IFERROR(INDEX(Roles!$B$17:$B$20,MATCH(J388,Roles!$A$17:$A$20,0)),1)</f>
        <v/>
      </c>
      <c r="L388" s="19" t="n">
        <v>1</v>
      </c>
      <c r="M388" s="11" t="n">
        <v>1</v>
      </c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>
        <v>1</v>
      </c>
      <c r="X388" s="19" t="n"/>
      <c r="Y388" s="19" t="n"/>
      <c r="Z388" s="13">
        <f>SUMPRODUCT(N388:Y388,$N$2:$Y$2)*$K388*$L388*$M388</f>
        <v/>
      </c>
      <c r="AA388" s="14">
        <f>SUM(N388:Y388)</f>
        <v/>
      </c>
      <c r="AB388" s="13">
        <f>SUMPRODUCT(N388:Y388,$N$3:$Y$3)*$K388*$L388*$M388</f>
        <v/>
      </c>
      <c r="AC388" s="13">
        <f>SUMPRODUCT(N388:Y388,$N$4:$Y$4)*$K388*$L388*$M388</f>
        <v/>
      </c>
      <c r="AD388" s="15" t="n">
        <v>16.06666666666667</v>
      </c>
      <c r="AE388" s="11" t="n">
        <v>1.216037049370382</v>
      </c>
      <c r="AF388" s="16">
        <f>SUMPRODUCT(N388:Y388,$N$5:$Y$5)*$K388*$L388*$M388</f>
        <v/>
      </c>
      <c r="AG388" s="16">
        <f>SUMPRODUCT(N388:Y388,$N$6:$Y$6)*$K388*$L388*$M388</f>
        <v/>
      </c>
      <c r="AH388" s="20" t="n"/>
    </row>
    <row r="389">
      <c r="A389" s="9" t="n">
        <v>608371</v>
      </c>
      <c r="B389" s="9" t="inlineStr">
        <is>
          <t>Lucas Sims</t>
        </is>
      </c>
      <c r="C389" s="9" t="inlineStr">
        <is>
          <t>CWS</t>
        </is>
      </c>
      <c r="D389" s="9" t="n">
        <v>33</v>
      </c>
      <c r="E389" s="18" t="inlineStr">
        <is>
          <t>R</t>
        </is>
      </c>
      <c r="F389" s="18" t="n"/>
      <c r="G389" s="9" t="n">
        <v>46</v>
      </c>
      <c r="H389" s="9" t="n">
        <v>622</v>
      </c>
      <c r="I389" s="9" t="inlineStr">
        <is>
          <t>Bullpen Depth Arm</t>
        </is>
      </c>
      <c r="J389" s="18" t="inlineStr">
        <is>
          <t>Opening Day</t>
        </is>
      </c>
      <c r="K389" s="11">
        <f>IFERROR(INDEX(Roles!$B$17:$B$20,MATCH(J389,Roles!$A$17:$A$20,0)),1)</f>
        <v/>
      </c>
      <c r="L389" s="19" t="n">
        <v>1</v>
      </c>
      <c r="M389" s="11" t="n">
        <v>1</v>
      </c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>
        <v>1</v>
      </c>
      <c r="X389" s="19" t="n"/>
      <c r="Y389" s="19" t="n"/>
      <c r="Z389" s="13">
        <f>SUMPRODUCT(N389:Y389,$N$2:$Y$2)*$K389*$L389*$M389</f>
        <v/>
      </c>
      <c r="AA389" s="14">
        <f>SUM(N389:Y389)</f>
        <v/>
      </c>
      <c r="AB389" s="13">
        <f>SUMPRODUCT(N389:Y389,$N$3:$Y$3)*$K389*$L389*$M389</f>
        <v/>
      </c>
      <c r="AC389" s="13">
        <f>SUMPRODUCT(N389:Y389,$N$4:$Y$4)*$K389*$L389*$M389</f>
        <v/>
      </c>
      <c r="AD389" s="15" t="n">
        <v>17.76666666666667</v>
      </c>
      <c r="AE389" s="11" t="n">
        <v>1.088008512250936</v>
      </c>
      <c r="AF389" s="16">
        <f>SUMPRODUCT(N389:Y389,$N$5:$Y$5)*$K389*$L389*$M389</f>
        <v/>
      </c>
      <c r="AG389" s="16">
        <f>SUMPRODUCT(N389:Y389,$N$6:$Y$6)*$K389*$L389*$M389</f>
        <v/>
      </c>
      <c r="AH389" s="20" t="n"/>
    </row>
    <row r="390">
      <c r="A390" s="9" t="n">
        <v>663485</v>
      </c>
      <c r="B390" s="9" t="inlineStr">
        <is>
          <t>Cole Sands</t>
        </is>
      </c>
      <c r="C390" s="9" t="inlineStr">
        <is>
          <t>MIN</t>
        </is>
      </c>
      <c r="D390" s="9" t="n">
        <v>29</v>
      </c>
      <c r="E390" s="18" t="inlineStr">
        <is>
          <t>R</t>
        </is>
      </c>
      <c r="F390" s="18" t="n"/>
      <c r="G390" s="9" t="n">
        <v>56</v>
      </c>
      <c r="H390" s="9" t="n">
        <v>890</v>
      </c>
      <c r="I390" s="9" t="inlineStr">
        <is>
          <t>Bullpen Depth Arm</t>
        </is>
      </c>
      <c r="J390" s="18" t="inlineStr">
        <is>
          <t>Opening Day</t>
        </is>
      </c>
      <c r="K390" s="11">
        <f>IFERROR(INDEX(Roles!$B$17:$B$20,MATCH(J390,Roles!$A$17:$A$20,0)),1)</f>
        <v/>
      </c>
      <c r="L390" s="19" t="n">
        <v>1</v>
      </c>
      <c r="M390" s="11" t="n">
        <v>1</v>
      </c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>
        <v>0.15</v>
      </c>
      <c r="W390" s="19" t="n">
        <v>0.85</v>
      </c>
      <c r="X390" s="19" t="n"/>
      <c r="Y390" s="19" t="n"/>
      <c r="Z390" s="13">
        <f>SUMPRODUCT(N390:Y390,$N$2:$Y$2)*$K390*$L390*$M390</f>
        <v/>
      </c>
      <c r="AA390" s="14">
        <f>SUM(N390:Y390)</f>
        <v/>
      </c>
      <c r="AB390" s="13">
        <f>SUMPRODUCT(N390:Y390,$N$3:$Y$3)*$K390*$L390*$M390</f>
        <v/>
      </c>
      <c r="AC390" s="13">
        <f>SUMPRODUCT(N390:Y390,$N$4:$Y$4)*$K390*$L390*$M390</f>
        <v/>
      </c>
      <c r="AD390" s="15" t="n">
        <v>29.56666666666667</v>
      </c>
      <c r="AE390" s="11" t="n">
        <v>1.152041769893932</v>
      </c>
      <c r="AF390" s="16">
        <f>SUMPRODUCT(N390:Y390,$N$5:$Y$5)*$K390*$L390*$M390</f>
        <v/>
      </c>
      <c r="AG390" s="16">
        <f>SUMPRODUCT(N390:Y390,$N$6:$Y$6)*$K390*$L390*$M390</f>
        <v/>
      </c>
      <c r="AH390" s="20" t="n"/>
    </row>
    <row r="391">
      <c r="A391" s="9" t="n">
        <v>656271</v>
      </c>
      <c r="B391" s="9" t="inlineStr">
        <is>
          <t>Brock Burke</t>
        </is>
      </c>
      <c r="C391" s="9" t="inlineStr">
        <is>
          <t>CIN</t>
        </is>
      </c>
      <c r="D391" s="9" t="n">
        <v>30</v>
      </c>
      <c r="E391" s="18" t="inlineStr">
        <is>
          <t>L</t>
        </is>
      </c>
      <c r="F391" s="18" t="n"/>
      <c r="G391" s="9" t="n">
        <v>314</v>
      </c>
      <c r="H391" s="9" t="n">
        <v>1303</v>
      </c>
      <c r="I391" s="9" t="inlineStr">
        <is>
          <t>Late Inning RP (Setup)</t>
        </is>
      </c>
      <c r="J391" s="18" t="inlineStr">
        <is>
          <t>Opening Day</t>
        </is>
      </c>
      <c r="K391" s="11">
        <f>IFERROR(INDEX(Roles!$B$17:$B$20,MATCH(J391,Roles!$A$17:$A$20,0)),1)</f>
        <v/>
      </c>
      <c r="L391" s="19" t="n">
        <v>1</v>
      </c>
      <c r="M391" s="11" t="n">
        <v>1</v>
      </c>
      <c r="N391" s="19" t="n"/>
      <c r="O391" s="19" t="n"/>
      <c r="P391" s="19" t="n"/>
      <c r="Q391" s="19" t="n"/>
      <c r="R391" s="19" t="n"/>
      <c r="S391" s="19" t="n"/>
      <c r="T391" s="19" t="n"/>
      <c r="U391" s="19" t="n">
        <v>0.85</v>
      </c>
      <c r="V391" s="19" t="n">
        <v>0.15</v>
      </c>
      <c r="W391" s="19" t="n"/>
      <c r="X391" s="19" t="n"/>
      <c r="Y391" s="19" t="n"/>
      <c r="Z391" s="13">
        <f>SUMPRODUCT(N391:Y391,$N$2:$Y$2)*$K391*$L391*$M391</f>
        <v/>
      </c>
      <c r="AA391" s="14">
        <f>SUM(N391:Y391)</f>
        <v/>
      </c>
      <c r="AB391" s="13">
        <f>SUMPRODUCT(N391:Y391,$N$3:$Y$3)*$K391*$L391*$M391</f>
        <v/>
      </c>
      <c r="AC391" s="13">
        <f>SUMPRODUCT(N391:Y391,$N$4:$Y$4)*$K391*$L391*$M391</f>
        <v/>
      </c>
      <c r="AD391" s="15" t="n">
        <v>59.5</v>
      </c>
      <c r="AE391" s="11" t="n">
        <v>0.9743072787427626</v>
      </c>
      <c r="AF391" s="16">
        <f>SUMPRODUCT(N391:Y391,$N$5:$Y$5)*$K391*$L391*$M391</f>
        <v/>
      </c>
      <c r="AG391" s="16">
        <f>SUMPRODUCT(N391:Y391,$N$6:$Y$6)*$K391*$L391*$M391</f>
        <v/>
      </c>
      <c r="AH391" s="20" t="n"/>
    </row>
    <row r="392">
      <c r="A392" s="9" t="n">
        <v>657376</v>
      </c>
      <c r="B392" s="9" t="inlineStr">
        <is>
          <t>Clarke Schmidt</t>
        </is>
      </c>
      <c r="C392" s="9" t="inlineStr">
        <is>
          <t>NYY</t>
        </is>
      </c>
      <c r="D392" s="9" t="n">
        <v>31</v>
      </c>
      <c r="E392" s="18" t="inlineStr">
        <is>
          <t>R</t>
        </is>
      </c>
      <c r="F392" s="18" t="n"/>
      <c r="G392" s="9" t="n">
        <v>4</v>
      </c>
      <c r="H392" s="9" t="n">
        <v>1603</v>
      </c>
      <c r="I392" s="9" t="inlineStr">
        <is>
          <t>Bullpen Depth Arm</t>
        </is>
      </c>
      <c r="J392" s="18" t="inlineStr">
        <is>
          <t>Opening Day</t>
        </is>
      </c>
      <c r="K392" s="11">
        <f>IFERROR(INDEX(Roles!$B$17:$B$20,MATCH(J392,Roles!$A$17:$A$20,0)),1)</f>
        <v/>
      </c>
      <c r="L392" s="19" t="n">
        <v>1</v>
      </c>
      <c r="M392" s="11" t="n">
        <v>1</v>
      </c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>
        <v>0.15</v>
      </c>
      <c r="W392" s="19" t="n">
        <v>0.85</v>
      </c>
      <c r="X392" s="19" t="n"/>
      <c r="Y392" s="19" t="n"/>
      <c r="Z392" s="13">
        <f>SUMPRODUCT(N392:Y392,$N$2:$Y$2)*$K392*$L392*$M392</f>
        <v/>
      </c>
      <c r="AA392" s="14">
        <f>SUM(N392:Y392)</f>
        <v/>
      </c>
      <c r="AB392" s="13">
        <f>SUMPRODUCT(N392:Y392,$N$3:$Y$3)*$K392*$L392*$M392</f>
        <v/>
      </c>
      <c r="AC392" s="13">
        <f>SUMPRODUCT(N392:Y392,$N$4:$Y$4)*$K392*$L392*$M392</f>
        <v/>
      </c>
      <c r="AD392" s="15" t="n">
        <v>10.36666666666666</v>
      </c>
      <c r="AE392" s="11" t="n">
        <v>2.536731721128885</v>
      </c>
      <c r="AF392" s="16">
        <f>SUMPRODUCT(N392:Y392,$N$5:$Y$5)*$K392*$L392*$M392</f>
        <v/>
      </c>
      <c r="AG392" s="16">
        <f>SUMPRODUCT(N392:Y392,$N$6:$Y$6)*$K392*$L392*$M392</f>
        <v/>
      </c>
      <c r="AH392" s="20" t="n"/>
    </row>
    <row r="393">
      <c r="A393" s="9" t="n">
        <v>668868</v>
      </c>
      <c r="B393" s="9" t="inlineStr">
        <is>
          <t>Zack Thompson</t>
        </is>
      </c>
      <c r="C393" s="9" t="inlineStr">
        <is>
          <t>STL</t>
        </is>
      </c>
      <c r="D393" s="9" t="n">
        <v>29</v>
      </c>
      <c r="E393" s="18" t="inlineStr">
        <is>
          <t>L</t>
        </is>
      </c>
      <c r="F393" s="18" t="n"/>
      <c r="G393" s="9" t="n">
        <v>83</v>
      </c>
      <c r="H393" s="9" t="n">
        <v>506</v>
      </c>
      <c r="I393" s="9" t="inlineStr">
        <is>
          <t>Depth (no MLB IP)</t>
        </is>
      </c>
      <c r="J393" s="18" t="inlineStr">
        <is>
          <t>Opening Day</t>
        </is>
      </c>
      <c r="K393" s="11">
        <f>IFERROR(INDEX(Roles!$B$17:$B$20,MATCH(J393,Roles!$A$17:$A$20,0)),1)</f>
        <v/>
      </c>
      <c r="L393" s="19" t="n">
        <v>1</v>
      </c>
      <c r="M393" s="11" t="n">
        <v>1</v>
      </c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>
        <v>1</v>
      </c>
      <c r="Z393" s="13">
        <f>SUMPRODUCT(N393:Y393,$N$2:$Y$2)*$K393*$L393*$M393</f>
        <v/>
      </c>
      <c r="AA393" s="14">
        <f>SUM(N393:Y393)</f>
        <v/>
      </c>
      <c r="AB393" s="13">
        <f>SUMPRODUCT(N393:Y393,$N$3:$Y$3)*$K393*$L393*$M393</f>
        <v/>
      </c>
      <c r="AC393" s="13">
        <f>SUMPRODUCT(N393:Y393,$N$4:$Y$4)*$K393*$L393*$M393</f>
        <v/>
      </c>
      <c r="AD393" s="15" t="n">
        <v>4.2</v>
      </c>
      <c r="AE393" s="11" t="n">
        <v>1.807530864197531</v>
      </c>
      <c r="AF393" s="16">
        <f>SUMPRODUCT(N393:Y393,$N$5:$Y$5)*$K393*$L393*$M393</f>
        <v/>
      </c>
      <c r="AG393" s="16">
        <f>SUMPRODUCT(N393:Y393,$N$6:$Y$6)*$K393*$L393*$M393</f>
        <v/>
      </c>
      <c r="AH393" s="20" t="n"/>
    </row>
    <row r="394">
      <c r="A394" s="9" t="n">
        <v>694357</v>
      </c>
      <c r="B394" s="9" t="inlineStr">
        <is>
          <t>Ricky Tiedemann</t>
        </is>
      </c>
      <c r="C394" s="9" t="inlineStr">
        <is>
          <t>TOR</t>
        </is>
      </c>
      <c r="D394" s="9" t="n">
        <v>24</v>
      </c>
      <c r="E394" s="18" t="inlineStr">
        <is>
          <t>L</t>
        </is>
      </c>
      <c r="F394" s="18" t="n"/>
      <c r="G394" s="9" t="n">
        <v>29</v>
      </c>
      <c r="H394" s="9" t="n">
        <v>29</v>
      </c>
      <c r="I394" s="9" t="inlineStr">
        <is>
          <t>Bullpen Depth Arm</t>
        </is>
      </c>
      <c r="J394" s="18" t="inlineStr">
        <is>
          <t>Early Season (~May)</t>
        </is>
      </c>
      <c r="K394" s="11">
        <f>IFERROR(INDEX(Roles!$B$17:$B$20,MATCH(J394,Roles!$A$17:$A$20,0)),1)</f>
        <v/>
      </c>
      <c r="L394" s="19" t="n">
        <v>1</v>
      </c>
      <c r="M394" s="11" t="n">
        <v>1</v>
      </c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>
        <v>1</v>
      </c>
      <c r="X394" s="19" t="n"/>
      <c r="Y394" s="19" t="n"/>
      <c r="Z394" s="13">
        <f>SUMPRODUCT(N394:Y394,$N$2:$Y$2)*$K394*$L394*$M394</f>
        <v/>
      </c>
      <c r="AA394" s="14">
        <f>SUM(N394:Y394)</f>
        <v/>
      </c>
      <c r="AB394" s="13">
        <f>SUMPRODUCT(N394:Y394,$N$3:$Y$3)*$K394*$L394*$M394</f>
        <v/>
      </c>
      <c r="AC394" s="13">
        <f>SUMPRODUCT(N394:Y394,$N$4:$Y$4)*$K394*$L394*$M394</f>
        <v/>
      </c>
      <c r="AD394" s="15" t="n">
        <v>8.666666666666666</v>
      </c>
      <c r="AE394" s="11" t="n">
        <v>1.201507134840468</v>
      </c>
      <c r="AF394" s="16">
        <f>SUMPRODUCT(N394:Y394,$N$5:$Y$5)*$K394*$L394*$M394</f>
        <v/>
      </c>
      <c r="AG394" s="16">
        <f>SUMPRODUCT(N394:Y394,$N$6:$Y$6)*$K394*$L394*$M394</f>
        <v/>
      </c>
      <c r="AH394" s="20" t="n"/>
    </row>
    <row r="395">
      <c r="A395" s="9" t="n">
        <v>664744</v>
      </c>
      <c r="B395" s="9" t="inlineStr">
        <is>
          <t>Jose Espada</t>
        </is>
      </c>
      <c r="C395" s="9" t="inlineStr">
        <is>
          <t>BAL</t>
        </is>
      </c>
      <c r="D395" s="9" t="n">
        <v>30</v>
      </c>
      <c r="E395" s="18" t="inlineStr">
        <is>
          <t>R</t>
        </is>
      </c>
      <c r="F395" s="18" t="n"/>
      <c r="G395" s="9" t="n">
        <v>4</v>
      </c>
      <c r="H395" s="9" t="n">
        <v>18</v>
      </c>
      <c r="I395" s="9" t="inlineStr">
        <is>
          <t>Depth (no MLB IP)</t>
        </is>
      </c>
      <c r="J395" s="18" t="inlineStr">
        <is>
          <t>Opening Day</t>
        </is>
      </c>
      <c r="K395" s="11">
        <f>IFERROR(INDEX(Roles!$B$17:$B$20,MATCH(J395,Roles!$A$17:$A$20,0)),1)</f>
        <v/>
      </c>
      <c r="L395" s="19" t="n">
        <v>1</v>
      </c>
      <c r="M395" s="11" t="n">
        <v>1</v>
      </c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>
        <v>1</v>
      </c>
      <c r="Z395" s="13">
        <f>SUMPRODUCT(N395:Y395,$N$2:$Y$2)*$K395*$L395*$M395</f>
        <v/>
      </c>
      <c r="AA395" s="14">
        <f>SUM(N395:Y395)</f>
        <v/>
      </c>
      <c r="AB395" s="13">
        <f>SUMPRODUCT(N395:Y395,$N$3:$Y$3)*$K395*$L395*$M395</f>
        <v/>
      </c>
      <c r="AC395" s="13">
        <f>SUMPRODUCT(N395:Y395,$N$4:$Y$4)*$K395*$L395*$M395</f>
        <v/>
      </c>
      <c r="AD395" s="15" t="n">
        <v>1.8</v>
      </c>
      <c r="AE395" s="11" t="n">
        <v>1.274197530864197</v>
      </c>
      <c r="AF395" s="16">
        <f>SUMPRODUCT(N395:Y395,$N$5:$Y$5)*$K395*$L395*$M395</f>
        <v/>
      </c>
      <c r="AG395" s="16">
        <f>SUMPRODUCT(N395:Y395,$N$6:$Y$6)*$K395*$L395*$M395</f>
        <v/>
      </c>
      <c r="AH395" s="20" t="n"/>
    </row>
    <row r="396">
      <c r="A396" s="9" t="n">
        <v>641627</v>
      </c>
      <c r="B396" s="9" t="inlineStr">
        <is>
          <t>Trevor Gott</t>
        </is>
      </c>
      <c r="C396" s="9" t="inlineStr">
        <is>
          <t>NYM</t>
        </is>
      </c>
      <c r="D396" s="9" t="n">
        <v>34</v>
      </c>
      <c r="E396" s="18" t="inlineStr">
        <is>
          <t>R</t>
        </is>
      </c>
      <c r="F396" s="18" t="n"/>
      <c r="G396" s="9" t="n">
        <v>261</v>
      </c>
      <c r="H396" s="9" t="n">
        <v>447</v>
      </c>
      <c r="I396" s="9" t="inlineStr">
        <is>
          <t>Depth (no MLB IP)</t>
        </is>
      </c>
      <c r="J396" s="18" t="inlineStr">
        <is>
          <t>Opening Day</t>
        </is>
      </c>
      <c r="K396" s="11">
        <f>IFERROR(INDEX(Roles!$B$17:$B$20,MATCH(J396,Roles!$A$17:$A$20,0)),1)</f>
        <v/>
      </c>
      <c r="L396" s="19" t="n">
        <v>1</v>
      </c>
      <c r="M396" s="11" t="n">
        <v>1</v>
      </c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>
        <v>1</v>
      </c>
      <c r="Z396" s="13">
        <f>SUMPRODUCT(N396:Y396,$N$2:$Y$2)*$K396*$L396*$M396</f>
        <v/>
      </c>
      <c r="AA396" s="14">
        <f>SUM(N396:Y396)</f>
        <v/>
      </c>
      <c r="AB396" s="13">
        <f>SUMPRODUCT(N396:Y396,$N$3:$Y$3)*$K396*$L396*$M396</f>
        <v/>
      </c>
      <c r="AC396" s="13">
        <f>SUMPRODUCT(N396:Y396,$N$4:$Y$4)*$K396*$L396*$M396</f>
        <v/>
      </c>
      <c r="AD396" s="15" t="n">
        <v>3</v>
      </c>
      <c r="AE396" s="11" t="n">
        <v>1.011296296296296</v>
      </c>
      <c r="AF396" s="16">
        <f>SUMPRODUCT(N396:Y396,$N$5:$Y$5)*$K396*$L396*$M396</f>
        <v/>
      </c>
      <c r="AG396" s="16">
        <f>SUMPRODUCT(N396:Y396,$N$6:$Y$6)*$K396*$L396*$M396</f>
        <v/>
      </c>
      <c r="AH396" s="20" t="n"/>
    </row>
    <row r="397">
      <c r="A397" s="9" t="n">
        <v>689818</v>
      </c>
      <c r="B397" s="9" t="inlineStr">
        <is>
          <t>David Sandlin</t>
        </is>
      </c>
      <c r="C397" s="9" t="inlineStr">
        <is>
          <t>CWS</t>
        </is>
      </c>
      <c r="D397" s="9" t="n">
        <v>26</v>
      </c>
      <c r="E397" s="18" t="inlineStr">
        <is>
          <t>R</t>
        </is>
      </c>
      <c r="F397" s="18" t="n"/>
      <c r="G397" s="9" t="n">
        <v>167</v>
      </c>
      <c r="H397" s="9" t="n">
        <v>167</v>
      </c>
      <c r="I397" s="9" t="inlineStr">
        <is>
          <t>End-of-Rotation Starter (SP4-5)</t>
        </is>
      </c>
      <c r="J397" s="18" t="inlineStr">
        <is>
          <t>Opening Day</t>
        </is>
      </c>
      <c r="K397" s="11">
        <f>IFERROR(INDEX(Roles!$B$17:$B$20,MATCH(J397,Roles!$A$17:$A$20,0)),1)</f>
        <v/>
      </c>
      <c r="L397" s="19" t="n">
        <v>1</v>
      </c>
      <c r="M397" s="11" t="n">
        <v>1</v>
      </c>
      <c r="N397" s="19" t="n"/>
      <c r="O397" s="19" t="n"/>
      <c r="P397" s="19" t="n">
        <v>0.5</v>
      </c>
      <c r="Q397" s="19" t="n"/>
      <c r="R397" s="19" t="n">
        <v>0.5</v>
      </c>
      <c r="S397" s="19" t="n"/>
      <c r="T397" s="19" t="n"/>
      <c r="U397" s="19" t="n"/>
      <c r="V397" s="19" t="n"/>
      <c r="W397" s="19" t="n"/>
      <c r="X397" s="19" t="n"/>
      <c r="Y397" s="19" t="n"/>
      <c r="Z397" s="13">
        <f>SUMPRODUCT(N397:Y397,$N$2:$Y$2)*$K397*$L397*$M397</f>
        <v/>
      </c>
      <c r="AA397" s="14">
        <f>SUM(N397:Y397)</f>
        <v/>
      </c>
      <c r="AB397" s="13">
        <f>SUMPRODUCT(N397:Y397,$N$3:$Y$3)*$K397*$L397*$M397</f>
        <v/>
      </c>
      <c r="AC397" s="13">
        <f>SUMPRODUCT(N397:Y397,$N$4:$Y$4)*$K397*$L397*$M397</f>
        <v/>
      </c>
      <c r="AD397" s="15" t="n">
        <v>11.2</v>
      </c>
      <c r="AE397" s="11" t="n">
        <v>4.717592592592592</v>
      </c>
      <c r="AF397" s="16">
        <f>SUMPRODUCT(N397:Y397,$N$5:$Y$5)*$K397*$L397*$M397</f>
        <v/>
      </c>
      <c r="AG397" s="16">
        <f>SUMPRODUCT(N397:Y397,$N$6:$Y$6)*$K397*$L397*$M397</f>
        <v/>
      </c>
      <c r="AH397" s="20" t="n"/>
    </row>
    <row r="398">
      <c r="A398" s="9" t="n">
        <v>641401</v>
      </c>
      <c r="B398" s="9" t="inlineStr">
        <is>
          <t>Connor Brogdon</t>
        </is>
      </c>
      <c r="C398" s="9" t="inlineStr">
        <is>
          <t>CLE</t>
        </is>
      </c>
      <c r="D398" s="9" t="n">
        <v>32</v>
      </c>
      <c r="E398" s="18" t="inlineStr">
        <is>
          <t>R</t>
        </is>
      </c>
      <c r="F398" s="18" t="n"/>
      <c r="G398" s="9" t="n">
        <v>70</v>
      </c>
      <c r="H398" s="9" t="n">
        <v>603</v>
      </c>
      <c r="I398" s="9" t="inlineStr">
        <is>
          <t>Middle Relief</t>
        </is>
      </c>
      <c r="J398" s="18" t="inlineStr">
        <is>
          <t>Opening Day</t>
        </is>
      </c>
      <c r="K398" s="11">
        <f>IFERROR(INDEX(Roles!$B$17:$B$20,MATCH(J398,Roles!$A$17:$A$20,0)),1)</f>
        <v/>
      </c>
      <c r="L398" s="19" t="n">
        <v>1</v>
      </c>
      <c r="M398" s="11" t="n">
        <v>1</v>
      </c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>
        <v>0.8</v>
      </c>
      <c r="W398" s="19" t="n">
        <v>0.2</v>
      </c>
      <c r="X398" s="19" t="n"/>
      <c r="Y398" s="19" t="n"/>
      <c r="Z398" s="13">
        <f>SUMPRODUCT(N398:Y398,$N$2:$Y$2)*$K398*$L398*$M398</f>
        <v/>
      </c>
      <c r="AA398" s="14">
        <f>SUM(N398:Y398)</f>
        <v/>
      </c>
      <c r="AB398" s="13">
        <f>SUMPRODUCT(N398:Y398,$N$3:$Y$3)*$K398*$L398*$M398</f>
        <v/>
      </c>
      <c r="AC398" s="13">
        <f>SUMPRODUCT(N398:Y398,$N$4:$Y$4)*$K398*$L398*$M398</f>
        <v/>
      </c>
      <c r="AD398" s="15" t="n">
        <v>28.53333333333333</v>
      </c>
      <c r="AE398" s="11" t="n">
        <v>1.039385310669134</v>
      </c>
      <c r="AF398" s="16">
        <f>SUMPRODUCT(N398:Y398,$N$5:$Y$5)*$K398*$L398*$M398</f>
        <v/>
      </c>
      <c r="AG398" s="16">
        <f>SUMPRODUCT(N398:Y398,$N$6:$Y$6)*$K398*$L398*$M398</f>
        <v/>
      </c>
      <c r="AH398" s="20" t="n"/>
    </row>
    <row r="399">
      <c r="A399" s="9" t="n">
        <v>669395</v>
      </c>
      <c r="B399" s="9" t="inlineStr">
        <is>
          <t>Dylan Coleman</t>
        </is>
      </c>
      <c r="C399" s="9" t="inlineStr">
        <is>
          <t>KC</t>
        </is>
      </c>
      <c r="D399" s="9" t="n">
        <v>30</v>
      </c>
      <c r="E399" s="18" t="inlineStr">
        <is>
          <t>R</t>
        </is>
      </c>
      <c r="F399" s="18" t="n"/>
      <c r="G399" s="9" t="n">
        <v>4</v>
      </c>
      <c r="H399" s="9" t="n">
        <v>389</v>
      </c>
      <c r="I399" s="9" t="inlineStr">
        <is>
          <t>Depth (no MLB IP)</t>
        </is>
      </c>
      <c r="J399" s="18" t="inlineStr">
        <is>
          <t>Opening Day</t>
        </is>
      </c>
      <c r="K399" s="11">
        <f>IFERROR(INDEX(Roles!$B$17:$B$20,MATCH(J399,Roles!$A$17:$A$20,0)),1)</f>
        <v/>
      </c>
      <c r="L399" s="19" t="n">
        <v>1</v>
      </c>
      <c r="M399" s="11" t="n">
        <v>1</v>
      </c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>
        <v>1</v>
      </c>
      <c r="Z399" s="13">
        <f>SUMPRODUCT(N399:Y399,$N$2:$Y$2)*$K399*$L399*$M399</f>
        <v/>
      </c>
      <c r="AA399" s="14">
        <f>SUM(N399:Y399)</f>
        <v/>
      </c>
      <c r="AB399" s="13">
        <f>SUMPRODUCT(N399:Y399,$N$3:$Y$3)*$K399*$L399*$M399</f>
        <v/>
      </c>
      <c r="AC399" s="13">
        <f>SUMPRODUCT(N399:Y399,$N$4:$Y$4)*$K399*$L399*$M399</f>
        <v/>
      </c>
      <c r="AD399" s="15" t="n">
        <v>1.8</v>
      </c>
      <c r="AE399" s="11" t="n">
        <v>1.007530864197531</v>
      </c>
      <c r="AF399" s="16">
        <f>SUMPRODUCT(N399:Y399,$N$5:$Y$5)*$K399*$L399*$M399</f>
        <v/>
      </c>
      <c r="AG399" s="16">
        <f>SUMPRODUCT(N399:Y399,$N$6:$Y$6)*$K399*$L399*$M399</f>
        <v/>
      </c>
      <c r="AH399" s="20" t="n"/>
    </row>
    <row r="400">
      <c r="A400" s="9" t="n">
        <v>666157</v>
      </c>
      <c r="B400" s="9" t="inlineStr">
        <is>
          <t>Nick Lodolo</t>
        </is>
      </c>
      <c r="C400" s="9" t="inlineStr">
        <is>
          <t>CIN</t>
        </is>
      </c>
      <c r="D400" s="9" t="n">
        <v>29</v>
      </c>
      <c r="E400" s="18" t="inlineStr">
        <is>
          <t>L</t>
        </is>
      </c>
      <c r="F400" s="18" t="n"/>
      <c r="G400" s="9" t="n">
        <v>486</v>
      </c>
      <c r="H400" s="9" t="n">
        <v>2228</v>
      </c>
      <c r="I400" s="9" t="inlineStr">
        <is>
          <t>Mid-Rotation Starter (SP2-3)</t>
        </is>
      </c>
      <c r="J400" s="18" t="inlineStr">
        <is>
          <t>Opening Day</t>
        </is>
      </c>
      <c r="K400" s="11">
        <f>IFERROR(INDEX(Roles!$B$17:$B$20,MATCH(J400,Roles!$A$17:$A$20,0)),1)</f>
        <v/>
      </c>
      <c r="L400" s="19" t="n">
        <v>1</v>
      </c>
      <c r="M400" s="11" t="n">
        <v>1</v>
      </c>
      <c r="N400" s="19" t="n"/>
      <c r="O400" s="19" t="n">
        <v>0.5</v>
      </c>
      <c r="P400" s="19" t="n">
        <v>0.5</v>
      </c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3">
        <f>SUMPRODUCT(N400:Y400,$N$2:$Y$2)*$K400*$L400*$M400</f>
        <v/>
      </c>
      <c r="AA400" s="14">
        <f>SUM(N400:Y400)</f>
        <v/>
      </c>
      <c r="AB400" s="13">
        <f>SUMPRODUCT(N400:Y400,$N$3:$Y$3)*$K400*$L400*$M400</f>
        <v/>
      </c>
      <c r="AC400" s="13">
        <f>SUMPRODUCT(N400:Y400,$N$4:$Y$4)*$K400*$L400*$M400</f>
        <v/>
      </c>
      <c r="AD400" s="15" t="n">
        <v>24.6</v>
      </c>
      <c r="AE400" s="11" t="n">
        <v>5.241052047049322</v>
      </c>
      <c r="AF400" s="16">
        <f>SUMPRODUCT(N400:Y400,$N$5:$Y$5)*$K400*$L400*$M400</f>
        <v/>
      </c>
      <c r="AG400" s="16">
        <f>SUMPRODUCT(N400:Y400,$N$6:$Y$6)*$K400*$L400*$M400</f>
        <v/>
      </c>
      <c r="AH400" s="20" t="n"/>
    </row>
    <row r="401">
      <c r="A401" s="9" t="n">
        <v>681343</v>
      </c>
      <c r="B401" s="9" t="inlineStr">
        <is>
          <t>Shane Smith</t>
        </is>
      </c>
      <c r="C401" s="9" t="inlineStr">
        <is>
          <t>CWS</t>
        </is>
      </c>
      <c r="D401" s="9" t="n">
        <v>27</v>
      </c>
      <c r="E401" s="18" t="inlineStr">
        <is>
          <t>R</t>
        </is>
      </c>
      <c r="F401" s="18" t="n"/>
      <c r="G401" s="9" t="n">
        <v>49</v>
      </c>
      <c r="H401" s="9" t="n">
        <v>665</v>
      </c>
      <c r="I401" s="9" t="inlineStr">
        <is>
          <t>End-of-Rotation Starter (SP4-5)</t>
        </is>
      </c>
      <c r="J401" s="18" t="inlineStr">
        <is>
          <t>Opening Day</t>
        </is>
      </c>
      <c r="K401" s="11">
        <f>IFERROR(INDEX(Roles!$B$17:$B$20,MATCH(J401,Roles!$A$17:$A$20,0)),1)</f>
        <v/>
      </c>
      <c r="L401" s="19" t="n">
        <v>1</v>
      </c>
      <c r="M401" s="11" t="n">
        <v>1</v>
      </c>
      <c r="N401" s="19" t="n"/>
      <c r="O401" s="19" t="n"/>
      <c r="P401" s="19" t="n">
        <v>1</v>
      </c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3">
        <f>SUMPRODUCT(N401:Y401,$N$2:$Y$2)*$K401*$L401*$M401</f>
        <v/>
      </c>
      <c r="AA401" s="14">
        <f>SUM(N401:Y401)</f>
        <v/>
      </c>
      <c r="AB401" s="13">
        <f>SUMPRODUCT(N401:Y401,$N$3:$Y$3)*$K401*$L401*$M401</f>
        <v/>
      </c>
      <c r="AC401" s="13">
        <f>SUMPRODUCT(N401:Y401,$N$4:$Y$4)*$K401*$L401*$M401</f>
        <v/>
      </c>
      <c r="AD401" s="15" t="n">
        <v>14.44</v>
      </c>
      <c r="AE401" s="11" t="n">
        <v>4.617468214483139</v>
      </c>
      <c r="AF401" s="16">
        <f>SUMPRODUCT(N401:Y401,$N$5:$Y$5)*$K401*$L401*$M401</f>
        <v/>
      </c>
      <c r="AG401" s="16">
        <f>SUMPRODUCT(N401:Y401,$N$6:$Y$6)*$K401*$L401*$M401</f>
        <v/>
      </c>
      <c r="AH401" s="20" t="n"/>
    </row>
    <row r="402">
      <c r="A402" s="9" t="n">
        <v>552640</v>
      </c>
      <c r="B402" s="9" t="inlineStr">
        <is>
          <t>Andrew Kittredge</t>
        </is>
      </c>
      <c r="C402" s="9" t="inlineStr">
        <is>
          <t>BAL</t>
        </is>
      </c>
      <c r="D402" s="9" t="n">
        <v>37</v>
      </c>
      <c r="E402" s="18" t="inlineStr">
        <is>
          <t>R</t>
        </is>
      </c>
      <c r="F402" s="18" t="n"/>
      <c r="G402" s="9" t="n">
        <v>214</v>
      </c>
      <c r="H402" s="9" t="n">
        <v>834</v>
      </c>
      <c r="I402" s="9" t="inlineStr">
        <is>
          <t>Closer</t>
        </is>
      </c>
      <c r="J402" s="18" t="inlineStr">
        <is>
          <t>Opening Day</t>
        </is>
      </c>
      <c r="K402" s="11">
        <f>IFERROR(INDEX(Roles!$B$17:$B$20,MATCH(J402,Roles!$A$17:$A$20,0)),1)</f>
        <v/>
      </c>
      <c r="L402" s="19" t="n">
        <v>1</v>
      </c>
      <c r="M402" s="11" t="n">
        <v>1</v>
      </c>
      <c r="N402" s="19" t="n"/>
      <c r="O402" s="19" t="n"/>
      <c r="P402" s="19" t="n"/>
      <c r="Q402" s="19" t="n"/>
      <c r="R402" s="19" t="n"/>
      <c r="S402" s="19" t="n"/>
      <c r="T402" s="19" t="n">
        <v>0.85</v>
      </c>
      <c r="U402" s="19" t="n">
        <v>0.15</v>
      </c>
      <c r="V402" s="19" t="n"/>
      <c r="W402" s="19" t="n"/>
      <c r="X402" s="19" t="n"/>
      <c r="Y402" s="19" t="n"/>
      <c r="Z402" s="13">
        <f>SUMPRODUCT(N402:Y402,$N$2:$Y$2)*$K402*$L402*$M402</f>
        <v/>
      </c>
      <c r="AA402" s="14">
        <f>SUM(N402:Y402)</f>
        <v/>
      </c>
      <c r="AB402" s="13">
        <f>SUMPRODUCT(N402:Y402,$N$3:$Y$3)*$K402*$L402*$M402</f>
        <v/>
      </c>
      <c r="AC402" s="13">
        <f>SUMPRODUCT(N402:Y402,$N$4:$Y$4)*$K402*$L402*$M402</f>
        <v/>
      </c>
      <c r="AD402" s="15" t="n">
        <v>54.86</v>
      </c>
      <c r="AE402" s="11" t="n">
        <v>0.978161304133522</v>
      </c>
      <c r="AF402" s="16">
        <f>SUMPRODUCT(N402:Y402,$N$5:$Y$5)*$K402*$L402*$M402</f>
        <v/>
      </c>
      <c r="AG402" s="16">
        <f>SUMPRODUCT(N402:Y402,$N$6:$Y$6)*$K402*$L402*$M402</f>
        <v/>
      </c>
      <c r="AH402" s="20" t="n"/>
    </row>
    <row r="403">
      <c r="A403" s="9" t="n">
        <v>681882</v>
      </c>
      <c r="B403" s="9" t="inlineStr">
        <is>
          <t>Colin Selby</t>
        </is>
      </c>
      <c r="C403" s="9" t="inlineStr">
        <is>
          <t>BAL</t>
        </is>
      </c>
      <c r="D403" s="9" t="n">
        <v>29</v>
      </c>
      <c r="E403" s="18" t="inlineStr">
        <is>
          <t>R</t>
        </is>
      </c>
      <c r="F403" s="18" t="n"/>
      <c r="G403" s="9" t="n">
        <v>60</v>
      </c>
      <c r="H403" s="9" t="n">
        <v>202</v>
      </c>
      <c r="I403" s="9" t="inlineStr">
        <is>
          <t>Bullpen Depth Arm</t>
        </is>
      </c>
      <c r="J403" s="18" t="inlineStr">
        <is>
          <t>Opening Day</t>
        </is>
      </c>
      <c r="K403" s="11">
        <f>IFERROR(INDEX(Roles!$B$17:$B$20,MATCH(J403,Roles!$A$17:$A$20,0)),1)</f>
        <v/>
      </c>
      <c r="L403" s="19" t="n">
        <v>1</v>
      </c>
      <c r="M403" s="11" t="n">
        <v>1</v>
      </c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>
        <v>0.15</v>
      </c>
      <c r="W403" s="19" t="n">
        <v>0.85</v>
      </c>
      <c r="X403" s="19" t="n"/>
      <c r="Y403" s="19" t="n"/>
      <c r="Z403" s="13">
        <f>SUMPRODUCT(N403:Y403,$N$2:$Y$2)*$K403*$L403*$M403</f>
        <v/>
      </c>
      <c r="AA403" s="14">
        <f>SUM(N403:Y403)</f>
        <v/>
      </c>
      <c r="AB403" s="13">
        <f>SUMPRODUCT(N403:Y403,$N$3:$Y$3)*$K403*$L403*$M403</f>
        <v/>
      </c>
      <c r="AC403" s="13">
        <f>SUMPRODUCT(N403:Y403,$N$4:$Y$4)*$K403*$L403*$M403</f>
        <v/>
      </c>
      <c r="AD403" s="15" t="n">
        <v>11.06666666666667</v>
      </c>
      <c r="AE403" s="11" t="n">
        <v>1.233605900272567</v>
      </c>
      <c r="AF403" s="16">
        <f>SUMPRODUCT(N403:Y403,$N$5:$Y$5)*$K403*$L403*$M403</f>
        <v/>
      </c>
      <c r="AG403" s="16">
        <f>SUMPRODUCT(N403:Y403,$N$6:$Y$6)*$K403*$L403*$M403</f>
        <v/>
      </c>
      <c r="AH403" s="20" t="n"/>
    </row>
    <row r="404">
      <c r="A404" s="9" t="n">
        <v>641755</v>
      </c>
      <c r="B404" s="9" t="inlineStr">
        <is>
          <t>Tyler Kinley</t>
        </is>
      </c>
      <c r="C404" s="9" t="inlineStr">
        <is>
          <t>DET</t>
        </is>
      </c>
      <c r="D404" s="9" t="n">
        <v>36</v>
      </c>
      <c r="E404" s="18" t="inlineStr">
        <is>
          <t>R</t>
        </is>
      </c>
      <c r="F404" s="18" t="n"/>
      <c r="G404" s="9" t="n">
        <v>232</v>
      </c>
      <c r="H404" s="9" t="n">
        <v>1001</v>
      </c>
      <c r="I404" s="9" t="inlineStr">
        <is>
          <t>Middle Relief</t>
        </is>
      </c>
      <c r="J404" s="18" t="inlineStr">
        <is>
          <t>Opening Day</t>
        </is>
      </c>
      <c r="K404" s="11">
        <f>IFERROR(INDEX(Roles!$B$17:$B$20,MATCH(J404,Roles!$A$17:$A$20,0)),1)</f>
        <v/>
      </c>
      <c r="L404" s="19" t="n">
        <v>1</v>
      </c>
      <c r="M404" s="11" t="n">
        <v>1</v>
      </c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>
        <v>0.85</v>
      </c>
      <c r="W404" s="19" t="n">
        <v>0.15</v>
      </c>
      <c r="X404" s="19" t="n"/>
      <c r="Y404" s="19" t="n"/>
      <c r="Z404" s="13">
        <f>SUMPRODUCT(N404:Y404,$N$2:$Y$2)*$K404*$L404*$M404</f>
        <v/>
      </c>
      <c r="AA404" s="14">
        <f>SUM(N404:Y404)</f>
        <v/>
      </c>
      <c r="AB404" s="13">
        <f>SUMPRODUCT(N404:Y404,$N$3:$Y$3)*$K404*$L404*$M404</f>
        <v/>
      </c>
      <c r="AC404" s="13">
        <f>SUMPRODUCT(N404:Y404,$N$4:$Y$4)*$K404*$L404*$M404</f>
        <v/>
      </c>
      <c r="AD404" s="15" t="n">
        <v>55.23333333333333</v>
      </c>
      <c r="AE404" s="11" t="n">
        <v>1.002998360111491</v>
      </c>
      <c r="AF404" s="16">
        <f>SUMPRODUCT(N404:Y404,$N$5:$Y$5)*$K404*$L404*$M404</f>
        <v/>
      </c>
      <c r="AG404" s="16">
        <f>SUMPRODUCT(N404:Y404,$N$6:$Y$6)*$K404*$L404*$M404</f>
        <v/>
      </c>
      <c r="AH404" s="20" t="n"/>
    </row>
    <row r="405">
      <c r="A405" s="9" t="n">
        <v>667652</v>
      </c>
      <c r="B405" s="9" t="inlineStr">
        <is>
          <t>Jack Ralston</t>
        </is>
      </c>
      <c r="C405" s="9" t="inlineStr">
        <is>
          <t>MIA</t>
        </is>
      </c>
      <c r="D405" s="9" t="n">
        <v>29</v>
      </c>
      <c r="E405" s="18" t="inlineStr">
        <is>
          <t>R</t>
        </is>
      </c>
      <c r="F405" s="18" t="n"/>
      <c r="G405" s="9" t="n">
        <v>77</v>
      </c>
      <c r="H405" s="9" t="n">
        <v>77</v>
      </c>
      <c r="I405" s="9" t="inlineStr">
        <is>
          <t>Middle Relief</t>
        </is>
      </c>
      <c r="J405" s="18" t="inlineStr">
        <is>
          <t>Opening Day</t>
        </is>
      </c>
      <c r="K405" s="11">
        <f>IFERROR(INDEX(Roles!$B$17:$B$20,MATCH(J405,Roles!$A$17:$A$20,0)),1)</f>
        <v/>
      </c>
      <c r="L405" s="19" t="n">
        <v>1</v>
      </c>
      <c r="M405" s="11" t="n">
        <v>1</v>
      </c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>
        <v>0.85</v>
      </c>
      <c r="W405" s="19" t="n">
        <v>0.15</v>
      </c>
      <c r="X405" s="19" t="n"/>
      <c r="Y405" s="19" t="n"/>
      <c r="Z405" s="13">
        <f>SUMPRODUCT(N405:Y405,$N$2:$Y$2)*$K405*$L405*$M405</f>
        <v/>
      </c>
      <c r="AA405" s="14">
        <f>SUM(N405:Y405)</f>
        <v/>
      </c>
      <c r="AB405" s="13">
        <f>SUMPRODUCT(N405:Y405,$N$3:$Y$3)*$K405*$L405*$M405</f>
        <v/>
      </c>
      <c r="AC405" s="13">
        <f>SUMPRODUCT(N405:Y405,$N$4:$Y$4)*$K405*$L405*$M405</f>
        <v/>
      </c>
      <c r="AD405" s="15" t="n">
        <v>24.33333333333333</v>
      </c>
      <c r="AE405" s="11" t="n">
        <v>1.050254875886525</v>
      </c>
      <c r="AF405" s="16">
        <f>SUMPRODUCT(N405:Y405,$N$5:$Y$5)*$K405*$L405*$M405</f>
        <v/>
      </c>
      <c r="AG405" s="16">
        <f>SUMPRODUCT(N405:Y405,$N$6:$Y$6)*$K405*$L405*$M405</f>
        <v/>
      </c>
      <c r="AH405" s="20" t="n"/>
    </row>
    <row r="406">
      <c r="A406" s="9" t="n">
        <v>663321</v>
      </c>
      <c r="B406" s="9" t="inlineStr">
        <is>
          <t>Nick Hernandez</t>
        </is>
      </c>
      <c r="C406" s="9" t="inlineStr">
        <is>
          <t>HOU</t>
        </is>
      </c>
      <c r="D406" s="9" t="n">
        <v>32</v>
      </c>
      <c r="E406" s="18" t="inlineStr">
        <is>
          <t>R</t>
        </is>
      </c>
      <c r="F406" s="18" t="n"/>
      <c r="G406" s="9" t="n">
        <v>52</v>
      </c>
      <c r="H406" s="9" t="n">
        <v>104</v>
      </c>
      <c r="I406" s="9" t="inlineStr">
        <is>
          <t>Bullpen Depth Arm</t>
        </is>
      </c>
      <c r="J406" s="18" t="inlineStr">
        <is>
          <t>Opening Day</t>
        </is>
      </c>
      <c r="K406" s="11">
        <f>IFERROR(INDEX(Roles!$B$17:$B$20,MATCH(J406,Roles!$A$17:$A$20,0)),1)</f>
        <v/>
      </c>
      <c r="L406" s="19" t="n">
        <v>1</v>
      </c>
      <c r="M406" s="11" t="n">
        <v>1</v>
      </c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>
        <v>1</v>
      </c>
      <c r="X406" s="19" t="n"/>
      <c r="Y406" s="19" t="n"/>
      <c r="Z406" s="13">
        <f>SUMPRODUCT(N406:Y406,$N$2:$Y$2)*$K406*$L406*$M406</f>
        <v/>
      </c>
      <c r="AA406" s="14">
        <f>SUM(N406:Y406)</f>
        <v/>
      </c>
      <c r="AB406" s="13">
        <f>SUMPRODUCT(N406:Y406,$N$3:$Y$3)*$K406*$L406*$M406</f>
        <v/>
      </c>
      <c r="AC406" s="13">
        <f>SUMPRODUCT(N406:Y406,$N$4:$Y$4)*$K406*$L406*$M406</f>
        <v/>
      </c>
      <c r="AD406" s="15" t="n">
        <v>10.66666666666667</v>
      </c>
      <c r="AE406" s="11" t="n">
        <v>1.192618245951579</v>
      </c>
      <c r="AF406" s="16">
        <f>SUMPRODUCT(N406:Y406,$N$5:$Y$5)*$K406*$L406*$M406</f>
        <v/>
      </c>
      <c r="AG406" s="16">
        <f>SUMPRODUCT(N406:Y406,$N$6:$Y$6)*$K406*$L406*$M406</f>
        <v/>
      </c>
      <c r="AH406" s="20" t="n"/>
    </row>
    <row r="407">
      <c r="A407" s="9" t="n">
        <v>642016</v>
      </c>
      <c r="B407" s="9" t="inlineStr">
        <is>
          <t>Daniel Robert</t>
        </is>
      </c>
      <c r="C407" s="9" t="inlineStr">
        <is>
          <t>PHI</t>
        </is>
      </c>
      <c r="D407" s="9" t="n">
        <v>32</v>
      </c>
      <c r="E407" s="18" t="inlineStr">
        <is>
          <t>R</t>
        </is>
      </c>
      <c r="F407" s="18" t="n"/>
      <c r="G407" s="9" t="n">
        <v>59</v>
      </c>
      <c r="H407" s="9" t="n">
        <v>85</v>
      </c>
      <c r="I407" s="9" t="inlineStr">
        <is>
          <t>Bullpen Depth Arm</t>
        </is>
      </c>
      <c r="J407" s="18" t="inlineStr">
        <is>
          <t>Opening Day</t>
        </is>
      </c>
      <c r="K407" s="11">
        <f>IFERROR(INDEX(Roles!$B$17:$B$20,MATCH(J407,Roles!$A$17:$A$20,0)),1)</f>
        <v/>
      </c>
      <c r="L407" s="19" t="n">
        <v>1</v>
      </c>
      <c r="M407" s="11" t="n">
        <v>1</v>
      </c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>
        <v>1</v>
      </c>
      <c r="X407" s="19" t="n"/>
      <c r="Y407" s="19" t="n"/>
      <c r="Z407" s="13">
        <f>SUMPRODUCT(N407:Y407,$N$2:$Y$2)*$K407*$L407*$M407</f>
        <v/>
      </c>
      <c r="AA407" s="14">
        <f>SUM(N407:Y407)</f>
        <v/>
      </c>
      <c r="AB407" s="13">
        <f>SUMPRODUCT(N407:Y407,$N$3:$Y$3)*$K407*$L407*$M407</f>
        <v/>
      </c>
      <c r="AC407" s="13">
        <f>SUMPRODUCT(N407:Y407,$N$4:$Y$4)*$K407*$L407*$M407</f>
        <v/>
      </c>
      <c r="AD407" s="15" t="n">
        <v>12.46666666666666</v>
      </c>
      <c r="AE407" s="11" t="n">
        <v>1.111964651180338</v>
      </c>
      <c r="AF407" s="16">
        <f>SUMPRODUCT(N407:Y407,$N$5:$Y$5)*$K407*$L407*$M407</f>
        <v/>
      </c>
      <c r="AG407" s="16">
        <f>SUMPRODUCT(N407:Y407,$N$6:$Y$6)*$K407*$L407*$M407</f>
        <v/>
      </c>
      <c r="AH407" s="20" t="n"/>
    </row>
    <row r="408">
      <c r="A408" s="9" t="n">
        <v>687075</v>
      </c>
      <c r="B408" s="9" t="inlineStr">
        <is>
          <t>Brandon Sproat</t>
        </is>
      </c>
      <c r="C408" s="9" t="inlineStr">
        <is>
          <t>MIL</t>
        </is>
      </c>
      <c r="D408" s="9" t="n">
        <v>26</v>
      </c>
      <c r="E408" s="18" t="inlineStr">
        <is>
          <t>R</t>
        </is>
      </c>
      <c r="F408" s="18" t="n"/>
      <c r="G408" s="9" t="n">
        <v>422</v>
      </c>
      <c r="H408" s="9" t="n">
        <v>506</v>
      </c>
      <c r="I408" s="9" t="inlineStr">
        <is>
          <t>End-of-Rotation Starter (SP4-5)</t>
        </is>
      </c>
      <c r="J408" s="18" t="inlineStr">
        <is>
          <t>Opening Day</t>
        </is>
      </c>
      <c r="K408" s="11">
        <f>IFERROR(INDEX(Roles!$B$17:$B$20,MATCH(J408,Roles!$A$17:$A$20,0)),1)</f>
        <v/>
      </c>
      <c r="L408" s="19" t="n">
        <v>1</v>
      </c>
      <c r="M408" s="11" t="n">
        <v>1</v>
      </c>
      <c r="N408" s="19" t="n"/>
      <c r="O408" s="19" t="n"/>
      <c r="P408" s="19" t="n">
        <v>1</v>
      </c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3">
        <f>SUMPRODUCT(N408:Y408,$N$2:$Y$2)*$K408*$L408*$M408</f>
        <v/>
      </c>
      <c r="AA408" s="14">
        <f>SUM(N408:Y408)</f>
        <v/>
      </c>
      <c r="AB408" s="13">
        <f>SUMPRODUCT(N408:Y408,$N$3:$Y$3)*$K408*$L408*$M408</f>
        <v/>
      </c>
      <c r="AC408" s="13">
        <f>SUMPRODUCT(N408:Y408,$N$4:$Y$4)*$K408*$L408*$M408</f>
        <v/>
      </c>
      <c r="AD408" s="15" t="n">
        <v>15.28</v>
      </c>
      <c r="AE408" s="11" t="n">
        <v>4.534034034034033</v>
      </c>
      <c r="AF408" s="16">
        <f>SUMPRODUCT(N408:Y408,$N$5:$Y$5)*$K408*$L408*$M408</f>
        <v/>
      </c>
      <c r="AG408" s="16">
        <f>SUMPRODUCT(N408:Y408,$N$6:$Y$6)*$K408*$L408*$M408</f>
        <v/>
      </c>
      <c r="AH408" s="20" t="n"/>
    </row>
    <row r="409">
      <c r="A409" s="9" t="n">
        <v>677020</v>
      </c>
      <c r="B409" s="9" t="inlineStr">
        <is>
          <t>Josh Walker</t>
        </is>
      </c>
      <c r="C409" s="9" t="inlineStr">
        <is>
          <t>BAL</t>
        </is>
      </c>
      <c r="D409" s="9" t="n">
        <v>32</v>
      </c>
      <c r="E409" s="18" t="inlineStr">
        <is>
          <t>L</t>
        </is>
      </c>
      <c r="F409" s="18" t="n"/>
      <c r="G409" s="9" t="n">
        <v>126</v>
      </c>
      <c r="H409" s="9" t="n">
        <v>254</v>
      </c>
      <c r="I409" s="9" t="inlineStr">
        <is>
          <t>Swing Arm / Long Relief</t>
        </is>
      </c>
      <c r="J409" s="18" t="inlineStr">
        <is>
          <t>Opening Day</t>
        </is>
      </c>
      <c r="K409" s="11">
        <f>IFERROR(INDEX(Roles!$B$17:$B$20,MATCH(J409,Roles!$A$17:$A$20,0)),1)</f>
        <v/>
      </c>
      <c r="L409" s="19" t="n">
        <v>1</v>
      </c>
      <c r="M409" s="11" t="n">
        <v>1</v>
      </c>
      <c r="N409" s="19" t="n"/>
      <c r="O409" s="19" t="n"/>
      <c r="P409" s="19" t="n"/>
      <c r="Q409" s="19" t="n"/>
      <c r="R409" s="19" t="n">
        <v>0.6</v>
      </c>
      <c r="S409" s="19" t="n"/>
      <c r="T409" s="19" t="n"/>
      <c r="U409" s="19" t="n"/>
      <c r="V409" s="19" t="n">
        <v>0.4</v>
      </c>
      <c r="W409" s="19" t="n"/>
      <c r="X409" s="19" t="n"/>
      <c r="Y409" s="19" t="n"/>
      <c r="Z409" s="13">
        <f>SUMPRODUCT(N409:Y409,$N$2:$Y$2)*$K409*$L409*$M409</f>
        <v/>
      </c>
      <c r="AA409" s="14">
        <f>SUM(N409:Y409)</f>
        <v/>
      </c>
      <c r="AB409" s="13">
        <f>SUMPRODUCT(N409:Y409,$N$3:$Y$3)*$K409*$L409*$M409</f>
        <v/>
      </c>
      <c r="AC409" s="13">
        <f>SUMPRODUCT(N409:Y409,$N$4:$Y$4)*$K409*$L409*$M409</f>
        <v/>
      </c>
      <c r="AD409" s="15" t="n">
        <v>19.03333333333333</v>
      </c>
      <c r="AE409" s="11" t="n">
        <v>2.015073277518758</v>
      </c>
      <c r="AF409" s="16">
        <f>SUMPRODUCT(N409:Y409,$N$5:$Y$5)*$K409*$L409*$M409</f>
        <v/>
      </c>
      <c r="AG409" s="16">
        <f>SUMPRODUCT(N409:Y409,$N$6:$Y$6)*$K409*$L409*$M409</f>
        <v/>
      </c>
      <c r="AH409" s="20" t="n"/>
    </row>
    <row r="410">
      <c r="A410" s="9" t="n">
        <v>668873</v>
      </c>
      <c r="B410" s="9" t="inlineStr">
        <is>
          <t>Caleb Kilian</t>
        </is>
      </c>
      <c r="C410" s="9" t="inlineStr">
        <is>
          <t>PHI</t>
        </is>
      </c>
      <c r="D410" s="9" t="n">
        <v>30</v>
      </c>
      <c r="E410" s="18" t="inlineStr">
        <is>
          <t>R</t>
        </is>
      </c>
      <c r="F410" s="18" t="n"/>
      <c r="G410" s="9" t="n">
        <v>209</v>
      </c>
      <c r="H410" s="9" t="n">
        <v>346</v>
      </c>
      <c r="I410" s="9" t="inlineStr">
        <is>
          <t>Bullpen Depth Arm</t>
        </is>
      </c>
      <c r="J410" s="18" t="inlineStr">
        <is>
          <t>Opening Day</t>
        </is>
      </c>
      <c r="K410" s="11">
        <f>IFERROR(INDEX(Roles!$B$17:$B$20,MATCH(J410,Roles!$A$17:$A$20,0)),1)</f>
        <v/>
      </c>
      <c r="L410" s="19" t="n">
        <v>1</v>
      </c>
      <c r="M410" s="11" t="n">
        <v>1</v>
      </c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>
        <v>0.15</v>
      </c>
      <c r="W410" s="19" t="n">
        <v>0.85</v>
      </c>
      <c r="X410" s="19" t="n"/>
      <c r="Y410" s="19" t="n"/>
      <c r="Z410" s="13">
        <f>SUMPRODUCT(N410:Y410,$N$2:$Y$2)*$K410*$L410*$M410</f>
        <v/>
      </c>
      <c r="AA410" s="14">
        <f>SUM(N410:Y410)</f>
        <v/>
      </c>
      <c r="AB410" s="13">
        <f>SUMPRODUCT(N410:Y410,$N$3:$Y$3)*$K410*$L410*$M410</f>
        <v/>
      </c>
      <c r="AC410" s="13">
        <f>SUMPRODUCT(N410:Y410,$N$4:$Y$4)*$K410*$L410*$M410</f>
        <v/>
      </c>
      <c r="AD410" s="15" t="n">
        <v>28.01666666666667</v>
      </c>
      <c r="AE410" s="11" t="n">
        <v>1.145280438345315</v>
      </c>
      <c r="AF410" s="16">
        <f>SUMPRODUCT(N410:Y410,$N$5:$Y$5)*$K410*$L410*$M410</f>
        <v/>
      </c>
      <c r="AG410" s="16">
        <f>SUMPRODUCT(N410:Y410,$N$6:$Y$6)*$K410*$L410*$M410</f>
        <v/>
      </c>
      <c r="AH410" s="20" t="n"/>
    </row>
    <row r="411">
      <c r="A411" s="9" t="n">
        <v>663855</v>
      </c>
      <c r="B411" s="9" t="inlineStr">
        <is>
          <t>Jordan Hicks</t>
        </is>
      </c>
      <c r="C411" s="9" t="inlineStr">
        <is>
          <t>CWS</t>
        </is>
      </c>
      <c r="D411" s="9" t="n">
        <v>30</v>
      </c>
      <c r="E411" s="18" t="inlineStr">
        <is>
          <t>R</t>
        </is>
      </c>
      <c r="F411" s="18" t="n"/>
      <c r="G411" s="9" t="n">
        <v>216</v>
      </c>
      <c r="H411" s="9" t="n">
        <v>1559</v>
      </c>
      <c r="I411" s="9" t="inlineStr">
        <is>
          <t>Late Inning RP (Setup)</t>
        </is>
      </c>
      <c r="J411" s="18" t="inlineStr">
        <is>
          <t>Opening Day</t>
        </is>
      </c>
      <c r="K411" s="11">
        <f>IFERROR(INDEX(Roles!$B$17:$B$20,MATCH(J411,Roles!$A$17:$A$20,0)),1)</f>
        <v/>
      </c>
      <c r="L411" s="19" t="n">
        <v>1</v>
      </c>
      <c r="M411" s="11" t="n">
        <v>1</v>
      </c>
      <c r="N411" s="19" t="n"/>
      <c r="O411" s="19" t="n"/>
      <c r="P411" s="19" t="n"/>
      <c r="Q411" s="19" t="n"/>
      <c r="R411" s="19" t="n"/>
      <c r="S411" s="19" t="n"/>
      <c r="T411" s="19" t="n"/>
      <c r="U411" s="19" t="n">
        <v>0.85</v>
      </c>
      <c r="V411" s="19" t="n">
        <v>0.15</v>
      </c>
      <c r="W411" s="19" t="n"/>
      <c r="X411" s="19" t="n"/>
      <c r="Y411" s="19" t="n"/>
      <c r="Z411" s="13">
        <f>SUMPRODUCT(N411:Y411,$N$2:$Y$2)*$K411*$L411*$M411</f>
        <v/>
      </c>
      <c r="AA411" s="14">
        <f>SUM(N411:Y411)</f>
        <v/>
      </c>
      <c r="AB411" s="13">
        <f>SUMPRODUCT(N411:Y411,$N$3:$Y$3)*$K411*$L411*$M411</f>
        <v/>
      </c>
      <c r="AC411" s="13">
        <f>SUMPRODUCT(N411:Y411,$N$4:$Y$4)*$K411*$L411*$M411</f>
        <v/>
      </c>
      <c r="AD411" s="15" t="n">
        <v>44.8</v>
      </c>
      <c r="AE411" s="11" t="n">
        <v>1.165364583333333</v>
      </c>
      <c r="AF411" s="16">
        <f>SUMPRODUCT(N411:Y411,$N$5:$Y$5)*$K411*$L411*$M411</f>
        <v/>
      </c>
      <c r="AG411" s="16">
        <f>SUMPRODUCT(N411:Y411,$N$6:$Y$6)*$K411*$L411*$M411</f>
        <v/>
      </c>
      <c r="AH411" s="20" t="n"/>
    </row>
    <row r="412">
      <c r="A412" s="9" t="n">
        <v>592741</v>
      </c>
      <c r="B412" s="9" t="inlineStr">
        <is>
          <t>Chasen Shreve</t>
        </is>
      </c>
      <c r="C412" s="9" t="inlineStr">
        <is>
          <t>CIN</t>
        </is>
      </c>
      <c r="D412" s="9" t="n">
        <v>36</v>
      </c>
      <c r="E412" s="18" t="inlineStr">
        <is>
          <t>L</t>
        </is>
      </c>
      <c r="F412" s="18" t="n"/>
      <c r="G412" s="9" t="n">
        <v>4</v>
      </c>
      <c r="H412" s="9" t="n">
        <v>311</v>
      </c>
      <c r="I412" s="9" t="inlineStr">
        <is>
          <t>Depth (no MLB IP)</t>
        </is>
      </c>
      <c r="J412" s="18" t="inlineStr">
        <is>
          <t>Opening Day</t>
        </is>
      </c>
      <c r="K412" s="11">
        <f>IFERROR(INDEX(Roles!$B$17:$B$20,MATCH(J412,Roles!$A$17:$A$20,0)),1)</f>
        <v/>
      </c>
      <c r="L412" s="19" t="n">
        <v>1</v>
      </c>
      <c r="M412" s="11" t="n">
        <v>1</v>
      </c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>
        <v>1</v>
      </c>
      <c r="Z412" s="13">
        <f>SUMPRODUCT(N412:Y412,$N$2:$Y$2)*$K412*$L412*$M412</f>
        <v/>
      </c>
      <c r="AA412" s="14">
        <f>SUM(N412:Y412)</f>
        <v/>
      </c>
      <c r="AB412" s="13">
        <f>SUMPRODUCT(N412:Y412,$N$3:$Y$3)*$K412*$L412*$M412</f>
        <v/>
      </c>
      <c r="AC412" s="13">
        <f>SUMPRODUCT(N412:Y412,$N$4:$Y$4)*$K412*$L412*$M412</f>
        <v/>
      </c>
      <c r="AD412" s="15" t="n">
        <v>1.8</v>
      </c>
      <c r="AE412" s="11" t="n">
        <v>1.007530864197531</v>
      </c>
      <c r="AF412" s="16">
        <f>SUMPRODUCT(N412:Y412,$N$5:$Y$5)*$K412*$L412*$M412</f>
        <v/>
      </c>
      <c r="AG412" s="16">
        <f>SUMPRODUCT(N412:Y412,$N$6:$Y$6)*$K412*$L412*$M412</f>
        <v/>
      </c>
      <c r="AH412" s="20" t="n"/>
    </row>
    <row r="413">
      <c r="A413" s="9" t="n">
        <v>679525</v>
      </c>
      <c r="B413" s="9" t="inlineStr">
        <is>
          <t>Alec Marsh</t>
        </is>
      </c>
      <c r="C413" s="9" t="inlineStr">
        <is>
          <t>KC</t>
        </is>
      </c>
      <c r="D413" s="9" t="n">
        <v>29</v>
      </c>
      <c r="E413" s="18" t="inlineStr">
        <is>
          <t>R</t>
        </is>
      </c>
      <c r="F413" s="18" t="n"/>
      <c r="G413" s="9" t="n">
        <v>548</v>
      </c>
      <c r="H413" s="9" t="n">
        <v>890</v>
      </c>
      <c r="I413" s="9" t="inlineStr">
        <is>
          <t>Swing Arm / Long Relief</t>
        </is>
      </c>
      <c r="J413" s="18" t="inlineStr">
        <is>
          <t>Opening Day</t>
        </is>
      </c>
      <c r="K413" s="11">
        <f>IFERROR(INDEX(Roles!$B$17:$B$20,MATCH(J413,Roles!$A$17:$A$20,0)),1)</f>
        <v/>
      </c>
      <c r="L413" s="19" t="n">
        <v>1</v>
      </c>
      <c r="M413" s="11" t="n">
        <v>1</v>
      </c>
      <c r="N413" s="19" t="n"/>
      <c r="O413" s="19" t="n"/>
      <c r="P413" s="19" t="n"/>
      <c r="Q413" s="19" t="n"/>
      <c r="R413" s="19" t="n">
        <v>0.5</v>
      </c>
      <c r="S413" s="19" t="n"/>
      <c r="T413" s="19" t="n"/>
      <c r="U413" s="19" t="n"/>
      <c r="V413" s="19" t="n">
        <v>0.5</v>
      </c>
      <c r="W413" s="19" t="n"/>
      <c r="X413" s="19" t="n"/>
      <c r="Y413" s="19" t="n"/>
      <c r="Z413" s="13">
        <f>SUMPRODUCT(N413:Y413,$N$2:$Y$2)*$K413*$L413*$M413</f>
        <v/>
      </c>
      <c r="AA413" s="14">
        <f>SUM(N413:Y413)</f>
        <v/>
      </c>
      <c r="AB413" s="13">
        <f>SUMPRODUCT(N413:Y413,$N$3:$Y$3)*$K413*$L413*$M413</f>
        <v/>
      </c>
      <c r="AC413" s="13">
        <f>SUMPRODUCT(N413:Y413,$N$4:$Y$4)*$K413*$L413*$M413</f>
        <v/>
      </c>
      <c r="AD413" s="15" t="n">
        <v>23.73333333333333</v>
      </c>
      <c r="AE413" s="11" t="n">
        <v>3.322334314137593</v>
      </c>
      <c r="AF413" s="16">
        <f>SUMPRODUCT(N413:Y413,$N$5:$Y$5)*$K413*$L413*$M413</f>
        <v/>
      </c>
      <c r="AG413" s="16">
        <f>SUMPRODUCT(N413:Y413,$N$6:$Y$6)*$K413*$L413*$M413</f>
        <v/>
      </c>
      <c r="AH413" s="20" t="n"/>
    </row>
    <row r="414">
      <c r="A414" s="9" t="n">
        <v>684974</v>
      </c>
      <c r="B414" s="9" t="inlineStr">
        <is>
          <t>Craig Yoho</t>
        </is>
      </c>
      <c r="C414" s="9" t="inlineStr">
        <is>
          <t>CLE</t>
        </is>
      </c>
      <c r="D414" s="9" t="n">
        <v>27</v>
      </c>
      <c r="E414" s="18" t="inlineStr">
        <is>
          <t>R</t>
        </is>
      </c>
      <c r="F414" s="18" t="n"/>
      <c r="G414" s="9" t="n">
        <v>164</v>
      </c>
      <c r="H414" s="9" t="n">
        <v>205</v>
      </c>
      <c r="I414" s="9" t="inlineStr">
        <is>
          <t>Middle Relief</t>
        </is>
      </c>
      <c r="J414" s="18" t="inlineStr">
        <is>
          <t>Opening Day</t>
        </is>
      </c>
      <c r="K414" s="11">
        <f>IFERROR(INDEX(Roles!$B$17:$B$20,MATCH(J414,Roles!$A$17:$A$20,0)),1)</f>
        <v/>
      </c>
      <c r="L414" s="19" t="n">
        <v>1</v>
      </c>
      <c r="M414" s="11" t="n">
        <v>1</v>
      </c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>
        <v>0.8</v>
      </c>
      <c r="W414" s="19" t="n">
        <v>0.2</v>
      </c>
      <c r="X414" s="19" t="n"/>
      <c r="Y414" s="19" t="n"/>
      <c r="Z414" s="13">
        <f>SUMPRODUCT(N414:Y414,$N$2:$Y$2)*$K414*$L414*$M414</f>
        <v/>
      </c>
      <c r="AA414" s="14">
        <f>SUM(N414:Y414)</f>
        <v/>
      </c>
      <c r="AB414" s="13">
        <f>SUMPRODUCT(N414:Y414,$N$3:$Y$3)*$K414*$L414*$M414</f>
        <v/>
      </c>
      <c r="AC414" s="13">
        <f>SUMPRODUCT(N414:Y414,$N$4:$Y$4)*$K414*$L414*$M414</f>
        <v/>
      </c>
      <c r="AD414" s="15" t="n">
        <v>28.89333333333333</v>
      </c>
      <c r="AE414" s="11" t="n">
        <v>1.062966740293304</v>
      </c>
      <c r="AF414" s="16">
        <f>SUMPRODUCT(N414:Y414,$N$5:$Y$5)*$K414*$L414*$M414</f>
        <v/>
      </c>
      <c r="AG414" s="16">
        <f>SUMPRODUCT(N414:Y414,$N$6:$Y$6)*$K414*$L414*$M414</f>
        <v/>
      </c>
      <c r="AH414" s="20" t="n"/>
    </row>
    <row r="415">
      <c r="A415" s="9" t="n">
        <v>445926</v>
      </c>
      <c r="B415" s="9" t="inlineStr">
        <is>
          <t>Jesse Chavez</t>
        </is>
      </c>
      <c r="C415" s="9" t="inlineStr">
        <is>
          <t>ATL</t>
        </is>
      </c>
      <c r="D415" s="9" t="n">
        <v>43</v>
      </c>
      <c r="E415" s="18" t="inlineStr">
        <is>
          <t>R</t>
        </is>
      </c>
      <c r="F415" s="18" t="n"/>
      <c r="G415" s="9" t="n">
        <v>43</v>
      </c>
      <c r="H415" s="9" t="n">
        <v>743</v>
      </c>
      <c r="I415" s="9" t="inlineStr">
        <is>
          <t>Bullpen Depth Arm</t>
        </is>
      </c>
      <c r="J415" s="18" t="inlineStr">
        <is>
          <t>Opening Day</t>
        </is>
      </c>
      <c r="K415" s="11">
        <f>IFERROR(INDEX(Roles!$B$17:$B$20,MATCH(J415,Roles!$A$17:$A$20,0)),1)</f>
        <v/>
      </c>
      <c r="L415" s="19" t="n">
        <v>1</v>
      </c>
      <c r="M415" s="11" t="n">
        <v>1</v>
      </c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>
        <v>1</v>
      </c>
      <c r="X415" s="19" t="n"/>
      <c r="Y415" s="19" t="n"/>
      <c r="Z415" s="13">
        <f>SUMPRODUCT(N415:Y415,$N$2:$Y$2)*$K415*$L415*$M415</f>
        <v/>
      </c>
      <c r="AA415" s="14">
        <f>SUM(N415:Y415)</f>
        <v/>
      </c>
      <c r="AB415" s="13">
        <f>SUMPRODUCT(N415:Y415,$N$3:$Y$3)*$K415*$L415*$M415</f>
        <v/>
      </c>
      <c r="AC415" s="13">
        <f>SUMPRODUCT(N415:Y415,$N$4:$Y$4)*$K415*$L415*$M415</f>
        <v/>
      </c>
      <c r="AD415" s="15" t="n">
        <v>16.46666666666667</v>
      </c>
      <c r="AE415" s="11" t="n">
        <v>1.291219068996847</v>
      </c>
      <c r="AF415" s="16">
        <f>SUMPRODUCT(N415:Y415,$N$5:$Y$5)*$K415*$L415*$M415</f>
        <v/>
      </c>
      <c r="AG415" s="16">
        <f>SUMPRODUCT(N415:Y415,$N$6:$Y$6)*$K415*$L415*$M415</f>
        <v/>
      </c>
      <c r="AH415" s="20" t="n"/>
    </row>
    <row r="416">
      <c r="A416" s="9" t="n">
        <v>675627</v>
      </c>
      <c r="B416" s="9" t="inlineStr">
        <is>
          <t>Michael Grove</t>
        </is>
      </c>
      <c r="C416" s="9" t="inlineStr">
        <is>
          <t>TB</t>
        </is>
      </c>
      <c r="D416" s="9" t="n">
        <v>30</v>
      </c>
      <c r="E416" s="18" t="inlineStr">
        <is>
          <t>R</t>
        </is>
      </c>
      <c r="F416" s="18" t="n"/>
      <c r="G416" s="9" t="n">
        <v>28</v>
      </c>
      <c r="H416" s="9" t="n">
        <v>679</v>
      </c>
      <c r="I416" s="9" t="inlineStr">
        <is>
          <t>Bullpen Depth Arm</t>
        </is>
      </c>
      <c r="J416" s="18" t="inlineStr">
        <is>
          <t>Opening Day</t>
        </is>
      </c>
      <c r="K416" s="11">
        <f>IFERROR(INDEX(Roles!$B$17:$B$20,MATCH(J416,Roles!$A$17:$A$20,0)),1)</f>
        <v/>
      </c>
      <c r="L416" s="19" t="n">
        <v>1</v>
      </c>
      <c r="M416" s="11" t="n">
        <v>1</v>
      </c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>
        <v>1</v>
      </c>
      <c r="X416" s="19" t="n"/>
      <c r="Y416" s="19" t="n"/>
      <c r="Z416" s="13">
        <f>SUMPRODUCT(N416:Y416,$N$2:$Y$2)*$K416*$L416*$M416</f>
        <v/>
      </c>
      <c r="AA416" s="14">
        <f>SUM(N416:Y416)</f>
        <v/>
      </c>
      <c r="AB416" s="13">
        <f>SUMPRODUCT(N416:Y416,$N$3:$Y$3)*$K416*$L416*$M416</f>
        <v/>
      </c>
      <c r="AC416" s="13">
        <f>SUMPRODUCT(N416:Y416,$N$4:$Y$4)*$K416*$L416*$M416</f>
        <v/>
      </c>
      <c r="AD416" s="15" t="n">
        <v>12.86666666666666</v>
      </c>
      <c r="AE416" s="11" t="n">
        <v>1.301507134840468</v>
      </c>
      <c r="AF416" s="16">
        <f>SUMPRODUCT(N416:Y416,$N$5:$Y$5)*$K416*$L416*$M416</f>
        <v/>
      </c>
      <c r="AG416" s="16">
        <f>SUMPRODUCT(N416:Y416,$N$6:$Y$6)*$K416*$L416*$M416</f>
        <v/>
      </c>
      <c r="AH416" s="20" t="n"/>
    </row>
    <row r="417">
      <c r="A417" s="9" t="n">
        <v>687014</v>
      </c>
      <c r="B417" s="9" t="inlineStr">
        <is>
          <t>Nick Avila</t>
        </is>
      </c>
      <c r="C417" s="9" t="inlineStr">
        <is>
          <t>SF</t>
        </is>
      </c>
      <c r="D417" s="9" t="n">
        <v>29</v>
      </c>
      <c r="E417" s="18" t="inlineStr">
        <is>
          <t>R</t>
        </is>
      </c>
      <c r="F417" s="18" t="n"/>
      <c r="G417" s="9" t="n">
        <v>55</v>
      </c>
      <c r="H417" s="9" t="n">
        <v>55</v>
      </c>
      <c r="I417" s="9" t="inlineStr">
        <is>
          <t>Depth (no MLB IP)</t>
        </is>
      </c>
      <c r="J417" s="18" t="inlineStr">
        <is>
          <t>Opening Day</t>
        </is>
      </c>
      <c r="K417" s="11">
        <f>IFERROR(INDEX(Roles!$B$17:$B$20,MATCH(J417,Roles!$A$17:$A$20,0)),1)</f>
        <v/>
      </c>
      <c r="L417" s="19" t="n">
        <v>1</v>
      </c>
      <c r="M417" s="11" t="n">
        <v>1</v>
      </c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>
        <v>1</v>
      </c>
      <c r="Z417" s="13">
        <f>SUMPRODUCT(N417:Y417,$N$2:$Y$2)*$K417*$L417*$M417</f>
        <v/>
      </c>
      <c r="AA417" s="14">
        <f>SUM(N417:Y417)</f>
        <v/>
      </c>
      <c r="AB417" s="13">
        <f>SUMPRODUCT(N417:Y417,$N$3:$Y$3)*$K417*$L417*$M417</f>
        <v/>
      </c>
      <c r="AC417" s="13">
        <f>SUMPRODUCT(N417:Y417,$N$4:$Y$4)*$K417*$L417*$M417</f>
        <v/>
      </c>
      <c r="AD417" s="15" t="n">
        <v>6</v>
      </c>
      <c r="AE417" s="11" t="n">
        <v>1.160308641975309</v>
      </c>
      <c r="AF417" s="16">
        <f>SUMPRODUCT(N417:Y417,$N$5:$Y$5)*$K417*$L417*$M417</f>
        <v/>
      </c>
      <c r="AG417" s="16">
        <f>SUMPRODUCT(N417:Y417,$N$6:$Y$6)*$K417*$L417*$M417</f>
        <v/>
      </c>
      <c r="AH417" s="20" t="n"/>
    </row>
    <row r="418">
      <c r="A418" s="9" t="n">
        <v>681973</v>
      </c>
      <c r="B418" s="9" t="inlineStr">
        <is>
          <t>Josh Hendrickson</t>
        </is>
      </c>
      <c r="C418" s="9" t="inlineStr">
        <is>
          <t>HOU</t>
        </is>
      </c>
      <c r="D418" s="9" t="n">
        <v>29</v>
      </c>
      <c r="E418" s="18" t="inlineStr">
        <is>
          <t>L</t>
        </is>
      </c>
      <c r="F418" s="18" t="n"/>
      <c r="G418" s="9" t="n">
        <v>9</v>
      </c>
      <c r="H418" s="9" t="n">
        <v>9</v>
      </c>
      <c r="I418" s="9" t="inlineStr">
        <is>
          <t>Bullpen Depth Arm</t>
        </is>
      </c>
      <c r="J418" s="18" t="inlineStr">
        <is>
          <t>Opening Day</t>
        </is>
      </c>
      <c r="K418" s="11">
        <f>IFERROR(INDEX(Roles!$B$17:$B$20,MATCH(J418,Roles!$A$17:$A$20,0)),1)</f>
        <v/>
      </c>
      <c r="L418" s="19" t="n">
        <v>1</v>
      </c>
      <c r="M418" s="11" t="n">
        <v>1</v>
      </c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>
        <v>0.5</v>
      </c>
      <c r="X418" s="19" t="n"/>
      <c r="Y418" s="19" t="n">
        <v>0.5</v>
      </c>
      <c r="Z418" s="13">
        <f>SUMPRODUCT(N418:Y418,$N$2:$Y$2)*$K418*$L418*$M418</f>
        <v/>
      </c>
      <c r="AA418" s="14">
        <f>SUM(N418:Y418)</f>
        <v/>
      </c>
      <c r="AB418" s="13">
        <f>SUMPRODUCT(N418:Y418,$N$3:$Y$3)*$K418*$L418*$M418</f>
        <v/>
      </c>
      <c r="AC418" s="13">
        <f>SUMPRODUCT(N418:Y418,$N$4:$Y$4)*$K418*$L418*$M418</f>
        <v/>
      </c>
      <c r="AD418" s="15" t="n">
        <v>6.866666666666665</v>
      </c>
      <c r="AE418" s="11" t="n">
        <v>1.245951579284912</v>
      </c>
      <c r="AF418" s="16">
        <f>SUMPRODUCT(N418:Y418,$N$5:$Y$5)*$K418*$L418*$M418</f>
        <v/>
      </c>
      <c r="AG418" s="16">
        <f>SUMPRODUCT(N418:Y418,$N$6:$Y$6)*$K418*$L418*$M418</f>
        <v/>
      </c>
      <c r="AH418" s="20" t="n"/>
    </row>
    <row r="419">
      <c r="A419" s="9" t="n">
        <v>681252</v>
      </c>
      <c r="B419" s="9" t="inlineStr">
        <is>
          <t>Jack Anderson</t>
        </is>
      </c>
      <c r="C419" s="9" t="inlineStr">
        <is>
          <t>MIN</t>
        </is>
      </c>
      <c r="D419" s="9" t="n">
        <v>27</v>
      </c>
      <c r="E419" s="18" t="inlineStr">
        <is>
          <t>R</t>
        </is>
      </c>
      <c r="F419" s="18" t="n"/>
      <c r="G419" s="9" t="n">
        <v>48</v>
      </c>
      <c r="H419" s="9" t="n">
        <v>48</v>
      </c>
      <c r="I419" s="9" t="inlineStr">
        <is>
          <t>Bullpen Depth Arm</t>
        </is>
      </c>
      <c r="J419" s="18" t="inlineStr">
        <is>
          <t>Opening Day</t>
        </is>
      </c>
      <c r="K419" s="11">
        <f>IFERROR(INDEX(Roles!$B$17:$B$20,MATCH(J419,Roles!$A$17:$A$20,0)),1)</f>
        <v/>
      </c>
      <c r="L419" s="19" t="n">
        <v>1</v>
      </c>
      <c r="M419" s="11" t="n">
        <v>1</v>
      </c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>
        <v>1</v>
      </c>
      <c r="X419" s="19" t="n"/>
      <c r="Y419" s="19" t="n"/>
      <c r="Z419" s="13">
        <f>SUMPRODUCT(N419:Y419,$N$2:$Y$2)*$K419*$L419*$M419</f>
        <v/>
      </c>
      <c r="AA419" s="14">
        <f>SUM(N419:Y419)</f>
        <v/>
      </c>
      <c r="AB419" s="13">
        <f>SUMPRODUCT(N419:Y419,$N$3:$Y$3)*$K419*$L419*$M419</f>
        <v/>
      </c>
      <c r="AC419" s="13">
        <f>SUMPRODUCT(N419:Y419,$N$4:$Y$4)*$K419*$L419*$M419</f>
        <v/>
      </c>
      <c r="AD419" s="15" t="n">
        <v>9.866666666666664</v>
      </c>
      <c r="AE419" s="11" t="n">
        <v>1.388808722142056</v>
      </c>
      <c r="AF419" s="16">
        <f>SUMPRODUCT(N419:Y419,$N$5:$Y$5)*$K419*$L419*$M419</f>
        <v/>
      </c>
      <c r="AG419" s="16">
        <f>SUMPRODUCT(N419:Y419,$N$6:$Y$6)*$K419*$L419*$M419</f>
        <v/>
      </c>
      <c r="AH419" s="20" t="n"/>
    </row>
    <row r="420">
      <c r="A420" s="9" t="n">
        <v>691172</v>
      </c>
      <c r="B420" s="9" t="inlineStr">
        <is>
          <t>Yosver Zulueta</t>
        </is>
      </c>
      <c r="C420" s="9" t="inlineStr">
        <is>
          <t>CIN</t>
        </is>
      </c>
      <c r="D420" s="9" t="n">
        <v>29</v>
      </c>
      <c r="E420" s="18" t="inlineStr">
        <is>
          <t>R</t>
        </is>
      </c>
      <c r="F420" s="18" t="n"/>
      <c r="G420" s="9" t="n">
        <v>32</v>
      </c>
      <c r="H420" s="9" t="n">
        <v>101</v>
      </c>
      <c r="I420" s="9" t="inlineStr">
        <is>
          <t>Bullpen Depth Arm</t>
        </is>
      </c>
      <c r="J420" s="18" t="inlineStr">
        <is>
          <t>Opening Day</t>
        </is>
      </c>
      <c r="K420" s="11">
        <f>IFERROR(INDEX(Roles!$B$17:$B$20,MATCH(J420,Roles!$A$17:$A$20,0)),1)</f>
        <v/>
      </c>
      <c r="L420" s="19" t="n">
        <v>1</v>
      </c>
      <c r="M420" s="11" t="n">
        <v>1</v>
      </c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>
        <v>1</v>
      </c>
      <c r="X420" s="19" t="n"/>
      <c r="Y420" s="19" t="n"/>
      <c r="Z420" s="13">
        <f>SUMPRODUCT(N420:Y420,$N$2:$Y$2)*$K420*$L420*$M420</f>
        <v/>
      </c>
      <c r="AA420" s="14">
        <f>SUM(N420:Y420)</f>
        <v/>
      </c>
      <c r="AB420" s="13">
        <f>SUMPRODUCT(N420:Y420,$N$3:$Y$3)*$K420*$L420*$M420</f>
        <v/>
      </c>
      <c r="AC420" s="13">
        <f>SUMPRODUCT(N420:Y420,$N$4:$Y$4)*$K420*$L420*$M420</f>
        <v/>
      </c>
      <c r="AD420" s="15" t="n">
        <v>10.86666666666666</v>
      </c>
      <c r="AE420" s="11" t="n">
        <v>1.198943032276366</v>
      </c>
      <c r="AF420" s="16">
        <f>SUMPRODUCT(N420:Y420,$N$5:$Y$5)*$K420*$L420*$M420</f>
        <v/>
      </c>
      <c r="AG420" s="16">
        <f>SUMPRODUCT(N420:Y420,$N$6:$Y$6)*$K420*$L420*$M420</f>
        <v/>
      </c>
      <c r="AH420" s="20" t="n"/>
    </row>
    <row r="421">
      <c r="A421" s="9" t="n">
        <v>657140</v>
      </c>
      <c r="B421" s="9" t="inlineStr">
        <is>
          <t>Kyle Wright</t>
        </is>
      </c>
      <c r="C421" s="9" t="inlineStr">
        <is>
          <t>ATL</t>
        </is>
      </c>
      <c r="D421" s="9" t="n">
        <v>31</v>
      </c>
      <c r="E421" s="18" t="inlineStr">
        <is>
          <t>R</t>
        </is>
      </c>
      <c r="F421" s="18" t="n"/>
      <c r="G421" s="9" t="n">
        <v>155</v>
      </c>
      <c r="H421" s="9" t="n">
        <v>893</v>
      </c>
      <c r="I421" s="9" t="inlineStr">
        <is>
          <t>Depth (no MLB IP)</t>
        </is>
      </c>
      <c r="J421" s="18" t="inlineStr">
        <is>
          <t>Opening Day</t>
        </is>
      </c>
      <c r="K421" s="11">
        <f>IFERROR(INDEX(Roles!$B$17:$B$20,MATCH(J421,Roles!$A$17:$A$20,0)),1)</f>
        <v/>
      </c>
      <c r="L421" s="19" t="n">
        <v>1</v>
      </c>
      <c r="M421" s="11" t="n">
        <v>1</v>
      </c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>
        <v>1</v>
      </c>
      <c r="Z421" s="13">
        <f>SUMPRODUCT(N421:Y421,$N$2:$Y$2)*$K421*$L421*$M421</f>
        <v/>
      </c>
      <c r="AA421" s="14">
        <f>SUM(N421:Y421)</f>
        <v/>
      </c>
      <c r="AB421" s="13">
        <f>SUMPRODUCT(N421:Y421,$N$3:$Y$3)*$K421*$L421*$M421</f>
        <v/>
      </c>
      <c r="AC421" s="13">
        <f>SUMPRODUCT(N421:Y421,$N$4:$Y$4)*$K421*$L421*$M421</f>
        <v/>
      </c>
      <c r="AD421" s="15" t="n">
        <v>3</v>
      </c>
      <c r="AE421" s="11" t="n">
        <v>1.011296296296296</v>
      </c>
      <c r="AF421" s="16">
        <f>SUMPRODUCT(N421:Y421,$N$5:$Y$5)*$K421*$L421*$M421</f>
        <v/>
      </c>
      <c r="AG421" s="16">
        <f>SUMPRODUCT(N421:Y421,$N$6:$Y$6)*$K421*$L421*$M421</f>
        <v/>
      </c>
      <c r="AH421" s="20" t="n"/>
    </row>
    <row r="422">
      <c r="A422" s="9" t="n">
        <v>680570</v>
      </c>
      <c r="B422" s="9" t="inlineStr">
        <is>
          <t>Grayson Rodriguez</t>
        </is>
      </c>
      <c r="C422" s="9" t="inlineStr">
        <is>
          <t>LAA</t>
        </is>
      </c>
      <c r="D422" s="9" t="n">
        <v>27</v>
      </c>
      <c r="E422" s="18" t="inlineStr">
        <is>
          <t>R</t>
        </is>
      </c>
      <c r="F422" s="18" t="n"/>
      <c r="G422" s="9" t="n">
        <v>444</v>
      </c>
      <c r="H422" s="9" t="n">
        <v>1450</v>
      </c>
      <c r="I422" s="9" t="inlineStr">
        <is>
          <t>End-of-Rotation Starter (SP4-5)</t>
        </is>
      </c>
      <c r="J422" s="18" t="inlineStr">
        <is>
          <t>Opening Day</t>
        </is>
      </c>
      <c r="K422" s="11">
        <f>IFERROR(INDEX(Roles!$B$17:$B$20,MATCH(J422,Roles!$A$17:$A$20,0)),1)</f>
        <v/>
      </c>
      <c r="L422" s="19" t="n">
        <v>1</v>
      </c>
      <c r="M422" s="11" t="n">
        <v>1</v>
      </c>
      <c r="N422" s="19" t="n"/>
      <c r="O422" s="19" t="n"/>
      <c r="P422" s="19" t="n">
        <v>0.5</v>
      </c>
      <c r="Q422" s="19" t="n"/>
      <c r="R422" s="19" t="n">
        <v>0.5</v>
      </c>
      <c r="S422" s="19" t="n"/>
      <c r="T422" s="19" t="n"/>
      <c r="U422" s="19" t="n"/>
      <c r="V422" s="19" t="n"/>
      <c r="W422" s="19" t="n"/>
      <c r="X422" s="19" t="n"/>
      <c r="Y422" s="19" t="n"/>
      <c r="Z422" s="13">
        <f>SUMPRODUCT(N422:Y422,$N$2:$Y$2)*$K422*$L422*$M422</f>
        <v/>
      </c>
      <c r="AA422" s="14">
        <f>SUM(N422:Y422)</f>
        <v/>
      </c>
      <c r="AB422" s="13">
        <f>SUMPRODUCT(N422:Y422,$N$3:$Y$3)*$K422*$L422*$M422</f>
        <v/>
      </c>
      <c r="AC422" s="13">
        <f>SUMPRODUCT(N422:Y422,$N$4:$Y$4)*$K422*$L422*$M422</f>
        <v/>
      </c>
      <c r="AD422" s="15" t="n">
        <v>18.4</v>
      </c>
      <c r="AE422" s="11" t="n">
        <v>4.756481481481482</v>
      </c>
      <c r="AF422" s="16">
        <f>SUMPRODUCT(N422:Y422,$N$5:$Y$5)*$K422*$L422*$M422</f>
        <v/>
      </c>
      <c r="AG422" s="16">
        <f>SUMPRODUCT(N422:Y422,$N$6:$Y$6)*$K422*$L422*$M422</f>
        <v/>
      </c>
      <c r="AH422" s="20" t="n"/>
    </row>
    <row r="423">
      <c r="A423" s="9" t="n">
        <v>606160</v>
      </c>
      <c r="B423" s="9" t="inlineStr">
        <is>
          <t>Rafael Montero</t>
        </is>
      </c>
      <c r="C423" s="9" t="inlineStr">
        <is>
          <t>DET</t>
        </is>
      </c>
      <c r="D423" s="9" t="n">
        <v>36</v>
      </c>
      <c r="E423" s="18" t="inlineStr">
        <is>
          <t>R</t>
        </is>
      </c>
      <c r="F423" s="18" t="n"/>
      <c r="G423" s="9" t="n">
        <v>253</v>
      </c>
      <c r="H423" s="9" t="n">
        <v>985</v>
      </c>
      <c r="I423" s="9" t="inlineStr">
        <is>
          <t>Bullpen Depth Arm</t>
        </is>
      </c>
      <c r="J423" s="18" t="inlineStr">
        <is>
          <t>Opening Day</t>
        </is>
      </c>
      <c r="K423" s="11">
        <f>IFERROR(INDEX(Roles!$B$17:$B$20,MATCH(J423,Roles!$A$17:$A$20,0)),1)</f>
        <v/>
      </c>
      <c r="L423" s="19" t="n">
        <v>1</v>
      </c>
      <c r="M423" s="11" t="n">
        <v>1</v>
      </c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>
        <v>1</v>
      </c>
      <c r="X423" s="19" t="n"/>
      <c r="Y423" s="19" t="n"/>
      <c r="Z423" s="13">
        <f>SUMPRODUCT(N423:Y423,$N$2:$Y$2)*$K423*$L423*$M423</f>
        <v/>
      </c>
      <c r="AA423" s="14">
        <f>SUM(N423:Y423)</f>
        <v/>
      </c>
      <c r="AB423" s="13">
        <f>SUMPRODUCT(N423:Y423,$N$3:$Y$3)*$K423*$L423*$M423</f>
        <v/>
      </c>
      <c r="AC423" s="13">
        <f>SUMPRODUCT(N423:Y423,$N$4:$Y$4)*$K423*$L423*$M423</f>
        <v/>
      </c>
      <c r="AD423" s="15" t="n">
        <v>37.46666666666667</v>
      </c>
      <c r="AE423" s="11" t="n">
        <v>1.134840468173802</v>
      </c>
      <c r="AF423" s="16">
        <f>SUMPRODUCT(N423:Y423,$N$5:$Y$5)*$K423*$L423*$M423</f>
        <v/>
      </c>
      <c r="AG423" s="16">
        <f>SUMPRODUCT(N423:Y423,$N$6:$Y$6)*$K423*$L423*$M423</f>
        <v/>
      </c>
      <c r="AH423" s="20" t="n"/>
    </row>
    <row r="424">
      <c r="A424" s="9" t="n">
        <v>666208</v>
      </c>
      <c r="B424" s="9" t="inlineStr">
        <is>
          <t>Alex Speas</t>
        </is>
      </c>
      <c r="C424" s="9" t="inlineStr">
        <is>
          <t>HOU</t>
        </is>
      </c>
      <c r="D424" s="9" t="n">
        <v>29</v>
      </c>
      <c r="E424" s="18" t="inlineStr">
        <is>
          <t>R</t>
        </is>
      </c>
      <c r="F424" s="18" t="n"/>
      <c r="G424" s="9" t="n">
        <v>8</v>
      </c>
      <c r="H424" s="9" t="n">
        <v>20</v>
      </c>
      <c r="I424" s="9" t="inlineStr">
        <is>
          <t>Depth (no MLB IP)</t>
        </is>
      </c>
      <c r="J424" s="18" t="inlineStr">
        <is>
          <t>Opening Day</t>
        </is>
      </c>
      <c r="K424" s="11">
        <f>IFERROR(INDEX(Roles!$B$17:$B$20,MATCH(J424,Roles!$A$17:$A$20,0)),1)</f>
        <v/>
      </c>
      <c r="L424" s="19" t="n">
        <v>1</v>
      </c>
      <c r="M424" s="11" t="n">
        <v>1</v>
      </c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>
        <v>1</v>
      </c>
      <c r="Z424" s="13">
        <f>SUMPRODUCT(N424:Y424,$N$2:$Y$2)*$K424*$L424*$M424</f>
        <v/>
      </c>
      <c r="AA424" s="14">
        <f>SUM(N424:Y424)</f>
        <v/>
      </c>
      <c r="AB424" s="13">
        <f>SUMPRODUCT(N424:Y424,$N$3:$Y$3)*$K424*$L424*$M424</f>
        <v/>
      </c>
      <c r="AC424" s="13">
        <f>SUMPRODUCT(N424:Y424,$N$4:$Y$4)*$K424*$L424*$M424</f>
        <v/>
      </c>
      <c r="AD424" s="15" t="n">
        <v>1.8</v>
      </c>
      <c r="AE424" s="11" t="n">
        <v>1.340864197530864</v>
      </c>
      <c r="AF424" s="16">
        <f>SUMPRODUCT(N424:Y424,$N$5:$Y$5)*$K424*$L424*$M424</f>
        <v/>
      </c>
      <c r="AG424" s="16">
        <f>SUMPRODUCT(N424:Y424,$N$6:$Y$6)*$K424*$L424*$M424</f>
        <v/>
      </c>
      <c r="AH424" s="20" t="n"/>
    </row>
    <row r="425">
      <c r="A425" s="9" t="n">
        <v>681810</v>
      </c>
      <c r="B425" s="9" t="inlineStr">
        <is>
          <t>Austin Warren</t>
        </is>
      </c>
      <c r="C425" s="9" t="inlineStr">
        <is>
          <t>NYM</t>
        </is>
      </c>
      <c r="D425" s="9" t="n">
        <v>31</v>
      </c>
      <c r="E425" s="18" t="inlineStr">
        <is>
          <t>R</t>
        </is>
      </c>
      <c r="F425" s="18" t="n"/>
      <c r="G425" s="9" t="n">
        <v>216</v>
      </c>
      <c r="H425" s="9" t="n">
        <v>368</v>
      </c>
      <c r="I425" s="9" t="inlineStr">
        <is>
          <t>Middle Relief</t>
        </is>
      </c>
      <c r="J425" s="18" t="inlineStr">
        <is>
          <t>Opening Day</t>
        </is>
      </c>
      <c r="K425" s="11">
        <f>IFERROR(INDEX(Roles!$B$17:$B$20,MATCH(J425,Roles!$A$17:$A$20,0)),1)</f>
        <v/>
      </c>
      <c r="L425" s="19" t="n">
        <v>1</v>
      </c>
      <c r="M425" s="11" t="n">
        <v>1</v>
      </c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>
        <v>0.85</v>
      </c>
      <c r="W425" s="19" t="n">
        <v>0.15</v>
      </c>
      <c r="X425" s="19" t="n"/>
      <c r="Y425" s="19" t="n"/>
      <c r="Z425" s="13">
        <f>SUMPRODUCT(N425:Y425,$N$2:$Y$2)*$K425*$L425*$M425</f>
        <v/>
      </c>
      <c r="AA425" s="14">
        <f>SUM(N425:Y425)</f>
        <v/>
      </c>
      <c r="AB425" s="13">
        <f>SUMPRODUCT(N425:Y425,$N$3:$Y$3)*$K425*$L425*$M425</f>
        <v/>
      </c>
      <c r="AC425" s="13">
        <f>SUMPRODUCT(N425:Y425,$N$4:$Y$4)*$K425*$L425*$M425</f>
        <v/>
      </c>
      <c r="AD425" s="15" t="n">
        <v>28.63333333333333</v>
      </c>
      <c r="AE425" s="11" t="n">
        <v>1.121597801545998</v>
      </c>
      <c r="AF425" s="16">
        <f>SUMPRODUCT(N425:Y425,$N$5:$Y$5)*$K425*$L425*$M425</f>
        <v/>
      </c>
      <c r="AG425" s="16">
        <f>SUMPRODUCT(N425:Y425,$N$6:$Y$6)*$K425*$L425*$M425</f>
        <v/>
      </c>
      <c r="AH425" s="20" t="n"/>
    </row>
    <row r="426">
      <c r="A426" s="9" t="n">
        <v>689520</v>
      </c>
      <c r="B426" s="9" t="inlineStr">
        <is>
          <t>Cody Laweryson</t>
        </is>
      </c>
      <c r="C426" s="9" t="inlineStr">
        <is>
          <t>MIN</t>
        </is>
      </c>
      <c r="D426" s="9" t="n">
        <v>29</v>
      </c>
      <c r="E426" s="18" t="inlineStr">
        <is>
          <t>R</t>
        </is>
      </c>
      <c r="F426" s="18" t="n"/>
      <c r="G426" s="9" t="n">
        <v>78</v>
      </c>
      <c r="H426" s="9" t="n">
        <v>104</v>
      </c>
      <c r="I426" s="9" t="inlineStr">
        <is>
          <t>Bullpen Depth Arm</t>
        </is>
      </c>
      <c r="J426" s="18" t="inlineStr">
        <is>
          <t>Opening Day</t>
        </is>
      </c>
      <c r="K426" s="11">
        <f>IFERROR(INDEX(Roles!$B$17:$B$20,MATCH(J426,Roles!$A$17:$A$20,0)),1)</f>
        <v/>
      </c>
      <c r="L426" s="19" t="n">
        <v>1</v>
      </c>
      <c r="M426" s="11" t="n">
        <v>1</v>
      </c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>
        <v>1</v>
      </c>
      <c r="X426" s="19" t="n"/>
      <c r="Y426" s="19" t="n"/>
      <c r="Z426" s="13">
        <f>SUMPRODUCT(N426:Y426,$N$2:$Y$2)*$K426*$L426*$M426</f>
        <v/>
      </c>
      <c r="AA426" s="14">
        <f>SUM(N426:Y426)</f>
        <v/>
      </c>
      <c r="AB426" s="13">
        <f>SUMPRODUCT(N426:Y426,$N$3:$Y$3)*$K426*$L426*$M426</f>
        <v/>
      </c>
      <c r="AC426" s="13">
        <f>SUMPRODUCT(N426:Y426,$N$4:$Y$4)*$K426*$L426*$M426</f>
        <v/>
      </c>
      <c r="AD426" s="15" t="n">
        <v>12.26666666666667</v>
      </c>
      <c r="AE426" s="11" t="n">
        <v>1.197466730800064</v>
      </c>
      <c r="AF426" s="16">
        <f>SUMPRODUCT(N426:Y426,$N$5:$Y$5)*$K426*$L426*$M426</f>
        <v/>
      </c>
      <c r="AG426" s="16">
        <f>SUMPRODUCT(N426:Y426,$N$6:$Y$6)*$K426*$L426*$M426</f>
        <v/>
      </c>
      <c r="AH426" s="20" t="n"/>
    </row>
    <row r="427">
      <c r="A427" s="9" t="n">
        <v>690978</v>
      </c>
      <c r="B427" s="9" t="inlineStr">
        <is>
          <t>Dax Fulton</t>
        </is>
      </c>
      <c r="C427" s="9" t="inlineStr">
        <is>
          <t>MIA</t>
        </is>
      </c>
      <c r="D427" s="9" t="n">
        <v>25</v>
      </c>
      <c r="E427" s="18" t="inlineStr">
        <is>
          <t>L</t>
        </is>
      </c>
      <c r="F427" s="18" t="n"/>
      <c r="G427" s="9" t="n">
        <v>122</v>
      </c>
      <c r="H427" s="9" t="n">
        <v>122</v>
      </c>
      <c r="I427" s="9" t="inlineStr">
        <is>
          <t>Swing Arm / Long Relief</t>
        </is>
      </c>
      <c r="J427" s="18" t="inlineStr">
        <is>
          <t>Opening Day</t>
        </is>
      </c>
      <c r="K427" s="11">
        <f>IFERROR(INDEX(Roles!$B$17:$B$20,MATCH(J427,Roles!$A$17:$A$20,0)),1)</f>
        <v/>
      </c>
      <c r="L427" s="19" t="n">
        <v>1</v>
      </c>
      <c r="M427" s="11" t="n">
        <v>1</v>
      </c>
      <c r="N427" s="19" t="n"/>
      <c r="O427" s="19" t="n"/>
      <c r="P427" s="19" t="n"/>
      <c r="Q427" s="19" t="n"/>
      <c r="R427" s="19" t="n">
        <v>0.6</v>
      </c>
      <c r="S427" s="19" t="n"/>
      <c r="T427" s="19" t="n"/>
      <c r="U427" s="19" t="n"/>
      <c r="V427" s="19" t="n"/>
      <c r="W427" s="19" t="n">
        <v>0.4</v>
      </c>
      <c r="X427" s="19" t="n"/>
      <c r="Y427" s="19" t="n"/>
      <c r="Z427" s="13">
        <f>SUMPRODUCT(N427:Y427,$N$2:$Y$2)*$K427*$L427*$M427</f>
        <v/>
      </c>
      <c r="AA427" s="14">
        <f>SUM(N427:Y427)</f>
        <v/>
      </c>
      <c r="AB427" s="13">
        <f>SUMPRODUCT(N427:Y427,$N$3:$Y$3)*$K427*$L427*$M427</f>
        <v/>
      </c>
      <c r="AC427" s="13">
        <f>SUMPRODUCT(N427:Y427,$N$4:$Y$4)*$K427*$L427*$M427</f>
        <v/>
      </c>
      <c r="AD427" s="15" t="n">
        <v>17.73333333333333</v>
      </c>
      <c r="AE427" s="11" t="n">
        <v>2.265710382513661</v>
      </c>
      <c r="AF427" s="16">
        <f>SUMPRODUCT(N427:Y427,$N$5:$Y$5)*$K427*$L427*$M427</f>
        <v/>
      </c>
      <c r="AG427" s="16">
        <f>SUMPRODUCT(N427:Y427,$N$6:$Y$6)*$K427*$L427*$M427</f>
        <v/>
      </c>
      <c r="AH427" s="20" t="n"/>
    </row>
    <row r="428">
      <c r="A428" s="9" t="n">
        <v>605121</v>
      </c>
      <c r="B428" s="9" t="inlineStr">
        <is>
          <t>Justin Anderson</t>
        </is>
      </c>
      <c r="C428" s="9" t="inlineStr">
        <is>
          <t>CWS</t>
        </is>
      </c>
      <c r="D428" s="9" t="n">
        <v>34</v>
      </c>
      <c r="E428" s="18" t="inlineStr">
        <is>
          <t>R</t>
        </is>
      </c>
      <c r="F428" s="18" t="n"/>
      <c r="G428" s="9" t="n">
        <v>242</v>
      </c>
      <c r="H428" s="9" t="n">
        <v>242</v>
      </c>
      <c r="I428" s="9" t="inlineStr">
        <is>
          <t>Depth (no MLB IP)</t>
        </is>
      </c>
      <c r="J428" s="18" t="inlineStr">
        <is>
          <t>Opening Day</t>
        </is>
      </c>
      <c r="K428" s="11">
        <f>IFERROR(INDEX(Roles!$B$17:$B$20,MATCH(J428,Roles!$A$17:$A$20,0)),1)</f>
        <v/>
      </c>
      <c r="L428" s="19" t="n">
        <v>1</v>
      </c>
      <c r="M428" s="11" t="n">
        <v>1</v>
      </c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>
        <v>1</v>
      </c>
      <c r="Z428" s="13">
        <f>SUMPRODUCT(N428:Y428,$N$2:$Y$2)*$K428*$L428*$M428</f>
        <v/>
      </c>
      <c r="AA428" s="14">
        <f>SUM(N428:Y428)</f>
        <v/>
      </c>
      <c r="AB428" s="13">
        <f>SUMPRODUCT(N428:Y428,$N$3:$Y$3)*$K428*$L428*$M428</f>
        <v/>
      </c>
      <c r="AC428" s="13">
        <f>SUMPRODUCT(N428:Y428,$N$4:$Y$4)*$K428*$L428*$M428</f>
        <v/>
      </c>
      <c r="AD428" s="15" t="n">
        <v>34.8</v>
      </c>
      <c r="AE428" s="11" t="n">
        <v>0.9916578483245148</v>
      </c>
      <c r="AF428" s="16">
        <f>SUMPRODUCT(N428:Y428,$N$5:$Y$5)*$K428*$L428*$M428</f>
        <v/>
      </c>
      <c r="AG428" s="16">
        <f>SUMPRODUCT(N428:Y428,$N$6:$Y$6)*$K428*$L428*$M428</f>
        <v/>
      </c>
      <c r="AH428" s="20" t="n"/>
    </row>
    <row r="429">
      <c r="A429" s="9" t="n">
        <v>676130</v>
      </c>
      <c r="B429" s="9" t="inlineStr">
        <is>
          <t>José Buttó</t>
        </is>
      </c>
      <c r="C429" s="9" t="inlineStr">
        <is>
          <t>SF</t>
        </is>
      </c>
      <c r="D429" s="9" t="n">
        <v>29</v>
      </c>
      <c r="E429" s="18" t="inlineStr">
        <is>
          <t>R</t>
        </is>
      </c>
      <c r="F429" s="18" t="n"/>
      <c r="G429" s="9" t="n">
        <v>16</v>
      </c>
      <c r="H429" s="9" t="n">
        <v>796</v>
      </c>
      <c r="I429" s="9" t="inlineStr">
        <is>
          <t>Bullpen Depth Arm</t>
        </is>
      </c>
      <c r="J429" s="18" t="inlineStr">
        <is>
          <t>Opening Day</t>
        </is>
      </c>
      <c r="K429" s="11">
        <f>IFERROR(INDEX(Roles!$B$17:$B$20,MATCH(J429,Roles!$A$17:$A$20,0)),1)</f>
        <v/>
      </c>
      <c r="L429" s="19" t="n">
        <v>1</v>
      </c>
      <c r="M429" s="11" t="n">
        <v>1</v>
      </c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>
        <v>0.15</v>
      </c>
      <c r="W429" s="19" t="n">
        <v>0.85</v>
      </c>
      <c r="X429" s="19" t="n"/>
      <c r="Y429" s="19" t="n"/>
      <c r="Z429" s="13">
        <f>SUMPRODUCT(N429:Y429,$N$2:$Y$2)*$K429*$L429*$M429</f>
        <v/>
      </c>
      <c r="AA429" s="14">
        <f>SUM(N429:Y429)</f>
        <v/>
      </c>
      <c r="AB429" s="13">
        <f>SUMPRODUCT(N429:Y429,$N$3:$Y$3)*$K429*$L429*$M429</f>
        <v/>
      </c>
      <c r="AC429" s="13">
        <f>SUMPRODUCT(N429:Y429,$N$4:$Y$4)*$K429*$L429*$M429</f>
        <v/>
      </c>
      <c r="AD429" s="15" t="n">
        <v>20.56666666666666</v>
      </c>
      <c r="AE429" s="11" t="n">
        <v>1.280254338419886</v>
      </c>
      <c r="AF429" s="16">
        <f>SUMPRODUCT(N429:Y429,$N$5:$Y$5)*$K429*$L429*$M429</f>
        <v/>
      </c>
      <c r="AG429" s="16">
        <f>SUMPRODUCT(N429:Y429,$N$6:$Y$6)*$K429*$L429*$M429</f>
        <v/>
      </c>
      <c r="AH429" s="20" t="n"/>
    </row>
    <row r="430">
      <c r="A430" s="9" t="n">
        <v>543859</v>
      </c>
      <c r="B430" s="9" t="inlineStr">
        <is>
          <t>Michael Tonkin</t>
        </is>
      </c>
      <c r="C430" s="9" t="inlineStr">
        <is>
          <t>MIN</t>
        </is>
      </c>
      <c r="D430" s="9" t="n">
        <v>37</v>
      </c>
      <c r="E430" s="18" t="inlineStr">
        <is>
          <t>R</t>
        </is>
      </c>
      <c r="F430" s="18" t="n"/>
      <c r="G430" s="9" t="n">
        <v>103</v>
      </c>
      <c r="H430" s="9" t="n">
        <v>768</v>
      </c>
      <c r="I430" s="9" t="inlineStr">
        <is>
          <t>Bullpen Depth Arm</t>
        </is>
      </c>
      <c r="J430" s="18" t="inlineStr">
        <is>
          <t>Opening Day</t>
        </is>
      </c>
      <c r="K430" s="11">
        <f>IFERROR(INDEX(Roles!$B$17:$B$20,MATCH(J430,Roles!$A$17:$A$20,0)),1)</f>
        <v/>
      </c>
      <c r="L430" s="19" t="n">
        <v>1</v>
      </c>
      <c r="M430" s="11" t="n">
        <v>1</v>
      </c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>
        <v>1</v>
      </c>
      <c r="X430" s="19" t="n"/>
      <c r="Y430" s="19" t="n"/>
      <c r="Z430" s="13">
        <f>SUMPRODUCT(N430:Y430,$N$2:$Y$2)*$K430*$L430*$M430</f>
        <v/>
      </c>
      <c r="AA430" s="14">
        <f>SUM(N430:Y430)</f>
        <v/>
      </c>
      <c r="AB430" s="13">
        <f>SUMPRODUCT(N430:Y430,$N$3:$Y$3)*$K430*$L430*$M430</f>
        <v/>
      </c>
      <c r="AC430" s="13">
        <f>SUMPRODUCT(N430:Y430,$N$4:$Y$4)*$K430*$L430*$M430</f>
        <v/>
      </c>
      <c r="AD430" s="15" t="n">
        <v>25.46666666666667</v>
      </c>
      <c r="AE430" s="11" t="n">
        <v>1.230238896905564</v>
      </c>
      <c r="AF430" s="16">
        <f>SUMPRODUCT(N430:Y430,$N$5:$Y$5)*$K430*$L430*$M430</f>
        <v/>
      </c>
      <c r="AG430" s="16">
        <f>SUMPRODUCT(N430:Y430,$N$6:$Y$6)*$K430*$L430*$M430</f>
        <v/>
      </c>
      <c r="AH430" s="20" t="n"/>
    </row>
    <row r="431">
      <c r="A431" s="9" t="n">
        <v>657571</v>
      </c>
      <c r="B431" s="9" t="inlineStr">
        <is>
          <t>Caleb Ferguson</t>
        </is>
      </c>
      <c r="C431" s="9" t="inlineStr">
        <is>
          <t>STL</t>
        </is>
      </c>
      <c r="D431" s="9" t="n">
        <v>30</v>
      </c>
      <c r="E431" s="18" t="inlineStr">
        <is>
          <t>L</t>
        </is>
      </c>
      <c r="F431" s="18" t="n"/>
      <c r="G431" s="9" t="n">
        <v>150</v>
      </c>
      <c r="H431" s="9" t="n">
        <v>1081</v>
      </c>
      <c r="I431" s="9" t="inlineStr">
        <is>
          <t>Late Inning RP (Setup)</t>
        </is>
      </c>
      <c r="J431" s="18" t="inlineStr">
        <is>
          <t>Opening Day</t>
        </is>
      </c>
      <c r="K431" s="11">
        <f>IFERROR(INDEX(Roles!$B$17:$B$20,MATCH(J431,Roles!$A$17:$A$20,0)),1)</f>
        <v/>
      </c>
      <c r="L431" s="19" t="n">
        <v>1</v>
      </c>
      <c r="M431" s="11" t="n">
        <v>1</v>
      </c>
      <c r="N431" s="19" t="n"/>
      <c r="O431" s="19" t="n"/>
      <c r="P431" s="19" t="n"/>
      <c r="Q431" s="19" t="n"/>
      <c r="R431" s="19" t="n"/>
      <c r="S431" s="19" t="n"/>
      <c r="T431" s="19" t="n"/>
      <c r="U431" s="19" t="n">
        <v>1</v>
      </c>
      <c r="V431" s="19" t="n"/>
      <c r="W431" s="19" t="n"/>
      <c r="X431" s="19" t="n"/>
      <c r="Y431" s="19" t="n"/>
      <c r="Z431" s="13">
        <f>SUMPRODUCT(N431:Y431,$N$2:$Y$2)*$K431*$L431*$M431</f>
        <v/>
      </c>
      <c r="AA431" s="14">
        <f>SUM(N431:Y431)</f>
        <v/>
      </c>
      <c r="AB431" s="13">
        <f>SUMPRODUCT(N431:Y431,$N$3:$Y$3)*$K431*$L431*$M431</f>
        <v/>
      </c>
      <c r="AC431" s="13">
        <f>SUMPRODUCT(N431:Y431,$N$4:$Y$4)*$K431*$L431*$M431</f>
        <v/>
      </c>
      <c r="AD431" s="15" t="n">
        <v>49.9</v>
      </c>
      <c r="AE431" s="11" t="n">
        <v>0.9680826999638074</v>
      </c>
      <c r="AF431" s="16">
        <f>SUMPRODUCT(N431:Y431,$N$5:$Y$5)*$K431*$L431*$M431</f>
        <v/>
      </c>
      <c r="AG431" s="16">
        <f>SUMPRODUCT(N431:Y431,$N$6:$Y$6)*$K431*$L431*$M431</f>
        <v/>
      </c>
      <c r="AH431" s="20" t="n"/>
    </row>
    <row r="432">
      <c r="A432" s="9" t="n">
        <v>694477</v>
      </c>
      <c r="B432" s="9" t="inlineStr">
        <is>
          <t>Chad Patrick</t>
        </is>
      </c>
      <c r="C432" s="9" t="inlineStr">
        <is>
          <t>MIL</t>
        </is>
      </c>
      <c r="D432" s="9" t="n">
        <v>28</v>
      </c>
      <c r="E432" s="18" t="inlineStr">
        <is>
          <t>R</t>
        </is>
      </c>
      <c r="F432" s="18" t="n"/>
      <c r="G432" s="9" t="n">
        <v>441</v>
      </c>
      <c r="H432" s="9" t="n">
        <v>944</v>
      </c>
      <c r="I432" s="9" t="inlineStr">
        <is>
          <t>Late Inning RP (Setup)</t>
        </is>
      </c>
      <c r="J432" s="18" t="inlineStr">
        <is>
          <t>Opening Day</t>
        </is>
      </c>
      <c r="K432" s="11">
        <f>IFERROR(INDEX(Roles!$B$17:$B$20,MATCH(J432,Roles!$A$17:$A$20,0)),1)</f>
        <v/>
      </c>
      <c r="L432" s="19" t="n">
        <v>1</v>
      </c>
      <c r="M432" s="11" t="n">
        <v>1</v>
      </c>
      <c r="N432" s="19" t="n"/>
      <c r="O432" s="19" t="n"/>
      <c r="P432" s="19" t="n"/>
      <c r="Q432" s="19" t="n"/>
      <c r="R432" s="19" t="n"/>
      <c r="S432" s="19" t="n"/>
      <c r="T432" s="19" t="n"/>
      <c r="U432" s="19" t="n">
        <v>0.6</v>
      </c>
      <c r="V432" s="19" t="n">
        <v>0.4</v>
      </c>
      <c r="W432" s="19" t="n"/>
      <c r="X432" s="19" t="n"/>
      <c r="Y432" s="19" t="n"/>
      <c r="Z432" s="13">
        <f>SUMPRODUCT(N432:Y432,$N$2:$Y$2)*$K432*$L432*$M432</f>
        <v/>
      </c>
      <c r="AA432" s="14">
        <f>SUM(N432:Y432)</f>
        <v/>
      </c>
      <c r="AB432" s="13">
        <f>SUMPRODUCT(N432:Y432,$N$3:$Y$3)*$K432*$L432*$M432</f>
        <v/>
      </c>
      <c r="AC432" s="13">
        <f>SUMPRODUCT(N432:Y432,$N$4:$Y$4)*$K432*$L432*$M432</f>
        <v/>
      </c>
      <c r="AD432" s="15" t="n">
        <v>46.2</v>
      </c>
      <c r="AE432" s="11" t="n">
        <v>1.485401234567901</v>
      </c>
      <c r="AF432" s="16">
        <f>SUMPRODUCT(N432:Y432,$N$5:$Y$5)*$K432*$L432*$M432</f>
        <v/>
      </c>
      <c r="AG432" s="16">
        <f>SUMPRODUCT(N432:Y432,$N$6:$Y$6)*$K432*$L432*$M432</f>
        <v/>
      </c>
      <c r="AH432" s="20" t="n"/>
    </row>
    <row r="433">
      <c r="A433" s="9" t="n">
        <v>606303</v>
      </c>
      <c r="B433" s="9" t="inlineStr">
        <is>
          <t>Joel Payamps</t>
        </is>
      </c>
      <c r="C433" s="9" t="inlineStr">
        <is>
          <t>ATL</t>
        </is>
      </c>
      <c r="D433" s="9" t="n">
        <v>33</v>
      </c>
      <c r="E433" s="18" t="inlineStr">
        <is>
          <t>R</t>
        </is>
      </c>
      <c r="F433" s="18" t="n"/>
      <c r="G433" s="9" t="n">
        <v>36</v>
      </c>
      <c r="H433" s="9" t="n">
        <v>916</v>
      </c>
      <c r="I433" s="9" t="inlineStr">
        <is>
          <t>Bullpen Depth Arm</t>
        </is>
      </c>
      <c r="J433" s="18" t="inlineStr">
        <is>
          <t>Opening Day</t>
        </is>
      </c>
      <c r="K433" s="11">
        <f>IFERROR(INDEX(Roles!$B$17:$B$20,MATCH(J433,Roles!$A$17:$A$20,0)),1)</f>
        <v/>
      </c>
      <c r="L433" s="19" t="n">
        <v>1</v>
      </c>
      <c r="M433" s="11" t="n">
        <v>1</v>
      </c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>
        <v>1</v>
      </c>
      <c r="X433" s="19" t="n"/>
      <c r="Y433" s="19" t="n"/>
      <c r="Z433" s="13">
        <f>SUMPRODUCT(N433:Y433,$N$2:$Y$2)*$K433*$L433*$M433</f>
        <v/>
      </c>
      <c r="AA433" s="14">
        <f>SUM(N433:Y433)</f>
        <v/>
      </c>
      <c r="AB433" s="13">
        <f>SUMPRODUCT(N433:Y433,$N$3:$Y$3)*$K433*$L433*$M433</f>
        <v/>
      </c>
      <c r="AC433" s="13">
        <f>SUMPRODUCT(N433:Y433,$N$4:$Y$4)*$K433*$L433*$M433</f>
        <v/>
      </c>
      <c r="AD433" s="15" t="n">
        <v>22.06666666666666</v>
      </c>
      <c r="AE433" s="11" t="n">
        <v>1.075219871967839</v>
      </c>
      <c r="AF433" s="16">
        <f>SUMPRODUCT(N433:Y433,$N$5:$Y$5)*$K433*$L433*$M433</f>
        <v/>
      </c>
      <c r="AG433" s="16">
        <f>SUMPRODUCT(N433:Y433,$N$6:$Y$6)*$K433*$L433*$M433</f>
        <v/>
      </c>
      <c r="AH433" s="20" t="n"/>
    </row>
    <row r="434">
      <c r="A434" s="9" t="n">
        <v>672021</v>
      </c>
      <c r="B434" s="9" t="inlineStr">
        <is>
          <t>Eric Cerantola</t>
        </is>
      </c>
      <c r="C434" s="9" t="inlineStr">
        <is>
          <t>KC</t>
        </is>
      </c>
      <c r="D434" s="9" t="n">
        <v>27</v>
      </c>
      <c r="E434" s="18" t="inlineStr">
        <is>
          <t>R</t>
        </is>
      </c>
      <c r="F434" s="18" t="n"/>
      <c r="G434" s="9" t="n">
        <v>27</v>
      </c>
      <c r="H434" s="9" t="n">
        <v>27</v>
      </c>
      <c r="I434" s="9" t="inlineStr">
        <is>
          <t>Bullpen Depth Arm</t>
        </is>
      </c>
      <c r="J434" s="18" t="inlineStr">
        <is>
          <t>Opening Day</t>
        </is>
      </c>
      <c r="K434" s="11">
        <f>IFERROR(INDEX(Roles!$B$17:$B$20,MATCH(J434,Roles!$A$17:$A$20,0)),1)</f>
        <v/>
      </c>
      <c r="L434" s="19" t="n">
        <v>1</v>
      </c>
      <c r="M434" s="11" t="n">
        <v>1</v>
      </c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>
        <v>1</v>
      </c>
      <c r="X434" s="19" t="n"/>
      <c r="Y434" s="19" t="n"/>
      <c r="Z434" s="13">
        <f>SUMPRODUCT(N434:Y434,$N$2:$Y$2)*$K434*$L434*$M434</f>
        <v/>
      </c>
      <c r="AA434" s="14">
        <f>SUM(N434:Y434)</f>
        <v/>
      </c>
      <c r="AB434" s="13">
        <f>SUMPRODUCT(N434:Y434,$N$3:$Y$3)*$K434*$L434*$M434</f>
        <v/>
      </c>
      <c r="AC434" s="13">
        <f>SUMPRODUCT(N434:Y434,$N$4:$Y$4)*$K434*$L434*$M434</f>
        <v/>
      </c>
      <c r="AD434" s="15" t="n">
        <v>8.066666666666666</v>
      </c>
      <c r="AE434" s="11" t="n">
        <v>1.245951579284912</v>
      </c>
      <c r="AF434" s="16">
        <f>SUMPRODUCT(N434:Y434,$N$5:$Y$5)*$K434*$L434*$M434</f>
        <v/>
      </c>
      <c r="AG434" s="16">
        <f>SUMPRODUCT(N434:Y434,$N$6:$Y$6)*$K434*$L434*$M434</f>
        <v/>
      </c>
      <c r="AH434" s="20" t="n"/>
    </row>
    <row r="435">
      <c r="A435" s="9" t="n">
        <v>608032</v>
      </c>
      <c r="B435" s="9" t="inlineStr">
        <is>
          <t>Carlos Estévez</t>
        </is>
      </c>
      <c r="C435" s="9" t="inlineStr">
        <is>
          <t>KC</t>
        </is>
      </c>
      <c r="D435" s="9" t="n">
        <v>34</v>
      </c>
      <c r="E435" s="18" t="inlineStr">
        <is>
          <t>R</t>
        </is>
      </c>
      <c r="F435" s="18" t="n"/>
      <c r="G435" s="9" t="n">
        <v>7</v>
      </c>
      <c r="H435" s="9" t="n">
        <v>1004</v>
      </c>
      <c r="I435" s="9" t="inlineStr">
        <is>
          <t>Bullpen Depth Arm</t>
        </is>
      </c>
      <c r="J435" s="18" t="inlineStr">
        <is>
          <t>Opening Day</t>
        </is>
      </c>
      <c r="K435" s="11">
        <f>IFERROR(INDEX(Roles!$B$17:$B$20,MATCH(J435,Roles!$A$17:$A$20,0)),1)</f>
        <v/>
      </c>
      <c r="L435" s="19" t="n">
        <v>1</v>
      </c>
      <c r="M435" s="11" t="n">
        <v>1</v>
      </c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>
        <v>0.15</v>
      </c>
      <c r="W435" s="19" t="n">
        <v>0.85</v>
      </c>
      <c r="X435" s="19" t="n"/>
      <c r="Y435" s="19" t="n"/>
      <c r="Z435" s="13">
        <f>SUMPRODUCT(N435:Y435,$N$2:$Y$2)*$K435*$L435*$M435</f>
        <v/>
      </c>
      <c r="AA435" s="14">
        <f>SUM(N435:Y435)</f>
        <v/>
      </c>
      <c r="AB435" s="13">
        <f>SUMPRODUCT(N435:Y435,$N$3:$Y$3)*$K435*$L435*$M435</f>
        <v/>
      </c>
      <c r="AC435" s="13">
        <f>SUMPRODUCT(N435:Y435,$N$4:$Y$4)*$K435*$L435*$M435</f>
        <v/>
      </c>
      <c r="AD435" s="15" t="n">
        <v>24.76666666666667</v>
      </c>
      <c r="AE435" s="11" t="n">
        <v>1.129604866079561</v>
      </c>
      <c r="AF435" s="16">
        <f>SUMPRODUCT(N435:Y435,$N$5:$Y$5)*$K435*$L435*$M435</f>
        <v/>
      </c>
      <c r="AG435" s="16">
        <f>SUMPRODUCT(N435:Y435,$N$6:$Y$6)*$K435*$L435*$M435</f>
        <v/>
      </c>
      <c r="AH435" s="20" t="n"/>
    </row>
    <row r="436">
      <c r="A436" s="9" t="n">
        <v>690953</v>
      </c>
      <c r="B436" s="9" t="inlineStr">
        <is>
          <t>Mick Abel</t>
        </is>
      </c>
      <c r="C436" s="9" t="inlineStr">
        <is>
          <t>MIN</t>
        </is>
      </c>
      <c r="D436" s="9" t="n">
        <v>25</v>
      </c>
      <c r="E436" s="18" t="inlineStr">
        <is>
          <t>R</t>
        </is>
      </c>
      <c r="F436" s="18" t="n"/>
      <c r="G436" s="9" t="n">
        <v>93</v>
      </c>
      <c r="H436" s="9" t="n">
        <v>267</v>
      </c>
      <c r="I436" s="9" t="inlineStr">
        <is>
          <t>Swing Arm / Long Relief</t>
        </is>
      </c>
      <c r="J436" s="18" t="inlineStr">
        <is>
          <t>Opening Day</t>
        </is>
      </c>
      <c r="K436" s="11">
        <f>IFERROR(INDEX(Roles!$B$17:$B$20,MATCH(J436,Roles!$A$17:$A$20,0)),1)</f>
        <v/>
      </c>
      <c r="L436" s="19" t="n">
        <v>1</v>
      </c>
      <c r="M436" s="11" t="n">
        <v>1</v>
      </c>
      <c r="N436" s="19" t="n"/>
      <c r="O436" s="19" t="n"/>
      <c r="P436" s="19" t="n"/>
      <c r="Q436" s="19" t="n"/>
      <c r="R436" s="19" t="n">
        <v>0.5</v>
      </c>
      <c r="S436" s="19" t="n"/>
      <c r="T436" s="19" t="n"/>
      <c r="U436" s="19" t="n"/>
      <c r="V436" s="19" t="n">
        <v>0.5</v>
      </c>
      <c r="W436" s="19" t="n"/>
      <c r="X436" s="19" t="n"/>
      <c r="Y436" s="19" t="n"/>
      <c r="Z436" s="13">
        <f>SUMPRODUCT(N436:Y436,$N$2:$Y$2)*$K436*$L436*$M436</f>
        <v/>
      </c>
      <c r="AA436" s="14">
        <f>SUM(N436:Y436)</f>
        <v/>
      </c>
      <c r="AB436" s="13">
        <f>SUMPRODUCT(N436:Y436,$N$3:$Y$3)*$K436*$L436*$M436</f>
        <v/>
      </c>
      <c r="AC436" s="13">
        <f>SUMPRODUCT(N436:Y436,$N$4:$Y$4)*$K436*$L436*$M436</f>
        <v/>
      </c>
      <c r="AD436" s="15" t="n">
        <v>11.97333333333333</v>
      </c>
      <c r="AE436" s="11" t="n">
        <v>3.116404826958106</v>
      </c>
      <c r="AF436" s="16">
        <f>SUMPRODUCT(N436:Y436,$N$5:$Y$5)*$K436*$L436*$M436</f>
        <v/>
      </c>
      <c r="AG436" s="16">
        <f>SUMPRODUCT(N436:Y436,$N$6:$Y$6)*$K436*$L436*$M436</f>
        <v/>
      </c>
      <c r="AH436" s="20" t="n"/>
    </row>
    <row r="437">
      <c r="A437" s="9" t="n">
        <v>656266</v>
      </c>
      <c r="B437" s="9" t="inlineStr">
        <is>
          <t>J.B. Bukauskas</t>
        </is>
      </c>
      <c r="C437" s="9" t="inlineStr">
        <is>
          <t>MIL</t>
        </is>
      </c>
      <c r="D437" s="9" t="n">
        <v>30</v>
      </c>
      <c r="E437" s="18" t="inlineStr">
        <is>
          <t>R</t>
        </is>
      </c>
      <c r="F437" s="18" t="n"/>
      <c r="G437" s="9" t="n">
        <v>22</v>
      </c>
      <c r="H437" s="9" t="n">
        <v>52</v>
      </c>
      <c r="I437" s="9" t="inlineStr">
        <is>
          <t>Depth (no MLB IP)</t>
        </is>
      </c>
      <c r="J437" s="18" t="inlineStr">
        <is>
          <t>Opening Day</t>
        </is>
      </c>
      <c r="K437" s="11">
        <f>IFERROR(INDEX(Roles!$B$17:$B$20,MATCH(J437,Roles!$A$17:$A$20,0)),1)</f>
        <v/>
      </c>
      <c r="L437" s="19" t="n">
        <v>1</v>
      </c>
      <c r="M437" s="11" t="n">
        <v>1</v>
      </c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>
        <v>1</v>
      </c>
      <c r="Z437" s="13">
        <f>SUMPRODUCT(N437:Y437,$N$2:$Y$2)*$K437*$L437*$M437</f>
        <v/>
      </c>
      <c r="AA437" s="14">
        <f>SUM(N437:Y437)</f>
        <v/>
      </c>
      <c r="AB437" s="13">
        <f>SUMPRODUCT(N437:Y437,$N$3:$Y$3)*$K437*$L437*$M437</f>
        <v/>
      </c>
      <c r="AC437" s="13">
        <f>SUMPRODUCT(N437:Y437,$N$4:$Y$4)*$K437*$L437*$M437</f>
        <v/>
      </c>
      <c r="AD437" s="15" t="n">
        <v>4.8</v>
      </c>
      <c r="AE437" s="11" t="n">
        <v>1.007530864197531</v>
      </c>
      <c r="AF437" s="16">
        <f>SUMPRODUCT(N437:Y437,$N$5:$Y$5)*$K437*$L437*$M437</f>
        <v/>
      </c>
      <c r="AG437" s="16">
        <f>SUMPRODUCT(N437:Y437,$N$6:$Y$6)*$K437*$L437*$M437</f>
        <v/>
      </c>
      <c r="AH437" s="20" t="n"/>
    </row>
    <row r="438">
      <c r="A438" s="9" t="n">
        <v>542882</v>
      </c>
      <c r="B438" s="9" t="inlineStr">
        <is>
          <t>Matt Andriese</t>
        </is>
      </c>
      <c r="C438" s="9" t="inlineStr">
        <is>
          <t>MIA</t>
        </is>
      </c>
      <c r="D438" s="9" t="n">
        <v>37</v>
      </c>
      <c r="E438" s="18" t="inlineStr">
        <is>
          <t>R</t>
        </is>
      </c>
      <c r="F438" s="18" t="n"/>
      <c r="G438" s="9" t="n">
        <v>26</v>
      </c>
      <c r="H438" s="9" t="n">
        <v>26</v>
      </c>
      <c r="I438" s="9" t="inlineStr">
        <is>
          <t>Depth (no MLB IP)</t>
        </is>
      </c>
      <c r="J438" s="18" t="inlineStr">
        <is>
          <t>Opening Day</t>
        </is>
      </c>
      <c r="K438" s="11">
        <f>IFERROR(INDEX(Roles!$B$17:$B$20,MATCH(J438,Roles!$A$17:$A$20,0)),1)</f>
        <v/>
      </c>
      <c r="L438" s="19" t="n">
        <v>1</v>
      </c>
      <c r="M438" s="11" t="n">
        <v>1</v>
      </c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>
        <v>1</v>
      </c>
      <c r="Z438" s="13">
        <f>SUMPRODUCT(N438:Y438,$N$2:$Y$2)*$K438*$L438*$M438</f>
        <v/>
      </c>
      <c r="AA438" s="14">
        <f>SUM(N438:Y438)</f>
        <v/>
      </c>
      <c r="AB438" s="13">
        <f>SUMPRODUCT(N438:Y438,$N$3:$Y$3)*$K438*$L438*$M438</f>
        <v/>
      </c>
      <c r="AC438" s="13">
        <f>SUMPRODUCT(N438:Y438,$N$4:$Y$4)*$K438*$L438*$M438</f>
        <v/>
      </c>
      <c r="AD438" s="15" t="n">
        <v>3.6</v>
      </c>
      <c r="AE438" s="11" t="n">
        <v>1.174197530864197</v>
      </c>
      <c r="AF438" s="16">
        <f>SUMPRODUCT(N438:Y438,$N$5:$Y$5)*$K438*$L438*$M438</f>
        <v/>
      </c>
      <c r="AG438" s="16">
        <f>SUMPRODUCT(N438:Y438,$N$6:$Y$6)*$K438*$L438*$M438</f>
        <v/>
      </c>
      <c r="AH438" s="20" t="n"/>
    </row>
    <row r="439">
      <c r="A439" s="9" t="n">
        <v>678316</v>
      </c>
      <c r="B439" s="9" t="inlineStr">
        <is>
          <t>Omar Cruz</t>
        </is>
      </c>
      <c r="C439" s="9" t="inlineStr">
        <is>
          <t>SD</t>
        </is>
      </c>
      <c r="D439" s="9" t="n">
        <v>28</v>
      </c>
      <c r="E439" s="18" t="inlineStr">
        <is>
          <t>L</t>
        </is>
      </c>
      <c r="F439" s="18" t="n"/>
      <c r="G439" s="9" t="n">
        <v>18</v>
      </c>
      <c r="H439" s="9" t="n">
        <v>18</v>
      </c>
      <c r="I439" s="9" t="inlineStr">
        <is>
          <t>Depth (no MLB IP)</t>
        </is>
      </c>
      <c r="J439" s="18" t="inlineStr">
        <is>
          <t>Opening Day</t>
        </is>
      </c>
      <c r="K439" s="11">
        <f>IFERROR(INDEX(Roles!$B$17:$B$20,MATCH(J439,Roles!$A$17:$A$20,0)),1)</f>
        <v/>
      </c>
      <c r="L439" s="19" t="n">
        <v>1</v>
      </c>
      <c r="M439" s="11" t="n">
        <v>1</v>
      </c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>
        <v>1</v>
      </c>
      <c r="Z439" s="13">
        <f>SUMPRODUCT(N439:Y439,$N$2:$Y$2)*$K439*$L439*$M439</f>
        <v/>
      </c>
      <c r="AA439" s="14">
        <f>SUM(N439:Y439)</f>
        <v/>
      </c>
      <c r="AB439" s="13">
        <f>SUMPRODUCT(N439:Y439,$N$3:$Y$3)*$K439*$L439*$M439</f>
        <v/>
      </c>
      <c r="AC439" s="13">
        <f>SUMPRODUCT(N439:Y439,$N$4:$Y$4)*$K439*$L439*$M439</f>
        <v/>
      </c>
      <c r="AD439" s="15" t="n">
        <v>2.4</v>
      </c>
      <c r="AE439" s="11" t="n">
        <v>1.285308641975309</v>
      </c>
      <c r="AF439" s="16">
        <f>SUMPRODUCT(N439:Y439,$N$5:$Y$5)*$K439*$L439*$M439</f>
        <v/>
      </c>
      <c r="AG439" s="16">
        <f>SUMPRODUCT(N439:Y439,$N$6:$Y$6)*$K439*$L439*$M439</f>
        <v/>
      </c>
      <c r="AH439" s="20" t="n"/>
    </row>
    <row r="440">
      <c r="A440" s="9" t="n">
        <v>689981</v>
      </c>
      <c r="B440" s="9" t="inlineStr">
        <is>
          <t>River Ryan</t>
        </is>
      </c>
      <c r="C440" s="9" t="inlineStr">
        <is>
          <t>LAD</t>
        </is>
      </c>
      <c r="D440" s="9" t="n">
        <v>28</v>
      </c>
      <c r="E440" s="18" t="inlineStr">
        <is>
          <t>R</t>
        </is>
      </c>
      <c r="F440" s="18" t="n"/>
      <c r="G440" s="9" t="n">
        <v>21</v>
      </c>
      <c r="H440" s="9" t="n">
        <v>102</v>
      </c>
      <c r="I440" s="9" t="inlineStr">
        <is>
          <t>Swing Arm / Long Relief</t>
        </is>
      </c>
      <c r="J440" s="18" t="inlineStr">
        <is>
          <t>Opening Day</t>
        </is>
      </c>
      <c r="K440" s="11">
        <f>IFERROR(INDEX(Roles!$B$17:$B$20,MATCH(J440,Roles!$A$17:$A$20,0)),1)</f>
        <v/>
      </c>
      <c r="L440" s="19" t="n">
        <v>1</v>
      </c>
      <c r="M440" s="11" t="n">
        <v>1</v>
      </c>
      <c r="N440" s="19" t="n"/>
      <c r="O440" s="19" t="n"/>
      <c r="P440" s="19" t="n"/>
      <c r="Q440" s="19" t="n"/>
      <c r="R440" s="19" t="n">
        <v>0.5</v>
      </c>
      <c r="S440" s="19" t="n"/>
      <c r="T440" s="19" t="n"/>
      <c r="U440" s="19" t="n"/>
      <c r="V440" s="19" t="n">
        <v>0.5</v>
      </c>
      <c r="W440" s="19" t="n"/>
      <c r="X440" s="19" t="n"/>
      <c r="Y440" s="19" t="n"/>
      <c r="Z440" s="13">
        <f>SUMPRODUCT(N440:Y440,$N$2:$Y$2)*$K440*$L440*$M440</f>
        <v/>
      </c>
      <c r="AA440" s="14">
        <f>SUM(N440:Y440)</f>
        <v/>
      </c>
      <c r="AB440" s="13">
        <f>SUMPRODUCT(N440:Y440,$N$3:$Y$3)*$K440*$L440*$M440</f>
        <v/>
      </c>
      <c r="AC440" s="13">
        <f>SUMPRODUCT(N440:Y440,$N$4:$Y$4)*$K440*$L440*$M440</f>
        <v/>
      </c>
      <c r="AD440" s="15" t="n">
        <v>9.633333333333333</v>
      </c>
      <c r="AE440" s="11" t="n">
        <v>2.77959927140255</v>
      </c>
      <c r="AF440" s="16">
        <f>SUMPRODUCT(N440:Y440,$N$5:$Y$5)*$K440*$L440*$M440</f>
        <v/>
      </c>
      <c r="AG440" s="16">
        <f>SUMPRODUCT(N440:Y440,$N$6:$Y$6)*$K440*$L440*$M440</f>
        <v/>
      </c>
      <c r="AH440" s="20" t="n"/>
    </row>
    <row r="441">
      <c r="A441" s="9" t="n">
        <v>701519</v>
      </c>
      <c r="B441" s="9" t="inlineStr">
        <is>
          <t>Travis Adams</t>
        </is>
      </c>
      <c r="C441" s="9" t="inlineStr">
        <is>
          <t>MIN</t>
        </is>
      </c>
      <c r="D441" s="9" t="n">
        <v>27</v>
      </c>
      <c r="E441" s="18" t="inlineStr">
        <is>
          <t>R</t>
        </is>
      </c>
      <c r="F441" s="18" t="n"/>
      <c r="G441" s="9" t="n">
        <v>247</v>
      </c>
      <c r="H441" s="9" t="n">
        <v>405</v>
      </c>
      <c r="I441" s="9" t="inlineStr">
        <is>
          <t>Swing Arm / Long Relief</t>
        </is>
      </c>
      <c r="J441" s="18" t="inlineStr">
        <is>
          <t>Opening Day</t>
        </is>
      </c>
      <c r="K441" s="11">
        <f>IFERROR(INDEX(Roles!$B$17:$B$20,MATCH(J441,Roles!$A$17:$A$20,0)),1)</f>
        <v/>
      </c>
      <c r="L441" s="19" t="n">
        <v>1</v>
      </c>
      <c r="M441" s="11" t="n">
        <v>1</v>
      </c>
      <c r="N441" s="19" t="n"/>
      <c r="O441" s="19" t="n"/>
      <c r="P441" s="19" t="n"/>
      <c r="Q441" s="19" t="n"/>
      <c r="R441" s="19" t="n">
        <v>0.6</v>
      </c>
      <c r="S441" s="19" t="n"/>
      <c r="T441" s="19" t="n"/>
      <c r="U441" s="19" t="n"/>
      <c r="V441" s="19" t="n">
        <v>0.4</v>
      </c>
      <c r="W441" s="19" t="n"/>
      <c r="X441" s="19" t="n"/>
      <c r="Y441" s="19" t="n"/>
      <c r="Z441" s="13">
        <f>SUMPRODUCT(N441:Y441,$N$2:$Y$2)*$K441*$L441*$M441</f>
        <v/>
      </c>
      <c r="AA441" s="14">
        <f>SUM(N441:Y441)</f>
        <v/>
      </c>
      <c r="AB441" s="13">
        <f>SUMPRODUCT(N441:Y441,$N$3:$Y$3)*$K441*$L441*$M441</f>
        <v/>
      </c>
      <c r="AC441" s="13">
        <f>SUMPRODUCT(N441:Y441,$N$4:$Y$4)*$K441*$L441*$M441</f>
        <v/>
      </c>
      <c r="AD441" s="15" t="n">
        <v>26.85333333333333</v>
      </c>
      <c r="AE441" s="11" t="n">
        <v>2.190567932371211</v>
      </c>
      <c r="AF441" s="16">
        <f>SUMPRODUCT(N441:Y441,$N$5:$Y$5)*$K441*$L441*$M441</f>
        <v/>
      </c>
      <c r="AG441" s="16">
        <f>SUMPRODUCT(N441:Y441,$N$6:$Y$6)*$K441*$L441*$M441</f>
        <v/>
      </c>
      <c r="AH441" s="20" t="n"/>
    </row>
    <row r="442">
      <c r="A442" s="9" t="n">
        <v>664074</v>
      </c>
      <c r="B442" s="9" t="inlineStr">
        <is>
          <t>Cody Ponce</t>
        </is>
      </c>
      <c r="C442" s="9" t="inlineStr">
        <is>
          <t>TOR</t>
        </is>
      </c>
      <c r="D442" s="9" t="n">
        <v>33</v>
      </c>
      <c r="E442" s="18" t="inlineStr">
        <is>
          <t>R</t>
        </is>
      </c>
      <c r="F442" s="18" t="n"/>
      <c r="G442" s="9" t="n">
        <v>10</v>
      </c>
      <c r="H442" s="9" t="n">
        <v>10</v>
      </c>
      <c r="I442" s="9" t="inlineStr">
        <is>
          <t>Swing Arm / Long Relief</t>
        </is>
      </c>
      <c r="J442" s="18" t="inlineStr">
        <is>
          <t>Opening Day</t>
        </is>
      </c>
      <c r="K442" s="11">
        <f>IFERROR(INDEX(Roles!$B$17:$B$20,MATCH(J442,Roles!$A$17:$A$20,0)),1)</f>
        <v/>
      </c>
      <c r="L442" s="19" t="n">
        <v>1</v>
      </c>
      <c r="M442" s="11" t="n">
        <v>1</v>
      </c>
      <c r="N442" s="19" t="n"/>
      <c r="O442" s="19" t="n"/>
      <c r="P442" s="19" t="n"/>
      <c r="Q442" s="19" t="n"/>
      <c r="R442" s="19" t="n">
        <v>0.5</v>
      </c>
      <c r="S442" s="19" t="n"/>
      <c r="T442" s="19" t="n"/>
      <c r="U442" s="19" t="n"/>
      <c r="V442" s="19" t="n">
        <v>0.5</v>
      </c>
      <c r="W442" s="19" t="n"/>
      <c r="X442" s="19" t="n"/>
      <c r="Y442" s="19" t="n"/>
      <c r="Z442" s="13">
        <f>SUMPRODUCT(N442:Y442,$N$2:$Y$2)*$K442*$L442*$M442</f>
        <v/>
      </c>
      <c r="AA442" s="14">
        <f>SUM(N442:Y442)</f>
        <v/>
      </c>
      <c r="AB442" s="13">
        <f>SUMPRODUCT(N442:Y442,$N$3:$Y$3)*$K442*$L442*$M442</f>
        <v/>
      </c>
      <c r="AC442" s="13">
        <f>SUMPRODUCT(N442:Y442,$N$4:$Y$4)*$K442*$L442*$M442</f>
        <v/>
      </c>
      <c r="AD442" s="15" t="n">
        <v>8.733333333333333</v>
      </c>
      <c r="AE442" s="11" t="n">
        <v>2.446265938069217</v>
      </c>
      <c r="AF442" s="16">
        <f>SUMPRODUCT(N442:Y442,$N$5:$Y$5)*$K442*$L442*$M442</f>
        <v/>
      </c>
      <c r="AG442" s="16">
        <f>SUMPRODUCT(N442:Y442,$N$6:$Y$6)*$K442*$L442*$M442</f>
        <v/>
      </c>
      <c r="AH442" s="20" t="n"/>
    </row>
    <row r="443">
      <c r="A443" s="9" t="n">
        <v>663671</v>
      </c>
      <c r="B443" s="9" t="inlineStr">
        <is>
          <t>Nic Enright</t>
        </is>
      </c>
      <c r="C443" s="9" t="inlineStr">
        <is>
          <t>CLE</t>
        </is>
      </c>
      <c r="D443" s="9" t="n">
        <v>30</v>
      </c>
      <c r="E443" s="18" t="inlineStr">
        <is>
          <t>R</t>
        </is>
      </c>
      <c r="F443" s="18" t="n"/>
      <c r="G443" s="9" t="n">
        <v>127</v>
      </c>
      <c r="H443" s="9" t="n">
        <v>127</v>
      </c>
      <c r="I443" s="9" t="inlineStr">
        <is>
          <t>Bullpen Depth Arm</t>
        </is>
      </c>
      <c r="J443" s="18" t="inlineStr">
        <is>
          <t>Opening Day</t>
        </is>
      </c>
      <c r="K443" s="11">
        <f>IFERROR(INDEX(Roles!$B$17:$B$20,MATCH(J443,Roles!$A$17:$A$20,0)),1)</f>
        <v/>
      </c>
      <c r="L443" s="19" t="n">
        <v>1</v>
      </c>
      <c r="M443" s="11" t="n">
        <v>1</v>
      </c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>
        <v>1</v>
      </c>
      <c r="X443" s="19" t="n"/>
      <c r="Y443" s="19" t="n"/>
      <c r="Z443" s="13">
        <f>SUMPRODUCT(N443:Y443,$N$2:$Y$2)*$K443*$L443*$M443</f>
        <v/>
      </c>
      <c r="AA443" s="14">
        <f>SUM(N443:Y443)</f>
        <v/>
      </c>
      <c r="AB443" s="13">
        <f>SUMPRODUCT(N443:Y443,$N$3:$Y$3)*$K443*$L443*$M443</f>
        <v/>
      </c>
      <c r="AC443" s="13">
        <f>SUMPRODUCT(N443:Y443,$N$4:$Y$4)*$K443*$L443*$M443</f>
        <v/>
      </c>
      <c r="AD443" s="15" t="n">
        <v>21.86666666666667</v>
      </c>
      <c r="AE443" s="11" t="n">
        <v>1.184223184223185</v>
      </c>
      <c r="AF443" s="16">
        <f>SUMPRODUCT(N443:Y443,$N$5:$Y$5)*$K443*$L443*$M443</f>
        <v/>
      </c>
      <c r="AG443" s="16">
        <f>SUMPRODUCT(N443:Y443,$N$6:$Y$6)*$K443*$L443*$M443</f>
        <v/>
      </c>
      <c r="AH443" s="20" t="n"/>
    </row>
    <row r="444">
      <c r="A444" s="9" t="n">
        <v>458681</v>
      </c>
      <c r="B444" s="9" t="inlineStr">
        <is>
          <t>Lance Lynn</t>
        </is>
      </c>
      <c r="C444" s="9" t="inlineStr">
        <is>
          <t>STL</t>
        </is>
      </c>
      <c r="D444" s="9" t="n">
        <v>40</v>
      </c>
      <c r="E444" s="18" t="inlineStr">
        <is>
          <t>R</t>
        </is>
      </c>
      <c r="F444" s="18" t="n"/>
      <c r="G444" s="9" t="n">
        <v>511</v>
      </c>
      <c r="H444" s="9" t="n">
        <v>1831</v>
      </c>
      <c r="I444" s="9" t="inlineStr">
        <is>
          <t>Depth (no MLB IP)</t>
        </is>
      </c>
      <c r="J444" s="18" t="inlineStr">
        <is>
          <t>Opening Day</t>
        </is>
      </c>
      <c r="K444" s="11">
        <f>IFERROR(INDEX(Roles!$B$17:$B$20,MATCH(J444,Roles!$A$17:$A$20,0)),1)</f>
        <v/>
      </c>
      <c r="L444" s="19" t="n">
        <v>1</v>
      </c>
      <c r="M444" s="11" t="n">
        <v>1</v>
      </c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>
        <v>1</v>
      </c>
      <c r="Z444" s="13">
        <f>SUMPRODUCT(N444:Y444,$N$2:$Y$2)*$K444*$L444*$M444</f>
        <v/>
      </c>
      <c r="AA444" s="14">
        <f>SUM(N444:Y444)</f>
        <v/>
      </c>
      <c r="AB444" s="13">
        <f>SUMPRODUCT(N444:Y444,$N$3:$Y$3)*$K444*$L444*$M444</f>
        <v/>
      </c>
      <c r="AC444" s="13">
        <f>SUMPRODUCT(N444:Y444,$N$4:$Y$4)*$K444*$L444*$M444</f>
        <v/>
      </c>
      <c r="AD444" s="15" t="n">
        <v>15</v>
      </c>
      <c r="AE444" s="11" t="n">
        <v>2.374680622651637</v>
      </c>
      <c r="AF444" s="16">
        <f>SUMPRODUCT(N444:Y444,$N$5:$Y$5)*$K444*$L444*$M444</f>
        <v/>
      </c>
      <c r="AG444" s="16">
        <f>SUMPRODUCT(N444:Y444,$N$6:$Y$6)*$K444*$L444*$M444</f>
        <v/>
      </c>
      <c r="AH444" s="20" t="n"/>
    </row>
    <row r="445">
      <c r="A445" s="9" t="n">
        <v>691441</v>
      </c>
      <c r="B445" s="9" t="inlineStr">
        <is>
          <t>Cristian Mena</t>
        </is>
      </c>
      <c r="C445" s="9" t="inlineStr">
        <is>
          <t>ARI</t>
        </is>
      </c>
      <c r="D445" s="9" t="n">
        <v>24</v>
      </c>
      <c r="E445" s="18" t="inlineStr">
        <is>
          <t>R</t>
        </is>
      </c>
      <c r="F445" s="18" t="n"/>
      <c r="G445" s="9" t="n">
        <v>26</v>
      </c>
      <c r="H445" s="9" t="n">
        <v>41</v>
      </c>
      <c r="I445" s="9" t="inlineStr">
        <is>
          <t>Swing Arm / Long Relief</t>
        </is>
      </c>
      <c r="J445" s="18" t="inlineStr">
        <is>
          <t>Opening Day</t>
        </is>
      </c>
      <c r="K445" s="11">
        <f>IFERROR(INDEX(Roles!$B$17:$B$20,MATCH(J445,Roles!$A$17:$A$20,0)),1)</f>
        <v/>
      </c>
      <c r="L445" s="19" t="n">
        <v>1</v>
      </c>
      <c r="M445" s="11" t="n">
        <v>1</v>
      </c>
      <c r="N445" s="19" t="n"/>
      <c r="O445" s="19" t="n"/>
      <c r="P445" s="19" t="n"/>
      <c r="Q445" s="19" t="n"/>
      <c r="R445" s="19" t="n">
        <v>0.5</v>
      </c>
      <c r="S445" s="19" t="n"/>
      <c r="T445" s="19" t="n"/>
      <c r="U445" s="19" t="n"/>
      <c r="V445" s="19" t="n">
        <v>0.5</v>
      </c>
      <c r="W445" s="19" t="n"/>
      <c r="X445" s="19" t="n"/>
      <c r="Y445" s="19" t="n"/>
      <c r="Z445" s="13">
        <f>SUMPRODUCT(N445:Y445,$N$2:$Y$2)*$K445*$L445*$M445</f>
        <v/>
      </c>
      <c r="AA445" s="14">
        <f>SUM(N445:Y445)</f>
        <v/>
      </c>
      <c r="AB445" s="13">
        <f>SUMPRODUCT(N445:Y445,$N$3:$Y$3)*$K445*$L445*$M445</f>
        <v/>
      </c>
      <c r="AC445" s="13">
        <f>SUMPRODUCT(N445:Y445,$N$4:$Y$4)*$K445*$L445*$M445</f>
        <v/>
      </c>
      <c r="AD445" s="15" t="n">
        <v>9.533333333333331</v>
      </c>
      <c r="AE445" s="11" t="n">
        <v>2.446265938069217</v>
      </c>
      <c r="AF445" s="16">
        <f>SUMPRODUCT(N445:Y445,$N$5:$Y$5)*$K445*$L445*$M445</f>
        <v/>
      </c>
      <c r="AG445" s="16">
        <f>SUMPRODUCT(N445:Y445,$N$6:$Y$6)*$K445*$L445*$M445</f>
        <v/>
      </c>
      <c r="AH445" s="20" t="n"/>
    </row>
    <row r="446">
      <c r="A446" s="9" t="n">
        <v>669330</v>
      </c>
      <c r="B446" s="9" t="inlineStr">
        <is>
          <t>Tyler Wells</t>
        </is>
      </c>
      <c r="C446" s="9" t="inlineStr">
        <is>
          <t>TB</t>
        </is>
      </c>
      <c r="D446" s="9" t="n">
        <v>32</v>
      </c>
      <c r="E446" s="18" t="inlineStr">
        <is>
          <t>R</t>
        </is>
      </c>
      <c r="F446" s="18" t="n"/>
      <c r="G446" s="9" t="n">
        <v>277</v>
      </c>
      <c r="H446" s="9" t="n">
        <v>1319</v>
      </c>
      <c r="I446" s="9" t="inlineStr">
        <is>
          <t>Late Inning RP (Setup)</t>
        </is>
      </c>
      <c r="J446" s="18" t="inlineStr">
        <is>
          <t>Opening Day</t>
        </is>
      </c>
      <c r="K446" s="11">
        <f>IFERROR(INDEX(Roles!$B$17:$B$20,MATCH(J446,Roles!$A$17:$A$20,0)),1)</f>
        <v/>
      </c>
      <c r="L446" s="19" t="n">
        <v>1</v>
      </c>
      <c r="M446" s="11" t="n">
        <v>1</v>
      </c>
      <c r="N446" s="19" t="n"/>
      <c r="O446" s="19" t="n"/>
      <c r="P446" s="19" t="n"/>
      <c r="Q446" s="19" t="n"/>
      <c r="R446" s="19" t="n"/>
      <c r="S446" s="19" t="n"/>
      <c r="T446" s="19" t="n"/>
      <c r="U446" s="19" t="n">
        <v>0.85</v>
      </c>
      <c r="V446" s="19" t="n">
        <v>0.15</v>
      </c>
      <c r="W446" s="19" t="n"/>
      <c r="X446" s="19" t="n"/>
      <c r="Y446" s="19" t="n"/>
      <c r="Z446" s="13">
        <f>SUMPRODUCT(N446:Y446,$N$2:$Y$2)*$K446*$L446*$M446</f>
        <v/>
      </c>
      <c r="AA446" s="14">
        <f>SUM(N446:Y446)</f>
        <v/>
      </c>
      <c r="AB446" s="13">
        <f>SUMPRODUCT(N446:Y446,$N$3:$Y$3)*$K446*$L446*$M446</f>
        <v/>
      </c>
      <c r="AC446" s="13">
        <f>SUMPRODUCT(N446:Y446,$N$4:$Y$4)*$K446*$L446*$M446</f>
        <v/>
      </c>
      <c r="AD446" s="15" t="n">
        <v>37.4</v>
      </c>
      <c r="AE446" s="11" t="n">
        <v>1.162774725274725</v>
      </c>
      <c r="AF446" s="16">
        <f>SUMPRODUCT(N446:Y446,$N$5:$Y$5)*$K446*$L446*$M446</f>
        <v/>
      </c>
      <c r="AG446" s="16">
        <f>SUMPRODUCT(N446:Y446,$N$6:$Y$6)*$K446*$L446*$M446</f>
        <v/>
      </c>
      <c r="AH446" s="20" t="n"/>
    </row>
    <row r="447">
      <c r="A447" s="9" t="n">
        <v>666207</v>
      </c>
      <c r="B447" s="9" t="inlineStr">
        <is>
          <t>Riley Pint</t>
        </is>
      </c>
      <c r="C447" s="9" t="inlineStr">
        <is>
          <t>COL</t>
        </is>
      </c>
      <c r="D447" s="9" t="n">
        <v>29</v>
      </c>
      <c r="E447" s="18" t="inlineStr">
        <is>
          <t>R</t>
        </is>
      </c>
      <c r="F447" s="18" t="n"/>
      <c r="G447" s="9" t="n">
        <v>22</v>
      </c>
      <c r="H447" s="9" t="n">
        <v>27</v>
      </c>
      <c r="I447" s="9" t="inlineStr">
        <is>
          <t>Depth (no MLB IP)</t>
        </is>
      </c>
      <c r="J447" s="18" t="inlineStr">
        <is>
          <t>Opening Day</t>
        </is>
      </c>
      <c r="K447" s="11">
        <f>IFERROR(INDEX(Roles!$B$17:$B$20,MATCH(J447,Roles!$A$17:$A$20,0)),1)</f>
        <v/>
      </c>
      <c r="L447" s="19" t="n">
        <v>1</v>
      </c>
      <c r="M447" s="11" t="n">
        <v>1</v>
      </c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>
        <v>1</v>
      </c>
      <c r="Z447" s="13">
        <f>SUMPRODUCT(N447:Y447,$N$2:$Y$2)*$K447*$L447*$M447</f>
        <v/>
      </c>
      <c r="AA447" s="14">
        <f>SUM(N447:Y447)</f>
        <v/>
      </c>
      <c r="AB447" s="13">
        <f>SUMPRODUCT(N447:Y447,$N$3:$Y$3)*$K447*$L447*$M447</f>
        <v/>
      </c>
      <c r="AC447" s="13">
        <f>SUMPRODUCT(N447:Y447,$N$4:$Y$4)*$K447*$L447*$M447</f>
        <v/>
      </c>
      <c r="AD447" s="15" t="n">
        <v>3.6</v>
      </c>
      <c r="AE447" s="11" t="n">
        <v>0.9519753086419752</v>
      </c>
      <c r="AF447" s="16">
        <f>SUMPRODUCT(N447:Y447,$N$5:$Y$5)*$K447*$L447*$M447</f>
        <v/>
      </c>
      <c r="AG447" s="16">
        <f>SUMPRODUCT(N447:Y447,$N$6:$Y$6)*$K447*$L447*$M447</f>
        <v/>
      </c>
      <c r="AH447" s="20" t="n"/>
    </row>
    <row r="448">
      <c r="A448" s="9" t="n">
        <v>680702</v>
      </c>
      <c r="B448" s="9" t="inlineStr">
        <is>
          <t>Joey Gerber</t>
        </is>
      </c>
      <c r="C448" s="9" t="inlineStr">
        <is>
          <t>NYM</t>
        </is>
      </c>
      <c r="D448" s="9" t="n">
        <v>30</v>
      </c>
      <c r="E448" s="18" t="inlineStr">
        <is>
          <t>R</t>
        </is>
      </c>
      <c r="F448" s="18" t="n"/>
      <c r="G448" s="9" t="n">
        <v>34</v>
      </c>
      <c r="H448" s="9" t="n">
        <v>49</v>
      </c>
      <c r="I448" s="9" t="inlineStr">
        <is>
          <t>Bullpen Depth Arm</t>
        </is>
      </c>
      <c r="J448" s="18" t="inlineStr">
        <is>
          <t>Opening Day</t>
        </is>
      </c>
      <c r="K448" s="11">
        <f>IFERROR(INDEX(Roles!$B$17:$B$20,MATCH(J448,Roles!$A$17:$A$20,0)),1)</f>
        <v/>
      </c>
      <c r="L448" s="19" t="n">
        <v>1</v>
      </c>
      <c r="M448" s="11" t="n">
        <v>1</v>
      </c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>
        <v>1</v>
      </c>
      <c r="X448" s="19" t="n"/>
      <c r="Y448" s="19" t="n"/>
      <c r="Z448" s="13">
        <f>SUMPRODUCT(N448:Y448,$N$2:$Y$2)*$K448*$L448*$M448</f>
        <v/>
      </c>
      <c r="AA448" s="14">
        <f>SUM(N448:Y448)</f>
        <v/>
      </c>
      <c r="AB448" s="13">
        <f>SUMPRODUCT(N448:Y448,$N$3:$Y$3)*$K448*$L448*$M448</f>
        <v/>
      </c>
      <c r="AC448" s="13">
        <f>SUMPRODUCT(N448:Y448,$N$4:$Y$4)*$K448*$L448*$M448</f>
        <v/>
      </c>
      <c r="AD448" s="15" t="n">
        <v>8.666666666666666</v>
      </c>
      <c r="AE448" s="11" t="n">
        <v>1.250396023729357</v>
      </c>
      <c r="AF448" s="16">
        <f>SUMPRODUCT(N448:Y448,$N$5:$Y$5)*$K448*$L448*$M448</f>
        <v/>
      </c>
      <c r="AG448" s="16">
        <f>SUMPRODUCT(N448:Y448,$N$6:$Y$6)*$K448*$L448*$M448</f>
        <v/>
      </c>
      <c r="AH448" s="20" t="n"/>
    </row>
    <row r="449">
      <c r="A449" s="9" t="n">
        <v>476595</v>
      </c>
      <c r="B449" s="9" t="inlineStr">
        <is>
          <t>Lucas Luetge</t>
        </is>
      </c>
      <c r="C449" s="9" t="inlineStr">
        <is>
          <t>ATL</t>
        </is>
      </c>
      <c r="D449" s="9" t="n">
        <v>40</v>
      </c>
      <c r="E449" s="18" t="inlineStr">
        <is>
          <t>L</t>
        </is>
      </c>
      <c r="F449" s="18" t="n"/>
      <c r="G449" s="9" t="n">
        <v>65</v>
      </c>
      <c r="H449" s="9" t="n">
        <v>316</v>
      </c>
      <c r="I449" s="9" t="inlineStr">
        <is>
          <t>Depth (no MLB IP)</t>
        </is>
      </c>
      <c r="J449" s="18" t="inlineStr">
        <is>
          <t>Opening Day</t>
        </is>
      </c>
      <c r="K449" s="11">
        <f>IFERROR(INDEX(Roles!$B$17:$B$20,MATCH(J449,Roles!$A$17:$A$20,0)),1)</f>
        <v/>
      </c>
      <c r="L449" s="19" t="n">
        <v>1</v>
      </c>
      <c r="M449" s="11" t="n">
        <v>1</v>
      </c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>
        <v>1</v>
      </c>
      <c r="Z449" s="13">
        <f>SUMPRODUCT(N449:Y449,$N$2:$Y$2)*$K449*$L449*$M449</f>
        <v/>
      </c>
      <c r="AA449" s="14">
        <f>SUM(N449:Y449)</f>
        <v/>
      </c>
      <c r="AB449" s="13">
        <f>SUMPRODUCT(N449:Y449,$N$3:$Y$3)*$K449*$L449*$M449</f>
        <v/>
      </c>
      <c r="AC449" s="13">
        <f>SUMPRODUCT(N449:Y449,$N$4:$Y$4)*$K449*$L449*$M449</f>
        <v/>
      </c>
      <c r="AD449" s="15" t="n">
        <v>3</v>
      </c>
      <c r="AE449" s="11" t="n">
        <v>1.011296296296296</v>
      </c>
      <c r="AF449" s="16">
        <f>SUMPRODUCT(N449:Y449,$N$5:$Y$5)*$K449*$L449*$M449</f>
        <v/>
      </c>
      <c r="AG449" s="16">
        <f>SUMPRODUCT(N449:Y449,$N$6:$Y$6)*$K449*$L449*$M449</f>
        <v/>
      </c>
      <c r="AH449" s="20" t="n"/>
    </row>
    <row r="450">
      <c r="A450" s="9" t="n">
        <v>623211</v>
      </c>
      <c r="B450" s="9" t="inlineStr">
        <is>
          <t>Huascar Brazobán</t>
        </is>
      </c>
      <c r="C450" s="9" t="inlineStr">
        <is>
          <t>CWS</t>
        </is>
      </c>
      <c r="D450" s="9" t="n">
        <v>37</v>
      </c>
      <c r="E450" s="18" t="inlineStr">
        <is>
          <t>R</t>
        </is>
      </c>
      <c r="F450" s="18" t="n"/>
      <c r="G450" s="9" t="n">
        <v>267</v>
      </c>
      <c r="H450" s="9" t="n">
        <v>1144</v>
      </c>
      <c r="I450" s="9" t="inlineStr">
        <is>
          <t>Late Inning RP (Setup)</t>
        </is>
      </c>
      <c r="J450" s="18" t="inlineStr">
        <is>
          <t>Opening Day</t>
        </is>
      </c>
      <c r="K450" s="11">
        <f>IFERROR(INDEX(Roles!$B$17:$B$20,MATCH(J450,Roles!$A$17:$A$20,0)),1)</f>
        <v/>
      </c>
      <c r="L450" s="19" t="n">
        <v>1</v>
      </c>
      <c r="M450" s="11" t="n">
        <v>1</v>
      </c>
      <c r="N450" s="19" t="n"/>
      <c r="O450" s="19" t="n"/>
      <c r="P450" s="19" t="n"/>
      <c r="Q450" s="19" t="n"/>
      <c r="R450" s="19" t="n"/>
      <c r="S450" s="19" t="n"/>
      <c r="T450" s="19" t="n"/>
      <c r="U450" s="19" t="n">
        <v>0.6</v>
      </c>
      <c r="V450" s="19" t="n">
        <v>0.4</v>
      </c>
      <c r="W450" s="19" t="n"/>
      <c r="X450" s="19" t="n"/>
      <c r="Y450" s="19" t="n"/>
      <c r="Z450" s="13">
        <f>SUMPRODUCT(N450:Y450,$N$2:$Y$2)*$K450*$L450*$M450</f>
        <v/>
      </c>
      <c r="AA450" s="14">
        <f>SUM(N450:Y450)</f>
        <v/>
      </c>
      <c r="AB450" s="13">
        <f>SUMPRODUCT(N450:Y450,$N$3:$Y$3)*$K450*$L450*$M450</f>
        <v/>
      </c>
      <c r="AC450" s="13">
        <f>SUMPRODUCT(N450:Y450,$N$4:$Y$4)*$K450*$L450*$M450</f>
        <v/>
      </c>
      <c r="AD450" s="15" t="n">
        <v>51.5</v>
      </c>
      <c r="AE450" s="11" t="n">
        <v>1.050503095975232</v>
      </c>
      <c r="AF450" s="16">
        <f>SUMPRODUCT(N450:Y450,$N$5:$Y$5)*$K450*$L450*$M450</f>
        <v/>
      </c>
      <c r="AG450" s="16">
        <f>SUMPRODUCT(N450:Y450,$N$6:$Y$6)*$K450*$L450*$M450</f>
        <v/>
      </c>
      <c r="AH450" s="20" t="n"/>
    </row>
    <row r="451">
      <c r="A451" s="9" t="n">
        <v>660261</v>
      </c>
      <c r="B451" s="9" t="inlineStr">
        <is>
          <t>Shintaro Fujinami</t>
        </is>
      </c>
      <c r="C451" s="9" t="inlineStr">
        <is>
          <t>BAL</t>
        </is>
      </c>
      <c r="D451" s="9" t="n">
        <v>33</v>
      </c>
      <c r="E451" s="18" t="inlineStr">
        <is>
          <t>R</t>
        </is>
      </c>
      <c r="F451" s="18" t="n"/>
      <c r="G451" s="9" t="n">
        <v>357</v>
      </c>
      <c r="H451" s="9" t="n">
        <v>357</v>
      </c>
      <c r="I451" s="9" t="inlineStr">
        <is>
          <t>Depth (no MLB IP)</t>
        </is>
      </c>
      <c r="J451" s="18" t="inlineStr">
        <is>
          <t>Opening Day</t>
        </is>
      </c>
      <c r="K451" s="11">
        <f>IFERROR(INDEX(Roles!$B$17:$B$20,MATCH(J451,Roles!$A$17:$A$20,0)),1)</f>
        <v/>
      </c>
      <c r="L451" s="19" t="n">
        <v>1</v>
      </c>
      <c r="M451" s="11" t="n">
        <v>1</v>
      </c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>
        <v>1</v>
      </c>
      <c r="Z451" s="13">
        <f>SUMPRODUCT(N451:Y451,$N$2:$Y$2)*$K451*$L451*$M451</f>
        <v/>
      </c>
      <c r="AA451" s="14">
        <f>SUM(N451:Y451)</f>
        <v/>
      </c>
      <c r="AB451" s="13">
        <f>SUMPRODUCT(N451:Y451,$N$3:$Y$3)*$K451*$L451*$M451</f>
        <v/>
      </c>
      <c r="AC451" s="13">
        <f>SUMPRODUCT(N451:Y451,$N$4:$Y$4)*$K451*$L451*$M451</f>
        <v/>
      </c>
      <c r="AD451" s="15" t="n">
        <v>3</v>
      </c>
      <c r="AE451" s="11" t="n">
        <v>1.011296296296296</v>
      </c>
      <c r="AF451" s="16">
        <f>SUMPRODUCT(N451:Y451,$N$5:$Y$5)*$K451*$L451*$M451</f>
        <v/>
      </c>
      <c r="AG451" s="16">
        <f>SUMPRODUCT(N451:Y451,$N$6:$Y$6)*$K451*$L451*$M451</f>
        <v/>
      </c>
      <c r="AH451" s="20" t="n"/>
    </row>
    <row r="452">
      <c r="A452" s="9" t="n">
        <v>656354</v>
      </c>
      <c r="B452" s="9" t="inlineStr">
        <is>
          <t>Austin Davis</t>
        </is>
      </c>
      <c r="C452" s="9" t="inlineStr">
        <is>
          <t>SD</t>
        </is>
      </c>
      <c r="D452" s="9" t="n">
        <v>34</v>
      </c>
      <c r="E452" s="18" t="inlineStr">
        <is>
          <t>L</t>
        </is>
      </c>
      <c r="F452" s="18" t="n"/>
      <c r="G452" s="9" t="n">
        <v>33</v>
      </c>
      <c r="H452" s="9" t="n">
        <v>297</v>
      </c>
      <c r="I452" s="9" t="inlineStr">
        <is>
          <t>Depth (no MLB IP)</t>
        </is>
      </c>
      <c r="J452" s="18" t="inlineStr">
        <is>
          <t>Opening Day</t>
        </is>
      </c>
      <c r="K452" s="11">
        <f>IFERROR(INDEX(Roles!$B$17:$B$20,MATCH(J452,Roles!$A$17:$A$20,0)),1)</f>
        <v/>
      </c>
      <c r="L452" s="19" t="n">
        <v>1</v>
      </c>
      <c r="M452" s="11" t="n">
        <v>1</v>
      </c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>
        <v>1</v>
      </c>
      <c r="Z452" s="13">
        <f>SUMPRODUCT(N452:Y452,$N$2:$Y$2)*$K452*$L452*$M452</f>
        <v/>
      </c>
      <c r="AA452" s="14">
        <f>SUM(N452:Y452)</f>
        <v/>
      </c>
      <c r="AB452" s="13">
        <f>SUMPRODUCT(N452:Y452,$N$3:$Y$3)*$K452*$L452*$M452</f>
        <v/>
      </c>
      <c r="AC452" s="13">
        <f>SUMPRODUCT(N452:Y452,$N$4:$Y$4)*$K452*$L452*$M452</f>
        <v/>
      </c>
      <c r="AD452" s="15" t="n">
        <v>5.4</v>
      </c>
      <c r="AE452" s="11" t="n">
        <v>1.007530864197531</v>
      </c>
      <c r="AF452" s="16">
        <f>SUMPRODUCT(N452:Y452,$N$5:$Y$5)*$K452*$L452*$M452</f>
        <v/>
      </c>
      <c r="AG452" s="16">
        <f>SUMPRODUCT(N452:Y452,$N$6:$Y$6)*$K452*$L452*$M452</f>
        <v/>
      </c>
      <c r="AH452" s="20" t="n"/>
    </row>
    <row r="453">
      <c r="A453" s="9" t="n">
        <v>690829</v>
      </c>
      <c r="B453" s="9" t="inlineStr">
        <is>
          <t>Ben Joyce</t>
        </is>
      </c>
      <c r="C453" s="9" t="inlineStr">
        <is>
          <t>LAA</t>
        </is>
      </c>
      <c r="D453" s="9" t="n">
        <v>26</v>
      </c>
      <c r="E453" s="18" t="inlineStr">
        <is>
          <t>R</t>
        </is>
      </c>
      <c r="F453" s="18" t="n"/>
      <c r="G453" s="9" t="n">
        <v>61</v>
      </c>
      <c r="H453" s="9" t="n">
        <v>271</v>
      </c>
      <c r="I453" s="9" t="inlineStr">
        <is>
          <t>Closer</t>
        </is>
      </c>
      <c r="J453" s="18" t="inlineStr">
        <is>
          <t>Opening Day</t>
        </is>
      </c>
      <c r="K453" s="11">
        <f>IFERROR(INDEX(Roles!$B$17:$B$20,MATCH(J453,Roles!$A$17:$A$20,0)),1)</f>
        <v/>
      </c>
      <c r="L453" s="19" t="n">
        <v>1</v>
      </c>
      <c r="M453" s="11" t="n">
        <v>1</v>
      </c>
      <c r="N453" s="19" t="n"/>
      <c r="O453" s="19" t="n"/>
      <c r="P453" s="19" t="n"/>
      <c r="Q453" s="19" t="n"/>
      <c r="R453" s="19" t="n"/>
      <c r="S453" s="19" t="n"/>
      <c r="T453" s="19" t="n">
        <v>0.85</v>
      </c>
      <c r="U453" s="19" t="n">
        <v>0.15</v>
      </c>
      <c r="V453" s="19" t="n"/>
      <c r="W453" s="19" t="n"/>
      <c r="X453" s="19" t="n"/>
      <c r="Y453" s="19" t="n"/>
      <c r="Z453" s="13">
        <f>SUMPRODUCT(N453:Y453,$N$2:$Y$2)*$K453*$L453*$M453</f>
        <v/>
      </c>
      <c r="AA453" s="14">
        <f>SUM(N453:Y453)</f>
        <v/>
      </c>
      <c r="AB453" s="13">
        <f>SUMPRODUCT(N453:Y453,$N$3:$Y$3)*$K453*$L453*$M453</f>
        <v/>
      </c>
      <c r="AC453" s="13">
        <f>SUMPRODUCT(N453:Y453,$N$4:$Y$4)*$K453*$L453*$M453</f>
        <v/>
      </c>
      <c r="AD453" s="15" t="n">
        <v>29.06</v>
      </c>
      <c r="AE453" s="11" t="n">
        <v>1.00374531835206</v>
      </c>
      <c r="AF453" s="16">
        <f>SUMPRODUCT(N453:Y453,$N$5:$Y$5)*$K453*$L453*$M453</f>
        <v/>
      </c>
      <c r="AG453" s="16">
        <f>SUMPRODUCT(N453:Y453,$N$6:$Y$6)*$K453*$L453*$M453</f>
        <v/>
      </c>
      <c r="AH453" s="20" t="n"/>
    </row>
    <row r="454">
      <c r="A454" s="9" t="n">
        <v>687830</v>
      </c>
      <c r="B454" s="9" t="inlineStr">
        <is>
          <t>Sawyer Gipson-Long</t>
        </is>
      </c>
      <c r="C454" s="9" t="inlineStr">
        <is>
          <t>DET</t>
        </is>
      </c>
      <c r="D454" s="9" t="n">
        <v>29</v>
      </c>
      <c r="E454" s="18" t="inlineStr">
        <is>
          <t>R</t>
        </is>
      </c>
      <c r="F454" s="18" t="n"/>
      <c r="G454" s="9" t="n">
        <v>133</v>
      </c>
      <c r="H454" s="9" t="n">
        <v>215</v>
      </c>
      <c r="I454" s="9" t="inlineStr">
        <is>
          <t>End-of-Rotation Starter (SP4-5)</t>
        </is>
      </c>
      <c r="J454" s="18" t="inlineStr">
        <is>
          <t>Opening Day</t>
        </is>
      </c>
      <c r="K454" s="11">
        <f>IFERROR(INDEX(Roles!$B$17:$B$20,MATCH(J454,Roles!$A$17:$A$20,0)),1)</f>
        <v/>
      </c>
      <c r="L454" s="19" t="n">
        <v>1</v>
      </c>
      <c r="M454" s="11" t="n">
        <v>1</v>
      </c>
      <c r="N454" s="19" t="n"/>
      <c r="O454" s="19" t="n"/>
      <c r="P454" s="19" t="n">
        <v>1</v>
      </c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3">
        <f>SUMPRODUCT(N454:Y454,$N$2:$Y$2)*$K454*$L454*$M454</f>
        <v/>
      </c>
      <c r="AA454" s="14">
        <f>SUM(N454:Y454)</f>
        <v/>
      </c>
      <c r="AB454" s="13">
        <f>SUMPRODUCT(N454:Y454,$N$3:$Y$3)*$K454*$L454*$M454</f>
        <v/>
      </c>
      <c r="AC454" s="13">
        <f>SUMPRODUCT(N454:Y454,$N$4:$Y$4)*$K454*$L454*$M454</f>
        <v/>
      </c>
      <c r="AD454" s="15" t="n">
        <v>11.2</v>
      </c>
      <c r="AE454" s="11" t="n">
        <v>4.342592592592592</v>
      </c>
      <c r="AF454" s="16">
        <f>SUMPRODUCT(N454:Y454,$N$5:$Y$5)*$K454*$L454*$M454</f>
        <v/>
      </c>
      <c r="AG454" s="16">
        <f>SUMPRODUCT(N454:Y454,$N$6:$Y$6)*$K454*$L454*$M454</f>
        <v/>
      </c>
      <c r="AH454" s="20" t="n"/>
    </row>
    <row r="455">
      <c r="A455" s="9" t="n">
        <v>681982</v>
      </c>
      <c r="B455" s="9" t="inlineStr">
        <is>
          <t>Grant Anderson</t>
        </is>
      </c>
      <c r="C455" s="9" t="inlineStr">
        <is>
          <t>MIL</t>
        </is>
      </c>
      <c r="D455" s="9" t="n">
        <v>30</v>
      </c>
      <c r="E455" s="18" t="inlineStr">
        <is>
          <t>R</t>
        </is>
      </c>
      <c r="F455" s="18" t="n"/>
      <c r="G455" s="9" t="n">
        <v>235</v>
      </c>
      <c r="H455" s="9" t="n">
        <v>808</v>
      </c>
      <c r="I455" s="9" t="inlineStr">
        <is>
          <t>Bullpen Depth Arm</t>
        </is>
      </c>
      <c r="J455" s="18" t="inlineStr">
        <is>
          <t>Opening Day</t>
        </is>
      </c>
      <c r="K455" s="11">
        <f>IFERROR(INDEX(Roles!$B$17:$B$20,MATCH(J455,Roles!$A$17:$A$20,0)),1)</f>
        <v/>
      </c>
      <c r="L455" s="19" t="n">
        <v>1</v>
      </c>
      <c r="M455" s="11" t="n">
        <v>1</v>
      </c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>
        <v>0.15</v>
      </c>
      <c r="W455" s="19" t="n">
        <v>0.85</v>
      </c>
      <c r="X455" s="19" t="n"/>
      <c r="Y455" s="19" t="n"/>
      <c r="Z455" s="13">
        <f>SUMPRODUCT(N455:Y455,$N$2:$Y$2)*$K455*$L455*$M455</f>
        <v/>
      </c>
      <c r="AA455" s="14">
        <f>SUM(N455:Y455)</f>
        <v/>
      </c>
      <c r="AB455" s="13">
        <f>SUMPRODUCT(N455:Y455,$N$3:$Y$3)*$K455*$L455*$M455</f>
        <v/>
      </c>
      <c r="AC455" s="13">
        <f>SUMPRODUCT(N455:Y455,$N$4:$Y$4)*$K455*$L455*$M455</f>
        <v/>
      </c>
      <c r="AD455" s="15" t="n">
        <v>36.76666666666667</v>
      </c>
      <c r="AE455" s="11" t="n">
        <v>1.169138431732215</v>
      </c>
      <c r="AF455" s="16">
        <f>SUMPRODUCT(N455:Y455,$N$5:$Y$5)*$K455*$L455*$M455</f>
        <v/>
      </c>
      <c r="AG455" s="16">
        <f>SUMPRODUCT(N455:Y455,$N$6:$Y$6)*$K455*$L455*$M455</f>
        <v/>
      </c>
      <c r="AH455" s="20" t="n"/>
    </row>
    <row r="456">
      <c r="A456" s="9" t="n">
        <v>663542</v>
      </c>
      <c r="B456" s="9" t="inlineStr">
        <is>
          <t>Bryan Hudson</t>
        </is>
      </c>
      <c r="C456" s="9" t="inlineStr">
        <is>
          <t>CWS</t>
        </is>
      </c>
      <c r="D456" s="9" t="n">
        <v>30</v>
      </c>
      <c r="E456" s="18" t="inlineStr">
        <is>
          <t>L</t>
        </is>
      </c>
      <c r="F456" s="18" t="n"/>
      <c r="G456" s="9" t="n">
        <v>282</v>
      </c>
      <c r="H456" s="9" t="n">
        <v>632</v>
      </c>
      <c r="I456" s="9" t="inlineStr">
        <is>
          <t>Closer</t>
        </is>
      </c>
      <c r="J456" s="18" t="inlineStr">
        <is>
          <t>Opening Day</t>
        </is>
      </c>
      <c r="K456" s="11">
        <f>IFERROR(INDEX(Roles!$B$17:$B$20,MATCH(J456,Roles!$A$17:$A$20,0)),1)</f>
        <v/>
      </c>
      <c r="L456" s="19" t="n">
        <v>1</v>
      </c>
      <c r="M456" s="11" t="n">
        <v>1</v>
      </c>
      <c r="N456" s="19" t="n"/>
      <c r="O456" s="19" t="n"/>
      <c r="P456" s="19" t="n"/>
      <c r="Q456" s="19" t="n"/>
      <c r="R456" s="19" t="n"/>
      <c r="S456" s="19" t="n"/>
      <c r="T456" s="19" t="n">
        <v>0.85</v>
      </c>
      <c r="U456" s="19" t="n">
        <v>0.15</v>
      </c>
      <c r="V456" s="19" t="n"/>
      <c r="W456" s="19" t="n"/>
      <c r="X456" s="19" t="n"/>
      <c r="Y456" s="19" t="n"/>
      <c r="Z456" s="13">
        <f>SUMPRODUCT(N456:Y456,$N$2:$Y$2)*$K456*$L456*$M456</f>
        <v/>
      </c>
      <c r="AA456" s="14">
        <f>SUM(N456:Y456)</f>
        <v/>
      </c>
      <c r="AB456" s="13">
        <f>SUMPRODUCT(N456:Y456,$N$3:$Y$3)*$K456*$L456*$M456</f>
        <v/>
      </c>
      <c r="AC456" s="13">
        <f>SUMPRODUCT(N456:Y456,$N$4:$Y$4)*$K456*$L456*$M456</f>
        <v/>
      </c>
      <c r="AD456" s="15" t="n">
        <v>48.66</v>
      </c>
      <c r="AE456" s="11" t="n">
        <v>1.013413058238605</v>
      </c>
      <c r="AF456" s="16">
        <f>SUMPRODUCT(N456:Y456,$N$5:$Y$5)*$K456*$L456*$M456</f>
        <v/>
      </c>
      <c r="AG456" s="16">
        <f>SUMPRODUCT(N456:Y456,$N$6:$Y$6)*$K456*$L456*$M456</f>
        <v/>
      </c>
      <c r="AH456" s="20" t="n"/>
    </row>
    <row r="457">
      <c r="A457" s="9" t="n">
        <v>656671</v>
      </c>
      <c r="B457" s="9" t="inlineStr">
        <is>
          <t>Josh Maciejewski</t>
        </is>
      </c>
      <c r="C457" s="9" t="inlineStr">
        <is>
          <t>NYY</t>
        </is>
      </c>
      <c r="D457" s="9" t="n">
        <v>31</v>
      </c>
      <c r="E457" s="18" t="inlineStr">
        <is>
          <t>L</t>
        </is>
      </c>
      <c r="F457" s="18" t="n"/>
      <c r="G457" s="9" t="n">
        <v>27</v>
      </c>
      <c r="H457" s="9" t="n">
        <v>27</v>
      </c>
      <c r="I457" s="9" t="inlineStr">
        <is>
          <t>Depth (no MLB IP)</t>
        </is>
      </c>
      <c r="J457" s="18" t="inlineStr">
        <is>
          <t>Opening Day</t>
        </is>
      </c>
      <c r="K457" s="11">
        <f>IFERROR(INDEX(Roles!$B$17:$B$20,MATCH(J457,Roles!$A$17:$A$20,0)),1)</f>
        <v/>
      </c>
      <c r="L457" s="19" t="n">
        <v>1</v>
      </c>
      <c r="M457" s="11" t="n">
        <v>1</v>
      </c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>
        <v>1</v>
      </c>
      <c r="Z457" s="13">
        <f>SUMPRODUCT(N457:Y457,$N$2:$Y$2)*$K457*$L457*$M457</f>
        <v/>
      </c>
      <c r="AA457" s="14">
        <f>SUM(N457:Y457)</f>
        <v/>
      </c>
      <c r="AB457" s="13">
        <f>SUMPRODUCT(N457:Y457,$N$3:$Y$3)*$K457*$L457*$M457</f>
        <v/>
      </c>
      <c r="AC457" s="13">
        <f>SUMPRODUCT(N457:Y457,$N$4:$Y$4)*$K457*$L457*$M457</f>
        <v/>
      </c>
      <c r="AD457" s="15" t="n">
        <v>3.6</v>
      </c>
      <c r="AE457" s="11" t="n">
        <v>1.257530864197531</v>
      </c>
      <c r="AF457" s="16">
        <f>SUMPRODUCT(N457:Y457,$N$5:$Y$5)*$K457*$L457*$M457</f>
        <v/>
      </c>
      <c r="AG457" s="16">
        <f>SUMPRODUCT(N457:Y457,$N$6:$Y$6)*$K457*$L457*$M457</f>
        <v/>
      </c>
      <c r="AH457" s="20" t="n"/>
    </row>
    <row r="458">
      <c r="A458" s="9" t="n">
        <v>664351</v>
      </c>
      <c r="B458" s="9" t="inlineStr">
        <is>
          <t>Luis Contreras</t>
        </is>
      </c>
      <c r="C458" s="9" t="inlineStr">
        <is>
          <t>HOU</t>
        </is>
      </c>
      <c r="D458" s="9" t="n">
        <v>31</v>
      </c>
      <c r="E458" s="18" t="inlineStr">
        <is>
          <t>R</t>
        </is>
      </c>
      <c r="F458" s="18" t="n"/>
      <c r="G458" s="9" t="n">
        <v>54</v>
      </c>
      <c r="H458" s="9" t="n">
        <v>80</v>
      </c>
      <c r="I458" s="9" t="inlineStr">
        <is>
          <t>Bullpen Depth Arm</t>
        </is>
      </c>
      <c r="J458" s="18" t="inlineStr">
        <is>
          <t>Opening Day</t>
        </is>
      </c>
      <c r="K458" s="11">
        <f>IFERROR(INDEX(Roles!$B$17:$B$20,MATCH(J458,Roles!$A$17:$A$20,0)),1)</f>
        <v/>
      </c>
      <c r="L458" s="19" t="n">
        <v>1</v>
      </c>
      <c r="M458" s="11" t="n">
        <v>1</v>
      </c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>
        <v>1</v>
      </c>
      <c r="X458" s="19" t="n"/>
      <c r="Y458" s="19" t="n"/>
      <c r="Z458" s="13">
        <f>SUMPRODUCT(N458:Y458,$N$2:$Y$2)*$K458*$L458*$M458</f>
        <v/>
      </c>
      <c r="AA458" s="14">
        <f>SUM(N458:Y458)</f>
        <v/>
      </c>
      <c r="AB458" s="13">
        <f>SUMPRODUCT(N458:Y458,$N$3:$Y$3)*$K458*$L458*$M458</f>
        <v/>
      </c>
      <c r="AC458" s="13">
        <f>SUMPRODUCT(N458:Y458,$N$4:$Y$4)*$K458*$L458*$M458</f>
        <v/>
      </c>
      <c r="AD458" s="15" t="n">
        <v>10.26666666666667</v>
      </c>
      <c r="AE458" s="11" t="n">
        <v>1.23628974353612</v>
      </c>
      <c r="AF458" s="16">
        <f>SUMPRODUCT(N458:Y458,$N$5:$Y$5)*$K458*$L458*$M458</f>
        <v/>
      </c>
      <c r="AG458" s="16">
        <f>SUMPRODUCT(N458:Y458,$N$6:$Y$6)*$K458*$L458*$M458</f>
        <v/>
      </c>
      <c r="AH458" s="20" t="n"/>
    </row>
    <row r="459">
      <c r="A459" s="9" t="n">
        <v>676617</v>
      </c>
      <c r="B459" s="9" t="inlineStr">
        <is>
          <t>Riley O'Brien</t>
        </is>
      </c>
      <c r="C459" s="9" t="inlineStr">
        <is>
          <t>STL</t>
        </is>
      </c>
      <c r="D459" s="9" t="n">
        <v>32</v>
      </c>
      <c r="E459" s="18" t="inlineStr">
        <is>
          <t>R</t>
        </is>
      </c>
      <c r="F459" s="18" t="n"/>
      <c r="G459" s="9" t="n">
        <v>276</v>
      </c>
      <c r="H459" s="9" t="n">
        <v>526</v>
      </c>
      <c r="I459" s="9" t="inlineStr">
        <is>
          <t>Closer</t>
        </is>
      </c>
      <c r="J459" s="18" t="inlineStr">
        <is>
          <t>Opening Day</t>
        </is>
      </c>
      <c r="K459" s="11">
        <f>IFERROR(INDEX(Roles!$B$17:$B$20,MATCH(J459,Roles!$A$17:$A$20,0)),1)</f>
        <v/>
      </c>
      <c r="L459" s="19" t="n">
        <v>1</v>
      </c>
      <c r="M459" s="11" t="n">
        <v>1</v>
      </c>
      <c r="N459" s="19" t="n"/>
      <c r="O459" s="19" t="n"/>
      <c r="P459" s="19" t="n"/>
      <c r="Q459" s="19" t="n"/>
      <c r="R459" s="19" t="n"/>
      <c r="S459" s="19" t="n"/>
      <c r="T459" s="19" t="n">
        <v>0.85</v>
      </c>
      <c r="U459" s="19" t="n">
        <v>0.15</v>
      </c>
      <c r="V459" s="19" t="n"/>
      <c r="W459" s="19" t="n"/>
      <c r="X459" s="19" t="n"/>
      <c r="Y459" s="19" t="n"/>
      <c r="Z459" s="13">
        <f>SUMPRODUCT(N459:Y459,$N$2:$Y$2)*$K459*$L459*$M459</f>
        <v/>
      </c>
      <c r="AA459" s="14">
        <f>SUM(N459:Y459)</f>
        <v/>
      </c>
      <c r="AB459" s="13">
        <f>SUMPRODUCT(N459:Y459,$N$3:$Y$3)*$K459*$L459*$M459</f>
        <v/>
      </c>
      <c r="AC459" s="13">
        <f>SUMPRODUCT(N459:Y459,$N$4:$Y$4)*$K459*$L459*$M459</f>
        <v/>
      </c>
      <c r="AD459" s="15" t="n">
        <v>49.16</v>
      </c>
      <c r="AE459" s="11" t="n">
        <v>1.009393430625511</v>
      </c>
      <c r="AF459" s="16">
        <f>SUMPRODUCT(N459:Y459,$N$5:$Y$5)*$K459*$L459*$M459</f>
        <v/>
      </c>
      <c r="AG459" s="16">
        <f>SUMPRODUCT(N459:Y459,$N$6:$Y$6)*$K459*$L459*$M459</f>
        <v/>
      </c>
      <c r="AH459" s="20" t="n"/>
    </row>
    <row r="460">
      <c r="A460" s="9" t="n">
        <v>680701</v>
      </c>
      <c r="B460" s="9" t="inlineStr">
        <is>
          <t>John Rooney</t>
        </is>
      </c>
      <c r="C460" s="9" t="inlineStr">
        <is>
          <t>HOU</t>
        </is>
      </c>
      <c r="D460" s="9" t="n">
        <v>30</v>
      </c>
      <c r="E460" s="18" t="inlineStr">
        <is>
          <t>L</t>
        </is>
      </c>
      <c r="F460" s="18" t="n"/>
      <c r="G460" s="9" t="n">
        <v>6</v>
      </c>
      <c r="H460" s="9" t="n">
        <v>6</v>
      </c>
      <c r="I460" s="9" t="inlineStr">
        <is>
          <t>Depth (no MLB IP)</t>
        </is>
      </c>
      <c r="J460" s="18" t="inlineStr">
        <is>
          <t>Opening Day</t>
        </is>
      </c>
      <c r="K460" s="11">
        <f>IFERROR(INDEX(Roles!$B$17:$B$20,MATCH(J460,Roles!$A$17:$A$20,0)),1)</f>
        <v/>
      </c>
      <c r="L460" s="19" t="n">
        <v>1</v>
      </c>
      <c r="M460" s="11" t="n">
        <v>1</v>
      </c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>
        <v>1</v>
      </c>
      <c r="Z460" s="13">
        <f>SUMPRODUCT(N460:Y460,$N$2:$Y$2)*$K460*$L460*$M460</f>
        <v/>
      </c>
      <c r="AA460" s="14">
        <f>SUM(N460:Y460)</f>
        <v/>
      </c>
      <c r="AB460" s="13">
        <f>SUMPRODUCT(N460:Y460,$N$3:$Y$3)*$K460*$L460*$M460</f>
        <v/>
      </c>
      <c r="AC460" s="13">
        <f>SUMPRODUCT(N460:Y460,$N$4:$Y$4)*$K460*$L460*$M460</f>
        <v/>
      </c>
      <c r="AD460" s="15" t="n">
        <v>1.8</v>
      </c>
      <c r="AE460" s="11" t="n">
        <v>1.118641975308642</v>
      </c>
      <c r="AF460" s="16">
        <f>SUMPRODUCT(N460:Y460,$N$5:$Y$5)*$K460*$L460*$M460</f>
        <v/>
      </c>
      <c r="AG460" s="16">
        <f>SUMPRODUCT(N460:Y460,$N$6:$Y$6)*$K460*$L460*$M460</f>
        <v/>
      </c>
      <c r="AH460" s="20" t="n"/>
    </row>
    <row r="461">
      <c r="A461" s="9" t="n">
        <v>682144</v>
      </c>
      <c r="B461" s="9" t="inlineStr">
        <is>
          <t>Jayvien Sandridge</t>
        </is>
      </c>
      <c r="C461" s="9" t="inlineStr">
        <is>
          <t>NYY</t>
        </is>
      </c>
      <c r="D461" s="9" t="n">
        <v>28</v>
      </c>
      <c r="E461" s="18" t="inlineStr">
        <is>
          <t>L</t>
        </is>
      </c>
      <c r="F461" s="18" t="n"/>
      <c r="G461" s="9" t="n">
        <v>6</v>
      </c>
      <c r="H461" s="9" t="n">
        <v>6</v>
      </c>
      <c r="I461" s="9" t="inlineStr">
        <is>
          <t>Depth (no MLB IP)</t>
        </is>
      </c>
      <c r="J461" s="18" t="inlineStr">
        <is>
          <t>Opening Day</t>
        </is>
      </c>
      <c r="K461" s="11">
        <f>IFERROR(INDEX(Roles!$B$17:$B$20,MATCH(J461,Roles!$A$17:$A$20,0)),1)</f>
        <v/>
      </c>
      <c r="L461" s="19" t="n">
        <v>1</v>
      </c>
      <c r="M461" s="11" t="n">
        <v>1</v>
      </c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>
        <v>1</v>
      </c>
      <c r="Z461" s="13">
        <f>SUMPRODUCT(N461:Y461,$N$2:$Y$2)*$K461*$L461*$M461</f>
        <v/>
      </c>
      <c r="AA461" s="14">
        <f>SUM(N461:Y461)</f>
        <v/>
      </c>
      <c r="AB461" s="13">
        <f>SUMPRODUCT(N461:Y461,$N$3:$Y$3)*$K461*$L461*$M461</f>
        <v/>
      </c>
      <c r="AC461" s="13">
        <f>SUMPRODUCT(N461:Y461,$N$4:$Y$4)*$K461*$L461*$M461</f>
        <v/>
      </c>
      <c r="AD461" s="15" t="n">
        <v>1.8</v>
      </c>
      <c r="AE461" s="11" t="n">
        <v>0.8964197530864197</v>
      </c>
      <c r="AF461" s="16">
        <f>SUMPRODUCT(N461:Y461,$N$5:$Y$5)*$K461*$L461*$M461</f>
        <v/>
      </c>
      <c r="AG461" s="16">
        <f>SUMPRODUCT(N461:Y461,$N$6:$Y$6)*$K461*$L461*$M461</f>
        <v/>
      </c>
      <c r="AH461" s="20" t="n"/>
    </row>
    <row r="462">
      <c r="A462" s="9" t="n">
        <v>621051</v>
      </c>
      <c r="B462" s="9" t="inlineStr">
        <is>
          <t>Steven Wilson</t>
        </is>
      </c>
      <c r="C462" s="9" t="inlineStr">
        <is>
          <t>CWS</t>
        </is>
      </c>
      <c r="D462" s="9" t="n">
        <v>32</v>
      </c>
      <c r="E462" s="18" t="inlineStr">
        <is>
          <t>R</t>
        </is>
      </c>
      <c r="F462" s="18" t="n"/>
      <c r="G462" s="9" t="n">
        <v>241</v>
      </c>
      <c r="H462" s="9" t="n">
        <v>837</v>
      </c>
      <c r="I462" s="9" t="inlineStr">
        <is>
          <t>Bullpen Depth Arm</t>
        </is>
      </c>
      <c r="J462" s="18" t="inlineStr">
        <is>
          <t>Opening Day</t>
        </is>
      </c>
      <c r="K462" s="11">
        <f>IFERROR(INDEX(Roles!$B$17:$B$20,MATCH(J462,Roles!$A$17:$A$20,0)),1)</f>
        <v/>
      </c>
      <c r="L462" s="19" t="n">
        <v>1</v>
      </c>
      <c r="M462" s="11" t="n">
        <v>1</v>
      </c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>
        <v>1</v>
      </c>
      <c r="X462" s="19" t="n"/>
      <c r="Y462" s="19" t="n"/>
      <c r="Z462" s="13">
        <f>SUMPRODUCT(N462:Y462,$N$2:$Y$2)*$K462*$L462*$M462</f>
        <v/>
      </c>
      <c r="AA462" s="14">
        <f>SUM(N462:Y462)</f>
        <v/>
      </c>
      <c r="AB462" s="13">
        <f>SUMPRODUCT(N462:Y462,$N$3:$Y$3)*$K462*$L462*$M462</f>
        <v/>
      </c>
      <c r="AC462" s="13">
        <f>SUMPRODUCT(N462:Y462,$N$4:$Y$4)*$K462*$L462*$M462</f>
        <v/>
      </c>
      <c r="AD462" s="15" t="n">
        <v>37.26666666666667</v>
      </c>
      <c r="AE462" s="11" t="n">
        <v>1.108117542716699</v>
      </c>
      <c r="AF462" s="16">
        <f>SUMPRODUCT(N462:Y462,$N$5:$Y$5)*$K462*$L462*$M462</f>
        <v/>
      </c>
      <c r="AG462" s="16">
        <f>SUMPRODUCT(N462:Y462,$N$6:$Y$6)*$K462*$L462*$M462</f>
        <v/>
      </c>
      <c r="AH462" s="20" t="n"/>
    </row>
    <row r="463">
      <c r="A463" s="9" t="n">
        <v>662144</v>
      </c>
      <c r="B463" s="9" t="inlineStr">
        <is>
          <t>Brian Keller</t>
        </is>
      </c>
      <c r="C463" s="9" t="inlineStr">
        <is>
          <t>PHI</t>
        </is>
      </c>
      <c r="D463" s="9" t="n">
        <v>33</v>
      </c>
      <c r="E463" s="18" t="inlineStr">
        <is>
          <t>R</t>
        </is>
      </c>
      <c r="F463" s="18" t="n"/>
      <c r="G463" s="9" t="n">
        <v>11</v>
      </c>
      <c r="H463" s="9" t="n">
        <v>11</v>
      </c>
      <c r="I463" s="9" t="inlineStr">
        <is>
          <t>Depth (no MLB IP)</t>
        </is>
      </c>
      <c r="J463" s="18" t="inlineStr">
        <is>
          <t>Opening Day</t>
        </is>
      </c>
      <c r="K463" s="11">
        <f>IFERROR(INDEX(Roles!$B$17:$B$20,MATCH(J463,Roles!$A$17:$A$20,0)),1)</f>
        <v/>
      </c>
      <c r="L463" s="19" t="n">
        <v>1</v>
      </c>
      <c r="M463" s="11" t="n">
        <v>1</v>
      </c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>
        <v>1</v>
      </c>
      <c r="Z463" s="13">
        <f>SUMPRODUCT(N463:Y463,$N$2:$Y$2)*$K463*$L463*$M463</f>
        <v/>
      </c>
      <c r="AA463" s="14">
        <f>SUM(N463:Y463)</f>
        <v/>
      </c>
      <c r="AB463" s="13">
        <f>SUMPRODUCT(N463:Y463,$N$3:$Y$3)*$K463*$L463*$M463</f>
        <v/>
      </c>
      <c r="AC463" s="13">
        <f>SUMPRODUCT(N463:Y463,$N$4:$Y$4)*$K463*$L463*$M463</f>
        <v/>
      </c>
      <c r="AD463" s="15" t="n">
        <v>1.8</v>
      </c>
      <c r="AE463" s="11" t="n">
        <v>1.674197530864197</v>
      </c>
      <c r="AF463" s="16">
        <f>SUMPRODUCT(N463:Y463,$N$5:$Y$5)*$K463*$L463*$M463</f>
        <v/>
      </c>
      <c r="AG463" s="16">
        <f>SUMPRODUCT(N463:Y463,$N$6:$Y$6)*$K463*$L463*$M463</f>
        <v/>
      </c>
      <c r="AH463" s="20" t="n"/>
    </row>
    <row r="464">
      <c r="A464" s="9" t="n">
        <v>477132</v>
      </c>
      <c r="B464" s="9" t="inlineStr">
        <is>
          <t>Clayton Kershaw</t>
        </is>
      </c>
      <c r="C464" s="9" t="inlineStr">
        <is>
          <t>LAD</t>
        </is>
      </c>
      <c r="D464" s="9" t="n">
        <v>39</v>
      </c>
      <c r="E464" s="18" t="inlineStr">
        <is>
          <t>L</t>
        </is>
      </c>
      <c r="F464" s="18" t="n"/>
      <c r="G464" s="9" t="n">
        <v>463</v>
      </c>
      <c r="H464" s="9" t="n">
        <v>1612</v>
      </c>
      <c r="I464" s="9" t="inlineStr">
        <is>
          <t>End-of-Rotation Starter (SP4-5)</t>
        </is>
      </c>
      <c r="J464" s="18" t="inlineStr">
        <is>
          <t>Opening Day</t>
        </is>
      </c>
      <c r="K464" s="11">
        <f>IFERROR(INDEX(Roles!$B$17:$B$20,MATCH(J464,Roles!$A$17:$A$20,0)),1)</f>
        <v/>
      </c>
      <c r="L464" s="19" t="n">
        <v>1</v>
      </c>
      <c r="M464" s="11" t="n">
        <v>1</v>
      </c>
      <c r="N464" s="19" t="n"/>
      <c r="O464" s="19" t="n"/>
      <c r="P464" s="19" t="n">
        <v>1</v>
      </c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3">
        <f>SUMPRODUCT(N464:Y464,$N$2:$Y$2)*$K464*$L464*$M464</f>
        <v/>
      </c>
      <c r="AA464" s="14">
        <f>SUM(N464:Y464)</f>
        <v/>
      </c>
      <c r="AB464" s="13">
        <f>SUMPRODUCT(N464:Y464,$N$3:$Y$3)*$K464*$L464*$M464</f>
        <v/>
      </c>
      <c r="AC464" s="13">
        <f>SUMPRODUCT(N464:Y464,$N$4:$Y$4)*$K464*$L464*$M464</f>
        <v/>
      </c>
      <c r="AD464" s="15" t="n">
        <v>17</v>
      </c>
      <c r="AE464" s="11" t="n">
        <v>4.642907058001398</v>
      </c>
      <c r="AF464" s="16">
        <f>SUMPRODUCT(N464:Y464,$N$5:$Y$5)*$K464*$L464*$M464</f>
        <v/>
      </c>
      <c r="AG464" s="16">
        <f>SUMPRODUCT(N464:Y464,$N$6:$Y$6)*$K464*$L464*$M464</f>
        <v/>
      </c>
      <c r="AH464" s="20" t="n"/>
    </row>
    <row r="465">
      <c r="A465" s="9" t="n">
        <v>543056</v>
      </c>
      <c r="B465" s="9" t="inlineStr">
        <is>
          <t>Danny Coulombe</t>
        </is>
      </c>
      <c r="C465" s="9" t="inlineStr">
        <is>
          <t>BOS</t>
        </is>
      </c>
      <c r="D465" s="9" t="n">
        <v>37</v>
      </c>
      <c r="E465" s="18" t="inlineStr">
        <is>
          <t>L</t>
        </is>
      </c>
      <c r="F465" s="18" t="n"/>
      <c r="G465" s="9" t="n">
        <v>96</v>
      </c>
      <c r="H465" s="9" t="n">
        <v>642</v>
      </c>
      <c r="I465" s="9" t="inlineStr">
        <is>
          <t>Middle Relief</t>
        </is>
      </c>
      <c r="J465" s="18" t="inlineStr">
        <is>
          <t>Opening Day</t>
        </is>
      </c>
      <c r="K465" s="11">
        <f>IFERROR(INDEX(Roles!$B$17:$B$20,MATCH(J465,Roles!$A$17:$A$20,0)),1)</f>
        <v/>
      </c>
      <c r="L465" s="19" t="n">
        <v>1</v>
      </c>
      <c r="M465" s="11" t="n">
        <v>1</v>
      </c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>
        <v>1</v>
      </c>
      <c r="W465" s="19" t="n"/>
      <c r="X465" s="19" t="n"/>
      <c r="Y465" s="19" t="n"/>
      <c r="Z465" s="13">
        <f>SUMPRODUCT(N465:Y465,$N$2:$Y$2)*$K465*$L465*$M465</f>
        <v/>
      </c>
      <c r="AA465" s="14">
        <f>SUM(N465:Y465)</f>
        <v/>
      </c>
      <c r="AB465" s="13">
        <f>SUMPRODUCT(N465:Y465,$N$3:$Y$3)*$K465*$L465*$M465</f>
        <v/>
      </c>
      <c r="AC465" s="13">
        <f>SUMPRODUCT(N465:Y465,$N$4:$Y$4)*$K465*$L465*$M465</f>
        <v/>
      </c>
      <c r="AD465" s="15" t="n">
        <v>37.73333333333333</v>
      </c>
      <c r="AE465" s="11" t="n">
        <v>0.9524287889300032</v>
      </c>
      <c r="AF465" s="16">
        <f>SUMPRODUCT(N465:Y465,$N$5:$Y$5)*$K465*$L465*$M465</f>
        <v/>
      </c>
      <c r="AG465" s="16">
        <f>SUMPRODUCT(N465:Y465,$N$6:$Y$6)*$K465*$L465*$M465</f>
        <v/>
      </c>
      <c r="AH465" s="20" t="n"/>
    </row>
    <row r="466">
      <c r="A466" s="9" t="n">
        <v>682243</v>
      </c>
      <c r="B466" s="9" t="inlineStr">
        <is>
          <t>Bryce Miller</t>
        </is>
      </c>
      <c r="C466" s="9" t="inlineStr">
        <is>
          <t>SEA</t>
        </is>
      </c>
      <c r="D466" s="9" t="n">
        <v>28</v>
      </c>
      <c r="E466" s="18" t="inlineStr">
        <is>
          <t>R</t>
        </is>
      </c>
      <c r="F466" s="18" t="n"/>
      <c r="G466" s="9" t="n">
        <v>485</v>
      </c>
      <c r="H466" s="9" t="n">
        <v>2118</v>
      </c>
      <c r="I466" s="9" t="inlineStr">
        <is>
          <t>Swing Arm / Long Relief</t>
        </is>
      </c>
      <c r="J466" s="18" t="inlineStr">
        <is>
          <t>Opening Day</t>
        </is>
      </c>
      <c r="K466" s="11">
        <f>IFERROR(INDEX(Roles!$B$17:$B$20,MATCH(J466,Roles!$A$17:$A$20,0)),1)</f>
        <v/>
      </c>
      <c r="L466" s="19" t="n">
        <v>1</v>
      </c>
      <c r="M466" s="11" t="n">
        <v>1</v>
      </c>
      <c r="N466" s="19" t="n"/>
      <c r="O466" s="19" t="n"/>
      <c r="P466" s="19" t="n"/>
      <c r="Q466" s="19" t="n"/>
      <c r="R466" s="19" t="n">
        <v>0.5</v>
      </c>
      <c r="S466" s="19" t="n"/>
      <c r="T466" s="19" t="n"/>
      <c r="U466" s="19" t="n"/>
      <c r="V466" s="19" t="n">
        <v>0.5</v>
      </c>
      <c r="W466" s="19" t="n"/>
      <c r="X466" s="19" t="n"/>
      <c r="Y466" s="19" t="n"/>
      <c r="Z466" s="13">
        <f>SUMPRODUCT(N466:Y466,$N$2:$Y$2)*$K466*$L466*$M466</f>
        <v/>
      </c>
      <c r="AA466" s="14">
        <f>SUM(N466:Y466)</f>
        <v/>
      </c>
      <c r="AB466" s="13">
        <f>SUMPRODUCT(N466:Y466,$N$3:$Y$3)*$K466*$L466*$M466</f>
        <v/>
      </c>
      <c r="AC466" s="13">
        <f>SUMPRODUCT(N466:Y466,$N$4:$Y$4)*$K466*$L466*$M466</f>
        <v/>
      </c>
      <c r="AD466" s="15" t="n">
        <v>21.43333333333333</v>
      </c>
      <c r="AE466" s="11" t="n">
        <v>3.465480641494446</v>
      </c>
      <c r="AF466" s="16">
        <f>SUMPRODUCT(N466:Y466,$N$5:$Y$5)*$K466*$L466*$M466</f>
        <v/>
      </c>
      <c r="AG466" s="16">
        <f>SUMPRODUCT(N466:Y466,$N$6:$Y$6)*$K466*$L466*$M466</f>
        <v/>
      </c>
      <c r="AH466" s="20" t="n"/>
    </row>
    <row r="467">
      <c r="A467" s="9" t="n">
        <v>663455</v>
      </c>
      <c r="B467" s="9" t="inlineStr">
        <is>
          <t>Konnor Pilkington</t>
        </is>
      </c>
      <c r="C467" s="9" t="inlineStr">
        <is>
          <t>WSH</t>
        </is>
      </c>
      <c r="D467" s="9" t="n">
        <v>29</v>
      </c>
      <c r="E467" s="18" t="inlineStr">
        <is>
          <t>L</t>
        </is>
      </c>
      <c r="F467" s="18" t="n"/>
      <c r="G467" s="9" t="n">
        <v>123</v>
      </c>
      <c r="H467" s="9" t="n">
        <v>389</v>
      </c>
      <c r="I467" s="9" t="inlineStr">
        <is>
          <t>Bullpen Depth Arm</t>
        </is>
      </c>
      <c r="J467" s="18" t="inlineStr">
        <is>
          <t>Opening Day</t>
        </is>
      </c>
      <c r="K467" s="11">
        <f>IFERROR(INDEX(Roles!$B$17:$B$20,MATCH(J467,Roles!$A$17:$A$20,0)),1)</f>
        <v/>
      </c>
      <c r="L467" s="19" t="n">
        <v>1</v>
      </c>
      <c r="M467" s="11" t="n">
        <v>1</v>
      </c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>
        <v>1</v>
      </c>
      <c r="X467" s="19" t="n"/>
      <c r="Y467" s="19" t="n"/>
      <c r="Z467" s="13">
        <f>SUMPRODUCT(N467:Y467,$N$2:$Y$2)*$K467*$L467*$M467</f>
        <v/>
      </c>
      <c r="AA467" s="14">
        <f>SUM(N467:Y467)</f>
        <v/>
      </c>
      <c r="AB467" s="13">
        <f>SUMPRODUCT(N467:Y467,$N$3:$Y$3)*$K467*$L467*$M467</f>
        <v/>
      </c>
      <c r="AC467" s="13">
        <f>SUMPRODUCT(N467:Y467,$N$4:$Y$4)*$K467*$L467*$M467</f>
        <v/>
      </c>
      <c r="AD467" s="15" t="n">
        <v>24.86666666666667</v>
      </c>
      <c r="AE467" s="11" t="n">
        <v>1.096646023729357</v>
      </c>
      <c r="AF467" s="16">
        <f>SUMPRODUCT(N467:Y467,$N$5:$Y$5)*$K467*$L467*$M467</f>
        <v/>
      </c>
      <c r="AG467" s="16">
        <f>SUMPRODUCT(N467:Y467,$N$6:$Y$6)*$K467*$L467*$M467</f>
        <v/>
      </c>
      <c r="AH467" s="20" t="n"/>
    </row>
    <row r="468">
      <c r="A468" s="9" t="n">
        <v>680891</v>
      </c>
      <c r="B468" s="9" t="inlineStr">
        <is>
          <t>Jack Neely</t>
        </is>
      </c>
      <c r="C468" s="9" t="inlineStr">
        <is>
          <t>CHC</t>
        </is>
      </c>
      <c r="D468" s="9" t="n">
        <v>27</v>
      </c>
      <c r="E468" s="18" t="inlineStr">
        <is>
          <t>R</t>
        </is>
      </c>
      <c r="F468" s="18" t="n"/>
      <c r="G468" s="9" t="n">
        <v>28</v>
      </c>
      <c r="H468" s="9" t="n">
        <v>28</v>
      </c>
      <c r="I468" s="9" t="inlineStr">
        <is>
          <t>Depth (no MLB IP)</t>
        </is>
      </c>
      <c r="J468" s="18" t="inlineStr">
        <is>
          <t>Opening Day</t>
        </is>
      </c>
      <c r="K468" s="11">
        <f>IFERROR(INDEX(Roles!$B$17:$B$20,MATCH(J468,Roles!$A$17:$A$20,0)),1)</f>
        <v/>
      </c>
      <c r="L468" s="19" t="n">
        <v>1</v>
      </c>
      <c r="M468" s="11" t="n">
        <v>1</v>
      </c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>
        <v>1</v>
      </c>
      <c r="Z468" s="13">
        <f>SUMPRODUCT(N468:Y468,$N$2:$Y$2)*$K468*$L468*$M468</f>
        <v/>
      </c>
      <c r="AA468" s="14">
        <f>SUM(N468:Y468)</f>
        <v/>
      </c>
      <c r="AB468" s="13">
        <f>SUMPRODUCT(N468:Y468,$N$3:$Y$3)*$K468*$L468*$M468</f>
        <v/>
      </c>
      <c r="AC468" s="13">
        <f>SUMPRODUCT(N468:Y468,$N$4:$Y$4)*$K468*$L468*$M468</f>
        <v/>
      </c>
      <c r="AD468" s="15" t="n">
        <v>4.8</v>
      </c>
      <c r="AE468" s="11" t="n">
        <v>1.007530864197531</v>
      </c>
      <c r="AF468" s="16">
        <f>SUMPRODUCT(N468:Y468,$N$5:$Y$5)*$K468*$L468*$M468</f>
        <v/>
      </c>
      <c r="AG468" s="16">
        <f>SUMPRODUCT(N468:Y468,$N$6:$Y$6)*$K468*$L468*$M468</f>
        <v/>
      </c>
      <c r="AH468" s="20" t="n"/>
    </row>
    <row r="469">
      <c r="A469" s="9" t="n">
        <v>666974</v>
      </c>
      <c r="B469" s="9" t="inlineStr">
        <is>
          <t>Yennier Cano</t>
        </is>
      </c>
      <c r="C469" s="9" t="inlineStr">
        <is>
          <t>BAL</t>
        </is>
      </c>
      <c r="D469" s="9" t="n">
        <v>33</v>
      </c>
      <c r="E469" s="18" t="inlineStr">
        <is>
          <t>R</t>
        </is>
      </c>
      <c r="F469" s="18" t="n"/>
      <c r="G469" s="9" t="n">
        <v>204</v>
      </c>
      <c r="H469" s="9" t="n">
        <v>1084</v>
      </c>
      <c r="I469" s="9" t="inlineStr">
        <is>
          <t>Late Inning RP (Setup)</t>
        </is>
      </c>
      <c r="J469" s="18" t="inlineStr">
        <is>
          <t>Opening Day</t>
        </is>
      </c>
      <c r="K469" s="11">
        <f>IFERROR(INDEX(Roles!$B$17:$B$20,MATCH(J469,Roles!$A$17:$A$20,0)),1)</f>
        <v/>
      </c>
      <c r="L469" s="19" t="n">
        <v>1</v>
      </c>
      <c r="M469" s="11" t="n">
        <v>1</v>
      </c>
      <c r="N469" s="19" t="n"/>
      <c r="O469" s="19" t="n"/>
      <c r="P469" s="19" t="n"/>
      <c r="Q469" s="19" t="n"/>
      <c r="R469" s="19" t="n"/>
      <c r="S469" s="19" t="n"/>
      <c r="T469" s="19" t="n"/>
      <c r="U469" s="19" t="n">
        <v>0.85</v>
      </c>
      <c r="V469" s="19" t="n">
        <v>0.15</v>
      </c>
      <c r="W469" s="19" t="n"/>
      <c r="X469" s="19" t="n"/>
      <c r="Y469" s="19" t="n"/>
      <c r="Z469" s="13">
        <f>SUMPRODUCT(N469:Y469,$N$2:$Y$2)*$K469*$L469*$M469</f>
        <v/>
      </c>
      <c r="AA469" s="14">
        <f>SUM(N469:Y469)</f>
        <v/>
      </c>
      <c r="AB469" s="13">
        <f>SUMPRODUCT(N469:Y469,$N$3:$Y$3)*$K469*$L469*$M469</f>
        <v/>
      </c>
      <c r="AC469" s="13">
        <f>SUMPRODUCT(N469:Y469,$N$4:$Y$4)*$K469*$L469*$M469</f>
        <v/>
      </c>
      <c r="AD469" s="15" t="n">
        <v>59.6</v>
      </c>
      <c r="AE469" s="11" t="n">
        <v>0.9278740374037404</v>
      </c>
      <c r="AF469" s="16">
        <f>SUMPRODUCT(N469:Y469,$N$5:$Y$5)*$K469*$L469*$M469</f>
        <v/>
      </c>
      <c r="AG469" s="16">
        <f>SUMPRODUCT(N469:Y469,$N$6:$Y$6)*$K469*$L469*$M469</f>
        <v/>
      </c>
      <c r="AH469" s="20" t="n"/>
    </row>
    <row r="470">
      <c r="A470" s="9" t="n">
        <v>682052</v>
      </c>
      <c r="B470" s="9" t="inlineStr">
        <is>
          <t>Jacob Lopez</t>
        </is>
      </c>
      <c r="C470" s="9" t="inlineStr">
        <is>
          <t>OAK</t>
        </is>
      </c>
      <c r="D470" s="9" t="n">
        <v>29</v>
      </c>
      <c r="E470" s="18" t="inlineStr">
        <is>
          <t>L</t>
        </is>
      </c>
      <c r="F470" s="18" t="n"/>
      <c r="G470" s="9" t="n">
        <v>551</v>
      </c>
      <c r="H470" s="9" t="n">
        <v>1050</v>
      </c>
      <c r="I470" s="9" t="inlineStr">
        <is>
          <t>Ace (SP1)</t>
        </is>
      </c>
      <c r="J470" s="18" t="inlineStr">
        <is>
          <t>Opening Day</t>
        </is>
      </c>
      <c r="K470" s="11">
        <f>IFERROR(INDEX(Roles!$B$17:$B$20,MATCH(J470,Roles!$A$17:$A$20,0)),1)</f>
        <v/>
      </c>
      <c r="L470" s="19" t="n">
        <v>1</v>
      </c>
      <c r="M470" s="11" t="n">
        <v>1</v>
      </c>
      <c r="N470" s="19" t="n">
        <v>0.5</v>
      </c>
      <c r="O470" s="19" t="n">
        <v>0.5</v>
      </c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3">
        <f>SUMPRODUCT(N470:Y470,$N$2:$Y$2)*$K470*$L470*$M470</f>
        <v/>
      </c>
      <c r="AA470" s="14">
        <f>SUM(N470:Y470)</f>
        <v/>
      </c>
      <c r="AB470" s="13">
        <f>SUMPRODUCT(N470:Y470,$N$3:$Y$3)*$K470*$L470*$M470</f>
        <v/>
      </c>
      <c r="AC470" s="13">
        <f>SUMPRODUCT(N470:Y470,$N$4:$Y$4)*$K470*$L470*$M470</f>
        <v/>
      </c>
      <c r="AD470" s="15" t="n">
        <v>22.9</v>
      </c>
      <c r="AE470" s="11" t="n">
        <v>5.230721159855018</v>
      </c>
      <c r="AF470" s="16">
        <f>SUMPRODUCT(N470:Y470,$N$5:$Y$5)*$K470*$L470*$M470</f>
        <v/>
      </c>
      <c r="AG470" s="16">
        <f>SUMPRODUCT(N470:Y470,$N$6:$Y$6)*$K470*$L470*$M470</f>
        <v/>
      </c>
      <c r="AH470" s="20" t="n"/>
    </row>
    <row r="471">
      <c r="A471" s="9" t="n">
        <v>681857</v>
      </c>
      <c r="B471" s="9" t="inlineStr">
        <is>
          <t>Reese Olson</t>
        </is>
      </c>
      <c r="C471" s="9" t="inlineStr">
        <is>
          <t>DET</t>
        </is>
      </c>
      <c r="D471" s="9" t="n">
        <v>27</v>
      </c>
      <c r="E471" s="18" t="inlineStr">
        <is>
          <t>R</t>
        </is>
      </c>
      <c r="F471" s="18" t="n"/>
      <c r="G471" s="9" t="n">
        <v>285</v>
      </c>
      <c r="H471" s="9" t="n">
        <v>1172</v>
      </c>
      <c r="I471" s="9" t="inlineStr">
        <is>
          <t>Bullpen Depth Arm</t>
        </is>
      </c>
      <c r="J471" s="18" t="inlineStr">
        <is>
          <t>Opening Day</t>
        </is>
      </c>
      <c r="K471" s="11">
        <f>IFERROR(INDEX(Roles!$B$17:$B$20,MATCH(J471,Roles!$A$17:$A$20,0)),1)</f>
        <v/>
      </c>
      <c r="L471" s="19" t="n">
        <v>1</v>
      </c>
      <c r="M471" s="11" t="n">
        <v>1</v>
      </c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>
        <v>1</v>
      </c>
      <c r="X471" s="19" t="n"/>
      <c r="Y471" s="19" t="n"/>
      <c r="Z471" s="13">
        <f>SUMPRODUCT(N471:Y471,$N$2:$Y$2)*$K471*$L471*$M471</f>
        <v/>
      </c>
      <c r="AA471" s="14">
        <f>SUM(N471:Y471)</f>
        <v/>
      </c>
      <c r="AB471" s="13">
        <f>SUMPRODUCT(N471:Y471,$N$3:$Y$3)*$K471*$L471*$M471</f>
        <v/>
      </c>
      <c r="AC471" s="13">
        <f>SUMPRODUCT(N471:Y471,$N$4:$Y$4)*$K471*$L471*$M471</f>
        <v/>
      </c>
      <c r="AD471" s="15" t="n">
        <v>15.26666666666667</v>
      </c>
      <c r="AE471" s="11" t="n">
        <v>2.535303431136764</v>
      </c>
      <c r="AF471" s="16">
        <f>SUMPRODUCT(N471:Y471,$N$5:$Y$5)*$K471*$L471*$M471</f>
        <v/>
      </c>
      <c r="AG471" s="16">
        <f>SUMPRODUCT(N471:Y471,$N$6:$Y$6)*$K471*$L471*$M471</f>
        <v/>
      </c>
      <c r="AH471" s="20" t="n"/>
    </row>
    <row r="472">
      <c r="A472" s="9" t="n">
        <v>691548</v>
      </c>
      <c r="B472" s="9" t="inlineStr">
        <is>
          <t>Rolddy Muñoz</t>
        </is>
      </c>
      <c r="C472" s="9" t="inlineStr">
        <is>
          <t>ATL</t>
        </is>
      </c>
      <c r="D472" s="9" t="n">
        <v>27</v>
      </c>
      <c r="E472" s="18" t="inlineStr">
        <is>
          <t>R</t>
        </is>
      </c>
      <c r="F472" s="18" t="n"/>
      <c r="G472" s="9" t="n">
        <v>12</v>
      </c>
      <c r="H472" s="9" t="n">
        <v>33</v>
      </c>
      <c r="I472" s="9" t="inlineStr">
        <is>
          <t>Depth (no MLB IP)</t>
        </is>
      </c>
      <c r="J472" s="18" t="inlineStr">
        <is>
          <t>Opening Day</t>
        </is>
      </c>
      <c r="K472" s="11">
        <f>IFERROR(INDEX(Roles!$B$17:$B$20,MATCH(J472,Roles!$A$17:$A$20,0)),1)</f>
        <v/>
      </c>
      <c r="L472" s="19" t="n">
        <v>1</v>
      </c>
      <c r="M472" s="11" t="n">
        <v>1</v>
      </c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>
        <v>1</v>
      </c>
      <c r="Z472" s="13">
        <f>SUMPRODUCT(N472:Y472,$N$2:$Y$2)*$K472*$L472*$M472</f>
        <v/>
      </c>
      <c r="AA472" s="14">
        <f>SUM(N472:Y472)</f>
        <v/>
      </c>
      <c r="AB472" s="13">
        <f>SUMPRODUCT(N472:Y472,$N$3:$Y$3)*$K472*$L472*$M472</f>
        <v/>
      </c>
      <c r="AC472" s="13">
        <f>SUMPRODUCT(N472:Y472,$N$4:$Y$4)*$K472*$L472*$M472</f>
        <v/>
      </c>
      <c r="AD472" s="15" t="n">
        <v>2.28</v>
      </c>
      <c r="AE472" s="11" t="n">
        <v>1.168024691358025</v>
      </c>
      <c r="AF472" s="16">
        <f>SUMPRODUCT(N472:Y472,$N$5:$Y$5)*$K472*$L472*$M472</f>
        <v/>
      </c>
      <c r="AG472" s="16">
        <f>SUMPRODUCT(N472:Y472,$N$6:$Y$6)*$K472*$L472*$M472</f>
        <v/>
      </c>
      <c r="AH472" s="20" t="n"/>
    </row>
    <row r="473">
      <c r="A473" s="9" t="n">
        <v>529017</v>
      </c>
      <c r="B473" s="9" t="inlineStr">
        <is>
          <t>Alexander Cornielle</t>
        </is>
      </c>
      <c r="C473" s="9" t="inlineStr">
        <is>
          <t>NYY</t>
        </is>
      </c>
      <c r="D473" s="9" t="n">
        <v>25</v>
      </c>
      <c r="E473" s="18" t="inlineStr">
        <is>
          <t>R</t>
        </is>
      </c>
      <c r="F473" s="18" t="n"/>
      <c r="G473" s="9" t="n">
        <v>7</v>
      </c>
      <c r="H473" s="9" t="n">
        <v>7</v>
      </c>
      <c r="I473" s="9" t="inlineStr">
        <is>
          <t>Depth (no MLB IP)</t>
        </is>
      </c>
      <c r="J473" s="18" t="inlineStr">
        <is>
          <t>Opening Day</t>
        </is>
      </c>
      <c r="K473" s="11">
        <f>IFERROR(INDEX(Roles!$B$17:$B$20,MATCH(J473,Roles!$A$17:$A$20,0)),1)</f>
        <v/>
      </c>
      <c r="L473" s="19" t="n">
        <v>1</v>
      </c>
      <c r="M473" s="11" t="n">
        <v>1</v>
      </c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>
        <v>1</v>
      </c>
      <c r="Z473" s="13">
        <f>SUMPRODUCT(N473:Y473,$N$2:$Y$2)*$K473*$L473*$M473</f>
        <v/>
      </c>
      <c r="AA473" s="14">
        <f>SUM(N473:Y473)</f>
        <v/>
      </c>
      <c r="AB473" s="13">
        <f>SUMPRODUCT(N473:Y473,$N$3:$Y$3)*$K473*$L473*$M473</f>
        <v/>
      </c>
      <c r="AC473" s="13">
        <f>SUMPRODUCT(N473:Y473,$N$4:$Y$4)*$K473*$L473*$M473</f>
        <v/>
      </c>
      <c r="AD473" s="15" t="n">
        <v>1.8</v>
      </c>
      <c r="AE473" s="11" t="n">
        <v>1.007530864197531</v>
      </c>
      <c r="AF473" s="16">
        <f>SUMPRODUCT(N473:Y473,$N$5:$Y$5)*$K473*$L473*$M473</f>
        <v/>
      </c>
      <c r="AG473" s="16">
        <f>SUMPRODUCT(N473:Y473,$N$6:$Y$6)*$K473*$L473*$M473</f>
        <v/>
      </c>
      <c r="AH473" s="20" t="n"/>
    </row>
    <row r="474">
      <c r="A474" s="9" t="n">
        <v>656420</v>
      </c>
      <c r="B474" s="9" t="inlineStr">
        <is>
          <t>J.P. Feyereisen</t>
        </is>
      </c>
      <c r="C474" s="9" t="inlineStr">
        <is>
          <t>LAD</t>
        </is>
      </c>
      <c r="D474" s="9" t="n">
        <v>34</v>
      </c>
      <c r="E474" s="18" t="inlineStr">
        <is>
          <t>R</t>
        </is>
      </c>
      <c r="F474" s="18" t="n"/>
      <c r="G474" s="9" t="n">
        <v>23</v>
      </c>
      <c r="H474" s="9" t="n">
        <v>157</v>
      </c>
      <c r="I474" s="9" t="inlineStr">
        <is>
          <t>Depth (no MLB IP)</t>
        </is>
      </c>
      <c r="J474" s="18" t="inlineStr">
        <is>
          <t>Opening Day</t>
        </is>
      </c>
      <c r="K474" s="11">
        <f>IFERROR(INDEX(Roles!$B$17:$B$20,MATCH(J474,Roles!$A$17:$A$20,0)),1)</f>
        <v/>
      </c>
      <c r="L474" s="19" t="n">
        <v>1</v>
      </c>
      <c r="M474" s="11" t="n">
        <v>1</v>
      </c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>
        <v>1</v>
      </c>
      <c r="Z474" s="13">
        <f>SUMPRODUCT(N474:Y474,$N$2:$Y$2)*$K474*$L474*$M474</f>
        <v/>
      </c>
      <c r="AA474" s="14">
        <f>SUM(N474:Y474)</f>
        <v/>
      </c>
      <c r="AB474" s="13">
        <f>SUMPRODUCT(N474:Y474,$N$3:$Y$3)*$K474*$L474*$M474</f>
        <v/>
      </c>
      <c r="AC474" s="13">
        <f>SUMPRODUCT(N474:Y474,$N$4:$Y$4)*$K474*$L474*$M474</f>
        <v/>
      </c>
      <c r="AD474" s="15" t="n">
        <v>4.8</v>
      </c>
      <c r="AE474" s="11" t="n">
        <v>1.026049382716049</v>
      </c>
      <c r="AF474" s="16">
        <f>SUMPRODUCT(N474:Y474,$N$5:$Y$5)*$K474*$L474*$M474</f>
        <v/>
      </c>
      <c r="AG474" s="16">
        <f>SUMPRODUCT(N474:Y474,$N$6:$Y$6)*$K474*$L474*$M474</f>
        <v/>
      </c>
      <c r="AH474" s="20" t="n"/>
    </row>
    <row r="475">
      <c r="A475" s="9" t="n">
        <v>669923</v>
      </c>
      <c r="B475" s="9" t="inlineStr">
        <is>
          <t>George Kirby</t>
        </is>
      </c>
      <c r="C475" s="9" t="inlineStr">
        <is>
          <t>SEA</t>
        </is>
      </c>
      <c r="D475" s="9" t="n">
        <v>29</v>
      </c>
      <c r="E475" s="18" t="inlineStr">
        <is>
          <t>R</t>
        </is>
      </c>
      <c r="F475" s="18" t="n"/>
      <c r="G475" s="9" t="n">
        <v>741</v>
      </c>
      <c r="H475" s="9" t="n">
        <v>3342</v>
      </c>
      <c r="I475" s="9" t="inlineStr">
        <is>
          <t>Mid-Rotation Starter (SP2-3)</t>
        </is>
      </c>
      <c r="J475" s="18" t="inlineStr">
        <is>
          <t>Opening Day</t>
        </is>
      </c>
      <c r="K475" s="11">
        <f>IFERROR(INDEX(Roles!$B$17:$B$20,MATCH(J475,Roles!$A$17:$A$20,0)),1)</f>
        <v/>
      </c>
      <c r="L475" s="19" t="n">
        <v>1</v>
      </c>
      <c r="M475" s="11" t="n">
        <v>1</v>
      </c>
      <c r="N475" s="19" t="n"/>
      <c r="O475" s="19" t="n">
        <v>0.5</v>
      </c>
      <c r="P475" s="19" t="n">
        <v>0.5</v>
      </c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3">
        <f>SUMPRODUCT(N475:Y475,$N$2:$Y$2)*$K475*$L475*$M475</f>
        <v/>
      </c>
      <c r="AA475" s="14">
        <f>SUM(N475:Y475)</f>
        <v/>
      </c>
      <c r="AB475" s="13">
        <f>SUMPRODUCT(N475:Y475,$N$3:$Y$3)*$K475*$L475*$M475</f>
        <v/>
      </c>
      <c r="AC475" s="13">
        <f>SUMPRODUCT(N475:Y475,$N$4:$Y$4)*$K475*$L475*$M475</f>
        <v/>
      </c>
      <c r="AD475" s="15" t="n">
        <v>27.3</v>
      </c>
      <c r="AE475" s="11" t="n">
        <v>5.376831880553966</v>
      </c>
      <c r="AF475" s="16">
        <f>SUMPRODUCT(N475:Y475,$N$5:$Y$5)*$K475*$L475*$M475</f>
        <v/>
      </c>
      <c r="AG475" s="16">
        <f>SUMPRODUCT(N475:Y475,$N$6:$Y$6)*$K475*$L475*$M475</f>
        <v/>
      </c>
      <c r="AH475" s="20" t="n"/>
    </row>
    <row r="476">
      <c r="A476" s="9" t="n">
        <v>606625</v>
      </c>
      <c r="B476" s="9" t="inlineStr">
        <is>
          <t>Reyes Moronta</t>
        </is>
      </c>
      <c r="C476" s="9" t="inlineStr">
        <is>
          <t>ARI</t>
        </is>
      </c>
      <c r="D476" s="9" t="n">
        <v>34</v>
      </c>
      <c r="E476" s="18" t="inlineStr">
        <is>
          <t>R</t>
        </is>
      </c>
      <c r="F476" s="18" t="n"/>
      <c r="G476" s="9" t="n">
        <v>11</v>
      </c>
      <c r="H476" s="9" t="n">
        <v>172</v>
      </c>
      <c r="I476" s="9" t="inlineStr">
        <is>
          <t>Depth (no MLB IP)</t>
        </is>
      </c>
      <c r="J476" s="18" t="inlineStr">
        <is>
          <t>Opening Day</t>
        </is>
      </c>
      <c r="K476" s="11">
        <f>IFERROR(INDEX(Roles!$B$17:$B$20,MATCH(J476,Roles!$A$17:$A$20,0)),1)</f>
        <v/>
      </c>
      <c r="L476" s="19" t="n">
        <v>1</v>
      </c>
      <c r="M476" s="11" t="n">
        <v>1</v>
      </c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>
        <v>1</v>
      </c>
      <c r="Z476" s="13">
        <f>SUMPRODUCT(N476:Y476,$N$2:$Y$2)*$K476*$L476*$M476</f>
        <v/>
      </c>
      <c r="AA476" s="14">
        <f>SUM(N476:Y476)</f>
        <v/>
      </c>
      <c r="AB476" s="13">
        <f>SUMPRODUCT(N476:Y476,$N$3:$Y$3)*$K476*$L476*$M476</f>
        <v/>
      </c>
      <c r="AC476" s="13">
        <f>SUMPRODUCT(N476:Y476,$N$4:$Y$4)*$K476*$L476*$M476</f>
        <v/>
      </c>
      <c r="AD476" s="15" t="n">
        <v>3</v>
      </c>
      <c r="AE476" s="11" t="n">
        <v>1.011296296296296</v>
      </c>
      <c r="AF476" s="16">
        <f>SUMPRODUCT(N476:Y476,$N$5:$Y$5)*$K476*$L476*$M476</f>
        <v/>
      </c>
      <c r="AG476" s="16">
        <f>SUMPRODUCT(N476:Y476,$N$6:$Y$6)*$K476*$L476*$M476</f>
        <v/>
      </c>
      <c r="AH476" s="20" t="n"/>
    </row>
    <row r="477">
      <c r="A477" s="9" t="n">
        <v>669212</v>
      </c>
      <c r="B477" s="9" t="inlineStr">
        <is>
          <t>Eli Morgan</t>
        </is>
      </c>
      <c r="C477" s="9" t="inlineStr">
        <is>
          <t>KC</t>
        </is>
      </c>
      <c r="D477" s="9" t="n">
        <v>31</v>
      </c>
      <c r="E477" s="18" t="inlineStr">
        <is>
          <t>R</t>
        </is>
      </c>
      <c r="F477" s="18" t="n"/>
      <c r="G477" s="9" t="n">
        <v>91</v>
      </c>
      <c r="H477" s="9" t="n">
        <v>848</v>
      </c>
      <c r="I477" s="9" t="inlineStr">
        <is>
          <t>Bullpen Depth Arm</t>
        </is>
      </c>
      <c r="J477" s="18" t="inlineStr">
        <is>
          <t>Opening Day</t>
        </is>
      </c>
      <c r="K477" s="11">
        <f>IFERROR(INDEX(Roles!$B$17:$B$20,MATCH(J477,Roles!$A$17:$A$20,0)),1)</f>
        <v/>
      </c>
      <c r="L477" s="19" t="n">
        <v>1</v>
      </c>
      <c r="M477" s="11" t="n">
        <v>1</v>
      </c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>
        <v>1</v>
      </c>
      <c r="X477" s="19" t="n"/>
      <c r="Y477" s="19" t="n"/>
      <c r="Z477" s="13">
        <f>SUMPRODUCT(N477:Y477,$N$2:$Y$2)*$K477*$L477*$M477</f>
        <v/>
      </c>
      <c r="AA477" s="14">
        <f>SUM(N477:Y477)</f>
        <v/>
      </c>
      <c r="AB477" s="13">
        <f>SUMPRODUCT(N477:Y477,$N$3:$Y$3)*$K477*$L477*$M477</f>
        <v/>
      </c>
      <c r="AC477" s="13">
        <f>SUMPRODUCT(N477:Y477,$N$4:$Y$4)*$K477*$L477*$M477</f>
        <v/>
      </c>
      <c r="AD477" s="15" t="n">
        <v>15.06666666666667</v>
      </c>
      <c r="AE477" s="11" t="n">
        <v>1.208126520183258</v>
      </c>
      <c r="AF477" s="16">
        <f>SUMPRODUCT(N477:Y477,$N$5:$Y$5)*$K477*$L477*$M477</f>
        <v/>
      </c>
      <c r="AG477" s="16">
        <f>SUMPRODUCT(N477:Y477,$N$6:$Y$6)*$K477*$L477*$M477</f>
        <v/>
      </c>
      <c r="AH477" s="20" t="n"/>
    </row>
    <row r="478">
      <c r="A478" s="9" t="n">
        <v>669424</v>
      </c>
      <c r="B478" s="9" t="inlineStr">
        <is>
          <t>Jimmy Lambert</t>
        </is>
      </c>
      <c r="C478" s="9" t="inlineStr">
        <is>
          <t>CWS</t>
        </is>
      </c>
      <c r="D478" s="9" t="n">
        <v>32</v>
      </c>
      <c r="E478" s="18" t="inlineStr">
        <is>
          <t>R</t>
        </is>
      </c>
      <c r="F478" s="18" t="n"/>
      <c r="G478" s="9" t="n">
        <v>172</v>
      </c>
      <c r="H478" s="9" t="n">
        <v>376</v>
      </c>
      <c r="I478" s="9" t="inlineStr">
        <is>
          <t>Depth (no MLB IP)</t>
        </is>
      </c>
      <c r="J478" s="18" t="inlineStr">
        <is>
          <t>Opening Day</t>
        </is>
      </c>
      <c r="K478" s="11">
        <f>IFERROR(INDEX(Roles!$B$17:$B$20,MATCH(J478,Roles!$A$17:$A$20,0)),1)</f>
        <v/>
      </c>
      <c r="L478" s="19" t="n">
        <v>1</v>
      </c>
      <c r="M478" s="11" t="n">
        <v>1</v>
      </c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>
        <v>1</v>
      </c>
      <c r="Z478" s="13">
        <f>SUMPRODUCT(N478:Y478,$N$2:$Y$2)*$K478*$L478*$M478</f>
        <v/>
      </c>
      <c r="AA478" s="14">
        <f>SUM(N478:Y478)</f>
        <v/>
      </c>
      <c r="AB478" s="13">
        <f>SUMPRODUCT(N478:Y478,$N$3:$Y$3)*$K478*$L478*$M478</f>
        <v/>
      </c>
      <c r="AC478" s="13">
        <f>SUMPRODUCT(N478:Y478,$N$4:$Y$4)*$K478*$L478*$M478</f>
        <v/>
      </c>
      <c r="AD478" s="15" t="n">
        <v>3</v>
      </c>
      <c r="AE478" s="11" t="n">
        <v>1.011296296296296</v>
      </c>
      <c r="AF478" s="16">
        <f>SUMPRODUCT(N478:Y478,$N$5:$Y$5)*$K478*$L478*$M478</f>
        <v/>
      </c>
      <c r="AG478" s="16">
        <f>SUMPRODUCT(N478:Y478,$N$6:$Y$6)*$K478*$L478*$M478</f>
        <v/>
      </c>
      <c r="AH478" s="20" t="n"/>
    </row>
    <row r="479">
      <c r="A479" s="9" t="n">
        <v>642231</v>
      </c>
      <c r="B479" s="9" t="inlineStr">
        <is>
          <t>Jimmy Yacabonis</t>
        </is>
      </c>
      <c r="C479" s="9" t="inlineStr">
        <is>
          <t>NYM</t>
        </is>
      </c>
      <c r="D479" s="9" t="n">
        <v>35</v>
      </c>
      <c r="E479" s="18" t="inlineStr">
        <is>
          <t>R</t>
        </is>
      </c>
      <c r="F479" s="18" t="n"/>
      <c r="G479" s="9" t="n">
        <v>62</v>
      </c>
      <c r="H479" s="9" t="n">
        <v>135</v>
      </c>
      <c r="I479" s="9" t="inlineStr">
        <is>
          <t>Depth (no MLB IP)</t>
        </is>
      </c>
      <c r="J479" s="18" t="inlineStr">
        <is>
          <t>Opening Day</t>
        </is>
      </c>
      <c r="K479" s="11">
        <f>IFERROR(INDEX(Roles!$B$17:$B$20,MATCH(J479,Roles!$A$17:$A$20,0)),1)</f>
        <v/>
      </c>
      <c r="L479" s="19" t="n">
        <v>1</v>
      </c>
      <c r="M479" s="11" t="n">
        <v>1</v>
      </c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>
        <v>1</v>
      </c>
      <c r="Z479" s="13">
        <f>SUMPRODUCT(N479:Y479,$N$2:$Y$2)*$K479*$L479*$M479</f>
        <v/>
      </c>
      <c r="AA479" s="14">
        <f>SUM(N479:Y479)</f>
        <v/>
      </c>
      <c r="AB479" s="13">
        <f>SUMPRODUCT(N479:Y479,$N$3:$Y$3)*$K479*$L479*$M479</f>
        <v/>
      </c>
      <c r="AC479" s="13">
        <f>SUMPRODUCT(N479:Y479,$N$4:$Y$4)*$K479*$L479*$M479</f>
        <v/>
      </c>
      <c r="AD479" s="15" t="n">
        <v>3</v>
      </c>
      <c r="AE479" s="11" t="n">
        <v>1.011296296296296</v>
      </c>
      <c r="AF479" s="16">
        <f>SUMPRODUCT(N479:Y479,$N$5:$Y$5)*$K479*$L479*$M479</f>
        <v/>
      </c>
      <c r="AG479" s="16">
        <f>SUMPRODUCT(N479:Y479,$N$6:$Y$6)*$K479*$L479*$M479</f>
        <v/>
      </c>
      <c r="AH479" s="20" t="n"/>
    </row>
    <row r="480">
      <c r="A480" s="9" t="n">
        <v>624522</v>
      </c>
      <c r="B480" s="9" t="inlineStr">
        <is>
          <t>Keegan Thompson</t>
        </is>
      </c>
      <c r="C480" s="9" t="inlineStr">
        <is>
          <t>COL</t>
        </is>
      </c>
      <c r="D480" s="9" t="n">
        <v>32</v>
      </c>
      <c r="E480" s="18" t="inlineStr">
        <is>
          <t>R</t>
        </is>
      </c>
      <c r="F480" s="18" t="n"/>
      <c r="G480" s="9" t="n">
        <v>57</v>
      </c>
      <c r="H480" s="9" t="n">
        <v>794</v>
      </c>
      <c r="I480" s="9" t="inlineStr">
        <is>
          <t>Bullpen Depth Arm</t>
        </is>
      </c>
      <c r="J480" s="18" t="inlineStr">
        <is>
          <t>Opening Day</t>
        </is>
      </c>
      <c r="K480" s="11">
        <f>IFERROR(INDEX(Roles!$B$17:$B$20,MATCH(J480,Roles!$A$17:$A$20,0)),1)</f>
        <v/>
      </c>
      <c r="L480" s="19" t="n">
        <v>1</v>
      </c>
      <c r="M480" s="11" t="n">
        <v>1</v>
      </c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>
        <v>1</v>
      </c>
      <c r="X480" s="19" t="n"/>
      <c r="Y480" s="19" t="n"/>
      <c r="Z480" s="13">
        <f>SUMPRODUCT(N480:Y480,$N$2:$Y$2)*$K480*$L480*$M480</f>
        <v/>
      </c>
      <c r="AA480" s="14">
        <f>SUM(N480:Y480)</f>
        <v/>
      </c>
      <c r="AB480" s="13">
        <f>SUMPRODUCT(N480:Y480,$N$3:$Y$3)*$K480*$L480*$M480</f>
        <v/>
      </c>
      <c r="AC480" s="13">
        <f>SUMPRODUCT(N480:Y480,$N$4:$Y$4)*$K480*$L480*$M480</f>
        <v/>
      </c>
      <c r="AD480" s="15" t="n">
        <v>11.51666666666667</v>
      </c>
      <c r="AE480" s="11" t="n">
        <v>1.368458701792035</v>
      </c>
      <c r="AF480" s="16">
        <f>SUMPRODUCT(N480:Y480,$N$5:$Y$5)*$K480*$L480*$M480</f>
        <v/>
      </c>
      <c r="AG480" s="16">
        <f>SUMPRODUCT(N480:Y480,$N$6:$Y$6)*$K480*$L480*$M480</f>
        <v/>
      </c>
      <c r="AH480" s="20" t="n"/>
    </row>
    <row r="481">
      <c r="A481" s="9" t="n">
        <v>663752</v>
      </c>
      <c r="B481" s="9" t="inlineStr">
        <is>
          <t>Cody Morris</t>
        </is>
      </c>
      <c r="C481" s="9" t="inlineStr">
        <is>
          <t>CLE</t>
        </is>
      </c>
      <c r="D481" s="9" t="n">
        <v>30</v>
      </c>
      <c r="E481" s="18" t="inlineStr">
        <is>
          <t>R</t>
        </is>
      </c>
      <c r="F481" s="18" t="n"/>
      <c r="G481" s="9" t="n">
        <v>38</v>
      </c>
      <c r="H481" s="9" t="n">
        <v>138</v>
      </c>
      <c r="I481" s="9" t="inlineStr">
        <is>
          <t>Depth (no MLB IP)</t>
        </is>
      </c>
      <c r="J481" s="18" t="inlineStr">
        <is>
          <t>Opening Day</t>
        </is>
      </c>
      <c r="K481" s="11">
        <f>IFERROR(INDEX(Roles!$B$17:$B$20,MATCH(J481,Roles!$A$17:$A$20,0)),1)</f>
        <v/>
      </c>
      <c r="L481" s="19" t="n">
        <v>1</v>
      </c>
      <c r="M481" s="11" t="n">
        <v>1</v>
      </c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>
        <v>1</v>
      </c>
      <c r="Z481" s="13">
        <f>SUMPRODUCT(N481:Y481,$N$2:$Y$2)*$K481*$L481*$M481</f>
        <v/>
      </c>
      <c r="AA481" s="14">
        <f>SUM(N481:Y481)</f>
        <v/>
      </c>
      <c r="AB481" s="13">
        <f>SUMPRODUCT(N481:Y481,$N$3:$Y$3)*$K481*$L481*$M481</f>
        <v/>
      </c>
      <c r="AC481" s="13">
        <f>SUMPRODUCT(N481:Y481,$N$4:$Y$4)*$K481*$L481*$M481</f>
        <v/>
      </c>
      <c r="AD481" s="15" t="n">
        <v>3</v>
      </c>
      <c r="AE481" s="11" t="n">
        <v>1.011296296296296</v>
      </c>
      <c r="AF481" s="16">
        <f>SUMPRODUCT(N481:Y481,$N$5:$Y$5)*$K481*$L481*$M481</f>
        <v/>
      </c>
      <c r="AG481" s="16">
        <f>SUMPRODUCT(N481:Y481,$N$6:$Y$6)*$K481*$L481*$M481</f>
        <v/>
      </c>
      <c r="AH481" s="20" t="n"/>
    </row>
    <row r="482">
      <c r="A482" s="9" t="n">
        <v>681808</v>
      </c>
      <c r="B482" s="9" t="inlineStr">
        <is>
          <t>Chris Vallimont</t>
        </is>
      </c>
      <c r="C482" s="9" t="inlineStr">
        <is>
          <t>BAL</t>
        </is>
      </c>
      <c r="D482" s="9" t="n">
        <v>30</v>
      </c>
      <c r="E482" s="18" t="inlineStr">
        <is>
          <t>R</t>
        </is>
      </c>
      <c r="F482" s="18" t="n"/>
      <c r="G482" s="9" t="n">
        <v>2</v>
      </c>
      <c r="H482" s="9" t="n">
        <v>2</v>
      </c>
      <c r="I482" s="9" t="inlineStr">
        <is>
          <t>Depth (no MLB IP)</t>
        </is>
      </c>
      <c r="J482" s="18" t="inlineStr">
        <is>
          <t>Opening Day</t>
        </is>
      </c>
      <c r="K482" s="11">
        <f>IFERROR(INDEX(Roles!$B$17:$B$20,MATCH(J482,Roles!$A$17:$A$20,0)),1)</f>
        <v/>
      </c>
      <c r="L482" s="19" t="n">
        <v>1</v>
      </c>
      <c r="M482" s="11" t="n">
        <v>1</v>
      </c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>
        <v>1</v>
      </c>
      <c r="Z482" s="13">
        <f>SUMPRODUCT(N482:Y482,$N$2:$Y$2)*$K482*$L482*$M482</f>
        <v/>
      </c>
      <c r="AA482" s="14">
        <f>SUM(N482:Y482)</f>
        <v/>
      </c>
      <c r="AB482" s="13">
        <f>SUMPRODUCT(N482:Y482,$N$3:$Y$3)*$K482*$L482*$M482</f>
        <v/>
      </c>
      <c r="AC482" s="13">
        <f>SUMPRODUCT(N482:Y482,$N$4:$Y$4)*$K482*$L482*$M482</f>
        <v/>
      </c>
      <c r="AD482" s="15" t="n">
        <v>3</v>
      </c>
      <c r="AE482" s="11" t="n">
        <v>1.011296296296296</v>
      </c>
      <c r="AF482" s="16">
        <f>SUMPRODUCT(N482:Y482,$N$5:$Y$5)*$K482*$L482*$M482</f>
        <v/>
      </c>
      <c r="AG482" s="16">
        <f>SUMPRODUCT(N482:Y482,$N$6:$Y$6)*$K482*$L482*$M482</f>
        <v/>
      </c>
      <c r="AH482" s="20" t="n"/>
    </row>
    <row r="483">
      <c r="A483" s="9" t="n">
        <v>666129</v>
      </c>
      <c r="B483" s="9" t="inlineStr">
        <is>
          <t>Braxton Garrett</t>
        </is>
      </c>
      <c r="C483" s="9" t="inlineStr">
        <is>
          <t>CHC</t>
        </is>
      </c>
      <c r="D483" s="9" t="n">
        <v>29</v>
      </c>
      <c r="E483" s="18" t="inlineStr">
        <is>
          <t>L</t>
        </is>
      </c>
      <c r="F483" s="18" t="n"/>
      <c r="G483" s="9" t="n">
        <v>49</v>
      </c>
      <c r="H483" s="9" t="n">
        <v>1242</v>
      </c>
      <c r="I483" s="9" t="inlineStr">
        <is>
          <t>Bullpen Depth Arm</t>
        </is>
      </c>
      <c r="J483" s="18" t="inlineStr">
        <is>
          <t>Opening Day</t>
        </is>
      </c>
      <c r="K483" s="11">
        <f>IFERROR(INDEX(Roles!$B$17:$B$20,MATCH(J483,Roles!$A$17:$A$20,0)),1)</f>
        <v/>
      </c>
      <c r="L483" s="19" t="n">
        <v>1</v>
      </c>
      <c r="M483" s="11" t="n">
        <v>1</v>
      </c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>
        <v>0.15</v>
      </c>
      <c r="W483" s="19" t="n">
        <v>0.85</v>
      </c>
      <c r="X483" s="19" t="n"/>
      <c r="Y483" s="19" t="n"/>
      <c r="Z483" s="13">
        <f>SUMPRODUCT(N483:Y483,$N$2:$Y$2)*$K483*$L483*$M483</f>
        <v/>
      </c>
      <c r="AA483" s="14">
        <f>SUM(N483:Y483)</f>
        <v/>
      </c>
      <c r="AB483" s="13">
        <f>SUMPRODUCT(N483:Y483,$N$3:$Y$3)*$K483*$L483*$M483</f>
        <v/>
      </c>
      <c r="AC483" s="13">
        <f>SUMPRODUCT(N483:Y483,$N$4:$Y$4)*$K483*$L483*$M483</f>
        <v/>
      </c>
      <c r="AD483" s="15" t="n">
        <v>8.066666666666666</v>
      </c>
      <c r="AE483" s="11" t="n">
        <v>2.155673801507135</v>
      </c>
      <c r="AF483" s="16">
        <f>SUMPRODUCT(N483:Y483,$N$5:$Y$5)*$K483*$L483*$M483</f>
        <v/>
      </c>
      <c r="AG483" s="16">
        <f>SUMPRODUCT(N483:Y483,$N$6:$Y$6)*$K483*$L483*$M483</f>
        <v/>
      </c>
      <c r="AH483" s="20" t="n"/>
    </row>
    <row r="484">
      <c r="A484" s="9" t="n">
        <v>685112</v>
      </c>
      <c r="B484" s="9" t="inlineStr">
        <is>
          <t>Zach McCambley</t>
        </is>
      </c>
      <c r="C484" s="9" t="inlineStr">
        <is>
          <t>CIN</t>
        </is>
      </c>
      <c r="D484" s="9" t="n">
        <v>28</v>
      </c>
      <c r="E484" s="18" t="inlineStr">
        <is>
          <t>R</t>
        </is>
      </c>
      <c r="F484" s="18" t="n"/>
      <c r="G484" s="9" t="n">
        <v>60</v>
      </c>
      <c r="H484" s="9" t="n">
        <v>60</v>
      </c>
      <c r="I484" s="9" t="inlineStr">
        <is>
          <t>Bullpen Depth Arm</t>
        </is>
      </c>
      <c r="J484" s="18" t="inlineStr">
        <is>
          <t>Opening Day</t>
        </is>
      </c>
      <c r="K484" s="11">
        <f>IFERROR(INDEX(Roles!$B$17:$B$20,MATCH(J484,Roles!$A$17:$A$20,0)),1)</f>
        <v/>
      </c>
      <c r="L484" s="19" t="n">
        <v>1</v>
      </c>
      <c r="M484" s="11" t="n">
        <v>1</v>
      </c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>
        <v>0.15</v>
      </c>
      <c r="W484" s="19" t="n">
        <v>0.85</v>
      </c>
      <c r="X484" s="19" t="n"/>
      <c r="Y484" s="19" t="n"/>
      <c r="Z484" s="13">
        <f>SUMPRODUCT(N484:Y484,$N$2:$Y$2)*$K484*$L484*$M484</f>
        <v/>
      </c>
      <c r="AA484" s="14">
        <f>SUM(N484:Y484)</f>
        <v/>
      </c>
      <c r="AB484" s="13">
        <f>SUMPRODUCT(N484:Y484,$N$3:$Y$3)*$K484*$L484*$M484</f>
        <v/>
      </c>
      <c r="AC484" s="13">
        <f>SUMPRODUCT(N484:Y484,$N$4:$Y$4)*$K484*$L484*$M484</f>
        <v/>
      </c>
      <c r="AD484" s="15" t="n">
        <v>12.26666666666667</v>
      </c>
      <c r="AE484" s="11" t="n">
        <v>1.205547538880872</v>
      </c>
      <c r="AF484" s="16">
        <f>SUMPRODUCT(N484:Y484,$N$5:$Y$5)*$K484*$L484*$M484</f>
        <v/>
      </c>
      <c r="AG484" s="16">
        <f>SUMPRODUCT(N484:Y484,$N$6:$Y$6)*$K484*$L484*$M484</f>
        <v/>
      </c>
      <c r="AH484" s="20" t="n"/>
    </row>
    <row r="485">
      <c r="A485" s="9" t="n">
        <v>668941</v>
      </c>
      <c r="B485" s="9" t="inlineStr">
        <is>
          <t>JoJo Romero</t>
        </is>
      </c>
      <c r="C485" s="9" t="inlineStr">
        <is>
          <t>MIL</t>
        </is>
      </c>
      <c r="D485" s="9" t="n">
        <v>30</v>
      </c>
      <c r="E485" s="18" t="inlineStr">
        <is>
          <t>L</t>
        </is>
      </c>
      <c r="F485" s="18" t="n"/>
      <c r="G485" s="9" t="n">
        <v>238</v>
      </c>
      <c r="H485" s="9" t="n">
        <v>950</v>
      </c>
      <c r="I485" s="9" t="inlineStr">
        <is>
          <t>Middle Relief</t>
        </is>
      </c>
      <c r="J485" s="18" t="inlineStr">
        <is>
          <t>Opening Day</t>
        </is>
      </c>
      <c r="K485" s="11">
        <f>IFERROR(INDEX(Roles!$B$17:$B$20,MATCH(J485,Roles!$A$17:$A$20,0)),1)</f>
        <v/>
      </c>
      <c r="L485" s="19" t="n">
        <v>1</v>
      </c>
      <c r="M485" s="11" t="n">
        <v>1</v>
      </c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>
        <v>0.85</v>
      </c>
      <c r="W485" s="19" t="n">
        <v>0.15</v>
      </c>
      <c r="X485" s="19" t="n"/>
      <c r="Y485" s="19" t="n"/>
      <c r="Z485" s="13">
        <f>SUMPRODUCT(N485:Y485,$N$2:$Y$2)*$K485*$L485*$M485</f>
        <v/>
      </c>
      <c r="AA485" s="14">
        <f>SUM(N485:Y485)</f>
        <v/>
      </c>
      <c r="AB485" s="13">
        <f>SUMPRODUCT(N485:Y485,$N$3:$Y$3)*$K485*$L485*$M485</f>
        <v/>
      </c>
      <c r="AC485" s="13">
        <f>SUMPRODUCT(N485:Y485,$N$4:$Y$4)*$K485*$L485*$M485</f>
        <v/>
      </c>
      <c r="AD485" s="15" t="n">
        <v>50.73333333333333</v>
      </c>
      <c r="AE485" s="11" t="n">
        <v>1.013217838849488</v>
      </c>
      <c r="AF485" s="16">
        <f>SUMPRODUCT(N485:Y485,$N$5:$Y$5)*$K485*$L485*$M485</f>
        <v/>
      </c>
      <c r="AG485" s="16">
        <f>SUMPRODUCT(N485:Y485,$N$6:$Y$6)*$K485*$L485*$M485</f>
        <v/>
      </c>
      <c r="AH485" s="20" t="n"/>
    </row>
    <row r="486">
      <c r="A486" s="9" t="n">
        <v>592426</v>
      </c>
      <c r="B486" s="9" t="inlineStr">
        <is>
          <t>Luke Jackson</t>
        </is>
      </c>
      <c r="C486" s="9" t="inlineStr">
        <is>
          <t>SEA</t>
        </is>
      </c>
      <c r="D486" s="9" t="n">
        <v>35</v>
      </c>
      <c r="E486" s="18" t="inlineStr">
        <is>
          <t>R</t>
        </is>
      </c>
      <c r="F486" s="18" t="n"/>
      <c r="G486" s="9" t="n">
        <v>219</v>
      </c>
      <c r="H486" s="9" t="n">
        <v>597</v>
      </c>
      <c r="I486" s="9" t="inlineStr">
        <is>
          <t>Bullpen Depth Arm</t>
        </is>
      </c>
      <c r="J486" s="18" t="inlineStr">
        <is>
          <t>Opening Day</t>
        </is>
      </c>
      <c r="K486" s="11">
        <f>IFERROR(INDEX(Roles!$B$17:$B$20,MATCH(J486,Roles!$A$17:$A$20,0)),1)</f>
        <v/>
      </c>
      <c r="L486" s="19" t="n">
        <v>1</v>
      </c>
      <c r="M486" s="11" t="n">
        <v>1</v>
      </c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>
        <v>1</v>
      </c>
      <c r="X486" s="19" t="n"/>
      <c r="Y486" s="19" t="n"/>
      <c r="Z486" s="13">
        <f>SUMPRODUCT(N486:Y486,$N$2:$Y$2)*$K486*$L486*$M486</f>
        <v/>
      </c>
      <c r="AA486" s="14">
        <f>SUM(N486:Y486)</f>
        <v/>
      </c>
      <c r="AB486" s="13">
        <f>SUMPRODUCT(N486:Y486,$N$3:$Y$3)*$K486*$L486*$M486</f>
        <v/>
      </c>
      <c r="AC486" s="13">
        <f>SUMPRODUCT(N486:Y486,$N$4:$Y$4)*$K486*$L486*$M486</f>
        <v/>
      </c>
      <c r="AD486" s="15" t="n">
        <v>36.86666666666667</v>
      </c>
      <c r="AE486" s="11" t="n">
        <v>1.132703716037049</v>
      </c>
      <c r="AF486" s="16">
        <f>SUMPRODUCT(N486:Y486,$N$5:$Y$5)*$K486*$L486*$M486</f>
        <v/>
      </c>
      <c r="AG486" s="16">
        <f>SUMPRODUCT(N486:Y486,$N$6:$Y$6)*$K486*$L486*$M486</f>
        <v/>
      </c>
      <c r="AH486" s="20" t="n"/>
    </row>
    <row r="487">
      <c r="A487" s="9" t="n">
        <v>664731</v>
      </c>
      <c r="B487" s="9" t="inlineStr">
        <is>
          <t>P.J. Higgins</t>
        </is>
      </c>
      <c r="C487" s="9" t="inlineStr">
        <is>
          <t>CIN</t>
        </is>
      </c>
      <c r="D487" s="9" t="n">
        <v>34</v>
      </c>
      <c r="E487" s="18" t="inlineStr">
        <is>
          <t>R</t>
        </is>
      </c>
      <c r="F487" s="18" t="n"/>
      <c r="G487" s="9" t="n">
        <v>3</v>
      </c>
      <c r="H487" s="9" t="n">
        <v>3</v>
      </c>
      <c r="I487" s="9" t="inlineStr">
        <is>
          <t>Depth (no MLB IP)</t>
        </is>
      </c>
      <c r="J487" s="18" t="inlineStr">
        <is>
          <t>Opening Day</t>
        </is>
      </c>
      <c r="K487" s="11">
        <f>IFERROR(INDEX(Roles!$B$17:$B$20,MATCH(J487,Roles!$A$17:$A$20,0)),1)</f>
        <v/>
      </c>
      <c r="L487" s="19" t="n">
        <v>1</v>
      </c>
      <c r="M487" s="11" t="n">
        <v>1</v>
      </c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>
        <v>1</v>
      </c>
      <c r="Z487" s="13">
        <f>SUMPRODUCT(N487:Y487,$N$2:$Y$2)*$K487*$L487*$M487</f>
        <v/>
      </c>
      <c r="AA487" s="14">
        <f>SUM(N487:Y487)</f>
        <v/>
      </c>
      <c r="AB487" s="13">
        <f>SUMPRODUCT(N487:Y487,$N$3:$Y$3)*$K487*$L487*$M487</f>
        <v/>
      </c>
      <c r="AC487" s="13">
        <f>SUMPRODUCT(N487:Y487,$N$4:$Y$4)*$K487*$L487*$M487</f>
        <v/>
      </c>
      <c r="AD487" s="15" t="n">
        <v>1.8</v>
      </c>
      <c r="AE487" s="11" t="n">
        <v>1.007530864197531</v>
      </c>
      <c r="AF487" s="16">
        <f>SUMPRODUCT(N487:Y487,$N$5:$Y$5)*$K487*$L487*$M487</f>
        <v/>
      </c>
      <c r="AG487" s="16">
        <f>SUMPRODUCT(N487:Y487,$N$6:$Y$6)*$K487*$L487*$M487</f>
        <v/>
      </c>
      <c r="AH487" s="20" t="n"/>
    </row>
    <row r="488">
      <c r="A488" s="9" t="n">
        <v>805673</v>
      </c>
      <c r="B488" s="9" t="inlineStr">
        <is>
          <t>Zebby Matthews</t>
        </is>
      </c>
      <c r="C488" s="9" t="inlineStr">
        <is>
          <t>MIN</t>
        </is>
      </c>
      <c r="D488" s="9" t="n">
        <v>27</v>
      </c>
      <c r="E488" s="18" t="inlineStr">
        <is>
          <t>R</t>
        </is>
      </c>
      <c r="F488" s="18" t="n"/>
      <c r="G488" s="9" t="n">
        <v>545</v>
      </c>
      <c r="H488" s="9" t="n">
        <v>1076</v>
      </c>
      <c r="I488" s="9" t="inlineStr">
        <is>
          <t>End-of-Rotation Starter (SP4-5)</t>
        </is>
      </c>
      <c r="J488" s="18" t="inlineStr">
        <is>
          <t>Opening Day</t>
        </is>
      </c>
      <c r="K488" s="11">
        <f>IFERROR(INDEX(Roles!$B$17:$B$20,MATCH(J488,Roles!$A$17:$A$20,0)),1)</f>
        <v/>
      </c>
      <c r="L488" s="19" t="n">
        <v>1</v>
      </c>
      <c r="M488" s="11" t="n">
        <v>1</v>
      </c>
      <c r="N488" s="19" t="n"/>
      <c r="O488" s="19" t="n"/>
      <c r="P488" s="19" t="n">
        <v>0.5</v>
      </c>
      <c r="Q488" s="19" t="n"/>
      <c r="R488" s="19" t="n">
        <v>0.5</v>
      </c>
      <c r="S488" s="19" t="n"/>
      <c r="T488" s="19" t="n"/>
      <c r="U488" s="19" t="n"/>
      <c r="V488" s="19" t="n"/>
      <c r="W488" s="19" t="n"/>
      <c r="X488" s="19" t="n"/>
      <c r="Y488" s="19" t="n"/>
      <c r="Z488" s="13">
        <f>SUMPRODUCT(N488:Y488,$N$2:$Y$2)*$K488*$L488*$M488</f>
        <v/>
      </c>
      <c r="AA488" s="14">
        <f>SUM(N488:Y488)</f>
        <v/>
      </c>
      <c r="AB488" s="13">
        <f>SUMPRODUCT(N488:Y488,$N$3:$Y$3)*$K488*$L488*$M488</f>
        <v/>
      </c>
      <c r="AC488" s="13">
        <f>SUMPRODUCT(N488:Y488,$N$4:$Y$4)*$K488*$L488*$M488</f>
        <v/>
      </c>
      <c r="AD488" s="15" t="n">
        <v>17.4</v>
      </c>
      <c r="AE488" s="11" t="n">
        <v>4.816835016835016</v>
      </c>
      <c r="AF488" s="16">
        <f>SUMPRODUCT(N488:Y488,$N$5:$Y$5)*$K488*$L488*$M488</f>
        <v/>
      </c>
      <c r="AG488" s="16">
        <f>SUMPRODUCT(N488:Y488,$N$6:$Y$6)*$K488*$L488*$M488</f>
        <v/>
      </c>
      <c r="AH488" s="20" t="n"/>
    </row>
    <row r="489">
      <c r="A489" s="9" t="n">
        <v>687721</v>
      </c>
      <c r="B489" s="9" t="inlineStr">
        <is>
          <t>Cameron Weston</t>
        </is>
      </c>
      <c r="C489" s="9" t="inlineStr">
        <is>
          <t>BAL</t>
        </is>
      </c>
      <c r="D489" s="9" t="n">
        <v>26</v>
      </c>
      <c r="E489" s="18" t="inlineStr">
        <is>
          <t>R</t>
        </is>
      </c>
      <c r="F489" s="18" t="n"/>
      <c r="G489" s="9" t="n">
        <v>3</v>
      </c>
      <c r="H489" s="9" t="n">
        <v>3</v>
      </c>
      <c r="I489" s="9" t="inlineStr">
        <is>
          <t>Depth (no MLB IP)</t>
        </is>
      </c>
      <c r="J489" s="18" t="inlineStr">
        <is>
          <t>Opening Day</t>
        </is>
      </c>
      <c r="K489" s="11">
        <f>IFERROR(INDEX(Roles!$B$17:$B$20,MATCH(J489,Roles!$A$17:$A$20,0)),1)</f>
        <v/>
      </c>
      <c r="L489" s="19" t="n">
        <v>1</v>
      </c>
      <c r="M489" s="11" t="n">
        <v>1</v>
      </c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>
        <v>1</v>
      </c>
      <c r="Z489" s="13">
        <f>SUMPRODUCT(N489:Y489,$N$2:$Y$2)*$K489*$L489*$M489</f>
        <v/>
      </c>
      <c r="AA489" s="14">
        <f>SUM(N489:Y489)</f>
        <v/>
      </c>
      <c r="AB489" s="13">
        <f>SUMPRODUCT(N489:Y489,$N$3:$Y$3)*$K489*$L489*$M489</f>
        <v/>
      </c>
      <c r="AC489" s="13">
        <f>SUMPRODUCT(N489:Y489,$N$4:$Y$4)*$K489*$L489*$M489</f>
        <v/>
      </c>
      <c r="AD489" s="15" t="n">
        <v>1.8</v>
      </c>
      <c r="AE489" s="11" t="n">
        <v>1.007530864197531</v>
      </c>
      <c r="AF489" s="16">
        <f>SUMPRODUCT(N489:Y489,$N$5:$Y$5)*$K489*$L489*$M489</f>
        <v/>
      </c>
      <c r="AG489" s="16">
        <f>SUMPRODUCT(N489:Y489,$N$6:$Y$6)*$K489*$L489*$M489</f>
        <v/>
      </c>
      <c r="AH489" s="20" t="n"/>
    </row>
    <row r="490">
      <c r="A490" s="9" t="n">
        <v>678906</v>
      </c>
      <c r="B490" s="9" t="inlineStr">
        <is>
          <t>Kai-Wei Teng</t>
        </is>
      </c>
      <c r="C490" s="9" t="inlineStr">
        <is>
          <t>HOU</t>
        </is>
      </c>
      <c r="D490" s="9" t="n">
        <v>28</v>
      </c>
      <c r="E490" s="18" t="inlineStr">
        <is>
          <t>R</t>
        </is>
      </c>
      <c r="F490" s="18" t="n"/>
      <c r="G490" s="9" t="n">
        <v>329</v>
      </c>
      <c r="H490" s="9" t="n">
        <v>523</v>
      </c>
      <c r="I490" s="9" t="inlineStr">
        <is>
          <t>Bullpen Depth Arm</t>
        </is>
      </c>
      <c r="J490" s="18" t="inlineStr">
        <is>
          <t>Opening Day</t>
        </is>
      </c>
      <c r="K490" s="11">
        <f>IFERROR(INDEX(Roles!$B$17:$B$20,MATCH(J490,Roles!$A$17:$A$20,0)),1)</f>
        <v/>
      </c>
      <c r="L490" s="19" t="n">
        <v>1</v>
      </c>
      <c r="M490" s="11" t="n">
        <v>1</v>
      </c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>
        <v>1</v>
      </c>
      <c r="X490" s="19" t="n"/>
      <c r="Y490" s="19" t="n"/>
      <c r="Z490" s="13">
        <f>SUMPRODUCT(N490:Y490,$N$2:$Y$2)*$K490*$L490*$M490</f>
        <v/>
      </c>
      <c r="AA490" s="14">
        <f>SUM(N490:Y490)</f>
        <v/>
      </c>
      <c r="AB490" s="13">
        <f>SUMPRODUCT(N490:Y490,$N$3:$Y$3)*$K490*$L490*$M490</f>
        <v/>
      </c>
      <c r="AC490" s="13">
        <f>SUMPRODUCT(N490:Y490,$N$4:$Y$4)*$K490*$L490*$M490</f>
        <v/>
      </c>
      <c r="AD490" s="15" t="n">
        <v>16.66666666666666</v>
      </c>
      <c r="AE490" s="11" t="n">
        <v>1.684335417668751</v>
      </c>
      <c r="AF490" s="16">
        <f>SUMPRODUCT(N490:Y490,$N$5:$Y$5)*$K490*$L490*$M490</f>
        <v/>
      </c>
      <c r="AG490" s="16">
        <f>SUMPRODUCT(N490:Y490,$N$6:$Y$6)*$K490*$L490*$M490</f>
        <v/>
      </c>
      <c r="AH490" s="20" t="n"/>
    </row>
    <row r="491">
      <c r="A491" s="9" t="n">
        <v>622259</v>
      </c>
      <c r="B491" s="9" t="inlineStr">
        <is>
          <t>Trey Wingenter</t>
        </is>
      </c>
      <c r="C491" s="9" t="inlineStr">
        <is>
          <t>CHC</t>
        </is>
      </c>
      <c r="D491" s="9" t="n">
        <v>33</v>
      </c>
      <c r="E491" s="18" t="inlineStr">
        <is>
          <t>R</t>
        </is>
      </c>
      <c r="F491" s="18" t="n"/>
      <c r="G491" s="9" t="n">
        <v>42</v>
      </c>
      <c r="H491" s="9" t="n">
        <v>118</v>
      </c>
      <c r="I491" s="9" t="inlineStr">
        <is>
          <t>Depth (no MLB IP)</t>
        </is>
      </c>
      <c r="J491" s="18" t="inlineStr">
        <is>
          <t>Opening Day</t>
        </is>
      </c>
      <c r="K491" s="11">
        <f>IFERROR(INDEX(Roles!$B$17:$B$20,MATCH(J491,Roles!$A$17:$A$20,0)),1)</f>
        <v/>
      </c>
      <c r="L491" s="19" t="n">
        <v>1</v>
      </c>
      <c r="M491" s="11" t="n">
        <v>1</v>
      </c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>
        <v>1</v>
      </c>
      <c r="Z491" s="13">
        <f>SUMPRODUCT(N491:Y491,$N$2:$Y$2)*$K491*$L491*$M491</f>
        <v/>
      </c>
      <c r="AA491" s="14">
        <f>SUM(N491:Y491)</f>
        <v/>
      </c>
      <c r="AB491" s="13">
        <f>SUMPRODUCT(N491:Y491,$N$3:$Y$3)*$K491*$L491*$M491</f>
        <v/>
      </c>
      <c r="AC491" s="13">
        <f>SUMPRODUCT(N491:Y491,$N$4:$Y$4)*$K491*$L491*$M491</f>
        <v/>
      </c>
      <c r="AD491" s="15" t="n">
        <v>5.4</v>
      </c>
      <c r="AE491" s="11" t="n">
        <v>1.071022927689594</v>
      </c>
      <c r="AF491" s="16">
        <f>SUMPRODUCT(N491:Y491,$N$5:$Y$5)*$K491*$L491*$M491</f>
        <v/>
      </c>
      <c r="AG491" s="16">
        <f>SUMPRODUCT(N491:Y491,$N$6:$Y$6)*$K491*$L491*$M491</f>
        <v/>
      </c>
      <c r="AH491" s="20" t="n"/>
    </row>
    <row r="492">
      <c r="A492" s="9" t="n">
        <v>677960</v>
      </c>
      <c r="B492" s="9" t="inlineStr">
        <is>
          <t>Ryan Weathers</t>
        </is>
      </c>
      <c r="C492" s="9" t="inlineStr">
        <is>
          <t>NYY</t>
        </is>
      </c>
      <c r="D492" s="9" t="n">
        <v>27</v>
      </c>
      <c r="E492" s="18" t="inlineStr">
        <is>
          <t>L</t>
        </is>
      </c>
      <c r="F492" s="18" t="n"/>
      <c r="G492" s="9" t="n">
        <v>568</v>
      </c>
      <c r="H492" s="9" t="n">
        <v>1379</v>
      </c>
      <c r="I492" s="9" t="inlineStr">
        <is>
          <t>Bullpen Depth Arm</t>
        </is>
      </c>
      <c r="J492" s="18" t="inlineStr">
        <is>
          <t>Opening Day</t>
        </is>
      </c>
      <c r="K492" s="11">
        <f>IFERROR(INDEX(Roles!$B$17:$B$20,MATCH(J492,Roles!$A$17:$A$20,0)),1)</f>
        <v/>
      </c>
      <c r="L492" s="19" t="n">
        <v>1</v>
      </c>
      <c r="M492" s="11" t="n">
        <v>1</v>
      </c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>
        <v>0.15</v>
      </c>
      <c r="W492" s="19" t="n">
        <v>0.85</v>
      </c>
      <c r="X492" s="19" t="n"/>
      <c r="Y492" s="19" t="n"/>
      <c r="Z492" s="13">
        <f>SUMPRODUCT(N492:Y492,$N$2:$Y$2)*$K492*$L492*$M492</f>
        <v/>
      </c>
      <c r="AA492" s="14">
        <f>SUM(N492:Y492)</f>
        <v/>
      </c>
      <c r="AB492" s="13">
        <f>SUMPRODUCT(N492:Y492,$N$3:$Y$3)*$K492*$L492*$M492</f>
        <v/>
      </c>
      <c r="AC492" s="13">
        <f>SUMPRODUCT(N492:Y492,$N$4:$Y$4)*$K492*$L492*$M492</f>
        <v/>
      </c>
      <c r="AD492" s="15" t="n">
        <v>16.36666666666667</v>
      </c>
      <c r="AE492" s="11" t="n">
        <v>2.593822815006616</v>
      </c>
      <c r="AF492" s="16">
        <f>SUMPRODUCT(N492:Y492,$N$5:$Y$5)*$K492*$L492*$M492</f>
        <v/>
      </c>
      <c r="AG492" s="16">
        <f>SUMPRODUCT(N492:Y492,$N$6:$Y$6)*$K492*$L492*$M492</f>
        <v/>
      </c>
      <c r="AH492" s="20" t="n"/>
    </row>
    <row r="493">
      <c r="A493" s="9" t="n">
        <v>670062</v>
      </c>
      <c r="B493" s="9" t="inlineStr">
        <is>
          <t>Julian Garcia</t>
        </is>
      </c>
      <c r="C493" s="9" t="inlineStr">
        <is>
          <t>CIN</t>
        </is>
      </c>
      <c r="D493" s="9" t="n">
        <v>32</v>
      </c>
      <c r="E493" s="18" t="inlineStr">
        <is>
          <t>R</t>
        </is>
      </c>
      <c r="F493" s="18" t="n"/>
      <c r="G493" s="9" t="n">
        <v>179</v>
      </c>
      <c r="H493" s="9" t="n">
        <v>179</v>
      </c>
      <c r="I493" s="9" t="inlineStr">
        <is>
          <t>Middle Relief</t>
        </is>
      </c>
      <c r="J493" s="18" t="inlineStr">
        <is>
          <t>Late Season (~Sept)</t>
        </is>
      </c>
      <c r="K493" s="11">
        <f>IFERROR(INDEX(Roles!$B$17:$B$20,MATCH(J493,Roles!$A$17:$A$20,0)),1)</f>
        <v/>
      </c>
      <c r="L493" s="19" t="n">
        <v>1</v>
      </c>
      <c r="M493" s="11" t="n">
        <v>1</v>
      </c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>
        <v>0.5</v>
      </c>
      <c r="W493" s="19" t="n">
        <v>0.5</v>
      </c>
      <c r="X493" s="19" t="n"/>
      <c r="Y493" s="19" t="n"/>
      <c r="Z493" s="13">
        <f>SUMPRODUCT(N493:Y493,$N$2:$Y$2)*$K493*$L493*$M493</f>
        <v/>
      </c>
      <c r="AA493" s="14">
        <f>SUM(N493:Y493)</f>
        <v/>
      </c>
      <c r="AB493" s="13">
        <f>SUMPRODUCT(N493:Y493,$N$3:$Y$3)*$K493*$L493*$M493</f>
        <v/>
      </c>
      <c r="AC493" s="13">
        <f>SUMPRODUCT(N493:Y493,$N$4:$Y$4)*$K493*$L493*$M493</f>
        <v/>
      </c>
      <c r="AD493" s="15" t="n">
        <v>34.53333333333333</v>
      </c>
      <c r="AE493" s="11" t="n">
        <v>1.153790229421878</v>
      </c>
      <c r="AF493" s="16">
        <f>SUMPRODUCT(N493:Y493,$N$5:$Y$5)*$K493*$L493*$M493</f>
        <v/>
      </c>
      <c r="AG493" s="16">
        <f>SUMPRODUCT(N493:Y493,$N$6:$Y$6)*$K493*$L493*$M493</f>
        <v/>
      </c>
      <c r="AH493" s="20" t="n"/>
    </row>
    <row r="494">
      <c r="A494" s="9" t="n">
        <v>628317</v>
      </c>
      <c r="B494" s="9" t="inlineStr">
        <is>
          <t>Kenta Maeda</t>
        </is>
      </c>
      <c r="C494" s="9" t="inlineStr">
        <is>
          <t>DET</t>
        </is>
      </c>
      <c r="D494" s="9" t="n">
        <v>39</v>
      </c>
      <c r="E494" s="18" t="inlineStr">
        <is>
          <t>R</t>
        </is>
      </c>
      <c r="F494" s="18" t="n"/>
      <c r="G494" s="9" t="n">
        <v>43</v>
      </c>
      <c r="H494" s="9" t="n">
        <v>956</v>
      </c>
      <c r="I494" s="9" t="inlineStr">
        <is>
          <t>End-of-Rotation Starter (SP4-5)</t>
        </is>
      </c>
      <c r="J494" s="18" t="inlineStr">
        <is>
          <t>Opening Day</t>
        </is>
      </c>
      <c r="K494" s="11">
        <f>IFERROR(INDEX(Roles!$B$17:$B$20,MATCH(J494,Roles!$A$17:$A$20,0)),1)</f>
        <v/>
      </c>
      <c r="L494" s="19" t="n">
        <v>1</v>
      </c>
      <c r="M494" s="11" t="n">
        <v>1</v>
      </c>
      <c r="N494" s="19" t="n"/>
      <c r="O494" s="19" t="n"/>
      <c r="P494" s="19" t="n">
        <v>1</v>
      </c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3">
        <f>SUMPRODUCT(N494:Y494,$N$2:$Y$2)*$K494*$L494*$M494</f>
        <v/>
      </c>
      <c r="AA494" s="14">
        <f>SUM(N494:Y494)</f>
        <v/>
      </c>
      <c r="AB494" s="13">
        <f>SUMPRODUCT(N494:Y494,$N$3:$Y$3)*$K494*$L494*$M494</f>
        <v/>
      </c>
      <c r="AC494" s="13">
        <f>SUMPRODUCT(N494:Y494,$N$4:$Y$4)*$K494*$L494*$M494</f>
        <v/>
      </c>
      <c r="AD494" s="15" t="n">
        <v>15</v>
      </c>
      <c r="AE494" s="11" t="n">
        <v>4.031869078380706</v>
      </c>
      <c r="AF494" s="16">
        <f>SUMPRODUCT(N494:Y494,$N$5:$Y$5)*$K494*$L494*$M494</f>
        <v/>
      </c>
      <c r="AG494" s="16">
        <f>SUMPRODUCT(N494:Y494,$N$6:$Y$6)*$K494*$L494*$M494</f>
        <v/>
      </c>
      <c r="AH494" s="20" t="n"/>
    </row>
    <row r="495">
      <c r="A495" s="9" t="n">
        <v>664875</v>
      </c>
      <c r="B495" s="9" t="inlineStr">
        <is>
          <t>Justin Lawrence</t>
        </is>
      </c>
      <c r="C495" s="9" t="inlineStr">
        <is>
          <t>WSH</t>
        </is>
      </c>
      <c r="D495" s="9" t="n">
        <v>32</v>
      </c>
      <c r="E495" s="18" t="inlineStr">
        <is>
          <t>R</t>
        </is>
      </c>
      <c r="F495" s="18" t="n"/>
      <c r="G495" s="9" t="n">
        <v>177</v>
      </c>
      <c r="H495" s="9" t="n">
        <v>1042</v>
      </c>
      <c r="I495" s="9" t="inlineStr">
        <is>
          <t>Bullpen Depth Arm</t>
        </is>
      </c>
      <c r="J495" s="18" t="inlineStr">
        <is>
          <t>Opening Day</t>
        </is>
      </c>
      <c r="K495" s="11">
        <f>IFERROR(INDEX(Roles!$B$17:$B$20,MATCH(J495,Roles!$A$17:$A$20,0)),1)</f>
        <v/>
      </c>
      <c r="L495" s="19" t="n">
        <v>1</v>
      </c>
      <c r="M495" s="11" t="n">
        <v>1</v>
      </c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>
        <v>1</v>
      </c>
      <c r="X495" s="19" t="n"/>
      <c r="Y495" s="19" t="n"/>
      <c r="Z495" s="13">
        <f>SUMPRODUCT(N495:Y495,$N$2:$Y$2)*$K495*$L495*$M495</f>
        <v/>
      </c>
      <c r="AA495" s="14">
        <f>SUM(N495:Y495)</f>
        <v/>
      </c>
      <c r="AB495" s="13">
        <f>SUMPRODUCT(N495:Y495,$N$3:$Y$3)*$K495*$L495*$M495</f>
        <v/>
      </c>
      <c r="AC495" s="13">
        <f>SUMPRODUCT(N495:Y495,$N$4:$Y$4)*$K495*$L495*$M495</f>
        <v/>
      </c>
      <c r="AD495" s="15" t="n">
        <v>25.76666666666667</v>
      </c>
      <c r="AE495" s="11" t="n">
        <v>1.129865343795692</v>
      </c>
      <c r="AF495" s="16">
        <f>SUMPRODUCT(N495:Y495,$N$5:$Y$5)*$K495*$L495*$M495</f>
        <v/>
      </c>
      <c r="AG495" s="16">
        <f>SUMPRODUCT(N495:Y495,$N$6:$Y$6)*$K495*$L495*$M495</f>
        <v/>
      </c>
      <c r="AH495" s="20" t="n"/>
    </row>
    <row r="496">
      <c r="A496" s="9" t="n">
        <v>641420</v>
      </c>
      <c r="B496" s="9" t="inlineStr">
        <is>
          <t>Zack Burdi</t>
        </is>
      </c>
      <c r="C496" s="9" t="inlineStr">
        <is>
          <t>TB</t>
        </is>
      </c>
      <c r="D496" s="9" t="n">
        <v>32</v>
      </c>
      <c r="E496" s="18" t="inlineStr">
        <is>
          <t>R</t>
        </is>
      </c>
      <c r="F496" s="18" t="n"/>
      <c r="G496" s="9" t="n">
        <v>20</v>
      </c>
      <c r="H496" s="9" t="n">
        <v>20</v>
      </c>
      <c r="I496" s="9" t="inlineStr">
        <is>
          <t>Depth (no MLB IP)</t>
        </is>
      </c>
      <c r="J496" s="18" t="inlineStr">
        <is>
          <t>Opening Day</t>
        </is>
      </c>
      <c r="K496" s="11">
        <f>IFERROR(INDEX(Roles!$B$17:$B$20,MATCH(J496,Roles!$A$17:$A$20,0)),1)</f>
        <v/>
      </c>
      <c r="L496" s="19" t="n">
        <v>1</v>
      </c>
      <c r="M496" s="11" t="n">
        <v>1</v>
      </c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>
        <v>1</v>
      </c>
      <c r="Z496" s="13">
        <f>SUMPRODUCT(N496:Y496,$N$2:$Y$2)*$K496*$L496*$M496</f>
        <v/>
      </c>
      <c r="AA496" s="14">
        <f>SUM(N496:Y496)</f>
        <v/>
      </c>
      <c r="AB496" s="13">
        <f>SUMPRODUCT(N496:Y496,$N$3:$Y$3)*$K496*$L496*$M496</f>
        <v/>
      </c>
      <c r="AC496" s="13">
        <f>SUMPRODUCT(N496:Y496,$N$4:$Y$4)*$K496*$L496*$M496</f>
        <v/>
      </c>
      <c r="AD496" s="15" t="n">
        <v>3</v>
      </c>
      <c r="AE496" s="11" t="n">
        <v>1.011296296296296</v>
      </c>
      <c r="AF496" s="16">
        <f>SUMPRODUCT(N496:Y496,$N$5:$Y$5)*$K496*$L496*$M496</f>
        <v/>
      </c>
      <c r="AG496" s="16">
        <f>SUMPRODUCT(N496:Y496,$N$6:$Y$6)*$K496*$L496*$M496</f>
        <v/>
      </c>
      <c r="AH496" s="20" t="n"/>
    </row>
    <row r="497">
      <c r="A497" s="9" t="n">
        <v>669722</v>
      </c>
      <c r="B497" s="9" t="inlineStr">
        <is>
          <t>Logan Davidson</t>
        </is>
      </c>
      <c r="C497" s="9" t="inlineStr">
        <is>
          <t>LAA</t>
        </is>
      </c>
      <c r="D497" s="9" t="n">
        <v>29</v>
      </c>
      <c r="E497" s="18" t="inlineStr">
        <is>
          <t>R</t>
        </is>
      </c>
      <c r="F497" s="18" t="n"/>
      <c r="G497" s="9" t="n">
        <v>3</v>
      </c>
      <c r="H497" s="9" t="n">
        <v>3</v>
      </c>
      <c r="I497" s="9" t="inlineStr">
        <is>
          <t>Depth (no MLB IP)</t>
        </is>
      </c>
      <c r="J497" s="18" t="inlineStr">
        <is>
          <t>Opening Day</t>
        </is>
      </c>
      <c r="K497" s="11">
        <f>IFERROR(INDEX(Roles!$B$17:$B$20,MATCH(J497,Roles!$A$17:$A$20,0)),1)</f>
        <v/>
      </c>
      <c r="L497" s="19" t="n">
        <v>1</v>
      </c>
      <c r="M497" s="11" t="n">
        <v>1</v>
      </c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>
        <v>1</v>
      </c>
      <c r="Z497" s="13">
        <f>SUMPRODUCT(N497:Y497,$N$2:$Y$2)*$K497*$L497*$M497</f>
        <v/>
      </c>
      <c r="AA497" s="14">
        <f>SUM(N497:Y497)</f>
        <v/>
      </c>
      <c r="AB497" s="13">
        <f>SUMPRODUCT(N497:Y497,$N$3:$Y$3)*$K497*$L497*$M497</f>
        <v/>
      </c>
      <c r="AC497" s="13">
        <f>SUMPRODUCT(N497:Y497,$N$4:$Y$4)*$K497*$L497*$M497</f>
        <v/>
      </c>
      <c r="AD497" s="15" t="n">
        <v>1.8</v>
      </c>
      <c r="AE497" s="11" t="n">
        <v>1.007530864197531</v>
      </c>
      <c r="AF497" s="16">
        <f>SUMPRODUCT(N497:Y497,$N$5:$Y$5)*$K497*$L497*$M497</f>
        <v/>
      </c>
      <c r="AG497" s="16">
        <f>SUMPRODUCT(N497:Y497,$N$6:$Y$6)*$K497*$L497*$M497</f>
        <v/>
      </c>
      <c r="AH497" s="20" t="n"/>
    </row>
    <row r="498">
      <c r="A498" s="9" t="n">
        <v>656793</v>
      </c>
      <c r="B498" s="9" t="inlineStr">
        <is>
          <t>Nick Nelson</t>
        </is>
      </c>
      <c r="C498" s="9" t="inlineStr">
        <is>
          <t>PHI</t>
        </is>
      </c>
      <c r="D498" s="9" t="n">
        <v>31</v>
      </c>
      <c r="E498" s="18" t="inlineStr">
        <is>
          <t>R</t>
        </is>
      </c>
      <c r="F498" s="18" t="n"/>
      <c r="G498" s="9" t="n">
        <v>26</v>
      </c>
      <c r="H498" s="9" t="n">
        <v>352</v>
      </c>
      <c r="I498" s="9" t="inlineStr">
        <is>
          <t>Depth (no MLB IP)</t>
        </is>
      </c>
      <c r="J498" s="18" t="inlineStr">
        <is>
          <t>Opening Day</t>
        </is>
      </c>
      <c r="K498" s="11">
        <f>IFERROR(INDEX(Roles!$B$17:$B$20,MATCH(J498,Roles!$A$17:$A$20,0)),1)</f>
        <v/>
      </c>
      <c r="L498" s="19" t="n">
        <v>1</v>
      </c>
      <c r="M498" s="11" t="n">
        <v>1</v>
      </c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>
        <v>1</v>
      </c>
      <c r="Z498" s="13">
        <f>SUMPRODUCT(N498:Y498,$N$2:$Y$2)*$K498*$L498*$M498</f>
        <v/>
      </c>
      <c r="AA498" s="14">
        <f>SUM(N498:Y498)</f>
        <v/>
      </c>
      <c r="AB498" s="13">
        <f>SUMPRODUCT(N498:Y498,$N$3:$Y$3)*$K498*$L498*$M498</f>
        <v/>
      </c>
      <c r="AC498" s="13">
        <f>SUMPRODUCT(N498:Y498,$N$4:$Y$4)*$K498*$L498*$M498</f>
        <v/>
      </c>
      <c r="AD498" s="15" t="n">
        <v>3.6</v>
      </c>
      <c r="AE498" s="11" t="n">
        <v>1.118641975308642</v>
      </c>
      <c r="AF498" s="16">
        <f>SUMPRODUCT(N498:Y498,$N$5:$Y$5)*$K498*$L498*$M498</f>
        <v/>
      </c>
      <c r="AG498" s="16">
        <f>SUMPRODUCT(N498:Y498,$N$6:$Y$6)*$K498*$L498*$M498</f>
        <v/>
      </c>
      <c r="AH498" s="20" t="n"/>
    </row>
    <row r="499">
      <c r="A499" s="9" t="n">
        <v>593833</v>
      </c>
      <c r="B499" s="9" t="inlineStr">
        <is>
          <t>Wander Suero</t>
        </is>
      </c>
      <c r="C499" s="9" t="inlineStr">
        <is>
          <t>ATL</t>
        </is>
      </c>
      <c r="D499" s="9" t="n">
        <v>35</v>
      </c>
      <c r="E499" s="18" t="inlineStr">
        <is>
          <t>R</t>
        </is>
      </c>
      <c r="F499" s="18" t="n"/>
      <c r="G499" s="9" t="n">
        <v>32</v>
      </c>
      <c r="H499" s="9" t="n">
        <v>68</v>
      </c>
      <c r="I499" s="9" t="inlineStr">
        <is>
          <t>Bullpen Depth Arm</t>
        </is>
      </c>
      <c r="J499" s="18" t="inlineStr">
        <is>
          <t>Opening Day</t>
        </is>
      </c>
      <c r="K499" s="11">
        <f>IFERROR(INDEX(Roles!$B$17:$B$20,MATCH(J499,Roles!$A$17:$A$20,0)),1)</f>
        <v/>
      </c>
      <c r="L499" s="19" t="n">
        <v>1</v>
      </c>
      <c r="M499" s="11" t="n">
        <v>1</v>
      </c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>
        <v>1</v>
      </c>
      <c r="X499" s="19" t="n"/>
      <c r="Y499" s="19" t="n"/>
      <c r="Z499" s="13">
        <f>SUMPRODUCT(N499:Y499,$N$2:$Y$2)*$K499*$L499*$M499</f>
        <v/>
      </c>
      <c r="AA499" s="14">
        <f>SUM(N499:Y499)</f>
        <v/>
      </c>
      <c r="AB499" s="13">
        <f>SUMPRODUCT(N499:Y499,$N$3:$Y$3)*$K499*$L499*$M499</f>
        <v/>
      </c>
      <c r="AC499" s="13">
        <f>SUMPRODUCT(N499:Y499,$N$4:$Y$4)*$K499*$L499*$M499</f>
        <v/>
      </c>
      <c r="AD499" s="15" t="n">
        <v>7.866666666666665</v>
      </c>
      <c r="AE499" s="11" t="n">
        <v>1.185345518678852</v>
      </c>
      <c r="AF499" s="16">
        <f>SUMPRODUCT(N499:Y499,$N$5:$Y$5)*$K499*$L499*$M499</f>
        <v/>
      </c>
      <c r="AG499" s="16">
        <f>SUMPRODUCT(N499:Y499,$N$6:$Y$6)*$K499*$L499*$M499</f>
        <v/>
      </c>
      <c r="AH499" s="20" t="n"/>
    </row>
    <row r="500">
      <c r="A500" s="9" t="n">
        <v>680802</v>
      </c>
      <c r="B500" s="9" t="inlineStr">
        <is>
          <t>Ryan Weiss</t>
        </is>
      </c>
      <c r="C500" s="9" t="inlineStr">
        <is>
          <t>HOU</t>
        </is>
      </c>
      <c r="D500" s="9" t="n">
        <v>30</v>
      </c>
      <c r="E500" s="18" t="inlineStr">
        <is>
          <t>R</t>
        </is>
      </c>
      <c r="F500" s="18" t="n"/>
      <c r="G500" s="9" t="n">
        <v>131</v>
      </c>
      <c r="H500" s="9" t="n">
        <v>131</v>
      </c>
      <c r="I500" s="9" t="inlineStr">
        <is>
          <t>Bullpen Depth Arm</t>
        </is>
      </c>
      <c r="J500" s="18" t="inlineStr">
        <is>
          <t>Opening Day</t>
        </is>
      </c>
      <c r="K500" s="11">
        <f>IFERROR(INDEX(Roles!$B$17:$B$20,MATCH(J500,Roles!$A$17:$A$20,0)),1)</f>
        <v/>
      </c>
      <c r="L500" s="19" t="n">
        <v>1</v>
      </c>
      <c r="M500" s="11" t="n">
        <v>1</v>
      </c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>
        <v>1</v>
      </c>
      <c r="X500" s="19" t="n"/>
      <c r="Y500" s="19" t="n"/>
      <c r="Z500" s="13">
        <f>SUMPRODUCT(N500:Y500,$N$2:$Y$2)*$K500*$L500*$M500</f>
        <v/>
      </c>
      <c r="AA500" s="14">
        <f>SUM(N500:Y500)</f>
        <v/>
      </c>
      <c r="AB500" s="13">
        <f>SUMPRODUCT(N500:Y500,$N$3:$Y$3)*$K500*$L500*$M500</f>
        <v/>
      </c>
      <c r="AC500" s="13">
        <f>SUMPRODUCT(N500:Y500,$N$4:$Y$4)*$K500*$L500*$M500</f>
        <v/>
      </c>
      <c r="AD500" s="15" t="n">
        <v>11.06666666666667</v>
      </c>
      <c r="AE500" s="11" t="n">
        <v>1.764470097803431</v>
      </c>
      <c r="AF500" s="16">
        <f>SUMPRODUCT(N500:Y500,$N$5:$Y$5)*$K500*$L500*$M500</f>
        <v/>
      </c>
      <c r="AG500" s="16">
        <f>SUMPRODUCT(N500:Y500,$N$6:$Y$6)*$K500*$L500*$M500</f>
        <v/>
      </c>
      <c r="AH500" s="20" t="n"/>
    </row>
    <row r="501">
      <c r="A501" s="9" t="n">
        <v>518489</v>
      </c>
      <c r="B501" s="9" t="inlineStr">
        <is>
          <t>Ryan Brasier</t>
        </is>
      </c>
      <c r="C501" s="9" t="inlineStr">
        <is>
          <t>CHC</t>
        </is>
      </c>
      <c r="D501" s="9" t="n">
        <v>39</v>
      </c>
      <c r="E501" s="18" t="inlineStr">
        <is>
          <t>R</t>
        </is>
      </c>
      <c r="F501" s="18" t="n"/>
      <c r="G501" s="9" t="n">
        <v>105</v>
      </c>
      <c r="H501" s="9" t="n">
        <v>716</v>
      </c>
      <c r="I501" s="9" t="inlineStr">
        <is>
          <t>Bullpen Depth Arm</t>
        </is>
      </c>
      <c r="J501" s="18" t="inlineStr">
        <is>
          <t>Opening Day</t>
        </is>
      </c>
      <c r="K501" s="11">
        <f>IFERROR(INDEX(Roles!$B$17:$B$20,MATCH(J501,Roles!$A$17:$A$20,0)),1)</f>
        <v/>
      </c>
      <c r="L501" s="19" t="n">
        <v>1</v>
      </c>
      <c r="M501" s="11" t="n">
        <v>1</v>
      </c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>
        <v>1</v>
      </c>
      <c r="X501" s="19" t="n"/>
      <c r="Y501" s="19" t="n"/>
      <c r="Z501" s="13">
        <f>SUMPRODUCT(N501:Y501,$N$2:$Y$2)*$K501*$L501*$M501</f>
        <v/>
      </c>
      <c r="AA501" s="14">
        <f>SUM(N501:Y501)</f>
        <v/>
      </c>
      <c r="AB501" s="13">
        <f>SUMPRODUCT(N501:Y501,$N$3:$Y$3)*$K501*$L501*$M501</f>
        <v/>
      </c>
      <c r="AC501" s="13">
        <f>SUMPRODUCT(N501:Y501,$N$4:$Y$4)*$K501*$L501*$M501</f>
        <v/>
      </c>
      <c r="AD501" s="15" t="n">
        <v>22.66666666666666</v>
      </c>
      <c r="AE501" s="11" t="n">
        <v>1.115232625036546</v>
      </c>
      <c r="AF501" s="16">
        <f>SUMPRODUCT(N501:Y501,$N$5:$Y$5)*$K501*$L501*$M501</f>
        <v/>
      </c>
      <c r="AG501" s="16">
        <f>SUMPRODUCT(N501:Y501,$N$6:$Y$6)*$K501*$L501*$M501</f>
        <v/>
      </c>
      <c r="AH501" s="20" t="n"/>
    </row>
    <row r="502">
      <c r="A502" s="9" t="n">
        <v>663629</v>
      </c>
      <c r="B502" s="9" t="inlineStr">
        <is>
          <t>Ethan Small</t>
        </is>
      </c>
      <c r="C502" s="9" t="inlineStr">
        <is>
          <t>MIL</t>
        </is>
      </c>
      <c r="D502" s="9" t="n">
        <v>30</v>
      </c>
      <c r="E502" s="18" t="inlineStr">
        <is>
          <t>L</t>
        </is>
      </c>
      <c r="F502" s="18" t="n"/>
      <c r="G502" s="9" t="n">
        <v>23</v>
      </c>
      <c r="H502" s="9" t="n">
        <v>56</v>
      </c>
      <c r="I502" s="9" t="inlineStr">
        <is>
          <t>Depth (no MLB IP)</t>
        </is>
      </c>
      <c r="J502" s="18" t="inlineStr">
        <is>
          <t>Opening Day</t>
        </is>
      </c>
      <c r="K502" s="11">
        <f>IFERROR(INDEX(Roles!$B$17:$B$20,MATCH(J502,Roles!$A$17:$A$20,0)),1)</f>
        <v/>
      </c>
      <c r="L502" s="19" t="n">
        <v>1</v>
      </c>
      <c r="M502" s="11" t="n">
        <v>1</v>
      </c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>
        <v>1</v>
      </c>
      <c r="Z502" s="13">
        <f>SUMPRODUCT(N502:Y502,$N$2:$Y$2)*$K502*$L502*$M502</f>
        <v/>
      </c>
      <c r="AA502" s="14">
        <f>SUM(N502:Y502)</f>
        <v/>
      </c>
      <c r="AB502" s="13">
        <f>SUMPRODUCT(N502:Y502,$N$3:$Y$3)*$K502*$L502*$M502</f>
        <v/>
      </c>
      <c r="AC502" s="13">
        <f>SUMPRODUCT(N502:Y502,$N$4:$Y$4)*$K502*$L502*$M502</f>
        <v/>
      </c>
      <c r="AD502" s="15" t="n">
        <v>3</v>
      </c>
      <c r="AE502" s="11" t="n">
        <v>1.011296296296296</v>
      </c>
      <c r="AF502" s="16">
        <f>SUMPRODUCT(N502:Y502,$N$5:$Y$5)*$K502*$L502*$M502</f>
        <v/>
      </c>
      <c r="AG502" s="16">
        <f>SUMPRODUCT(N502:Y502,$N$6:$Y$6)*$K502*$L502*$M502</f>
        <v/>
      </c>
      <c r="AH502" s="20" t="n"/>
    </row>
    <row r="503">
      <c r="A503" s="9" t="n">
        <v>608650</v>
      </c>
      <c r="B503" s="9" t="inlineStr">
        <is>
          <t>Dietrich Enns</t>
        </is>
      </c>
      <c r="C503" s="9" t="inlineStr">
        <is>
          <t>BAL</t>
        </is>
      </c>
      <c r="D503" s="9" t="n">
        <v>36</v>
      </c>
      <c r="E503" s="18" t="inlineStr">
        <is>
          <t>L</t>
        </is>
      </c>
      <c r="F503" s="18" t="n"/>
      <c r="G503" s="9" t="n">
        <v>70</v>
      </c>
      <c r="H503" s="9" t="n">
        <v>270</v>
      </c>
      <c r="I503" s="9" t="inlineStr">
        <is>
          <t>Bullpen Depth Arm</t>
        </is>
      </c>
      <c r="J503" s="18" t="inlineStr">
        <is>
          <t>Opening Day</t>
        </is>
      </c>
      <c r="K503" s="11">
        <f>IFERROR(INDEX(Roles!$B$17:$B$20,MATCH(J503,Roles!$A$17:$A$20,0)),1)</f>
        <v/>
      </c>
      <c r="L503" s="19" t="n">
        <v>1</v>
      </c>
      <c r="M503" s="11" t="n">
        <v>1</v>
      </c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>
        <v>1</v>
      </c>
      <c r="X503" s="19" t="n"/>
      <c r="Y503" s="19" t="n"/>
      <c r="Z503" s="13">
        <f>SUMPRODUCT(N503:Y503,$N$2:$Y$2)*$K503*$L503*$M503</f>
        <v/>
      </c>
      <c r="AA503" s="14">
        <f>SUM(N503:Y503)</f>
        <v/>
      </c>
      <c r="AB503" s="13">
        <f>SUMPRODUCT(N503:Y503,$N$3:$Y$3)*$K503*$L503*$M503</f>
        <v/>
      </c>
      <c r="AC503" s="13">
        <f>SUMPRODUCT(N503:Y503,$N$4:$Y$4)*$K503*$L503*$M503</f>
        <v/>
      </c>
      <c r="AD503" s="15" t="n">
        <v>16.10666666666667</v>
      </c>
      <c r="AE503" s="11" t="n">
        <v>1.340459880689766</v>
      </c>
      <c r="AF503" s="16">
        <f>SUMPRODUCT(N503:Y503,$N$5:$Y$5)*$K503*$L503*$M503</f>
        <v/>
      </c>
      <c r="AG503" s="16">
        <f>SUMPRODUCT(N503:Y503,$N$6:$Y$6)*$K503*$L503*$M503</f>
        <v/>
      </c>
      <c r="AH503" s="20" t="n"/>
    </row>
    <row r="504">
      <c r="A504" s="9" t="n">
        <v>676050</v>
      </c>
      <c r="B504" s="9" t="inlineStr">
        <is>
          <t>Packy Naughton</t>
        </is>
      </c>
      <c r="C504" s="9" t="inlineStr">
        <is>
          <t>STL</t>
        </is>
      </c>
      <c r="D504" s="9" t="n">
        <v>31</v>
      </c>
      <c r="E504" s="18" t="inlineStr">
        <is>
          <t>L</t>
        </is>
      </c>
      <c r="F504" s="18" t="n"/>
      <c r="G504" s="9" t="n">
        <v>17</v>
      </c>
      <c r="H504" s="9" t="n">
        <v>158</v>
      </c>
      <c r="I504" s="9" t="inlineStr">
        <is>
          <t>Depth (no MLB IP)</t>
        </is>
      </c>
      <c r="J504" s="18" t="inlineStr">
        <is>
          <t>Opening Day</t>
        </is>
      </c>
      <c r="K504" s="11">
        <f>IFERROR(INDEX(Roles!$B$17:$B$20,MATCH(J504,Roles!$A$17:$A$20,0)),1)</f>
        <v/>
      </c>
      <c r="L504" s="19" t="n">
        <v>1</v>
      </c>
      <c r="M504" s="11" t="n">
        <v>1</v>
      </c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>
        <v>1</v>
      </c>
      <c r="Z504" s="13">
        <f>SUMPRODUCT(N504:Y504,$N$2:$Y$2)*$K504*$L504*$M504</f>
        <v/>
      </c>
      <c r="AA504" s="14">
        <f>SUM(N504:Y504)</f>
        <v/>
      </c>
      <c r="AB504" s="13">
        <f>SUMPRODUCT(N504:Y504,$N$3:$Y$3)*$K504*$L504*$M504</f>
        <v/>
      </c>
      <c r="AC504" s="13">
        <f>SUMPRODUCT(N504:Y504,$N$4:$Y$4)*$K504*$L504*$M504</f>
        <v/>
      </c>
      <c r="AD504" s="15" t="n">
        <v>3</v>
      </c>
      <c r="AE504" s="11" t="n">
        <v>1.011296296296296</v>
      </c>
      <c r="AF504" s="16">
        <f>SUMPRODUCT(N504:Y504,$N$5:$Y$5)*$K504*$L504*$M504</f>
        <v/>
      </c>
      <c r="AG504" s="16">
        <f>SUMPRODUCT(N504:Y504,$N$6:$Y$6)*$K504*$L504*$M504</f>
        <v/>
      </c>
      <c r="AH504" s="20" t="n"/>
    </row>
    <row r="505">
      <c r="A505" s="9" t="n">
        <v>700712</v>
      </c>
      <c r="B505" s="9" t="inlineStr">
        <is>
          <t>Walbert Ureña</t>
        </is>
      </c>
      <c r="C505" s="9" t="inlineStr">
        <is>
          <t>LAA</t>
        </is>
      </c>
      <c r="D505" s="9" t="n">
        <v>23</v>
      </c>
      <c r="E505" s="18" t="inlineStr">
        <is>
          <t>R</t>
        </is>
      </c>
      <c r="F505" s="18" t="n"/>
      <c r="G505" s="9" t="n">
        <v>625</v>
      </c>
      <c r="H505" s="9" t="n">
        <v>625</v>
      </c>
      <c r="I505" s="9" t="inlineStr">
        <is>
          <t>Mid-Rotation Starter (SP2-3)</t>
        </is>
      </c>
      <c r="J505" s="18" t="inlineStr">
        <is>
          <t>Opening Day</t>
        </is>
      </c>
      <c r="K505" s="11">
        <f>IFERROR(INDEX(Roles!$B$17:$B$20,MATCH(J505,Roles!$A$17:$A$20,0)),1)</f>
        <v/>
      </c>
      <c r="L505" s="19" t="n">
        <v>1</v>
      </c>
      <c r="M505" s="11" t="n">
        <v>1</v>
      </c>
      <c r="N505" s="19" t="n"/>
      <c r="O505" s="19" t="n">
        <v>0.5</v>
      </c>
      <c r="P505" s="19" t="n">
        <v>0.5</v>
      </c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3">
        <f>SUMPRODUCT(N505:Y505,$N$2:$Y$2)*$K505*$L505*$M505</f>
        <v/>
      </c>
      <c r="AA505" s="14">
        <f>SUM(N505:Y505)</f>
        <v/>
      </c>
      <c r="AB505" s="13">
        <f>SUMPRODUCT(N505:Y505,$N$3:$Y$3)*$K505*$L505*$M505</f>
        <v/>
      </c>
      <c r="AC505" s="13">
        <f>SUMPRODUCT(N505:Y505,$N$4:$Y$4)*$K505*$L505*$M505</f>
        <v/>
      </c>
      <c r="AD505" s="15" t="n">
        <v>27.8</v>
      </c>
      <c r="AE505" s="11" t="n">
        <v>5.174514893091089</v>
      </c>
      <c r="AF505" s="16">
        <f>SUMPRODUCT(N505:Y505,$N$5:$Y$5)*$K505*$L505*$M505</f>
        <v/>
      </c>
      <c r="AG505" s="16">
        <f>SUMPRODUCT(N505:Y505,$N$6:$Y$6)*$K505*$L505*$M505</f>
        <v/>
      </c>
      <c r="AH505" s="20" t="n"/>
    </row>
    <row r="506">
      <c r="A506" s="9" t="n">
        <v>622251</v>
      </c>
      <c r="B506" s="9" t="inlineStr">
        <is>
          <t>Josh Staumont</t>
        </is>
      </c>
      <c r="C506" s="9" t="inlineStr">
        <is>
          <t>MIN</t>
        </is>
      </c>
      <c r="D506" s="9" t="n">
        <v>33</v>
      </c>
      <c r="E506" s="18" t="inlineStr">
        <is>
          <t>R</t>
        </is>
      </c>
      <c r="F506" s="18" t="n"/>
      <c r="G506" s="9" t="n">
        <v>102</v>
      </c>
      <c r="H506" s="9" t="n">
        <v>367</v>
      </c>
      <c r="I506" s="9" t="inlineStr">
        <is>
          <t>Depth (no MLB IP)</t>
        </is>
      </c>
      <c r="J506" s="18" t="inlineStr">
        <is>
          <t>Opening Day</t>
        </is>
      </c>
      <c r="K506" s="11">
        <f>IFERROR(INDEX(Roles!$B$17:$B$20,MATCH(J506,Roles!$A$17:$A$20,0)),1)</f>
        <v/>
      </c>
      <c r="L506" s="19" t="n">
        <v>1</v>
      </c>
      <c r="M506" s="11" t="n">
        <v>1</v>
      </c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>
        <v>1</v>
      </c>
      <c r="Z506" s="13">
        <f>SUMPRODUCT(N506:Y506,$N$2:$Y$2)*$K506*$L506*$M506</f>
        <v/>
      </c>
      <c r="AA506" s="14">
        <f>SUM(N506:Y506)</f>
        <v/>
      </c>
      <c r="AB506" s="13">
        <f>SUMPRODUCT(N506:Y506,$N$3:$Y$3)*$K506*$L506*$M506</f>
        <v/>
      </c>
      <c r="AC506" s="13">
        <f>SUMPRODUCT(N506:Y506,$N$4:$Y$4)*$K506*$L506*$M506</f>
        <v/>
      </c>
      <c r="AD506" s="15" t="n">
        <v>16.2</v>
      </c>
      <c r="AE506" s="11" t="n">
        <v>0.9986419753086416</v>
      </c>
      <c r="AF506" s="16">
        <f>SUMPRODUCT(N506:Y506,$N$5:$Y$5)*$K506*$L506*$M506</f>
        <v/>
      </c>
      <c r="AG506" s="16">
        <f>SUMPRODUCT(N506:Y506,$N$6:$Y$6)*$K506*$L506*$M506</f>
        <v/>
      </c>
      <c r="AH506" s="20" t="n"/>
    </row>
    <row r="507">
      <c r="A507" s="9" t="n">
        <v>702752</v>
      </c>
      <c r="B507" s="9" t="inlineStr">
        <is>
          <t>Jonathan Pintaro</t>
        </is>
      </c>
      <c r="C507" s="9" t="inlineStr">
        <is>
          <t>NYM</t>
        </is>
      </c>
      <c r="D507" s="9" t="n">
        <v>29</v>
      </c>
      <c r="E507" s="18" t="inlineStr">
        <is>
          <t>R</t>
        </is>
      </c>
      <c r="F507" s="18" t="n"/>
      <c r="G507" s="9" t="n">
        <v>130</v>
      </c>
      <c r="H507" s="9" t="n">
        <v>136</v>
      </c>
      <c r="I507" s="9" t="inlineStr">
        <is>
          <t>Bullpen Depth Arm</t>
        </is>
      </c>
      <c r="J507" s="18" t="inlineStr">
        <is>
          <t>Opening Day</t>
        </is>
      </c>
      <c r="K507" s="11">
        <f>IFERROR(INDEX(Roles!$B$17:$B$20,MATCH(J507,Roles!$A$17:$A$20,0)),1)</f>
        <v/>
      </c>
      <c r="L507" s="19" t="n">
        <v>1</v>
      </c>
      <c r="M507" s="11" t="n">
        <v>1</v>
      </c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>
        <v>0.15</v>
      </c>
      <c r="W507" s="19" t="n">
        <v>0.85</v>
      </c>
      <c r="X507" s="19" t="n"/>
      <c r="Y507" s="19" t="n"/>
      <c r="Z507" s="13">
        <f>SUMPRODUCT(N507:Y507,$N$2:$Y$2)*$K507*$L507*$M507</f>
        <v/>
      </c>
      <c r="AA507" s="14">
        <f>SUM(N507:Y507)</f>
        <v/>
      </c>
      <c r="AB507" s="13">
        <f>SUMPRODUCT(N507:Y507,$N$3:$Y$3)*$K507*$L507*$M507</f>
        <v/>
      </c>
      <c r="AC507" s="13">
        <f>SUMPRODUCT(N507:Y507,$N$4:$Y$4)*$K507*$L507*$M507</f>
        <v/>
      </c>
      <c r="AD507" s="15" t="n">
        <v>13.82666666666666</v>
      </c>
      <c r="AE507" s="11" t="n">
        <v>1.259023474709749</v>
      </c>
      <c r="AF507" s="16">
        <f>SUMPRODUCT(N507:Y507,$N$5:$Y$5)*$K507*$L507*$M507</f>
        <v/>
      </c>
      <c r="AG507" s="16">
        <f>SUMPRODUCT(N507:Y507,$N$6:$Y$6)*$K507*$L507*$M507</f>
        <v/>
      </c>
      <c r="AH507" s="20" t="n"/>
    </row>
    <row r="508">
      <c r="A508" s="9" t="n">
        <v>675848</v>
      </c>
      <c r="B508" s="9" t="inlineStr">
        <is>
          <t>Juan Mejia</t>
        </is>
      </c>
      <c r="C508" s="9" t="inlineStr">
        <is>
          <t>COL</t>
        </is>
      </c>
      <c r="D508" s="9" t="n">
        <v>26</v>
      </c>
      <c r="E508" s="18" t="inlineStr">
        <is>
          <t>R</t>
        </is>
      </c>
      <c r="F508" s="18" t="n"/>
      <c r="G508" s="9" t="n">
        <v>323</v>
      </c>
      <c r="H508" s="9" t="n">
        <v>584</v>
      </c>
      <c r="I508" s="9" t="inlineStr">
        <is>
          <t>Late Inning RP (Setup)</t>
        </is>
      </c>
      <c r="J508" s="18" t="inlineStr">
        <is>
          <t>Opening Day</t>
        </is>
      </c>
      <c r="K508" s="11">
        <f>IFERROR(INDEX(Roles!$B$17:$B$20,MATCH(J508,Roles!$A$17:$A$20,0)),1)</f>
        <v/>
      </c>
      <c r="L508" s="19" t="n">
        <v>1</v>
      </c>
      <c r="M508" s="11" t="n">
        <v>1</v>
      </c>
      <c r="N508" s="19" t="n"/>
      <c r="O508" s="19" t="n"/>
      <c r="P508" s="19" t="n"/>
      <c r="Q508" s="19" t="n"/>
      <c r="R508" s="19" t="n"/>
      <c r="S508" s="19" t="n"/>
      <c r="T508" s="19" t="n"/>
      <c r="U508" s="19" t="n">
        <v>0.85</v>
      </c>
      <c r="V508" s="19" t="n">
        <v>0.15</v>
      </c>
      <c r="W508" s="19" t="n"/>
      <c r="X508" s="19" t="n"/>
      <c r="Y508" s="19" t="n"/>
      <c r="Z508" s="13">
        <f>SUMPRODUCT(N508:Y508,$N$2:$Y$2)*$K508*$L508*$M508</f>
        <v/>
      </c>
      <c r="AA508" s="14">
        <f>SUM(N508:Y508)</f>
        <v/>
      </c>
      <c r="AB508" s="13">
        <f>SUMPRODUCT(N508:Y508,$N$3:$Y$3)*$K508*$L508*$M508</f>
        <v/>
      </c>
      <c r="AC508" s="13">
        <f>SUMPRODUCT(N508:Y508,$N$4:$Y$4)*$K508*$L508*$M508</f>
        <v/>
      </c>
      <c r="AD508" s="15" t="n">
        <v>55.8</v>
      </c>
      <c r="AE508" s="11" t="n">
        <v>1.023292349726776</v>
      </c>
      <c r="AF508" s="16">
        <f>SUMPRODUCT(N508:Y508,$N$5:$Y$5)*$K508*$L508*$M508</f>
        <v/>
      </c>
      <c r="AG508" s="16">
        <f>SUMPRODUCT(N508:Y508,$N$6:$Y$6)*$K508*$L508*$M508</f>
        <v/>
      </c>
      <c r="AH508" s="20" t="n"/>
    </row>
    <row r="509">
      <c r="A509" s="9" t="n">
        <v>686678</v>
      </c>
      <c r="B509" s="9" t="inlineStr">
        <is>
          <t>Chase Solesky</t>
        </is>
      </c>
      <c r="C509" s="9" t="inlineStr">
        <is>
          <t>TB</t>
        </is>
      </c>
      <c r="D509" s="9" t="n">
        <v>29</v>
      </c>
      <c r="E509" s="18" t="inlineStr">
        <is>
          <t>R</t>
        </is>
      </c>
      <c r="F509" s="18" t="n"/>
      <c r="G509" s="9" t="n">
        <v>17</v>
      </c>
      <c r="H509" s="9" t="n">
        <v>17</v>
      </c>
      <c r="I509" s="9" t="inlineStr">
        <is>
          <t>Depth (no MLB IP)</t>
        </is>
      </c>
      <c r="J509" s="18" t="inlineStr">
        <is>
          <t>Opening Day</t>
        </is>
      </c>
      <c r="K509" s="11">
        <f>IFERROR(INDEX(Roles!$B$17:$B$20,MATCH(J509,Roles!$A$17:$A$20,0)),1)</f>
        <v/>
      </c>
      <c r="L509" s="19" t="n">
        <v>1</v>
      </c>
      <c r="M509" s="11" t="n">
        <v>1</v>
      </c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>
        <v>1</v>
      </c>
      <c r="Z509" s="13">
        <f>SUMPRODUCT(N509:Y509,$N$2:$Y$2)*$K509*$L509*$M509</f>
        <v/>
      </c>
      <c r="AA509" s="14">
        <f>SUM(N509:Y509)</f>
        <v/>
      </c>
      <c r="AB509" s="13">
        <f>SUMPRODUCT(N509:Y509,$N$3:$Y$3)*$K509*$L509*$M509</f>
        <v/>
      </c>
      <c r="AC509" s="13">
        <f>SUMPRODUCT(N509:Y509,$N$4:$Y$4)*$K509*$L509*$M509</f>
        <v/>
      </c>
      <c r="AD509" s="15" t="n">
        <v>1.8</v>
      </c>
      <c r="AE509" s="11" t="n">
        <v>1.674197530864197</v>
      </c>
      <c r="AF509" s="16">
        <f>SUMPRODUCT(N509:Y509,$N$5:$Y$5)*$K509*$L509*$M509</f>
        <v/>
      </c>
      <c r="AG509" s="16">
        <f>SUMPRODUCT(N509:Y509,$N$6:$Y$6)*$K509*$L509*$M509</f>
        <v/>
      </c>
      <c r="AH509" s="20" t="n"/>
    </row>
    <row r="510">
      <c r="A510" s="9" t="n">
        <v>656794</v>
      </c>
      <c r="B510" s="9" t="inlineStr">
        <is>
          <t>Sean Newcomb</t>
        </is>
      </c>
      <c r="C510" s="9" t="inlineStr">
        <is>
          <t>CWS</t>
        </is>
      </c>
      <c r="D510" s="9" t="n">
        <v>34</v>
      </c>
      <c r="E510" s="18" t="inlineStr">
        <is>
          <t>L</t>
        </is>
      </c>
      <c r="F510" s="18" t="n"/>
      <c r="G510" s="9" t="n">
        <v>372</v>
      </c>
      <c r="H510" s="9" t="n">
        <v>1003</v>
      </c>
      <c r="I510" s="9" t="inlineStr">
        <is>
          <t>Late Inning RP (Setup)</t>
        </is>
      </c>
      <c r="J510" s="18" t="inlineStr">
        <is>
          <t>Opening Day</t>
        </is>
      </c>
      <c r="K510" s="11">
        <f>IFERROR(INDEX(Roles!$B$17:$B$20,MATCH(J510,Roles!$A$17:$A$20,0)),1)</f>
        <v/>
      </c>
      <c r="L510" s="19" t="n">
        <v>1</v>
      </c>
      <c r="M510" s="11" t="n">
        <v>1</v>
      </c>
      <c r="N510" s="19" t="n"/>
      <c r="O510" s="19" t="n"/>
      <c r="P510" s="19" t="n"/>
      <c r="Q510" s="19" t="n"/>
      <c r="R510" s="19" t="n"/>
      <c r="S510" s="19" t="n"/>
      <c r="T510" s="19" t="n"/>
      <c r="U510" s="19" t="n">
        <v>0.6</v>
      </c>
      <c r="V510" s="19" t="n">
        <v>0.4</v>
      </c>
      <c r="W510" s="19" t="n"/>
      <c r="X510" s="19" t="n"/>
      <c r="Y510" s="19" t="n"/>
      <c r="Z510" s="13">
        <f>SUMPRODUCT(N510:Y510,$N$2:$Y$2)*$K510*$L510*$M510</f>
        <v/>
      </c>
      <c r="AA510" s="14">
        <f>SUM(N510:Y510)</f>
        <v/>
      </c>
      <c r="AB510" s="13">
        <f>SUMPRODUCT(N510:Y510,$N$3:$Y$3)*$K510*$L510*$M510</f>
        <v/>
      </c>
      <c r="AC510" s="13">
        <f>SUMPRODUCT(N510:Y510,$N$4:$Y$4)*$K510*$L510*$M510</f>
        <v/>
      </c>
      <c r="AD510" s="15" t="n">
        <v>47.5</v>
      </c>
      <c r="AE510" s="11" t="n">
        <v>1.20821063996859</v>
      </c>
      <c r="AF510" s="16">
        <f>SUMPRODUCT(N510:Y510,$N$5:$Y$5)*$K510*$L510*$M510</f>
        <v/>
      </c>
      <c r="AG510" s="16">
        <f>SUMPRODUCT(N510:Y510,$N$6:$Y$6)*$K510*$L510*$M510</f>
        <v/>
      </c>
      <c r="AH510" s="20" t="n"/>
    </row>
    <row r="511">
      <c r="A511" s="9" t="n">
        <v>605441</v>
      </c>
      <c r="B511" s="9" t="inlineStr">
        <is>
          <t>Yacksel Ríos</t>
        </is>
      </c>
      <c r="C511" s="9" t="inlineStr">
        <is>
          <t>CHC</t>
        </is>
      </c>
      <c r="D511" s="9" t="n">
        <v>34</v>
      </c>
      <c r="E511" s="18" t="inlineStr">
        <is>
          <t>R</t>
        </is>
      </c>
      <c r="F511" s="18" t="n"/>
      <c r="G511" s="9" t="n">
        <v>5</v>
      </c>
      <c r="H511" s="9" t="n">
        <v>19</v>
      </c>
      <c r="I511" s="9" t="inlineStr">
        <is>
          <t>Depth (no MLB IP)</t>
        </is>
      </c>
      <c r="J511" s="18" t="inlineStr">
        <is>
          <t>Opening Day</t>
        </is>
      </c>
      <c r="K511" s="11">
        <f>IFERROR(INDEX(Roles!$B$17:$B$20,MATCH(J511,Roles!$A$17:$A$20,0)),1)</f>
        <v/>
      </c>
      <c r="L511" s="19" t="n">
        <v>1</v>
      </c>
      <c r="M511" s="11" t="n">
        <v>1</v>
      </c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>
        <v>1</v>
      </c>
      <c r="Z511" s="13">
        <f>SUMPRODUCT(N511:Y511,$N$2:$Y$2)*$K511*$L511*$M511</f>
        <v/>
      </c>
      <c r="AA511" s="14">
        <f>SUM(N511:Y511)</f>
        <v/>
      </c>
      <c r="AB511" s="13">
        <f>SUMPRODUCT(N511:Y511,$N$3:$Y$3)*$K511*$L511*$M511</f>
        <v/>
      </c>
      <c r="AC511" s="13">
        <f>SUMPRODUCT(N511:Y511,$N$4:$Y$4)*$K511*$L511*$M511</f>
        <v/>
      </c>
      <c r="AD511" s="15" t="n">
        <v>1.8</v>
      </c>
      <c r="AE511" s="11" t="n">
        <v>1.229753086419753</v>
      </c>
      <c r="AF511" s="16">
        <f>SUMPRODUCT(N511:Y511,$N$5:$Y$5)*$K511*$L511*$M511</f>
        <v/>
      </c>
      <c r="AG511" s="16">
        <f>SUMPRODUCT(N511:Y511,$N$6:$Y$6)*$K511*$L511*$M511</f>
        <v/>
      </c>
      <c r="AH511" s="20" t="n"/>
    </row>
    <row r="512">
      <c r="A512" s="9" t="n">
        <v>688427</v>
      </c>
      <c r="B512" s="9" t="inlineStr">
        <is>
          <t>Kolton Ingram</t>
        </is>
      </c>
      <c r="C512" s="9" t="inlineStr">
        <is>
          <t>LAA</t>
        </is>
      </c>
      <c r="D512" s="9" t="n">
        <v>30</v>
      </c>
      <c r="E512" s="18" t="inlineStr">
        <is>
          <t>L</t>
        </is>
      </c>
      <c r="F512" s="18" t="n"/>
      <c r="G512" s="9" t="n">
        <v>30</v>
      </c>
      <c r="H512" s="9" t="n">
        <v>30</v>
      </c>
      <c r="I512" s="9" t="inlineStr">
        <is>
          <t>Depth (no MLB IP)</t>
        </is>
      </c>
      <c r="J512" s="18" t="inlineStr">
        <is>
          <t>Opening Day</t>
        </is>
      </c>
      <c r="K512" s="11">
        <f>IFERROR(INDEX(Roles!$B$17:$B$20,MATCH(J512,Roles!$A$17:$A$20,0)),1)</f>
        <v/>
      </c>
      <c r="L512" s="19" t="n">
        <v>1</v>
      </c>
      <c r="M512" s="11" t="n">
        <v>1</v>
      </c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>
        <v>1</v>
      </c>
      <c r="Z512" s="13">
        <f>SUMPRODUCT(N512:Y512,$N$2:$Y$2)*$K512*$L512*$M512</f>
        <v/>
      </c>
      <c r="AA512" s="14">
        <f>SUM(N512:Y512)</f>
        <v/>
      </c>
      <c r="AB512" s="13">
        <f>SUMPRODUCT(N512:Y512,$N$3:$Y$3)*$K512*$L512*$M512</f>
        <v/>
      </c>
      <c r="AC512" s="13">
        <f>SUMPRODUCT(N512:Y512,$N$4:$Y$4)*$K512*$L512*$M512</f>
        <v/>
      </c>
      <c r="AD512" s="15" t="n">
        <v>3</v>
      </c>
      <c r="AE512" s="11" t="n">
        <v>1.011296296296296</v>
      </c>
      <c r="AF512" s="16">
        <f>SUMPRODUCT(N512:Y512,$N$5:$Y$5)*$K512*$L512*$M512</f>
        <v/>
      </c>
      <c r="AG512" s="16">
        <f>SUMPRODUCT(N512:Y512,$N$6:$Y$6)*$K512*$L512*$M512</f>
        <v/>
      </c>
      <c r="AH512" s="20" t="n"/>
    </row>
    <row r="513">
      <c r="A513" s="9" t="n">
        <v>642629</v>
      </c>
      <c r="B513" s="9" t="inlineStr">
        <is>
          <t>Emmanuel Ramirez</t>
        </is>
      </c>
      <c r="C513" s="9" t="inlineStr">
        <is>
          <t>MIA</t>
        </is>
      </c>
      <c r="D513" s="9" t="n">
        <v>32</v>
      </c>
      <c r="E513" s="18" t="inlineStr">
        <is>
          <t>R</t>
        </is>
      </c>
      <c r="F513" s="18" t="n"/>
      <c r="G513" s="9" t="n">
        <v>92</v>
      </c>
      <c r="H513" s="9" t="n">
        <v>92</v>
      </c>
      <c r="I513" s="9" t="inlineStr">
        <is>
          <t>Depth (no MLB IP)</t>
        </is>
      </c>
      <c r="J513" s="18" t="inlineStr">
        <is>
          <t>Opening Day</t>
        </is>
      </c>
      <c r="K513" s="11">
        <f>IFERROR(INDEX(Roles!$B$17:$B$20,MATCH(J513,Roles!$A$17:$A$20,0)),1)</f>
        <v/>
      </c>
      <c r="L513" s="19" t="n">
        <v>1</v>
      </c>
      <c r="M513" s="11" t="n">
        <v>1</v>
      </c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>
        <v>1</v>
      </c>
      <c r="Z513" s="13">
        <f>SUMPRODUCT(N513:Y513,$N$2:$Y$2)*$K513*$L513*$M513</f>
        <v/>
      </c>
      <c r="AA513" s="14">
        <f>SUM(N513:Y513)</f>
        <v/>
      </c>
      <c r="AB513" s="13">
        <f>SUMPRODUCT(N513:Y513,$N$3:$Y$3)*$K513*$L513*$M513</f>
        <v/>
      </c>
      <c r="AC513" s="13">
        <f>SUMPRODUCT(N513:Y513,$N$4:$Y$4)*$K513*$L513*$M513</f>
        <v/>
      </c>
      <c r="AD513" s="15" t="n">
        <v>10.2</v>
      </c>
      <c r="AE513" s="11" t="n">
        <v>1.133456790123457</v>
      </c>
      <c r="AF513" s="16">
        <f>SUMPRODUCT(N513:Y513,$N$5:$Y$5)*$K513*$L513*$M513</f>
        <v/>
      </c>
      <c r="AG513" s="16">
        <f>SUMPRODUCT(N513:Y513,$N$6:$Y$6)*$K513*$L513*$M513</f>
        <v/>
      </c>
      <c r="AH513" s="20" t="n"/>
    </row>
    <row r="514">
      <c r="A514" s="9" t="n">
        <v>681520</v>
      </c>
      <c r="B514" s="9" t="inlineStr">
        <is>
          <t>Antoine Kelly</t>
        </is>
      </c>
      <c r="C514" s="9" t="inlineStr">
        <is>
          <t>CHC</t>
        </is>
      </c>
      <c r="D514" s="9" t="n">
        <v>27</v>
      </c>
      <c r="E514" s="18" t="inlineStr">
        <is>
          <t>L</t>
        </is>
      </c>
      <c r="F514" s="18" t="n"/>
      <c r="G514" s="9" t="n">
        <v>4</v>
      </c>
      <c r="H514" s="9" t="n">
        <v>4</v>
      </c>
      <c r="I514" s="9" t="inlineStr">
        <is>
          <t>Depth (no MLB IP)</t>
        </is>
      </c>
      <c r="J514" s="18" t="inlineStr">
        <is>
          <t>Opening Day</t>
        </is>
      </c>
      <c r="K514" s="11">
        <f>IFERROR(INDEX(Roles!$B$17:$B$20,MATCH(J514,Roles!$A$17:$A$20,0)),1)</f>
        <v/>
      </c>
      <c r="L514" s="19" t="n">
        <v>1</v>
      </c>
      <c r="M514" s="11" t="n">
        <v>1</v>
      </c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>
        <v>1</v>
      </c>
      <c r="Z514" s="13">
        <f>SUMPRODUCT(N514:Y514,$N$2:$Y$2)*$K514*$L514*$M514</f>
        <v/>
      </c>
      <c r="AA514" s="14">
        <f>SUM(N514:Y514)</f>
        <v/>
      </c>
      <c r="AB514" s="13">
        <f>SUMPRODUCT(N514:Y514,$N$3:$Y$3)*$K514*$L514*$M514</f>
        <v/>
      </c>
      <c r="AC514" s="13">
        <f>SUMPRODUCT(N514:Y514,$N$4:$Y$4)*$K514*$L514*$M514</f>
        <v/>
      </c>
      <c r="AD514" s="15" t="n">
        <v>1.8</v>
      </c>
      <c r="AE514" s="11" t="n">
        <v>1.118641975308642</v>
      </c>
      <c r="AF514" s="16">
        <f>SUMPRODUCT(N514:Y514,$N$5:$Y$5)*$K514*$L514*$M514</f>
        <v/>
      </c>
      <c r="AG514" s="16">
        <f>SUMPRODUCT(N514:Y514,$N$6:$Y$6)*$K514*$L514*$M514</f>
        <v/>
      </c>
      <c r="AH514" s="20" t="n"/>
    </row>
    <row r="515">
      <c r="A515" s="9" t="n">
        <v>679346</v>
      </c>
      <c r="B515" s="9" t="inlineStr">
        <is>
          <t>Edgar Navarro</t>
        </is>
      </c>
      <c r="C515" s="9" t="inlineStr">
        <is>
          <t>CWS</t>
        </is>
      </c>
      <c r="D515" s="9" t="n">
        <v>29</v>
      </c>
      <c r="E515" s="18" t="inlineStr">
        <is>
          <t>R</t>
        </is>
      </c>
      <c r="F515" s="18" t="n"/>
      <c r="G515" s="9" t="n">
        <v>39</v>
      </c>
      <c r="H515" s="9" t="n">
        <v>39</v>
      </c>
      <c r="I515" s="9" t="inlineStr">
        <is>
          <t>Depth (no MLB IP)</t>
        </is>
      </c>
      <c r="J515" s="18" t="inlineStr">
        <is>
          <t>Opening Day</t>
        </is>
      </c>
      <c r="K515" s="11">
        <f>IFERROR(INDEX(Roles!$B$17:$B$20,MATCH(J515,Roles!$A$17:$A$20,0)),1)</f>
        <v/>
      </c>
      <c r="L515" s="19" t="n">
        <v>1</v>
      </c>
      <c r="M515" s="11" t="n">
        <v>1</v>
      </c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>
        <v>1</v>
      </c>
      <c r="Z515" s="13">
        <f>SUMPRODUCT(N515:Y515,$N$2:$Y$2)*$K515*$L515*$M515</f>
        <v/>
      </c>
      <c r="AA515" s="14">
        <f>SUM(N515:Y515)</f>
        <v/>
      </c>
      <c r="AB515" s="13">
        <f>SUMPRODUCT(N515:Y515,$N$3:$Y$3)*$K515*$L515*$M515</f>
        <v/>
      </c>
      <c r="AC515" s="13">
        <f>SUMPRODUCT(N515:Y515,$N$4:$Y$4)*$K515*$L515*$M515</f>
        <v/>
      </c>
      <c r="AD515" s="15" t="n">
        <v>3</v>
      </c>
      <c r="AE515" s="11" t="n">
        <v>1.011296296296296</v>
      </c>
      <c r="AF515" s="16">
        <f>SUMPRODUCT(N515:Y515,$N$5:$Y$5)*$K515*$L515*$M515</f>
        <v/>
      </c>
      <c r="AG515" s="16">
        <f>SUMPRODUCT(N515:Y515,$N$6:$Y$6)*$K515*$L515*$M515</f>
        <v/>
      </c>
      <c r="AH515" s="20" t="n"/>
    </row>
    <row r="516">
      <c r="A516" s="9" t="n">
        <v>621383</v>
      </c>
      <c r="B516" s="9" t="inlineStr">
        <is>
          <t>Tanner Banks</t>
        </is>
      </c>
      <c r="C516" s="9" t="inlineStr">
        <is>
          <t>PHI</t>
        </is>
      </c>
      <c r="D516" s="9" t="n">
        <v>35</v>
      </c>
      <c r="E516" s="18" t="inlineStr">
        <is>
          <t>L</t>
        </is>
      </c>
      <c r="F516" s="18" t="n"/>
      <c r="G516" s="9" t="n">
        <v>176</v>
      </c>
      <c r="H516" s="9" t="n">
        <v>1226</v>
      </c>
      <c r="I516" s="9" t="inlineStr">
        <is>
          <t>Middle Relief</t>
        </is>
      </c>
      <c r="J516" s="18" t="inlineStr">
        <is>
          <t>Opening Day</t>
        </is>
      </c>
      <c r="K516" s="11">
        <f>IFERROR(INDEX(Roles!$B$17:$B$20,MATCH(J516,Roles!$A$17:$A$20,0)),1)</f>
        <v/>
      </c>
      <c r="L516" s="19" t="n">
        <v>1</v>
      </c>
      <c r="M516" s="11" t="n">
        <v>1</v>
      </c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>
        <v>0.6</v>
      </c>
      <c r="W516" s="19" t="n">
        <v>0.4</v>
      </c>
      <c r="X516" s="19" t="n"/>
      <c r="Y516" s="19" t="n"/>
      <c r="Z516" s="13">
        <f>SUMPRODUCT(N516:Y516,$N$2:$Y$2)*$K516*$L516*$M516</f>
        <v/>
      </c>
      <c r="AA516" s="14">
        <f>SUM(N516:Y516)</f>
        <v/>
      </c>
      <c r="AB516" s="13">
        <f>SUMPRODUCT(N516:Y516,$N$3:$Y$3)*$K516*$L516*$M516</f>
        <v/>
      </c>
      <c r="AC516" s="13">
        <f>SUMPRODUCT(N516:Y516,$N$4:$Y$4)*$K516*$L516*$M516</f>
        <v/>
      </c>
      <c r="AD516" s="15" t="n">
        <v>44.43333333333333</v>
      </c>
      <c r="AE516" s="11" t="n">
        <v>1.043801452766435</v>
      </c>
      <c r="AF516" s="16">
        <f>SUMPRODUCT(N516:Y516,$N$5:$Y$5)*$K516*$L516*$M516</f>
        <v/>
      </c>
      <c r="AG516" s="16">
        <f>SUMPRODUCT(N516:Y516,$N$6:$Y$6)*$K516*$L516*$M516</f>
        <v/>
      </c>
      <c r="AH516" s="20" t="n"/>
    </row>
    <row r="517">
      <c r="A517" s="9" t="n">
        <v>670183</v>
      </c>
      <c r="B517" s="9" t="inlineStr">
        <is>
          <t>Garrett Acton</t>
        </is>
      </c>
      <c r="C517" s="9" t="inlineStr">
        <is>
          <t>MIN</t>
        </is>
      </c>
      <c r="D517" s="9" t="n">
        <v>29</v>
      </c>
      <c r="E517" s="18" t="inlineStr">
        <is>
          <t>R</t>
        </is>
      </c>
      <c r="F517" s="18" t="n"/>
      <c r="G517" s="9" t="n">
        <v>51</v>
      </c>
      <c r="H517" s="9" t="n">
        <v>88</v>
      </c>
      <c r="I517" s="9" t="inlineStr">
        <is>
          <t>Bullpen Depth Arm</t>
        </is>
      </c>
      <c r="J517" s="18" t="inlineStr">
        <is>
          <t>Opening Day</t>
        </is>
      </c>
      <c r="K517" s="11">
        <f>IFERROR(INDEX(Roles!$B$17:$B$20,MATCH(J517,Roles!$A$17:$A$20,0)),1)</f>
        <v/>
      </c>
      <c r="L517" s="19" t="n">
        <v>1</v>
      </c>
      <c r="M517" s="11" t="n">
        <v>1</v>
      </c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>
        <v>1</v>
      </c>
      <c r="X517" s="19" t="n"/>
      <c r="Y517" s="19" t="n"/>
      <c r="Z517" s="13">
        <f>SUMPRODUCT(N517:Y517,$N$2:$Y$2)*$K517*$L517*$M517</f>
        <v/>
      </c>
      <c r="AA517" s="14">
        <f>SUM(N517:Y517)</f>
        <v/>
      </c>
      <c r="AB517" s="13">
        <f>SUMPRODUCT(N517:Y517,$N$3:$Y$3)*$K517*$L517*$M517</f>
        <v/>
      </c>
      <c r="AC517" s="13">
        <f>SUMPRODUCT(N517:Y517,$N$4:$Y$4)*$K517*$L517*$M517</f>
        <v/>
      </c>
      <c r="AD517" s="15" t="n">
        <v>8.426666666666666</v>
      </c>
      <c r="AE517" s="11" t="n">
        <v>1.308753511652062</v>
      </c>
      <c r="AF517" s="16">
        <f>SUMPRODUCT(N517:Y517,$N$5:$Y$5)*$K517*$L517*$M517</f>
        <v/>
      </c>
      <c r="AG517" s="16">
        <f>SUMPRODUCT(N517:Y517,$N$6:$Y$6)*$K517*$L517*$M517</f>
        <v/>
      </c>
      <c r="AH517" s="20" t="n"/>
    </row>
    <row r="518">
      <c r="A518" s="9" t="n">
        <v>593334</v>
      </c>
      <c r="B518" s="9" t="inlineStr">
        <is>
          <t>Domingo Germán</t>
        </is>
      </c>
      <c r="C518" s="9" t="inlineStr">
        <is>
          <t>PIT</t>
        </is>
      </c>
      <c r="D518" s="9" t="n">
        <v>34</v>
      </c>
      <c r="E518" s="18" t="inlineStr">
        <is>
          <t>R</t>
        </is>
      </c>
      <c r="F518" s="18" t="n"/>
      <c r="G518" s="9" t="n">
        <v>100</v>
      </c>
      <c r="H518" s="9" t="n">
        <v>842</v>
      </c>
      <c r="I518" s="9" t="inlineStr">
        <is>
          <t>Depth (no MLB IP)</t>
        </is>
      </c>
      <c r="J518" s="18" t="inlineStr">
        <is>
          <t>Opening Day</t>
        </is>
      </c>
      <c r="K518" s="11">
        <f>IFERROR(INDEX(Roles!$B$17:$B$20,MATCH(J518,Roles!$A$17:$A$20,0)),1)</f>
        <v/>
      </c>
      <c r="L518" s="19" t="n">
        <v>1</v>
      </c>
      <c r="M518" s="11" t="n">
        <v>1</v>
      </c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>
        <v>1</v>
      </c>
      <c r="Z518" s="13">
        <f>SUMPRODUCT(N518:Y518,$N$2:$Y$2)*$K518*$L518*$M518</f>
        <v/>
      </c>
      <c r="AA518" s="14">
        <f>SUM(N518:Y518)</f>
        <v/>
      </c>
      <c r="AB518" s="13">
        <f>SUMPRODUCT(N518:Y518,$N$3:$Y$3)*$K518*$L518*$M518</f>
        <v/>
      </c>
      <c r="AC518" s="13">
        <f>SUMPRODUCT(N518:Y518,$N$4:$Y$4)*$K518*$L518*$M518</f>
        <v/>
      </c>
      <c r="AD518" s="15" t="n">
        <v>5.4</v>
      </c>
      <c r="AE518" s="11" t="n">
        <v>1.658324514991182</v>
      </c>
      <c r="AF518" s="16">
        <f>SUMPRODUCT(N518:Y518,$N$5:$Y$5)*$K518*$L518*$M518</f>
        <v/>
      </c>
      <c r="AG518" s="16">
        <f>SUMPRODUCT(N518:Y518,$N$6:$Y$6)*$K518*$L518*$M518</f>
        <v/>
      </c>
      <c r="AH518" s="20" t="n"/>
    </row>
    <row r="519">
      <c r="A519" s="9" t="n">
        <v>668472</v>
      </c>
      <c r="B519" s="9" t="inlineStr">
        <is>
          <t>Nick Pratto</t>
        </is>
      </c>
      <c r="C519" s="9" t="inlineStr">
        <is>
          <t>KC</t>
        </is>
      </c>
      <c r="D519" s="9" t="n">
        <v>28</v>
      </c>
      <c r="E519" s="18" t="inlineStr">
        <is>
          <t>L</t>
        </is>
      </c>
      <c r="F519" s="18" t="n"/>
      <c r="G519" s="9" t="n">
        <v>4</v>
      </c>
      <c r="H519" s="9" t="n">
        <v>4</v>
      </c>
      <c r="I519" s="9" t="inlineStr">
        <is>
          <t>Depth (no MLB IP)</t>
        </is>
      </c>
      <c r="J519" s="18" t="inlineStr">
        <is>
          <t>Opening Day</t>
        </is>
      </c>
      <c r="K519" s="11">
        <f>IFERROR(INDEX(Roles!$B$17:$B$20,MATCH(J519,Roles!$A$17:$A$20,0)),1)</f>
        <v/>
      </c>
      <c r="L519" s="19" t="n">
        <v>1</v>
      </c>
      <c r="M519" s="11" t="n">
        <v>1</v>
      </c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>
        <v>1</v>
      </c>
      <c r="Z519" s="13">
        <f>SUMPRODUCT(N519:Y519,$N$2:$Y$2)*$K519*$L519*$M519</f>
        <v/>
      </c>
      <c r="AA519" s="14">
        <f>SUM(N519:Y519)</f>
        <v/>
      </c>
      <c r="AB519" s="13">
        <f>SUMPRODUCT(N519:Y519,$N$3:$Y$3)*$K519*$L519*$M519</f>
        <v/>
      </c>
      <c r="AC519" s="13">
        <f>SUMPRODUCT(N519:Y519,$N$4:$Y$4)*$K519*$L519*$M519</f>
        <v/>
      </c>
      <c r="AD519" s="15" t="n">
        <v>1.8</v>
      </c>
      <c r="AE519" s="11" t="n">
        <v>1.007530864197531</v>
      </c>
      <c r="AF519" s="16">
        <f>SUMPRODUCT(N519:Y519,$N$5:$Y$5)*$K519*$L519*$M519</f>
        <v/>
      </c>
      <c r="AG519" s="16">
        <f>SUMPRODUCT(N519:Y519,$N$6:$Y$6)*$K519*$L519*$M519</f>
        <v/>
      </c>
      <c r="AH519" s="20" t="n"/>
    </row>
    <row r="520">
      <c r="A520" s="9" t="n">
        <v>687606</v>
      </c>
      <c r="B520" s="9" t="inlineStr">
        <is>
          <t>Paxton Schultz</t>
        </is>
      </c>
      <c r="C520" s="9" t="inlineStr">
        <is>
          <t>WSH</t>
        </is>
      </c>
      <c r="D520" s="9" t="n">
        <v>29</v>
      </c>
      <c r="E520" s="18" t="inlineStr">
        <is>
          <t>R</t>
        </is>
      </c>
      <c r="F520" s="18" t="n"/>
      <c r="G520" s="9" t="n">
        <v>153</v>
      </c>
      <c r="H520" s="9" t="n">
        <v>263</v>
      </c>
      <c r="I520" s="9" t="inlineStr">
        <is>
          <t>Closer</t>
        </is>
      </c>
      <c r="J520" s="18" t="inlineStr">
        <is>
          <t>Opening Day</t>
        </is>
      </c>
      <c r="K520" s="11">
        <f>IFERROR(INDEX(Roles!$B$17:$B$20,MATCH(J520,Roles!$A$17:$A$20,0)),1)</f>
        <v/>
      </c>
      <c r="L520" s="19" t="n">
        <v>1</v>
      </c>
      <c r="M520" s="11" t="n">
        <v>1</v>
      </c>
      <c r="N520" s="19" t="n"/>
      <c r="O520" s="19" t="n"/>
      <c r="P520" s="19" t="n"/>
      <c r="Q520" s="19" t="n"/>
      <c r="R520" s="19" t="n"/>
      <c r="S520" s="19" t="n"/>
      <c r="T520" s="19" t="n">
        <v>1</v>
      </c>
      <c r="U520" s="19" t="n"/>
      <c r="V520" s="19" t="n"/>
      <c r="W520" s="19" t="n"/>
      <c r="X520" s="19" t="n"/>
      <c r="Y520" s="19" t="n"/>
      <c r="Z520" s="13">
        <f>SUMPRODUCT(N520:Y520,$N$2:$Y$2)*$K520*$L520*$M520</f>
        <v/>
      </c>
      <c r="AA520" s="14">
        <f>SUM(N520:Y520)</f>
        <v/>
      </c>
      <c r="AB520" s="13">
        <f>SUMPRODUCT(N520:Y520,$N$3:$Y$3)*$K520*$L520*$M520</f>
        <v/>
      </c>
      <c r="AC520" s="13">
        <f>SUMPRODUCT(N520:Y520,$N$4:$Y$4)*$K520*$L520*$M520</f>
        <v/>
      </c>
      <c r="AD520" s="15" t="n">
        <v>33</v>
      </c>
      <c r="AE520" s="11" t="n">
        <v>1.125030627603346</v>
      </c>
      <c r="AF520" s="16">
        <f>SUMPRODUCT(N520:Y520,$N$5:$Y$5)*$K520*$L520*$M520</f>
        <v/>
      </c>
      <c r="AG520" s="16">
        <f>SUMPRODUCT(N520:Y520,$N$6:$Y$6)*$K520*$L520*$M520</f>
        <v/>
      </c>
      <c r="AH520" s="20" t="n"/>
    </row>
    <row r="521">
      <c r="A521" s="9" t="n">
        <v>642048</v>
      </c>
      <c r="B521" s="9" t="inlineStr">
        <is>
          <t>Tayler Saucedo</t>
        </is>
      </c>
      <c r="C521" s="9" t="inlineStr">
        <is>
          <t>LAA</t>
        </is>
      </c>
      <c r="D521" s="9" t="n">
        <v>34</v>
      </c>
      <c r="E521" s="18" t="inlineStr">
        <is>
          <t>L</t>
        </is>
      </c>
      <c r="F521" s="18" t="n"/>
      <c r="G521" s="9" t="n">
        <v>87</v>
      </c>
      <c r="H521" s="9" t="n">
        <v>541</v>
      </c>
      <c r="I521" s="9" t="inlineStr">
        <is>
          <t>Middle Relief</t>
        </is>
      </c>
      <c r="J521" s="18" t="inlineStr">
        <is>
          <t>Opening Day</t>
        </is>
      </c>
      <c r="K521" s="11">
        <f>IFERROR(INDEX(Roles!$B$17:$B$20,MATCH(J521,Roles!$A$17:$A$20,0)),1)</f>
        <v/>
      </c>
      <c r="L521" s="19" t="n">
        <v>1</v>
      </c>
      <c r="M521" s="11" t="n">
        <v>1</v>
      </c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>
        <v>0.85</v>
      </c>
      <c r="W521" s="19" t="n">
        <v>0.15</v>
      </c>
      <c r="X521" s="19" t="n"/>
      <c r="Y521" s="19" t="n"/>
      <c r="Z521" s="13">
        <f>SUMPRODUCT(N521:Y521,$N$2:$Y$2)*$K521*$L521*$M521</f>
        <v/>
      </c>
      <c r="AA521" s="14">
        <f>SUM(N521:Y521)</f>
        <v/>
      </c>
      <c r="AB521" s="13">
        <f>SUMPRODUCT(N521:Y521,$N$3:$Y$3)*$K521*$L521*$M521</f>
        <v/>
      </c>
      <c r="AC521" s="13">
        <f>SUMPRODUCT(N521:Y521,$N$4:$Y$4)*$K521*$L521*$M521</f>
        <v/>
      </c>
      <c r="AD521" s="15" t="n">
        <v>30.43333333333333</v>
      </c>
      <c r="AE521" s="11" t="n">
        <v>0.9637368291773954</v>
      </c>
      <c r="AF521" s="16">
        <f>SUMPRODUCT(N521:Y521,$N$5:$Y$5)*$K521*$L521*$M521</f>
        <v/>
      </c>
      <c r="AG521" s="16">
        <f>SUMPRODUCT(N521:Y521,$N$6:$Y$6)*$K521*$L521*$M521</f>
        <v/>
      </c>
      <c r="AH521" s="20" t="n"/>
    </row>
    <row r="522">
      <c r="A522" s="9" t="n">
        <v>700842</v>
      </c>
      <c r="B522" s="9" t="inlineStr">
        <is>
          <t>Eduardo Rivera</t>
        </is>
      </c>
      <c r="C522" s="9" t="inlineStr">
        <is>
          <t>BOS</t>
        </is>
      </c>
      <c r="D522" s="9" t="n">
        <v>24</v>
      </c>
      <c r="E522" s="18" t="inlineStr">
        <is>
          <t>L</t>
        </is>
      </c>
      <c r="F522" s="18" t="n"/>
      <c r="G522" s="9" t="n">
        <v>44</v>
      </c>
      <c r="H522" s="9" t="n">
        <v>44</v>
      </c>
      <c r="I522" s="9" t="inlineStr">
        <is>
          <t>Bullpen Depth Arm</t>
        </is>
      </c>
      <c r="J522" s="18" t="inlineStr">
        <is>
          <t>Opening Day</t>
        </is>
      </c>
      <c r="K522" s="11">
        <f>IFERROR(INDEX(Roles!$B$17:$B$20,MATCH(J522,Roles!$A$17:$A$20,0)),1)</f>
        <v/>
      </c>
      <c r="L522" s="19" t="n">
        <v>1</v>
      </c>
      <c r="M522" s="11" t="n">
        <v>1</v>
      </c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>
        <v>0.15</v>
      </c>
      <c r="W522" s="19" t="n">
        <v>0.85</v>
      </c>
      <c r="X522" s="19" t="n"/>
      <c r="Y522" s="19" t="n"/>
      <c r="Z522" s="13">
        <f>SUMPRODUCT(N522:Y522,$N$2:$Y$2)*$K522*$L522*$M522</f>
        <v/>
      </c>
      <c r="AA522" s="14">
        <f>SUM(N522:Y522)</f>
        <v/>
      </c>
      <c r="AB522" s="13">
        <f>SUMPRODUCT(N522:Y522,$N$3:$Y$3)*$K522*$L522*$M522</f>
        <v/>
      </c>
      <c r="AC522" s="13">
        <f>SUMPRODUCT(N522:Y522,$N$4:$Y$4)*$K522*$L522*$M522</f>
        <v/>
      </c>
      <c r="AD522" s="15" t="n">
        <v>8.066666666666666</v>
      </c>
      <c r="AE522" s="11" t="n">
        <v>1.634840468173802</v>
      </c>
      <c r="AF522" s="16">
        <f>SUMPRODUCT(N522:Y522,$N$5:$Y$5)*$K522*$L522*$M522</f>
        <v/>
      </c>
      <c r="AG522" s="16">
        <f>SUMPRODUCT(N522:Y522,$N$6:$Y$6)*$K522*$L522*$M522</f>
        <v/>
      </c>
      <c r="AH522" s="20" t="n"/>
    </row>
    <row r="523">
      <c r="A523" s="9" t="n">
        <v>663767</v>
      </c>
      <c r="B523" s="9" t="inlineStr">
        <is>
          <t>Chase Shugart</t>
        </is>
      </c>
      <c r="C523" s="9" t="inlineStr">
        <is>
          <t>PHI</t>
        </is>
      </c>
      <c r="D523" s="9" t="n">
        <v>30</v>
      </c>
      <c r="E523" s="18" t="inlineStr">
        <is>
          <t>R</t>
        </is>
      </c>
      <c r="F523" s="18" t="n"/>
      <c r="G523" s="9" t="n">
        <v>223</v>
      </c>
      <c r="H523" s="9" t="n">
        <v>440</v>
      </c>
      <c r="I523" s="9" t="inlineStr">
        <is>
          <t>Swing Arm / Long Relief</t>
        </is>
      </c>
      <c r="J523" s="18" t="inlineStr">
        <is>
          <t>Opening Day</t>
        </is>
      </c>
      <c r="K523" s="11">
        <f>IFERROR(INDEX(Roles!$B$17:$B$20,MATCH(J523,Roles!$A$17:$A$20,0)),1)</f>
        <v/>
      </c>
      <c r="L523" s="19" t="n">
        <v>1</v>
      </c>
      <c r="M523" s="11" t="n">
        <v>1</v>
      </c>
      <c r="N523" s="19" t="n"/>
      <c r="O523" s="19" t="n"/>
      <c r="P523" s="19" t="n"/>
      <c r="Q523" s="19" t="n"/>
      <c r="R523" s="19" t="n">
        <v>0.6</v>
      </c>
      <c r="S523" s="19" t="n"/>
      <c r="T523" s="19" t="n"/>
      <c r="U523" s="19" t="n"/>
      <c r="V523" s="19" t="n"/>
      <c r="W523" s="19" t="n">
        <v>0.4</v>
      </c>
      <c r="X523" s="19" t="n"/>
      <c r="Y523" s="19" t="n"/>
      <c r="Z523" s="13">
        <f>SUMPRODUCT(N523:Y523,$N$2:$Y$2)*$K523*$L523*$M523</f>
        <v/>
      </c>
      <c r="AA523" s="14">
        <f>SUM(N523:Y523)</f>
        <v/>
      </c>
      <c r="AB523" s="13">
        <f>SUMPRODUCT(N523:Y523,$N$3:$Y$3)*$K523*$L523*$M523</f>
        <v/>
      </c>
      <c r="AC523" s="13">
        <f>SUMPRODUCT(N523:Y523,$N$4:$Y$4)*$K523*$L523*$M523</f>
        <v/>
      </c>
      <c r="AD523" s="15" t="n">
        <v>29.53333333333333</v>
      </c>
      <c r="AE523" s="11" t="n">
        <v>2.072953373167867</v>
      </c>
      <c r="AF523" s="16">
        <f>SUMPRODUCT(N523:Y523,$N$5:$Y$5)*$K523*$L523*$M523</f>
        <v/>
      </c>
      <c r="AG523" s="16">
        <f>SUMPRODUCT(N523:Y523,$N$6:$Y$6)*$K523*$L523*$M523</f>
        <v/>
      </c>
      <c r="AH523" s="20" t="n"/>
    </row>
    <row r="524">
      <c r="A524" s="9" t="n">
        <v>688883</v>
      </c>
      <c r="B524" s="9" t="inlineStr">
        <is>
          <t>Peyton Pallette</t>
        </is>
      </c>
      <c r="C524" s="9" t="inlineStr">
        <is>
          <t>CLE</t>
        </is>
      </c>
      <c r="D524" s="9" t="n">
        <v>26</v>
      </c>
      <c r="E524" s="18" t="inlineStr">
        <is>
          <t>R</t>
        </is>
      </c>
      <c r="F524" s="18" t="n"/>
      <c r="G524" s="9" t="n">
        <v>97</v>
      </c>
      <c r="H524" s="9" t="n">
        <v>97</v>
      </c>
      <c r="I524" s="9" t="inlineStr">
        <is>
          <t>Bullpen Depth Arm</t>
        </is>
      </c>
      <c r="J524" s="18" t="inlineStr">
        <is>
          <t>Opening Day</t>
        </is>
      </c>
      <c r="K524" s="11">
        <f>IFERROR(INDEX(Roles!$B$17:$B$20,MATCH(J524,Roles!$A$17:$A$20,0)),1)</f>
        <v/>
      </c>
      <c r="L524" s="19" t="n">
        <v>1</v>
      </c>
      <c r="M524" s="11" t="n">
        <v>1</v>
      </c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>
        <v>1</v>
      </c>
      <c r="X524" s="19" t="n"/>
      <c r="Y524" s="19" t="n"/>
      <c r="Z524" s="13">
        <f>SUMPRODUCT(N524:Y524,$N$2:$Y$2)*$K524*$L524*$M524</f>
        <v/>
      </c>
      <c r="AA524" s="14">
        <f>SUM(N524:Y524)</f>
        <v/>
      </c>
      <c r="AB524" s="13">
        <f>SUMPRODUCT(N524:Y524,$N$3:$Y$3)*$K524*$L524*$M524</f>
        <v/>
      </c>
      <c r="AC524" s="13">
        <f>SUMPRODUCT(N524:Y524,$N$4:$Y$4)*$K524*$L524*$M524</f>
        <v/>
      </c>
      <c r="AD524" s="15" t="n">
        <v>15.26666666666667</v>
      </c>
      <c r="AE524" s="11" t="n">
        <v>1.232062690396024</v>
      </c>
      <c r="AF524" s="16">
        <f>SUMPRODUCT(N524:Y524,$N$5:$Y$5)*$K524*$L524*$M524</f>
        <v/>
      </c>
      <c r="AG524" s="16">
        <f>SUMPRODUCT(N524:Y524,$N$6:$Y$6)*$K524*$L524*$M524</f>
        <v/>
      </c>
      <c r="AH524" s="20" t="n"/>
    </row>
    <row r="525">
      <c r="A525" s="9" t="n">
        <v>689017</v>
      </c>
      <c r="B525" s="9" t="inlineStr">
        <is>
          <t>Landon Knack</t>
        </is>
      </c>
      <c r="C525" s="9" t="inlineStr">
        <is>
          <t>LAD</t>
        </is>
      </c>
      <c r="D525" s="9" t="n">
        <v>29</v>
      </c>
      <c r="E525" s="18" t="inlineStr">
        <is>
          <t>R</t>
        </is>
      </c>
      <c r="F525" s="18" t="n"/>
      <c r="G525" s="9" t="n">
        <v>50</v>
      </c>
      <c r="H525" s="9" t="n">
        <v>521</v>
      </c>
      <c r="I525" s="9" t="inlineStr">
        <is>
          <t>End-of-Rotation Starter (SP4-5)</t>
        </is>
      </c>
      <c r="J525" s="18" t="inlineStr">
        <is>
          <t>Opening Day</t>
        </is>
      </c>
      <c r="K525" s="11">
        <f>IFERROR(INDEX(Roles!$B$17:$B$20,MATCH(J525,Roles!$A$17:$A$20,0)),1)</f>
        <v/>
      </c>
      <c r="L525" s="19" t="n">
        <v>1</v>
      </c>
      <c r="M525" s="11" t="n">
        <v>1</v>
      </c>
      <c r="N525" s="19" t="n"/>
      <c r="O525" s="19" t="n"/>
      <c r="P525" s="19" t="n">
        <v>1</v>
      </c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3">
        <f>SUMPRODUCT(N525:Y525,$N$2:$Y$2)*$K525*$L525*$M525</f>
        <v/>
      </c>
      <c r="AA525" s="14">
        <f>SUM(N525:Y525)</f>
        <v/>
      </c>
      <c r="AB525" s="13">
        <f>SUMPRODUCT(N525:Y525,$N$3:$Y$3)*$K525*$L525*$M525</f>
        <v/>
      </c>
      <c r="AC525" s="13">
        <f>SUMPRODUCT(N525:Y525,$N$4:$Y$4)*$K525*$L525*$M525</f>
        <v/>
      </c>
      <c r="AD525" s="15" t="n">
        <v>11.1</v>
      </c>
      <c r="AE525" s="11" t="n">
        <v>4.375098502758077</v>
      </c>
      <c r="AF525" s="16">
        <f>SUMPRODUCT(N525:Y525,$N$5:$Y$5)*$K525*$L525*$M525</f>
        <v/>
      </c>
      <c r="AG525" s="16">
        <f>SUMPRODUCT(N525:Y525,$N$6:$Y$6)*$K525*$L525*$M525</f>
        <v/>
      </c>
      <c r="AH525" s="20" t="n"/>
    </row>
    <row r="526">
      <c r="A526" s="9" t="n">
        <v>808970</v>
      </c>
      <c r="B526" s="9" t="inlineStr">
        <is>
          <t>Woo-Suk Go</t>
        </is>
      </c>
      <c r="C526" s="9" t="inlineStr">
        <is>
          <t>MIN</t>
        </is>
      </c>
      <c r="D526" s="9" t="n">
        <v>28</v>
      </c>
      <c r="E526" s="18" t="inlineStr">
        <is>
          <t>R</t>
        </is>
      </c>
      <c r="F526" s="18" t="n"/>
      <c r="G526" s="9" t="n">
        <v>22</v>
      </c>
      <c r="H526" s="9" t="n">
        <v>22</v>
      </c>
      <c r="I526" s="9" t="inlineStr">
        <is>
          <t>Depth (no MLB IP)</t>
        </is>
      </c>
      <c r="J526" s="18" t="inlineStr">
        <is>
          <t>Opening Day</t>
        </is>
      </c>
      <c r="K526" s="11">
        <f>IFERROR(INDEX(Roles!$B$17:$B$20,MATCH(J526,Roles!$A$17:$A$20,0)),1)</f>
        <v/>
      </c>
      <c r="L526" s="19" t="n">
        <v>1</v>
      </c>
      <c r="M526" s="11" t="n">
        <v>1</v>
      </c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>
        <v>1</v>
      </c>
      <c r="Z526" s="13">
        <f>SUMPRODUCT(N526:Y526,$N$2:$Y$2)*$K526*$L526*$M526</f>
        <v/>
      </c>
      <c r="AA526" s="14">
        <f>SUM(N526:Y526)</f>
        <v/>
      </c>
      <c r="AB526" s="13">
        <f>SUMPRODUCT(N526:Y526,$N$3:$Y$3)*$K526*$L526*$M526</f>
        <v/>
      </c>
      <c r="AC526" s="13">
        <f>SUMPRODUCT(N526:Y526,$N$4:$Y$4)*$K526*$L526*$M526</f>
        <v/>
      </c>
      <c r="AD526" s="15" t="n">
        <v>3.6</v>
      </c>
      <c r="AE526" s="11" t="n">
        <v>1.007530864197531</v>
      </c>
      <c r="AF526" s="16">
        <f>SUMPRODUCT(N526:Y526,$N$5:$Y$5)*$K526*$L526*$M526</f>
        <v/>
      </c>
      <c r="AG526" s="16">
        <f>SUMPRODUCT(N526:Y526,$N$6:$Y$6)*$K526*$L526*$M526</f>
        <v/>
      </c>
      <c r="AH526" s="20" t="n"/>
    </row>
    <row r="527">
      <c r="A527" s="9" t="n">
        <v>686701</v>
      </c>
      <c r="B527" s="9" t="inlineStr">
        <is>
          <t>Ryan Bergert</t>
        </is>
      </c>
      <c r="C527" s="9" t="inlineStr">
        <is>
          <t>KC</t>
        </is>
      </c>
      <c r="D527" s="9" t="n">
        <v>27</v>
      </c>
      <c r="E527" s="18" t="inlineStr">
        <is>
          <t>R</t>
        </is>
      </c>
      <c r="F527" s="18" t="n"/>
      <c r="G527" s="9" t="n">
        <v>323</v>
      </c>
      <c r="H527" s="9" t="n">
        <v>323</v>
      </c>
      <c r="I527" s="9" t="inlineStr">
        <is>
          <t>End-of-Rotation Starter (SP4-5)</t>
        </is>
      </c>
      <c r="J527" s="18" t="inlineStr">
        <is>
          <t>Opening Day</t>
        </is>
      </c>
      <c r="K527" s="11">
        <f>IFERROR(INDEX(Roles!$B$17:$B$20,MATCH(J527,Roles!$A$17:$A$20,0)),1)</f>
        <v/>
      </c>
      <c r="L527" s="19" t="n">
        <v>1</v>
      </c>
      <c r="M527" s="11" t="n">
        <v>1</v>
      </c>
      <c r="N527" s="19" t="n"/>
      <c r="O527" s="19" t="n"/>
      <c r="P527" s="19" t="n">
        <v>1</v>
      </c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3">
        <f>SUMPRODUCT(N527:Y527,$N$2:$Y$2)*$K527*$L527*$M527</f>
        <v/>
      </c>
      <c r="AA527" s="14">
        <f>SUM(N527:Y527)</f>
        <v/>
      </c>
      <c r="AB527" s="13">
        <f>SUMPRODUCT(N527:Y527,$N$3:$Y$3)*$K527*$L527*$M527</f>
        <v/>
      </c>
      <c r="AC527" s="13">
        <f>SUMPRODUCT(N527:Y527,$N$4:$Y$4)*$K527*$L527*$M527</f>
        <v/>
      </c>
      <c r="AD527" s="15" t="n">
        <v>17.8</v>
      </c>
      <c r="AE527" s="11" t="n">
        <v>4.376218323586745</v>
      </c>
      <c r="AF527" s="16">
        <f>SUMPRODUCT(N527:Y527,$N$5:$Y$5)*$K527*$L527*$M527</f>
        <v/>
      </c>
      <c r="AG527" s="16">
        <f>SUMPRODUCT(N527:Y527,$N$6:$Y$6)*$K527*$L527*$M527</f>
        <v/>
      </c>
      <c r="AH527" s="20" t="n"/>
    </row>
    <row r="528">
      <c r="A528" s="9" t="n">
        <v>827671</v>
      </c>
      <c r="B528" s="9" t="inlineStr">
        <is>
          <t>Reed Stallman</t>
        </is>
      </c>
      <c r="C528" s="9" t="inlineStr">
        <is>
          <t>NYM</t>
        </is>
      </c>
      <c r="D528" s="9" t="n">
        <v>25</v>
      </c>
      <c r="E528" s="18" t="inlineStr">
        <is>
          <t>L</t>
        </is>
      </c>
      <c r="F528" s="18" t="n"/>
      <c r="G528" s="9" t="n">
        <v>1.032</v>
      </c>
      <c r="H528" s="9" t="n">
        <v>1.032</v>
      </c>
      <c r="I528" s="9" t="inlineStr">
        <is>
          <t>Depth (no MLB IP)</t>
        </is>
      </c>
      <c r="J528" s="18" t="inlineStr">
        <is>
          <t>Opening Day</t>
        </is>
      </c>
      <c r="K528" s="11">
        <f>IFERROR(INDEX(Roles!$B$17:$B$20,MATCH(J528,Roles!$A$17:$A$20,0)),1)</f>
        <v/>
      </c>
      <c r="L528" s="19" t="n">
        <v>1</v>
      </c>
      <c r="M528" s="11" t="n">
        <v>1</v>
      </c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>
        <v>1</v>
      </c>
      <c r="Z528" s="13">
        <f>SUMPRODUCT(N528:Y528,$N$2:$Y$2)*$K528*$L528*$M528</f>
        <v/>
      </c>
      <c r="AA528" s="14">
        <f>SUM(N528:Y528)</f>
        <v/>
      </c>
      <c r="AB528" s="13">
        <f>SUMPRODUCT(N528:Y528,$N$3:$Y$3)*$K528*$L528*$M528</f>
        <v/>
      </c>
      <c r="AC528" s="13">
        <f>SUMPRODUCT(N528:Y528,$N$4:$Y$4)*$K528*$L528*$M528</f>
        <v/>
      </c>
      <c r="AD528" s="15" t="n">
        <v>3</v>
      </c>
      <c r="AE528" s="11" t="n">
        <v>1.011296296296296</v>
      </c>
      <c r="AF528" s="16">
        <f>SUMPRODUCT(N528:Y528,$N$5:$Y$5)*$K528*$L528*$M528</f>
        <v/>
      </c>
      <c r="AG528" s="16">
        <f>SUMPRODUCT(N528:Y528,$N$6:$Y$6)*$K528*$L528*$M528</f>
        <v/>
      </c>
      <c r="AH528" s="20" t="n"/>
    </row>
    <row r="529">
      <c r="A529" s="9" t="n">
        <v>691278</v>
      </c>
      <c r="B529" s="9" t="inlineStr">
        <is>
          <t>Moises Alcala</t>
        </is>
      </c>
      <c r="C529" s="9" t="inlineStr">
        <is>
          <t>ARI</t>
        </is>
      </c>
      <c r="D529" s="9" t="n">
        <v>25</v>
      </c>
      <c r="E529" s="18" t="inlineStr">
        <is>
          <t>R</t>
        </is>
      </c>
      <c r="F529" s="18" t="n"/>
      <c r="G529" s="9" t="n">
        <v>1.204</v>
      </c>
      <c r="H529" s="9" t="n">
        <v>1.204</v>
      </c>
      <c r="I529" s="9" t="inlineStr">
        <is>
          <t>Depth (no MLB IP)</t>
        </is>
      </c>
      <c r="J529" s="18" t="inlineStr">
        <is>
          <t>Opening Day</t>
        </is>
      </c>
      <c r="K529" s="11">
        <f>IFERROR(INDEX(Roles!$B$17:$B$20,MATCH(J529,Roles!$A$17:$A$20,0)),1)</f>
        <v/>
      </c>
      <c r="L529" s="19" t="n">
        <v>1</v>
      </c>
      <c r="M529" s="11" t="n">
        <v>1</v>
      </c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>
        <v>1</v>
      </c>
      <c r="Z529" s="13">
        <f>SUMPRODUCT(N529:Y529,$N$2:$Y$2)*$K529*$L529*$M529</f>
        <v/>
      </c>
      <c r="AA529" s="14">
        <f>SUM(N529:Y529)</f>
        <v/>
      </c>
      <c r="AB529" s="13">
        <f>SUMPRODUCT(N529:Y529,$N$3:$Y$3)*$K529*$L529*$M529</f>
        <v/>
      </c>
      <c r="AC529" s="13">
        <f>SUMPRODUCT(N529:Y529,$N$4:$Y$4)*$K529*$L529*$M529</f>
        <v/>
      </c>
      <c r="AD529" s="15" t="n">
        <v>3</v>
      </c>
      <c r="AE529" s="11" t="n">
        <v>1.011296296296296</v>
      </c>
      <c r="AF529" s="16">
        <f>SUMPRODUCT(N529:Y529,$N$5:$Y$5)*$K529*$L529*$M529</f>
        <v/>
      </c>
      <c r="AG529" s="16">
        <f>SUMPRODUCT(N529:Y529,$N$6:$Y$6)*$K529*$L529*$M529</f>
        <v/>
      </c>
      <c r="AH529" s="20" t="n"/>
    </row>
    <row r="530">
      <c r="A530" s="9" t="n">
        <v>827980</v>
      </c>
      <c r="B530" s="9" t="inlineStr">
        <is>
          <t>Frank Cairone</t>
        </is>
      </c>
      <c r="C530" s="9" t="inlineStr">
        <is>
          <t>MIL</t>
        </is>
      </c>
      <c r="D530" s="9" t="n">
        <v>25</v>
      </c>
      <c r="E530" s="18" t="inlineStr">
        <is>
          <t>L</t>
        </is>
      </c>
      <c r="F530" s="18" t="n"/>
      <c r="G530" s="9" t="n">
        <v>1</v>
      </c>
      <c r="H530" s="9" t="n">
        <v>1</v>
      </c>
      <c r="I530" s="9" t="inlineStr">
        <is>
          <t>Depth (no MLB IP)</t>
        </is>
      </c>
      <c r="J530" s="18" t="inlineStr">
        <is>
          <t>Opening Day</t>
        </is>
      </c>
      <c r="K530" s="11">
        <f>IFERROR(INDEX(Roles!$B$17:$B$20,MATCH(J530,Roles!$A$17:$A$20,0)),1)</f>
        <v/>
      </c>
      <c r="L530" s="19" t="n">
        <v>1</v>
      </c>
      <c r="M530" s="11" t="n">
        <v>1</v>
      </c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>
        <v>1</v>
      </c>
      <c r="Z530" s="13">
        <f>SUMPRODUCT(N530:Y530,$N$2:$Y$2)*$K530*$L530*$M530</f>
        <v/>
      </c>
      <c r="AA530" s="14">
        <f>SUM(N530:Y530)</f>
        <v/>
      </c>
      <c r="AB530" s="13">
        <f>SUMPRODUCT(N530:Y530,$N$3:$Y$3)*$K530*$L530*$M530</f>
        <v/>
      </c>
      <c r="AC530" s="13">
        <f>SUMPRODUCT(N530:Y530,$N$4:$Y$4)*$K530*$L530*$M530</f>
        <v/>
      </c>
      <c r="AD530" s="15" t="n">
        <v>3</v>
      </c>
      <c r="AE530" s="11" t="n">
        <v>1.011296296296296</v>
      </c>
      <c r="AF530" s="16">
        <f>SUMPRODUCT(N530:Y530,$N$5:$Y$5)*$K530*$L530*$M530</f>
        <v/>
      </c>
      <c r="AG530" s="16">
        <f>SUMPRODUCT(N530:Y530,$N$6:$Y$6)*$K530*$L530*$M530</f>
        <v/>
      </c>
      <c r="AH530" s="20" t="n"/>
    </row>
    <row r="531">
      <c r="A531" s="9" t="n">
        <v>686981</v>
      </c>
      <c r="B531" s="9" t="inlineStr">
        <is>
          <t>Brenden Dixon</t>
        </is>
      </c>
      <c r="C531" s="9" t="inlineStr">
        <is>
          <t>CWS</t>
        </is>
      </c>
      <c r="D531" s="9" t="n">
        <v>25</v>
      </c>
      <c r="E531" s="18" t="inlineStr">
        <is>
          <t>R</t>
        </is>
      </c>
      <c r="F531" s="18" t="n"/>
      <c r="G531" s="9" t="n">
        <v>1</v>
      </c>
      <c r="H531" s="9" t="n">
        <v>1</v>
      </c>
      <c r="I531" s="9" t="inlineStr">
        <is>
          <t>Depth (no MLB IP)</t>
        </is>
      </c>
      <c r="J531" s="18" t="inlineStr">
        <is>
          <t>Opening Day</t>
        </is>
      </c>
      <c r="K531" s="11">
        <f>IFERROR(INDEX(Roles!$B$17:$B$20,MATCH(J531,Roles!$A$17:$A$20,0)),1)</f>
        <v/>
      </c>
      <c r="L531" s="19" t="n">
        <v>1</v>
      </c>
      <c r="M531" s="11" t="n">
        <v>1</v>
      </c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>
        <v>1</v>
      </c>
      <c r="Z531" s="13">
        <f>SUMPRODUCT(N531:Y531,$N$2:$Y$2)*$K531*$L531*$M531</f>
        <v/>
      </c>
      <c r="AA531" s="14">
        <f>SUM(N531:Y531)</f>
        <v/>
      </c>
      <c r="AB531" s="13">
        <f>SUMPRODUCT(N531:Y531,$N$3:$Y$3)*$K531*$L531*$M531</f>
        <v/>
      </c>
      <c r="AC531" s="13">
        <f>SUMPRODUCT(N531:Y531,$N$4:$Y$4)*$K531*$L531*$M531</f>
        <v/>
      </c>
      <c r="AD531" s="15" t="n">
        <v>3</v>
      </c>
      <c r="AE531" s="11" t="n">
        <v>1.011296296296296</v>
      </c>
      <c r="AF531" s="16">
        <f>SUMPRODUCT(N531:Y531,$N$5:$Y$5)*$K531*$L531*$M531</f>
        <v/>
      </c>
      <c r="AG531" s="16">
        <f>SUMPRODUCT(N531:Y531,$N$6:$Y$6)*$K531*$L531*$M531</f>
        <v/>
      </c>
      <c r="AH531" s="20" t="n"/>
    </row>
    <row r="532">
      <c r="A532" s="9" t="n">
        <v>677356</v>
      </c>
      <c r="B532" s="9" t="inlineStr">
        <is>
          <t>Carter Young</t>
        </is>
      </c>
      <c r="C532" s="9" t="inlineStr">
        <is>
          <t>BAL</t>
        </is>
      </c>
      <c r="D532" s="9" t="n">
        <v>25</v>
      </c>
      <c r="E532" s="18" t="inlineStr">
        <is>
          <t>R</t>
        </is>
      </c>
      <c r="F532" s="18" t="n"/>
      <c r="G532" s="9" t="n">
        <v>1</v>
      </c>
      <c r="H532" s="9" t="n">
        <v>1</v>
      </c>
      <c r="I532" s="9" t="inlineStr">
        <is>
          <t>Depth (no MLB IP)</t>
        </is>
      </c>
      <c r="J532" s="18" t="inlineStr">
        <is>
          <t>Opening Day</t>
        </is>
      </c>
      <c r="K532" s="11">
        <f>IFERROR(INDEX(Roles!$B$17:$B$20,MATCH(J532,Roles!$A$17:$A$20,0)),1)</f>
        <v/>
      </c>
      <c r="L532" s="19" t="n">
        <v>1</v>
      </c>
      <c r="M532" s="11" t="n">
        <v>1</v>
      </c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>
        <v>1</v>
      </c>
      <c r="Z532" s="13">
        <f>SUMPRODUCT(N532:Y532,$N$2:$Y$2)*$K532*$L532*$M532</f>
        <v/>
      </c>
      <c r="AA532" s="14">
        <f>SUM(N532:Y532)</f>
        <v/>
      </c>
      <c r="AB532" s="13">
        <f>SUMPRODUCT(N532:Y532,$N$3:$Y$3)*$K532*$L532*$M532</f>
        <v/>
      </c>
      <c r="AC532" s="13">
        <f>SUMPRODUCT(N532:Y532,$N$4:$Y$4)*$K532*$L532*$M532</f>
        <v/>
      </c>
      <c r="AD532" s="15" t="n">
        <v>3</v>
      </c>
      <c r="AE532" s="11" t="n">
        <v>1.011296296296296</v>
      </c>
      <c r="AF532" s="16">
        <f>SUMPRODUCT(N532:Y532,$N$5:$Y$5)*$K532*$L532*$M532</f>
        <v/>
      </c>
      <c r="AG532" s="16">
        <f>SUMPRODUCT(N532:Y532,$N$6:$Y$6)*$K532*$L532*$M532</f>
        <v/>
      </c>
      <c r="AH532" s="20" t="n"/>
    </row>
    <row r="533">
      <c r="A533" s="9" t="n">
        <v>830809</v>
      </c>
      <c r="B533" s="9" t="inlineStr">
        <is>
          <t>Adriano Marrero</t>
        </is>
      </c>
      <c r="C533" s="9" t="inlineStr">
        <is>
          <t>LAD</t>
        </is>
      </c>
      <c r="D533" s="9" t="n">
        <v>25</v>
      </c>
      <c r="E533" s="18" t="inlineStr">
        <is>
          <t>R</t>
        </is>
      </c>
      <c r="F533" s="18" t="n"/>
      <c r="G533" s="9" t="n">
        <v>1.032</v>
      </c>
      <c r="H533" s="9" t="n">
        <v>1.032</v>
      </c>
      <c r="I533" s="9" t="inlineStr">
        <is>
          <t>Depth (no MLB IP)</t>
        </is>
      </c>
      <c r="J533" s="18" t="inlineStr">
        <is>
          <t>Opening Day</t>
        </is>
      </c>
      <c r="K533" s="11">
        <f>IFERROR(INDEX(Roles!$B$17:$B$20,MATCH(J533,Roles!$A$17:$A$20,0)),1)</f>
        <v/>
      </c>
      <c r="L533" s="19" t="n">
        <v>1</v>
      </c>
      <c r="M533" s="11" t="n">
        <v>1</v>
      </c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>
        <v>1</v>
      </c>
      <c r="Z533" s="13">
        <f>SUMPRODUCT(N533:Y533,$N$2:$Y$2)*$K533*$L533*$M533</f>
        <v/>
      </c>
      <c r="AA533" s="14">
        <f>SUM(N533:Y533)</f>
        <v/>
      </c>
      <c r="AB533" s="13">
        <f>SUMPRODUCT(N533:Y533,$N$3:$Y$3)*$K533*$L533*$M533</f>
        <v/>
      </c>
      <c r="AC533" s="13">
        <f>SUMPRODUCT(N533:Y533,$N$4:$Y$4)*$K533*$L533*$M533</f>
        <v/>
      </c>
      <c r="AD533" s="15" t="n">
        <v>3</v>
      </c>
      <c r="AE533" s="11" t="n">
        <v>1.011296296296296</v>
      </c>
      <c r="AF533" s="16">
        <f>SUMPRODUCT(N533:Y533,$N$5:$Y$5)*$K533*$L533*$M533</f>
        <v/>
      </c>
      <c r="AG533" s="16">
        <f>SUMPRODUCT(N533:Y533,$N$6:$Y$6)*$K533*$L533*$M533</f>
        <v/>
      </c>
      <c r="AH533" s="20" t="n"/>
    </row>
    <row r="534">
      <c r="A534" s="9" t="n">
        <v>835938</v>
      </c>
      <c r="B534" s="9" t="inlineStr">
        <is>
          <t>Hayden Friese</t>
        </is>
      </c>
      <c r="C534" s="9" t="inlineStr">
        <is>
          <t>ATL</t>
        </is>
      </c>
      <c r="D534" s="9" t="n">
        <v>25</v>
      </c>
      <c r="E534" s="18" t="inlineStr">
        <is>
          <t>R</t>
        </is>
      </c>
      <c r="F534" s="18" t="n"/>
      <c r="G534" s="9" t="n">
        <v>1</v>
      </c>
      <c r="H534" s="9" t="n">
        <v>1</v>
      </c>
      <c r="I534" s="9" t="inlineStr">
        <is>
          <t>Depth (no MLB IP)</t>
        </is>
      </c>
      <c r="J534" s="18" t="inlineStr">
        <is>
          <t>Opening Day</t>
        </is>
      </c>
      <c r="K534" s="11">
        <f>IFERROR(INDEX(Roles!$B$17:$B$20,MATCH(J534,Roles!$A$17:$A$20,0)),1)</f>
        <v/>
      </c>
      <c r="L534" s="19" t="n">
        <v>1</v>
      </c>
      <c r="M534" s="11" t="n">
        <v>1</v>
      </c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>
        <v>1</v>
      </c>
      <c r="Z534" s="13">
        <f>SUMPRODUCT(N534:Y534,$N$2:$Y$2)*$K534*$L534*$M534</f>
        <v/>
      </c>
      <c r="AA534" s="14">
        <f>SUM(N534:Y534)</f>
        <v/>
      </c>
      <c r="AB534" s="13">
        <f>SUMPRODUCT(N534:Y534,$N$3:$Y$3)*$K534*$L534*$M534</f>
        <v/>
      </c>
      <c r="AC534" s="13">
        <f>SUMPRODUCT(N534:Y534,$N$4:$Y$4)*$K534*$L534*$M534</f>
        <v/>
      </c>
      <c r="AD534" s="15" t="n">
        <v>3</v>
      </c>
      <c r="AE534" s="11" t="n">
        <v>1.011296296296296</v>
      </c>
      <c r="AF534" s="16">
        <f>SUMPRODUCT(N534:Y534,$N$5:$Y$5)*$K534*$L534*$M534</f>
        <v/>
      </c>
      <c r="AG534" s="16">
        <f>SUMPRODUCT(N534:Y534,$N$6:$Y$6)*$K534*$L534*$M534</f>
        <v/>
      </c>
      <c r="AH534" s="20" t="n"/>
    </row>
    <row r="535">
      <c r="A535" s="9" t="n">
        <v>832212</v>
      </c>
      <c r="B535" s="9" t="inlineStr">
        <is>
          <t>Ian Francis</t>
        </is>
      </c>
      <c r="C535" s="9" t="inlineStr">
        <is>
          <t>CIN</t>
        </is>
      </c>
      <c r="D535" s="9" t="n">
        <v>25</v>
      </c>
      <c r="E535" s="18" t="inlineStr">
        <is>
          <t>R</t>
        </is>
      </c>
      <c r="F535" s="18" t="n"/>
      <c r="G535" s="9" t="n">
        <v>1</v>
      </c>
      <c r="H535" s="9" t="n">
        <v>1</v>
      </c>
      <c r="I535" s="9" t="inlineStr">
        <is>
          <t>Depth (no MLB IP)</t>
        </is>
      </c>
      <c r="J535" s="18" t="inlineStr">
        <is>
          <t>Opening Day</t>
        </is>
      </c>
      <c r="K535" s="11">
        <f>IFERROR(INDEX(Roles!$B$17:$B$20,MATCH(J535,Roles!$A$17:$A$20,0)),1)</f>
        <v/>
      </c>
      <c r="L535" s="19" t="n">
        <v>1</v>
      </c>
      <c r="M535" s="11" t="n">
        <v>1</v>
      </c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>
        <v>1</v>
      </c>
      <c r="Z535" s="13">
        <f>SUMPRODUCT(N535:Y535,$N$2:$Y$2)*$K535*$L535*$M535</f>
        <v/>
      </c>
      <c r="AA535" s="14">
        <f>SUM(N535:Y535)</f>
        <v/>
      </c>
      <c r="AB535" s="13">
        <f>SUMPRODUCT(N535:Y535,$N$3:$Y$3)*$K535*$L535*$M535</f>
        <v/>
      </c>
      <c r="AC535" s="13">
        <f>SUMPRODUCT(N535:Y535,$N$4:$Y$4)*$K535*$L535*$M535</f>
        <v/>
      </c>
      <c r="AD535" s="15" t="n">
        <v>3</v>
      </c>
      <c r="AE535" s="11" t="n">
        <v>1.011296296296296</v>
      </c>
      <c r="AF535" s="16">
        <f>SUMPRODUCT(N535:Y535,$N$5:$Y$5)*$K535*$L535*$M535</f>
        <v/>
      </c>
      <c r="AG535" s="16">
        <f>SUMPRODUCT(N535:Y535,$N$6:$Y$6)*$K535*$L535*$M535</f>
        <v/>
      </c>
      <c r="AH535" s="20" t="n"/>
    </row>
    <row r="536">
      <c r="A536" s="9" t="n">
        <v>831590</v>
      </c>
      <c r="B536" s="9" t="inlineStr">
        <is>
          <t>Taylor Darden</t>
        </is>
      </c>
      <c r="C536" s="9" t="inlineStr">
        <is>
          <t>NYM</t>
        </is>
      </c>
      <c r="D536" s="9" t="n">
        <v>25</v>
      </c>
      <c r="E536" s="18" t="inlineStr">
        <is>
          <t>R</t>
        </is>
      </c>
      <c r="F536" s="18" t="n"/>
      <c r="G536" s="9" t="n">
        <v>1</v>
      </c>
      <c r="H536" s="9" t="n">
        <v>1</v>
      </c>
      <c r="I536" s="9" t="inlineStr">
        <is>
          <t>Depth (no MLB IP)</t>
        </is>
      </c>
      <c r="J536" s="18" t="inlineStr">
        <is>
          <t>Opening Day</t>
        </is>
      </c>
      <c r="K536" s="11">
        <f>IFERROR(INDEX(Roles!$B$17:$B$20,MATCH(J536,Roles!$A$17:$A$20,0)),1)</f>
        <v/>
      </c>
      <c r="L536" s="19" t="n">
        <v>1</v>
      </c>
      <c r="M536" s="11" t="n">
        <v>1</v>
      </c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>
        <v>1</v>
      </c>
      <c r="Z536" s="13">
        <f>SUMPRODUCT(N536:Y536,$N$2:$Y$2)*$K536*$L536*$M536</f>
        <v/>
      </c>
      <c r="AA536" s="14">
        <f>SUM(N536:Y536)</f>
        <v/>
      </c>
      <c r="AB536" s="13">
        <f>SUMPRODUCT(N536:Y536,$N$3:$Y$3)*$K536*$L536*$M536</f>
        <v/>
      </c>
      <c r="AC536" s="13">
        <f>SUMPRODUCT(N536:Y536,$N$4:$Y$4)*$K536*$L536*$M536</f>
        <v/>
      </c>
      <c r="AD536" s="15" t="n">
        <v>3</v>
      </c>
      <c r="AE536" s="11" t="n">
        <v>1.011296296296296</v>
      </c>
      <c r="AF536" s="16">
        <f>SUMPRODUCT(N536:Y536,$N$5:$Y$5)*$K536*$L536*$M536</f>
        <v/>
      </c>
      <c r="AG536" s="16">
        <f>SUMPRODUCT(N536:Y536,$N$6:$Y$6)*$K536*$L536*$M536</f>
        <v/>
      </c>
      <c r="AH536" s="20" t="n"/>
    </row>
    <row r="537">
      <c r="A537" s="9" t="n">
        <v>800959</v>
      </c>
      <c r="B537" s="9" t="inlineStr">
        <is>
          <t>Nick Goodwin</t>
        </is>
      </c>
      <c r="C537" s="9" t="inlineStr">
        <is>
          <t>TOR</t>
        </is>
      </c>
      <c r="D537" s="9" t="n">
        <v>25</v>
      </c>
      <c r="E537" s="18" t="inlineStr">
        <is>
          <t>R</t>
        </is>
      </c>
      <c r="F537" s="18" t="n"/>
      <c r="G537" s="9" t="n">
        <v>1</v>
      </c>
      <c r="H537" s="9" t="n">
        <v>1</v>
      </c>
      <c r="I537" s="9" t="inlineStr">
        <is>
          <t>Depth (no MLB IP)</t>
        </is>
      </c>
      <c r="J537" s="18" t="inlineStr">
        <is>
          <t>Opening Day</t>
        </is>
      </c>
      <c r="K537" s="11">
        <f>IFERROR(INDEX(Roles!$B$17:$B$20,MATCH(J537,Roles!$A$17:$A$20,0)),1)</f>
        <v/>
      </c>
      <c r="L537" s="19" t="n">
        <v>1</v>
      </c>
      <c r="M537" s="11" t="n">
        <v>1</v>
      </c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>
        <v>1</v>
      </c>
      <c r="Z537" s="13">
        <f>SUMPRODUCT(N537:Y537,$N$2:$Y$2)*$K537*$L537*$M537</f>
        <v/>
      </c>
      <c r="AA537" s="14">
        <f>SUM(N537:Y537)</f>
        <v/>
      </c>
      <c r="AB537" s="13">
        <f>SUMPRODUCT(N537:Y537,$N$3:$Y$3)*$K537*$L537*$M537</f>
        <v/>
      </c>
      <c r="AC537" s="13">
        <f>SUMPRODUCT(N537:Y537,$N$4:$Y$4)*$K537*$L537*$M537</f>
        <v/>
      </c>
      <c r="AD537" s="15" t="n">
        <v>3</v>
      </c>
      <c r="AE537" s="11" t="n">
        <v>1.011296296296296</v>
      </c>
      <c r="AF537" s="16">
        <f>SUMPRODUCT(N537:Y537,$N$5:$Y$5)*$K537*$L537*$M537</f>
        <v/>
      </c>
      <c r="AG537" s="16">
        <f>SUMPRODUCT(N537:Y537,$N$6:$Y$6)*$K537*$L537*$M537</f>
        <v/>
      </c>
      <c r="AH537" s="20" t="n"/>
    </row>
    <row r="538">
      <c r="A538" s="9" t="n">
        <v>801358</v>
      </c>
      <c r="B538" s="9" t="inlineStr">
        <is>
          <t>Jared Spencer</t>
        </is>
      </c>
      <c r="C538" s="9" t="inlineStr">
        <is>
          <t>TOR</t>
        </is>
      </c>
      <c r="D538" s="9" t="n">
        <v>25</v>
      </c>
      <c r="E538" s="18" t="inlineStr">
        <is>
          <t>L</t>
        </is>
      </c>
      <c r="F538" s="18" t="n"/>
      <c r="G538" s="9" t="n">
        <v>1</v>
      </c>
      <c r="H538" s="9" t="n">
        <v>1</v>
      </c>
      <c r="I538" s="9" t="inlineStr">
        <is>
          <t>Depth (no MLB IP)</t>
        </is>
      </c>
      <c r="J538" s="18" t="inlineStr">
        <is>
          <t>Opening Day</t>
        </is>
      </c>
      <c r="K538" s="11">
        <f>IFERROR(INDEX(Roles!$B$17:$B$20,MATCH(J538,Roles!$A$17:$A$20,0)),1)</f>
        <v/>
      </c>
      <c r="L538" s="19" t="n">
        <v>1</v>
      </c>
      <c r="M538" s="11" t="n">
        <v>1</v>
      </c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>
        <v>1</v>
      </c>
      <c r="Z538" s="13">
        <f>SUMPRODUCT(N538:Y538,$N$2:$Y$2)*$K538*$L538*$M538</f>
        <v/>
      </c>
      <c r="AA538" s="14">
        <f>SUM(N538:Y538)</f>
        <v/>
      </c>
      <c r="AB538" s="13">
        <f>SUMPRODUCT(N538:Y538,$N$3:$Y$3)*$K538*$L538*$M538</f>
        <v/>
      </c>
      <c r="AC538" s="13">
        <f>SUMPRODUCT(N538:Y538,$N$4:$Y$4)*$K538*$L538*$M538</f>
        <v/>
      </c>
      <c r="AD538" s="15" t="n">
        <v>3</v>
      </c>
      <c r="AE538" s="11" t="n">
        <v>1.011296296296296</v>
      </c>
      <c r="AF538" s="16">
        <f>SUMPRODUCT(N538:Y538,$N$5:$Y$5)*$K538*$L538*$M538</f>
        <v/>
      </c>
      <c r="AG538" s="16">
        <f>SUMPRODUCT(N538:Y538,$N$6:$Y$6)*$K538*$L538*$M538</f>
        <v/>
      </c>
      <c r="AH538" s="20" t="n"/>
    </row>
    <row r="539">
      <c r="A539" s="9" t="n">
        <v>800997</v>
      </c>
      <c r="B539" s="9" t="inlineStr">
        <is>
          <t>Nick McAuliffe</t>
        </is>
      </c>
      <c r="C539" s="9" t="inlineStr">
        <is>
          <t>MIN</t>
        </is>
      </c>
      <c r="D539" s="9" t="n">
        <v>25</v>
      </c>
      <c r="E539" s="18" t="inlineStr">
        <is>
          <t>R</t>
        </is>
      </c>
      <c r="F539" s="18" t="n"/>
      <c r="G539" s="9" t="n">
        <v>1</v>
      </c>
      <c r="H539" s="9" t="n">
        <v>1</v>
      </c>
      <c r="I539" s="9" t="inlineStr">
        <is>
          <t>Depth (no MLB IP)</t>
        </is>
      </c>
      <c r="J539" s="18" t="inlineStr">
        <is>
          <t>Opening Day</t>
        </is>
      </c>
      <c r="K539" s="11">
        <f>IFERROR(INDEX(Roles!$B$17:$B$20,MATCH(J539,Roles!$A$17:$A$20,0)),1)</f>
        <v/>
      </c>
      <c r="L539" s="19" t="n">
        <v>1</v>
      </c>
      <c r="M539" s="11" t="n">
        <v>1</v>
      </c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>
        <v>1</v>
      </c>
      <c r="Z539" s="13">
        <f>SUMPRODUCT(N539:Y539,$N$2:$Y$2)*$K539*$L539*$M539</f>
        <v/>
      </c>
      <c r="AA539" s="14">
        <f>SUM(N539:Y539)</f>
        <v/>
      </c>
      <c r="AB539" s="13">
        <f>SUMPRODUCT(N539:Y539,$N$3:$Y$3)*$K539*$L539*$M539</f>
        <v/>
      </c>
      <c r="AC539" s="13">
        <f>SUMPRODUCT(N539:Y539,$N$4:$Y$4)*$K539*$L539*$M539</f>
        <v/>
      </c>
      <c r="AD539" s="15" t="n">
        <v>3</v>
      </c>
      <c r="AE539" s="11" t="n">
        <v>1.011296296296296</v>
      </c>
      <c r="AF539" s="16">
        <f>SUMPRODUCT(N539:Y539,$N$5:$Y$5)*$K539*$L539*$M539</f>
        <v/>
      </c>
      <c r="AG539" s="16">
        <f>SUMPRODUCT(N539:Y539,$N$6:$Y$6)*$K539*$L539*$M539</f>
        <v/>
      </c>
      <c r="AH539" s="20" t="n"/>
    </row>
    <row r="540">
      <c r="A540" s="9" t="n">
        <v>827636</v>
      </c>
      <c r="B540" s="9" t="inlineStr">
        <is>
          <t>Trent Youngblood</t>
        </is>
      </c>
      <c r="C540" s="9" t="inlineStr">
        <is>
          <t>ARI</t>
        </is>
      </c>
      <c r="D540" s="9" t="n">
        <v>25</v>
      </c>
      <c r="E540" s="18" t="inlineStr">
        <is>
          <t>R</t>
        </is>
      </c>
      <c r="F540" s="18" t="n"/>
      <c r="G540" s="9" t="n">
        <v>1</v>
      </c>
      <c r="H540" s="9" t="n">
        <v>1</v>
      </c>
      <c r="I540" s="9" t="inlineStr">
        <is>
          <t>Depth (no MLB IP)</t>
        </is>
      </c>
      <c r="J540" s="18" t="inlineStr">
        <is>
          <t>Opening Day</t>
        </is>
      </c>
      <c r="K540" s="11">
        <f>IFERROR(INDEX(Roles!$B$17:$B$20,MATCH(J540,Roles!$A$17:$A$20,0)),1)</f>
        <v/>
      </c>
      <c r="L540" s="19" t="n">
        <v>1</v>
      </c>
      <c r="M540" s="11" t="n">
        <v>1</v>
      </c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>
        <v>1</v>
      </c>
      <c r="Z540" s="13">
        <f>SUMPRODUCT(N540:Y540,$N$2:$Y$2)*$K540*$L540*$M540</f>
        <v/>
      </c>
      <c r="AA540" s="14">
        <f>SUM(N540:Y540)</f>
        <v/>
      </c>
      <c r="AB540" s="13">
        <f>SUMPRODUCT(N540:Y540,$N$3:$Y$3)*$K540*$L540*$M540</f>
        <v/>
      </c>
      <c r="AC540" s="13">
        <f>SUMPRODUCT(N540:Y540,$N$4:$Y$4)*$K540*$L540*$M540</f>
        <v/>
      </c>
      <c r="AD540" s="15" t="n">
        <v>3</v>
      </c>
      <c r="AE540" s="11" t="n">
        <v>1.011296296296296</v>
      </c>
      <c r="AF540" s="16">
        <f>SUMPRODUCT(N540:Y540,$N$5:$Y$5)*$K540*$L540*$M540</f>
        <v/>
      </c>
      <c r="AG540" s="16">
        <f>SUMPRODUCT(N540:Y540,$N$6:$Y$6)*$K540*$L540*$M540</f>
        <v/>
      </c>
      <c r="AH540" s="20" t="n"/>
    </row>
    <row r="541">
      <c r="A541" s="9" t="n">
        <v>686540</v>
      </c>
      <c r="B541" s="9" t="inlineStr">
        <is>
          <t>Owen Cobb</t>
        </is>
      </c>
      <c r="C541" s="9" t="inlineStr">
        <is>
          <t>NYY</t>
        </is>
      </c>
      <c r="D541" s="9" t="n">
        <v>25</v>
      </c>
      <c r="E541" s="18" t="inlineStr">
        <is>
          <t>R</t>
        </is>
      </c>
      <c r="F541" s="18" t="n"/>
      <c r="G541" s="9" t="n">
        <v>1.003333333333333</v>
      </c>
      <c r="H541" s="9" t="n">
        <v>1.003333333333333</v>
      </c>
      <c r="I541" s="9" t="inlineStr">
        <is>
          <t>Depth (no MLB IP)</t>
        </is>
      </c>
      <c r="J541" s="18" t="inlineStr">
        <is>
          <t>Opening Day</t>
        </is>
      </c>
      <c r="K541" s="11">
        <f>IFERROR(INDEX(Roles!$B$17:$B$20,MATCH(J541,Roles!$A$17:$A$20,0)),1)</f>
        <v/>
      </c>
      <c r="L541" s="19" t="n">
        <v>1</v>
      </c>
      <c r="M541" s="11" t="n">
        <v>1</v>
      </c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>
        <v>1</v>
      </c>
      <c r="Z541" s="13">
        <f>SUMPRODUCT(N541:Y541,$N$2:$Y$2)*$K541*$L541*$M541</f>
        <v/>
      </c>
      <c r="AA541" s="14">
        <f>SUM(N541:Y541)</f>
        <v/>
      </c>
      <c r="AB541" s="13">
        <f>SUMPRODUCT(N541:Y541,$N$3:$Y$3)*$K541*$L541*$M541</f>
        <v/>
      </c>
      <c r="AC541" s="13">
        <f>SUMPRODUCT(N541:Y541,$N$4:$Y$4)*$K541*$L541*$M541</f>
        <v/>
      </c>
      <c r="AD541" s="15" t="n">
        <v>3</v>
      </c>
      <c r="AE541" s="11" t="n">
        <v>1.011296296296296</v>
      </c>
      <c r="AF541" s="16">
        <f>SUMPRODUCT(N541:Y541,$N$5:$Y$5)*$K541*$L541*$M541</f>
        <v/>
      </c>
      <c r="AG541" s="16">
        <f>SUMPRODUCT(N541:Y541,$N$6:$Y$6)*$K541*$L541*$M541</f>
        <v/>
      </c>
      <c r="AH541" s="20" t="n"/>
    </row>
    <row r="542">
      <c r="A542" s="9" t="n">
        <v>842371</v>
      </c>
      <c r="B542" s="9" t="inlineStr">
        <is>
          <t>Nathan Helman</t>
        </is>
      </c>
      <c r="C542" s="9" t="inlineStr">
        <is>
          <t>PIT</t>
        </is>
      </c>
      <c r="D542" s="9" t="n">
        <v>25</v>
      </c>
      <c r="E542" s="18" t="inlineStr">
        <is>
          <t>R</t>
        </is>
      </c>
      <c r="F542" s="18" t="n"/>
      <c r="G542" s="9" t="n">
        <v>1.204</v>
      </c>
      <c r="H542" s="9" t="n">
        <v>1.204</v>
      </c>
      <c r="I542" s="9" t="inlineStr">
        <is>
          <t>Depth (no MLB IP)</t>
        </is>
      </c>
      <c r="J542" s="18" t="inlineStr">
        <is>
          <t>Opening Day</t>
        </is>
      </c>
      <c r="K542" s="11">
        <f>IFERROR(INDEX(Roles!$B$17:$B$20,MATCH(J542,Roles!$A$17:$A$20,0)),1)</f>
        <v/>
      </c>
      <c r="L542" s="19" t="n">
        <v>1</v>
      </c>
      <c r="M542" s="11" t="n">
        <v>1</v>
      </c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>
        <v>1</v>
      </c>
      <c r="Z542" s="13">
        <f>SUMPRODUCT(N542:Y542,$N$2:$Y$2)*$K542*$L542*$M542</f>
        <v/>
      </c>
      <c r="AA542" s="14">
        <f>SUM(N542:Y542)</f>
        <v/>
      </c>
      <c r="AB542" s="13">
        <f>SUMPRODUCT(N542:Y542,$N$3:$Y$3)*$K542*$L542*$M542</f>
        <v/>
      </c>
      <c r="AC542" s="13">
        <f>SUMPRODUCT(N542:Y542,$N$4:$Y$4)*$K542*$L542*$M542</f>
        <v/>
      </c>
      <c r="AD542" s="15" t="n">
        <v>3</v>
      </c>
      <c r="AE542" s="11" t="n">
        <v>1.011296296296296</v>
      </c>
      <c r="AF542" s="16">
        <f>SUMPRODUCT(N542:Y542,$N$5:$Y$5)*$K542*$L542*$M542</f>
        <v/>
      </c>
      <c r="AG542" s="16">
        <f>SUMPRODUCT(N542:Y542,$N$6:$Y$6)*$K542*$L542*$M542</f>
        <v/>
      </c>
      <c r="AH542" s="20" t="n"/>
    </row>
    <row r="543">
      <c r="A543" s="9" t="n">
        <v>835390</v>
      </c>
      <c r="B543" s="9" t="inlineStr">
        <is>
          <t>Tony Gonzalez</t>
        </is>
      </c>
      <c r="C543" s="9" t="inlineStr">
        <is>
          <t>PIT</t>
        </is>
      </c>
      <c r="D543" s="9" t="n">
        <v>25</v>
      </c>
      <c r="E543" s="18" t="inlineStr">
        <is>
          <t>L</t>
        </is>
      </c>
      <c r="F543" s="18" t="n"/>
      <c r="G543" s="9" t="n">
        <v>1</v>
      </c>
      <c r="H543" s="9" t="n">
        <v>1</v>
      </c>
      <c r="I543" s="9" t="inlineStr">
        <is>
          <t>Depth (no MLB IP)</t>
        </is>
      </c>
      <c r="J543" s="18" t="inlineStr">
        <is>
          <t>Opening Day</t>
        </is>
      </c>
      <c r="K543" s="11">
        <f>IFERROR(INDEX(Roles!$B$17:$B$20,MATCH(J543,Roles!$A$17:$A$20,0)),1)</f>
        <v/>
      </c>
      <c r="L543" s="19" t="n">
        <v>1</v>
      </c>
      <c r="M543" s="11" t="n">
        <v>1</v>
      </c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>
        <v>1</v>
      </c>
      <c r="Z543" s="13">
        <f>SUMPRODUCT(N543:Y543,$N$2:$Y$2)*$K543*$L543*$M543</f>
        <v/>
      </c>
      <c r="AA543" s="14">
        <f>SUM(N543:Y543)</f>
        <v/>
      </c>
      <c r="AB543" s="13">
        <f>SUMPRODUCT(N543:Y543,$N$3:$Y$3)*$K543*$L543*$M543</f>
        <v/>
      </c>
      <c r="AC543" s="13">
        <f>SUMPRODUCT(N543:Y543,$N$4:$Y$4)*$K543*$L543*$M543</f>
        <v/>
      </c>
      <c r="AD543" s="15" t="n">
        <v>3</v>
      </c>
      <c r="AE543" s="11" t="n">
        <v>1.011296296296296</v>
      </c>
      <c r="AF543" s="16">
        <f>SUMPRODUCT(N543:Y543,$N$5:$Y$5)*$K543*$L543*$M543</f>
        <v/>
      </c>
      <c r="AG543" s="16">
        <f>SUMPRODUCT(N543:Y543,$N$6:$Y$6)*$K543*$L543*$M543</f>
        <v/>
      </c>
      <c r="AH543" s="20" t="n"/>
    </row>
    <row r="544">
      <c r="A544" s="9" t="n">
        <v>835490</v>
      </c>
      <c r="B544" s="9" t="inlineStr">
        <is>
          <t>Julio Gonzalez</t>
        </is>
      </c>
      <c r="C544" s="9" t="inlineStr">
        <is>
          <t>NYM</t>
        </is>
      </c>
      <c r="D544" s="9" t="n">
        <v>25</v>
      </c>
      <c r="E544" s="18" t="inlineStr">
        <is>
          <t>R</t>
        </is>
      </c>
      <c r="F544" s="18" t="n"/>
      <c r="G544" s="9" t="n">
        <v>1</v>
      </c>
      <c r="H544" s="9" t="n">
        <v>1</v>
      </c>
      <c r="I544" s="9" t="inlineStr">
        <is>
          <t>Depth (no MLB IP)</t>
        </is>
      </c>
      <c r="J544" s="18" t="inlineStr">
        <is>
          <t>Opening Day</t>
        </is>
      </c>
      <c r="K544" s="11">
        <f>IFERROR(INDEX(Roles!$B$17:$B$20,MATCH(J544,Roles!$A$17:$A$20,0)),1)</f>
        <v/>
      </c>
      <c r="L544" s="19" t="n">
        <v>1</v>
      </c>
      <c r="M544" s="11" t="n">
        <v>1</v>
      </c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>
        <v>1</v>
      </c>
      <c r="Z544" s="13">
        <f>SUMPRODUCT(N544:Y544,$N$2:$Y$2)*$K544*$L544*$M544</f>
        <v/>
      </c>
      <c r="AA544" s="14">
        <f>SUM(N544:Y544)</f>
        <v/>
      </c>
      <c r="AB544" s="13">
        <f>SUMPRODUCT(N544:Y544,$N$3:$Y$3)*$K544*$L544*$M544</f>
        <v/>
      </c>
      <c r="AC544" s="13">
        <f>SUMPRODUCT(N544:Y544,$N$4:$Y$4)*$K544*$L544*$M544</f>
        <v/>
      </c>
      <c r="AD544" s="15" t="n">
        <v>3</v>
      </c>
      <c r="AE544" s="11" t="n">
        <v>1.011296296296296</v>
      </c>
      <c r="AF544" s="16">
        <f>SUMPRODUCT(N544:Y544,$N$5:$Y$5)*$K544*$L544*$M544</f>
        <v/>
      </c>
      <c r="AG544" s="16">
        <f>SUMPRODUCT(N544:Y544,$N$6:$Y$6)*$K544*$L544*$M544</f>
        <v/>
      </c>
      <c r="AH544" s="20" t="n"/>
    </row>
    <row r="545">
      <c r="A545" s="9" t="n">
        <v>830551</v>
      </c>
      <c r="B545" s="9" t="inlineStr">
        <is>
          <t>Aidan Russell</t>
        </is>
      </c>
      <c r="C545" s="9" t="inlineStr">
        <is>
          <t>MIN</t>
        </is>
      </c>
      <c r="D545" s="9" t="n">
        <v>25</v>
      </c>
      <c r="E545" s="18" t="inlineStr">
        <is>
          <t>R</t>
        </is>
      </c>
      <c r="F545" s="18" t="n"/>
      <c r="G545" s="9" t="n">
        <v>1.204</v>
      </c>
      <c r="H545" s="9" t="n">
        <v>1.204</v>
      </c>
      <c r="I545" s="9" t="inlineStr">
        <is>
          <t>Depth (no MLB IP)</t>
        </is>
      </c>
      <c r="J545" s="18" t="inlineStr">
        <is>
          <t>Opening Day</t>
        </is>
      </c>
      <c r="K545" s="11">
        <f>IFERROR(INDEX(Roles!$B$17:$B$20,MATCH(J545,Roles!$A$17:$A$20,0)),1)</f>
        <v/>
      </c>
      <c r="L545" s="19" t="n">
        <v>1</v>
      </c>
      <c r="M545" s="11" t="n">
        <v>1</v>
      </c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>
        <v>1</v>
      </c>
      <c r="Z545" s="13">
        <f>SUMPRODUCT(N545:Y545,$N$2:$Y$2)*$K545*$L545*$M545</f>
        <v/>
      </c>
      <c r="AA545" s="14">
        <f>SUM(N545:Y545)</f>
        <v/>
      </c>
      <c r="AB545" s="13">
        <f>SUMPRODUCT(N545:Y545,$N$3:$Y$3)*$K545*$L545*$M545</f>
        <v/>
      </c>
      <c r="AC545" s="13">
        <f>SUMPRODUCT(N545:Y545,$N$4:$Y$4)*$K545*$L545*$M545</f>
        <v/>
      </c>
      <c r="AD545" s="15" t="n">
        <v>3</v>
      </c>
      <c r="AE545" s="11" t="n">
        <v>1.011296296296296</v>
      </c>
      <c r="AF545" s="16">
        <f>SUMPRODUCT(N545:Y545,$N$5:$Y$5)*$K545*$L545*$M545</f>
        <v/>
      </c>
      <c r="AG545" s="16">
        <f>SUMPRODUCT(N545:Y545,$N$6:$Y$6)*$K545*$L545*$M545</f>
        <v/>
      </c>
      <c r="AH545" s="20" t="n"/>
    </row>
    <row r="546">
      <c r="A546" s="9" t="n">
        <v>701493</v>
      </c>
      <c r="B546" s="9" t="inlineStr">
        <is>
          <t>Hunter Dobbins</t>
        </is>
      </c>
      <c r="C546" s="9" t="inlineStr">
        <is>
          <t>DET</t>
        </is>
      </c>
      <c r="D546" s="9" t="n">
        <v>25</v>
      </c>
      <c r="E546" s="18" t="inlineStr">
        <is>
          <t>R</t>
        </is>
      </c>
      <c r="F546" s="18" t="n"/>
      <c r="G546" s="9" t="n">
        <v>1</v>
      </c>
      <c r="H546" s="9" t="n">
        <v>1</v>
      </c>
      <c r="I546" s="9" t="inlineStr">
        <is>
          <t>Depth (no MLB IP)</t>
        </is>
      </c>
      <c r="J546" s="18" t="inlineStr">
        <is>
          <t>Opening Day</t>
        </is>
      </c>
      <c r="K546" s="11">
        <f>IFERROR(INDEX(Roles!$B$17:$B$20,MATCH(J546,Roles!$A$17:$A$20,0)),1)</f>
        <v/>
      </c>
      <c r="L546" s="19" t="n">
        <v>1</v>
      </c>
      <c r="M546" s="11" t="n">
        <v>1</v>
      </c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>
        <v>1</v>
      </c>
      <c r="Z546" s="13">
        <f>SUMPRODUCT(N546:Y546,$N$2:$Y$2)*$K546*$L546*$M546</f>
        <v/>
      </c>
      <c r="AA546" s="14">
        <f>SUM(N546:Y546)</f>
        <v/>
      </c>
      <c r="AB546" s="13">
        <f>SUMPRODUCT(N546:Y546,$N$3:$Y$3)*$K546*$L546*$M546</f>
        <v/>
      </c>
      <c r="AC546" s="13">
        <f>SUMPRODUCT(N546:Y546,$N$4:$Y$4)*$K546*$L546*$M546</f>
        <v/>
      </c>
      <c r="AD546" s="15" t="n">
        <v>3</v>
      </c>
      <c r="AE546" s="11" t="n">
        <v>1.011296296296296</v>
      </c>
      <c r="AF546" s="16">
        <f>SUMPRODUCT(N546:Y546,$N$5:$Y$5)*$K546*$L546*$M546</f>
        <v/>
      </c>
      <c r="AG546" s="16">
        <f>SUMPRODUCT(N546:Y546,$N$6:$Y$6)*$K546*$L546*$M546</f>
        <v/>
      </c>
      <c r="AH546" s="20" t="n"/>
    </row>
    <row r="547">
      <c r="A547" s="9" t="n">
        <v>801307</v>
      </c>
      <c r="B547" s="9" t="inlineStr">
        <is>
          <t>Gregory Bozzo</t>
        </is>
      </c>
      <c r="C547" s="9" t="inlineStr">
        <is>
          <t>NYY</t>
        </is>
      </c>
      <c r="D547" s="9" t="n">
        <v>25</v>
      </c>
      <c r="E547" s="18" t="inlineStr">
        <is>
          <t>R</t>
        </is>
      </c>
      <c r="F547" s="18" t="n"/>
      <c r="G547" s="9" t="n">
        <v>1</v>
      </c>
      <c r="H547" s="9" t="n">
        <v>1</v>
      </c>
      <c r="I547" s="9" t="inlineStr">
        <is>
          <t>Depth (no MLB IP)</t>
        </is>
      </c>
      <c r="J547" s="18" t="inlineStr">
        <is>
          <t>Opening Day</t>
        </is>
      </c>
      <c r="K547" s="11">
        <f>IFERROR(INDEX(Roles!$B$17:$B$20,MATCH(J547,Roles!$A$17:$A$20,0)),1)</f>
        <v/>
      </c>
      <c r="L547" s="19" t="n">
        <v>1</v>
      </c>
      <c r="M547" s="11" t="n">
        <v>1</v>
      </c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>
        <v>1</v>
      </c>
      <c r="Z547" s="13">
        <f>SUMPRODUCT(N547:Y547,$N$2:$Y$2)*$K547*$L547*$M547</f>
        <v/>
      </c>
      <c r="AA547" s="14">
        <f>SUM(N547:Y547)</f>
        <v/>
      </c>
      <c r="AB547" s="13">
        <f>SUMPRODUCT(N547:Y547,$N$3:$Y$3)*$K547*$L547*$M547</f>
        <v/>
      </c>
      <c r="AC547" s="13">
        <f>SUMPRODUCT(N547:Y547,$N$4:$Y$4)*$K547*$L547*$M547</f>
        <v/>
      </c>
      <c r="AD547" s="15" t="n">
        <v>3</v>
      </c>
      <c r="AE547" s="11" t="n">
        <v>1.011296296296296</v>
      </c>
      <c r="AF547" s="16">
        <f>SUMPRODUCT(N547:Y547,$N$5:$Y$5)*$K547*$L547*$M547</f>
        <v/>
      </c>
      <c r="AG547" s="16">
        <f>SUMPRODUCT(N547:Y547,$N$6:$Y$6)*$K547*$L547*$M547</f>
        <v/>
      </c>
      <c r="AH547" s="20" t="n"/>
    </row>
    <row r="548">
      <c r="A548" s="9" t="n">
        <v>687262</v>
      </c>
      <c r="B548" s="9" t="inlineStr">
        <is>
          <t>Jorge Corona</t>
        </is>
      </c>
      <c r="C548" s="9" t="inlineStr">
        <is>
          <t>CWS</t>
        </is>
      </c>
      <c r="D548" s="9" t="n">
        <v>25</v>
      </c>
      <c r="E548" s="18" t="inlineStr">
        <is>
          <t>R</t>
        </is>
      </c>
      <c r="F548" s="18" t="n"/>
      <c r="G548" s="9" t="n">
        <v>1</v>
      </c>
      <c r="H548" s="9" t="n">
        <v>1</v>
      </c>
      <c r="I548" s="9" t="inlineStr">
        <is>
          <t>Depth (no MLB IP)</t>
        </is>
      </c>
      <c r="J548" s="18" t="inlineStr">
        <is>
          <t>Opening Day</t>
        </is>
      </c>
      <c r="K548" s="11">
        <f>IFERROR(INDEX(Roles!$B$17:$B$20,MATCH(J548,Roles!$A$17:$A$20,0)),1)</f>
        <v/>
      </c>
      <c r="L548" s="19" t="n">
        <v>1</v>
      </c>
      <c r="M548" s="11" t="n">
        <v>1</v>
      </c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>
        <v>1</v>
      </c>
      <c r="Z548" s="13">
        <f>SUMPRODUCT(N548:Y548,$N$2:$Y$2)*$K548*$L548*$M548</f>
        <v/>
      </c>
      <c r="AA548" s="14">
        <f>SUM(N548:Y548)</f>
        <v/>
      </c>
      <c r="AB548" s="13">
        <f>SUMPRODUCT(N548:Y548,$N$3:$Y$3)*$K548*$L548*$M548</f>
        <v/>
      </c>
      <c r="AC548" s="13">
        <f>SUMPRODUCT(N548:Y548,$N$4:$Y$4)*$K548*$L548*$M548</f>
        <v/>
      </c>
      <c r="AD548" s="15" t="n">
        <v>3</v>
      </c>
      <c r="AE548" s="11" t="n">
        <v>1.011296296296296</v>
      </c>
      <c r="AF548" s="16">
        <f>SUMPRODUCT(N548:Y548,$N$5:$Y$5)*$K548*$L548*$M548</f>
        <v/>
      </c>
      <c r="AG548" s="16">
        <f>SUMPRODUCT(N548:Y548,$N$6:$Y$6)*$K548*$L548*$M548</f>
        <v/>
      </c>
      <c r="AH548" s="20" t="n"/>
    </row>
    <row r="549">
      <c r="A549" s="9" t="n">
        <v>840570</v>
      </c>
      <c r="B549" s="9" t="inlineStr">
        <is>
          <t>Henry Kusiak</t>
        </is>
      </c>
      <c r="C549" s="9" t="inlineStr">
        <is>
          <t>MIN</t>
        </is>
      </c>
      <c r="D549" s="9" t="n">
        <v>25</v>
      </c>
      <c r="E549" s="18" t="inlineStr">
        <is>
          <t>R</t>
        </is>
      </c>
      <c r="F549" s="18" t="n"/>
      <c r="G549" s="9" t="n">
        <v>1</v>
      </c>
      <c r="H549" s="9" t="n">
        <v>1</v>
      </c>
      <c r="I549" s="9" t="inlineStr">
        <is>
          <t>Depth (no MLB IP)</t>
        </is>
      </c>
      <c r="J549" s="18" t="inlineStr">
        <is>
          <t>Opening Day</t>
        </is>
      </c>
      <c r="K549" s="11">
        <f>IFERROR(INDEX(Roles!$B$17:$B$20,MATCH(J549,Roles!$A$17:$A$20,0)),1)</f>
        <v/>
      </c>
      <c r="L549" s="19" t="n">
        <v>1</v>
      </c>
      <c r="M549" s="11" t="n">
        <v>1</v>
      </c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>
        <v>1</v>
      </c>
      <c r="Z549" s="13">
        <f>SUMPRODUCT(N549:Y549,$N$2:$Y$2)*$K549*$L549*$M549</f>
        <v/>
      </c>
      <c r="AA549" s="14">
        <f>SUM(N549:Y549)</f>
        <v/>
      </c>
      <c r="AB549" s="13">
        <f>SUMPRODUCT(N549:Y549,$N$3:$Y$3)*$K549*$L549*$M549</f>
        <v/>
      </c>
      <c r="AC549" s="13">
        <f>SUMPRODUCT(N549:Y549,$N$4:$Y$4)*$K549*$L549*$M549</f>
        <v/>
      </c>
      <c r="AD549" s="15" t="n">
        <v>3</v>
      </c>
      <c r="AE549" s="11" t="n">
        <v>1.011296296296296</v>
      </c>
      <c r="AF549" s="16">
        <f>SUMPRODUCT(N549:Y549,$N$5:$Y$5)*$K549*$L549*$M549</f>
        <v/>
      </c>
      <c r="AG549" s="16">
        <f>SUMPRODUCT(N549:Y549,$N$6:$Y$6)*$K549*$L549*$M549</f>
        <v/>
      </c>
      <c r="AH549" s="20" t="n"/>
    </row>
    <row r="550">
      <c r="A550" s="9" t="n">
        <v>801726</v>
      </c>
      <c r="B550" s="9" t="inlineStr">
        <is>
          <t>Santiago Gomez</t>
        </is>
      </c>
      <c r="C550" s="9" t="inlineStr">
        <is>
          <t>NYY</t>
        </is>
      </c>
      <c r="D550" s="9" t="n">
        <v>25</v>
      </c>
      <c r="E550" s="18" t="inlineStr">
        <is>
          <t>R</t>
        </is>
      </c>
      <c r="F550" s="18" t="n"/>
      <c r="G550" s="9" t="n">
        <v>1</v>
      </c>
      <c r="H550" s="9" t="n">
        <v>1</v>
      </c>
      <c r="I550" s="9" t="inlineStr">
        <is>
          <t>Depth (no MLB IP)</t>
        </is>
      </c>
      <c r="J550" s="18" t="inlineStr">
        <is>
          <t>Opening Day</t>
        </is>
      </c>
      <c r="K550" s="11">
        <f>IFERROR(INDEX(Roles!$B$17:$B$20,MATCH(J550,Roles!$A$17:$A$20,0)),1)</f>
        <v/>
      </c>
      <c r="L550" s="19" t="n">
        <v>1</v>
      </c>
      <c r="M550" s="11" t="n">
        <v>1</v>
      </c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>
        <v>1</v>
      </c>
      <c r="Z550" s="13">
        <f>SUMPRODUCT(N550:Y550,$N$2:$Y$2)*$K550*$L550*$M550</f>
        <v/>
      </c>
      <c r="AA550" s="14">
        <f>SUM(N550:Y550)</f>
        <v/>
      </c>
      <c r="AB550" s="13">
        <f>SUMPRODUCT(N550:Y550,$N$3:$Y$3)*$K550*$L550*$M550</f>
        <v/>
      </c>
      <c r="AC550" s="13">
        <f>SUMPRODUCT(N550:Y550,$N$4:$Y$4)*$K550*$L550*$M550</f>
        <v/>
      </c>
      <c r="AD550" s="15" t="n">
        <v>3</v>
      </c>
      <c r="AE550" s="11" t="n">
        <v>1.011296296296296</v>
      </c>
      <c r="AF550" s="16">
        <f>SUMPRODUCT(N550:Y550,$N$5:$Y$5)*$K550*$L550*$M550</f>
        <v/>
      </c>
      <c r="AG550" s="16">
        <f>SUMPRODUCT(N550:Y550,$N$6:$Y$6)*$K550*$L550*$M550</f>
        <v/>
      </c>
      <c r="AH550" s="20" t="n"/>
    </row>
    <row r="551">
      <c r="A551" s="9" t="n">
        <v>670868</v>
      </c>
      <c r="B551" s="9" t="inlineStr">
        <is>
          <t>Abrahan Gutierrez</t>
        </is>
      </c>
      <c r="C551" s="9" t="inlineStr">
        <is>
          <t>NYY</t>
        </is>
      </c>
      <c r="D551" s="9" t="n">
        <v>25</v>
      </c>
      <c r="E551" s="18" t="inlineStr">
        <is>
          <t>R</t>
        </is>
      </c>
      <c r="F551" s="18" t="n"/>
      <c r="G551" s="9" t="n">
        <v>1</v>
      </c>
      <c r="H551" s="9" t="n">
        <v>1</v>
      </c>
      <c r="I551" s="9" t="inlineStr">
        <is>
          <t>Depth (no MLB IP)</t>
        </is>
      </c>
      <c r="J551" s="18" t="inlineStr">
        <is>
          <t>Opening Day</t>
        </is>
      </c>
      <c r="K551" s="11">
        <f>IFERROR(INDEX(Roles!$B$17:$B$20,MATCH(J551,Roles!$A$17:$A$20,0)),1)</f>
        <v/>
      </c>
      <c r="L551" s="19" t="n">
        <v>1</v>
      </c>
      <c r="M551" s="11" t="n">
        <v>1</v>
      </c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>
        <v>1</v>
      </c>
      <c r="Z551" s="13">
        <f>SUMPRODUCT(N551:Y551,$N$2:$Y$2)*$K551*$L551*$M551</f>
        <v/>
      </c>
      <c r="AA551" s="14">
        <f>SUM(N551:Y551)</f>
        <v/>
      </c>
      <c r="AB551" s="13">
        <f>SUMPRODUCT(N551:Y551,$N$3:$Y$3)*$K551*$L551*$M551</f>
        <v/>
      </c>
      <c r="AC551" s="13">
        <f>SUMPRODUCT(N551:Y551,$N$4:$Y$4)*$K551*$L551*$M551</f>
        <v/>
      </c>
      <c r="AD551" s="15" t="n">
        <v>3</v>
      </c>
      <c r="AE551" s="11" t="n">
        <v>1.011296296296296</v>
      </c>
      <c r="AF551" s="16">
        <f>SUMPRODUCT(N551:Y551,$N$5:$Y$5)*$K551*$L551*$M551</f>
        <v/>
      </c>
      <c r="AG551" s="16">
        <f>SUMPRODUCT(N551:Y551,$N$6:$Y$6)*$K551*$L551*$M551</f>
        <v/>
      </c>
      <c r="AH551" s="20" t="n"/>
    </row>
    <row r="552">
      <c r="A552" s="9" t="n">
        <v>800615</v>
      </c>
      <c r="B552" s="9" t="inlineStr">
        <is>
          <t>Luke Scherrer</t>
        </is>
      </c>
      <c r="C552" s="9" t="inlineStr">
        <is>
          <t>PIT</t>
        </is>
      </c>
      <c r="D552" s="9" t="n">
        <v>25</v>
      </c>
      <c r="E552" s="18" t="inlineStr">
        <is>
          <t>R</t>
        </is>
      </c>
      <c r="F552" s="18" t="n"/>
      <c r="G552" s="9" t="n">
        <v>1</v>
      </c>
      <c r="H552" s="9" t="n">
        <v>1</v>
      </c>
      <c r="I552" s="9" t="inlineStr">
        <is>
          <t>Depth (no MLB IP)</t>
        </is>
      </c>
      <c r="J552" s="18" t="inlineStr">
        <is>
          <t>Opening Day</t>
        </is>
      </c>
      <c r="K552" s="11">
        <f>IFERROR(INDEX(Roles!$B$17:$B$20,MATCH(J552,Roles!$A$17:$A$20,0)),1)</f>
        <v/>
      </c>
      <c r="L552" s="19" t="n">
        <v>1</v>
      </c>
      <c r="M552" s="11" t="n">
        <v>1</v>
      </c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>
        <v>1</v>
      </c>
      <c r="Z552" s="13">
        <f>SUMPRODUCT(N552:Y552,$N$2:$Y$2)*$K552*$L552*$M552</f>
        <v/>
      </c>
      <c r="AA552" s="14">
        <f>SUM(N552:Y552)</f>
        <v/>
      </c>
      <c r="AB552" s="13">
        <f>SUMPRODUCT(N552:Y552,$N$3:$Y$3)*$K552*$L552*$M552</f>
        <v/>
      </c>
      <c r="AC552" s="13">
        <f>SUMPRODUCT(N552:Y552,$N$4:$Y$4)*$K552*$L552*$M552</f>
        <v/>
      </c>
      <c r="AD552" s="15" t="n">
        <v>3</v>
      </c>
      <c r="AE552" s="11" t="n">
        <v>1.011296296296296</v>
      </c>
      <c r="AF552" s="16">
        <f>SUMPRODUCT(N552:Y552,$N$5:$Y$5)*$K552*$L552*$M552</f>
        <v/>
      </c>
      <c r="AG552" s="16">
        <f>SUMPRODUCT(N552:Y552,$N$6:$Y$6)*$K552*$L552*$M552</f>
        <v/>
      </c>
      <c r="AH552" s="20" t="n"/>
    </row>
    <row r="553">
      <c r="A553" s="9" t="n">
        <v>669699</v>
      </c>
      <c r="B553" s="9" t="inlineStr">
        <is>
          <t>Braden Shewmake</t>
        </is>
      </c>
      <c r="C553" s="9" t="inlineStr">
        <is>
          <t>NYY</t>
        </is>
      </c>
      <c r="D553" s="9" t="n">
        <v>25</v>
      </c>
      <c r="E553" s="18" t="inlineStr">
        <is>
          <t>R</t>
        </is>
      </c>
      <c r="F553" s="18" t="n"/>
      <c r="G553" s="9" t="n">
        <v>1</v>
      </c>
      <c r="H553" s="9" t="n">
        <v>1</v>
      </c>
      <c r="I553" s="9" t="inlineStr">
        <is>
          <t>Depth (no MLB IP)</t>
        </is>
      </c>
      <c r="J553" s="18" t="inlineStr">
        <is>
          <t>Opening Day</t>
        </is>
      </c>
      <c r="K553" s="11">
        <f>IFERROR(INDEX(Roles!$B$17:$B$20,MATCH(J553,Roles!$A$17:$A$20,0)),1)</f>
        <v/>
      </c>
      <c r="L553" s="19" t="n">
        <v>1</v>
      </c>
      <c r="M553" s="11" t="n">
        <v>1</v>
      </c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>
        <v>1</v>
      </c>
      <c r="Z553" s="13">
        <f>SUMPRODUCT(N553:Y553,$N$2:$Y$2)*$K553*$L553*$M553</f>
        <v/>
      </c>
      <c r="AA553" s="14">
        <f>SUM(N553:Y553)</f>
        <v/>
      </c>
      <c r="AB553" s="13">
        <f>SUMPRODUCT(N553:Y553,$N$3:$Y$3)*$K553*$L553*$M553</f>
        <v/>
      </c>
      <c r="AC553" s="13">
        <f>SUMPRODUCT(N553:Y553,$N$4:$Y$4)*$K553*$L553*$M553</f>
        <v/>
      </c>
      <c r="AD553" s="15" t="n">
        <v>3</v>
      </c>
      <c r="AE553" s="11" t="n">
        <v>1.011296296296296</v>
      </c>
      <c r="AF553" s="16">
        <f>SUMPRODUCT(N553:Y553,$N$5:$Y$5)*$K553*$L553*$M553</f>
        <v/>
      </c>
      <c r="AG553" s="16">
        <f>SUMPRODUCT(N553:Y553,$N$6:$Y$6)*$K553*$L553*$M553</f>
        <v/>
      </c>
      <c r="AH553" s="20" t="n"/>
    </row>
    <row r="554">
      <c r="A554" s="9" t="n">
        <v>800438</v>
      </c>
      <c r="B554" s="9" t="inlineStr">
        <is>
          <t>Andrés Nolaya</t>
        </is>
      </c>
      <c r="C554" s="9" t="inlineStr">
        <is>
          <t>BAL</t>
        </is>
      </c>
      <c r="D554" s="9" t="n">
        <v>25</v>
      </c>
      <c r="E554" s="18" t="inlineStr">
        <is>
          <t>R</t>
        </is>
      </c>
      <c r="F554" s="18" t="n"/>
      <c r="G554" s="9" t="n">
        <v>1</v>
      </c>
      <c r="H554" s="9" t="n">
        <v>1</v>
      </c>
      <c r="I554" s="9" t="inlineStr">
        <is>
          <t>Depth (no MLB IP)</t>
        </is>
      </c>
      <c r="J554" s="18" t="inlineStr">
        <is>
          <t>Opening Day</t>
        </is>
      </c>
      <c r="K554" s="11">
        <f>IFERROR(INDEX(Roles!$B$17:$B$20,MATCH(J554,Roles!$A$17:$A$20,0)),1)</f>
        <v/>
      </c>
      <c r="L554" s="19" t="n">
        <v>1</v>
      </c>
      <c r="M554" s="11" t="n">
        <v>1</v>
      </c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>
        <v>1</v>
      </c>
      <c r="Z554" s="13">
        <f>SUMPRODUCT(N554:Y554,$N$2:$Y$2)*$K554*$L554*$M554</f>
        <v/>
      </c>
      <c r="AA554" s="14">
        <f>SUM(N554:Y554)</f>
        <v/>
      </c>
      <c r="AB554" s="13">
        <f>SUMPRODUCT(N554:Y554,$N$3:$Y$3)*$K554*$L554*$M554</f>
        <v/>
      </c>
      <c r="AC554" s="13">
        <f>SUMPRODUCT(N554:Y554,$N$4:$Y$4)*$K554*$L554*$M554</f>
        <v/>
      </c>
      <c r="AD554" s="15" t="n">
        <v>3</v>
      </c>
      <c r="AE554" s="11" t="n">
        <v>1.011296296296296</v>
      </c>
      <c r="AF554" s="16">
        <f>SUMPRODUCT(N554:Y554,$N$5:$Y$5)*$K554*$L554*$M554</f>
        <v/>
      </c>
      <c r="AG554" s="16">
        <f>SUMPRODUCT(N554:Y554,$N$6:$Y$6)*$K554*$L554*$M554</f>
        <v/>
      </c>
      <c r="AH554" s="20" t="n"/>
    </row>
    <row r="555">
      <c r="A555" s="9" t="n">
        <v>800536</v>
      </c>
      <c r="B555" s="9" t="inlineStr">
        <is>
          <t>Adonis Villavicencio</t>
        </is>
      </c>
      <c r="C555" s="9" t="inlineStr">
        <is>
          <t>TEX</t>
        </is>
      </c>
      <c r="D555" s="9" t="n">
        <v>25</v>
      </c>
      <c r="E555" s="18" t="inlineStr">
        <is>
          <t>R</t>
        </is>
      </c>
      <c r="F555" s="18" t="n"/>
      <c r="G555" s="9" t="n">
        <v>1.146666666666667</v>
      </c>
      <c r="H555" s="9" t="n">
        <v>1.146666666666667</v>
      </c>
      <c r="I555" s="9" t="inlineStr">
        <is>
          <t>Depth (no MLB IP)</t>
        </is>
      </c>
      <c r="J555" s="18" t="inlineStr">
        <is>
          <t>Opening Day</t>
        </is>
      </c>
      <c r="K555" s="11">
        <f>IFERROR(INDEX(Roles!$B$17:$B$20,MATCH(J555,Roles!$A$17:$A$20,0)),1)</f>
        <v/>
      </c>
      <c r="L555" s="19" t="n">
        <v>1</v>
      </c>
      <c r="M555" s="11" t="n">
        <v>1</v>
      </c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>
        <v>1</v>
      </c>
      <c r="Z555" s="13">
        <f>SUMPRODUCT(N555:Y555,$N$2:$Y$2)*$K555*$L555*$M555</f>
        <v/>
      </c>
      <c r="AA555" s="14">
        <f>SUM(N555:Y555)</f>
        <v/>
      </c>
      <c r="AB555" s="13">
        <f>SUMPRODUCT(N555:Y555,$N$3:$Y$3)*$K555*$L555*$M555</f>
        <v/>
      </c>
      <c r="AC555" s="13">
        <f>SUMPRODUCT(N555:Y555,$N$4:$Y$4)*$K555*$L555*$M555</f>
        <v/>
      </c>
      <c r="AD555" s="15" t="n">
        <v>3</v>
      </c>
      <c r="AE555" s="11" t="n">
        <v>1.011296296296296</v>
      </c>
      <c r="AF555" s="16">
        <f>SUMPRODUCT(N555:Y555,$N$5:$Y$5)*$K555*$L555*$M555</f>
        <v/>
      </c>
      <c r="AG555" s="16">
        <f>SUMPRODUCT(N555:Y555,$N$6:$Y$6)*$K555*$L555*$M555</f>
        <v/>
      </c>
      <c r="AH555" s="20" t="n"/>
    </row>
    <row r="556">
      <c r="A556" s="9" t="n">
        <v>832226</v>
      </c>
      <c r="B556" s="9" t="inlineStr">
        <is>
          <t>Jackson Hauge</t>
        </is>
      </c>
      <c r="C556" s="9" t="inlineStr">
        <is>
          <t>NYM</t>
        </is>
      </c>
      <c r="D556" s="9" t="n">
        <v>25</v>
      </c>
      <c r="E556" s="18" t="inlineStr">
        <is>
          <t>R</t>
        </is>
      </c>
      <c r="F556" s="18" t="n"/>
      <c r="G556" s="9" t="n">
        <v>1.032</v>
      </c>
      <c r="H556" s="9" t="n">
        <v>1.032</v>
      </c>
      <c r="I556" s="9" t="inlineStr">
        <is>
          <t>Depth (no MLB IP)</t>
        </is>
      </c>
      <c r="J556" s="18" t="inlineStr">
        <is>
          <t>Opening Day</t>
        </is>
      </c>
      <c r="K556" s="11">
        <f>IFERROR(INDEX(Roles!$B$17:$B$20,MATCH(J556,Roles!$A$17:$A$20,0)),1)</f>
        <v/>
      </c>
      <c r="L556" s="19" t="n">
        <v>1</v>
      </c>
      <c r="M556" s="11" t="n">
        <v>1</v>
      </c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>
        <v>1</v>
      </c>
      <c r="Z556" s="13">
        <f>SUMPRODUCT(N556:Y556,$N$2:$Y$2)*$K556*$L556*$M556</f>
        <v/>
      </c>
      <c r="AA556" s="14">
        <f>SUM(N556:Y556)</f>
        <v/>
      </c>
      <c r="AB556" s="13">
        <f>SUMPRODUCT(N556:Y556,$N$3:$Y$3)*$K556*$L556*$M556</f>
        <v/>
      </c>
      <c r="AC556" s="13">
        <f>SUMPRODUCT(N556:Y556,$N$4:$Y$4)*$K556*$L556*$M556</f>
        <v/>
      </c>
      <c r="AD556" s="15" t="n">
        <v>3</v>
      </c>
      <c r="AE556" s="11" t="n">
        <v>1.011296296296296</v>
      </c>
      <c r="AF556" s="16">
        <f>SUMPRODUCT(N556:Y556,$N$5:$Y$5)*$K556*$L556*$M556</f>
        <v/>
      </c>
      <c r="AG556" s="16">
        <f>SUMPRODUCT(N556:Y556,$N$6:$Y$6)*$K556*$L556*$M556</f>
        <v/>
      </c>
      <c r="AH556" s="20" t="n"/>
    </row>
    <row r="557">
      <c r="A557" s="9" t="n">
        <v>823775</v>
      </c>
      <c r="B557" s="9" t="inlineStr">
        <is>
          <t>DJ Newman</t>
        </is>
      </c>
      <c r="C557" s="9" t="inlineStr">
        <is>
          <t>HOU</t>
        </is>
      </c>
      <c r="D557" s="9" t="n">
        <v>25</v>
      </c>
      <c r="E557" s="18" t="inlineStr">
        <is>
          <t>R</t>
        </is>
      </c>
      <c r="F557" s="18" t="n"/>
      <c r="G557" s="9" t="n">
        <v>1</v>
      </c>
      <c r="H557" s="9" t="n">
        <v>1</v>
      </c>
      <c r="I557" s="9" t="inlineStr">
        <is>
          <t>Depth (no MLB IP)</t>
        </is>
      </c>
      <c r="J557" s="18" t="inlineStr">
        <is>
          <t>Opening Day</t>
        </is>
      </c>
      <c r="K557" s="11">
        <f>IFERROR(INDEX(Roles!$B$17:$B$20,MATCH(J557,Roles!$A$17:$A$20,0)),1)</f>
        <v/>
      </c>
      <c r="L557" s="19" t="n">
        <v>1</v>
      </c>
      <c r="M557" s="11" t="n">
        <v>1</v>
      </c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>
        <v>1</v>
      </c>
      <c r="Z557" s="13">
        <f>SUMPRODUCT(N557:Y557,$N$2:$Y$2)*$K557*$L557*$M557</f>
        <v/>
      </c>
      <c r="AA557" s="14">
        <f>SUM(N557:Y557)</f>
        <v/>
      </c>
      <c r="AB557" s="13">
        <f>SUMPRODUCT(N557:Y557,$N$3:$Y$3)*$K557*$L557*$M557</f>
        <v/>
      </c>
      <c r="AC557" s="13">
        <f>SUMPRODUCT(N557:Y557,$N$4:$Y$4)*$K557*$L557*$M557</f>
        <v/>
      </c>
      <c r="AD557" s="15" t="n">
        <v>3</v>
      </c>
      <c r="AE557" s="11" t="n">
        <v>1.011296296296296</v>
      </c>
      <c r="AF557" s="16">
        <f>SUMPRODUCT(N557:Y557,$N$5:$Y$5)*$K557*$L557*$M557</f>
        <v/>
      </c>
      <c r="AG557" s="16">
        <f>SUMPRODUCT(N557:Y557,$N$6:$Y$6)*$K557*$L557*$M557</f>
        <v/>
      </c>
      <c r="AH557" s="20" t="n"/>
    </row>
    <row r="558">
      <c r="A558" s="9" t="n">
        <v>823817</v>
      </c>
      <c r="B558" s="9" t="inlineStr">
        <is>
          <t>Jake McCutcheon</t>
        </is>
      </c>
      <c r="C558" s="9" t="inlineStr">
        <is>
          <t>MIA</t>
        </is>
      </c>
      <c r="D558" s="9" t="n">
        <v>25</v>
      </c>
      <c r="E558" s="18" t="inlineStr">
        <is>
          <t>R</t>
        </is>
      </c>
      <c r="F558" s="18" t="n"/>
      <c r="G558" s="9" t="n">
        <v>1.204</v>
      </c>
      <c r="H558" s="9" t="n">
        <v>1.204</v>
      </c>
      <c r="I558" s="9" t="inlineStr">
        <is>
          <t>Depth (no MLB IP)</t>
        </is>
      </c>
      <c r="J558" s="18" t="inlineStr">
        <is>
          <t>Opening Day</t>
        </is>
      </c>
      <c r="K558" s="11">
        <f>IFERROR(INDEX(Roles!$B$17:$B$20,MATCH(J558,Roles!$A$17:$A$20,0)),1)</f>
        <v/>
      </c>
      <c r="L558" s="19" t="n">
        <v>1</v>
      </c>
      <c r="M558" s="11" t="n">
        <v>1</v>
      </c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>
        <v>1</v>
      </c>
      <c r="Z558" s="13">
        <f>SUMPRODUCT(N558:Y558,$N$2:$Y$2)*$K558*$L558*$M558</f>
        <v/>
      </c>
      <c r="AA558" s="14">
        <f>SUM(N558:Y558)</f>
        <v/>
      </c>
      <c r="AB558" s="13">
        <f>SUMPRODUCT(N558:Y558,$N$3:$Y$3)*$K558*$L558*$M558</f>
        <v/>
      </c>
      <c r="AC558" s="13">
        <f>SUMPRODUCT(N558:Y558,$N$4:$Y$4)*$K558*$L558*$M558</f>
        <v/>
      </c>
      <c r="AD558" s="15" t="n">
        <v>3</v>
      </c>
      <c r="AE558" s="11" t="n">
        <v>1.011296296296296</v>
      </c>
      <c r="AF558" s="16">
        <f>SUMPRODUCT(N558:Y558,$N$5:$Y$5)*$K558*$L558*$M558</f>
        <v/>
      </c>
      <c r="AG558" s="16">
        <f>SUMPRODUCT(N558:Y558,$N$6:$Y$6)*$K558*$L558*$M558</f>
        <v/>
      </c>
      <c r="AH558" s="20" t="n"/>
    </row>
    <row r="559">
      <c r="A559" s="9" t="n">
        <v>825470</v>
      </c>
      <c r="B559" s="9" t="inlineStr">
        <is>
          <t>Roberto Pena</t>
        </is>
      </c>
      <c r="C559" s="9" t="inlineStr">
        <is>
          <t>NYM</t>
        </is>
      </c>
      <c r="D559" s="9" t="n">
        <v>25</v>
      </c>
      <c r="E559" s="18" t="inlineStr">
        <is>
          <t>R</t>
        </is>
      </c>
      <c r="F559" s="18" t="n"/>
      <c r="G559" s="9" t="n">
        <v>1.204</v>
      </c>
      <c r="H559" s="9" t="n">
        <v>1.204</v>
      </c>
      <c r="I559" s="9" t="inlineStr">
        <is>
          <t>Depth (no MLB IP)</t>
        </is>
      </c>
      <c r="J559" s="18" t="inlineStr">
        <is>
          <t>Opening Day</t>
        </is>
      </c>
      <c r="K559" s="11">
        <f>IFERROR(INDEX(Roles!$B$17:$B$20,MATCH(J559,Roles!$A$17:$A$20,0)),1)</f>
        <v/>
      </c>
      <c r="L559" s="19" t="n">
        <v>1</v>
      </c>
      <c r="M559" s="11" t="n">
        <v>1</v>
      </c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>
        <v>1</v>
      </c>
      <c r="Z559" s="13">
        <f>SUMPRODUCT(N559:Y559,$N$2:$Y$2)*$K559*$L559*$M559</f>
        <v/>
      </c>
      <c r="AA559" s="14">
        <f>SUM(N559:Y559)</f>
        <v/>
      </c>
      <c r="AB559" s="13">
        <f>SUMPRODUCT(N559:Y559,$N$3:$Y$3)*$K559*$L559*$M559</f>
        <v/>
      </c>
      <c r="AC559" s="13">
        <f>SUMPRODUCT(N559:Y559,$N$4:$Y$4)*$K559*$L559*$M559</f>
        <v/>
      </c>
      <c r="AD559" s="15" t="n">
        <v>3</v>
      </c>
      <c r="AE559" s="11" t="n">
        <v>1.011296296296296</v>
      </c>
      <c r="AF559" s="16">
        <f>SUMPRODUCT(N559:Y559,$N$5:$Y$5)*$K559*$L559*$M559</f>
        <v/>
      </c>
      <c r="AG559" s="16">
        <f>SUMPRODUCT(N559:Y559,$N$6:$Y$6)*$K559*$L559*$M559</f>
        <v/>
      </c>
      <c r="AH559" s="20" t="n"/>
    </row>
    <row r="560">
      <c r="A560" s="9" t="n">
        <v>812430</v>
      </c>
      <c r="B560" s="9" t="inlineStr">
        <is>
          <t>Heriberto Caraballo</t>
        </is>
      </c>
      <c r="C560" s="9" t="inlineStr">
        <is>
          <t>STL</t>
        </is>
      </c>
      <c r="D560" s="9" t="n">
        <v>25</v>
      </c>
      <c r="E560" s="18" t="inlineStr">
        <is>
          <t>R</t>
        </is>
      </c>
      <c r="F560" s="18" t="n"/>
      <c r="G560" s="9" t="n">
        <v>1</v>
      </c>
      <c r="H560" s="9" t="n">
        <v>1</v>
      </c>
      <c r="I560" s="9" t="inlineStr">
        <is>
          <t>Depth (no MLB IP)</t>
        </is>
      </c>
      <c r="J560" s="18" t="inlineStr">
        <is>
          <t>Opening Day</t>
        </is>
      </c>
      <c r="K560" s="11">
        <f>IFERROR(INDEX(Roles!$B$17:$B$20,MATCH(J560,Roles!$A$17:$A$20,0)),1)</f>
        <v/>
      </c>
      <c r="L560" s="19" t="n">
        <v>1</v>
      </c>
      <c r="M560" s="11" t="n">
        <v>1</v>
      </c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>
        <v>1</v>
      </c>
      <c r="Z560" s="13">
        <f>SUMPRODUCT(N560:Y560,$N$2:$Y$2)*$K560*$L560*$M560</f>
        <v/>
      </c>
      <c r="AA560" s="14">
        <f>SUM(N560:Y560)</f>
        <v/>
      </c>
      <c r="AB560" s="13">
        <f>SUMPRODUCT(N560:Y560,$N$3:$Y$3)*$K560*$L560*$M560</f>
        <v/>
      </c>
      <c r="AC560" s="13">
        <f>SUMPRODUCT(N560:Y560,$N$4:$Y$4)*$K560*$L560*$M560</f>
        <v/>
      </c>
      <c r="AD560" s="15" t="n">
        <v>3</v>
      </c>
      <c r="AE560" s="11" t="n">
        <v>1.011296296296296</v>
      </c>
      <c r="AF560" s="16">
        <f>SUMPRODUCT(N560:Y560,$N$5:$Y$5)*$K560*$L560*$M560</f>
        <v/>
      </c>
      <c r="AG560" s="16">
        <f>SUMPRODUCT(N560:Y560,$N$6:$Y$6)*$K560*$L560*$M560</f>
        <v/>
      </c>
      <c r="AH560" s="20" t="n"/>
    </row>
    <row r="561">
      <c r="A561" s="9" t="n">
        <v>695493</v>
      </c>
      <c r="B561" s="9" t="inlineStr">
        <is>
          <t>Teo Banks</t>
        </is>
      </c>
      <c r="C561" s="9" t="inlineStr">
        <is>
          <t>WSH</t>
        </is>
      </c>
      <c r="D561" s="9" t="n">
        <v>25</v>
      </c>
      <c r="E561" s="18" t="inlineStr">
        <is>
          <t>R</t>
        </is>
      </c>
      <c r="F561" s="18" t="n"/>
      <c r="G561" s="9" t="n">
        <v>1</v>
      </c>
      <c r="H561" s="9" t="n">
        <v>1</v>
      </c>
      <c r="I561" s="9" t="inlineStr">
        <is>
          <t>Depth (no MLB IP)</t>
        </is>
      </c>
      <c r="J561" s="18" t="inlineStr">
        <is>
          <t>Opening Day</t>
        </is>
      </c>
      <c r="K561" s="11">
        <f>IFERROR(INDEX(Roles!$B$17:$B$20,MATCH(J561,Roles!$A$17:$A$20,0)),1)</f>
        <v/>
      </c>
      <c r="L561" s="19" t="n">
        <v>1</v>
      </c>
      <c r="M561" s="11" t="n">
        <v>1</v>
      </c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>
        <v>1</v>
      </c>
      <c r="Z561" s="13">
        <f>SUMPRODUCT(N561:Y561,$N$2:$Y$2)*$K561*$L561*$M561</f>
        <v/>
      </c>
      <c r="AA561" s="14">
        <f>SUM(N561:Y561)</f>
        <v/>
      </c>
      <c r="AB561" s="13">
        <f>SUMPRODUCT(N561:Y561,$N$3:$Y$3)*$K561*$L561*$M561</f>
        <v/>
      </c>
      <c r="AC561" s="13">
        <f>SUMPRODUCT(N561:Y561,$N$4:$Y$4)*$K561*$L561*$M561</f>
        <v/>
      </c>
      <c r="AD561" s="15" t="n">
        <v>3</v>
      </c>
      <c r="AE561" s="11" t="n">
        <v>1.011296296296296</v>
      </c>
      <c r="AF561" s="16">
        <f>SUMPRODUCT(N561:Y561,$N$5:$Y$5)*$K561*$L561*$M561</f>
        <v/>
      </c>
      <c r="AG561" s="16">
        <f>SUMPRODUCT(N561:Y561,$N$6:$Y$6)*$K561*$L561*$M561</f>
        <v/>
      </c>
      <c r="AH561" s="20" t="n"/>
    </row>
    <row r="562">
      <c r="A562" s="9" t="n">
        <v>812518</v>
      </c>
      <c r="B562" s="9" t="inlineStr">
        <is>
          <t>Camden Janik</t>
        </is>
      </c>
      <c r="C562" s="9" t="inlineStr">
        <is>
          <t>PIT</t>
        </is>
      </c>
      <c r="D562" s="9" t="n">
        <v>25</v>
      </c>
      <c r="E562" s="18" t="inlineStr">
        <is>
          <t>R</t>
        </is>
      </c>
      <c r="F562" s="18" t="n"/>
      <c r="G562" s="9" t="n">
        <v>1.146666666666667</v>
      </c>
      <c r="H562" s="9" t="n">
        <v>1.146666666666667</v>
      </c>
      <c r="I562" s="9" t="inlineStr">
        <is>
          <t>Depth (no MLB IP)</t>
        </is>
      </c>
      <c r="J562" s="18" t="inlineStr">
        <is>
          <t>Opening Day</t>
        </is>
      </c>
      <c r="K562" s="11">
        <f>IFERROR(INDEX(Roles!$B$17:$B$20,MATCH(J562,Roles!$A$17:$A$20,0)),1)</f>
        <v/>
      </c>
      <c r="L562" s="19" t="n">
        <v>1</v>
      </c>
      <c r="M562" s="11" t="n">
        <v>1</v>
      </c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>
        <v>1</v>
      </c>
      <c r="Z562" s="13">
        <f>SUMPRODUCT(N562:Y562,$N$2:$Y$2)*$K562*$L562*$M562</f>
        <v/>
      </c>
      <c r="AA562" s="14">
        <f>SUM(N562:Y562)</f>
        <v/>
      </c>
      <c r="AB562" s="13">
        <f>SUMPRODUCT(N562:Y562,$N$3:$Y$3)*$K562*$L562*$M562</f>
        <v/>
      </c>
      <c r="AC562" s="13">
        <f>SUMPRODUCT(N562:Y562,$N$4:$Y$4)*$K562*$L562*$M562</f>
        <v/>
      </c>
      <c r="AD562" s="15" t="n">
        <v>3</v>
      </c>
      <c r="AE562" s="11" t="n">
        <v>1.011296296296296</v>
      </c>
      <c r="AF562" s="16">
        <f>SUMPRODUCT(N562:Y562,$N$5:$Y$5)*$K562*$L562*$M562</f>
        <v/>
      </c>
      <c r="AG562" s="16">
        <f>SUMPRODUCT(N562:Y562,$N$6:$Y$6)*$K562*$L562*$M562</f>
        <v/>
      </c>
      <c r="AH562" s="20" t="n"/>
    </row>
    <row r="563">
      <c r="A563" s="9" t="n">
        <v>813401</v>
      </c>
      <c r="B563" s="9" t="inlineStr">
        <is>
          <t>Cole Roland</t>
        </is>
      </c>
      <c r="C563" s="9" t="inlineStr">
        <is>
          <t>TEX</t>
        </is>
      </c>
      <c r="D563" s="9" t="n">
        <v>25</v>
      </c>
      <c r="E563" s="18" t="inlineStr">
        <is>
          <t>R</t>
        </is>
      </c>
      <c r="F563" s="18" t="n"/>
      <c r="G563" s="9" t="n">
        <v>1</v>
      </c>
      <c r="H563" s="9" t="n">
        <v>1</v>
      </c>
      <c r="I563" s="9" t="inlineStr">
        <is>
          <t>Depth (no MLB IP)</t>
        </is>
      </c>
      <c r="J563" s="18" t="inlineStr">
        <is>
          <t>Opening Day</t>
        </is>
      </c>
      <c r="K563" s="11">
        <f>IFERROR(INDEX(Roles!$B$17:$B$20,MATCH(J563,Roles!$A$17:$A$20,0)),1)</f>
        <v/>
      </c>
      <c r="L563" s="19" t="n">
        <v>1</v>
      </c>
      <c r="M563" s="11" t="n">
        <v>1</v>
      </c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>
        <v>1</v>
      </c>
      <c r="Z563" s="13">
        <f>SUMPRODUCT(N563:Y563,$N$2:$Y$2)*$K563*$L563*$M563</f>
        <v/>
      </c>
      <c r="AA563" s="14">
        <f>SUM(N563:Y563)</f>
        <v/>
      </c>
      <c r="AB563" s="13">
        <f>SUMPRODUCT(N563:Y563,$N$3:$Y$3)*$K563*$L563*$M563</f>
        <v/>
      </c>
      <c r="AC563" s="13">
        <f>SUMPRODUCT(N563:Y563,$N$4:$Y$4)*$K563*$L563*$M563</f>
        <v/>
      </c>
      <c r="AD563" s="15" t="n">
        <v>3</v>
      </c>
      <c r="AE563" s="11" t="n">
        <v>1.011296296296296</v>
      </c>
      <c r="AF563" s="16">
        <f>SUMPRODUCT(N563:Y563,$N$5:$Y$5)*$K563*$L563*$M563</f>
        <v/>
      </c>
      <c r="AG563" s="16">
        <f>SUMPRODUCT(N563:Y563,$N$6:$Y$6)*$K563*$L563*$M563</f>
        <v/>
      </c>
      <c r="AH563" s="20" t="n"/>
    </row>
    <row r="564">
      <c r="A564" s="9" t="n">
        <v>800191</v>
      </c>
      <c r="B564" s="9" t="inlineStr">
        <is>
          <t>Eliezer Rivero</t>
        </is>
      </c>
      <c r="C564" s="9" t="inlineStr">
        <is>
          <t>LAA</t>
        </is>
      </c>
      <c r="D564" s="9" t="n">
        <v>25</v>
      </c>
      <c r="E564" s="18" t="inlineStr">
        <is>
          <t>R</t>
        </is>
      </c>
      <c r="F564" s="18" t="n"/>
      <c r="G564" s="9" t="n">
        <v>1</v>
      </c>
      <c r="H564" s="9" t="n">
        <v>1</v>
      </c>
      <c r="I564" s="9" t="inlineStr">
        <is>
          <t>Depth (no MLB IP)</t>
        </is>
      </c>
      <c r="J564" s="18" t="inlineStr">
        <is>
          <t>Opening Day</t>
        </is>
      </c>
      <c r="K564" s="11">
        <f>IFERROR(INDEX(Roles!$B$17:$B$20,MATCH(J564,Roles!$A$17:$A$20,0)),1)</f>
        <v/>
      </c>
      <c r="L564" s="19" t="n">
        <v>1</v>
      </c>
      <c r="M564" s="11" t="n">
        <v>1</v>
      </c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>
        <v>1</v>
      </c>
      <c r="Z564" s="13">
        <f>SUMPRODUCT(N564:Y564,$N$2:$Y$2)*$K564*$L564*$M564</f>
        <v/>
      </c>
      <c r="AA564" s="14">
        <f>SUM(N564:Y564)</f>
        <v/>
      </c>
      <c r="AB564" s="13">
        <f>SUMPRODUCT(N564:Y564,$N$3:$Y$3)*$K564*$L564*$M564</f>
        <v/>
      </c>
      <c r="AC564" s="13">
        <f>SUMPRODUCT(N564:Y564,$N$4:$Y$4)*$K564*$L564*$M564</f>
        <v/>
      </c>
      <c r="AD564" s="15" t="n">
        <v>3</v>
      </c>
      <c r="AE564" s="11" t="n">
        <v>1.011296296296296</v>
      </c>
      <c r="AF564" s="16">
        <f>SUMPRODUCT(N564:Y564,$N$5:$Y$5)*$K564*$L564*$M564</f>
        <v/>
      </c>
      <c r="AG564" s="16">
        <f>SUMPRODUCT(N564:Y564,$N$6:$Y$6)*$K564*$L564*$M564</f>
        <v/>
      </c>
      <c r="AH564" s="20" t="n"/>
    </row>
    <row r="565">
      <c r="A565" s="9" t="n">
        <v>683764</v>
      </c>
      <c r="B565" s="9" t="inlineStr">
        <is>
          <t>Matt Canterino</t>
        </is>
      </c>
      <c r="C565" s="9" t="inlineStr">
        <is>
          <t>MIN</t>
        </is>
      </c>
      <c r="D565" s="9" t="n">
        <v>25</v>
      </c>
      <c r="E565" s="18" t="inlineStr">
        <is>
          <t>R</t>
        </is>
      </c>
      <c r="F565" s="18" t="n"/>
      <c r="G565" s="9" t="n">
        <v>1</v>
      </c>
      <c r="H565" s="9" t="n">
        <v>1</v>
      </c>
      <c r="I565" s="9" t="inlineStr">
        <is>
          <t>Depth (no MLB IP)</t>
        </is>
      </c>
      <c r="J565" s="18" t="inlineStr">
        <is>
          <t>Opening Day</t>
        </is>
      </c>
      <c r="K565" s="11">
        <f>IFERROR(INDEX(Roles!$B$17:$B$20,MATCH(J565,Roles!$A$17:$A$20,0)),1)</f>
        <v/>
      </c>
      <c r="L565" s="19" t="n">
        <v>1</v>
      </c>
      <c r="M565" s="11" t="n">
        <v>1</v>
      </c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>
        <v>1</v>
      </c>
      <c r="Z565" s="13">
        <f>SUMPRODUCT(N565:Y565,$N$2:$Y$2)*$K565*$L565*$M565</f>
        <v/>
      </c>
      <c r="AA565" s="14">
        <f>SUM(N565:Y565)</f>
        <v/>
      </c>
      <c r="AB565" s="13">
        <f>SUMPRODUCT(N565:Y565,$N$3:$Y$3)*$K565*$L565*$M565</f>
        <v/>
      </c>
      <c r="AC565" s="13">
        <f>SUMPRODUCT(N565:Y565,$N$4:$Y$4)*$K565*$L565*$M565</f>
        <v/>
      </c>
      <c r="AD565" s="15" t="n">
        <v>3</v>
      </c>
      <c r="AE565" s="11" t="n">
        <v>1.011296296296296</v>
      </c>
      <c r="AF565" s="16">
        <f>SUMPRODUCT(N565:Y565,$N$5:$Y$5)*$K565*$L565*$M565</f>
        <v/>
      </c>
      <c r="AG565" s="16">
        <f>SUMPRODUCT(N565:Y565,$N$6:$Y$6)*$K565*$L565*$M565</f>
        <v/>
      </c>
      <c r="AH565" s="20" t="n"/>
    </row>
    <row r="566">
      <c r="A566" s="9" t="n">
        <v>683609</v>
      </c>
      <c r="B566" s="9" t="inlineStr">
        <is>
          <t>Victor Duarte</t>
        </is>
      </c>
      <c r="C566" s="9" t="inlineStr">
        <is>
          <t>SD</t>
        </is>
      </c>
      <c r="D566" s="9" t="n">
        <v>25</v>
      </c>
      <c r="E566" s="18" t="inlineStr">
        <is>
          <t>R</t>
        </is>
      </c>
      <c r="F566" s="18" t="n"/>
      <c r="G566" s="9" t="n">
        <v>1</v>
      </c>
      <c r="H566" s="9" t="n">
        <v>1</v>
      </c>
      <c r="I566" s="9" t="inlineStr">
        <is>
          <t>Depth (no MLB IP)</t>
        </is>
      </c>
      <c r="J566" s="18" t="inlineStr">
        <is>
          <t>Opening Day</t>
        </is>
      </c>
      <c r="K566" s="11">
        <f>IFERROR(INDEX(Roles!$B$17:$B$20,MATCH(J566,Roles!$A$17:$A$20,0)),1)</f>
        <v/>
      </c>
      <c r="L566" s="19" t="n">
        <v>1</v>
      </c>
      <c r="M566" s="11" t="n">
        <v>1</v>
      </c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>
        <v>1</v>
      </c>
      <c r="Z566" s="13">
        <f>SUMPRODUCT(N566:Y566,$N$2:$Y$2)*$K566*$L566*$M566</f>
        <v/>
      </c>
      <c r="AA566" s="14">
        <f>SUM(N566:Y566)</f>
        <v/>
      </c>
      <c r="AB566" s="13">
        <f>SUMPRODUCT(N566:Y566,$N$3:$Y$3)*$K566*$L566*$M566</f>
        <v/>
      </c>
      <c r="AC566" s="13">
        <f>SUMPRODUCT(N566:Y566,$N$4:$Y$4)*$K566*$L566*$M566</f>
        <v/>
      </c>
      <c r="AD566" s="15" t="n">
        <v>3</v>
      </c>
      <c r="AE566" s="11" t="n">
        <v>1.011296296296296</v>
      </c>
      <c r="AF566" s="16">
        <f>SUMPRODUCT(N566:Y566,$N$5:$Y$5)*$K566*$L566*$M566</f>
        <v/>
      </c>
      <c r="AG566" s="16">
        <f>SUMPRODUCT(N566:Y566,$N$6:$Y$6)*$K566*$L566*$M566</f>
        <v/>
      </c>
      <c r="AH566" s="20" t="n"/>
    </row>
    <row r="567">
      <c r="A567" s="9" t="n">
        <v>688875</v>
      </c>
      <c r="B567" s="9" t="inlineStr">
        <is>
          <t>Trace Willhoite</t>
        </is>
      </c>
      <c r="C567" s="9" t="inlineStr">
        <is>
          <t>NYM</t>
        </is>
      </c>
      <c r="D567" s="9" t="n">
        <v>25</v>
      </c>
      <c r="E567" s="18" t="inlineStr">
        <is>
          <t>R</t>
        </is>
      </c>
      <c r="F567" s="18" t="n"/>
      <c r="G567" s="9" t="n">
        <v>1</v>
      </c>
      <c r="H567" s="9" t="n">
        <v>1</v>
      </c>
      <c r="I567" s="9" t="inlineStr">
        <is>
          <t>Depth (no MLB IP)</t>
        </is>
      </c>
      <c r="J567" s="18" t="inlineStr">
        <is>
          <t>Opening Day</t>
        </is>
      </c>
      <c r="K567" s="11">
        <f>IFERROR(INDEX(Roles!$B$17:$B$20,MATCH(J567,Roles!$A$17:$A$20,0)),1)</f>
        <v/>
      </c>
      <c r="L567" s="19" t="n">
        <v>1</v>
      </c>
      <c r="M567" s="11" t="n">
        <v>1</v>
      </c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>
        <v>1</v>
      </c>
      <c r="Z567" s="13">
        <f>SUMPRODUCT(N567:Y567,$N$2:$Y$2)*$K567*$L567*$M567</f>
        <v/>
      </c>
      <c r="AA567" s="14">
        <f>SUM(N567:Y567)</f>
        <v/>
      </c>
      <c r="AB567" s="13">
        <f>SUMPRODUCT(N567:Y567,$N$3:$Y$3)*$K567*$L567*$M567</f>
        <v/>
      </c>
      <c r="AC567" s="13">
        <f>SUMPRODUCT(N567:Y567,$N$4:$Y$4)*$K567*$L567*$M567</f>
        <v/>
      </c>
      <c r="AD567" s="15" t="n">
        <v>3</v>
      </c>
      <c r="AE567" s="11" t="n">
        <v>1.011296296296296</v>
      </c>
      <c r="AF567" s="16">
        <f>SUMPRODUCT(N567:Y567,$N$5:$Y$5)*$K567*$L567*$M567</f>
        <v/>
      </c>
      <c r="AG567" s="16">
        <f>SUMPRODUCT(N567:Y567,$N$6:$Y$6)*$K567*$L567*$M567</f>
        <v/>
      </c>
      <c r="AH567" s="20" t="n"/>
    </row>
    <row r="568">
      <c r="A568" s="9" t="n">
        <v>814197</v>
      </c>
      <c r="B568" s="9" t="inlineStr">
        <is>
          <t>Tyler Pitzer</t>
        </is>
      </c>
      <c r="C568" s="9" t="inlineStr">
        <is>
          <t>SD</t>
        </is>
      </c>
      <c r="D568" s="9" t="n">
        <v>25</v>
      </c>
      <c r="E568" s="18" t="inlineStr">
        <is>
          <t>R</t>
        </is>
      </c>
      <c r="F568" s="18" t="n"/>
      <c r="G568" s="9" t="n">
        <v>1.204</v>
      </c>
      <c r="H568" s="9" t="n">
        <v>1.204</v>
      </c>
      <c r="I568" s="9" t="inlineStr">
        <is>
          <t>Depth (no MLB IP)</t>
        </is>
      </c>
      <c r="J568" s="18" t="inlineStr">
        <is>
          <t>Opening Day</t>
        </is>
      </c>
      <c r="K568" s="11">
        <f>IFERROR(INDEX(Roles!$B$17:$B$20,MATCH(J568,Roles!$A$17:$A$20,0)),1)</f>
        <v/>
      </c>
      <c r="L568" s="19" t="n">
        <v>1</v>
      </c>
      <c r="M568" s="11" t="n">
        <v>1</v>
      </c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>
        <v>1</v>
      </c>
      <c r="Z568" s="13">
        <f>SUMPRODUCT(N568:Y568,$N$2:$Y$2)*$K568*$L568*$M568</f>
        <v/>
      </c>
      <c r="AA568" s="14">
        <f>SUM(N568:Y568)</f>
        <v/>
      </c>
      <c r="AB568" s="13">
        <f>SUMPRODUCT(N568:Y568,$N$3:$Y$3)*$K568*$L568*$M568</f>
        <v/>
      </c>
      <c r="AC568" s="13">
        <f>SUMPRODUCT(N568:Y568,$N$4:$Y$4)*$K568*$L568*$M568</f>
        <v/>
      </c>
      <c r="AD568" s="15" t="n">
        <v>3</v>
      </c>
      <c r="AE568" s="11" t="n">
        <v>1.011296296296296</v>
      </c>
      <c r="AF568" s="16">
        <f>SUMPRODUCT(N568:Y568,$N$5:$Y$5)*$K568*$L568*$M568</f>
        <v/>
      </c>
      <c r="AG568" s="16">
        <f>SUMPRODUCT(N568:Y568,$N$6:$Y$6)*$K568*$L568*$M568</f>
        <v/>
      </c>
      <c r="AH568" s="20" t="n"/>
    </row>
    <row r="569">
      <c r="A569" s="9" t="n">
        <v>702633</v>
      </c>
      <c r="B569" s="9" t="inlineStr">
        <is>
          <t>Gavin Guidry</t>
        </is>
      </c>
      <c r="C569" s="9" t="inlineStr">
        <is>
          <t>NYM</t>
        </is>
      </c>
      <c r="D569" s="9" t="n">
        <v>25</v>
      </c>
      <c r="E569" s="18" t="inlineStr">
        <is>
          <t>R</t>
        </is>
      </c>
      <c r="F569" s="18" t="n"/>
      <c r="G569" s="9" t="n">
        <v>1</v>
      </c>
      <c r="H569" s="9" t="n">
        <v>1</v>
      </c>
      <c r="I569" s="9" t="inlineStr">
        <is>
          <t>Depth (no MLB IP)</t>
        </is>
      </c>
      <c r="J569" s="18" t="inlineStr">
        <is>
          <t>Opening Day</t>
        </is>
      </c>
      <c r="K569" s="11">
        <f>IFERROR(INDEX(Roles!$B$17:$B$20,MATCH(J569,Roles!$A$17:$A$20,0)),1)</f>
        <v/>
      </c>
      <c r="L569" s="19" t="n">
        <v>1</v>
      </c>
      <c r="M569" s="11" t="n">
        <v>1</v>
      </c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>
        <v>1</v>
      </c>
      <c r="Z569" s="13">
        <f>SUMPRODUCT(N569:Y569,$N$2:$Y$2)*$K569*$L569*$M569</f>
        <v/>
      </c>
      <c r="AA569" s="14">
        <f>SUM(N569:Y569)</f>
        <v/>
      </c>
      <c r="AB569" s="13">
        <f>SUMPRODUCT(N569:Y569,$N$3:$Y$3)*$K569*$L569*$M569</f>
        <v/>
      </c>
      <c r="AC569" s="13">
        <f>SUMPRODUCT(N569:Y569,$N$4:$Y$4)*$K569*$L569*$M569</f>
        <v/>
      </c>
      <c r="AD569" s="15" t="n">
        <v>3</v>
      </c>
      <c r="AE569" s="11" t="n">
        <v>1.011296296296296</v>
      </c>
      <c r="AF569" s="16">
        <f>SUMPRODUCT(N569:Y569,$N$5:$Y$5)*$K569*$L569*$M569</f>
        <v/>
      </c>
      <c r="AG569" s="16">
        <f>SUMPRODUCT(N569:Y569,$N$6:$Y$6)*$K569*$L569*$M569</f>
        <v/>
      </c>
      <c r="AH569" s="20" t="n"/>
    </row>
    <row r="570">
      <c r="A570" s="9" t="n">
        <v>702658</v>
      </c>
      <c r="B570" s="9" t="inlineStr">
        <is>
          <t>Rob Evans</t>
        </is>
      </c>
      <c r="C570" s="9" t="inlineStr">
        <is>
          <t>SD</t>
        </is>
      </c>
      <c r="D570" s="9" t="n">
        <v>25</v>
      </c>
      <c r="E570" s="18" t="inlineStr">
        <is>
          <t>L</t>
        </is>
      </c>
      <c r="F570" s="18" t="n"/>
      <c r="G570" s="9" t="n">
        <v>1</v>
      </c>
      <c r="H570" s="9" t="n">
        <v>1</v>
      </c>
      <c r="I570" s="9" t="inlineStr">
        <is>
          <t>Depth (no MLB IP)</t>
        </is>
      </c>
      <c r="J570" s="18" t="inlineStr">
        <is>
          <t>Opening Day</t>
        </is>
      </c>
      <c r="K570" s="11">
        <f>IFERROR(INDEX(Roles!$B$17:$B$20,MATCH(J570,Roles!$A$17:$A$20,0)),1)</f>
        <v/>
      </c>
      <c r="L570" s="19" t="n">
        <v>1</v>
      </c>
      <c r="M570" s="11" t="n">
        <v>1</v>
      </c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>
        <v>1</v>
      </c>
      <c r="Z570" s="13">
        <f>SUMPRODUCT(N570:Y570,$N$2:$Y$2)*$K570*$L570*$M570</f>
        <v/>
      </c>
      <c r="AA570" s="14">
        <f>SUM(N570:Y570)</f>
        <v/>
      </c>
      <c r="AB570" s="13">
        <f>SUMPRODUCT(N570:Y570,$N$3:$Y$3)*$K570*$L570*$M570</f>
        <v/>
      </c>
      <c r="AC570" s="13">
        <f>SUMPRODUCT(N570:Y570,$N$4:$Y$4)*$K570*$L570*$M570</f>
        <v/>
      </c>
      <c r="AD570" s="15" t="n">
        <v>3</v>
      </c>
      <c r="AE570" s="11" t="n">
        <v>1.011296296296296</v>
      </c>
      <c r="AF570" s="16">
        <f>SUMPRODUCT(N570:Y570,$N$5:$Y$5)*$K570*$L570*$M570</f>
        <v/>
      </c>
      <c r="AG570" s="16">
        <f>SUMPRODUCT(N570:Y570,$N$6:$Y$6)*$K570*$L570*$M570</f>
        <v/>
      </c>
      <c r="AH570" s="20" t="n"/>
    </row>
    <row r="571">
      <c r="A571" s="9" t="n">
        <v>695570</v>
      </c>
      <c r="B571" s="9" t="inlineStr">
        <is>
          <t>Jonathan Vastine</t>
        </is>
      </c>
      <c r="C571" s="9" t="inlineStr">
        <is>
          <t>SD</t>
        </is>
      </c>
      <c r="D571" s="9" t="n">
        <v>25</v>
      </c>
      <c r="E571" s="18" t="inlineStr">
        <is>
          <t>R</t>
        </is>
      </c>
      <c r="F571" s="18" t="n"/>
      <c r="G571" s="9" t="n">
        <v>1</v>
      </c>
      <c r="H571" s="9" t="n">
        <v>1</v>
      </c>
      <c r="I571" s="9" t="inlineStr">
        <is>
          <t>Depth (no MLB IP)</t>
        </is>
      </c>
      <c r="J571" s="18" t="inlineStr">
        <is>
          <t>Opening Day</t>
        </is>
      </c>
      <c r="K571" s="11">
        <f>IFERROR(INDEX(Roles!$B$17:$B$20,MATCH(J571,Roles!$A$17:$A$20,0)),1)</f>
        <v/>
      </c>
      <c r="L571" s="19" t="n">
        <v>1</v>
      </c>
      <c r="M571" s="11" t="n">
        <v>1</v>
      </c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>
        <v>1</v>
      </c>
      <c r="Z571" s="13">
        <f>SUMPRODUCT(N571:Y571,$N$2:$Y$2)*$K571*$L571*$M571</f>
        <v/>
      </c>
      <c r="AA571" s="14">
        <f>SUM(N571:Y571)</f>
        <v/>
      </c>
      <c r="AB571" s="13">
        <f>SUMPRODUCT(N571:Y571,$N$3:$Y$3)*$K571*$L571*$M571</f>
        <v/>
      </c>
      <c r="AC571" s="13">
        <f>SUMPRODUCT(N571:Y571,$N$4:$Y$4)*$K571*$L571*$M571</f>
        <v/>
      </c>
      <c r="AD571" s="15" t="n">
        <v>3</v>
      </c>
      <c r="AE571" s="11" t="n">
        <v>1.011296296296296</v>
      </c>
      <c r="AF571" s="16">
        <f>SUMPRODUCT(N571:Y571,$N$5:$Y$5)*$K571*$L571*$M571</f>
        <v/>
      </c>
      <c r="AG571" s="16">
        <f>SUMPRODUCT(N571:Y571,$N$6:$Y$6)*$K571*$L571*$M571</f>
        <v/>
      </c>
      <c r="AH571" s="20" t="n"/>
    </row>
    <row r="572">
      <c r="A572" s="9" t="n">
        <v>695538</v>
      </c>
      <c r="B572" s="9" t="inlineStr">
        <is>
          <t>Randal Diaz</t>
        </is>
      </c>
      <c r="C572" s="9" t="inlineStr">
        <is>
          <t>WSH</t>
        </is>
      </c>
      <c r="D572" s="9" t="n">
        <v>25</v>
      </c>
      <c r="E572" s="18" t="inlineStr">
        <is>
          <t>R</t>
        </is>
      </c>
      <c r="F572" s="18" t="n"/>
      <c r="G572" s="9" t="n">
        <v>1</v>
      </c>
      <c r="H572" s="9" t="n">
        <v>1</v>
      </c>
      <c r="I572" s="9" t="inlineStr">
        <is>
          <t>Depth (no MLB IP)</t>
        </is>
      </c>
      <c r="J572" s="18" t="inlineStr">
        <is>
          <t>Opening Day</t>
        </is>
      </c>
      <c r="K572" s="11">
        <f>IFERROR(INDEX(Roles!$B$17:$B$20,MATCH(J572,Roles!$A$17:$A$20,0)),1)</f>
        <v/>
      </c>
      <c r="L572" s="19" t="n">
        <v>1</v>
      </c>
      <c r="M572" s="11" t="n">
        <v>1</v>
      </c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>
        <v>1</v>
      </c>
      <c r="Z572" s="13">
        <f>SUMPRODUCT(N572:Y572,$N$2:$Y$2)*$K572*$L572*$M572</f>
        <v/>
      </c>
      <c r="AA572" s="14">
        <f>SUM(N572:Y572)</f>
        <v/>
      </c>
      <c r="AB572" s="13">
        <f>SUMPRODUCT(N572:Y572,$N$3:$Y$3)*$K572*$L572*$M572</f>
        <v/>
      </c>
      <c r="AC572" s="13">
        <f>SUMPRODUCT(N572:Y572,$N$4:$Y$4)*$K572*$L572*$M572</f>
        <v/>
      </c>
      <c r="AD572" s="15" t="n">
        <v>3</v>
      </c>
      <c r="AE572" s="11" t="n">
        <v>1.011296296296296</v>
      </c>
      <c r="AF572" s="16">
        <f>SUMPRODUCT(N572:Y572,$N$5:$Y$5)*$K572*$L572*$M572</f>
        <v/>
      </c>
      <c r="AG572" s="16">
        <f>SUMPRODUCT(N572:Y572,$N$6:$Y$6)*$K572*$L572*$M572</f>
        <v/>
      </c>
      <c r="AH572" s="20" t="n"/>
    </row>
    <row r="573">
      <c r="A573" s="9" t="n">
        <v>692598</v>
      </c>
      <c r="B573" s="9" t="inlineStr">
        <is>
          <t>Newremberg Rondon</t>
        </is>
      </c>
      <c r="C573" s="9" t="inlineStr">
        <is>
          <t>DET</t>
        </is>
      </c>
      <c r="D573" s="9" t="n">
        <v>25</v>
      </c>
      <c r="E573" s="18" t="inlineStr">
        <is>
          <t>R</t>
        </is>
      </c>
      <c r="F573" s="18" t="n"/>
      <c r="G573" s="9" t="n">
        <v>1.032</v>
      </c>
      <c r="H573" s="9" t="n">
        <v>1.032</v>
      </c>
      <c r="I573" s="9" t="inlineStr">
        <is>
          <t>Depth (no MLB IP)</t>
        </is>
      </c>
      <c r="J573" s="18" t="inlineStr">
        <is>
          <t>Opening Day</t>
        </is>
      </c>
      <c r="K573" s="11">
        <f>IFERROR(INDEX(Roles!$B$17:$B$20,MATCH(J573,Roles!$A$17:$A$20,0)),1)</f>
        <v/>
      </c>
      <c r="L573" s="19" t="n">
        <v>1</v>
      </c>
      <c r="M573" s="11" t="n">
        <v>1</v>
      </c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>
        <v>1</v>
      </c>
      <c r="Z573" s="13">
        <f>SUMPRODUCT(N573:Y573,$N$2:$Y$2)*$K573*$L573*$M573</f>
        <v/>
      </c>
      <c r="AA573" s="14">
        <f>SUM(N573:Y573)</f>
        <v/>
      </c>
      <c r="AB573" s="13">
        <f>SUMPRODUCT(N573:Y573,$N$3:$Y$3)*$K573*$L573*$M573</f>
        <v/>
      </c>
      <c r="AC573" s="13">
        <f>SUMPRODUCT(N573:Y573,$N$4:$Y$4)*$K573*$L573*$M573</f>
        <v/>
      </c>
      <c r="AD573" s="15" t="n">
        <v>3</v>
      </c>
      <c r="AE573" s="11" t="n">
        <v>1.011296296296296</v>
      </c>
      <c r="AF573" s="16">
        <f>SUMPRODUCT(N573:Y573,$N$5:$Y$5)*$K573*$L573*$M573</f>
        <v/>
      </c>
      <c r="AG573" s="16">
        <f>SUMPRODUCT(N573:Y573,$N$6:$Y$6)*$K573*$L573*$M573</f>
        <v/>
      </c>
      <c r="AH573" s="20" t="n"/>
    </row>
    <row r="574">
      <c r="A574" s="9" t="n">
        <v>828504</v>
      </c>
      <c r="B574" s="9" t="inlineStr">
        <is>
          <t>Iziah Salinas</t>
        </is>
      </c>
      <c r="C574" s="9" t="inlineStr">
        <is>
          <t>BAL</t>
        </is>
      </c>
      <c r="D574" s="9" t="n">
        <v>25</v>
      </c>
      <c r="E574" s="18" t="inlineStr">
        <is>
          <t>L</t>
        </is>
      </c>
      <c r="F574" s="18" t="n"/>
      <c r="G574" s="9" t="n">
        <v>1</v>
      </c>
      <c r="H574" s="9" t="n">
        <v>1</v>
      </c>
      <c r="I574" s="9" t="inlineStr">
        <is>
          <t>Depth (no MLB IP)</t>
        </is>
      </c>
      <c r="J574" s="18" t="inlineStr">
        <is>
          <t>Opening Day</t>
        </is>
      </c>
      <c r="K574" s="11">
        <f>IFERROR(INDEX(Roles!$B$17:$B$20,MATCH(J574,Roles!$A$17:$A$20,0)),1)</f>
        <v/>
      </c>
      <c r="L574" s="19" t="n">
        <v>1</v>
      </c>
      <c r="M574" s="11" t="n">
        <v>1</v>
      </c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>
        <v>1</v>
      </c>
      <c r="Z574" s="13">
        <f>SUMPRODUCT(N574:Y574,$N$2:$Y$2)*$K574*$L574*$M574</f>
        <v/>
      </c>
      <c r="AA574" s="14">
        <f>SUM(N574:Y574)</f>
        <v/>
      </c>
      <c r="AB574" s="13">
        <f>SUMPRODUCT(N574:Y574,$N$3:$Y$3)*$K574*$L574*$M574</f>
        <v/>
      </c>
      <c r="AC574" s="13">
        <f>SUMPRODUCT(N574:Y574,$N$4:$Y$4)*$K574*$L574*$M574</f>
        <v/>
      </c>
      <c r="AD574" s="15" t="n">
        <v>3</v>
      </c>
      <c r="AE574" s="11" t="n">
        <v>1.011296296296296</v>
      </c>
      <c r="AF574" s="16">
        <f>SUMPRODUCT(N574:Y574,$N$5:$Y$5)*$K574*$L574*$M574</f>
        <v/>
      </c>
      <c r="AG574" s="16">
        <f>SUMPRODUCT(N574:Y574,$N$6:$Y$6)*$K574*$L574*$M574</f>
        <v/>
      </c>
      <c r="AH574" s="20" t="n"/>
    </row>
    <row r="575">
      <c r="A575" s="9" t="n">
        <v>692944</v>
      </c>
      <c r="B575" s="9" t="inlineStr">
        <is>
          <t>Kevin Villavicencio</t>
        </is>
      </c>
      <c r="C575" s="9" t="inlineStr">
        <is>
          <t>NYM</t>
        </is>
      </c>
      <c r="D575" s="9" t="n">
        <v>25</v>
      </c>
      <c r="E575" s="18" t="inlineStr">
        <is>
          <t>R</t>
        </is>
      </c>
      <c r="F575" s="18" t="n"/>
      <c r="G575" s="9" t="n">
        <v>1</v>
      </c>
      <c r="H575" s="9" t="n">
        <v>1</v>
      </c>
      <c r="I575" s="9" t="inlineStr">
        <is>
          <t>Depth (no MLB IP)</t>
        </is>
      </c>
      <c r="J575" s="18" t="inlineStr">
        <is>
          <t>Opening Day</t>
        </is>
      </c>
      <c r="K575" s="11">
        <f>IFERROR(INDEX(Roles!$B$17:$B$20,MATCH(J575,Roles!$A$17:$A$20,0)),1)</f>
        <v/>
      </c>
      <c r="L575" s="19" t="n">
        <v>1</v>
      </c>
      <c r="M575" s="11" t="n">
        <v>1</v>
      </c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>
        <v>1</v>
      </c>
      <c r="Z575" s="13">
        <f>SUMPRODUCT(N575:Y575,$N$2:$Y$2)*$K575*$L575*$M575</f>
        <v/>
      </c>
      <c r="AA575" s="14">
        <f>SUM(N575:Y575)</f>
        <v/>
      </c>
      <c r="AB575" s="13">
        <f>SUMPRODUCT(N575:Y575,$N$3:$Y$3)*$K575*$L575*$M575</f>
        <v/>
      </c>
      <c r="AC575" s="13">
        <f>SUMPRODUCT(N575:Y575,$N$4:$Y$4)*$K575*$L575*$M575</f>
        <v/>
      </c>
      <c r="AD575" s="15" t="n">
        <v>3</v>
      </c>
      <c r="AE575" s="11" t="n">
        <v>1.011296296296296</v>
      </c>
      <c r="AF575" s="16">
        <f>SUMPRODUCT(N575:Y575,$N$5:$Y$5)*$K575*$L575*$M575</f>
        <v/>
      </c>
      <c r="AG575" s="16">
        <f>SUMPRODUCT(N575:Y575,$N$6:$Y$6)*$K575*$L575*$M575</f>
        <v/>
      </c>
      <c r="AH575" s="20" t="n"/>
    </row>
    <row r="576">
      <c r="A576" s="9" t="n">
        <v>821154</v>
      </c>
      <c r="B576" s="9" t="inlineStr">
        <is>
          <t>Givian Sirvania</t>
        </is>
      </c>
      <c r="C576" s="9" t="inlineStr">
        <is>
          <t>BOS</t>
        </is>
      </c>
      <c r="D576" s="9" t="n">
        <v>25</v>
      </c>
      <c r="E576" s="18" t="inlineStr">
        <is>
          <t>R</t>
        </is>
      </c>
      <c r="F576" s="18" t="n"/>
      <c r="G576" s="9" t="n">
        <v>1</v>
      </c>
      <c r="H576" s="9" t="n">
        <v>1</v>
      </c>
      <c r="I576" s="9" t="inlineStr">
        <is>
          <t>Depth (no MLB IP)</t>
        </is>
      </c>
      <c r="J576" s="18" t="inlineStr">
        <is>
          <t>Opening Day</t>
        </is>
      </c>
      <c r="K576" s="11">
        <f>IFERROR(INDEX(Roles!$B$17:$B$20,MATCH(J576,Roles!$A$17:$A$20,0)),1)</f>
        <v/>
      </c>
      <c r="L576" s="19" t="n">
        <v>1</v>
      </c>
      <c r="M576" s="11" t="n">
        <v>1</v>
      </c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>
        <v>1</v>
      </c>
      <c r="Z576" s="13">
        <f>SUMPRODUCT(N576:Y576,$N$2:$Y$2)*$K576*$L576*$M576</f>
        <v/>
      </c>
      <c r="AA576" s="14">
        <f>SUM(N576:Y576)</f>
        <v/>
      </c>
      <c r="AB576" s="13">
        <f>SUMPRODUCT(N576:Y576,$N$3:$Y$3)*$K576*$L576*$M576</f>
        <v/>
      </c>
      <c r="AC576" s="13">
        <f>SUMPRODUCT(N576:Y576,$N$4:$Y$4)*$K576*$L576*$M576</f>
        <v/>
      </c>
      <c r="AD576" s="15" t="n">
        <v>3</v>
      </c>
      <c r="AE576" s="11" t="n">
        <v>1.011296296296296</v>
      </c>
      <c r="AF576" s="16">
        <f>SUMPRODUCT(N576:Y576,$N$5:$Y$5)*$K576*$L576*$M576</f>
        <v/>
      </c>
      <c r="AG576" s="16">
        <f>SUMPRODUCT(N576:Y576,$N$6:$Y$6)*$K576*$L576*$M576</f>
        <v/>
      </c>
      <c r="AH576" s="20" t="n"/>
    </row>
    <row r="577">
      <c r="A577" s="9" t="n">
        <v>814781</v>
      </c>
      <c r="B577" s="9" t="inlineStr">
        <is>
          <t>Jonathan Hogart</t>
        </is>
      </c>
      <c r="C577" s="9" t="inlineStr">
        <is>
          <t>PHI</t>
        </is>
      </c>
      <c r="D577" s="9" t="n">
        <v>25</v>
      </c>
      <c r="E577" s="18" t="inlineStr">
        <is>
          <t>R</t>
        </is>
      </c>
      <c r="F577" s="18" t="n"/>
      <c r="G577" s="9" t="n">
        <v>1</v>
      </c>
      <c r="H577" s="9" t="n">
        <v>1</v>
      </c>
      <c r="I577" s="9" t="inlineStr">
        <is>
          <t>Depth (no MLB IP)</t>
        </is>
      </c>
      <c r="J577" s="18" t="inlineStr">
        <is>
          <t>Opening Day</t>
        </is>
      </c>
      <c r="K577" s="11">
        <f>IFERROR(INDEX(Roles!$B$17:$B$20,MATCH(J577,Roles!$A$17:$A$20,0)),1)</f>
        <v/>
      </c>
      <c r="L577" s="19" t="n">
        <v>1</v>
      </c>
      <c r="M577" s="11" t="n">
        <v>1</v>
      </c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>
        <v>1</v>
      </c>
      <c r="Z577" s="13">
        <f>SUMPRODUCT(N577:Y577,$N$2:$Y$2)*$K577*$L577*$M577</f>
        <v/>
      </c>
      <c r="AA577" s="14">
        <f>SUM(N577:Y577)</f>
        <v/>
      </c>
      <c r="AB577" s="13">
        <f>SUMPRODUCT(N577:Y577,$N$3:$Y$3)*$K577*$L577*$M577</f>
        <v/>
      </c>
      <c r="AC577" s="13">
        <f>SUMPRODUCT(N577:Y577,$N$4:$Y$4)*$K577*$L577*$M577</f>
        <v/>
      </c>
      <c r="AD577" s="15" t="n">
        <v>3</v>
      </c>
      <c r="AE577" s="11" t="n">
        <v>1.011296296296296</v>
      </c>
      <c r="AF577" s="16">
        <f>SUMPRODUCT(N577:Y577,$N$5:$Y$5)*$K577*$L577*$M577</f>
        <v/>
      </c>
      <c r="AG577" s="16">
        <f>SUMPRODUCT(N577:Y577,$N$6:$Y$6)*$K577*$L577*$M577</f>
        <v/>
      </c>
      <c r="AH577" s="20" t="n"/>
    </row>
    <row r="578">
      <c r="A578" s="9" t="n">
        <v>814748</v>
      </c>
      <c r="B578" s="9" t="inlineStr">
        <is>
          <t>Dariel Ramon</t>
        </is>
      </c>
      <c r="C578" s="9" t="inlineStr">
        <is>
          <t>TOR</t>
        </is>
      </c>
      <c r="D578" s="9" t="n">
        <v>25</v>
      </c>
      <c r="E578" s="18" t="inlineStr">
        <is>
          <t>R</t>
        </is>
      </c>
      <c r="F578" s="18" t="n"/>
      <c r="G578" s="9" t="n">
        <v>1.032</v>
      </c>
      <c r="H578" s="9" t="n">
        <v>1.032</v>
      </c>
      <c r="I578" s="9" t="inlineStr">
        <is>
          <t>Depth (no MLB IP)</t>
        </is>
      </c>
      <c r="J578" s="18" t="inlineStr">
        <is>
          <t>Opening Day</t>
        </is>
      </c>
      <c r="K578" s="11">
        <f>IFERROR(INDEX(Roles!$B$17:$B$20,MATCH(J578,Roles!$A$17:$A$20,0)),1)</f>
        <v/>
      </c>
      <c r="L578" s="19" t="n">
        <v>1</v>
      </c>
      <c r="M578" s="11" t="n">
        <v>1</v>
      </c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>
        <v>1</v>
      </c>
      <c r="Z578" s="13">
        <f>SUMPRODUCT(N578:Y578,$N$2:$Y$2)*$K578*$L578*$M578</f>
        <v/>
      </c>
      <c r="AA578" s="14">
        <f>SUM(N578:Y578)</f>
        <v/>
      </c>
      <c r="AB578" s="13">
        <f>SUMPRODUCT(N578:Y578,$N$3:$Y$3)*$K578*$L578*$M578</f>
        <v/>
      </c>
      <c r="AC578" s="13">
        <f>SUMPRODUCT(N578:Y578,$N$4:$Y$4)*$K578*$L578*$M578</f>
        <v/>
      </c>
      <c r="AD578" s="15" t="n">
        <v>3</v>
      </c>
      <c r="AE578" s="11" t="n">
        <v>1.011296296296296</v>
      </c>
      <c r="AF578" s="16">
        <f>SUMPRODUCT(N578:Y578,$N$5:$Y$5)*$K578*$L578*$M578</f>
        <v/>
      </c>
      <c r="AG578" s="16">
        <f>SUMPRODUCT(N578:Y578,$N$6:$Y$6)*$K578*$L578*$M578</f>
        <v/>
      </c>
      <c r="AH578" s="20" t="n"/>
    </row>
    <row r="579">
      <c r="A579" s="9" t="n">
        <v>821417</v>
      </c>
      <c r="B579" s="9" t="inlineStr">
        <is>
          <t>Victor Espiritu</t>
        </is>
      </c>
      <c r="C579" s="9" t="inlineStr">
        <is>
          <t>TOR</t>
        </is>
      </c>
      <c r="D579" s="9" t="n">
        <v>25</v>
      </c>
      <c r="E579" s="18" t="inlineStr">
        <is>
          <t>R</t>
        </is>
      </c>
      <c r="F579" s="18" t="n"/>
      <c r="G579" s="9" t="n">
        <v>1.204</v>
      </c>
      <c r="H579" s="9" t="n">
        <v>1.204</v>
      </c>
      <c r="I579" s="9" t="inlineStr">
        <is>
          <t>Depth (no MLB IP)</t>
        </is>
      </c>
      <c r="J579" s="18" t="inlineStr">
        <is>
          <t>Opening Day</t>
        </is>
      </c>
      <c r="K579" s="11">
        <f>IFERROR(INDEX(Roles!$B$17:$B$20,MATCH(J579,Roles!$A$17:$A$20,0)),1)</f>
        <v/>
      </c>
      <c r="L579" s="19" t="n">
        <v>1</v>
      </c>
      <c r="M579" s="11" t="n">
        <v>1</v>
      </c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>
        <v>1</v>
      </c>
      <c r="Z579" s="13">
        <f>SUMPRODUCT(N579:Y579,$N$2:$Y$2)*$K579*$L579*$M579</f>
        <v/>
      </c>
      <c r="AA579" s="14">
        <f>SUM(N579:Y579)</f>
        <v/>
      </c>
      <c r="AB579" s="13">
        <f>SUMPRODUCT(N579:Y579,$N$3:$Y$3)*$K579*$L579*$M579</f>
        <v/>
      </c>
      <c r="AC579" s="13">
        <f>SUMPRODUCT(N579:Y579,$N$4:$Y$4)*$K579*$L579*$M579</f>
        <v/>
      </c>
      <c r="AD579" s="15" t="n">
        <v>3</v>
      </c>
      <c r="AE579" s="11" t="n">
        <v>1.011296296296296</v>
      </c>
      <c r="AF579" s="16">
        <f>SUMPRODUCT(N579:Y579,$N$5:$Y$5)*$K579*$L579*$M579</f>
        <v/>
      </c>
      <c r="AG579" s="16">
        <f>SUMPRODUCT(N579:Y579,$N$6:$Y$6)*$K579*$L579*$M579</f>
        <v/>
      </c>
      <c r="AH579" s="20" t="n"/>
    </row>
    <row r="580">
      <c r="A580" s="9" t="n">
        <v>814545</v>
      </c>
      <c r="B580" s="9" t="inlineStr">
        <is>
          <t>Jose Perez</t>
        </is>
      </c>
      <c r="C580" s="9" t="inlineStr">
        <is>
          <t>BAL</t>
        </is>
      </c>
      <c r="D580" s="9" t="n">
        <v>25</v>
      </c>
      <c r="E580" s="18" t="inlineStr">
        <is>
          <t>R</t>
        </is>
      </c>
      <c r="F580" s="18" t="n"/>
      <c r="G580" s="9" t="n">
        <v>1</v>
      </c>
      <c r="H580" s="9" t="n">
        <v>1</v>
      </c>
      <c r="I580" s="9" t="inlineStr">
        <is>
          <t>Depth (no MLB IP)</t>
        </is>
      </c>
      <c r="J580" s="18" t="inlineStr">
        <is>
          <t>Opening Day</t>
        </is>
      </c>
      <c r="K580" s="11">
        <f>IFERROR(INDEX(Roles!$B$17:$B$20,MATCH(J580,Roles!$A$17:$A$20,0)),1)</f>
        <v/>
      </c>
      <c r="L580" s="19" t="n">
        <v>1</v>
      </c>
      <c r="M580" s="11" t="n">
        <v>1</v>
      </c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>
        <v>1</v>
      </c>
      <c r="Z580" s="13">
        <f>SUMPRODUCT(N580:Y580,$N$2:$Y$2)*$K580*$L580*$M580</f>
        <v/>
      </c>
      <c r="AA580" s="14">
        <f>SUM(N580:Y580)</f>
        <v/>
      </c>
      <c r="AB580" s="13">
        <f>SUMPRODUCT(N580:Y580,$N$3:$Y$3)*$K580*$L580*$M580</f>
        <v/>
      </c>
      <c r="AC580" s="13">
        <f>SUMPRODUCT(N580:Y580,$N$4:$Y$4)*$K580*$L580*$M580</f>
        <v/>
      </c>
      <c r="AD580" s="15" t="n">
        <v>3</v>
      </c>
      <c r="AE580" s="11" t="n">
        <v>1.011296296296296</v>
      </c>
      <c r="AF580" s="16">
        <f>SUMPRODUCT(N580:Y580,$N$5:$Y$5)*$K580*$L580*$M580</f>
        <v/>
      </c>
      <c r="AG580" s="16">
        <f>SUMPRODUCT(N580:Y580,$N$6:$Y$6)*$K580*$L580*$M580</f>
        <v/>
      </c>
      <c r="AH580" s="20" t="n"/>
    </row>
    <row r="581">
      <c r="A581" s="9" t="n">
        <v>814261</v>
      </c>
      <c r="B581" s="9" t="inlineStr">
        <is>
          <t>Carlos Caro</t>
        </is>
      </c>
      <c r="C581" s="9" t="inlineStr">
        <is>
          <t>PIT</t>
        </is>
      </c>
      <c r="D581" s="9" t="n">
        <v>25</v>
      </c>
      <c r="E581" s="18" t="inlineStr">
        <is>
          <t>R</t>
        </is>
      </c>
      <c r="F581" s="18" t="n"/>
      <c r="G581" s="9" t="n">
        <v>1</v>
      </c>
      <c r="H581" s="9" t="n">
        <v>1</v>
      </c>
      <c r="I581" s="9" t="inlineStr">
        <is>
          <t>Depth (no MLB IP)</t>
        </is>
      </c>
      <c r="J581" s="18" t="inlineStr">
        <is>
          <t>Opening Day</t>
        </is>
      </c>
      <c r="K581" s="11">
        <f>IFERROR(INDEX(Roles!$B$17:$B$20,MATCH(J581,Roles!$A$17:$A$20,0)),1)</f>
        <v/>
      </c>
      <c r="L581" s="19" t="n">
        <v>1</v>
      </c>
      <c r="M581" s="11" t="n">
        <v>1</v>
      </c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>
        <v>1</v>
      </c>
      <c r="Z581" s="13">
        <f>SUMPRODUCT(N581:Y581,$N$2:$Y$2)*$K581*$L581*$M581</f>
        <v/>
      </c>
      <c r="AA581" s="14">
        <f>SUM(N581:Y581)</f>
        <v/>
      </c>
      <c r="AB581" s="13">
        <f>SUMPRODUCT(N581:Y581,$N$3:$Y$3)*$K581*$L581*$M581</f>
        <v/>
      </c>
      <c r="AC581" s="13">
        <f>SUMPRODUCT(N581:Y581,$N$4:$Y$4)*$K581*$L581*$M581</f>
        <v/>
      </c>
      <c r="AD581" s="15" t="n">
        <v>3</v>
      </c>
      <c r="AE581" s="11" t="n">
        <v>1.011296296296296</v>
      </c>
      <c r="AF581" s="16">
        <f>SUMPRODUCT(N581:Y581,$N$5:$Y$5)*$K581*$L581*$M581</f>
        <v/>
      </c>
      <c r="AG581" s="16">
        <f>SUMPRODUCT(N581:Y581,$N$6:$Y$6)*$K581*$L581*$M581</f>
        <v/>
      </c>
      <c r="AH581" s="20" t="n"/>
    </row>
    <row r="582">
      <c r="A582" s="9" t="n">
        <v>814309</v>
      </c>
      <c r="B582" s="9" t="inlineStr">
        <is>
          <t>Spencer Green</t>
        </is>
      </c>
      <c r="C582" s="9" t="inlineStr">
        <is>
          <t>LAD</t>
        </is>
      </c>
      <c r="D582" s="9" t="n">
        <v>25</v>
      </c>
      <c r="E582" s="18" t="inlineStr">
        <is>
          <t>R</t>
        </is>
      </c>
      <c r="F582" s="18" t="n"/>
      <c r="G582" s="9" t="n">
        <v>1</v>
      </c>
      <c r="H582" s="9" t="n">
        <v>1</v>
      </c>
      <c r="I582" s="9" t="inlineStr">
        <is>
          <t>Depth (no MLB IP)</t>
        </is>
      </c>
      <c r="J582" s="18" t="inlineStr">
        <is>
          <t>Opening Day</t>
        </is>
      </c>
      <c r="K582" s="11">
        <f>IFERROR(INDEX(Roles!$B$17:$B$20,MATCH(J582,Roles!$A$17:$A$20,0)),1)</f>
        <v/>
      </c>
      <c r="L582" s="19" t="n">
        <v>1</v>
      </c>
      <c r="M582" s="11" t="n">
        <v>1</v>
      </c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>
        <v>1</v>
      </c>
      <c r="Z582" s="13">
        <f>SUMPRODUCT(N582:Y582,$N$2:$Y$2)*$K582*$L582*$M582</f>
        <v/>
      </c>
      <c r="AA582" s="14">
        <f>SUM(N582:Y582)</f>
        <v/>
      </c>
      <c r="AB582" s="13">
        <f>SUMPRODUCT(N582:Y582,$N$3:$Y$3)*$K582*$L582*$M582</f>
        <v/>
      </c>
      <c r="AC582" s="13">
        <f>SUMPRODUCT(N582:Y582,$N$4:$Y$4)*$K582*$L582*$M582</f>
        <v/>
      </c>
      <c r="AD582" s="15" t="n">
        <v>3</v>
      </c>
      <c r="AE582" s="11" t="n">
        <v>1.011296296296296</v>
      </c>
      <c r="AF582" s="16">
        <f>SUMPRODUCT(N582:Y582,$N$5:$Y$5)*$K582*$L582*$M582</f>
        <v/>
      </c>
      <c r="AG582" s="16">
        <f>SUMPRODUCT(N582:Y582,$N$6:$Y$6)*$K582*$L582*$M582</f>
        <v/>
      </c>
      <c r="AH582" s="20" t="n"/>
    </row>
    <row r="583">
      <c r="A583" s="9" t="n">
        <v>814176</v>
      </c>
      <c r="B583" s="9" t="inlineStr">
        <is>
          <t>Jackson Flora</t>
        </is>
      </c>
      <c r="C583" s="9" t="inlineStr">
        <is>
          <t>SF</t>
        </is>
      </c>
      <c r="D583" s="9" t="n">
        <v>22</v>
      </c>
      <c r="E583" s="18" t="inlineStr">
        <is>
          <t>R</t>
        </is>
      </c>
      <c r="F583" s="18" t="n"/>
      <c r="G583" s="9" t="n">
        <v>1</v>
      </c>
      <c r="H583" s="9" t="n">
        <v>1</v>
      </c>
      <c r="I583" s="9" t="inlineStr">
        <is>
          <t>Depth (no MLB IP)</t>
        </is>
      </c>
      <c r="J583" s="18" t="inlineStr">
        <is>
          <t>Opening Day</t>
        </is>
      </c>
      <c r="K583" s="11">
        <f>IFERROR(INDEX(Roles!$B$17:$B$20,MATCH(J583,Roles!$A$17:$A$20,0)),1)</f>
        <v/>
      </c>
      <c r="L583" s="19" t="n">
        <v>1</v>
      </c>
      <c r="M583" s="11" t="n">
        <v>1</v>
      </c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>
        <v>1</v>
      </c>
      <c r="Z583" s="13">
        <f>SUMPRODUCT(N583:Y583,$N$2:$Y$2)*$K583*$L583*$M583</f>
        <v/>
      </c>
      <c r="AA583" s="14">
        <f>SUM(N583:Y583)</f>
        <v/>
      </c>
      <c r="AB583" s="13">
        <f>SUMPRODUCT(N583:Y583,$N$3:$Y$3)*$K583*$L583*$M583</f>
        <v/>
      </c>
      <c r="AC583" s="13">
        <f>SUMPRODUCT(N583:Y583,$N$4:$Y$4)*$K583*$L583*$M583</f>
        <v/>
      </c>
      <c r="AD583" s="15" t="n">
        <v>3</v>
      </c>
      <c r="AE583" s="11" t="n">
        <v>1.011296296296296</v>
      </c>
      <c r="AF583" s="16">
        <f>SUMPRODUCT(N583:Y583,$N$5:$Y$5)*$K583*$L583*$M583</f>
        <v/>
      </c>
      <c r="AG583" s="16">
        <f>SUMPRODUCT(N583:Y583,$N$6:$Y$6)*$K583*$L583*$M583</f>
        <v/>
      </c>
      <c r="AH583" s="20" t="n"/>
    </row>
    <row r="584">
      <c r="A584" s="9" t="n">
        <v>805777</v>
      </c>
      <c r="B584" s="9" t="inlineStr">
        <is>
          <t>Wuilliams Rodriguez</t>
        </is>
      </c>
      <c r="C584" s="9" t="inlineStr">
        <is>
          <t>SEA</t>
        </is>
      </c>
      <c r="D584" s="9" t="n">
        <v>25</v>
      </c>
      <c r="E584" s="18" t="inlineStr">
        <is>
          <t>R</t>
        </is>
      </c>
      <c r="F584" s="18" t="n"/>
      <c r="G584" s="9" t="n">
        <v>1</v>
      </c>
      <c r="H584" s="9" t="n">
        <v>1</v>
      </c>
      <c r="I584" s="9" t="inlineStr">
        <is>
          <t>Depth (no MLB IP)</t>
        </is>
      </c>
      <c r="J584" s="18" t="inlineStr">
        <is>
          <t>Opening Day</t>
        </is>
      </c>
      <c r="K584" s="11">
        <f>IFERROR(INDEX(Roles!$B$17:$B$20,MATCH(J584,Roles!$A$17:$A$20,0)),1)</f>
        <v/>
      </c>
      <c r="L584" s="19" t="n">
        <v>1</v>
      </c>
      <c r="M584" s="11" t="n">
        <v>1</v>
      </c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>
        <v>1</v>
      </c>
      <c r="Z584" s="13">
        <f>SUMPRODUCT(N584:Y584,$N$2:$Y$2)*$K584*$L584*$M584</f>
        <v/>
      </c>
      <c r="AA584" s="14">
        <f>SUM(N584:Y584)</f>
        <v/>
      </c>
      <c r="AB584" s="13">
        <f>SUMPRODUCT(N584:Y584,$N$3:$Y$3)*$K584*$L584*$M584</f>
        <v/>
      </c>
      <c r="AC584" s="13">
        <f>SUMPRODUCT(N584:Y584,$N$4:$Y$4)*$K584*$L584*$M584</f>
        <v/>
      </c>
      <c r="AD584" s="15" t="n">
        <v>3</v>
      </c>
      <c r="AE584" s="11" t="n">
        <v>1.011296296296296</v>
      </c>
      <c r="AF584" s="16">
        <f>SUMPRODUCT(N584:Y584,$N$5:$Y$5)*$K584*$L584*$M584</f>
        <v/>
      </c>
      <c r="AG584" s="16">
        <f>SUMPRODUCT(N584:Y584,$N$6:$Y$6)*$K584*$L584*$M584</f>
        <v/>
      </c>
      <c r="AH584" s="20" t="n"/>
    </row>
    <row r="585">
      <c r="A585" s="9" t="n">
        <v>691281</v>
      </c>
      <c r="B585" s="9" t="inlineStr">
        <is>
          <t>Diosfran Cabeza</t>
        </is>
      </c>
      <c r="C585" s="9" t="inlineStr">
        <is>
          <t>ARI</t>
        </is>
      </c>
      <c r="D585" s="9" t="n">
        <v>25</v>
      </c>
      <c r="E585" s="18" t="inlineStr">
        <is>
          <t>R</t>
        </is>
      </c>
      <c r="F585" s="18" t="n"/>
      <c r="G585" s="9" t="n">
        <v>1</v>
      </c>
      <c r="H585" s="9" t="n">
        <v>1</v>
      </c>
      <c r="I585" s="9" t="inlineStr">
        <is>
          <t>Depth (no MLB IP)</t>
        </is>
      </c>
      <c r="J585" s="18" t="inlineStr">
        <is>
          <t>Opening Day</t>
        </is>
      </c>
      <c r="K585" s="11">
        <f>IFERROR(INDEX(Roles!$B$17:$B$20,MATCH(J585,Roles!$A$17:$A$20,0)),1)</f>
        <v/>
      </c>
      <c r="L585" s="19" t="n">
        <v>1</v>
      </c>
      <c r="M585" s="11" t="n">
        <v>1</v>
      </c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>
        <v>1</v>
      </c>
      <c r="Z585" s="13">
        <f>SUMPRODUCT(N585:Y585,$N$2:$Y$2)*$K585*$L585*$M585</f>
        <v/>
      </c>
      <c r="AA585" s="14">
        <f>SUM(N585:Y585)</f>
        <v/>
      </c>
      <c r="AB585" s="13">
        <f>SUMPRODUCT(N585:Y585,$N$3:$Y$3)*$K585*$L585*$M585</f>
        <v/>
      </c>
      <c r="AC585" s="13">
        <f>SUMPRODUCT(N585:Y585,$N$4:$Y$4)*$K585*$L585*$M585</f>
        <v/>
      </c>
      <c r="AD585" s="15" t="n">
        <v>3</v>
      </c>
      <c r="AE585" s="11" t="n">
        <v>1.011296296296296</v>
      </c>
      <c r="AF585" s="16">
        <f>SUMPRODUCT(N585:Y585,$N$5:$Y$5)*$K585*$L585*$M585</f>
        <v/>
      </c>
      <c r="AG585" s="16">
        <f>SUMPRODUCT(N585:Y585,$N$6:$Y$6)*$K585*$L585*$M585</f>
        <v/>
      </c>
      <c r="AH585" s="20" t="n"/>
    </row>
    <row r="586">
      <c r="A586" s="9" t="n">
        <v>807511</v>
      </c>
      <c r="B586" s="9" t="inlineStr">
        <is>
          <t>Nelly Taylor</t>
        </is>
      </c>
      <c r="C586" s="9" t="inlineStr">
        <is>
          <t>BOS</t>
        </is>
      </c>
      <c r="D586" s="9" t="n">
        <v>25</v>
      </c>
      <c r="E586" s="18" t="inlineStr">
        <is>
          <t>L</t>
        </is>
      </c>
      <c r="F586" s="18" t="n"/>
      <c r="G586" s="9" t="n">
        <v>1</v>
      </c>
      <c r="H586" s="9" t="n">
        <v>1</v>
      </c>
      <c r="I586" s="9" t="inlineStr">
        <is>
          <t>Depth (no MLB IP)</t>
        </is>
      </c>
      <c r="J586" s="18" t="inlineStr">
        <is>
          <t>Opening Day</t>
        </is>
      </c>
      <c r="K586" s="11">
        <f>IFERROR(INDEX(Roles!$B$17:$B$20,MATCH(J586,Roles!$A$17:$A$20,0)),1)</f>
        <v/>
      </c>
      <c r="L586" s="19" t="n">
        <v>1</v>
      </c>
      <c r="M586" s="11" t="n">
        <v>1</v>
      </c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>
        <v>1</v>
      </c>
      <c r="Z586" s="13">
        <f>SUMPRODUCT(N586:Y586,$N$2:$Y$2)*$K586*$L586*$M586</f>
        <v/>
      </c>
      <c r="AA586" s="14">
        <f>SUM(N586:Y586)</f>
        <v/>
      </c>
      <c r="AB586" s="13">
        <f>SUMPRODUCT(N586:Y586,$N$3:$Y$3)*$K586*$L586*$M586</f>
        <v/>
      </c>
      <c r="AC586" s="13">
        <f>SUMPRODUCT(N586:Y586,$N$4:$Y$4)*$K586*$L586*$M586</f>
        <v/>
      </c>
      <c r="AD586" s="15" t="n">
        <v>3</v>
      </c>
      <c r="AE586" s="11" t="n">
        <v>1.011296296296296</v>
      </c>
      <c r="AF586" s="16">
        <f>SUMPRODUCT(N586:Y586,$N$5:$Y$5)*$K586*$L586*$M586</f>
        <v/>
      </c>
      <c r="AG586" s="16">
        <f>SUMPRODUCT(N586:Y586,$N$6:$Y$6)*$K586*$L586*$M586</f>
        <v/>
      </c>
      <c r="AH586" s="20" t="n"/>
    </row>
    <row r="587">
      <c r="A587" s="9" t="n">
        <v>701136</v>
      </c>
      <c r="B587" s="9" t="inlineStr">
        <is>
          <t>Kerrington Cross</t>
        </is>
      </c>
      <c r="C587" s="9" t="inlineStr">
        <is>
          <t>SD</t>
        </is>
      </c>
      <c r="D587" s="9" t="n">
        <v>25</v>
      </c>
      <c r="E587" s="18" t="inlineStr">
        <is>
          <t>R</t>
        </is>
      </c>
      <c r="F587" s="18" t="n"/>
      <c r="G587" s="9" t="n">
        <v>1</v>
      </c>
      <c r="H587" s="9" t="n">
        <v>1</v>
      </c>
      <c r="I587" s="9" t="inlineStr">
        <is>
          <t>Depth (no MLB IP)</t>
        </is>
      </c>
      <c r="J587" s="18" t="inlineStr">
        <is>
          <t>Opening Day</t>
        </is>
      </c>
      <c r="K587" s="11">
        <f>IFERROR(INDEX(Roles!$B$17:$B$20,MATCH(J587,Roles!$A$17:$A$20,0)),1)</f>
        <v/>
      </c>
      <c r="L587" s="19" t="n">
        <v>1</v>
      </c>
      <c r="M587" s="11" t="n">
        <v>1</v>
      </c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>
        <v>1</v>
      </c>
      <c r="Z587" s="13">
        <f>SUMPRODUCT(N587:Y587,$N$2:$Y$2)*$K587*$L587*$M587</f>
        <v/>
      </c>
      <c r="AA587" s="14">
        <f>SUM(N587:Y587)</f>
        <v/>
      </c>
      <c r="AB587" s="13">
        <f>SUMPRODUCT(N587:Y587,$N$3:$Y$3)*$K587*$L587*$M587</f>
        <v/>
      </c>
      <c r="AC587" s="13">
        <f>SUMPRODUCT(N587:Y587,$N$4:$Y$4)*$K587*$L587*$M587</f>
        <v/>
      </c>
      <c r="AD587" s="15" t="n">
        <v>3</v>
      </c>
      <c r="AE587" s="11" t="n">
        <v>1.011296296296296</v>
      </c>
      <c r="AF587" s="16">
        <f>SUMPRODUCT(N587:Y587,$N$5:$Y$5)*$K587*$L587*$M587</f>
        <v/>
      </c>
      <c r="AG587" s="16">
        <f>SUMPRODUCT(N587:Y587,$N$6:$Y$6)*$K587*$L587*$M587</f>
        <v/>
      </c>
      <c r="AH587" s="20" t="n"/>
    </row>
    <row r="588">
      <c r="A588" s="9" t="n">
        <v>702025</v>
      </c>
      <c r="B588" s="9" t="inlineStr">
        <is>
          <t>Harry Genth</t>
        </is>
      </c>
      <c r="C588" s="9" t="inlineStr">
        <is>
          <t>MIN</t>
        </is>
      </c>
      <c r="D588" s="9" t="n">
        <v>25</v>
      </c>
      <c r="E588" s="18" t="inlineStr">
        <is>
          <t>R</t>
        </is>
      </c>
      <c r="F588" s="18" t="n"/>
      <c r="G588" s="9" t="n">
        <v>1</v>
      </c>
      <c r="H588" s="9" t="n">
        <v>1</v>
      </c>
      <c r="I588" s="9" t="inlineStr">
        <is>
          <t>Depth (no MLB IP)</t>
        </is>
      </c>
      <c r="J588" s="18" t="inlineStr">
        <is>
          <t>Opening Day</t>
        </is>
      </c>
      <c r="K588" s="11">
        <f>IFERROR(INDEX(Roles!$B$17:$B$20,MATCH(J588,Roles!$A$17:$A$20,0)),1)</f>
        <v/>
      </c>
      <c r="L588" s="19" t="n">
        <v>1</v>
      </c>
      <c r="M588" s="11" t="n">
        <v>1</v>
      </c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>
        <v>1</v>
      </c>
      <c r="Z588" s="13">
        <f>SUMPRODUCT(N588:Y588,$N$2:$Y$2)*$K588*$L588*$M588</f>
        <v/>
      </c>
      <c r="AA588" s="14">
        <f>SUM(N588:Y588)</f>
        <v/>
      </c>
      <c r="AB588" s="13">
        <f>SUMPRODUCT(N588:Y588,$N$3:$Y$3)*$K588*$L588*$M588</f>
        <v/>
      </c>
      <c r="AC588" s="13">
        <f>SUMPRODUCT(N588:Y588,$N$4:$Y$4)*$K588*$L588*$M588</f>
        <v/>
      </c>
      <c r="AD588" s="15" t="n">
        <v>3</v>
      </c>
      <c r="AE588" s="11" t="n">
        <v>1.011296296296296</v>
      </c>
      <c r="AF588" s="16">
        <f>SUMPRODUCT(N588:Y588,$N$5:$Y$5)*$K588*$L588*$M588</f>
        <v/>
      </c>
      <c r="AG588" s="16">
        <f>SUMPRODUCT(N588:Y588,$N$6:$Y$6)*$K588*$L588*$M588</f>
        <v/>
      </c>
      <c r="AH588" s="20" t="n"/>
    </row>
    <row r="589">
      <c r="A589" s="9" t="n">
        <v>808133</v>
      </c>
      <c r="B589" s="9" t="inlineStr">
        <is>
          <t>Giovanni Vargas</t>
        </is>
      </c>
      <c r="C589" s="9" t="inlineStr">
        <is>
          <t>STL</t>
        </is>
      </c>
      <c r="D589" s="9" t="n">
        <v>25</v>
      </c>
      <c r="E589" s="18" t="inlineStr">
        <is>
          <t>R</t>
        </is>
      </c>
      <c r="F589" s="18" t="n"/>
      <c r="G589" s="9" t="n">
        <v>1.032</v>
      </c>
      <c r="H589" s="9" t="n">
        <v>1.032</v>
      </c>
      <c r="I589" s="9" t="inlineStr">
        <is>
          <t>Depth (no MLB IP)</t>
        </is>
      </c>
      <c r="J589" s="18" t="inlineStr">
        <is>
          <t>Opening Day</t>
        </is>
      </c>
      <c r="K589" s="11">
        <f>IFERROR(INDEX(Roles!$B$17:$B$20,MATCH(J589,Roles!$A$17:$A$20,0)),1)</f>
        <v/>
      </c>
      <c r="L589" s="19" t="n">
        <v>1</v>
      </c>
      <c r="M589" s="11" t="n">
        <v>1</v>
      </c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>
        <v>1</v>
      </c>
      <c r="Z589" s="13">
        <f>SUMPRODUCT(N589:Y589,$N$2:$Y$2)*$K589*$L589*$M589</f>
        <v/>
      </c>
      <c r="AA589" s="14">
        <f>SUM(N589:Y589)</f>
        <v/>
      </c>
      <c r="AB589" s="13">
        <f>SUMPRODUCT(N589:Y589,$N$3:$Y$3)*$K589*$L589*$M589</f>
        <v/>
      </c>
      <c r="AC589" s="13">
        <f>SUMPRODUCT(N589:Y589,$N$4:$Y$4)*$K589*$L589*$M589</f>
        <v/>
      </c>
      <c r="AD589" s="15" t="n">
        <v>3</v>
      </c>
      <c r="AE589" s="11" t="n">
        <v>1.011296296296296</v>
      </c>
      <c r="AF589" s="16">
        <f>SUMPRODUCT(N589:Y589,$N$5:$Y$5)*$K589*$L589*$M589</f>
        <v/>
      </c>
      <c r="AG589" s="16">
        <f>SUMPRODUCT(N589:Y589,$N$6:$Y$6)*$K589*$L589*$M589</f>
        <v/>
      </c>
      <c r="AH589" s="20" t="n"/>
    </row>
    <row r="590">
      <c r="A590" s="9" t="n">
        <v>805145</v>
      </c>
      <c r="B590" s="9" t="inlineStr">
        <is>
          <t>Jake Bold</t>
        </is>
      </c>
      <c r="C590" s="9" t="inlineStr">
        <is>
          <t>SD</t>
        </is>
      </c>
      <c r="D590" s="9" t="n">
        <v>25</v>
      </c>
      <c r="E590" s="18" t="inlineStr">
        <is>
          <t>R</t>
        </is>
      </c>
      <c r="F590" s="18" t="n"/>
      <c r="G590" s="9" t="n">
        <v>1</v>
      </c>
      <c r="H590" s="9" t="n">
        <v>1</v>
      </c>
      <c r="I590" s="9" t="inlineStr">
        <is>
          <t>Depth (no MLB IP)</t>
        </is>
      </c>
      <c r="J590" s="18" t="inlineStr">
        <is>
          <t>Opening Day</t>
        </is>
      </c>
      <c r="K590" s="11">
        <f>IFERROR(INDEX(Roles!$B$17:$B$20,MATCH(J590,Roles!$A$17:$A$20,0)),1)</f>
        <v/>
      </c>
      <c r="L590" s="19" t="n">
        <v>1</v>
      </c>
      <c r="M590" s="11" t="n">
        <v>1</v>
      </c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>
        <v>1</v>
      </c>
      <c r="Z590" s="13">
        <f>SUMPRODUCT(N590:Y590,$N$2:$Y$2)*$K590*$L590*$M590</f>
        <v/>
      </c>
      <c r="AA590" s="14">
        <f>SUM(N590:Y590)</f>
        <v/>
      </c>
      <c r="AB590" s="13">
        <f>SUMPRODUCT(N590:Y590,$N$3:$Y$3)*$K590*$L590*$M590</f>
        <v/>
      </c>
      <c r="AC590" s="13">
        <f>SUMPRODUCT(N590:Y590,$N$4:$Y$4)*$K590*$L590*$M590</f>
        <v/>
      </c>
      <c r="AD590" s="15" t="n">
        <v>3</v>
      </c>
      <c r="AE590" s="11" t="n">
        <v>1.011296296296296</v>
      </c>
      <c r="AF590" s="16">
        <f>SUMPRODUCT(N590:Y590,$N$5:$Y$5)*$K590*$L590*$M590</f>
        <v/>
      </c>
      <c r="AG590" s="16">
        <f>SUMPRODUCT(N590:Y590,$N$6:$Y$6)*$K590*$L590*$M590</f>
        <v/>
      </c>
      <c r="AH590" s="20" t="n"/>
    </row>
    <row r="591">
      <c r="A591" s="9" t="n">
        <v>804826</v>
      </c>
      <c r="B591" s="9" t="inlineStr">
        <is>
          <t>Jake Ogden</t>
        </is>
      </c>
      <c r="C591" s="9" t="inlineStr">
        <is>
          <t>NYM</t>
        </is>
      </c>
      <c r="D591" s="9" t="n">
        <v>25</v>
      </c>
      <c r="E591" s="18" t="inlineStr">
        <is>
          <t>R</t>
        </is>
      </c>
      <c r="F591" s="18" t="n"/>
      <c r="G591" s="9" t="n">
        <v>1.032</v>
      </c>
      <c r="H591" s="9" t="n">
        <v>1.032</v>
      </c>
      <c r="I591" s="9" t="inlineStr">
        <is>
          <t>Depth (no MLB IP)</t>
        </is>
      </c>
      <c r="J591" s="18" t="inlineStr">
        <is>
          <t>Opening Day</t>
        </is>
      </c>
      <c r="K591" s="11">
        <f>IFERROR(INDEX(Roles!$B$17:$B$20,MATCH(J591,Roles!$A$17:$A$20,0)),1)</f>
        <v/>
      </c>
      <c r="L591" s="19" t="n">
        <v>1</v>
      </c>
      <c r="M591" s="11" t="n">
        <v>1</v>
      </c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>
        <v>1</v>
      </c>
      <c r="Z591" s="13">
        <f>SUMPRODUCT(N591:Y591,$N$2:$Y$2)*$K591*$L591*$M591</f>
        <v/>
      </c>
      <c r="AA591" s="14">
        <f>SUM(N591:Y591)</f>
        <v/>
      </c>
      <c r="AB591" s="13">
        <f>SUMPRODUCT(N591:Y591,$N$3:$Y$3)*$K591*$L591*$M591</f>
        <v/>
      </c>
      <c r="AC591" s="13">
        <f>SUMPRODUCT(N591:Y591,$N$4:$Y$4)*$K591*$L591*$M591</f>
        <v/>
      </c>
      <c r="AD591" s="15" t="n">
        <v>3</v>
      </c>
      <c r="AE591" s="11" t="n">
        <v>1.011296296296296</v>
      </c>
      <c r="AF591" s="16">
        <f>SUMPRODUCT(N591:Y591,$N$5:$Y$5)*$K591*$L591*$M591</f>
        <v/>
      </c>
      <c r="AG591" s="16">
        <f>SUMPRODUCT(N591:Y591,$N$6:$Y$6)*$K591*$L591*$M591</f>
        <v/>
      </c>
      <c r="AH591" s="20" t="n"/>
    </row>
    <row r="592">
      <c r="A592" s="9" t="n">
        <v>703667</v>
      </c>
      <c r="B592" s="9" t="inlineStr">
        <is>
          <t>Luke McNeillie</t>
        </is>
      </c>
      <c r="C592" s="9" t="inlineStr">
        <is>
          <t>NYM</t>
        </is>
      </c>
      <c r="D592" s="9" t="n">
        <v>25</v>
      </c>
      <c r="E592" s="18" t="inlineStr">
        <is>
          <t>R</t>
        </is>
      </c>
      <c r="F592" s="18" t="n"/>
      <c r="G592" s="9" t="n">
        <v>1</v>
      </c>
      <c r="H592" s="9" t="n">
        <v>1</v>
      </c>
      <c r="I592" s="9" t="inlineStr">
        <is>
          <t>Depth (no MLB IP)</t>
        </is>
      </c>
      <c r="J592" s="18" t="inlineStr">
        <is>
          <t>Opening Day</t>
        </is>
      </c>
      <c r="K592" s="11">
        <f>IFERROR(INDEX(Roles!$B$17:$B$20,MATCH(J592,Roles!$A$17:$A$20,0)),1)</f>
        <v/>
      </c>
      <c r="L592" s="19" t="n">
        <v>1</v>
      </c>
      <c r="M592" s="11" t="n">
        <v>1</v>
      </c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>
        <v>1</v>
      </c>
      <c r="Z592" s="13">
        <f>SUMPRODUCT(N592:Y592,$N$2:$Y$2)*$K592*$L592*$M592</f>
        <v/>
      </c>
      <c r="AA592" s="14">
        <f>SUM(N592:Y592)</f>
        <v/>
      </c>
      <c r="AB592" s="13">
        <f>SUMPRODUCT(N592:Y592,$N$3:$Y$3)*$K592*$L592*$M592</f>
        <v/>
      </c>
      <c r="AC592" s="13">
        <f>SUMPRODUCT(N592:Y592,$N$4:$Y$4)*$K592*$L592*$M592</f>
        <v/>
      </c>
      <c r="AD592" s="15" t="n">
        <v>3</v>
      </c>
      <c r="AE592" s="11" t="n">
        <v>1.011296296296296</v>
      </c>
      <c r="AF592" s="16">
        <f>SUMPRODUCT(N592:Y592,$N$5:$Y$5)*$K592*$L592*$M592</f>
        <v/>
      </c>
      <c r="AG592" s="16">
        <f>SUMPRODUCT(N592:Y592,$N$6:$Y$6)*$K592*$L592*$M592</f>
        <v/>
      </c>
      <c r="AH592" s="20" t="n"/>
    </row>
    <row r="593">
      <c r="A593" s="9" t="n">
        <v>821112</v>
      </c>
      <c r="B593" s="9" t="inlineStr">
        <is>
          <t>Anderson Fermin</t>
        </is>
      </c>
      <c r="C593" s="9" t="inlineStr">
        <is>
          <t>BOS</t>
        </is>
      </c>
      <c r="D593" s="9" t="n">
        <v>25</v>
      </c>
      <c r="E593" s="18" t="inlineStr">
        <is>
          <t>R</t>
        </is>
      </c>
      <c r="F593" s="18" t="n"/>
      <c r="G593" s="9" t="n">
        <v>1</v>
      </c>
      <c r="H593" s="9" t="n">
        <v>1</v>
      </c>
      <c r="I593" s="9" t="inlineStr">
        <is>
          <t>Depth (no MLB IP)</t>
        </is>
      </c>
      <c r="J593" s="18" t="inlineStr">
        <is>
          <t>Opening Day</t>
        </is>
      </c>
      <c r="K593" s="11">
        <f>IFERROR(INDEX(Roles!$B$17:$B$20,MATCH(J593,Roles!$A$17:$A$20,0)),1)</f>
        <v/>
      </c>
      <c r="L593" s="19" t="n">
        <v>1</v>
      </c>
      <c r="M593" s="11" t="n">
        <v>1</v>
      </c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>
        <v>1</v>
      </c>
      <c r="Z593" s="13">
        <f>SUMPRODUCT(N593:Y593,$N$2:$Y$2)*$K593*$L593*$M593</f>
        <v/>
      </c>
      <c r="AA593" s="14">
        <f>SUM(N593:Y593)</f>
        <v/>
      </c>
      <c r="AB593" s="13">
        <f>SUMPRODUCT(N593:Y593,$N$3:$Y$3)*$K593*$L593*$M593</f>
        <v/>
      </c>
      <c r="AC593" s="13">
        <f>SUMPRODUCT(N593:Y593,$N$4:$Y$4)*$K593*$L593*$M593</f>
        <v/>
      </c>
      <c r="AD593" s="15" t="n">
        <v>3</v>
      </c>
      <c r="AE593" s="11" t="n">
        <v>1.011296296296296</v>
      </c>
      <c r="AF593" s="16">
        <f>SUMPRODUCT(N593:Y593,$N$5:$Y$5)*$K593*$L593*$M593</f>
        <v/>
      </c>
      <c r="AG593" s="16">
        <f>SUMPRODUCT(N593:Y593,$N$6:$Y$6)*$K593*$L593*$M593</f>
        <v/>
      </c>
      <c r="AH593" s="20" t="n"/>
    </row>
    <row r="594">
      <c r="A594" s="9" t="n">
        <v>821250</v>
      </c>
      <c r="B594" s="9" t="inlineStr">
        <is>
          <t>Dariel Jaquez</t>
        </is>
      </c>
      <c r="C594" s="9" t="inlineStr">
        <is>
          <t>MIL</t>
        </is>
      </c>
      <c r="D594" s="9" t="n">
        <v>25</v>
      </c>
      <c r="E594" s="18" t="inlineStr">
        <is>
          <t>R</t>
        </is>
      </c>
      <c r="F594" s="18" t="n"/>
      <c r="G594" s="9" t="n">
        <v>1</v>
      </c>
      <c r="H594" s="9" t="n">
        <v>1</v>
      </c>
      <c r="I594" s="9" t="inlineStr">
        <is>
          <t>Depth (no MLB IP)</t>
        </is>
      </c>
      <c r="J594" s="18" t="inlineStr">
        <is>
          <t>Opening Day</t>
        </is>
      </c>
      <c r="K594" s="11">
        <f>IFERROR(INDEX(Roles!$B$17:$B$20,MATCH(J594,Roles!$A$17:$A$20,0)),1)</f>
        <v/>
      </c>
      <c r="L594" s="19" t="n">
        <v>1</v>
      </c>
      <c r="M594" s="11" t="n">
        <v>1</v>
      </c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>
        <v>1</v>
      </c>
      <c r="Z594" s="13">
        <f>SUMPRODUCT(N594:Y594,$N$2:$Y$2)*$K594*$L594*$M594</f>
        <v/>
      </c>
      <c r="AA594" s="14">
        <f>SUM(N594:Y594)</f>
        <v/>
      </c>
      <c r="AB594" s="13">
        <f>SUMPRODUCT(N594:Y594,$N$3:$Y$3)*$K594*$L594*$M594</f>
        <v/>
      </c>
      <c r="AC594" s="13">
        <f>SUMPRODUCT(N594:Y594,$N$4:$Y$4)*$K594*$L594*$M594</f>
        <v/>
      </c>
      <c r="AD594" s="15" t="n">
        <v>3</v>
      </c>
      <c r="AE594" s="11" t="n">
        <v>1.011296296296296</v>
      </c>
      <c r="AF594" s="16">
        <f>SUMPRODUCT(N594:Y594,$N$5:$Y$5)*$K594*$L594*$M594</f>
        <v/>
      </c>
      <c r="AG594" s="16">
        <f>SUMPRODUCT(N594:Y594,$N$6:$Y$6)*$K594*$L594*$M594</f>
        <v/>
      </c>
      <c r="AH594" s="20" t="n"/>
    </row>
    <row r="595">
      <c r="A595" s="9" t="n">
        <v>807971</v>
      </c>
      <c r="B595" s="9" t="inlineStr">
        <is>
          <t>Juan Rosas</t>
        </is>
      </c>
      <c r="C595" s="9" t="inlineStr">
        <is>
          <t>TOR</t>
        </is>
      </c>
      <c r="D595" s="9" t="n">
        <v>25</v>
      </c>
      <c r="E595" s="18" t="inlineStr">
        <is>
          <t>R</t>
        </is>
      </c>
      <c r="F595" s="18" t="n"/>
      <c r="G595" s="9" t="n">
        <v>1</v>
      </c>
      <c r="H595" s="9" t="n">
        <v>1</v>
      </c>
      <c r="I595" s="9" t="inlineStr">
        <is>
          <t>Depth (no MLB IP)</t>
        </is>
      </c>
      <c r="J595" s="18" t="inlineStr">
        <is>
          <t>Opening Day</t>
        </is>
      </c>
      <c r="K595" s="11">
        <f>IFERROR(INDEX(Roles!$B$17:$B$20,MATCH(J595,Roles!$A$17:$A$20,0)),1)</f>
        <v/>
      </c>
      <c r="L595" s="19" t="n">
        <v>1</v>
      </c>
      <c r="M595" s="11" t="n">
        <v>1</v>
      </c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>
        <v>1</v>
      </c>
      <c r="Z595" s="13">
        <f>SUMPRODUCT(N595:Y595,$N$2:$Y$2)*$K595*$L595*$M595</f>
        <v/>
      </c>
      <c r="AA595" s="14">
        <f>SUM(N595:Y595)</f>
        <v/>
      </c>
      <c r="AB595" s="13">
        <f>SUMPRODUCT(N595:Y595,$N$3:$Y$3)*$K595*$L595*$M595</f>
        <v/>
      </c>
      <c r="AC595" s="13">
        <f>SUMPRODUCT(N595:Y595,$N$4:$Y$4)*$K595*$L595*$M595</f>
        <v/>
      </c>
      <c r="AD595" s="15" t="n">
        <v>3</v>
      </c>
      <c r="AE595" s="11" t="n">
        <v>1.011296296296296</v>
      </c>
      <c r="AF595" s="16">
        <f>SUMPRODUCT(N595:Y595,$N$5:$Y$5)*$K595*$L595*$M595</f>
        <v/>
      </c>
      <c r="AG595" s="16">
        <f>SUMPRODUCT(N595:Y595,$N$6:$Y$6)*$K595*$L595*$M595</f>
        <v/>
      </c>
      <c r="AH595" s="20" t="n"/>
    </row>
    <row r="596">
      <c r="A596" s="9" t="n">
        <v>838731</v>
      </c>
      <c r="B596" s="9" t="inlineStr">
        <is>
          <t>Landon Koenig</t>
        </is>
      </c>
      <c r="C596" s="9" t="inlineStr">
        <is>
          <t>NYM</t>
        </is>
      </c>
      <c r="D596" s="9" t="n">
        <v>25</v>
      </c>
      <c r="E596" s="18" t="inlineStr">
        <is>
          <t>R</t>
        </is>
      </c>
      <c r="F596" s="18" t="n"/>
      <c r="G596" s="9" t="n">
        <v>1</v>
      </c>
      <c r="H596" s="9" t="n">
        <v>1</v>
      </c>
      <c r="I596" s="9" t="inlineStr">
        <is>
          <t>Depth (no MLB IP)</t>
        </is>
      </c>
      <c r="J596" s="18" t="inlineStr">
        <is>
          <t>Opening Day</t>
        </is>
      </c>
      <c r="K596" s="11">
        <f>IFERROR(INDEX(Roles!$B$17:$B$20,MATCH(J596,Roles!$A$17:$A$20,0)),1)</f>
        <v/>
      </c>
      <c r="L596" s="19" t="n">
        <v>1</v>
      </c>
      <c r="M596" s="11" t="n">
        <v>1</v>
      </c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>
        <v>1</v>
      </c>
      <c r="Z596" s="13">
        <f>SUMPRODUCT(N596:Y596,$N$2:$Y$2)*$K596*$L596*$M596</f>
        <v/>
      </c>
      <c r="AA596" s="14">
        <f>SUM(N596:Y596)</f>
        <v/>
      </c>
      <c r="AB596" s="13">
        <f>SUMPRODUCT(N596:Y596,$N$3:$Y$3)*$K596*$L596*$M596</f>
        <v/>
      </c>
      <c r="AC596" s="13">
        <f>SUMPRODUCT(N596:Y596,$N$4:$Y$4)*$K596*$L596*$M596</f>
        <v/>
      </c>
      <c r="AD596" s="15" t="n">
        <v>3</v>
      </c>
      <c r="AE596" s="11" t="n">
        <v>1.011296296296296</v>
      </c>
      <c r="AF596" s="16">
        <f>SUMPRODUCT(N596:Y596,$N$5:$Y$5)*$K596*$L596*$M596</f>
        <v/>
      </c>
      <c r="AG596" s="16">
        <f>SUMPRODUCT(N596:Y596,$N$6:$Y$6)*$K596*$L596*$M596</f>
        <v/>
      </c>
      <c r="AH596" s="20" t="n"/>
    </row>
    <row r="597">
      <c r="A597" s="9" t="n">
        <v>831528</v>
      </c>
      <c r="B597" s="9" t="inlineStr">
        <is>
          <t>Jeronimo Palmeros</t>
        </is>
      </c>
      <c r="C597" s="9" t="inlineStr">
        <is>
          <t>SD</t>
        </is>
      </c>
      <c r="D597" s="9" t="n">
        <v>25</v>
      </c>
      <c r="E597" s="18" t="inlineStr">
        <is>
          <t>L</t>
        </is>
      </c>
      <c r="F597" s="18" t="n"/>
      <c r="G597" s="9" t="n">
        <v>1</v>
      </c>
      <c r="H597" s="9" t="n">
        <v>1</v>
      </c>
      <c r="I597" s="9" t="inlineStr">
        <is>
          <t>Depth (no MLB IP)</t>
        </is>
      </c>
      <c r="J597" s="18" t="inlineStr">
        <is>
          <t>Opening Day</t>
        </is>
      </c>
      <c r="K597" s="11">
        <f>IFERROR(INDEX(Roles!$B$17:$B$20,MATCH(J597,Roles!$A$17:$A$20,0)),1)</f>
        <v/>
      </c>
      <c r="L597" s="19" t="n">
        <v>1</v>
      </c>
      <c r="M597" s="11" t="n">
        <v>1</v>
      </c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>
        <v>1</v>
      </c>
      <c r="Z597" s="13">
        <f>SUMPRODUCT(N597:Y597,$N$2:$Y$2)*$K597*$L597*$M597</f>
        <v/>
      </c>
      <c r="AA597" s="14">
        <f>SUM(N597:Y597)</f>
        <v/>
      </c>
      <c r="AB597" s="13">
        <f>SUMPRODUCT(N597:Y597,$N$3:$Y$3)*$K597*$L597*$M597</f>
        <v/>
      </c>
      <c r="AC597" s="13">
        <f>SUMPRODUCT(N597:Y597,$N$4:$Y$4)*$K597*$L597*$M597</f>
        <v/>
      </c>
      <c r="AD597" s="15" t="n">
        <v>3</v>
      </c>
      <c r="AE597" s="11" t="n">
        <v>1.011296296296296</v>
      </c>
      <c r="AF597" s="16">
        <f>SUMPRODUCT(N597:Y597,$N$5:$Y$5)*$K597*$L597*$M597</f>
        <v/>
      </c>
      <c r="AG597" s="16">
        <f>SUMPRODUCT(N597:Y597,$N$6:$Y$6)*$K597*$L597*$M597</f>
        <v/>
      </c>
      <c r="AH597" s="20" t="n"/>
    </row>
    <row r="598">
      <c r="A598" s="9" t="n">
        <v>804603</v>
      </c>
      <c r="B598" s="9" t="inlineStr">
        <is>
          <t>Duncan Pastore</t>
        </is>
      </c>
      <c r="C598" s="9" t="inlineStr">
        <is>
          <t>NYY</t>
        </is>
      </c>
      <c r="D598" s="9" t="n">
        <v>25</v>
      </c>
      <c r="E598" s="18" t="inlineStr">
        <is>
          <t>R</t>
        </is>
      </c>
      <c r="F598" s="18" t="n"/>
      <c r="G598" s="9" t="n">
        <v>1.003333333333333</v>
      </c>
      <c r="H598" s="9" t="n">
        <v>1.003333333333333</v>
      </c>
      <c r="I598" s="9" t="inlineStr">
        <is>
          <t>Depth (no MLB IP)</t>
        </is>
      </c>
      <c r="J598" s="18" t="inlineStr">
        <is>
          <t>Opening Day</t>
        </is>
      </c>
      <c r="K598" s="11">
        <f>IFERROR(INDEX(Roles!$B$17:$B$20,MATCH(J598,Roles!$A$17:$A$20,0)),1)</f>
        <v/>
      </c>
      <c r="L598" s="19" t="n">
        <v>1</v>
      </c>
      <c r="M598" s="11" t="n">
        <v>1</v>
      </c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>
        <v>1</v>
      </c>
      <c r="Z598" s="13">
        <f>SUMPRODUCT(N598:Y598,$N$2:$Y$2)*$K598*$L598*$M598</f>
        <v/>
      </c>
      <c r="AA598" s="14">
        <f>SUM(N598:Y598)</f>
        <v/>
      </c>
      <c r="AB598" s="13">
        <f>SUMPRODUCT(N598:Y598,$N$3:$Y$3)*$K598*$L598*$M598</f>
        <v/>
      </c>
      <c r="AC598" s="13">
        <f>SUMPRODUCT(N598:Y598,$N$4:$Y$4)*$K598*$L598*$M598</f>
        <v/>
      </c>
      <c r="AD598" s="15" t="n">
        <v>3</v>
      </c>
      <c r="AE598" s="11" t="n">
        <v>1.011296296296296</v>
      </c>
      <c r="AF598" s="16">
        <f>SUMPRODUCT(N598:Y598,$N$5:$Y$5)*$K598*$L598*$M598</f>
        <v/>
      </c>
      <c r="AG598" s="16">
        <f>SUMPRODUCT(N598:Y598,$N$6:$Y$6)*$K598*$L598*$M598</f>
        <v/>
      </c>
      <c r="AH598" s="20" t="n"/>
    </row>
    <row r="599">
      <c r="A599" s="9" t="n">
        <v>802005</v>
      </c>
      <c r="B599" s="9" t="inlineStr">
        <is>
          <t>Gunner Gouldsmith</t>
        </is>
      </c>
      <c r="C599" s="9" t="inlineStr">
        <is>
          <t>OAK</t>
        </is>
      </c>
      <c r="D599" s="9" t="n">
        <v>25</v>
      </c>
      <c r="E599" s="18" t="inlineStr">
        <is>
          <t>R</t>
        </is>
      </c>
      <c r="F599" s="18" t="n"/>
      <c r="G599" s="9" t="n">
        <v>1</v>
      </c>
      <c r="H599" s="9" t="n">
        <v>1</v>
      </c>
      <c r="I599" s="9" t="inlineStr">
        <is>
          <t>Depth (no MLB IP)</t>
        </is>
      </c>
      <c r="J599" s="18" t="inlineStr">
        <is>
          <t>Opening Day</t>
        </is>
      </c>
      <c r="K599" s="11">
        <f>IFERROR(INDEX(Roles!$B$17:$B$20,MATCH(J599,Roles!$A$17:$A$20,0)),1)</f>
        <v/>
      </c>
      <c r="L599" s="19" t="n">
        <v>1</v>
      </c>
      <c r="M599" s="11" t="n">
        <v>1</v>
      </c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>
        <v>1</v>
      </c>
      <c r="Z599" s="13">
        <f>SUMPRODUCT(N599:Y599,$N$2:$Y$2)*$K599*$L599*$M599</f>
        <v/>
      </c>
      <c r="AA599" s="14">
        <f>SUM(N599:Y599)</f>
        <v/>
      </c>
      <c r="AB599" s="13">
        <f>SUMPRODUCT(N599:Y599,$N$3:$Y$3)*$K599*$L599*$M599</f>
        <v/>
      </c>
      <c r="AC599" s="13">
        <f>SUMPRODUCT(N599:Y599,$N$4:$Y$4)*$K599*$L599*$M599</f>
        <v/>
      </c>
      <c r="AD599" s="15" t="n">
        <v>3</v>
      </c>
      <c r="AE599" s="11" t="n">
        <v>1.011296296296296</v>
      </c>
      <c r="AF599" s="16">
        <f>SUMPRODUCT(N599:Y599,$N$5:$Y$5)*$K599*$L599*$M599</f>
        <v/>
      </c>
      <c r="AG599" s="16">
        <f>SUMPRODUCT(N599:Y599,$N$6:$Y$6)*$K599*$L599*$M599</f>
        <v/>
      </c>
      <c r="AH599" s="20" t="n"/>
    </row>
    <row r="600">
      <c r="A600" s="9" t="n">
        <v>823114</v>
      </c>
      <c r="B600" s="9" t="inlineStr">
        <is>
          <t>Nolan McCarthy</t>
        </is>
      </c>
      <c r="C600" s="9" t="inlineStr">
        <is>
          <t>DET</t>
        </is>
      </c>
      <c r="D600" s="9" t="n">
        <v>25</v>
      </c>
      <c r="E600" s="18" t="inlineStr">
        <is>
          <t>R</t>
        </is>
      </c>
      <c r="F600" s="18" t="n"/>
      <c r="G600" s="9" t="n">
        <v>1.032</v>
      </c>
      <c r="H600" s="9" t="n">
        <v>1.032</v>
      </c>
      <c r="I600" s="9" t="inlineStr">
        <is>
          <t>Depth (no MLB IP)</t>
        </is>
      </c>
      <c r="J600" s="18" t="inlineStr">
        <is>
          <t>Opening Day</t>
        </is>
      </c>
      <c r="K600" s="11">
        <f>IFERROR(INDEX(Roles!$B$17:$B$20,MATCH(J600,Roles!$A$17:$A$20,0)),1)</f>
        <v/>
      </c>
      <c r="L600" s="19" t="n">
        <v>1</v>
      </c>
      <c r="M600" s="11" t="n">
        <v>1</v>
      </c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>
        <v>1</v>
      </c>
      <c r="Z600" s="13">
        <f>SUMPRODUCT(N600:Y600,$N$2:$Y$2)*$K600*$L600*$M600</f>
        <v/>
      </c>
      <c r="AA600" s="14">
        <f>SUM(N600:Y600)</f>
        <v/>
      </c>
      <c r="AB600" s="13">
        <f>SUMPRODUCT(N600:Y600,$N$3:$Y$3)*$K600*$L600*$M600</f>
        <v/>
      </c>
      <c r="AC600" s="13">
        <f>SUMPRODUCT(N600:Y600,$N$4:$Y$4)*$K600*$L600*$M600</f>
        <v/>
      </c>
      <c r="AD600" s="15" t="n">
        <v>3</v>
      </c>
      <c r="AE600" s="11" t="n">
        <v>1.011296296296296</v>
      </c>
      <c r="AF600" s="16">
        <f>SUMPRODUCT(N600:Y600,$N$5:$Y$5)*$K600*$L600*$M600</f>
        <v/>
      </c>
      <c r="AG600" s="16">
        <f>SUMPRODUCT(N600:Y600,$N$6:$Y$6)*$K600*$L600*$M600</f>
        <v/>
      </c>
      <c r="AH600" s="20" t="n"/>
    </row>
    <row r="601">
      <c r="A601" s="9" t="n">
        <v>822877</v>
      </c>
      <c r="B601" s="9" t="inlineStr">
        <is>
          <t>Luke Cantwell</t>
        </is>
      </c>
      <c r="C601" s="9" t="inlineStr">
        <is>
          <t>SD</t>
        </is>
      </c>
      <c r="D601" s="9" t="n">
        <v>25</v>
      </c>
      <c r="E601" s="18" t="inlineStr">
        <is>
          <t>R</t>
        </is>
      </c>
      <c r="F601" s="18" t="n"/>
      <c r="G601" s="9" t="n">
        <v>1</v>
      </c>
      <c r="H601" s="9" t="n">
        <v>1</v>
      </c>
      <c r="I601" s="9" t="inlineStr">
        <is>
          <t>Depth (no MLB IP)</t>
        </is>
      </c>
      <c r="J601" s="18" t="inlineStr">
        <is>
          <t>Opening Day</t>
        </is>
      </c>
      <c r="K601" s="11">
        <f>IFERROR(INDEX(Roles!$B$17:$B$20,MATCH(J601,Roles!$A$17:$A$20,0)),1)</f>
        <v/>
      </c>
      <c r="L601" s="19" t="n">
        <v>1</v>
      </c>
      <c r="M601" s="11" t="n">
        <v>1</v>
      </c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>
        <v>1</v>
      </c>
      <c r="Z601" s="13">
        <f>SUMPRODUCT(N601:Y601,$N$2:$Y$2)*$K601*$L601*$M601</f>
        <v/>
      </c>
      <c r="AA601" s="14">
        <f>SUM(N601:Y601)</f>
        <v/>
      </c>
      <c r="AB601" s="13">
        <f>SUMPRODUCT(N601:Y601,$N$3:$Y$3)*$K601*$L601*$M601</f>
        <v/>
      </c>
      <c r="AC601" s="13">
        <f>SUMPRODUCT(N601:Y601,$N$4:$Y$4)*$K601*$L601*$M601</f>
        <v/>
      </c>
      <c r="AD601" s="15" t="n">
        <v>3</v>
      </c>
      <c r="AE601" s="11" t="n">
        <v>1.011296296296296</v>
      </c>
      <c r="AF601" s="16">
        <f>SUMPRODUCT(N601:Y601,$N$5:$Y$5)*$K601*$L601*$M601</f>
        <v/>
      </c>
      <c r="AG601" s="16">
        <f>SUMPRODUCT(N601:Y601,$N$6:$Y$6)*$K601*$L601*$M601</f>
        <v/>
      </c>
      <c r="AH601" s="20" t="n"/>
    </row>
    <row r="602">
      <c r="A602" s="9" t="n">
        <v>691941</v>
      </c>
      <c r="B602" s="9" t="inlineStr">
        <is>
          <t>Calvin Harris</t>
        </is>
      </c>
      <c r="C602" s="9" t="inlineStr">
        <is>
          <t>CWS</t>
        </is>
      </c>
      <c r="D602" s="9" t="n">
        <v>25</v>
      </c>
      <c r="E602" s="18" t="inlineStr">
        <is>
          <t>R</t>
        </is>
      </c>
      <c r="F602" s="18" t="n"/>
      <c r="G602" s="9" t="n">
        <v>1</v>
      </c>
      <c r="H602" s="9" t="n">
        <v>1</v>
      </c>
      <c r="I602" s="9" t="inlineStr">
        <is>
          <t>Depth (no MLB IP)</t>
        </is>
      </c>
      <c r="J602" s="18" t="inlineStr">
        <is>
          <t>Opening Day</t>
        </is>
      </c>
      <c r="K602" s="11">
        <f>IFERROR(INDEX(Roles!$B$17:$B$20,MATCH(J602,Roles!$A$17:$A$20,0)),1)</f>
        <v/>
      </c>
      <c r="L602" s="19" t="n">
        <v>1</v>
      </c>
      <c r="M602" s="11" t="n">
        <v>1</v>
      </c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>
        <v>1</v>
      </c>
      <c r="Z602" s="13">
        <f>SUMPRODUCT(N602:Y602,$N$2:$Y$2)*$K602*$L602*$M602</f>
        <v/>
      </c>
      <c r="AA602" s="14">
        <f>SUM(N602:Y602)</f>
        <v/>
      </c>
      <c r="AB602" s="13">
        <f>SUMPRODUCT(N602:Y602,$N$3:$Y$3)*$K602*$L602*$M602</f>
        <v/>
      </c>
      <c r="AC602" s="13">
        <f>SUMPRODUCT(N602:Y602,$N$4:$Y$4)*$K602*$L602*$M602</f>
        <v/>
      </c>
      <c r="AD602" s="15" t="n">
        <v>3</v>
      </c>
      <c r="AE602" s="11" t="n">
        <v>1.011296296296296</v>
      </c>
      <c r="AF602" s="16">
        <f>SUMPRODUCT(N602:Y602,$N$5:$Y$5)*$K602*$L602*$M602</f>
        <v/>
      </c>
      <c r="AG602" s="16">
        <f>SUMPRODUCT(N602:Y602,$N$6:$Y$6)*$K602*$L602*$M602</f>
        <v/>
      </c>
      <c r="AH602" s="20" t="n"/>
    </row>
    <row r="603">
      <c r="A603" s="9" t="n">
        <v>683001</v>
      </c>
      <c r="B603" s="9" t="inlineStr">
        <is>
          <t>Ethan Hearn</t>
        </is>
      </c>
      <c r="C603" s="9" t="inlineStr">
        <is>
          <t>CHC</t>
        </is>
      </c>
      <c r="D603" s="9" t="n">
        <v>25</v>
      </c>
      <c r="E603" s="18" t="inlineStr">
        <is>
          <t>R</t>
        </is>
      </c>
      <c r="F603" s="18" t="n"/>
      <c r="G603" s="9" t="n">
        <v>1</v>
      </c>
      <c r="H603" s="9" t="n">
        <v>1</v>
      </c>
      <c r="I603" s="9" t="inlineStr">
        <is>
          <t>Depth (no MLB IP)</t>
        </is>
      </c>
      <c r="J603" s="18" t="inlineStr">
        <is>
          <t>Opening Day</t>
        </is>
      </c>
      <c r="K603" s="11">
        <f>IFERROR(INDEX(Roles!$B$17:$B$20,MATCH(J603,Roles!$A$17:$A$20,0)),1)</f>
        <v/>
      </c>
      <c r="L603" s="19" t="n">
        <v>1</v>
      </c>
      <c r="M603" s="11" t="n">
        <v>1</v>
      </c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>
        <v>1</v>
      </c>
      <c r="Z603" s="13">
        <f>SUMPRODUCT(N603:Y603,$N$2:$Y$2)*$K603*$L603*$M603</f>
        <v/>
      </c>
      <c r="AA603" s="14">
        <f>SUM(N603:Y603)</f>
        <v/>
      </c>
      <c r="AB603" s="13">
        <f>SUMPRODUCT(N603:Y603,$N$3:$Y$3)*$K603*$L603*$M603</f>
        <v/>
      </c>
      <c r="AC603" s="13">
        <f>SUMPRODUCT(N603:Y603,$N$4:$Y$4)*$K603*$L603*$M603</f>
        <v/>
      </c>
      <c r="AD603" s="15" t="n">
        <v>3</v>
      </c>
      <c r="AE603" s="11" t="n">
        <v>1.011296296296296</v>
      </c>
      <c r="AF603" s="16">
        <f>SUMPRODUCT(N603:Y603,$N$5:$Y$5)*$K603*$L603*$M603</f>
        <v/>
      </c>
      <c r="AG603" s="16">
        <f>SUMPRODUCT(N603:Y603,$N$6:$Y$6)*$K603*$L603*$M603</f>
        <v/>
      </c>
      <c r="AH603" s="20" t="n"/>
    </row>
    <row r="604">
      <c r="A604" s="9" t="n">
        <v>683104</v>
      </c>
      <c r="B604" s="9" t="inlineStr">
        <is>
          <t>Trey Faltine</t>
        </is>
      </c>
      <c r="C604" s="9" t="inlineStr">
        <is>
          <t>CIN</t>
        </is>
      </c>
      <c r="D604" s="9" t="n">
        <v>25</v>
      </c>
      <c r="E604" s="18" t="inlineStr">
        <is>
          <t>R</t>
        </is>
      </c>
      <c r="F604" s="18" t="n"/>
      <c r="G604" s="9" t="n">
        <v>1</v>
      </c>
      <c r="H604" s="9" t="n">
        <v>1</v>
      </c>
      <c r="I604" s="9" t="inlineStr">
        <is>
          <t>Depth (no MLB IP)</t>
        </is>
      </c>
      <c r="J604" s="18" t="inlineStr">
        <is>
          <t>Opening Day</t>
        </is>
      </c>
      <c r="K604" s="11">
        <f>IFERROR(INDEX(Roles!$B$17:$B$20,MATCH(J604,Roles!$A$17:$A$20,0)),1)</f>
        <v/>
      </c>
      <c r="L604" s="19" t="n">
        <v>1</v>
      </c>
      <c r="M604" s="11" t="n">
        <v>1</v>
      </c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>
        <v>1</v>
      </c>
      <c r="Z604" s="13">
        <f>SUMPRODUCT(N604:Y604,$N$2:$Y$2)*$K604*$L604*$M604</f>
        <v/>
      </c>
      <c r="AA604" s="14">
        <f>SUM(N604:Y604)</f>
        <v/>
      </c>
      <c r="AB604" s="13">
        <f>SUMPRODUCT(N604:Y604,$N$3:$Y$3)*$K604*$L604*$M604</f>
        <v/>
      </c>
      <c r="AC604" s="13">
        <f>SUMPRODUCT(N604:Y604,$N$4:$Y$4)*$K604*$L604*$M604</f>
        <v/>
      </c>
      <c r="AD604" s="15" t="n">
        <v>3</v>
      </c>
      <c r="AE604" s="11" t="n">
        <v>1.011296296296296</v>
      </c>
      <c r="AF604" s="16">
        <f>SUMPRODUCT(N604:Y604,$N$5:$Y$5)*$K604*$L604*$M604</f>
        <v/>
      </c>
      <c r="AG604" s="16">
        <f>SUMPRODUCT(N604:Y604,$N$6:$Y$6)*$K604*$L604*$M604</f>
        <v/>
      </c>
      <c r="AH604" s="20" t="n"/>
    </row>
    <row r="605">
      <c r="A605" s="9" t="n">
        <v>823865</v>
      </c>
      <c r="B605" s="9" t="inlineStr">
        <is>
          <t>Dony Aguilera</t>
        </is>
      </c>
      <c r="C605" s="9" t="inlineStr">
        <is>
          <t>CIN</t>
        </is>
      </c>
      <c r="D605" s="9" t="n">
        <v>25</v>
      </c>
      <c r="E605" s="18" t="inlineStr">
        <is>
          <t>R</t>
        </is>
      </c>
      <c r="F605" s="18" t="n"/>
      <c r="G605" s="9" t="n">
        <v>1</v>
      </c>
      <c r="H605" s="9" t="n">
        <v>1</v>
      </c>
      <c r="I605" s="9" t="inlineStr">
        <is>
          <t>Depth (no MLB IP)</t>
        </is>
      </c>
      <c r="J605" s="18" t="inlineStr">
        <is>
          <t>Opening Day</t>
        </is>
      </c>
      <c r="K605" s="11">
        <f>IFERROR(INDEX(Roles!$B$17:$B$20,MATCH(J605,Roles!$A$17:$A$20,0)),1)</f>
        <v/>
      </c>
      <c r="L605" s="19" t="n">
        <v>1</v>
      </c>
      <c r="M605" s="11" t="n">
        <v>1</v>
      </c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>
        <v>1</v>
      </c>
      <c r="Z605" s="13">
        <f>SUMPRODUCT(N605:Y605,$N$2:$Y$2)*$K605*$L605*$M605</f>
        <v/>
      </c>
      <c r="AA605" s="14">
        <f>SUM(N605:Y605)</f>
        <v/>
      </c>
      <c r="AB605" s="13">
        <f>SUMPRODUCT(N605:Y605,$N$3:$Y$3)*$K605*$L605*$M605</f>
        <v/>
      </c>
      <c r="AC605" s="13">
        <f>SUMPRODUCT(N605:Y605,$N$4:$Y$4)*$K605*$L605*$M605</f>
        <v/>
      </c>
      <c r="AD605" s="15" t="n">
        <v>3</v>
      </c>
      <c r="AE605" s="11" t="n">
        <v>1.011296296296296</v>
      </c>
      <c r="AF605" s="16">
        <f>SUMPRODUCT(N605:Y605,$N$5:$Y$5)*$K605*$L605*$M605</f>
        <v/>
      </c>
      <c r="AG605" s="16">
        <f>SUMPRODUCT(N605:Y605,$N$6:$Y$6)*$K605*$L605*$M605</f>
        <v/>
      </c>
      <c r="AH605" s="20" t="n"/>
    </row>
    <row r="606">
      <c r="A606" s="9" t="n">
        <v>824024</v>
      </c>
      <c r="B606" s="9" t="inlineStr">
        <is>
          <t>Duncan Marsten</t>
        </is>
      </c>
      <c r="C606" s="9" t="inlineStr">
        <is>
          <t>CIN</t>
        </is>
      </c>
      <c r="D606" s="9" t="n">
        <v>25</v>
      </c>
      <c r="E606" s="18" t="inlineStr">
        <is>
          <t>R</t>
        </is>
      </c>
      <c r="F606" s="18" t="n"/>
      <c r="G606" s="9" t="n">
        <v>1</v>
      </c>
      <c r="H606" s="9" t="n">
        <v>1</v>
      </c>
      <c r="I606" s="9" t="inlineStr">
        <is>
          <t>Depth (no MLB IP)</t>
        </is>
      </c>
      <c r="J606" s="18" t="inlineStr">
        <is>
          <t>Opening Day</t>
        </is>
      </c>
      <c r="K606" s="11">
        <f>IFERROR(INDEX(Roles!$B$17:$B$20,MATCH(J606,Roles!$A$17:$A$20,0)),1)</f>
        <v/>
      </c>
      <c r="L606" s="19" t="n">
        <v>1</v>
      </c>
      <c r="M606" s="11" t="n">
        <v>1</v>
      </c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>
        <v>1</v>
      </c>
      <c r="Z606" s="13">
        <f>SUMPRODUCT(N606:Y606,$N$2:$Y$2)*$K606*$L606*$M606</f>
        <v/>
      </c>
      <c r="AA606" s="14">
        <f>SUM(N606:Y606)</f>
        <v/>
      </c>
      <c r="AB606" s="13">
        <f>SUMPRODUCT(N606:Y606,$N$3:$Y$3)*$K606*$L606*$M606</f>
        <v/>
      </c>
      <c r="AC606" s="13">
        <f>SUMPRODUCT(N606:Y606,$N$4:$Y$4)*$K606*$L606*$M606</f>
        <v/>
      </c>
      <c r="AD606" s="15" t="n">
        <v>3</v>
      </c>
      <c r="AE606" s="11" t="n">
        <v>1.011296296296296</v>
      </c>
      <c r="AF606" s="16">
        <f>SUMPRODUCT(N606:Y606,$N$5:$Y$5)*$K606*$L606*$M606</f>
        <v/>
      </c>
      <c r="AG606" s="16">
        <f>SUMPRODUCT(N606:Y606,$N$6:$Y$6)*$K606*$L606*$M606</f>
        <v/>
      </c>
      <c r="AH606" s="20" t="n"/>
    </row>
    <row r="607">
      <c r="A607" s="9" t="n">
        <v>823007</v>
      </c>
      <c r="B607" s="9" t="inlineStr">
        <is>
          <t>Rohan Lettow</t>
        </is>
      </c>
      <c r="C607" s="9" t="inlineStr">
        <is>
          <t>PIT</t>
        </is>
      </c>
      <c r="D607" s="9" t="n">
        <v>25</v>
      </c>
      <c r="E607" s="18" t="inlineStr">
        <is>
          <t>R</t>
        </is>
      </c>
      <c r="F607" s="18" t="n"/>
      <c r="G607" s="9" t="n">
        <v>1</v>
      </c>
      <c r="H607" s="9" t="n">
        <v>1</v>
      </c>
      <c r="I607" s="9" t="inlineStr">
        <is>
          <t>Depth (no MLB IP)</t>
        </is>
      </c>
      <c r="J607" s="18" t="inlineStr">
        <is>
          <t>Opening Day</t>
        </is>
      </c>
      <c r="K607" s="11">
        <f>IFERROR(INDEX(Roles!$B$17:$B$20,MATCH(J607,Roles!$A$17:$A$20,0)),1)</f>
        <v/>
      </c>
      <c r="L607" s="19" t="n">
        <v>1</v>
      </c>
      <c r="M607" s="11" t="n">
        <v>1</v>
      </c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>
        <v>1</v>
      </c>
      <c r="Z607" s="13">
        <f>SUMPRODUCT(N607:Y607,$N$2:$Y$2)*$K607*$L607*$M607</f>
        <v/>
      </c>
      <c r="AA607" s="14">
        <f>SUM(N607:Y607)</f>
        <v/>
      </c>
      <c r="AB607" s="13">
        <f>SUMPRODUCT(N607:Y607,$N$3:$Y$3)*$K607*$L607*$M607</f>
        <v/>
      </c>
      <c r="AC607" s="13">
        <f>SUMPRODUCT(N607:Y607,$N$4:$Y$4)*$K607*$L607*$M607</f>
        <v/>
      </c>
      <c r="AD607" s="15" t="n">
        <v>3</v>
      </c>
      <c r="AE607" s="11" t="n">
        <v>1.011296296296296</v>
      </c>
      <c r="AF607" s="16">
        <f>SUMPRODUCT(N607:Y607,$N$5:$Y$5)*$K607*$L607*$M607</f>
        <v/>
      </c>
      <c r="AG607" s="16">
        <f>SUMPRODUCT(N607:Y607,$N$6:$Y$6)*$K607*$L607*$M607</f>
        <v/>
      </c>
      <c r="AH607" s="20" t="n"/>
    </row>
    <row r="608">
      <c r="A608" s="9" t="n">
        <v>800506</v>
      </c>
      <c r="B608" s="9" t="inlineStr">
        <is>
          <t>Luis Sanchez</t>
        </is>
      </c>
      <c r="C608" s="9" t="inlineStr">
        <is>
          <t>ATL</t>
        </is>
      </c>
      <c r="D608" s="9" t="n">
        <v>25</v>
      </c>
      <c r="E608" s="18" t="inlineStr">
        <is>
          <t>R</t>
        </is>
      </c>
      <c r="F608" s="18" t="n"/>
      <c r="G608" s="9" t="n">
        <v>1</v>
      </c>
      <c r="H608" s="9" t="n">
        <v>1</v>
      </c>
      <c r="I608" s="9" t="inlineStr">
        <is>
          <t>Depth (no MLB IP)</t>
        </is>
      </c>
      <c r="J608" s="18" t="inlineStr">
        <is>
          <t>Opening Day</t>
        </is>
      </c>
      <c r="K608" s="11">
        <f>IFERROR(INDEX(Roles!$B$17:$B$20,MATCH(J608,Roles!$A$17:$A$20,0)),1)</f>
        <v/>
      </c>
      <c r="L608" s="19" t="n">
        <v>1</v>
      </c>
      <c r="M608" s="11" t="n">
        <v>1</v>
      </c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>
        <v>1</v>
      </c>
      <c r="Z608" s="13">
        <f>SUMPRODUCT(N608:Y608,$N$2:$Y$2)*$K608*$L608*$M608</f>
        <v/>
      </c>
      <c r="AA608" s="14">
        <f>SUM(N608:Y608)</f>
        <v/>
      </c>
      <c r="AB608" s="13">
        <f>SUMPRODUCT(N608:Y608,$N$3:$Y$3)*$K608*$L608*$M608</f>
        <v/>
      </c>
      <c r="AC608" s="13">
        <f>SUMPRODUCT(N608:Y608,$N$4:$Y$4)*$K608*$L608*$M608</f>
        <v/>
      </c>
      <c r="AD608" s="15" t="n">
        <v>3</v>
      </c>
      <c r="AE608" s="11" t="n">
        <v>1.011296296296296</v>
      </c>
      <c r="AF608" s="16">
        <f>SUMPRODUCT(N608:Y608,$N$5:$Y$5)*$K608*$L608*$M608</f>
        <v/>
      </c>
      <c r="AG608" s="16">
        <f>SUMPRODUCT(N608:Y608,$N$6:$Y$6)*$K608*$L608*$M608</f>
        <v/>
      </c>
      <c r="AH608" s="20" t="n"/>
    </row>
    <row r="609">
      <c r="A609" s="9" t="n">
        <v>683328</v>
      </c>
      <c r="B609" s="9" t="inlineStr">
        <is>
          <t>Antoine Jean</t>
        </is>
      </c>
      <c r="C609" s="9" t="inlineStr">
        <is>
          <t>COL</t>
        </is>
      </c>
      <c r="D609" s="9" t="n">
        <v>25</v>
      </c>
      <c r="E609" s="18" t="inlineStr">
        <is>
          <t>L</t>
        </is>
      </c>
      <c r="F609" s="18" t="n"/>
      <c r="G609" s="9" t="n">
        <v>1.146666666666667</v>
      </c>
      <c r="H609" s="9" t="n">
        <v>1.146666666666667</v>
      </c>
      <c r="I609" s="9" t="inlineStr">
        <is>
          <t>Depth (no MLB IP)</t>
        </is>
      </c>
      <c r="J609" s="18" t="inlineStr">
        <is>
          <t>Opening Day</t>
        </is>
      </c>
      <c r="K609" s="11">
        <f>IFERROR(INDEX(Roles!$B$17:$B$20,MATCH(J609,Roles!$A$17:$A$20,0)),1)</f>
        <v/>
      </c>
      <c r="L609" s="19" t="n">
        <v>1</v>
      </c>
      <c r="M609" s="11" t="n">
        <v>1</v>
      </c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>
        <v>1</v>
      </c>
      <c r="Z609" s="13">
        <f>SUMPRODUCT(N609:Y609,$N$2:$Y$2)*$K609*$L609*$M609</f>
        <v/>
      </c>
      <c r="AA609" s="14">
        <f>SUM(N609:Y609)</f>
        <v/>
      </c>
      <c r="AB609" s="13">
        <f>SUMPRODUCT(N609:Y609,$N$3:$Y$3)*$K609*$L609*$M609</f>
        <v/>
      </c>
      <c r="AC609" s="13">
        <f>SUMPRODUCT(N609:Y609,$N$4:$Y$4)*$K609*$L609*$M609</f>
        <v/>
      </c>
      <c r="AD609" s="15" t="n">
        <v>3</v>
      </c>
      <c r="AE609" s="11" t="n">
        <v>1.011296296296296</v>
      </c>
      <c r="AF609" s="16">
        <f>SUMPRODUCT(N609:Y609,$N$5:$Y$5)*$K609*$L609*$M609</f>
        <v/>
      </c>
      <c r="AG609" s="16">
        <f>SUMPRODUCT(N609:Y609,$N$6:$Y$6)*$K609*$L609*$M609</f>
        <v/>
      </c>
      <c r="AH609" s="20" t="n"/>
    </row>
    <row r="610">
      <c r="A610" s="9" t="n">
        <v>694840</v>
      </c>
      <c r="B610" s="9" t="inlineStr">
        <is>
          <t>Grant Knipp</t>
        </is>
      </c>
      <c r="C610" s="9" t="inlineStr">
        <is>
          <t>SEA</t>
        </is>
      </c>
      <c r="D610" s="9" t="n">
        <v>25</v>
      </c>
      <c r="E610" s="18" t="inlineStr">
        <is>
          <t>R</t>
        </is>
      </c>
      <c r="F610" s="18" t="n"/>
      <c r="G610" s="9" t="n">
        <v>1</v>
      </c>
      <c r="H610" s="9" t="n">
        <v>1</v>
      </c>
      <c r="I610" s="9" t="inlineStr">
        <is>
          <t>Depth (no MLB IP)</t>
        </is>
      </c>
      <c r="J610" s="18" t="inlineStr">
        <is>
          <t>Opening Day</t>
        </is>
      </c>
      <c r="K610" s="11">
        <f>IFERROR(INDEX(Roles!$B$17:$B$20,MATCH(J610,Roles!$A$17:$A$20,0)),1)</f>
        <v/>
      </c>
      <c r="L610" s="19" t="n">
        <v>1</v>
      </c>
      <c r="M610" s="11" t="n">
        <v>1</v>
      </c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>
        <v>1</v>
      </c>
      <c r="Z610" s="13">
        <f>SUMPRODUCT(N610:Y610,$N$2:$Y$2)*$K610*$L610*$M610</f>
        <v/>
      </c>
      <c r="AA610" s="14">
        <f>SUM(N610:Y610)</f>
        <v/>
      </c>
      <c r="AB610" s="13">
        <f>SUMPRODUCT(N610:Y610,$N$3:$Y$3)*$K610*$L610*$M610</f>
        <v/>
      </c>
      <c r="AC610" s="13">
        <f>SUMPRODUCT(N610:Y610,$N$4:$Y$4)*$K610*$L610*$M610</f>
        <v/>
      </c>
      <c r="AD610" s="15" t="n">
        <v>3</v>
      </c>
      <c r="AE610" s="11" t="n">
        <v>1.011296296296296</v>
      </c>
      <c r="AF610" s="16">
        <f>SUMPRODUCT(N610:Y610,$N$5:$Y$5)*$K610*$L610*$M610</f>
        <v/>
      </c>
      <c r="AG610" s="16">
        <f>SUMPRODUCT(N610:Y610,$N$6:$Y$6)*$K610*$L610*$M610</f>
        <v/>
      </c>
      <c r="AH610" s="20" t="n"/>
    </row>
    <row r="611">
      <c r="A611" s="9" t="n">
        <v>814706</v>
      </c>
      <c r="B611" s="9" t="inlineStr">
        <is>
          <t>Thomas Burns</t>
        </is>
      </c>
      <c r="C611" s="9" t="inlineStr">
        <is>
          <t>MIN</t>
        </is>
      </c>
      <c r="D611" s="9" t="n">
        <v>25</v>
      </c>
      <c r="E611" s="18" t="inlineStr">
        <is>
          <t>R</t>
        </is>
      </c>
      <c r="F611" s="18" t="n"/>
      <c r="G611" s="9" t="n">
        <v>1</v>
      </c>
      <c r="H611" s="9" t="n">
        <v>1</v>
      </c>
      <c r="I611" s="9" t="inlineStr">
        <is>
          <t>Depth (no MLB IP)</t>
        </is>
      </c>
      <c r="J611" s="18" t="inlineStr">
        <is>
          <t>Opening Day</t>
        </is>
      </c>
      <c r="K611" s="11">
        <f>IFERROR(INDEX(Roles!$B$17:$B$20,MATCH(J611,Roles!$A$17:$A$20,0)),1)</f>
        <v/>
      </c>
      <c r="L611" s="19" t="n">
        <v>1</v>
      </c>
      <c r="M611" s="11" t="n">
        <v>1</v>
      </c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>
        <v>1</v>
      </c>
      <c r="Z611" s="13">
        <f>SUMPRODUCT(N611:Y611,$N$2:$Y$2)*$K611*$L611*$M611</f>
        <v/>
      </c>
      <c r="AA611" s="14">
        <f>SUM(N611:Y611)</f>
        <v/>
      </c>
      <c r="AB611" s="13">
        <f>SUMPRODUCT(N611:Y611,$N$3:$Y$3)*$K611*$L611*$M611</f>
        <v/>
      </c>
      <c r="AC611" s="13">
        <f>SUMPRODUCT(N611:Y611,$N$4:$Y$4)*$K611*$L611*$M611</f>
        <v/>
      </c>
      <c r="AD611" s="15" t="n">
        <v>3</v>
      </c>
      <c r="AE611" s="11" t="n">
        <v>1.011296296296296</v>
      </c>
      <c r="AF611" s="16">
        <f>SUMPRODUCT(N611:Y611,$N$5:$Y$5)*$K611*$L611*$M611</f>
        <v/>
      </c>
      <c r="AG611" s="16">
        <f>SUMPRODUCT(N611:Y611,$N$6:$Y$6)*$K611*$L611*$M611</f>
        <v/>
      </c>
      <c r="AH611" s="20" t="n"/>
    </row>
    <row r="612">
      <c r="A612" s="9" t="n">
        <v>814742</v>
      </c>
      <c r="B612" s="9" t="inlineStr">
        <is>
          <t>Max Bayles</t>
        </is>
      </c>
      <c r="C612" s="9" t="inlineStr">
        <is>
          <t>MIN</t>
        </is>
      </c>
      <c r="D612" s="9" t="n">
        <v>25</v>
      </c>
      <c r="E612" s="18" t="inlineStr">
        <is>
          <t>R</t>
        </is>
      </c>
      <c r="F612" s="18" t="n"/>
      <c r="G612" s="9" t="n">
        <v>1</v>
      </c>
      <c r="H612" s="9" t="n">
        <v>1</v>
      </c>
      <c r="I612" s="9" t="inlineStr">
        <is>
          <t>Depth (no MLB IP)</t>
        </is>
      </c>
      <c r="J612" s="18" t="inlineStr">
        <is>
          <t>Opening Day</t>
        </is>
      </c>
      <c r="K612" s="11">
        <f>IFERROR(INDEX(Roles!$B$17:$B$20,MATCH(J612,Roles!$A$17:$A$20,0)),1)</f>
        <v/>
      </c>
      <c r="L612" s="19" t="n">
        <v>1</v>
      </c>
      <c r="M612" s="11" t="n">
        <v>1</v>
      </c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>
        <v>1</v>
      </c>
      <c r="Z612" s="13">
        <f>SUMPRODUCT(N612:Y612,$N$2:$Y$2)*$K612*$L612*$M612</f>
        <v/>
      </c>
      <c r="AA612" s="14">
        <f>SUM(N612:Y612)</f>
        <v/>
      </c>
      <c r="AB612" s="13">
        <f>SUMPRODUCT(N612:Y612,$N$3:$Y$3)*$K612*$L612*$M612</f>
        <v/>
      </c>
      <c r="AC612" s="13">
        <f>SUMPRODUCT(N612:Y612,$N$4:$Y$4)*$K612*$L612*$M612</f>
        <v/>
      </c>
      <c r="AD612" s="15" t="n">
        <v>3</v>
      </c>
      <c r="AE612" s="11" t="n">
        <v>1.011296296296296</v>
      </c>
      <c r="AF612" s="16">
        <f>SUMPRODUCT(N612:Y612,$N$5:$Y$5)*$K612*$L612*$M612</f>
        <v/>
      </c>
      <c r="AG612" s="16">
        <f>SUMPRODUCT(N612:Y612,$N$6:$Y$6)*$K612*$L612*$M612</f>
        <v/>
      </c>
      <c r="AH612" s="20" t="n"/>
    </row>
    <row r="613">
      <c r="A613" s="9" t="n">
        <v>814816</v>
      </c>
      <c r="B613" s="9" t="inlineStr">
        <is>
          <t>Johnny Tincher</t>
        </is>
      </c>
      <c r="C613" s="9" t="inlineStr">
        <is>
          <t>BAL</t>
        </is>
      </c>
      <c r="D613" s="9" t="n">
        <v>25</v>
      </c>
      <c r="E613" s="18" t="inlineStr">
        <is>
          <t>R</t>
        </is>
      </c>
      <c r="F613" s="18" t="n"/>
      <c r="G613" s="9" t="n">
        <v>1.003333333333333</v>
      </c>
      <c r="H613" s="9" t="n">
        <v>1.003333333333333</v>
      </c>
      <c r="I613" s="9" t="inlineStr">
        <is>
          <t>Depth (no MLB IP)</t>
        </is>
      </c>
      <c r="J613" s="18" t="inlineStr">
        <is>
          <t>Opening Day</t>
        </is>
      </c>
      <c r="K613" s="11">
        <f>IFERROR(INDEX(Roles!$B$17:$B$20,MATCH(J613,Roles!$A$17:$A$20,0)),1)</f>
        <v/>
      </c>
      <c r="L613" s="19" t="n">
        <v>1</v>
      </c>
      <c r="M613" s="11" t="n">
        <v>1</v>
      </c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>
        <v>1</v>
      </c>
      <c r="Z613" s="13">
        <f>SUMPRODUCT(N613:Y613,$N$2:$Y$2)*$K613*$L613*$M613</f>
        <v/>
      </c>
      <c r="AA613" s="14">
        <f>SUM(N613:Y613)</f>
        <v/>
      </c>
      <c r="AB613" s="13">
        <f>SUMPRODUCT(N613:Y613,$N$3:$Y$3)*$K613*$L613*$M613</f>
        <v/>
      </c>
      <c r="AC613" s="13">
        <f>SUMPRODUCT(N613:Y613,$N$4:$Y$4)*$K613*$L613*$M613</f>
        <v/>
      </c>
      <c r="AD613" s="15" t="n">
        <v>3</v>
      </c>
      <c r="AE613" s="11" t="n">
        <v>1.011296296296296</v>
      </c>
      <c r="AF613" s="16">
        <f>SUMPRODUCT(N613:Y613,$N$5:$Y$5)*$K613*$L613*$M613</f>
        <v/>
      </c>
      <c r="AG613" s="16">
        <f>SUMPRODUCT(N613:Y613,$N$6:$Y$6)*$K613*$L613*$M613</f>
        <v/>
      </c>
      <c r="AH613" s="20" t="n"/>
    </row>
    <row r="614">
      <c r="A614" s="9" t="n">
        <v>802560</v>
      </c>
      <c r="B614" s="9" t="inlineStr">
        <is>
          <t>Ichiro Cano</t>
        </is>
      </c>
      <c r="C614" s="9" t="inlineStr">
        <is>
          <t>CIN</t>
        </is>
      </c>
      <c r="D614" s="9" t="n">
        <v>25</v>
      </c>
      <c r="E614" s="18" t="inlineStr">
        <is>
          <t>R</t>
        </is>
      </c>
      <c r="F614" s="18" t="n"/>
      <c r="G614" s="9" t="n">
        <v>1</v>
      </c>
      <c r="H614" s="9" t="n">
        <v>1</v>
      </c>
      <c r="I614" s="9" t="inlineStr">
        <is>
          <t>Depth (no MLB IP)</t>
        </is>
      </c>
      <c r="J614" s="18" t="inlineStr">
        <is>
          <t>Opening Day</t>
        </is>
      </c>
      <c r="K614" s="11">
        <f>IFERROR(INDEX(Roles!$B$17:$B$20,MATCH(J614,Roles!$A$17:$A$20,0)),1)</f>
        <v/>
      </c>
      <c r="L614" s="19" t="n">
        <v>1</v>
      </c>
      <c r="M614" s="11" t="n">
        <v>1</v>
      </c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>
        <v>1</v>
      </c>
      <c r="Z614" s="13">
        <f>SUMPRODUCT(N614:Y614,$N$2:$Y$2)*$K614*$L614*$M614</f>
        <v/>
      </c>
      <c r="AA614" s="14">
        <f>SUM(N614:Y614)</f>
        <v/>
      </c>
      <c r="AB614" s="13">
        <f>SUMPRODUCT(N614:Y614,$N$3:$Y$3)*$K614*$L614*$M614</f>
        <v/>
      </c>
      <c r="AC614" s="13">
        <f>SUMPRODUCT(N614:Y614,$N$4:$Y$4)*$K614*$L614*$M614</f>
        <v/>
      </c>
      <c r="AD614" s="15" t="n">
        <v>3</v>
      </c>
      <c r="AE614" s="11" t="n">
        <v>1.011296296296296</v>
      </c>
      <c r="AF614" s="16">
        <f>SUMPRODUCT(N614:Y614,$N$5:$Y$5)*$K614*$L614*$M614</f>
        <v/>
      </c>
      <c r="AG614" s="16">
        <f>SUMPRODUCT(N614:Y614,$N$6:$Y$6)*$K614*$L614*$M614</f>
        <v/>
      </c>
      <c r="AH614" s="20" t="n"/>
    </row>
    <row r="615">
      <c r="A615" s="9" t="n">
        <v>803108</v>
      </c>
      <c r="B615" s="9" t="inlineStr">
        <is>
          <t>Stone Hewlett</t>
        </is>
      </c>
      <c r="C615" s="9" t="inlineStr">
        <is>
          <t>LAA</t>
        </is>
      </c>
      <c r="D615" s="9" t="n">
        <v>25</v>
      </c>
      <c r="E615" s="18" t="inlineStr">
        <is>
          <t>L</t>
        </is>
      </c>
      <c r="F615" s="18" t="n"/>
      <c r="G615" s="9" t="n">
        <v>1</v>
      </c>
      <c r="H615" s="9" t="n">
        <v>1</v>
      </c>
      <c r="I615" s="9" t="inlineStr">
        <is>
          <t>Depth (no MLB IP)</t>
        </is>
      </c>
      <c r="J615" s="18" t="inlineStr">
        <is>
          <t>Opening Day</t>
        </is>
      </c>
      <c r="K615" s="11">
        <f>IFERROR(INDEX(Roles!$B$17:$B$20,MATCH(J615,Roles!$A$17:$A$20,0)),1)</f>
        <v/>
      </c>
      <c r="L615" s="19" t="n">
        <v>1</v>
      </c>
      <c r="M615" s="11" t="n">
        <v>1</v>
      </c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>
        <v>1</v>
      </c>
      <c r="Z615" s="13">
        <f>SUMPRODUCT(N615:Y615,$N$2:$Y$2)*$K615*$L615*$M615</f>
        <v/>
      </c>
      <c r="AA615" s="14">
        <f>SUM(N615:Y615)</f>
        <v/>
      </c>
      <c r="AB615" s="13">
        <f>SUMPRODUCT(N615:Y615,$N$3:$Y$3)*$K615*$L615*$M615</f>
        <v/>
      </c>
      <c r="AC615" s="13">
        <f>SUMPRODUCT(N615:Y615,$N$4:$Y$4)*$K615*$L615*$M615</f>
        <v/>
      </c>
      <c r="AD615" s="15" t="n">
        <v>3</v>
      </c>
      <c r="AE615" s="11" t="n">
        <v>1.011296296296296</v>
      </c>
      <c r="AF615" s="16">
        <f>SUMPRODUCT(N615:Y615,$N$5:$Y$5)*$K615*$L615*$M615</f>
        <v/>
      </c>
      <c r="AG615" s="16">
        <f>SUMPRODUCT(N615:Y615,$N$6:$Y$6)*$K615*$L615*$M615</f>
        <v/>
      </c>
      <c r="AH615" s="20" t="n"/>
    </row>
    <row r="616">
      <c r="A616" s="9" t="n">
        <v>803143</v>
      </c>
      <c r="B616" s="9" t="inlineStr">
        <is>
          <t>Seth Keener</t>
        </is>
      </c>
      <c r="C616" s="9" t="inlineStr">
        <is>
          <t>CWS</t>
        </is>
      </c>
      <c r="D616" s="9" t="n">
        <v>25</v>
      </c>
      <c r="E616" s="18" t="inlineStr">
        <is>
          <t>R</t>
        </is>
      </c>
      <c r="F616" s="18" t="n"/>
      <c r="G616" s="9" t="n">
        <v>1.003333333333333</v>
      </c>
      <c r="H616" s="9" t="n">
        <v>1.003333333333333</v>
      </c>
      <c r="I616" s="9" t="inlineStr">
        <is>
          <t>Depth (no MLB IP)</t>
        </is>
      </c>
      <c r="J616" s="18" t="inlineStr">
        <is>
          <t>Opening Day</t>
        </is>
      </c>
      <c r="K616" s="11">
        <f>IFERROR(INDEX(Roles!$B$17:$B$20,MATCH(J616,Roles!$A$17:$A$20,0)),1)</f>
        <v/>
      </c>
      <c r="L616" s="19" t="n">
        <v>1</v>
      </c>
      <c r="M616" s="11" t="n">
        <v>1</v>
      </c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>
        <v>1</v>
      </c>
      <c r="Z616" s="13">
        <f>SUMPRODUCT(N616:Y616,$N$2:$Y$2)*$K616*$L616*$M616</f>
        <v/>
      </c>
      <c r="AA616" s="14">
        <f>SUM(N616:Y616)</f>
        <v/>
      </c>
      <c r="AB616" s="13">
        <f>SUMPRODUCT(N616:Y616,$N$3:$Y$3)*$K616*$L616*$M616</f>
        <v/>
      </c>
      <c r="AC616" s="13">
        <f>SUMPRODUCT(N616:Y616,$N$4:$Y$4)*$K616*$L616*$M616</f>
        <v/>
      </c>
      <c r="AD616" s="15" t="n">
        <v>3</v>
      </c>
      <c r="AE616" s="11" t="n">
        <v>1.011296296296296</v>
      </c>
      <c r="AF616" s="16">
        <f>SUMPRODUCT(N616:Y616,$N$5:$Y$5)*$K616*$L616*$M616</f>
        <v/>
      </c>
      <c r="AG616" s="16">
        <f>SUMPRODUCT(N616:Y616,$N$6:$Y$6)*$K616*$L616*$M616</f>
        <v/>
      </c>
      <c r="AH616" s="20" t="n"/>
    </row>
    <row r="617">
      <c r="A617" s="9" t="n">
        <v>806739</v>
      </c>
      <c r="B617" s="9" t="inlineStr">
        <is>
          <t>Jayden Kim</t>
        </is>
      </c>
      <c r="C617" s="9" t="inlineStr">
        <is>
          <t>PIT</t>
        </is>
      </c>
      <c r="D617" s="9" t="n">
        <v>25</v>
      </c>
      <c r="E617" s="18" t="inlineStr">
        <is>
          <t>R</t>
        </is>
      </c>
      <c r="F617" s="18" t="n"/>
      <c r="G617" s="9" t="n">
        <v>1</v>
      </c>
      <c r="H617" s="9" t="n">
        <v>1</v>
      </c>
      <c r="I617" s="9" t="inlineStr">
        <is>
          <t>Depth (no MLB IP)</t>
        </is>
      </c>
      <c r="J617" s="18" t="inlineStr">
        <is>
          <t>Opening Day</t>
        </is>
      </c>
      <c r="K617" s="11">
        <f>IFERROR(INDEX(Roles!$B$17:$B$20,MATCH(J617,Roles!$A$17:$A$20,0)),1)</f>
        <v/>
      </c>
      <c r="L617" s="19" t="n">
        <v>1</v>
      </c>
      <c r="M617" s="11" t="n">
        <v>1</v>
      </c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>
        <v>1</v>
      </c>
      <c r="Z617" s="13">
        <f>SUMPRODUCT(N617:Y617,$N$2:$Y$2)*$K617*$L617*$M617</f>
        <v/>
      </c>
      <c r="AA617" s="14">
        <f>SUM(N617:Y617)</f>
        <v/>
      </c>
      <c r="AB617" s="13">
        <f>SUMPRODUCT(N617:Y617,$N$3:$Y$3)*$K617*$L617*$M617</f>
        <v/>
      </c>
      <c r="AC617" s="13">
        <f>SUMPRODUCT(N617:Y617,$N$4:$Y$4)*$K617*$L617*$M617</f>
        <v/>
      </c>
      <c r="AD617" s="15" t="n">
        <v>3</v>
      </c>
      <c r="AE617" s="11" t="n">
        <v>1.011296296296296</v>
      </c>
      <c r="AF617" s="16">
        <f>SUMPRODUCT(N617:Y617,$N$5:$Y$5)*$K617*$L617*$M617</f>
        <v/>
      </c>
      <c r="AG617" s="16">
        <f>SUMPRODUCT(N617:Y617,$N$6:$Y$6)*$K617*$L617*$M617</f>
        <v/>
      </c>
      <c r="AH617" s="20" t="n"/>
    </row>
    <row r="618">
      <c r="A618" s="9" t="n">
        <v>807026</v>
      </c>
      <c r="B618" s="9" t="inlineStr">
        <is>
          <t>Aiden Taggart</t>
        </is>
      </c>
      <c r="C618" s="9" t="inlineStr">
        <is>
          <t>TOR</t>
        </is>
      </c>
      <c r="D618" s="9" t="n">
        <v>25</v>
      </c>
      <c r="E618" s="18" t="inlineStr">
        <is>
          <t>R</t>
        </is>
      </c>
      <c r="F618" s="18" t="n"/>
      <c r="G618" s="9" t="n">
        <v>1</v>
      </c>
      <c r="H618" s="9" t="n">
        <v>1</v>
      </c>
      <c r="I618" s="9" t="inlineStr">
        <is>
          <t>Depth (no MLB IP)</t>
        </is>
      </c>
      <c r="J618" s="18" t="inlineStr">
        <is>
          <t>Opening Day</t>
        </is>
      </c>
      <c r="K618" s="11">
        <f>IFERROR(INDEX(Roles!$B$17:$B$20,MATCH(J618,Roles!$A$17:$A$20,0)),1)</f>
        <v/>
      </c>
      <c r="L618" s="19" t="n">
        <v>1</v>
      </c>
      <c r="M618" s="11" t="n">
        <v>1</v>
      </c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>
        <v>1</v>
      </c>
      <c r="Z618" s="13">
        <f>SUMPRODUCT(N618:Y618,$N$2:$Y$2)*$K618*$L618*$M618</f>
        <v/>
      </c>
      <c r="AA618" s="14">
        <f>SUM(N618:Y618)</f>
        <v/>
      </c>
      <c r="AB618" s="13">
        <f>SUMPRODUCT(N618:Y618,$N$3:$Y$3)*$K618*$L618*$M618</f>
        <v/>
      </c>
      <c r="AC618" s="13">
        <f>SUMPRODUCT(N618:Y618,$N$4:$Y$4)*$K618*$L618*$M618</f>
        <v/>
      </c>
      <c r="AD618" s="15" t="n">
        <v>3</v>
      </c>
      <c r="AE618" s="11" t="n">
        <v>1.011296296296296</v>
      </c>
      <c r="AF618" s="16">
        <f>SUMPRODUCT(N618:Y618,$N$5:$Y$5)*$K618*$L618*$M618</f>
        <v/>
      </c>
      <c r="AG618" s="16">
        <f>SUMPRODUCT(N618:Y618,$N$6:$Y$6)*$K618*$L618*$M618</f>
        <v/>
      </c>
      <c r="AH618" s="20" t="n"/>
    </row>
    <row r="619">
      <c r="A619" s="9" t="n">
        <v>824667</v>
      </c>
      <c r="B619" s="9" t="inlineStr">
        <is>
          <t>Owen Puk</t>
        </is>
      </c>
      <c r="C619" s="9" t="inlineStr">
        <is>
          <t>WSH</t>
        </is>
      </c>
      <c r="D619" s="9" t="n">
        <v>25</v>
      </c>
      <c r="E619" s="18" t="inlineStr">
        <is>
          <t>R</t>
        </is>
      </c>
      <c r="F619" s="18" t="n"/>
      <c r="G619" s="9" t="n">
        <v>1.032</v>
      </c>
      <c r="H619" s="9" t="n">
        <v>1.032</v>
      </c>
      <c r="I619" s="9" t="inlineStr">
        <is>
          <t>Depth (no MLB IP)</t>
        </is>
      </c>
      <c r="J619" s="18" t="inlineStr">
        <is>
          <t>Opening Day</t>
        </is>
      </c>
      <c r="K619" s="11">
        <f>IFERROR(INDEX(Roles!$B$17:$B$20,MATCH(J619,Roles!$A$17:$A$20,0)),1)</f>
        <v/>
      </c>
      <c r="L619" s="19" t="n">
        <v>1</v>
      </c>
      <c r="M619" s="11" t="n">
        <v>1</v>
      </c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>
        <v>1</v>
      </c>
      <c r="Z619" s="13">
        <f>SUMPRODUCT(N619:Y619,$N$2:$Y$2)*$K619*$L619*$M619</f>
        <v/>
      </c>
      <c r="AA619" s="14">
        <f>SUM(N619:Y619)</f>
        <v/>
      </c>
      <c r="AB619" s="13">
        <f>SUMPRODUCT(N619:Y619,$N$3:$Y$3)*$K619*$L619*$M619</f>
        <v/>
      </c>
      <c r="AC619" s="13">
        <f>SUMPRODUCT(N619:Y619,$N$4:$Y$4)*$K619*$L619*$M619</f>
        <v/>
      </c>
      <c r="AD619" s="15" t="n">
        <v>3</v>
      </c>
      <c r="AE619" s="11" t="n">
        <v>1.011296296296296</v>
      </c>
      <c r="AF619" s="16">
        <f>SUMPRODUCT(N619:Y619,$N$5:$Y$5)*$K619*$L619*$M619</f>
        <v/>
      </c>
      <c r="AG619" s="16">
        <f>SUMPRODUCT(N619:Y619,$N$6:$Y$6)*$K619*$L619*$M619</f>
        <v/>
      </c>
      <c r="AH619" s="20" t="n"/>
    </row>
    <row r="620">
      <c r="A620" s="9" t="n">
        <v>691793</v>
      </c>
      <c r="B620" s="9" t="inlineStr">
        <is>
          <t>Charlie Saum</t>
        </is>
      </c>
      <c r="C620" s="9" t="inlineStr">
        <is>
          <t>TOR</t>
        </is>
      </c>
      <c r="D620" s="9" t="n">
        <v>25</v>
      </c>
      <c r="E620" s="18" t="inlineStr">
        <is>
          <t>R</t>
        </is>
      </c>
      <c r="F620" s="18" t="n"/>
      <c r="G620" s="9" t="n">
        <v>1</v>
      </c>
      <c r="H620" s="9" t="n">
        <v>1</v>
      </c>
      <c r="I620" s="9" t="inlineStr">
        <is>
          <t>Depth (no MLB IP)</t>
        </is>
      </c>
      <c r="J620" s="18" t="inlineStr">
        <is>
          <t>Opening Day</t>
        </is>
      </c>
      <c r="K620" s="11">
        <f>IFERROR(INDEX(Roles!$B$17:$B$20,MATCH(J620,Roles!$A$17:$A$20,0)),1)</f>
        <v/>
      </c>
      <c r="L620" s="19" t="n">
        <v>1</v>
      </c>
      <c r="M620" s="11" t="n">
        <v>1</v>
      </c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>
        <v>1</v>
      </c>
      <c r="Z620" s="13">
        <f>SUMPRODUCT(N620:Y620,$N$2:$Y$2)*$K620*$L620*$M620</f>
        <v/>
      </c>
      <c r="AA620" s="14">
        <f>SUM(N620:Y620)</f>
        <v/>
      </c>
      <c r="AB620" s="13">
        <f>SUMPRODUCT(N620:Y620,$N$3:$Y$3)*$K620*$L620*$M620</f>
        <v/>
      </c>
      <c r="AC620" s="13">
        <f>SUMPRODUCT(N620:Y620,$N$4:$Y$4)*$K620*$L620*$M620</f>
        <v/>
      </c>
      <c r="AD620" s="15" t="n">
        <v>3</v>
      </c>
      <c r="AE620" s="11" t="n">
        <v>1.011296296296296</v>
      </c>
      <c r="AF620" s="16">
        <f>SUMPRODUCT(N620:Y620,$N$5:$Y$5)*$K620*$L620*$M620</f>
        <v/>
      </c>
      <c r="AG620" s="16">
        <f>SUMPRODUCT(N620:Y620,$N$6:$Y$6)*$K620*$L620*$M620</f>
        <v/>
      </c>
      <c r="AH620" s="20" t="n"/>
    </row>
    <row r="621">
      <c r="A621" s="9" t="n">
        <v>800299</v>
      </c>
      <c r="B621" s="9" t="inlineStr">
        <is>
          <t>Diomedes Hernandez</t>
        </is>
      </c>
      <c r="C621" s="9" t="inlineStr">
        <is>
          <t>NYY</t>
        </is>
      </c>
      <c r="D621" s="9" t="n">
        <v>25</v>
      </c>
      <c r="E621" s="18" t="inlineStr">
        <is>
          <t>R</t>
        </is>
      </c>
      <c r="F621" s="18" t="n"/>
      <c r="G621" s="9" t="n">
        <v>1.003333333333333</v>
      </c>
      <c r="H621" s="9" t="n">
        <v>1.003333333333333</v>
      </c>
      <c r="I621" s="9" t="inlineStr">
        <is>
          <t>Depth (no MLB IP)</t>
        </is>
      </c>
      <c r="J621" s="18" t="inlineStr">
        <is>
          <t>Opening Day</t>
        </is>
      </c>
      <c r="K621" s="11">
        <f>IFERROR(INDEX(Roles!$B$17:$B$20,MATCH(J621,Roles!$A$17:$A$20,0)),1)</f>
        <v/>
      </c>
      <c r="L621" s="19" t="n">
        <v>1</v>
      </c>
      <c r="M621" s="11" t="n">
        <v>1</v>
      </c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>
        <v>1</v>
      </c>
      <c r="Z621" s="13">
        <f>SUMPRODUCT(N621:Y621,$N$2:$Y$2)*$K621*$L621*$M621</f>
        <v/>
      </c>
      <c r="AA621" s="14">
        <f>SUM(N621:Y621)</f>
        <v/>
      </c>
      <c r="AB621" s="13">
        <f>SUMPRODUCT(N621:Y621,$N$3:$Y$3)*$K621*$L621*$M621</f>
        <v/>
      </c>
      <c r="AC621" s="13">
        <f>SUMPRODUCT(N621:Y621,$N$4:$Y$4)*$K621*$L621*$M621</f>
        <v/>
      </c>
      <c r="AD621" s="15" t="n">
        <v>3</v>
      </c>
      <c r="AE621" s="11" t="n">
        <v>1.011296296296296</v>
      </c>
      <c r="AF621" s="16">
        <f>SUMPRODUCT(N621:Y621,$N$5:$Y$5)*$K621*$L621*$M621</f>
        <v/>
      </c>
      <c r="AG621" s="16">
        <f>SUMPRODUCT(N621:Y621,$N$6:$Y$6)*$K621*$L621*$M621</f>
        <v/>
      </c>
      <c r="AH621" s="20" t="n"/>
    </row>
    <row r="622">
      <c r="A622" s="9" t="n">
        <v>800431</v>
      </c>
      <c r="B622" s="9" t="inlineStr">
        <is>
          <t>Cesar Rivera</t>
        </is>
      </c>
      <c r="C622" s="9" t="inlineStr">
        <is>
          <t>NYM</t>
        </is>
      </c>
      <c r="D622" s="9" t="n">
        <v>25</v>
      </c>
      <c r="E622" s="18" t="inlineStr">
        <is>
          <t>L</t>
        </is>
      </c>
      <c r="F622" s="18" t="n"/>
      <c r="G622" s="9" t="n">
        <v>1</v>
      </c>
      <c r="H622" s="9" t="n">
        <v>1</v>
      </c>
      <c r="I622" s="9" t="inlineStr">
        <is>
          <t>Depth (no MLB IP)</t>
        </is>
      </c>
      <c r="J622" s="18" t="inlineStr">
        <is>
          <t>Opening Day</t>
        </is>
      </c>
      <c r="K622" s="11">
        <f>IFERROR(INDEX(Roles!$B$17:$B$20,MATCH(J622,Roles!$A$17:$A$20,0)),1)</f>
        <v/>
      </c>
      <c r="L622" s="19" t="n">
        <v>1</v>
      </c>
      <c r="M622" s="11" t="n">
        <v>1</v>
      </c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>
        <v>1</v>
      </c>
      <c r="Z622" s="13">
        <f>SUMPRODUCT(N622:Y622,$N$2:$Y$2)*$K622*$L622*$M622</f>
        <v/>
      </c>
      <c r="AA622" s="14">
        <f>SUM(N622:Y622)</f>
        <v/>
      </c>
      <c r="AB622" s="13">
        <f>SUMPRODUCT(N622:Y622,$N$3:$Y$3)*$K622*$L622*$M622</f>
        <v/>
      </c>
      <c r="AC622" s="13">
        <f>SUMPRODUCT(N622:Y622,$N$4:$Y$4)*$K622*$L622*$M622</f>
        <v/>
      </c>
      <c r="AD622" s="15" t="n">
        <v>3</v>
      </c>
      <c r="AE622" s="11" t="n">
        <v>1.011296296296296</v>
      </c>
      <c r="AF622" s="16">
        <f>SUMPRODUCT(N622:Y622,$N$5:$Y$5)*$K622*$L622*$M622</f>
        <v/>
      </c>
      <c r="AG622" s="16">
        <f>SUMPRODUCT(N622:Y622,$N$6:$Y$6)*$K622*$L622*$M622</f>
        <v/>
      </c>
      <c r="AH622" s="20" t="n"/>
    </row>
    <row r="623">
      <c r="A623" s="9" t="n">
        <v>800345</v>
      </c>
      <c r="B623" s="9" t="inlineStr">
        <is>
          <t>Juan Baez</t>
        </is>
      </c>
      <c r="C623" s="9" t="inlineStr">
        <is>
          <t>MIL</t>
        </is>
      </c>
      <c r="D623" s="9" t="n">
        <v>25</v>
      </c>
      <c r="E623" s="18" t="inlineStr">
        <is>
          <t>R</t>
        </is>
      </c>
      <c r="F623" s="18" t="n"/>
      <c r="G623" s="9" t="n">
        <v>1</v>
      </c>
      <c r="H623" s="9" t="n">
        <v>1</v>
      </c>
      <c r="I623" s="9" t="inlineStr">
        <is>
          <t>Depth (no MLB IP)</t>
        </is>
      </c>
      <c r="J623" s="18" t="inlineStr">
        <is>
          <t>Opening Day</t>
        </is>
      </c>
      <c r="K623" s="11">
        <f>IFERROR(INDEX(Roles!$B$17:$B$20,MATCH(J623,Roles!$A$17:$A$20,0)),1)</f>
        <v/>
      </c>
      <c r="L623" s="19" t="n">
        <v>1</v>
      </c>
      <c r="M623" s="11" t="n">
        <v>1</v>
      </c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>
        <v>1</v>
      </c>
      <c r="Z623" s="13">
        <f>SUMPRODUCT(N623:Y623,$N$2:$Y$2)*$K623*$L623*$M623</f>
        <v/>
      </c>
      <c r="AA623" s="14">
        <f>SUM(N623:Y623)</f>
        <v/>
      </c>
      <c r="AB623" s="13">
        <f>SUMPRODUCT(N623:Y623,$N$3:$Y$3)*$K623*$L623*$M623</f>
        <v/>
      </c>
      <c r="AC623" s="13">
        <f>SUMPRODUCT(N623:Y623,$N$4:$Y$4)*$K623*$L623*$M623</f>
        <v/>
      </c>
      <c r="AD623" s="15" t="n">
        <v>3</v>
      </c>
      <c r="AE623" s="11" t="n">
        <v>1.011296296296296</v>
      </c>
      <c r="AF623" s="16">
        <f>SUMPRODUCT(N623:Y623,$N$5:$Y$5)*$K623*$L623*$M623</f>
        <v/>
      </c>
      <c r="AG623" s="16">
        <f>SUMPRODUCT(N623:Y623,$N$6:$Y$6)*$K623*$L623*$M623</f>
        <v/>
      </c>
      <c r="AH623" s="20" t="n"/>
    </row>
    <row r="624">
      <c r="A624" s="9" t="n">
        <v>800346</v>
      </c>
      <c r="B624" s="9" t="inlineStr">
        <is>
          <t>Juanfel Peguero</t>
        </is>
      </c>
      <c r="C624" s="9" t="inlineStr">
        <is>
          <t>TB</t>
        </is>
      </c>
      <c r="D624" s="9" t="n">
        <v>25</v>
      </c>
      <c r="E624" s="18" t="inlineStr">
        <is>
          <t>R</t>
        </is>
      </c>
      <c r="F624" s="18" t="n"/>
      <c r="G624" s="9" t="n">
        <v>1</v>
      </c>
      <c r="H624" s="9" t="n">
        <v>1</v>
      </c>
      <c r="I624" s="9" t="inlineStr">
        <is>
          <t>Depth (no MLB IP)</t>
        </is>
      </c>
      <c r="J624" s="18" t="inlineStr">
        <is>
          <t>Opening Day</t>
        </is>
      </c>
      <c r="K624" s="11">
        <f>IFERROR(INDEX(Roles!$B$17:$B$20,MATCH(J624,Roles!$A$17:$A$20,0)),1)</f>
        <v/>
      </c>
      <c r="L624" s="19" t="n">
        <v>1</v>
      </c>
      <c r="M624" s="11" t="n">
        <v>1</v>
      </c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>
        <v>1</v>
      </c>
      <c r="Z624" s="13">
        <f>SUMPRODUCT(N624:Y624,$N$2:$Y$2)*$K624*$L624*$M624</f>
        <v/>
      </c>
      <c r="AA624" s="14">
        <f>SUM(N624:Y624)</f>
        <v/>
      </c>
      <c r="AB624" s="13">
        <f>SUMPRODUCT(N624:Y624,$N$3:$Y$3)*$K624*$L624*$M624</f>
        <v/>
      </c>
      <c r="AC624" s="13">
        <f>SUMPRODUCT(N624:Y624,$N$4:$Y$4)*$K624*$L624*$M624</f>
        <v/>
      </c>
      <c r="AD624" s="15" t="n">
        <v>3</v>
      </c>
      <c r="AE624" s="11" t="n">
        <v>1.011296296296296</v>
      </c>
      <c r="AF624" s="16">
        <f>SUMPRODUCT(N624:Y624,$N$5:$Y$5)*$K624*$L624*$M624</f>
        <v/>
      </c>
      <c r="AG624" s="16">
        <f>SUMPRODUCT(N624:Y624,$N$6:$Y$6)*$K624*$L624*$M624</f>
        <v/>
      </c>
      <c r="AH624" s="20" t="n"/>
    </row>
    <row r="625">
      <c r="A625" s="9" t="n">
        <v>803679</v>
      </c>
      <c r="B625" s="9" t="inlineStr">
        <is>
          <t>Sammy Hernandez</t>
        </is>
      </c>
      <c r="C625" s="9" t="inlineStr">
        <is>
          <t>STL</t>
        </is>
      </c>
      <c r="D625" s="9" t="n">
        <v>25</v>
      </c>
      <c r="E625" s="18" t="inlineStr">
        <is>
          <t>R</t>
        </is>
      </c>
      <c r="F625" s="18" t="n"/>
      <c r="G625" s="9" t="n">
        <v>1</v>
      </c>
      <c r="H625" s="9" t="n">
        <v>1</v>
      </c>
      <c r="I625" s="9" t="inlineStr">
        <is>
          <t>Depth (no MLB IP)</t>
        </is>
      </c>
      <c r="J625" s="18" t="inlineStr">
        <is>
          <t>Opening Day</t>
        </is>
      </c>
      <c r="K625" s="11">
        <f>IFERROR(INDEX(Roles!$B$17:$B$20,MATCH(J625,Roles!$A$17:$A$20,0)),1)</f>
        <v/>
      </c>
      <c r="L625" s="19" t="n">
        <v>1</v>
      </c>
      <c r="M625" s="11" t="n">
        <v>1</v>
      </c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>
        <v>1</v>
      </c>
      <c r="Z625" s="13">
        <f>SUMPRODUCT(N625:Y625,$N$2:$Y$2)*$K625*$L625*$M625</f>
        <v/>
      </c>
      <c r="AA625" s="14">
        <f>SUM(N625:Y625)</f>
        <v/>
      </c>
      <c r="AB625" s="13">
        <f>SUMPRODUCT(N625:Y625,$N$3:$Y$3)*$K625*$L625*$M625</f>
        <v/>
      </c>
      <c r="AC625" s="13">
        <f>SUMPRODUCT(N625:Y625,$N$4:$Y$4)*$K625*$L625*$M625</f>
        <v/>
      </c>
      <c r="AD625" s="15" t="n">
        <v>3</v>
      </c>
      <c r="AE625" s="11" t="n">
        <v>1.011296296296296</v>
      </c>
      <c r="AF625" s="16">
        <f>SUMPRODUCT(N625:Y625,$N$5:$Y$5)*$K625*$L625*$M625</f>
        <v/>
      </c>
      <c r="AG625" s="16">
        <f>SUMPRODUCT(N625:Y625,$N$6:$Y$6)*$K625*$L625*$M625</f>
        <v/>
      </c>
      <c r="AH625" s="20" t="n"/>
    </row>
    <row r="626">
      <c r="A626" s="9" t="n">
        <v>803426</v>
      </c>
      <c r="B626" s="9" t="inlineStr">
        <is>
          <t>Carlos Cauro</t>
        </is>
      </c>
      <c r="C626" s="9" t="inlineStr">
        <is>
          <t>HOU</t>
        </is>
      </c>
      <c r="D626" s="9" t="n">
        <v>25</v>
      </c>
      <c r="E626" s="18" t="inlineStr">
        <is>
          <t>R</t>
        </is>
      </c>
      <c r="F626" s="18" t="n"/>
      <c r="G626" s="9" t="n">
        <v>1</v>
      </c>
      <c r="H626" s="9" t="n">
        <v>1</v>
      </c>
      <c r="I626" s="9" t="inlineStr">
        <is>
          <t>Depth (no MLB IP)</t>
        </is>
      </c>
      <c r="J626" s="18" t="inlineStr">
        <is>
          <t>Opening Day</t>
        </is>
      </c>
      <c r="K626" s="11">
        <f>IFERROR(INDEX(Roles!$B$17:$B$20,MATCH(J626,Roles!$A$17:$A$20,0)),1)</f>
        <v/>
      </c>
      <c r="L626" s="19" t="n">
        <v>1</v>
      </c>
      <c r="M626" s="11" t="n">
        <v>1</v>
      </c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>
        <v>1</v>
      </c>
      <c r="Z626" s="13">
        <f>SUMPRODUCT(N626:Y626,$N$2:$Y$2)*$K626*$L626*$M626</f>
        <v/>
      </c>
      <c r="AA626" s="14">
        <f>SUM(N626:Y626)</f>
        <v/>
      </c>
      <c r="AB626" s="13">
        <f>SUMPRODUCT(N626:Y626,$N$3:$Y$3)*$K626*$L626*$M626</f>
        <v/>
      </c>
      <c r="AC626" s="13">
        <f>SUMPRODUCT(N626:Y626,$N$4:$Y$4)*$K626*$L626*$M626</f>
        <v/>
      </c>
      <c r="AD626" s="15" t="n">
        <v>3</v>
      </c>
      <c r="AE626" s="11" t="n">
        <v>1.011296296296296</v>
      </c>
      <c r="AF626" s="16">
        <f>SUMPRODUCT(N626:Y626,$N$5:$Y$5)*$K626*$L626*$M626</f>
        <v/>
      </c>
      <c r="AG626" s="16">
        <f>SUMPRODUCT(N626:Y626,$N$6:$Y$6)*$K626*$L626*$M626</f>
        <v/>
      </c>
      <c r="AH626" s="20" t="n"/>
    </row>
    <row r="627">
      <c r="A627" s="9" t="n">
        <v>673945</v>
      </c>
      <c r="B627" s="9" t="inlineStr">
        <is>
          <t>Freuddy Batista</t>
        </is>
      </c>
      <c r="C627" s="9" t="inlineStr">
        <is>
          <t>HOU</t>
        </is>
      </c>
      <c r="D627" s="9" t="n">
        <v>25</v>
      </c>
      <c r="E627" s="18" t="inlineStr">
        <is>
          <t>R</t>
        </is>
      </c>
      <c r="F627" s="18" t="n"/>
      <c r="G627" s="9" t="n">
        <v>1</v>
      </c>
      <c r="H627" s="9" t="n">
        <v>1</v>
      </c>
      <c r="I627" s="9" t="inlineStr">
        <is>
          <t>Depth (no MLB IP)</t>
        </is>
      </c>
      <c r="J627" s="18" t="inlineStr">
        <is>
          <t>Opening Day</t>
        </is>
      </c>
      <c r="K627" s="11">
        <f>IFERROR(INDEX(Roles!$B$17:$B$20,MATCH(J627,Roles!$A$17:$A$20,0)),1)</f>
        <v/>
      </c>
      <c r="L627" s="19" t="n">
        <v>1</v>
      </c>
      <c r="M627" s="11" t="n">
        <v>1</v>
      </c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>
        <v>1</v>
      </c>
      <c r="Z627" s="13">
        <f>SUMPRODUCT(N627:Y627,$N$2:$Y$2)*$K627*$L627*$M627</f>
        <v/>
      </c>
      <c r="AA627" s="14">
        <f>SUM(N627:Y627)</f>
        <v/>
      </c>
      <c r="AB627" s="13">
        <f>SUMPRODUCT(N627:Y627,$N$3:$Y$3)*$K627*$L627*$M627</f>
        <v/>
      </c>
      <c r="AC627" s="13">
        <f>SUMPRODUCT(N627:Y627,$N$4:$Y$4)*$K627*$L627*$M627</f>
        <v/>
      </c>
      <c r="AD627" s="15" t="n">
        <v>3</v>
      </c>
      <c r="AE627" s="11" t="n">
        <v>1.011296296296296</v>
      </c>
      <c r="AF627" s="16">
        <f>SUMPRODUCT(N627:Y627,$N$5:$Y$5)*$K627*$L627*$M627</f>
        <v/>
      </c>
      <c r="AG627" s="16">
        <f>SUMPRODUCT(N627:Y627,$N$6:$Y$6)*$K627*$L627*$M627</f>
        <v/>
      </c>
      <c r="AH627" s="20" t="n"/>
    </row>
    <row r="628">
      <c r="A628" s="9" t="n">
        <v>830627</v>
      </c>
      <c r="B628" s="9" t="inlineStr">
        <is>
          <t>Nate Smithburg</t>
        </is>
      </c>
      <c r="C628" s="9" t="inlineStr">
        <is>
          <t>TB</t>
        </is>
      </c>
      <c r="D628" s="9" t="n">
        <v>25</v>
      </c>
      <c r="E628" s="18" t="inlineStr">
        <is>
          <t>L</t>
        </is>
      </c>
      <c r="F628" s="18" t="n"/>
      <c r="G628" s="9" t="n">
        <v>1</v>
      </c>
      <c r="H628" s="9" t="n">
        <v>1</v>
      </c>
      <c r="I628" s="9" t="inlineStr">
        <is>
          <t>Depth (no MLB IP)</t>
        </is>
      </c>
      <c r="J628" s="18" t="inlineStr">
        <is>
          <t>Opening Day</t>
        </is>
      </c>
      <c r="K628" s="11">
        <f>IFERROR(INDEX(Roles!$B$17:$B$20,MATCH(J628,Roles!$A$17:$A$20,0)),1)</f>
        <v/>
      </c>
      <c r="L628" s="19" t="n">
        <v>1</v>
      </c>
      <c r="M628" s="11" t="n">
        <v>1</v>
      </c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>
        <v>1</v>
      </c>
      <c r="Z628" s="13">
        <f>SUMPRODUCT(N628:Y628,$N$2:$Y$2)*$K628*$L628*$M628</f>
        <v/>
      </c>
      <c r="AA628" s="14">
        <f>SUM(N628:Y628)</f>
        <v/>
      </c>
      <c r="AB628" s="13">
        <f>SUMPRODUCT(N628:Y628,$N$3:$Y$3)*$K628*$L628*$M628</f>
        <v/>
      </c>
      <c r="AC628" s="13">
        <f>SUMPRODUCT(N628:Y628,$N$4:$Y$4)*$K628*$L628*$M628</f>
        <v/>
      </c>
      <c r="AD628" s="15" t="n">
        <v>3</v>
      </c>
      <c r="AE628" s="11" t="n">
        <v>1.011296296296296</v>
      </c>
      <c r="AF628" s="16">
        <f>SUMPRODUCT(N628:Y628,$N$5:$Y$5)*$K628*$L628*$M628</f>
        <v/>
      </c>
      <c r="AG628" s="16">
        <f>SUMPRODUCT(N628:Y628,$N$6:$Y$6)*$K628*$L628*$M628</f>
        <v/>
      </c>
      <c r="AH628" s="20" t="n"/>
    </row>
    <row r="629">
      <c r="A629" s="9" t="n">
        <v>830186</v>
      </c>
      <c r="B629" s="9" t="inlineStr">
        <is>
          <t>Alex Petrovic</t>
        </is>
      </c>
      <c r="C629" s="9" t="inlineStr">
        <is>
          <t>NYM</t>
        </is>
      </c>
      <c r="D629" s="9" t="n">
        <v>25</v>
      </c>
      <c r="E629" s="18" t="inlineStr">
        <is>
          <t>R</t>
        </is>
      </c>
      <c r="F629" s="18" t="n"/>
      <c r="G629" s="9" t="n">
        <v>1</v>
      </c>
      <c r="H629" s="9" t="n">
        <v>1</v>
      </c>
      <c r="I629" s="9" t="inlineStr">
        <is>
          <t>Depth (no MLB IP)</t>
        </is>
      </c>
      <c r="J629" s="18" t="inlineStr">
        <is>
          <t>Opening Day</t>
        </is>
      </c>
      <c r="K629" s="11">
        <f>IFERROR(INDEX(Roles!$B$17:$B$20,MATCH(J629,Roles!$A$17:$A$20,0)),1)</f>
        <v/>
      </c>
      <c r="L629" s="19" t="n">
        <v>1</v>
      </c>
      <c r="M629" s="11" t="n">
        <v>1</v>
      </c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>
        <v>1</v>
      </c>
      <c r="Z629" s="13">
        <f>SUMPRODUCT(N629:Y629,$N$2:$Y$2)*$K629*$L629*$M629</f>
        <v/>
      </c>
      <c r="AA629" s="14">
        <f>SUM(N629:Y629)</f>
        <v/>
      </c>
      <c r="AB629" s="13">
        <f>SUMPRODUCT(N629:Y629,$N$3:$Y$3)*$K629*$L629*$M629</f>
        <v/>
      </c>
      <c r="AC629" s="13">
        <f>SUMPRODUCT(N629:Y629,$N$4:$Y$4)*$K629*$L629*$M629</f>
        <v/>
      </c>
      <c r="AD629" s="15" t="n">
        <v>3</v>
      </c>
      <c r="AE629" s="11" t="n">
        <v>1.011296296296296</v>
      </c>
      <c r="AF629" s="16">
        <f>SUMPRODUCT(N629:Y629,$N$5:$Y$5)*$K629*$L629*$M629</f>
        <v/>
      </c>
      <c r="AG629" s="16">
        <f>SUMPRODUCT(N629:Y629,$N$6:$Y$6)*$K629*$L629*$M629</f>
        <v/>
      </c>
      <c r="AH629" s="20" t="n"/>
    </row>
    <row r="630">
      <c r="A630" s="9" t="n">
        <v>691269</v>
      </c>
      <c r="B630" s="9" t="inlineStr">
        <is>
          <t>Adrian Placencia</t>
        </is>
      </c>
      <c r="C630" s="9" t="inlineStr">
        <is>
          <t>LAA</t>
        </is>
      </c>
      <c r="D630" s="9" t="n">
        <v>25</v>
      </c>
      <c r="E630" s="18" t="inlineStr">
        <is>
          <t>R</t>
        </is>
      </c>
      <c r="F630" s="18" t="n"/>
      <c r="G630" s="9" t="n">
        <v>1</v>
      </c>
      <c r="H630" s="9" t="n">
        <v>1</v>
      </c>
      <c r="I630" s="9" t="inlineStr">
        <is>
          <t>Depth (no MLB IP)</t>
        </is>
      </c>
      <c r="J630" s="18" t="inlineStr">
        <is>
          <t>Opening Day</t>
        </is>
      </c>
      <c r="K630" s="11">
        <f>IFERROR(INDEX(Roles!$B$17:$B$20,MATCH(J630,Roles!$A$17:$A$20,0)),1)</f>
        <v/>
      </c>
      <c r="L630" s="19" t="n">
        <v>1</v>
      </c>
      <c r="M630" s="11" t="n">
        <v>1</v>
      </c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>
        <v>1</v>
      </c>
      <c r="Z630" s="13">
        <f>SUMPRODUCT(N630:Y630,$N$2:$Y$2)*$K630*$L630*$M630</f>
        <v/>
      </c>
      <c r="AA630" s="14">
        <f>SUM(N630:Y630)</f>
        <v/>
      </c>
      <c r="AB630" s="13">
        <f>SUMPRODUCT(N630:Y630,$N$3:$Y$3)*$K630*$L630*$M630</f>
        <v/>
      </c>
      <c r="AC630" s="13">
        <f>SUMPRODUCT(N630:Y630,$N$4:$Y$4)*$K630*$L630*$M630</f>
        <v/>
      </c>
      <c r="AD630" s="15" t="n">
        <v>3</v>
      </c>
      <c r="AE630" s="11" t="n">
        <v>1.011296296296296</v>
      </c>
      <c r="AF630" s="16">
        <f>SUMPRODUCT(N630:Y630,$N$5:$Y$5)*$K630*$L630*$M630</f>
        <v/>
      </c>
      <c r="AG630" s="16">
        <f>SUMPRODUCT(N630:Y630,$N$6:$Y$6)*$K630*$L630*$M630</f>
        <v/>
      </c>
      <c r="AH630" s="20" t="n"/>
    </row>
    <row r="631">
      <c r="A631" s="9" t="n">
        <v>826313</v>
      </c>
      <c r="B631" s="9" t="inlineStr">
        <is>
          <t>Owen Rice</t>
        </is>
      </c>
      <c r="C631" s="9" t="inlineStr">
        <is>
          <t>STL</t>
        </is>
      </c>
      <c r="D631" s="9" t="n">
        <v>25</v>
      </c>
      <c r="E631" s="18" t="inlineStr">
        <is>
          <t>L</t>
        </is>
      </c>
      <c r="F631" s="18" t="n"/>
      <c r="G631" s="9" t="n">
        <v>1</v>
      </c>
      <c r="H631" s="9" t="n">
        <v>1</v>
      </c>
      <c r="I631" s="9" t="inlineStr">
        <is>
          <t>Depth (no MLB IP)</t>
        </is>
      </c>
      <c r="J631" s="18" t="inlineStr">
        <is>
          <t>Opening Day</t>
        </is>
      </c>
      <c r="K631" s="11">
        <f>IFERROR(INDEX(Roles!$B$17:$B$20,MATCH(J631,Roles!$A$17:$A$20,0)),1)</f>
        <v/>
      </c>
      <c r="L631" s="19" t="n">
        <v>1</v>
      </c>
      <c r="M631" s="11" t="n">
        <v>1</v>
      </c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>
        <v>1</v>
      </c>
      <c r="Z631" s="13">
        <f>SUMPRODUCT(N631:Y631,$N$2:$Y$2)*$K631*$L631*$M631</f>
        <v/>
      </c>
      <c r="AA631" s="14">
        <f>SUM(N631:Y631)</f>
        <v/>
      </c>
      <c r="AB631" s="13">
        <f>SUMPRODUCT(N631:Y631,$N$3:$Y$3)*$K631*$L631*$M631</f>
        <v/>
      </c>
      <c r="AC631" s="13">
        <f>SUMPRODUCT(N631:Y631,$N$4:$Y$4)*$K631*$L631*$M631</f>
        <v/>
      </c>
      <c r="AD631" s="15" t="n">
        <v>3</v>
      </c>
      <c r="AE631" s="11" t="n">
        <v>1.011296296296296</v>
      </c>
      <c r="AF631" s="16">
        <f>SUMPRODUCT(N631:Y631,$N$5:$Y$5)*$K631*$L631*$M631</f>
        <v/>
      </c>
      <c r="AG631" s="16">
        <f>SUMPRODUCT(N631:Y631,$N$6:$Y$6)*$K631*$L631*$M631</f>
        <v/>
      </c>
      <c r="AH631" s="20" t="n"/>
    </row>
    <row r="632">
      <c r="A632" s="9" t="n">
        <v>826163</v>
      </c>
      <c r="B632" s="9" t="inlineStr">
        <is>
          <t>Carter Dorighi</t>
        </is>
      </c>
      <c r="C632" s="9" t="inlineStr">
        <is>
          <t>SEA</t>
        </is>
      </c>
      <c r="D632" s="9" t="n">
        <v>25</v>
      </c>
      <c r="E632" s="18" t="inlineStr">
        <is>
          <t>R</t>
        </is>
      </c>
      <c r="F632" s="18" t="n"/>
      <c r="G632" s="9" t="n">
        <v>1</v>
      </c>
      <c r="H632" s="9" t="n">
        <v>1</v>
      </c>
      <c r="I632" s="9" t="inlineStr">
        <is>
          <t>Depth (no MLB IP)</t>
        </is>
      </c>
      <c r="J632" s="18" t="inlineStr">
        <is>
          <t>Opening Day</t>
        </is>
      </c>
      <c r="K632" s="11">
        <f>IFERROR(INDEX(Roles!$B$17:$B$20,MATCH(J632,Roles!$A$17:$A$20,0)),1)</f>
        <v/>
      </c>
      <c r="L632" s="19" t="n">
        <v>1</v>
      </c>
      <c r="M632" s="11" t="n">
        <v>1</v>
      </c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>
        <v>1</v>
      </c>
      <c r="Z632" s="13">
        <f>SUMPRODUCT(N632:Y632,$N$2:$Y$2)*$K632*$L632*$M632</f>
        <v/>
      </c>
      <c r="AA632" s="14">
        <f>SUM(N632:Y632)</f>
        <v/>
      </c>
      <c r="AB632" s="13">
        <f>SUMPRODUCT(N632:Y632,$N$3:$Y$3)*$K632*$L632*$M632</f>
        <v/>
      </c>
      <c r="AC632" s="13">
        <f>SUMPRODUCT(N632:Y632,$N$4:$Y$4)*$K632*$L632*$M632</f>
        <v/>
      </c>
      <c r="AD632" s="15" t="n">
        <v>3</v>
      </c>
      <c r="AE632" s="11" t="n">
        <v>1.011296296296296</v>
      </c>
      <c r="AF632" s="16">
        <f>SUMPRODUCT(N632:Y632,$N$5:$Y$5)*$K632*$L632*$M632</f>
        <v/>
      </c>
      <c r="AG632" s="16">
        <f>SUMPRODUCT(N632:Y632,$N$6:$Y$6)*$K632*$L632*$M632</f>
        <v/>
      </c>
      <c r="AH632" s="20" t="n"/>
    </row>
    <row r="633">
      <c r="A633" s="9" t="n">
        <v>699305</v>
      </c>
      <c r="B633" s="9" t="inlineStr">
        <is>
          <t>Diego Mosquera</t>
        </is>
      </c>
      <c r="C633" s="9" t="inlineStr">
        <is>
          <t>NYM</t>
        </is>
      </c>
      <c r="D633" s="9" t="n">
        <v>25</v>
      </c>
      <c r="E633" s="18" t="inlineStr">
        <is>
          <t>R</t>
        </is>
      </c>
      <c r="F633" s="18" t="n"/>
      <c r="G633" s="9" t="n">
        <v>1</v>
      </c>
      <c r="H633" s="9" t="n">
        <v>1</v>
      </c>
      <c r="I633" s="9" t="inlineStr">
        <is>
          <t>Depth (no MLB IP)</t>
        </is>
      </c>
      <c r="J633" s="18" t="inlineStr">
        <is>
          <t>Opening Day</t>
        </is>
      </c>
      <c r="K633" s="11">
        <f>IFERROR(INDEX(Roles!$B$17:$B$20,MATCH(J633,Roles!$A$17:$A$20,0)),1)</f>
        <v/>
      </c>
      <c r="L633" s="19" t="n">
        <v>1</v>
      </c>
      <c r="M633" s="11" t="n">
        <v>1</v>
      </c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>
        <v>1</v>
      </c>
      <c r="Z633" s="13">
        <f>SUMPRODUCT(N633:Y633,$N$2:$Y$2)*$K633*$L633*$M633</f>
        <v/>
      </c>
      <c r="AA633" s="14">
        <f>SUM(N633:Y633)</f>
        <v/>
      </c>
      <c r="AB633" s="13">
        <f>SUMPRODUCT(N633:Y633,$N$3:$Y$3)*$K633*$L633*$M633</f>
        <v/>
      </c>
      <c r="AC633" s="13">
        <f>SUMPRODUCT(N633:Y633,$N$4:$Y$4)*$K633*$L633*$M633</f>
        <v/>
      </c>
      <c r="AD633" s="15" t="n">
        <v>3</v>
      </c>
      <c r="AE633" s="11" t="n">
        <v>1.011296296296296</v>
      </c>
      <c r="AF633" s="16">
        <f>SUMPRODUCT(N633:Y633,$N$5:$Y$5)*$K633*$L633*$M633</f>
        <v/>
      </c>
      <c r="AG633" s="16">
        <f>SUMPRODUCT(N633:Y633,$N$6:$Y$6)*$K633*$L633*$M633</f>
        <v/>
      </c>
      <c r="AH633" s="20" t="n"/>
    </row>
    <row r="634">
      <c r="A634" s="9" t="n">
        <v>809634</v>
      </c>
      <c r="B634" s="9" t="inlineStr">
        <is>
          <t>Tyler Bryan</t>
        </is>
      </c>
      <c r="C634" s="9" t="inlineStr">
        <is>
          <t>MIN</t>
        </is>
      </c>
      <c r="D634" s="9" t="n">
        <v>25</v>
      </c>
      <c r="E634" s="18" t="inlineStr">
        <is>
          <t>R</t>
        </is>
      </c>
      <c r="F634" s="18" t="n"/>
      <c r="G634" s="9" t="n">
        <v>1</v>
      </c>
      <c r="H634" s="9" t="n">
        <v>1</v>
      </c>
      <c r="I634" s="9" t="inlineStr">
        <is>
          <t>Depth (no MLB IP)</t>
        </is>
      </c>
      <c r="J634" s="18" t="inlineStr">
        <is>
          <t>Opening Day</t>
        </is>
      </c>
      <c r="K634" s="11">
        <f>IFERROR(INDEX(Roles!$B$17:$B$20,MATCH(J634,Roles!$A$17:$A$20,0)),1)</f>
        <v/>
      </c>
      <c r="L634" s="19" t="n">
        <v>1</v>
      </c>
      <c r="M634" s="11" t="n">
        <v>1</v>
      </c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>
        <v>1</v>
      </c>
      <c r="Z634" s="13">
        <f>SUMPRODUCT(N634:Y634,$N$2:$Y$2)*$K634*$L634*$M634</f>
        <v/>
      </c>
      <c r="AA634" s="14">
        <f>SUM(N634:Y634)</f>
        <v/>
      </c>
      <c r="AB634" s="13">
        <f>SUMPRODUCT(N634:Y634,$N$3:$Y$3)*$K634*$L634*$M634</f>
        <v/>
      </c>
      <c r="AC634" s="13">
        <f>SUMPRODUCT(N634:Y634,$N$4:$Y$4)*$K634*$L634*$M634</f>
        <v/>
      </c>
      <c r="AD634" s="15" t="n">
        <v>3</v>
      </c>
      <c r="AE634" s="11" t="n">
        <v>1.011296296296296</v>
      </c>
      <c r="AF634" s="16">
        <f>SUMPRODUCT(N634:Y634,$N$5:$Y$5)*$K634*$L634*$M634</f>
        <v/>
      </c>
      <c r="AG634" s="16">
        <f>SUMPRODUCT(N634:Y634,$N$6:$Y$6)*$K634*$L634*$M634</f>
        <v/>
      </c>
      <c r="AH634" s="20" t="n"/>
    </row>
    <row r="635">
      <c r="A635" s="9" t="n">
        <v>699077</v>
      </c>
      <c r="B635" s="9" t="inlineStr">
        <is>
          <t>Jose Perez</t>
        </is>
      </c>
      <c r="C635" s="9" t="inlineStr">
        <is>
          <t>TB</t>
        </is>
      </c>
      <c r="D635" s="9" t="n">
        <v>25</v>
      </c>
      <c r="E635" s="18" t="inlineStr">
        <is>
          <t>R</t>
        </is>
      </c>
      <c r="F635" s="18" t="n"/>
      <c r="G635" s="9" t="n">
        <v>1</v>
      </c>
      <c r="H635" s="9" t="n">
        <v>1</v>
      </c>
      <c r="I635" s="9" t="inlineStr">
        <is>
          <t>Depth (no MLB IP)</t>
        </is>
      </c>
      <c r="J635" s="18" t="inlineStr">
        <is>
          <t>Opening Day</t>
        </is>
      </c>
      <c r="K635" s="11">
        <f>IFERROR(INDEX(Roles!$B$17:$B$20,MATCH(J635,Roles!$A$17:$A$20,0)),1)</f>
        <v/>
      </c>
      <c r="L635" s="19" t="n">
        <v>1</v>
      </c>
      <c r="M635" s="11" t="n">
        <v>1</v>
      </c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>
        <v>1</v>
      </c>
      <c r="Z635" s="13">
        <f>SUMPRODUCT(N635:Y635,$N$2:$Y$2)*$K635*$L635*$M635</f>
        <v/>
      </c>
      <c r="AA635" s="14">
        <f>SUM(N635:Y635)</f>
        <v/>
      </c>
      <c r="AB635" s="13">
        <f>SUMPRODUCT(N635:Y635,$N$3:$Y$3)*$K635*$L635*$M635</f>
        <v/>
      </c>
      <c r="AC635" s="13">
        <f>SUMPRODUCT(N635:Y635,$N$4:$Y$4)*$K635*$L635*$M635</f>
        <v/>
      </c>
      <c r="AD635" s="15" t="n">
        <v>3</v>
      </c>
      <c r="AE635" s="11" t="n">
        <v>1.011296296296296</v>
      </c>
      <c r="AF635" s="16">
        <f>SUMPRODUCT(N635:Y635,$N$5:$Y$5)*$K635*$L635*$M635</f>
        <v/>
      </c>
      <c r="AG635" s="16">
        <f>SUMPRODUCT(N635:Y635,$N$6:$Y$6)*$K635*$L635*$M635</f>
        <v/>
      </c>
      <c r="AH635" s="20" t="n"/>
    </row>
    <row r="636">
      <c r="A636" s="9" t="n">
        <v>810978</v>
      </c>
      <c r="B636" s="9" t="inlineStr">
        <is>
          <t>Johan Rodriguez</t>
        </is>
      </c>
      <c r="C636" s="9" t="inlineStr">
        <is>
          <t>SF</t>
        </is>
      </c>
      <c r="D636" s="9" t="n">
        <v>25</v>
      </c>
      <c r="E636" s="18" t="inlineStr">
        <is>
          <t>R</t>
        </is>
      </c>
      <c r="F636" s="18" t="n"/>
      <c r="G636" s="9" t="n">
        <v>1</v>
      </c>
      <c r="H636" s="9" t="n">
        <v>1</v>
      </c>
      <c r="I636" s="9" t="inlineStr">
        <is>
          <t>Depth (no MLB IP)</t>
        </is>
      </c>
      <c r="J636" s="18" t="inlineStr">
        <is>
          <t>Opening Day</t>
        </is>
      </c>
      <c r="K636" s="11">
        <f>IFERROR(INDEX(Roles!$B$17:$B$20,MATCH(J636,Roles!$A$17:$A$20,0)),1)</f>
        <v/>
      </c>
      <c r="L636" s="19" t="n">
        <v>1</v>
      </c>
      <c r="M636" s="11" t="n">
        <v>1</v>
      </c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>
        <v>1</v>
      </c>
      <c r="Z636" s="13">
        <f>SUMPRODUCT(N636:Y636,$N$2:$Y$2)*$K636*$L636*$M636</f>
        <v/>
      </c>
      <c r="AA636" s="14">
        <f>SUM(N636:Y636)</f>
        <v/>
      </c>
      <c r="AB636" s="13">
        <f>SUMPRODUCT(N636:Y636,$N$3:$Y$3)*$K636*$L636*$M636</f>
        <v/>
      </c>
      <c r="AC636" s="13">
        <f>SUMPRODUCT(N636:Y636,$N$4:$Y$4)*$K636*$L636*$M636</f>
        <v/>
      </c>
      <c r="AD636" s="15" t="n">
        <v>3</v>
      </c>
      <c r="AE636" s="11" t="n">
        <v>1.011296296296296</v>
      </c>
      <c r="AF636" s="16">
        <f>SUMPRODUCT(N636:Y636,$N$5:$Y$5)*$K636*$L636*$M636</f>
        <v/>
      </c>
      <c r="AG636" s="16">
        <f>SUMPRODUCT(N636:Y636,$N$6:$Y$6)*$K636*$L636*$M636</f>
        <v/>
      </c>
      <c r="AH636" s="20" t="n"/>
    </row>
    <row r="637">
      <c r="A637" s="9" t="n">
        <v>685337</v>
      </c>
      <c r="B637" s="9" t="inlineStr">
        <is>
          <t>Sergio Tapia</t>
        </is>
      </c>
      <c r="C637" s="9" t="inlineStr">
        <is>
          <t>DET</t>
        </is>
      </c>
      <c r="D637" s="9" t="n">
        <v>25</v>
      </c>
      <c r="E637" s="18" t="inlineStr">
        <is>
          <t>R</t>
        </is>
      </c>
      <c r="F637" s="18" t="n"/>
      <c r="G637" s="9" t="n">
        <v>1</v>
      </c>
      <c r="H637" s="9" t="n">
        <v>1</v>
      </c>
      <c r="I637" s="9" t="inlineStr">
        <is>
          <t>Depth (no MLB IP)</t>
        </is>
      </c>
      <c r="J637" s="18" t="inlineStr">
        <is>
          <t>Opening Day</t>
        </is>
      </c>
      <c r="K637" s="11">
        <f>IFERROR(INDEX(Roles!$B$17:$B$20,MATCH(J637,Roles!$A$17:$A$20,0)),1)</f>
        <v/>
      </c>
      <c r="L637" s="19" t="n">
        <v>1</v>
      </c>
      <c r="M637" s="11" t="n">
        <v>1</v>
      </c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>
        <v>1</v>
      </c>
      <c r="Z637" s="13">
        <f>SUMPRODUCT(N637:Y637,$N$2:$Y$2)*$K637*$L637*$M637</f>
        <v/>
      </c>
      <c r="AA637" s="14">
        <f>SUM(N637:Y637)</f>
        <v/>
      </c>
      <c r="AB637" s="13">
        <f>SUMPRODUCT(N637:Y637,$N$3:$Y$3)*$K637*$L637*$M637</f>
        <v/>
      </c>
      <c r="AC637" s="13">
        <f>SUMPRODUCT(N637:Y637,$N$4:$Y$4)*$K637*$L637*$M637</f>
        <v/>
      </c>
      <c r="AD637" s="15" t="n">
        <v>3</v>
      </c>
      <c r="AE637" s="11" t="n">
        <v>1.011296296296296</v>
      </c>
      <c r="AF637" s="16">
        <f>SUMPRODUCT(N637:Y637,$N$5:$Y$5)*$K637*$L637*$M637</f>
        <v/>
      </c>
      <c r="AG637" s="16">
        <f>SUMPRODUCT(N637:Y637,$N$6:$Y$6)*$K637*$L637*$M637</f>
        <v/>
      </c>
      <c r="AH637" s="20" t="n"/>
    </row>
    <row r="638">
      <c r="A638" s="9" t="n">
        <v>829956</v>
      </c>
      <c r="B638" s="9" t="inlineStr">
        <is>
          <t>Felix Doroteo</t>
        </is>
      </c>
      <c r="C638" s="9" t="inlineStr">
        <is>
          <t>PIT</t>
        </is>
      </c>
      <c r="D638" s="9" t="n">
        <v>25</v>
      </c>
      <c r="E638" s="18" t="inlineStr">
        <is>
          <t>R</t>
        </is>
      </c>
      <c r="F638" s="18" t="n"/>
      <c r="G638" s="9" t="n">
        <v>1.032</v>
      </c>
      <c r="H638" s="9" t="n">
        <v>1.032</v>
      </c>
      <c r="I638" s="9" t="inlineStr">
        <is>
          <t>Depth (no MLB IP)</t>
        </is>
      </c>
      <c r="J638" s="18" t="inlineStr">
        <is>
          <t>Opening Day</t>
        </is>
      </c>
      <c r="K638" s="11">
        <f>IFERROR(INDEX(Roles!$B$17:$B$20,MATCH(J638,Roles!$A$17:$A$20,0)),1)</f>
        <v/>
      </c>
      <c r="L638" s="19" t="n">
        <v>1</v>
      </c>
      <c r="M638" s="11" t="n">
        <v>1</v>
      </c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>
        <v>1</v>
      </c>
      <c r="Z638" s="13">
        <f>SUMPRODUCT(N638:Y638,$N$2:$Y$2)*$K638*$L638*$M638</f>
        <v/>
      </c>
      <c r="AA638" s="14">
        <f>SUM(N638:Y638)</f>
        <v/>
      </c>
      <c r="AB638" s="13">
        <f>SUMPRODUCT(N638:Y638,$N$3:$Y$3)*$K638*$L638*$M638</f>
        <v/>
      </c>
      <c r="AC638" s="13">
        <f>SUMPRODUCT(N638:Y638,$N$4:$Y$4)*$K638*$L638*$M638</f>
        <v/>
      </c>
      <c r="AD638" s="15" t="n">
        <v>3</v>
      </c>
      <c r="AE638" s="11" t="n">
        <v>1.011296296296296</v>
      </c>
      <c r="AF638" s="16">
        <f>SUMPRODUCT(N638:Y638,$N$5:$Y$5)*$K638*$L638*$M638</f>
        <v/>
      </c>
      <c r="AG638" s="16">
        <f>SUMPRODUCT(N638:Y638,$N$6:$Y$6)*$K638*$L638*$M638</f>
        <v/>
      </c>
      <c r="AH638" s="20" t="n"/>
    </row>
    <row r="639">
      <c r="A639" s="9" t="n">
        <v>820857</v>
      </c>
      <c r="B639" s="9" t="inlineStr">
        <is>
          <t>Eligio Arias</t>
        </is>
      </c>
      <c r="C639" s="9" t="inlineStr">
        <is>
          <t>PHI</t>
        </is>
      </c>
      <c r="D639" s="9" t="n">
        <v>25</v>
      </c>
      <c r="E639" s="18" t="inlineStr">
        <is>
          <t>R</t>
        </is>
      </c>
      <c r="F639" s="18" t="n"/>
      <c r="G639" s="9" t="n">
        <v>1</v>
      </c>
      <c r="H639" s="9" t="n">
        <v>1</v>
      </c>
      <c r="I639" s="9" t="inlineStr">
        <is>
          <t>Depth (no MLB IP)</t>
        </is>
      </c>
      <c r="J639" s="18" t="inlineStr">
        <is>
          <t>Opening Day</t>
        </is>
      </c>
      <c r="K639" s="11">
        <f>IFERROR(INDEX(Roles!$B$17:$B$20,MATCH(J639,Roles!$A$17:$A$20,0)),1)</f>
        <v/>
      </c>
      <c r="L639" s="19" t="n">
        <v>1</v>
      </c>
      <c r="M639" s="11" t="n">
        <v>1</v>
      </c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>
        <v>1</v>
      </c>
      <c r="Z639" s="13">
        <f>SUMPRODUCT(N639:Y639,$N$2:$Y$2)*$K639*$L639*$M639</f>
        <v/>
      </c>
      <c r="AA639" s="14">
        <f>SUM(N639:Y639)</f>
        <v/>
      </c>
      <c r="AB639" s="13">
        <f>SUMPRODUCT(N639:Y639,$N$3:$Y$3)*$K639*$L639*$M639</f>
        <v/>
      </c>
      <c r="AC639" s="13">
        <f>SUMPRODUCT(N639:Y639,$N$4:$Y$4)*$K639*$L639*$M639</f>
        <v/>
      </c>
      <c r="AD639" s="15" t="n">
        <v>3</v>
      </c>
      <c r="AE639" s="11" t="n">
        <v>1.011296296296296</v>
      </c>
      <c r="AF639" s="16">
        <f>SUMPRODUCT(N639:Y639,$N$5:$Y$5)*$K639*$L639*$M639</f>
        <v/>
      </c>
      <c r="AG639" s="16">
        <f>SUMPRODUCT(N639:Y639,$N$6:$Y$6)*$K639*$L639*$M639</f>
        <v/>
      </c>
      <c r="AH639" s="20" t="n"/>
    </row>
    <row r="640">
      <c r="A640" s="9" t="n">
        <v>815966</v>
      </c>
      <c r="B640" s="9" t="inlineStr">
        <is>
          <t>Irvin Nunez</t>
        </is>
      </c>
      <c r="C640" s="9" t="inlineStr">
        <is>
          <t>MIN</t>
        </is>
      </c>
      <c r="D640" s="9" t="n">
        <v>25</v>
      </c>
      <c r="E640" s="18" t="inlineStr">
        <is>
          <t>R</t>
        </is>
      </c>
      <c r="F640" s="18" t="n"/>
      <c r="G640" s="9" t="n">
        <v>1</v>
      </c>
      <c r="H640" s="9" t="n">
        <v>1</v>
      </c>
      <c r="I640" s="9" t="inlineStr">
        <is>
          <t>Depth (no MLB IP)</t>
        </is>
      </c>
      <c r="J640" s="18" t="inlineStr">
        <is>
          <t>Opening Day</t>
        </is>
      </c>
      <c r="K640" s="11">
        <f>IFERROR(INDEX(Roles!$B$17:$B$20,MATCH(J640,Roles!$A$17:$A$20,0)),1)</f>
        <v/>
      </c>
      <c r="L640" s="19" t="n">
        <v>1</v>
      </c>
      <c r="M640" s="11" t="n">
        <v>1</v>
      </c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>
        <v>1</v>
      </c>
      <c r="Z640" s="13">
        <f>SUMPRODUCT(N640:Y640,$N$2:$Y$2)*$K640*$L640*$M640</f>
        <v/>
      </c>
      <c r="AA640" s="14">
        <f>SUM(N640:Y640)</f>
        <v/>
      </c>
      <c r="AB640" s="13">
        <f>SUMPRODUCT(N640:Y640,$N$3:$Y$3)*$K640*$L640*$M640</f>
        <v/>
      </c>
      <c r="AC640" s="13">
        <f>SUMPRODUCT(N640:Y640,$N$4:$Y$4)*$K640*$L640*$M640</f>
        <v/>
      </c>
      <c r="AD640" s="15" t="n">
        <v>3</v>
      </c>
      <c r="AE640" s="11" t="n">
        <v>1.011296296296296</v>
      </c>
      <c r="AF640" s="16">
        <f>SUMPRODUCT(N640:Y640,$N$5:$Y$5)*$K640*$L640*$M640</f>
        <v/>
      </c>
      <c r="AG640" s="16">
        <f>SUMPRODUCT(N640:Y640,$N$6:$Y$6)*$K640*$L640*$M640</f>
        <v/>
      </c>
      <c r="AH640" s="20" t="n"/>
    </row>
    <row r="641">
      <c r="A641" s="9" t="n">
        <v>703157</v>
      </c>
      <c r="B641" s="9" t="inlineStr">
        <is>
          <t>Javier Osorio</t>
        </is>
      </c>
      <c r="C641" s="9" t="inlineStr">
        <is>
          <t>DET</t>
        </is>
      </c>
      <c r="D641" s="9" t="n">
        <v>25</v>
      </c>
      <c r="E641" s="18" t="inlineStr">
        <is>
          <t>R</t>
        </is>
      </c>
      <c r="F641" s="18" t="n"/>
      <c r="G641" s="9" t="n">
        <v>1</v>
      </c>
      <c r="H641" s="9" t="n">
        <v>1</v>
      </c>
      <c r="I641" s="9" t="inlineStr">
        <is>
          <t>Depth (no MLB IP)</t>
        </is>
      </c>
      <c r="J641" s="18" t="inlineStr">
        <is>
          <t>Opening Day</t>
        </is>
      </c>
      <c r="K641" s="11">
        <f>IFERROR(INDEX(Roles!$B$17:$B$20,MATCH(J641,Roles!$A$17:$A$20,0)),1)</f>
        <v/>
      </c>
      <c r="L641" s="19" t="n">
        <v>1</v>
      </c>
      <c r="M641" s="11" t="n">
        <v>1</v>
      </c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>
        <v>1</v>
      </c>
      <c r="Z641" s="13">
        <f>SUMPRODUCT(N641:Y641,$N$2:$Y$2)*$K641*$L641*$M641</f>
        <v/>
      </c>
      <c r="AA641" s="14">
        <f>SUM(N641:Y641)</f>
        <v/>
      </c>
      <c r="AB641" s="13">
        <f>SUMPRODUCT(N641:Y641,$N$3:$Y$3)*$K641*$L641*$M641</f>
        <v/>
      </c>
      <c r="AC641" s="13">
        <f>SUMPRODUCT(N641:Y641,$N$4:$Y$4)*$K641*$L641*$M641</f>
        <v/>
      </c>
      <c r="AD641" s="15" t="n">
        <v>3</v>
      </c>
      <c r="AE641" s="11" t="n">
        <v>1.011296296296296</v>
      </c>
      <c r="AF641" s="16">
        <f>SUMPRODUCT(N641:Y641,$N$5:$Y$5)*$K641*$L641*$M641</f>
        <v/>
      </c>
      <c r="AG641" s="16">
        <f>SUMPRODUCT(N641:Y641,$N$6:$Y$6)*$K641*$L641*$M641</f>
        <v/>
      </c>
      <c r="AH641" s="20" t="n"/>
    </row>
    <row r="642">
      <c r="A642" s="9" t="n">
        <v>805744</v>
      </c>
      <c r="B642" s="9" t="inlineStr">
        <is>
          <t>Athanael Duarte</t>
        </is>
      </c>
      <c r="C642" s="9" t="inlineStr">
        <is>
          <t>LAA</t>
        </is>
      </c>
      <c r="D642" s="9" t="n">
        <v>25</v>
      </c>
      <c r="E642" s="18" t="inlineStr">
        <is>
          <t>R</t>
        </is>
      </c>
      <c r="F642" s="18" t="n"/>
      <c r="G642" s="9" t="n">
        <v>1</v>
      </c>
      <c r="H642" s="9" t="n">
        <v>1</v>
      </c>
      <c r="I642" s="9" t="inlineStr">
        <is>
          <t>Depth (no MLB IP)</t>
        </is>
      </c>
      <c r="J642" s="18" t="inlineStr">
        <is>
          <t>Opening Day</t>
        </is>
      </c>
      <c r="K642" s="11">
        <f>IFERROR(INDEX(Roles!$B$17:$B$20,MATCH(J642,Roles!$A$17:$A$20,0)),1)</f>
        <v/>
      </c>
      <c r="L642" s="19" t="n">
        <v>1</v>
      </c>
      <c r="M642" s="11" t="n">
        <v>1</v>
      </c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>
        <v>1</v>
      </c>
      <c r="Z642" s="13">
        <f>SUMPRODUCT(N642:Y642,$N$2:$Y$2)*$K642*$L642*$M642</f>
        <v/>
      </c>
      <c r="AA642" s="14">
        <f>SUM(N642:Y642)</f>
        <v/>
      </c>
      <c r="AB642" s="13">
        <f>SUMPRODUCT(N642:Y642,$N$3:$Y$3)*$K642*$L642*$M642</f>
        <v/>
      </c>
      <c r="AC642" s="13">
        <f>SUMPRODUCT(N642:Y642,$N$4:$Y$4)*$K642*$L642*$M642</f>
        <v/>
      </c>
      <c r="AD642" s="15" t="n">
        <v>3</v>
      </c>
      <c r="AE642" s="11" t="n">
        <v>1.011296296296296</v>
      </c>
      <c r="AF642" s="16">
        <f>SUMPRODUCT(N642:Y642,$N$5:$Y$5)*$K642*$L642*$M642</f>
        <v/>
      </c>
      <c r="AG642" s="16">
        <f>SUMPRODUCT(N642:Y642,$N$6:$Y$6)*$K642*$L642*$M642</f>
        <v/>
      </c>
      <c r="AH642" s="20" t="n"/>
    </row>
    <row r="643">
      <c r="A643" s="9" t="n">
        <v>815874</v>
      </c>
      <c r="B643" s="9" t="inlineStr">
        <is>
          <t>Nick Roselli</t>
        </is>
      </c>
      <c r="C643" s="9" t="inlineStr">
        <is>
          <t>NYM</t>
        </is>
      </c>
      <c r="D643" s="9" t="n">
        <v>25</v>
      </c>
      <c r="E643" s="18" t="inlineStr">
        <is>
          <t>R</t>
        </is>
      </c>
      <c r="F643" s="18" t="n"/>
      <c r="G643" s="9" t="n">
        <v>1</v>
      </c>
      <c r="H643" s="9" t="n">
        <v>1</v>
      </c>
      <c r="I643" s="9" t="inlineStr">
        <is>
          <t>Depth (no MLB IP)</t>
        </is>
      </c>
      <c r="J643" s="18" t="inlineStr">
        <is>
          <t>Opening Day</t>
        </is>
      </c>
      <c r="K643" s="11">
        <f>IFERROR(INDEX(Roles!$B$17:$B$20,MATCH(J643,Roles!$A$17:$A$20,0)),1)</f>
        <v/>
      </c>
      <c r="L643" s="19" t="n">
        <v>1</v>
      </c>
      <c r="M643" s="11" t="n">
        <v>1</v>
      </c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>
        <v>1</v>
      </c>
      <c r="Z643" s="13">
        <f>SUMPRODUCT(N643:Y643,$N$2:$Y$2)*$K643*$L643*$M643</f>
        <v/>
      </c>
      <c r="AA643" s="14">
        <f>SUM(N643:Y643)</f>
        <v/>
      </c>
      <c r="AB643" s="13">
        <f>SUMPRODUCT(N643:Y643,$N$3:$Y$3)*$K643*$L643*$M643</f>
        <v/>
      </c>
      <c r="AC643" s="13">
        <f>SUMPRODUCT(N643:Y643,$N$4:$Y$4)*$K643*$L643*$M643</f>
        <v/>
      </c>
      <c r="AD643" s="15" t="n">
        <v>3</v>
      </c>
      <c r="AE643" s="11" t="n">
        <v>1.011296296296296</v>
      </c>
      <c r="AF643" s="16">
        <f>SUMPRODUCT(N643:Y643,$N$5:$Y$5)*$K643*$L643*$M643</f>
        <v/>
      </c>
      <c r="AG643" s="16">
        <f>SUMPRODUCT(N643:Y643,$N$6:$Y$6)*$K643*$L643*$M643</f>
        <v/>
      </c>
      <c r="AH643" s="20" t="n"/>
    </row>
    <row r="644">
      <c r="A644" s="9" t="n">
        <v>821523</v>
      </c>
      <c r="B644" s="9" t="inlineStr">
        <is>
          <t>Victor Leal</t>
        </is>
      </c>
      <c r="C644" s="9" t="inlineStr">
        <is>
          <t>MIN</t>
        </is>
      </c>
      <c r="D644" s="9" t="n">
        <v>25</v>
      </c>
      <c r="E644" s="18" t="inlineStr">
        <is>
          <t>R</t>
        </is>
      </c>
      <c r="F644" s="18" t="n"/>
      <c r="G644" s="9" t="n">
        <v>1</v>
      </c>
      <c r="H644" s="9" t="n">
        <v>1</v>
      </c>
      <c r="I644" s="9" t="inlineStr">
        <is>
          <t>Depth (no MLB IP)</t>
        </is>
      </c>
      <c r="J644" s="18" t="inlineStr">
        <is>
          <t>Opening Day</t>
        </is>
      </c>
      <c r="K644" s="11">
        <f>IFERROR(INDEX(Roles!$B$17:$B$20,MATCH(J644,Roles!$A$17:$A$20,0)),1)</f>
        <v/>
      </c>
      <c r="L644" s="19" t="n">
        <v>1</v>
      </c>
      <c r="M644" s="11" t="n">
        <v>1</v>
      </c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>
        <v>1</v>
      </c>
      <c r="Z644" s="13">
        <f>SUMPRODUCT(N644:Y644,$N$2:$Y$2)*$K644*$L644*$M644</f>
        <v/>
      </c>
      <c r="AA644" s="14">
        <f>SUM(N644:Y644)</f>
        <v/>
      </c>
      <c r="AB644" s="13">
        <f>SUMPRODUCT(N644:Y644,$N$3:$Y$3)*$K644*$L644*$M644</f>
        <v/>
      </c>
      <c r="AC644" s="13">
        <f>SUMPRODUCT(N644:Y644,$N$4:$Y$4)*$K644*$L644*$M644</f>
        <v/>
      </c>
      <c r="AD644" s="15" t="n">
        <v>3</v>
      </c>
      <c r="AE644" s="11" t="n">
        <v>1.011296296296296</v>
      </c>
      <c r="AF644" s="16">
        <f>SUMPRODUCT(N644:Y644,$N$5:$Y$5)*$K644*$L644*$M644</f>
        <v/>
      </c>
      <c r="AG644" s="16">
        <f>SUMPRODUCT(N644:Y644,$N$6:$Y$6)*$K644*$L644*$M644</f>
        <v/>
      </c>
      <c r="AH644" s="20" t="n"/>
    </row>
    <row r="645">
      <c r="A645" s="9" t="n">
        <v>816292</v>
      </c>
      <c r="B645" s="9" t="inlineStr">
        <is>
          <t>Victor Trejo</t>
        </is>
      </c>
      <c r="C645" s="9" t="inlineStr">
        <is>
          <t>PIT</t>
        </is>
      </c>
      <c r="D645" s="9" t="n">
        <v>25</v>
      </c>
      <c r="E645" s="18" t="inlineStr">
        <is>
          <t>R</t>
        </is>
      </c>
      <c r="F645" s="18" t="n"/>
      <c r="G645" s="9" t="n">
        <v>1</v>
      </c>
      <c r="H645" s="9" t="n">
        <v>1</v>
      </c>
      <c r="I645" s="9" t="inlineStr">
        <is>
          <t>Depth (no MLB IP)</t>
        </is>
      </c>
      <c r="J645" s="18" t="inlineStr">
        <is>
          <t>Opening Day</t>
        </is>
      </c>
      <c r="K645" s="11">
        <f>IFERROR(INDEX(Roles!$B$17:$B$20,MATCH(J645,Roles!$A$17:$A$20,0)),1)</f>
        <v/>
      </c>
      <c r="L645" s="19" t="n">
        <v>1</v>
      </c>
      <c r="M645" s="11" t="n">
        <v>1</v>
      </c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>
        <v>1</v>
      </c>
      <c r="Z645" s="13">
        <f>SUMPRODUCT(N645:Y645,$N$2:$Y$2)*$K645*$L645*$M645</f>
        <v/>
      </c>
      <c r="AA645" s="14">
        <f>SUM(N645:Y645)</f>
        <v/>
      </c>
      <c r="AB645" s="13">
        <f>SUMPRODUCT(N645:Y645,$N$3:$Y$3)*$K645*$L645*$M645</f>
        <v/>
      </c>
      <c r="AC645" s="13">
        <f>SUMPRODUCT(N645:Y645,$N$4:$Y$4)*$K645*$L645*$M645</f>
        <v/>
      </c>
      <c r="AD645" s="15" t="n">
        <v>3</v>
      </c>
      <c r="AE645" s="11" t="n">
        <v>1.011296296296296</v>
      </c>
      <c r="AF645" s="16">
        <f>SUMPRODUCT(N645:Y645,$N$5:$Y$5)*$K645*$L645*$M645</f>
        <v/>
      </c>
      <c r="AG645" s="16">
        <f>SUMPRODUCT(N645:Y645,$N$6:$Y$6)*$K645*$L645*$M645</f>
        <v/>
      </c>
      <c r="AH645" s="20" t="n"/>
    </row>
    <row r="646">
      <c r="A646" s="9" t="n">
        <v>693725</v>
      </c>
      <c r="B646" s="9" t="inlineStr">
        <is>
          <t>Juan Nuñez</t>
        </is>
      </c>
      <c r="C646" s="9" t="inlineStr">
        <is>
          <t>BAL</t>
        </is>
      </c>
      <c r="D646" s="9" t="n">
        <v>25</v>
      </c>
      <c r="E646" s="18" t="inlineStr">
        <is>
          <t>R</t>
        </is>
      </c>
      <c r="F646" s="18" t="n"/>
      <c r="G646" s="9" t="n">
        <v>1</v>
      </c>
      <c r="H646" s="9" t="n">
        <v>1</v>
      </c>
      <c r="I646" s="9" t="inlineStr">
        <is>
          <t>Depth (no MLB IP)</t>
        </is>
      </c>
      <c r="J646" s="18" t="inlineStr">
        <is>
          <t>Opening Day</t>
        </is>
      </c>
      <c r="K646" s="11">
        <f>IFERROR(INDEX(Roles!$B$17:$B$20,MATCH(J646,Roles!$A$17:$A$20,0)),1)</f>
        <v/>
      </c>
      <c r="L646" s="19" t="n">
        <v>1</v>
      </c>
      <c r="M646" s="11" t="n">
        <v>1</v>
      </c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>
        <v>1</v>
      </c>
      <c r="Z646" s="13">
        <f>SUMPRODUCT(N646:Y646,$N$2:$Y$2)*$K646*$L646*$M646</f>
        <v/>
      </c>
      <c r="AA646" s="14">
        <f>SUM(N646:Y646)</f>
        <v/>
      </c>
      <c r="AB646" s="13">
        <f>SUMPRODUCT(N646:Y646,$N$3:$Y$3)*$K646*$L646*$M646</f>
        <v/>
      </c>
      <c r="AC646" s="13">
        <f>SUMPRODUCT(N646:Y646,$N$4:$Y$4)*$K646*$L646*$M646</f>
        <v/>
      </c>
      <c r="AD646" s="15" t="n">
        <v>3</v>
      </c>
      <c r="AE646" s="11" t="n">
        <v>1.011296296296296</v>
      </c>
      <c r="AF646" s="16">
        <f>SUMPRODUCT(N646:Y646,$N$5:$Y$5)*$K646*$L646*$M646</f>
        <v/>
      </c>
      <c r="AG646" s="16">
        <f>SUMPRODUCT(N646:Y646,$N$6:$Y$6)*$K646*$L646*$M646</f>
        <v/>
      </c>
      <c r="AH646" s="20" t="n"/>
    </row>
    <row r="647">
      <c r="A647" s="9" t="n">
        <v>820983</v>
      </c>
      <c r="B647" s="9" t="inlineStr">
        <is>
          <t>Yohandri Contreras</t>
        </is>
      </c>
      <c r="C647" s="9" t="inlineStr">
        <is>
          <t>OAK</t>
        </is>
      </c>
      <c r="D647" s="9" t="n">
        <v>25</v>
      </c>
      <c r="E647" s="18" t="inlineStr">
        <is>
          <t>R</t>
        </is>
      </c>
      <c r="F647" s="18" t="n"/>
      <c r="G647" s="9" t="n">
        <v>1</v>
      </c>
      <c r="H647" s="9" t="n">
        <v>1</v>
      </c>
      <c r="I647" s="9" t="inlineStr">
        <is>
          <t>Depth (no MLB IP)</t>
        </is>
      </c>
      <c r="J647" s="18" t="inlineStr">
        <is>
          <t>Opening Day</t>
        </is>
      </c>
      <c r="K647" s="11">
        <f>IFERROR(INDEX(Roles!$B$17:$B$20,MATCH(J647,Roles!$A$17:$A$20,0)),1)</f>
        <v/>
      </c>
      <c r="L647" s="19" t="n">
        <v>1</v>
      </c>
      <c r="M647" s="11" t="n">
        <v>1</v>
      </c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>
        <v>1</v>
      </c>
      <c r="Z647" s="13">
        <f>SUMPRODUCT(N647:Y647,$N$2:$Y$2)*$K647*$L647*$M647</f>
        <v/>
      </c>
      <c r="AA647" s="14">
        <f>SUM(N647:Y647)</f>
        <v/>
      </c>
      <c r="AB647" s="13">
        <f>SUMPRODUCT(N647:Y647,$N$3:$Y$3)*$K647*$L647*$M647</f>
        <v/>
      </c>
      <c r="AC647" s="13">
        <f>SUMPRODUCT(N647:Y647,$N$4:$Y$4)*$K647*$L647*$M647</f>
        <v/>
      </c>
      <c r="AD647" s="15" t="n">
        <v>3</v>
      </c>
      <c r="AE647" s="11" t="n">
        <v>1.011296296296296</v>
      </c>
      <c r="AF647" s="16">
        <f>SUMPRODUCT(N647:Y647,$N$5:$Y$5)*$K647*$L647*$M647</f>
        <v/>
      </c>
      <c r="AG647" s="16">
        <f>SUMPRODUCT(N647:Y647,$N$6:$Y$6)*$K647*$L647*$M647</f>
        <v/>
      </c>
      <c r="AH647" s="20" t="n"/>
    </row>
    <row r="648">
      <c r="A648" s="9" t="n">
        <v>694184</v>
      </c>
      <c r="B648" s="9" t="inlineStr">
        <is>
          <t>Cristian Santana</t>
        </is>
      </c>
      <c r="C648" s="9" t="inlineStr">
        <is>
          <t>DET</t>
        </is>
      </c>
      <c r="D648" s="9" t="n">
        <v>25</v>
      </c>
      <c r="E648" s="18" t="inlineStr">
        <is>
          <t>R</t>
        </is>
      </c>
      <c r="F648" s="18" t="n"/>
      <c r="G648" s="9" t="n">
        <v>1</v>
      </c>
      <c r="H648" s="9" t="n">
        <v>1</v>
      </c>
      <c r="I648" s="9" t="inlineStr">
        <is>
          <t>Depth (no MLB IP)</t>
        </is>
      </c>
      <c r="J648" s="18" t="inlineStr">
        <is>
          <t>Opening Day</t>
        </is>
      </c>
      <c r="K648" s="11">
        <f>IFERROR(INDEX(Roles!$B$17:$B$20,MATCH(J648,Roles!$A$17:$A$20,0)),1)</f>
        <v/>
      </c>
      <c r="L648" s="19" t="n">
        <v>1</v>
      </c>
      <c r="M648" s="11" t="n">
        <v>1</v>
      </c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>
        <v>1</v>
      </c>
      <c r="Z648" s="13">
        <f>SUMPRODUCT(N648:Y648,$N$2:$Y$2)*$K648*$L648*$M648</f>
        <v/>
      </c>
      <c r="AA648" s="14">
        <f>SUM(N648:Y648)</f>
        <v/>
      </c>
      <c r="AB648" s="13">
        <f>SUMPRODUCT(N648:Y648,$N$3:$Y$3)*$K648*$L648*$M648</f>
        <v/>
      </c>
      <c r="AC648" s="13">
        <f>SUMPRODUCT(N648:Y648,$N$4:$Y$4)*$K648*$L648*$M648</f>
        <v/>
      </c>
      <c r="AD648" s="15" t="n">
        <v>3</v>
      </c>
      <c r="AE648" s="11" t="n">
        <v>1.011296296296296</v>
      </c>
      <c r="AF648" s="16">
        <f>SUMPRODUCT(N648:Y648,$N$5:$Y$5)*$K648*$L648*$M648</f>
        <v/>
      </c>
      <c r="AG648" s="16">
        <f>SUMPRODUCT(N648:Y648,$N$6:$Y$6)*$K648*$L648*$M648</f>
        <v/>
      </c>
      <c r="AH648" s="20" t="n"/>
    </row>
    <row r="649">
      <c r="A649" s="9" t="n">
        <v>700188</v>
      </c>
      <c r="B649" s="9" t="inlineStr">
        <is>
          <t>Dylan Tebrake</t>
        </is>
      </c>
      <c r="C649" s="9" t="inlineStr">
        <is>
          <t>WSH</t>
        </is>
      </c>
      <c r="D649" s="9" t="n">
        <v>25</v>
      </c>
      <c r="E649" s="18" t="inlineStr">
        <is>
          <t>R</t>
        </is>
      </c>
      <c r="F649" s="18" t="n"/>
      <c r="G649" s="9" t="n">
        <v>1</v>
      </c>
      <c r="H649" s="9" t="n">
        <v>1</v>
      </c>
      <c r="I649" s="9" t="inlineStr">
        <is>
          <t>Depth (no MLB IP)</t>
        </is>
      </c>
      <c r="J649" s="18" t="inlineStr">
        <is>
          <t>Opening Day</t>
        </is>
      </c>
      <c r="K649" s="11">
        <f>IFERROR(INDEX(Roles!$B$17:$B$20,MATCH(J649,Roles!$A$17:$A$20,0)),1)</f>
        <v/>
      </c>
      <c r="L649" s="19" t="n">
        <v>1</v>
      </c>
      <c r="M649" s="11" t="n">
        <v>1</v>
      </c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>
        <v>1</v>
      </c>
      <c r="Z649" s="13">
        <f>SUMPRODUCT(N649:Y649,$N$2:$Y$2)*$K649*$L649*$M649</f>
        <v/>
      </c>
      <c r="AA649" s="14">
        <f>SUM(N649:Y649)</f>
        <v/>
      </c>
      <c r="AB649" s="13">
        <f>SUMPRODUCT(N649:Y649,$N$3:$Y$3)*$K649*$L649*$M649</f>
        <v/>
      </c>
      <c r="AC649" s="13">
        <f>SUMPRODUCT(N649:Y649,$N$4:$Y$4)*$K649*$L649*$M649</f>
        <v/>
      </c>
      <c r="AD649" s="15" t="n">
        <v>3</v>
      </c>
      <c r="AE649" s="11" t="n">
        <v>1.011296296296296</v>
      </c>
      <c r="AF649" s="16">
        <f>SUMPRODUCT(N649:Y649,$N$5:$Y$5)*$K649*$L649*$M649</f>
        <v/>
      </c>
      <c r="AG649" s="16">
        <f>SUMPRODUCT(N649:Y649,$N$6:$Y$6)*$K649*$L649*$M649</f>
        <v/>
      </c>
      <c r="AH649" s="20" t="n"/>
    </row>
    <row r="650">
      <c r="A650" s="9" t="n">
        <v>676502</v>
      </c>
      <c r="B650" s="9" t="inlineStr">
        <is>
          <t>Roman Phansalkar</t>
        </is>
      </c>
      <c r="C650" s="9" t="inlineStr">
        <is>
          <t>LAA</t>
        </is>
      </c>
      <c r="D650" s="9" t="n">
        <v>25</v>
      </c>
      <c r="E650" s="18" t="inlineStr">
        <is>
          <t>R</t>
        </is>
      </c>
      <c r="F650" s="18" t="n"/>
      <c r="G650" s="9" t="n">
        <v>1</v>
      </c>
      <c r="H650" s="9" t="n">
        <v>1</v>
      </c>
      <c r="I650" s="9" t="inlineStr">
        <is>
          <t>Depth (no MLB IP)</t>
        </is>
      </c>
      <c r="J650" s="18" t="inlineStr">
        <is>
          <t>Opening Day</t>
        </is>
      </c>
      <c r="K650" s="11">
        <f>IFERROR(INDEX(Roles!$B$17:$B$20,MATCH(J650,Roles!$A$17:$A$20,0)),1)</f>
        <v/>
      </c>
      <c r="L650" s="19" t="n">
        <v>1</v>
      </c>
      <c r="M650" s="11" t="n">
        <v>1</v>
      </c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>
        <v>1</v>
      </c>
      <c r="Z650" s="13">
        <f>SUMPRODUCT(N650:Y650,$N$2:$Y$2)*$K650*$L650*$M650</f>
        <v/>
      </c>
      <c r="AA650" s="14">
        <f>SUM(N650:Y650)</f>
        <v/>
      </c>
      <c r="AB650" s="13">
        <f>SUMPRODUCT(N650:Y650,$N$3:$Y$3)*$K650*$L650*$M650</f>
        <v/>
      </c>
      <c r="AC650" s="13">
        <f>SUMPRODUCT(N650:Y650,$N$4:$Y$4)*$K650*$L650*$M650</f>
        <v/>
      </c>
      <c r="AD650" s="15" t="n">
        <v>3</v>
      </c>
      <c r="AE650" s="11" t="n">
        <v>1.011296296296296</v>
      </c>
      <c r="AF650" s="16">
        <f>SUMPRODUCT(N650:Y650,$N$5:$Y$5)*$K650*$L650*$M650</f>
        <v/>
      </c>
      <c r="AG650" s="16">
        <f>SUMPRODUCT(N650:Y650,$N$6:$Y$6)*$K650*$L650*$M650</f>
        <v/>
      </c>
      <c r="AH650" s="20" t="n"/>
    </row>
    <row r="651">
      <c r="A651" s="9" t="n">
        <v>702068</v>
      </c>
      <c r="B651" s="9" t="inlineStr">
        <is>
          <t>Cole Gabrielson</t>
        </is>
      </c>
      <c r="C651" s="9" t="inlineStr">
        <is>
          <t>NYY</t>
        </is>
      </c>
      <c r="D651" s="9" t="n">
        <v>25</v>
      </c>
      <c r="E651" s="18" t="inlineStr">
        <is>
          <t>R</t>
        </is>
      </c>
      <c r="F651" s="18" t="n"/>
      <c r="G651" s="9" t="n">
        <v>1</v>
      </c>
      <c r="H651" s="9" t="n">
        <v>1</v>
      </c>
      <c r="I651" s="9" t="inlineStr">
        <is>
          <t>Depth (no MLB IP)</t>
        </is>
      </c>
      <c r="J651" s="18" t="inlineStr">
        <is>
          <t>Opening Day</t>
        </is>
      </c>
      <c r="K651" s="11">
        <f>IFERROR(INDEX(Roles!$B$17:$B$20,MATCH(J651,Roles!$A$17:$A$20,0)),1)</f>
        <v/>
      </c>
      <c r="L651" s="19" t="n">
        <v>1</v>
      </c>
      <c r="M651" s="11" t="n">
        <v>1</v>
      </c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>
        <v>1</v>
      </c>
      <c r="Z651" s="13">
        <f>SUMPRODUCT(N651:Y651,$N$2:$Y$2)*$K651*$L651*$M651</f>
        <v/>
      </c>
      <c r="AA651" s="14">
        <f>SUM(N651:Y651)</f>
        <v/>
      </c>
      <c r="AB651" s="13">
        <f>SUMPRODUCT(N651:Y651,$N$3:$Y$3)*$K651*$L651*$M651</f>
        <v/>
      </c>
      <c r="AC651" s="13">
        <f>SUMPRODUCT(N651:Y651,$N$4:$Y$4)*$K651*$L651*$M651</f>
        <v/>
      </c>
      <c r="AD651" s="15" t="n">
        <v>3</v>
      </c>
      <c r="AE651" s="11" t="n">
        <v>1.011296296296296</v>
      </c>
      <c r="AF651" s="16">
        <f>SUMPRODUCT(N651:Y651,$N$5:$Y$5)*$K651*$L651*$M651</f>
        <v/>
      </c>
      <c r="AG651" s="16">
        <f>SUMPRODUCT(N651:Y651,$N$6:$Y$6)*$K651*$L651*$M651</f>
        <v/>
      </c>
      <c r="AH651" s="20" t="n"/>
    </row>
    <row r="652">
      <c r="A652" s="9" t="n">
        <v>703188</v>
      </c>
      <c r="B652" s="9" t="inlineStr">
        <is>
          <t>Anthuan Valencia</t>
        </is>
      </c>
      <c r="C652" s="9" t="inlineStr">
        <is>
          <t>CIN</t>
        </is>
      </c>
      <c r="D652" s="9" t="n">
        <v>25</v>
      </c>
      <c r="E652" s="18" t="inlineStr">
        <is>
          <t>R</t>
        </is>
      </c>
      <c r="F652" s="18" t="n"/>
      <c r="G652" s="9" t="n">
        <v>1.032</v>
      </c>
      <c r="H652" s="9" t="n">
        <v>1.032</v>
      </c>
      <c r="I652" s="9" t="inlineStr">
        <is>
          <t>Depth (no MLB IP)</t>
        </is>
      </c>
      <c r="J652" s="18" t="inlineStr">
        <is>
          <t>Opening Day</t>
        </is>
      </c>
      <c r="K652" s="11">
        <f>IFERROR(INDEX(Roles!$B$17:$B$20,MATCH(J652,Roles!$A$17:$A$20,0)),1)</f>
        <v/>
      </c>
      <c r="L652" s="19" t="n">
        <v>1</v>
      </c>
      <c r="M652" s="11" t="n">
        <v>1</v>
      </c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>
        <v>1</v>
      </c>
      <c r="Z652" s="13">
        <f>SUMPRODUCT(N652:Y652,$N$2:$Y$2)*$K652*$L652*$M652</f>
        <v/>
      </c>
      <c r="AA652" s="14">
        <f>SUM(N652:Y652)</f>
        <v/>
      </c>
      <c r="AB652" s="13">
        <f>SUMPRODUCT(N652:Y652,$N$3:$Y$3)*$K652*$L652*$M652</f>
        <v/>
      </c>
      <c r="AC652" s="13">
        <f>SUMPRODUCT(N652:Y652,$N$4:$Y$4)*$K652*$L652*$M652</f>
        <v/>
      </c>
      <c r="AD652" s="15" t="n">
        <v>3</v>
      </c>
      <c r="AE652" s="11" t="n">
        <v>1.011296296296296</v>
      </c>
      <c r="AF652" s="16">
        <f>SUMPRODUCT(N652:Y652,$N$5:$Y$5)*$K652*$L652*$M652</f>
        <v/>
      </c>
      <c r="AG652" s="16">
        <f>SUMPRODUCT(N652:Y652,$N$6:$Y$6)*$K652*$L652*$M652</f>
        <v/>
      </c>
      <c r="AH652" s="20" t="n"/>
    </row>
    <row r="653">
      <c r="A653" s="9" t="n">
        <v>668845</v>
      </c>
      <c r="B653" s="9" t="inlineStr">
        <is>
          <t>Aaron Schunk</t>
        </is>
      </c>
      <c r="C653" s="9" t="inlineStr">
        <is>
          <t>ATL</t>
        </is>
      </c>
      <c r="D653" s="9" t="n">
        <v>25</v>
      </c>
      <c r="E653" s="18" t="inlineStr">
        <is>
          <t>R</t>
        </is>
      </c>
      <c r="F653" s="18" t="n"/>
      <c r="G653" s="9" t="n">
        <v>1</v>
      </c>
      <c r="H653" s="9" t="n">
        <v>1</v>
      </c>
      <c r="I653" s="9" t="inlineStr">
        <is>
          <t>Depth (no MLB IP)</t>
        </is>
      </c>
      <c r="J653" s="18" t="inlineStr">
        <is>
          <t>Opening Day</t>
        </is>
      </c>
      <c r="K653" s="11">
        <f>IFERROR(INDEX(Roles!$B$17:$B$20,MATCH(J653,Roles!$A$17:$A$20,0)),1)</f>
        <v/>
      </c>
      <c r="L653" s="19" t="n">
        <v>1</v>
      </c>
      <c r="M653" s="11" t="n">
        <v>1</v>
      </c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>
        <v>1</v>
      </c>
      <c r="Z653" s="13">
        <f>SUMPRODUCT(N653:Y653,$N$2:$Y$2)*$K653*$L653*$M653</f>
        <v/>
      </c>
      <c r="AA653" s="14">
        <f>SUM(N653:Y653)</f>
        <v/>
      </c>
      <c r="AB653" s="13">
        <f>SUMPRODUCT(N653:Y653,$N$3:$Y$3)*$K653*$L653*$M653</f>
        <v/>
      </c>
      <c r="AC653" s="13">
        <f>SUMPRODUCT(N653:Y653,$N$4:$Y$4)*$K653*$L653*$M653</f>
        <v/>
      </c>
      <c r="AD653" s="15" t="n">
        <v>3</v>
      </c>
      <c r="AE653" s="11" t="n">
        <v>1.011296296296296</v>
      </c>
      <c r="AF653" s="16">
        <f>SUMPRODUCT(N653:Y653,$N$5:$Y$5)*$K653*$L653*$M653</f>
        <v/>
      </c>
      <c r="AG653" s="16">
        <f>SUMPRODUCT(N653:Y653,$N$6:$Y$6)*$K653*$L653*$M653</f>
        <v/>
      </c>
      <c r="AH653" s="20" t="n"/>
    </row>
    <row r="654">
      <c r="A654" s="9" t="n">
        <v>815488</v>
      </c>
      <c r="B654" s="9" t="inlineStr">
        <is>
          <t>Augie Lopez</t>
        </is>
      </c>
      <c r="C654" s="9" t="inlineStr">
        <is>
          <t>SD</t>
        </is>
      </c>
      <c r="D654" s="9" t="n">
        <v>25</v>
      </c>
      <c r="E654" s="18" t="inlineStr">
        <is>
          <t>R</t>
        </is>
      </c>
      <c r="F654" s="18" t="n"/>
      <c r="G654" s="9" t="n">
        <v>1</v>
      </c>
      <c r="H654" s="9" t="n">
        <v>1</v>
      </c>
      <c r="I654" s="9" t="inlineStr">
        <is>
          <t>Depth (no MLB IP)</t>
        </is>
      </c>
      <c r="J654" s="18" t="inlineStr">
        <is>
          <t>Opening Day</t>
        </is>
      </c>
      <c r="K654" s="11">
        <f>IFERROR(INDEX(Roles!$B$17:$B$20,MATCH(J654,Roles!$A$17:$A$20,0)),1)</f>
        <v/>
      </c>
      <c r="L654" s="19" t="n">
        <v>1</v>
      </c>
      <c r="M654" s="11" t="n">
        <v>1</v>
      </c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>
        <v>1</v>
      </c>
      <c r="Z654" s="13">
        <f>SUMPRODUCT(N654:Y654,$N$2:$Y$2)*$K654*$L654*$M654</f>
        <v/>
      </c>
      <c r="AA654" s="14">
        <f>SUM(N654:Y654)</f>
        <v/>
      </c>
      <c r="AB654" s="13">
        <f>SUMPRODUCT(N654:Y654,$N$3:$Y$3)*$K654*$L654*$M654</f>
        <v/>
      </c>
      <c r="AC654" s="13">
        <f>SUMPRODUCT(N654:Y654,$N$4:$Y$4)*$K654*$L654*$M654</f>
        <v/>
      </c>
      <c r="AD654" s="15" t="n">
        <v>3</v>
      </c>
      <c r="AE654" s="11" t="n">
        <v>1.011296296296296</v>
      </c>
      <c r="AF654" s="16">
        <f>SUMPRODUCT(N654:Y654,$N$5:$Y$5)*$K654*$L654*$M654</f>
        <v/>
      </c>
      <c r="AG654" s="16">
        <f>SUMPRODUCT(N654:Y654,$N$6:$Y$6)*$K654*$L654*$M654</f>
        <v/>
      </c>
      <c r="AH654" s="20" t="n"/>
    </row>
    <row r="655">
      <c r="A655" s="9" t="n">
        <v>806884</v>
      </c>
      <c r="B655" s="9" t="inlineStr">
        <is>
          <t>Luis Escudero</t>
        </is>
      </c>
      <c r="C655" s="9" t="inlineStr">
        <is>
          <t>NYY</t>
        </is>
      </c>
      <c r="D655" s="9" t="n">
        <v>25</v>
      </c>
      <c r="E655" s="18" t="inlineStr">
        <is>
          <t>R</t>
        </is>
      </c>
      <c r="F655" s="18" t="n"/>
      <c r="G655" s="9" t="n">
        <v>1</v>
      </c>
      <c r="H655" s="9" t="n">
        <v>1</v>
      </c>
      <c r="I655" s="9" t="inlineStr">
        <is>
          <t>Depth (no MLB IP)</t>
        </is>
      </c>
      <c r="J655" s="18" t="inlineStr">
        <is>
          <t>Opening Day</t>
        </is>
      </c>
      <c r="K655" s="11">
        <f>IFERROR(INDEX(Roles!$B$17:$B$20,MATCH(J655,Roles!$A$17:$A$20,0)),1)</f>
        <v/>
      </c>
      <c r="L655" s="19" t="n">
        <v>1</v>
      </c>
      <c r="M655" s="11" t="n">
        <v>1</v>
      </c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>
        <v>1</v>
      </c>
      <c r="Z655" s="13">
        <f>SUMPRODUCT(N655:Y655,$N$2:$Y$2)*$K655*$L655*$M655</f>
        <v/>
      </c>
      <c r="AA655" s="14">
        <f>SUM(N655:Y655)</f>
        <v/>
      </c>
      <c r="AB655" s="13">
        <f>SUMPRODUCT(N655:Y655,$N$3:$Y$3)*$K655*$L655*$M655</f>
        <v/>
      </c>
      <c r="AC655" s="13">
        <f>SUMPRODUCT(N655:Y655,$N$4:$Y$4)*$K655*$L655*$M655</f>
        <v/>
      </c>
      <c r="AD655" s="15" t="n">
        <v>3</v>
      </c>
      <c r="AE655" s="11" t="n">
        <v>1.011296296296296</v>
      </c>
      <c r="AF655" s="16">
        <f>SUMPRODUCT(N655:Y655,$N$5:$Y$5)*$K655*$L655*$M655</f>
        <v/>
      </c>
      <c r="AG655" s="16">
        <f>SUMPRODUCT(N655:Y655,$N$6:$Y$6)*$K655*$L655*$M655</f>
        <v/>
      </c>
      <c r="AH655" s="20" t="n"/>
    </row>
    <row r="656">
      <c r="A656" s="9" t="n">
        <v>702496</v>
      </c>
      <c r="B656" s="9" t="inlineStr">
        <is>
          <t>Dakota Stone</t>
        </is>
      </c>
      <c r="C656" s="9" t="inlineStr">
        <is>
          <t>PIT</t>
        </is>
      </c>
      <c r="D656" s="9" t="n">
        <v>25</v>
      </c>
      <c r="E656" s="18" t="inlineStr">
        <is>
          <t>L</t>
        </is>
      </c>
      <c r="F656" s="18" t="n"/>
      <c r="G656" s="9" t="n">
        <v>1</v>
      </c>
      <c r="H656" s="9" t="n">
        <v>1</v>
      </c>
      <c r="I656" s="9" t="inlineStr">
        <is>
          <t>Depth (no MLB IP)</t>
        </is>
      </c>
      <c r="J656" s="18" t="inlineStr">
        <is>
          <t>Opening Day</t>
        </is>
      </c>
      <c r="K656" s="11">
        <f>IFERROR(INDEX(Roles!$B$17:$B$20,MATCH(J656,Roles!$A$17:$A$20,0)),1)</f>
        <v/>
      </c>
      <c r="L656" s="19" t="n">
        <v>1</v>
      </c>
      <c r="M656" s="11" t="n">
        <v>1</v>
      </c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>
        <v>1</v>
      </c>
      <c r="Z656" s="13">
        <f>SUMPRODUCT(N656:Y656,$N$2:$Y$2)*$K656*$L656*$M656</f>
        <v/>
      </c>
      <c r="AA656" s="14">
        <f>SUM(N656:Y656)</f>
        <v/>
      </c>
      <c r="AB656" s="13">
        <f>SUMPRODUCT(N656:Y656,$N$3:$Y$3)*$K656*$L656*$M656</f>
        <v/>
      </c>
      <c r="AC656" s="13">
        <f>SUMPRODUCT(N656:Y656,$N$4:$Y$4)*$K656*$L656*$M656</f>
        <v/>
      </c>
      <c r="AD656" s="15" t="n">
        <v>3</v>
      </c>
      <c r="AE656" s="11" t="n">
        <v>1.011296296296296</v>
      </c>
      <c r="AF656" s="16">
        <f>SUMPRODUCT(N656:Y656,$N$5:$Y$5)*$K656*$L656*$M656</f>
        <v/>
      </c>
      <c r="AG656" s="16">
        <f>SUMPRODUCT(N656:Y656,$N$6:$Y$6)*$K656*$L656*$M656</f>
        <v/>
      </c>
      <c r="AH656" s="20" t="n"/>
    </row>
    <row r="657">
      <c r="A657" s="9" t="n">
        <v>805658</v>
      </c>
      <c r="B657" s="9" t="inlineStr">
        <is>
          <t>Shane Sdao</t>
        </is>
      </c>
      <c r="C657" s="9" t="inlineStr">
        <is>
          <t>NYM</t>
        </is>
      </c>
      <c r="D657" s="9" t="n">
        <v>25</v>
      </c>
      <c r="E657" s="18" t="inlineStr">
        <is>
          <t>L</t>
        </is>
      </c>
      <c r="F657" s="18" t="n"/>
      <c r="G657" s="9" t="n">
        <v>1</v>
      </c>
      <c r="H657" s="9" t="n">
        <v>1</v>
      </c>
      <c r="I657" s="9" t="inlineStr">
        <is>
          <t>Depth (no MLB IP)</t>
        </is>
      </c>
      <c r="J657" s="18" t="inlineStr">
        <is>
          <t>Opening Day</t>
        </is>
      </c>
      <c r="K657" s="11">
        <f>IFERROR(INDEX(Roles!$B$17:$B$20,MATCH(J657,Roles!$A$17:$A$20,0)),1)</f>
        <v/>
      </c>
      <c r="L657" s="19" t="n">
        <v>1</v>
      </c>
      <c r="M657" s="11" t="n">
        <v>1</v>
      </c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>
        <v>1</v>
      </c>
      <c r="Z657" s="13">
        <f>SUMPRODUCT(N657:Y657,$N$2:$Y$2)*$K657*$L657*$M657</f>
        <v/>
      </c>
      <c r="AA657" s="14">
        <f>SUM(N657:Y657)</f>
        <v/>
      </c>
      <c r="AB657" s="13">
        <f>SUMPRODUCT(N657:Y657,$N$3:$Y$3)*$K657*$L657*$M657</f>
        <v/>
      </c>
      <c r="AC657" s="13">
        <f>SUMPRODUCT(N657:Y657,$N$4:$Y$4)*$K657*$L657*$M657</f>
        <v/>
      </c>
      <c r="AD657" s="15" t="n">
        <v>3</v>
      </c>
      <c r="AE657" s="11" t="n">
        <v>1.011296296296296</v>
      </c>
      <c r="AF657" s="16">
        <f>SUMPRODUCT(N657:Y657,$N$5:$Y$5)*$K657*$L657*$M657</f>
        <v/>
      </c>
      <c r="AG657" s="16">
        <f>SUMPRODUCT(N657:Y657,$N$6:$Y$6)*$K657*$L657*$M657</f>
        <v/>
      </c>
      <c r="AH657" s="20" t="n"/>
    </row>
    <row r="658">
      <c r="A658" s="9" t="n">
        <v>694469</v>
      </c>
      <c r="B658" s="9" t="inlineStr">
        <is>
          <t>Bryce Eblin</t>
        </is>
      </c>
      <c r="C658" s="9" t="inlineStr">
        <is>
          <t>CWS</t>
        </is>
      </c>
      <c r="D658" s="9" t="n">
        <v>25</v>
      </c>
      <c r="E658" s="18" t="inlineStr">
        <is>
          <t>R</t>
        </is>
      </c>
      <c r="F658" s="18" t="n"/>
      <c r="G658" s="9" t="n">
        <v>1</v>
      </c>
      <c r="H658" s="9" t="n">
        <v>1</v>
      </c>
      <c r="I658" s="9" t="inlineStr">
        <is>
          <t>Depth (no MLB IP)</t>
        </is>
      </c>
      <c r="J658" s="18" t="inlineStr">
        <is>
          <t>Opening Day</t>
        </is>
      </c>
      <c r="K658" s="11">
        <f>IFERROR(INDEX(Roles!$B$17:$B$20,MATCH(J658,Roles!$A$17:$A$20,0)),1)</f>
        <v/>
      </c>
      <c r="L658" s="19" t="n">
        <v>1</v>
      </c>
      <c r="M658" s="11" t="n">
        <v>1</v>
      </c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>
        <v>1</v>
      </c>
      <c r="Z658" s="13">
        <f>SUMPRODUCT(N658:Y658,$N$2:$Y$2)*$K658*$L658*$M658</f>
        <v/>
      </c>
      <c r="AA658" s="14">
        <f>SUM(N658:Y658)</f>
        <v/>
      </c>
      <c r="AB658" s="13">
        <f>SUMPRODUCT(N658:Y658,$N$3:$Y$3)*$K658*$L658*$M658</f>
        <v/>
      </c>
      <c r="AC658" s="13">
        <f>SUMPRODUCT(N658:Y658,$N$4:$Y$4)*$K658*$L658*$M658</f>
        <v/>
      </c>
      <c r="AD658" s="15" t="n">
        <v>3</v>
      </c>
      <c r="AE658" s="11" t="n">
        <v>1.011296296296296</v>
      </c>
      <c r="AF658" s="16">
        <f>SUMPRODUCT(N658:Y658,$N$5:$Y$5)*$K658*$L658*$M658</f>
        <v/>
      </c>
      <c r="AG658" s="16">
        <f>SUMPRODUCT(N658:Y658,$N$6:$Y$6)*$K658*$L658*$M658</f>
        <v/>
      </c>
      <c r="AH658" s="20" t="n"/>
    </row>
    <row r="659">
      <c r="A659" s="9" t="n">
        <v>808302</v>
      </c>
      <c r="B659" s="9" t="inlineStr">
        <is>
          <t>Juan Ortega</t>
        </is>
      </c>
      <c r="C659" s="9" t="inlineStr">
        <is>
          <t>BAL</t>
        </is>
      </c>
      <c r="D659" s="9" t="n">
        <v>25</v>
      </c>
      <c r="E659" s="18" t="inlineStr">
        <is>
          <t>R</t>
        </is>
      </c>
      <c r="F659" s="18" t="n"/>
      <c r="G659" s="9" t="n">
        <v>1</v>
      </c>
      <c r="H659" s="9" t="n">
        <v>1</v>
      </c>
      <c r="I659" s="9" t="inlineStr">
        <is>
          <t>Depth (no MLB IP)</t>
        </is>
      </c>
      <c r="J659" s="18" t="inlineStr">
        <is>
          <t>Opening Day</t>
        </is>
      </c>
      <c r="K659" s="11">
        <f>IFERROR(INDEX(Roles!$B$17:$B$20,MATCH(J659,Roles!$A$17:$A$20,0)),1)</f>
        <v/>
      </c>
      <c r="L659" s="19" t="n">
        <v>1</v>
      </c>
      <c r="M659" s="11" t="n">
        <v>1</v>
      </c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>
        <v>1</v>
      </c>
      <c r="Z659" s="13">
        <f>SUMPRODUCT(N659:Y659,$N$2:$Y$2)*$K659*$L659*$M659</f>
        <v/>
      </c>
      <c r="AA659" s="14">
        <f>SUM(N659:Y659)</f>
        <v/>
      </c>
      <c r="AB659" s="13">
        <f>SUMPRODUCT(N659:Y659,$N$3:$Y$3)*$K659*$L659*$M659</f>
        <v/>
      </c>
      <c r="AC659" s="13">
        <f>SUMPRODUCT(N659:Y659,$N$4:$Y$4)*$K659*$L659*$M659</f>
        <v/>
      </c>
      <c r="AD659" s="15" t="n">
        <v>3</v>
      </c>
      <c r="AE659" s="11" t="n">
        <v>1.011296296296296</v>
      </c>
      <c r="AF659" s="16">
        <f>SUMPRODUCT(N659:Y659,$N$5:$Y$5)*$K659*$L659*$M659</f>
        <v/>
      </c>
      <c r="AG659" s="16">
        <f>SUMPRODUCT(N659:Y659,$N$6:$Y$6)*$K659*$L659*$M659</f>
        <v/>
      </c>
      <c r="AH659" s="20" t="n"/>
    </row>
    <row r="660">
      <c r="A660" s="9" t="n">
        <v>808691</v>
      </c>
      <c r="B660" s="9" t="inlineStr">
        <is>
          <t>Adrian Gil</t>
        </is>
      </c>
      <c r="C660" s="9" t="inlineStr">
        <is>
          <t>CWS</t>
        </is>
      </c>
      <c r="D660" s="9" t="n">
        <v>25</v>
      </c>
      <c r="E660" s="18" t="inlineStr">
        <is>
          <t>R</t>
        </is>
      </c>
      <c r="F660" s="18" t="n"/>
      <c r="G660" s="9" t="n">
        <v>1.032</v>
      </c>
      <c r="H660" s="9" t="n">
        <v>1.032</v>
      </c>
      <c r="I660" s="9" t="inlineStr">
        <is>
          <t>Depth (no MLB IP)</t>
        </is>
      </c>
      <c r="J660" s="18" t="inlineStr">
        <is>
          <t>Opening Day</t>
        </is>
      </c>
      <c r="K660" s="11">
        <f>IFERROR(INDEX(Roles!$B$17:$B$20,MATCH(J660,Roles!$A$17:$A$20,0)),1)</f>
        <v/>
      </c>
      <c r="L660" s="19" t="n">
        <v>1</v>
      </c>
      <c r="M660" s="11" t="n">
        <v>1</v>
      </c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>
        <v>1</v>
      </c>
      <c r="Z660" s="13">
        <f>SUMPRODUCT(N660:Y660,$N$2:$Y$2)*$K660*$L660*$M660</f>
        <v/>
      </c>
      <c r="AA660" s="14">
        <f>SUM(N660:Y660)</f>
        <v/>
      </c>
      <c r="AB660" s="13">
        <f>SUMPRODUCT(N660:Y660,$N$3:$Y$3)*$K660*$L660*$M660</f>
        <v/>
      </c>
      <c r="AC660" s="13">
        <f>SUMPRODUCT(N660:Y660,$N$4:$Y$4)*$K660*$L660*$M660</f>
        <v/>
      </c>
      <c r="AD660" s="15" t="n">
        <v>3</v>
      </c>
      <c r="AE660" s="11" t="n">
        <v>1.011296296296296</v>
      </c>
      <c r="AF660" s="16">
        <f>SUMPRODUCT(N660:Y660,$N$5:$Y$5)*$K660*$L660*$M660</f>
        <v/>
      </c>
      <c r="AG660" s="16">
        <f>SUMPRODUCT(N660:Y660,$N$6:$Y$6)*$K660*$L660*$M660</f>
        <v/>
      </c>
      <c r="AH660" s="20" t="n"/>
    </row>
    <row r="661">
      <c r="A661" s="9" t="n">
        <v>808805</v>
      </c>
      <c r="B661" s="9" t="inlineStr">
        <is>
          <t>Tyler Pettorini</t>
        </is>
      </c>
      <c r="C661" s="9" t="inlineStr">
        <is>
          <t>PHI</t>
        </is>
      </c>
      <c r="D661" s="9" t="n">
        <v>25</v>
      </c>
      <c r="E661" s="18" t="inlineStr">
        <is>
          <t>R</t>
        </is>
      </c>
      <c r="F661" s="18" t="n"/>
      <c r="G661" s="9" t="n">
        <v>1</v>
      </c>
      <c r="H661" s="9" t="n">
        <v>1</v>
      </c>
      <c r="I661" s="9" t="inlineStr">
        <is>
          <t>Depth (no MLB IP)</t>
        </is>
      </c>
      <c r="J661" s="18" t="inlineStr">
        <is>
          <t>Opening Day</t>
        </is>
      </c>
      <c r="K661" s="11">
        <f>IFERROR(INDEX(Roles!$B$17:$B$20,MATCH(J661,Roles!$A$17:$A$20,0)),1)</f>
        <v/>
      </c>
      <c r="L661" s="19" t="n">
        <v>1</v>
      </c>
      <c r="M661" s="11" t="n">
        <v>1</v>
      </c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>
        <v>1</v>
      </c>
      <c r="Z661" s="13">
        <f>SUMPRODUCT(N661:Y661,$N$2:$Y$2)*$K661*$L661*$M661</f>
        <v/>
      </c>
      <c r="AA661" s="14">
        <f>SUM(N661:Y661)</f>
        <v/>
      </c>
      <c r="AB661" s="13">
        <f>SUMPRODUCT(N661:Y661,$N$3:$Y$3)*$K661*$L661*$M661</f>
        <v/>
      </c>
      <c r="AC661" s="13">
        <f>SUMPRODUCT(N661:Y661,$N$4:$Y$4)*$K661*$L661*$M661</f>
        <v/>
      </c>
      <c r="AD661" s="15" t="n">
        <v>3</v>
      </c>
      <c r="AE661" s="11" t="n">
        <v>1.011296296296296</v>
      </c>
      <c r="AF661" s="16">
        <f>SUMPRODUCT(N661:Y661,$N$5:$Y$5)*$K661*$L661*$M661</f>
        <v/>
      </c>
      <c r="AG661" s="16">
        <f>SUMPRODUCT(N661:Y661,$N$6:$Y$6)*$K661*$L661*$M661</f>
        <v/>
      </c>
      <c r="AH661" s="20" t="n"/>
    </row>
    <row r="662">
      <c r="A662" s="9" t="n">
        <v>808292</v>
      </c>
      <c r="B662" s="9" t="inlineStr">
        <is>
          <t>Wilmer Lugo</t>
        </is>
      </c>
      <c r="C662" s="9" t="inlineStr">
        <is>
          <t>NYM</t>
        </is>
      </c>
      <c r="D662" s="9" t="n">
        <v>25</v>
      </c>
      <c r="E662" s="18" t="inlineStr">
        <is>
          <t>L</t>
        </is>
      </c>
      <c r="F662" s="18" t="n"/>
      <c r="G662" s="9" t="n">
        <v>1</v>
      </c>
      <c r="H662" s="9" t="n">
        <v>1</v>
      </c>
      <c r="I662" s="9" t="inlineStr">
        <is>
          <t>Depth (no MLB IP)</t>
        </is>
      </c>
      <c r="J662" s="18" t="inlineStr">
        <is>
          <t>Opening Day</t>
        </is>
      </c>
      <c r="K662" s="11">
        <f>IFERROR(INDEX(Roles!$B$17:$B$20,MATCH(J662,Roles!$A$17:$A$20,0)),1)</f>
        <v/>
      </c>
      <c r="L662" s="19" t="n">
        <v>1</v>
      </c>
      <c r="M662" s="11" t="n">
        <v>1</v>
      </c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>
        <v>1</v>
      </c>
      <c r="Z662" s="13">
        <f>SUMPRODUCT(N662:Y662,$N$2:$Y$2)*$K662*$L662*$M662</f>
        <v/>
      </c>
      <c r="AA662" s="14">
        <f>SUM(N662:Y662)</f>
        <v/>
      </c>
      <c r="AB662" s="13">
        <f>SUMPRODUCT(N662:Y662,$N$3:$Y$3)*$K662*$L662*$M662</f>
        <v/>
      </c>
      <c r="AC662" s="13">
        <f>SUMPRODUCT(N662:Y662,$N$4:$Y$4)*$K662*$L662*$M662</f>
        <v/>
      </c>
      <c r="AD662" s="15" t="n">
        <v>3</v>
      </c>
      <c r="AE662" s="11" t="n">
        <v>1.011296296296296</v>
      </c>
      <c r="AF662" s="16">
        <f>SUMPRODUCT(N662:Y662,$N$5:$Y$5)*$K662*$L662*$M662</f>
        <v/>
      </c>
      <c r="AG662" s="16">
        <f>SUMPRODUCT(N662:Y662,$N$6:$Y$6)*$K662*$L662*$M662</f>
        <v/>
      </c>
      <c r="AH662" s="20" t="n"/>
    </row>
    <row r="663">
      <c r="A663" s="9" t="n">
        <v>808762</v>
      </c>
      <c r="B663" s="9" t="inlineStr">
        <is>
          <t>Kobe Minchey</t>
        </is>
      </c>
      <c r="C663" s="9" t="inlineStr">
        <is>
          <t>PHI</t>
        </is>
      </c>
      <c r="D663" s="9" t="n">
        <v>25</v>
      </c>
      <c r="E663" s="18" t="inlineStr">
        <is>
          <t>R</t>
        </is>
      </c>
      <c r="F663" s="18" t="n"/>
      <c r="G663" s="9" t="n">
        <v>1</v>
      </c>
      <c r="H663" s="9" t="n">
        <v>1</v>
      </c>
      <c r="I663" s="9" t="inlineStr">
        <is>
          <t>Depth (no MLB IP)</t>
        </is>
      </c>
      <c r="J663" s="18" t="inlineStr">
        <is>
          <t>Opening Day</t>
        </is>
      </c>
      <c r="K663" s="11">
        <f>IFERROR(INDEX(Roles!$B$17:$B$20,MATCH(J663,Roles!$A$17:$A$20,0)),1)</f>
        <v/>
      </c>
      <c r="L663" s="19" t="n">
        <v>1</v>
      </c>
      <c r="M663" s="11" t="n">
        <v>1</v>
      </c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>
        <v>1</v>
      </c>
      <c r="Z663" s="13">
        <f>SUMPRODUCT(N663:Y663,$N$2:$Y$2)*$K663*$L663*$M663</f>
        <v/>
      </c>
      <c r="AA663" s="14">
        <f>SUM(N663:Y663)</f>
        <v/>
      </c>
      <c r="AB663" s="13">
        <f>SUMPRODUCT(N663:Y663,$N$3:$Y$3)*$K663*$L663*$M663</f>
        <v/>
      </c>
      <c r="AC663" s="13">
        <f>SUMPRODUCT(N663:Y663,$N$4:$Y$4)*$K663*$L663*$M663</f>
        <v/>
      </c>
      <c r="AD663" s="15" t="n">
        <v>3</v>
      </c>
      <c r="AE663" s="11" t="n">
        <v>1.011296296296296</v>
      </c>
      <c r="AF663" s="16">
        <f>SUMPRODUCT(N663:Y663,$N$5:$Y$5)*$K663*$L663*$M663</f>
        <v/>
      </c>
      <c r="AG663" s="16">
        <f>SUMPRODUCT(N663:Y663,$N$6:$Y$6)*$K663*$L663*$M663</f>
        <v/>
      </c>
      <c r="AH663" s="20" t="n"/>
    </row>
    <row r="664">
      <c r="A664" s="9" t="n">
        <v>700385</v>
      </c>
      <c r="B664" s="9" t="inlineStr">
        <is>
          <t>Gabriel Silva</t>
        </is>
      </c>
      <c r="C664" s="9" t="inlineStr">
        <is>
          <t>KC</t>
        </is>
      </c>
      <c r="D664" s="9" t="n">
        <v>25</v>
      </c>
      <c r="E664" s="18" t="inlineStr">
        <is>
          <t>R</t>
        </is>
      </c>
      <c r="F664" s="18" t="n"/>
      <c r="G664" s="9" t="n">
        <v>1</v>
      </c>
      <c r="H664" s="9" t="n">
        <v>1</v>
      </c>
      <c r="I664" s="9" t="inlineStr">
        <is>
          <t>Depth (no MLB IP)</t>
        </is>
      </c>
      <c r="J664" s="18" t="inlineStr">
        <is>
          <t>Opening Day</t>
        </is>
      </c>
      <c r="K664" s="11">
        <f>IFERROR(INDEX(Roles!$B$17:$B$20,MATCH(J664,Roles!$A$17:$A$20,0)),1)</f>
        <v/>
      </c>
      <c r="L664" s="19" t="n">
        <v>1</v>
      </c>
      <c r="M664" s="11" t="n">
        <v>1</v>
      </c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>
        <v>1</v>
      </c>
      <c r="Z664" s="13">
        <f>SUMPRODUCT(N664:Y664,$N$2:$Y$2)*$K664*$L664*$M664</f>
        <v/>
      </c>
      <c r="AA664" s="14">
        <f>SUM(N664:Y664)</f>
        <v/>
      </c>
      <c r="AB664" s="13">
        <f>SUMPRODUCT(N664:Y664,$N$3:$Y$3)*$K664*$L664*$M664</f>
        <v/>
      </c>
      <c r="AC664" s="13">
        <f>SUMPRODUCT(N664:Y664,$N$4:$Y$4)*$K664*$L664*$M664</f>
        <v/>
      </c>
      <c r="AD664" s="15" t="n">
        <v>3</v>
      </c>
      <c r="AE664" s="11" t="n">
        <v>1.011296296296296</v>
      </c>
      <c r="AF664" s="16">
        <f>SUMPRODUCT(N664:Y664,$N$5:$Y$5)*$K664*$L664*$M664</f>
        <v/>
      </c>
      <c r="AG664" s="16">
        <f>SUMPRODUCT(N664:Y664,$N$6:$Y$6)*$K664*$L664*$M664</f>
        <v/>
      </c>
      <c r="AH664" s="20" t="n"/>
    </row>
    <row r="665">
      <c r="A665" s="9" t="n">
        <v>807290</v>
      </c>
      <c r="B665" s="9" t="inlineStr">
        <is>
          <t>Peyton Prescott</t>
        </is>
      </c>
      <c r="C665" s="9" t="inlineStr">
        <is>
          <t>NYM</t>
        </is>
      </c>
      <c r="D665" s="9" t="n">
        <v>25</v>
      </c>
      <c r="E665" s="18" t="inlineStr">
        <is>
          <t>R</t>
        </is>
      </c>
      <c r="F665" s="18" t="n"/>
      <c r="G665" s="9" t="n">
        <v>1</v>
      </c>
      <c r="H665" s="9" t="n">
        <v>1</v>
      </c>
      <c r="I665" s="9" t="inlineStr">
        <is>
          <t>Depth (no MLB IP)</t>
        </is>
      </c>
      <c r="J665" s="18" t="inlineStr">
        <is>
          <t>Opening Day</t>
        </is>
      </c>
      <c r="K665" s="11">
        <f>IFERROR(INDEX(Roles!$B$17:$B$20,MATCH(J665,Roles!$A$17:$A$20,0)),1)</f>
        <v/>
      </c>
      <c r="L665" s="19" t="n">
        <v>1</v>
      </c>
      <c r="M665" s="11" t="n">
        <v>1</v>
      </c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>
        <v>1</v>
      </c>
      <c r="Z665" s="13">
        <f>SUMPRODUCT(N665:Y665,$N$2:$Y$2)*$K665*$L665*$M665</f>
        <v/>
      </c>
      <c r="AA665" s="14">
        <f>SUM(N665:Y665)</f>
        <v/>
      </c>
      <c r="AB665" s="13">
        <f>SUMPRODUCT(N665:Y665,$N$3:$Y$3)*$K665*$L665*$M665</f>
        <v/>
      </c>
      <c r="AC665" s="13">
        <f>SUMPRODUCT(N665:Y665,$N$4:$Y$4)*$K665*$L665*$M665</f>
        <v/>
      </c>
      <c r="AD665" s="15" t="n">
        <v>3</v>
      </c>
      <c r="AE665" s="11" t="n">
        <v>1.011296296296296</v>
      </c>
      <c r="AF665" s="16">
        <f>SUMPRODUCT(N665:Y665,$N$5:$Y$5)*$K665*$L665*$M665</f>
        <v/>
      </c>
      <c r="AG665" s="16">
        <f>SUMPRODUCT(N665:Y665,$N$6:$Y$6)*$K665*$L665*$M665</f>
        <v/>
      </c>
      <c r="AH665" s="20" t="n"/>
    </row>
    <row r="666">
      <c r="A666" s="9" t="n">
        <v>808237</v>
      </c>
      <c r="B666" s="9" t="inlineStr">
        <is>
          <t>Yirer Garcia</t>
        </is>
      </c>
      <c r="C666" s="9" t="inlineStr">
        <is>
          <t>TB</t>
        </is>
      </c>
      <c r="D666" s="9" t="n">
        <v>25</v>
      </c>
      <c r="E666" s="18" t="inlineStr">
        <is>
          <t>R</t>
        </is>
      </c>
      <c r="F666" s="18" t="n"/>
      <c r="G666" s="9" t="n">
        <v>1</v>
      </c>
      <c r="H666" s="9" t="n">
        <v>1</v>
      </c>
      <c r="I666" s="9" t="inlineStr">
        <is>
          <t>Depth (no MLB IP)</t>
        </is>
      </c>
      <c r="J666" s="18" t="inlineStr">
        <is>
          <t>Opening Day</t>
        </is>
      </c>
      <c r="K666" s="11">
        <f>IFERROR(INDEX(Roles!$B$17:$B$20,MATCH(J666,Roles!$A$17:$A$20,0)),1)</f>
        <v/>
      </c>
      <c r="L666" s="19" t="n">
        <v>1</v>
      </c>
      <c r="M666" s="11" t="n">
        <v>1</v>
      </c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>
        <v>1</v>
      </c>
      <c r="Z666" s="13">
        <f>SUMPRODUCT(N666:Y666,$N$2:$Y$2)*$K666*$L666*$M666</f>
        <v/>
      </c>
      <c r="AA666" s="14">
        <f>SUM(N666:Y666)</f>
        <v/>
      </c>
      <c r="AB666" s="13">
        <f>SUMPRODUCT(N666:Y666,$N$3:$Y$3)*$K666*$L666*$M666</f>
        <v/>
      </c>
      <c r="AC666" s="13">
        <f>SUMPRODUCT(N666:Y666,$N$4:$Y$4)*$K666*$L666*$M666</f>
        <v/>
      </c>
      <c r="AD666" s="15" t="n">
        <v>3</v>
      </c>
      <c r="AE666" s="11" t="n">
        <v>1.011296296296296</v>
      </c>
      <c r="AF666" s="16">
        <f>SUMPRODUCT(N666:Y666,$N$5:$Y$5)*$K666*$L666*$M666</f>
        <v/>
      </c>
      <c r="AG666" s="16">
        <f>SUMPRODUCT(N666:Y666,$N$6:$Y$6)*$K666*$L666*$M666</f>
        <v/>
      </c>
      <c r="AH666" s="20" t="n"/>
    </row>
    <row r="667">
      <c r="A667" s="9" t="n">
        <v>808279</v>
      </c>
      <c r="B667" s="9" t="inlineStr">
        <is>
          <t>Elian Soto</t>
        </is>
      </c>
      <c r="C667" s="9" t="inlineStr">
        <is>
          <t>WSH</t>
        </is>
      </c>
      <c r="D667" s="9" t="n">
        <v>25</v>
      </c>
      <c r="E667" s="18" t="inlineStr">
        <is>
          <t>R</t>
        </is>
      </c>
      <c r="F667" s="18" t="n"/>
      <c r="G667" s="9" t="n">
        <v>1</v>
      </c>
      <c r="H667" s="9" t="n">
        <v>1</v>
      </c>
      <c r="I667" s="9" t="inlineStr">
        <is>
          <t>Depth (no MLB IP)</t>
        </is>
      </c>
      <c r="J667" s="18" t="inlineStr">
        <is>
          <t>Opening Day</t>
        </is>
      </c>
      <c r="K667" s="11">
        <f>IFERROR(INDEX(Roles!$B$17:$B$20,MATCH(J667,Roles!$A$17:$A$20,0)),1)</f>
        <v/>
      </c>
      <c r="L667" s="19" t="n">
        <v>1</v>
      </c>
      <c r="M667" s="11" t="n">
        <v>1</v>
      </c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>
        <v>1</v>
      </c>
      <c r="Z667" s="13">
        <f>SUMPRODUCT(N667:Y667,$N$2:$Y$2)*$K667*$L667*$M667</f>
        <v/>
      </c>
      <c r="AA667" s="14">
        <f>SUM(N667:Y667)</f>
        <v/>
      </c>
      <c r="AB667" s="13">
        <f>SUMPRODUCT(N667:Y667,$N$3:$Y$3)*$K667*$L667*$M667</f>
        <v/>
      </c>
      <c r="AC667" s="13">
        <f>SUMPRODUCT(N667:Y667,$N$4:$Y$4)*$K667*$L667*$M667</f>
        <v/>
      </c>
      <c r="AD667" s="15" t="n">
        <v>3</v>
      </c>
      <c r="AE667" s="11" t="n">
        <v>1.011296296296296</v>
      </c>
      <c r="AF667" s="16">
        <f>SUMPRODUCT(N667:Y667,$N$5:$Y$5)*$K667*$L667*$M667</f>
        <v/>
      </c>
      <c r="AG667" s="16">
        <f>SUMPRODUCT(N667:Y667,$N$6:$Y$6)*$K667*$L667*$M667</f>
        <v/>
      </c>
      <c r="AH667" s="20" t="n"/>
    </row>
    <row r="668">
      <c r="A668" s="9" t="n">
        <v>808220</v>
      </c>
      <c r="B668" s="9" t="inlineStr">
        <is>
          <t>Raimundo De Los Santos</t>
        </is>
      </c>
      <c r="C668" s="9" t="inlineStr">
        <is>
          <t>TOR</t>
        </is>
      </c>
      <c r="D668" s="9" t="n">
        <v>25</v>
      </c>
      <c r="E668" s="18" t="inlineStr">
        <is>
          <t>R</t>
        </is>
      </c>
      <c r="F668" s="18" t="n"/>
      <c r="G668" s="9" t="n">
        <v>1</v>
      </c>
      <c r="H668" s="9" t="n">
        <v>1</v>
      </c>
      <c r="I668" s="9" t="inlineStr">
        <is>
          <t>Depth (no MLB IP)</t>
        </is>
      </c>
      <c r="J668" s="18" t="inlineStr">
        <is>
          <t>Opening Day</t>
        </is>
      </c>
      <c r="K668" s="11">
        <f>IFERROR(INDEX(Roles!$B$17:$B$20,MATCH(J668,Roles!$A$17:$A$20,0)),1)</f>
        <v/>
      </c>
      <c r="L668" s="19" t="n">
        <v>1</v>
      </c>
      <c r="M668" s="11" t="n">
        <v>1</v>
      </c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>
        <v>1</v>
      </c>
      <c r="Z668" s="13">
        <f>SUMPRODUCT(N668:Y668,$N$2:$Y$2)*$K668*$L668*$M668</f>
        <v/>
      </c>
      <c r="AA668" s="14">
        <f>SUM(N668:Y668)</f>
        <v/>
      </c>
      <c r="AB668" s="13">
        <f>SUMPRODUCT(N668:Y668,$N$3:$Y$3)*$K668*$L668*$M668</f>
        <v/>
      </c>
      <c r="AC668" s="13">
        <f>SUMPRODUCT(N668:Y668,$N$4:$Y$4)*$K668*$L668*$M668</f>
        <v/>
      </c>
      <c r="AD668" s="15" t="n">
        <v>3</v>
      </c>
      <c r="AE668" s="11" t="n">
        <v>1.011296296296296</v>
      </c>
      <c r="AF668" s="16">
        <f>SUMPRODUCT(N668:Y668,$N$5:$Y$5)*$K668*$L668*$M668</f>
        <v/>
      </c>
      <c r="AG668" s="16">
        <f>SUMPRODUCT(N668:Y668,$N$6:$Y$6)*$K668*$L668*$M668</f>
        <v/>
      </c>
      <c r="AH668" s="20" t="n"/>
    </row>
    <row r="669">
      <c r="A669" s="9" t="n">
        <v>701696</v>
      </c>
      <c r="B669" s="9" t="inlineStr">
        <is>
          <t>Ryan Stafford</t>
        </is>
      </c>
      <c r="C669" s="9" t="inlineStr">
        <is>
          <t>BAL</t>
        </is>
      </c>
      <c r="D669" s="9" t="n">
        <v>25</v>
      </c>
      <c r="E669" s="18" t="inlineStr">
        <is>
          <t>R</t>
        </is>
      </c>
      <c r="F669" s="18" t="n"/>
      <c r="G669" s="9" t="n">
        <v>1</v>
      </c>
      <c r="H669" s="9" t="n">
        <v>1</v>
      </c>
      <c r="I669" s="9" t="inlineStr">
        <is>
          <t>Depth (no MLB IP)</t>
        </is>
      </c>
      <c r="J669" s="18" t="inlineStr">
        <is>
          <t>Opening Day</t>
        </is>
      </c>
      <c r="K669" s="11">
        <f>IFERROR(INDEX(Roles!$B$17:$B$20,MATCH(J669,Roles!$A$17:$A$20,0)),1)</f>
        <v/>
      </c>
      <c r="L669" s="19" t="n">
        <v>1</v>
      </c>
      <c r="M669" s="11" t="n">
        <v>1</v>
      </c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>
        <v>1</v>
      </c>
      <c r="Z669" s="13">
        <f>SUMPRODUCT(N669:Y669,$N$2:$Y$2)*$K669*$L669*$M669</f>
        <v/>
      </c>
      <c r="AA669" s="14">
        <f>SUM(N669:Y669)</f>
        <v/>
      </c>
      <c r="AB669" s="13">
        <f>SUMPRODUCT(N669:Y669,$N$3:$Y$3)*$K669*$L669*$M669</f>
        <v/>
      </c>
      <c r="AC669" s="13">
        <f>SUMPRODUCT(N669:Y669,$N$4:$Y$4)*$K669*$L669*$M669</f>
        <v/>
      </c>
      <c r="AD669" s="15" t="n">
        <v>3</v>
      </c>
      <c r="AE669" s="11" t="n">
        <v>1.011296296296296</v>
      </c>
      <c r="AF669" s="16">
        <f>SUMPRODUCT(N669:Y669,$N$5:$Y$5)*$K669*$L669*$M669</f>
        <v/>
      </c>
      <c r="AG669" s="16">
        <f>SUMPRODUCT(N669:Y669,$N$6:$Y$6)*$K669*$L669*$M669</f>
        <v/>
      </c>
      <c r="AH669" s="20" t="n"/>
    </row>
    <row r="670">
      <c r="A670" s="9" t="n">
        <v>801853</v>
      </c>
      <c r="B670" s="9" t="inlineStr">
        <is>
          <t>Brandon Nigh</t>
        </is>
      </c>
      <c r="C670" s="9" t="inlineStr">
        <is>
          <t>HOU</t>
        </is>
      </c>
      <c r="D670" s="9" t="n">
        <v>25</v>
      </c>
      <c r="E670" s="18" t="inlineStr">
        <is>
          <t>R</t>
        </is>
      </c>
      <c r="F670" s="18" t="n"/>
      <c r="G670" s="9" t="n">
        <v>1</v>
      </c>
      <c r="H670" s="9" t="n">
        <v>1</v>
      </c>
      <c r="I670" s="9" t="inlineStr">
        <is>
          <t>Depth (no MLB IP)</t>
        </is>
      </c>
      <c r="J670" s="18" t="inlineStr">
        <is>
          <t>Opening Day</t>
        </is>
      </c>
      <c r="K670" s="11">
        <f>IFERROR(INDEX(Roles!$B$17:$B$20,MATCH(J670,Roles!$A$17:$A$20,0)),1)</f>
        <v/>
      </c>
      <c r="L670" s="19" t="n">
        <v>1</v>
      </c>
      <c r="M670" s="11" t="n">
        <v>1</v>
      </c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>
        <v>1</v>
      </c>
      <c r="Z670" s="13">
        <f>SUMPRODUCT(N670:Y670,$N$2:$Y$2)*$K670*$L670*$M670</f>
        <v/>
      </c>
      <c r="AA670" s="14">
        <f>SUM(N670:Y670)</f>
        <v/>
      </c>
      <c r="AB670" s="13">
        <f>SUMPRODUCT(N670:Y670,$N$3:$Y$3)*$K670*$L670*$M670</f>
        <v/>
      </c>
      <c r="AC670" s="13">
        <f>SUMPRODUCT(N670:Y670,$N$4:$Y$4)*$K670*$L670*$M670</f>
        <v/>
      </c>
      <c r="AD670" s="15" t="n">
        <v>3</v>
      </c>
      <c r="AE670" s="11" t="n">
        <v>1.011296296296296</v>
      </c>
      <c r="AF670" s="16">
        <f>SUMPRODUCT(N670:Y670,$N$5:$Y$5)*$K670*$L670*$M670</f>
        <v/>
      </c>
      <c r="AG670" s="16">
        <f>SUMPRODUCT(N670:Y670,$N$6:$Y$6)*$K670*$L670*$M670</f>
        <v/>
      </c>
      <c r="AH670" s="20" t="n"/>
    </row>
    <row r="671">
      <c r="A671" s="9" t="n">
        <v>833381</v>
      </c>
      <c r="B671" s="9" t="inlineStr">
        <is>
          <t>Jack Moroknek</t>
        </is>
      </c>
      <c r="C671" s="9" t="inlineStr">
        <is>
          <t>WSH</t>
        </is>
      </c>
      <c r="D671" s="9" t="n">
        <v>25</v>
      </c>
      <c r="E671" s="18" t="inlineStr">
        <is>
          <t>R</t>
        </is>
      </c>
      <c r="F671" s="18" t="n"/>
      <c r="G671" s="9" t="n">
        <v>1</v>
      </c>
      <c r="H671" s="9" t="n">
        <v>1</v>
      </c>
      <c r="I671" s="9" t="inlineStr">
        <is>
          <t>Depth (no MLB IP)</t>
        </is>
      </c>
      <c r="J671" s="18" t="inlineStr">
        <is>
          <t>Opening Day</t>
        </is>
      </c>
      <c r="K671" s="11">
        <f>IFERROR(INDEX(Roles!$B$17:$B$20,MATCH(J671,Roles!$A$17:$A$20,0)),1)</f>
        <v/>
      </c>
      <c r="L671" s="19" t="n">
        <v>1</v>
      </c>
      <c r="M671" s="11" t="n">
        <v>1</v>
      </c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>
        <v>1</v>
      </c>
      <c r="Z671" s="13">
        <f>SUMPRODUCT(N671:Y671,$N$2:$Y$2)*$K671*$L671*$M671</f>
        <v/>
      </c>
      <c r="AA671" s="14">
        <f>SUM(N671:Y671)</f>
        <v/>
      </c>
      <c r="AB671" s="13">
        <f>SUMPRODUCT(N671:Y671,$N$3:$Y$3)*$K671*$L671*$M671</f>
        <v/>
      </c>
      <c r="AC671" s="13">
        <f>SUMPRODUCT(N671:Y671,$N$4:$Y$4)*$K671*$L671*$M671</f>
        <v/>
      </c>
      <c r="AD671" s="15" t="n">
        <v>3</v>
      </c>
      <c r="AE671" s="11" t="n">
        <v>1.011296296296296</v>
      </c>
      <c r="AF671" s="16">
        <f>SUMPRODUCT(N671:Y671,$N$5:$Y$5)*$K671*$L671*$M671</f>
        <v/>
      </c>
      <c r="AG671" s="16">
        <f>SUMPRODUCT(N671:Y671,$N$6:$Y$6)*$K671*$L671*$M671</f>
        <v/>
      </c>
      <c r="AH671" s="20" t="n"/>
    </row>
    <row r="672">
      <c r="A672" s="9" t="n">
        <v>808119</v>
      </c>
      <c r="B672" s="9" t="inlineStr">
        <is>
          <t>Yaikel Mijares</t>
        </is>
      </c>
      <c r="C672" s="9" t="inlineStr">
        <is>
          <t>CLE</t>
        </is>
      </c>
      <c r="D672" s="9" t="n">
        <v>25</v>
      </c>
      <c r="E672" s="18" t="inlineStr">
        <is>
          <t>R</t>
        </is>
      </c>
      <c r="F672" s="18" t="n"/>
      <c r="G672" s="9" t="n">
        <v>1</v>
      </c>
      <c r="H672" s="9" t="n">
        <v>1</v>
      </c>
      <c r="I672" s="9" t="inlineStr">
        <is>
          <t>Depth (no MLB IP)</t>
        </is>
      </c>
      <c r="J672" s="18" t="inlineStr">
        <is>
          <t>Opening Day</t>
        </is>
      </c>
      <c r="K672" s="11">
        <f>IFERROR(INDEX(Roles!$B$17:$B$20,MATCH(J672,Roles!$A$17:$A$20,0)),1)</f>
        <v/>
      </c>
      <c r="L672" s="19" t="n">
        <v>1</v>
      </c>
      <c r="M672" s="11" t="n">
        <v>1</v>
      </c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>
        <v>1</v>
      </c>
      <c r="Z672" s="13">
        <f>SUMPRODUCT(N672:Y672,$N$2:$Y$2)*$K672*$L672*$M672</f>
        <v/>
      </c>
      <c r="AA672" s="14">
        <f>SUM(N672:Y672)</f>
        <v/>
      </c>
      <c r="AB672" s="13">
        <f>SUMPRODUCT(N672:Y672,$N$3:$Y$3)*$K672*$L672*$M672</f>
        <v/>
      </c>
      <c r="AC672" s="13">
        <f>SUMPRODUCT(N672:Y672,$N$4:$Y$4)*$K672*$L672*$M672</f>
        <v/>
      </c>
      <c r="AD672" s="15" t="n">
        <v>3</v>
      </c>
      <c r="AE672" s="11" t="n">
        <v>1.011296296296296</v>
      </c>
      <c r="AF672" s="16">
        <f>SUMPRODUCT(N672:Y672,$N$5:$Y$5)*$K672*$L672*$M672</f>
        <v/>
      </c>
      <c r="AG672" s="16">
        <f>SUMPRODUCT(N672:Y672,$N$6:$Y$6)*$K672*$L672*$M672</f>
        <v/>
      </c>
      <c r="AH672" s="20" t="n"/>
    </row>
    <row r="673">
      <c r="A673" s="9" t="n">
        <v>832560</v>
      </c>
      <c r="B673" s="9" t="inlineStr">
        <is>
          <t>Ben Moore</t>
        </is>
      </c>
      <c r="C673" s="9" t="inlineStr">
        <is>
          <t>WSH</t>
        </is>
      </c>
      <c r="D673" s="9" t="n">
        <v>25</v>
      </c>
      <c r="E673" s="18" t="inlineStr">
        <is>
          <t>L</t>
        </is>
      </c>
      <c r="F673" s="18" t="n"/>
      <c r="G673" s="9" t="n">
        <v>1</v>
      </c>
      <c r="H673" s="9" t="n">
        <v>1</v>
      </c>
      <c r="I673" s="9" t="inlineStr">
        <is>
          <t>Depth (no MLB IP)</t>
        </is>
      </c>
      <c r="J673" s="18" t="inlineStr">
        <is>
          <t>Opening Day</t>
        </is>
      </c>
      <c r="K673" s="11">
        <f>IFERROR(INDEX(Roles!$B$17:$B$20,MATCH(J673,Roles!$A$17:$A$20,0)),1)</f>
        <v/>
      </c>
      <c r="L673" s="19" t="n">
        <v>1</v>
      </c>
      <c r="M673" s="11" t="n">
        <v>1</v>
      </c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>
        <v>1</v>
      </c>
      <c r="Z673" s="13">
        <f>SUMPRODUCT(N673:Y673,$N$2:$Y$2)*$K673*$L673*$M673</f>
        <v/>
      </c>
      <c r="AA673" s="14">
        <f>SUM(N673:Y673)</f>
        <v/>
      </c>
      <c r="AB673" s="13">
        <f>SUMPRODUCT(N673:Y673,$N$3:$Y$3)*$K673*$L673*$M673</f>
        <v/>
      </c>
      <c r="AC673" s="13">
        <f>SUMPRODUCT(N673:Y673,$N$4:$Y$4)*$K673*$L673*$M673</f>
        <v/>
      </c>
      <c r="AD673" s="15" t="n">
        <v>3</v>
      </c>
      <c r="AE673" s="11" t="n">
        <v>1.011296296296296</v>
      </c>
      <c r="AF673" s="16">
        <f>SUMPRODUCT(N673:Y673,$N$5:$Y$5)*$K673*$L673*$M673</f>
        <v/>
      </c>
      <c r="AG673" s="16">
        <f>SUMPRODUCT(N673:Y673,$N$6:$Y$6)*$K673*$L673*$M673</f>
        <v/>
      </c>
      <c r="AH673" s="20" t="n"/>
    </row>
    <row r="674">
      <c r="A674" s="9" t="n">
        <v>836061</v>
      </c>
      <c r="B674" s="9" t="inlineStr">
        <is>
          <t>George Bilecki</t>
        </is>
      </c>
      <c r="C674" s="9" t="inlineStr">
        <is>
          <t>SD</t>
        </is>
      </c>
      <c r="D674" s="9" t="n">
        <v>25</v>
      </c>
      <c r="E674" s="18" t="inlineStr">
        <is>
          <t>L</t>
        </is>
      </c>
      <c r="F674" s="18" t="n"/>
      <c r="G674" s="9" t="n">
        <v>1</v>
      </c>
      <c r="H674" s="9" t="n">
        <v>1</v>
      </c>
      <c r="I674" s="9" t="inlineStr">
        <is>
          <t>Depth (no MLB IP)</t>
        </is>
      </c>
      <c r="J674" s="18" t="inlineStr">
        <is>
          <t>Opening Day</t>
        </is>
      </c>
      <c r="K674" s="11">
        <f>IFERROR(INDEX(Roles!$B$17:$B$20,MATCH(J674,Roles!$A$17:$A$20,0)),1)</f>
        <v/>
      </c>
      <c r="L674" s="19" t="n">
        <v>1</v>
      </c>
      <c r="M674" s="11" t="n">
        <v>1</v>
      </c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>
        <v>1</v>
      </c>
      <c r="Z674" s="13">
        <f>SUMPRODUCT(N674:Y674,$N$2:$Y$2)*$K674*$L674*$M674</f>
        <v/>
      </c>
      <c r="AA674" s="14">
        <f>SUM(N674:Y674)</f>
        <v/>
      </c>
      <c r="AB674" s="13">
        <f>SUMPRODUCT(N674:Y674,$N$3:$Y$3)*$K674*$L674*$M674</f>
        <v/>
      </c>
      <c r="AC674" s="13">
        <f>SUMPRODUCT(N674:Y674,$N$4:$Y$4)*$K674*$L674*$M674</f>
        <v/>
      </c>
      <c r="AD674" s="15" t="n">
        <v>3</v>
      </c>
      <c r="AE674" s="11" t="n">
        <v>1.011296296296296</v>
      </c>
      <c r="AF674" s="16">
        <f>SUMPRODUCT(N674:Y674,$N$5:$Y$5)*$K674*$L674*$M674</f>
        <v/>
      </c>
      <c r="AG674" s="16">
        <f>SUMPRODUCT(N674:Y674,$N$6:$Y$6)*$K674*$L674*$M674</f>
        <v/>
      </c>
      <c r="AH674" s="20" t="n"/>
    </row>
    <row r="675">
      <c r="A675" s="9" t="n">
        <v>842070</v>
      </c>
      <c r="B675" s="9" t="inlineStr">
        <is>
          <t>Jason Krieger</t>
        </is>
      </c>
      <c r="C675" s="9" t="inlineStr">
        <is>
          <t>NYY</t>
        </is>
      </c>
      <c r="D675" s="9" t="n">
        <v>25</v>
      </c>
      <c r="E675" s="18" t="inlineStr">
        <is>
          <t>R</t>
        </is>
      </c>
      <c r="F675" s="18" t="n"/>
      <c r="G675" s="9" t="n">
        <v>1</v>
      </c>
      <c r="H675" s="9" t="n">
        <v>1</v>
      </c>
      <c r="I675" s="9" t="inlineStr">
        <is>
          <t>Depth (no MLB IP)</t>
        </is>
      </c>
      <c r="J675" s="18" t="inlineStr">
        <is>
          <t>Opening Day</t>
        </is>
      </c>
      <c r="K675" s="11">
        <f>IFERROR(INDEX(Roles!$B$17:$B$20,MATCH(J675,Roles!$A$17:$A$20,0)),1)</f>
        <v/>
      </c>
      <c r="L675" s="19" t="n">
        <v>1</v>
      </c>
      <c r="M675" s="11" t="n">
        <v>1</v>
      </c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>
        <v>1</v>
      </c>
      <c r="Z675" s="13">
        <f>SUMPRODUCT(N675:Y675,$N$2:$Y$2)*$K675*$L675*$M675</f>
        <v/>
      </c>
      <c r="AA675" s="14">
        <f>SUM(N675:Y675)</f>
        <v/>
      </c>
      <c r="AB675" s="13">
        <f>SUMPRODUCT(N675:Y675,$N$3:$Y$3)*$K675*$L675*$M675</f>
        <v/>
      </c>
      <c r="AC675" s="13">
        <f>SUMPRODUCT(N675:Y675,$N$4:$Y$4)*$K675*$L675*$M675</f>
        <v/>
      </c>
      <c r="AD675" s="15" t="n">
        <v>3</v>
      </c>
      <c r="AE675" s="11" t="n">
        <v>1.011296296296296</v>
      </c>
      <c r="AF675" s="16">
        <f>SUMPRODUCT(N675:Y675,$N$5:$Y$5)*$K675*$L675*$M675</f>
        <v/>
      </c>
      <c r="AG675" s="16">
        <f>SUMPRODUCT(N675:Y675,$N$6:$Y$6)*$K675*$L675*$M675</f>
        <v/>
      </c>
      <c r="AH675" s="20" t="n"/>
    </row>
    <row r="676">
      <c r="A676" s="9" t="n">
        <v>843503</v>
      </c>
      <c r="B676" s="9" t="inlineStr">
        <is>
          <t>Austin Testerman</t>
        </is>
      </c>
      <c r="C676" s="9" t="inlineStr">
        <is>
          <t>CLE</t>
        </is>
      </c>
      <c r="D676" s="9" t="n">
        <v>25</v>
      </c>
      <c r="E676" s="18" t="inlineStr">
        <is>
          <t>R</t>
        </is>
      </c>
      <c r="F676" s="18" t="n"/>
      <c r="G676" s="9" t="n">
        <v>1.204</v>
      </c>
      <c r="H676" s="9" t="n">
        <v>1.204</v>
      </c>
      <c r="I676" s="9" t="inlineStr">
        <is>
          <t>Depth (no MLB IP)</t>
        </is>
      </c>
      <c r="J676" s="18" t="inlineStr">
        <is>
          <t>Opening Day</t>
        </is>
      </c>
      <c r="K676" s="11">
        <f>IFERROR(INDEX(Roles!$B$17:$B$20,MATCH(J676,Roles!$A$17:$A$20,0)),1)</f>
        <v/>
      </c>
      <c r="L676" s="19" t="n">
        <v>1</v>
      </c>
      <c r="M676" s="11" t="n">
        <v>1</v>
      </c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>
        <v>1</v>
      </c>
      <c r="Z676" s="13">
        <f>SUMPRODUCT(N676:Y676,$N$2:$Y$2)*$K676*$L676*$M676</f>
        <v/>
      </c>
      <c r="AA676" s="14">
        <f>SUM(N676:Y676)</f>
        <v/>
      </c>
      <c r="AB676" s="13">
        <f>SUMPRODUCT(N676:Y676,$N$3:$Y$3)*$K676*$L676*$M676</f>
        <v/>
      </c>
      <c r="AC676" s="13">
        <f>SUMPRODUCT(N676:Y676,$N$4:$Y$4)*$K676*$L676*$M676</f>
        <v/>
      </c>
      <c r="AD676" s="15" t="n">
        <v>3</v>
      </c>
      <c r="AE676" s="11" t="n">
        <v>1.011296296296296</v>
      </c>
      <c r="AF676" s="16">
        <f>SUMPRODUCT(N676:Y676,$N$5:$Y$5)*$K676*$L676*$M676</f>
        <v/>
      </c>
      <c r="AG676" s="16">
        <f>SUMPRODUCT(N676:Y676,$N$6:$Y$6)*$K676*$L676*$M676</f>
        <v/>
      </c>
      <c r="AH676" s="20" t="n"/>
    </row>
    <row r="677">
      <c r="A677" s="9" t="n">
        <v>842158</v>
      </c>
      <c r="B677" s="9" t="inlineStr">
        <is>
          <t>Jui-Chieh Lin</t>
        </is>
      </c>
      <c r="C677" s="9" t="inlineStr">
        <is>
          <t>MIN</t>
        </is>
      </c>
      <c r="D677" s="9" t="n">
        <v>25</v>
      </c>
      <c r="E677" s="18" t="inlineStr">
        <is>
          <t>R</t>
        </is>
      </c>
      <c r="F677" s="18" t="n"/>
      <c r="G677" s="9" t="n">
        <v>1</v>
      </c>
      <c r="H677" s="9" t="n">
        <v>1</v>
      </c>
      <c r="I677" s="9" t="inlineStr">
        <is>
          <t>Depth (no MLB IP)</t>
        </is>
      </c>
      <c r="J677" s="18" t="inlineStr">
        <is>
          <t>Opening Day</t>
        </is>
      </c>
      <c r="K677" s="11">
        <f>IFERROR(INDEX(Roles!$B$17:$B$20,MATCH(J677,Roles!$A$17:$A$20,0)),1)</f>
        <v/>
      </c>
      <c r="L677" s="19" t="n">
        <v>1</v>
      </c>
      <c r="M677" s="11" t="n">
        <v>1</v>
      </c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>
        <v>1</v>
      </c>
      <c r="Z677" s="13">
        <f>SUMPRODUCT(N677:Y677,$N$2:$Y$2)*$K677*$L677*$M677</f>
        <v/>
      </c>
      <c r="AA677" s="14">
        <f>SUM(N677:Y677)</f>
        <v/>
      </c>
      <c r="AB677" s="13">
        <f>SUMPRODUCT(N677:Y677,$N$3:$Y$3)*$K677*$L677*$M677</f>
        <v/>
      </c>
      <c r="AC677" s="13">
        <f>SUMPRODUCT(N677:Y677,$N$4:$Y$4)*$K677*$L677*$M677</f>
        <v/>
      </c>
      <c r="AD677" s="15" t="n">
        <v>3</v>
      </c>
      <c r="AE677" s="11" t="n">
        <v>1.011296296296296</v>
      </c>
      <c r="AF677" s="16">
        <f>SUMPRODUCT(N677:Y677,$N$5:$Y$5)*$K677*$L677*$M677</f>
        <v/>
      </c>
      <c r="AG677" s="16">
        <f>SUMPRODUCT(N677:Y677,$N$6:$Y$6)*$K677*$L677*$M677</f>
        <v/>
      </c>
      <c r="AH677" s="20" t="n"/>
    </row>
    <row r="678">
      <c r="A678" s="9" t="n">
        <v>840033</v>
      </c>
      <c r="B678" s="9" t="inlineStr">
        <is>
          <t>Eric Nachtsheim</t>
        </is>
      </c>
      <c r="C678" s="9" t="inlineStr">
        <is>
          <t>SF</t>
        </is>
      </c>
      <c r="D678" s="9" t="n">
        <v>25</v>
      </c>
      <c r="E678" s="18" t="inlineStr">
        <is>
          <t>R</t>
        </is>
      </c>
      <c r="F678" s="18" t="n"/>
      <c r="G678" s="9" t="n">
        <v>1</v>
      </c>
      <c r="H678" s="9" t="n">
        <v>1</v>
      </c>
      <c r="I678" s="9" t="inlineStr">
        <is>
          <t>Depth (no MLB IP)</t>
        </is>
      </c>
      <c r="J678" s="18" t="inlineStr">
        <is>
          <t>Opening Day</t>
        </is>
      </c>
      <c r="K678" s="11">
        <f>IFERROR(INDEX(Roles!$B$17:$B$20,MATCH(J678,Roles!$A$17:$A$20,0)),1)</f>
        <v/>
      </c>
      <c r="L678" s="19" t="n">
        <v>1</v>
      </c>
      <c r="M678" s="11" t="n">
        <v>1</v>
      </c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>
        <v>1</v>
      </c>
      <c r="Z678" s="13">
        <f>SUMPRODUCT(N678:Y678,$N$2:$Y$2)*$K678*$L678*$M678</f>
        <v/>
      </c>
      <c r="AA678" s="14">
        <f>SUM(N678:Y678)</f>
        <v/>
      </c>
      <c r="AB678" s="13">
        <f>SUMPRODUCT(N678:Y678,$N$3:$Y$3)*$K678*$L678*$M678</f>
        <v/>
      </c>
      <c r="AC678" s="13">
        <f>SUMPRODUCT(N678:Y678,$N$4:$Y$4)*$K678*$L678*$M678</f>
        <v/>
      </c>
      <c r="AD678" s="15" t="n">
        <v>3</v>
      </c>
      <c r="AE678" s="11" t="n">
        <v>1.011296296296296</v>
      </c>
      <c r="AF678" s="16">
        <f>SUMPRODUCT(N678:Y678,$N$5:$Y$5)*$K678*$L678*$M678</f>
        <v/>
      </c>
      <c r="AG678" s="16">
        <f>SUMPRODUCT(N678:Y678,$N$6:$Y$6)*$K678*$L678*$M678</f>
        <v/>
      </c>
      <c r="AH678" s="20" t="n"/>
    </row>
    <row r="679">
      <c r="A679" s="9" t="n">
        <v>836068</v>
      </c>
      <c r="B679" s="9" t="inlineStr">
        <is>
          <t>Brayden Corn</t>
        </is>
      </c>
      <c r="C679" s="9" t="inlineStr">
        <is>
          <t>SEA</t>
        </is>
      </c>
      <c r="D679" s="9" t="n">
        <v>25</v>
      </c>
      <c r="E679" s="18" t="inlineStr">
        <is>
          <t>R</t>
        </is>
      </c>
      <c r="F679" s="18" t="n"/>
      <c r="G679" s="9" t="n">
        <v>1</v>
      </c>
      <c r="H679" s="9" t="n">
        <v>1</v>
      </c>
      <c r="I679" s="9" t="inlineStr">
        <is>
          <t>Depth (no MLB IP)</t>
        </is>
      </c>
      <c r="J679" s="18" t="inlineStr">
        <is>
          <t>Opening Day</t>
        </is>
      </c>
      <c r="K679" s="11">
        <f>IFERROR(INDEX(Roles!$B$17:$B$20,MATCH(J679,Roles!$A$17:$A$20,0)),1)</f>
        <v/>
      </c>
      <c r="L679" s="19" t="n">
        <v>1</v>
      </c>
      <c r="M679" s="11" t="n">
        <v>1</v>
      </c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>
        <v>1</v>
      </c>
      <c r="Z679" s="13">
        <f>SUMPRODUCT(N679:Y679,$N$2:$Y$2)*$K679*$L679*$M679</f>
        <v/>
      </c>
      <c r="AA679" s="14">
        <f>SUM(N679:Y679)</f>
        <v/>
      </c>
      <c r="AB679" s="13">
        <f>SUMPRODUCT(N679:Y679,$N$3:$Y$3)*$K679*$L679*$M679</f>
        <v/>
      </c>
      <c r="AC679" s="13">
        <f>SUMPRODUCT(N679:Y679,$N$4:$Y$4)*$K679*$L679*$M679</f>
        <v/>
      </c>
      <c r="AD679" s="15" t="n">
        <v>3</v>
      </c>
      <c r="AE679" s="11" t="n">
        <v>1.011296296296296</v>
      </c>
      <c r="AF679" s="16">
        <f>SUMPRODUCT(N679:Y679,$N$5:$Y$5)*$K679*$L679*$M679</f>
        <v/>
      </c>
      <c r="AG679" s="16">
        <f>SUMPRODUCT(N679:Y679,$N$6:$Y$6)*$K679*$L679*$M679</f>
        <v/>
      </c>
      <c r="AH679" s="20" t="n"/>
    </row>
    <row r="680">
      <c r="A680" s="9" t="n">
        <v>842569</v>
      </c>
      <c r="B680" s="9" t="inlineStr">
        <is>
          <t>Michael Gibson</t>
        </is>
      </c>
      <c r="C680" s="9" t="inlineStr">
        <is>
          <t>PIT</t>
        </is>
      </c>
      <c r="D680" s="9" t="n">
        <v>25</v>
      </c>
      <c r="E680" s="18" t="inlineStr">
        <is>
          <t>R</t>
        </is>
      </c>
      <c r="F680" s="18" t="n"/>
      <c r="G680" s="9" t="n">
        <v>1</v>
      </c>
      <c r="H680" s="9" t="n">
        <v>1</v>
      </c>
      <c r="I680" s="9" t="inlineStr">
        <is>
          <t>Depth (no MLB IP)</t>
        </is>
      </c>
      <c r="J680" s="18" t="inlineStr">
        <is>
          <t>Opening Day</t>
        </is>
      </c>
      <c r="K680" s="11">
        <f>IFERROR(INDEX(Roles!$B$17:$B$20,MATCH(J680,Roles!$A$17:$A$20,0)),1)</f>
        <v/>
      </c>
      <c r="L680" s="19" t="n">
        <v>1</v>
      </c>
      <c r="M680" s="11" t="n">
        <v>1</v>
      </c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>
        <v>1</v>
      </c>
      <c r="Z680" s="13">
        <f>SUMPRODUCT(N680:Y680,$N$2:$Y$2)*$K680*$L680*$M680</f>
        <v/>
      </c>
      <c r="AA680" s="14">
        <f>SUM(N680:Y680)</f>
        <v/>
      </c>
      <c r="AB680" s="13">
        <f>SUMPRODUCT(N680:Y680,$N$3:$Y$3)*$K680*$L680*$M680</f>
        <v/>
      </c>
      <c r="AC680" s="13">
        <f>SUMPRODUCT(N680:Y680,$N$4:$Y$4)*$K680*$L680*$M680</f>
        <v/>
      </c>
      <c r="AD680" s="15" t="n">
        <v>3</v>
      </c>
      <c r="AE680" s="11" t="n">
        <v>1.011296296296296</v>
      </c>
      <c r="AF680" s="16">
        <f>SUMPRODUCT(N680:Y680,$N$5:$Y$5)*$K680*$L680*$M680</f>
        <v/>
      </c>
      <c r="AG680" s="16">
        <f>SUMPRODUCT(N680:Y680,$N$6:$Y$6)*$K680*$L680*$M680</f>
        <v/>
      </c>
      <c r="AH680" s="20" t="n"/>
    </row>
    <row r="681">
      <c r="A681" s="9" t="n">
        <v>836085</v>
      </c>
      <c r="B681" s="9" t="inlineStr">
        <is>
          <t>Ryan Heppner</t>
        </is>
      </c>
      <c r="C681" s="9" t="inlineStr">
        <is>
          <t>ATL</t>
        </is>
      </c>
      <c r="D681" s="9" t="n">
        <v>25</v>
      </c>
      <c r="E681" s="18" t="inlineStr">
        <is>
          <t>R</t>
        </is>
      </c>
      <c r="F681" s="18" t="n"/>
      <c r="G681" s="9" t="n">
        <v>1.72</v>
      </c>
      <c r="H681" s="9" t="n">
        <v>1.72</v>
      </c>
      <c r="I681" s="9" t="inlineStr">
        <is>
          <t>Depth (no MLB IP)</t>
        </is>
      </c>
      <c r="J681" s="18" t="inlineStr">
        <is>
          <t>Opening Day</t>
        </is>
      </c>
      <c r="K681" s="11">
        <f>IFERROR(INDEX(Roles!$B$17:$B$20,MATCH(J681,Roles!$A$17:$A$20,0)),1)</f>
        <v/>
      </c>
      <c r="L681" s="19" t="n">
        <v>1</v>
      </c>
      <c r="M681" s="11" t="n">
        <v>1</v>
      </c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>
        <v>1</v>
      </c>
      <c r="Z681" s="13">
        <f>SUMPRODUCT(N681:Y681,$N$2:$Y$2)*$K681*$L681*$M681</f>
        <v/>
      </c>
      <c r="AA681" s="14">
        <f>SUM(N681:Y681)</f>
        <v/>
      </c>
      <c r="AB681" s="13">
        <f>SUMPRODUCT(N681:Y681,$N$3:$Y$3)*$K681*$L681*$M681</f>
        <v/>
      </c>
      <c r="AC681" s="13">
        <f>SUMPRODUCT(N681:Y681,$N$4:$Y$4)*$K681*$L681*$M681</f>
        <v/>
      </c>
      <c r="AD681" s="15" t="n">
        <v>3</v>
      </c>
      <c r="AE681" s="11" t="n">
        <v>1.011296296296296</v>
      </c>
      <c r="AF681" s="16">
        <f>SUMPRODUCT(N681:Y681,$N$5:$Y$5)*$K681*$L681*$M681</f>
        <v/>
      </c>
      <c r="AG681" s="16">
        <f>SUMPRODUCT(N681:Y681,$N$6:$Y$6)*$K681*$L681*$M681</f>
        <v/>
      </c>
      <c r="AH681" s="20" t="n"/>
    </row>
    <row r="682">
      <c r="A682" s="9" t="n">
        <v>842249</v>
      </c>
      <c r="B682" s="9" t="inlineStr">
        <is>
          <t>Graham Brown</t>
        </is>
      </c>
      <c r="C682" s="9" t="inlineStr">
        <is>
          <t>MIN</t>
        </is>
      </c>
      <c r="D682" s="9" t="n">
        <v>25</v>
      </c>
      <c r="E682" s="18" t="inlineStr">
        <is>
          <t>R</t>
        </is>
      </c>
      <c r="F682" s="18" t="n"/>
      <c r="G682" s="9" t="n">
        <v>1.72</v>
      </c>
      <c r="H682" s="9" t="n">
        <v>1.72</v>
      </c>
      <c r="I682" s="9" t="inlineStr">
        <is>
          <t>Depth (no MLB IP)</t>
        </is>
      </c>
      <c r="J682" s="18" t="inlineStr">
        <is>
          <t>Opening Day</t>
        </is>
      </c>
      <c r="K682" s="11">
        <f>IFERROR(INDEX(Roles!$B$17:$B$20,MATCH(J682,Roles!$A$17:$A$20,0)),1)</f>
        <v/>
      </c>
      <c r="L682" s="19" t="n">
        <v>1</v>
      </c>
      <c r="M682" s="11" t="n">
        <v>1</v>
      </c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>
        <v>1</v>
      </c>
      <c r="Z682" s="13">
        <f>SUMPRODUCT(N682:Y682,$N$2:$Y$2)*$K682*$L682*$M682</f>
        <v/>
      </c>
      <c r="AA682" s="14">
        <f>SUM(N682:Y682)</f>
        <v/>
      </c>
      <c r="AB682" s="13">
        <f>SUMPRODUCT(N682:Y682,$N$3:$Y$3)*$K682*$L682*$M682</f>
        <v/>
      </c>
      <c r="AC682" s="13">
        <f>SUMPRODUCT(N682:Y682,$N$4:$Y$4)*$K682*$L682*$M682</f>
        <v/>
      </c>
      <c r="AD682" s="15" t="n">
        <v>3</v>
      </c>
      <c r="AE682" s="11" t="n">
        <v>1.011296296296296</v>
      </c>
      <c r="AF682" s="16">
        <f>SUMPRODUCT(N682:Y682,$N$5:$Y$5)*$K682*$L682*$M682</f>
        <v/>
      </c>
      <c r="AG682" s="16">
        <f>SUMPRODUCT(N682:Y682,$N$6:$Y$6)*$K682*$L682*$M682</f>
        <v/>
      </c>
      <c r="AH682" s="20" t="n"/>
    </row>
    <row r="683">
      <c r="A683" s="9" t="n">
        <v>836083</v>
      </c>
      <c r="B683" s="9" t="inlineStr">
        <is>
          <t>Braydon Risley</t>
        </is>
      </c>
      <c r="C683" s="9" t="inlineStr">
        <is>
          <t>PIT</t>
        </is>
      </c>
      <c r="D683" s="9" t="n">
        <v>25</v>
      </c>
      <c r="E683" s="18" t="inlineStr">
        <is>
          <t>L</t>
        </is>
      </c>
      <c r="F683" s="18" t="n"/>
      <c r="G683" s="9" t="n">
        <v>1.505</v>
      </c>
      <c r="H683" s="9" t="n">
        <v>1.505</v>
      </c>
      <c r="I683" s="9" t="inlineStr">
        <is>
          <t>Depth (no MLB IP)</t>
        </is>
      </c>
      <c r="J683" s="18" t="inlineStr">
        <is>
          <t>Opening Day</t>
        </is>
      </c>
      <c r="K683" s="11">
        <f>IFERROR(INDEX(Roles!$B$17:$B$20,MATCH(J683,Roles!$A$17:$A$20,0)),1)</f>
        <v/>
      </c>
      <c r="L683" s="19" t="n">
        <v>1</v>
      </c>
      <c r="M683" s="11" t="n">
        <v>1</v>
      </c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>
        <v>1</v>
      </c>
      <c r="Z683" s="13">
        <f>SUMPRODUCT(N683:Y683,$N$2:$Y$2)*$K683*$L683*$M683</f>
        <v/>
      </c>
      <c r="AA683" s="14">
        <f>SUM(N683:Y683)</f>
        <v/>
      </c>
      <c r="AB683" s="13">
        <f>SUMPRODUCT(N683:Y683,$N$3:$Y$3)*$K683*$L683*$M683</f>
        <v/>
      </c>
      <c r="AC683" s="13">
        <f>SUMPRODUCT(N683:Y683,$N$4:$Y$4)*$K683*$L683*$M683</f>
        <v/>
      </c>
      <c r="AD683" s="15" t="n">
        <v>3</v>
      </c>
      <c r="AE683" s="11" t="n">
        <v>1.011296296296296</v>
      </c>
      <c r="AF683" s="16">
        <f>SUMPRODUCT(N683:Y683,$N$5:$Y$5)*$K683*$L683*$M683</f>
        <v/>
      </c>
      <c r="AG683" s="16">
        <f>SUMPRODUCT(N683:Y683,$N$6:$Y$6)*$K683*$L683*$M683</f>
        <v/>
      </c>
      <c r="AH683" s="20" t="n"/>
    </row>
    <row r="684">
      <c r="A684" s="9" t="n">
        <v>800414</v>
      </c>
      <c r="B684" s="9" t="inlineStr">
        <is>
          <t>Alfredo Velásquez</t>
        </is>
      </c>
      <c r="C684" s="9" t="inlineStr">
        <is>
          <t>BAL</t>
        </is>
      </c>
      <c r="D684" s="9" t="n">
        <v>25</v>
      </c>
      <c r="E684" s="18" t="inlineStr">
        <is>
          <t>R</t>
        </is>
      </c>
      <c r="F684" s="18" t="n"/>
      <c r="G684" s="9" t="n">
        <v>1.505</v>
      </c>
      <c r="H684" s="9" t="n">
        <v>1.505</v>
      </c>
      <c r="I684" s="9" t="inlineStr">
        <is>
          <t>Depth (no MLB IP)</t>
        </is>
      </c>
      <c r="J684" s="18" t="inlineStr">
        <is>
          <t>Opening Day</t>
        </is>
      </c>
      <c r="K684" s="11">
        <f>IFERROR(INDEX(Roles!$B$17:$B$20,MATCH(J684,Roles!$A$17:$A$20,0)),1)</f>
        <v/>
      </c>
      <c r="L684" s="19" t="n">
        <v>1</v>
      </c>
      <c r="M684" s="11" t="n">
        <v>1</v>
      </c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>
        <v>1</v>
      </c>
      <c r="Z684" s="13">
        <f>SUMPRODUCT(N684:Y684,$N$2:$Y$2)*$K684*$L684*$M684</f>
        <v/>
      </c>
      <c r="AA684" s="14">
        <f>SUM(N684:Y684)</f>
        <v/>
      </c>
      <c r="AB684" s="13">
        <f>SUMPRODUCT(N684:Y684,$N$3:$Y$3)*$K684*$L684*$M684</f>
        <v/>
      </c>
      <c r="AC684" s="13">
        <f>SUMPRODUCT(N684:Y684,$N$4:$Y$4)*$K684*$L684*$M684</f>
        <v/>
      </c>
      <c r="AD684" s="15" t="n">
        <v>3</v>
      </c>
      <c r="AE684" s="11" t="n">
        <v>1.011296296296296</v>
      </c>
      <c r="AF684" s="16">
        <f>SUMPRODUCT(N684:Y684,$N$5:$Y$5)*$K684*$L684*$M684</f>
        <v/>
      </c>
      <c r="AG684" s="16">
        <f>SUMPRODUCT(N684:Y684,$N$6:$Y$6)*$K684*$L684*$M684</f>
        <v/>
      </c>
      <c r="AH684" s="20" t="n"/>
    </row>
    <row r="685">
      <c r="A685" s="9" t="n">
        <v>803273</v>
      </c>
      <c r="B685" s="9" t="inlineStr">
        <is>
          <t>Dominic Castellano</t>
        </is>
      </c>
      <c r="C685" s="9" t="inlineStr">
        <is>
          <t>SEA</t>
        </is>
      </c>
      <c r="D685" s="9" t="n">
        <v>25</v>
      </c>
      <c r="E685" s="18" t="inlineStr">
        <is>
          <t>L</t>
        </is>
      </c>
      <c r="F685" s="18" t="n"/>
      <c r="G685" s="9" t="n">
        <v>1.548</v>
      </c>
      <c r="H685" s="9" t="n">
        <v>1.548</v>
      </c>
      <c r="I685" s="9" t="inlineStr">
        <is>
          <t>Depth (no MLB IP)</t>
        </is>
      </c>
      <c r="J685" s="18" t="inlineStr">
        <is>
          <t>Opening Day</t>
        </is>
      </c>
      <c r="K685" s="11">
        <f>IFERROR(INDEX(Roles!$B$17:$B$20,MATCH(J685,Roles!$A$17:$A$20,0)),1)</f>
        <v/>
      </c>
      <c r="L685" s="19" t="n">
        <v>1</v>
      </c>
      <c r="M685" s="11" t="n">
        <v>1</v>
      </c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>
        <v>1</v>
      </c>
      <c r="Z685" s="13">
        <f>SUMPRODUCT(N685:Y685,$N$2:$Y$2)*$K685*$L685*$M685</f>
        <v/>
      </c>
      <c r="AA685" s="14">
        <f>SUM(N685:Y685)</f>
        <v/>
      </c>
      <c r="AB685" s="13">
        <f>SUMPRODUCT(N685:Y685,$N$3:$Y$3)*$K685*$L685*$M685</f>
        <v/>
      </c>
      <c r="AC685" s="13">
        <f>SUMPRODUCT(N685:Y685,$N$4:$Y$4)*$K685*$L685*$M685</f>
        <v/>
      </c>
      <c r="AD685" s="15" t="n">
        <v>3</v>
      </c>
      <c r="AE685" s="11" t="n">
        <v>1.011296296296296</v>
      </c>
      <c r="AF685" s="16">
        <f>SUMPRODUCT(N685:Y685,$N$5:$Y$5)*$K685*$L685*$M685</f>
        <v/>
      </c>
      <c r="AG685" s="16">
        <f>SUMPRODUCT(N685:Y685,$N$6:$Y$6)*$K685*$L685*$M685</f>
        <v/>
      </c>
      <c r="AH685" s="20" t="n"/>
    </row>
    <row r="686">
      <c r="A686" s="9" t="n">
        <v>802372</v>
      </c>
      <c r="B686" s="9" t="inlineStr">
        <is>
          <t>Griffin Green</t>
        </is>
      </c>
      <c r="C686" s="9" t="inlineStr">
        <is>
          <t>CIN</t>
        </is>
      </c>
      <c r="D686" s="9" t="n">
        <v>25</v>
      </c>
      <c r="E686" s="18" t="inlineStr">
        <is>
          <t>R</t>
        </is>
      </c>
      <c r="F686" s="18" t="n"/>
      <c r="G686" s="9" t="n">
        <v>1.72</v>
      </c>
      <c r="H686" s="9" t="n">
        <v>1.72</v>
      </c>
      <c r="I686" s="9" t="inlineStr">
        <is>
          <t>Depth (no MLB IP)</t>
        </is>
      </c>
      <c r="J686" s="18" t="inlineStr">
        <is>
          <t>Opening Day</t>
        </is>
      </c>
      <c r="K686" s="11">
        <f>IFERROR(INDEX(Roles!$B$17:$B$20,MATCH(J686,Roles!$A$17:$A$20,0)),1)</f>
        <v/>
      </c>
      <c r="L686" s="19" t="n">
        <v>1</v>
      </c>
      <c r="M686" s="11" t="n">
        <v>1</v>
      </c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>
        <v>1</v>
      </c>
      <c r="Z686" s="13">
        <f>SUMPRODUCT(N686:Y686,$N$2:$Y$2)*$K686*$L686*$M686</f>
        <v/>
      </c>
      <c r="AA686" s="14">
        <f>SUM(N686:Y686)</f>
        <v/>
      </c>
      <c r="AB686" s="13">
        <f>SUMPRODUCT(N686:Y686,$N$3:$Y$3)*$K686*$L686*$M686</f>
        <v/>
      </c>
      <c r="AC686" s="13">
        <f>SUMPRODUCT(N686:Y686,$N$4:$Y$4)*$K686*$L686*$M686</f>
        <v/>
      </c>
      <c r="AD686" s="15" t="n">
        <v>3</v>
      </c>
      <c r="AE686" s="11" t="n">
        <v>1.011296296296296</v>
      </c>
      <c r="AF686" s="16">
        <f>SUMPRODUCT(N686:Y686,$N$5:$Y$5)*$K686*$L686*$M686</f>
        <v/>
      </c>
      <c r="AG686" s="16">
        <f>SUMPRODUCT(N686:Y686,$N$6:$Y$6)*$K686*$L686*$M686</f>
        <v/>
      </c>
      <c r="AH686" s="20" t="n"/>
    </row>
    <row r="687">
      <c r="A687" s="9" t="n">
        <v>842360</v>
      </c>
      <c r="B687" s="9" t="inlineStr">
        <is>
          <t>AJ Krodel</t>
        </is>
      </c>
      <c r="C687" s="9" t="inlineStr">
        <is>
          <t>NYM</t>
        </is>
      </c>
      <c r="D687" s="9" t="n">
        <v>25</v>
      </c>
      <c r="E687" s="18" t="inlineStr">
        <is>
          <t>R</t>
        </is>
      </c>
      <c r="F687" s="18" t="n"/>
      <c r="G687" s="9" t="n">
        <v>1.72</v>
      </c>
      <c r="H687" s="9" t="n">
        <v>1.72</v>
      </c>
      <c r="I687" s="9" t="inlineStr">
        <is>
          <t>Depth (no MLB IP)</t>
        </is>
      </c>
      <c r="J687" s="18" t="inlineStr">
        <is>
          <t>Opening Day</t>
        </is>
      </c>
      <c r="K687" s="11">
        <f>IFERROR(INDEX(Roles!$B$17:$B$20,MATCH(J687,Roles!$A$17:$A$20,0)),1)</f>
        <v/>
      </c>
      <c r="L687" s="19" t="n">
        <v>1</v>
      </c>
      <c r="M687" s="11" t="n">
        <v>1</v>
      </c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>
        <v>1</v>
      </c>
      <c r="Z687" s="13">
        <f>SUMPRODUCT(N687:Y687,$N$2:$Y$2)*$K687*$L687*$M687</f>
        <v/>
      </c>
      <c r="AA687" s="14">
        <f>SUM(N687:Y687)</f>
        <v/>
      </c>
      <c r="AB687" s="13">
        <f>SUMPRODUCT(N687:Y687,$N$3:$Y$3)*$K687*$L687*$M687</f>
        <v/>
      </c>
      <c r="AC687" s="13">
        <f>SUMPRODUCT(N687:Y687,$N$4:$Y$4)*$K687*$L687*$M687</f>
        <v/>
      </c>
      <c r="AD687" s="15" t="n">
        <v>3</v>
      </c>
      <c r="AE687" s="11" t="n">
        <v>1.011296296296296</v>
      </c>
      <c r="AF687" s="16">
        <f>SUMPRODUCT(N687:Y687,$N$5:$Y$5)*$K687*$L687*$M687</f>
        <v/>
      </c>
      <c r="AG687" s="16">
        <f>SUMPRODUCT(N687:Y687,$N$6:$Y$6)*$K687*$L687*$M687</f>
        <v/>
      </c>
      <c r="AH687" s="20" t="n"/>
    </row>
    <row r="688">
      <c r="A688" s="9" t="n">
        <v>806997</v>
      </c>
      <c r="B688" s="9" t="inlineStr">
        <is>
          <t>Yerlin Luis</t>
        </is>
      </c>
      <c r="C688" s="9" t="inlineStr">
        <is>
          <t>CLE</t>
        </is>
      </c>
      <c r="D688" s="9" t="n">
        <v>25</v>
      </c>
      <c r="E688" s="18" t="inlineStr">
        <is>
          <t>R</t>
        </is>
      </c>
      <c r="F688" s="18" t="n"/>
      <c r="G688" s="9" t="n">
        <v>1.548</v>
      </c>
      <c r="H688" s="9" t="n">
        <v>1.548</v>
      </c>
      <c r="I688" s="9" t="inlineStr">
        <is>
          <t>Depth (no MLB IP)</t>
        </is>
      </c>
      <c r="J688" s="18" t="inlineStr">
        <is>
          <t>Opening Day</t>
        </is>
      </c>
      <c r="K688" s="11">
        <f>IFERROR(INDEX(Roles!$B$17:$B$20,MATCH(J688,Roles!$A$17:$A$20,0)),1)</f>
        <v/>
      </c>
      <c r="L688" s="19" t="n">
        <v>1</v>
      </c>
      <c r="M688" s="11" t="n">
        <v>1</v>
      </c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>
        <v>1</v>
      </c>
      <c r="Z688" s="13">
        <f>SUMPRODUCT(N688:Y688,$N$2:$Y$2)*$K688*$L688*$M688</f>
        <v/>
      </c>
      <c r="AA688" s="14">
        <f>SUM(N688:Y688)</f>
        <v/>
      </c>
      <c r="AB688" s="13">
        <f>SUMPRODUCT(N688:Y688,$N$3:$Y$3)*$K688*$L688*$M688</f>
        <v/>
      </c>
      <c r="AC688" s="13">
        <f>SUMPRODUCT(N688:Y688,$N$4:$Y$4)*$K688*$L688*$M688</f>
        <v/>
      </c>
      <c r="AD688" s="15" t="n">
        <v>3</v>
      </c>
      <c r="AE688" s="11" t="n">
        <v>1.011296296296296</v>
      </c>
      <c r="AF688" s="16">
        <f>SUMPRODUCT(N688:Y688,$N$5:$Y$5)*$K688*$L688*$M688</f>
        <v/>
      </c>
      <c r="AG688" s="16">
        <f>SUMPRODUCT(N688:Y688,$N$6:$Y$6)*$K688*$L688*$M688</f>
        <v/>
      </c>
      <c r="AH688" s="20" t="n"/>
    </row>
    <row r="689">
      <c r="A689" s="9" t="n">
        <v>810951</v>
      </c>
      <c r="B689" s="9" t="inlineStr">
        <is>
          <t>Nate Knowles</t>
        </is>
      </c>
      <c r="C689" s="9" t="inlineStr">
        <is>
          <t>TB</t>
        </is>
      </c>
      <c r="D689" s="9" t="n">
        <v>25</v>
      </c>
      <c r="E689" s="18" t="inlineStr">
        <is>
          <t>R</t>
        </is>
      </c>
      <c r="F689" s="18" t="n"/>
      <c r="G689" s="9" t="n">
        <v>1.892</v>
      </c>
      <c r="H689" s="9" t="n">
        <v>1.892</v>
      </c>
      <c r="I689" s="9" t="inlineStr">
        <is>
          <t>Depth (no MLB IP)</t>
        </is>
      </c>
      <c r="J689" s="18" t="inlineStr">
        <is>
          <t>Opening Day</t>
        </is>
      </c>
      <c r="K689" s="11">
        <f>IFERROR(INDEX(Roles!$B$17:$B$20,MATCH(J689,Roles!$A$17:$A$20,0)),1)</f>
        <v/>
      </c>
      <c r="L689" s="19" t="n">
        <v>1</v>
      </c>
      <c r="M689" s="11" t="n">
        <v>1</v>
      </c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>
        <v>1</v>
      </c>
      <c r="Z689" s="13">
        <f>SUMPRODUCT(N689:Y689,$N$2:$Y$2)*$K689*$L689*$M689</f>
        <v/>
      </c>
      <c r="AA689" s="14">
        <f>SUM(N689:Y689)</f>
        <v/>
      </c>
      <c r="AB689" s="13">
        <f>SUMPRODUCT(N689:Y689,$N$3:$Y$3)*$K689*$L689*$M689</f>
        <v/>
      </c>
      <c r="AC689" s="13">
        <f>SUMPRODUCT(N689:Y689,$N$4:$Y$4)*$K689*$L689*$M689</f>
        <v/>
      </c>
      <c r="AD689" s="15" t="n">
        <v>3</v>
      </c>
      <c r="AE689" s="11" t="n">
        <v>1.011296296296296</v>
      </c>
      <c r="AF689" s="16">
        <f>SUMPRODUCT(N689:Y689,$N$5:$Y$5)*$K689*$L689*$M689</f>
        <v/>
      </c>
      <c r="AG689" s="16">
        <f>SUMPRODUCT(N689:Y689,$N$6:$Y$6)*$K689*$L689*$M689</f>
        <v/>
      </c>
      <c r="AH689" s="20" t="n"/>
    </row>
    <row r="690">
      <c r="A690" s="9" t="n">
        <v>806646</v>
      </c>
      <c r="B690" s="9" t="inlineStr">
        <is>
          <t>Gregori Ramirez</t>
        </is>
      </c>
      <c r="C690" s="9" t="inlineStr">
        <is>
          <t>ARI</t>
        </is>
      </c>
      <c r="D690" s="9" t="n">
        <v>25</v>
      </c>
      <c r="E690" s="18" t="inlineStr">
        <is>
          <t>R</t>
        </is>
      </c>
      <c r="F690" s="18" t="n"/>
      <c r="G690" s="9" t="n">
        <v>1.72</v>
      </c>
      <c r="H690" s="9" t="n">
        <v>1.72</v>
      </c>
      <c r="I690" s="9" t="inlineStr">
        <is>
          <t>Depth (no MLB IP)</t>
        </is>
      </c>
      <c r="J690" s="18" t="inlineStr">
        <is>
          <t>Opening Day</t>
        </is>
      </c>
      <c r="K690" s="11">
        <f>IFERROR(INDEX(Roles!$B$17:$B$20,MATCH(J690,Roles!$A$17:$A$20,0)),1)</f>
        <v/>
      </c>
      <c r="L690" s="19" t="n">
        <v>1</v>
      </c>
      <c r="M690" s="11" t="n">
        <v>1</v>
      </c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>
        <v>1</v>
      </c>
      <c r="Z690" s="13">
        <f>SUMPRODUCT(N690:Y690,$N$2:$Y$2)*$K690*$L690*$M690</f>
        <v/>
      </c>
      <c r="AA690" s="14">
        <f>SUM(N690:Y690)</f>
        <v/>
      </c>
      <c r="AB690" s="13">
        <f>SUMPRODUCT(N690:Y690,$N$3:$Y$3)*$K690*$L690*$M690</f>
        <v/>
      </c>
      <c r="AC690" s="13">
        <f>SUMPRODUCT(N690:Y690,$N$4:$Y$4)*$K690*$L690*$M690</f>
        <v/>
      </c>
      <c r="AD690" s="15" t="n">
        <v>3</v>
      </c>
      <c r="AE690" s="11" t="n">
        <v>1.011296296296296</v>
      </c>
      <c r="AF690" s="16">
        <f>SUMPRODUCT(N690:Y690,$N$5:$Y$5)*$K690*$L690*$M690</f>
        <v/>
      </c>
      <c r="AG690" s="16">
        <f>SUMPRODUCT(N690:Y690,$N$6:$Y$6)*$K690*$L690*$M690</f>
        <v/>
      </c>
      <c r="AH690" s="20" t="n"/>
    </row>
    <row r="691">
      <c r="A691" s="9" t="n">
        <v>678743</v>
      </c>
      <c r="B691" s="9" t="inlineStr">
        <is>
          <t>Felix Cepeda</t>
        </is>
      </c>
      <c r="C691" s="9" t="inlineStr">
        <is>
          <t>NYM</t>
        </is>
      </c>
      <c r="D691" s="9" t="n">
        <v>25</v>
      </c>
      <c r="E691" s="18" t="inlineStr">
        <is>
          <t>R</t>
        </is>
      </c>
      <c r="F691" s="18" t="n"/>
      <c r="G691" s="9" t="n">
        <v>1.505</v>
      </c>
      <c r="H691" s="9" t="n">
        <v>1.505</v>
      </c>
      <c r="I691" s="9" t="inlineStr">
        <is>
          <t>Depth (no MLB IP)</t>
        </is>
      </c>
      <c r="J691" s="18" t="inlineStr">
        <is>
          <t>Opening Day</t>
        </is>
      </c>
      <c r="K691" s="11">
        <f>IFERROR(INDEX(Roles!$B$17:$B$20,MATCH(J691,Roles!$A$17:$A$20,0)),1)</f>
        <v/>
      </c>
      <c r="L691" s="19" t="n">
        <v>1</v>
      </c>
      <c r="M691" s="11" t="n">
        <v>1</v>
      </c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>
        <v>1</v>
      </c>
      <c r="Z691" s="13">
        <f>SUMPRODUCT(N691:Y691,$N$2:$Y$2)*$K691*$L691*$M691</f>
        <v/>
      </c>
      <c r="AA691" s="14">
        <f>SUM(N691:Y691)</f>
        <v/>
      </c>
      <c r="AB691" s="13">
        <f>SUMPRODUCT(N691:Y691,$N$3:$Y$3)*$K691*$L691*$M691</f>
        <v/>
      </c>
      <c r="AC691" s="13">
        <f>SUMPRODUCT(N691:Y691,$N$4:$Y$4)*$K691*$L691*$M691</f>
        <v/>
      </c>
      <c r="AD691" s="15" t="n">
        <v>3</v>
      </c>
      <c r="AE691" s="11" t="n">
        <v>1.011296296296296</v>
      </c>
      <c r="AF691" s="16">
        <f>SUMPRODUCT(N691:Y691,$N$5:$Y$5)*$K691*$L691*$M691</f>
        <v/>
      </c>
      <c r="AG691" s="16">
        <f>SUMPRODUCT(N691:Y691,$N$6:$Y$6)*$K691*$L691*$M691</f>
        <v/>
      </c>
      <c r="AH691" s="20" t="n"/>
    </row>
    <row r="692">
      <c r="A692" s="9" t="n">
        <v>831874</v>
      </c>
      <c r="B692" s="9" t="inlineStr">
        <is>
          <t>Hendrick Caña</t>
        </is>
      </c>
      <c r="C692" s="9" t="inlineStr">
        <is>
          <t>STL</t>
        </is>
      </c>
      <c r="D692" s="9" t="n">
        <v>25</v>
      </c>
      <c r="E692" s="18" t="inlineStr">
        <is>
          <t>L</t>
        </is>
      </c>
      <c r="F692" s="18" t="n"/>
      <c r="G692" s="9" t="n">
        <v>1.376</v>
      </c>
      <c r="H692" s="9" t="n">
        <v>1.376</v>
      </c>
      <c r="I692" s="9" t="inlineStr">
        <is>
          <t>Depth (no MLB IP)</t>
        </is>
      </c>
      <c r="J692" s="18" t="inlineStr">
        <is>
          <t>Opening Day</t>
        </is>
      </c>
      <c r="K692" s="11">
        <f>IFERROR(INDEX(Roles!$B$17:$B$20,MATCH(J692,Roles!$A$17:$A$20,0)),1)</f>
        <v/>
      </c>
      <c r="L692" s="19" t="n">
        <v>1</v>
      </c>
      <c r="M692" s="11" t="n">
        <v>1</v>
      </c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>
        <v>1</v>
      </c>
      <c r="Z692" s="13">
        <f>SUMPRODUCT(N692:Y692,$N$2:$Y$2)*$K692*$L692*$M692</f>
        <v/>
      </c>
      <c r="AA692" s="14">
        <f>SUM(N692:Y692)</f>
        <v/>
      </c>
      <c r="AB692" s="13">
        <f>SUMPRODUCT(N692:Y692,$N$3:$Y$3)*$K692*$L692*$M692</f>
        <v/>
      </c>
      <c r="AC692" s="13">
        <f>SUMPRODUCT(N692:Y692,$N$4:$Y$4)*$K692*$L692*$M692</f>
        <v/>
      </c>
      <c r="AD692" s="15" t="n">
        <v>3</v>
      </c>
      <c r="AE692" s="11" t="n">
        <v>1.011296296296296</v>
      </c>
      <c r="AF692" s="16">
        <f>SUMPRODUCT(N692:Y692,$N$5:$Y$5)*$K692*$L692*$M692</f>
        <v/>
      </c>
      <c r="AG692" s="16">
        <f>SUMPRODUCT(N692:Y692,$N$6:$Y$6)*$K692*$L692*$M692</f>
        <v/>
      </c>
      <c r="AH692" s="20" t="n"/>
    </row>
    <row r="693">
      <c r="A693" s="9" t="n">
        <v>829682</v>
      </c>
      <c r="B693" s="9" t="inlineStr">
        <is>
          <t>Rainer Marin</t>
        </is>
      </c>
      <c r="C693" s="9" t="inlineStr">
        <is>
          <t>MIN</t>
        </is>
      </c>
      <c r="D693" s="9" t="n">
        <v>25</v>
      </c>
      <c r="E693" s="18" t="inlineStr">
        <is>
          <t>R</t>
        </is>
      </c>
      <c r="F693" s="18" t="n"/>
      <c r="G693" s="9" t="n">
        <v>1.72</v>
      </c>
      <c r="H693" s="9" t="n">
        <v>1.72</v>
      </c>
      <c r="I693" s="9" t="inlineStr">
        <is>
          <t>Depth (no MLB IP)</t>
        </is>
      </c>
      <c r="J693" s="18" t="inlineStr">
        <is>
          <t>Opening Day</t>
        </is>
      </c>
      <c r="K693" s="11">
        <f>IFERROR(INDEX(Roles!$B$17:$B$20,MATCH(J693,Roles!$A$17:$A$20,0)),1)</f>
        <v/>
      </c>
      <c r="L693" s="19" t="n">
        <v>1</v>
      </c>
      <c r="M693" s="11" t="n">
        <v>1</v>
      </c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>
        <v>1</v>
      </c>
      <c r="Z693" s="13">
        <f>SUMPRODUCT(N693:Y693,$N$2:$Y$2)*$K693*$L693*$M693</f>
        <v/>
      </c>
      <c r="AA693" s="14">
        <f>SUM(N693:Y693)</f>
        <v/>
      </c>
      <c r="AB693" s="13">
        <f>SUMPRODUCT(N693:Y693,$N$3:$Y$3)*$K693*$L693*$M693</f>
        <v/>
      </c>
      <c r="AC693" s="13">
        <f>SUMPRODUCT(N693:Y693,$N$4:$Y$4)*$K693*$L693*$M693</f>
        <v/>
      </c>
      <c r="AD693" s="15" t="n">
        <v>3</v>
      </c>
      <c r="AE693" s="11" t="n">
        <v>1.011296296296296</v>
      </c>
      <c r="AF693" s="16">
        <f>SUMPRODUCT(N693:Y693,$N$5:$Y$5)*$K693*$L693*$M693</f>
        <v/>
      </c>
      <c r="AG693" s="16">
        <f>SUMPRODUCT(N693:Y693,$N$6:$Y$6)*$K693*$L693*$M693</f>
        <v/>
      </c>
      <c r="AH693" s="20" t="n"/>
    </row>
    <row r="694">
      <c r="A694" s="9" t="n">
        <v>829403</v>
      </c>
      <c r="B694" s="9" t="inlineStr">
        <is>
          <t>Trace Phillips</t>
        </is>
      </c>
      <c r="C694" s="9" t="inlineStr">
        <is>
          <t>TB</t>
        </is>
      </c>
      <c r="D694" s="9" t="n">
        <v>25</v>
      </c>
      <c r="E694" s="18" t="inlineStr">
        <is>
          <t>R</t>
        </is>
      </c>
      <c r="F694" s="18" t="n"/>
      <c r="G694" s="9" t="n">
        <v>1.548</v>
      </c>
      <c r="H694" s="9" t="n">
        <v>1.548</v>
      </c>
      <c r="I694" s="9" t="inlineStr">
        <is>
          <t>Depth (no MLB IP)</t>
        </is>
      </c>
      <c r="J694" s="18" t="inlineStr">
        <is>
          <t>Opening Day</t>
        </is>
      </c>
      <c r="K694" s="11">
        <f>IFERROR(INDEX(Roles!$B$17:$B$20,MATCH(J694,Roles!$A$17:$A$20,0)),1)</f>
        <v/>
      </c>
      <c r="L694" s="19" t="n">
        <v>1</v>
      </c>
      <c r="M694" s="11" t="n">
        <v>1</v>
      </c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>
        <v>1</v>
      </c>
      <c r="Z694" s="13">
        <f>SUMPRODUCT(N694:Y694,$N$2:$Y$2)*$K694*$L694*$M694</f>
        <v/>
      </c>
      <c r="AA694" s="14">
        <f>SUM(N694:Y694)</f>
        <v/>
      </c>
      <c r="AB694" s="13">
        <f>SUMPRODUCT(N694:Y694,$N$3:$Y$3)*$K694*$L694*$M694</f>
        <v/>
      </c>
      <c r="AC694" s="13">
        <f>SUMPRODUCT(N694:Y694,$N$4:$Y$4)*$K694*$L694*$M694</f>
        <v/>
      </c>
      <c r="AD694" s="15" t="n">
        <v>3</v>
      </c>
      <c r="AE694" s="11" t="n">
        <v>1.011296296296296</v>
      </c>
      <c r="AF694" s="16">
        <f>SUMPRODUCT(N694:Y694,$N$5:$Y$5)*$K694*$L694*$M694</f>
        <v/>
      </c>
      <c r="AG694" s="16">
        <f>SUMPRODUCT(N694:Y694,$N$6:$Y$6)*$K694*$L694*$M694</f>
        <v/>
      </c>
      <c r="AH694" s="20" t="n"/>
    </row>
    <row r="695">
      <c r="A695" s="9" t="n">
        <v>829204</v>
      </c>
      <c r="B695" s="9" t="inlineStr">
        <is>
          <t>Ma'Kale Holden</t>
        </is>
      </c>
      <c r="C695" s="9" t="inlineStr">
        <is>
          <t>MIL</t>
        </is>
      </c>
      <c r="D695" s="9" t="n">
        <v>25</v>
      </c>
      <c r="E695" s="18" t="inlineStr">
        <is>
          <t>R</t>
        </is>
      </c>
      <c r="F695" s="18" t="n"/>
      <c r="G695" s="9" t="n">
        <v>1.376</v>
      </c>
      <c r="H695" s="9" t="n">
        <v>1.376</v>
      </c>
      <c r="I695" s="9" t="inlineStr">
        <is>
          <t>Depth (no MLB IP)</t>
        </is>
      </c>
      <c r="J695" s="18" t="inlineStr">
        <is>
          <t>Opening Day</t>
        </is>
      </c>
      <c r="K695" s="11">
        <f>IFERROR(INDEX(Roles!$B$17:$B$20,MATCH(J695,Roles!$A$17:$A$20,0)),1)</f>
        <v/>
      </c>
      <c r="L695" s="19" t="n">
        <v>1</v>
      </c>
      <c r="M695" s="11" t="n">
        <v>1</v>
      </c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>
        <v>1</v>
      </c>
      <c r="Z695" s="13">
        <f>SUMPRODUCT(N695:Y695,$N$2:$Y$2)*$K695*$L695*$M695</f>
        <v/>
      </c>
      <c r="AA695" s="14">
        <f>SUM(N695:Y695)</f>
        <v/>
      </c>
      <c r="AB695" s="13">
        <f>SUMPRODUCT(N695:Y695,$N$3:$Y$3)*$K695*$L695*$M695</f>
        <v/>
      </c>
      <c r="AC695" s="13">
        <f>SUMPRODUCT(N695:Y695,$N$4:$Y$4)*$K695*$L695*$M695</f>
        <v/>
      </c>
      <c r="AD695" s="15" t="n">
        <v>3</v>
      </c>
      <c r="AE695" s="11" t="n">
        <v>1.011296296296296</v>
      </c>
      <c r="AF695" s="16">
        <f>SUMPRODUCT(N695:Y695,$N$5:$Y$5)*$K695*$L695*$M695</f>
        <v/>
      </c>
      <c r="AG695" s="16">
        <f>SUMPRODUCT(N695:Y695,$N$6:$Y$6)*$K695*$L695*$M695</f>
        <v/>
      </c>
      <c r="AH695" s="20" t="n"/>
    </row>
    <row r="696">
      <c r="A696" s="9" t="n">
        <v>690469</v>
      </c>
      <c r="B696" s="9" t="inlineStr">
        <is>
          <t>Kyle Hayes</t>
        </is>
      </c>
      <c r="C696" s="9" t="inlineStr">
        <is>
          <t>WSH</t>
        </is>
      </c>
      <c r="D696" s="9" t="n">
        <v>25</v>
      </c>
      <c r="E696" s="18" t="inlineStr">
        <is>
          <t>R</t>
        </is>
      </c>
      <c r="F696" s="18" t="n"/>
      <c r="G696" s="9" t="n">
        <v>1.505</v>
      </c>
      <c r="H696" s="9" t="n">
        <v>1.505</v>
      </c>
      <c r="I696" s="9" t="inlineStr">
        <is>
          <t>Depth (no MLB IP)</t>
        </is>
      </c>
      <c r="J696" s="18" t="inlineStr">
        <is>
          <t>Opening Day</t>
        </is>
      </c>
      <c r="K696" s="11">
        <f>IFERROR(INDEX(Roles!$B$17:$B$20,MATCH(J696,Roles!$A$17:$A$20,0)),1)</f>
        <v/>
      </c>
      <c r="L696" s="19" t="n">
        <v>1</v>
      </c>
      <c r="M696" s="11" t="n">
        <v>1</v>
      </c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>
        <v>1</v>
      </c>
      <c r="Z696" s="13">
        <f>SUMPRODUCT(N696:Y696,$N$2:$Y$2)*$K696*$L696*$M696</f>
        <v/>
      </c>
      <c r="AA696" s="14">
        <f>SUM(N696:Y696)</f>
        <v/>
      </c>
      <c r="AB696" s="13">
        <f>SUMPRODUCT(N696:Y696,$N$3:$Y$3)*$K696*$L696*$M696</f>
        <v/>
      </c>
      <c r="AC696" s="13">
        <f>SUMPRODUCT(N696:Y696,$N$4:$Y$4)*$K696*$L696*$M696</f>
        <v/>
      </c>
      <c r="AD696" s="15" t="n">
        <v>3</v>
      </c>
      <c r="AE696" s="11" t="n">
        <v>1.011296296296296</v>
      </c>
      <c r="AF696" s="16">
        <f>SUMPRODUCT(N696:Y696,$N$5:$Y$5)*$K696*$L696*$M696</f>
        <v/>
      </c>
      <c r="AG696" s="16">
        <f>SUMPRODUCT(N696:Y696,$N$6:$Y$6)*$K696*$L696*$M696</f>
        <v/>
      </c>
      <c r="AH696" s="20" t="n"/>
    </row>
    <row r="697">
      <c r="A697" s="9" t="n">
        <v>802087</v>
      </c>
      <c r="B697" s="9" t="inlineStr">
        <is>
          <t>Frankeli Arias</t>
        </is>
      </c>
      <c r="C697" s="9" t="inlineStr">
        <is>
          <t>CWS</t>
        </is>
      </c>
      <c r="D697" s="9" t="n">
        <v>25</v>
      </c>
      <c r="E697" s="18" t="inlineStr">
        <is>
          <t>L</t>
        </is>
      </c>
      <c r="F697" s="18" t="n"/>
      <c r="G697" s="9" t="n">
        <v>1.576666666666667</v>
      </c>
      <c r="H697" s="9" t="n">
        <v>1.576666666666667</v>
      </c>
      <c r="I697" s="9" t="inlineStr">
        <is>
          <t>Depth (no MLB IP)</t>
        </is>
      </c>
      <c r="J697" s="18" t="inlineStr">
        <is>
          <t>Opening Day</t>
        </is>
      </c>
      <c r="K697" s="11">
        <f>IFERROR(INDEX(Roles!$B$17:$B$20,MATCH(J697,Roles!$A$17:$A$20,0)),1)</f>
        <v/>
      </c>
      <c r="L697" s="19" t="n">
        <v>1</v>
      </c>
      <c r="M697" s="11" t="n">
        <v>1</v>
      </c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>
        <v>1</v>
      </c>
      <c r="Z697" s="13">
        <f>SUMPRODUCT(N697:Y697,$N$2:$Y$2)*$K697*$L697*$M697</f>
        <v/>
      </c>
      <c r="AA697" s="14">
        <f>SUM(N697:Y697)</f>
        <v/>
      </c>
      <c r="AB697" s="13">
        <f>SUMPRODUCT(N697:Y697,$N$3:$Y$3)*$K697*$L697*$M697</f>
        <v/>
      </c>
      <c r="AC697" s="13">
        <f>SUMPRODUCT(N697:Y697,$N$4:$Y$4)*$K697*$L697*$M697</f>
        <v/>
      </c>
      <c r="AD697" s="15" t="n">
        <v>3</v>
      </c>
      <c r="AE697" s="11" t="n">
        <v>1.011296296296296</v>
      </c>
      <c r="AF697" s="16">
        <f>SUMPRODUCT(N697:Y697,$N$5:$Y$5)*$K697*$L697*$M697</f>
        <v/>
      </c>
      <c r="AG697" s="16">
        <f>SUMPRODUCT(N697:Y697,$N$6:$Y$6)*$K697*$L697*$M697</f>
        <v/>
      </c>
      <c r="AH697" s="20" t="n"/>
    </row>
    <row r="698">
      <c r="A698" s="9" t="n">
        <v>804582</v>
      </c>
      <c r="B698" s="9" t="inlineStr">
        <is>
          <t>Garrett McMillan</t>
        </is>
      </c>
      <c r="C698" s="9" t="inlineStr">
        <is>
          <t>PIT</t>
        </is>
      </c>
      <c r="D698" s="9" t="n">
        <v>25</v>
      </c>
      <c r="E698" s="18" t="inlineStr">
        <is>
          <t>R</t>
        </is>
      </c>
      <c r="F698" s="18" t="n"/>
      <c r="G698" s="9" t="n">
        <v>1.72</v>
      </c>
      <c r="H698" s="9" t="n">
        <v>1.72</v>
      </c>
      <c r="I698" s="9" t="inlineStr">
        <is>
          <t>Depth (no MLB IP)</t>
        </is>
      </c>
      <c r="J698" s="18" t="inlineStr">
        <is>
          <t>Opening Day</t>
        </is>
      </c>
      <c r="K698" s="11">
        <f>IFERROR(INDEX(Roles!$B$17:$B$20,MATCH(J698,Roles!$A$17:$A$20,0)),1)</f>
        <v/>
      </c>
      <c r="L698" s="19" t="n">
        <v>1</v>
      </c>
      <c r="M698" s="11" t="n">
        <v>1</v>
      </c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>
        <v>1</v>
      </c>
      <c r="Z698" s="13">
        <f>SUMPRODUCT(N698:Y698,$N$2:$Y$2)*$K698*$L698*$M698</f>
        <v/>
      </c>
      <c r="AA698" s="14">
        <f>SUM(N698:Y698)</f>
        <v/>
      </c>
      <c r="AB698" s="13">
        <f>SUMPRODUCT(N698:Y698,$N$3:$Y$3)*$K698*$L698*$M698</f>
        <v/>
      </c>
      <c r="AC698" s="13">
        <f>SUMPRODUCT(N698:Y698,$N$4:$Y$4)*$K698*$L698*$M698</f>
        <v/>
      </c>
      <c r="AD698" s="15" t="n">
        <v>3</v>
      </c>
      <c r="AE698" s="11" t="n">
        <v>1.011296296296296</v>
      </c>
      <c r="AF698" s="16">
        <f>SUMPRODUCT(N698:Y698,$N$5:$Y$5)*$K698*$L698*$M698</f>
        <v/>
      </c>
      <c r="AG698" s="16">
        <f>SUMPRODUCT(N698:Y698,$N$6:$Y$6)*$K698*$L698*$M698</f>
        <v/>
      </c>
      <c r="AH698" s="20" t="n"/>
    </row>
    <row r="699">
      <c r="A699" s="9" t="n">
        <v>682774</v>
      </c>
      <c r="B699" s="9" t="inlineStr">
        <is>
          <t>Andrick Nava</t>
        </is>
      </c>
      <c r="C699" s="9" t="inlineStr">
        <is>
          <t>MIL</t>
        </is>
      </c>
      <c r="D699" s="9" t="n">
        <v>25</v>
      </c>
      <c r="E699" s="18" t="inlineStr">
        <is>
          <t>R</t>
        </is>
      </c>
      <c r="F699" s="18" t="n"/>
      <c r="G699" s="9" t="n">
        <v>1.72</v>
      </c>
      <c r="H699" s="9" t="n">
        <v>1.72</v>
      </c>
      <c r="I699" s="9" t="inlineStr">
        <is>
          <t>Depth (no MLB IP)</t>
        </is>
      </c>
      <c r="J699" s="18" t="inlineStr">
        <is>
          <t>Opening Day</t>
        </is>
      </c>
      <c r="K699" s="11">
        <f>IFERROR(INDEX(Roles!$B$17:$B$20,MATCH(J699,Roles!$A$17:$A$20,0)),1)</f>
        <v/>
      </c>
      <c r="L699" s="19" t="n">
        <v>1</v>
      </c>
      <c r="M699" s="11" t="n">
        <v>1</v>
      </c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>
        <v>1</v>
      </c>
      <c r="Z699" s="13">
        <f>SUMPRODUCT(N699:Y699,$N$2:$Y$2)*$K699*$L699*$M699</f>
        <v/>
      </c>
      <c r="AA699" s="14">
        <f>SUM(N699:Y699)</f>
        <v/>
      </c>
      <c r="AB699" s="13">
        <f>SUMPRODUCT(N699:Y699,$N$3:$Y$3)*$K699*$L699*$M699</f>
        <v/>
      </c>
      <c r="AC699" s="13">
        <f>SUMPRODUCT(N699:Y699,$N$4:$Y$4)*$K699*$L699*$M699</f>
        <v/>
      </c>
      <c r="AD699" s="15" t="n">
        <v>3</v>
      </c>
      <c r="AE699" s="11" t="n">
        <v>1.011296296296296</v>
      </c>
      <c r="AF699" s="16">
        <f>SUMPRODUCT(N699:Y699,$N$5:$Y$5)*$K699*$L699*$M699</f>
        <v/>
      </c>
      <c r="AG699" s="16">
        <f>SUMPRODUCT(N699:Y699,$N$6:$Y$6)*$K699*$L699*$M699</f>
        <v/>
      </c>
      <c r="AH699" s="20" t="n"/>
    </row>
    <row r="700">
      <c r="A700" s="9" t="n">
        <v>828703</v>
      </c>
      <c r="B700" s="9" t="inlineStr">
        <is>
          <t>Alberto Toribio</t>
        </is>
      </c>
      <c r="C700" s="9" t="inlineStr">
        <is>
          <t>KC</t>
        </is>
      </c>
      <c r="D700" s="9" t="n">
        <v>25</v>
      </c>
      <c r="E700" s="18" t="inlineStr">
        <is>
          <t>R</t>
        </is>
      </c>
      <c r="F700" s="18" t="n"/>
      <c r="G700" s="9" t="n">
        <v>1.548</v>
      </c>
      <c r="H700" s="9" t="n">
        <v>1.548</v>
      </c>
      <c r="I700" s="9" t="inlineStr">
        <is>
          <t>Depth (no MLB IP)</t>
        </is>
      </c>
      <c r="J700" s="18" t="inlineStr">
        <is>
          <t>Opening Day</t>
        </is>
      </c>
      <c r="K700" s="11">
        <f>IFERROR(INDEX(Roles!$B$17:$B$20,MATCH(J700,Roles!$A$17:$A$20,0)),1)</f>
        <v/>
      </c>
      <c r="L700" s="19" t="n">
        <v>1</v>
      </c>
      <c r="M700" s="11" t="n">
        <v>1</v>
      </c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>
        <v>1</v>
      </c>
      <c r="Z700" s="13">
        <f>SUMPRODUCT(N700:Y700,$N$2:$Y$2)*$K700*$L700*$M700</f>
        <v/>
      </c>
      <c r="AA700" s="14">
        <f>SUM(N700:Y700)</f>
        <v/>
      </c>
      <c r="AB700" s="13">
        <f>SUMPRODUCT(N700:Y700,$N$3:$Y$3)*$K700*$L700*$M700</f>
        <v/>
      </c>
      <c r="AC700" s="13">
        <f>SUMPRODUCT(N700:Y700,$N$4:$Y$4)*$K700*$L700*$M700</f>
        <v/>
      </c>
      <c r="AD700" s="15" t="n">
        <v>3</v>
      </c>
      <c r="AE700" s="11" t="n">
        <v>1.011296296296296</v>
      </c>
      <c r="AF700" s="16">
        <f>SUMPRODUCT(N700:Y700,$N$5:$Y$5)*$K700*$L700*$M700</f>
        <v/>
      </c>
      <c r="AG700" s="16">
        <f>SUMPRODUCT(N700:Y700,$N$6:$Y$6)*$K700*$L700*$M700</f>
        <v/>
      </c>
      <c r="AH700" s="20" t="n"/>
    </row>
    <row r="701">
      <c r="A701" s="9" t="n">
        <v>683494</v>
      </c>
      <c r="B701" s="9" t="inlineStr">
        <is>
          <t>Euribiel Angeles</t>
        </is>
      </c>
      <c r="C701" s="9" t="inlineStr">
        <is>
          <t>OAK</t>
        </is>
      </c>
      <c r="D701" s="9" t="n">
        <v>25</v>
      </c>
      <c r="E701" s="18" t="inlineStr">
        <is>
          <t>R</t>
        </is>
      </c>
      <c r="F701" s="18" t="n"/>
      <c r="G701" s="9" t="n">
        <v>1.505</v>
      </c>
      <c r="H701" s="9" t="n">
        <v>1.505</v>
      </c>
      <c r="I701" s="9" t="inlineStr">
        <is>
          <t>Depth (no MLB IP)</t>
        </is>
      </c>
      <c r="J701" s="18" t="inlineStr">
        <is>
          <t>Opening Day</t>
        </is>
      </c>
      <c r="K701" s="11">
        <f>IFERROR(INDEX(Roles!$B$17:$B$20,MATCH(J701,Roles!$A$17:$A$20,0)),1)</f>
        <v/>
      </c>
      <c r="L701" s="19" t="n">
        <v>1</v>
      </c>
      <c r="M701" s="11" t="n">
        <v>1</v>
      </c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>
        <v>1</v>
      </c>
      <c r="Z701" s="13">
        <f>SUMPRODUCT(N701:Y701,$N$2:$Y$2)*$K701*$L701*$M701</f>
        <v/>
      </c>
      <c r="AA701" s="14">
        <f>SUM(N701:Y701)</f>
        <v/>
      </c>
      <c r="AB701" s="13">
        <f>SUMPRODUCT(N701:Y701,$N$3:$Y$3)*$K701*$L701*$M701</f>
        <v/>
      </c>
      <c r="AC701" s="13">
        <f>SUMPRODUCT(N701:Y701,$N$4:$Y$4)*$K701*$L701*$M701</f>
        <v/>
      </c>
      <c r="AD701" s="15" t="n">
        <v>3</v>
      </c>
      <c r="AE701" s="11" t="n">
        <v>1.011296296296296</v>
      </c>
      <c r="AF701" s="16">
        <f>SUMPRODUCT(N701:Y701,$N$5:$Y$5)*$K701*$L701*$M701</f>
        <v/>
      </c>
      <c r="AG701" s="16">
        <f>SUMPRODUCT(N701:Y701,$N$6:$Y$6)*$K701*$L701*$M701</f>
        <v/>
      </c>
      <c r="AH701" s="20" t="n"/>
    </row>
    <row r="702">
      <c r="A702" s="9" t="n">
        <v>689359</v>
      </c>
      <c r="B702" s="9" t="inlineStr">
        <is>
          <t>Dale Stanavich</t>
        </is>
      </c>
      <c r="C702" s="9" t="inlineStr">
        <is>
          <t>SF</t>
        </is>
      </c>
      <c r="D702" s="9" t="n">
        <v>25</v>
      </c>
      <c r="E702" s="18" t="inlineStr">
        <is>
          <t>L</t>
        </is>
      </c>
      <c r="F702" s="18" t="n"/>
      <c r="G702" s="9" t="n">
        <v>1.576666666666667</v>
      </c>
      <c r="H702" s="9" t="n">
        <v>1.576666666666667</v>
      </c>
      <c r="I702" s="9" t="inlineStr">
        <is>
          <t>Depth (no MLB IP)</t>
        </is>
      </c>
      <c r="J702" s="18" t="inlineStr">
        <is>
          <t>Opening Day</t>
        </is>
      </c>
      <c r="K702" s="11">
        <f>IFERROR(INDEX(Roles!$B$17:$B$20,MATCH(J702,Roles!$A$17:$A$20,0)),1)</f>
        <v/>
      </c>
      <c r="L702" s="19" t="n">
        <v>1</v>
      </c>
      <c r="M702" s="11" t="n">
        <v>1</v>
      </c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>
        <v>1</v>
      </c>
      <c r="Z702" s="13">
        <f>SUMPRODUCT(N702:Y702,$N$2:$Y$2)*$K702*$L702*$M702</f>
        <v/>
      </c>
      <c r="AA702" s="14">
        <f>SUM(N702:Y702)</f>
        <v/>
      </c>
      <c r="AB702" s="13">
        <f>SUMPRODUCT(N702:Y702,$N$3:$Y$3)*$K702*$L702*$M702</f>
        <v/>
      </c>
      <c r="AC702" s="13">
        <f>SUMPRODUCT(N702:Y702,$N$4:$Y$4)*$K702*$L702*$M702</f>
        <v/>
      </c>
      <c r="AD702" s="15" t="n">
        <v>3</v>
      </c>
      <c r="AE702" s="11" t="n">
        <v>1.011296296296296</v>
      </c>
      <c r="AF702" s="16">
        <f>SUMPRODUCT(N702:Y702,$N$5:$Y$5)*$K702*$L702*$M702</f>
        <v/>
      </c>
      <c r="AG702" s="16">
        <f>SUMPRODUCT(N702:Y702,$N$6:$Y$6)*$K702*$L702*$M702</f>
        <v/>
      </c>
      <c r="AH702" s="20" t="n"/>
    </row>
    <row r="703">
      <c r="A703" s="9" t="n">
        <v>683349</v>
      </c>
      <c r="B703" s="9" t="inlineStr">
        <is>
          <t>Calvin Ziegler</t>
        </is>
      </c>
      <c r="C703" s="9" t="inlineStr">
        <is>
          <t>NYM</t>
        </is>
      </c>
      <c r="D703" s="9" t="n">
        <v>25</v>
      </c>
      <c r="E703" s="18" t="inlineStr">
        <is>
          <t>R</t>
        </is>
      </c>
      <c r="F703" s="18" t="n"/>
      <c r="G703" s="9" t="n">
        <v>1.505</v>
      </c>
      <c r="H703" s="9" t="n">
        <v>1.505</v>
      </c>
      <c r="I703" s="9" t="inlineStr">
        <is>
          <t>Depth (no MLB IP)</t>
        </is>
      </c>
      <c r="J703" s="18" t="inlineStr">
        <is>
          <t>Opening Day</t>
        </is>
      </c>
      <c r="K703" s="11">
        <f>IFERROR(INDEX(Roles!$B$17:$B$20,MATCH(J703,Roles!$A$17:$A$20,0)),1)</f>
        <v/>
      </c>
      <c r="L703" s="19" t="n">
        <v>1</v>
      </c>
      <c r="M703" s="11" t="n">
        <v>1</v>
      </c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>
        <v>1</v>
      </c>
      <c r="Z703" s="13">
        <f>SUMPRODUCT(N703:Y703,$N$2:$Y$2)*$K703*$L703*$M703</f>
        <v/>
      </c>
      <c r="AA703" s="14">
        <f>SUM(N703:Y703)</f>
        <v/>
      </c>
      <c r="AB703" s="13">
        <f>SUMPRODUCT(N703:Y703,$N$3:$Y$3)*$K703*$L703*$M703</f>
        <v/>
      </c>
      <c r="AC703" s="13">
        <f>SUMPRODUCT(N703:Y703,$N$4:$Y$4)*$K703*$L703*$M703</f>
        <v/>
      </c>
      <c r="AD703" s="15" t="n">
        <v>3</v>
      </c>
      <c r="AE703" s="11" t="n">
        <v>1.011296296296296</v>
      </c>
      <c r="AF703" s="16">
        <f>SUMPRODUCT(N703:Y703,$N$5:$Y$5)*$K703*$L703*$M703</f>
        <v/>
      </c>
      <c r="AG703" s="16">
        <f>SUMPRODUCT(N703:Y703,$N$6:$Y$6)*$K703*$L703*$M703</f>
        <v/>
      </c>
      <c r="AH703" s="20" t="n"/>
    </row>
    <row r="704">
      <c r="A704" s="9" t="n">
        <v>828145</v>
      </c>
      <c r="B704" s="9" t="inlineStr">
        <is>
          <t>Mikey Cascino</t>
        </is>
      </c>
      <c r="C704" s="9" t="inlineStr">
        <is>
          <t>LAA</t>
        </is>
      </c>
      <c r="D704" s="9" t="n">
        <v>25</v>
      </c>
      <c r="E704" s="18" t="inlineStr">
        <is>
          <t>R</t>
        </is>
      </c>
      <c r="F704" s="18" t="n"/>
      <c r="G704" s="9" t="n">
        <v>1.72</v>
      </c>
      <c r="H704" s="9" t="n">
        <v>1.72</v>
      </c>
      <c r="I704" s="9" t="inlineStr">
        <is>
          <t>Depth (no MLB IP)</t>
        </is>
      </c>
      <c r="J704" s="18" t="inlineStr">
        <is>
          <t>Opening Day</t>
        </is>
      </c>
      <c r="K704" s="11">
        <f>IFERROR(INDEX(Roles!$B$17:$B$20,MATCH(J704,Roles!$A$17:$A$20,0)),1)</f>
        <v/>
      </c>
      <c r="L704" s="19" t="n">
        <v>1</v>
      </c>
      <c r="M704" s="11" t="n">
        <v>1</v>
      </c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>
        <v>1</v>
      </c>
      <c r="Z704" s="13">
        <f>SUMPRODUCT(N704:Y704,$N$2:$Y$2)*$K704*$L704*$M704</f>
        <v/>
      </c>
      <c r="AA704" s="14">
        <f>SUM(N704:Y704)</f>
        <v/>
      </c>
      <c r="AB704" s="13">
        <f>SUMPRODUCT(N704:Y704,$N$3:$Y$3)*$K704*$L704*$M704</f>
        <v/>
      </c>
      <c r="AC704" s="13">
        <f>SUMPRODUCT(N704:Y704,$N$4:$Y$4)*$K704*$L704*$M704</f>
        <v/>
      </c>
      <c r="AD704" s="15" t="n">
        <v>3</v>
      </c>
      <c r="AE704" s="11" t="n">
        <v>1.011296296296296</v>
      </c>
      <c r="AF704" s="16">
        <f>SUMPRODUCT(N704:Y704,$N$5:$Y$5)*$K704*$L704*$M704</f>
        <v/>
      </c>
      <c r="AG704" s="16">
        <f>SUMPRODUCT(N704:Y704,$N$6:$Y$6)*$K704*$L704*$M704</f>
        <v/>
      </c>
      <c r="AH704" s="20" t="n"/>
    </row>
    <row r="705">
      <c r="A705" s="9" t="n">
        <v>691004</v>
      </c>
      <c r="B705" s="9" t="inlineStr">
        <is>
          <t>Aaron Nixon</t>
        </is>
      </c>
      <c r="C705" s="9" t="inlineStr">
        <is>
          <t>BOS</t>
        </is>
      </c>
      <c r="D705" s="9" t="n">
        <v>25</v>
      </c>
      <c r="E705" s="18" t="inlineStr">
        <is>
          <t>R</t>
        </is>
      </c>
      <c r="F705" s="18" t="n"/>
      <c r="G705" s="9" t="n">
        <v>1.505</v>
      </c>
      <c r="H705" s="9" t="n">
        <v>1.505</v>
      </c>
      <c r="I705" s="9" t="inlineStr">
        <is>
          <t>Depth (no MLB IP)</t>
        </is>
      </c>
      <c r="J705" s="18" t="inlineStr">
        <is>
          <t>Opening Day</t>
        </is>
      </c>
      <c r="K705" s="11">
        <f>IFERROR(INDEX(Roles!$B$17:$B$20,MATCH(J705,Roles!$A$17:$A$20,0)),1)</f>
        <v/>
      </c>
      <c r="L705" s="19" t="n">
        <v>1</v>
      </c>
      <c r="M705" s="11" t="n">
        <v>1</v>
      </c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>
        <v>1</v>
      </c>
      <c r="Z705" s="13">
        <f>SUMPRODUCT(N705:Y705,$N$2:$Y$2)*$K705*$L705*$M705</f>
        <v/>
      </c>
      <c r="AA705" s="14">
        <f>SUM(N705:Y705)</f>
        <v/>
      </c>
      <c r="AB705" s="13">
        <f>SUMPRODUCT(N705:Y705,$N$3:$Y$3)*$K705*$L705*$M705</f>
        <v/>
      </c>
      <c r="AC705" s="13">
        <f>SUMPRODUCT(N705:Y705,$N$4:$Y$4)*$K705*$L705*$M705</f>
        <v/>
      </c>
      <c r="AD705" s="15" t="n">
        <v>3</v>
      </c>
      <c r="AE705" s="11" t="n">
        <v>1.011296296296296</v>
      </c>
      <c r="AF705" s="16">
        <f>SUMPRODUCT(N705:Y705,$N$5:$Y$5)*$K705*$L705*$M705</f>
        <v/>
      </c>
      <c r="AG705" s="16">
        <f>SUMPRODUCT(N705:Y705,$N$6:$Y$6)*$K705*$L705*$M705</f>
        <v/>
      </c>
      <c r="AH705" s="20" t="n"/>
    </row>
    <row r="706">
      <c r="A706" s="9" t="n">
        <v>811253</v>
      </c>
      <c r="B706" s="9" t="inlineStr">
        <is>
          <t>Cole Fehrman</t>
        </is>
      </c>
      <c r="C706" s="9" t="inlineStr">
        <is>
          <t>TEX</t>
        </is>
      </c>
      <c r="D706" s="9" t="n">
        <v>25</v>
      </c>
      <c r="E706" s="18" t="inlineStr">
        <is>
          <t>L</t>
        </is>
      </c>
      <c r="F706" s="18" t="n"/>
      <c r="G706" s="9" t="n">
        <v>1.72</v>
      </c>
      <c r="H706" s="9" t="n">
        <v>1.72</v>
      </c>
      <c r="I706" s="9" t="inlineStr">
        <is>
          <t>Depth (no MLB IP)</t>
        </is>
      </c>
      <c r="J706" s="18" t="inlineStr">
        <is>
          <t>Opening Day</t>
        </is>
      </c>
      <c r="K706" s="11">
        <f>IFERROR(INDEX(Roles!$B$17:$B$20,MATCH(J706,Roles!$A$17:$A$20,0)),1)</f>
        <v/>
      </c>
      <c r="L706" s="19" t="n">
        <v>1</v>
      </c>
      <c r="M706" s="11" t="n">
        <v>1</v>
      </c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>
        <v>1</v>
      </c>
      <c r="Z706" s="13">
        <f>SUMPRODUCT(N706:Y706,$N$2:$Y$2)*$K706*$L706*$M706</f>
        <v/>
      </c>
      <c r="AA706" s="14">
        <f>SUM(N706:Y706)</f>
        <v/>
      </c>
      <c r="AB706" s="13">
        <f>SUMPRODUCT(N706:Y706,$N$3:$Y$3)*$K706*$L706*$M706</f>
        <v/>
      </c>
      <c r="AC706" s="13">
        <f>SUMPRODUCT(N706:Y706,$N$4:$Y$4)*$K706*$L706*$M706</f>
        <v/>
      </c>
      <c r="AD706" s="15" t="n">
        <v>3</v>
      </c>
      <c r="AE706" s="11" t="n">
        <v>1.011296296296296</v>
      </c>
      <c r="AF706" s="16">
        <f>SUMPRODUCT(N706:Y706,$N$5:$Y$5)*$K706*$L706*$M706</f>
        <v/>
      </c>
      <c r="AG706" s="16">
        <f>SUMPRODUCT(N706:Y706,$N$6:$Y$6)*$K706*$L706*$M706</f>
        <v/>
      </c>
      <c r="AH706" s="20" t="n"/>
    </row>
    <row r="707">
      <c r="A707" s="9" t="n">
        <v>699321</v>
      </c>
      <c r="B707" s="9" t="inlineStr">
        <is>
          <t>Diego Guzman</t>
        </is>
      </c>
      <c r="C707" s="9" t="inlineStr">
        <is>
          <t>KC</t>
        </is>
      </c>
      <c r="D707" s="9" t="n">
        <v>25</v>
      </c>
      <c r="E707" s="18" t="inlineStr">
        <is>
          <t>R</t>
        </is>
      </c>
      <c r="F707" s="18" t="n"/>
      <c r="G707" s="9" t="n">
        <v>1.433333333333333</v>
      </c>
      <c r="H707" s="9" t="n">
        <v>1.433333333333333</v>
      </c>
      <c r="I707" s="9" t="inlineStr">
        <is>
          <t>Depth (no MLB IP)</t>
        </is>
      </c>
      <c r="J707" s="18" t="inlineStr">
        <is>
          <t>Opening Day</t>
        </is>
      </c>
      <c r="K707" s="11">
        <f>IFERROR(INDEX(Roles!$B$17:$B$20,MATCH(J707,Roles!$A$17:$A$20,0)),1)</f>
        <v/>
      </c>
      <c r="L707" s="19" t="n">
        <v>1</v>
      </c>
      <c r="M707" s="11" t="n">
        <v>1</v>
      </c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>
        <v>1</v>
      </c>
      <c r="Z707" s="13">
        <f>SUMPRODUCT(N707:Y707,$N$2:$Y$2)*$K707*$L707*$M707</f>
        <v/>
      </c>
      <c r="AA707" s="14">
        <f>SUM(N707:Y707)</f>
        <v/>
      </c>
      <c r="AB707" s="13">
        <f>SUMPRODUCT(N707:Y707,$N$3:$Y$3)*$K707*$L707*$M707</f>
        <v/>
      </c>
      <c r="AC707" s="13">
        <f>SUMPRODUCT(N707:Y707,$N$4:$Y$4)*$K707*$L707*$M707</f>
        <v/>
      </c>
      <c r="AD707" s="15" t="n">
        <v>3</v>
      </c>
      <c r="AE707" s="11" t="n">
        <v>1.011296296296296</v>
      </c>
      <c r="AF707" s="16">
        <f>SUMPRODUCT(N707:Y707,$N$5:$Y$5)*$K707*$L707*$M707</f>
        <v/>
      </c>
      <c r="AG707" s="16">
        <f>SUMPRODUCT(N707:Y707,$N$6:$Y$6)*$K707*$L707*$M707</f>
        <v/>
      </c>
      <c r="AH707" s="20" t="n"/>
    </row>
    <row r="708">
      <c r="A708" s="9" t="n">
        <v>825100</v>
      </c>
      <c r="B708" s="9" t="inlineStr">
        <is>
          <t>Kevin Warunek</t>
        </is>
      </c>
      <c r="C708" s="9" t="inlineStr">
        <is>
          <t>PHI</t>
        </is>
      </c>
      <c r="D708" s="9" t="n">
        <v>25</v>
      </c>
      <c r="E708" s="18" t="inlineStr">
        <is>
          <t>L</t>
        </is>
      </c>
      <c r="F708" s="18" t="n"/>
      <c r="G708" s="9" t="n">
        <v>1.505</v>
      </c>
      <c r="H708" s="9" t="n">
        <v>1.505</v>
      </c>
      <c r="I708" s="9" t="inlineStr">
        <is>
          <t>Depth (no MLB IP)</t>
        </is>
      </c>
      <c r="J708" s="18" t="inlineStr">
        <is>
          <t>Opening Day</t>
        </is>
      </c>
      <c r="K708" s="11">
        <f>IFERROR(INDEX(Roles!$B$17:$B$20,MATCH(J708,Roles!$A$17:$A$20,0)),1)</f>
        <v/>
      </c>
      <c r="L708" s="19" t="n">
        <v>1</v>
      </c>
      <c r="M708" s="11" t="n">
        <v>1</v>
      </c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>
        <v>1</v>
      </c>
      <c r="Z708" s="13">
        <f>SUMPRODUCT(N708:Y708,$N$2:$Y$2)*$K708*$L708*$M708</f>
        <v/>
      </c>
      <c r="AA708" s="14">
        <f>SUM(N708:Y708)</f>
        <v/>
      </c>
      <c r="AB708" s="13">
        <f>SUMPRODUCT(N708:Y708,$N$3:$Y$3)*$K708*$L708*$M708</f>
        <v/>
      </c>
      <c r="AC708" s="13">
        <f>SUMPRODUCT(N708:Y708,$N$4:$Y$4)*$K708*$L708*$M708</f>
        <v/>
      </c>
      <c r="AD708" s="15" t="n">
        <v>3</v>
      </c>
      <c r="AE708" s="11" t="n">
        <v>1.011296296296296</v>
      </c>
      <c r="AF708" s="16">
        <f>SUMPRODUCT(N708:Y708,$N$5:$Y$5)*$K708*$L708*$M708</f>
        <v/>
      </c>
      <c r="AG708" s="16">
        <f>SUMPRODUCT(N708:Y708,$N$6:$Y$6)*$K708*$L708*$M708</f>
        <v/>
      </c>
      <c r="AH708" s="20" t="n"/>
    </row>
    <row r="709">
      <c r="A709" s="9" t="n">
        <v>690962</v>
      </c>
      <c r="B709" s="9" t="inlineStr">
        <is>
          <t>Michael Brooks</t>
        </is>
      </c>
      <c r="C709" s="9" t="inlineStr">
        <is>
          <t>OAK</t>
        </is>
      </c>
      <c r="D709" s="9" t="n">
        <v>25</v>
      </c>
      <c r="E709" s="18" t="inlineStr">
        <is>
          <t>R</t>
        </is>
      </c>
      <c r="F709" s="18" t="n"/>
      <c r="G709" s="9" t="n">
        <v>1.204</v>
      </c>
      <c r="H709" s="9" t="n">
        <v>1.204</v>
      </c>
      <c r="I709" s="9" t="inlineStr">
        <is>
          <t>Depth (no MLB IP)</t>
        </is>
      </c>
      <c r="J709" s="18" t="inlineStr">
        <is>
          <t>Opening Day</t>
        </is>
      </c>
      <c r="K709" s="11">
        <f>IFERROR(INDEX(Roles!$B$17:$B$20,MATCH(J709,Roles!$A$17:$A$20,0)),1)</f>
        <v/>
      </c>
      <c r="L709" s="19" t="n">
        <v>1</v>
      </c>
      <c r="M709" s="11" t="n">
        <v>1</v>
      </c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>
        <v>1</v>
      </c>
      <c r="Z709" s="13">
        <f>SUMPRODUCT(N709:Y709,$N$2:$Y$2)*$K709*$L709*$M709</f>
        <v/>
      </c>
      <c r="AA709" s="14">
        <f>SUM(N709:Y709)</f>
        <v/>
      </c>
      <c r="AB709" s="13">
        <f>SUMPRODUCT(N709:Y709,$N$3:$Y$3)*$K709*$L709*$M709</f>
        <v/>
      </c>
      <c r="AC709" s="13">
        <f>SUMPRODUCT(N709:Y709,$N$4:$Y$4)*$K709*$L709*$M709</f>
        <v/>
      </c>
      <c r="AD709" s="15" t="n">
        <v>3</v>
      </c>
      <c r="AE709" s="11" t="n">
        <v>1.011296296296296</v>
      </c>
      <c r="AF709" s="16">
        <f>SUMPRODUCT(N709:Y709,$N$5:$Y$5)*$K709*$L709*$M709</f>
        <v/>
      </c>
      <c r="AG709" s="16">
        <f>SUMPRODUCT(N709:Y709,$N$6:$Y$6)*$K709*$L709*$M709</f>
        <v/>
      </c>
      <c r="AH709" s="20" t="n"/>
    </row>
    <row r="710">
      <c r="A710" s="9" t="n">
        <v>813801</v>
      </c>
      <c r="B710" s="9" t="inlineStr">
        <is>
          <t>John Damozonio</t>
        </is>
      </c>
      <c r="C710" s="9" t="inlineStr">
        <is>
          <t>ATL</t>
        </is>
      </c>
      <c r="D710" s="9" t="n">
        <v>25</v>
      </c>
      <c r="E710" s="18" t="inlineStr">
        <is>
          <t>R</t>
        </is>
      </c>
      <c r="F710" s="18" t="n"/>
      <c r="G710" s="9" t="n">
        <v>1.892</v>
      </c>
      <c r="H710" s="9" t="n">
        <v>1.892</v>
      </c>
      <c r="I710" s="9" t="inlineStr">
        <is>
          <t>Depth (no MLB IP)</t>
        </is>
      </c>
      <c r="J710" s="18" t="inlineStr">
        <is>
          <t>Opening Day</t>
        </is>
      </c>
      <c r="K710" s="11">
        <f>IFERROR(INDEX(Roles!$B$17:$B$20,MATCH(J710,Roles!$A$17:$A$20,0)),1)</f>
        <v/>
      </c>
      <c r="L710" s="19" t="n">
        <v>1</v>
      </c>
      <c r="M710" s="11" t="n">
        <v>1</v>
      </c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>
        <v>1</v>
      </c>
      <c r="Z710" s="13">
        <f>SUMPRODUCT(N710:Y710,$N$2:$Y$2)*$K710*$L710*$M710</f>
        <v/>
      </c>
      <c r="AA710" s="14">
        <f>SUM(N710:Y710)</f>
        <v/>
      </c>
      <c r="AB710" s="13">
        <f>SUMPRODUCT(N710:Y710,$N$3:$Y$3)*$K710*$L710*$M710</f>
        <v/>
      </c>
      <c r="AC710" s="13">
        <f>SUMPRODUCT(N710:Y710,$N$4:$Y$4)*$K710*$L710*$M710</f>
        <v/>
      </c>
      <c r="AD710" s="15" t="n">
        <v>3</v>
      </c>
      <c r="AE710" s="11" t="n">
        <v>1.011296296296296</v>
      </c>
      <c r="AF710" s="16">
        <f>SUMPRODUCT(N710:Y710,$N$5:$Y$5)*$K710*$L710*$M710</f>
        <v/>
      </c>
      <c r="AG710" s="16">
        <f>SUMPRODUCT(N710:Y710,$N$6:$Y$6)*$K710*$L710*$M710</f>
        <v/>
      </c>
      <c r="AH710" s="20" t="n"/>
    </row>
    <row r="711">
      <c r="A711" s="9" t="n">
        <v>814477</v>
      </c>
      <c r="B711" s="9" t="inlineStr">
        <is>
          <t>Luke Stofel</t>
        </is>
      </c>
      <c r="C711" s="9" t="inlineStr">
        <is>
          <t>DET</t>
        </is>
      </c>
      <c r="D711" s="9" t="n">
        <v>25</v>
      </c>
      <c r="E711" s="18" t="inlineStr">
        <is>
          <t>R</t>
        </is>
      </c>
      <c r="F711" s="18" t="n"/>
      <c r="G711" s="9" t="n">
        <v>1.505</v>
      </c>
      <c r="H711" s="9" t="n">
        <v>1.505</v>
      </c>
      <c r="I711" s="9" t="inlineStr">
        <is>
          <t>Depth (no MLB IP)</t>
        </is>
      </c>
      <c r="J711" s="18" t="inlineStr">
        <is>
          <t>Opening Day</t>
        </is>
      </c>
      <c r="K711" s="11">
        <f>IFERROR(INDEX(Roles!$B$17:$B$20,MATCH(J711,Roles!$A$17:$A$20,0)),1)</f>
        <v/>
      </c>
      <c r="L711" s="19" t="n">
        <v>1</v>
      </c>
      <c r="M711" s="11" t="n">
        <v>1</v>
      </c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>
        <v>1</v>
      </c>
      <c r="Z711" s="13">
        <f>SUMPRODUCT(N711:Y711,$N$2:$Y$2)*$K711*$L711*$M711</f>
        <v/>
      </c>
      <c r="AA711" s="14">
        <f>SUM(N711:Y711)</f>
        <v/>
      </c>
      <c r="AB711" s="13">
        <f>SUMPRODUCT(N711:Y711,$N$3:$Y$3)*$K711*$L711*$M711</f>
        <v/>
      </c>
      <c r="AC711" s="13">
        <f>SUMPRODUCT(N711:Y711,$N$4:$Y$4)*$K711*$L711*$M711</f>
        <v/>
      </c>
      <c r="AD711" s="15" t="n">
        <v>3</v>
      </c>
      <c r="AE711" s="11" t="n">
        <v>1.011296296296296</v>
      </c>
      <c r="AF711" s="16">
        <f>SUMPRODUCT(N711:Y711,$N$5:$Y$5)*$K711*$L711*$M711</f>
        <v/>
      </c>
      <c r="AG711" s="16">
        <f>SUMPRODUCT(N711:Y711,$N$6:$Y$6)*$K711*$L711*$M711</f>
        <v/>
      </c>
      <c r="AH711" s="20" t="n"/>
    </row>
    <row r="712">
      <c r="A712" s="9" t="n">
        <v>805865</v>
      </c>
      <c r="B712" s="9" t="inlineStr">
        <is>
          <t>Guy Lipscomb</t>
        </is>
      </c>
      <c r="C712" s="9" t="inlineStr">
        <is>
          <t>CLE</t>
        </is>
      </c>
      <c r="D712" s="9" t="n">
        <v>25</v>
      </c>
      <c r="E712" s="18" t="inlineStr">
        <is>
          <t>R</t>
        </is>
      </c>
      <c r="F712" s="18" t="n"/>
      <c r="G712" s="9" t="n">
        <v>1.505</v>
      </c>
      <c r="H712" s="9" t="n">
        <v>1.505</v>
      </c>
      <c r="I712" s="9" t="inlineStr">
        <is>
          <t>Depth (no MLB IP)</t>
        </is>
      </c>
      <c r="J712" s="18" t="inlineStr">
        <is>
          <t>Opening Day</t>
        </is>
      </c>
      <c r="K712" s="11">
        <f>IFERROR(INDEX(Roles!$B$17:$B$20,MATCH(J712,Roles!$A$17:$A$20,0)),1)</f>
        <v/>
      </c>
      <c r="L712" s="19" t="n">
        <v>1</v>
      </c>
      <c r="M712" s="11" t="n">
        <v>1</v>
      </c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>
        <v>1</v>
      </c>
      <c r="Z712" s="13">
        <f>SUMPRODUCT(N712:Y712,$N$2:$Y$2)*$K712*$L712*$M712</f>
        <v/>
      </c>
      <c r="AA712" s="14">
        <f>SUM(N712:Y712)</f>
        <v/>
      </c>
      <c r="AB712" s="13">
        <f>SUMPRODUCT(N712:Y712,$N$3:$Y$3)*$K712*$L712*$M712</f>
        <v/>
      </c>
      <c r="AC712" s="13">
        <f>SUMPRODUCT(N712:Y712,$N$4:$Y$4)*$K712*$L712*$M712</f>
        <v/>
      </c>
      <c r="AD712" s="15" t="n">
        <v>3</v>
      </c>
      <c r="AE712" s="11" t="n">
        <v>1.011296296296296</v>
      </c>
      <c r="AF712" s="16">
        <f>SUMPRODUCT(N712:Y712,$N$5:$Y$5)*$K712*$L712*$M712</f>
        <v/>
      </c>
      <c r="AG712" s="16">
        <f>SUMPRODUCT(N712:Y712,$N$6:$Y$6)*$K712*$L712*$M712</f>
        <v/>
      </c>
      <c r="AH712" s="20" t="n"/>
    </row>
    <row r="713">
      <c r="A713" s="9" t="n">
        <v>805874</v>
      </c>
      <c r="B713" s="9" t="inlineStr">
        <is>
          <t>Aneudis Mejia</t>
        </is>
      </c>
      <c r="C713" s="9" t="inlineStr">
        <is>
          <t>TEX</t>
        </is>
      </c>
      <c r="D713" s="9" t="n">
        <v>25</v>
      </c>
      <c r="E713" s="18" t="inlineStr">
        <is>
          <t>R</t>
        </is>
      </c>
      <c r="F713" s="18" t="n"/>
      <c r="G713" s="9" t="n">
        <v>1.146666666666667</v>
      </c>
      <c r="H713" s="9" t="n">
        <v>1.146666666666667</v>
      </c>
      <c r="I713" s="9" t="inlineStr">
        <is>
          <t>Depth (no MLB IP)</t>
        </is>
      </c>
      <c r="J713" s="18" t="inlineStr">
        <is>
          <t>Opening Day</t>
        </is>
      </c>
      <c r="K713" s="11">
        <f>IFERROR(INDEX(Roles!$B$17:$B$20,MATCH(J713,Roles!$A$17:$A$20,0)),1)</f>
        <v/>
      </c>
      <c r="L713" s="19" t="n">
        <v>1</v>
      </c>
      <c r="M713" s="11" t="n">
        <v>1</v>
      </c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>
        <v>1</v>
      </c>
      <c r="Z713" s="13">
        <f>SUMPRODUCT(N713:Y713,$N$2:$Y$2)*$K713*$L713*$M713</f>
        <v/>
      </c>
      <c r="AA713" s="14">
        <f>SUM(N713:Y713)</f>
        <v/>
      </c>
      <c r="AB713" s="13">
        <f>SUMPRODUCT(N713:Y713,$N$3:$Y$3)*$K713*$L713*$M713</f>
        <v/>
      </c>
      <c r="AC713" s="13">
        <f>SUMPRODUCT(N713:Y713,$N$4:$Y$4)*$K713*$L713*$M713</f>
        <v/>
      </c>
      <c r="AD713" s="15" t="n">
        <v>3</v>
      </c>
      <c r="AE713" s="11" t="n">
        <v>1.011296296296296</v>
      </c>
      <c r="AF713" s="16">
        <f>SUMPRODUCT(N713:Y713,$N$5:$Y$5)*$K713*$L713*$M713</f>
        <v/>
      </c>
      <c r="AG713" s="16">
        <f>SUMPRODUCT(N713:Y713,$N$6:$Y$6)*$K713*$L713*$M713</f>
        <v/>
      </c>
      <c r="AH713" s="20" t="n"/>
    </row>
    <row r="714">
      <c r="A714" s="9" t="n">
        <v>806014</v>
      </c>
      <c r="B714" s="9" t="inlineStr">
        <is>
          <t>Keduar Trujillo</t>
        </is>
      </c>
      <c r="C714" s="9" t="inlineStr">
        <is>
          <t>HOU</t>
        </is>
      </c>
      <c r="D714" s="9" t="n">
        <v>25</v>
      </c>
      <c r="E714" s="18" t="inlineStr">
        <is>
          <t>R</t>
        </is>
      </c>
      <c r="F714" s="18" t="n"/>
      <c r="G714" s="9" t="n">
        <v>1.72</v>
      </c>
      <c r="H714" s="9" t="n">
        <v>1.72</v>
      </c>
      <c r="I714" s="9" t="inlineStr">
        <is>
          <t>Depth (no MLB IP)</t>
        </is>
      </c>
      <c r="J714" s="18" t="inlineStr">
        <is>
          <t>Opening Day</t>
        </is>
      </c>
      <c r="K714" s="11">
        <f>IFERROR(INDEX(Roles!$B$17:$B$20,MATCH(J714,Roles!$A$17:$A$20,0)),1)</f>
        <v/>
      </c>
      <c r="L714" s="19" t="n">
        <v>1</v>
      </c>
      <c r="M714" s="11" t="n">
        <v>1</v>
      </c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>
        <v>1</v>
      </c>
      <c r="Z714" s="13">
        <f>SUMPRODUCT(N714:Y714,$N$2:$Y$2)*$K714*$L714*$M714</f>
        <v/>
      </c>
      <c r="AA714" s="14">
        <f>SUM(N714:Y714)</f>
        <v/>
      </c>
      <c r="AB714" s="13">
        <f>SUMPRODUCT(N714:Y714,$N$3:$Y$3)*$K714*$L714*$M714</f>
        <v/>
      </c>
      <c r="AC714" s="13">
        <f>SUMPRODUCT(N714:Y714,$N$4:$Y$4)*$K714*$L714*$M714</f>
        <v/>
      </c>
      <c r="AD714" s="15" t="n">
        <v>3</v>
      </c>
      <c r="AE714" s="11" t="n">
        <v>1.011296296296296</v>
      </c>
      <c r="AF714" s="16">
        <f>SUMPRODUCT(N714:Y714,$N$5:$Y$5)*$K714*$L714*$M714</f>
        <v/>
      </c>
      <c r="AG714" s="16">
        <f>SUMPRODUCT(N714:Y714,$N$6:$Y$6)*$K714*$L714*$M714</f>
        <v/>
      </c>
      <c r="AH714" s="20" t="n"/>
    </row>
    <row r="715">
      <c r="A715" s="9" t="n">
        <v>814194</v>
      </c>
      <c r="B715" s="9" t="inlineStr">
        <is>
          <t>Quinn McDaniel</t>
        </is>
      </c>
      <c r="C715" s="9" t="inlineStr">
        <is>
          <t>MIN</t>
        </is>
      </c>
      <c r="D715" s="9" t="n">
        <v>25</v>
      </c>
      <c r="E715" s="18" t="inlineStr">
        <is>
          <t>R</t>
        </is>
      </c>
      <c r="F715" s="18" t="n"/>
      <c r="G715" s="9" t="n">
        <v>1.72</v>
      </c>
      <c r="H715" s="9" t="n">
        <v>1.72</v>
      </c>
      <c r="I715" s="9" t="inlineStr">
        <is>
          <t>Depth (no MLB IP)</t>
        </is>
      </c>
      <c r="J715" s="18" t="inlineStr">
        <is>
          <t>Opening Day</t>
        </is>
      </c>
      <c r="K715" s="11">
        <f>IFERROR(INDEX(Roles!$B$17:$B$20,MATCH(J715,Roles!$A$17:$A$20,0)),1)</f>
        <v/>
      </c>
      <c r="L715" s="19" t="n">
        <v>1</v>
      </c>
      <c r="M715" s="11" t="n">
        <v>1</v>
      </c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>
        <v>1</v>
      </c>
      <c r="Z715" s="13">
        <f>SUMPRODUCT(N715:Y715,$N$2:$Y$2)*$K715*$L715*$M715</f>
        <v/>
      </c>
      <c r="AA715" s="14">
        <f>SUM(N715:Y715)</f>
        <v/>
      </c>
      <c r="AB715" s="13">
        <f>SUMPRODUCT(N715:Y715,$N$3:$Y$3)*$K715*$L715*$M715</f>
        <v/>
      </c>
      <c r="AC715" s="13">
        <f>SUMPRODUCT(N715:Y715,$N$4:$Y$4)*$K715*$L715*$M715</f>
        <v/>
      </c>
      <c r="AD715" s="15" t="n">
        <v>3</v>
      </c>
      <c r="AE715" s="11" t="n">
        <v>1.011296296296296</v>
      </c>
      <c r="AF715" s="16">
        <f>SUMPRODUCT(N715:Y715,$N$5:$Y$5)*$K715*$L715*$M715</f>
        <v/>
      </c>
      <c r="AG715" s="16">
        <f>SUMPRODUCT(N715:Y715,$N$6:$Y$6)*$K715*$L715*$M715</f>
        <v/>
      </c>
      <c r="AH715" s="20" t="n"/>
    </row>
    <row r="716">
      <c r="A716" s="9" t="n">
        <v>808678</v>
      </c>
      <c r="B716" s="9" t="inlineStr">
        <is>
          <t>Fermin Magallanes</t>
        </is>
      </c>
      <c r="C716" s="9" t="inlineStr">
        <is>
          <t>BAL</t>
        </is>
      </c>
      <c r="D716" s="9" t="n">
        <v>25</v>
      </c>
      <c r="E716" s="18" t="inlineStr">
        <is>
          <t>R</t>
        </is>
      </c>
      <c r="F716" s="18" t="n"/>
      <c r="G716" s="9" t="n">
        <v>1.72</v>
      </c>
      <c r="H716" s="9" t="n">
        <v>1.72</v>
      </c>
      <c r="I716" s="9" t="inlineStr">
        <is>
          <t>Depth (no MLB IP)</t>
        </is>
      </c>
      <c r="J716" s="18" t="inlineStr">
        <is>
          <t>Opening Day</t>
        </is>
      </c>
      <c r="K716" s="11">
        <f>IFERROR(INDEX(Roles!$B$17:$B$20,MATCH(J716,Roles!$A$17:$A$20,0)),1)</f>
        <v/>
      </c>
      <c r="L716" s="19" t="n">
        <v>1</v>
      </c>
      <c r="M716" s="11" t="n">
        <v>1</v>
      </c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>
        <v>1</v>
      </c>
      <c r="Z716" s="13">
        <f>SUMPRODUCT(N716:Y716,$N$2:$Y$2)*$K716*$L716*$M716</f>
        <v/>
      </c>
      <c r="AA716" s="14">
        <f>SUM(N716:Y716)</f>
        <v/>
      </c>
      <c r="AB716" s="13">
        <f>SUMPRODUCT(N716:Y716,$N$3:$Y$3)*$K716*$L716*$M716</f>
        <v/>
      </c>
      <c r="AC716" s="13">
        <f>SUMPRODUCT(N716:Y716,$N$4:$Y$4)*$K716*$L716*$M716</f>
        <v/>
      </c>
      <c r="AD716" s="15" t="n">
        <v>3</v>
      </c>
      <c r="AE716" s="11" t="n">
        <v>1.011296296296296</v>
      </c>
      <c r="AF716" s="16">
        <f>SUMPRODUCT(N716:Y716,$N$5:$Y$5)*$K716*$L716*$M716</f>
        <v/>
      </c>
      <c r="AG716" s="16">
        <f>SUMPRODUCT(N716:Y716,$N$6:$Y$6)*$K716*$L716*$M716</f>
        <v/>
      </c>
      <c r="AH716" s="20" t="n"/>
    </row>
    <row r="717">
      <c r="A717" s="9" t="n">
        <v>808690</v>
      </c>
      <c r="B717" s="9" t="inlineStr">
        <is>
          <t>Yohanfer Santana</t>
        </is>
      </c>
      <c r="C717" s="9" t="inlineStr">
        <is>
          <t>MIA</t>
        </is>
      </c>
      <c r="D717" s="9" t="n">
        <v>25</v>
      </c>
      <c r="E717" s="18" t="inlineStr">
        <is>
          <t>R</t>
        </is>
      </c>
      <c r="F717" s="18" t="n"/>
      <c r="G717" s="9" t="n">
        <v>1.72</v>
      </c>
      <c r="H717" s="9" t="n">
        <v>1.72</v>
      </c>
      <c r="I717" s="9" t="inlineStr">
        <is>
          <t>Depth (no MLB IP)</t>
        </is>
      </c>
      <c r="J717" s="18" t="inlineStr">
        <is>
          <t>Opening Day</t>
        </is>
      </c>
      <c r="K717" s="11">
        <f>IFERROR(INDEX(Roles!$B$17:$B$20,MATCH(J717,Roles!$A$17:$A$20,0)),1)</f>
        <v/>
      </c>
      <c r="L717" s="19" t="n">
        <v>1</v>
      </c>
      <c r="M717" s="11" t="n">
        <v>1</v>
      </c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>
        <v>1</v>
      </c>
      <c r="Z717" s="13">
        <f>SUMPRODUCT(N717:Y717,$N$2:$Y$2)*$K717*$L717*$M717</f>
        <v/>
      </c>
      <c r="AA717" s="14">
        <f>SUM(N717:Y717)</f>
        <v/>
      </c>
      <c r="AB717" s="13">
        <f>SUMPRODUCT(N717:Y717,$N$3:$Y$3)*$K717*$L717*$M717</f>
        <v/>
      </c>
      <c r="AC717" s="13">
        <f>SUMPRODUCT(N717:Y717,$N$4:$Y$4)*$K717*$L717*$M717</f>
        <v/>
      </c>
      <c r="AD717" s="15" t="n">
        <v>3</v>
      </c>
      <c r="AE717" s="11" t="n">
        <v>1.011296296296296</v>
      </c>
      <c r="AF717" s="16">
        <f>SUMPRODUCT(N717:Y717,$N$5:$Y$5)*$K717*$L717*$M717</f>
        <v/>
      </c>
      <c r="AG717" s="16">
        <f>SUMPRODUCT(N717:Y717,$N$6:$Y$6)*$K717*$L717*$M717</f>
        <v/>
      </c>
      <c r="AH717" s="20" t="n"/>
    </row>
    <row r="718">
      <c r="A718" s="9" t="n">
        <v>808744</v>
      </c>
      <c r="B718" s="9" t="inlineStr">
        <is>
          <t>Cal Stark</t>
        </is>
      </c>
      <c r="C718" s="9" t="inlineStr">
        <is>
          <t>TEX</t>
        </is>
      </c>
      <c r="D718" s="9" t="n">
        <v>25</v>
      </c>
      <c r="E718" s="18" t="inlineStr">
        <is>
          <t>R</t>
        </is>
      </c>
      <c r="F718" s="18" t="n"/>
      <c r="G718" s="9" t="n">
        <v>1.72</v>
      </c>
      <c r="H718" s="9" t="n">
        <v>1.72</v>
      </c>
      <c r="I718" s="9" t="inlineStr">
        <is>
          <t>Depth (no MLB IP)</t>
        </is>
      </c>
      <c r="J718" s="18" t="inlineStr">
        <is>
          <t>Opening Day</t>
        </is>
      </c>
      <c r="K718" s="11">
        <f>IFERROR(INDEX(Roles!$B$17:$B$20,MATCH(J718,Roles!$A$17:$A$20,0)),1)</f>
        <v/>
      </c>
      <c r="L718" s="19" t="n">
        <v>1</v>
      </c>
      <c r="M718" s="11" t="n">
        <v>1</v>
      </c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>
        <v>1</v>
      </c>
      <c r="Z718" s="13">
        <f>SUMPRODUCT(N718:Y718,$N$2:$Y$2)*$K718*$L718*$M718</f>
        <v/>
      </c>
      <c r="AA718" s="14">
        <f>SUM(N718:Y718)</f>
        <v/>
      </c>
      <c r="AB718" s="13">
        <f>SUMPRODUCT(N718:Y718,$N$3:$Y$3)*$K718*$L718*$M718</f>
        <v/>
      </c>
      <c r="AC718" s="13">
        <f>SUMPRODUCT(N718:Y718,$N$4:$Y$4)*$K718*$L718*$M718</f>
        <v/>
      </c>
      <c r="AD718" s="15" t="n">
        <v>3</v>
      </c>
      <c r="AE718" s="11" t="n">
        <v>1.011296296296296</v>
      </c>
      <c r="AF718" s="16">
        <f>SUMPRODUCT(N718:Y718,$N$5:$Y$5)*$K718*$L718*$M718</f>
        <v/>
      </c>
      <c r="AG718" s="16">
        <f>SUMPRODUCT(N718:Y718,$N$6:$Y$6)*$K718*$L718*$M718</f>
        <v/>
      </c>
      <c r="AH718" s="20" t="n"/>
    </row>
    <row r="719">
      <c r="A719" s="9" t="n">
        <v>702574</v>
      </c>
      <c r="B719" s="9" t="inlineStr">
        <is>
          <t>David Mershon</t>
        </is>
      </c>
      <c r="C719" s="9" t="inlineStr">
        <is>
          <t>LAA</t>
        </is>
      </c>
      <c r="D719" s="9" t="n">
        <v>25</v>
      </c>
      <c r="E719" s="18" t="inlineStr">
        <is>
          <t>R</t>
        </is>
      </c>
      <c r="F719" s="18" t="n"/>
      <c r="G719" s="9" t="n">
        <v>1.146666666666667</v>
      </c>
      <c r="H719" s="9" t="n">
        <v>1.146666666666667</v>
      </c>
      <c r="I719" s="9" t="inlineStr">
        <is>
          <t>Depth (no MLB IP)</t>
        </is>
      </c>
      <c r="J719" s="18" t="inlineStr">
        <is>
          <t>Opening Day</t>
        </is>
      </c>
      <c r="K719" s="11">
        <f>IFERROR(INDEX(Roles!$B$17:$B$20,MATCH(J719,Roles!$A$17:$A$20,0)),1)</f>
        <v/>
      </c>
      <c r="L719" s="19" t="n">
        <v>1</v>
      </c>
      <c r="M719" s="11" t="n">
        <v>1</v>
      </c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>
        <v>1</v>
      </c>
      <c r="Z719" s="13">
        <f>SUMPRODUCT(N719:Y719,$N$2:$Y$2)*$K719*$L719*$M719</f>
        <v/>
      </c>
      <c r="AA719" s="14">
        <f>SUM(N719:Y719)</f>
        <v/>
      </c>
      <c r="AB719" s="13">
        <f>SUMPRODUCT(N719:Y719,$N$3:$Y$3)*$K719*$L719*$M719</f>
        <v/>
      </c>
      <c r="AC719" s="13">
        <f>SUMPRODUCT(N719:Y719,$N$4:$Y$4)*$K719*$L719*$M719</f>
        <v/>
      </c>
      <c r="AD719" s="15" t="n">
        <v>3</v>
      </c>
      <c r="AE719" s="11" t="n">
        <v>1.011296296296296</v>
      </c>
      <c r="AF719" s="16">
        <f>SUMPRODUCT(N719:Y719,$N$5:$Y$5)*$K719*$L719*$M719</f>
        <v/>
      </c>
      <c r="AG719" s="16">
        <f>SUMPRODUCT(N719:Y719,$N$6:$Y$6)*$K719*$L719*$M719</f>
        <v/>
      </c>
      <c r="AH719" s="20" t="n"/>
    </row>
    <row r="720">
      <c r="A720" s="9" t="n">
        <v>841166</v>
      </c>
      <c r="B720" s="9" t="inlineStr">
        <is>
          <t>Tyler Papenbrock</t>
        </is>
      </c>
      <c r="C720" s="9" t="inlineStr">
        <is>
          <t>WSH</t>
        </is>
      </c>
      <c r="D720" s="9" t="n">
        <v>25</v>
      </c>
      <c r="E720" s="18" t="inlineStr">
        <is>
          <t>L</t>
        </is>
      </c>
      <c r="F720" s="18" t="n"/>
      <c r="G720" s="9" t="n">
        <v>1.72</v>
      </c>
      <c r="H720" s="9" t="n">
        <v>1.72</v>
      </c>
      <c r="I720" s="9" t="inlineStr">
        <is>
          <t>Depth (no MLB IP)</t>
        </is>
      </c>
      <c r="J720" s="18" t="inlineStr">
        <is>
          <t>Opening Day</t>
        </is>
      </c>
      <c r="K720" s="11">
        <f>IFERROR(INDEX(Roles!$B$17:$B$20,MATCH(J720,Roles!$A$17:$A$20,0)),1)</f>
        <v/>
      </c>
      <c r="L720" s="19" t="n">
        <v>1</v>
      </c>
      <c r="M720" s="11" t="n">
        <v>1</v>
      </c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>
        <v>1</v>
      </c>
      <c r="Z720" s="13">
        <f>SUMPRODUCT(N720:Y720,$N$2:$Y$2)*$K720*$L720*$M720</f>
        <v/>
      </c>
      <c r="AA720" s="14">
        <f>SUM(N720:Y720)</f>
        <v/>
      </c>
      <c r="AB720" s="13">
        <f>SUMPRODUCT(N720:Y720,$N$3:$Y$3)*$K720*$L720*$M720</f>
        <v/>
      </c>
      <c r="AC720" s="13">
        <f>SUMPRODUCT(N720:Y720,$N$4:$Y$4)*$K720*$L720*$M720</f>
        <v/>
      </c>
      <c r="AD720" s="15" t="n">
        <v>3</v>
      </c>
      <c r="AE720" s="11" t="n">
        <v>1.011296296296296</v>
      </c>
      <c r="AF720" s="16">
        <f>SUMPRODUCT(N720:Y720,$N$5:$Y$5)*$K720*$L720*$M720</f>
        <v/>
      </c>
      <c r="AG720" s="16">
        <f>SUMPRODUCT(N720:Y720,$N$6:$Y$6)*$K720*$L720*$M720</f>
        <v/>
      </c>
      <c r="AH720" s="20" t="n"/>
    </row>
    <row r="721">
      <c r="A721" s="9" t="n">
        <v>842097</v>
      </c>
      <c r="B721" s="9" t="inlineStr">
        <is>
          <t>Nate Isler</t>
        </is>
      </c>
      <c r="C721" s="9" t="inlineStr">
        <is>
          <t>NYM</t>
        </is>
      </c>
      <c r="D721" s="9" t="n">
        <v>25</v>
      </c>
      <c r="E721" s="18" t="inlineStr">
        <is>
          <t>R</t>
        </is>
      </c>
      <c r="F721" s="18" t="n"/>
      <c r="G721" s="9" t="n">
        <v>1.548</v>
      </c>
      <c r="H721" s="9" t="n">
        <v>1.548</v>
      </c>
      <c r="I721" s="9" t="inlineStr">
        <is>
          <t>Depth (no MLB IP)</t>
        </is>
      </c>
      <c r="J721" s="18" t="inlineStr">
        <is>
          <t>Opening Day</t>
        </is>
      </c>
      <c r="K721" s="11">
        <f>IFERROR(INDEX(Roles!$B$17:$B$20,MATCH(J721,Roles!$A$17:$A$20,0)),1)</f>
        <v/>
      </c>
      <c r="L721" s="19" t="n">
        <v>1</v>
      </c>
      <c r="M721" s="11" t="n">
        <v>1</v>
      </c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>
        <v>1</v>
      </c>
      <c r="Z721" s="13">
        <f>SUMPRODUCT(N721:Y721,$N$2:$Y$2)*$K721*$L721*$M721</f>
        <v/>
      </c>
      <c r="AA721" s="14">
        <f>SUM(N721:Y721)</f>
        <v/>
      </c>
      <c r="AB721" s="13">
        <f>SUMPRODUCT(N721:Y721,$N$3:$Y$3)*$K721*$L721*$M721</f>
        <v/>
      </c>
      <c r="AC721" s="13">
        <f>SUMPRODUCT(N721:Y721,$N$4:$Y$4)*$K721*$L721*$M721</f>
        <v/>
      </c>
      <c r="AD721" s="15" t="n">
        <v>3</v>
      </c>
      <c r="AE721" s="11" t="n">
        <v>1.011296296296296</v>
      </c>
      <c r="AF721" s="16">
        <f>SUMPRODUCT(N721:Y721,$N$5:$Y$5)*$K721*$L721*$M721</f>
        <v/>
      </c>
      <c r="AG721" s="16">
        <f>SUMPRODUCT(N721:Y721,$N$6:$Y$6)*$K721*$L721*$M721</f>
        <v/>
      </c>
      <c r="AH721" s="20" t="n"/>
    </row>
    <row r="722">
      <c r="A722" s="9" t="n">
        <v>835614</v>
      </c>
      <c r="B722" s="9" t="inlineStr">
        <is>
          <t>Brady O'Brien</t>
        </is>
      </c>
      <c r="C722" s="9" t="inlineStr">
        <is>
          <t>SEA</t>
        </is>
      </c>
      <c r="D722" s="9" t="n">
        <v>25</v>
      </c>
      <c r="E722" s="18" t="inlineStr">
        <is>
          <t>R</t>
        </is>
      </c>
      <c r="F722" s="18" t="n"/>
      <c r="G722" s="9" t="n">
        <v>1.376</v>
      </c>
      <c r="H722" s="9" t="n">
        <v>1.376</v>
      </c>
      <c r="I722" s="9" t="inlineStr">
        <is>
          <t>Depth (no MLB IP)</t>
        </is>
      </c>
      <c r="J722" s="18" t="inlineStr">
        <is>
          <t>Opening Day</t>
        </is>
      </c>
      <c r="K722" s="11">
        <f>IFERROR(INDEX(Roles!$B$17:$B$20,MATCH(J722,Roles!$A$17:$A$20,0)),1)</f>
        <v/>
      </c>
      <c r="L722" s="19" t="n">
        <v>1</v>
      </c>
      <c r="M722" s="11" t="n">
        <v>1</v>
      </c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>
        <v>1</v>
      </c>
      <c r="Z722" s="13">
        <f>SUMPRODUCT(N722:Y722,$N$2:$Y$2)*$K722*$L722*$M722</f>
        <v/>
      </c>
      <c r="AA722" s="14">
        <f>SUM(N722:Y722)</f>
        <v/>
      </c>
      <c r="AB722" s="13">
        <f>SUMPRODUCT(N722:Y722,$N$3:$Y$3)*$K722*$L722*$M722</f>
        <v/>
      </c>
      <c r="AC722" s="13">
        <f>SUMPRODUCT(N722:Y722,$N$4:$Y$4)*$K722*$L722*$M722</f>
        <v/>
      </c>
      <c r="AD722" s="15" t="n">
        <v>3</v>
      </c>
      <c r="AE722" s="11" t="n">
        <v>1.011296296296296</v>
      </c>
      <c r="AF722" s="16">
        <f>SUMPRODUCT(N722:Y722,$N$5:$Y$5)*$K722*$L722*$M722</f>
        <v/>
      </c>
      <c r="AG722" s="16">
        <f>SUMPRODUCT(N722:Y722,$N$6:$Y$6)*$K722*$L722*$M722</f>
        <v/>
      </c>
      <c r="AH722" s="20" t="n"/>
    </row>
    <row r="723">
      <c r="A723" s="9" t="n">
        <v>801346</v>
      </c>
      <c r="B723" s="9" t="inlineStr">
        <is>
          <t>Luis Hernandez</t>
        </is>
      </c>
      <c r="C723" s="9" t="inlineStr">
        <is>
          <t>MIN</t>
        </is>
      </c>
      <c r="D723" s="9" t="n">
        <v>25</v>
      </c>
      <c r="E723" s="18" t="inlineStr">
        <is>
          <t>R</t>
        </is>
      </c>
      <c r="F723" s="18" t="n"/>
      <c r="G723" s="9" t="n">
        <v>1.505</v>
      </c>
      <c r="H723" s="9" t="n">
        <v>1.505</v>
      </c>
      <c r="I723" s="9" t="inlineStr">
        <is>
          <t>Depth (no MLB IP)</t>
        </is>
      </c>
      <c r="J723" s="18" t="inlineStr">
        <is>
          <t>Opening Day</t>
        </is>
      </c>
      <c r="K723" s="11">
        <f>IFERROR(INDEX(Roles!$B$17:$B$20,MATCH(J723,Roles!$A$17:$A$20,0)),1)</f>
        <v/>
      </c>
      <c r="L723" s="19" t="n">
        <v>1</v>
      </c>
      <c r="M723" s="11" t="n">
        <v>1</v>
      </c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>
        <v>1</v>
      </c>
      <c r="Z723" s="13">
        <f>SUMPRODUCT(N723:Y723,$N$2:$Y$2)*$K723*$L723*$M723</f>
        <v/>
      </c>
      <c r="AA723" s="14">
        <f>SUM(N723:Y723)</f>
        <v/>
      </c>
      <c r="AB723" s="13">
        <f>SUMPRODUCT(N723:Y723,$N$3:$Y$3)*$K723*$L723*$M723</f>
        <v/>
      </c>
      <c r="AC723" s="13">
        <f>SUMPRODUCT(N723:Y723,$N$4:$Y$4)*$K723*$L723*$M723</f>
        <v/>
      </c>
      <c r="AD723" s="15" t="n">
        <v>3</v>
      </c>
      <c r="AE723" s="11" t="n">
        <v>1.011296296296296</v>
      </c>
      <c r="AF723" s="16">
        <f>SUMPRODUCT(N723:Y723,$N$5:$Y$5)*$K723*$L723*$M723</f>
        <v/>
      </c>
      <c r="AG723" s="16">
        <f>SUMPRODUCT(N723:Y723,$N$6:$Y$6)*$K723*$L723*$M723</f>
        <v/>
      </c>
      <c r="AH723" s="20" t="n"/>
    </row>
    <row r="724">
      <c r="A724" s="9" t="n">
        <v>829591</v>
      </c>
      <c r="B724" s="9" t="inlineStr">
        <is>
          <t>Wyatt Queen</t>
        </is>
      </c>
      <c r="C724" s="9" t="inlineStr">
        <is>
          <t>SEA</t>
        </is>
      </c>
      <c r="D724" s="9" t="n">
        <v>25</v>
      </c>
      <c r="E724" s="18" t="inlineStr">
        <is>
          <t>R</t>
        </is>
      </c>
      <c r="F724" s="18" t="n"/>
      <c r="G724" s="9" t="n">
        <v>1.548</v>
      </c>
      <c r="H724" s="9" t="n">
        <v>1.548</v>
      </c>
      <c r="I724" s="9" t="inlineStr">
        <is>
          <t>Depth (no MLB IP)</t>
        </is>
      </c>
      <c r="J724" s="18" t="inlineStr">
        <is>
          <t>Opening Day</t>
        </is>
      </c>
      <c r="K724" s="11">
        <f>IFERROR(INDEX(Roles!$B$17:$B$20,MATCH(J724,Roles!$A$17:$A$20,0)),1)</f>
        <v/>
      </c>
      <c r="L724" s="19" t="n">
        <v>1</v>
      </c>
      <c r="M724" s="11" t="n">
        <v>1</v>
      </c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>
        <v>1</v>
      </c>
      <c r="Z724" s="13">
        <f>SUMPRODUCT(N724:Y724,$N$2:$Y$2)*$K724*$L724*$M724</f>
        <v/>
      </c>
      <c r="AA724" s="14">
        <f>SUM(N724:Y724)</f>
        <v/>
      </c>
      <c r="AB724" s="13">
        <f>SUMPRODUCT(N724:Y724,$N$3:$Y$3)*$K724*$L724*$M724</f>
        <v/>
      </c>
      <c r="AC724" s="13">
        <f>SUMPRODUCT(N724:Y724,$N$4:$Y$4)*$K724*$L724*$M724</f>
        <v/>
      </c>
      <c r="AD724" s="15" t="n">
        <v>3</v>
      </c>
      <c r="AE724" s="11" t="n">
        <v>1.011296296296296</v>
      </c>
      <c r="AF724" s="16">
        <f>SUMPRODUCT(N724:Y724,$N$5:$Y$5)*$K724*$L724*$M724</f>
        <v/>
      </c>
      <c r="AG724" s="16">
        <f>SUMPRODUCT(N724:Y724,$N$6:$Y$6)*$K724*$L724*$M724</f>
        <v/>
      </c>
      <c r="AH724" s="20" t="n"/>
    </row>
    <row r="725">
      <c r="A725" s="9" t="n">
        <v>676463</v>
      </c>
      <c r="B725" s="9" t="inlineStr">
        <is>
          <t>Hayden Cantrelle</t>
        </is>
      </c>
      <c r="C725" s="9" t="inlineStr">
        <is>
          <t>CHC</t>
        </is>
      </c>
      <c r="D725" s="9" t="n">
        <v>25</v>
      </c>
      <c r="E725" s="18" t="inlineStr">
        <is>
          <t>R</t>
        </is>
      </c>
      <c r="F725" s="18" t="n"/>
      <c r="G725" s="9" t="n">
        <v>1.576666666666667</v>
      </c>
      <c r="H725" s="9" t="n">
        <v>1.576666666666667</v>
      </c>
      <c r="I725" s="9" t="inlineStr">
        <is>
          <t>Depth (no MLB IP)</t>
        </is>
      </c>
      <c r="J725" s="18" t="inlineStr">
        <is>
          <t>Opening Day</t>
        </is>
      </c>
      <c r="K725" s="11">
        <f>IFERROR(INDEX(Roles!$B$17:$B$20,MATCH(J725,Roles!$A$17:$A$20,0)),1)</f>
        <v/>
      </c>
      <c r="L725" s="19" t="n">
        <v>1</v>
      </c>
      <c r="M725" s="11" t="n">
        <v>1</v>
      </c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>
        <v>1</v>
      </c>
      <c r="Z725" s="13">
        <f>SUMPRODUCT(N725:Y725,$N$2:$Y$2)*$K725*$L725*$M725</f>
        <v/>
      </c>
      <c r="AA725" s="14">
        <f>SUM(N725:Y725)</f>
        <v/>
      </c>
      <c r="AB725" s="13">
        <f>SUMPRODUCT(N725:Y725,$N$3:$Y$3)*$K725*$L725*$M725</f>
        <v/>
      </c>
      <c r="AC725" s="13">
        <f>SUMPRODUCT(N725:Y725,$N$4:$Y$4)*$K725*$L725*$M725</f>
        <v/>
      </c>
      <c r="AD725" s="15" t="n">
        <v>3</v>
      </c>
      <c r="AE725" s="11" t="n">
        <v>1.011296296296296</v>
      </c>
      <c r="AF725" s="16">
        <f>SUMPRODUCT(N725:Y725,$N$5:$Y$5)*$K725*$L725*$M725</f>
        <v/>
      </c>
      <c r="AG725" s="16">
        <f>SUMPRODUCT(N725:Y725,$N$6:$Y$6)*$K725*$L725*$M725</f>
        <v/>
      </c>
      <c r="AH725" s="20" t="n"/>
    </row>
    <row r="726">
      <c r="A726" s="9" t="n">
        <v>808288</v>
      </c>
      <c r="B726" s="9" t="inlineStr">
        <is>
          <t>Luis Lameda</t>
        </is>
      </c>
      <c r="C726" s="9" t="inlineStr">
        <is>
          <t>MIL</t>
        </is>
      </c>
      <c r="D726" s="9" t="n">
        <v>25</v>
      </c>
      <c r="E726" s="18" t="inlineStr">
        <is>
          <t>R</t>
        </is>
      </c>
      <c r="F726" s="18" t="n"/>
      <c r="G726" s="9" t="n">
        <v>1.548</v>
      </c>
      <c r="H726" s="9" t="n">
        <v>1.548</v>
      </c>
      <c r="I726" s="9" t="inlineStr">
        <is>
          <t>Depth (no MLB IP)</t>
        </is>
      </c>
      <c r="J726" s="18" t="inlineStr">
        <is>
          <t>Opening Day</t>
        </is>
      </c>
      <c r="K726" s="11">
        <f>IFERROR(INDEX(Roles!$B$17:$B$20,MATCH(J726,Roles!$A$17:$A$20,0)),1)</f>
        <v/>
      </c>
      <c r="L726" s="19" t="n">
        <v>1</v>
      </c>
      <c r="M726" s="11" t="n">
        <v>1</v>
      </c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>
        <v>1</v>
      </c>
      <c r="Z726" s="13">
        <f>SUMPRODUCT(N726:Y726,$N$2:$Y$2)*$K726*$L726*$M726</f>
        <v/>
      </c>
      <c r="AA726" s="14">
        <f>SUM(N726:Y726)</f>
        <v/>
      </c>
      <c r="AB726" s="13">
        <f>SUMPRODUCT(N726:Y726,$N$3:$Y$3)*$K726*$L726*$M726</f>
        <v/>
      </c>
      <c r="AC726" s="13">
        <f>SUMPRODUCT(N726:Y726,$N$4:$Y$4)*$K726*$L726*$M726</f>
        <v/>
      </c>
      <c r="AD726" s="15" t="n">
        <v>3</v>
      </c>
      <c r="AE726" s="11" t="n">
        <v>1.011296296296296</v>
      </c>
      <c r="AF726" s="16">
        <f>SUMPRODUCT(N726:Y726,$N$5:$Y$5)*$K726*$L726*$M726</f>
        <v/>
      </c>
      <c r="AG726" s="16">
        <f>SUMPRODUCT(N726:Y726,$N$6:$Y$6)*$K726*$L726*$M726</f>
        <v/>
      </c>
      <c r="AH726" s="20" t="n"/>
    </row>
    <row r="727">
      <c r="A727" s="9" t="n">
        <v>685067</v>
      </c>
      <c r="B727" s="9" t="inlineStr">
        <is>
          <t>Baron Stuart</t>
        </is>
      </c>
      <c r="C727" s="9" t="inlineStr">
        <is>
          <t>NYY</t>
        </is>
      </c>
      <c r="D727" s="9" t="n">
        <v>25</v>
      </c>
      <c r="E727" s="18" t="inlineStr">
        <is>
          <t>R</t>
        </is>
      </c>
      <c r="F727" s="18" t="n"/>
      <c r="G727" s="9" t="n">
        <v>1.505</v>
      </c>
      <c r="H727" s="9" t="n">
        <v>1.505</v>
      </c>
      <c r="I727" s="9" t="inlineStr">
        <is>
          <t>Depth (no MLB IP)</t>
        </is>
      </c>
      <c r="J727" s="18" t="inlineStr">
        <is>
          <t>Opening Day</t>
        </is>
      </c>
      <c r="K727" s="11">
        <f>IFERROR(INDEX(Roles!$B$17:$B$20,MATCH(J727,Roles!$A$17:$A$20,0)),1)</f>
        <v/>
      </c>
      <c r="L727" s="19" t="n">
        <v>1</v>
      </c>
      <c r="M727" s="11" t="n">
        <v>1</v>
      </c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>
        <v>1</v>
      </c>
      <c r="Z727" s="13">
        <f>SUMPRODUCT(N727:Y727,$N$2:$Y$2)*$K727*$L727*$M727</f>
        <v/>
      </c>
      <c r="AA727" s="14">
        <f>SUM(N727:Y727)</f>
        <v/>
      </c>
      <c r="AB727" s="13">
        <f>SUMPRODUCT(N727:Y727,$N$3:$Y$3)*$K727*$L727*$M727</f>
        <v/>
      </c>
      <c r="AC727" s="13">
        <f>SUMPRODUCT(N727:Y727,$N$4:$Y$4)*$K727*$L727*$M727</f>
        <v/>
      </c>
      <c r="AD727" s="15" t="n">
        <v>3</v>
      </c>
      <c r="AE727" s="11" t="n">
        <v>1.011296296296296</v>
      </c>
      <c r="AF727" s="16">
        <f>SUMPRODUCT(N727:Y727,$N$5:$Y$5)*$K727*$L727*$M727</f>
        <v/>
      </c>
      <c r="AG727" s="16">
        <f>SUMPRODUCT(N727:Y727,$N$6:$Y$6)*$K727*$L727*$M727</f>
        <v/>
      </c>
      <c r="AH727" s="20" t="n"/>
    </row>
    <row r="728">
      <c r="A728" s="9" t="n">
        <v>808166</v>
      </c>
      <c r="B728" s="9" t="inlineStr">
        <is>
          <t>Junior Aybar</t>
        </is>
      </c>
      <c r="C728" s="9" t="inlineStr">
        <is>
          <t>BAL</t>
        </is>
      </c>
      <c r="D728" s="9" t="n">
        <v>25</v>
      </c>
      <c r="E728" s="18" t="inlineStr">
        <is>
          <t>R</t>
        </is>
      </c>
      <c r="F728" s="18" t="n"/>
      <c r="G728" s="9" t="n">
        <v>1.376</v>
      </c>
      <c r="H728" s="9" t="n">
        <v>1.376</v>
      </c>
      <c r="I728" s="9" t="inlineStr">
        <is>
          <t>Depth (no MLB IP)</t>
        </is>
      </c>
      <c r="J728" s="18" t="inlineStr">
        <is>
          <t>Opening Day</t>
        </is>
      </c>
      <c r="K728" s="11">
        <f>IFERROR(INDEX(Roles!$B$17:$B$20,MATCH(J728,Roles!$A$17:$A$20,0)),1)</f>
        <v/>
      </c>
      <c r="L728" s="19" t="n">
        <v>1</v>
      </c>
      <c r="M728" s="11" t="n">
        <v>1</v>
      </c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>
        <v>1</v>
      </c>
      <c r="Z728" s="13">
        <f>SUMPRODUCT(N728:Y728,$N$2:$Y$2)*$K728*$L728*$M728</f>
        <v/>
      </c>
      <c r="AA728" s="14">
        <f>SUM(N728:Y728)</f>
        <v/>
      </c>
      <c r="AB728" s="13">
        <f>SUMPRODUCT(N728:Y728,$N$3:$Y$3)*$K728*$L728*$M728</f>
        <v/>
      </c>
      <c r="AC728" s="13">
        <f>SUMPRODUCT(N728:Y728,$N$4:$Y$4)*$K728*$L728*$M728</f>
        <v/>
      </c>
      <c r="AD728" s="15" t="n">
        <v>3</v>
      </c>
      <c r="AE728" s="11" t="n">
        <v>1.011296296296296</v>
      </c>
      <c r="AF728" s="16">
        <f>SUMPRODUCT(N728:Y728,$N$5:$Y$5)*$K728*$L728*$M728</f>
        <v/>
      </c>
      <c r="AG728" s="16">
        <f>SUMPRODUCT(N728:Y728,$N$6:$Y$6)*$K728*$L728*$M728</f>
        <v/>
      </c>
      <c r="AH728" s="20" t="n"/>
    </row>
    <row r="729">
      <c r="A729" s="9" t="n">
        <v>808118</v>
      </c>
      <c r="B729" s="9" t="inlineStr">
        <is>
          <t>Félix Amparo</t>
        </is>
      </c>
      <c r="C729" s="9" t="inlineStr">
        <is>
          <t>BAL</t>
        </is>
      </c>
      <c r="D729" s="9" t="n">
        <v>25</v>
      </c>
      <c r="E729" s="18" t="inlineStr">
        <is>
          <t>R</t>
        </is>
      </c>
      <c r="F729" s="18" t="n"/>
      <c r="G729" s="9" t="n">
        <v>1.376</v>
      </c>
      <c r="H729" s="9" t="n">
        <v>1.376</v>
      </c>
      <c r="I729" s="9" t="inlineStr">
        <is>
          <t>Depth (no MLB IP)</t>
        </is>
      </c>
      <c r="J729" s="18" t="inlineStr">
        <is>
          <t>Opening Day</t>
        </is>
      </c>
      <c r="K729" s="11">
        <f>IFERROR(INDEX(Roles!$B$17:$B$20,MATCH(J729,Roles!$A$17:$A$20,0)),1)</f>
        <v/>
      </c>
      <c r="L729" s="19" t="n">
        <v>1</v>
      </c>
      <c r="M729" s="11" t="n">
        <v>1</v>
      </c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>
        <v>1</v>
      </c>
      <c r="Z729" s="13">
        <f>SUMPRODUCT(N729:Y729,$N$2:$Y$2)*$K729*$L729*$M729</f>
        <v/>
      </c>
      <c r="AA729" s="14">
        <f>SUM(N729:Y729)</f>
        <v/>
      </c>
      <c r="AB729" s="13">
        <f>SUMPRODUCT(N729:Y729,$N$3:$Y$3)*$K729*$L729*$M729</f>
        <v/>
      </c>
      <c r="AC729" s="13">
        <f>SUMPRODUCT(N729:Y729,$N$4:$Y$4)*$K729*$L729*$M729</f>
        <v/>
      </c>
      <c r="AD729" s="15" t="n">
        <v>3</v>
      </c>
      <c r="AE729" s="11" t="n">
        <v>1.011296296296296</v>
      </c>
      <c r="AF729" s="16">
        <f>SUMPRODUCT(N729:Y729,$N$5:$Y$5)*$K729*$L729*$M729</f>
        <v/>
      </c>
      <c r="AG729" s="16">
        <f>SUMPRODUCT(N729:Y729,$N$6:$Y$6)*$K729*$L729*$M729</f>
        <v/>
      </c>
      <c r="AH729" s="20" t="n"/>
    </row>
    <row r="730">
      <c r="A730" s="9" t="n">
        <v>701584</v>
      </c>
      <c r="B730" s="9" t="inlineStr">
        <is>
          <t>Grant Fontenot</t>
        </is>
      </c>
      <c r="C730" s="9" t="inlineStr">
        <is>
          <t>KC</t>
        </is>
      </c>
      <c r="D730" s="9" t="n">
        <v>25</v>
      </c>
      <c r="E730" s="18" t="inlineStr">
        <is>
          <t>R</t>
        </is>
      </c>
      <c r="F730" s="18" t="n"/>
      <c r="G730" s="9" t="n">
        <v>1.548</v>
      </c>
      <c r="H730" s="9" t="n">
        <v>1.548</v>
      </c>
      <c r="I730" s="9" t="inlineStr">
        <is>
          <t>Depth (no MLB IP)</t>
        </is>
      </c>
      <c r="J730" s="18" t="inlineStr">
        <is>
          <t>Opening Day</t>
        </is>
      </c>
      <c r="K730" s="11">
        <f>IFERROR(INDEX(Roles!$B$17:$B$20,MATCH(J730,Roles!$A$17:$A$20,0)),1)</f>
        <v/>
      </c>
      <c r="L730" s="19" t="n">
        <v>1</v>
      </c>
      <c r="M730" s="11" t="n">
        <v>1</v>
      </c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>
        <v>1</v>
      </c>
      <c r="Z730" s="13">
        <f>SUMPRODUCT(N730:Y730,$N$2:$Y$2)*$K730*$L730*$M730</f>
        <v/>
      </c>
      <c r="AA730" s="14">
        <f>SUM(N730:Y730)</f>
        <v/>
      </c>
      <c r="AB730" s="13">
        <f>SUMPRODUCT(N730:Y730,$N$3:$Y$3)*$K730*$L730*$M730</f>
        <v/>
      </c>
      <c r="AC730" s="13">
        <f>SUMPRODUCT(N730:Y730,$N$4:$Y$4)*$K730*$L730*$M730</f>
        <v/>
      </c>
      <c r="AD730" s="15" t="n">
        <v>3</v>
      </c>
      <c r="AE730" s="11" t="n">
        <v>1.011296296296296</v>
      </c>
      <c r="AF730" s="16">
        <f>SUMPRODUCT(N730:Y730,$N$5:$Y$5)*$K730*$L730*$M730</f>
        <v/>
      </c>
      <c r="AG730" s="16">
        <f>SUMPRODUCT(N730:Y730,$N$6:$Y$6)*$K730*$L730*$M730</f>
        <v/>
      </c>
      <c r="AH730" s="20" t="n"/>
    </row>
    <row r="731">
      <c r="A731" s="9" t="n">
        <v>701800</v>
      </c>
      <c r="B731" s="9" t="inlineStr">
        <is>
          <t>Carlos Linarez</t>
        </is>
      </c>
      <c r="C731" s="9" t="inlineStr">
        <is>
          <t>STL</t>
        </is>
      </c>
      <c r="D731" s="9" t="n">
        <v>25</v>
      </c>
      <c r="E731" s="18" t="inlineStr">
        <is>
          <t>R</t>
        </is>
      </c>
      <c r="F731" s="18" t="n"/>
      <c r="G731" s="9" t="n">
        <v>1.505</v>
      </c>
      <c r="H731" s="9" t="n">
        <v>1.505</v>
      </c>
      <c r="I731" s="9" t="inlineStr">
        <is>
          <t>Depth (no MLB IP)</t>
        </is>
      </c>
      <c r="J731" s="18" t="inlineStr">
        <is>
          <t>Opening Day</t>
        </is>
      </c>
      <c r="K731" s="11">
        <f>IFERROR(INDEX(Roles!$B$17:$B$20,MATCH(J731,Roles!$A$17:$A$20,0)),1)</f>
        <v/>
      </c>
      <c r="L731" s="19" t="n">
        <v>1</v>
      </c>
      <c r="M731" s="11" t="n">
        <v>1</v>
      </c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>
        <v>1</v>
      </c>
      <c r="Z731" s="13">
        <f>SUMPRODUCT(N731:Y731,$N$2:$Y$2)*$K731*$L731*$M731</f>
        <v/>
      </c>
      <c r="AA731" s="14">
        <f>SUM(N731:Y731)</f>
        <v/>
      </c>
      <c r="AB731" s="13">
        <f>SUMPRODUCT(N731:Y731,$N$3:$Y$3)*$K731*$L731*$M731</f>
        <v/>
      </c>
      <c r="AC731" s="13">
        <f>SUMPRODUCT(N731:Y731,$N$4:$Y$4)*$K731*$L731*$M731</f>
        <v/>
      </c>
      <c r="AD731" s="15" t="n">
        <v>3</v>
      </c>
      <c r="AE731" s="11" t="n">
        <v>1.011296296296296</v>
      </c>
      <c r="AF731" s="16">
        <f>SUMPRODUCT(N731:Y731,$N$5:$Y$5)*$K731*$L731*$M731</f>
        <v/>
      </c>
      <c r="AG731" s="16">
        <f>SUMPRODUCT(N731:Y731,$N$6:$Y$6)*$K731*$L731*$M731</f>
        <v/>
      </c>
      <c r="AH731" s="20" t="n"/>
    </row>
    <row r="732">
      <c r="A732" s="9" t="n">
        <v>701980</v>
      </c>
      <c r="B732" s="9" t="inlineStr">
        <is>
          <t>Nestor Rios</t>
        </is>
      </c>
      <c r="C732" s="9" t="inlineStr">
        <is>
          <t>MIA</t>
        </is>
      </c>
      <c r="D732" s="9" t="n">
        <v>25</v>
      </c>
      <c r="E732" s="18" t="inlineStr">
        <is>
          <t>R</t>
        </is>
      </c>
      <c r="F732" s="18" t="n"/>
      <c r="G732" s="9" t="n">
        <v>1.433333333333333</v>
      </c>
      <c r="H732" s="9" t="n">
        <v>1.433333333333333</v>
      </c>
      <c r="I732" s="9" t="inlineStr">
        <is>
          <t>Depth (no MLB IP)</t>
        </is>
      </c>
      <c r="J732" s="18" t="inlineStr">
        <is>
          <t>Opening Day</t>
        </is>
      </c>
      <c r="K732" s="11">
        <f>IFERROR(INDEX(Roles!$B$17:$B$20,MATCH(J732,Roles!$A$17:$A$20,0)),1)</f>
        <v/>
      </c>
      <c r="L732" s="19" t="n">
        <v>1</v>
      </c>
      <c r="M732" s="11" t="n">
        <v>1</v>
      </c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>
        <v>1</v>
      </c>
      <c r="Z732" s="13">
        <f>SUMPRODUCT(N732:Y732,$N$2:$Y$2)*$K732*$L732*$M732</f>
        <v/>
      </c>
      <c r="AA732" s="14">
        <f>SUM(N732:Y732)</f>
        <v/>
      </c>
      <c r="AB732" s="13">
        <f>SUMPRODUCT(N732:Y732,$N$3:$Y$3)*$K732*$L732*$M732</f>
        <v/>
      </c>
      <c r="AC732" s="13">
        <f>SUMPRODUCT(N732:Y732,$N$4:$Y$4)*$K732*$L732*$M732</f>
        <v/>
      </c>
      <c r="AD732" s="15" t="n">
        <v>3</v>
      </c>
      <c r="AE732" s="11" t="n">
        <v>1.011296296296296</v>
      </c>
      <c r="AF732" s="16">
        <f>SUMPRODUCT(N732:Y732,$N$5:$Y$5)*$K732*$L732*$M732</f>
        <v/>
      </c>
      <c r="AG732" s="16">
        <f>SUMPRODUCT(N732:Y732,$N$6:$Y$6)*$K732*$L732*$M732</f>
        <v/>
      </c>
      <c r="AH732" s="20" t="n"/>
    </row>
    <row r="733">
      <c r="A733" s="9" t="n">
        <v>702678</v>
      </c>
      <c r="B733" s="9" t="inlineStr">
        <is>
          <t>Zach Crotchfelt</t>
        </is>
      </c>
      <c r="C733" s="9" t="inlineStr">
        <is>
          <t>NYM</t>
        </is>
      </c>
      <c r="D733" s="9" t="n">
        <v>25</v>
      </c>
      <c r="E733" s="18" t="inlineStr">
        <is>
          <t>L</t>
        </is>
      </c>
      <c r="F733" s="18" t="n"/>
      <c r="G733" s="9" t="n">
        <v>1.548</v>
      </c>
      <c r="H733" s="9" t="n">
        <v>1.548</v>
      </c>
      <c r="I733" s="9" t="inlineStr">
        <is>
          <t>Depth (no MLB IP)</t>
        </is>
      </c>
      <c r="J733" s="18" t="inlineStr">
        <is>
          <t>Opening Day</t>
        </is>
      </c>
      <c r="K733" s="11">
        <f>IFERROR(INDEX(Roles!$B$17:$B$20,MATCH(J733,Roles!$A$17:$A$20,0)),1)</f>
        <v/>
      </c>
      <c r="L733" s="19" t="n">
        <v>1</v>
      </c>
      <c r="M733" s="11" t="n">
        <v>1</v>
      </c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>
        <v>1</v>
      </c>
      <c r="Z733" s="13">
        <f>SUMPRODUCT(N733:Y733,$N$2:$Y$2)*$K733*$L733*$M733</f>
        <v/>
      </c>
      <c r="AA733" s="14">
        <f>SUM(N733:Y733)</f>
        <v/>
      </c>
      <c r="AB733" s="13">
        <f>SUMPRODUCT(N733:Y733,$N$3:$Y$3)*$K733*$L733*$M733</f>
        <v/>
      </c>
      <c r="AC733" s="13">
        <f>SUMPRODUCT(N733:Y733,$N$4:$Y$4)*$K733*$L733*$M733</f>
        <v/>
      </c>
      <c r="AD733" s="15" t="n">
        <v>3</v>
      </c>
      <c r="AE733" s="11" t="n">
        <v>1.011296296296296</v>
      </c>
      <c r="AF733" s="16">
        <f>SUMPRODUCT(N733:Y733,$N$5:$Y$5)*$K733*$L733*$M733</f>
        <v/>
      </c>
      <c r="AG733" s="16">
        <f>SUMPRODUCT(N733:Y733,$N$6:$Y$6)*$K733*$L733*$M733</f>
        <v/>
      </c>
      <c r="AH733" s="20" t="n"/>
    </row>
    <row r="734">
      <c r="A734" s="9" t="n">
        <v>805957</v>
      </c>
      <c r="B734" s="9" t="inlineStr">
        <is>
          <t>Caleb Farmer</t>
        </is>
      </c>
      <c r="C734" s="9" t="inlineStr">
        <is>
          <t>WSH</t>
        </is>
      </c>
      <c r="D734" s="9" t="n">
        <v>25</v>
      </c>
      <c r="E734" s="18" t="inlineStr">
        <is>
          <t>R</t>
        </is>
      </c>
      <c r="F734" s="18" t="n"/>
      <c r="G734" s="9" t="n">
        <v>1.505</v>
      </c>
      <c r="H734" s="9" t="n">
        <v>1.505</v>
      </c>
      <c r="I734" s="9" t="inlineStr">
        <is>
          <t>Depth (no MLB IP)</t>
        </is>
      </c>
      <c r="J734" s="18" t="inlineStr">
        <is>
          <t>Opening Day</t>
        </is>
      </c>
      <c r="K734" s="11">
        <f>IFERROR(INDEX(Roles!$B$17:$B$20,MATCH(J734,Roles!$A$17:$A$20,0)),1)</f>
        <v/>
      </c>
      <c r="L734" s="19" t="n">
        <v>1</v>
      </c>
      <c r="M734" s="11" t="n">
        <v>1</v>
      </c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>
        <v>1</v>
      </c>
      <c r="Z734" s="13">
        <f>SUMPRODUCT(N734:Y734,$N$2:$Y$2)*$K734*$L734*$M734</f>
        <v/>
      </c>
      <c r="AA734" s="14">
        <f>SUM(N734:Y734)</f>
        <v/>
      </c>
      <c r="AB734" s="13">
        <f>SUMPRODUCT(N734:Y734,$N$3:$Y$3)*$K734*$L734*$M734</f>
        <v/>
      </c>
      <c r="AC734" s="13">
        <f>SUMPRODUCT(N734:Y734,$N$4:$Y$4)*$K734*$L734*$M734</f>
        <v/>
      </c>
      <c r="AD734" s="15" t="n">
        <v>3</v>
      </c>
      <c r="AE734" s="11" t="n">
        <v>1.011296296296296</v>
      </c>
      <c r="AF734" s="16">
        <f>SUMPRODUCT(N734:Y734,$N$5:$Y$5)*$K734*$L734*$M734</f>
        <v/>
      </c>
      <c r="AG734" s="16">
        <f>SUMPRODUCT(N734:Y734,$N$6:$Y$6)*$K734*$L734*$M734</f>
        <v/>
      </c>
      <c r="AH734" s="20" t="n"/>
    </row>
    <row r="735">
      <c r="A735" s="9" t="n">
        <v>805792</v>
      </c>
      <c r="B735" s="9" t="inlineStr">
        <is>
          <t>Charlee Soto</t>
        </is>
      </c>
      <c r="C735" s="9" t="inlineStr">
        <is>
          <t>MIN</t>
        </is>
      </c>
      <c r="D735" s="9" t="n">
        <v>25</v>
      </c>
      <c r="E735" s="18" t="inlineStr">
        <is>
          <t>R</t>
        </is>
      </c>
      <c r="F735" s="18" t="n"/>
      <c r="G735" s="9" t="n">
        <v>1.376</v>
      </c>
      <c r="H735" s="9" t="n">
        <v>1.376</v>
      </c>
      <c r="I735" s="9" t="inlineStr">
        <is>
          <t>Depth (no MLB IP)</t>
        </is>
      </c>
      <c r="J735" s="18" t="inlineStr">
        <is>
          <t>Opening Day</t>
        </is>
      </c>
      <c r="K735" s="11">
        <f>IFERROR(INDEX(Roles!$B$17:$B$20,MATCH(J735,Roles!$A$17:$A$20,0)),1)</f>
        <v/>
      </c>
      <c r="L735" s="19" t="n">
        <v>1</v>
      </c>
      <c r="M735" s="11" t="n">
        <v>1</v>
      </c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>
        <v>1</v>
      </c>
      <c r="Z735" s="13">
        <f>SUMPRODUCT(N735:Y735,$N$2:$Y$2)*$K735*$L735*$M735</f>
        <v/>
      </c>
      <c r="AA735" s="14">
        <f>SUM(N735:Y735)</f>
        <v/>
      </c>
      <c r="AB735" s="13">
        <f>SUMPRODUCT(N735:Y735,$N$3:$Y$3)*$K735*$L735*$M735</f>
        <v/>
      </c>
      <c r="AC735" s="13">
        <f>SUMPRODUCT(N735:Y735,$N$4:$Y$4)*$K735*$L735*$M735</f>
        <v/>
      </c>
      <c r="AD735" s="15" t="n">
        <v>3</v>
      </c>
      <c r="AE735" s="11" t="n">
        <v>1.011296296296296</v>
      </c>
      <c r="AF735" s="16">
        <f>SUMPRODUCT(N735:Y735,$N$5:$Y$5)*$K735*$L735*$M735</f>
        <v/>
      </c>
      <c r="AG735" s="16">
        <f>SUMPRODUCT(N735:Y735,$N$6:$Y$6)*$K735*$L735*$M735</f>
        <v/>
      </c>
      <c r="AH735" s="20" t="n"/>
    </row>
    <row r="736">
      <c r="A736" s="9" t="n">
        <v>805268</v>
      </c>
      <c r="B736" s="9" t="inlineStr">
        <is>
          <t>Peyton Williams</t>
        </is>
      </c>
      <c r="C736" s="9" t="inlineStr">
        <is>
          <t>TOR</t>
        </is>
      </c>
      <c r="D736" s="9" t="n">
        <v>25</v>
      </c>
      <c r="E736" s="18" t="inlineStr">
        <is>
          <t>L</t>
        </is>
      </c>
      <c r="F736" s="18" t="n"/>
      <c r="G736" s="9" t="n">
        <v>1.505</v>
      </c>
      <c r="H736" s="9" t="n">
        <v>1.505</v>
      </c>
      <c r="I736" s="9" t="inlineStr">
        <is>
          <t>Depth (no MLB IP)</t>
        </is>
      </c>
      <c r="J736" s="18" t="inlineStr">
        <is>
          <t>Opening Day</t>
        </is>
      </c>
      <c r="K736" s="11">
        <f>IFERROR(INDEX(Roles!$B$17:$B$20,MATCH(J736,Roles!$A$17:$A$20,0)),1)</f>
        <v/>
      </c>
      <c r="L736" s="19" t="n">
        <v>1</v>
      </c>
      <c r="M736" s="11" t="n">
        <v>1</v>
      </c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>
        <v>1</v>
      </c>
      <c r="Z736" s="13">
        <f>SUMPRODUCT(N736:Y736,$N$2:$Y$2)*$K736*$L736*$M736</f>
        <v/>
      </c>
      <c r="AA736" s="14">
        <f>SUM(N736:Y736)</f>
        <v/>
      </c>
      <c r="AB736" s="13">
        <f>SUMPRODUCT(N736:Y736,$N$3:$Y$3)*$K736*$L736*$M736</f>
        <v/>
      </c>
      <c r="AC736" s="13">
        <f>SUMPRODUCT(N736:Y736,$N$4:$Y$4)*$K736*$L736*$M736</f>
        <v/>
      </c>
      <c r="AD736" s="15" t="n">
        <v>3</v>
      </c>
      <c r="AE736" s="11" t="n">
        <v>1.011296296296296</v>
      </c>
      <c r="AF736" s="16">
        <f>SUMPRODUCT(N736:Y736,$N$5:$Y$5)*$K736*$L736*$M736</f>
        <v/>
      </c>
      <c r="AG736" s="16">
        <f>SUMPRODUCT(N736:Y736,$N$6:$Y$6)*$K736*$L736*$M736</f>
        <v/>
      </c>
      <c r="AH736" s="20" t="n"/>
    </row>
    <row r="737">
      <c r="A737" s="9" t="n">
        <v>667744</v>
      </c>
      <c r="B737" s="9" t="inlineStr">
        <is>
          <t>Wesley Moore</t>
        </is>
      </c>
      <c r="C737" s="9" t="inlineStr">
        <is>
          <t>PHI</t>
        </is>
      </c>
      <c r="D737" s="9" t="n">
        <v>25</v>
      </c>
      <c r="E737" s="18" t="inlineStr">
        <is>
          <t>L</t>
        </is>
      </c>
      <c r="F737" s="18" t="n"/>
      <c r="G737" s="9" t="n">
        <v>1.505</v>
      </c>
      <c r="H737" s="9" t="n">
        <v>1.505</v>
      </c>
      <c r="I737" s="9" t="inlineStr">
        <is>
          <t>Depth (no MLB IP)</t>
        </is>
      </c>
      <c r="J737" s="18" t="inlineStr">
        <is>
          <t>Opening Day</t>
        </is>
      </c>
      <c r="K737" s="11">
        <f>IFERROR(INDEX(Roles!$B$17:$B$20,MATCH(J737,Roles!$A$17:$A$20,0)),1)</f>
        <v/>
      </c>
      <c r="L737" s="19" t="n">
        <v>1</v>
      </c>
      <c r="M737" s="11" t="n">
        <v>1</v>
      </c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>
        <v>1</v>
      </c>
      <c r="Z737" s="13">
        <f>SUMPRODUCT(N737:Y737,$N$2:$Y$2)*$K737*$L737*$M737</f>
        <v/>
      </c>
      <c r="AA737" s="14">
        <f>SUM(N737:Y737)</f>
        <v/>
      </c>
      <c r="AB737" s="13">
        <f>SUMPRODUCT(N737:Y737,$N$3:$Y$3)*$K737*$L737*$M737</f>
        <v/>
      </c>
      <c r="AC737" s="13">
        <f>SUMPRODUCT(N737:Y737,$N$4:$Y$4)*$K737*$L737*$M737</f>
        <v/>
      </c>
      <c r="AD737" s="15" t="n">
        <v>3</v>
      </c>
      <c r="AE737" s="11" t="n">
        <v>1.011296296296296</v>
      </c>
      <c r="AF737" s="16">
        <f>SUMPRODUCT(N737:Y737,$N$5:$Y$5)*$K737*$L737*$M737</f>
        <v/>
      </c>
      <c r="AG737" s="16">
        <f>SUMPRODUCT(N737:Y737,$N$6:$Y$6)*$K737*$L737*$M737</f>
        <v/>
      </c>
      <c r="AH737" s="20" t="n"/>
    </row>
    <row r="738">
      <c r="A738" s="9" t="n">
        <v>820931</v>
      </c>
      <c r="B738" s="9" t="inlineStr">
        <is>
          <t>Xavier Lopez</t>
        </is>
      </c>
      <c r="C738" s="9" t="inlineStr">
        <is>
          <t>TB</t>
        </is>
      </c>
      <c r="D738" s="9" t="n">
        <v>25</v>
      </c>
      <c r="E738" s="18" t="inlineStr">
        <is>
          <t>R</t>
        </is>
      </c>
      <c r="F738" s="18" t="n"/>
      <c r="G738" s="9" t="n">
        <v>1.72</v>
      </c>
      <c r="H738" s="9" t="n">
        <v>1.72</v>
      </c>
      <c r="I738" s="9" t="inlineStr">
        <is>
          <t>Depth (no MLB IP)</t>
        </is>
      </c>
      <c r="J738" s="18" t="inlineStr">
        <is>
          <t>Opening Day</t>
        </is>
      </c>
      <c r="K738" s="11">
        <f>IFERROR(INDEX(Roles!$B$17:$B$20,MATCH(J738,Roles!$A$17:$A$20,0)),1)</f>
        <v/>
      </c>
      <c r="L738" s="19" t="n">
        <v>1</v>
      </c>
      <c r="M738" s="11" t="n">
        <v>1</v>
      </c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>
        <v>1</v>
      </c>
      <c r="Z738" s="13">
        <f>SUMPRODUCT(N738:Y738,$N$2:$Y$2)*$K738*$L738*$M738</f>
        <v/>
      </c>
      <c r="AA738" s="14">
        <f>SUM(N738:Y738)</f>
        <v/>
      </c>
      <c r="AB738" s="13">
        <f>SUMPRODUCT(N738:Y738,$N$3:$Y$3)*$K738*$L738*$M738</f>
        <v/>
      </c>
      <c r="AC738" s="13">
        <f>SUMPRODUCT(N738:Y738,$N$4:$Y$4)*$K738*$L738*$M738</f>
        <v/>
      </c>
      <c r="AD738" s="15" t="n">
        <v>3</v>
      </c>
      <c r="AE738" s="11" t="n">
        <v>1.011296296296296</v>
      </c>
      <c r="AF738" s="16">
        <f>SUMPRODUCT(N738:Y738,$N$5:$Y$5)*$K738*$L738*$M738</f>
        <v/>
      </c>
      <c r="AG738" s="16">
        <f>SUMPRODUCT(N738:Y738,$N$6:$Y$6)*$K738*$L738*$M738</f>
        <v/>
      </c>
      <c r="AH738" s="20" t="n"/>
    </row>
    <row r="739">
      <c r="A739" s="9" t="n">
        <v>694812</v>
      </c>
      <c r="B739" s="9" t="inlineStr">
        <is>
          <t>Tyler McDonough</t>
        </is>
      </c>
      <c r="C739" s="9" t="inlineStr">
        <is>
          <t>BOS</t>
        </is>
      </c>
      <c r="D739" s="9" t="n">
        <v>25</v>
      </c>
      <c r="E739" s="18" t="inlineStr">
        <is>
          <t>R</t>
        </is>
      </c>
      <c r="F739" s="18" t="n"/>
      <c r="G739" s="9" t="n">
        <v>1.505</v>
      </c>
      <c r="H739" s="9" t="n">
        <v>1.505</v>
      </c>
      <c r="I739" s="9" t="inlineStr">
        <is>
          <t>Depth (no MLB IP)</t>
        </is>
      </c>
      <c r="J739" s="18" t="inlineStr">
        <is>
          <t>Opening Day</t>
        </is>
      </c>
      <c r="K739" s="11">
        <f>IFERROR(INDEX(Roles!$B$17:$B$20,MATCH(J739,Roles!$A$17:$A$20,0)),1)</f>
        <v/>
      </c>
      <c r="L739" s="19" t="n">
        <v>1</v>
      </c>
      <c r="M739" s="11" t="n">
        <v>1</v>
      </c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>
        <v>1</v>
      </c>
      <c r="Z739" s="13">
        <f>SUMPRODUCT(N739:Y739,$N$2:$Y$2)*$K739*$L739*$M739</f>
        <v/>
      </c>
      <c r="AA739" s="14">
        <f>SUM(N739:Y739)</f>
        <v/>
      </c>
      <c r="AB739" s="13">
        <f>SUMPRODUCT(N739:Y739,$N$3:$Y$3)*$K739*$L739*$M739</f>
        <v/>
      </c>
      <c r="AC739" s="13">
        <f>SUMPRODUCT(N739:Y739,$N$4:$Y$4)*$K739*$L739*$M739</f>
        <v/>
      </c>
      <c r="AD739" s="15" t="n">
        <v>3</v>
      </c>
      <c r="AE739" s="11" t="n">
        <v>1.011296296296296</v>
      </c>
      <c r="AF739" s="16">
        <f>SUMPRODUCT(N739:Y739,$N$5:$Y$5)*$K739*$L739*$M739</f>
        <v/>
      </c>
      <c r="AG739" s="16">
        <f>SUMPRODUCT(N739:Y739,$N$6:$Y$6)*$K739*$L739*$M739</f>
        <v/>
      </c>
      <c r="AH739" s="20" t="n"/>
    </row>
    <row r="740">
      <c r="A740" s="9" t="n">
        <v>815586</v>
      </c>
      <c r="B740" s="9" t="inlineStr">
        <is>
          <t>Joe Olsavsky</t>
        </is>
      </c>
      <c r="C740" s="9" t="inlineStr">
        <is>
          <t>ATL</t>
        </is>
      </c>
      <c r="D740" s="9" t="n">
        <v>25</v>
      </c>
      <c r="E740" s="18" t="inlineStr">
        <is>
          <t>R</t>
        </is>
      </c>
      <c r="F740" s="18" t="n"/>
      <c r="G740" s="9" t="n">
        <v>1.376</v>
      </c>
      <c r="H740" s="9" t="n">
        <v>1.376</v>
      </c>
      <c r="I740" s="9" t="inlineStr">
        <is>
          <t>Depth (no MLB IP)</t>
        </is>
      </c>
      <c r="J740" s="18" t="inlineStr">
        <is>
          <t>Opening Day</t>
        </is>
      </c>
      <c r="K740" s="11">
        <f>IFERROR(INDEX(Roles!$B$17:$B$20,MATCH(J740,Roles!$A$17:$A$20,0)),1)</f>
        <v/>
      </c>
      <c r="L740" s="19" t="n">
        <v>1</v>
      </c>
      <c r="M740" s="11" t="n">
        <v>1</v>
      </c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>
        <v>1</v>
      </c>
      <c r="Z740" s="13">
        <f>SUMPRODUCT(N740:Y740,$N$2:$Y$2)*$K740*$L740*$M740</f>
        <v/>
      </c>
      <c r="AA740" s="14">
        <f>SUM(N740:Y740)</f>
        <v/>
      </c>
      <c r="AB740" s="13">
        <f>SUMPRODUCT(N740:Y740,$N$3:$Y$3)*$K740*$L740*$M740</f>
        <v/>
      </c>
      <c r="AC740" s="13">
        <f>SUMPRODUCT(N740:Y740,$N$4:$Y$4)*$K740*$L740*$M740</f>
        <v/>
      </c>
      <c r="AD740" s="15" t="n">
        <v>3</v>
      </c>
      <c r="AE740" s="11" t="n">
        <v>1.011296296296296</v>
      </c>
      <c r="AF740" s="16">
        <f>SUMPRODUCT(N740:Y740,$N$5:$Y$5)*$K740*$L740*$M740</f>
        <v/>
      </c>
      <c r="AG740" s="16">
        <f>SUMPRODUCT(N740:Y740,$N$6:$Y$6)*$K740*$L740*$M740</f>
        <v/>
      </c>
      <c r="AH740" s="20" t="n"/>
    </row>
    <row r="741">
      <c r="A741" s="9" t="n">
        <v>824634</v>
      </c>
      <c r="B741" s="9" t="inlineStr">
        <is>
          <t>Rowell Arroyo</t>
        </is>
      </c>
      <c r="C741" s="9" t="inlineStr">
        <is>
          <t>CHC</t>
        </is>
      </c>
      <c r="D741" s="9" t="n">
        <v>25</v>
      </c>
      <c r="E741" s="18" t="inlineStr">
        <is>
          <t>R</t>
        </is>
      </c>
      <c r="F741" s="18" t="n"/>
      <c r="G741" s="9" t="n">
        <v>1.72</v>
      </c>
      <c r="H741" s="9" t="n">
        <v>1.72</v>
      </c>
      <c r="I741" s="9" t="inlineStr">
        <is>
          <t>Depth (no MLB IP)</t>
        </is>
      </c>
      <c r="J741" s="18" t="inlineStr">
        <is>
          <t>Opening Day</t>
        </is>
      </c>
      <c r="K741" s="11">
        <f>IFERROR(INDEX(Roles!$B$17:$B$20,MATCH(J741,Roles!$A$17:$A$20,0)),1)</f>
        <v/>
      </c>
      <c r="L741" s="19" t="n">
        <v>1</v>
      </c>
      <c r="M741" s="11" t="n">
        <v>1</v>
      </c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>
        <v>1</v>
      </c>
      <c r="Z741" s="13">
        <f>SUMPRODUCT(N741:Y741,$N$2:$Y$2)*$K741*$L741*$M741</f>
        <v/>
      </c>
      <c r="AA741" s="14">
        <f>SUM(N741:Y741)</f>
        <v/>
      </c>
      <c r="AB741" s="13">
        <f>SUMPRODUCT(N741:Y741,$N$3:$Y$3)*$K741*$L741*$M741</f>
        <v/>
      </c>
      <c r="AC741" s="13">
        <f>SUMPRODUCT(N741:Y741,$N$4:$Y$4)*$K741*$L741*$M741</f>
        <v/>
      </c>
      <c r="AD741" s="15" t="n">
        <v>3</v>
      </c>
      <c r="AE741" s="11" t="n">
        <v>1.011296296296296</v>
      </c>
      <c r="AF741" s="16">
        <f>SUMPRODUCT(N741:Y741,$N$5:$Y$5)*$K741*$L741*$M741</f>
        <v/>
      </c>
      <c r="AG741" s="16">
        <f>SUMPRODUCT(N741:Y741,$N$6:$Y$6)*$K741*$L741*$M741</f>
        <v/>
      </c>
      <c r="AH741" s="20" t="n"/>
    </row>
    <row r="742">
      <c r="A742" s="9" t="n">
        <v>691712</v>
      </c>
      <c r="B742" s="9" t="inlineStr">
        <is>
          <t>Luis R. Rodriguez</t>
        </is>
      </c>
      <c r="C742" s="9" t="inlineStr">
        <is>
          <t>NYM</t>
        </is>
      </c>
      <c r="D742" s="9" t="n">
        <v>25</v>
      </c>
      <c r="E742" s="18" t="inlineStr">
        <is>
          <t>L</t>
        </is>
      </c>
      <c r="F742" s="18" t="n"/>
      <c r="G742" s="9" t="n">
        <v>1.505</v>
      </c>
      <c r="H742" s="9" t="n">
        <v>1.505</v>
      </c>
      <c r="I742" s="9" t="inlineStr">
        <is>
          <t>Depth (no MLB IP)</t>
        </is>
      </c>
      <c r="J742" s="18" t="inlineStr">
        <is>
          <t>Opening Day</t>
        </is>
      </c>
      <c r="K742" s="11">
        <f>IFERROR(INDEX(Roles!$B$17:$B$20,MATCH(J742,Roles!$A$17:$A$20,0)),1)</f>
        <v/>
      </c>
      <c r="L742" s="19" t="n">
        <v>1</v>
      </c>
      <c r="M742" s="11" t="n">
        <v>1</v>
      </c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>
        <v>1</v>
      </c>
      <c r="Z742" s="13">
        <f>SUMPRODUCT(N742:Y742,$N$2:$Y$2)*$K742*$L742*$M742</f>
        <v/>
      </c>
      <c r="AA742" s="14">
        <f>SUM(N742:Y742)</f>
        <v/>
      </c>
      <c r="AB742" s="13">
        <f>SUMPRODUCT(N742:Y742,$N$3:$Y$3)*$K742*$L742*$M742</f>
        <v/>
      </c>
      <c r="AC742" s="13">
        <f>SUMPRODUCT(N742:Y742,$N$4:$Y$4)*$K742*$L742*$M742</f>
        <v/>
      </c>
      <c r="AD742" s="15" t="n">
        <v>3</v>
      </c>
      <c r="AE742" s="11" t="n">
        <v>1.011296296296296</v>
      </c>
      <c r="AF742" s="16">
        <f>SUMPRODUCT(N742:Y742,$N$5:$Y$5)*$K742*$L742*$M742</f>
        <v/>
      </c>
      <c r="AG742" s="16">
        <f>SUMPRODUCT(N742:Y742,$N$6:$Y$6)*$K742*$L742*$M742</f>
        <v/>
      </c>
      <c r="AH742" s="20" t="n"/>
    </row>
    <row r="743">
      <c r="A743" s="9" t="n">
        <v>681439</v>
      </c>
      <c r="B743" s="9" t="inlineStr">
        <is>
          <t>Zach Morgan</t>
        </is>
      </c>
      <c r="C743" s="9" t="inlineStr">
        <is>
          <t>SF</t>
        </is>
      </c>
      <c r="D743" s="9" t="n">
        <v>25</v>
      </c>
      <c r="E743" s="18" t="inlineStr">
        <is>
          <t>R</t>
        </is>
      </c>
      <c r="F743" s="18" t="n"/>
      <c r="G743" s="9" t="n">
        <v>1.576666666666667</v>
      </c>
      <c r="H743" s="9" t="n">
        <v>1.576666666666667</v>
      </c>
      <c r="I743" s="9" t="inlineStr">
        <is>
          <t>Depth (no MLB IP)</t>
        </is>
      </c>
      <c r="J743" s="18" t="inlineStr">
        <is>
          <t>Opening Day</t>
        </is>
      </c>
      <c r="K743" s="11">
        <f>IFERROR(INDEX(Roles!$B$17:$B$20,MATCH(J743,Roles!$A$17:$A$20,0)),1)</f>
        <v/>
      </c>
      <c r="L743" s="19" t="n">
        <v>1</v>
      </c>
      <c r="M743" s="11" t="n">
        <v>1</v>
      </c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>
        <v>1</v>
      </c>
      <c r="Z743" s="13">
        <f>SUMPRODUCT(N743:Y743,$N$2:$Y$2)*$K743*$L743*$M743</f>
        <v/>
      </c>
      <c r="AA743" s="14">
        <f>SUM(N743:Y743)</f>
        <v/>
      </c>
      <c r="AB743" s="13">
        <f>SUMPRODUCT(N743:Y743,$N$3:$Y$3)*$K743*$L743*$M743</f>
        <v/>
      </c>
      <c r="AC743" s="13">
        <f>SUMPRODUCT(N743:Y743,$N$4:$Y$4)*$K743*$L743*$M743</f>
        <v/>
      </c>
      <c r="AD743" s="15" t="n">
        <v>3</v>
      </c>
      <c r="AE743" s="11" t="n">
        <v>1.011296296296296</v>
      </c>
      <c r="AF743" s="16">
        <f>SUMPRODUCT(N743:Y743,$N$5:$Y$5)*$K743*$L743*$M743</f>
        <v/>
      </c>
      <c r="AG743" s="16">
        <f>SUMPRODUCT(N743:Y743,$N$6:$Y$6)*$K743*$L743*$M743</f>
        <v/>
      </c>
      <c r="AH743" s="20" t="n"/>
    </row>
    <row r="744">
      <c r="A744" s="9" t="n">
        <v>804855</v>
      </c>
      <c r="B744" s="9" t="inlineStr">
        <is>
          <t>Luke Fernandez</t>
        </is>
      </c>
      <c r="C744" s="9" t="inlineStr">
        <is>
          <t>CLE</t>
        </is>
      </c>
      <c r="D744" s="9" t="n">
        <v>25</v>
      </c>
      <c r="E744" s="18" t="inlineStr">
        <is>
          <t>R</t>
        </is>
      </c>
      <c r="F744" s="18" t="n"/>
      <c r="G744" s="9" t="n">
        <v>1.72</v>
      </c>
      <c r="H744" s="9" t="n">
        <v>1.72</v>
      </c>
      <c r="I744" s="9" t="inlineStr">
        <is>
          <t>Depth (no MLB IP)</t>
        </is>
      </c>
      <c r="J744" s="18" t="inlineStr">
        <is>
          <t>Opening Day</t>
        </is>
      </c>
      <c r="K744" s="11">
        <f>IFERROR(INDEX(Roles!$B$17:$B$20,MATCH(J744,Roles!$A$17:$A$20,0)),1)</f>
        <v/>
      </c>
      <c r="L744" s="19" t="n">
        <v>1</v>
      </c>
      <c r="M744" s="11" t="n">
        <v>1</v>
      </c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>
        <v>1</v>
      </c>
      <c r="Z744" s="13">
        <f>SUMPRODUCT(N744:Y744,$N$2:$Y$2)*$K744*$L744*$M744</f>
        <v/>
      </c>
      <c r="AA744" s="14">
        <f>SUM(N744:Y744)</f>
        <v/>
      </c>
      <c r="AB744" s="13">
        <f>SUMPRODUCT(N744:Y744,$N$3:$Y$3)*$K744*$L744*$M744</f>
        <v/>
      </c>
      <c r="AC744" s="13">
        <f>SUMPRODUCT(N744:Y744,$N$4:$Y$4)*$K744*$L744*$M744</f>
        <v/>
      </c>
      <c r="AD744" s="15" t="n">
        <v>3</v>
      </c>
      <c r="AE744" s="11" t="n">
        <v>1.011296296296296</v>
      </c>
      <c r="AF744" s="16">
        <f>SUMPRODUCT(N744:Y744,$N$5:$Y$5)*$K744*$L744*$M744</f>
        <v/>
      </c>
      <c r="AG744" s="16">
        <f>SUMPRODUCT(N744:Y744,$N$6:$Y$6)*$K744*$L744*$M744</f>
        <v/>
      </c>
      <c r="AH744" s="20" t="n"/>
    </row>
    <row r="745">
      <c r="A745" s="9" t="n">
        <v>691558</v>
      </c>
      <c r="B745" s="9" t="inlineStr">
        <is>
          <t>Yeiner Fernandez</t>
        </is>
      </c>
      <c r="C745" s="9" t="inlineStr">
        <is>
          <t>LAD</t>
        </is>
      </c>
      <c r="D745" s="9" t="n">
        <v>25</v>
      </c>
      <c r="E745" s="18" t="inlineStr">
        <is>
          <t>R</t>
        </is>
      </c>
      <c r="F745" s="18" t="n"/>
      <c r="G745" s="9" t="n">
        <v>1.505</v>
      </c>
      <c r="H745" s="9" t="n">
        <v>1.505</v>
      </c>
      <c r="I745" s="9" t="inlineStr">
        <is>
          <t>Depth (no MLB IP)</t>
        </is>
      </c>
      <c r="J745" s="18" t="inlineStr">
        <is>
          <t>Opening Day</t>
        </is>
      </c>
      <c r="K745" s="11">
        <f>IFERROR(INDEX(Roles!$B$17:$B$20,MATCH(J745,Roles!$A$17:$A$20,0)),1)</f>
        <v/>
      </c>
      <c r="L745" s="19" t="n">
        <v>1</v>
      </c>
      <c r="M745" s="11" t="n">
        <v>1</v>
      </c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>
        <v>1</v>
      </c>
      <c r="Z745" s="13">
        <f>SUMPRODUCT(N745:Y745,$N$2:$Y$2)*$K745*$L745*$M745</f>
        <v/>
      </c>
      <c r="AA745" s="14">
        <f>SUM(N745:Y745)</f>
        <v/>
      </c>
      <c r="AB745" s="13">
        <f>SUMPRODUCT(N745:Y745,$N$3:$Y$3)*$K745*$L745*$M745</f>
        <v/>
      </c>
      <c r="AC745" s="13">
        <f>SUMPRODUCT(N745:Y745,$N$4:$Y$4)*$K745*$L745*$M745</f>
        <v/>
      </c>
      <c r="AD745" s="15" t="n">
        <v>3</v>
      </c>
      <c r="AE745" s="11" t="n">
        <v>1.011296296296296</v>
      </c>
      <c r="AF745" s="16">
        <f>SUMPRODUCT(N745:Y745,$N$5:$Y$5)*$K745*$L745*$M745</f>
        <v/>
      </c>
      <c r="AG745" s="16">
        <f>SUMPRODUCT(N745:Y745,$N$6:$Y$6)*$K745*$L745*$M745</f>
        <v/>
      </c>
      <c r="AH745" s="20" t="n"/>
    </row>
    <row r="746">
      <c r="A746" s="9" t="n">
        <v>691559</v>
      </c>
      <c r="B746" s="9" t="inlineStr">
        <is>
          <t>Jose D. Hernandez</t>
        </is>
      </c>
      <c r="C746" s="9" t="inlineStr">
        <is>
          <t>LAD</t>
        </is>
      </c>
      <c r="D746" s="9" t="n">
        <v>25</v>
      </c>
      <c r="E746" s="18" t="inlineStr">
        <is>
          <t>R</t>
        </is>
      </c>
      <c r="F746" s="18" t="n"/>
      <c r="G746" s="9" t="n">
        <v>1.72</v>
      </c>
      <c r="H746" s="9" t="n">
        <v>1.72</v>
      </c>
      <c r="I746" s="9" t="inlineStr">
        <is>
          <t>Depth (no MLB IP)</t>
        </is>
      </c>
      <c r="J746" s="18" t="inlineStr">
        <is>
          <t>Opening Day</t>
        </is>
      </c>
      <c r="K746" s="11">
        <f>IFERROR(INDEX(Roles!$B$17:$B$20,MATCH(J746,Roles!$A$17:$A$20,0)),1)</f>
        <v/>
      </c>
      <c r="L746" s="19" t="n">
        <v>1</v>
      </c>
      <c r="M746" s="11" t="n">
        <v>1</v>
      </c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>
        <v>1</v>
      </c>
      <c r="Z746" s="13">
        <f>SUMPRODUCT(N746:Y746,$N$2:$Y$2)*$K746*$L746*$M746</f>
        <v/>
      </c>
      <c r="AA746" s="14">
        <f>SUM(N746:Y746)</f>
        <v/>
      </c>
      <c r="AB746" s="13">
        <f>SUMPRODUCT(N746:Y746,$N$3:$Y$3)*$K746*$L746*$M746</f>
        <v/>
      </c>
      <c r="AC746" s="13">
        <f>SUMPRODUCT(N746:Y746,$N$4:$Y$4)*$K746*$L746*$M746</f>
        <v/>
      </c>
      <c r="AD746" s="15" t="n">
        <v>3</v>
      </c>
      <c r="AE746" s="11" t="n">
        <v>1.011296296296296</v>
      </c>
      <c r="AF746" s="16">
        <f>SUMPRODUCT(N746:Y746,$N$5:$Y$5)*$K746*$L746*$M746</f>
        <v/>
      </c>
      <c r="AG746" s="16">
        <f>SUMPRODUCT(N746:Y746,$N$6:$Y$6)*$K746*$L746*$M746</f>
        <v/>
      </c>
      <c r="AH746" s="20" t="n"/>
    </row>
    <row r="747">
      <c r="A747" s="9" t="n">
        <v>669413</v>
      </c>
      <c r="B747" s="9" t="inlineStr">
        <is>
          <t>Frainyer Chavez</t>
        </is>
      </c>
      <c r="C747" s="9" t="inlineStr">
        <is>
          <t>TEX</t>
        </is>
      </c>
      <c r="D747" s="9" t="n">
        <v>25</v>
      </c>
      <c r="E747" s="18" t="inlineStr">
        <is>
          <t>R</t>
        </is>
      </c>
      <c r="F747" s="18" t="n"/>
      <c r="G747" s="9" t="n">
        <v>1.505</v>
      </c>
      <c r="H747" s="9" t="n">
        <v>1.505</v>
      </c>
      <c r="I747" s="9" t="inlineStr">
        <is>
          <t>Depth (no MLB IP)</t>
        </is>
      </c>
      <c r="J747" s="18" t="inlineStr">
        <is>
          <t>Opening Day</t>
        </is>
      </c>
      <c r="K747" s="11">
        <f>IFERROR(INDEX(Roles!$B$17:$B$20,MATCH(J747,Roles!$A$17:$A$20,0)),1)</f>
        <v/>
      </c>
      <c r="L747" s="19" t="n">
        <v>1</v>
      </c>
      <c r="M747" s="11" t="n">
        <v>1</v>
      </c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>
        <v>1</v>
      </c>
      <c r="Z747" s="13">
        <f>SUMPRODUCT(N747:Y747,$N$2:$Y$2)*$K747*$L747*$M747</f>
        <v/>
      </c>
      <c r="AA747" s="14">
        <f>SUM(N747:Y747)</f>
        <v/>
      </c>
      <c r="AB747" s="13">
        <f>SUMPRODUCT(N747:Y747,$N$3:$Y$3)*$K747*$L747*$M747</f>
        <v/>
      </c>
      <c r="AC747" s="13">
        <f>SUMPRODUCT(N747:Y747,$N$4:$Y$4)*$K747*$L747*$M747</f>
        <v/>
      </c>
      <c r="AD747" s="15" t="n">
        <v>3</v>
      </c>
      <c r="AE747" s="11" t="n">
        <v>1.011296296296296</v>
      </c>
      <c r="AF747" s="16">
        <f>SUMPRODUCT(N747:Y747,$N$5:$Y$5)*$K747*$L747*$M747</f>
        <v/>
      </c>
      <c r="AG747" s="16">
        <f>SUMPRODUCT(N747:Y747,$N$6:$Y$6)*$K747*$L747*$M747</f>
        <v/>
      </c>
      <c r="AH747" s="20" t="n"/>
    </row>
    <row r="748">
      <c r="A748" s="9" t="n">
        <v>804164</v>
      </c>
      <c r="B748" s="9" t="inlineStr">
        <is>
          <t>Chris Diaz</t>
        </is>
      </c>
      <c r="C748" s="9" t="inlineStr">
        <is>
          <t>SEA</t>
        </is>
      </c>
      <c r="D748" s="9" t="n">
        <v>25</v>
      </c>
      <c r="E748" s="18" t="inlineStr">
        <is>
          <t>R</t>
        </is>
      </c>
      <c r="F748" s="18" t="n"/>
      <c r="G748" s="9" t="n">
        <v>1.548</v>
      </c>
      <c r="H748" s="9" t="n">
        <v>1.548</v>
      </c>
      <c r="I748" s="9" t="inlineStr">
        <is>
          <t>Depth (no MLB IP)</t>
        </is>
      </c>
      <c r="J748" s="18" t="inlineStr">
        <is>
          <t>Opening Day</t>
        </is>
      </c>
      <c r="K748" s="11">
        <f>IFERROR(INDEX(Roles!$B$17:$B$20,MATCH(J748,Roles!$A$17:$A$20,0)),1)</f>
        <v/>
      </c>
      <c r="L748" s="19" t="n">
        <v>1</v>
      </c>
      <c r="M748" s="11" t="n">
        <v>1</v>
      </c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>
        <v>1</v>
      </c>
      <c r="Z748" s="13">
        <f>SUMPRODUCT(N748:Y748,$N$2:$Y$2)*$K748*$L748*$M748</f>
        <v/>
      </c>
      <c r="AA748" s="14">
        <f>SUM(N748:Y748)</f>
        <v/>
      </c>
      <c r="AB748" s="13">
        <f>SUMPRODUCT(N748:Y748,$N$3:$Y$3)*$K748*$L748*$M748</f>
        <v/>
      </c>
      <c r="AC748" s="13">
        <f>SUMPRODUCT(N748:Y748,$N$4:$Y$4)*$K748*$L748*$M748</f>
        <v/>
      </c>
      <c r="AD748" s="15" t="n">
        <v>3</v>
      </c>
      <c r="AE748" s="11" t="n">
        <v>1.011296296296296</v>
      </c>
      <c r="AF748" s="16">
        <f>SUMPRODUCT(N748:Y748,$N$5:$Y$5)*$K748*$L748*$M748</f>
        <v/>
      </c>
      <c r="AG748" s="16">
        <f>SUMPRODUCT(N748:Y748,$N$6:$Y$6)*$K748*$L748*$M748</f>
        <v/>
      </c>
      <c r="AH748" s="20" t="n"/>
    </row>
    <row r="749">
      <c r="A749" s="9" t="n">
        <v>691191</v>
      </c>
      <c r="B749" s="9" t="inlineStr">
        <is>
          <t>Jose Salas</t>
        </is>
      </c>
      <c r="C749" s="9" t="inlineStr">
        <is>
          <t>MIN</t>
        </is>
      </c>
      <c r="D749" s="9" t="n">
        <v>25</v>
      </c>
      <c r="E749" s="18" t="inlineStr">
        <is>
          <t>R</t>
        </is>
      </c>
      <c r="F749" s="18" t="n"/>
      <c r="G749" s="9" t="n">
        <v>1.505</v>
      </c>
      <c r="H749" s="9" t="n">
        <v>1.505</v>
      </c>
      <c r="I749" s="9" t="inlineStr">
        <is>
          <t>Depth (no MLB IP)</t>
        </is>
      </c>
      <c r="J749" s="18" t="inlineStr">
        <is>
          <t>Opening Day</t>
        </is>
      </c>
      <c r="K749" s="11">
        <f>IFERROR(INDEX(Roles!$B$17:$B$20,MATCH(J749,Roles!$A$17:$A$20,0)),1)</f>
        <v/>
      </c>
      <c r="L749" s="19" t="n">
        <v>1</v>
      </c>
      <c r="M749" s="11" t="n">
        <v>1</v>
      </c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>
        <v>1</v>
      </c>
      <c r="Z749" s="13">
        <f>SUMPRODUCT(N749:Y749,$N$2:$Y$2)*$K749*$L749*$M749</f>
        <v/>
      </c>
      <c r="AA749" s="14">
        <f>SUM(N749:Y749)</f>
        <v/>
      </c>
      <c r="AB749" s="13">
        <f>SUMPRODUCT(N749:Y749,$N$3:$Y$3)*$K749*$L749*$M749</f>
        <v/>
      </c>
      <c r="AC749" s="13">
        <f>SUMPRODUCT(N749:Y749,$N$4:$Y$4)*$K749*$L749*$M749</f>
        <v/>
      </c>
      <c r="AD749" s="15" t="n">
        <v>3</v>
      </c>
      <c r="AE749" s="11" t="n">
        <v>1.011296296296296</v>
      </c>
      <c r="AF749" s="16">
        <f>SUMPRODUCT(N749:Y749,$N$5:$Y$5)*$K749*$L749*$M749</f>
        <v/>
      </c>
      <c r="AG749" s="16">
        <f>SUMPRODUCT(N749:Y749,$N$6:$Y$6)*$K749*$L749*$M749</f>
        <v/>
      </c>
      <c r="AH749" s="20" t="n"/>
    </row>
    <row r="750">
      <c r="A750" s="9" t="n">
        <v>826173</v>
      </c>
      <c r="B750" s="9" t="inlineStr">
        <is>
          <t>Jhonan Coba</t>
        </is>
      </c>
      <c r="C750" s="9" t="inlineStr">
        <is>
          <t>DET</t>
        </is>
      </c>
      <c r="D750" s="9" t="n">
        <v>25</v>
      </c>
      <c r="E750" s="18" t="inlineStr">
        <is>
          <t>R</t>
        </is>
      </c>
      <c r="F750" s="18" t="n"/>
      <c r="G750" s="9" t="n">
        <v>1.548</v>
      </c>
      <c r="H750" s="9" t="n">
        <v>1.548</v>
      </c>
      <c r="I750" s="9" t="inlineStr">
        <is>
          <t>Depth (no MLB IP)</t>
        </is>
      </c>
      <c r="J750" s="18" t="inlineStr">
        <is>
          <t>Opening Day</t>
        </is>
      </c>
      <c r="K750" s="11">
        <f>IFERROR(INDEX(Roles!$B$17:$B$20,MATCH(J750,Roles!$A$17:$A$20,0)),1)</f>
        <v/>
      </c>
      <c r="L750" s="19" t="n">
        <v>1</v>
      </c>
      <c r="M750" s="11" t="n">
        <v>1</v>
      </c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>
        <v>1</v>
      </c>
      <c r="Z750" s="13">
        <f>SUMPRODUCT(N750:Y750,$N$2:$Y$2)*$K750*$L750*$M750</f>
        <v/>
      </c>
      <c r="AA750" s="14">
        <f>SUM(N750:Y750)</f>
        <v/>
      </c>
      <c r="AB750" s="13">
        <f>SUMPRODUCT(N750:Y750,$N$3:$Y$3)*$K750*$L750*$M750</f>
        <v/>
      </c>
      <c r="AC750" s="13">
        <f>SUMPRODUCT(N750:Y750,$N$4:$Y$4)*$K750*$L750*$M750</f>
        <v/>
      </c>
      <c r="AD750" s="15" t="n">
        <v>3</v>
      </c>
      <c r="AE750" s="11" t="n">
        <v>1.011296296296296</v>
      </c>
      <c r="AF750" s="16">
        <f>SUMPRODUCT(N750:Y750,$N$5:$Y$5)*$K750*$L750*$M750</f>
        <v/>
      </c>
      <c r="AG750" s="16">
        <f>SUMPRODUCT(N750:Y750,$N$6:$Y$6)*$K750*$L750*$M750</f>
        <v/>
      </c>
      <c r="AH750" s="20" t="n"/>
    </row>
    <row r="751">
      <c r="A751" s="9" t="n">
        <v>825275</v>
      </c>
      <c r="B751" s="9" t="inlineStr">
        <is>
          <t>Ethan Norby</t>
        </is>
      </c>
      <c r="C751" s="9" t="inlineStr">
        <is>
          <t>CIN</t>
        </is>
      </c>
      <c r="D751" s="9" t="n">
        <v>25</v>
      </c>
      <c r="E751" s="18" t="inlineStr">
        <is>
          <t>L</t>
        </is>
      </c>
      <c r="F751" s="18" t="n"/>
      <c r="G751" s="9" t="n">
        <v>1.548</v>
      </c>
      <c r="H751" s="9" t="n">
        <v>1.548</v>
      </c>
      <c r="I751" s="9" t="inlineStr">
        <is>
          <t>Depth (no MLB IP)</t>
        </is>
      </c>
      <c r="J751" s="18" t="inlineStr">
        <is>
          <t>Opening Day</t>
        </is>
      </c>
      <c r="K751" s="11">
        <f>IFERROR(INDEX(Roles!$B$17:$B$20,MATCH(J751,Roles!$A$17:$A$20,0)),1)</f>
        <v/>
      </c>
      <c r="L751" s="19" t="n">
        <v>1</v>
      </c>
      <c r="M751" s="11" t="n">
        <v>1</v>
      </c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>
        <v>1</v>
      </c>
      <c r="Z751" s="13">
        <f>SUMPRODUCT(N751:Y751,$N$2:$Y$2)*$K751*$L751*$M751</f>
        <v/>
      </c>
      <c r="AA751" s="14">
        <f>SUM(N751:Y751)</f>
        <v/>
      </c>
      <c r="AB751" s="13">
        <f>SUMPRODUCT(N751:Y751,$N$3:$Y$3)*$K751*$L751*$M751</f>
        <v/>
      </c>
      <c r="AC751" s="13">
        <f>SUMPRODUCT(N751:Y751,$N$4:$Y$4)*$K751*$L751*$M751</f>
        <v/>
      </c>
      <c r="AD751" s="15" t="n">
        <v>3</v>
      </c>
      <c r="AE751" s="11" t="n">
        <v>1.011296296296296</v>
      </c>
      <c r="AF751" s="16">
        <f>SUMPRODUCT(N751:Y751,$N$5:$Y$5)*$K751*$L751*$M751</f>
        <v/>
      </c>
      <c r="AG751" s="16">
        <f>SUMPRODUCT(N751:Y751,$N$6:$Y$6)*$K751*$L751*$M751</f>
        <v/>
      </c>
      <c r="AH751" s="20" t="n"/>
    </row>
    <row r="752">
      <c r="A752" s="9" t="n">
        <v>667690</v>
      </c>
      <c r="B752" s="9" t="inlineStr">
        <is>
          <t>C.J. Stubbs</t>
        </is>
      </c>
      <c r="C752" s="9" t="inlineStr">
        <is>
          <t>TOR</t>
        </is>
      </c>
      <c r="D752" s="9" t="n">
        <v>25</v>
      </c>
      <c r="E752" s="18" t="inlineStr">
        <is>
          <t>R</t>
        </is>
      </c>
      <c r="F752" s="18" t="n"/>
      <c r="G752" s="9" t="n">
        <v>1.576666666666667</v>
      </c>
      <c r="H752" s="9" t="n">
        <v>1.576666666666667</v>
      </c>
      <c r="I752" s="9" t="inlineStr">
        <is>
          <t>Depth (no MLB IP)</t>
        </is>
      </c>
      <c r="J752" s="18" t="inlineStr">
        <is>
          <t>Opening Day</t>
        </is>
      </c>
      <c r="K752" s="11">
        <f>IFERROR(INDEX(Roles!$B$17:$B$20,MATCH(J752,Roles!$A$17:$A$20,0)),1)</f>
        <v/>
      </c>
      <c r="L752" s="19" t="n">
        <v>1</v>
      </c>
      <c r="M752" s="11" t="n">
        <v>1</v>
      </c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>
        <v>1</v>
      </c>
      <c r="Z752" s="13">
        <f>SUMPRODUCT(N752:Y752,$N$2:$Y$2)*$K752*$L752*$M752</f>
        <v/>
      </c>
      <c r="AA752" s="14">
        <f>SUM(N752:Y752)</f>
        <v/>
      </c>
      <c r="AB752" s="13">
        <f>SUMPRODUCT(N752:Y752,$N$3:$Y$3)*$K752*$L752*$M752</f>
        <v/>
      </c>
      <c r="AC752" s="13">
        <f>SUMPRODUCT(N752:Y752,$N$4:$Y$4)*$K752*$L752*$M752</f>
        <v/>
      </c>
      <c r="AD752" s="15" t="n">
        <v>3</v>
      </c>
      <c r="AE752" s="11" t="n">
        <v>1.011296296296296</v>
      </c>
      <c r="AF752" s="16">
        <f>SUMPRODUCT(N752:Y752,$N$5:$Y$5)*$K752*$L752*$M752</f>
        <v/>
      </c>
      <c r="AG752" s="16">
        <f>SUMPRODUCT(N752:Y752,$N$6:$Y$6)*$K752*$L752*$M752</f>
        <v/>
      </c>
      <c r="AH752" s="20" t="n"/>
    </row>
    <row r="753">
      <c r="A753" s="9" t="n">
        <v>815149</v>
      </c>
      <c r="B753" s="9" t="inlineStr">
        <is>
          <t>Elias Holbert</t>
        </is>
      </c>
      <c r="C753" s="9" t="inlineStr">
        <is>
          <t>PHI</t>
        </is>
      </c>
      <c r="D753" s="9" t="n">
        <v>25</v>
      </c>
      <c r="E753" s="18" t="inlineStr">
        <is>
          <t>R</t>
        </is>
      </c>
      <c r="F753" s="18" t="n"/>
      <c r="G753" s="9" t="n">
        <v>1.548</v>
      </c>
      <c r="H753" s="9" t="n">
        <v>1.548</v>
      </c>
      <c r="I753" s="9" t="inlineStr">
        <is>
          <t>Depth (no MLB IP)</t>
        </is>
      </c>
      <c r="J753" s="18" t="inlineStr">
        <is>
          <t>Opening Day</t>
        </is>
      </c>
      <c r="K753" s="11">
        <f>IFERROR(INDEX(Roles!$B$17:$B$20,MATCH(J753,Roles!$A$17:$A$20,0)),1)</f>
        <v/>
      </c>
      <c r="L753" s="19" t="n">
        <v>1</v>
      </c>
      <c r="M753" s="11" t="n">
        <v>1</v>
      </c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>
        <v>1</v>
      </c>
      <c r="Z753" s="13">
        <f>SUMPRODUCT(N753:Y753,$N$2:$Y$2)*$K753*$L753*$M753</f>
        <v/>
      </c>
      <c r="AA753" s="14">
        <f>SUM(N753:Y753)</f>
        <v/>
      </c>
      <c r="AB753" s="13">
        <f>SUMPRODUCT(N753:Y753,$N$3:$Y$3)*$K753*$L753*$M753</f>
        <v/>
      </c>
      <c r="AC753" s="13">
        <f>SUMPRODUCT(N753:Y753,$N$4:$Y$4)*$K753*$L753*$M753</f>
        <v/>
      </c>
      <c r="AD753" s="15" t="n">
        <v>3</v>
      </c>
      <c r="AE753" s="11" t="n">
        <v>1.011296296296296</v>
      </c>
      <c r="AF753" s="16">
        <f>SUMPRODUCT(N753:Y753,$N$5:$Y$5)*$K753*$L753*$M753</f>
        <v/>
      </c>
      <c r="AG753" s="16">
        <f>SUMPRODUCT(N753:Y753,$N$6:$Y$6)*$K753*$L753*$M753</f>
        <v/>
      </c>
      <c r="AH753" s="20" t="n"/>
    </row>
    <row r="754">
      <c r="A754" s="9" t="n">
        <v>834984</v>
      </c>
      <c r="B754" s="9" t="inlineStr">
        <is>
          <t>Cal Higgins</t>
        </is>
      </c>
      <c r="C754" s="9" t="inlineStr">
        <is>
          <t>PHI</t>
        </is>
      </c>
      <c r="D754" s="9" t="n">
        <v>25</v>
      </c>
      <c r="E754" s="18" t="inlineStr">
        <is>
          <t>L</t>
        </is>
      </c>
      <c r="F754" s="18" t="n"/>
      <c r="G754" s="9" t="n">
        <v>1.72</v>
      </c>
      <c r="H754" s="9" t="n">
        <v>1.72</v>
      </c>
      <c r="I754" s="9" t="inlineStr">
        <is>
          <t>Depth (no MLB IP)</t>
        </is>
      </c>
      <c r="J754" s="18" t="inlineStr">
        <is>
          <t>Opening Day</t>
        </is>
      </c>
      <c r="K754" s="11">
        <f>IFERROR(INDEX(Roles!$B$17:$B$20,MATCH(J754,Roles!$A$17:$A$20,0)),1)</f>
        <v/>
      </c>
      <c r="L754" s="19" t="n">
        <v>1</v>
      </c>
      <c r="M754" s="11" t="n">
        <v>1</v>
      </c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>
        <v>1</v>
      </c>
      <c r="Z754" s="13">
        <f>SUMPRODUCT(N754:Y754,$N$2:$Y$2)*$K754*$L754*$M754</f>
        <v/>
      </c>
      <c r="AA754" s="14">
        <f>SUM(N754:Y754)</f>
        <v/>
      </c>
      <c r="AB754" s="13">
        <f>SUMPRODUCT(N754:Y754,$N$3:$Y$3)*$K754*$L754*$M754</f>
        <v/>
      </c>
      <c r="AC754" s="13">
        <f>SUMPRODUCT(N754:Y754,$N$4:$Y$4)*$K754*$L754*$M754</f>
        <v/>
      </c>
      <c r="AD754" s="15" t="n">
        <v>3</v>
      </c>
      <c r="AE754" s="11" t="n">
        <v>1.011296296296296</v>
      </c>
      <c r="AF754" s="16">
        <f>SUMPRODUCT(N754:Y754,$N$5:$Y$5)*$K754*$L754*$M754</f>
        <v/>
      </c>
      <c r="AG754" s="16">
        <f>SUMPRODUCT(N754:Y754,$N$6:$Y$6)*$K754*$L754*$M754</f>
        <v/>
      </c>
      <c r="AH754" s="20" t="n"/>
    </row>
    <row r="755">
      <c r="A755" s="9" t="n">
        <v>833490</v>
      </c>
      <c r="B755" s="9" t="inlineStr">
        <is>
          <t>Dillon Stiltner</t>
        </is>
      </c>
      <c r="C755" s="9" t="inlineStr">
        <is>
          <t>NYM</t>
        </is>
      </c>
      <c r="D755" s="9" t="n">
        <v>25</v>
      </c>
      <c r="E755" s="18" t="inlineStr">
        <is>
          <t>R</t>
        </is>
      </c>
      <c r="F755" s="18" t="n"/>
      <c r="G755" s="9" t="n">
        <v>1.72</v>
      </c>
      <c r="H755" s="9" t="n">
        <v>1.72</v>
      </c>
      <c r="I755" s="9" t="inlineStr">
        <is>
          <t>Depth (no MLB IP)</t>
        </is>
      </c>
      <c r="J755" s="18" t="inlineStr">
        <is>
          <t>Opening Day</t>
        </is>
      </c>
      <c r="K755" s="11">
        <f>IFERROR(INDEX(Roles!$B$17:$B$20,MATCH(J755,Roles!$A$17:$A$20,0)),1)</f>
        <v/>
      </c>
      <c r="L755" s="19" t="n">
        <v>1</v>
      </c>
      <c r="M755" s="11" t="n">
        <v>1</v>
      </c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>
        <v>1</v>
      </c>
      <c r="Z755" s="13">
        <f>SUMPRODUCT(N755:Y755,$N$2:$Y$2)*$K755*$L755*$M755</f>
        <v/>
      </c>
      <c r="AA755" s="14">
        <f>SUM(N755:Y755)</f>
        <v/>
      </c>
      <c r="AB755" s="13">
        <f>SUMPRODUCT(N755:Y755,$N$3:$Y$3)*$K755*$L755*$M755</f>
        <v/>
      </c>
      <c r="AC755" s="13">
        <f>SUMPRODUCT(N755:Y755,$N$4:$Y$4)*$K755*$L755*$M755</f>
        <v/>
      </c>
      <c r="AD755" s="15" t="n">
        <v>3</v>
      </c>
      <c r="AE755" s="11" t="n">
        <v>1.011296296296296</v>
      </c>
      <c r="AF755" s="16">
        <f>SUMPRODUCT(N755:Y755,$N$5:$Y$5)*$K755*$L755*$M755</f>
        <v/>
      </c>
      <c r="AG755" s="16">
        <f>SUMPRODUCT(N755:Y755,$N$6:$Y$6)*$K755*$L755*$M755</f>
        <v/>
      </c>
      <c r="AH755" s="20" t="n"/>
    </row>
    <row r="756">
      <c r="A756" s="9" t="n">
        <v>701884</v>
      </c>
      <c r="B756" s="9" t="inlineStr">
        <is>
          <t>Magnus Ellerts</t>
        </is>
      </c>
      <c r="C756" s="9" t="inlineStr">
        <is>
          <t>CLE</t>
        </is>
      </c>
      <c r="D756" s="9" t="n">
        <v>25</v>
      </c>
      <c r="E756" s="18" t="inlineStr">
        <is>
          <t>R</t>
        </is>
      </c>
      <c r="F756" s="18" t="n"/>
      <c r="G756" s="9" t="n">
        <v>1.576666666666667</v>
      </c>
      <c r="H756" s="9" t="n">
        <v>1.576666666666667</v>
      </c>
      <c r="I756" s="9" t="inlineStr">
        <is>
          <t>Depth (no MLB IP)</t>
        </is>
      </c>
      <c r="J756" s="18" t="inlineStr">
        <is>
          <t>Opening Day</t>
        </is>
      </c>
      <c r="K756" s="11">
        <f>IFERROR(INDEX(Roles!$B$17:$B$20,MATCH(J756,Roles!$A$17:$A$20,0)),1)</f>
        <v/>
      </c>
      <c r="L756" s="19" t="n">
        <v>1</v>
      </c>
      <c r="M756" s="11" t="n">
        <v>1</v>
      </c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>
        <v>1</v>
      </c>
      <c r="Z756" s="13">
        <f>SUMPRODUCT(N756:Y756,$N$2:$Y$2)*$K756*$L756*$M756</f>
        <v/>
      </c>
      <c r="AA756" s="14">
        <f>SUM(N756:Y756)</f>
        <v/>
      </c>
      <c r="AB756" s="13">
        <f>SUMPRODUCT(N756:Y756,$N$3:$Y$3)*$K756*$L756*$M756</f>
        <v/>
      </c>
      <c r="AC756" s="13">
        <f>SUMPRODUCT(N756:Y756,$N$4:$Y$4)*$K756*$L756*$M756</f>
        <v/>
      </c>
      <c r="AD756" s="15" t="n">
        <v>3</v>
      </c>
      <c r="AE756" s="11" t="n">
        <v>1.011296296296296</v>
      </c>
      <c r="AF756" s="16">
        <f>SUMPRODUCT(N756:Y756,$N$5:$Y$5)*$K756*$L756*$M756</f>
        <v/>
      </c>
      <c r="AG756" s="16">
        <f>SUMPRODUCT(N756:Y756,$N$6:$Y$6)*$K756*$L756*$M756</f>
        <v/>
      </c>
      <c r="AH756" s="20" t="n"/>
    </row>
    <row r="757">
      <c r="A757" s="9" t="n">
        <v>800683</v>
      </c>
      <c r="B757" s="9" t="inlineStr">
        <is>
          <t>Blake Rambusch</t>
        </is>
      </c>
      <c r="C757" s="9" t="inlineStr">
        <is>
          <t>SEA</t>
        </is>
      </c>
      <c r="D757" s="9" t="n">
        <v>25</v>
      </c>
      <c r="E757" s="18" t="inlineStr">
        <is>
          <t>R</t>
        </is>
      </c>
      <c r="F757" s="18" t="n"/>
      <c r="G757" s="9" t="n">
        <v>1.505</v>
      </c>
      <c r="H757" s="9" t="n">
        <v>1.505</v>
      </c>
      <c r="I757" s="9" t="inlineStr">
        <is>
          <t>Depth (no MLB IP)</t>
        </is>
      </c>
      <c r="J757" s="18" t="inlineStr">
        <is>
          <t>Opening Day</t>
        </is>
      </c>
      <c r="K757" s="11">
        <f>IFERROR(INDEX(Roles!$B$17:$B$20,MATCH(J757,Roles!$A$17:$A$20,0)),1)</f>
        <v/>
      </c>
      <c r="L757" s="19" t="n">
        <v>1</v>
      </c>
      <c r="M757" s="11" t="n">
        <v>1</v>
      </c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>
        <v>1</v>
      </c>
      <c r="Z757" s="13">
        <f>SUMPRODUCT(N757:Y757,$N$2:$Y$2)*$K757*$L757*$M757</f>
        <v/>
      </c>
      <c r="AA757" s="14">
        <f>SUM(N757:Y757)</f>
        <v/>
      </c>
      <c r="AB757" s="13">
        <f>SUMPRODUCT(N757:Y757,$N$3:$Y$3)*$K757*$L757*$M757</f>
        <v/>
      </c>
      <c r="AC757" s="13">
        <f>SUMPRODUCT(N757:Y757,$N$4:$Y$4)*$K757*$L757*$M757</f>
        <v/>
      </c>
      <c r="AD757" s="15" t="n">
        <v>3</v>
      </c>
      <c r="AE757" s="11" t="n">
        <v>1.011296296296296</v>
      </c>
      <c r="AF757" s="16">
        <f>SUMPRODUCT(N757:Y757,$N$5:$Y$5)*$K757*$L757*$M757</f>
        <v/>
      </c>
      <c r="AG757" s="16">
        <f>SUMPRODUCT(N757:Y757,$N$6:$Y$6)*$K757*$L757*$M757</f>
        <v/>
      </c>
      <c r="AH757" s="20" t="n"/>
    </row>
    <row r="758">
      <c r="A758" s="9" t="n">
        <v>670208</v>
      </c>
      <c r="B758" s="9" t="inlineStr">
        <is>
          <t>Matt Fraizer</t>
        </is>
      </c>
      <c r="C758" s="9" t="inlineStr">
        <is>
          <t>BOS</t>
        </is>
      </c>
      <c r="D758" s="9" t="n">
        <v>25</v>
      </c>
      <c r="E758" s="18" t="inlineStr">
        <is>
          <t>R</t>
        </is>
      </c>
      <c r="F758" s="18" t="n"/>
      <c r="G758" s="9" t="n">
        <v>1.505</v>
      </c>
      <c r="H758" s="9" t="n">
        <v>1.505</v>
      </c>
      <c r="I758" s="9" t="inlineStr">
        <is>
          <t>Depth (no MLB IP)</t>
        </is>
      </c>
      <c r="J758" s="18" t="inlineStr">
        <is>
          <t>Opening Day</t>
        </is>
      </c>
      <c r="K758" s="11">
        <f>IFERROR(INDEX(Roles!$B$17:$B$20,MATCH(J758,Roles!$A$17:$A$20,0)),1)</f>
        <v/>
      </c>
      <c r="L758" s="19" t="n">
        <v>1</v>
      </c>
      <c r="M758" s="11" t="n">
        <v>1</v>
      </c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>
        <v>1</v>
      </c>
      <c r="Z758" s="13">
        <f>SUMPRODUCT(N758:Y758,$N$2:$Y$2)*$K758*$L758*$M758</f>
        <v/>
      </c>
      <c r="AA758" s="14">
        <f>SUM(N758:Y758)</f>
        <v/>
      </c>
      <c r="AB758" s="13">
        <f>SUMPRODUCT(N758:Y758,$N$3:$Y$3)*$K758*$L758*$M758</f>
        <v/>
      </c>
      <c r="AC758" s="13">
        <f>SUMPRODUCT(N758:Y758,$N$4:$Y$4)*$K758*$L758*$M758</f>
        <v/>
      </c>
      <c r="AD758" s="15" t="n">
        <v>3</v>
      </c>
      <c r="AE758" s="11" t="n">
        <v>1.011296296296296</v>
      </c>
      <c r="AF758" s="16">
        <f>SUMPRODUCT(N758:Y758,$N$5:$Y$5)*$K758*$L758*$M758</f>
        <v/>
      </c>
      <c r="AG758" s="16">
        <f>SUMPRODUCT(N758:Y758,$N$6:$Y$6)*$K758*$L758*$M758</f>
        <v/>
      </c>
      <c r="AH758" s="20" t="n"/>
    </row>
    <row r="759">
      <c r="A759" s="9" t="n">
        <v>821340</v>
      </c>
      <c r="B759" s="9" t="inlineStr">
        <is>
          <t>Zack Mack</t>
        </is>
      </c>
      <c r="C759" s="9" t="inlineStr">
        <is>
          <t>NYM</t>
        </is>
      </c>
      <c r="D759" s="9" t="n">
        <v>25</v>
      </c>
      <c r="E759" s="18" t="inlineStr">
        <is>
          <t>R</t>
        </is>
      </c>
      <c r="F759" s="18" t="n"/>
      <c r="G759" s="9" t="n">
        <v>1.576666666666667</v>
      </c>
      <c r="H759" s="9" t="n">
        <v>1.576666666666667</v>
      </c>
      <c r="I759" s="9" t="inlineStr">
        <is>
          <t>Depth (no MLB IP)</t>
        </is>
      </c>
      <c r="J759" s="18" t="inlineStr">
        <is>
          <t>Opening Day</t>
        </is>
      </c>
      <c r="K759" s="11">
        <f>IFERROR(INDEX(Roles!$B$17:$B$20,MATCH(J759,Roles!$A$17:$A$20,0)),1)</f>
        <v/>
      </c>
      <c r="L759" s="19" t="n">
        <v>1</v>
      </c>
      <c r="M759" s="11" t="n">
        <v>1</v>
      </c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>
        <v>1</v>
      </c>
      <c r="Z759" s="13">
        <f>SUMPRODUCT(N759:Y759,$N$2:$Y$2)*$K759*$L759*$M759</f>
        <v/>
      </c>
      <c r="AA759" s="14">
        <f>SUM(N759:Y759)</f>
        <v/>
      </c>
      <c r="AB759" s="13">
        <f>SUMPRODUCT(N759:Y759,$N$3:$Y$3)*$K759*$L759*$M759</f>
        <v/>
      </c>
      <c r="AC759" s="13">
        <f>SUMPRODUCT(N759:Y759,$N$4:$Y$4)*$K759*$L759*$M759</f>
        <v/>
      </c>
      <c r="AD759" s="15" t="n">
        <v>3</v>
      </c>
      <c r="AE759" s="11" t="n">
        <v>1.011296296296296</v>
      </c>
      <c r="AF759" s="16">
        <f>SUMPRODUCT(N759:Y759,$N$5:$Y$5)*$K759*$L759*$M759</f>
        <v/>
      </c>
      <c r="AG759" s="16">
        <f>SUMPRODUCT(N759:Y759,$N$6:$Y$6)*$K759*$L759*$M759</f>
        <v/>
      </c>
      <c r="AH759" s="20" t="n"/>
    </row>
    <row r="760">
      <c r="A760" s="9" t="n">
        <v>821962</v>
      </c>
      <c r="B760" s="9" t="inlineStr">
        <is>
          <t>James Guyette</t>
        </is>
      </c>
      <c r="C760" s="9" t="inlineStr">
        <is>
          <t>SD</t>
        </is>
      </c>
      <c r="D760" s="9" t="n">
        <v>25</v>
      </c>
      <c r="E760" s="18" t="inlineStr">
        <is>
          <t>R</t>
        </is>
      </c>
      <c r="F760" s="18" t="n"/>
      <c r="G760" s="9" t="n">
        <v>1.892</v>
      </c>
      <c r="H760" s="9" t="n">
        <v>1.892</v>
      </c>
      <c r="I760" s="9" t="inlineStr">
        <is>
          <t>Depth (no MLB IP)</t>
        </is>
      </c>
      <c r="J760" s="18" t="inlineStr">
        <is>
          <t>Opening Day</t>
        </is>
      </c>
      <c r="K760" s="11">
        <f>IFERROR(INDEX(Roles!$B$17:$B$20,MATCH(J760,Roles!$A$17:$A$20,0)),1)</f>
        <v/>
      </c>
      <c r="L760" s="19" t="n">
        <v>1</v>
      </c>
      <c r="M760" s="11" t="n">
        <v>1</v>
      </c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>
        <v>1</v>
      </c>
      <c r="Z760" s="13">
        <f>SUMPRODUCT(N760:Y760,$N$2:$Y$2)*$K760*$L760*$M760</f>
        <v/>
      </c>
      <c r="AA760" s="14">
        <f>SUM(N760:Y760)</f>
        <v/>
      </c>
      <c r="AB760" s="13">
        <f>SUMPRODUCT(N760:Y760,$N$3:$Y$3)*$K760*$L760*$M760</f>
        <v/>
      </c>
      <c r="AC760" s="13">
        <f>SUMPRODUCT(N760:Y760,$N$4:$Y$4)*$K760*$L760*$M760</f>
        <v/>
      </c>
      <c r="AD760" s="15" t="n">
        <v>3</v>
      </c>
      <c r="AE760" s="11" t="n">
        <v>1.011296296296296</v>
      </c>
      <c r="AF760" s="16">
        <f>SUMPRODUCT(N760:Y760,$N$5:$Y$5)*$K760*$L760*$M760</f>
        <v/>
      </c>
      <c r="AG760" s="16">
        <f>SUMPRODUCT(N760:Y760,$N$6:$Y$6)*$K760*$L760*$M760</f>
        <v/>
      </c>
      <c r="AH760" s="20" t="n"/>
    </row>
    <row r="761">
      <c r="A761" s="9" t="n">
        <v>823230</v>
      </c>
      <c r="B761" s="9" t="inlineStr">
        <is>
          <t>Tyler McLoughlin</t>
        </is>
      </c>
      <c r="C761" s="9" t="inlineStr">
        <is>
          <t>NYM</t>
        </is>
      </c>
      <c r="D761" s="9" t="n">
        <v>25</v>
      </c>
      <c r="E761" s="18" t="inlineStr">
        <is>
          <t>R</t>
        </is>
      </c>
      <c r="F761" s="18" t="n"/>
      <c r="G761" s="9" t="n">
        <v>1.576666666666667</v>
      </c>
      <c r="H761" s="9" t="n">
        <v>1.576666666666667</v>
      </c>
      <c r="I761" s="9" t="inlineStr">
        <is>
          <t>Depth (no MLB IP)</t>
        </is>
      </c>
      <c r="J761" s="18" t="inlineStr">
        <is>
          <t>Opening Day</t>
        </is>
      </c>
      <c r="K761" s="11">
        <f>IFERROR(INDEX(Roles!$B$17:$B$20,MATCH(J761,Roles!$A$17:$A$20,0)),1)</f>
        <v/>
      </c>
      <c r="L761" s="19" t="n">
        <v>1</v>
      </c>
      <c r="M761" s="11" t="n">
        <v>1</v>
      </c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>
        <v>1</v>
      </c>
      <c r="Z761" s="13">
        <f>SUMPRODUCT(N761:Y761,$N$2:$Y$2)*$K761*$L761*$M761</f>
        <v/>
      </c>
      <c r="AA761" s="14">
        <f>SUM(N761:Y761)</f>
        <v/>
      </c>
      <c r="AB761" s="13">
        <f>SUMPRODUCT(N761:Y761,$N$3:$Y$3)*$K761*$L761*$M761</f>
        <v/>
      </c>
      <c r="AC761" s="13">
        <f>SUMPRODUCT(N761:Y761,$N$4:$Y$4)*$K761*$L761*$M761</f>
        <v/>
      </c>
      <c r="AD761" s="15" t="n">
        <v>3</v>
      </c>
      <c r="AE761" s="11" t="n">
        <v>1.011296296296296</v>
      </c>
      <c r="AF761" s="16">
        <f>SUMPRODUCT(N761:Y761,$N$5:$Y$5)*$K761*$L761*$M761</f>
        <v/>
      </c>
      <c r="AG761" s="16">
        <f>SUMPRODUCT(N761:Y761,$N$6:$Y$6)*$K761*$L761*$M761</f>
        <v/>
      </c>
      <c r="AH761" s="20" t="n"/>
    </row>
    <row r="762">
      <c r="A762" s="9" t="n">
        <v>823735</v>
      </c>
      <c r="B762" s="9" t="inlineStr">
        <is>
          <t>Edgar Gallegos</t>
        </is>
      </c>
      <c r="C762" s="9" t="inlineStr">
        <is>
          <t>TOR</t>
        </is>
      </c>
      <c r="D762" s="9" t="n">
        <v>25</v>
      </c>
      <c r="E762" s="18" t="inlineStr">
        <is>
          <t>R</t>
        </is>
      </c>
      <c r="F762" s="18" t="n"/>
      <c r="G762" s="9" t="n">
        <v>1.548</v>
      </c>
      <c r="H762" s="9" t="n">
        <v>1.548</v>
      </c>
      <c r="I762" s="9" t="inlineStr">
        <is>
          <t>Depth (no MLB IP)</t>
        </is>
      </c>
      <c r="J762" s="18" t="inlineStr">
        <is>
          <t>Opening Day</t>
        </is>
      </c>
      <c r="K762" s="11">
        <f>IFERROR(INDEX(Roles!$B$17:$B$20,MATCH(J762,Roles!$A$17:$A$20,0)),1)</f>
        <v/>
      </c>
      <c r="L762" s="19" t="n">
        <v>1</v>
      </c>
      <c r="M762" s="11" t="n">
        <v>1</v>
      </c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>
        <v>1</v>
      </c>
      <c r="Z762" s="13">
        <f>SUMPRODUCT(N762:Y762,$N$2:$Y$2)*$K762*$L762*$M762</f>
        <v/>
      </c>
      <c r="AA762" s="14">
        <f>SUM(N762:Y762)</f>
        <v/>
      </c>
      <c r="AB762" s="13">
        <f>SUMPRODUCT(N762:Y762,$N$3:$Y$3)*$K762*$L762*$M762</f>
        <v/>
      </c>
      <c r="AC762" s="13">
        <f>SUMPRODUCT(N762:Y762,$N$4:$Y$4)*$K762*$L762*$M762</f>
        <v/>
      </c>
      <c r="AD762" s="15" t="n">
        <v>3</v>
      </c>
      <c r="AE762" s="11" t="n">
        <v>1.011296296296296</v>
      </c>
      <c r="AF762" s="16">
        <f>SUMPRODUCT(N762:Y762,$N$5:$Y$5)*$K762*$L762*$M762</f>
        <v/>
      </c>
      <c r="AG762" s="16">
        <f>SUMPRODUCT(N762:Y762,$N$6:$Y$6)*$K762*$L762*$M762</f>
        <v/>
      </c>
      <c r="AH762" s="20" t="n"/>
    </row>
    <row r="763">
      <c r="A763" s="9" t="n">
        <v>800233</v>
      </c>
      <c r="B763" s="9" t="inlineStr">
        <is>
          <t>Ernesto Mercedes</t>
        </is>
      </c>
      <c r="C763" s="9" t="inlineStr">
        <is>
          <t>NYM</t>
        </is>
      </c>
      <c r="D763" s="9" t="n">
        <v>25</v>
      </c>
      <c r="E763" s="18" t="inlineStr">
        <is>
          <t>R</t>
        </is>
      </c>
      <c r="F763" s="18" t="n"/>
      <c r="G763" s="9" t="n">
        <v>1.72</v>
      </c>
      <c r="H763" s="9" t="n">
        <v>1.72</v>
      </c>
      <c r="I763" s="9" t="inlineStr">
        <is>
          <t>Depth (no MLB IP)</t>
        </is>
      </c>
      <c r="J763" s="18" t="inlineStr">
        <is>
          <t>Opening Day</t>
        </is>
      </c>
      <c r="K763" s="11">
        <f>IFERROR(INDEX(Roles!$B$17:$B$20,MATCH(J763,Roles!$A$17:$A$20,0)),1)</f>
        <v/>
      </c>
      <c r="L763" s="19" t="n">
        <v>1</v>
      </c>
      <c r="M763" s="11" t="n">
        <v>1</v>
      </c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>
        <v>1</v>
      </c>
      <c r="Z763" s="13">
        <f>SUMPRODUCT(N763:Y763,$N$2:$Y$2)*$K763*$L763*$M763</f>
        <v/>
      </c>
      <c r="AA763" s="14">
        <f>SUM(N763:Y763)</f>
        <v/>
      </c>
      <c r="AB763" s="13">
        <f>SUMPRODUCT(N763:Y763,$N$3:$Y$3)*$K763*$L763*$M763</f>
        <v/>
      </c>
      <c r="AC763" s="13">
        <f>SUMPRODUCT(N763:Y763,$N$4:$Y$4)*$K763*$L763*$M763</f>
        <v/>
      </c>
      <c r="AD763" s="15" t="n">
        <v>3</v>
      </c>
      <c r="AE763" s="11" t="n">
        <v>1.011296296296296</v>
      </c>
      <c r="AF763" s="16">
        <f>SUMPRODUCT(N763:Y763,$N$5:$Y$5)*$K763*$L763*$M763</f>
        <v/>
      </c>
      <c r="AG763" s="16">
        <f>SUMPRODUCT(N763:Y763,$N$6:$Y$6)*$K763*$L763*$M763</f>
        <v/>
      </c>
      <c r="AH763" s="20" t="n"/>
    </row>
    <row r="764">
      <c r="A764" s="9" t="n">
        <v>822622</v>
      </c>
      <c r="B764" s="9" t="inlineStr">
        <is>
          <t>Diego Gutierrez</t>
        </is>
      </c>
      <c r="C764" s="9" t="inlineStr">
        <is>
          <t>BAL</t>
        </is>
      </c>
      <c r="D764" s="9" t="n">
        <v>25</v>
      </c>
      <c r="E764" s="18" t="inlineStr">
        <is>
          <t>R</t>
        </is>
      </c>
      <c r="F764" s="18" t="n"/>
      <c r="G764" s="9" t="n">
        <v>1.548</v>
      </c>
      <c r="H764" s="9" t="n">
        <v>1.548</v>
      </c>
      <c r="I764" s="9" t="inlineStr">
        <is>
          <t>Depth (no MLB IP)</t>
        </is>
      </c>
      <c r="J764" s="18" t="inlineStr">
        <is>
          <t>Opening Day</t>
        </is>
      </c>
      <c r="K764" s="11">
        <f>IFERROR(INDEX(Roles!$B$17:$B$20,MATCH(J764,Roles!$A$17:$A$20,0)),1)</f>
        <v/>
      </c>
      <c r="L764" s="19" t="n">
        <v>1</v>
      </c>
      <c r="M764" s="11" t="n">
        <v>1</v>
      </c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>
        <v>1</v>
      </c>
      <c r="Z764" s="13">
        <f>SUMPRODUCT(N764:Y764,$N$2:$Y$2)*$K764*$L764*$M764</f>
        <v/>
      </c>
      <c r="AA764" s="14">
        <f>SUM(N764:Y764)</f>
        <v/>
      </c>
      <c r="AB764" s="13">
        <f>SUMPRODUCT(N764:Y764,$N$3:$Y$3)*$K764*$L764*$M764</f>
        <v/>
      </c>
      <c r="AC764" s="13">
        <f>SUMPRODUCT(N764:Y764,$N$4:$Y$4)*$K764*$L764*$M764</f>
        <v/>
      </c>
      <c r="AD764" s="15" t="n">
        <v>3</v>
      </c>
      <c r="AE764" s="11" t="n">
        <v>1.011296296296296</v>
      </c>
      <c r="AF764" s="16">
        <f>SUMPRODUCT(N764:Y764,$N$5:$Y$5)*$K764*$L764*$M764</f>
        <v/>
      </c>
      <c r="AG764" s="16">
        <f>SUMPRODUCT(N764:Y764,$N$6:$Y$6)*$K764*$L764*$M764</f>
        <v/>
      </c>
      <c r="AH764" s="20" t="n"/>
    </row>
    <row r="765">
      <c r="A765" s="9" t="n">
        <v>807252</v>
      </c>
      <c r="B765" s="9" t="inlineStr">
        <is>
          <t>Ariston Veasey</t>
        </is>
      </c>
      <c r="C765" s="9" t="inlineStr">
        <is>
          <t>CHC</t>
        </is>
      </c>
      <c r="D765" s="9" t="n">
        <v>25</v>
      </c>
      <c r="E765" s="18" t="inlineStr">
        <is>
          <t>R</t>
        </is>
      </c>
      <c r="F765" s="18" t="n"/>
      <c r="G765" s="9" t="n">
        <v>1.548</v>
      </c>
      <c r="H765" s="9" t="n">
        <v>1.548</v>
      </c>
      <c r="I765" s="9" t="inlineStr">
        <is>
          <t>Depth (no MLB IP)</t>
        </is>
      </c>
      <c r="J765" s="18" t="inlineStr">
        <is>
          <t>Opening Day</t>
        </is>
      </c>
      <c r="K765" s="11">
        <f>IFERROR(INDEX(Roles!$B$17:$B$20,MATCH(J765,Roles!$A$17:$A$20,0)),1)</f>
        <v/>
      </c>
      <c r="L765" s="19" t="n">
        <v>1</v>
      </c>
      <c r="M765" s="11" t="n">
        <v>1</v>
      </c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>
        <v>1</v>
      </c>
      <c r="Z765" s="13">
        <f>SUMPRODUCT(N765:Y765,$N$2:$Y$2)*$K765*$L765*$M765</f>
        <v/>
      </c>
      <c r="AA765" s="14">
        <f>SUM(N765:Y765)</f>
        <v/>
      </c>
      <c r="AB765" s="13">
        <f>SUMPRODUCT(N765:Y765,$N$3:$Y$3)*$K765*$L765*$M765</f>
        <v/>
      </c>
      <c r="AC765" s="13">
        <f>SUMPRODUCT(N765:Y765,$N$4:$Y$4)*$K765*$L765*$M765</f>
        <v/>
      </c>
      <c r="AD765" s="15" t="n">
        <v>3</v>
      </c>
      <c r="AE765" s="11" t="n">
        <v>1.011296296296296</v>
      </c>
      <c r="AF765" s="16">
        <f>SUMPRODUCT(N765:Y765,$N$5:$Y$5)*$K765*$L765*$M765</f>
        <v/>
      </c>
      <c r="AG765" s="16">
        <f>SUMPRODUCT(N765:Y765,$N$6:$Y$6)*$K765*$L765*$M765</f>
        <v/>
      </c>
      <c r="AH765" s="20" t="n"/>
    </row>
    <row r="766">
      <c r="A766" s="9" t="n">
        <v>807187</v>
      </c>
      <c r="B766" s="9" t="inlineStr">
        <is>
          <t>Mathias LaCombe</t>
        </is>
      </c>
      <c r="C766" s="9" t="inlineStr">
        <is>
          <t>CWS</t>
        </is>
      </c>
      <c r="D766" s="9" t="n">
        <v>25</v>
      </c>
      <c r="E766" s="18" t="inlineStr">
        <is>
          <t>R</t>
        </is>
      </c>
      <c r="F766" s="18" t="n"/>
      <c r="G766" s="9" t="n">
        <v>1.576666666666667</v>
      </c>
      <c r="H766" s="9" t="n">
        <v>1.576666666666667</v>
      </c>
      <c r="I766" s="9" t="inlineStr">
        <is>
          <t>Depth (no MLB IP)</t>
        </is>
      </c>
      <c r="J766" s="18" t="inlineStr">
        <is>
          <t>Opening Day</t>
        </is>
      </c>
      <c r="K766" s="11">
        <f>IFERROR(INDEX(Roles!$B$17:$B$20,MATCH(J766,Roles!$A$17:$A$20,0)),1)</f>
        <v/>
      </c>
      <c r="L766" s="19" t="n">
        <v>1</v>
      </c>
      <c r="M766" s="11" t="n">
        <v>1</v>
      </c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>
        <v>1</v>
      </c>
      <c r="Z766" s="13">
        <f>SUMPRODUCT(N766:Y766,$N$2:$Y$2)*$K766*$L766*$M766</f>
        <v/>
      </c>
      <c r="AA766" s="14">
        <f>SUM(N766:Y766)</f>
        <v/>
      </c>
      <c r="AB766" s="13">
        <f>SUMPRODUCT(N766:Y766,$N$3:$Y$3)*$K766*$L766*$M766</f>
        <v/>
      </c>
      <c r="AC766" s="13">
        <f>SUMPRODUCT(N766:Y766,$N$4:$Y$4)*$K766*$L766*$M766</f>
        <v/>
      </c>
      <c r="AD766" s="15" t="n">
        <v>3</v>
      </c>
      <c r="AE766" s="11" t="n">
        <v>1.011296296296296</v>
      </c>
      <c r="AF766" s="16">
        <f>SUMPRODUCT(N766:Y766,$N$5:$Y$5)*$K766*$L766*$M766</f>
        <v/>
      </c>
      <c r="AG766" s="16">
        <f>SUMPRODUCT(N766:Y766,$N$6:$Y$6)*$K766*$L766*$M766</f>
        <v/>
      </c>
      <c r="AH766" s="20" t="n"/>
    </row>
    <row r="767">
      <c r="A767" s="9" t="n">
        <v>808223</v>
      </c>
      <c r="B767" s="9" t="inlineStr">
        <is>
          <t>Javier Herrera</t>
        </is>
      </c>
      <c r="C767" s="9" t="inlineStr">
        <is>
          <t>LAD</t>
        </is>
      </c>
      <c r="D767" s="9" t="n">
        <v>25</v>
      </c>
      <c r="E767" s="18" t="inlineStr">
        <is>
          <t>R</t>
        </is>
      </c>
      <c r="F767" s="18" t="n"/>
      <c r="G767" s="9" t="n">
        <v>1.548</v>
      </c>
      <c r="H767" s="9" t="n">
        <v>1.548</v>
      </c>
      <c r="I767" s="9" t="inlineStr">
        <is>
          <t>Depth (no MLB IP)</t>
        </is>
      </c>
      <c r="J767" s="18" t="inlineStr">
        <is>
          <t>Opening Day</t>
        </is>
      </c>
      <c r="K767" s="11">
        <f>IFERROR(INDEX(Roles!$B$17:$B$20,MATCH(J767,Roles!$A$17:$A$20,0)),1)</f>
        <v/>
      </c>
      <c r="L767" s="19" t="n">
        <v>1</v>
      </c>
      <c r="M767" s="11" t="n">
        <v>1</v>
      </c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>
        <v>1</v>
      </c>
      <c r="Z767" s="13">
        <f>SUMPRODUCT(N767:Y767,$N$2:$Y$2)*$K767*$L767*$M767</f>
        <v/>
      </c>
      <c r="AA767" s="14">
        <f>SUM(N767:Y767)</f>
        <v/>
      </c>
      <c r="AB767" s="13">
        <f>SUMPRODUCT(N767:Y767,$N$3:$Y$3)*$K767*$L767*$M767</f>
        <v/>
      </c>
      <c r="AC767" s="13">
        <f>SUMPRODUCT(N767:Y767,$N$4:$Y$4)*$K767*$L767*$M767</f>
        <v/>
      </c>
      <c r="AD767" s="15" t="n">
        <v>3</v>
      </c>
      <c r="AE767" s="11" t="n">
        <v>1.011296296296296</v>
      </c>
      <c r="AF767" s="16">
        <f>SUMPRODUCT(N767:Y767,$N$5:$Y$5)*$K767*$L767*$M767</f>
        <v/>
      </c>
      <c r="AG767" s="16">
        <f>SUMPRODUCT(N767:Y767,$N$6:$Y$6)*$K767*$L767*$M767</f>
        <v/>
      </c>
      <c r="AH767" s="20" t="n"/>
    </row>
    <row r="768">
      <c r="A768" s="9" t="n">
        <v>805003</v>
      </c>
      <c r="B768" s="9" t="inlineStr">
        <is>
          <t>Derrick Smith</t>
        </is>
      </c>
      <c r="C768" s="9" t="inlineStr">
        <is>
          <t>COL</t>
        </is>
      </c>
      <c r="D768" s="9" t="n">
        <v>25</v>
      </c>
      <c r="E768" s="18" t="inlineStr">
        <is>
          <t>R</t>
        </is>
      </c>
      <c r="F768" s="18" t="n"/>
      <c r="G768" s="9" t="n">
        <v>1.72</v>
      </c>
      <c r="H768" s="9" t="n">
        <v>1.72</v>
      </c>
      <c r="I768" s="9" t="inlineStr">
        <is>
          <t>Depth (no MLB IP)</t>
        </is>
      </c>
      <c r="J768" s="18" t="inlineStr">
        <is>
          <t>Opening Day</t>
        </is>
      </c>
      <c r="K768" s="11">
        <f>IFERROR(INDEX(Roles!$B$17:$B$20,MATCH(J768,Roles!$A$17:$A$20,0)),1)</f>
        <v/>
      </c>
      <c r="L768" s="19" t="n">
        <v>1</v>
      </c>
      <c r="M768" s="11" t="n">
        <v>1</v>
      </c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>
        <v>1</v>
      </c>
      <c r="Z768" s="13">
        <f>SUMPRODUCT(N768:Y768,$N$2:$Y$2)*$K768*$L768*$M768</f>
        <v/>
      </c>
      <c r="AA768" s="14">
        <f>SUM(N768:Y768)</f>
        <v/>
      </c>
      <c r="AB768" s="13">
        <f>SUMPRODUCT(N768:Y768,$N$3:$Y$3)*$K768*$L768*$M768</f>
        <v/>
      </c>
      <c r="AC768" s="13">
        <f>SUMPRODUCT(N768:Y768,$N$4:$Y$4)*$K768*$L768*$M768</f>
        <v/>
      </c>
      <c r="AD768" s="15" t="n">
        <v>3</v>
      </c>
      <c r="AE768" s="11" t="n">
        <v>1.011296296296296</v>
      </c>
      <c r="AF768" s="16">
        <f>SUMPRODUCT(N768:Y768,$N$5:$Y$5)*$K768*$L768*$M768</f>
        <v/>
      </c>
      <c r="AG768" s="16">
        <f>SUMPRODUCT(N768:Y768,$N$6:$Y$6)*$K768*$L768*$M768</f>
        <v/>
      </c>
      <c r="AH768" s="20" t="n"/>
    </row>
    <row r="769">
      <c r="A769" s="9" t="n">
        <v>805222</v>
      </c>
      <c r="B769" s="9" t="inlineStr">
        <is>
          <t>Curtis Hebert</t>
        </is>
      </c>
      <c r="C769" s="9" t="inlineStr">
        <is>
          <t>HOU</t>
        </is>
      </c>
      <c r="D769" s="9" t="n">
        <v>25</v>
      </c>
      <c r="E769" s="18" t="inlineStr">
        <is>
          <t>R</t>
        </is>
      </c>
      <c r="F769" s="18" t="n"/>
      <c r="G769" s="9" t="n">
        <v>1.376</v>
      </c>
      <c r="H769" s="9" t="n">
        <v>1.376</v>
      </c>
      <c r="I769" s="9" t="inlineStr">
        <is>
          <t>Depth (no MLB IP)</t>
        </is>
      </c>
      <c r="J769" s="18" t="inlineStr">
        <is>
          <t>Opening Day</t>
        </is>
      </c>
      <c r="K769" s="11">
        <f>IFERROR(INDEX(Roles!$B$17:$B$20,MATCH(J769,Roles!$A$17:$A$20,0)),1)</f>
        <v/>
      </c>
      <c r="L769" s="19" t="n">
        <v>1</v>
      </c>
      <c r="M769" s="11" t="n">
        <v>1</v>
      </c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>
        <v>1</v>
      </c>
      <c r="Z769" s="13">
        <f>SUMPRODUCT(N769:Y769,$N$2:$Y$2)*$K769*$L769*$M769</f>
        <v/>
      </c>
      <c r="AA769" s="14">
        <f>SUM(N769:Y769)</f>
        <v/>
      </c>
      <c r="AB769" s="13">
        <f>SUMPRODUCT(N769:Y769,$N$3:$Y$3)*$K769*$L769*$M769</f>
        <v/>
      </c>
      <c r="AC769" s="13">
        <f>SUMPRODUCT(N769:Y769,$N$4:$Y$4)*$K769*$L769*$M769</f>
        <v/>
      </c>
      <c r="AD769" s="15" t="n">
        <v>3</v>
      </c>
      <c r="AE769" s="11" t="n">
        <v>1.011296296296296</v>
      </c>
      <c r="AF769" s="16">
        <f>SUMPRODUCT(N769:Y769,$N$5:$Y$5)*$K769*$L769*$M769</f>
        <v/>
      </c>
      <c r="AG769" s="16">
        <f>SUMPRODUCT(N769:Y769,$N$6:$Y$6)*$K769*$L769*$M769</f>
        <v/>
      </c>
      <c r="AH769" s="20" t="n"/>
    </row>
    <row r="770">
      <c r="A770" s="9" t="n">
        <v>693822</v>
      </c>
      <c r="B770" s="9" t="inlineStr">
        <is>
          <t>Murphy Stehly</t>
        </is>
      </c>
      <c r="C770" s="9" t="inlineStr">
        <is>
          <t>MIN</t>
        </is>
      </c>
      <c r="D770" s="9" t="n">
        <v>25</v>
      </c>
      <c r="E770" s="18" t="inlineStr">
        <is>
          <t>R</t>
        </is>
      </c>
      <c r="F770" s="18" t="n"/>
      <c r="G770" s="9" t="n">
        <v>1.505</v>
      </c>
      <c r="H770" s="9" t="n">
        <v>1.505</v>
      </c>
      <c r="I770" s="9" t="inlineStr">
        <is>
          <t>Depth (no MLB IP)</t>
        </is>
      </c>
      <c r="J770" s="18" t="inlineStr">
        <is>
          <t>Opening Day</t>
        </is>
      </c>
      <c r="K770" s="11">
        <f>IFERROR(INDEX(Roles!$B$17:$B$20,MATCH(J770,Roles!$A$17:$A$20,0)),1)</f>
        <v/>
      </c>
      <c r="L770" s="19" t="n">
        <v>1</v>
      </c>
      <c r="M770" s="11" t="n">
        <v>1</v>
      </c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>
        <v>1</v>
      </c>
      <c r="Z770" s="13">
        <f>SUMPRODUCT(N770:Y770,$N$2:$Y$2)*$K770*$L770*$M770</f>
        <v/>
      </c>
      <c r="AA770" s="14">
        <f>SUM(N770:Y770)</f>
        <v/>
      </c>
      <c r="AB770" s="13">
        <f>SUMPRODUCT(N770:Y770,$N$3:$Y$3)*$K770*$L770*$M770</f>
        <v/>
      </c>
      <c r="AC770" s="13">
        <f>SUMPRODUCT(N770:Y770,$N$4:$Y$4)*$K770*$L770*$M770</f>
        <v/>
      </c>
      <c r="AD770" s="15" t="n">
        <v>3</v>
      </c>
      <c r="AE770" s="11" t="n">
        <v>1.011296296296296</v>
      </c>
      <c r="AF770" s="16">
        <f>SUMPRODUCT(N770:Y770,$N$5:$Y$5)*$K770*$L770*$M770</f>
        <v/>
      </c>
      <c r="AG770" s="16">
        <f>SUMPRODUCT(N770:Y770,$N$6:$Y$6)*$K770*$L770*$M770</f>
        <v/>
      </c>
      <c r="AH770" s="20" t="n"/>
    </row>
    <row r="771">
      <c r="A771" s="9" t="n">
        <v>820960</v>
      </c>
      <c r="B771" s="9" t="inlineStr">
        <is>
          <t>Kifraidy Encarnacion</t>
        </is>
      </c>
      <c r="C771" s="9" t="inlineStr">
        <is>
          <t>MIA</t>
        </is>
      </c>
      <c r="D771" s="9" t="n">
        <v>25</v>
      </c>
      <c r="E771" s="18" t="inlineStr">
        <is>
          <t>L</t>
        </is>
      </c>
      <c r="F771" s="18" t="n"/>
      <c r="G771" s="9" t="n">
        <v>1.72</v>
      </c>
      <c r="H771" s="9" t="n">
        <v>1.72</v>
      </c>
      <c r="I771" s="9" t="inlineStr">
        <is>
          <t>Depth (no MLB IP)</t>
        </is>
      </c>
      <c r="J771" s="18" t="inlineStr">
        <is>
          <t>Opening Day</t>
        </is>
      </c>
      <c r="K771" s="11">
        <f>IFERROR(INDEX(Roles!$B$17:$B$20,MATCH(J771,Roles!$A$17:$A$20,0)),1)</f>
        <v/>
      </c>
      <c r="L771" s="19" t="n">
        <v>1</v>
      </c>
      <c r="M771" s="11" t="n">
        <v>1</v>
      </c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>
        <v>1</v>
      </c>
      <c r="Z771" s="13">
        <f>SUMPRODUCT(N771:Y771,$N$2:$Y$2)*$K771*$L771*$M771</f>
        <v/>
      </c>
      <c r="AA771" s="14">
        <f>SUM(N771:Y771)</f>
        <v/>
      </c>
      <c r="AB771" s="13">
        <f>SUMPRODUCT(N771:Y771,$N$3:$Y$3)*$K771*$L771*$M771</f>
        <v/>
      </c>
      <c r="AC771" s="13">
        <f>SUMPRODUCT(N771:Y771,$N$4:$Y$4)*$K771*$L771*$M771</f>
        <v/>
      </c>
      <c r="AD771" s="15" t="n">
        <v>3</v>
      </c>
      <c r="AE771" s="11" t="n">
        <v>1.011296296296296</v>
      </c>
      <c r="AF771" s="16">
        <f>SUMPRODUCT(N771:Y771,$N$5:$Y$5)*$K771*$L771*$M771</f>
        <v/>
      </c>
      <c r="AG771" s="16">
        <f>SUMPRODUCT(N771:Y771,$N$6:$Y$6)*$K771*$L771*$M771</f>
        <v/>
      </c>
      <c r="AH771" s="20" t="n"/>
    </row>
    <row r="772">
      <c r="A772" s="9" t="n">
        <v>801745</v>
      </c>
      <c r="B772" s="9" t="inlineStr">
        <is>
          <t>Clarence Martina</t>
        </is>
      </c>
      <c r="C772" s="9" t="inlineStr">
        <is>
          <t>WSH</t>
        </is>
      </c>
      <c r="D772" s="9" t="n">
        <v>25</v>
      </c>
      <c r="E772" s="18" t="inlineStr">
        <is>
          <t>R</t>
        </is>
      </c>
      <c r="F772" s="18" t="n"/>
      <c r="G772" s="9" t="n">
        <v>1.376</v>
      </c>
      <c r="H772" s="9" t="n">
        <v>1.376</v>
      </c>
      <c r="I772" s="9" t="inlineStr">
        <is>
          <t>Depth (no MLB IP)</t>
        </is>
      </c>
      <c r="J772" s="18" t="inlineStr">
        <is>
          <t>Opening Day</t>
        </is>
      </c>
      <c r="K772" s="11">
        <f>IFERROR(INDEX(Roles!$B$17:$B$20,MATCH(J772,Roles!$A$17:$A$20,0)),1)</f>
        <v/>
      </c>
      <c r="L772" s="19" t="n">
        <v>1</v>
      </c>
      <c r="M772" s="11" t="n">
        <v>1</v>
      </c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>
        <v>1</v>
      </c>
      <c r="Z772" s="13">
        <f>SUMPRODUCT(N772:Y772,$N$2:$Y$2)*$K772*$L772*$M772</f>
        <v/>
      </c>
      <c r="AA772" s="14">
        <f>SUM(N772:Y772)</f>
        <v/>
      </c>
      <c r="AB772" s="13">
        <f>SUMPRODUCT(N772:Y772,$N$3:$Y$3)*$K772*$L772*$M772</f>
        <v/>
      </c>
      <c r="AC772" s="13">
        <f>SUMPRODUCT(N772:Y772,$N$4:$Y$4)*$K772*$L772*$M772</f>
        <v/>
      </c>
      <c r="AD772" s="15" t="n">
        <v>3</v>
      </c>
      <c r="AE772" s="11" t="n">
        <v>1.011296296296296</v>
      </c>
      <c r="AF772" s="16">
        <f>SUMPRODUCT(N772:Y772,$N$5:$Y$5)*$K772*$L772*$M772</f>
        <v/>
      </c>
      <c r="AG772" s="16">
        <f>SUMPRODUCT(N772:Y772,$N$6:$Y$6)*$K772*$L772*$M772</f>
        <v/>
      </c>
      <c r="AH772" s="20" t="n"/>
    </row>
    <row r="773">
      <c r="A773" s="9" t="n">
        <v>822162</v>
      </c>
      <c r="B773" s="9" t="inlineStr">
        <is>
          <t>Brandon Forrester</t>
        </is>
      </c>
      <c r="C773" s="9" t="inlineStr">
        <is>
          <t>HOU</t>
        </is>
      </c>
      <c r="D773" s="9" t="n">
        <v>25</v>
      </c>
      <c r="E773" s="18" t="inlineStr">
        <is>
          <t>R</t>
        </is>
      </c>
      <c r="F773" s="18" t="n"/>
      <c r="G773" s="9" t="n">
        <v>1.505</v>
      </c>
      <c r="H773" s="9" t="n">
        <v>1.505</v>
      </c>
      <c r="I773" s="9" t="inlineStr">
        <is>
          <t>Depth (no MLB IP)</t>
        </is>
      </c>
      <c r="J773" s="18" t="inlineStr">
        <is>
          <t>Opening Day</t>
        </is>
      </c>
      <c r="K773" s="11">
        <f>IFERROR(INDEX(Roles!$B$17:$B$20,MATCH(J773,Roles!$A$17:$A$20,0)),1)</f>
        <v/>
      </c>
      <c r="L773" s="19" t="n">
        <v>1</v>
      </c>
      <c r="M773" s="11" t="n">
        <v>1</v>
      </c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>
        <v>1</v>
      </c>
      <c r="Z773" s="13">
        <f>SUMPRODUCT(N773:Y773,$N$2:$Y$2)*$K773*$L773*$M773</f>
        <v/>
      </c>
      <c r="AA773" s="14">
        <f>SUM(N773:Y773)</f>
        <v/>
      </c>
      <c r="AB773" s="13">
        <f>SUMPRODUCT(N773:Y773,$N$3:$Y$3)*$K773*$L773*$M773</f>
        <v/>
      </c>
      <c r="AC773" s="13">
        <f>SUMPRODUCT(N773:Y773,$N$4:$Y$4)*$K773*$L773*$M773</f>
        <v/>
      </c>
      <c r="AD773" s="15" t="n">
        <v>3</v>
      </c>
      <c r="AE773" s="11" t="n">
        <v>1.011296296296296</v>
      </c>
      <c r="AF773" s="16">
        <f>SUMPRODUCT(N773:Y773,$N$5:$Y$5)*$K773*$L773*$M773</f>
        <v/>
      </c>
      <c r="AG773" s="16">
        <f>SUMPRODUCT(N773:Y773,$N$6:$Y$6)*$K773*$L773*$M773</f>
        <v/>
      </c>
      <c r="AH773" s="20" t="n"/>
    </row>
    <row r="774">
      <c r="A774" s="9" t="n">
        <v>815218</v>
      </c>
      <c r="B774" s="9" t="inlineStr">
        <is>
          <t>Alexander Fuentes</t>
        </is>
      </c>
      <c r="C774" s="9" t="inlineStr">
        <is>
          <t>SF</t>
        </is>
      </c>
      <c r="D774" s="9" t="n">
        <v>25</v>
      </c>
      <c r="E774" s="18" t="inlineStr">
        <is>
          <t>R</t>
        </is>
      </c>
      <c r="F774" s="18" t="n"/>
      <c r="G774" s="9" t="n">
        <v>1.376</v>
      </c>
      <c r="H774" s="9" t="n">
        <v>1.376</v>
      </c>
      <c r="I774" s="9" t="inlineStr">
        <is>
          <t>Depth (no MLB IP)</t>
        </is>
      </c>
      <c r="J774" s="18" t="inlineStr">
        <is>
          <t>Opening Day</t>
        </is>
      </c>
      <c r="K774" s="11">
        <f>IFERROR(INDEX(Roles!$B$17:$B$20,MATCH(J774,Roles!$A$17:$A$20,0)),1)</f>
        <v/>
      </c>
      <c r="L774" s="19" t="n">
        <v>1</v>
      </c>
      <c r="M774" s="11" t="n">
        <v>1</v>
      </c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>
        <v>1</v>
      </c>
      <c r="Z774" s="13">
        <f>SUMPRODUCT(N774:Y774,$N$2:$Y$2)*$K774*$L774*$M774</f>
        <v/>
      </c>
      <c r="AA774" s="14">
        <f>SUM(N774:Y774)</f>
        <v/>
      </c>
      <c r="AB774" s="13">
        <f>SUMPRODUCT(N774:Y774,$N$3:$Y$3)*$K774*$L774*$M774</f>
        <v/>
      </c>
      <c r="AC774" s="13">
        <f>SUMPRODUCT(N774:Y774,$N$4:$Y$4)*$K774*$L774*$M774</f>
        <v/>
      </c>
      <c r="AD774" s="15" t="n">
        <v>3</v>
      </c>
      <c r="AE774" s="11" t="n">
        <v>1.011296296296296</v>
      </c>
      <c r="AF774" s="16">
        <f>SUMPRODUCT(N774:Y774,$N$5:$Y$5)*$K774*$L774*$M774</f>
        <v/>
      </c>
      <c r="AG774" s="16">
        <f>SUMPRODUCT(N774:Y774,$N$6:$Y$6)*$K774*$L774*$M774</f>
        <v/>
      </c>
      <c r="AH774" s="20" t="n"/>
    </row>
    <row r="775">
      <c r="A775" s="9" t="n">
        <v>694484</v>
      </c>
      <c r="B775" s="9" t="inlineStr">
        <is>
          <t>Max Wagner</t>
        </is>
      </c>
      <c r="C775" s="9" t="inlineStr">
        <is>
          <t>TEX</t>
        </is>
      </c>
      <c r="D775" s="9" t="n">
        <v>25</v>
      </c>
      <c r="E775" s="18" t="inlineStr">
        <is>
          <t>R</t>
        </is>
      </c>
      <c r="F775" s="18" t="n"/>
      <c r="G775" s="9" t="n">
        <v>1.505</v>
      </c>
      <c r="H775" s="9" t="n">
        <v>1.505</v>
      </c>
      <c r="I775" s="9" t="inlineStr">
        <is>
          <t>Depth (no MLB IP)</t>
        </is>
      </c>
      <c r="J775" s="18" t="inlineStr">
        <is>
          <t>Opening Day</t>
        </is>
      </c>
      <c r="K775" s="11">
        <f>IFERROR(INDEX(Roles!$B$17:$B$20,MATCH(J775,Roles!$A$17:$A$20,0)),1)</f>
        <v/>
      </c>
      <c r="L775" s="19" t="n">
        <v>1</v>
      </c>
      <c r="M775" s="11" t="n">
        <v>1</v>
      </c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>
        <v>1</v>
      </c>
      <c r="Z775" s="13">
        <f>SUMPRODUCT(N775:Y775,$N$2:$Y$2)*$K775*$L775*$M775</f>
        <v/>
      </c>
      <c r="AA775" s="14">
        <f>SUM(N775:Y775)</f>
        <v/>
      </c>
      <c r="AB775" s="13">
        <f>SUMPRODUCT(N775:Y775,$N$3:$Y$3)*$K775*$L775*$M775</f>
        <v/>
      </c>
      <c r="AC775" s="13">
        <f>SUMPRODUCT(N775:Y775,$N$4:$Y$4)*$K775*$L775*$M775</f>
        <v/>
      </c>
      <c r="AD775" s="15" t="n">
        <v>3</v>
      </c>
      <c r="AE775" s="11" t="n">
        <v>1.011296296296296</v>
      </c>
      <c r="AF775" s="16">
        <f>SUMPRODUCT(N775:Y775,$N$5:$Y$5)*$K775*$L775*$M775</f>
        <v/>
      </c>
      <c r="AG775" s="16">
        <f>SUMPRODUCT(N775:Y775,$N$6:$Y$6)*$K775*$L775*$M775</f>
        <v/>
      </c>
      <c r="AH775" s="20" t="n"/>
    </row>
    <row r="776">
      <c r="A776" s="9" t="n">
        <v>832227</v>
      </c>
      <c r="B776" s="9" t="inlineStr">
        <is>
          <t>Eric Lin</t>
        </is>
      </c>
      <c r="C776" s="9" t="inlineStr">
        <is>
          <t>TB</t>
        </is>
      </c>
      <c r="D776" s="9" t="n">
        <v>25</v>
      </c>
      <c r="E776" s="18" t="inlineStr">
        <is>
          <t>R</t>
        </is>
      </c>
      <c r="F776" s="18" t="n"/>
      <c r="G776" s="9" t="n">
        <v>2.408</v>
      </c>
      <c r="H776" s="9" t="n">
        <v>2.408</v>
      </c>
      <c r="I776" s="9" t="inlineStr">
        <is>
          <t>Depth (no MLB IP)</t>
        </is>
      </c>
      <c r="J776" s="18" t="inlineStr">
        <is>
          <t>Opening Day</t>
        </is>
      </c>
      <c r="K776" s="11">
        <f>IFERROR(INDEX(Roles!$B$17:$B$20,MATCH(J776,Roles!$A$17:$A$20,0)),1)</f>
        <v/>
      </c>
      <c r="L776" s="19" t="n">
        <v>1</v>
      </c>
      <c r="M776" s="11" t="n">
        <v>1</v>
      </c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>
        <v>1</v>
      </c>
      <c r="Z776" s="13">
        <f>SUMPRODUCT(N776:Y776,$N$2:$Y$2)*$K776*$L776*$M776</f>
        <v/>
      </c>
      <c r="AA776" s="14">
        <f>SUM(N776:Y776)</f>
        <v/>
      </c>
      <c r="AB776" s="13">
        <f>SUMPRODUCT(N776:Y776,$N$3:$Y$3)*$K776*$L776*$M776</f>
        <v/>
      </c>
      <c r="AC776" s="13">
        <f>SUMPRODUCT(N776:Y776,$N$4:$Y$4)*$K776*$L776*$M776</f>
        <v/>
      </c>
      <c r="AD776" s="15" t="n">
        <v>3</v>
      </c>
      <c r="AE776" s="11" t="n">
        <v>1.011296296296296</v>
      </c>
      <c r="AF776" s="16">
        <f>SUMPRODUCT(N776:Y776,$N$5:$Y$5)*$K776*$L776*$M776</f>
        <v/>
      </c>
      <c r="AG776" s="16">
        <f>SUMPRODUCT(N776:Y776,$N$6:$Y$6)*$K776*$L776*$M776</f>
        <v/>
      </c>
      <c r="AH776" s="20" t="n"/>
    </row>
    <row r="777">
      <c r="A777" s="9" t="n">
        <v>844017</v>
      </c>
      <c r="B777" s="9" t="inlineStr">
        <is>
          <t>Cooper Carlgren</t>
        </is>
      </c>
      <c r="C777" s="9" t="inlineStr">
        <is>
          <t>WSH</t>
        </is>
      </c>
      <c r="D777" s="9" t="n">
        <v>25</v>
      </c>
      <c r="E777" s="18" t="inlineStr">
        <is>
          <t>R</t>
        </is>
      </c>
      <c r="F777" s="18" t="n"/>
      <c r="G777" s="9" t="n">
        <v>2.064</v>
      </c>
      <c r="H777" s="9" t="n">
        <v>2.064</v>
      </c>
      <c r="I777" s="9" t="inlineStr">
        <is>
          <t>Depth (no MLB IP)</t>
        </is>
      </c>
      <c r="J777" s="18" t="inlineStr">
        <is>
          <t>Opening Day</t>
        </is>
      </c>
      <c r="K777" s="11">
        <f>IFERROR(INDEX(Roles!$B$17:$B$20,MATCH(J777,Roles!$A$17:$A$20,0)),1)</f>
        <v/>
      </c>
      <c r="L777" s="19" t="n">
        <v>1</v>
      </c>
      <c r="M777" s="11" t="n">
        <v>1</v>
      </c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>
        <v>1</v>
      </c>
      <c r="Z777" s="13">
        <f>SUMPRODUCT(N777:Y777,$N$2:$Y$2)*$K777*$L777*$M777</f>
        <v/>
      </c>
      <c r="AA777" s="14">
        <f>SUM(N777:Y777)</f>
        <v/>
      </c>
      <c r="AB777" s="13">
        <f>SUMPRODUCT(N777:Y777,$N$3:$Y$3)*$K777*$L777*$M777</f>
        <v/>
      </c>
      <c r="AC777" s="13">
        <f>SUMPRODUCT(N777:Y777,$N$4:$Y$4)*$K777*$L777*$M777</f>
        <v/>
      </c>
      <c r="AD777" s="15" t="n">
        <v>3</v>
      </c>
      <c r="AE777" s="11" t="n">
        <v>1.011296296296296</v>
      </c>
      <c r="AF777" s="16">
        <f>SUMPRODUCT(N777:Y777,$N$5:$Y$5)*$K777*$L777*$M777</f>
        <v/>
      </c>
      <c r="AG777" s="16">
        <f>SUMPRODUCT(N777:Y777,$N$6:$Y$6)*$K777*$L777*$M777</f>
        <v/>
      </c>
      <c r="AH777" s="20" t="n"/>
    </row>
    <row r="778">
      <c r="A778" s="9" t="n">
        <v>686623</v>
      </c>
      <c r="B778" s="9" t="inlineStr">
        <is>
          <t>P.J. Labriola</t>
        </is>
      </c>
      <c r="C778" s="9" t="inlineStr">
        <is>
          <t>BOS</t>
        </is>
      </c>
      <c r="D778" s="9" t="n">
        <v>25</v>
      </c>
      <c r="E778" s="18" t="inlineStr">
        <is>
          <t>L</t>
        </is>
      </c>
      <c r="F778" s="18" t="n"/>
      <c r="G778" s="9" t="n">
        <v>2.006666666666666</v>
      </c>
      <c r="H778" s="9" t="n">
        <v>2.006666666666666</v>
      </c>
      <c r="I778" s="9" t="inlineStr">
        <is>
          <t>Depth (no MLB IP)</t>
        </is>
      </c>
      <c r="J778" s="18" t="inlineStr">
        <is>
          <t>Opening Day</t>
        </is>
      </c>
      <c r="K778" s="11">
        <f>IFERROR(INDEX(Roles!$B$17:$B$20,MATCH(J778,Roles!$A$17:$A$20,0)),1)</f>
        <v/>
      </c>
      <c r="L778" s="19" t="n">
        <v>1</v>
      </c>
      <c r="M778" s="11" t="n">
        <v>1</v>
      </c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>
        <v>1</v>
      </c>
      <c r="Z778" s="13">
        <f>SUMPRODUCT(N778:Y778,$N$2:$Y$2)*$K778*$L778*$M778</f>
        <v/>
      </c>
      <c r="AA778" s="14">
        <f>SUM(N778:Y778)</f>
        <v/>
      </c>
      <c r="AB778" s="13">
        <f>SUMPRODUCT(N778:Y778,$N$3:$Y$3)*$K778*$L778*$M778</f>
        <v/>
      </c>
      <c r="AC778" s="13">
        <f>SUMPRODUCT(N778:Y778,$N$4:$Y$4)*$K778*$L778*$M778</f>
        <v/>
      </c>
      <c r="AD778" s="15" t="n">
        <v>3</v>
      </c>
      <c r="AE778" s="11" t="n">
        <v>1.011296296296296</v>
      </c>
      <c r="AF778" s="16">
        <f>SUMPRODUCT(N778:Y778,$N$5:$Y$5)*$K778*$L778*$M778</f>
        <v/>
      </c>
      <c r="AG778" s="16">
        <f>SUMPRODUCT(N778:Y778,$N$6:$Y$6)*$K778*$L778*$M778</f>
        <v/>
      </c>
      <c r="AH778" s="20" t="n"/>
    </row>
    <row r="779">
      <c r="A779" s="9" t="n">
        <v>687066</v>
      </c>
      <c r="B779" s="9" t="inlineStr">
        <is>
          <t>Eric Yang</t>
        </is>
      </c>
      <c r="C779" s="9" t="inlineStr">
        <is>
          <t>CHC</t>
        </is>
      </c>
      <c r="D779" s="9" t="n">
        <v>25</v>
      </c>
      <c r="E779" s="18" t="inlineStr">
        <is>
          <t>R</t>
        </is>
      </c>
      <c r="F779" s="18" t="n"/>
      <c r="G779" s="9" t="n">
        <v>2.365</v>
      </c>
      <c r="H779" s="9" t="n">
        <v>2.365</v>
      </c>
      <c r="I779" s="9" t="inlineStr">
        <is>
          <t>Depth (no MLB IP)</t>
        </is>
      </c>
      <c r="J779" s="18" t="inlineStr">
        <is>
          <t>Opening Day</t>
        </is>
      </c>
      <c r="K779" s="11">
        <f>IFERROR(INDEX(Roles!$B$17:$B$20,MATCH(J779,Roles!$A$17:$A$20,0)),1)</f>
        <v/>
      </c>
      <c r="L779" s="19" t="n">
        <v>1</v>
      </c>
      <c r="M779" s="11" t="n">
        <v>1</v>
      </c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>
        <v>1</v>
      </c>
      <c r="Z779" s="13">
        <f>SUMPRODUCT(N779:Y779,$N$2:$Y$2)*$K779*$L779*$M779</f>
        <v/>
      </c>
      <c r="AA779" s="14">
        <f>SUM(N779:Y779)</f>
        <v/>
      </c>
      <c r="AB779" s="13">
        <f>SUMPRODUCT(N779:Y779,$N$3:$Y$3)*$K779*$L779*$M779</f>
        <v/>
      </c>
      <c r="AC779" s="13">
        <f>SUMPRODUCT(N779:Y779,$N$4:$Y$4)*$K779*$L779*$M779</f>
        <v/>
      </c>
      <c r="AD779" s="15" t="n">
        <v>3</v>
      </c>
      <c r="AE779" s="11" t="n">
        <v>1.011296296296296</v>
      </c>
      <c r="AF779" s="16">
        <f>SUMPRODUCT(N779:Y779,$N$5:$Y$5)*$K779*$L779*$M779</f>
        <v/>
      </c>
      <c r="AG779" s="16">
        <f>SUMPRODUCT(N779:Y779,$N$6:$Y$6)*$K779*$L779*$M779</f>
        <v/>
      </c>
      <c r="AH779" s="20" t="n"/>
    </row>
    <row r="780">
      <c r="A780" s="9" t="n">
        <v>686793</v>
      </c>
      <c r="B780" s="9" t="inlineStr">
        <is>
          <t>J.T. Arruda</t>
        </is>
      </c>
      <c r="C780" s="9" t="inlineStr">
        <is>
          <t>SEA</t>
        </is>
      </c>
      <c r="D780" s="9" t="n">
        <v>25</v>
      </c>
      <c r="E780" s="18" t="inlineStr">
        <is>
          <t>R</t>
        </is>
      </c>
      <c r="F780" s="18" t="n"/>
      <c r="G780" s="9" t="n">
        <v>2.006666666666666</v>
      </c>
      <c r="H780" s="9" t="n">
        <v>2.006666666666666</v>
      </c>
      <c r="I780" s="9" t="inlineStr">
        <is>
          <t>Depth (no MLB IP)</t>
        </is>
      </c>
      <c r="J780" s="18" t="inlineStr">
        <is>
          <t>Opening Day</t>
        </is>
      </c>
      <c r="K780" s="11">
        <f>IFERROR(INDEX(Roles!$B$17:$B$20,MATCH(J780,Roles!$A$17:$A$20,0)),1)</f>
        <v/>
      </c>
      <c r="L780" s="19" t="n">
        <v>1</v>
      </c>
      <c r="M780" s="11" t="n">
        <v>1</v>
      </c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>
        <v>1</v>
      </c>
      <c r="Z780" s="13">
        <f>SUMPRODUCT(N780:Y780,$N$2:$Y$2)*$K780*$L780*$M780</f>
        <v/>
      </c>
      <c r="AA780" s="14">
        <f>SUM(N780:Y780)</f>
        <v/>
      </c>
      <c r="AB780" s="13">
        <f>SUMPRODUCT(N780:Y780,$N$3:$Y$3)*$K780*$L780*$M780</f>
        <v/>
      </c>
      <c r="AC780" s="13">
        <f>SUMPRODUCT(N780:Y780,$N$4:$Y$4)*$K780*$L780*$M780</f>
        <v/>
      </c>
      <c r="AD780" s="15" t="n">
        <v>3</v>
      </c>
      <c r="AE780" s="11" t="n">
        <v>1.011296296296296</v>
      </c>
      <c r="AF780" s="16">
        <f>SUMPRODUCT(N780:Y780,$N$5:$Y$5)*$K780*$L780*$M780</f>
        <v/>
      </c>
      <c r="AG780" s="16">
        <f>SUMPRODUCT(N780:Y780,$N$6:$Y$6)*$K780*$L780*$M780</f>
        <v/>
      </c>
      <c r="AH780" s="20" t="n"/>
    </row>
    <row r="781">
      <c r="A781" s="9" t="n">
        <v>829383</v>
      </c>
      <c r="B781" s="9" t="inlineStr">
        <is>
          <t>Jhon Almonte</t>
        </is>
      </c>
      <c r="C781" s="9" t="inlineStr">
        <is>
          <t>LAA</t>
        </is>
      </c>
      <c r="D781" s="9" t="n">
        <v>25</v>
      </c>
      <c r="E781" s="18" t="inlineStr">
        <is>
          <t>R</t>
        </is>
      </c>
      <c r="F781" s="18" t="n"/>
      <c r="G781" s="9" t="n">
        <v>2.236</v>
      </c>
      <c r="H781" s="9" t="n">
        <v>2.236</v>
      </c>
      <c r="I781" s="9" t="inlineStr">
        <is>
          <t>Depth (no MLB IP)</t>
        </is>
      </c>
      <c r="J781" s="18" t="inlineStr">
        <is>
          <t>Opening Day</t>
        </is>
      </c>
      <c r="K781" s="11">
        <f>IFERROR(INDEX(Roles!$B$17:$B$20,MATCH(J781,Roles!$A$17:$A$20,0)),1)</f>
        <v/>
      </c>
      <c r="L781" s="19" t="n">
        <v>1</v>
      </c>
      <c r="M781" s="11" t="n">
        <v>1</v>
      </c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>
        <v>1</v>
      </c>
      <c r="Z781" s="13">
        <f>SUMPRODUCT(N781:Y781,$N$2:$Y$2)*$K781*$L781*$M781</f>
        <v/>
      </c>
      <c r="AA781" s="14">
        <f>SUM(N781:Y781)</f>
        <v/>
      </c>
      <c r="AB781" s="13">
        <f>SUMPRODUCT(N781:Y781,$N$3:$Y$3)*$K781*$L781*$M781</f>
        <v/>
      </c>
      <c r="AC781" s="13">
        <f>SUMPRODUCT(N781:Y781,$N$4:$Y$4)*$K781*$L781*$M781</f>
        <v/>
      </c>
      <c r="AD781" s="15" t="n">
        <v>3</v>
      </c>
      <c r="AE781" s="11" t="n">
        <v>1.011296296296296</v>
      </c>
      <c r="AF781" s="16">
        <f>SUMPRODUCT(N781:Y781,$N$5:$Y$5)*$K781*$L781*$M781</f>
        <v/>
      </c>
      <c r="AG781" s="16">
        <f>SUMPRODUCT(N781:Y781,$N$6:$Y$6)*$K781*$L781*$M781</f>
        <v/>
      </c>
      <c r="AH781" s="20" t="n"/>
    </row>
    <row r="782">
      <c r="A782" s="9" t="n">
        <v>827624</v>
      </c>
      <c r="B782" s="9" t="inlineStr">
        <is>
          <t>Michael Hallquist</t>
        </is>
      </c>
      <c r="C782" s="9" t="inlineStr">
        <is>
          <t>CHC</t>
        </is>
      </c>
      <c r="D782" s="9" t="n">
        <v>25</v>
      </c>
      <c r="E782" s="18" t="inlineStr">
        <is>
          <t>R</t>
        </is>
      </c>
      <c r="F782" s="18" t="n"/>
      <c r="G782" s="9" t="n">
        <v>2.006666666666667</v>
      </c>
      <c r="H782" s="9" t="n">
        <v>2.006666666666667</v>
      </c>
      <c r="I782" s="9" t="inlineStr">
        <is>
          <t>Depth (no MLB IP)</t>
        </is>
      </c>
      <c r="J782" s="18" t="inlineStr">
        <is>
          <t>Opening Day</t>
        </is>
      </c>
      <c r="K782" s="11">
        <f>IFERROR(INDEX(Roles!$B$17:$B$20,MATCH(J782,Roles!$A$17:$A$20,0)),1)</f>
        <v/>
      </c>
      <c r="L782" s="19" t="n">
        <v>1</v>
      </c>
      <c r="M782" s="11" t="n">
        <v>1</v>
      </c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>
        <v>1</v>
      </c>
      <c r="Z782" s="13">
        <f>SUMPRODUCT(N782:Y782,$N$2:$Y$2)*$K782*$L782*$M782</f>
        <v/>
      </c>
      <c r="AA782" s="14">
        <f>SUM(N782:Y782)</f>
        <v/>
      </c>
      <c r="AB782" s="13">
        <f>SUMPRODUCT(N782:Y782,$N$3:$Y$3)*$K782*$L782*$M782</f>
        <v/>
      </c>
      <c r="AC782" s="13">
        <f>SUMPRODUCT(N782:Y782,$N$4:$Y$4)*$K782*$L782*$M782</f>
        <v/>
      </c>
      <c r="AD782" s="15" t="n">
        <v>3</v>
      </c>
      <c r="AE782" s="11" t="n">
        <v>1.011296296296296</v>
      </c>
      <c r="AF782" s="16">
        <f>SUMPRODUCT(N782:Y782,$N$5:$Y$5)*$K782*$L782*$M782</f>
        <v/>
      </c>
      <c r="AG782" s="16">
        <f>SUMPRODUCT(N782:Y782,$N$6:$Y$6)*$K782*$L782*$M782</f>
        <v/>
      </c>
      <c r="AH782" s="20" t="n"/>
    </row>
    <row r="783">
      <c r="A783" s="9" t="n">
        <v>690448</v>
      </c>
      <c r="B783" s="9" t="inlineStr">
        <is>
          <t>Mike Jarvis</t>
        </is>
      </c>
      <c r="C783" s="9" t="inlineStr">
        <is>
          <t>PIT</t>
        </is>
      </c>
      <c r="D783" s="9" t="n">
        <v>25</v>
      </c>
      <c r="E783" s="18" t="inlineStr">
        <is>
          <t>R</t>
        </is>
      </c>
      <c r="F783" s="18" t="n"/>
      <c r="G783" s="9" t="n">
        <v>2.365</v>
      </c>
      <c r="H783" s="9" t="n">
        <v>2.365</v>
      </c>
      <c r="I783" s="9" t="inlineStr">
        <is>
          <t>Depth (no MLB IP)</t>
        </is>
      </c>
      <c r="J783" s="18" t="inlineStr">
        <is>
          <t>Opening Day</t>
        </is>
      </c>
      <c r="K783" s="11">
        <f>IFERROR(INDEX(Roles!$B$17:$B$20,MATCH(J783,Roles!$A$17:$A$20,0)),1)</f>
        <v/>
      </c>
      <c r="L783" s="19" t="n">
        <v>1</v>
      </c>
      <c r="M783" s="11" t="n">
        <v>1</v>
      </c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>
        <v>1</v>
      </c>
      <c r="Z783" s="13">
        <f>SUMPRODUCT(N783:Y783,$N$2:$Y$2)*$K783*$L783*$M783</f>
        <v/>
      </c>
      <c r="AA783" s="14">
        <f>SUM(N783:Y783)</f>
        <v/>
      </c>
      <c r="AB783" s="13">
        <f>SUMPRODUCT(N783:Y783,$N$3:$Y$3)*$K783*$L783*$M783</f>
        <v/>
      </c>
      <c r="AC783" s="13">
        <f>SUMPRODUCT(N783:Y783,$N$4:$Y$4)*$K783*$L783*$M783</f>
        <v/>
      </c>
      <c r="AD783" s="15" t="n">
        <v>3</v>
      </c>
      <c r="AE783" s="11" t="n">
        <v>1.011296296296296</v>
      </c>
      <c r="AF783" s="16">
        <f>SUMPRODUCT(N783:Y783,$N$5:$Y$5)*$K783*$L783*$M783</f>
        <v/>
      </c>
      <c r="AG783" s="16">
        <f>SUMPRODUCT(N783:Y783,$N$6:$Y$6)*$K783*$L783*$M783</f>
        <v/>
      </c>
      <c r="AH783" s="20" t="n"/>
    </row>
    <row r="784">
      <c r="A784" s="9" t="n">
        <v>665993</v>
      </c>
      <c r="B784" s="9" t="inlineStr">
        <is>
          <t>Cristhian Tortosa</t>
        </is>
      </c>
      <c r="C784" s="9" t="inlineStr">
        <is>
          <t>PIT</t>
        </is>
      </c>
      <c r="D784" s="9" t="n">
        <v>25</v>
      </c>
      <c r="E784" s="18" t="inlineStr">
        <is>
          <t>L</t>
        </is>
      </c>
      <c r="F784" s="18" t="n"/>
      <c r="G784" s="9" t="n">
        <v>2.365</v>
      </c>
      <c r="H784" s="9" t="n">
        <v>2.365</v>
      </c>
      <c r="I784" s="9" t="inlineStr">
        <is>
          <t>Depth (no MLB IP)</t>
        </is>
      </c>
      <c r="J784" s="18" t="inlineStr">
        <is>
          <t>Opening Day</t>
        </is>
      </c>
      <c r="K784" s="11">
        <f>IFERROR(INDEX(Roles!$B$17:$B$20,MATCH(J784,Roles!$A$17:$A$20,0)),1)</f>
        <v/>
      </c>
      <c r="L784" s="19" t="n">
        <v>1</v>
      </c>
      <c r="M784" s="11" t="n">
        <v>1</v>
      </c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>
        <v>1</v>
      </c>
      <c r="Z784" s="13">
        <f>SUMPRODUCT(N784:Y784,$N$2:$Y$2)*$K784*$L784*$M784</f>
        <v/>
      </c>
      <c r="AA784" s="14">
        <f>SUM(N784:Y784)</f>
        <v/>
      </c>
      <c r="AB784" s="13">
        <f>SUMPRODUCT(N784:Y784,$N$3:$Y$3)*$K784*$L784*$M784</f>
        <v/>
      </c>
      <c r="AC784" s="13">
        <f>SUMPRODUCT(N784:Y784,$N$4:$Y$4)*$K784*$L784*$M784</f>
        <v/>
      </c>
      <c r="AD784" s="15" t="n">
        <v>3</v>
      </c>
      <c r="AE784" s="11" t="n">
        <v>1.011296296296296</v>
      </c>
      <c r="AF784" s="16">
        <f>SUMPRODUCT(N784:Y784,$N$5:$Y$5)*$K784*$L784*$M784</f>
        <v/>
      </c>
      <c r="AG784" s="16">
        <f>SUMPRODUCT(N784:Y784,$N$6:$Y$6)*$K784*$L784*$M784</f>
        <v/>
      </c>
      <c r="AH784" s="20" t="n"/>
    </row>
    <row r="785">
      <c r="A785" s="9" t="n">
        <v>699232</v>
      </c>
      <c r="B785" s="9" t="inlineStr">
        <is>
          <t>Anderdson Rojas</t>
        </is>
      </c>
      <c r="C785" s="9" t="inlineStr">
        <is>
          <t>ARI</t>
        </is>
      </c>
      <c r="D785" s="9" t="n">
        <v>25</v>
      </c>
      <c r="E785" s="18" t="inlineStr">
        <is>
          <t>R</t>
        </is>
      </c>
      <c r="F785" s="18" t="n"/>
      <c r="G785" s="9" t="n">
        <v>2.365</v>
      </c>
      <c r="H785" s="9" t="n">
        <v>2.365</v>
      </c>
      <c r="I785" s="9" t="inlineStr">
        <is>
          <t>Depth (no MLB IP)</t>
        </is>
      </c>
      <c r="J785" s="18" t="inlineStr">
        <is>
          <t>Opening Day</t>
        </is>
      </c>
      <c r="K785" s="11">
        <f>IFERROR(INDEX(Roles!$B$17:$B$20,MATCH(J785,Roles!$A$17:$A$20,0)),1)</f>
        <v/>
      </c>
      <c r="L785" s="19" t="n">
        <v>1</v>
      </c>
      <c r="M785" s="11" t="n">
        <v>1</v>
      </c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>
        <v>1</v>
      </c>
      <c r="Z785" s="13">
        <f>SUMPRODUCT(N785:Y785,$N$2:$Y$2)*$K785*$L785*$M785</f>
        <v/>
      </c>
      <c r="AA785" s="14">
        <f>SUM(N785:Y785)</f>
        <v/>
      </c>
      <c r="AB785" s="13">
        <f>SUMPRODUCT(N785:Y785,$N$3:$Y$3)*$K785*$L785*$M785</f>
        <v/>
      </c>
      <c r="AC785" s="13">
        <f>SUMPRODUCT(N785:Y785,$N$4:$Y$4)*$K785*$L785*$M785</f>
        <v/>
      </c>
      <c r="AD785" s="15" t="n">
        <v>3</v>
      </c>
      <c r="AE785" s="11" t="n">
        <v>1.011296296296296</v>
      </c>
      <c r="AF785" s="16">
        <f>SUMPRODUCT(N785:Y785,$N$5:$Y$5)*$K785*$L785*$M785</f>
        <v/>
      </c>
      <c r="AG785" s="16">
        <f>SUMPRODUCT(N785:Y785,$N$6:$Y$6)*$K785*$L785*$M785</f>
        <v/>
      </c>
      <c r="AH785" s="20" t="n"/>
    </row>
    <row r="786">
      <c r="A786" s="9" t="n">
        <v>809819</v>
      </c>
      <c r="B786" s="9" t="inlineStr">
        <is>
          <t>Bryson Van Sickle</t>
        </is>
      </c>
      <c r="C786" s="9" t="inlineStr">
        <is>
          <t>COL</t>
        </is>
      </c>
      <c r="D786" s="9" t="n">
        <v>25</v>
      </c>
      <c r="E786" s="18" t="inlineStr">
        <is>
          <t>L</t>
        </is>
      </c>
      <c r="F786" s="18" t="n"/>
      <c r="G786" s="9" t="n">
        <v>2.365</v>
      </c>
      <c r="H786" s="9" t="n">
        <v>2.365</v>
      </c>
      <c r="I786" s="9" t="inlineStr">
        <is>
          <t>Depth (no MLB IP)</t>
        </is>
      </c>
      <c r="J786" s="18" t="inlineStr">
        <is>
          <t>Opening Day</t>
        </is>
      </c>
      <c r="K786" s="11">
        <f>IFERROR(INDEX(Roles!$B$17:$B$20,MATCH(J786,Roles!$A$17:$A$20,0)),1)</f>
        <v/>
      </c>
      <c r="L786" s="19" t="n">
        <v>1</v>
      </c>
      <c r="M786" s="11" t="n">
        <v>1</v>
      </c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>
        <v>1</v>
      </c>
      <c r="Z786" s="13">
        <f>SUMPRODUCT(N786:Y786,$N$2:$Y$2)*$K786*$L786*$M786</f>
        <v/>
      </c>
      <c r="AA786" s="14">
        <f>SUM(N786:Y786)</f>
        <v/>
      </c>
      <c r="AB786" s="13">
        <f>SUMPRODUCT(N786:Y786,$N$3:$Y$3)*$K786*$L786*$M786</f>
        <v/>
      </c>
      <c r="AC786" s="13">
        <f>SUMPRODUCT(N786:Y786,$N$4:$Y$4)*$K786*$L786*$M786</f>
        <v/>
      </c>
      <c r="AD786" s="15" t="n">
        <v>3</v>
      </c>
      <c r="AE786" s="11" t="n">
        <v>1.011296296296296</v>
      </c>
      <c r="AF786" s="16">
        <f>SUMPRODUCT(N786:Y786,$N$5:$Y$5)*$K786*$L786*$M786</f>
        <v/>
      </c>
      <c r="AG786" s="16">
        <f>SUMPRODUCT(N786:Y786,$N$6:$Y$6)*$K786*$L786*$M786</f>
        <v/>
      </c>
      <c r="AH786" s="20" t="n"/>
    </row>
    <row r="787">
      <c r="A787" s="9" t="n">
        <v>683720</v>
      </c>
      <c r="B787" s="9" t="inlineStr">
        <is>
          <t>Edwin Jimenez</t>
        </is>
      </c>
      <c r="C787" s="9" t="inlineStr">
        <is>
          <t>MIL</t>
        </is>
      </c>
      <c r="D787" s="9" t="n">
        <v>25</v>
      </c>
      <c r="E787" s="18" t="inlineStr">
        <is>
          <t>R</t>
        </is>
      </c>
      <c r="F787" s="18" t="n"/>
      <c r="G787" s="9" t="n">
        <v>2.365</v>
      </c>
      <c r="H787" s="9" t="n">
        <v>2.365</v>
      </c>
      <c r="I787" s="9" t="inlineStr">
        <is>
          <t>Depth (no MLB IP)</t>
        </is>
      </c>
      <c r="J787" s="18" t="inlineStr">
        <is>
          <t>Opening Day</t>
        </is>
      </c>
      <c r="K787" s="11">
        <f>IFERROR(INDEX(Roles!$B$17:$B$20,MATCH(J787,Roles!$A$17:$A$20,0)),1)</f>
        <v/>
      </c>
      <c r="L787" s="19" t="n">
        <v>1</v>
      </c>
      <c r="M787" s="11" t="n">
        <v>1</v>
      </c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>
        <v>1</v>
      </c>
      <c r="Z787" s="13">
        <f>SUMPRODUCT(N787:Y787,$N$2:$Y$2)*$K787*$L787*$M787</f>
        <v/>
      </c>
      <c r="AA787" s="14">
        <f>SUM(N787:Y787)</f>
        <v/>
      </c>
      <c r="AB787" s="13">
        <f>SUMPRODUCT(N787:Y787,$N$3:$Y$3)*$K787*$L787*$M787</f>
        <v/>
      </c>
      <c r="AC787" s="13">
        <f>SUMPRODUCT(N787:Y787,$N$4:$Y$4)*$K787*$L787*$M787</f>
        <v/>
      </c>
      <c r="AD787" s="15" t="n">
        <v>3</v>
      </c>
      <c r="AE787" s="11" t="n">
        <v>1.011296296296296</v>
      </c>
      <c r="AF787" s="16">
        <f>SUMPRODUCT(N787:Y787,$N$5:$Y$5)*$K787*$L787*$M787</f>
        <v/>
      </c>
      <c r="AG787" s="16">
        <f>SUMPRODUCT(N787:Y787,$N$6:$Y$6)*$K787*$L787*$M787</f>
        <v/>
      </c>
      <c r="AH787" s="20" t="n"/>
    </row>
    <row r="788">
      <c r="A788" s="9" t="n">
        <v>831960</v>
      </c>
      <c r="B788" s="9" t="inlineStr">
        <is>
          <t>Florangel Vasquez</t>
        </is>
      </c>
      <c r="C788" s="9" t="inlineStr">
        <is>
          <t>SD</t>
        </is>
      </c>
      <c r="D788" s="9" t="n">
        <v>25</v>
      </c>
      <c r="E788" s="18" t="inlineStr">
        <is>
          <t>R</t>
        </is>
      </c>
      <c r="F788" s="18" t="n"/>
      <c r="G788" s="9" t="n">
        <v>2.006666666666667</v>
      </c>
      <c r="H788" s="9" t="n">
        <v>2.006666666666667</v>
      </c>
      <c r="I788" s="9" t="inlineStr">
        <is>
          <t>Depth (no MLB IP)</t>
        </is>
      </c>
      <c r="J788" s="18" t="inlineStr">
        <is>
          <t>Opening Day</t>
        </is>
      </c>
      <c r="K788" s="11">
        <f>IFERROR(INDEX(Roles!$B$17:$B$20,MATCH(J788,Roles!$A$17:$A$20,0)),1)</f>
        <v/>
      </c>
      <c r="L788" s="19" t="n">
        <v>1</v>
      </c>
      <c r="M788" s="11" t="n">
        <v>1</v>
      </c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>
        <v>1</v>
      </c>
      <c r="Z788" s="13">
        <f>SUMPRODUCT(N788:Y788,$N$2:$Y$2)*$K788*$L788*$M788</f>
        <v/>
      </c>
      <c r="AA788" s="14">
        <f>SUM(N788:Y788)</f>
        <v/>
      </c>
      <c r="AB788" s="13">
        <f>SUMPRODUCT(N788:Y788,$N$3:$Y$3)*$K788*$L788*$M788</f>
        <v/>
      </c>
      <c r="AC788" s="13">
        <f>SUMPRODUCT(N788:Y788,$N$4:$Y$4)*$K788*$L788*$M788</f>
        <v/>
      </c>
      <c r="AD788" s="15" t="n">
        <v>3</v>
      </c>
      <c r="AE788" s="11" t="n">
        <v>1.011296296296296</v>
      </c>
      <c r="AF788" s="16">
        <f>SUMPRODUCT(N788:Y788,$N$5:$Y$5)*$K788*$L788*$M788</f>
        <v/>
      </c>
      <c r="AG788" s="16">
        <f>SUMPRODUCT(N788:Y788,$N$6:$Y$6)*$K788*$L788*$M788</f>
        <v/>
      </c>
      <c r="AH788" s="20" t="n"/>
    </row>
    <row r="789">
      <c r="A789" s="9" t="n">
        <v>823153</v>
      </c>
      <c r="B789" s="9" t="inlineStr">
        <is>
          <t>Matt King</t>
        </is>
      </c>
      <c r="C789" s="9" t="inlineStr">
        <is>
          <t>PIT</t>
        </is>
      </c>
      <c r="D789" s="9" t="n">
        <v>25</v>
      </c>
      <c r="E789" s="18" t="inlineStr">
        <is>
          <t>R</t>
        </is>
      </c>
      <c r="F789" s="18" t="n"/>
      <c r="G789" s="9" t="n">
        <v>2.006666666666666</v>
      </c>
      <c r="H789" s="9" t="n">
        <v>2.006666666666666</v>
      </c>
      <c r="I789" s="9" t="inlineStr">
        <is>
          <t>Depth (no MLB IP)</t>
        </is>
      </c>
      <c r="J789" s="18" t="inlineStr">
        <is>
          <t>Opening Day</t>
        </is>
      </c>
      <c r="K789" s="11">
        <f>IFERROR(INDEX(Roles!$B$17:$B$20,MATCH(J789,Roles!$A$17:$A$20,0)),1)</f>
        <v/>
      </c>
      <c r="L789" s="19" t="n">
        <v>1</v>
      </c>
      <c r="M789" s="11" t="n">
        <v>1</v>
      </c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>
        <v>1</v>
      </c>
      <c r="Z789" s="13">
        <f>SUMPRODUCT(N789:Y789,$N$2:$Y$2)*$K789*$L789*$M789</f>
        <v/>
      </c>
      <c r="AA789" s="14">
        <f>SUM(N789:Y789)</f>
        <v/>
      </c>
      <c r="AB789" s="13">
        <f>SUMPRODUCT(N789:Y789,$N$3:$Y$3)*$K789*$L789*$M789</f>
        <v/>
      </c>
      <c r="AC789" s="13">
        <f>SUMPRODUCT(N789:Y789,$N$4:$Y$4)*$K789*$L789*$M789</f>
        <v/>
      </c>
      <c r="AD789" s="15" t="n">
        <v>3</v>
      </c>
      <c r="AE789" s="11" t="n">
        <v>1.011296296296296</v>
      </c>
      <c r="AF789" s="16">
        <f>SUMPRODUCT(N789:Y789,$N$5:$Y$5)*$K789*$L789*$M789</f>
        <v/>
      </c>
      <c r="AG789" s="16">
        <f>SUMPRODUCT(N789:Y789,$N$6:$Y$6)*$K789*$L789*$M789</f>
        <v/>
      </c>
      <c r="AH789" s="20" t="n"/>
    </row>
    <row r="790">
      <c r="A790" s="9" t="n">
        <v>675450</v>
      </c>
      <c r="B790" s="9" t="inlineStr">
        <is>
          <t>Hunter Cranton</t>
        </is>
      </c>
      <c r="C790" s="9" t="inlineStr">
        <is>
          <t>ARI</t>
        </is>
      </c>
      <c r="D790" s="9" t="n">
        <v>25</v>
      </c>
      <c r="E790" s="18" t="inlineStr">
        <is>
          <t>R</t>
        </is>
      </c>
      <c r="F790" s="18" t="n"/>
      <c r="G790" s="9" t="n">
        <v>2.006666666666666</v>
      </c>
      <c r="H790" s="9" t="n">
        <v>2.006666666666666</v>
      </c>
      <c r="I790" s="9" t="inlineStr">
        <is>
          <t>Depth (no MLB IP)</t>
        </is>
      </c>
      <c r="J790" s="18" t="inlineStr">
        <is>
          <t>Opening Day</t>
        </is>
      </c>
      <c r="K790" s="11">
        <f>IFERROR(INDEX(Roles!$B$17:$B$20,MATCH(J790,Roles!$A$17:$A$20,0)),1)</f>
        <v/>
      </c>
      <c r="L790" s="19" t="n">
        <v>1</v>
      </c>
      <c r="M790" s="11" t="n">
        <v>1</v>
      </c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>
        <v>1</v>
      </c>
      <c r="Z790" s="13">
        <f>SUMPRODUCT(N790:Y790,$N$2:$Y$2)*$K790*$L790*$M790</f>
        <v/>
      </c>
      <c r="AA790" s="14">
        <f>SUM(N790:Y790)</f>
        <v/>
      </c>
      <c r="AB790" s="13">
        <f>SUMPRODUCT(N790:Y790,$N$3:$Y$3)*$K790*$L790*$M790</f>
        <v/>
      </c>
      <c r="AC790" s="13">
        <f>SUMPRODUCT(N790:Y790,$N$4:$Y$4)*$K790*$L790*$M790</f>
        <v/>
      </c>
      <c r="AD790" s="15" t="n">
        <v>3</v>
      </c>
      <c r="AE790" s="11" t="n">
        <v>1.011296296296296</v>
      </c>
      <c r="AF790" s="16">
        <f>SUMPRODUCT(N790:Y790,$N$5:$Y$5)*$K790*$L790*$M790</f>
        <v/>
      </c>
      <c r="AG790" s="16">
        <f>SUMPRODUCT(N790:Y790,$N$6:$Y$6)*$K790*$L790*$M790</f>
        <v/>
      </c>
      <c r="AH790" s="20" t="n"/>
    </row>
    <row r="791">
      <c r="A791" s="9" t="n">
        <v>822691</v>
      </c>
      <c r="B791" s="9" t="inlineStr">
        <is>
          <t>David Sanchez</t>
        </is>
      </c>
      <c r="C791" s="9" t="inlineStr">
        <is>
          <t>ARI</t>
        </is>
      </c>
      <c r="D791" s="9" t="n">
        <v>25</v>
      </c>
      <c r="E791" s="18" t="inlineStr">
        <is>
          <t>R</t>
        </is>
      </c>
      <c r="F791" s="18" t="n"/>
      <c r="G791" s="9" t="n">
        <v>2.236</v>
      </c>
      <c r="H791" s="9" t="n">
        <v>2.236</v>
      </c>
      <c r="I791" s="9" t="inlineStr">
        <is>
          <t>Depth (no MLB IP)</t>
        </is>
      </c>
      <c r="J791" s="18" t="inlineStr">
        <is>
          <t>Opening Day</t>
        </is>
      </c>
      <c r="K791" s="11">
        <f>IFERROR(INDEX(Roles!$B$17:$B$20,MATCH(J791,Roles!$A$17:$A$20,0)),1)</f>
        <v/>
      </c>
      <c r="L791" s="19" t="n">
        <v>1</v>
      </c>
      <c r="M791" s="11" t="n">
        <v>1</v>
      </c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>
        <v>1</v>
      </c>
      <c r="Z791" s="13">
        <f>SUMPRODUCT(N791:Y791,$N$2:$Y$2)*$K791*$L791*$M791</f>
        <v/>
      </c>
      <c r="AA791" s="14">
        <f>SUM(N791:Y791)</f>
        <v/>
      </c>
      <c r="AB791" s="13">
        <f>SUMPRODUCT(N791:Y791,$N$3:$Y$3)*$K791*$L791*$M791</f>
        <v/>
      </c>
      <c r="AC791" s="13">
        <f>SUMPRODUCT(N791:Y791,$N$4:$Y$4)*$K791*$L791*$M791</f>
        <v/>
      </c>
      <c r="AD791" s="15" t="n">
        <v>3</v>
      </c>
      <c r="AE791" s="11" t="n">
        <v>1.011296296296296</v>
      </c>
      <c r="AF791" s="16">
        <f>SUMPRODUCT(N791:Y791,$N$5:$Y$5)*$K791*$L791*$M791</f>
        <v/>
      </c>
      <c r="AG791" s="16">
        <f>SUMPRODUCT(N791:Y791,$N$6:$Y$6)*$K791*$L791*$M791</f>
        <v/>
      </c>
      <c r="AH791" s="20" t="n"/>
    </row>
    <row r="792">
      <c r="A792" s="9" t="n">
        <v>803409</v>
      </c>
      <c r="B792" s="9" t="inlineStr">
        <is>
          <t>Jordan Morales</t>
        </is>
      </c>
      <c r="C792" s="9" t="inlineStr">
        <is>
          <t>CWS</t>
        </is>
      </c>
      <c r="D792" s="9" t="n">
        <v>25</v>
      </c>
      <c r="E792" s="18" t="inlineStr">
        <is>
          <t>L</t>
        </is>
      </c>
      <c r="F792" s="18" t="n"/>
      <c r="G792" s="9" t="n">
        <v>2.365</v>
      </c>
      <c r="H792" s="9" t="n">
        <v>2.365</v>
      </c>
      <c r="I792" s="9" t="inlineStr">
        <is>
          <t>Depth (no MLB IP)</t>
        </is>
      </c>
      <c r="J792" s="18" t="inlineStr">
        <is>
          <t>Opening Day</t>
        </is>
      </c>
      <c r="K792" s="11">
        <f>IFERROR(INDEX(Roles!$B$17:$B$20,MATCH(J792,Roles!$A$17:$A$20,0)),1)</f>
        <v/>
      </c>
      <c r="L792" s="19" t="n">
        <v>1</v>
      </c>
      <c r="M792" s="11" t="n">
        <v>1</v>
      </c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>
        <v>1</v>
      </c>
      <c r="Z792" s="13">
        <f>SUMPRODUCT(N792:Y792,$N$2:$Y$2)*$K792*$L792*$M792</f>
        <v/>
      </c>
      <c r="AA792" s="14">
        <f>SUM(N792:Y792)</f>
        <v/>
      </c>
      <c r="AB792" s="13">
        <f>SUMPRODUCT(N792:Y792,$N$3:$Y$3)*$K792*$L792*$M792</f>
        <v/>
      </c>
      <c r="AC792" s="13">
        <f>SUMPRODUCT(N792:Y792,$N$4:$Y$4)*$K792*$L792*$M792</f>
        <v/>
      </c>
      <c r="AD792" s="15" t="n">
        <v>3</v>
      </c>
      <c r="AE792" s="11" t="n">
        <v>1.011296296296296</v>
      </c>
      <c r="AF792" s="16">
        <f>SUMPRODUCT(N792:Y792,$N$5:$Y$5)*$K792*$L792*$M792</f>
        <v/>
      </c>
      <c r="AG792" s="16">
        <f>SUMPRODUCT(N792:Y792,$N$6:$Y$6)*$K792*$L792*$M792</f>
        <v/>
      </c>
      <c r="AH792" s="20" t="n"/>
    </row>
    <row r="793">
      <c r="A793" s="9" t="n">
        <v>800387</v>
      </c>
      <c r="B793" s="9" t="inlineStr">
        <is>
          <t>Fernando Peguero</t>
        </is>
      </c>
      <c r="C793" s="9" t="inlineStr">
        <is>
          <t>BAL</t>
        </is>
      </c>
      <c r="D793" s="9" t="n">
        <v>25</v>
      </c>
      <c r="E793" s="18" t="inlineStr">
        <is>
          <t>R</t>
        </is>
      </c>
      <c r="F793" s="18" t="n"/>
      <c r="G793" s="9" t="n">
        <v>2.006666666666666</v>
      </c>
      <c r="H793" s="9" t="n">
        <v>2.006666666666666</v>
      </c>
      <c r="I793" s="9" t="inlineStr">
        <is>
          <t>Depth (no MLB IP)</t>
        </is>
      </c>
      <c r="J793" s="18" t="inlineStr">
        <is>
          <t>Opening Day</t>
        </is>
      </c>
      <c r="K793" s="11">
        <f>IFERROR(INDEX(Roles!$B$17:$B$20,MATCH(J793,Roles!$A$17:$A$20,0)),1)</f>
        <v/>
      </c>
      <c r="L793" s="19" t="n">
        <v>1</v>
      </c>
      <c r="M793" s="11" t="n">
        <v>1</v>
      </c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>
        <v>1</v>
      </c>
      <c r="Z793" s="13">
        <f>SUMPRODUCT(N793:Y793,$N$2:$Y$2)*$K793*$L793*$M793</f>
        <v/>
      </c>
      <c r="AA793" s="14">
        <f>SUM(N793:Y793)</f>
        <v/>
      </c>
      <c r="AB793" s="13">
        <f>SUMPRODUCT(N793:Y793,$N$3:$Y$3)*$K793*$L793*$M793</f>
        <v/>
      </c>
      <c r="AC793" s="13">
        <f>SUMPRODUCT(N793:Y793,$N$4:$Y$4)*$K793*$L793*$M793</f>
        <v/>
      </c>
      <c r="AD793" s="15" t="n">
        <v>3</v>
      </c>
      <c r="AE793" s="11" t="n">
        <v>1.011296296296296</v>
      </c>
      <c r="AF793" s="16">
        <f>SUMPRODUCT(N793:Y793,$N$5:$Y$5)*$K793*$L793*$M793</f>
        <v/>
      </c>
      <c r="AG793" s="16">
        <f>SUMPRODUCT(N793:Y793,$N$6:$Y$6)*$K793*$L793*$M793</f>
        <v/>
      </c>
      <c r="AH793" s="20" t="n"/>
    </row>
    <row r="794">
      <c r="A794" s="9" t="n">
        <v>691571</v>
      </c>
      <c r="B794" s="9" t="inlineStr">
        <is>
          <t>Johan Macias</t>
        </is>
      </c>
      <c r="C794" s="9" t="inlineStr">
        <is>
          <t>LAA</t>
        </is>
      </c>
      <c r="D794" s="9" t="n">
        <v>25</v>
      </c>
      <c r="E794" s="18" t="inlineStr">
        <is>
          <t>R</t>
        </is>
      </c>
      <c r="F794" s="18" t="n"/>
      <c r="G794" s="9" t="n">
        <v>2.293333333333333</v>
      </c>
      <c r="H794" s="9" t="n">
        <v>2.293333333333333</v>
      </c>
      <c r="I794" s="9" t="inlineStr">
        <is>
          <t>Depth (no MLB IP)</t>
        </is>
      </c>
      <c r="J794" s="18" t="inlineStr">
        <is>
          <t>Opening Day</t>
        </is>
      </c>
      <c r="K794" s="11">
        <f>IFERROR(INDEX(Roles!$B$17:$B$20,MATCH(J794,Roles!$A$17:$A$20,0)),1)</f>
        <v/>
      </c>
      <c r="L794" s="19" t="n">
        <v>1</v>
      </c>
      <c r="M794" s="11" t="n">
        <v>1</v>
      </c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>
        <v>1</v>
      </c>
      <c r="Z794" s="13">
        <f>SUMPRODUCT(N794:Y794,$N$2:$Y$2)*$K794*$L794*$M794</f>
        <v/>
      </c>
      <c r="AA794" s="14">
        <f>SUM(N794:Y794)</f>
        <v/>
      </c>
      <c r="AB794" s="13">
        <f>SUMPRODUCT(N794:Y794,$N$3:$Y$3)*$K794*$L794*$M794</f>
        <v/>
      </c>
      <c r="AC794" s="13">
        <f>SUMPRODUCT(N794:Y794,$N$4:$Y$4)*$K794*$L794*$M794</f>
        <v/>
      </c>
      <c r="AD794" s="15" t="n">
        <v>3</v>
      </c>
      <c r="AE794" s="11" t="n">
        <v>1.011296296296296</v>
      </c>
      <c r="AF794" s="16">
        <f>SUMPRODUCT(N794:Y794,$N$5:$Y$5)*$K794*$L794*$M794</f>
        <v/>
      </c>
      <c r="AG794" s="16">
        <f>SUMPRODUCT(N794:Y794,$N$6:$Y$6)*$K794*$L794*$M794</f>
        <v/>
      </c>
      <c r="AH794" s="20" t="n"/>
    </row>
    <row r="795">
      <c r="A795" s="9" t="n">
        <v>800253</v>
      </c>
      <c r="B795" s="9" t="inlineStr">
        <is>
          <t>Jeffrey Mercedes</t>
        </is>
      </c>
      <c r="C795" s="9" t="inlineStr">
        <is>
          <t>CLE</t>
        </is>
      </c>
      <c r="D795" s="9" t="n">
        <v>25</v>
      </c>
      <c r="E795" s="18" t="inlineStr">
        <is>
          <t>R</t>
        </is>
      </c>
      <c r="F795" s="18" t="n"/>
      <c r="G795" s="9" t="n">
        <v>2.006666666666667</v>
      </c>
      <c r="H795" s="9" t="n">
        <v>2.006666666666667</v>
      </c>
      <c r="I795" s="9" t="inlineStr">
        <is>
          <t>Depth (no MLB IP)</t>
        </is>
      </c>
      <c r="J795" s="18" t="inlineStr">
        <is>
          <t>Opening Day</t>
        </is>
      </c>
      <c r="K795" s="11">
        <f>IFERROR(INDEX(Roles!$B$17:$B$20,MATCH(J795,Roles!$A$17:$A$20,0)),1)</f>
        <v/>
      </c>
      <c r="L795" s="19" t="n">
        <v>1</v>
      </c>
      <c r="M795" s="11" t="n">
        <v>1</v>
      </c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>
        <v>1</v>
      </c>
      <c r="Z795" s="13">
        <f>SUMPRODUCT(N795:Y795,$N$2:$Y$2)*$K795*$L795*$M795</f>
        <v/>
      </c>
      <c r="AA795" s="14">
        <f>SUM(N795:Y795)</f>
        <v/>
      </c>
      <c r="AB795" s="13">
        <f>SUMPRODUCT(N795:Y795,$N$3:$Y$3)*$K795*$L795*$M795</f>
        <v/>
      </c>
      <c r="AC795" s="13">
        <f>SUMPRODUCT(N795:Y795,$N$4:$Y$4)*$K795*$L795*$M795</f>
        <v/>
      </c>
      <c r="AD795" s="15" t="n">
        <v>3</v>
      </c>
      <c r="AE795" s="11" t="n">
        <v>1.011296296296296</v>
      </c>
      <c r="AF795" s="16">
        <f>SUMPRODUCT(N795:Y795,$N$5:$Y$5)*$K795*$L795*$M795</f>
        <v/>
      </c>
      <c r="AG795" s="16">
        <f>SUMPRODUCT(N795:Y795,$N$6:$Y$6)*$K795*$L795*$M795</f>
        <v/>
      </c>
      <c r="AH795" s="20" t="n"/>
    </row>
    <row r="796">
      <c r="A796" s="9" t="n">
        <v>681495</v>
      </c>
      <c r="B796" s="9" t="inlineStr">
        <is>
          <t>Cade Fergus</t>
        </is>
      </c>
      <c r="C796" s="9" t="inlineStr">
        <is>
          <t>PHI</t>
        </is>
      </c>
      <c r="D796" s="9" t="n">
        <v>25</v>
      </c>
      <c r="E796" s="18" t="inlineStr">
        <is>
          <t>R</t>
        </is>
      </c>
      <c r="F796" s="18" t="n"/>
      <c r="G796" s="9" t="n">
        <v>2.365</v>
      </c>
      <c r="H796" s="9" t="n">
        <v>2.365</v>
      </c>
      <c r="I796" s="9" t="inlineStr">
        <is>
          <t>Depth (no MLB IP)</t>
        </is>
      </c>
      <c r="J796" s="18" t="inlineStr">
        <is>
          <t>Opening Day</t>
        </is>
      </c>
      <c r="K796" s="11">
        <f>IFERROR(INDEX(Roles!$B$17:$B$20,MATCH(J796,Roles!$A$17:$A$20,0)),1)</f>
        <v/>
      </c>
      <c r="L796" s="19" t="n">
        <v>1</v>
      </c>
      <c r="M796" s="11" t="n">
        <v>1</v>
      </c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>
        <v>1</v>
      </c>
      <c r="Z796" s="13">
        <f>SUMPRODUCT(N796:Y796,$N$2:$Y$2)*$K796*$L796*$M796</f>
        <v/>
      </c>
      <c r="AA796" s="14">
        <f>SUM(N796:Y796)</f>
        <v/>
      </c>
      <c r="AB796" s="13">
        <f>SUMPRODUCT(N796:Y796,$N$3:$Y$3)*$K796*$L796*$M796</f>
        <v/>
      </c>
      <c r="AC796" s="13">
        <f>SUMPRODUCT(N796:Y796,$N$4:$Y$4)*$K796*$L796*$M796</f>
        <v/>
      </c>
      <c r="AD796" s="15" t="n">
        <v>3</v>
      </c>
      <c r="AE796" s="11" t="n">
        <v>1.011296296296296</v>
      </c>
      <c r="AF796" s="16">
        <f>SUMPRODUCT(N796:Y796,$N$5:$Y$5)*$K796*$L796*$M796</f>
        <v/>
      </c>
      <c r="AG796" s="16">
        <f>SUMPRODUCT(N796:Y796,$N$6:$Y$6)*$K796*$L796*$M796</f>
        <v/>
      </c>
      <c r="AH796" s="20" t="n"/>
    </row>
    <row r="797">
      <c r="A797" s="9" t="n">
        <v>699552</v>
      </c>
      <c r="B797" s="9" t="inlineStr">
        <is>
          <t>Brandon Beckel</t>
        </is>
      </c>
      <c r="C797" s="9" t="inlineStr">
        <is>
          <t>PHI</t>
        </is>
      </c>
      <c r="D797" s="9" t="n">
        <v>25</v>
      </c>
      <c r="E797" s="18" t="inlineStr">
        <is>
          <t>R</t>
        </is>
      </c>
      <c r="F797" s="18" t="n"/>
      <c r="G797" s="9" t="n">
        <v>2.365</v>
      </c>
      <c r="H797" s="9" t="n">
        <v>2.365</v>
      </c>
      <c r="I797" s="9" t="inlineStr">
        <is>
          <t>Depth (no MLB IP)</t>
        </is>
      </c>
      <c r="J797" s="18" t="inlineStr">
        <is>
          <t>Opening Day</t>
        </is>
      </c>
      <c r="K797" s="11">
        <f>IFERROR(INDEX(Roles!$B$17:$B$20,MATCH(J797,Roles!$A$17:$A$20,0)),1)</f>
        <v/>
      </c>
      <c r="L797" s="19" t="n">
        <v>1</v>
      </c>
      <c r="M797" s="11" t="n">
        <v>1</v>
      </c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>
        <v>1</v>
      </c>
      <c r="Z797" s="13">
        <f>SUMPRODUCT(N797:Y797,$N$2:$Y$2)*$K797*$L797*$M797</f>
        <v/>
      </c>
      <c r="AA797" s="14">
        <f>SUM(N797:Y797)</f>
        <v/>
      </c>
      <c r="AB797" s="13">
        <f>SUMPRODUCT(N797:Y797,$N$3:$Y$3)*$K797*$L797*$M797</f>
        <v/>
      </c>
      <c r="AC797" s="13">
        <f>SUMPRODUCT(N797:Y797,$N$4:$Y$4)*$K797*$L797*$M797</f>
        <v/>
      </c>
      <c r="AD797" s="15" t="n">
        <v>3</v>
      </c>
      <c r="AE797" s="11" t="n">
        <v>1.011296296296296</v>
      </c>
      <c r="AF797" s="16">
        <f>SUMPRODUCT(N797:Y797,$N$5:$Y$5)*$K797*$L797*$M797</f>
        <v/>
      </c>
      <c r="AG797" s="16">
        <f>SUMPRODUCT(N797:Y797,$N$6:$Y$6)*$K797*$L797*$M797</f>
        <v/>
      </c>
      <c r="AH797" s="20" t="n"/>
    </row>
    <row r="798">
      <c r="A798" s="9" t="n">
        <v>823116</v>
      </c>
      <c r="B798" s="9" t="inlineStr">
        <is>
          <t>Dominic Niman</t>
        </is>
      </c>
      <c r="C798" s="9" t="inlineStr">
        <is>
          <t>TB</t>
        </is>
      </c>
      <c r="D798" s="9" t="n">
        <v>25</v>
      </c>
      <c r="E798" s="18" t="inlineStr">
        <is>
          <t>L</t>
        </is>
      </c>
      <c r="F798" s="18" t="n"/>
      <c r="G798" s="9" t="n">
        <v>2.365</v>
      </c>
      <c r="H798" s="9" t="n">
        <v>2.365</v>
      </c>
      <c r="I798" s="9" t="inlineStr">
        <is>
          <t>Depth (no MLB IP)</t>
        </is>
      </c>
      <c r="J798" s="18" t="inlineStr">
        <is>
          <t>Opening Day</t>
        </is>
      </c>
      <c r="K798" s="11">
        <f>IFERROR(INDEX(Roles!$B$17:$B$20,MATCH(J798,Roles!$A$17:$A$20,0)),1)</f>
        <v/>
      </c>
      <c r="L798" s="19" t="n">
        <v>1</v>
      </c>
      <c r="M798" s="11" t="n">
        <v>1</v>
      </c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>
        <v>1</v>
      </c>
      <c r="Z798" s="13">
        <f>SUMPRODUCT(N798:Y798,$N$2:$Y$2)*$K798*$L798*$M798</f>
        <v/>
      </c>
      <c r="AA798" s="14">
        <f>SUM(N798:Y798)</f>
        <v/>
      </c>
      <c r="AB798" s="13">
        <f>SUMPRODUCT(N798:Y798,$N$3:$Y$3)*$K798*$L798*$M798</f>
        <v/>
      </c>
      <c r="AC798" s="13">
        <f>SUMPRODUCT(N798:Y798,$N$4:$Y$4)*$K798*$L798*$M798</f>
        <v/>
      </c>
      <c r="AD798" s="15" t="n">
        <v>3</v>
      </c>
      <c r="AE798" s="11" t="n">
        <v>1.011296296296296</v>
      </c>
      <c r="AF798" s="16">
        <f>SUMPRODUCT(N798:Y798,$N$5:$Y$5)*$K798*$L798*$M798</f>
        <v/>
      </c>
      <c r="AG798" s="16">
        <f>SUMPRODUCT(N798:Y798,$N$6:$Y$6)*$K798*$L798*$M798</f>
        <v/>
      </c>
      <c r="AH798" s="20" t="n"/>
    </row>
    <row r="799">
      <c r="A799" s="9" t="n">
        <v>821127</v>
      </c>
      <c r="B799" s="9" t="inlineStr">
        <is>
          <t>Yander Bonaci</t>
        </is>
      </c>
      <c r="C799" s="9" t="inlineStr">
        <is>
          <t>BOS</t>
        </is>
      </c>
      <c r="D799" s="9" t="n">
        <v>25</v>
      </c>
      <c r="E799" s="18" t="inlineStr">
        <is>
          <t>L</t>
        </is>
      </c>
      <c r="F799" s="18" t="n"/>
      <c r="G799" s="9" t="n">
        <v>2.236</v>
      </c>
      <c r="H799" s="9" t="n">
        <v>2.236</v>
      </c>
      <c r="I799" s="9" t="inlineStr">
        <is>
          <t>Depth (no MLB IP)</t>
        </is>
      </c>
      <c r="J799" s="18" t="inlineStr">
        <is>
          <t>Opening Day</t>
        </is>
      </c>
      <c r="K799" s="11">
        <f>IFERROR(INDEX(Roles!$B$17:$B$20,MATCH(J799,Roles!$A$17:$A$20,0)),1)</f>
        <v/>
      </c>
      <c r="L799" s="19" t="n">
        <v>1</v>
      </c>
      <c r="M799" s="11" t="n">
        <v>1</v>
      </c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>
        <v>1</v>
      </c>
      <c r="Z799" s="13">
        <f>SUMPRODUCT(N799:Y799,$N$2:$Y$2)*$K799*$L799*$M799</f>
        <v/>
      </c>
      <c r="AA799" s="14">
        <f>SUM(N799:Y799)</f>
        <v/>
      </c>
      <c r="AB799" s="13">
        <f>SUMPRODUCT(N799:Y799,$N$3:$Y$3)*$K799*$L799*$M799</f>
        <v/>
      </c>
      <c r="AC799" s="13">
        <f>SUMPRODUCT(N799:Y799,$N$4:$Y$4)*$K799*$L799*$M799</f>
        <v/>
      </c>
      <c r="AD799" s="15" t="n">
        <v>3</v>
      </c>
      <c r="AE799" s="11" t="n">
        <v>1.011296296296296</v>
      </c>
      <c r="AF799" s="16">
        <f>SUMPRODUCT(N799:Y799,$N$5:$Y$5)*$K799*$L799*$M799</f>
        <v/>
      </c>
      <c r="AG799" s="16">
        <f>SUMPRODUCT(N799:Y799,$N$6:$Y$6)*$K799*$L799*$M799</f>
        <v/>
      </c>
      <c r="AH799" s="20" t="n"/>
    </row>
    <row r="800">
      <c r="A800" s="9" t="n">
        <v>695602</v>
      </c>
      <c r="B800" s="9" t="inlineStr">
        <is>
          <t>Michael Massey</t>
        </is>
      </c>
      <c r="C800" s="9" t="inlineStr">
        <is>
          <t>DET</t>
        </is>
      </c>
      <c r="D800" s="9" t="n">
        <v>25</v>
      </c>
      <c r="E800" s="18" t="inlineStr">
        <is>
          <t>R</t>
        </is>
      </c>
      <c r="F800" s="18" t="n"/>
      <c r="G800" s="9" t="n">
        <v>2.064</v>
      </c>
      <c r="H800" s="9" t="n">
        <v>2.064</v>
      </c>
      <c r="I800" s="9" t="inlineStr">
        <is>
          <t>Depth (no MLB IP)</t>
        </is>
      </c>
      <c r="J800" s="18" t="inlineStr">
        <is>
          <t>Opening Day</t>
        </is>
      </c>
      <c r="K800" s="11">
        <f>IFERROR(INDEX(Roles!$B$17:$B$20,MATCH(J800,Roles!$A$17:$A$20,0)),1)</f>
        <v/>
      </c>
      <c r="L800" s="19" t="n">
        <v>1</v>
      </c>
      <c r="M800" s="11" t="n">
        <v>1</v>
      </c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>
        <v>1</v>
      </c>
      <c r="Z800" s="13">
        <f>SUMPRODUCT(N800:Y800,$N$2:$Y$2)*$K800*$L800*$M800</f>
        <v/>
      </c>
      <c r="AA800" s="14">
        <f>SUM(N800:Y800)</f>
        <v/>
      </c>
      <c r="AB800" s="13">
        <f>SUMPRODUCT(N800:Y800,$N$3:$Y$3)*$K800*$L800*$M800</f>
        <v/>
      </c>
      <c r="AC800" s="13">
        <f>SUMPRODUCT(N800:Y800,$N$4:$Y$4)*$K800*$L800*$M800</f>
        <v/>
      </c>
      <c r="AD800" s="15" t="n">
        <v>3</v>
      </c>
      <c r="AE800" s="11" t="n">
        <v>1.011296296296296</v>
      </c>
      <c r="AF800" s="16">
        <f>SUMPRODUCT(N800:Y800,$N$5:$Y$5)*$K800*$L800*$M800</f>
        <v/>
      </c>
      <c r="AG800" s="16">
        <f>SUMPRODUCT(N800:Y800,$N$6:$Y$6)*$K800*$L800*$M800</f>
        <v/>
      </c>
      <c r="AH800" s="20" t="n"/>
    </row>
    <row r="801">
      <c r="A801" s="9" t="n">
        <v>647378</v>
      </c>
      <c r="B801" s="9" t="inlineStr">
        <is>
          <t>Andy Yerzy</t>
        </is>
      </c>
      <c r="C801" s="9" t="inlineStr">
        <is>
          <t>STL</t>
        </is>
      </c>
      <c r="D801" s="9" t="n">
        <v>25</v>
      </c>
      <c r="E801" s="18" t="inlineStr">
        <is>
          <t>R</t>
        </is>
      </c>
      <c r="F801" s="18" t="n"/>
      <c r="G801" s="9" t="n">
        <v>2.365</v>
      </c>
      <c r="H801" s="9" t="n">
        <v>2.365</v>
      </c>
      <c r="I801" s="9" t="inlineStr">
        <is>
          <t>Depth (no MLB IP)</t>
        </is>
      </c>
      <c r="J801" s="18" t="inlineStr">
        <is>
          <t>Opening Day</t>
        </is>
      </c>
      <c r="K801" s="11">
        <f>IFERROR(INDEX(Roles!$B$17:$B$20,MATCH(J801,Roles!$A$17:$A$20,0)),1)</f>
        <v/>
      </c>
      <c r="L801" s="19" t="n">
        <v>1</v>
      </c>
      <c r="M801" s="11" t="n">
        <v>1</v>
      </c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>
        <v>1</v>
      </c>
      <c r="Z801" s="13">
        <f>SUMPRODUCT(N801:Y801,$N$2:$Y$2)*$K801*$L801*$M801</f>
        <v/>
      </c>
      <c r="AA801" s="14">
        <f>SUM(N801:Y801)</f>
        <v/>
      </c>
      <c r="AB801" s="13">
        <f>SUMPRODUCT(N801:Y801,$N$3:$Y$3)*$K801*$L801*$M801</f>
        <v/>
      </c>
      <c r="AC801" s="13">
        <f>SUMPRODUCT(N801:Y801,$N$4:$Y$4)*$K801*$L801*$M801</f>
        <v/>
      </c>
      <c r="AD801" s="15" t="n">
        <v>3</v>
      </c>
      <c r="AE801" s="11" t="n">
        <v>1.011296296296296</v>
      </c>
      <c r="AF801" s="16">
        <f>SUMPRODUCT(N801:Y801,$N$5:$Y$5)*$K801*$L801*$M801</f>
        <v/>
      </c>
      <c r="AG801" s="16">
        <f>SUMPRODUCT(N801:Y801,$N$6:$Y$6)*$K801*$L801*$M801</f>
        <v/>
      </c>
      <c r="AH801" s="20" t="n"/>
    </row>
    <row r="802">
      <c r="A802" s="9" t="n">
        <v>814164</v>
      </c>
      <c r="B802" s="9" t="inlineStr">
        <is>
          <t>Johnathan Rogers</t>
        </is>
      </c>
      <c r="C802" s="9" t="inlineStr">
        <is>
          <t>DET</t>
        </is>
      </c>
      <c r="D802" s="9" t="n">
        <v>25</v>
      </c>
      <c r="E802" s="18" t="inlineStr">
        <is>
          <t>R</t>
        </is>
      </c>
      <c r="F802" s="18" t="n"/>
      <c r="G802" s="9" t="n">
        <v>2.236</v>
      </c>
      <c r="H802" s="9" t="n">
        <v>2.236</v>
      </c>
      <c r="I802" s="9" t="inlineStr">
        <is>
          <t>Depth (no MLB IP)</t>
        </is>
      </c>
      <c r="J802" s="18" t="inlineStr">
        <is>
          <t>Opening Day</t>
        </is>
      </c>
      <c r="K802" s="11">
        <f>IFERROR(INDEX(Roles!$B$17:$B$20,MATCH(J802,Roles!$A$17:$A$20,0)),1)</f>
        <v/>
      </c>
      <c r="L802" s="19" t="n">
        <v>1</v>
      </c>
      <c r="M802" s="11" t="n">
        <v>1</v>
      </c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>
        <v>1</v>
      </c>
      <c r="Z802" s="13">
        <f>SUMPRODUCT(N802:Y802,$N$2:$Y$2)*$K802*$L802*$M802</f>
        <v/>
      </c>
      <c r="AA802" s="14">
        <f>SUM(N802:Y802)</f>
        <v/>
      </c>
      <c r="AB802" s="13">
        <f>SUMPRODUCT(N802:Y802,$N$3:$Y$3)*$K802*$L802*$M802</f>
        <v/>
      </c>
      <c r="AC802" s="13">
        <f>SUMPRODUCT(N802:Y802,$N$4:$Y$4)*$K802*$L802*$M802</f>
        <v/>
      </c>
      <c r="AD802" s="15" t="n">
        <v>3</v>
      </c>
      <c r="AE802" s="11" t="n">
        <v>1.011296296296296</v>
      </c>
      <c r="AF802" s="16">
        <f>SUMPRODUCT(N802:Y802,$N$5:$Y$5)*$K802*$L802*$M802</f>
        <v/>
      </c>
      <c r="AG802" s="16">
        <f>SUMPRODUCT(N802:Y802,$N$6:$Y$6)*$K802*$L802*$M802</f>
        <v/>
      </c>
      <c r="AH802" s="20" t="n"/>
    </row>
    <row r="803">
      <c r="A803" s="9" t="n">
        <v>808665</v>
      </c>
      <c r="B803" s="9" t="inlineStr">
        <is>
          <t>Angel Acosta</t>
        </is>
      </c>
      <c r="C803" s="9" t="inlineStr">
        <is>
          <t>KC</t>
        </is>
      </c>
      <c r="D803" s="9" t="n">
        <v>25</v>
      </c>
      <c r="E803" s="18" t="inlineStr">
        <is>
          <t>R</t>
        </is>
      </c>
      <c r="F803" s="18" t="n"/>
      <c r="G803" s="9" t="n">
        <v>2.006666666666667</v>
      </c>
      <c r="H803" s="9" t="n">
        <v>2.006666666666667</v>
      </c>
      <c r="I803" s="9" t="inlineStr">
        <is>
          <t>Depth (no MLB IP)</t>
        </is>
      </c>
      <c r="J803" s="18" t="inlineStr">
        <is>
          <t>Opening Day</t>
        </is>
      </c>
      <c r="K803" s="11">
        <f>IFERROR(INDEX(Roles!$B$17:$B$20,MATCH(J803,Roles!$A$17:$A$20,0)),1)</f>
        <v/>
      </c>
      <c r="L803" s="19" t="n">
        <v>1</v>
      </c>
      <c r="M803" s="11" t="n">
        <v>1</v>
      </c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>
        <v>1</v>
      </c>
      <c r="Z803" s="13">
        <f>SUMPRODUCT(N803:Y803,$N$2:$Y$2)*$K803*$L803*$M803</f>
        <v/>
      </c>
      <c r="AA803" s="14">
        <f>SUM(N803:Y803)</f>
        <v/>
      </c>
      <c r="AB803" s="13">
        <f>SUMPRODUCT(N803:Y803,$N$3:$Y$3)*$K803*$L803*$M803</f>
        <v/>
      </c>
      <c r="AC803" s="13">
        <f>SUMPRODUCT(N803:Y803,$N$4:$Y$4)*$K803*$L803*$M803</f>
        <v/>
      </c>
      <c r="AD803" s="15" t="n">
        <v>3</v>
      </c>
      <c r="AE803" s="11" t="n">
        <v>1.011296296296296</v>
      </c>
      <c r="AF803" s="16">
        <f>SUMPRODUCT(N803:Y803,$N$5:$Y$5)*$K803*$L803*$M803</f>
        <v/>
      </c>
      <c r="AG803" s="16">
        <f>SUMPRODUCT(N803:Y803,$N$6:$Y$6)*$K803*$L803*$M803</f>
        <v/>
      </c>
      <c r="AH803" s="20" t="n"/>
    </row>
    <row r="804">
      <c r="A804" s="9" t="n">
        <v>808289</v>
      </c>
      <c r="B804" s="9" t="inlineStr">
        <is>
          <t>Julio Zayas</t>
        </is>
      </c>
      <c r="C804" s="9" t="inlineStr">
        <is>
          <t>NYM</t>
        </is>
      </c>
      <c r="D804" s="9" t="n">
        <v>25</v>
      </c>
      <c r="E804" s="18" t="inlineStr">
        <is>
          <t>R</t>
        </is>
      </c>
      <c r="F804" s="18" t="n"/>
      <c r="G804" s="9" t="n">
        <v>2.236</v>
      </c>
      <c r="H804" s="9" t="n">
        <v>2.236</v>
      </c>
      <c r="I804" s="9" t="inlineStr">
        <is>
          <t>Depth (no MLB IP)</t>
        </is>
      </c>
      <c r="J804" s="18" t="inlineStr">
        <is>
          <t>Opening Day</t>
        </is>
      </c>
      <c r="K804" s="11">
        <f>IFERROR(INDEX(Roles!$B$17:$B$20,MATCH(J804,Roles!$A$17:$A$20,0)),1)</f>
        <v/>
      </c>
      <c r="L804" s="19" t="n">
        <v>1</v>
      </c>
      <c r="M804" s="11" t="n">
        <v>1</v>
      </c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>
        <v>1</v>
      </c>
      <c r="Z804" s="13">
        <f>SUMPRODUCT(N804:Y804,$N$2:$Y$2)*$K804*$L804*$M804</f>
        <v/>
      </c>
      <c r="AA804" s="14">
        <f>SUM(N804:Y804)</f>
        <v/>
      </c>
      <c r="AB804" s="13">
        <f>SUMPRODUCT(N804:Y804,$N$3:$Y$3)*$K804*$L804*$M804</f>
        <v/>
      </c>
      <c r="AC804" s="13">
        <f>SUMPRODUCT(N804:Y804,$N$4:$Y$4)*$K804*$L804*$M804</f>
        <v/>
      </c>
      <c r="AD804" s="15" t="n">
        <v>3</v>
      </c>
      <c r="AE804" s="11" t="n">
        <v>1.011296296296296</v>
      </c>
      <c r="AF804" s="16">
        <f>SUMPRODUCT(N804:Y804,$N$5:$Y$5)*$K804*$L804*$M804</f>
        <v/>
      </c>
      <c r="AG804" s="16">
        <f>SUMPRODUCT(N804:Y804,$N$6:$Y$6)*$K804*$L804*$M804</f>
        <v/>
      </c>
      <c r="AH804" s="20" t="n"/>
    </row>
    <row r="805">
      <c r="A805" s="9" t="n">
        <v>702114</v>
      </c>
      <c r="B805" s="9" t="inlineStr">
        <is>
          <t>John Michael Faile</t>
        </is>
      </c>
      <c r="C805" s="9" t="inlineStr">
        <is>
          <t>CIN</t>
        </is>
      </c>
      <c r="D805" s="9" t="n">
        <v>25</v>
      </c>
      <c r="E805" s="18" t="inlineStr">
        <is>
          <t>R</t>
        </is>
      </c>
      <c r="F805" s="18" t="n"/>
      <c r="G805" s="9" t="n">
        <v>2.006666666666667</v>
      </c>
      <c r="H805" s="9" t="n">
        <v>2.006666666666667</v>
      </c>
      <c r="I805" s="9" t="inlineStr">
        <is>
          <t>Depth (no MLB IP)</t>
        </is>
      </c>
      <c r="J805" s="18" t="inlineStr">
        <is>
          <t>Opening Day</t>
        </is>
      </c>
      <c r="K805" s="11">
        <f>IFERROR(INDEX(Roles!$B$17:$B$20,MATCH(J805,Roles!$A$17:$A$20,0)),1)</f>
        <v/>
      </c>
      <c r="L805" s="19" t="n">
        <v>1</v>
      </c>
      <c r="M805" s="11" t="n">
        <v>1</v>
      </c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>
        <v>1</v>
      </c>
      <c r="Z805" s="13">
        <f>SUMPRODUCT(N805:Y805,$N$2:$Y$2)*$K805*$L805*$M805</f>
        <v/>
      </c>
      <c r="AA805" s="14">
        <f>SUM(N805:Y805)</f>
        <v/>
      </c>
      <c r="AB805" s="13">
        <f>SUMPRODUCT(N805:Y805,$N$3:$Y$3)*$K805*$L805*$M805</f>
        <v/>
      </c>
      <c r="AC805" s="13">
        <f>SUMPRODUCT(N805:Y805,$N$4:$Y$4)*$K805*$L805*$M805</f>
        <v/>
      </c>
      <c r="AD805" s="15" t="n">
        <v>3</v>
      </c>
      <c r="AE805" s="11" t="n">
        <v>1.011296296296296</v>
      </c>
      <c r="AF805" s="16">
        <f>SUMPRODUCT(N805:Y805,$N$5:$Y$5)*$K805*$L805*$M805</f>
        <v/>
      </c>
      <c r="AG805" s="16">
        <f>SUMPRODUCT(N805:Y805,$N$6:$Y$6)*$K805*$L805*$M805</f>
        <v/>
      </c>
      <c r="AH805" s="20" t="n"/>
    </row>
    <row r="806">
      <c r="A806" s="9" t="n">
        <v>702696</v>
      </c>
      <c r="B806" s="9" t="inlineStr">
        <is>
          <t>Xavier Cardenas III</t>
        </is>
      </c>
      <c r="C806" s="9" t="inlineStr">
        <is>
          <t>MIA</t>
        </is>
      </c>
      <c r="D806" s="9" t="n">
        <v>25</v>
      </c>
      <c r="E806" s="18" t="inlineStr">
        <is>
          <t>R</t>
        </is>
      </c>
      <c r="F806" s="18" t="n"/>
      <c r="G806" s="9" t="n">
        <v>2.006666666666667</v>
      </c>
      <c r="H806" s="9" t="n">
        <v>2.006666666666667</v>
      </c>
      <c r="I806" s="9" t="inlineStr">
        <is>
          <t>Depth (no MLB IP)</t>
        </is>
      </c>
      <c r="J806" s="18" t="inlineStr">
        <is>
          <t>Opening Day</t>
        </is>
      </c>
      <c r="K806" s="11">
        <f>IFERROR(INDEX(Roles!$B$17:$B$20,MATCH(J806,Roles!$A$17:$A$20,0)),1)</f>
        <v/>
      </c>
      <c r="L806" s="19" t="n">
        <v>1</v>
      </c>
      <c r="M806" s="11" t="n">
        <v>1</v>
      </c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>
        <v>1</v>
      </c>
      <c r="Z806" s="13">
        <f>SUMPRODUCT(N806:Y806,$N$2:$Y$2)*$K806*$L806*$M806</f>
        <v/>
      </c>
      <c r="AA806" s="14">
        <f>SUM(N806:Y806)</f>
        <v/>
      </c>
      <c r="AB806" s="13">
        <f>SUMPRODUCT(N806:Y806,$N$3:$Y$3)*$K806*$L806*$M806</f>
        <v/>
      </c>
      <c r="AC806" s="13">
        <f>SUMPRODUCT(N806:Y806,$N$4:$Y$4)*$K806*$L806*$M806</f>
        <v/>
      </c>
      <c r="AD806" s="15" t="n">
        <v>3</v>
      </c>
      <c r="AE806" s="11" t="n">
        <v>1.011296296296296</v>
      </c>
      <c r="AF806" s="16">
        <f>SUMPRODUCT(N806:Y806,$N$5:$Y$5)*$K806*$L806*$M806</f>
        <v/>
      </c>
      <c r="AG806" s="16">
        <f>SUMPRODUCT(N806:Y806,$N$6:$Y$6)*$K806*$L806*$M806</f>
        <v/>
      </c>
      <c r="AH806" s="20" t="n"/>
    </row>
    <row r="807">
      <c r="A807" s="9" t="n">
        <v>696020</v>
      </c>
      <c r="B807" s="9" t="inlineStr">
        <is>
          <t>Raudelis Martinez</t>
        </is>
      </c>
      <c r="C807" s="9" t="inlineStr">
        <is>
          <t>BOS</t>
        </is>
      </c>
      <c r="D807" s="9" t="n">
        <v>25</v>
      </c>
      <c r="E807" s="18" t="inlineStr">
        <is>
          <t>R</t>
        </is>
      </c>
      <c r="F807" s="18" t="n"/>
      <c r="G807" s="9" t="n">
        <v>2.006666666666666</v>
      </c>
      <c r="H807" s="9" t="n">
        <v>2.006666666666666</v>
      </c>
      <c r="I807" s="9" t="inlineStr">
        <is>
          <t>Depth (no MLB IP)</t>
        </is>
      </c>
      <c r="J807" s="18" t="inlineStr">
        <is>
          <t>Opening Day</t>
        </is>
      </c>
      <c r="K807" s="11">
        <f>IFERROR(INDEX(Roles!$B$17:$B$20,MATCH(J807,Roles!$A$17:$A$20,0)),1)</f>
        <v/>
      </c>
      <c r="L807" s="19" t="n">
        <v>1</v>
      </c>
      <c r="M807" s="11" t="n">
        <v>1</v>
      </c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>
        <v>1</v>
      </c>
      <c r="Z807" s="13">
        <f>SUMPRODUCT(N807:Y807,$N$2:$Y$2)*$K807*$L807*$M807</f>
        <v/>
      </c>
      <c r="AA807" s="14">
        <f>SUM(N807:Y807)</f>
        <v/>
      </c>
      <c r="AB807" s="13">
        <f>SUMPRODUCT(N807:Y807,$N$3:$Y$3)*$K807*$L807*$M807</f>
        <v/>
      </c>
      <c r="AC807" s="13">
        <f>SUMPRODUCT(N807:Y807,$N$4:$Y$4)*$K807*$L807*$M807</f>
        <v/>
      </c>
      <c r="AD807" s="15" t="n">
        <v>3</v>
      </c>
      <c r="AE807" s="11" t="n">
        <v>1.011296296296296</v>
      </c>
      <c r="AF807" s="16">
        <f>SUMPRODUCT(N807:Y807,$N$5:$Y$5)*$K807*$L807*$M807</f>
        <v/>
      </c>
      <c r="AG807" s="16">
        <f>SUMPRODUCT(N807:Y807,$N$6:$Y$6)*$K807*$L807*$M807</f>
        <v/>
      </c>
      <c r="AH807" s="20" t="n"/>
    </row>
    <row r="808">
      <c r="A808" s="9" t="n">
        <v>809814</v>
      </c>
      <c r="B808" s="9" t="inlineStr">
        <is>
          <t>Francis Texido</t>
        </is>
      </c>
      <c r="C808" s="9" t="inlineStr">
        <is>
          <t>LAA</t>
        </is>
      </c>
      <c r="D808" s="9" t="n">
        <v>25</v>
      </c>
      <c r="E808" s="18" t="inlineStr">
        <is>
          <t>L</t>
        </is>
      </c>
      <c r="F808" s="18" t="n"/>
      <c r="G808" s="9" t="n">
        <v>2.365</v>
      </c>
      <c r="H808" s="9" t="n">
        <v>2.365</v>
      </c>
      <c r="I808" s="9" t="inlineStr">
        <is>
          <t>Depth (no MLB IP)</t>
        </is>
      </c>
      <c r="J808" s="18" t="inlineStr">
        <is>
          <t>Opening Day</t>
        </is>
      </c>
      <c r="K808" s="11">
        <f>IFERROR(INDEX(Roles!$B$17:$B$20,MATCH(J808,Roles!$A$17:$A$20,0)),1)</f>
        <v/>
      </c>
      <c r="L808" s="19" t="n">
        <v>1</v>
      </c>
      <c r="M808" s="11" t="n">
        <v>1</v>
      </c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>
        <v>1</v>
      </c>
      <c r="Z808" s="13">
        <f>SUMPRODUCT(N808:Y808,$N$2:$Y$2)*$K808*$L808*$M808</f>
        <v/>
      </c>
      <c r="AA808" s="14">
        <f>SUM(N808:Y808)</f>
        <v/>
      </c>
      <c r="AB808" s="13">
        <f>SUMPRODUCT(N808:Y808,$N$3:$Y$3)*$K808*$L808*$M808</f>
        <v/>
      </c>
      <c r="AC808" s="13">
        <f>SUMPRODUCT(N808:Y808,$N$4:$Y$4)*$K808*$L808*$M808</f>
        <v/>
      </c>
      <c r="AD808" s="15" t="n">
        <v>3</v>
      </c>
      <c r="AE808" s="11" t="n">
        <v>1.011296296296296</v>
      </c>
      <c r="AF808" s="16">
        <f>SUMPRODUCT(N808:Y808,$N$5:$Y$5)*$K808*$L808*$M808</f>
        <v/>
      </c>
      <c r="AG808" s="16">
        <f>SUMPRODUCT(N808:Y808,$N$6:$Y$6)*$K808*$L808*$M808</f>
        <v/>
      </c>
      <c r="AH808" s="20" t="n"/>
    </row>
    <row r="809">
      <c r="A809" s="9" t="n">
        <v>811710</v>
      </c>
      <c r="B809" s="9" t="inlineStr">
        <is>
          <t>Jacob Stretch</t>
        </is>
      </c>
      <c r="C809" s="9" t="inlineStr">
        <is>
          <t>TEX</t>
        </is>
      </c>
      <c r="D809" s="9" t="n">
        <v>25</v>
      </c>
      <c r="E809" s="18" t="inlineStr">
        <is>
          <t>R</t>
        </is>
      </c>
      <c r="F809" s="18" t="n"/>
      <c r="G809" s="9" t="n">
        <v>2.365</v>
      </c>
      <c r="H809" s="9" t="n">
        <v>2.365</v>
      </c>
      <c r="I809" s="9" t="inlineStr">
        <is>
          <t>Depth (no MLB IP)</t>
        </is>
      </c>
      <c r="J809" s="18" t="inlineStr">
        <is>
          <t>Opening Day</t>
        </is>
      </c>
      <c r="K809" s="11">
        <f>IFERROR(INDEX(Roles!$B$17:$B$20,MATCH(J809,Roles!$A$17:$A$20,0)),1)</f>
        <v/>
      </c>
      <c r="L809" s="19" t="n">
        <v>1</v>
      </c>
      <c r="M809" s="11" t="n">
        <v>1</v>
      </c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>
        <v>1</v>
      </c>
      <c r="Z809" s="13">
        <f>SUMPRODUCT(N809:Y809,$N$2:$Y$2)*$K809*$L809*$M809</f>
        <v/>
      </c>
      <c r="AA809" s="14">
        <f>SUM(N809:Y809)</f>
        <v/>
      </c>
      <c r="AB809" s="13">
        <f>SUMPRODUCT(N809:Y809,$N$3:$Y$3)*$K809*$L809*$M809</f>
        <v/>
      </c>
      <c r="AC809" s="13">
        <f>SUMPRODUCT(N809:Y809,$N$4:$Y$4)*$K809*$L809*$M809</f>
        <v/>
      </c>
      <c r="AD809" s="15" t="n">
        <v>3</v>
      </c>
      <c r="AE809" s="11" t="n">
        <v>1.011296296296296</v>
      </c>
      <c r="AF809" s="16">
        <f>SUMPRODUCT(N809:Y809,$N$5:$Y$5)*$K809*$L809*$M809</f>
        <v/>
      </c>
      <c r="AG809" s="16">
        <f>SUMPRODUCT(N809:Y809,$N$6:$Y$6)*$K809*$L809*$M809</f>
        <v/>
      </c>
      <c r="AH809" s="20" t="n"/>
    </row>
    <row r="810">
      <c r="A810" s="9" t="n">
        <v>702583</v>
      </c>
      <c r="B810" s="9" t="inlineStr">
        <is>
          <t>Logan Lunceford</t>
        </is>
      </c>
      <c r="C810" s="9" t="inlineStr">
        <is>
          <t>LAD</t>
        </is>
      </c>
      <c r="D810" s="9" t="n">
        <v>25</v>
      </c>
      <c r="E810" s="18" t="inlineStr">
        <is>
          <t>R</t>
        </is>
      </c>
      <c r="F810" s="18" t="n"/>
      <c r="G810" s="9" t="n">
        <v>2.064</v>
      </c>
      <c r="H810" s="9" t="n">
        <v>2.064</v>
      </c>
      <c r="I810" s="9" t="inlineStr">
        <is>
          <t>Depth (no MLB IP)</t>
        </is>
      </c>
      <c r="J810" s="18" t="inlineStr">
        <is>
          <t>Opening Day</t>
        </is>
      </c>
      <c r="K810" s="11">
        <f>IFERROR(INDEX(Roles!$B$17:$B$20,MATCH(J810,Roles!$A$17:$A$20,0)),1)</f>
        <v/>
      </c>
      <c r="L810" s="19" t="n">
        <v>1</v>
      </c>
      <c r="M810" s="11" t="n">
        <v>1</v>
      </c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>
        <v>1</v>
      </c>
      <c r="Z810" s="13">
        <f>SUMPRODUCT(N810:Y810,$N$2:$Y$2)*$K810*$L810*$M810</f>
        <v/>
      </c>
      <c r="AA810" s="14">
        <f>SUM(N810:Y810)</f>
        <v/>
      </c>
      <c r="AB810" s="13">
        <f>SUMPRODUCT(N810:Y810,$N$3:$Y$3)*$K810*$L810*$M810</f>
        <v/>
      </c>
      <c r="AC810" s="13">
        <f>SUMPRODUCT(N810:Y810,$N$4:$Y$4)*$K810*$L810*$M810</f>
        <v/>
      </c>
      <c r="AD810" s="15" t="n">
        <v>3</v>
      </c>
      <c r="AE810" s="11" t="n">
        <v>1.011296296296296</v>
      </c>
      <c r="AF810" s="16">
        <f>SUMPRODUCT(N810:Y810,$N$5:$Y$5)*$K810*$L810*$M810</f>
        <v/>
      </c>
      <c r="AG810" s="16">
        <f>SUMPRODUCT(N810:Y810,$N$6:$Y$6)*$K810*$L810*$M810</f>
        <v/>
      </c>
      <c r="AH810" s="20" t="n"/>
    </row>
    <row r="811">
      <c r="A811" s="9" t="n">
        <v>695661</v>
      </c>
      <c r="B811" s="9" t="inlineStr">
        <is>
          <t>Logan McGuire</t>
        </is>
      </c>
      <c r="C811" s="9" t="inlineStr">
        <is>
          <t>CLE</t>
        </is>
      </c>
      <c r="D811" s="9" t="n">
        <v>25</v>
      </c>
      <c r="E811" s="18" t="inlineStr">
        <is>
          <t>R</t>
        </is>
      </c>
      <c r="F811" s="18" t="n"/>
      <c r="G811" s="9" t="n">
        <v>2.365</v>
      </c>
      <c r="H811" s="9" t="n">
        <v>2.365</v>
      </c>
      <c r="I811" s="9" t="inlineStr">
        <is>
          <t>Depth (no MLB IP)</t>
        </is>
      </c>
      <c r="J811" s="18" t="inlineStr">
        <is>
          <t>Opening Day</t>
        </is>
      </c>
      <c r="K811" s="11">
        <f>IFERROR(INDEX(Roles!$B$17:$B$20,MATCH(J811,Roles!$A$17:$A$20,0)),1)</f>
        <v/>
      </c>
      <c r="L811" s="19" t="n">
        <v>1</v>
      </c>
      <c r="M811" s="11" t="n">
        <v>1</v>
      </c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>
        <v>1</v>
      </c>
      <c r="Z811" s="13">
        <f>SUMPRODUCT(N811:Y811,$N$2:$Y$2)*$K811*$L811*$M811</f>
        <v/>
      </c>
      <c r="AA811" s="14">
        <f>SUM(N811:Y811)</f>
        <v/>
      </c>
      <c r="AB811" s="13">
        <f>SUMPRODUCT(N811:Y811,$N$3:$Y$3)*$K811*$L811*$M811</f>
        <v/>
      </c>
      <c r="AC811" s="13">
        <f>SUMPRODUCT(N811:Y811,$N$4:$Y$4)*$K811*$L811*$M811</f>
        <v/>
      </c>
      <c r="AD811" s="15" t="n">
        <v>3</v>
      </c>
      <c r="AE811" s="11" t="n">
        <v>1.011296296296296</v>
      </c>
      <c r="AF811" s="16">
        <f>SUMPRODUCT(N811:Y811,$N$5:$Y$5)*$K811*$L811*$M811</f>
        <v/>
      </c>
      <c r="AG811" s="16">
        <f>SUMPRODUCT(N811:Y811,$N$6:$Y$6)*$K811*$L811*$M811</f>
        <v/>
      </c>
      <c r="AH811" s="20" t="n"/>
    </row>
    <row r="812">
      <c r="A812" s="9" t="n">
        <v>695742</v>
      </c>
      <c r="B812" s="9" t="inlineStr">
        <is>
          <t>Hudson White</t>
        </is>
      </c>
      <c r="C812" s="9" t="inlineStr">
        <is>
          <t>BOS</t>
        </is>
      </c>
      <c r="D812" s="9" t="n">
        <v>25</v>
      </c>
      <c r="E812" s="18" t="inlineStr">
        <is>
          <t>R</t>
        </is>
      </c>
      <c r="F812" s="18" t="n"/>
      <c r="G812" s="9" t="n">
        <v>2.006666666666666</v>
      </c>
      <c r="H812" s="9" t="n">
        <v>2.006666666666666</v>
      </c>
      <c r="I812" s="9" t="inlineStr">
        <is>
          <t>Depth (no MLB IP)</t>
        </is>
      </c>
      <c r="J812" s="18" t="inlineStr">
        <is>
          <t>Opening Day</t>
        </is>
      </c>
      <c r="K812" s="11">
        <f>IFERROR(INDEX(Roles!$B$17:$B$20,MATCH(J812,Roles!$A$17:$A$20,0)),1)</f>
        <v/>
      </c>
      <c r="L812" s="19" t="n">
        <v>1</v>
      </c>
      <c r="M812" s="11" t="n">
        <v>1</v>
      </c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>
        <v>1</v>
      </c>
      <c r="Z812" s="13">
        <f>SUMPRODUCT(N812:Y812,$N$2:$Y$2)*$K812*$L812*$M812</f>
        <v/>
      </c>
      <c r="AA812" s="14">
        <f>SUM(N812:Y812)</f>
        <v/>
      </c>
      <c r="AB812" s="13">
        <f>SUMPRODUCT(N812:Y812,$N$3:$Y$3)*$K812*$L812*$M812</f>
        <v/>
      </c>
      <c r="AC812" s="13">
        <f>SUMPRODUCT(N812:Y812,$N$4:$Y$4)*$K812*$L812*$M812</f>
        <v/>
      </c>
      <c r="AD812" s="15" t="n">
        <v>3</v>
      </c>
      <c r="AE812" s="11" t="n">
        <v>1.011296296296296</v>
      </c>
      <c r="AF812" s="16">
        <f>SUMPRODUCT(N812:Y812,$N$5:$Y$5)*$K812*$L812*$M812</f>
        <v/>
      </c>
      <c r="AG812" s="16">
        <f>SUMPRODUCT(N812:Y812,$N$6:$Y$6)*$K812*$L812*$M812</f>
        <v/>
      </c>
      <c r="AH812" s="20" t="n"/>
    </row>
    <row r="813">
      <c r="A813" s="9" t="n">
        <v>680519</v>
      </c>
      <c r="B813" s="9" t="inlineStr">
        <is>
          <t>Mario Camilletti</t>
        </is>
      </c>
      <c r="C813" s="9" t="inlineStr">
        <is>
          <t>CWS</t>
        </is>
      </c>
      <c r="D813" s="9" t="n">
        <v>25</v>
      </c>
      <c r="E813" s="18" t="inlineStr">
        <is>
          <t>R</t>
        </is>
      </c>
      <c r="F813" s="18" t="n"/>
      <c r="G813" s="9" t="n">
        <v>2.365</v>
      </c>
      <c r="H813" s="9" t="n">
        <v>2.365</v>
      </c>
      <c r="I813" s="9" t="inlineStr">
        <is>
          <t>Depth (no MLB IP)</t>
        </is>
      </c>
      <c r="J813" s="18" t="inlineStr">
        <is>
          <t>Opening Day</t>
        </is>
      </c>
      <c r="K813" s="11">
        <f>IFERROR(INDEX(Roles!$B$17:$B$20,MATCH(J813,Roles!$A$17:$A$20,0)),1)</f>
        <v/>
      </c>
      <c r="L813" s="19" t="n">
        <v>1</v>
      </c>
      <c r="M813" s="11" t="n">
        <v>1</v>
      </c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>
        <v>1</v>
      </c>
      <c r="Z813" s="13">
        <f>SUMPRODUCT(N813:Y813,$N$2:$Y$2)*$K813*$L813*$M813</f>
        <v/>
      </c>
      <c r="AA813" s="14">
        <f>SUM(N813:Y813)</f>
        <v/>
      </c>
      <c r="AB813" s="13">
        <f>SUMPRODUCT(N813:Y813,$N$3:$Y$3)*$K813*$L813*$M813</f>
        <v/>
      </c>
      <c r="AC813" s="13">
        <f>SUMPRODUCT(N813:Y813,$N$4:$Y$4)*$K813*$L813*$M813</f>
        <v/>
      </c>
      <c r="AD813" s="15" t="n">
        <v>3</v>
      </c>
      <c r="AE813" s="11" t="n">
        <v>1.011296296296296</v>
      </c>
      <c r="AF813" s="16">
        <f>SUMPRODUCT(N813:Y813,$N$5:$Y$5)*$K813*$L813*$M813</f>
        <v/>
      </c>
      <c r="AG813" s="16">
        <f>SUMPRODUCT(N813:Y813,$N$6:$Y$6)*$K813*$L813*$M813</f>
        <v/>
      </c>
      <c r="AH813" s="20" t="n"/>
    </row>
    <row r="814">
      <c r="A814" s="9" t="n">
        <v>696276</v>
      </c>
      <c r="B814" s="9" t="inlineStr">
        <is>
          <t>Jay Woolfolk</t>
        </is>
      </c>
      <c r="C814" s="9" t="inlineStr">
        <is>
          <t>ATL</t>
        </is>
      </c>
      <c r="D814" s="9" t="n">
        <v>25</v>
      </c>
      <c r="E814" s="18" t="inlineStr">
        <is>
          <t>R</t>
        </is>
      </c>
      <c r="F814" s="18" t="n"/>
      <c r="G814" s="9" t="n">
        <v>2.064</v>
      </c>
      <c r="H814" s="9" t="n">
        <v>2.064</v>
      </c>
      <c r="I814" s="9" t="inlineStr">
        <is>
          <t>Depth (no MLB IP)</t>
        </is>
      </c>
      <c r="J814" s="18" t="inlineStr">
        <is>
          <t>Opening Day</t>
        </is>
      </c>
      <c r="K814" s="11">
        <f>IFERROR(INDEX(Roles!$B$17:$B$20,MATCH(J814,Roles!$A$17:$A$20,0)),1)</f>
        <v/>
      </c>
      <c r="L814" s="19" t="n">
        <v>1</v>
      </c>
      <c r="M814" s="11" t="n">
        <v>1</v>
      </c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>
        <v>1</v>
      </c>
      <c r="Z814" s="13">
        <f>SUMPRODUCT(N814:Y814,$N$2:$Y$2)*$K814*$L814*$M814</f>
        <v/>
      </c>
      <c r="AA814" s="14">
        <f>SUM(N814:Y814)</f>
        <v/>
      </c>
      <c r="AB814" s="13">
        <f>SUMPRODUCT(N814:Y814,$N$3:$Y$3)*$K814*$L814*$M814</f>
        <v/>
      </c>
      <c r="AC814" s="13">
        <f>SUMPRODUCT(N814:Y814,$N$4:$Y$4)*$K814*$L814*$M814</f>
        <v/>
      </c>
      <c r="AD814" s="15" t="n">
        <v>3</v>
      </c>
      <c r="AE814" s="11" t="n">
        <v>1.011296296296296</v>
      </c>
      <c r="AF814" s="16">
        <f>SUMPRODUCT(N814:Y814,$N$5:$Y$5)*$K814*$L814*$M814</f>
        <v/>
      </c>
      <c r="AG814" s="16">
        <f>SUMPRODUCT(N814:Y814,$N$6:$Y$6)*$K814*$L814*$M814</f>
        <v/>
      </c>
      <c r="AH814" s="20" t="n"/>
    </row>
    <row r="815">
      <c r="A815" s="9" t="n">
        <v>702444</v>
      </c>
      <c r="B815" s="9" t="inlineStr">
        <is>
          <t>Eric Martinez</t>
        </is>
      </c>
      <c r="C815" s="9" t="inlineStr">
        <is>
          <t>MIL</t>
        </is>
      </c>
      <c r="D815" s="9" t="n">
        <v>25</v>
      </c>
      <c r="E815" s="18" t="inlineStr">
        <is>
          <t>R</t>
        </is>
      </c>
      <c r="F815" s="18" t="n"/>
      <c r="G815" s="9" t="n">
        <v>2.236</v>
      </c>
      <c r="H815" s="9" t="n">
        <v>2.236</v>
      </c>
      <c r="I815" s="9" t="inlineStr">
        <is>
          <t>Depth (no MLB IP)</t>
        </is>
      </c>
      <c r="J815" s="18" t="inlineStr">
        <is>
          <t>Opening Day</t>
        </is>
      </c>
      <c r="K815" s="11">
        <f>IFERROR(INDEX(Roles!$B$17:$B$20,MATCH(J815,Roles!$A$17:$A$20,0)),1)</f>
        <v/>
      </c>
      <c r="L815" s="19" t="n">
        <v>1</v>
      </c>
      <c r="M815" s="11" t="n">
        <v>1</v>
      </c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>
        <v>1</v>
      </c>
      <c r="Z815" s="13">
        <f>SUMPRODUCT(N815:Y815,$N$2:$Y$2)*$K815*$L815*$M815</f>
        <v/>
      </c>
      <c r="AA815" s="14">
        <f>SUM(N815:Y815)</f>
        <v/>
      </c>
      <c r="AB815" s="13">
        <f>SUMPRODUCT(N815:Y815,$N$3:$Y$3)*$K815*$L815*$M815</f>
        <v/>
      </c>
      <c r="AC815" s="13">
        <f>SUMPRODUCT(N815:Y815,$N$4:$Y$4)*$K815*$L815*$M815</f>
        <v/>
      </c>
      <c r="AD815" s="15" t="n">
        <v>3</v>
      </c>
      <c r="AE815" s="11" t="n">
        <v>1.011296296296296</v>
      </c>
      <c r="AF815" s="16">
        <f>SUMPRODUCT(N815:Y815,$N$5:$Y$5)*$K815*$L815*$M815</f>
        <v/>
      </c>
      <c r="AG815" s="16">
        <f>SUMPRODUCT(N815:Y815,$N$6:$Y$6)*$K815*$L815*$M815</f>
        <v/>
      </c>
      <c r="AH815" s="20" t="n"/>
    </row>
    <row r="816">
      <c r="A816" s="9" t="n">
        <v>695078</v>
      </c>
      <c r="B816" s="9" t="inlineStr">
        <is>
          <t>Jean Walters</t>
        </is>
      </c>
      <c r="C816" s="9" t="inlineStr">
        <is>
          <t>ARI</t>
        </is>
      </c>
      <c r="D816" s="9" t="n">
        <v>25</v>
      </c>
      <c r="E816" s="18" t="inlineStr">
        <is>
          <t>R</t>
        </is>
      </c>
      <c r="F816" s="18" t="n"/>
      <c r="G816" s="9" t="n">
        <v>2.365</v>
      </c>
      <c r="H816" s="9" t="n">
        <v>2.365</v>
      </c>
      <c r="I816" s="9" t="inlineStr">
        <is>
          <t>Depth (no MLB IP)</t>
        </is>
      </c>
      <c r="J816" s="18" t="inlineStr">
        <is>
          <t>Opening Day</t>
        </is>
      </c>
      <c r="K816" s="11">
        <f>IFERROR(INDEX(Roles!$B$17:$B$20,MATCH(J816,Roles!$A$17:$A$20,0)),1)</f>
        <v/>
      </c>
      <c r="L816" s="19" t="n">
        <v>1</v>
      </c>
      <c r="M816" s="11" t="n">
        <v>1</v>
      </c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>
        <v>1</v>
      </c>
      <c r="Z816" s="13">
        <f>SUMPRODUCT(N816:Y816,$N$2:$Y$2)*$K816*$L816*$M816</f>
        <v/>
      </c>
      <c r="AA816" s="14">
        <f>SUM(N816:Y816)</f>
        <v/>
      </c>
      <c r="AB816" s="13">
        <f>SUMPRODUCT(N816:Y816,$N$3:$Y$3)*$K816*$L816*$M816</f>
        <v/>
      </c>
      <c r="AC816" s="13">
        <f>SUMPRODUCT(N816:Y816,$N$4:$Y$4)*$K816*$L816*$M816</f>
        <v/>
      </c>
      <c r="AD816" s="15" t="n">
        <v>3</v>
      </c>
      <c r="AE816" s="11" t="n">
        <v>1.011296296296296</v>
      </c>
      <c r="AF816" s="16">
        <f>SUMPRODUCT(N816:Y816,$N$5:$Y$5)*$K816*$L816*$M816</f>
        <v/>
      </c>
      <c r="AG816" s="16">
        <f>SUMPRODUCT(N816:Y816,$N$6:$Y$6)*$K816*$L816*$M816</f>
        <v/>
      </c>
      <c r="AH816" s="20" t="n"/>
    </row>
    <row r="817">
      <c r="A817" s="9" t="n">
        <v>815587</v>
      </c>
      <c r="B817" s="9" t="inlineStr">
        <is>
          <t>Trent Sellers</t>
        </is>
      </c>
      <c r="C817" s="9" t="inlineStr">
        <is>
          <t>NYY</t>
        </is>
      </c>
      <c r="D817" s="9" t="n">
        <v>25</v>
      </c>
      <c r="E817" s="18" t="inlineStr">
        <is>
          <t>R</t>
        </is>
      </c>
      <c r="F817" s="18" t="n"/>
      <c r="G817" s="9" t="n">
        <v>2.365</v>
      </c>
      <c r="H817" s="9" t="n">
        <v>2.365</v>
      </c>
      <c r="I817" s="9" t="inlineStr">
        <is>
          <t>Depth (no MLB IP)</t>
        </is>
      </c>
      <c r="J817" s="18" t="inlineStr">
        <is>
          <t>Opening Day</t>
        </is>
      </c>
      <c r="K817" s="11">
        <f>IFERROR(INDEX(Roles!$B$17:$B$20,MATCH(J817,Roles!$A$17:$A$20,0)),1)</f>
        <v/>
      </c>
      <c r="L817" s="19" t="n">
        <v>1</v>
      </c>
      <c r="M817" s="11" t="n">
        <v>1</v>
      </c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>
        <v>1</v>
      </c>
      <c r="Z817" s="13">
        <f>SUMPRODUCT(N817:Y817,$N$2:$Y$2)*$K817*$L817*$M817</f>
        <v/>
      </c>
      <c r="AA817" s="14">
        <f>SUM(N817:Y817)</f>
        <v/>
      </c>
      <c r="AB817" s="13">
        <f>SUMPRODUCT(N817:Y817,$N$3:$Y$3)*$K817*$L817*$M817</f>
        <v/>
      </c>
      <c r="AC817" s="13">
        <f>SUMPRODUCT(N817:Y817,$N$4:$Y$4)*$K817*$L817*$M817</f>
        <v/>
      </c>
      <c r="AD817" s="15" t="n">
        <v>3</v>
      </c>
      <c r="AE817" s="11" t="n">
        <v>1.011296296296296</v>
      </c>
      <c r="AF817" s="16">
        <f>SUMPRODUCT(N817:Y817,$N$5:$Y$5)*$K817*$L817*$M817</f>
        <v/>
      </c>
      <c r="AG817" s="16">
        <f>SUMPRODUCT(N817:Y817,$N$6:$Y$6)*$K817*$L817*$M817</f>
        <v/>
      </c>
      <c r="AH817" s="20" t="n"/>
    </row>
    <row r="818">
      <c r="A818" s="9" t="n">
        <v>805788</v>
      </c>
      <c r="B818" s="9" t="inlineStr">
        <is>
          <t>Aidan Keenan</t>
        </is>
      </c>
      <c r="C818" s="9" t="inlineStr">
        <is>
          <t>NYM</t>
        </is>
      </c>
      <c r="D818" s="9" t="n">
        <v>25</v>
      </c>
      <c r="E818" s="18" t="inlineStr">
        <is>
          <t>R</t>
        </is>
      </c>
      <c r="F818" s="18" t="n"/>
      <c r="G818" s="9" t="n">
        <v>2.064</v>
      </c>
      <c r="H818" s="9" t="n">
        <v>2.064</v>
      </c>
      <c r="I818" s="9" t="inlineStr">
        <is>
          <t>Depth (no MLB IP)</t>
        </is>
      </c>
      <c r="J818" s="18" t="inlineStr">
        <is>
          <t>Opening Day</t>
        </is>
      </c>
      <c r="K818" s="11">
        <f>IFERROR(INDEX(Roles!$B$17:$B$20,MATCH(J818,Roles!$A$17:$A$20,0)),1)</f>
        <v/>
      </c>
      <c r="L818" s="19" t="n">
        <v>1</v>
      </c>
      <c r="M818" s="11" t="n">
        <v>1</v>
      </c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>
        <v>1</v>
      </c>
      <c r="Z818" s="13">
        <f>SUMPRODUCT(N818:Y818,$N$2:$Y$2)*$K818*$L818*$M818</f>
        <v/>
      </c>
      <c r="AA818" s="14">
        <f>SUM(N818:Y818)</f>
        <v/>
      </c>
      <c r="AB818" s="13">
        <f>SUMPRODUCT(N818:Y818,$N$3:$Y$3)*$K818*$L818*$M818</f>
        <v/>
      </c>
      <c r="AC818" s="13">
        <f>SUMPRODUCT(N818:Y818,$N$4:$Y$4)*$K818*$L818*$M818</f>
        <v/>
      </c>
      <c r="AD818" s="15" t="n">
        <v>3</v>
      </c>
      <c r="AE818" s="11" t="n">
        <v>1.011296296296296</v>
      </c>
      <c r="AF818" s="16">
        <f>SUMPRODUCT(N818:Y818,$N$5:$Y$5)*$K818*$L818*$M818</f>
        <v/>
      </c>
      <c r="AG818" s="16">
        <f>SUMPRODUCT(N818:Y818,$N$6:$Y$6)*$K818*$L818*$M818</f>
        <v/>
      </c>
      <c r="AH818" s="20" t="n"/>
    </row>
    <row r="819">
      <c r="A819" s="9" t="n">
        <v>801873</v>
      </c>
      <c r="B819" s="9" t="inlineStr">
        <is>
          <t>Shea Sprague</t>
        </is>
      </c>
      <c r="C819" s="9" t="inlineStr">
        <is>
          <t>BOS</t>
        </is>
      </c>
      <c r="D819" s="9" t="n">
        <v>25</v>
      </c>
      <c r="E819" s="18" t="inlineStr">
        <is>
          <t>L</t>
        </is>
      </c>
      <c r="F819" s="18" t="n"/>
      <c r="G819" s="9" t="n">
        <v>2.006666666666666</v>
      </c>
      <c r="H819" s="9" t="n">
        <v>2.006666666666666</v>
      </c>
      <c r="I819" s="9" t="inlineStr">
        <is>
          <t>Depth (no MLB IP)</t>
        </is>
      </c>
      <c r="J819" s="18" t="inlineStr">
        <is>
          <t>Opening Day</t>
        </is>
      </c>
      <c r="K819" s="11">
        <f>IFERROR(INDEX(Roles!$B$17:$B$20,MATCH(J819,Roles!$A$17:$A$20,0)),1)</f>
        <v/>
      </c>
      <c r="L819" s="19" t="n">
        <v>1</v>
      </c>
      <c r="M819" s="11" t="n">
        <v>1</v>
      </c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>
        <v>1</v>
      </c>
      <c r="Z819" s="13">
        <f>SUMPRODUCT(N819:Y819,$N$2:$Y$2)*$K819*$L819*$M819</f>
        <v/>
      </c>
      <c r="AA819" s="14">
        <f>SUM(N819:Y819)</f>
        <v/>
      </c>
      <c r="AB819" s="13">
        <f>SUMPRODUCT(N819:Y819,$N$3:$Y$3)*$K819*$L819*$M819</f>
        <v/>
      </c>
      <c r="AC819" s="13">
        <f>SUMPRODUCT(N819:Y819,$N$4:$Y$4)*$K819*$L819*$M819</f>
        <v/>
      </c>
      <c r="AD819" s="15" t="n">
        <v>3</v>
      </c>
      <c r="AE819" s="11" t="n">
        <v>1.011296296296296</v>
      </c>
      <c r="AF819" s="16">
        <f>SUMPRODUCT(N819:Y819,$N$5:$Y$5)*$K819*$L819*$M819</f>
        <v/>
      </c>
      <c r="AG819" s="16">
        <f>SUMPRODUCT(N819:Y819,$N$6:$Y$6)*$K819*$L819*$M819</f>
        <v/>
      </c>
      <c r="AH819" s="20" t="n"/>
    </row>
    <row r="820">
      <c r="A820" s="9" t="n">
        <v>804922</v>
      </c>
      <c r="B820" s="9" t="inlineStr">
        <is>
          <t>Tyler Vogel</t>
        </is>
      </c>
      <c r="C820" s="9" t="inlineStr">
        <is>
          <t>SF</t>
        </is>
      </c>
      <c r="D820" s="9" t="n">
        <v>25</v>
      </c>
      <c r="E820" s="18" t="inlineStr">
        <is>
          <t>R</t>
        </is>
      </c>
      <c r="F820" s="18" t="n"/>
      <c r="G820" s="9" t="n">
        <v>2.365</v>
      </c>
      <c r="H820" s="9" t="n">
        <v>2.365</v>
      </c>
      <c r="I820" s="9" t="inlineStr">
        <is>
          <t>Depth (no MLB IP)</t>
        </is>
      </c>
      <c r="J820" s="18" t="inlineStr">
        <is>
          <t>Opening Day</t>
        </is>
      </c>
      <c r="K820" s="11">
        <f>IFERROR(INDEX(Roles!$B$17:$B$20,MATCH(J820,Roles!$A$17:$A$20,0)),1)</f>
        <v/>
      </c>
      <c r="L820" s="19" t="n">
        <v>1</v>
      </c>
      <c r="M820" s="11" t="n">
        <v>1</v>
      </c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>
        <v>1</v>
      </c>
      <c r="Z820" s="13">
        <f>SUMPRODUCT(N820:Y820,$N$2:$Y$2)*$K820*$L820*$M820</f>
        <v/>
      </c>
      <c r="AA820" s="14">
        <f>SUM(N820:Y820)</f>
        <v/>
      </c>
      <c r="AB820" s="13">
        <f>SUMPRODUCT(N820:Y820,$N$3:$Y$3)*$K820*$L820*$M820</f>
        <v/>
      </c>
      <c r="AC820" s="13">
        <f>SUMPRODUCT(N820:Y820,$N$4:$Y$4)*$K820*$L820*$M820</f>
        <v/>
      </c>
      <c r="AD820" s="15" t="n">
        <v>3</v>
      </c>
      <c r="AE820" s="11" t="n">
        <v>1.011296296296296</v>
      </c>
      <c r="AF820" s="16">
        <f>SUMPRODUCT(N820:Y820,$N$5:$Y$5)*$K820*$L820*$M820</f>
        <v/>
      </c>
      <c r="AG820" s="16">
        <f>SUMPRODUCT(N820:Y820,$N$6:$Y$6)*$K820*$L820*$M820</f>
        <v/>
      </c>
      <c r="AH820" s="20" t="n"/>
    </row>
    <row r="821">
      <c r="A821" s="9" t="n">
        <v>805028</v>
      </c>
      <c r="B821" s="9" t="inlineStr">
        <is>
          <t>Sean Fitzpatrick</t>
        </is>
      </c>
      <c r="C821" s="9" t="inlineStr">
        <is>
          <t>SD</t>
        </is>
      </c>
      <c r="D821" s="9" t="n">
        <v>25</v>
      </c>
      <c r="E821" s="18" t="inlineStr">
        <is>
          <t>L</t>
        </is>
      </c>
      <c r="F821" s="18" t="n"/>
      <c r="G821" s="9" t="n">
        <v>1.892</v>
      </c>
      <c r="H821" s="9" t="n">
        <v>1.892</v>
      </c>
      <c r="I821" s="9" t="inlineStr">
        <is>
          <t>Depth (no MLB IP)</t>
        </is>
      </c>
      <c r="J821" s="18" t="inlineStr">
        <is>
          <t>Opening Day</t>
        </is>
      </c>
      <c r="K821" s="11">
        <f>IFERROR(INDEX(Roles!$B$17:$B$20,MATCH(J821,Roles!$A$17:$A$20,0)),1)</f>
        <v/>
      </c>
      <c r="L821" s="19" t="n">
        <v>1</v>
      </c>
      <c r="M821" s="11" t="n">
        <v>1</v>
      </c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>
        <v>1</v>
      </c>
      <c r="Z821" s="13">
        <f>SUMPRODUCT(N821:Y821,$N$2:$Y$2)*$K821*$L821*$M821</f>
        <v/>
      </c>
      <c r="AA821" s="14">
        <f>SUM(N821:Y821)</f>
        <v/>
      </c>
      <c r="AB821" s="13">
        <f>SUMPRODUCT(N821:Y821,$N$3:$Y$3)*$K821*$L821*$M821</f>
        <v/>
      </c>
      <c r="AC821" s="13">
        <f>SUMPRODUCT(N821:Y821,$N$4:$Y$4)*$K821*$L821*$M821</f>
        <v/>
      </c>
      <c r="AD821" s="15" t="n">
        <v>3</v>
      </c>
      <c r="AE821" s="11" t="n">
        <v>1.011296296296296</v>
      </c>
      <c r="AF821" s="16">
        <f>SUMPRODUCT(N821:Y821,$N$5:$Y$5)*$K821*$L821*$M821</f>
        <v/>
      </c>
      <c r="AG821" s="16">
        <f>SUMPRODUCT(N821:Y821,$N$6:$Y$6)*$K821*$L821*$M821</f>
        <v/>
      </c>
      <c r="AH821" s="20" t="n"/>
    </row>
    <row r="822">
      <c r="A822" s="9" t="n">
        <v>694318</v>
      </c>
      <c r="B822" s="9" t="inlineStr">
        <is>
          <t>Austin St. Laurent</t>
        </is>
      </c>
      <c r="C822" s="9" t="inlineStr">
        <is>
          <t>SEA</t>
        </is>
      </c>
      <c r="D822" s="9" t="n">
        <v>25</v>
      </c>
      <c r="E822" s="18" t="inlineStr">
        <is>
          <t>R</t>
        </is>
      </c>
      <c r="F822" s="18" t="n"/>
      <c r="G822" s="9" t="n">
        <v>2.006666666666666</v>
      </c>
      <c r="H822" s="9" t="n">
        <v>2.006666666666666</v>
      </c>
      <c r="I822" s="9" t="inlineStr">
        <is>
          <t>Depth (no MLB IP)</t>
        </is>
      </c>
      <c r="J822" s="18" t="inlineStr">
        <is>
          <t>Opening Day</t>
        </is>
      </c>
      <c r="K822" s="11">
        <f>IFERROR(INDEX(Roles!$B$17:$B$20,MATCH(J822,Roles!$A$17:$A$20,0)),1)</f>
        <v/>
      </c>
      <c r="L822" s="19" t="n">
        <v>1</v>
      </c>
      <c r="M822" s="11" t="n">
        <v>1</v>
      </c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>
        <v>1</v>
      </c>
      <c r="Z822" s="13">
        <f>SUMPRODUCT(N822:Y822,$N$2:$Y$2)*$K822*$L822*$M822</f>
        <v/>
      </c>
      <c r="AA822" s="14">
        <f>SUM(N822:Y822)</f>
        <v/>
      </c>
      <c r="AB822" s="13">
        <f>SUMPRODUCT(N822:Y822,$N$3:$Y$3)*$K822*$L822*$M822</f>
        <v/>
      </c>
      <c r="AC822" s="13">
        <f>SUMPRODUCT(N822:Y822,$N$4:$Y$4)*$K822*$L822*$M822</f>
        <v/>
      </c>
      <c r="AD822" s="15" t="n">
        <v>3</v>
      </c>
      <c r="AE822" s="11" t="n">
        <v>1.011296296296296</v>
      </c>
      <c r="AF822" s="16">
        <f>SUMPRODUCT(N822:Y822,$N$5:$Y$5)*$K822*$L822*$M822</f>
        <v/>
      </c>
      <c r="AG822" s="16">
        <f>SUMPRODUCT(N822:Y822,$N$6:$Y$6)*$K822*$L822*$M822</f>
        <v/>
      </c>
      <c r="AH822" s="20" t="n"/>
    </row>
    <row r="823">
      <c r="A823" s="9" t="n">
        <v>694355</v>
      </c>
      <c r="B823" s="9" t="inlineStr">
        <is>
          <t>Tyler Gentry</t>
        </is>
      </c>
      <c r="C823" s="9" t="inlineStr">
        <is>
          <t>DET</t>
        </is>
      </c>
      <c r="D823" s="9" t="n">
        <v>25</v>
      </c>
      <c r="E823" s="18" t="inlineStr">
        <is>
          <t>R</t>
        </is>
      </c>
      <c r="F823" s="18" t="n"/>
      <c r="G823" s="9" t="n">
        <v>2.365</v>
      </c>
      <c r="H823" s="9" t="n">
        <v>2.365</v>
      </c>
      <c r="I823" s="9" t="inlineStr">
        <is>
          <t>Depth (no MLB IP)</t>
        </is>
      </c>
      <c r="J823" s="18" t="inlineStr">
        <is>
          <t>Opening Day</t>
        </is>
      </c>
      <c r="K823" s="11">
        <f>IFERROR(INDEX(Roles!$B$17:$B$20,MATCH(J823,Roles!$A$17:$A$20,0)),1)</f>
        <v/>
      </c>
      <c r="L823" s="19" t="n">
        <v>1</v>
      </c>
      <c r="M823" s="11" t="n">
        <v>1</v>
      </c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>
        <v>1</v>
      </c>
      <c r="Z823" s="13">
        <f>SUMPRODUCT(N823:Y823,$N$2:$Y$2)*$K823*$L823*$M823</f>
        <v/>
      </c>
      <c r="AA823" s="14">
        <f>SUM(N823:Y823)</f>
        <v/>
      </c>
      <c r="AB823" s="13">
        <f>SUMPRODUCT(N823:Y823,$N$3:$Y$3)*$K823*$L823*$M823</f>
        <v/>
      </c>
      <c r="AC823" s="13">
        <f>SUMPRODUCT(N823:Y823,$N$4:$Y$4)*$K823*$L823*$M823</f>
        <v/>
      </c>
      <c r="AD823" s="15" t="n">
        <v>3</v>
      </c>
      <c r="AE823" s="11" t="n">
        <v>1.011296296296296</v>
      </c>
      <c r="AF823" s="16">
        <f>SUMPRODUCT(N823:Y823,$N$5:$Y$5)*$K823*$L823*$M823</f>
        <v/>
      </c>
      <c r="AG823" s="16">
        <f>SUMPRODUCT(N823:Y823,$N$6:$Y$6)*$K823*$L823*$M823</f>
        <v/>
      </c>
      <c r="AH823" s="20" t="n"/>
    </row>
    <row r="824">
      <c r="A824" s="9" t="n">
        <v>821589</v>
      </c>
      <c r="B824" s="9" t="inlineStr">
        <is>
          <t>Keiber Armas</t>
        </is>
      </c>
      <c r="C824" s="9" t="inlineStr">
        <is>
          <t>TEX</t>
        </is>
      </c>
      <c r="D824" s="9" t="n">
        <v>25</v>
      </c>
      <c r="E824" s="18" t="inlineStr">
        <is>
          <t>R</t>
        </is>
      </c>
      <c r="F824" s="18" t="n"/>
      <c r="G824" s="9" t="n">
        <v>2.236</v>
      </c>
      <c r="H824" s="9" t="n">
        <v>2.236</v>
      </c>
      <c r="I824" s="9" t="inlineStr">
        <is>
          <t>Depth (no MLB IP)</t>
        </is>
      </c>
      <c r="J824" s="18" t="inlineStr">
        <is>
          <t>Opening Day</t>
        </is>
      </c>
      <c r="K824" s="11">
        <f>IFERROR(INDEX(Roles!$B$17:$B$20,MATCH(J824,Roles!$A$17:$A$20,0)),1)</f>
        <v/>
      </c>
      <c r="L824" s="19" t="n">
        <v>1</v>
      </c>
      <c r="M824" s="11" t="n">
        <v>1</v>
      </c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>
        <v>1</v>
      </c>
      <c r="Z824" s="13">
        <f>SUMPRODUCT(N824:Y824,$N$2:$Y$2)*$K824*$L824*$M824</f>
        <v/>
      </c>
      <c r="AA824" s="14">
        <f>SUM(N824:Y824)</f>
        <v/>
      </c>
      <c r="AB824" s="13">
        <f>SUMPRODUCT(N824:Y824,$N$3:$Y$3)*$K824*$L824*$M824</f>
        <v/>
      </c>
      <c r="AC824" s="13">
        <f>SUMPRODUCT(N824:Y824,$N$4:$Y$4)*$K824*$L824*$M824</f>
        <v/>
      </c>
      <c r="AD824" s="15" t="n">
        <v>3</v>
      </c>
      <c r="AE824" s="11" t="n">
        <v>1.011296296296296</v>
      </c>
      <c r="AF824" s="16">
        <f>SUMPRODUCT(N824:Y824,$N$5:$Y$5)*$K824*$L824*$M824</f>
        <v/>
      </c>
      <c r="AG824" s="16">
        <f>SUMPRODUCT(N824:Y824,$N$6:$Y$6)*$K824*$L824*$M824</f>
        <v/>
      </c>
      <c r="AH824" s="20" t="n"/>
    </row>
    <row r="825">
      <c r="A825" s="9" t="n">
        <v>821310</v>
      </c>
      <c r="B825" s="9" t="inlineStr">
        <is>
          <t>Brendan Sweeney</t>
        </is>
      </c>
      <c r="C825" s="9" t="inlineStr">
        <is>
          <t>PHI</t>
        </is>
      </c>
      <c r="D825" s="9" t="n">
        <v>25</v>
      </c>
      <c r="E825" s="18" t="inlineStr">
        <is>
          <t>R</t>
        </is>
      </c>
      <c r="F825" s="18" t="n"/>
      <c r="G825" s="9" t="n">
        <v>2.064</v>
      </c>
      <c r="H825" s="9" t="n">
        <v>2.064</v>
      </c>
      <c r="I825" s="9" t="inlineStr">
        <is>
          <t>Depth (no MLB IP)</t>
        </is>
      </c>
      <c r="J825" s="18" t="inlineStr">
        <is>
          <t>Opening Day</t>
        </is>
      </c>
      <c r="K825" s="11">
        <f>IFERROR(INDEX(Roles!$B$17:$B$20,MATCH(J825,Roles!$A$17:$A$20,0)),1)</f>
        <v/>
      </c>
      <c r="L825" s="19" t="n">
        <v>1</v>
      </c>
      <c r="M825" s="11" t="n">
        <v>1</v>
      </c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>
        <v>1</v>
      </c>
      <c r="Z825" s="13">
        <f>SUMPRODUCT(N825:Y825,$N$2:$Y$2)*$K825*$L825*$M825</f>
        <v/>
      </c>
      <c r="AA825" s="14">
        <f>SUM(N825:Y825)</f>
        <v/>
      </c>
      <c r="AB825" s="13">
        <f>SUMPRODUCT(N825:Y825,$N$3:$Y$3)*$K825*$L825*$M825</f>
        <v/>
      </c>
      <c r="AC825" s="13">
        <f>SUMPRODUCT(N825:Y825,$N$4:$Y$4)*$K825*$L825*$M825</f>
        <v/>
      </c>
      <c r="AD825" s="15" t="n">
        <v>3</v>
      </c>
      <c r="AE825" s="11" t="n">
        <v>1.011296296296296</v>
      </c>
      <c r="AF825" s="16">
        <f>SUMPRODUCT(N825:Y825,$N$5:$Y$5)*$K825*$L825*$M825</f>
        <v/>
      </c>
      <c r="AG825" s="16">
        <f>SUMPRODUCT(N825:Y825,$N$6:$Y$6)*$K825*$L825*$M825</f>
        <v/>
      </c>
      <c r="AH825" s="20" t="n"/>
    </row>
    <row r="826">
      <c r="A826" s="9" t="n">
        <v>681377</v>
      </c>
      <c r="B826" s="9" t="inlineStr">
        <is>
          <t>Josh Hood</t>
        </is>
      </c>
      <c r="C826" s="9" t="inlineStr">
        <is>
          <t>SEA</t>
        </is>
      </c>
      <c r="D826" s="9" t="n">
        <v>25</v>
      </c>
      <c r="E826" s="18" t="inlineStr">
        <is>
          <t>R</t>
        </is>
      </c>
      <c r="F826" s="18" t="n"/>
      <c r="G826" s="9" t="n">
        <v>2.006666666666666</v>
      </c>
      <c r="H826" s="9" t="n">
        <v>2.006666666666666</v>
      </c>
      <c r="I826" s="9" t="inlineStr">
        <is>
          <t>Depth (no MLB IP)</t>
        </is>
      </c>
      <c r="J826" s="18" t="inlineStr">
        <is>
          <t>Opening Day</t>
        </is>
      </c>
      <c r="K826" s="11">
        <f>IFERROR(INDEX(Roles!$B$17:$B$20,MATCH(J826,Roles!$A$17:$A$20,0)),1)</f>
        <v/>
      </c>
      <c r="L826" s="19" t="n">
        <v>1</v>
      </c>
      <c r="M826" s="11" t="n">
        <v>1</v>
      </c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>
        <v>1</v>
      </c>
      <c r="Z826" s="13">
        <f>SUMPRODUCT(N826:Y826,$N$2:$Y$2)*$K826*$L826*$M826</f>
        <v/>
      </c>
      <c r="AA826" s="14">
        <f>SUM(N826:Y826)</f>
        <v/>
      </c>
      <c r="AB826" s="13">
        <f>SUMPRODUCT(N826:Y826,$N$3:$Y$3)*$K826*$L826*$M826</f>
        <v/>
      </c>
      <c r="AC826" s="13">
        <f>SUMPRODUCT(N826:Y826,$N$4:$Y$4)*$K826*$L826*$M826</f>
        <v/>
      </c>
      <c r="AD826" s="15" t="n">
        <v>3</v>
      </c>
      <c r="AE826" s="11" t="n">
        <v>1.011296296296296</v>
      </c>
      <c r="AF826" s="16">
        <f>SUMPRODUCT(N826:Y826,$N$5:$Y$5)*$K826*$L826*$M826</f>
        <v/>
      </c>
      <c r="AG826" s="16">
        <f>SUMPRODUCT(N826:Y826,$N$6:$Y$6)*$K826*$L826*$M826</f>
        <v/>
      </c>
      <c r="AH826" s="20" t="n"/>
    </row>
    <row r="827">
      <c r="A827" s="9" t="n">
        <v>821580</v>
      </c>
      <c r="B827" s="9" t="inlineStr">
        <is>
          <t>Ashton Pocol</t>
        </is>
      </c>
      <c r="C827" s="9" t="inlineStr">
        <is>
          <t>CHC</t>
        </is>
      </c>
      <c r="D827" s="9" t="n">
        <v>25</v>
      </c>
      <c r="E827" s="18" t="inlineStr">
        <is>
          <t>R</t>
        </is>
      </c>
      <c r="F827" s="18" t="n"/>
      <c r="G827" s="9" t="n">
        <v>2.236</v>
      </c>
      <c r="H827" s="9" t="n">
        <v>2.236</v>
      </c>
      <c r="I827" s="9" t="inlineStr">
        <is>
          <t>Depth (no MLB IP)</t>
        </is>
      </c>
      <c r="J827" s="18" t="inlineStr">
        <is>
          <t>Opening Day</t>
        </is>
      </c>
      <c r="K827" s="11">
        <f>IFERROR(INDEX(Roles!$B$17:$B$20,MATCH(J827,Roles!$A$17:$A$20,0)),1)</f>
        <v/>
      </c>
      <c r="L827" s="19" t="n">
        <v>1</v>
      </c>
      <c r="M827" s="11" t="n">
        <v>1</v>
      </c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>
        <v>1</v>
      </c>
      <c r="Z827" s="13">
        <f>SUMPRODUCT(N827:Y827,$N$2:$Y$2)*$K827*$L827*$M827</f>
        <v/>
      </c>
      <c r="AA827" s="14">
        <f>SUM(N827:Y827)</f>
        <v/>
      </c>
      <c r="AB827" s="13">
        <f>SUMPRODUCT(N827:Y827,$N$3:$Y$3)*$K827*$L827*$M827</f>
        <v/>
      </c>
      <c r="AC827" s="13">
        <f>SUMPRODUCT(N827:Y827,$N$4:$Y$4)*$K827*$L827*$M827</f>
        <v/>
      </c>
      <c r="AD827" s="15" t="n">
        <v>3</v>
      </c>
      <c r="AE827" s="11" t="n">
        <v>1.011296296296296</v>
      </c>
      <c r="AF827" s="16">
        <f>SUMPRODUCT(N827:Y827,$N$5:$Y$5)*$K827*$L827*$M827</f>
        <v/>
      </c>
      <c r="AG827" s="16">
        <f>SUMPRODUCT(N827:Y827,$N$6:$Y$6)*$K827*$L827*$M827</f>
        <v/>
      </c>
      <c r="AH827" s="20" t="n"/>
    </row>
    <row r="828">
      <c r="A828" s="9" t="n">
        <v>800201</v>
      </c>
      <c r="B828" s="9" t="inlineStr">
        <is>
          <t>Rafael Ramirez Jr.</t>
        </is>
      </c>
      <c r="C828" s="9" t="inlineStr">
        <is>
          <t>WSH</t>
        </is>
      </c>
      <c r="D828" s="9" t="n">
        <v>25</v>
      </c>
      <c r="E828" s="18" t="inlineStr">
        <is>
          <t>R</t>
        </is>
      </c>
      <c r="F828" s="18" t="n"/>
      <c r="G828" s="9" t="n">
        <v>1.892</v>
      </c>
      <c r="H828" s="9" t="n">
        <v>1.892</v>
      </c>
      <c r="I828" s="9" t="inlineStr">
        <is>
          <t>Depth (no MLB IP)</t>
        </is>
      </c>
      <c r="J828" s="18" t="inlineStr">
        <is>
          <t>Opening Day</t>
        </is>
      </c>
      <c r="K828" s="11">
        <f>IFERROR(INDEX(Roles!$B$17:$B$20,MATCH(J828,Roles!$A$17:$A$20,0)),1)</f>
        <v/>
      </c>
      <c r="L828" s="19" t="n">
        <v>1</v>
      </c>
      <c r="M828" s="11" t="n">
        <v>1</v>
      </c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>
        <v>1</v>
      </c>
      <c r="Z828" s="13">
        <f>SUMPRODUCT(N828:Y828,$N$2:$Y$2)*$K828*$L828*$M828</f>
        <v/>
      </c>
      <c r="AA828" s="14">
        <f>SUM(N828:Y828)</f>
        <v/>
      </c>
      <c r="AB828" s="13">
        <f>SUMPRODUCT(N828:Y828,$N$3:$Y$3)*$K828*$L828*$M828</f>
        <v/>
      </c>
      <c r="AC828" s="13">
        <f>SUMPRODUCT(N828:Y828,$N$4:$Y$4)*$K828*$L828*$M828</f>
        <v/>
      </c>
      <c r="AD828" s="15" t="n">
        <v>3</v>
      </c>
      <c r="AE828" s="11" t="n">
        <v>1.011296296296296</v>
      </c>
      <c r="AF828" s="16">
        <f>SUMPRODUCT(N828:Y828,$N$5:$Y$5)*$K828*$L828*$M828</f>
        <v/>
      </c>
      <c r="AG828" s="16">
        <f>SUMPRODUCT(N828:Y828,$N$6:$Y$6)*$K828*$L828*$M828</f>
        <v/>
      </c>
      <c r="AH828" s="20" t="n"/>
    </row>
    <row r="829">
      <c r="A829" s="9" t="n">
        <v>805009</v>
      </c>
      <c r="B829" s="9" t="inlineStr">
        <is>
          <t>Yoan Valdez</t>
        </is>
      </c>
      <c r="C829" s="9" t="inlineStr">
        <is>
          <t>DET</t>
        </is>
      </c>
      <c r="D829" s="9" t="n">
        <v>25</v>
      </c>
      <c r="E829" s="18" t="inlineStr">
        <is>
          <t>R</t>
        </is>
      </c>
      <c r="F829" s="18" t="n"/>
      <c r="G829" s="9" t="n">
        <v>1.892</v>
      </c>
      <c r="H829" s="9" t="n">
        <v>1.892</v>
      </c>
      <c r="I829" s="9" t="inlineStr">
        <is>
          <t>Depth (no MLB IP)</t>
        </is>
      </c>
      <c r="J829" s="18" t="inlineStr">
        <is>
          <t>Opening Day</t>
        </is>
      </c>
      <c r="K829" s="11">
        <f>IFERROR(INDEX(Roles!$B$17:$B$20,MATCH(J829,Roles!$A$17:$A$20,0)),1)</f>
        <v/>
      </c>
      <c r="L829" s="19" t="n">
        <v>1</v>
      </c>
      <c r="M829" s="11" t="n">
        <v>1</v>
      </c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>
        <v>1</v>
      </c>
      <c r="Z829" s="13">
        <f>SUMPRODUCT(N829:Y829,$N$2:$Y$2)*$K829*$L829*$M829</f>
        <v/>
      </c>
      <c r="AA829" s="14">
        <f>SUM(N829:Y829)</f>
        <v/>
      </c>
      <c r="AB829" s="13">
        <f>SUMPRODUCT(N829:Y829,$N$3:$Y$3)*$K829*$L829*$M829</f>
        <v/>
      </c>
      <c r="AC829" s="13">
        <f>SUMPRODUCT(N829:Y829,$N$4:$Y$4)*$K829*$L829*$M829</f>
        <v/>
      </c>
      <c r="AD829" s="15" t="n">
        <v>3</v>
      </c>
      <c r="AE829" s="11" t="n">
        <v>1.011296296296296</v>
      </c>
      <c r="AF829" s="16">
        <f>SUMPRODUCT(N829:Y829,$N$5:$Y$5)*$K829*$L829*$M829</f>
        <v/>
      </c>
      <c r="AG829" s="16">
        <f>SUMPRODUCT(N829:Y829,$N$6:$Y$6)*$K829*$L829*$M829</f>
        <v/>
      </c>
      <c r="AH829" s="20" t="n"/>
    </row>
    <row r="830">
      <c r="A830" s="9" t="n">
        <v>805094</v>
      </c>
      <c r="B830" s="9" t="inlineStr">
        <is>
          <t>Luis Cesar</t>
        </is>
      </c>
      <c r="C830" s="9" t="inlineStr">
        <is>
          <t>MIA</t>
        </is>
      </c>
      <c r="D830" s="9" t="n">
        <v>25</v>
      </c>
      <c r="E830" s="18" t="inlineStr">
        <is>
          <t>L</t>
        </is>
      </c>
      <c r="F830" s="18" t="n"/>
      <c r="G830" s="9" t="n">
        <v>2.006666666666667</v>
      </c>
      <c r="H830" s="9" t="n">
        <v>2.006666666666667</v>
      </c>
      <c r="I830" s="9" t="inlineStr">
        <is>
          <t>Depth (no MLB IP)</t>
        </is>
      </c>
      <c r="J830" s="18" t="inlineStr">
        <is>
          <t>Opening Day</t>
        </is>
      </c>
      <c r="K830" s="11">
        <f>IFERROR(INDEX(Roles!$B$17:$B$20,MATCH(J830,Roles!$A$17:$A$20,0)),1)</f>
        <v/>
      </c>
      <c r="L830" s="19" t="n">
        <v>1</v>
      </c>
      <c r="M830" s="11" t="n">
        <v>1</v>
      </c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>
        <v>1</v>
      </c>
      <c r="Z830" s="13">
        <f>SUMPRODUCT(N830:Y830,$N$2:$Y$2)*$K830*$L830*$M830</f>
        <v/>
      </c>
      <c r="AA830" s="14">
        <f>SUM(N830:Y830)</f>
        <v/>
      </c>
      <c r="AB830" s="13">
        <f>SUMPRODUCT(N830:Y830,$N$3:$Y$3)*$K830*$L830*$M830</f>
        <v/>
      </c>
      <c r="AC830" s="13">
        <f>SUMPRODUCT(N830:Y830,$N$4:$Y$4)*$K830*$L830*$M830</f>
        <v/>
      </c>
      <c r="AD830" s="15" t="n">
        <v>3</v>
      </c>
      <c r="AE830" s="11" t="n">
        <v>1.011296296296296</v>
      </c>
      <c r="AF830" s="16">
        <f>SUMPRODUCT(N830:Y830,$N$5:$Y$5)*$K830*$L830*$M830</f>
        <v/>
      </c>
      <c r="AG830" s="16">
        <f>SUMPRODUCT(N830:Y830,$N$6:$Y$6)*$K830*$L830*$M830</f>
        <v/>
      </c>
      <c r="AH830" s="20" t="n"/>
    </row>
    <row r="831">
      <c r="A831" s="9" t="n">
        <v>624513</v>
      </c>
      <c r="B831" s="9" t="inlineStr">
        <is>
          <t>Dom Nuñez</t>
        </is>
      </c>
      <c r="C831" s="9" t="inlineStr">
        <is>
          <t>CLE</t>
        </is>
      </c>
      <c r="D831" s="9" t="n">
        <v>25</v>
      </c>
      <c r="E831" s="18" t="inlineStr">
        <is>
          <t>R</t>
        </is>
      </c>
      <c r="F831" s="18" t="n"/>
      <c r="G831" s="9" t="n">
        <v>2.365</v>
      </c>
      <c r="H831" s="9" t="n">
        <v>2.365</v>
      </c>
      <c r="I831" s="9" t="inlineStr">
        <is>
          <t>Depth (no MLB IP)</t>
        </is>
      </c>
      <c r="J831" s="18" t="inlineStr">
        <is>
          <t>Opening Day</t>
        </is>
      </c>
      <c r="K831" s="11">
        <f>IFERROR(INDEX(Roles!$B$17:$B$20,MATCH(J831,Roles!$A$17:$A$20,0)),1)</f>
        <v/>
      </c>
      <c r="L831" s="19" t="n">
        <v>1</v>
      </c>
      <c r="M831" s="11" t="n">
        <v>1</v>
      </c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>
        <v>1</v>
      </c>
      <c r="Z831" s="13">
        <f>SUMPRODUCT(N831:Y831,$N$2:$Y$2)*$K831*$L831*$M831</f>
        <v/>
      </c>
      <c r="AA831" s="14">
        <f>SUM(N831:Y831)</f>
        <v/>
      </c>
      <c r="AB831" s="13">
        <f>SUMPRODUCT(N831:Y831,$N$3:$Y$3)*$K831*$L831*$M831</f>
        <v/>
      </c>
      <c r="AC831" s="13">
        <f>SUMPRODUCT(N831:Y831,$N$4:$Y$4)*$K831*$L831*$M831</f>
        <v/>
      </c>
      <c r="AD831" s="15" t="n">
        <v>3</v>
      </c>
      <c r="AE831" s="11" t="n">
        <v>1.011296296296296</v>
      </c>
      <c r="AF831" s="16">
        <f>SUMPRODUCT(N831:Y831,$N$5:$Y$5)*$K831*$L831*$M831</f>
        <v/>
      </c>
      <c r="AG831" s="16">
        <f>SUMPRODUCT(N831:Y831,$N$6:$Y$6)*$K831*$L831*$M831</f>
        <v/>
      </c>
      <c r="AH831" s="20" t="n"/>
    </row>
    <row r="832">
      <c r="A832" s="9" t="n">
        <v>800611</v>
      </c>
      <c r="B832" s="9" t="inlineStr">
        <is>
          <t>Noble Meyer</t>
        </is>
      </c>
      <c r="C832" s="9" t="inlineStr">
        <is>
          <t>MIA</t>
        </is>
      </c>
      <c r="D832" s="9" t="n">
        <v>25</v>
      </c>
      <c r="E832" s="18" t="inlineStr">
        <is>
          <t>R</t>
        </is>
      </c>
      <c r="F832" s="18" t="n"/>
      <c r="G832" s="9" t="n">
        <v>2.064</v>
      </c>
      <c r="H832" s="9" t="n">
        <v>2.064</v>
      </c>
      <c r="I832" s="9" t="inlineStr">
        <is>
          <t>Depth (no MLB IP)</t>
        </is>
      </c>
      <c r="J832" s="18" t="inlineStr">
        <is>
          <t>Opening Day</t>
        </is>
      </c>
      <c r="K832" s="11">
        <f>IFERROR(INDEX(Roles!$B$17:$B$20,MATCH(J832,Roles!$A$17:$A$20,0)),1)</f>
        <v/>
      </c>
      <c r="L832" s="19" t="n">
        <v>1</v>
      </c>
      <c r="M832" s="11" t="n">
        <v>1</v>
      </c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>
        <v>1</v>
      </c>
      <c r="Z832" s="13">
        <f>SUMPRODUCT(N832:Y832,$N$2:$Y$2)*$K832*$L832*$M832</f>
        <v/>
      </c>
      <c r="AA832" s="14">
        <f>SUM(N832:Y832)</f>
        <v/>
      </c>
      <c r="AB832" s="13">
        <f>SUMPRODUCT(N832:Y832,$N$3:$Y$3)*$K832*$L832*$M832</f>
        <v/>
      </c>
      <c r="AC832" s="13">
        <f>SUMPRODUCT(N832:Y832,$N$4:$Y$4)*$K832*$L832*$M832</f>
        <v/>
      </c>
      <c r="AD832" s="15" t="n">
        <v>3</v>
      </c>
      <c r="AE832" s="11" t="n">
        <v>1.011296296296296</v>
      </c>
      <c r="AF832" s="16">
        <f>SUMPRODUCT(N832:Y832,$N$5:$Y$5)*$K832*$L832*$M832</f>
        <v/>
      </c>
      <c r="AG832" s="16">
        <f>SUMPRODUCT(N832:Y832,$N$6:$Y$6)*$K832*$L832*$M832</f>
        <v/>
      </c>
      <c r="AH832" s="20" t="n"/>
    </row>
    <row r="833">
      <c r="A833" s="9" t="n">
        <v>801653</v>
      </c>
      <c r="B833" s="9" t="inlineStr">
        <is>
          <t>Harrison Kreiling</t>
        </is>
      </c>
      <c r="C833" s="9" t="inlineStr">
        <is>
          <t>BAL</t>
        </is>
      </c>
      <c r="D833" s="9" t="n">
        <v>25</v>
      </c>
      <c r="E833" s="18" t="inlineStr">
        <is>
          <t>R</t>
        </is>
      </c>
      <c r="F833" s="18" t="n"/>
      <c r="G833" s="9" t="n">
        <v>2.006666666666667</v>
      </c>
      <c r="H833" s="9" t="n">
        <v>2.006666666666667</v>
      </c>
      <c r="I833" s="9" t="inlineStr">
        <is>
          <t>Depth (no MLB IP)</t>
        </is>
      </c>
      <c r="J833" s="18" t="inlineStr">
        <is>
          <t>Opening Day</t>
        </is>
      </c>
      <c r="K833" s="11">
        <f>IFERROR(INDEX(Roles!$B$17:$B$20,MATCH(J833,Roles!$A$17:$A$20,0)),1)</f>
        <v/>
      </c>
      <c r="L833" s="19" t="n">
        <v>1</v>
      </c>
      <c r="M833" s="11" t="n">
        <v>1</v>
      </c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>
        <v>1</v>
      </c>
      <c r="Z833" s="13">
        <f>SUMPRODUCT(N833:Y833,$N$2:$Y$2)*$K833*$L833*$M833</f>
        <v/>
      </c>
      <c r="AA833" s="14">
        <f>SUM(N833:Y833)</f>
        <v/>
      </c>
      <c r="AB833" s="13">
        <f>SUMPRODUCT(N833:Y833,$N$3:$Y$3)*$K833*$L833*$M833</f>
        <v/>
      </c>
      <c r="AC833" s="13">
        <f>SUMPRODUCT(N833:Y833,$N$4:$Y$4)*$K833*$L833*$M833</f>
        <v/>
      </c>
      <c r="AD833" s="15" t="n">
        <v>3</v>
      </c>
      <c r="AE833" s="11" t="n">
        <v>1.011296296296296</v>
      </c>
      <c r="AF833" s="16">
        <f>SUMPRODUCT(N833:Y833,$N$5:$Y$5)*$K833*$L833*$M833</f>
        <v/>
      </c>
      <c r="AG833" s="16">
        <f>SUMPRODUCT(N833:Y833,$N$6:$Y$6)*$K833*$L833*$M833</f>
        <v/>
      </c>
      <c r="AH833" s="20" t="n"/>
    </row>
    <row r="834">
      <c r="A834" s="9" t="n">
        <v>670148</v>
      </c>
      <c r="B834" s="9" t="inlineStr">
        <is>
          <t>Nate Mondou</t>
        </is>
      </c>
      <c r="C834" s="9" t="inlineStr">
        <is>
          <t>SD</t>
        </is>
      </c>
      <c r="D834" s="9" t="n">
        <v>25</v>
      </c>
      <c r="E834" s="18" t="inlineStr">
        <is>
          <t>R</t>
        </is>
      </c>
      <c r="F834" s="18" t="n"/>
      <c r="G834" s="9" t="n">
        <v>2.365</v>
      </c>
      <c r="H834" s="9" t="n">
        <v>2.365</v>
      </c>
      <c r="I834" s="9" t="inlineStr">
        <is>
          <t>Depth (no MLB IP)</t>
        </is>
      </c>
      <c r="J834" s="18" t="inlineStr">
        <is>
          <t>Opening Day</t>
        </is>
      </c>
      <c r="K834" s="11">
        <f>IFERROR(INDEX(Roles!$B$17:$B$20,MATCH(J834,Roles!$A$17:$A$20,0)),1)</f>
        <v/>
      </c>
      <c r="L834" s="19" t="n">
        <v>1</v>
      </c>
      <c r="M834" s="11" t="n">
        <v>1</v>
      </c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>
        <v>1</v>
      </c>
      <c r="Z834" s="13">
        <f>SUMPRODUCT(N834:Y834,$N$2:$Y$2)*$K834*$L834*$M834</f>
        <v/>
      </c>
      <c r="AA834" s="14">
        <f>SUM(N834:Y834)</f>
        <v/>
      </c>
      <c r="AB834" s="13">
        <f>SUMPRODUCT(N834:Y834,$N$3:$Y$3)*$K834*$L834*$M834</f>
        <v/>
      </c>
      <c r="AC834" s="13">
        <f>SUMPRODUCT(N834:Y834,$N$4:$Y$4)*$K834*$L834*$M834</f>
        <v/>
      </c>
      <c r="AD834" s="15" t="n">
        <v>3</v>
      </c>
      <c r="AE834" s="11" t="n">
        <v>1.011296296296296</v>
      </c>
      <c r="AF834" s="16">
        <f>SUMPRODUCT(N834:Y834,$N$5:$Y$5)*$K834*$L834*$M834</f>
        <v/>
      </c>
      <c r="AG834" s="16">
        <f>SUMPRODUCT(N834:Y834,$N$6:$Y$6)*$K834*$L834*$M834</f>
        <v/>
      </c>
      <c r="AH834" s="20" t="n"/>
    </row>
    <row r="835">
      <c r="A835" s="9" t="n">
        <v>702034</v>
      </c>
      <c r="B835" s="9" t="inlineStr">
        <is>
          <t>Ike Buxton</t>
        </is>
      </c>
      <c r="C835" s="9" t="inlineStr">
        <is>
          <t>WSH</t>
        </is>
      </c>
      <c r="D835" s="9" t="n">
        <v>25</v>
      </c>
      <c r="E835" s="18" t="inlineStr">
        <is>
          <t>R</t>
        </is>
      </c>
      <c r="F835" s="18" t="n"/>
      <c r="G835" s="9" t="n">
        <v>2.236</v>
      </c>
      <c r="H835" s="9" t="n">
        <v>2.236</v>
      </c>
      <c r="I835" s="9" t="inlineStr">
        <is>
          <t>Depth (no MLB IP)</t>
        </is>
      </c>
      <c r="J835" s="18" t="inlineStr">
        <is>
          <t>Opening Day</t>
        </is>
      </c>
      <c r="K835" s="11">
        <f>IFERROR(INDEX(Roles!$B$17:$B$20,MATCH(J835,Roles!$A$17:$A$20,0)),1)</f>
        <v/>
      </c>
      <c r="L835" s="19" t="n">
        <v>1</v>
      </c>
      <c r="M835" s="11" t="n">
        <v>1</v>
      </c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>
        <v>1</v>
      </c>
      <c r="Z835" s="13">
        <f>SUMPRODUCT(N835:Y835,$N$2:$Y$2)*$K835*$L835*$M835</f>
        <v/>
      </c>
      <c r="AA835" s="14">
        <f>SUM(N835:Y835)</f>
        <v/>
      </c>
      <c r="AB835" s="13">
        <f>SUMPRODUCT(N835:Y835,$N$3:$Y$3)*$K835*$L835*$M835</f>
        <v/>
      </c>
      <c r="AC835" s="13">
        <f>SUMPRODUCT(N835:Y835,$N$4:$Y$4)*$K835*$L835*$M835</f>
        <v/>
      </c>
      <c r="AD835" s="15" t="n">
        <v>3</v>
      </c>
      <c r="AE835" s="11" t="n">
        <v>1.011296296296296</v>
      </c>
      <c r="AF835" s="16">
        <f>SUMPRODUCT(N835:Y835,$N$5:$Y$5)*$K835*$L835*$M835</f>
        <v/>
      </c>
      <c r="AG835" s="16">
        <f>SUMPRODUCT(N835:Y835,$N$6:$Y$6)*$K835*$L835*$M835</f>
        <v/>
      </c>
      <c r="AH835" s="20" t="n"/>
    </row>
    <row r="836">
      <c r="A836" s="9" t="n">
        <v>834242</v>
      </c>
      <c r="B836" s="9" t="inlineStr">
        <is>
          <t>Camden Lohman</t>
        </is>
      </c>
      <c r="C836" s="9" t="inlineStr">
        <is>
          <t>NYM</t>
        </is>
      </c>
      <c r="D836" s="9" t="n">
        <v>25</v>
      </c>
      <c r="E836" s="18" t="inlineStr">
        <is>
          <t>R</t>
        </is>
      </c>
      <c r="F836" s="18" t="n"/>
      <c r="G836" s="9" t="n">
        <v>2.064</v>
      </c>
      <c r="H836" s="9" t="n">
        <v>2.064</v>
      </c>
      <c r="I836" s="9" t="inlineStr">
        <is>
          <t>Depth (no MLB IP)</t>
        </is>
      </c>
      <c r="J836" s="18" t="inlineStr">
        <is>
          <t>Opening Day</t>
        </is>
      </c>
      <c r="K836" s="11">
        <f>IFERROR(INDEX(Roles!$B$17:$B$20,MATCH(J836,Roles!$A$17:$A$20,0)),1)</f>
        <v/>
      </c>
      <c r="L836" s="19" t="n">
        <v>1</v>
      </c>
      <c r="M836" s="11" t="n">
        <v>1</v>
      </c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>
        <v>1</v>
      </c>
      <c r="Z836" s="13">
        <f>SUMPRODUCT(N836:Y836,$N$2:$Y$2)*$K836*$L836*$M836</f>
        <v/>
      </c>
      <c r="AA836" s="14">
        <f>SUM(N836:Y836)</f>
        <v/>
      </c>
      <c r="AB836" s="13">
        <f>SUMPRODUCT(N836:Y836,$N$3:$Y$3)*$K836*$L836*$M836</f>
        <v/>
      </c>
      <c r="AC836" s="13">
        <f>SUMPRODUCT(N836:Y836,$N$4:$Y$4)*$K836*$L836*$M836</f>
        <v/>
      </c>
      <c r="AD836" s="15" t="n">
        <v>3</v>
      </c>
      <c r="AE836" s="11" t="n">
        <v>1.011296296296296</v>
      </c>
      <c r="AF836" s="16">
        <f>SUMPRODUCT(N836:Y836,$N$5:$Y$5)*$K836*$L836*$M836</f>
        <v/>
      </c>
      <c r="AG836" s="16">
        <f>SUMPRODUCT(N836:Y836,$N$6:$Y$6)*$K836*$L836*$M836</f>
        <v/>
      </c>
      <c r="AH836" s="20" t="n"/>
    </row>
    <row r="837">
      <c r="A837" s="9" t="n">
        <v>831384</v>
      </c>
      <c r="B837" s="9" t="inlineStr">
        <is>
          <t>Josh Owens</t>
        </is>
      </c>
      <c r="C837" s="9" t="inlineStr">
        <is>
          <t>TEX</t>
        </is>
      </c>
      <c r="D837" s="9" t="n">
        <v>20</v>
      </c>
      <c r="E837" s="18" t="inlineStr">
        <is>
          <t>R</t>
        </is>
      </c>
      <c r="F837" s="18" t="n"/>
      <c r="G837" s="9" t="n">
        <v>2.064</v>
      </c>
      <c r="H837" s="9" t="n">
        <v>2.064</v>
      </c>
      <c r="I837" s="9" t="inlineStr">
        <is>
          <t>Depth (no MLB IP)</t>
        </is>
      </c>
      <c r="J837" s="18" t="inlineStr">
        <is>
          <t>Opening Day</t>
        </is>
      </c>
      <c r="K837" s="11">
        <f>IFERROR(INDEX(Roles!$B$17:$B$20,MATCH(J837,Roles!$A$17:$A$20,0)),1)</f>
        <v/>
      </c>
      <c r="L837" s="19" t="n">
        <v>1</v>
      </c>
      <c r="M837" s="11" t="n">
        <v>1</v>
      </c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>
        <v>1</v>
      </c>
      <c r="Z837" s="13">
        <f>SUMPRODUCT(N837:Y837,$N$2:$Y$2)*$K837*$L837*$M837</f>
        <v/>
      </c>
      <c r="AA837" s="14">
        <f>SUM(N837:Y837)</f>
        <v/>
      </c>
      <c r="AB837" s="13">
        <f>SUMPRODUCT(N837:Y837,$N$3:$Y$3)*$K837*$L837*$M837</f>
        <v/>
      </c>
      <c r="AC837" s="13">
        <f>SUMPRODUCT(N837:Y837,$N$4:$Y$4)*$K837*$L837*$M837</f>
        <v/>
      </c>
      <c r="AD837" s="15" t="n">
        <v>3</v>
      </c>
      <c r="AE837" s="11" t="n">
        <v>1.011296296296296</v>
      </c>
      <c r="AF837" s="16">
        <f>SUMPRODUCT(N837:Y837,$N$5:$Y$5)*$K837*$L837*$M837</f>
        <v/>
      </c>
      <c r="AG837" s="16">
        <f>SUMPRODUCT(N837:Y837,$N$6:$Y$6)*$K837*$L837*$M837</f>
        <v/>
      </c>
      <c r="AH837" s="20" t="n"/>
    </row>
    <row r="838">
      <c r="A838" s="9" t="n">
        <v>801367</v>
      </c>
      <c r="B838" s="9" t="inlineStr">
        <is>
          <t>Matt Jachec</t>
        </is>
      </c>
      <c r="C838" s="9" t="inlineStr">
        <is>
          <t>CLE</t>
        </is>
      </c>
      <c r="D838" s="9" t="n">
        <v>25</v>
      </c>
      <c r="E838" s="18" t="inlineStr">
        <is>
          <t>R</t>
        </is>
      </c>
      <c r="F838" s="18" t="n"/>
      <c r="G838" s="9" t="n">
        <v>2.365</v>
      </c>
      <c r="H838" s="9" t="n">
        <v>2.365</v>
      </c>
      <c r="I838" s="9" t="inlineStr">
        <is>
          <t>Depth (no MLB IP)</t>
        </is>
      </c>
      <c r="J838" s="18" t="inlineStr">
        <is>
          <t>Opening Day</t>
        </is>
      </c>
      <c r="K838" s="11">
        <f>IFERROR(INDEX(Roles!$B$17:$B$20,MATCH(J838,Roles!$A$17:$A$20,0)),1)</f>
        <v/>
      </c>
      <c r="L838" s="19" t="n">
        <v>1</v>
      </c>
      <c r="M838" s="11" t="n">
        <v>1</v>
      </c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>
        <v>1</v>
      </c>
      <c r="Z838" s="13">
        <f>SUMPRODUCT(N838:Y838,$N$2:$Y$2)*$K838*$L838*$M838</f>
        <v/>
      </c>
      <c r="AA838" s="14">
        <f>SUM(N838:Y838)</f>
        <v/>
      </c>
      <c r="AB838" s="13">
        <f>SUMPRODUCT(N838:Y838,$N$3:$Y$3)*$K838*$L838*$M838</f>
        <v/>
      </c>
      <c r="AC838" s="13">
        <f>SUMPRODUCT(N838:Y838,$N$4:$Y$4)*$K838*$L838*$M838</f>
        <v/>
      </c>
      <c r="AD838" s="15" t="n">
        <v>3</v>
      </c>
      <c r="AE838" s="11" t="n">
        <v>1.011296296296296</v>
      </c>
      <c r="AF838" s="16">
        <f>SUMPRODUCT(N838:Y838,$N$5:$Y$5)*$K838*$L838*$M838</f>
        <v/>
      </c>
      <c r="AG838" s="16">
        <f>SUMPRODUCT(N838:Y838,$N$6:$Y$6)*$K838*$L838*$M838</f>
        <v/>
      </c>
      <c r="AH838" s="20" t="n"/>
    </row>
    <row r="839">
      <c r="A839" s="9" t="n">
        <v>687284</v>
      </c>
      <c r="B839" s="9" t="inlineStr">
        <is>
          <t>Thomas Gavello</t>
        </is>
      </c>
      <c r="C839" s="9" t="inlineStr">
        <is>
          <t>SF</t>
        </is>
      </c>
      <c r="D839" s="9" t="n">
        <v>25</v>
      </c>
      <c r="E839" s="18" t="inlineStr">
        <is>
          <t>R</t>
        </is>
      </c>
      <c r="F839" s="18" t="n"/>
      <c r="G839" s="9" t="n">
        <v>2.365</v>
      </c>
      <c r="H839" s="9" t="n">
        <v>2.365</v>
      </c>
      <c r="I839" s="9" t="inlineStr">
        <is>
          <t>Depth (no MLB IP)</t>
        </is>
      </c>
      <c r="J839" s="18" t="inlineStr">
        <is>
          <t>Opening Day</t>
        </is>
      </c>
      <c r="K839" s="11">
        <f>IFERROR(INDEX(Roles!$B$17:$B$20,MATCH(J839,Roles!$A$17:$A$20,0)),1)</f>
        <v/>
      </c>
      <c r="L839" s="19" t="n">
        <v>1</v>
      </c>
      <c r="M839" s="11" t="n">
        <v>1</v>
      </c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>
        <v>1</v>
      </c>
      <c r="Z839" s="13">
        <f>SUMPRODUCT(N839:Y839,$N$2:$Y$2)*$K839*$L839*$M839</f>
        <v/>
      </c>
      <c r="AA839" s="14">
        <f>SUM(N839:Y839)</f>
        <v/>
      </c>
      <c r="AB839" s="13">
        <f>SUMPRODUCT(N839:Y839,$N$3:$Y$3)*$K839*$L839*$M839</f>
        <v/>
      </c>
      <c r="AC839" s="13">
        <f>SUMPRODUCT(N839:Y839,$N$4:$Y$4)*$K839*$L839*$M839</f>
        <v/>
      </c>
      <c r="AD839" s="15" t="n">
        <v>3</v>
      </c>
      <c r="AE839" s="11" t="n">
        <v>1.011296296296296</v>
      </c>
      <c r="AF839" s="16">
        <f>SUMPRODUCT(N839:Y839,$N$5:$Y$5)*$K839*$L839*$M839</f>
        <v/>
      </c>
      <c r="AG839" s="16">
        <f>SUMPRODUCT(N839:Y839,$N$6:$Y$6)*$K839*$L839*$M839</f>
        <v/>
      </c>
      <c r="AH839" s="20" t="n"/>
    </row>
    <row r="840">
      <c r="A840" s="9" t="n">
        <v>663731</v>
      </c>
      <c r="B840" s="9" t="inlineStr">
        <is>
          <t>Connor Kaiser</t>
        </is>
      </c>
      <c r="C840" s="9" t="inlineStr">
        <is>
          <t>KC</t>
        </is>
      </c>
      <c r="D840" s="9" t="n">
        <v>25</v>
      </c>
      <c r="E840" s="18" t="inlineStr">
        <is>
          <t>R</t>
        </is>
      </c>
      <c r="F840" s="18" t="n"/>
      <c r="G840" s="9" t="n">
        <v>2.365</v>
      </c>
      <c r="H840" s="9" t="n">
        <v>2.365</v>
      </c>
      <c r="I840" s="9" t="inlineStr">
        <is>
          <t>Depth (no MLB IP)</t>
        </is>
      </c>
      <c r="J840" s="18" t="inlineStr">
        <is>
          <t>Opening Day</t>
        </is>
      </c>
      <c r="K840" s="11">
        <f>IFERROR(INDEX(Roles!$B$17:$B$20,MATCH(J840,Roles!$A$17:$A$20,0)),1)</f>
        <v/>
      </c>
      <c r="L840" s="19" t="n">
        <v>1</v>
      </c>
      <c r="M840" s="11" t="n">
        <v>1</v>
      </c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>
        <v>1</v>
      </c>
      <c r="Z840" s="13">
        <f>SUMPRODUCT(N840:Y840,$N$2:$Y$2)*$K840*$L840*$M840</f>
        <v/>
      </c>
      <c r="AA840" s="14">
        <f>SUM(N840:Y840)</f>
        <v/>
      </c>
      <c r="AB840" s="13">
        <f>SUMPRODUCT(N840:Y840,$N$3:$Y$3)*$K840*$L840*$M840</f>
        <v/>
      </c>
      <c r="AC840" s="13">
        <f>SUMPRODUCT(N840:Y840,$N$4:$Y$4)*$K840*$L840*$M840</f>
        <v/>
      </c>
      <c r="AD840" s="15" t="n">
        <v>3</v>
      </c>
      <c r="AE840" s="11" t="n">
        <v>1.011296296296296</v>
      </c>
      <c r="AF840" s="16">
        <f>SUMPRODUCT(N840:Y840,$N$5:$Y$5)*$K840*$L840*$M840</f>
        <v/>
      </c>
      <c r="AG840" s="16">
        <f>SUMPRODUCT(N840:Y840,$N$6:$Y$6)*$K840*$L840*$M840</f>
        <v/>
      </c>
      <c r="AH840" s="20" t="n"/>
    </row>
    <row r="841">
      <c r="A841" s="9" t="n">
        <v>685382</v>
      </c>
      <c r="B841" s="9" t="inlineStr">
        <is>
          <t>Andrew Navigato</t>
        </is>
      </c>
      <c r="C841" s="9" t="inlineStr">
        <is>
          <t>DET</t>
        </is>
      </c>
      <c r="D841" s="9" t="n">
        <v>25</v>
      </c>
      <c r="E841" s="18" t="inlineStr">
        <is>
          <t>R</t>
        </is>
      </c>
      <c r="F841" s="18" t="n"/>
      <c r="G841" s="9" t="n">
        <v>2.365</v>
      </c>
      <c r="H841" s="9" t="n">
        <v>2.365</v>
      </c>
      <c r="I841" s="9" t="inlineStr">
        <is>
          <t>Depth (no MLB IP)</t>
        </is>
      </c>
      <c r="J841" s="18" t="inlineStr">
        <is>
          <t>Opening Day</t>
        </is>
      </c>
      <c r="K841" s="11">
        <f>IFERROR(INDEX(Roles!$B$17:$B$20,MATCH(J841,Roles!$A$17:$A$20,0)),1)</f>
        <v/>
      </c>
      <c r="L841" s="19" t="n">
        <v>1</v>
      </c>
      <c r="M841" s="11" t="n">
        <v>1</v>
      </c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>
        <v>1</v>
      </c>
      <c r="Z841" s="13">
        <f>SUMPRODUCT(N841:Y841,$N$2:$Y$2)*$K841*$L841*$M841</f>
        <v/>
      </c>
      <c r="AA841" s="14">
        <f>SUM(N841:Y841)</f>
        <v/>
      </c>
      <c r="AB841" s="13">
        <f>SUMPRODUCT(N841:Y841,$N$3:$Y$3)*$K841*$L841*$M841</f>
        <v/>
      </c>
      <c r="AC841" s="13">
        <f>SUMPRODUCT(N841:Y841,$N$4:$Y$4)*$K841*$L841*$M841</f>
        <v/>
      </c>
      <c r="AD841" s="15" t="n">
        <v>3</v>
      </c>
      <c r="AE841" s="11" t="n">
        <v>1.011296296296296</v>
      </c>
      <c r="AF841" s="16">
        <f>SUMPRODUCT(N841:Y841,$N$5:$Y$5)*$K841*$L841*$M841</f>
        <v/>
      </c>
      <c r="AG841" s="16">
        <f>SUMPRODUCT(N841:Y841,$N$6:$Y$6)*$K841*$L841*$M841</f>
        <v/>
      </c>
      <c r="AH841" s="20" t="n"/>
    </row>
    <row r="842">
      <c r="A842" s="9" t="n">
        <v>687867</v>
      </c>
      <c r="B842" s="9" t="inlineStr">
        <is>
          <t>Clay Dungan</t>
        </is>
      </c>
      <c r="C842" s="9" t="inlineStr">
        <is>
          <t>SD</t>
        </is>
      </c>
      <c r="D842" s="9" t="n">
        <v>25</v>
      </c>
      <c r="E842" s="18" t="inlineStr">
        <is>
          <t>R</t>
        </is>
      </c>
      <c r="F842" s="18" t="n"/>
      <c r="G842" s="9" t="n">
        <v>2.365</v>
      </c>
      <c r="H842" s="9" t="n">
        <v>2.365</v>
      </c>
      <c r="I842" s="9" t="inlineStr">
        <is>
          <t>Depth (no MLB IP)</t>
        </is>
      </c>
      <c r="J842" s="18" t="inlineStr">
        <is>
          <t>Opening Day</t>
        </is>
      </c>
      <c r="K842" s="11">
        <f>IFERROR(INDEX(Roles!$B$17:$B$20,MATCH(J842,Roles!$A$17:$A$20,0)),1)</f>
        <v/>
      </c>
      <c r="L842" s="19" t="n">
        <v>1</v>
      </c>
      <c r="M842" s="11" t="n">
        <v>1</v>
      </c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>
        <v>1</v>
      </c>
      <c r="Z842" s="13">
        <f>SUMPRODUCT(N842:Y842,$N$2:$Y$2)*$K842*$L842*$M842</f>
        <v/>
      </c>
      <c r="AA842" s="14">
        <f>SUM(N842:Y842)</f>
        <v/>
      </c>
      <c r="AB842" s="13">
        <f>SUMPRODUCT(N842:Y842,$N$3:$Y$3)*$K842*$L842*$M842</f>
        <v/>
      </c>
      <c r="AC842" s="13">
        <f>SUMPRODUCT(N842:Y842,$N$4:$Y$4)*$K842*$L842*$M842</f>
        <v/>
      </c>
      <c r="AD842" s="15" t="n">
        <v>3</v>
      </c>
      <c r="AE842" s="11" t="n">
        <v>1.011296296296296</v>
      </c>
      <c r="AF842" s="16">
        <f>SUMPRODUCT(N842:Y842,$N$5:$Y$5)*$K842*$L842*$M842</f>
        <v/>
      </c>
      <c r="AG842" s="16">
        <f>SUMPRODUCT(N842:Y842,$N$6:$Y$6)*$K842*$L842*$M842</f>
        <v/>
      </c>
      <c r="AH842" s="20" t="n"/>
    </row>
    <row r="843">
      <c r="A843" s="9" t="n">
        <v>807575</v>
      </c>
      <c r="B843" s="9" t="inlineStr">
        <is>
          <t>Cam Schuelke</t>
        </is>
      </c>
      <c r="C843" s="9" t="inlineStr">
        <is>
          <t>CLE</t>
        </is>
      </c>
      <c r="D843" s="9" t="n">
        <v>25</v>
      </c>
      <c r="E843" s="18" t="inlineStr">
        <is>
          <t>R</t>
        </is>
      </c>
      <c r="F843" s="18" t="n"/>
      <c r="G843" s="9" t="n">
        <v>2.006666666666666</v>
      </c>
      <c r="H843" s="9" t="n">
        <v>2.006666666666666</v>
      </c>
      <c r="I843" s="9" t="inlineStr">
        <is>
          <t>Depth (no MLB IP)</t>
        </is>
      </c>
      <c r="J843" s="18" t="inlineStr">
        <is>
          <t>Opening Day</t>
        </is>
      </c>
      <c r="K843" s="11">
        <f>IFERROR(INDEX(Roles!$B$17:$B$20,MATCH(J843,Roles!$A$17:$A$20,0)),1)</f>
        <v/>
      </c>
      <c r="L843" s="19" t="n">
        <v>1</v>
      </c>
      <c r="M843" s="11" t="n">
        <v>1</v>
      </c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>
        <v>1</v>
      </c>
      <c r="Z843" s="13">
        <f>SUMPRODUCT(N843:Y843,$N$2:$Y$2)*$K843*$L843*$M843</f>
        <v/>
      </c>
      <c r="AA843" s="14">
        <f>SUM(N843:Y843)</f>
        <v/>
      </c>
      <c r="AB843" s="13">
        <f>SUMPRODUCT(N843:Y843,$N$3:$Y$3)*$K843*$L843*$M843</f>
        <v/>
      </c>
      <c r="AC843" s="13">
        <f>SUMPRODUCT(N843:Y843,$N$4:$Y$4)*$K843*$L843*$M843</f>
        <v/>
      </c>
      <c r="AD843" s="15" t="n">
        <v>3</v>
      </c>
      <c r="AE843" s="11" t="n">
        <v>1.011296296296296</v>
      </c>
      <c r="AF843" s="16">
        <f>SUMPRODUCT(N843:Y843,$N$5:$Y$5)*$K843*$L843*$M843</f>
        <v/>
      </c>
      <c r="AG843" s="16">
        <f>SUMPRODUCT(N843:Y843,$N$6:$Y$6)*$K843*$L843*$M843</f>
        <v/>
      </c>
      <c r="AH843" s="20" t="n"/>
    </row>
    <row r="844">
      <c r="A844" s="9" t="n">
        <v>807718</v>
      </c>
      <c r="B844" s="9" t="inlineStr">
        <is>
          <t>Jay Driver</t>
        </is>
      </c>
      <c r="C844" s="9" t="inlineStr">
        <is>
          <t>CLE</t>
        </is>
      </c>
      <c r="D844" s="9" t="n">
        <v>25</v>
      </c>
      <c r="E844" s="18" t="inlineStr">
        <is>
          <t>R</t>
        </is>
      </c>
      <c r="F844" s="18" t="n"/>
      <c r="G844" s="9" t="n">
        <v>2.365</v>
      </c>
      <c r="H844" s="9" t="n">
        <v>2.365</v>
      </c>
      <c r="I844" s="9" t="inlineStr">
        <is>
          <t>Depth (no MLB IP)</t>
        </is>
      </c>
      <c r="J844" s="18" t="inlineStr">
        <is>
          <t>Opening Day</t>
        </is>
      </c>
      <c r="K844" s="11">
        <f>IFERROR(INDEX(Roles!$B$17:$B$20,MATCH(J844,Roles!$A$17:$A$20,0)),1)</f>
        <v/>
      </c>
      <c r="L844" s="19" t="n">
        <v>1</v>
      </c>
      <c r="M844" s="11" t="n">
        <v>1</v>
      </c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>
        <v>1</v>
      </c>
      <c r="Z844" s="13">
        <f>SUMPRODUCT(N844:Y844,$N$2:$Y$2)*$K844*$L844*$M844</f>
        <v/>
      </c>
      <c r="AA844" s="14">
        <f>SUM(N844:Y844)</f>
        <v/>
      </c>
      <c r="AB844" s="13">
        <f>SUMPRODUCT(N844:Y844,$N$3:$Y$3)*$K844*$L844*$M844</f>
        <v/>
      </c>
      <c r="AC844" s="13">
        <f>SUMPRODUCT(N844:Y844,$N$4:$Y$4)*$K844*$L844*$M844</f>
        <v/>
      </c>
      <c r="AD844" s="15" t="n">
        <v>3</v>
      </c>
      <c r="AE844" s="11" t="n">
        <v>1.011296296296296</v>
      </c>
      <c r="AF844" s="16">
        <f>SUMPRODUCT(N844:Y844,$N$5:$Y$5)*$K844*$L844*$M844</f>
        <v/>
      </c>
      <c r="AG844" s="16">
        <f>SUMPRODUCT(N844:Y844,$N$6:$Y$6)*$K844*$L844*$M844</f>
        <v/>
      </c>
      <c r="AH844" s="20" t="n"/>
    </row>
    <row r="845">
      <c r="A845" s="9" t="n">
        <v>835615</v>
      </c>
      <c r="B845" s="9" t="inlineStr">
        <is>
          <t>Caleb Shpur</t>
        </is>
      </c>
      <c r="C845" s="9" t="inlineStr">
        <is>
          <t>DET</t>
        </is>
      </c>
      <c r="D845" s="9" t="n">
        <v>25</v>
      </c>
      <c r="E845" s="18" t="inlineStr">
        <is>
          <t>R</t>
        </is>
      </c>
      <c r="F845" s="18" t="n"/>
      <c r="G845" s="9" t="n">
        <v>2.006666666666667</v>
      </c>
      <c r="H845" s="9" t="n">
        <v>2.006666666666667</v>
      </c>
      <c r="I845" s="9" t="inlineStr">
        <is>
          <t>Depth (no MLB IP)</t>
        </is>
      </c>
      <c r="J845" s="18" t="inlineStr">
        <is>
          <t>Opening Day</t>
        </is>
      </c>
      <c r="K845" s="11">
        <f>IFERROR(INDEX(Roles!$B$17:$B$20,MATCH(J845,Roles!$A$17:$A$20,0)),1)</f>
        <v/>
      </c>
      <c r="L845" s="19" t="n">
        <v>1</v>
      </c>
      <c r="M845" s="11" t="n">
        <v>1</v>
      </c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>
        <v>1</v>
      </c>
      <c r="Z845" s="13">
        <f>SUMPRODUCT(N845:Y845,$N$2:$Y$2)*$K845*$L845*$M845</f>
        <v/>
      </c>
      <c r="AA845" s="14">
        <f>SUM(N845:Y845)</f>
        <v/>
      </c>
      <c r="AB845" s="13">
        <f>SUMPRODUCT(N845:Y845,$N$3:$Y$3)*$K845*$L845*$M845</f>
        <v/>
      </c>
      <c r="AC845" s="13">
        <f>SUMPRODUCT(N845:Y845,$N$4:$Y$4)*$K845*$L845*$M845</f>
        <v/>
      </c>
      <c r="AD845" s="15" t="n">
        <v>3</v>
      </c>
      <c r="AE845" s="11" t="n">
        <v>1.011296296296296</v>
      </c>
      <c r="AF845" s="16">
        <f>SUMPRODUCT(N845:Y845,$N$5:$Y$5)*$K845*$L845*$M845</f>
        <v/>
      </c>
      <c r="AG845" s="16">
        <f>SUMPRODUCT(N845:Y845,$N$6:$Y$6)*$K845*$L845*$M845</f>
        <v/>
      </c>
      <c r="AH845" s="20" t="n"/>
    </row>
    <row r="846">
      <c r="A846" s="9" t="n">
        <v>838085</v>
      </c>
      <c r="B846" s="9" t="inlineStr">
        <is>
          <t>Greyson Chappel</t>
        </is>
      </c>
      <c r="C846" s="9" t="inlineStr">
        <is>
          <t>LAA</t>
        </is>
      </c>
      <c r="D846" s="9" t="n">
        <v>25</v>
      </c>
      <c r="E846" s="18" t="inlineStr">
        <is>
          <t>R</t>
        </is>
      </c>
      <c r="F846" s="18" t="n"/>
      <c r="G846" s="9" t="n">
        <v>2.006666666666667</v>
      </c>
      <c r="H846" s="9" t="n">
        <v>2.006666666666667</v>
      </c>
      <c r="I846" s="9" t="inlineStr">
        <is>
          <t>Depth (no MLB IP)</t>
        </is>
      </c>
      <c r="J846" s="18" t="inlineStr">
        <is>
          <t>Opening Day</t>
        </is>
      </c>
      <c r="K846" s="11">
        <f>IFERROR(INDEX(Roles!$B$17:$B$20,MATCH(J846,Roles!$A$17:$A$20,0)),1)</f>
        <v/>
      </c>
      <c r="L846" s="19" t="n">
        <v>1</v>
      </c>
      <c r="M846" s="11" t="n">
        <v>1</v>
      </c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>
        <v>1</v>
      </c>
      <c r="Z846" s="13">
        <f>SUMPRODUCT(N846:Y846,$N$2:$Y$2)*$K846*$L846*$M846</f>
        <v/>
      </c>
      <c r="AA846" s="14">
        <f>SUM(N846:Y846)</f>
        <v/>
      </c>
      <c r="AB846" s="13">
        <f>SUMPRODUCT(N846:Y846,$N$3:$Y$3)*$K846*$L846*$M846</f>
        <v/>
      </c>
      <c r="AC846" s="13">
        <f>SUMPRODUCT(N846:Y846,$N$4:$Y$4)*$K846*$L846*$M846</f>
        <v/>
      </c>
      <c r="AD846" s="15" t="n">
        <v>3</v>
      </c>
      <c r="AE846" s="11" t="n">
        <v>1.011296296296296</v>
      </c>
      <c r="AF846" s="16">
        <f>SUMPRODUCT(N846:Y846,$N$5:$Y$5)*$K846*$L846*$M846</f>
        <v/>
      </c>
      <c r="AG846" s="16">
        <f>SUMPRODUCT(N846:Y846,$N$6:$Y$6)*$K846*$L846*$M846</f>
        <v/>
      </c>
      <c r="AH846" s="20" t="n"/>
    </row>
    <row r="847">
      <c r="A847" s="9" t="n">
        <v>840400</v>
      </c>
      <c r="B847" s="9" t="inlineStr">
        <is>
          <t>Aidan Brainard</t>
        </is>
      </c>
      <c r="C847" s="9" t="inlineStr">
        <is>
          <t>TEX</t>
        </is>
      </c>
      <c r="D847" s="9" t="n">
        <v>25</v>
      </c>
      <c r="E847" s="18" t="inlineStr">
        <is>
          <t>R</t>
        </is>
      </c>
      <c r="F847" s="18" t="n"/>
      <c r="G847" s="9" t="n">
        <v>2.006666666666667</v>
      </c>
      <c r="H847" s="9" t="n">
        <v>2.006666666666667</v>
      </c>
      <c r="I847" s="9" t="inlineStr">
        <is>
          <t>Depth (no MLB IP)</t>
        </is>
      </c>
      <c r="J847" s="18" t="inlineStr">
        <is>
          <t>Opening Day</t>
        </is>
      </c>
      <c r="K847" s="11">
        <f>IFERROR(INDEX(Roles!$B$17:$B$20,MATCH(J847,Roles!$A$17:$A$20,0)),1)</f>
        <v/>
      </c>
      <c r="L847" s="19" t="n">
        <v>1</v>
      </c>
      <c r="M847" s="11" t="n">
        <v>1</v>
      </c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>
        <v>1</v>
      </c>
      <c r="Z847" s="13">
        <f>SUMPRODUCT(N847:Y847,$N$2:$Y$2)*$K847*$L847*$M847</f>
        <v/>
      </c>
      <c r="AA847" s="14">
        <f>SUM(N847:Y847)</f>
        <v/>
      </c>
      <c r="AB847" s="13">
        <f>SUMPRODUCT(N847:Y847,$N$3:$Y$3)*$K847*$L847*$M847</f>
        <v/>
      </c>
      <c r="AC847" s="13">
        <f>SUMPRODUCT(N847:Y847,$N$4:$Y$4)*$K847*$L847*$M847</f>
        <v/>
      </c>
      <c r="AD847" s="15" t="n">
        <v>3</v>
      </c>
      <c r="AE847" s="11" t="n">
        <v>1.011296296296296</v>
      </c>
      <c r="AF847" s="16">
        <f>SUMPRODUCT(N847:Y847,$N$5:$Y$5)*$K847*$L847*$M847</f>
        <v/>
      </c>
      <c r="AG847" s="16">
        <f>SUMPRODUCT(N847:Y847,$N$6:$Y$6)*$K847*$L847*$M847</f>
        <v/>
      </c>
      <c r="AH847" s="20" t="n"/>
    </row>
    <row r="848">
      <c r="A848" s="9" t="n">
        <v>838799</v>
      </c>
      <c r="B848" s="9" t="inlineStr">
        <is>
          <t>Harry Blum</t>
        </is>
      </c>
      <c r="C848" s="9" t="inlineStr">
        <is>
          <t>BOS</t>
        </is>
      </c>
      <c r="D848" s="9" t="n">
        <v>25</v>
      </c>
      <c r="E848" s="18" t="inlineStr">
        <is>
          <t>R</t>
        </is>
      </c>
      <c r="F848" s="18" t="n"/>
      <c r="G848" s="9" t="n">
        <v>2.58</v>
      </c>
      <c r="H848" s="9" t="n">
        <v>2.58</v>
      </c>
      <c r="I848" s="9" t="inlineStr">
        <is>
          <t>Depth (no MLB IP)</t>
        </is>
      </c>
      <c r="J848" s="18" t="inlineStr">
        <is>
          <t>Opening Day</t>
        </is>
      </c>
      <c r="K848" s="11">
        <f>IFERROR(INDEX(Roles!$B$17:$B$20,MATCH(J848,Roles!$A$17:$A$20,0)),1)</f>
        <v/>
      </c>
      <c r="L848" s="19" t="n">
        <v>1</v>
      </c>
      <c r="M848" s="11" t="n">
        <v>1</v>
      </c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>
        <v>1</v>
      </c>
      <c r="Z848" s="13">
        <f>SUMPRODUCT(N848:Y848,$N$2:$Y$2)*$K848*$L848*$M848</f>
        <v/>
      </c>
      <c r="AA848" s="14">
        <f>SUM(N848:Y848)</f>
        <v/>
      </c>
      <c r="AB848" s="13">
        <f>SUMPRODUCT(N848:Y848,$N$3:$Y$3)*$K848*$L848*$M848</f>
        <v/>
      </c>
      <c r="AC848" s="13">
        <f>SUMPRODUCT(N848:Y848,$N$4:$Y$4)*$K848*$L848*$M848</f>
        <v/>
      </c>
      <c r="AD848" s="15" t="n">
        <v>3</v>
      </c>
      <c r="AE848" s="11" t="n">
        <v>1.011296296296296</v>
      </c>
      <c r="AF848" s="16">
        <f>SUMPRODUCT(N848:Y848,$N$5:$Y$5)*$K848*$L848*$M848</f>
        <v/>
      </c>
      <c r="AG848" s="16">
        <f>SUMPRODUCT(N848:Y848,$N$6:$Y$6)*$K848*$L848*$M848</f>
        <v/>
      </c>
      <c r="AH848" s="20" t="n"/>
    </row>
    <row r="849">
      <c r="A849" s="9" t="n">
        <v>838365</v>
      </c>
      <c r="B849" s="9" t="inlineStr">
        <is>
          <t>Braden Smith</t>
        </is>
      </c>
      <c r="C849" s="9" t="inlineStr">
        <is>
          <t>BAL</t>
        </is>
      </c>
      <c r="D849" s="9" t="n">
        <v>25</v>
      </c>
      <c r="E849" s="18" t="inlineStr">
        <is>
          <t>R</t>
        </is>
      </c>
      <c r="F849" s="18" t="n"/>
      <c r="G849" s="9" t="n">
        <v>2.752</v>
      </c>
      <c r="H849" s="9" t="n">
        <v>2.752</v>
      </c>
      <c r="I849" s="9" t="inlineStr">
        <is>
          <t>Depth (no MLB IP)</t>
        </is>
      </c>
      <c r="J849" s="18" t="inlineStr">
        <is>
          <t>Opening Day</t>
        </is>
      </c>
      <c r="K849" s="11">
        <f>IFERROR(INDEX(Roles!$B$17:$B$20,MATCH(J849,Roles!$A$17:$A$20,0)),1)</f>
        <v/>
      </c>
      <c r="L849" s="19" t="n">
        <v>1</v>
      </c>
      <c r="M849" s="11" t="n">
        <v>1</v>
      </c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>
        <v>1</v>
      </c>
      <c r="Z849" s="13">
        <f>SUMPRODUCT(N849:Y849,$N$2:$Y$2)*$K849*$L849*$M849</f>
        <v/>
      </c>
      <c r="AA849" s="14">
        <f>SUM(N849:Y849)</f>
        <v/>
      </c>
      <c r="AB849" s="13">
        <f>SUMPRODUCT(N849:Y849,$N$3:$Y$3)*$K849*$L849*$M849</f>
        <v/>
      </c>
      <c r="AC849" s="13">
        <f>SUMPRODUCT(N849:Y849,$N$4:$Y$4)*$K849*$L849*$M849</f>
        <v/>
      </c>
      <c r="AD849" s="15" t="n">
        <v>3</v>
      </c>
      <c r="AE849" s="11" t="n">
        <v>1.011296296296296</v>
      </c>
      <c r="AF849" s="16">
        <f>SUMPRODUCT(N849:Y849,$N$5:$Y$5)*$K849*$L849*$M849</f>
        <v/>
      </c>
      <c r="AG849" s="16">
        <f>SUMPRODUCT(N849:Y849,$N$6:$Y$6)*$K849*$L849*$M849</f>
        <v/>
      </c>
      <c r="AH849" s="20" t="n"/>
    </row>
    <row r="850">
      <c r="A850" s="9" t="n">
        <v>678478</v>
      </c>
      <c r="B850" s="9" t="inlineStr">
        <is>
          <t>Jorge Juan</t>
        </is>
      </c>
      <c r="C850" s="9" t="inlineStr">
        <is>
          <t>BOS</t>
        </is>
      </c>
      <c r="D850" s="9" t="n">
        <v>25</v>
      </c>
      <c r="E850" s="18" t="inlineStr">
        <is>
          <t>R</t>
        </is>
      </c>
      <c r="F850" s="18" t="n"/>
      <c r="G850" s="9" t="n">
        <v>2.508333333333333</v>
      </c>
      <c r="H850" s="9" t="n">
        <v>2.508333333333333</v>
      </c>
      <c r="I850" s="9" t="inlineStr">
        <is>
          <t>Depth (no MLB IP)</t>
        </is>
      </c>
      <c r="J850" s="18" t="inlineStr">
        <is>
          <t>Opening Day</t>
        </is>
      </c>
      <c r="K850" s="11">
        <f>IFERROR(INDEX(Roles!$B$17:$B$20,MATCH(J850,Roles!$A$17:$A$20,0)),1)</f>
        <v/>
      </c>
      <c r="L850" s="19" t="n">
        <v>1</v>
      </c>
      <c r="M850" s="11" t="n">
        <v>1</v>
      </c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>
        <v>1</v>
      </c>
      <c r="Z850" s="13">
        <f>SUMPRODUCT(N850:Y850,$N$2:$Y$2)*$K850*$L850*$M850</f>
        <v/>
      </c>
      <c r="AA850" s="14">
        <f>SUM(N850:Y850)</f>
        <v/>
      </c>
      <c r="AB850" s="13">
        <f>SUMPRODUCT(N850:Y850,$N$3:$Y$3)*$K850*$L850*$M850</f>
        <v/>
      </c>
      <c r="AC850" s="13">
        <f>SUMPRODUCT(N850:Y850,$N$4:$Y$4)*$K850*$L850*$M850</f>
        <v/>
      </c>
      <c r="AD850" s="15" t="n">
        <v>3</v>
      </c>
      <c r="AE850" s="11" t="n">
        <v>1.011296296296296</v>
      </c>
      <c r="AF850" s="16">
        <f>SUMPRODUCT(N850:Y850,$N$5:$Y$5)*$K850*$L850*$M850</f>
        <v/>
      </c>
      <c r="AG850" s="16">
        <f>SUMPRODUCT(N850:Y850,$N$6:$Y$6)*$K850*$L850*$M850</f>
        <v/>
      </c>
      <c r="AH850" s="20" t="n"/>
    </row>
    <row r="851">
      <c r="A851" s="9" t="n">
        <v>829495</v>
      </c>
      <c r="B851" s="9" t="inlineStr">
        <is>
          <t>Miguel Alvarez</t>
        </is>
      </c>
      <c r="C851" s="9" t="inlineStr">
        <is>
          <t>SD</t>
        </is>
      </c>
      <c r="D851" s="9" t="n">
        <v>25</v>
      </c>
      <c r="E851" s="18" t="inlineStr">
        <is>
          <t>R</t>
        </is>
      </c>
      <c r="F851" s="18" t="n"/>
      <c r="G851" s="9" t="n">
        <v>2.58</v>
      </c>
      <c r="H851" s="9" t="n">
        <v>2.58</v>
      </c>
      <c r="I851" s="9" t="inlineStr">
        <is>
          <t>Depth (no MLB IP)</t>
        </is>
      </c>
      <c r="J851" s="18" t="inlineStr">
        <is>
          <t>Opening Day</t>
        </is>
      </c>
      <c r="K851" s="11">
        <f>IFERROR(INDEX(Roles!$B$17:$B$20,MATCH(J851,Roles!$A$17:$A$20,0)),1)</f>
        <v/>
      </c>
      <c r="L851" s="19" t="n">
        <v>1</v>
      </c>
      <c r="M851" s="11" t="n">
        <v>1</v>
      </c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>
        <v>1</v>
      </c>
      <c r="Z851" s="13">
        <f>SUMPRODUCT(N851:Y851,$N$2:$Y$2)*$K851*$L851*$M851</f>
        <v/>
      </c>
      <c r="AA851" s="14">
        <f>SUM(N851:Y851)</f>
        <v/>
      </c>
      <c r="AB851" s="13">
        <f>SUMPRODUCT(N851:Y851,$N$3:$Y$3)*$K851*$L851*$M851</f>
        <v/>
      </c>
      <c r="AC851" s="13">
        <f>SUMPRODUCT(N851:Y851,$N$4:$Y$4)*$K851*$L851*$M851</f>
        <v/>
      </c>
      <c r="AD851" s="15" t="n">
        <v>3</v>
      </c>
      <c r="AE851" s="11" t="n">
        <v>1.011296296296296</v>
      </c>
      <c r="AF851" s="16">
        <f>SUMPRODUCT(N851:Y851,$N$5:$Y$5)*$K851*$L851*$M851</f>
        <v/>
      </c>
      <c r="AG851" s="16">
        <f>SUMPRODUCT(N851:Y851,$N$6:$Y$6)*$K851*$L851*$M851</f>
        <v/>
      </c>
      <c r="AH851" s="20" t="n"/>
    </row>
    <row r="852">
      <c r="A852" s="9" t="n">
        <v>701740</v>
      </c>
      <c r="B852" s="9" t="inlineStr">
        <is>
          <t>Finnegan Wall</t>
        </is>
      </c>
      <c r="C852" s="9" t="inlineStr">
        <is>
          <t>MIN</t>
        </is>
      </c>
      <c r="D852" s="9" t="n">
        <v>25</v>
      </c>
      <c r="E852" s="18" t="inlineStr">
        <is>
          <t>R</t>
        </is>
      </c>
      <c r="F852" s="18" t="n"/>
      <c r="G852" s="9" t="n">
        <v>2.866666666666667</v>
      </c>
      <c r="H852" s="9" t="n">
        <v>2.866666666666667</v>
      </c>
      <c r="I852" s="9" t="inlineStr">
        <is>
          <t>Depth (no MLB IP)</t>
        </is>
      </c>
      <c r="J852" s="18" t="inlineStr">
        <is>
          <t>Opening Day</t>
        </is>
      </c>
      <c r="K852" s="11">
        <f>IFERROR(INDEX(Roles!$B$17:$B$20,MATCH(J852,Roles!$A$17:$A$20,0)),1)</f>
        <v/>
      </c>
      <c r="L852" s="19" t="n">
        <v>1</v>
      </c>
      <c r="M852" s="11" t="n">
        <v>1</v>
      </c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>
        <v>1</v>
      </c>
      <c r="Z852" s="13">
        <f>SUMPRODUCT(N852:Y852,$N$2:$Y$2)*$K852*$L852*$M852</f>
        <v/>
      </c>
      <c r="AA852" s="14">
        <f>SUM(N852:Y852)</f>
        <v/>
      </c>
      <c r="AB852" s="13">
        <f>SUMPRODUCT(N852:Y852,$N$3:$Y$3)*$K852*$L852*$M852</f>
        <v/>
      </c>
      <c r="AC852" s="13">
        <f>SUMPRODUCT(N852:Y852,$N$4:$Y$4)*$K852*$L852*$M852</f>
        <v/>
      </c>
      <c r="AD852" s="15" t="n">
        <v>3</v>
      </c>
      <c r="AE852" s="11" t="n">
        <v>1.011296296296296</v>
      </c>
      <c r="AF852" s="16">
        <f>SUMPRODUCT(N852:Y852,$N$5:$Y$5)*$K852*$L852*$M852</f>
        <v/>
      </c>
      <c r="AG852" s="16">
        <f>SUMPRODUCT(N852:Y852,$N$6:$Y$6)*$K852*$L852*$M852</f>
        <v/>
      </c>
      <c r="AH852" s="20" t="n"/>
    </row>
    <row r="853">
      <c r="A853" s="9" t="n">
        <v>701869</v>
      </c>
      <c r="B853" s="9" t="inlineStr">
        <is>
          <t>Kaleb Kantola</t>
        </is>
      </c>
      <c r="C853" s="9" t="inlineStr">
        <is>
          <t>WSH</t>
        </is>
      </c>
      <c r="D853" s="9" t="n">
        <v>25</v>
      </c>
      <c r="E853" s="18" t="inlineStr">
        <is>
          <t>R</t>
        </is>
      </c>
      <c r="F853" s="18" t="n"/>
      <c r="G853" s="9" t="n">
        <v>2.752</v>
      </c>
      <c r="H853" s="9" t="n">
        <v>2.752</v>
      </c>
      <c r="I853" s="9" t="inlineStr">
        <is>
          <t>Depth (no MLB IP)</t>
        </is>
      </c>
      <c r="J853" s="18" t="inlineStr">
        <is>
          <t>Opening Day</t>
        </is>
      </c>
      <c r="K853" s="11">
        <f>IFERROR(INDEX(Roles!$B$17:$B$20,MATCH(J853,Roles!$A$17:$A$20,0)),1)</f>
        <v/>
      </c>
      <c r="L853" s="19" t="n">
        <v>1</v>
      </c>
      <c r="M853" s="11" t="n">
        <v>1</v>
      </c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>
        <v>1</v>
      </c>
      <c r="Z853" s="13">
        <f>SUMPRODUCT(N853:Y853,$N$2:$Y$2)*$K853*$L853*$M853</f>
        <v/>
      </c>
      <c r="AA853" s="14">
        <f>SUM(N853:Y853)</f>
        <v/>
      </c>
      <c r="AB853" s="13">
        <f>SUMPRODUCT(N853:Y853,$N$3:$Y$3)*$K853*$L853*$M853</f>
        <v/>
      </c>
      <c r="AC853" s="13">
        <f>SUMPRODUCT(N853:Y853,$N$4:$Y$4)*$K853*$L853*$M853</f>
        <v/>
      </c>
      <c r="AD853" s="15" t="n">
        <v>3</v>
      </c>
      <c r="AE853" s="11" t="n">
        <v>1.011296296296296</v>
      </c>
      <c r="AF853" s="16">
        <f>SUMPRODUCT(N853:Y853,$N$5:$Y$5)*$K853*$L853*$M853</f>
        <v/>
      </c>
      <c r="AG853" s="16">
        <f>SUMPRODUCT(N853:Y853,$N$6:$Y$6)*$K853*$L853*$M853</f>
        <v/>
      </c>
      <c r="AH853" s="20" t="n"/>
    </row>
    <row r="854">
      <c r="A854" s="9" t="n">
        <v>822391</v>
      </c>
      <c r="B854" s="9" t="inlineStr">
        <is>
          <t>Will Whelan</t>
        </is>
      </c>
      <c r="C854" s="9" t="inlineStr">
        <is>
          <t>TEX</t>
        </is>
      </c>
      <c r="D854" s="9" t="n">
        <v>25</v>
      </c>
      <c r="E854" s="18" t="inlineStr">
        <is>
          <t>L</t>
        </is>
      </c>
      <c r="F854" s="18" t="n"/>
      <c r="G854" s="9" t="n">
        <v>2.58</v>
      </c>
      <c r="H854" s="9" t="n">
        <v>2.58</v>
      </c>
      <c r="I854" s="9" t="inlineStr">
        <is>
          <t>Depth (no MLB IP)</t>
        </is>
      </c>
      <c r="J854" s="18" t="inlineStr">
        <is>
          <t>Opening Day</t>
        </is>
      </c>
      <c r="K854" s="11">
        <f>IFERROR(INDEX(Roles!$B$17:$B$20,MATCH(J854,Roles!$A$17:$A$20,0)),1)</f>
        <v/>
      </c>
      <c r="L854" s="19" t="n">
        <v>1</v>
      </c>
      <c r="M854" s="11" t="n">
        <v>1</v>
      </c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>
        <v>1</v>
      </c>
      <c r="Z854" s="13">
        <f>SUMPRODUCT(N854:Y854,$N$2:$Y$2)*$K854*$L854*$M854</f>
        <v/>
      </c>
      <c r="AA854" s="14">
        <f>SUM(N854:Y854)</f>
        <v/>
      </c>
      <c r="AB854" s="13">
        <f>SUMPRODUCT(N854:Y854,$N$3:$Y$3)*$K854*$L854*$M854</f>
        <v/>
      </c>
      <c r="AC854" s="13">
        <f>SUMPRODUCT(N854:Y854,$N$4:$Y$4)*$K854*$L854*$M854</f>
        <v/>
      </c>
      <c r="AD854" s="15" t="n">
        <v>3</v>
      </c>
      <c r="AE854" s="11" t="n">
        <v>1.011296296296296</v>
      </c>
      <c r="AF854" s="16">
        <f>SUMPRODUCT(N854:Y854,$N$5:$Y$5)*$K854*$L854*$M854</f>
        <v/>
      </c>
      <c r="AG854" s="16">
        <f>SUMPRODUCT(N854:Y854,$N$6:$Y$6)*$K854*$L854*$M854</f>
        <v/>
      </c>
      <c r="AH854" s="20" t="n"/>
    </row>
    <row r="855">
      <c r="A855" s="9" t="n">
        <v>815152</v>
      </c>
      <c r="B855" s="9" t="inlineStr">
        <is>
          <t>Theo Hardy</t>
        </is>
      </c>
      <c r="C855" s="9" t="inlineStr">
        <is>
          <t>TEX</t>
        </is>
      </c>
      <c r="D855" s="9" t="n">
        <v>25</v>
      </c>
      <c r="E855" s="18" t="inlineStr">
        <is>
          <t>R</t>
        </is>
      </c>
      <c r="F855" s="18" t="n"/>
      <c r="G855" s="9" t="n">
        <v>2.58</v>
      </c>
      <c r="H855" s="9" t="n">
        <v>2.58</v>
      </c>
      <c r="I855" s="9" t="inlineStr">
        <is>
          <t>Depth (no MLB IP)</t>
        </is>
      </c>
      <c r="J855" s="18" t="inlineStr">
        <is>
          <t>Opening Day</t>
        </is>
      </c>
      <c r="K855" s="11">
        <f>IFERROR(INDEX(Roles!$B$17:$B$20,MATCH(J855,Roles!$A$17:$A$20,0)),1)</f>
        <v/>
      </c>
      <c r="L855" s="19" t="n">
        <v>1</v>
      </c>
      <c r="M855" s="11" t="n">
        <v>1</v>
      </c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>
        <v>1</v>
      </c>
      <c r="Z855" s="13">
        <f>SUMPRODUCT(N855:Y855,$N$2:$Y$2)*$K855*$L855*$M855</f>
        <v/>
      </c>
      <c r="AA855" s="14">
        <f>SUM(N855:Y855)</f>
        <v/>
      </c>
      <c r="AB855" s="13">
        <f>SUMPRODUCT(N855:Y855,$N$3:$Y$3)*$K855*$L855*$M855</f>
        <v/>
      </c>
      <c r="AC855" s="13">
        <f>SUMPRODUCT(N855:Y855,$N$4:$Y$4)*$K855*$L855*$M855</f>
        <v/>
      </c>
      <c r="AD855" s="15" t="n">
        <v>3</v>
      </c>
      <c r="AE855" s="11" t="n">
        <v>1.011296296296296</v>
      </c>
      <c r="AF855" s="16">
        <f>SUMPRODUCT(N855:Y855,$N$5:$Y$5)*$K855*$L855*$M855</f>
        <v/>
      </c>
      <c r="AG855" s="16">
        <f>SUMPRODUCT(N855:Y855,$N$6:$Y$6)*$K855*$L855*$M855</f>
        <v/>
      </c>
      <c r="AH855" s="20" t="n"/>
    </row>
    <row r="856">
      <c r="A856" s="9" t="n">
        <v>801546</v>
      </c>
      <c r="B856" s="9" t="inlineStr">
        <is>
          <t>Zane Russell</t>
        </is>
      </c>
      <c r="C856" s="9" t="inlineStr">
        <is>
          <t>ARI</t>
        </is>
      </c>
      <c r="D856" s="9" t="n">
        <v>25</v>
      </c>
      <c r="E856" s="18" t="inlineStr">
        <is>
          <t>R</t>
        </is>
      </c>
      <c r="F856" s="18" t="n"/>
      <c r="G856" s="9" t="n">
        <v>2.508333333333333</v>
      </c>
      <c r="H856" s="9" t="n">
        <v>2.508333333333333</v>
      </c>
      <c r="I856" s="9" t="inlineStr">
        <is>
          <t>Depth (no MLB IP)</t>
        </is>
      </c>
      <c r="J856" s="18" t="inlineStr">
        <is>
          <t>Opening Day</t>
        </is>
      </c>
      <c r="K856" s="11">
        <f>IFERROR(INDEX(Roles!$B$17:$B$20,MATCH(J856,Roles!$A$17:$A$20,0)),1)</f>
        <v/>
      </c>
      <c r="L856" s="19" t="n">
        <v>1</v>
      </c>
      <c r="M856" s="11" t="n">
        <v>1</v>
      </c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>
        <v>1</v>
      </c>
      <c r="Z856" s="13">
        <f>SUMPRODUCT(N856:Y856,$N$2:$Y$2)*$K856*$L856*$M856</f>
        <v/>
      </c>
      <c r="AA856" s="14">
        <f>SUM(N856:Y856)</f>
        <v/>
      </c>
      <c r="AB856" s="13">
        <f>SUMPRODUCT(N856:Y856,$N$3:$Y$3)*$K856*$L856*$M856</f>
        <v/>
      </c>
      <c r="AC856" s="13">
        <f>SUMPRODUCT(N856:Y856,$N$4:$Y$4)*$K856*$L856*$M856</f>
        <v/>
      </c>
      <c r="AD856" s="15" t="n">
        <v>3</v>
      </c>
      <c r="AE856" s="11" t="n">
        <v>1.011296296296296</v>
      </c>
      <c r="AF856" s="16">
        <f>SUMPRODUCT(N856:Y856,$N$5:$Y$5)*$K856*$L856*$M856</f>
        <v/>
      </c>
      <c r="AG856" s="16">
        <f>SUMPRODUCT(N856:Y856,$N$6:$Y$6)*$K856*$L856*$M856</f>
        <v/>
      </c>
      <c r="AH856" s="20" t="n"/>
    </row>
    <row r="857">
      <c r="A857" s="9" t="n">
        <v>801829</v>
      </c>
      <c r="B857" s="9" t="inlineStr">
        <is>
          <t>Jay Allmer</t>
        </is>
      </c>
      <c r="C857" s="9" t="inlineStr">
        <is>
          <t>BOS</t>
        </is>
      </c>
      <c r="D857" s="9" t="n">
        <v>25</v>
      </c>
      <c r="E857" s="18" t="inlineStr">
        <is>
          <t>R</t>
        </is>
      </c>
      <c r="F857" s="18" t="n"/>
      <c r="G857" s="9" t="n">
        <v>2.508333333333333</v>
      </c>
      <c r="H857" s="9" t="n">
        <v>2.508333333333333</v>
      </c>
      <c r="I857" s="9" t="inlineStr">
        <is>
          <t>Depth (no MLB IP)</t>
        </is>
      </c>
      <c r="J857" s="18" t="inlineStr">
        <is>
          <t>Opening Day</t>
        </is>
      </c>
      <c r="K857" s="11">
        <f>IFERROR(INDEX(Roles!$B$17:$B$20,MATCH(J857,Roles!$A$17:$A$20,0)),1)</f>
        <v/>
      </c>
      <c r="L857" s="19" t="n">
        <v>1</v>
      </c>
      <c r="M857" s="11" t="n">
        <v>1</v>
      </c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>
        <v>1</v>
      </c>
      <c r="Z857" s="13">
        <f>SUMPRODUCT(N857:Y857,$N$2:$Y$2)*$K857*$L857*$M857</f>
        <v/>
      </c>
      <c r="AA857" s="14">
        <f>SUM(N857:Y857)</f>
        <v/>
      </c>
      <c r="AB857" s="13">
        <f>SUMPRODUCT(N857:Y857,$N$3:$Y$3)*$K857*$L857*$M857</f>
        <v/>
      </c>
      <c r="AC857" s="13">
        <f>SUMPRODUCT(N857:Y857,$N$4:$Y$4)*$K857*$L857*$M857</f>
        <v/>
      </c>
      <c r="AD857" s="15" t="n">
        <v>3</v>
      </c>
      <c r="AE857" s="11" t="n">
        <v>1.011296296296296</v>
      </c>
      <c r="AF857" s="16">
        <f>SUMPRODUCT(N857:Y857,$N$5:$Y$5)*$K857*$L857*$M857</f>
        <v/>
      </c>
      <c r="AG857" s="16">
        <f>SUMPRODUCT(N857:Y857,$N$6:$Y$6)*$K857*$L857*$M857</f>
        <v/>
      </c>
      <c r="AH857" s="20" t="n"/>
    </row>
    <row r="858">
      <c r="A858" s="9" t="n">
        <v>694399</v>
      </c>
      <c r="B858" s="9" t="inlineStr">
        <is>
          <t>Elijah Nunez</t>
        </is>
      </c>
      <c r="C858" s="9" t="inlineStr">
        <is>
          <t>WSH</t>
        </is>
      </c>
      <c r="D858" s="9" t="n">
        <v>25</v>
      </c>
      <c r="E858" s="18" t="inlineStr">
        <is>
          <t>L</t>
        </is>
      </c>
      <c r="F858" s="18" t="n"/>
      <c r="G858" s="9" t="n">
        <v>2.58</v>
      </c>
      <c r="H858" s="9" t="n">
        <v>2.58</v>
      </c>
      <c r="I858" s="9" t="inlineStr">
        <is>
          <t>Depth (no MLB IP)</t>
        </is>
      </c>
      <c r="J858" s="18" t="inlineStr">
        <is>
          <t>Opening Day</t>
        </is>
      </c>
      <c r="K858" s="11">
        <f>IFERROR(INDEX(Roles!$B$17:$B$20,MATCH(J858,Roles!$A$17:$A$20,0)),1)</f>
        <v/>
      </c>
      <c r="L858" s="19" t="n">
        <v>1</v>
      </c>
      <c r="M858" s="11" t="n">
        <v>1</v>
      </c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>
        <v>1</v>
      </c>
      <c r="Z858" s="13">
        <f>SUMPRODUCT(N858:Y858,$N$2:$Y$2)*$K858*$L858*$M858</f>
        <v/>
      </c>
      <c r="AA858" s="14">
        <f>SUM(N858:Y858)</f>
        <v/>
      </c>
      <c r="AB858" s="13">
        <f>SUMPRODUCT(N858:Y858,$N$3:$Y$3)*$K858*$L858*$M858</f>
        <v/>
      </c>
      <c r="AC858" s="13">
        <f>SUMPRODUCT(N858:Y858,$N$4:$Y$4)*$K858*$L858*$M858</f>
        <v/>
      </c>
      <c r="AD858" s="15" t="n">
        <v>3</v>
      </c>
      <c r="AE858" s="11" t="n">
        <v>1.011296296296296</v>
      </c>
      <c r="AF858" s="16">
        <f>SUMPRODUCT(N858:Y858,$N$5:$Y$5)*$K858*$L858*$M858</f>
        <v/>
      </c>
      <c r="AG858" s="16">
        <f>SUMPRODUCT(N858:Y858,$N$6:$Y$6)*$K858*$L858*$M858</f>
        <v/>
      </c>
      <c r="AH858" s="20" t="n"/>
    </row>
    <row r="859">
      <c r="A859" s="9" t="n">
        <v>829622</v>
      </c>
      <c r="B859" s="9" t="inlineStr">
        <is>
          <t>Hunter Allen</t>
        </is>
      </c>
      <c r="C859" s="9" t="inlineStr">
        <is>
          <t>BAL</t>
        </is>
      </c>
      <c r="D859" s="9" t="n">
        <v>25</v>
      </c>
      <c r="E859" s="18" t="inlineStr">
        <is>
          <t>R</t>
        </is>
      </c>
      <c r="F859" s="18" t="n"/>
      <c r="G859" s="9" t="n">
        <v>2.924</v>
      </c>
      <c r="H859" s="9" t="n">
        <v>2.924</v>
      </c>
      <c r="I859" s="9" t="inlineStr">
        <is>
          <t>Depth (no MLB IP)</t>
        </is>
      </c>
      <c r="J859" s="18" t="inlineStr">
        <is>
          <t>Opening Day</t>
        </is>
      </c>
      <c r="K859" s="11">
        <f>IFERROR(INDEX(Roles!$B$17:$B$20,MATCH(J859,Roles!$A$17:$A$20,0)),1)</f>
        <v/>
      </c>
      <c r="L859" s="19" t="n">
        <v>1</v>
      </c>
      <c r="M859" s="11" t="n">
        <v>1</v>
      </c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>
        <v>1</v>
      </c>
      <c r="Z859" s="13">
        <f>SUMPRODUCT(N859:Y859,$N$2:$Y$2)*$K859*$L859*$M859</f>
        <v/>
      </c>
      <c r="AA859" s="14">
        <f>SUM(N859:Y859)</f>
        <v/>
      </c>
      <c r="AB859" s="13">
        <f>SUMPRODUCT(N859:Y859,$N$3:$Y$3)*$K859*$L859*$M859</f>
        <v/>
      </c>
      <c r="AC859" s="13">
        <f>SUMPRODUCT(N859:Y859,$N$4:$Y$4)*$K859*$L859*$M859</f>
        <v/>
      </c>
      <c r="AD859" s="15" t="n">
        <v>3</v>
      </c>
      <c r="AE859" s="11" t="n">
        <v>1.011296296296296</v>
      </c>
      <c r="AF859" s="16">
        <f>SUMPRODUCT(N859:Y859,$N$5:$Y$5)*$K859*$L859*$M859</f>
        <v/>
      </c>
      <c r="AG859" s="16">
        <f>SUMPRODUCT(N859:Y859,$N$6:$Y$6)*$K859*$L859*$M859</f>
        <v/>
      </c>
      <c r="AH859" s="20" t="n"/>
    </row>
    <row r="860">
      <c r="A860" s="9" t="n">
        <v>805144</v>
      </c>
      <c r="B860" s="9" t="inlineStr">
        <is>
          <t>Riskiel Tineo</t>
        </is>
      </c>
      <c r="C860" s="9" t="inlineStr">
        <is>
          <t>MIA</t>
        </is>
      </c>
      <c r="D860" s="9" t="n">
        <v>25</v>
      </c>
      <c r="E860" s="18" t="inlineStr">
        <is>
          <t>R</t>
        </is>
      </c>
      <c r="F860" s="18" t="n"/>
      <c r="G860" s="9" t="n">
        <v>2.58</v>
      </c>
      <c r="H860" s="9" t="n">
        <v>2.58</v>
      </c>
      <c r="I860" s="9" t="inlineStr">
        <is>
          <t>Depth (no MLB IP)</t>
        </is>
      </c>
      <c r="J860" s="18" t="inlineStr">
        <is>
          <t>Opening Day</t>
        </is>
      </c>
      <c r="K860" s="11">
        <f>IFERROR(INDEX(Roles!$B$17:$B$20,MATCH(J860,Roles!$A$17:$A$20,0)),1)</f>
        <v/>
      </c>
      <c r="L860" s="19" t="n">
        <v>1</v>
      </c>
      <c r="M860" s="11" t="n">
        <v>1</v>
      </c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>
        <v>1</v>
      </c>
      <c r="Z860" s="13">
        <f>SUMPRODUCT(N860:Y860,$N$2:$Y$2)*$K860*$L860*$M860</f>
        <v/>
      </c>
      <c r="AA860" s="14">
        <f>SUM(N860:Y860)</f>
        <v/>
      </c>
      <c r="AB860" s="13">
        <f>SUMPRODUCT(N860:Y860,$N$3:$Y$3)*$K860*$L860*$M860</f>
        <v/>
      </c>
      <c r="AC860" s="13">
        <f>SUMPRODUCT(N860:Y860,$N$4:$Y$4)*$K860*$L860*$M860</f>
        <v/>
      </c>
      <c r="AD860" s="15" t="n">
        <v>3</v>
      </c>
      <c r="AE860" s="11" t="n">
        <v>1.011296296296296</v>
      </c>
      <c r="AF860" s="16">
        <f>SUMPRODUCT(N860:Y860,$N$5:$Y$5)*$K860*$L860*$M860</f>
        <v/>
      </c>
      <c r="AG860" s="16">
        <f>SUMPRODUCT(N860:Y860,$N$6:$Y$6)*$K860*$L860*$M860</f>
        <v/>
      </c>
      <c r="AH860" s="20" t="n"/>
    </row>
    <row r="861">
      <c r="A861" s="9" t="n">
        <v>815473</v>
      </c>
      <c r="B861" s="9" t="inlineStr">
        <is>
          <t>Moises Morales</t>
        </is>
      </c>
      <c r="C861" s="9" t="inlineStr">
        <is>
          <t>TEX</t>
        </is>
      </c>
      <c r="D861" s="9" t="n">
        <v>25</v>
      </c>
      <c r="E861" s="18" t="inlineStr">
        <is>
          <t>R</t>
        </is>
      </c>
      <c r="F861" s="18" t="n"/>
      <c r="G861" s="9" t="n">
        <v>2.58</v>
      </c>
      <c r="H861" s="9" t="n">
        <v>2.58</v>
      </c>
      <c r="I861" s="9" t="inlineStr">
        <is>
          <t>Depth (no MLB IP)</t>
        </is>
      </c>
      <c r="J861" s="18" t="inlineStr">
        <is>
          <t>Opening Day</t>
        </is>
      </c>
      <c r="K861" s="11">
        <f>IFERROR(INDEX(Roles!$B$17:$B$20,MATCH(J861,Roles!$A$17:$A$20,0)),1)</f>
        <v/>
      </c>
      <c r="L861" s="19" t="n">
        <v>1</v>
      </c>
      <c r="M861" s="11" t="n">
        <v>1</v>
      </c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>
        <v>1</v>
      </c>
      <c r="Z861" s="13">
        <f>SUMPRODUCT(N861:Y861,$N$2:$Y$2)*$K861*$L861*$M861</f>
        <v/>
      </c>
      <c r="AA861" s="14">
        <f>SUM(N861:Y861)</f>
        <v/>
      </c>
      <c r="AB861" s="13">
        <f>SUMPRODUCT(N861:Y861,$N$3:$Y$3)*$K861*$L861*$M861</f>
        <v/>
      </c>
      <c r="AC861" s="13">
        <f>SUMPRODUCT(N861:Y861,$N$4:$Y$4)*$K861*$L861*$M861</f>
        <v/>
      </c>
      <c r="AD861" s="15" t="n">
        <v>3</v>
      </c>
      <c r="AE861" s="11" t="n">
        <v>1.011296296296296</v>
      </c>
      <c r="AF861" s="16">
        <f>SUMPRODUCT(N861:Y861,$N$5:$Y$5)*$K861*$L861*$M861</f>
        <v/>
      </c>
      <c r="AG861" s="16">
        <f>SUMPRODUCT(N861:Y861,$N$6:$Y$6)*$K861*$L861*$M861</f>
        <v/>
      </c>
      <c r="AH861" s="20" t="n"/>
    </row>
    <row r="862">
      <c r="A862" s="9" t="n">
        <v>823714</v>
      </c>
      <c r="B862" s="9" t="inlineStr">
        <is>
          <t>Cesar Aquino</t>
        </is>
      </c>
      <c r="C862" s="9" t="inlineStr">
        <is>
          <t>PIT</t>
        </is>
      </c>
      <c r="D862" s="9" t="n">
        <v>25</v>
      </c>
      <c r="E862" s="18" t="inlineStr">
        <is>
          <t>R</t>
        </is>
      </c>
      <c r="F862" s="18" t="n"/>
      <c r="G862" s="9" t="n">
        <v>2.508333333333333</v>
      </c>
      <c r="H862" s="9" t="n">
        <v>2.508333333333333</v>
      </c>
      <c r="I862" s="9" t="inlineStr">
        <is>
          <t>Depth (no MLB IP)</t>
        </is>
      </c>
      <c r="J862" s="18" t="inlineStr">
        <is>
          <t>Opening Day</t>
        </is>
      </c>
      <c r="K862" s="11">
        <f>IFERROR(INDEX(Roles!$B$17:$B$20,MATCH(J862,Roles!$A$17:$A$20,0)),1)</f>
        <v/>
      </c>
      <c r="L862" s="19" t="n">
        <v>1</v>
      </c>
      <c r="M862" s="11" t="n">
        <v>1</v>
      </c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>
        <v>1</v>
      </c>
      <c r="Z862" s="13">
        <f>SUMPRODUCT(N862:Y862,$N$2:$Y$2)*$K862*$L862*$M862</f>
        <v/>
      </c>
      <c r="AA862" s="14">
        <f>SUM(N862:Y862)</f>
        <v/>
      </c>
      <c r="AB862" s="13">
        <f>SUMPRODUCT(N862:Y862,$N$3:$Y$3)*$K862*$L862*$M862</f>
        <v/>
      </c>
      <c r="AC862" s="13">
        <f>SUMPRODUCT(N862:Y862,$N$4:$Y$4)*$K862*$L862*$M862</f>
        <v/>
      </c>
      <c r="AD862" s="15" t="n">
        <v>3</v>
      </c>
      <c r="AE862" s="11" t="n">
        <v>1.011296296296296</v>
      </c>
      <c r="AF862" s="16">
        <f>SUMPRODUCT(N862:Y862,$N$5:$Y$5)*$K862*$L862*$M862</f>
        <v/>
      </c>
      <c r="AG862" s="16">
        <f>SUMPRODUCT(N862:Y862,$N$6:$Y$6)*$K862*$L862*$M862</f>
        <v/>
      </c>
      <c r="AH862" s="20" t="n"/>
    </row>
    <row r="863">
      <c r="A863" s="9" t="n">
        <v>703668</v>
      </c>
      <c r="B863" s="9" t="inlineStr">
        <is>
          <t>John Alkire II</t>
        </is>
      </c>
      <c r="C863" s="9" t="inlineStr">
        <is>
          <t>CHC</t>
        </is>
      </c>
      <c r="D863" s="9" t="n">
        <v>25</v>
      </c>
      <c r="E863" s="18" t="inlineStr">
        <is>
          <t>R</t>
        </is>
      </c>
      <c r="F863" s="18" t="n"/>
      <c r="G863" s="9" t="n">
        <v>2.58</v>
      </c>
      <c r="H863" s="9" t="n">
        <v>2.58</v>
      </c>
      <c r="I863" s="9" t="inlineStr">
        <is>
          <t>Depth (no MLB IP)</t>
        </is>
      </c>
      <c r="J863" s="18" t="inlineStr">
        <is>
          <t>Opening Day</t>
        </is>
      </c>
      <c r="K863" s="11">
        <f>IFERROR(INDEX(Roles!$B$17:$B$20,MATCH(J863,Roles!$A$17:$A$20,0)),1)</f>
        <v/>
      </c>
      <c r="L863" s="19" t="n">
        <v>1</v>
      </c>
      <c r="M863" s="11" t="n">
        <v>1</v>
      </c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>
        <v>1</v>
      </c>
      <c r="Z863" s="13">
        <f>SUMPRODUCT(N863:Y863,$N$2:$Y$2)*$K863*$L863*$M863</f>
        <v/>
      </c>
      <c r="AA863" s="14">
        <f>SUM(N863:Y863)</f>
        <v/>
      </c>
      <c r="AB863" s="13">
        <f>SUMPRODUCT(N863:Y863,$N$3:$Y$3)*$K863*$L863*$M863</f>
        <v/>
      </c>
      <c r="AC863" s="13">
        <f>SUMPRODUCT(N863:Y863,$N$4:$Y$4)*$K863*$L863*$M863</f>
        <v/>
      </c>
      <c r="AD863" s="15" t="n">
        <v>3</v>
      </c>
      <c r="AE863" s="11" t="n">
        <v>1.011296296296296</v>
      </c>
      <c r="AF863" s="16">
        <f>SUMPRODUCT(N863:Y863,$N$5:$Y$5)*$K863*$L863*$M863</f>
        <v/>
      </c>
      <c r="AG863" s="16">
        <f>SUMPRODUCT(N863:Y863,$N$6:$Y$6)*$K863*$L863*$M863</f>
        <v/>
      </c>
      <c r="AH863" s="20" t="n"/>
    </row>
    <row r="864">
      <c r="A864" s="9" t="n">
        <v>806474</v>
      </c>
      <c r="B864" s="9" t="inlineStr">
        <is>
          <t>Ty Horn</t>
        </is>
      </c>
      <c r="C864" s="9" t="inlineStr">
        <is>
          <t>CIN</t>
        </is>
      </c>
      <c r="D864" s="9" t="n">
        <v>25</v>
      </c>
      <c r="E864" s="18" t="inlineStr">
        <is>
          <t>R</t>
        </is>
      </c>
      <c r="F864" s="18" t="n"/>
      <c r="G864" s="9" t="n">
        <v>2.58</v>
      </c>
      <c r="H864" s="9" t="n">
        <v>2.58</v>
      </c>
      <c r="I864" s="9" t="inlineStr">
        <is>
          <t>Depth (no MLB IP)</t>
        </is>
      </c>
      <c r="J864" s="18" t="inlineStr">
        <is>
          <t>Opening Day</t>
        </is>
      </c>
      <c r="K864" s="11">
        <f>IFERROR(INDEX(Roles!$B$17:$B$20,MATCH(J864,Roles!$A$17:$A$20,0)),1)</f>
        <v/>
      </c>
      <c r="L864" s="19" t="n">
        <v>1</v>
      </c>
      <c r="M864" s="11" t="n">
        <v>1</v>
      </c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>
        <v>1</v>
      </c>
      <c r="Z864" s="13">
        <f>SUMPRODUCT(N864:Y864,$N$2:$Y$2)*$K864*$L864*$M864</f>
        <v/>
      </c>
      <c r="AA864" s="14">
        <f>SUM(N864:Y864)</f>
        <v/>
      </c>
      <c r="AB864" s="13">
        <f>SUMPRODUCT(N864:Y864,$N$3:$Y$3)*$K864*$L864*$M864</f>
        <v/>
      </c>
      <c r="AC864" s="13">
        <f>SUMPRODUCT(N864:Y864,$N$4:$Y$4)*$K864*$L864*$M864</f>
        <v/>
      </c>
      <c r="AD864" s="15" t="n">
        <v>3</v>
      </c>
      <c r="AE864" s="11" t="n">
        <v>1.011296296296296</v>
      </c>
      <c r="AF864" s="16">
        <f>SUMPRODUCT(N864:Y864,$N$5:$Y$5)*$K864*$L864*$M864</f>
        <v/>
      </c>
      <c r="AG864" s="16">
        <f>SUMPRODUCT(N864:Y864,$N$6:$Y$6)*$K864*$L864*$M864</f>
        <v/>
      </c>
      <c r="AH864" s="20" t="n"/>
    </row>
    <row r="865">
      <c r="A865" s="9" t="n">
        <v>676566</v>
      </c>
      <c r="B865" s="9" t="inlineStr">
        <is>
          <t>Shawn Ross</t>
        </is>
      </c>
      <c r="C865" s="9" t="inlineStr">
        <is>
          <t>PIT</t>
        </is>
      </c>
      <c r="D865" s="9" t="n">
        <v>25</v>
      </c>
      <c r="E865" s="18" t="inlineStr">
        <is>
          <t>R</t>
        </is>
      </c>
      <c r="F865" s="18" t="n"/>
      <c r="G865" s="9" t="n">
        <v>2.508333333333333</v>
      </c>
      <c r="H865" s="9" t="n">
        <v>2.508333333333333</v>
      </c>
      <c r="I865" s="9" t="inlineStr">
        <is>
          <t>Depth (no MLB IP)</t>
        </is>
      </c>
      <c r="J865" s="18" t="inlineStr">
        <is>
          <t>Opening Day</t>
        </is>
      </c>
      <c r="K865" s="11">
        <f>IFERROR(INDEX(Roles!$B$17:$B$20,MATCH(J865,Roles!$A$17:$A$20,0)),1)</f>
        <v/>
      </c>
      <c r="L865" s="19" t="n">
        <v>1</v>
      </c>
      <c r="M865" s="11" t="n">
        <v>1</v>
      </c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>
        <v>1</v>
      </c>
      <c r="Z865" s="13">
        <f>SUMPRODUCT(N865:Y865,$N$2:$Y$2)*$K865*$L865*$M865</f>
        <v/>
      </c>
      <c r="AA865" s="14">
        <f>SUM(N865:Y865)</f>
        <v/>
      </c>
      <c r="AB865" s="13">
        <f>SUMPRODUCT(N865:Y865,$N$3:$Y$3)*$K865*$L865*$M865</f>
        <v/>
      </c>
      <c r="AC865" s="13">
        <f>SUMPRODUCT(N865:Y865,$N$4:$Y$4)*$K865*$L865*$M865</f>
        <v/>
      </c>
      <c r="AD865" s="15" t="n">
        <v>3</v>
      </c>
      <c r="AE865" s="11" t="n">
        <v>1.011296296296296</v>
      </c>
      <c r="AF865" s="16">
        <f>SUMPRODUCT(N865:Y865,$N$5:$Y$5)*$K865*$L865*$M865</f>
        <v/>
      </c>
      <c r="AG865" s="16">
        <f>SUMPRODUCT(N865:Y865,$N$6:$Y$6)*$K865*$L865*$M865</f>
        <v/>
      </c>
      <c r="AH865" s="20" t="n"/>
    </row>
    <row r="866">
      <c r="A866" s="9" t="n">
        <v>696505</v>
      </c>
      <c r="B866" s="9" t="inlineStr">
        <is>
          <t>Cory Wall</t>
        </is>
      </c>
      <c r="C866" s="9" t="inlineStr">
        <is>
          <t>ATL</t>
        </is>
      </c>
      <c r="D866" s="9" t="n">
        <v>25</v>
      </c>
      <c r="E866" s="18" t="inlineStr">
        <is>
          <t>R</t>
        </is>
      </c>
      <c r="F866" s="18" t="n"/>
      <c r="G866" s="9" t="n">
        <v>2.58</v>
      </c>
      <c r="H866" s="9" t="n">
        <v>2.58</v>
      </c>
      <c r="I866" s="9" t="inlineStr">
        <is>
          <t>Depth (no MLB IP)</t>
        </is>
      </c>
      <c r="J866" s="18" t="inlineStr">
        <is>
          <t>Opening Day</t>
        </is>
      </c>
      <c r="K866" s="11">
        <f>IFERROR(INDEX(Roles!$B$17:$B$20,MATCH(J866,Roles!$A$17:$A$20,0)),1)</f>
        <v/>
      </c>
      <c r="L866" s="19" t="n">
        <v>1</v>
      </c>
      <c r="M866" s="11" t="n">
        <v>1</v>
      </c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>
        <v>1</v>
      </c>
      <c r="Z866" s="13">
        <f>SUMPRODUCT(N866:Y866,$N$2:$Y$2)*$K866*$L866*$M866</f>
        <v/>
      </c>
      <c r="AA866" s="14">
        <f>SUM(N866:Y866)</f>
        <v/>
      </c>
      <c r="AB866" s="13">
        <f>SUMPRODUCT(N866:Y866,$N$3:$Y$3)*$K866*$L866*$M866</f>
        <v/>
      </c>
      <c r="AC866" s="13">
        <f>SUMPRODUCT(N866:Y866,$N$4:$Y$4)*$K866*$L866*$M866</f>
        <v/>
      </c>
      <c r="AD866" s="15" t="n">
        <v>3</v>
      </c>
      <c r="AE866" s="11" t="n">
        <v>1.011296296296296</v>
      </c>
      <c r="AF866" s="16">
        <f>SUMPRODUCT(N866:Y866,$N$5:$Y$5)*$K866*$L866*$M866</f>
        <v/>
      </c>
      <c r="AG866" s="16">
        <f>SUMPRODUCT(N866:Y866,$N$6:$Y$6)*$K866*$L866*$M866</f>
        <v/>
      </c>
      <c r="AH866" s="20" t="n"/>
    </row>
    <row r="867">
      <c r="A867" s="9" t="n">
        <v>702698</v>
      </c>
      <c r="B867" s="9" t="inlineStr">
        <is>
          <t>Kyle Calzadiaz</t>
        </is>
      </c>
      <c r="C867" s="9" t="inlineStr">
        <is>
          <t>PIT</t>
        </is>
      </c>
      <c r="D867" s="9" t="n">
        <v>25</v>
      </c>
      <c r="E867" s="18" t="inlineStr">
        <is>
          <t>R</t>
        </is>
      </c>
      <c r="F867" s="18" t="n"/>
      <c r="G867" s="9" t="n">
        <v>2.752</v>
      </c>
      <c r="H867" s="9" t="n">
        <v>2.752</v>
      </c>
      <c r="I867" s="9" t="inlineStr">
        <is>
          <t>Depth (no MLB IP)</t>
        </is>
      </c>
      <c r="J867" s="18" t="inlineStr">
        <is>
          <t>Opening Day</t>
        </is>
      </c>
      <c r="K867" s="11">
        <f>IFERROR(INDEX(Roles!$B$17:$B$20,MATCH(J867,Roles!$A$17:$A$20,0)),1)</f>
        <v/>
      </c>
      <c r="L867" s="19" t="n">
        <v>1</v>
      </c>
      <c r="M867" s="11" t="n">
        <v>1</v>
      </c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>
        <v>1</v>
      </c>
      <c r="Z867" s="13">
        <f>SUMPRODUCT(N867:Y867,$N$2:$Y$2)*$K867*$L867*$M867</f>
        <v/>
      </c>
      <c r="AA867" s="14">
        <f>SUM(N867:Y867)</f>
        <v/>
      </c>
      <c r="AB867" s="13">
        <f>SUMPRODUCT(N867:Y867,$N$3:$Y$3)*$K867*$L867*$M867</f>
        <v/>
      </c>
      <c r="AC867" s="13">
        <f>SUMPRODUCT(N867:Y867,$N$4:$Y$4)*$K867*$L867*$M867</f>
        <v/>
      </c>
      <c r="AD867" s="15" t="n">
        <v>3</v>
      </c>
      <c r="AE867" s="11" t="n">
        <v>1.011296296296296</v>
      </c>
      <c r="AF867" s="16">
        <f>SUMPRODUCT(N867:Y867,$N$5:$Y$5)*$K867*$L867*$M867</f>
        <v/>
      </c>
      <c r="AG867" s="16">
        <f>SUMPRODUCT(N867:Y867,$N$6:$Y$6)*$K867*$L867*$M867</f>
        <v/>
      </c>
      <c r="AH867" s="20" t="n"/>
    </row>
    <row r="868">
      <c r="A868" s="9" t="n">
        <v>678883</v>
      </c>
      <c r="B868" s="9" t="inlineStr">
        <is>
          <t>Yeuris Jimenez</t>
        </is>
      </c>
      <c r="C868" s="9" t="inlineStr">
        <is>
          <t>WSH</t>
        </is>
      </c>
      <c r="D868" s="9" t="n">
        <v>25</v>
      </c>
      <c r="E868" s="18" t="inlineStr">
        <is>
          <t>R</t>
        </is>
      </c>
      <c r="F868" s="18" t="n"/>
      <c r="G868" s="9" t="n">
        <v>2.508333333333333</v>
      </c>
      <c r="H868" s="9" t="n">
        <v>2.508333333333333</v>
      </c>
      <c r="I868" s="9" t="inlineStr">
        <is>
          <t>Depth (no MLB IP)</t>
        </is>
      </c>
      <c r="J868" s="18" t="inlineStr">
        <is>
          <t>Opening Day</t>
        </is>
      </c>
      <c r="K868" s="11">
        <f>IFERROR(INDEX(Roles!$B$17:$B$20,MATCH(J868,Roles!$A$17:$A$20,0)),1)</f>
        <v/>
      </c>
      <c r="L868" s="19" t="n">
        <v>1</v>
      </c>
      <c r="M868" s="11" t="n">
        <v>1</v>
      </c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>
        <v>1</v>
      </c>
      <c r="Z868" s="13">
        <f>SUMPRODUCT(N868:Y868,$N$2:$Y$2)*$K868*$L868*$M868</f>
        <v/>
      </c>
      <c r="AA868" s="14">
        <f>SUM(N868:Y868)</f>
        <v/>
      </c>
      <c r="AB868" s="13">
        <f>SUMPRODUCT(N868:Y868,$N$3:$Y$3)*$K868*$L868*$M868</f>
        <v/>
      </c>
      <c r="AC868" s="13">
        <f>SUMPRODUCT(N868:Y868,$N$4:$Y$4)*$K868*$L868*$M868</f>
        <v/>
      </c>
      <c r="AD868" s="15" t="n">
        <v>3</v>
      </c>
      <c r="AE868" s="11" t="n">
        <v>1.011296296296296</v>
      </c>
      <c r="AF868" s="16">
        <f>SUMPRODUCT(N868:Y868,$N$5:$Y$5)*$K868*$L868*$M868</f>
        <v/>
      </c>
      <c r="AG868" s="16">
        <f>SUMPRODUCT(N868:Y868,$N$6:$Y$6)*$K868*$L868*$M868</f>
        <v/>
      </c>
      <c r="AH868" s="20" t="n"/>
    </row>
    <row r="869">
      <c r="A869" s="9" t="n">
        <v>691422</v>
      </c>
      <c r="B869" s="9" t="inlineStr">
        <is>
          <t>Kevin Rivas</t>
        </is>
      </c>
      <c r="C869" s="9" t="inlineStr">
        <is>
          <t>CLE</t>
        </is>
      </c>
      <c r="D869" s="9" t="n">
        <v>25</v>
      </c>
      <c r="E869" s="18" t="inlineStr">
        <is>
          <t>R</t>
        </is>
      </c>
      <c r="F869" s="18" t="n"/>
      <c r="G869" s="9" t="n">
        <v>2.58</v>
      </c>
      <c r="H869" s="9" t="n">
        <v>2.58</v>
      </c>
      <c r="I869" s="9" t="inlineStr">
        <is>
          <t>Depth (no MLB IP)</t>
        </is>
      </c>
      <c r="J869" s="18" t="inlineStr">
        <is>
          <t>Opening Day</t>
        </is>
      </c>
      <c r="K869" s="11">
        <f>IFERROR(INDEX(Roles!$B$17:$B$20,MATCH(J869,Roles!$A$17:$A$20,0)),1)</f>
        <v/>
      </c>
      <c r="L869" s="19" t="n">
        <v>1</v>
      </c>
      <c r="M869" s="11" t="n">
        <v>1</v>
      </c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>
        <v>1</v>
      </c>
      <c r="Z869" s="13">
        <f>SUMPRODUCT(N869:Y869,$N$2:$Y$2)*$K869*$L869*$M869</f>
        <v/>
      </c>
      <c r="AA869" s="14">
        <f>SUM(N869:Y869)</f>
        <v/>
      </c>
      <c r="AB869" s="13">
        <f>SUMPRODUCT(N869:Y869,$N$3:$Y$3)*$K869*$L869*$M869</f>
        <v/>
      </c>
      <c r="AC869" s="13">
        <f>SUMPRODUCT(N869:Y869,$N$4:$Y$4)*$K869*$L869*$M869</f>
        <v/>
      </c>
      <c r="AD869" s="15" t="n">
        <v>3</v>
      </c>
      <c r="AE869" s="11" t="n">
        <v>1.011296296296296</v>
      </c>
      <c r="AF869" s="16">
        <f>SUMPRODUCT(N869:Y869,$N$5:$Y$5)*$K869*$L869*$M869</f>
        <v/>
      </c>
      <c r="AG869" s="16">
        <f>SUMPRODUCT(N869:Y869,$N$6:$Y$6)*$K869*$L869*$M869</f>
        <v/>
      </c>
      <c r="AH869" s="20" t="n"/>
    </row>
    <row r="870">
      <c r="A870" s="9" t="n">
        <v>686617</v>
      </c>
      <c r="B870" s="9" t="inlineStr">
        <is>
          <t>Christian Fagnant</t>
        </is>
      </c>
      <c r="C870" s="9" t="inlineStr">
        <is>
          <t>WSH</t>
        </is>
      </c>
      <c r="D870" s="9" t="n">
        <v>25</v>
      </c>
      <c r="E870" s="18" t="inlineStr">
        <is>
          <t>R</t>
        </is>
      </c>
      <c r="F870" s="18" t="n"/>
      <c r="G870" s="9" t="n">
        <v>2.58</v>
      </c>
      <c r="H870" s="9" t="n">
        <v>2.58</v>
      </c>
      <c r="I870" s="9" t="inlineStr">
        <is>
          <t>Depth (no MLB IP)</t>
        </is>
      </c>
      <c r="J870" s="18" t="inlineStr">
        <is>
          <t>Opening Day</t>
        </is>
      </c>
      <c r="K870" s="11">
        <f>IFERROR(INDEX(Roles!$B$17:$B$20,MATCH(J870,Roles!$A$17:$A$20,0)),1)</f>
        <v/>
      </c>
      <c r="L870" s="19" t="n">
        <v>1</v>
      </c>
      <c r="M870" s="11" t="n">
        <v>1</v>
      </c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>
        <v>1</v>
      </c>
      <c r="Z870" s="13">
        <f>SUMPRODUCT(N870:Y870,$N$2:$Y$2)*$K870*$L870*$M870</f>
        <v/>
      </c>
      <c r="AA870" s="14">
        <f>SUM(N870:Y870)</f>
        <v/>
      </c>
      <c r="AB870" s="13">
        <f>SUMPRODUCT(N870:Y870,$N$3:$Y$3)*$K870*$L870*$M870</f>
        <v/>
      </c>
      <c r="AC870" s="13">
        <f>SUMPRODUCT(N870:Y870,$N$4:$Y$4)*$K870*$L870*$M870</f>
        <v/>
      </c>
      <c r="AD870" s="15" t="n">
        <v>3</v>
      </c>
      <c r="AE870" s="11" t="n">
        <v>1.011296296296296</v>
      </c>
      <c r="AF870" s="16">
        <f>SUMPRODUCT(N870:Y870,$N$5:$Y$5)*$K870*$L870*$M870</f>
        <v/>
      </c>
      <c r="AG870" s="16">
        <f>SUMPRODUCT(N870:Y870,$N$6:$Y$6)*$K870*$L870*$M870</f>
        <v/>
      </c>
      <c r="AH870" s="20" t="n"/>
    </row>
    <row r="871">
      <c r="A871" s="9" t="n">
        <v>842475</v>
      </c>
      <c r="B871" s="9" t="inlineStr">
        <is>
          <t>Brady Thomas</t>
        </is>
      </c>
      <c r="C871" s="9" t="inlineStr">
        <is>
          <t>HOU</t>
        </is>
      </c>
      <c r="D871" s="9" t="n">
        <v>25</v>
      </c>
      <c r="E871" s="18" t="inlineStr">
        <is>
          <t>R</t>
        </is>
      </c>
      <c r="F871" s="18" t="n"/>
      <c r="G871" s="9" t="n">
        <v>2.58</v>
      </c>
      <c r="H871" s="9" t="n">
        <v>2.58</v>
      </c>
      <c r="I871" s="9" t="inlineStr">
        <is>
          <t>Depth (no MLB IP)</t>
        </is>
      </c>
      <c r="J871" s="18" t="inlineStr">
        <is>
          <t>Opening Day</t>
        </is>
      </c>
      <c r="K871" s="11">
        <f>IFERROR(INDEX(Roles!$B$17:$B$20,MATCH(J871,Roles!$A$17:$A$20,0)),1)</f>
        <v/>
      </c>
      <c r="L871" s="19" t="n">
        <v>1</v>
      </c>
      <c r="M871" s="11" t="n">
        <v>1</v>
      </c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>
        <v>1</v>
      </c>
      <c r="Z871" s="13">
        <f>SUMPRODUCT(N871:Y871,$N$2:$Y$2)*$K871*$L871*$M871</f>
        <v/>
      </c>
      <c r="AA871" s="14">
        <f>SUM(N871:Y871)</f>
        <v/>
      </c>
      <c r="AB871" s="13">
        <f>SUMPRODUCT(N871:Y871,$N$3:$Y$3)*$K871*$L871*$M871</f>
        <v/>
      </c>
      <c r="AC871" s="13">
        <f>SUMPRODUCT(N871:Y871,$N$4:$Y$4)*$K871*$L871*$M871</f>
        <v/>
      </c>
      <c r="AD871" s="15" t="n">
        <v>3</v>
      </c>
      <c r="AE871" s="11" t="n">
        <v>1.011296296296296</v>
      </c>
      <c r="AF871" s="16">
        <f>SUMPRODUCT(N871:Y871,$N$5:$Y$5)*$K871*$L871*$M871</f>
        <v/>
      </c>
      <c r="AG871" s="16">
        <f>SUMPRODUCT(N871:Y871,$N$6:$Y$6)*$K871*$L871*$M871</f>
        <v/>
      </c>
      <c r="AH871" s="20" t="n"/>
    </row>
    <row r="872">
      <c r="A872" s="9" t="n">
        <v>835611</v>
      </c>
      <c r="B872" s="9" t="inlineStr">
        <is>
          <t>Ian Korn</t>
        </is>
      </c>
      <c r="C872" s="9" t="inlineStr">
        <is>
          <t>SF</t>
        </is>
      </c>
      <c r="D872" s="9" t="n">
        <v>25</v>
      </c>
      <c r="E872" s="18" t="inlineStr">
        <is>
          <t>R</t>
        </is>
      </c>
      <c r="F872" s="18" t="n"/>
      <c r="G872" s="9" t="n">
        <v>2.752</v>
      </c>
      <c r="H872" s="9" t="n">
        <v>2.752</v>
      </c>
      <c r="I872" s="9" t="inlineStr">
        <is>
          <t>Depth (no MLB IP)</t>
        </is>
      </c>
      <c r="J872" s="18" t="inlineStr">
        <is>
          <t>Opening Day</t>
        </is>
      </c>
      <c r="K872" s="11">
        <f>IFERROR(INDEX(Roles!$B$17:$B$20,MATCH(J872,Roles!$A$17:$A$20,0)),1)</f>
        <v/>
      </c>
      <c r="L872" s="19" t="n">
        <v>1</v>
      </c>
      <c r="M872" s="11" t="n">
        <v>1</v>
      </c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>
        <v>1</v>
      </c>
      <c r="Z872" s="13">
        <f>SUMPRODUCT(N872:Y872,$N$2:$Y$2)*$K872*$L872*$M872</f>
        <v/>
      </c>
      <c r="AA872" s="14">
        <f>SUM(N872:Y872)</f>
        <v/>
      </c>
      <c r="AB872" s="13">
        <f>SUMPRODUCT(N872:Y872,$N$3:$Y$3)*$K872*$L872*$M872</f>
        <v/>
      </c>
      <c r="AC872" s="13">
        <f>SUMPRODUCT(N872:Y872,$N$4:$Y$4)*$K872*$L872*$M872</f>
        <v/>
      </c>
      <c r="AD872" s="15" t="n">
        <v>3</v>
      </c>
      <c r="AE872" s="11" t="n">
        <v>1.011296296296296</v>
      </c>
      <c r="AF872" s="16">
        <f>SUMPRODUCT(N872:Y872,$N$5:$Y$5)*$K872*$L872*$M872</f>
        <v/>
      </c>
      <c r="AG872" s="16">
        <f>SUMPRODUCT(N872:Y872,$N$6:$Y$6)*$K872*$L872*$M872</f>
        <v/>
      </c>
      <c r="AH872" s="20" t="n"/>
    </row>
    <row r="873">
      <c r="A873" s="9" t="n">
        <v>804627</v>
      </c>
      <c r="B873" s="9" t="inlineStr">
        <is>
          <t>Wilmer Blanco</t>
        </is>
      </c>
      <c r="C873" s="9" t="inlineStr">
        <is>
          <t>PHI</t>
        </is>
      </c>
      <c r="D873" s="9" t="n">
        <v>25</v>
      </c>
      <c r="E873" s="18" t="inlineStr">
        <is>
          <t>R</t>
        </is>
      </c>
      <c r="F873" s="18" t="n"/>
      <c r="G873" s="9" t="n">
        <v>2.58</v>
      </c>
      <c r="H873" s="9" t="n">
        <v>2.58</v>
      </c>
      <c r="I873" s="9" t="inlineStr">
        <is>
          <t>Depth (no MLB IP)</t>
        </is>
      </c>
      <c r="J873" s="18" t="inlineStr">
        <is>
          <t>Opening Day</t>
        </is>
      </c>
      <c r="K873" s="11">
        <f>IFERROR(INDEX(Roles!$B$17:$B$20,MATCH(J873,Roles!$A$17:$A$20,0)),1)</f>
        <v/>
      </c>
      <c r="L873" s="19" t="n">
        <v>1</v>
      </c>
      <c r="M873" s="11" t="n">
        <v>1</v>
      </c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>
        <v>1</v>
      </c>
      <c r="Z873" s="13">
        <f>SUMPRODUCT(N873:Y873,$N$2:$Y$2)*$K873*$L873*$M873</f>
        <v/>
      </c>
      <c r="AA873" s="14">
        <f>SUM(N873:Y873)</f>
        <v/>
      </c>
      <c r="AB873" s="13">
        <f>SUMPRODUCT(N873:Y873,$N$3:$Y$3)*$K873*$L873*$M873</f>
        <v/>
      </c>
      <c r="AC873" s="13">
        <f>SUMPRODUCT(N873:Y873,$N$4:$Y$4)*$K873*$L873*$M873</f>
        <v/>
      </c>
      <c r="AD873" s="15" t="n">
        <v>3</v>
      </c>
      <c r="AE873" s="11" t="n">
        <v>1.011296296296296</v>
      </c>
      <c r="AF873" s="16">
        <f>SUMPRODUCT(N873:Y873,$N$5:$Y$5)*$K873*$L873*$M873</f>
        <v/>
      </c>
      <c r="AG873" s="16">
        <f>SUMPRODUCT(N873:Y873,$N$6:$Y$6)*$K873*$L873*$M873</f>
        <v/>
      </c>
      <c r="AH873" s="20" t="n"/>
    </row>
    <row r="874">
      <c r="A874" s="9" t="n">
        <v>808347</v>
      </c>
      <c r="B874" s="9" t="inlineStr">
        <is>
          <t>Frank Martinez</t>
        </is>
      </c>
      <c r="C874" s="9" t="inlineStr">
        <is>
          <t>TEX</t>
        </is>
      </c>
      <c r="D874" s="9" t="n">
        <v>25</v>
      </c>
      <c r="E874" s="18" t="inlineStr">
        <is>
          <t>R</t>
        </is>
      </c>
      <c r="F874" s="18" t="n"/>
      <c r="G874" s="9" t="n">
        <v>2.58</v>
      </c>
      <c r="H874" s="9" t="n">
        <v>2.58</v>
      </c>
      <c r="I874" s="9" t="inlineStr">
        <is>
          <t>Depth (no MLB IP)</t>
        </is>
      </c>
      <c r="J874" s="18" t="inlineStr">
        <is>
          <t>Opening Day</t>
        </is>
      </c>
      <c r="K874" s="11">
        <f>IFERROR(INDEX(Roles!$B$17:$B$20,MATCH(J874,Roles!$A$17:$A$20,0)),1)</f>
        <v/>
      </c>
      <c r="L874" s="19" t="n">
        <v>1</v>
      </c>
      <c r="M874" s="11" t="n">
        <v>1</v>
      </c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>
        <v>1</v>
      </c>
      <c r="Z874" s="13">
        <f>SUMPRODUCT(N874:Y874,$N$2:$Y$2)*$K874*$L874*$M874</f>
        <v/>
      </c>
      <c r="AA874" s="14">
        <f>SUM(N874:Y874)</f>
        <v/>
      </c>
      <c r="AB874" s="13">
        <f>SUMPRODUCT(N874:Y874,$N$3:$Y$3)*$K874*$L874*$M874</f>
        <v/>
      </c>
      <c r="AC874" s="13">
        <f>SUMPRODUCT(N874:Y874,$N$4:$Y$4)*$K874*$L874*$M874</f>
        <v/>
      </c>
      <c r="AD874" s="15" t="n">
        <v>3</v>
      </c>
      <c r="AE874" s="11" t="n">
        <v>1.011296296296296</v>
      </c>
      <c r="AF874" s="16">
        <f>SUMPRODUCT(N874:Y874,$N$5:$Y$5)*$K874*$L874*$M874</f>
        <v/>
      </c>
      <c r="AG874" s="16">
        <f>SUMPRODUCT(N874:Y874,$N$6:$Y$6)*$K874*$L874*$M874</f>
        <v/>
      </c>
      <c r="AH874" s="20" t="n"/>
    </row>
    <row r="875">
      <c r="A875" s="9" t="n">
        <v>808754</v>
      </c>
      <c r="B875" s="9" t="inlineStr">
        <is>
          <t>Cam Walty</t>
        </is>
      </c>
      <c r="C875" s="9" t="inlineStr">
        <is>
          <t>CLE</t>
        </is>
      </c>
      <c r="D875" s="9" t="n">
        <v>25</v>
      </c>
      <c r="E875" s="18" t="inlineStr">
        <is>
          <t>R</t>
        </is>
      </c>
      <c r="F875" s="18" t="n"/>
      <c r="G875" s="9" t="n">
        <v>2.365</v>
      </c>
      <c r="H875" s="9" t="n">
        <v>2.365</v>
      </c>
      <c r="I875" s="9" t="inlineStr">
        <is>
          <t>Depth (no MLB IP)</t>
        </is>
      </c>
      <c r="J875" s="18" t="inlineStr">
        <is>
          <t>Opening Day</t>
        </is>
      </c>
      <c r="K875" s="11">
        <f>IFERROR(INDEX(Roles!$B$17:$B$20,MATCH(J875,Roles!$A$17:$A$20,0)),1)</f>
        <v/>
      </c>
      <c r="L875" s="19" t="n">
        <v>1</v>
      </c>
      <c r="M875" s="11" t="n">
        <v>1</v>
      </c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>
        <v>1</v>
      </c>
      <c r="Z875" s="13">
        <f>SUMPRODUCT(N875:Y875,$N$2:$Y$2)*$K875*$L875*$M875</f>
        <v/>
      </c>
      <c r="AA875" s="14">
        <f>SUM(N875:Y875)</f>
        <v/>
      </c>
      <c r="AB875" s="13">
        <f>SUMPRODUCT(N875:Y875,$N$3:$Y$3)*$K875*$L875*$M875</f>
        <v/>
      </c>
      <c r="AC875" s="13">
        <f>SUMPRODUCT(N875:Y875,$N$4:$Y$4)*$K875*$L875*$M875</f>
        <v/>
      </c>
      <c r="AD875" s="15" t="n">
        <v>3</v>
      </c>
      <c r="AE875" s="11" t="n">
        <v>1.011296296296296</v>
      </c>
      <c r="AF875" s="16">
        <f>SUMPRODUCT(N875:Y875,$N$5:$Y$5)*$K875*$L875*$M875</f>
        <v/>
      </c>
      <c r="AG875" s="16">
        <f>SUMPRODUCT(N875:Y875,$N$6:$Y$6)*$K875*$L875*$M875</f>
        <v/>
      </c>
      <c r="AH875" s="20" t="n"/>
    </row>
    <row r="876">
      <c r="A876" s="9" t="n">
        <v>827498</v>
      </c>
      <c r="B876" s="9" t="inlineStr">
        <is>
          <t>Will Holmes</t>
        </is>
      </c>
      <c r="C876" s="9" t="inlineStr">
        <is>
          <t>ATL</t>
        </is>
      </c>
      <c r="D876" s="9" t="n">
        <v>25</v>
      </c>
      <c r="E876" s="18" t="inlineStr">
        <is>
          <t>L</t>
        </is>
      </c>
      <c r="F876" s="18" t="n"/>
      <c r="G876" s="9" t="n">
        <v>2.924</v>
      </c>
      <c r="H876" s="9" t="n">
        <v>2.924</v>
      </c>
      <c r="I876" s="9" t="inlineStr">
        <is>
          <t>Depth (no MLB IP)</t>
        </is>
      </c>
      <c r="J876" s="18" t="inlineStr">
        <is>
          <t>Opening Day</t>
        </is>
      </c>
      <c r="K876" s="11">
        <f>IFERROR(INDEX(Roles!$B$17:$B$20,MATCH(J876,Roles!$A$17:$A$20,0)),1)</f>
        <v/>
      </c>
      <c r="L876" s="19" t="n">
        <v>1</v>
      </c>
      <c r="M876" s="11" t="n">
        <v>1</v>
      </c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>
        <v>1</v>
      </c>
      <c r="Z876" s="13">
        <f>SUMPRODUCT(N876:Y876,$N$2:$Y$2)*$K876*$L876*$M876</f>
        <v/>
      </c>
      <c r="AA876" s="14">
        <f>SUM(N876:Y876)</f>
        <v/>
      </c>
      <c r="AB876" s="13">
        <f>SUMPRODUCT(N876:Y876,$N$3:$Y$3)*$K876*$L876*$M876</f>
        <v/>
      </c>
      <c r="AC876" s="13">
        <f>SUMPRODUCT(N876:Y876,$N$4:$Y$4)*$K876*$L876*$M876</f>
        <v/>
      </c>
      <c r="AD876" s="15" t="n">
        <v>3</v>
      </c>
      <c r="AE876" s="11" t="n">
        <v>1.011296296296296</v>
      </c>
      <c r="AF876" s="16">
        <f>SUMPRODUCT(N876:Y876,$N$5:$Y$5)*$K876*$L876*$M876</f>
        <v/>
      </c>
      <c r="AG876" s="16">
        <f>SUMPRODUCT(N876:Y876,$N$6:$Y$6)*$K876*$L876*$M876</f>
        <v/>
      </c>
      <c r="AH876" s="20" t="n"/>
    </row>
    <row r="877">
      <c r="A877" s="9" t="n">
        <v>695714</v>
      </c>
      <c r="B877" s="9" t="inlineStr">
        <is>
          <t>Cody Howard</t>
        </is>
      </c>
      <c r="C877" s="9" t="inlineStr">
        <is>
          <t>WSH</t>
        </is>
      </c>
      <c r="D877" s="9" t="n">
        <v>25</v>
      </c>
      <c r="E877" s="18" t="inlineStr">
        <is>
          <t>R</t>
        </is>
      </c>
      <c r="F877" s="18" t="n"/>
      <c r="G877" s="9" t="n">
        <v>2.924</v>
      </c>
      <c r="H877" s="9" t="n">
        <v>2.924</v>
      </c>
      <c r="I877" s="9" t="inlineStr">
        <is>
          <t>Depth (no MLB IP)</t>
        </is>
      </c>
      <c r="J877" s="18" t="inlineStr">
        <is>
          <t>Opening Day</t>
        </is>
      </c>
      <c r="K877" s="11">
        <f>IFERROR(INDEX(Roles!$B$17:$B$20,MATCH(J877,Roles!$A$17:$A$20,0)),1)</f>
        <v/>
      </c>
      <c r="L877" s="19" t="n">
        <v>1</v>
      </c>
      <c r="M877" s="11" t="n">
        <v>1</v>
      </c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>
        <v>1</v>
      </c>
      <c r="Z877" s="13">
        <f>SUMPRODUCT(N877:Y877,$N$2:$Y$2)*$K877*$L877*$M877</f>
        <v/>
      </c>
      <c r="AA877" s="14">
        <f>SUM(N877:Y877)</f>
        <v/>
      </c>
      <c r="AB877" s="13">
        <f>SUMPRODUCT(N877:Y877,$N$3:$Y$3)*$K877*$L877*$M877</f>
        <v/>
      </c>
      <c r="AC877" s="13">
        <f>SUMPRODUCT(N877:Y877,$N$4:$Y$4)*$K877*$L877*$M877</f>
        <v/>
      </c>
      <c r="AD877" s="15" t="n">
        <v>3</v>
      </c>
      <c r="AE877" s="11" t="n">
        <v>1.011296296296296</v>
      </c>
      <c r="AF877" s="16">
        <f>SUMPRODUCT(N877:Y877,$N$5:$Y$5)*$K877*$L877*$M877</f>
        <v/>
      </c>
      <c r="AG877" s="16">
        <f>SUMPRODUCT(N877:Y877,$N$6:$Y$6)*$K877*$L877*$M877</f>
        <v/>
      </c>
      <c r="AH877" s="20" t="n"/>
    </row>
    <row r="878">
      <c r="A878" s="9" t="n">
        <v>695467</v>
      </c>
      <c r="B878" s="9" t="inlineStr">
        <is>
          <t>Juan Montero</t>
        </is>
      </c>
      <c r="C878" s="9" t="inlineStr">
        <is>
          <t>BOS</t>
        </is>
      </c>
      <c r="D878" s="9" t="n">
        <v>25</v>
      </c>
      <c r="E878" s="18" t="inlineStr">
        <is>
          <t>R</t>
        </is>
      </c>
      <c r="F878" s="18" t="n"/>
      <c r="G878" s="9" t="n">
        <v>2.365</v>
      </c>
      <c r="H878" s="9" t="n">
        <v>2.365</v>
      </c>
      <c r="I878" s="9" t="inlineStr">
        <is>
          <t>Depth (no MLB IP)</t>
        </is>
      </c>
      <c r="J878" s="18" t="inlineStr">
        <is>
          <t>Opening Day</t>
        </is>
      </c>
      <c r="K878" s="11">
        <f>IFERROR(INDEX(Roles!$B$17:$B$20,MATCH(J878,Roles!$A$17:$A$20,0)),1)</f>
        <v/>
      </c>
      <c r="L878" s="19" t="n">
        <v>1</v>
      </c>
      <c r="M878" s="11" t="n">
        <v>1</v>
      </c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>
        <v>1</v>
      </c>
      <c r="Z878" s="13">
        <f>SUMPRODUCT(N878:Y878,$N$2:$Y$2)*$K878*$L878*$M878</f>
        <v/>
      </c>
      <c r="AA878" s="14">
        <f>SUM(N878:Y878)</f>
        <v/>
      </c>
      <c r="AB878" s="13">
        <f>SUMPRODUCT(N878:Y878,$N$3:$Y$3)*$K878*$L878*$M878</f>
        <v/>
      </c>
      <c r="AC878" s="13">
        <f>SUMPRODUCT(N878:Y878,$N$4:$Y$4)*$K878*$L878*$M878</f>
        <v/>
      </c>
      <c r="AD878" s="15" t="n">
        <v>3</v>
      </c>
      <c r="AE878" s="11" t="n">
        <v>1.011296296296296</v>
      </c>
      <c r="AF878" s="16">
        <f>SUMPRODUCT(N878:Y878,$N$5:$Y$5)*$K878*$L878*$M878</f>
        <v/>
      </c>
      <c r="AG878" s="16">
        <f>SUMPRODUCT(N878:Y878,$N$6:$Y$6)*$K878*$L878*$M878</f>
        <v/>
      </c>
      <c r="AH878" s="20" t="n"/>
    </row>
    <row r="879">
      <c r="A879" s="9" t="n">
        <v>811633</v>
      </c>
      <c r="B879" s="9" t="inlineStr">
        <is>
          <t>Yosweld Vasquez</t>
        </is>
      </c>
      <c r="C879" s="9" t="inlineStr">
        <is>
          <t>HOU</t>
        </is>
      </c>
      <c r="D879" s="9" t="n">
        <v>25</v>
      </c>
      <c r="E879" s="18" t="inlineStr">
        <is>
          <t>R</t>
        </is>
      </c>
      <c r="F879" s="18" t="n"/>
      <c r="G879" s="9" t="n">
        <v>2.58</v>
      </c>
      <c r="H879" s="9" t="n">
        <v>2.58</v>
      </c>
      <c r="I879" s="9" t="inlineStr">
        <is>
          <t>Depth (no MLB IP)</t>
        </is>
      </c>
      <c r="J879" s="18" t="inlineStr">
        <is>
          <t>Opening Day</t>
        </is>
      </c>
      <c r="K879" s="11">
        <f>IFERROR(INDEX(Roles!$B$17:$B$20,MATCH(J879,Roles!$A$17:$A$20,0)),1)</f>
        <v/>
      </c>
      <c r="L879" s="19" t="n">
        <v>1</v>
      </c>
      <c r="M879" s="11" t="n">
        <v>1</v>
      </c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>
        <v>1</v>
      </c>
      <c r="Z879" s="13">
        <f>SUMPRODUCT(N879:Y879,$N$2:$Y$2)*$K879*$L879*$M879</f>
        <v/>
      </c>
      <c r="AA879" s="14">
        <f>SUM(N879:Y879)</f>
        <v/>
      </c>
      <c r="AB879" s="13">
        <f>SUMPRODUCT(N879:Y879,$N$3:$Y$3)*$K879*$L879*$M879</f>
        <v/>
      </c>
      <c r="AC879" s="13">
        <f>SUMPRODUCT(N879:Y879,$N$4:$Y$4)*$K879*$L879*$M879</f>
        <v/>
      </c>
      <c r="AD879" s="15" t="n">
        <v>3</v>
      </c>
      <c r="AE879" s="11" t="n">
        <v>1.011296296296296</v>
      </c>
      <c r="AF879" s="16">
        <f>SUMPRODUCT(N879:Y879,$N$5:$Y$5)*$K879*$L879*$M879</f>
        <v/>
      </c>
      <c r="AG879" s="16">
        <f>SUMPRODUCT(N879:Y879,$N$6:$Y$6)*$K879*$L879*$M879</f>
        <v/>
      </c>
      <c r="AH879" s="20" t="n"/>
    </row>
    <row r="880">
      <c r="A880" s="9" t="n">
        <v>695421</v>
      </c>
      <c r="B880" s="9" t="inlineStr">
        <is>
          <t>Ryan Slater</t>
        </is>
      </c>
      <c r="C880" s="9" t="inlineStr">
        <is>
          <t>SF</t>
        </is>
      </c>
      <c r="D880" s="9" t="n">
        <v>25</v>
      </c>
      <c r="E880" s="18" t="inlineStr">
        <is>
          <t>R</t>
        </is>
      </c>
      <c r="F880" s="18" t="n"/>
      <c r="G880" s="9" t="n">
        <v>2.365</v>
      </c>
      <c r="H880" s="9" t="n">
        <v>2.365</v>
      </c>
      <c r="I880" s="9" t="inlineStr">
        <is>
          <t>Depth (no MLB IP)</t>
        </is>
      </c>
      <c r="J880" s="18" t="inlineStr">
        <is>
          <t>Opening Day</t>
        </is>
      </c>
      <c r="K880" s="11">
        <f>IFERROR(INDEX(Roles!$B$17:$B$20,MATCH(J880,Roles!$A$17:$A$20,0)),1)</f>
        <v/>
      </c>
      <c r="L880" s="19" t="n">
        <v>1</v>
      </c>
      <c r="M880" s="11" t="n">
        <v>1</v>
      </c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>
        <v>1</v>
      </c>
      <c r="Z880" s="13">
        <f>SUMPRODUCT(N880:Y880,$N$2:$Y$2)*$K880*$L880*$M880</f>
        <v/>
      </c>
      <c r="AA880" s="14">
        <f>SUM(N880:Y880)</f>
        <v/>
      </c>
      <c r="AB880" s="13">
        <f>SUMPRODUCT(N880:Y880,$N$3:$Y$3)*$K880*$L880*$M880</f>
        <v/>
      </c>
      <c r="AC880" s="13">
        <f>SUMPRODUCT(N880:Y880,$N$4:$Y$4)*$K880*$L880*$M880</f>
        <v/>
      </c>
      <c r="AD880" s="15" t="n">
        <v>3</v>
      </c>
      <c r="AE880" s="11" t="n">
        <v>1.011296296296296</v>
      </c>
      <c r="AF880" s="16">
        <f>SUMPRODUCT(N880:Y880,$N$5:$Y$5)*$K880*$L880*$M880</f>
        <v/>
      </c>
      <c r="AG880" s="16">
        <f>SUMPRODUCT(N880:Y880,$N$6:$Y$6)*$K880*$L880*$M880</f>
        <v/>
      </c>
      <c r="AH880" s="20" t="n"/>
    </row>
    <row r="881">
      <c r="A881" s="9" t="n">
        <v>676883</v>
      </c>
      <c r="B881" s="9" t="inlineStr">
        <is>
          <t>Hayden Wynja</t>
        </is>
      </c>
      <c r="C881" s="9" t="inlineStr">
        <is>
          <t>SF</t>
        </is>
      </c>
      <c r="D881" s="9" t="n">
        <v>25</v>
      </c>
      <c r="E881" s="18" t="inlineStr">
        <is>
          <t>L</t>
        </is>
      </c>
      <c r="F881" s="18" t="n"/>
      <c r="G881" s="9" t="n">
        <v>2.58</v>
      </c>
      <c r="H881" s="9" t="n">
        <v>2.58</v>
      </c>
      <c r="I881" s="9" t="inlineStr">
        <is>
          <t>Depth (no MLB IP)</t>
        </is>
      </c>
      <c r="J881" s="18" t="inlineStr">
        <is>
          <t>Opening Day</t>
        </is>
      </c>
      <c r="K881" s="11">
        <f>IFERROR(INDEX(Roles!$B$17:$B$20,MATCH(J881,Roles!$A$17:$A$20,0)),1)</f>
        <v/>
      </c>
      <c r="L881" s="19" t="n">
        <v>1</v>
      </c>
      <c r="M881" s="11" t="n">
        <v>1</v>
      </c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>
        <v>1</v>
      </c>
      <c r="Z881" s="13">
        <f>SUMPRODUCT(N881:Y881,$N$2:$Y$2)*$K881*$L881*$M881</f>
        <v/>
      </c>
      <c r="AA881" s="14">
        <f>SUM(N881:Y881)</f>
        <v/>
      </c>
      <c r="AB881" s="13">
        <f>SUMPRODUCT(N881:Y881,$N$3:$Y$3)*$K881*$L881*$M881</f>
        <v/>
      </c>
      <c r="AC881" s="13">
        <f>SUMPRODUCT(N881:Y881,$N$4:$Y$4)*$K881*$L881*$M881</f>
        <v/>
      </c>
      <c r="AD881" s="15" t="n">
        <v>3</v>
      </c>
      <c r="AE881" s="11" t="n">
        <v>1.011296296296296</v>
      </c>
      <c r="AF881" s="16">
        <f>SUMPRODUCT(N881:Y881,$N$5:$Y$5)*$K881*$L881*$M881</f>
        <v/>
      </c>
      <c r="AG881" s="16">
        <f>SUMPRODUCT(N881:Y881,$N$6:$Y$6)*$K881*$L881*$M881</f>
        <v/>
      </c>
      <c r="AH881" s="20" t="n"/>
    </row>
    <row r="882">
      <c r="A882" s="9" t="n">
        <v>702874</v>
      </c>
      <c r="B882" s="9" t="inlineStr">
        <is>
          <t>Jose Ledesma</t>
        </is>
      </c>
      <c r="C882" s="9" t="inlineStr">
        <is>
          <t>NYY</t>
        </is>
      </c>
      <c r="D882" s="9" t="n">
        <v>25</v>
      </c>
      <c r="E882" s="18" t="inlineStr">
        <is>
          <t>L</t>
        </is>
      </c>
      <c r="F882" s="18" t="n"/>
      <c r="G882" s="9" t="n">
        <v>2.866666666666667</v>
      </c>
      <c r="H882" s="9" t="n">
        <v>2.866666666666667</v>
      </c>
      <c r="I882" s="9" t="inlineStr">
        <is>
          <t>Depth (no MLB IP)</t>
        </is>
      </c>
      <c r="J882" s="18" t="inlineStr">
        <is>
          <t>Opening Day</t>
        </is>
      </c>
      <c r="K882" s="11">
        <f>IFERROR(INDEX(Roles!$B$17:$B$20,MATCH(J882,Roles!$A$17:$A$20,0)),1)</f>
        <v/>
      </c>
      <c r="L882" s="19" t="n">
        <v>1</v>
      </c>
      <c r="M882" s="11" t="n">
        <v>1</v>
      </c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>
        <v>1</v>
      </c>
      <c r="Z882" s="13">
        <f>SUMPRODUCT(N882:Y882,$N$2:$Y$2)*$K882*$L882*$M882</f>
        <v/>
      </c>
      <c r="AA882" s="14">
        <f>SUM(N882:Y882)</f>
        <v/>
      </c>
      <c r="AB882" s="13">
        <f>SUMPRODUCT(N882:Y882,$N$3:$Y$3)*$K882*$L882*$M882</f>
        <v/>
      </c>
      <c r="AC882" s="13">
        <f>SUMPRODUCT(N882:Y882,$N$4:$Y$4)*$K882*$L882*$M882</f>
        <v/>
      </c>
      <c r="AD882" s="15" t="n">
        <v>3</v>
      </c>
      <c r="AE882" s="11" t="n">
        <v>1.011296296296296</v>
      </c>
      <c r="AF882" s="16">
        <f>SUMPRODUCT(N882:Y882,$N$5:$Y$5)*$K882*$L882*$M882</f>
        <v/>
      </c>
      <c r="AG882" s="16">
        <f>SUMPRODUCT(N882:Y882,$N$6:$Y$6)*$K882*$L882*$M882</f>
        <v/>
      </c>
      <c r="AH882" s="20" t="n"/>
    </row>
    <row r="883">
      <c r="A883" s="9" t="n">
        <v>702689</v>
      </c>
      <c r="B883" s="9" t="inlineStr">
        <is>
          <t>Parker Coil</t>
        </is>
      </c>
      <c r="C883" s="9" t="inlineStr">
        <is>
          <t>CLE</t>
        </is>
      </c>
      <c r="D883" s="9" t="n">
        <v>25</v>
      </c>
      <c r="E883" s="18" t="inlineStr">
        <is>
          <t>L</t>
        </is>
      </c>
      <c r="F883" s="18" t="n"/>
      <c r="G883" s="9" t="n">
        <v>2.924</v>
      </c>
      <c r="H883" s="9" t="n">
        <v>2.924</v>
      </c>
      <c r="I883" s="9" t="inlineStr">
        <is>
          <t>Depth (no MLB IP)</t>
        </is>
      </c>
      <c r="J883" s="18" t="inlineStr">
        <is>
          <t>Opening Day</t>
        </is>
      </c>
      <c r="K883" s="11">
        <f>IFERROR(INDEX(Roles!$B$17:$B$20,MATCH(J883,Roles!$A$17:$A$20,0)),1)</f>
        <v/>
      </c>
      <c r="L883" s="19" t="n">
        <v>1</v>
      </c>
      <c r="M883" s="11" t="n">
        <v>1</v>
      </c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>
        <v>1</v>
      </c>
      <c r="Z883" s="13">
        <f>SUMPRODUCT(N883:Y883,$N$2:$Y$2)*$K883*$L883*$M883</f>
        <v/>
      </c>
      <c r="AA883" s="14">
        <f>SUM(N883:Y883)</f>
        <v/>
      </c>
      <c r="AB883" s="13">
        <f>SUMPRODUCT(N883:Y883,$N$3:$Y$3)*$K883*$L883*$M883</f>
        <v/>
      </c>
      <c r="AC883" s="13">
        <f>SUMPRODUCT(N883:Y883,$N$4:$Y$4)*$K883*$L883*$M883</f>
        <v/>
      </c>
      <c r="AD883" s="15" t="n">
        <v>3</v>
      </c>
      <c r="AE883" s="11" t="n">
        <v>1.011296296296296</v>
      </c>
      <c r="AF883" s="16">
        <f>SUMPRODUCT(N883:Y883,$N$5:$Y$5)*$K883*$L883*$M883</f>
        <v/>
      </c>
      <c r="AG883" s="16">
        <f>SUMPRODUCT(N883:Y883,$N$6:$Y$6)*$K883*$L883*$M883</f>
        <v/>
      </c>
      <c r="AH883" s="20" t="n"/>
    </row>
    <row r="884">
      <c r="A884" s="9" t="n">
        <v>823745</v>
      </c>
      <c r="B884" s="9" t="inlineStr">
        <is>
          <t>Michael Salina</t>
        </is>
      </c>
      <c r="C884" s="9" t="inlineStr">
        <is>
          <t>SD</t>
        </is>
      </c>
      <c r="D884" s="9" t="n">
        <v>25</v>
      </c>
      <c r="E884" s="18" t="inlineStr">
        <is>
          <t>R</t>
        </is>
      </c>
      <c r="F884" s="18" t="n"/>
      <c r="G884" s="9" t="n">
        <v>2.752</v>
      </c>
      <c r="H884" s="9" t="n">
        <v>2.752</v>
      </c>
      <c r="I884" s="9" t="inlineStr">
        <is>
          <t>Depth (no MLB IP)</t>
        </is>
      </c>
      <c r="J884" s="18" t="inlineStr">
        <is>
          <t>Opening Day</t>
        </is>
      </c>
      <c r="K884" s="11">
        <f>IFERROR(INDEX(Roles!$B$17:$B$20,MATCH(J884,Roles!$A$17:$A$20,0)),1)</f>
        <v/>
      </c>
      <c r="L884" s="19" t="n">
        <v>1</v>
      </c>
      <c r="M884" s="11" t="n">
        <v>1</v>
      </c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>
        <v>1</v>
      </c>
      <c r="Z884" s="13">
        <f>SUMPRODUCT(N884:Y884,$N$2:$Y$2)*$K884*$L884*$M884</f>
        <v/>
      </c>
      <c r="AA884" s="14">
        <f>SUM(N884:Y884)</f>
        <v/>
      </c>
      <c r="AB884" s="13">
        <f>SUMPRODUCT(N884:Y884,$N$3:$Y$3)*$K884*$L884*$M884</f>
        <v/>
      </c>
      <c r="AC884" s="13">
        <f>SUMPRODUCT(N884:Y884,$N$4:$Y$4)*$K884*$L884*$M884</f>
        <v/>
      </c>
      <c r="AD884" s="15" t="n">
        <v>3</v>
      </c>
      <c r="AE884" s="11" t="n">
        <v>1.011296296296296</v>
      </c>
      <c r="AF884" s="16">
        <f>SUMPRODUCT(N884:Y884,$N$5:$Y$5)*$K884*$L884*$M884</f>
        <v/>
      </c>
      <c r="AG884" s="16">
        <f>SUMPRODUCT(N884:Y884,$N$6:$Y$6)*$K884*$L884*$M884</f>
        <v/>
      </c>
      <c r="AH884" s="20" t="n"/>
    </row>
    <row r="885">
      <c r="A885" s="9" t="n">
        <v>823702</v>
      </c>
      <c r="B885" s="9" t="inlineStr">
        <is>
          <t>Alex Madera</t>
        </is>
      </c>
      <c r="C885" s="9" t="inlineStr">
        <is>
          <t>CHC</t>
        </is>
      </c>
      <c r="D885" s="9" t="n">
        <v>25</v>
      </c>
      <c r="E885" s="18" t="inlineStr">
        <is>
          <t>R</t>
        </is>
      </c>
      <c r="F885" s="18" t="n"/>
      <c r="G885" s="9" t="n">
        <v>2.508333333333333</v>
      </c>
      <c r="H885" s="9" t="n">
        <v>2.508333333333333</v>
      </c>
      <c r="I885" s="9" t="inlineStr">
        <is>
          <t>Depth (no MLB IP)</t>
        </is>
      </c>
      <c r="J885" s="18" t="inlineStr">
        <is>
          <t>Opening Day</t>
        </is>
      </c>
      <c r="K885" s="11">
        <f>IFERROR(INDEX(Roles!$B$17:$B$20,MATCH(J885,Roles!$A$17:$A$20,0)),1)</f>
        <v/>
      </c>
      <c r="L885" s="19" t="n">
        <v>1</v>
      </c>
      <c r="M885" s="11" t="n">
        <v>1</v>
      </c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>
        <v>1</v>
      </c>
      <c r="Z885" s="13">
        <f>SUMPRODUCT(N885:Y885,$N$2:$Y$2)*$K885*$L885*$M885</f>
        <v/>
      </c>
      <c r="AA885" s="14">
        <f>SUM(N885:Y885)</f>
        <v/>
      </c>
      <c r="AB885" s="13">
        <f>SUMPRODUCT(N885:Y885,$N$3:$Y$3)*$K885*$L885*$M885</f>
        <v/>
      </c>
      <c r="AC885" s="13">
        <f>SUMPRODUCT(N885:Y885,$N$4:$Y$4)*$K885*$L885*$M885</f>
        <v/>
      </c>
      <c r="AD885" s="15" t="n">
        <v>3</v>
      </c>
      <c r="AE885" s="11" t="n">
        <v>1.011296296296296</v>
      </c>
      <c r="AF885" s="16">
        <f>SUMPRODUCT(N885:Y885,$N$5:$Y$5)*$K885*$L885*$M885</f>
        <v/>
      </c>
      <c r="AG885" s="16">
        <f>SUMPRODUCT(N885:Y885,$N$6:$Y$6)*$K885*$L885*$M885</f>
        <v/>
      </c>
      <c r="AH885" s="20" t="n"/>
    </row>
    <row r="886">
      <c r="A886" s="9" t="n">
        <v>800394</v>
      </c>
      <c r="B886" s="9" t="inlineStr">
        <is>
          <t>Adrián Delgado</t>
        </is>
      </c>
      <c r="C886" s="9" t="inlineStr">
        <is>
          <t>BAL</t>
        </is>
      </c>
      <c r="D886" s="9" t="n">
        <v>25</v>
      </c>
      <c r="E886" s="18" t="inlineStr">
        <is>
          <t>R</t>
        </is>
      </c>
      <c r="F886" s="18" t="n"/>
      <c r="G886" s="9" t="n">
        <v>2.924</v>
      </c>
      <c r="H886" s="9" t="n">
        <v>2.924</v>
      </c>
      <c r="I886" s="9" t="inlineStr">
        <is>
          <t>Depth (no MLB IP)</t>
        </is>
      </c>
      <c r="J886" s="18" t="inlineStr">
        <is>
          <t>Opening Day</t>
        </is>
      </c>
      <c r="K886" s="11">
        <f>IFERROR(INDEX(Roles!$B$17:$B$20,MATCH(J886,Roles!$A$17:$A$20,0)),1)</f>
        <v/>
      </c>
      <c r="L886" s="19" t="n">
        <v>1</v>
      </c>
      <c r="M886" s="11" t="n">
        <v>1</v>
      </c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>
        <v>1</v>
      </c>
      <c r="Z886" s="13">
        <f>SUMPRODUCT(N886:Y886,$N$2:$Y$2)*$K886*$L886*$M886</f>
        <v/>
      </c>
      <c r="AA886" s="14">
        <f>SUM(N886:Y886)</f>
        <v/>
      </c>
      <c r="AB886" s="13">
        <f>SUMPRODUCT(N886:Y886,$N$3:$Y$3)*$K886*$L886*$M886</f>
        <v/>
      </c>
      <c r="AC886" s="13">
        <f>SUMPRODUCT(N886:Y886,$N$4:$Y$4)*$K886*$L886*$M886</f>
        <v/>
      </c>
      <c r="AD886" s="15" t="n">
        <v>3</v>
      </c>
      <c r="AE886" s="11" t="n">
        <v>1.011296296296296</v>
      </c>
      <c r="AF886" s="16">
        <f>SUMPRODUCT(N886:Y886,$N$5:$Y$5)*$K886*$L886*$M886</f>
        <v/>
      </c>
      <c r="AG886" s="16">
        <f>SUMPRODUCT(N886:Y886,$N$6:$Y$6)*$K886*$L886*$M886</f>
        <v/>
      </c>
      <c r="AH886" s="20" t="n"/>
    </row>
    <row r="887">
      <c r="A887" s="9" t="n">
        <v>694391</v>
      </c>
      <c r="B887" s="9" t="inlineStr">
        <is>
          <t>Austin Vernon</t>
        </is>
      </c>
      <c r="C887" s="9" t="inlineStr">
        <is>
          <t>TB</t>
        </is>
      </c>
      <c r="D887" s="9" t="n">
        <v>25</v>
      </c>
      <c r="E887" s="18" t="inlineStr">
        <is>
          <t>R</t>
        </is>
      </c>
      <c r="F887" s="18" t="n"/>
      <c r="G887" s="9" t="n">
        <v>2.293333333333333</v>
      </c>
      <c r="H887" s="9" t="n">
        <v>2.293333333333333</v>
      </c>
      <c r="I887" s="9" t="inlineStr">
        <is>
          <t>Depth (no MLB IP)</t>
        </is>
      </c>
      <c r="J887" s="18" t="inlineStr">
        <is>
          <t>Opening Day</t>
        </is>
      </c>
      <c r="K887" s="11">
        <f>IFERROR(INDEX(Roles!$B$17:$B$20,MATCH(J887,Roles!$A$17:$A$20,0)),1)</f>
        <v/>
      </c>
      <c r="L887" s="19" t="n">
        <v>1</v>
      </c>
      <c r="M887" s="11" t="n">
        <v>1</v>
      </c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>
        <v>1</v>
      </c>
      <c r="Z887" s="13">
        <f>SUMPRODUCT(N887:Y887,$N$2:$Y$2)*$K887*$L887*$M887</f>
        <v/>
      </c>
      <c r="AA887" s="14">
        <f>SUM(N887:Y887)</f>
        <v/>
      </c>
      <c r="AB887" s="13">
        <f>SUMPRODUCT(N887:Y887,$N$3:$Y$3)*$K887*$L887*$M887</f>
        <v/>
      </c>
      <c r="AC887" s="13">
        <f>SUMPRODUCT(N887:Y887,$N$4:$Y$4)*$K887*$L887*$M887</f>
        <v/>
      </c>
      <c r="AD887" s="15" t="n">
        <v>3</v>
      </c>
      <c r="AE887" s="11" t="n">
        <v>1.011296296296296</v>
      </c>
      <c r="AF887" s="16">
        <f>SUMPRODUCT(N887:Y887,$N$5:$Y$5)*$K887*$L887*$M887</f>
        <v/>
      </c>
      <c r="AG887" s="16">
        <f>SUMPRODUCT(N887:Y887,$N$6:$Y$6)*$K887*$L887*$M887</f>
        <v/>
      </c>
      <c r="AH887" s="20" t="n"/>
    </row>
    <row r="888">
      <c r="A888" s="9" t="n">
        <v>820837</v>
      </c>
      <c r="B888" s="9" t="inlineStr">
        <is>
          <t>Kyler Carmack</t>
        </is>
      </c>
      <c r="C888" s="9" t="inlineStr">
        <is>
          <t>PHI</t>
        </is>
      </c>
      <c r="D888" s="9" t="n">
        <v>25</v>
      </c>
      <c r="E888" s="18" t="inlineStr">
        <is>
          <t>R</t>
        </is>
      </c>
      <c r="F888" s="18" t="n"/>
      <c r="G888" s="9" t="n">
        <v>2.752</v>
      </c>
      <c r="H888" s="9" t="n">
        <v>2.752</v>
      </c>
      <c r="I888" s="9" t="inlineStr">
        <is>
          <t>Depth (no MLB IP)</t>
        </is>
      </c>
      <c r="J888" s="18" t="inlineStr">
        <is>
          <t>Opening Day</t>
        </is>
      </c>
      <c r="K888" s="11">
        <f>IFERROR(INDEX(Roles!$B$17:$B$20,MATCH(J888,Roles!$A$17:$A$20,0)),1)</f>
        <v/>
      </c>
      <c r="L888" s="19" t="n">
        <v>1</v>
      </c>
      <c r="M888" s="11" t="n">
        <v>1</v>
      </c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>
        <v>1</v>
      </c>
      <c r="Z888" s="13">
        <f>SUMPRODUCT(N888:Y888,$N$2:$Y$2)*$K888*$L888*$M888</f>
        <v/>
      </c>
      <c r="AA888" s="14">
        <f>SUM(N888:Y888)</f>
        <v/>
      </c>
      <c r="AB888" s="13">
        <f>SUMPRODUCT(N888:Y888,$N$3:$Y$3)*$K888*$L888*$M888</f>
        <v/>
      </c>
      <c r="AC888" s="13">
        <f>SUMPRODUCT(N888:Y888,$N$4:$Y$4)*$K888*$L888*$M888</f>
        <v/>
      </c>
      <c r="AD888" s="15" t="n">
        <v>3</v>
      </c>
      <c r="AE888" s="11" t="n">
        <v>1.011296296296296</v>
      </c>
      <c r="AF888" s="16">
        <f>SUMPRODUCT(N888:Y888,$N$5:$Y$5)*$K888*$L888*$M888</f>
        <v/>
      </c>
      <c r="AG888" s="16">
        <f>SUMPRODUCT(N888:Y888,$N$6:$Y$6)*$K888*$L888*$M888</f>
        <v/>
      </c>
      <c r="AH888" s="20" t="n"/>
    </row>
    <row r="889">
      <c r="A889" s="9" t="n">
        <v>675394</v>
      </c>
      <c r="B889" s="9" t="inlineStr">
        <is>
          <t>Johnny Olmstead</t>
        </is>
      </c>
      <c r="C889" s="9" t="inlineStr">
        <is>
          <t>MIA</t>
        </is>
      </c>
      <c r="D889" s="9" t="n">
        <v>25</v>
      </c>
      <c r="E889" s="18" t="inlineStr">
        <is>
          <t>R</t>
        </is>
      </c>
      <c r="F889" s="18" t="n"/>
      <c r="G889" s="9" t="n">
        <v>2.365</v>
      </c>
      <c r="H889" s="9" t="n">
        <v>2.365</v>
      </c>
      <c r="I889" s="9" t="inlineStr">
        <is>
          <t>Depth (no MLB IP)</t>
        </is>
      </c>
      <c r="J889" s="18" t="inlineStr">
        <is>
          <t>Opening Day</t>
        </is>
      </c>
      <c r="K889" s="11">
        <f>IFERROR(INDEX(Roles!$B$17:$B$20,MATCH(J889,Roles!$A$17:$A$20,0)),1)</f>
        <v/>
      </c>
      <c r="L889" s="19" t="n">
        <v>1</v>
      </c>
      <c r="M889" s="11" t="n">
        <v>1</v>
      </c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>
        <v>1</v>
      </c>
      <c r="Z889" s="13">
        <f>SUMPRODUCT(N889:Y889,$N$2:$Y$2)*$K889*$L889*$M889</f>
        <v/>
      </c>
      <c r="AA889" s="14">
        <f>SUM(N889:Y889)</f>
        <v/>
      </c>
      <c r="AB889" s="13">
        <f>SUMPRODUCT(N889:Y889,$N$3:$Y$3)*$K889*$L889*$M889</f>
        <v/>
      </c>
      <c r="AC889" s="13">
        <f>SUMPRODUCT(N889:Y889,$N$4:$Y$4)*$K889*$L889*$M889</f>
        <v/>
      </c>
      <c r="AD889" s="15" t="n">
        <v>3</v>
      </c>
      <c r="AE889" s="11" t="n">
        <v>1.011296296296296</v>
      </c>
      <c r="AF889" s="16">
        <f>SUMPRODUCT(N889:Y889,$N$5:$Y$5)*$K889*$L889*$M889</f>
        <v/>
      </c>
      <c r="AG889" s="16">
        <f>SUMPRODUCT(N889:Y889,$N$6:$Y$6)*$K889*$L889*$M889</f>
        <v/>
      </c>
      <c r="AH889" s="20" t="n"/>
    </row>
    <row r="890">
      <c r="A890" s="9" t="n">
        <v>703242</v>
      </c>
      <c r="B890" s="9" t="inlineStr">
        <is>
          <t>Anyer Laureano</t>
        </is>
      </c>
      <c r="C890" s="9" t="inlineStr">
        <is>
          <t>CIN</t>
        </is>
      </c>
      <c r="D890" s="9" t="n">
        <v>25</v>
      </c>
      <c r="E890" s="18" t="inlineStr">
        <is>
          <t>R</t>
        </is>
      </c>
      <c r="F890" s="18" t="n"/>
      <c r="G890" s="9" t="n">
        <v>2.508333333333333</v>
      </c>
      <c r="H890" s="9" t="n">
        <v>2.508333333333333</v>
      </c>
      <c r="I890" s="9" t="inlineStr">
        <is>
          <t>Depth (no MLB IP)</t>
        </is>
      </c>
      <c r="J890" s="18" t="inlineStr">
        <is>
          <t>Opening Day</t>
        </is>
      </c>
      <c r="K890" s="11">
        <f>IFERROR(INDEX(Roles!$B$17:$B$20,MATCH(J890,Roles!$A$17:$A$20,0)),1)</f>
        <v/>
      </c>
      <c r="L890" s="19" t="n">
        <v>1</v>
      </c>
      <c r="M890" s="11" t="n">
        <v>1</v>
      </c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>
        <v>1</v>
      </c>
      <c r="Z890" s="13">
        <f>SUMPRODUCT(N890:Y890,$N$2:$Y$2)*$K890*$L890*$M890</f>
        <v/>
      </c>
      <c r="AA890" s="14">
        <f>SUM(N890:Y890)</f>
        <v/>
      </c>
      <c r="AB890" s="13">
        <f>SUMPRODUCT(N890:Y890,$N$3:$Y$3)*$K890*$L890*$M890</f>
        <v/>
      </c>
      <c r="AC890" s="13">
        <f>SUMPRODUCT(N890:Y890,$N$4:$Y$4)*$K890*$L890*$M890</f>
        <v/>
      </c>
      <c r="AD890" s="15" t="n">
        <v>3</v>
      </c>
      <c r="AE890" s="11" t="n">
        <v>1.011296296296296</v>
      </c>
      <c r="AF890" s="16">
        <f>SUMPRODUCT(N890:Y890,$N$5:$Y$5)*$K890*$L890*$M890</f>
        <v/>
      </c>
      <c r="AG890" s="16">
        <f>SUMPRODUCT(N890:Y890,$N$6:$Y$6)*$K890*$L890*$M890</f>
        <v/>
      </c>
      <c r="AH890" s="20" t="n"/>
    </row>
    <row r="891">
      <c r="A891" s="9" t="n">
        <v>703420</v>
      </c>
      <c r="B891" s="9" t="inlineStr">
        <is>
          <t>Jorge Marcheco</t>
        </is>
      </c>
      <c r="C891" s="9" t="inlineStr">
        <is>
          <t>OAK</t>
        </is>
      </c>
      <c r="D891" s="9" t="n">
        <v>25</v>
      </c>
      <c r="E891" s="18" t="inlineStr">
        <is>
          <t>R</t>
        </is>
      </c>
      <c r="F891" s="18" t="n"/>
      <c r="G891" s="9" t="n">
        <v>2.508333333333333</v>
      </c>
      <c r="H891" s="9" t="n">
        <v>2.508333333333333</v>
      </c>
      <c r="I891" s="9" t="inlineStr">
        <is>
          <t>Depth (no MLB IP)</t>
        </is>
      </c>
      <c r="J891" s="18" t="inlineStr">
        <is>
          <t>Opening Day</t>
        </is>
      </c>
      <c r="K891" s="11">
        <f>IFERROR(INDEX(Roles!$B$17:$B$20,MATCH(J891,Roles!$A$17:$A$20,0)),1)</f>
        <v/>
      </c>
      <c r="L891" s="19" t="n">
        <v>1</v>
      </c>
      <c r="M891" s="11" t="n">
        <v>1</v>
      </c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>
        <v>1</v>
      </c>
      <c r="Z891" s="13">
        <f>SUMPRODUCT(N891:Y891,$N$2:$Y$2)*$K891*$L891*$M891</f>
        <v/>
      </c>
      <c r="AA891" s="14">
        <f>SUM(N891:Y891)</f>
        <v/>
      </c>
      <c r="AB891" s="13">
        <f>SUMPRODUCT(N891:Y891,$N$3:$Y$3)*$K891*$L891*$M891</f>
        <v/>
      </c>
      <c r="AC891" s="13">
        <f>SUMPRODUCT(N891:Y891,$N$4:$Y$4)*$K891*$L891*$M891</f>
        <v/>
      </c>
      <c r="AD891" s="15" t="n">
        <v>3</v>
      </c>
      <c r="AE891" s="11" t="n">
        <v>1.011296296296296</v>
      </c>
      <c r="AF891" s="16">
        <f>SUMPRODUCT(N891:Y891,$N$5:$Y$5)*$K891*$L891*$M891</f>
        <v/>
      </c>
      <c r="AG891" s="16">
        <f>SUMPRODUCT(N891:Y891,$N$6:$Y$6)*$K891*$L891*$M891</f>
        <v/>
      </c>
      <c r="AH891" s="20" t="n"/>
    </row>
    <row r="892">
      <c r="A892" s="9" t="n">
        <v>687040</v>
      </c>
      <c r="B892" s="9" t="inlineStr">
        <is>
          <t>Sayer Diederich</t>
        </is>
      </c>
      <c r="C892" s="9" t="inlineStr">
        <is>
          <t>BAL</t>
        </is>
      </c>
      <c r="D892" s="9" t="n">
        <v>25</v>
      </c>
      <c r="E892" s="18" t="inlineStr">
        <is>
          <t>L</t>
        </is>
      </c>
      <c r="F892" s="18" t="n"/>
      <c r="G892" s="9" t="n">
        <v>2.293333333333333</v>
      </c>
      <c r="H892" s="9" t="n">
        <v>2.293333333333333</v>
      </c>
      <c r="I892" s="9" t="inlineStr">
        <is>
          <t>Depth (no MLB IP)</t>
        </is>
      </c>
      <c r="J892" s="18" t="inlineStr">
        <is>
          <t>Opening Day</t>
        </is>
      </c>
      <c r="K892" s="11">
        <f>IFERROR(INDEX(Roles!$B$17:$B$20,MATCH(J892,Roles!$A$17:$A$20,0)),1)</f>
        <v/>
      </c>
      <c r="L892" s="19" t="n">
        <v>1</v>
      </c>
      <c r="M892" s="11" t="n">
        <v>1</v>
      </c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>
        <v>1</v>
      </c>
      <c r="Z892" s="13">
        <f>SUMPRODUCT(N892:Y892,$N$2:$Y$2)*$K892*$L892*$M892</f>
        <v/>
      </c>
      <c r="AA892" s="14">
        <f>SUM(N892:Y892)</f>
        <v/>
      </c>
      <c r="AB892" s="13">
        <f>SUMPRODUCT(N892:Y892,$N$3:$Y$3)*$K892*$L892*$M892</f>
        <v/>
      </c>
      <c r="AC892" s="13">
        <f>SUMPRODUCT(N892:Y892,$N$4:$Y$4)*$K892*$L892*$M892</f>
        <v/>
      </c>
      <c r="AD892" s="15" t="n">
        <v>3</v>
      </c>
      <c r="AE892" s="11" t="n">
        <v>1.011296296296296</v>
      </c>
      <c r="AF892" s="16">
        <f>SUMPRODUCT(N892:Y892,$N$5:$Y$5)*$K892*$L892*$M892</f>
        <v/>
      </c>
      <c r="AG892" s="16">
        <f>SUMPRODUCT(N892:Y892,$N$6:$Y$6)*$K892*$L892*$M892</f>
        <v/>
      </c>
      <c r="AH892" s="20" t="n"/>
    </row>
    <row r="893">
      <c r="A893" s="9" t="n">
        <v>836318</v>
      </c>
      <c r="B893" s="9" t="inlineStr">
        <is>
          <t>Andrew Wertz</t>
        </is>
      </c>
      <c r="C893" s="9" t="inlineStr">
        <is>
          <t>ARI</t>
        </is>
      </c>
      <c r="D893" s="9" t="n">
        <v>25</v>
      </c>
      <c r="E893" s="18" t="inlineStr">
        <is>
          <t>R</t>
        </is>
      </c>
      <c r="F893" s="18" t="n"/>
      <c r="G893" s="9" t="n">
        <v>2.58</v>
      </c>
      <c r="H893" s="9" t="n">
        <v>2.58</v>
      </c>
      <c r="I893" s="9" t="inlineStr">
        <is>
          <t>Depth (no MLB IP)</t>
        </is>
      </c>
      <c r="J893" s="18" t="inlineStr">
        <is>
          <t>Opening Day</t>
        </is>
      </c>
      <c r="K893" s="11">
        <f>IFERROR(INDEX(Roles!$B$17:$B$20,MATCH(J893,Roles!$A$17:$A$20,0)),1)</f>
        <v/>
      </c>
      <c r="L893" s="19" t="n">
        <v>1</v>
      </c>
      <c r="M893" s="11" t="n">
        <v>1</v>
      </c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>
        <v>1</v>
      </c>
      <c r="Z893" s="13">
        <f>SUMPRODUCT(N893:Y893,$N$2:$Y$2)*$K893*$L893*$M893</f>
        <v/>
      </c>
      <c r="AA893" s="14">
        <f>SUM(N893:Y893)</f>
        <v/>
      </c>
      <c r="AB893" s="13">
        <f>SUMPRODUCT(N893:Y893,$N$3:$Y$3)*$K893*$L893*$M893</f>
        <v/>
      </c>
      <c r="AC893" s="13">
        <f>SUMPRODUCT(N893:Y893,$N$4:$Y$4)*$K893*$L893*$M893</f>
        <v/>
      </c>
      <c r="AD893" s="15" t="n">
        <v>3</v>
      </c>
      <c r="AE893" s="11" t="n">
        <v>1.011296296296296</v>
      </c>
      <c r="AF893" s="16">
        <f>SUMPRODUCT(N893:Y893,$N$5:$Y$5)*$K893*$L893*$M893</f>
        <v/>
      </c>
      <c r="AG893" s="16">
        <f>SUMPRODUCT(N893:Y893,$N$6:$Y$6)*$K893*$L893*$M893</f>
        <v/>
      </c>
      <c r="AH893" s="20" t="n"/>
    </row>
    <row r="894">
      <c r="A894" s="9" t="n">
        <v>804877</v>
      </c>
      <c r="B894" s="9" t="inlineStr">
        <is>
          <t>Parker Dillhoff</t>
        </is>
      </c>
      <c r="C894" s="9" t="inlineStr">
        <is>
          <t>CLE</t>
        </is>
      </c>
      <c r="D894" s="9" t="n">
        <v>25</v>
      </c>
      <c r="E894" s="18" t="inlineStr">
        <is>
          <t>L</t>
        </is>
      </c>
      <c r="F894" s="18" t="n"/>
      <c r="G894" s="9" t="n">
        <v>2.924</v>
      </c>
      <c r="H894" s="9" t="n">
        <v>2.924</v>
      </c>
      <c r="I894" s="9" t="inlineStr">
        <is>
          <t>Depth (no MLB IP)</t>
        </is>
      </c>
      <c r="J894" s="18" t="inlineStr">
        <is>
          <t>Opening Day</t>
        </is>
      </c>
      <c r="K894" s="11">
        <f>IFERROR(INDEX(Roles!$B$17:$B$20,MATCH(J894,Roles!$A$17:$A$20,0)),1)</f>
        <v/>
      </c>
      <c r="L894" s="19" t="n">
        <v>1</v>
      </c>
      <c r="M894" s="11" t="n">
        <v>1</v>
      </c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>
        <v>1</v>
      </c>
      <c r="Z894" s="13">
        <f>SUMPRODUCT(N894:Y894,$N$2:$Y$2)*$K894*$L894*$M894</f>
        <v/>
      </c>
      <c r="AA894" s="14">
        <f>SUM(N894:Y894)</f>
        <v/>
      </c>
      <c r="AB894" s="13">
        <f>SUMPRODUCT(N894:Y894,$N$3:$Y$3)*$K894*$L894*$M894</f>
        <v/>
      </c>
      <c r="AC894" s="13">
        <f>SUMPRODUCT(N894:Y894,$N$4:$Y$4)*$K894*$L894*$M894</f>
        <v/>
      </c>
      <c r="AD894" s="15" t="n">
        <v>3</v>
      </c>
      <c r="AE894" s="11" t="n">
        <v>1.011296296296296</v>
      </c>
      <c r="AF894" s="16">
        <f>SUMPRODUCT(N894:Y894,$N$5:$Y$5)*$K894*$L894*$M894</f>
        <v/>
      </c>
      <c r="AG894" s="16">
        <f>SUMPRODUCT(N894:Y894,$N$6:$Y$6)*$K894*$L894*$M894</f>
        <v/>
      </c>
      <c r="AH894" s="20" t="n"/>
    </row>
    <row r="895">
      <c r="A895" s="9" t="n">
        <v>829523</v>
      </c>
      <c r="B895" s="9" t="inlineStr">
        <is>
          <t>Cristopher Aranguren</t>
        </is>
      </c>
      <c r="C895" s="9" t="inlineStr">
        <is>
          <t>CHC</t>
        </is>
      </c>
      <c r="D895" s="9" t="n">
        <v>25</v>
      </c>
      <c r="E895" s="18" t="inlineStr">
        <is>
          <t>R</t>
        </is>
      </c>
      <c r="F895" s="18" t="n"/>
      <c r="G895" s="9" t="n">
        <v>2.58</v>
      </c>
      <c r="H895" s="9" t="n">
        <v>2.58</v>
      </c>
      <c r="I895" s="9" t="inlineStr">
        <is>
          <t>Depth (no MLB IP)</t>
        </is>
      </c>
      <c r="J895" s="18" t="inlineStr">
        <is>
          <t>Opening Day</t>
        </is>
      </c>
      <c r="K895" s="11">
        <f>IFERROR(INDEX(Roles!$B$17:$B$20,MATCH(J895,Roles!$A$17:$A$20,0)),1)</f>
        <v/>
      </c>
      <c r="L895" s="19" t="n">
        <v>1</v>
      </c>
      <c r="M895" s="11" t="n">
        <v>1</v>
      </c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>
        <v>1</v>
      </c>
      <c r="Z895" s="13">
        <f>SUMPRODUCT(N895:Y895,$N$2:$Y$2)*$K895*$L895*$M895</f>
        <v/>
      </c>
      <c r="AA895" s="14">
        <f>SUM(N895:Y895)</f>
        <v/>
      </c>
      <c r="AB895" s="13">
        <f>SUMPRODUCT(N895:Y895,$N$3:$Y$3)*$K895*$L895*$M895</f>
        <v/>
      </c>
      <c r="AC895" s="13">
        <f>SUMPRODUCT(N895:Y895,$N$4:$Y$4)*$K895*$L895*$M895</f>
        <v/>
      </c>
      <c r="AD895" s="15" t="n">
        <v>3</v>
      </c>
      <c r="AE895" s="11" t="n">
        <v>1.011296296296296</v>
      </c>
      <c r="AF895" s="16">
        <f>SUMPRODUCT(N895:Y895,$N$5:$Y$5)*$K895*$L895*$M895</f>
        <v/>
      </c>
      <c r="AG895" s="16">
        <f>SUMPRODUCT(N895:Y895,$N$6:$Y$6)*$K895*$L895*$M895</f>
        <v/>
      </c>
      <c r="AH895" s="20" t="n"/>
    </row>
    <row r="896">
      <c r="A896" s="9" t="n">
        <v>701000</v>
      </c>
      <c r="B896" s="9" t="inlineStr">
        <is>
          <t>Ryan Och</t>
        </is>
      </c>
      <c r="C896" s="9" t="inlineStr">
        <is>
          <t>SD</t>
        </is>
      </c>
      <c r="D896" s="9" t="n">
        <v>25</v>
      </c>
      <c r="E896" s="18" t="inlineStr">
        <is>
          <t>L</t>
        </is>
      </c>
      <c r="F896" s="18" t="n"/>
      <c r="G896" s="9" t="n">
        <v>2.508333333333333</v>
      </c>
      <c r="H896" s="9" t="n">
        <v>2.508333333333333</v>
      </c>
      <c r="I896" s="9" t="inlineStr">
        <is>
          <t>Depth (no MLB IP)</t>
        </is>
      </c>
      <c r="J896" s="18" t="inlineStr">
        <is>
          <t>Opening Day</t>
        </is>
      </c>
      <c r="K896" s="11">
        <f>IFERROR(INDEX(Roles!$B$17:$B$20,MATCH(J896,Roles!$A$17:$A$20,0)),1)</f>
        <v/>
      </c>
      <c r="L896" s="19" t="n">
        <v>1</v>
      </c>
      <c r="M896" s="11" t="n">
        <v>1</v>
      </c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>
        <v>1</v>
      </c>
      <c r="Z896" s="13">
        <f>SUMPRODUCT(N896:Y896,$N$2:$Y$2)*$K896*$L896*$M896</f>
        <v/>
      </c>
      <c r="AA896" s="14">
        <f>SUM(N896:Y896)</f>
        <v/>
      </c>
      <c r="AB896" s="13">
        <f>SUMPRODUCT(N896:Y896,$N$3:$Y$3)*$K896*$L896*$M896</f>
        <v/>
      </c>
      <c r="AC896" s="13">
        <f>SUMPRODUCT(N896:Y896,$N$4:$Y$4)*$K896*$L896*$M896</f>
        <v/>
      </c>
      <c r="AD896" s="15" t="n">
        <v>3</v>
      </c>
      <c r="AE896" s="11" t="n">
        <v>1.011296296296296</v>
      </c>
      <c r="AF896" s="16">
        <f>SUMPRODUCT(N896:Y896,$N$5:$Y$5)*$K896*$L896*$M896</f>
        <v/>
      </c>
      <c r="AG896" s="16">
        <f>SUMPRODUCT(N896:Y896,$N$6:$Y$6)*$K896*$L896*$M896</f>
        <v/>
      </c>
      <c r="AH896" s="20" t="n"/>
    </row>
    <row r="897">
      <c r="A897" s="9" t="n">
        <v>700282</v>
      </c>
      <c r="B897" s="9" t="inlineStr">
        <is>
          <t>Ricardo Yan</t>
        </is>
      </c>
      <c r="C897" s="9" t="inlineStr">
        <is>
          <t>ARI</t>
        </is>
      </c>
      <c r="D897" s="9" t="n">
        <v>25</v>
      </c>
      <c r="E897" s="18" t="inlineStr">
        <is>
          <t>R</t>
        </is>
      </c>
      <c r="F897" s="18" t="n"/>
      <c r="G897" s="9" t="n">
        <v>2.58</v>
      </c>
      <c r="H897" s="9" t="n">
        <v>2.58</v>
      </c>
      <c r="I897" s="9" t="inlineStr">
        <is>
          <t>Depth (no MLB IP)</t>
        </is>
      </c>
      <c r="J897" s="18" t="inlineStr">
        <is>
          <t>Opening Day</t>
        </is>
      </c>
      <c r="K897" s="11">
        <f>IFERROR(INDEX(Roles!$B$17:$B$20,MATCH(J897,Roles!$A$17:$A$20,0)),1)</f>
        <v/>
      </c>
      <c r="L897" s="19" t="n">
        <v>1</v>
      </c>
      <c r="M897" s="11" t="n">
        <v>1</v>
      </c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>
        <v>1</v>
      </c>
      <c r="Z897" s="13">
        <f>SUMPRODUCT(N897:Y897,$N$2:$Y$2)*$K897*$L897*$M897</f>
        <v/>
      </c>
      <c r="AA897" s="14">
        <f>SUM(N897:Y897)</f>
        <v/>
      </c>
      <c r="AB897" s="13">
        <f>SUMPRODUCT(N897:Y897,$N$3:$Y$3)*$K897*$L897*$M897</f>
        <v/>
      </c>
      <c r="AC897" s="13">
        <f>SUMPRODUCT(N897:Y897,$N$4:$Y$4)*$K897*$L897*$M897</f>
        <v/>
      </c>
      <c r="AD897" s="15" t="n">
        <v>3</v>
      </c>
      <c r="AE897" s="11" t="n">
        <v>1.011296296296296</v>
      </c>
      <c r="AF897" s="16">
        <f>SUMPRODUCT(N897:Y897,$N$5:$Y$5)*$K897*$L897*$M897</f>
        <v/>
      </c>
      <c r="AG897" s="16">
        <f>SUMPRODUCT(N897:Y897,$N$6:$Y$6)*$K897*$L897*$M897</f>
        <v/>
      </c>
      <c r="AH897" s="20" t="n"/>
    </row>
    <row r="898">
      <c r="A898" s="9" t="n">
        <v>661733</v>
      </c>
      <c r="B898" s="9" t="inlineStr">
        <is>
          <t>Max Burt</t>
        </is>
      </c>
      <c r="C898" s="9" t="inlineStr">
        <is>
          <t>DET</t>
        </is>
      </c>
      <c r="D898" s="9" t="n">
        <v>25</v>
      </c>
      <c r="E898" s="18" t="inlineStr">
        <is>
          <t>R</t>
        </is>
      </c>
      <c r="F898" s="18" t="n"/>
      <c r="G898" s="9" t="n">
        <v>2.365</v>
      </c>
      <c r="H898" s="9" t="n">
        <v>2.365</v>
      </c>
      <c r="I898" s="9" t="inlineStr">
        <is>
          <t>Depth (no MLB IP)</t>
        </is>
      </c>
      <c r="J898" s="18" t="inlineStr">
        <is>
          <t>Opening Day</t>
        </is>
      </c>
      <c r="K898" s="11">
        <f>IFERROR(INDEX(Roles!$B$17:$B$20,MATCH(J898,Roles!$A$17:$A$20,0)),1)</f>
        <v/>
      </c>
      <c r="L898" s="19" t="n">
        <v>1</v>
      </c>
      <c r="M898" s="11" t="n">
        <v>1</v>
      </c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>
        <v>1</v>
      </c>
      <c r="Z898" s="13">
        <f>SUMPRODUCT(N898:Y898,$N$2:$Y$2)*$K898*$L898*$M898</f>
        <v/>
      </c>
      <c r="AA898" s="14">
        <f>SUM(N898:Y898)</f>
        <v/>
      </c>
      <c r="AB898" s="13">
        <f>SUMPRODUCT(N898:Y898,$N$3:$Y$3)*$K898*$L898*$M898</f>
        <v/>
      </c>
      <c r="AC898" s="13">
        <f>SUMPRODUCT(N898:Y898,$N$4:$Y$4)*$K898*$L898*$M898</f>
        <v/>
      </c>
      <c r="AD898" s="15" t="n">
        <v>3</v>
      </c>
      <c r="AE898" s="11" t="n">
        <v>1.011296296296296</v>
      </c>
      <c r="AF898" s="16">
        <f>SUMPRODUCT(N898:Y898,$N$5:$Y$5)*$K898*$L898*$M898</f>
        <v/>
      </c>
      <c r="AG898" s="16">
        <f>SUMPRODUCT(N898:Y898,$N$6:$Y$6)*$K898*$L898*$M898</f>
        <v/>
      </c>
      <c r="AH898" s="20" t="n"/>
    </row>
    <row r="899">
      <c r="A899" s="9" t="n">
        <v>809328</v>
      </c>
      <c r="B899" s="9" t="inlineStr">
        <is>
          <t>Luis Sotillo</t>
        </is>
      </c>
      <c r="C899" s="9" t="inlineStr">
        <is>
          <t>NYM</t>
        </is>
      </c>
      <c r="D899" s="9" t="n">
        <v>25</v>
      </c>
      <c r="E899" s="18" t="inlineStr">
        <is>
          <t>L</t>
        </is>
      </c>
      <c r="F899" s="18" t="n"/>
      <c r="G899" s="9" t="n">
        <v>2.752</v>
      </c>
      <c r="H899" s="9" t="n">
        <v>2.752</v>
      </c>
      <c r="I899" s="9" t="inlineStr">
        <is>
          <t>Depth (no MLB IP)</t>
        </is>
      </c>
      <c r="J899" s="18" t="inlineStr">
        <is>
          <t>Opening Day</t>
        </is>
      </c>
      <c r="K899" s="11">
        <f>IFERROR(INDEX(Roles!$B$17:$B$20,MATCH(J899,Roles!$A$17:$A$20,0)),1)</f>
        <v/>
      </c>
      <c r="L899" s="19" t="n">
        <v>1</v>
      </c>
      <c r="M899" s="11" t="n">
        <v>1</v>
      </c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>
        <v>1</v>
      </c>
      <c r="Z899" s="13">
        <f>SUMPRODUCT(N899:Y899,$N$2:$Y$2)*$K899*$L899*$M899</f>
        <v/>
      </c>
      <c r="AA899" s="14">
        <f>SUM(N899:Y899)</f>
        <v/>
      </c>
      <c r="AB899" s="13">
        <f>SUMPRODUCT(N899:Y899,$N$3:$Y$3)*$K899*$L899*$M899</f>
        <v/>
      </c>
      <c r="AC899" s="13">
        <f>SUMPRODUCT(N899:Y899,$N$4:$Y$4)*$K899*$L899*$M899</f>
        <v/>
      </c>
      <c r="AD899" s="15" t="n">
        <v>3</v>
      </c>
      <c r="AE899" s="11" t="n">
        <v>1.011296296296296</v>
      </c>
      <c r="AF899" s="16">
        <f>SUMPRODUCT(N899:Y899,$N$5:$Y$5)*$K899*$L899*$M899</f>
        <v/>
      </c>
      <c r="AG899" s="16">
        <f>SUMPRODUCT(N899:Y899,$N$6:$Y$6)*$K899*$L899*$M899</f>
        <v/>
      </c>
      <c r="AH899" s="20" t="n"/>
    </row>
    <row r="900">
      <c r="A900" s="9" t="n">
        <v>669002</v>
      </c>
      <c r="B900" s="9" t="inlineStr">
        <is>
          <t>Connor Scott</t>
        </is>
      </c>
      <c r="C900" s="9" t="inlineStr">
        <is>
          <t>KC</t>
        </is>
      </c>
      <c r="D900" s="9" t="n">
        <v>25</v>
      </c>
      <c r="E900" s="18" t="inlineStr">
        <is>
          <t>L</t>
        </is>
      </c>
      <c r="F900" s="18" t="n"/>
      <c r="G900" s="9" t="n">
        <v>3.01</v>
      </c>
      <c r="H900" s="9" t="n">
        <v>3.01</v>
      </c>
      <c r="I900" s="9" t="inlineStr">
        <is>
          <t>Depth (no MLB IP)</t>
        </is>
      </c>
      <c r="J900" s="18" t="inlineStr">
        <is>
          <t>Opening Day</t>
        </is>
      </c>
      <c r="K900" s="11">
        <f>IFERROR(INDEX(Roles!$B$17:$B$20,MATCH(J900,Roles!$A$17:$A$20,0)),1)</f>
        <v/>
      </c>
      <c r="L900" s="19" t="n">
        <v>1</v>
      </c>
      <c r="M900" s="11" t="n">
        <v>1</v>
      </c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>
        <v>1</v>
      </c>
      <c r="Z900" s="13">
        <f>SUMPRODUCT(N900:Y900,$N$2:$Y$2)*$K900*$L900*$M900</f>
        <v/>
      </c>
      <c r="AA900" s="14">
        <f>SUM(N900:Y900)</f>
        <v/>
      </c>
      <c r="AB900" s="13">
        <f>SUMPRODUCT(N900:Y900,$N$3:$Y$3)*$K900*$L900*$M900</f>
        <v/>
      </c>
      <c r="AC900" s="13">
        <f>SUMPRODUCT(N900:Y900,$N$4:$Y$4)*$K900*$L900*$M900</f>
        <v/>
      </c>
      <c r="AD900" s="15" t="n">
        <v>3</v>
      </c>
      <c r="AE900" s="11" t="n">
        <v>1.011296296296296</v>
      </c>
      <c r="AF900" s="16">
        <f>SUMPRODUCT(N900:Y900,$N$5:$Y$5)*$K900*$L900*$M900</f>
        <v/>
      </c>
      <c r="AG900" s="16">
        <f>SUMPRODUCT(N900:Y900,$N$6:$Y$6)*$K900*$L900*$M900</f>
        <v/>
      </c>
      <c r="AH900" s="20" t="n"/>
    </row>
    <row r="901">
      <c r="A901" s="9" t="n">
        <v>805093</v>
      </c>
      <c r="B901" s="9" t="inlineStr">
        <is>
          <t>Jhon Cabral</t>
        </is>
      </c>
      <c r="C901" s="9" t="inlineStr">
        <is>
          <t>CHC</t>
        </is>
      </c>
      <c r="D901" s="9" t="n">
        <v>25</v>
      </c>
      <c r="E901" s="18" t="inlineStr">
        <is>
          <t>R</t>
        </is>
      </c>
      <c r="F901" s="18" t="n"/>
      <c r="G901" s="9" t="n">
        <v>2.752</v>
      </c>
      <c r="H901" s="9" t="n">
        <v>2.752</v>
      </c>
      <c r="I901" s="9" t="inlineStr">
        <is>
          <t>Depth (no MLB IP)</t>
        </is>
      </c>
      <c r="J901" s="18" t="inlineStr">
        <is>
          <t>Opening Day</t>
        </is>
      </c>
      <c r="K901" s="11">
        <f>IFERROR(INDEX(Roles!$B$17:$B$20,MATCH(J901,Roles!$A$17:$A$20,0)),1)</f>
        <v/>
      </c>
      <c r="L901" s="19" t="n">
        <v>1</v>
      </c>
      <c r="M901" s="11" t="n">
        <v>1</v>
      </c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>
        <v>1</v>
      </c>
      <c r="Z901" s="13">
        <f>SUMPRODUCT(N901:Y901,$N$2:$Y$2)*$K901*$L901*$M901</f>
        <v/>
      </c>
      <c r="AA901" s="14">
        <f>SUM(N901:Y901)</f>
        <v/>
      </c>
      <c r="AB901" s="13">
        <f>SUMPRODUCT(N901:Y901,$N$3:$Y$3)*$K901*$L901*$M901</f>
        <v/>
      </c>
      <c r="AC901" s="13">
        <f>SUMPRODUCT(N901:Y901,$N$4:$Y$4)*$K901*$L901*$M901</f>
        <v/>
      </c>
      <c r="AD901" s="15" t="n">
        <v>3</v>
      </c>
      <c r="AE901" s="11" t="n">
        <v>1.011296296296296</v>
      </c>
      <c r="AF901" s="16">
        <f>SUMPRODUCT(N901:Y901,$N$5:$Y$5)*$K901*$L901*$M901</f>
        <v/>
      </c>
      <c r="AG901" s="16">
        <f>SUMPRODUCT(N901:Y901,$N$6:$Y$6)*$K901*$L901*$M901</f>
        <v/>
      </c>
      <c r="AH901" s="20" t="n"/>
    </row>
    <row r="902">
      <c r="A902" s="9" t="n">
        <v>834605</v>
      </c>
      <c r="B902" s="9" t="inlineStr">
        <is>
          <t>Seong-Jun Kim</t>
        </is>
      </c>
      <c r="C902" s="9" t="inlineStr">
        <is>
          <t>TEX</t>
        </is>
      </c>
      <c r="D902" s="9" t="n">
        <v>20</v>
      </c>
      <c r="E902" s="18" t="inlineStr">
        <is>
          <t>R</t>
        </is>
      </c>
      <c r="F902" s="18" t="n"/>
      <c r="G902" s="9" t="n">
        <v>3.096</v>
      </c>
      <c r="H902" s="9" t="n">
        <v>3.096</v>
      </c>
      <c r="I902" s="9" t="inlineStr">
        <is>
          <t>Depth (no MLB IP)</t>
        </is>
      </c>
      <c r="J902" s="18" t="inlineStr">
        <is>
          <t>Opening Day</t>
        </is>
      </c>
      <c r="K902" s="11">
        <f>IFERROR(INDEX(Roles!$B$17:$B$20,MATCH(J902,Roles!$A$17:$A$20,0)),1)</f>
        <v/>
      </c>
      <c r="L902" s="19" t="n">
        <v>1</v>
      </c>
      <c r="M902" s="11" t="n">
        <v>1</v>
      </c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>
        <v>1</v>
      </c>
      <c r="Z902" s="13">
        <f>SUMPRODUCT(N902:Y902,$N$2:$Y$2)*$K902*$L902*$M902</f>
        <v/>
      </c>
      <c r="AA902" s="14">
        <f>SUM(N902:Y902)</f>
        <v/>
      </c>
      <c r="AB902" s="13">
        <f>SUMPRODUCT(N902:Y902,$N$3:$Y$3)*$K902*$L902*$M902</f>
        <v/>
      </c>
      <c r="AC902" s="13">
        <f>SUMPRODUCT(N902:Y902,$N$4:$Y$4)*$K902*$L902*$M902</f>
        <v/>
      </c>
      <c r="AD902" s="15" t="n">
        <v>3</v>
      </c>
      <c r="AE902" s="11" t="n">
        <v>1.011296296296296</v>
      </c>
      <c r="AF902" s="16">
        <f>SUMPRODUCT(N902:Y902,$N$5:$Y$5)*$K902*$L902*$M902</f>
        <v/>
      </c>
      <c r="AG902" s="16">
        <f>SUMPRODUCT(N902:Y902,$N$6:$Y$6)*$K902*$L902*$M902</f>
        <v/>
      </c>
      <c r="AH902" s="20" t="n"/>
    </row>
    <row r="903">
      <c r="A903" s="9" t="n">
        <v>687033</v>
      </c>
      <c r="B903" s="9" t="inlineStr">
        <is>
          <t>Zack Lee</t>
        </is>
      </c>
      <c r="C903" s="9" t="inlineStr">
        <is>
          <t>DET</t>
        </is>
      </c>
      <c r="D903" s="9" t="n">
        <v>25</v>
      </c>
      <c r="E903" s="18" t="inlineStr">
        <is>
          <t>R</t>
        </is>
      </c>
      <c r="F903" s="18" t="n"/>
      <c r="G903" s="9" t="n">
        <v>3.153333333333333</v>
      </c>
      <c r="H903" s="9" t="n">
        <v>3.153333333333333</v>
      </c>
      <c r="I903" s="9" t="inlineStr">
        <is>
          <t>Depth (no MLB IP)</t>
        </is>
      </c>
      <c r="J903" s="18" t="inlineStr">
        <is>
          <t>Opening Day</t>
        </is>
      </c>
      <c r="K903" s="11">
        <f>IFERROR(INDEX(Roles!$B$17:$B$20,MATCH(J903,Roles!$A$17:$A$20,0)),1)</f>
        <v/>
      </c>
      <c r="L903" s="19" t="n">
        <v>1</v>
      </c>
      <c r="M903" s="11" t="n">
        <v>1</v>
      </c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>
        <v>1</v>
      </c>
      <c r="Z903" s="13">
        <f>SUMPRODUCT(N903:Y903,$N$2:$Y$2)*$K903*$L903*$M903</f>
        <v/>
      </c>
      <c r="AA903" s="14">
        <f>SUM(N903:Y903)</f>
        <v/>
      </c>
      <c r="AB903" s="13">
        <f>SUMPRODUCT(N903:Y903,$N$3:$Y$3)*$K903*$L903*$M903</f>
        <v/>
      </c>
      <c r="AC903" s="13">
        <f>SUMPRODUCT(N903:Y903,$N$4:$Y$4)*$K903*$L903*$M903</f>
        <v/>
      </c>
      <c r="AD903" s="15" t="n">
        <v>3</v>
      </c>
      <c r="AE903" s="11" t="n">
        <v>1.011296296296296</v>
      </c>
      <c r="AF903" s="16">
        <f>SUMPRODUCT(N903:Y903,$N$5:$Y$5)*$K903*$L903*$M903</f>
        <v/>
      </c>
      <c r="AG903" s="16">
        <f>SUMPRODUCT(N903:Y903,$N$6:$Y$6)*$K903*$L903*$M903</f>
        <v/>
      </c>
      <c r="AH903" s="20" t="n"/>
    </row>
    <row r="904">
      <c r="A904" s="9" t="n">
        <v>694842</v>
      </c>
      <c r="B904" s="9" t="inlineStr">
        <is>
          <t>JT Benson</t>
        </is>
      </c>
      <c r="C904" s="9" t="inlineStr">
        <is>
          <t>NYM</t>
        </is>
      </c>
      <c r="D904" s="9" t="n">
        <v>25</v>
      </c>
      <c r="E904" s="18" t="inlineStr">
        <is>
          <t>R</t>
        </is>
      </c>
      <c r="F904" s="18" t="n"/>
      <c r="G904" s="9" t="n">
        <v>3.01</v>
      </c>
      <c r="H904" s="9" t="n">
        <v>3.01</v>
      </c>
      <c r="I904" s="9" t="inlineStr">
        <is>
          <t>Depth (no MLB IP)</t>
        </is>
      </c>
      <c r="J904" s="18" t="inlineStr">
        <is>
          <t>Opening Day</t>
        </is>
      </c>
      <c r="K904" s="11">
        <f>IFERROR(INDEX(Roles!$B$17:$B$20,MATCH(J904,Roles!$A$17:$A$20,0)),1)</f>
        <v/>
      </c>
      <c r="L904" s="19" t="n">
        <v>1</v>
      </c>
      <c r="M904" s="11" t="n">
        <v>1</v>
      </c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>
        <v>1</v>
      </c>
      <c r="Z904" s="13">
        <f>SUMPRODUCT(N904:Y904,$N$2:$Y$2)*$K904*$L904*$M904</f>
        <v/>
      </c>
      <c r="AA904" s="14">
        <f>SUM(N904:Y904)</f>
        <v/>
      </c>
      <c r="AB904" s="13">
        <f>SUMPRODUCT(N904:Y904,$N$3:$Y$3)*$K904*$L904*$M904</f>
        <v/>
      </c>
      <c r="AC904" s="13">
        <f>SUMPRODUCT(N904:Y904,$N$4:$Y$4)*$K904*$L904*$M904</f>
        <v/>
      </c>
      <c r="AD904" s="15" t="n">
        <v>3</v>
      </c>
      <c r="AE904" s="11" t="n">
        <v>1.011296296296296</v>
      </c>
      <c r="AF904" s="16">
        <f>SUMPRODUCT(N904:Y904,$N$5:$Y$5)*$K904*$L904*$M904</f>
        <v/>
      </c>
      <c r="AG904" s="16">
        <f>SUMPRODUCT(N904:Y904,$N$6:$Y$6)*$K904*$L904*$M904</f>
        <v/>
      </c>
      <c r="AH904" s="20" t="n"/>
    </row>
    <row r="905">
      <c r="A905" s="9" t="n">
        <v>805001</v>
      </c>
      <c r="B905" s="9" t="inlineStr">
        <is>
          <t>Ryan Dollar</t>
        </is>
      </c>
      <c r="C905" s="9" t="inlineStr">
        <is>
          <t>NYM</t>
        </is>
      </c>
      <c r="D905" s="9" t="n">
        <v>25</v>
      </c>
      <c r="E905" s="18" t="inlineStr">
        <is>
          <t>R</t>
        </is>
      </c>
      <c r="F905" s="18" t="n"/>
      <c r="G905" s="9" t="n">
        <v>3.01</v>
      </c>
      <c r="H905" s="9" t="n">
        <v>3.01</v>
      </c>
      <c r="I905" s="9" t="inlineStr">
        <is>
          <t>Depth (no MLB IP)</t>
        </is>
      </c>
      <c r="J905" s="18" t="inlineStr">
        <is>
          <t>Opening Day</t>
        </is>
      </c>
      <c r="K905" s="11">
        <f>IFERROR(INDEX(Roles!$B$17:$B$20,MATCH(J905,Roles!$A$17:$A$20,0)),1)</f>
        <v/>
      </c>
      <c r="L905" s="19" t="n">
        <v>1</v>
      </c>
      <c r="M905" s="11" t="n">
        <v>1</v>
      </c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>
        <v>1</v>
      </c>
      <c r="Z905" s="13">
        <f>SUMPRODUCT(N905:Y905,$N$2:$Y$2)*$K905*$L905*$M905</f>
        <v/>
      </c>
      <c r="AA905" s="14">
        <f>SUM(N905:Y905)</f>
        <v/>
      </c>
      <c r="AB905" s="13">
        <f>SUMPRODUCT(N905:Y905,$N$3:$Y$3)*$K905*$L905*$M905</f>
        <v/>
      </c>
      <c r="AC905" s="13">
        <f>SUMPRODUCT(N905:Y905,$N$4:$Y$4)*$K905*$L905*$M905</f>
        <v/>
      </c>
      <c r="AD905" s="15" t="n">
        <v>3</v>
      </c>
      <c r="AE905" s="11" t="n">
        <v>1.011296296296296</v>
      </c>
      <c r="AF905" s="16">
        <f>SUMPRODUCT(N905:Y905,$N$5:$Y$5)*$K905*$L905*$M905</f>
        <v/>
      </c>
      <c r="AG905" s="16">
        <f>SUMPRODUCT(N905:Y905,$N$6:$Y$6)*$K905*$L905*$M905</f>
        <v/>
      </c>
      <c r="AH905" s="20" t="n"/>
    </row>
    <row r="906">
      <c r="A906" s="9" t="n">
        <v>822317</v>
      </c>
      <c r="B906" s="9" t="inlineStr">
        <is>
          <t>Max Martin</t>
        </is>
      </c>
      <c r="C906" s="9" t="inlineStr">
        <is>
          <t>HOU</t>
        </is>
      </c>
      <c r="D906" s="9" t="n">
        <v>25</v>
      </c>
      <c r="E906" s="18" t="inlineStr">
        <is>
          <t>R</t>
        </is>
      </c>
      <c r="F906" s="18" t="n"/>
      <c r="G906" s="9" t="n">
        <v>3.01</v>
      </c>
      <c r="H906" s="9" t="n">
        <v>3.01</v>
      </c>
      <c r="I906" s="9" t="inlineStr">
        <is>
          <t>Depth (no MLB IP)</t>
        </is>
      </c>
      <c r="J906" s="18" t="inlineStr">
        <is>
          <t>Opening Day</t>
        </is>
      </c>
      <c r="K906" s="11">
        <f>IFERROR(INDEX(Roles!$B$17:$B$20,MATCH(J906,Roles!$A$17:$A$20,0)),1)</f>
        <v/>
      </c>
      <c r="L906" s="19" t="n">
        <v>1</v>
      </c>
      <c r="M906" s="11" t="n">
        <v>1</v>
      </c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>
        <v>1</v>
      </c>
      <c r="Z906" s="13">
        <f>SUMPRODUCT(N906:Y906,$N$2:$Y$2)*$K906*$L906*$M906</f>
        <v/>
      </c>
      <c r="AA906" s="14">
        <f>SUM(N906:Y906)</f>
        <v/>
      </c>
      <c r="AB906" s="13">
        <f>SUMPRODUCT(N906:Y906,$N$3:$Y$3)*$K906*$L906*$M906</f>
        <v/>
      </c>
      <c r="AC906" s="13">
        <f>SUMPRODUCT(N906:Y906,$N$4:$Y$4)*$K906*$L906*$M906</f>
        <v/>
      </c>
      <c r="AD906" s="15" t="n">
        <v>3</v>
      </c>
      <c r="AE906" s="11" t="n">
        <v>1.011296296296296</v>
      </c>
      <c r="AF906" s="16">
        <f>SUMPRODUCT(N906:Y906,$N$5:$Y$5)*$K906*$L906*$M906</f>
        <v/>
      </c>
      <c r="AG906" s="16">
        <f>SUMPRODUCT(N906:Y906,$N$6:$Y$6)*$K906*$L906*$M906</f>
        <v/>
      </c>
      <c r="AH906" s="20" t="n"/>
    </row>
    <row r="907">
      <c r="A907" s="9" t="n">
        <v>814548</v>
      </c>
      <c r="B907" s="9" t="inlineStr">
        <is>
          <t>Leonardo Rossell</t>
        </is>
      </c>
      <c r="C907" s="9" t="inlineStr">
        <is>
          <t>DET</t>
        </is>
      </c>
      <c r="D907" s="9" t="n">
        <v>25</v>
      </c>
      <c r="E907" s="18" t="inlineStr">
        <is>
          <t>R</t>
        </is>
      </c>
      <c r="F907" s="18" t="n"/>
      <c r="G907" s="9" t="n">
        <v>3.268</v>
      </c>
      <c r="H907" s="9" t="n">
        <v>3.268</v>
      </c>
      <c r="I907" s="9" t="inlineStr">
        <is>
          <t>Depth (no MLB IP)</t>
        </is>
      </c>
      <c r="J907" s="18" t="inlineStr">
        <is>
          <t>Opening Day</t>
        </is>
      </c>
      <c r="K907" s="11">
        <f>IFERROR(INDEX(Roles!$B$17:$B$20,MATCH(J907,Roles!$A$17:$A$20,0)),1)</f>
        <v/>
      </c>
      <c r="L907" s="19" t="n">
        <v>1</v>
      </c>
      <c r="M907" s="11" t="n">
        <v>1</v>
      </c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>
        <v>1</v>
      </c>
      <c r="Z907" s="13">
        <f>SUMPRODUCT(N907:Y907,$N$2:$Y$2)*$K907*$L907*$M907</f>
        <v/>
      </c>
      <c r="AA907" s="14">
        <f>SUM(N907:Y907)</f>
        <v/>
      </c>
      <c r="AB907" s="13">
        <f>SUMPRODUCT(N907:Y907,$N$3:$Y$3)*$K907*$L907*$M907</f>
        <v/>
      </c>
      <c r="AC907" s="13">
        <f>SUMPRODUCT(N907:Y907,$N$4:$Y$4)*$K907*$L907*$M907</f>
        <v/>
      </c>
      <c r="AD907" s="15" t="n">
        <v>3</v>
      </c>
      <c r="AE907" s="11" t="n">
        <v>1.011296296296296</v>
      </c>
      <c r="AF907" s="16">
        <f>SUMPRODUCT(N907:Y907,$N$5:$Y$5)*$K907*$L907*$M907</f>
        <v/>
      </c>
      <c r="AG907" s="16">
        <f>SUMPRODUCT(N907:Y907,$N$6:$Y$6)*$K907*$L907*$M907</f>
        <v/>
      </c>
      <c r="AH907" s="20" t="n"/>
    </row>
    <row r="908">
      <c r="A908" s="9" t="n">
        <v>831540</v>
      </c>
      <c r="B908" s="9" t="inlineStr">
        <is>
          <t>Ben Davis</t>
        </is>
      </c>
      <c r="C908" s="9" t="inlineStr">
        <is>
          <t>COL</t>
        </is>
      </c>
      <c r="D908" s="9" t="n">
        <v>25</v>
      </c>
      <c r="E908" s="18" t="inlineStr">
        <is>
          <t>R</t>
        </is>
      </c>
      <c r="F908" s="18" t="n"/>
      <c r="G908" s="9" t="n">
        <v>3.096</v>
      </c>
      <c r="H908" s="9" t="n">
        <v>3.096</v>
      </c>
      <c r="I908" s="9" t="inlineStr">
        <is>
          <t>Depth (no MLB IP)</t>
        </is>
      </c>
      <c r="J908" s="18" t="inlineStr">
        <is>
          <t>Opening Day</t>
        </is>
      </c>
      <c r="K908" s="11">
        <f>IFERROR(INDEX(Roles!$B$17:$B$20,MATCH(J908,Roles!$A$17:$A$20,0)),1)</f>
        <v/>
      </c>
      <c r="L908" s="19" t="n">
        <v>1</v>
      </c>
      <c r="M908" s="11" t="n">
        <v>1</v>
      </c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>
        <v>1</v>
      </c>
      <c r="Z908" s="13">
        <f>SUMPRODUCT(N908:Y908,$N$2:$Y$2)*$K908*$L908*$M908</f>
        <v/>
      </c>
      <c r="AA908" s="14">
        <f>SUM(N908:Y908)</f>
        <v/>
      </c>
      <c r="AB908" s="13">
        <f>SUMPRODUCT(N908:Y908,$N$3:$Y$3)*$K908*$L908*$M908</f>
        <v/>
      </c>
      <c r="AC908" s="13">
        <f>SUMPRODUCT(N908:Y908,$N$4:$Y$4)*$K908*$L908*$M908</f>
        <v/>
      </c>
      <c r="AD908" s="15" t="n">
        <v>3</v>
      </c>
      <c r="AE908" s="11" t="n">
        <v>1.011296296296296</v>
      </c>
      <c r="AF908" s="16">
        <f>SUMPRODUCT(N908:Y908,$N$5:$Y$5)*$K908*$L908*$M908</f>
        <v/>
      </c>
      <c r="AG908" s="16">
        <f>SUMPRODUCT(N908:Y908,$N$6:$Y$6)*$K908*$L908*$M908</f>
        <v/>
      </c>
      <c r="AH908" s="20" t="n"/>
    </row>
    <row r="909">
      <c r="A909" s="9" t="n">
        <v>687567</v>
      </c>
      <c r="B909" s="9" t="inlineStr">
        <is>
          <t>Jorel Ortega</t>
        </is>
      </c>
      <c r="C909" s="9" t="inlineStr">
        <is>
          <t>MIN</t>
        </is>
      </c>
      <c r="D909" s="9" t="n">
        <v>25</v>
      </c>
      <c r="E909" s="18" t="inlineStr">
        <is>
          <t>R</t>
        </is>
      </c>
      <c r="F909" s="18" t="n"/>
      <c r="G909" s="9" t="n">
        <v>3.01</v>
      </c>
      <c r="H909" s="9" t="n">
        <v>3.01</v>
      </c>
      <c r="I909" s="9" t="inlineStr">
        <is>
          <t>Depth (no MLB IP)</t>
        </is>
      </c>
      <c r="J909" s="18" t="inlineStr">
        <is>
          <t>Opening Day</t>
        </is>
      </c>
      <c r="K909" s="11">
        <f>IFERROR(INDEX(Roles!$B$17:$B$20,MATCH(J909,Roles!$A$17:$A$20,0)),1)</f>
        <v/>
      </c>
      <c r="L909" s="19" t="n">
        <v>1</v>
      </c>
      <c r="M909" s="11" t="n">
        <v>1</v>
      </c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>
        <v>1</v>
      </c>
      <c r="Z909" s="13">
        <f>SUMPRODUCT(N909:Y909,$N$2:$Y$2)*$K909*$L909*$M909</f>
        <v/>
      </c>
      <c r="AA909" s="14">
        <f>SUM(N909:Y909)</f>
        <v/>
      </c>
      <c r="AB909" s="13">
        <f>SUMPRODUCT(N909:Y909,$N$3:$Y$3)*$K909*$L909*$M909</f>
        <v/>
      </c>
      <c r="AC909" s="13">
        <f>SUMPRODUCT(N909:Y909,$N$4:$Y$4)*$K909*$L909*$M909</f>
        <v/>
      </c>
      <c r="AD909" s="15" t="n">
        <v>3</v>
      </c>
      <c r="AE909" s="11" t="n">
        <v>1.011296296296296</v>
      </c>
      <c r="AF909" s="16">
        <f>SUMPRODUCT(N909:Y909,$N$5:$Y$5)*$K909*$L909*$M909</f>
        <v/>
      </c>
      <c r="AG909" s="16">
        <f>SUMPRODUCT(N909:Y909,$N$6:$Y$6)*$K909*$L909*$M909</f>
        <v/>
      </c>
      <c r="AH909" s="20" t="n"/>
    </row>
    <row r="910">
      <c r="A910" s="9" t="n">
        <v>687984</v>
      </c>
      <c r="B910" s="9" t="inlineStr">
        <is>
          <t>Brady Hill</t>
        </is>
      </c>
      <c r="C910" s="9" t="inlineStr">
        <is>
          <t>WSH</t>
        </is>
      </c>
      <c r="D910" s="9" t="n">
        <v>25</v>
      </c>
      <c r="E910" s="18" t="inlineStr">
        <is>
          <t>R</t>
        </is>
      </c>
      <c r="F910" s="18" t="n"/>
      <c r="G910" s="9" t="n">
        <v>3.01</v>
      </c>
      <c r="H910" s="9" t="n">
        <v>3.01</v>
      </c>
      <c r="I910" s="9" t="inlineStr">
        <is>
          <t>Depth (no MLB IP)</t>
        </is>
      </c>
      <c r="J910" s="18" t="inlineStr">
        <is>
          <t>Opening Day</t>
        </is>
      </c>
      <c r="K910" s="11">
        <f>IFERROR(INDEX(Roles!$B$17:$B$20,MATCH(J910,Roles!$A$17:$A$20,0)),1)</f>
        <v/>
      </c>
      <c r="L910" s="19" t="n">
        <v>1</v>
      </c>
      <c r="M910" s="11" t="n">
        <v>1</v>
      </c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>
        <v>1</v>
      </c>
      <c r="Z910" s="13">
        <f>SUMPRODUCT(N910:Y910,$N$2:$Y$2)*$K910*$L910*$M910</f>
        <v/>
      </c>
      <c r="AA910" s="14">
        <f>SUM(N910:Y910)</f>
        <v/>
      </c>
      <c r="AB910" s="13">
        <f>SUMPRODUCT(N910:Y910,$N$3:$Y$3)*$K910*$L910*$M910</f>
        <v/>
      </c>
      <c r="AC910" s="13">
        <f>SUMPRODUCT(N910:Y910,$N$4:$Y$4)*$K910*$L910*$M910</f>
        <v/>
      </c>
      <c r="AD910" s="15" t="n">
        <v>3</v>
      </c>
      <c r="AE910" s="11" t="n">
        <v>1.011296296296296</v>
      </c>
      <c r="AF910" s="16">
        <f>SUMPRODUCT(N910:Y910,$N$5:$Y$5)*$K910*$L910*$M910</f>
        <v/>
      </c>
      <c r="AG910" s="16">
        <f>SUMPRODUCT(N910:Y910,$N$6:$Y$6)*$K910*$L910*$M910</f>
        <v/>
      </c>
      <c r="AH910" s="20" t="n"/>
    </row>
    <row r="911">
      <c r="A911" s="9" t="n">
        <v>543272</v>
      </c>
      <c r="B911" s="9" t="inlineStr">
        <is>
          <t>Brad Hand</t>
        </is>
      </c>
      <c r="C911" s="9" t="inlineStr">
        <is>
          <t>ATL</t>
        </is>
      </c>
      <c r="D911" s="9" t="n">
        <v>37</v>
      </c>
      <c r="E911" s="18" t="inlineStr">
        <is>
          <t>L</t>
        </is>
      </c>
      <c r="F911" s="18" t="n"/>
      <c r="G911" s="9" t="n">
        <v>236</v>
      </c>
      <c r="H911" s="9" t="n">
        <v>434</v>
      </c>
      <c r="I911" s="9" t="inlineStr">
        <is>
          <t>Depth (no MLB IP)</t>
        </is>
      </c>
      <c r="J911" s="18" t="inlineStr">
        <is>
          <t>Opening Day</t>
        </is>
      </c>
      <c r="K911" s="11">
        <f>IFERROR(INDEX(Roles!$B$17:$B$20,MATCH(J911,Roles!$A$17:$A$20,0)),1)</f>
        <v/>
      </c>
      <c r="L911" s="19" t="n">
        <v>1</v>
      </c>
      <c r="M911" s="11" t="n">
        <v>1</v>
      </c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>
        <v>1</v>
      </c>
      <c r="Z911" s="13">
        <f>SUMPRODUCT(N911:Y911,$N$2:$Y$2)*$K911*$L911*$M911</f>
        <v/>
      </c>
      <c r="AA911" s="14">
        <f>SUM(N911:Y911)</f>
        <v/>
      </c>
      <c r="AB911" s="13">
        <f>SUMPRODUCT(N911:Y911,$N$3:$Y$3)*$K911*$L911*$M911</f>
        <v/>
      </c>
      <c r="AC911" s="13">
        <f>SUMPRODUCT(N911:Y911,$N$4:$Y$4)*$K911*$L911*$M911</f>
        <v/>
      </c>
      <c r="AD911" s="15" t="n">
        <v>3</v>
      </c>
      <c r="AE911" s="11" t="n">
        <v>1.011296296296296</v>
      </c>
      <c r="AF911" s="16">
        <f>SUMPRODUCT(N911:Y911,$N$5:$Y$5)*$K911*$L911*$M911</f>
        <v/>
      </c>
      <c r="AG911" s="16">
        <f>SUMPRODUCT(N911:Y911,$N$6:$Y$6)*$K911*$L911*$M911</f>
        <v/>
      </c>
      <c r="AH911" s="20" t="n"/>
    </row>
    <row r="912">
      <c r="A912" s="9" t="n">
        <v>687308</v>
      </c>
      <c r="B912" s="9" t="inlineStr">
        <is>
          <t>Ryan Harvey</t>
        </is>
      </c>
      <c r="C912" s="9" t="inlineStr">
        <is>
          <t>DET</t>
        </is>
      </c>
      <c r="D912" s="9" t="n">
        <v>25</v>
      </c>
      <c r="E912" s="18" t="inlineStr">
        <is>
          <t>R</t>
        </is>
      </c>
      <c r="F912" s="18" t="n"/>
      <c r="G912" s="9" t="n">
        <v>3.01</v>
      </c>
      <c r="H912" s="9" t="n">
        <v>3.01</v>
      </c>
      <c r="I912" s="9" t="inlineStr">
        <is>
          <t>Depth (no MLB IP)</t>
        </is>
      </c>
      <c r="J912" s="18" t="inlineStr">
        <is>
          <t>Opening Day</t>
        </is>
      </c>
      <c r="K912" s="11">
        <f>IFERROR(INDEX(Roles!$B$17:$B$20,MATCH(J912,Roles!$A$17:$A$20,0)),1)</f>
        <v/>
      </c>
      <c r="L912" s="19" t="n">
        <v>1</v>
      </c>
      <c r="M912" s="11" t="n">
        <v>1</v>
      </c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>
        <v>1</v>
      </c>
      <c r="Z912" s="13">
        <f>SUMPRODUCT(N912:Y912,$N$2:$Y$2)*$K912*$L912*$M912</f>
        <v/>
      </c>
      <c r="AA912" s="14">
        <f>SUM(N912:Y912)</f>
        <v/>
      </c>
      <c r="AB912" s="13">
        <f>SUMPRODUCT(N912:Y912,$N$3:$Y$3)*$K912*$L912*$M912</f>
        <v/>
      </c>
      <c r="AC912" s="13">
        <f>SUMPRODUCT(N912:Y912,$N$4:$Y$4)*$K912*$L912*$M912</f>
        <v/>
      </c>
      <c r="AD912" s="15" t="n">
        <v>3</v>
      </c>
      <c r="AE912" s="11" t="n">
        <v>1.011296296296296</v>
      </c>
      <c r="AF912" s="16">
        <f>SUMPRODUCT(N912:Y912,$N$5:$Y$5)*$K912*$L912*$M912</f>
        <v/>
      </c>
      <c r="AG912" s="16">
        <f>SUMPRODUCT(N912:Y912,$N$6:$Y$6)*$K912*$L912*$M912</f>
        <v/>
      </c>
      <c r="AH912" s="20" t="n"/>
    </row>
    <row r="913">
      <c r="A913" s="9" t="n">
        <v>687114</v>
      </c>
      <c r="B913" s="9" t="inlineStr">
        <is>
          <t>Bryce Hubbart</t>
        </is>
      </c>
      <c r="C913" s="9" t="inlineStr">
        <is>
          <t>CIN</t>
        </is>
      </c>
      <c r="D913" s="9" t="n">
        <v>25</v>
      </c>
      <c r="E913" s="18" t="inlineStr">
        <is>
          <t>L</t>
        </is>
      </c>
      <c r="F913" s="18" t="n"/>
      <c r="G913" s="9" t="n">
        <v>3.153333333333333</v>
      </c>
      <c r="H913" s="9" t="n">
        <v>3.153333333333333</v>
      </c>
      <c r="I913" s="9" t="inlineStr">
        <is>
          <t>Depth (no MLB IP)</t>
        </is>
      </c>
      <c r="J913" s="18" t="inlineStr">
        <is>
          <t>Opening Day</t>
        </is>
      </c>
      <c r="K913" s="11">
        <f>IFERROR(INDEX(Roles!$B$17:$B$20,MATCH(J913,Roles!$A$17:$A$20,0)),1)</f>
        <v/>
      </c>
      <c r="L913" s="19" t="n">
        <v>1</v>
      </c>
      <c r="M913" s="11" t="n">
        <v>1</v>
      </c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>
        <v>1</v>
      </c>
      <c r="Z913" s="13">
        <f>SUMPRODUCT(N913:Y913,$N$2:$Y$2)*$K913*$L913*$M913</f>
        <v/>
      </c>
      <c r="AA913" s="14">
        <f>SUM(N913:Y913)</f>
        <v/>
      </c>
      <c r="AB913" s="13">
        <f>SUMPRODUCT(N913:Y913,$N$3:$Y$3)*$K913*$L913*$M913</f>
        <v/>
      </c>
      <c r="AC913" s="13">
        <f>SUMPRODUCT(N913:Y913,$N$4:$Y$4)*$K913*$L913*$M913</f>
        <v/>
      </c>
      <c r="AD913" s="15" t="n">
        <v>3</v>
      </c>
      <c r="AE913" s="11" t="n">
        <v>1.011296296296296</v>
      </c>
      <c r="AF913" s="16">
        <f>SUMPRODUCT(N913:Y913,$N$5:$Y$5)*$K913*$L913*$M913</f>
        <v/>
      </c>
      <c r="AG913" s="16">
        <f>SUMPRODUCT(N913:Y913,$N$6:$Y$6)*$K913*$L913*$M913</f>
        <v/>
      </c>
      <c r="AH913" s="20" t="n"/>
    </row>
    <row r="914">
      <c r="A914" s="9" t="n">
        <v>808117</v>
      </c>
      <c r="B914" s="9" t="inlineStr">
        <is>
          <t>Jean Brito</t>
        </is>
      </c>
      <c r="C914" s="9" t="inlineStr">
        <is>
          <t>NYM</t>
        </is>
      </c>
      <c r="D914" s="9" t="n">
        <v>25</v>
      </c>
      <c r="E914" s="18" t="inlineStr">
        <is>
          <t>R</t>
        </is>
      </c>
      <c r="F914" s="18" t="n"/>
      <c r="G914" s="9" t="n">
        <v>3.096</v>
      </c>
      <c r="H914" s="9" t="n">
        <v>3.096</v>
      </c>
      <c r="I914" s="9" t="inlineStr">
        <is>
          <t>Depth (no MLB IP)</t>
        </is>
      </c>
      <c r="J914" s="18" t="inlineStr">
        <is>
          <t>Opening Day</t>
        </is>
      </c>
      <c r="K914" s="11">
        <f>IFERROR(INDEX(Roles!$B$17:$B$20,MATCH(J914,Roles!$A$17:$A$20,0)),1)</f>
        <v/>
      </c>
      <c r="L914" s="19" t="n">
        <v>1</v>
      </c>
      <c r="M914" s="11" t="n">
        <v>1</v>
      </c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>
        <v>1</v>
      </c>
      <c r="Z914" s="13">
        <f>SUMPRODUCT(N914:Y914,$N$2:$Y$2)*$K914*$L914*$M914</f>
        <v/>
      </c>
      <c r="AA914" s="14">
        <f>SUM(N914:Y914)</f>
        <v/>
      </c>
      <c r="AB914" s="13">
        <f>SUMPRODUCT(N914:Y914,$N$3:$Y$3)*$K914*$L914*$M914</f>
        <v/>
      </c>
      <c r="AC914" s="13">
        <f>SUMPRODUCT(N914:Y914,$N$4:$Y$4)*$K914*$L914*$M914</f>
        <v/>
      </c>
      <c r="AD914" s="15" t="n">
        <v>3</v>
      </c>
      <c r="AE914" s="11" t="n">
        <v>1.011296296296296</v>
      </c>
      <c r="AF914" s="16">
        <f>SUMPRODUCT(N914:Y914,$N$5:$Y$5)*$K914*$L914*$M914</f>
        <v/>
      </c>
      <c r="AG914" s="16">
        <f>SUMPRODUCT(N914:Y914,$N$6:$Y$6)*$K914*$L914*$M914</f>
        <v/>
      </c>
      <c r="AH914" s="20" t="n"/>
    </row>
    <row r="915">
      <c r="A915" s="9" t="n">
        <v>808054</v>
      </c>
      <c r="B915" s="9" t="inlineStr">
        <is>
          <t>Yordin Chalas</t>
        </is>
      </c>
      <c r="C915" s="9" t="inlineStr">
        <is>
          <t>ARI</t>
        </is>
      </c>
      <c r="D915" s="9" t="n">
        <v>25</v>
      </c>
      <c r="E915" s="18" t="inlineStr">
        <is>
          <t>R</t>
        </is>
      </c>
      <c r="F915" s="18" t="n"/>
      <c r="G915" s="9" t="n">
        <v>3.01</v>
      </c>
      <c r="H915" s="9" t="n">
        <v>3.01</v>
      </c>
      <c r="I915" s="9" t="inlineStr">
        <is>
          <t>Depth (no MLB IP)</t>
        </is>
      </c>
      <c r="J915" s="18" t="inlineStr">
        <is>
          <t>Opening Day</t>
        </is>
      </c>
      <c r="K915" s="11">
        <f>IFERROR(INDEX(Roles!$B$17:$B$20,MATCH(J915,Roles!$A$17:$A$20,0)),1)</f>
        <v/>
      </c>
      <c r="L915" s="19" t="n">
        <v>1</v>
      </c>
      <c r="M915" s="11" t="n">
        <v>1</v>
      </c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>
        <v>1</v>
      </c>
      <c r="Z915" s="13">
        <f>SUMPRODUCT(N915:Y915,$N$2:$Y$2)*$K915*$L915*$M915</f>
        <v/>
      </c>
      <c r="AA915" s="14">
        <f>SUM(N915:Y915)</f>
        <v/>
      </c>
      <c r="AB915" s="13">
        <f>SUMPRODUCT(N915:Y915,$N$3:$Y$3)*$K915*$L915*$M915</f>
        <v/>
      </c>
      <c r="AC915" s="13">
        <f>SUMPRODUCT(N915:Y915,$N$4:$Y$4)*$K915*$L915*$M915</f>
        <v/>
      </c>
      <c r="AD915" s="15" t="n">
        <v>3</v>
      </c>
      <c r="AE915" s="11" t="n">
        <v>1.011296296296296</v>
      </c>
      <c r="AF915" s="16">
        <f>SUMPRODUCT(N915:Y915,$N$5:$Y$5)*$K915*$L915*$M915</f>
        <v/>
      </c>
      <c r="AG915" s="16">
        <f>SUMPRODUCT(N915:Y915,$N$6:$Y$6)*$K915*$L915*$M915</f>
        <v/>
      </c>
      <c r="AH915" s="20" t="n"/>
    </row>
    <row r="916">
      <c r="A916" s="9" t="n">
        <v>807816</v>
      </c>
      <c r="B916" s="9" t="inlineStr">
        <is>
          <t>Angel Anazco</t>
        </is>
      </c>
      <c r="C916" s="9" t="inlineStr">
        <is>
          <t>TEX</t>
        </is>
      </c>
      <c r="D916" s="9" t="n">
        <v>25</v>
      </c>
      <c r="E916" s="18" t="inlineStr">
        <is>
          <t>L</t>
        </is>
      </c>
      <c r="F916" s="18" t="n"/>
      <c r="G916" s="9" t="n">
        <v>2.924</v>
      </c>
      <c r="H916" s="9" t="n">
        <v>2.924</v>
      </c>
      <c r="I916" s="9" t="inlineStr">
        <is>
          <t>Depth (no MLB IP)</t>
        </is>
      </c>
      <c r="J916" s="18" t="inlineStr">
        <is>
          <t>Opening Day</t>
        </is>
      </c>
      <c r="K916" s="11">
        <f>IFERROR(INDEX(Roles!$B$17:$B$20,MATCH(J916,Roles!$A$17:$A$20,0)),1)</f>
        <v/>
      </c>
      <c r="L916" s="19" t="n">
        <v>1</v>
      </c>
      <c r="M916" s="11" t="n">
        <v>1</v>
      </c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>
        <v>1</v>
      </c>
      <c r="Z916" s="13">
        <f>SUMPRODUCT(N916:Y916,$N$2:$Y$2)*$K916*$L916*$M916</f>
        <v/>
      </c>
      <c r="AA916" s="14">
        <f>SUM(N916:Y916)</f>
        <v/>
      </c>
      <c r="AB916" s="13">
        <f>SUMPRODUCT(N916:Y916,$N$3:$Y$3)*$K916*$L916*$M916</f>
        <v/>
      </c>
      <c r="AC916" s="13">
        <f>SUMPRODUCT(N916:Y916,$N$4:$Y$4)*$K916*$L916*$M916</f>
        <v/>
      </c>
      <c r="AD916" s="15" t="n">
        <v>3</v>
      </c>
      <c r="AE916" s="11" t="n">
        <v>1.011296296296296</v>
      </c>
      <c r="AF916" s="16">
        <f>SUMPRODUCT(N916:Y916,$N$5:$Y$5)*$K916*$L916*$M916</f>
        <v/>
      </c>
      <c r="AG916" s="16">
        <f>SUMPRODUCT(N916:Y916,$N$6:$Y$6)*$K916*$L916*$M916</f>
        <v/>
      </c>
      <c r="AH916" s="20" t="n"/>
    </row>
    <row r="917">
      <c r="A917" s="9" t="n">
        <v>808236</v>
      </c>
      <c r="B917" s="9" t="inlineStr">
        <is>
          <t>Luiyin Alastre</t>
        </is>
      </c>
      <c r="C917" s="9" t="inlineStr">
        <is>
          <t>MIL</t>
        </is>
      </c>
      <c r="D917" s="9" t="n">
        <v>25</v>
      </c>
      <c r="E917" s="18" t="inlineStr">
        <is>
          <t>R</t>
        </is>
      </c>
      <c r="F917" s="18" t="n"/>
      <c r="G917" s="9" t="n">
        <v>3.153333333333333</v>
      </c>
      <c r="H917" s="9" t="n">
        <v>3.153333333333333</v>
      </c>
      <c r="I917" s="9" t="inlineStr">
        <is>
          <t>Depth (no MLB IP)</t>
        </is>
      </c>
      <c r="J917" s="18" t="inlineStr">
        <is>
          <t>Opening Day</t>
        </is>
      </c>
      <c r="K917" s="11">
        <f>IFERROR(INDEX(Roles!$B$17:$B$20,MATCH(J917,Roles!$A$17:$A$20,0)),1)</f>
        <v/>
      </c>
      <c r="L917" s="19" t="n">
        <v>1</v>
      </c>
      <c r="M917" s="11" t="n">
        <v>1</v>
      </c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>
        <v>1</v>
      </c>
      <c r="Z917" s="13">
        <f>SUMPRODUCT(N917:Y917,$N$2:$Y$2)*$K917*$L917*$M917</f>
        <v/>
      </c>
      <c r="AA917" s="14">
        <f>SUM(N917:Y917)</f>
        <v/>
      </c>
      <c r="AB917" s="13">
        <f>SUMPRODUCT(N917:Y917,$N$3:$Y$3)*$K917*$L917*$M917</f>
        <v/>
      </c>
      <c r="AC917" s="13">
        <f>SUMPRODUCT(N917:Y917,$N$4:$Y$4)*$K917*$L917*$M917</f>
        <v/>
      </c>
      <c r="AD917" s="15" t="n">
        <v>3</v>
      </c>
      <c r="AE917" s="11" t="n">
        <v>1.011296296296296</v>
      </c>
      <c r="AF917" s="16">
        <f>SUMPRODUCT(N917:Y917,$N$5:$Y$5)*$K917*$L917*$M917</f>
        <v/>
      </c>
      <c r="AG917" s="16">
        <f>SUMPRODUCT(N917:Y917,$N$6:$Y$6)*$K917*$L917*$M917</f>
        <v/>
      </c>
      <c r="AH917" s="20" t="n"/>
    </row>
    <row r="918">
      <c r="A918" s="9" t="n">
        <v>808081</v>
      </c>
      <c r="B918" s="9" t="inlineStr">
        <is>
          <t>Xavier Cruz</t>
        </is>
      </c>
      <c r="C918" s="9" t="inlineStr">
        <is>
          <t>STL</t>
        </is>
      </c>
      <c r="D918" s="9" t="n">
        <v>25</v>
      </c>
      <c r="E918" s="18" t="inlineStr">
        <is>
          <t>R</t>
        </is>
      </c>
      <c r="F918" s="18" t="n"/>
      <c r="G918" s="9" t="n">
        <v>2.924</v>
      </c>
      <c r="H918" s="9" t="n">
        <v>2.924</v>
      </c>
      <c r="I918" s="9" t="inlineStr">
        <is>
          <t>Depth (no MLB IP)</t>
        </is>
      </c>
      <c r="J918" s="18" t="inlineStr">
        <is>
          <t>Opening Day</t>
        </is>
      </c>
      <c r="K918" s="11">
        <f>IFERROR(INDEX(Roles!$B$17:$B$20,MATCH(J918,Roles!$A$17:$A$20,0)),1)</f>
        <v/>
      </c>
      <c r="L918" s="19" t="n">
        <v>1</v>
      </c>
      <c r="M918" s="11" t="n">
        <v>1</v>
      </c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>
        <v>1</v>
      </c>
      <c r="Z918" s="13">
        <f>SUMPRODUCT(N918:Y918,$N$2:$Y$2)*$K918*$L918*$M918</f>
        <v/>
      </c>
      <c r="AA918" s="14">
        <f>SUM(N918:Y918)</f>
        <v/>
      </c>
      <c r="AB918" s="13">
        <f>SUMPRODUCT(N918:Y918,$N$3:$Y$3)*$K918*$L918*$M918</f>
        <v/>
      </c>
      <c r="AC918" s="13">
        <f>SUMPRODUCT(N918:Y918,$N$4:$Y$4)*$K918*$L918*$M918</f>
        <v/>
      </c>
      <c r="AD918" s="15" t="n">
        <v>3</v>
      </c>
      <c r="AE918" s="11" t="n">
        <v>1.011296296296296</v>
      </c>
      <c r="AF918" s="16">
        <f>SUMPRODUCT(N918:Y918,$N$5:$Y$5)*$K918*$L918*$M918</f>
        <v/>
      </c>
      <c r="AG918" s="16">
        <f>SUMPRODUCT(N918:Y918,$N$6:$Y$6)*$K918*$L918*$M918</f>
        <v/>
      </c>
      <c r="AH918" s="20" t="n"/>
    </row>
    <row r="919">
      <c r="A919" s="9" t="n">
        <v>701579</v>
      </c>
      <c r="B919" s="9" t="inlineStr">
        <is>
          <t>Ethan Flanagan</t>
        </is>
      </c>
      <c r="C919" s="9" t="inlineStr">
        <is>
          <t>CHC</t>
        </is>
      </c>
      <c r="D919" s="9" t="n">
        <v>25</v>
      </c>
      <c r="E919" s="18" t="inlineStr">
        <is>
          <t>L</t>
        </is>
      </c>
      <c r="F919" s="18" t="n"/>
      <c r="G919" s="9" t="n">
        <v>3.01</v>
      </c>
      <c r="H919" s="9" t="n">
        <v>3.01</v>
      </c>
      <c r="I919" s="9" t="inlineStr">
        <is>
          <t>Depth (no MLB IP)</t>
        </is>
      </c>
      <c r="J919" s="18" t="inlineStr">
        <is>
          <t>Opening Day</t>
        </is>
      </c>
      <c r="K919" s="11">
        <f>IFERROR(INDEX(Roles!$B$17:$B$20,MATCH(J919,Roles!$A$17:$A$20,0)),1)</f>
        <v/>
      </c>
      <c r="L919" s="19" t="n">
        <v>1</v>
      </c>
      <c r="M919" s="11" t="n">
        <v>1</v>
      </c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>
        <v>1</v>
      </c>
      <c r="Z919" s="13">
        <f>SUMPRODUCT(N919:Y919,$N$2:$Y$2)*$K919*$L919*$M919</f>
        <v/>
      </c>
      <c r="AA919" s="14">
        <f>SUM(N919:Y919)</f>
        <v/>
      </c>
      <c r="AB919" s="13">
        <f>SUMPRODUCT(N919:Y919,$N$3:$Y$3)*$K919*$L919*$M919</f>
        <v/>
      </c>
      <c r="AC919" s="13">
        <f>SUMPRODUCT(N919:Y919,$N$4:$Y$4)*$K919*$L919*$M919</f>
        <v/>
      </c>
      <c r="AD919" s="15" t="n">
        <v>3</v>
      </c>
      <c r="AE919" s="11" t="n">
        <v>1.011296296296296</v>
      </c>
      <c r="AF919" s="16">
        <f>SUMPRODUCT(N919:Y919,$N$5:$Y$5)*$K919*$L919*$M919</f>
        <v/>
      </c>
      <c r="AG919" s="16">
        <f>SUMPRODUCT(N919:Y919,$N$6:$Y$6)*$K919*$L919*$M919</f>
        <v/>
      </c>
      <c r="AH919" s="20" t="n"/>
    </row>
    <row r="920">
      <c r="A920" s="9" t="n">
        <v>801967</v>
      </c>
      <c r="B920" s="9" t="inlineStr">
        <is>
          <t>Tony Neubeck</t>
        </is>
      </c>
      <c r="C920" s="9" t="inlineStr">
        <is>
          <t>WSH</t>
        </is>
      </c>
      <c r="D920" s="9" t="n">
        <v>25</v>
      </c>
      <c r="E920" s="18" t="inlineStr">
        <is>
          <t>L</t>
        </is>
      </c>
      <c r="F920" s="18" t="n"/>
      <c r="G920" s="9" t="n">
        <v>3.096</v>
      </c>
      <c r="H920" s="9" t="n">
        <v>3.096</v>
      </c>
      <c r="I920" s="9" t="inlineStr">
        <is>
          <t>Depth (no MLB IP)</t>
        </is>
      </c>
      <c r="J920" s="18" t="inlineStr">
        <is>
          <t>Opening Day</t>
        </is>
      </c>
      <c r="K920" s="11">
        <f>IFERROR(INDEX(Roles!$B$17:$B$20,MATCH(J920,Roles!$A$17:$A$20,0)),1)</f>
        <v/>
      </c>
      <c r="L920" s="19" t="n">
        <v>1</v>
      </c>
      <c r="M920" s="11" t="n">
        <v>1</v>
      </c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>
        <v>1</v>
      </c>
      <c r="Z920" s="13">
        <f>SUMPRODUCT(N920:Y920,$N$2:$Y$2)*$K920*$L920*$M920</f>
        <v/>
      </c>
      <c r="AA920" s="14">
        <f>SUM(N920:Y920)</f>
        <v/>
      </c>
      <c r="AB920" s="13">
        <f>SUMPRODUCT(N920:Y920,$N$3:$Y$3)*$K920*$L920*$M920</f>
        <v/>
      </c>
      <c r="AC920" s="13">
        <f>SUMPRODUCT(N920:Y920,$N$4:$Y$4)*$K920*$L920*$M920</f>
        <v/>
      </c>
      <c r="AD920" s="15" t="n">
        <v>3</v>
      </c>
      <c r="AE920" s="11" t="n">
        <v>1.011296296296296</v>
      </c>
      <c r="AF920" s="16">
        <f>SUMPRODUCT(N920:Y920,$N$5:$Y$5)*$K920*$L920*$M920</f>
        <v/>
      </c>
      <c r="AG920" s="16">
        <f>SUMPRODUCT(N920:Y920,$N$6:$Y$6)*$K920*$L920*$M920</f>
        <v/>
      </c>
      <c r="AH920" s="20" t="n"/>
    </row>
    <row r="921">
      <c r="A921" s="9" t="n">
        <v>801505</v>
      </c>
      <c r="B921" s="9" t="inlineStr">
        <is>
          <t>Paxton Thompson</t>
        </is>
      </c>
      <c r="C921" s="9" t="inlineStr">
        <is>
          <t>TEX</t>
        </is>
      </c>
      <c r="D921" s="9" t="n">
        <v>25</v>
      </c>
      <c r="E921" s="18" t="inlineStr">
        <is>
          <t>R</t>
        </is>
      </c>
      <c r="F921" s="18" t="n"/>
      <c r="G921" s="9" t="n">
        <v>2.866666666666667</v>
      </c>
      <c r="H921" s="9" t="n">
        <v>2.866666666666667</v>
      </c>
      <c r="I921" s="9" t="inlineStr">
        <is>
          <t>Depth (no MLB IP)</t>
        </is>
      </c>
      <c r="J921" s="18" t="inlineStr">
        <is>
          <t>Opening Day</t>
        </is>
      </c>
      <c r="K921" s="11">
        <f>IFERROR(INDEX(Roles!$B$17:$B$20,MATCH(J921,Roles!$A$17:$A$20,0)),1)</f>
        <v/>
      </c>
      <c r="L921" s="19" t="n">
        <v>1</v>
      </c>
      <c r="M921" s="11" t="n">
        <v>1</v>
      </c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>
        <v>1</v>
      </c>
      <c r="Z921" s="13">
        <f>SUMPRODUCT(N921:Y921,$N$2:$Y$2)*$K921*$L921*$M921</f>
        <v/>
      </c>
      <c r="AA921" s="14">
        <f>SUM(N921:Y921)</f>
        <v/>
      </c>
      <c r="AB921" s="13">
        <f>SUMPRODUCT(N921:Y921,$N$3:$Y$3)*$K921*$L921*$M921</f>
        <v/>
      </c>
      <c r="AC921" s="13">
        <f>SUMPRODUCT(N921:Y921,$N$4:$Y$4)*$K921*$L921*$M921</f>
        <v/>
      </c>
      <c r="AD921" s="15" t="n">
        <v>3</v>
      </c>
      <c r="AE921" s="11" t="n">
        <v>1.011296296296296</v>
      </c>
      <c r="AF921" s="16">
        <f>SUMPRODUCT(N921:Y921,$N$5:$Y$5)*$K921*$L921*$M921</f>
        <v/>
      </c>
      <c r="AG921" s="16">
        <f>SUMPRODUCT(N921:Y921,$N$6:$Y$6)*$K921*$L921*$M921</f>
        <v/>
      </c>
      <c r="AH921" s="20" t="n"/>
    </row>
    <row r="922">
      <c r="A922" s="9" t="n">
        <v>694425</v>
      </c>
      <c r="B922" s="9" t="inlineStr">
        <is>
          <t>Justice Bigbie</t>
        </is>
      </c>
      <c r="C922" s="9" t="inlineStr">
        <is>
          <t>DET</t>
        </is>
      </c>
      <c r="D922" s="9" t="n">
        <v>25</v>
      </c>
      <c r="E922" s="18" t="inlineStr">
        <is>
          <t>R</t>
        </is>
      </c>
      <c r="F922" s="18" t="n"/>
      <c r="G922" s="9" t="n">
        <v>3.01</v>
      </c>
      <c r="H922" s="9" t="n">
        <v>3.01</v>
      </c>
      <c r="I922" s="9" t="inlineStr">
        <is>
          <t>Depth (no MLB IP)</t>
        </is>
      </c>
      <c r="J922" s="18" t="inlineStr">
        <is>
          <t>Opening Day</t>
        </is>
      </c>
      <c r="K922" s="11">
        <f>IFERROR(INDEX(Roles!$B$17:$B$20,MATCH(J922,Roles!$A$17:$A$20,0)),1)</f>
        <v/>
      </c>
      <c r="L922" s="19" t="n">
        <v>1</v>
      </c>
      <c r="M922" s="11" t="n">
        <v>1</v>
      </c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>
        <v>1</v>
      </c>
      <c r="Z922" s="13">
        <f>SUMPRODUCT(N922:Y922,$N$2:$Y$2)*$K922*$L922*$M922</f>
        <v/>
      </c>
      <c r="AA922" s="14">
        <f>SUM(N922:Y922)</f>
        <v/>
      </c>
      <c r="AB922" s="13">
        <f>SUMPRODUCT(N922:Y922,$N$3:$Y$3)*$K922*$L922*$M922</f>
        <v/>
      </c>
      <c r="AC922" s="13">
        <f>SUMPRODUCT(N922:Y922,$N$4:$Y$4)*$K922*$L922*$M922</f>
        <v/>
      </c>
      <c r="AD922" s="15" t="n">
        <v>3</v>
      </c>
      <c r="AE922" s="11" t="n">
        <v>1.011296296296296</v>
      </c>
      <c r="AF922" s="16">
        <f>SUMPRODUCT(N922:Y922,$N$5:$Y$5)*$K922*$L922*$M922</f>
        <v/>
      </c>
      <c r="AG922" s="16">
        <f>SUMPRODUCT(N922:Y922,$N$6:$Y$6)*$K922*$L922*$M922</f>
        <v/>
      </c>
      <c r="AH922" s="20" t="n"/>
    </row>
    <row r="923">
      <c r="A923" s="9" t="n">
        <v>820982</v>
      </c>
      <c r="B923" s="9" t="inlineStr">
        <is>
          <t>Neiker Palacios</t>
        </is>
      </c>
      <c r="C923" s="9" t="inlineStr">
        <is>
          <t>ARI</t>
        </is>
      </c>
      <c r="D923" s="9" t="n">
        <v>25</v>
      </c>
      <c r="E923" s="18" t="inlineStr">
        <is>
          <t>R</t>
        </is>
      </c>
      <c r="F923" s="18" t="n"/>
      <c r="G923" s="9" t="n">
        <v>3.096</v>
      </c>
      <c r="H923" s="9" t="n">
        <v>3.096</v>
      </c>
      <c r="I923" s="9" t="inlineStr">
        <is>
          <t>Depth (no MLB IP)</t>
        </is>
      </c>
      <c r="J923" s="18" t="inlineStr">
        <is>
          <t>Opening Day</t>
        </is>
      </c>
      <c r="K923" s="11">
        <f>IFERROR(INDEX(Roles!$B$17:$B$20,MATCH(J923,Roles!$A$17:$A$20,0)),1)</f>
        <v/>
      </c>
      <c r="L923" s="19" t="n">
        <v>1</v>
      </c>
      <c r="M923" s="11" t="n">
        <v>1</v>
      </c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>
        <v>1</v>
      </c>
      <c r="Z923" s="13">
        <f>SUMPRODUCT(N923:Y923,$N$2:$Y$2)*$K923*$L923*$M923</f>
        <v/>
      </c>
      <c r="AA923" s="14">
        <f>SUM(N923:Y923)</f>
        <v/>
      </c>
      <c r="AB923" s="13">
        <f>SUMPRODUCT(N923:Y923,$N$3:$Y$3)*$K923*$L923*$M923</f>
        <v/>
      </c>
      <c r="AC923" s="13">
        <f>SUMPRODUCT(N923:Y923,$N$4:$Y$4)*$K923*$L923*$M923</f>
        <v/>
      </c>
      <c r="AD923" s="15" t="n">
        <v>3</v>
      </c>
      <c r="AE923" s="11" t="n">
        <v>1.011296296296296</v>
      </c>
      <c r="AF923" s="16">
        <f>SUMPRODUCT(N923:Y923,$N$5:$Y$5)*$K923*$L923*$M923</f>
        <v/>
      </c>
      <c r="AG923" s="16">
        <f>SUMPRODUCT(N923:Y923,$N$6:$Y$6)*$K923*$L923*$M923</f>
        <v/>
      </c>
      <c r="AH923" s="20" t="n"/>
    </row>
    <row r="924">
      <c r="A924" s="9" t="n">
        <v>814149</v>
      </c>
      <c r="B924" s="9" t="inlineStr">
        <is>
          <t>Zack Konstantinovsky</t>
        </is>
      </c>
      <c r="C924" s="9" t="inlineStr">
        <is>
          <t>WSH</t>
        </is>
      </c>
      <c r="D924" s="9" t="n">
        <v>25</v>
      </c>
      <c r="E924" s="18" t="inlineStr">
        <is>
          <t>R</t>
        </is>
      </c>
      <c r="F924" s="18" t="n"/>
      <c r="G924" s="9" t="n">
        <v>3.096</v>
      </c>
      <c r="H924" s="9" t="n">
        <v>3.096</v>
      </c>
      <c r="I924" s="9" t="inlineStr">
        <is>
          <t>Depth (no MLB IP)</t>
        </is>
      </c>
      <c r="J924" s="18" t="inlineStr">
        <is>
          <t>Opening Day</t>
        </is>
      </c>
      <c r="K924" s="11">
        <f>IFERROR(INDEX(Roles!$B$17:$B$20,MATCH(J924,Roles!$A$17:$A$20,0)),1)</f>
        <v/>
      </c>
      <c r="L924" s="19" t="n">
        <v>1</v>
      </c>
      <c r="M924" s="11" t="n">
        <v>1</v>
      </c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>
        <v>1</v>
      </c>
      <c r="Z924" s="13">
        <f>SUMPRODUCT(N924:Y924,$N$2:$Y$2)*$K924*$L924*$M924</f>
        <v/>
      </c>
      <c r="AA924" s="14">
        <f>SUM(N924:Y924)</f>
        <v/>
      </c>
      <c r="AB924" s="13">
        <f>SUMPRODUCT(N924:Y924,$N$3:$Y$3)*$K924*$L924*$M924</f>
        <v/>
      </c>
      <c r="AC924" s="13">
        <f>SUMPRODUCT(N924:Y924,$N$4:$Y$4)*$K924*$L924*$M924</f>
        <v/>
      </c>
      <c r="AD924" s="15" t="n">
        <v>3</v>
      </c>
      <c r="AE924" s="11" t="n">
        <v>1.011296296296296</v>
      </c>
      <c r="AF924" s="16">
        <f>SUMPRODUCT(N924:Y924,$N$5:$Y$5)*$K924*$L924*$M924</f>
        <v/>
      </c>
      <c r="AG924" s="16">
        <f>SUMPRODUCT(N924:Y924,$N$6:$Y$6)*$K924*$L924*$M924</f>
        <v/>
      </c>
      <c r="AH924" s="20" t="n"/>
    </row>
    <row r="925">
      <c r="A925" s="9" t="n">
        <v>815580</v>
      </c>
      <c r="B925" s="9" t="inlineStr">
        <is>
          <t>Will Varmette</t>
        </is>
      </c>
      <c r="C925" s="9" t="inlineStr">
        <is>
          <t>SD</t>
        </is>
      </c>
      <c r="D925" s="9" t="n">
        <v>25</v>
      </c>
      <c r="E925" s="18" t="inlineStr">
        <is>
          <t>R</t>
        </is>
      </c>
      <c r="F925" s="18" t="n"/>
      <c r="G925" s="9" t="n">
        <v>3.01</v>
      </c>
      <c r="H925" s="9" t="n">
        <v>3.01</v>
      </c>
      <c r="I925" s="9" t="inlineStr">
        <is>
          <t>Depth (no MLB IP)</t>
        </is>
      </c>
      <c r="J925" s="18" t="inlineStr">
        <is>
          <t>Opening Day</t>
        </is>
      </c>
      <c r="K925" s="11">
        <f>IFERROR(INDEX(Roles!$B$17:$B$20,MATCH(J925,Roles!$A$17:$A$20,0)),1)</f>
        <v/>
      </c>
      <c r="L925" s="19" t="n">
        <v>1</v>
      </c>
      <c r="M925" s="11" t="n">
        <v>1</v>
      </c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>
        <v>1</v>
      </c>
      <c r="Z925" s="13">
        <f>SUMPRODUCT(N925:Y925,$N$2:$Y$2)*$K925*$L925*$M925</f>
        <v/>
      </c>
      <c r="AA925" s="14">
        <f>SUM(N925:Y925)</f>
        <v/>
      </c>
      <c r="AB925" s="13">
        <f>SUMPRODUCT(N925:Y925,$N$3:$Y$3)*$K925*$L925*$M925</f>
        <v/>
      </c>
      <c r="AC925" s="13">
        <f>SUMPRODUCT(N925:Y925,$N$4:$Y$4)*$K925*$L925*$M925</f>
        <v/>
      </c>
      <c r="AD925" s="15" t="n">
        <v>3</v>
      </c>
      <c r="AE925" s="11" t="n">
        <v>1.011296296296296</v>
      </c>
      <c r="AF925" s="16">
        <f>SUMPRODUCT(N925:Y925,$N$5:$Y$5)*$K925*$L925*$M925</f>
        <v/>
      </c>
      <c r="AG925" s="16">
        <f>SUMPRODUCT(N925:Y925,$N$6:$Y$6)*$K925*$L925*$M925</f>
        <v/>
      </c>
      <c r="AH925" s="20" t="n"/>
    </row>
    <row r="926">
      <c r="A926" s="9" t="n">
        <v>680868</v>
      </c>
      <c r="B926" s="9" t="inlineStr">
        <is>
          <t>Patrick Winkel</t>
        </is>
      </c>
      <c r="C926" s="9" t="inlineStr">
        <is>
          <t>TOR</t>
        </is>
      </c>
      <c r="D926" s="9" t="n">
        <v>25</v>
      </c>
      <c r="E926" s="18" t="inlineStr">
        <is>
          <t>R</t>
        </is>
      </c>
      <c r="F926" s="18" t="n"/>
      <c r="G926" s="9" t="n">
        <v>3.01</v>
      </c>
      <c r="H926" s="9" t="n">
        <v>3.01</v>
      </c>
      <c r="I926" s="9" t="inlineStr">
        <is>
          <t>Depth (no MLB IP)</t>
        </is>
      </c>
      <c r="J926" s="18" t="inlineStr">
        <is>
          <t>Opening Day</t>
        </is>
      </c>
      <c r="K926" s="11">
        <f>IFERROR(INDEX(Roles!$B$17:$B$20,MATCH(J926,Roles!$A$17:$A$20,0)),1)</f>
        <v/>
      </c>
      <c r="L926" s="19" t="n">
        <v>1</v>
      </c>
      <c r="M926" s="11" t="n">
        <v>1</v>
      </c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>
        <v>1</v>
      </c>
      <c r="Z926" s="13">
        <f>SUMPRODUCT(N926:Y926,$N$2:$Y$2)*$K926*$L926*$M926</f>
        <v/>
      </c>
      <c r="AA926" s="14">
        <f>SUM(N926:Y926)</f>
        <v/>
      </c>
      <c r="AB926" s="13">
        <f>SUMPRODUCT(N926:Y926,$N$3:$Y$3)*$K926*$L926*$M926</f>
        <v/>
      </c>
      <c r="AC926" s="13">
        <f>SUMPRODUCT(N926:Y926,$N$4:$Y$4)*$K926*$L926*$M926</f>
        <v/>
      </c>
      <c r="AD926" s="15" t="n">
        <v>3</v>
      </c>
      <c r="AE926" s="11" t="n">
        <v>1.011296296296296</v>
      </c>
      <c r="AF926" s="16">
        <f>SUMPRODUCT(N926:Y926,$N$5:$Y$5)*$K926*$L926*$M926</f>
        <v/>
      </c>
      <c r="AG926" s="16">
        <f>SUMPRODUCT(N926:Y926,$N$6:$Y$6)*$K926*$L926*$M926</f>
        <v/>
      </c>
      <c r="AH926" s="20" t="n"/>
    </row>
    <row r="927">
      <c r="A927" s="9" t="n">
        <v>815151</v>
      </c>
      <c r="B927" s="9" t="inlineStr">
        <is>
          <t>Mac McCroskey</t>
        </is>
      </c>
      <c r="C927" s="9" t="inlineStr">
        <is>
          <t>LAA</t>
        </is>
      </c>
      <c r="D927" s="9" t="n">
        <v>25</v>
      </c>
      <c r="E927" s="18" t="inlineStr">
        <is>
          <t>R</t>
        </is>
      </c>
      <c r="F927" s="18" t="n"/>
      <c r="G927" s="9" t="n">
        <v>3.01</v>
      </c>
      <c r="H927" s="9" t="n">
        <v>3.01</v>
      </c>
      <c r="I927" s="9" t="inlineStr">
        <is>
          <t>Depth (no MLB IP)</t>
        </is>
      </c>
      <c r="J927" s="18" t="inlineStr">
        <is>
          <t>Opening Day</t>
        </is>
      </c>
      <c r="K927" s="11">
        <f>IFERROR(INDEX(Roles!$B$17:$B$20,MATCH(J927,Roles!$A$17:$A$20,0)),1)</f>
        <v/>
      </c>
      <c r="L927" s="19" t="n">
        <v>1</v>
      </c>
      <c r="M927" s="11" t="n">
        <v>1</v>
      </c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>
        <v>1</v>
      </c>
      <c r="Z927" s="13">
        <f>SUMPRODUCT(N927:Y927,$N$2:$Y$2)*$K927*$L927*$M927</f>
        <v/>
      </c>
      <c r="AA927" s="14">
        <f>SUM(N927:Y927)</f>
        <v/>
      </c>
      <c r="AB927" s="13">
        <f>SUMPRODUCT(N927:Y927,$N$3:$Y$3)*$K927*$L927*$M927</f>
        <v/>
      </c>
      <c r="AC927" s="13">
        <f>SUMPRODUCT(N927:Y927,$N$4:$Y$4)*$K927*$L927*$M927</f>
        <v/>
      </c>
      <c r="AD927" s="15" t="n">
        <v>3</v>
      </c>
      <c r="AE927" s="11" t="n">
        <v>1.011296296296296</v>
      </c>
      <c r="AF927" s="16">
        <f>SUMPRODUCT(N927:Y927,$N$5:$Y$5)*$K927*$L927*$M927</f>
        <v/>
      </c>
      <c r="AG927" s="16">
        <f>SUMPRODUCT(N927:Y927,$N$6:$Y$6)*$K927*$L927*$M927</f>
        <v/>
      </c>
      <c r="AH927" s="20" t="n"/>
    </row>
    <row r="928">
      <c r="A928" s="9" t="n">
        <v>700176</v>
      </c>
      <c r="B928" s="9" t="inlineStr">
        <is>
          <t>Keegan Batka</t>
        </is>
      </c>
      <c r="C928" s="9" t="inlineStr">
        <is>
          <t>PHI</t>
        </is>
      </c>
      <c r="D928" s="9" t="n">
        <v>25</v>
      </c>
      <c r="E928" s="18" t="inlineStr">
        <is>
          <t>R</t>
        </is>
      </c>
      <c r="F928" s="18" t="n"/>
      <c r="G928" s="9" t="n">
        <v>3.01</v>
      </c>
      <c r="H928" s="9" t="n">
        <v>3.01</v>
      </c>
      <c r="I928" s="9" t="inlineStr">
        <is>
          <t>Depth (no MLB IP)</t>
        </is>
      </c>
      <c r="J928" s="18" t="inlineStr">
        <is>
          <t>Opening Day</t>
        </is>
      </c>
      <c r="K928" s="11">
        <f>IFERROR(INDEX(Roles!$B$17:$B$20,MATCH(J928,Roles!$A$17:$A$20,0)),1)</f>
        <v/>
      </c>
      <c r="L928" s="19" t="n">
        <v>1</v>
      </c>
      <c r="M928" s="11" t="n">
        <v>1</v>
      </c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>
        <v>1</v>
      </c>
      <c r="Z928" s="13">
        <f>SUMPRODUCT(N928:Y928,$N$2:$Y$2)*$K928*$L928*$M928</f>
        <v/>
      </c>
      <c r="AA928" s="14">
        <f>SUM(N928:Y928)</f>
        <v/>
      </c>
      <c r="AB928" s="13">
        <f>SUMPRODUCT(N928:Y928,$N$3:$Y$3)*$K928*$L928*$M928</f>
        <v/>
      </c>
      <c r="AC928" s="13">
        <f>SUMPRODUCT(N928:Y928,$N$4:$Y$4)*$K928*$L928*$M928</f>
        <v/>
      </c>
      <c r="AD928" s="15" t="n">
        <v>3</v>
      </c>
      <c r="AE928" s="11" t="n">
        <v>1.011296296296296</v>
      </c>
      <c r="AF928" s="16">
        <f>SUMPRODUCT(N928:Y928,$N$5:$Y$5)*$K928*$L928*$M928</f>
        <v/>
      </c>
      <c r="AG928" s="16">
        <f>SUMPRODUCT(N928:Y928,$N$6:$Y$6)*$K928*$L928*$M928</f>
        <v/>
      </c>
      <c r="AH928" s="20" t="n"/>
    </row>
    <row r="929">
      <c r="A929" s="9" t="n">
        <v>827317</v>
      </c>
      <c r="B929" s="9" t="inlineStr">
        <is>
          <t>Brandon Downer</t>
        </is>
      </c>
      <c r="C929" s="9" t="inlineStr">
        <is>
          <t>BAL</t>
        </is>
      </c>
      <c r="D929" s="9" t="n">
        <v>25</v>
      </c>
      <c r="E929" s="18" t="inlineStr">
        <is>
          <t>R</t>
        </is>
      </c>
      <c r="F929" s="18" t="n"/>
      <c r="G929" s="9" t="n">
        <v>3.01</v>
      </c>
      <c r="H929" s="9" t="n">
        <v>3.01</v>
      </c>
      <c r="I929" s="9" t="inlineStr">
        <is>
          <t>Depth (no MLB IP)</t>
        </is>
      </c>
      <c r="J929" s="18" t="inlineStr">
        <is>
          <t>Opening Day</t>
        </is>
      </c>
      <c r="K929" s="11">
        <f>IFERROR(INDEX(Roles!$B$17:$B$20,MATCH(J929,Roles!$A$17:$A$20,0)),1)</f>
        <v/>
      </c>
      <c r="L929" s="19" t="n">
        <v>1</v>
      </c>
      <c r="M929" s="11" t="n">
        <v>1</v>
      </c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>
        <v>1</v>
      </c>
      <c r="Z929" s="13">
        <f>SUMPRODUCT(N929:Y929,$N$2:$Y$2)*$K929*$L929*$M929</f>
        <v/>
      </c>
      <c r="AA929" s="14">
        <f>SUM(N929:Y929)</f>
        <v/>
      </c>
      <c r="AB929" s="13">
        <f>SUMPRODUCT(N929:Y929,$N$3:$Y$3)*$K929*$L929*$M929</f>
        <v/>
      </c>
      <c r="AC929" s="13">
        <f>SUMPRODUCT(N929:Y929,$N$4:$Y$4)*$K929*$L929*$M929</f>
        <v/>
      </c>
      <c r="AD929" s="15" t="n">
        <v>3</v>
      </c>
      <c r="AE929" s="11" t="n">
        <v>1.011296296296296</v>
      </c>
      <c r="AF929" s="16">
        <f>SUMPRODUCT(N929:Y929,$N$5:$Y$5)*$K929*$L929*$M929</f>
        <v/>
      </c>
      <c r="AG929" s="16">
        <f>SUMPRODUCT(N929:Y929,$N$6:$Y$6)*$K929*$L929*$M929</f>
        <v/>
      </c>
      <c r="AH929" s="20" t="n"/>
    </row>
    <row r="930">
      <c r="A930" s="9" t="n">
        <v>814099</v>
      </c>
      <c r="B930" s="9" t="inlineStr">
        <is>
          <t>Alex Overbay</t>
        </is>
      </c>
      <c r="C930" s="9" t="inlineStr">
        <is>
          <t>PIT</t>
        </is>
      </c>
      <c r="D930" s="9" t="n">
        <v>25</v>
      </c>
      <c r="E930" s="18" t="inlineStr">
        <is>
          <t>R</t>
        </is>
      </c>
      <c r="F930" s="18" t="n"/>
      <c r="G930" s="9" t="n">
        <v>3.096</v>
      </c>
      <c r="H930" s="9" t="n">
        <v>3.096</v>
      </c>
      <c r="I930" s="9" t="inlineStr">
        <is>
          <t>Depth (no MLB IP)</t>
        </is>
      </c>
      <c r="J930" s="18" t="inlineStr">
        <is>
          <t>Opening Day</t>
        </is>
      </c>
      <c r="K930" s="11">
        <f>IFERROR(INDEX(Roles!$B$17:$B$20,MATCH(J930,Roles!$A$17:$A$20,0)),1)</f>
        <v/>
      </c>
      <c r="L930" s="19" t="n">
        <v>1</v>
      </c>
      <c r="M930" s="11" t="n">
        <v>1</v>
      </c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>
        <v>1</v>
      </c>
      <c r="Z930" s="13">
        <f>SUMPRODUCT(N930:Y930,$N$2:$Y$2)*$K930*$L930*$M930</f>
        <v/>
      </c>
      <c r="AA930" s="14">
        <f>SUM(N930:Y930)</f>
        <v/>
      </c>
      <c r="AB930" s="13">
        <f>SUMPRODUCT(N930:Y930,$N$3:$Y$3)*$K930*$L930*$M930</f>
        <v/>
      </c>
      <c r="AC930" s="13">
        <f>SUMPRODUCT(N930:Y930,$N$4:$Y$4)*$K930*$L930*$M930</f>
        <v/>
      </c>
      <c r="AD930" s="15" t="n">
        <v>3</v>
      </c>
      <c r="AE930" s="11" t="n">
        <v>1.011296296296296</v>
      </c>
      <c r="AF930" s="16">
        <f>SUMPRODUCT(N930:Y930,$N$5:$Y$5)*$K930*$L930*$M930</f>
        <v/>
      </c>
      <c r="AG930" s="16">
        <f>SUMPRODUCT(N930:Y930,$N$6:$Y$6)*$K930*$L930*$M930</f>
        <v/>
      </c>
      <c r="AH930" s="20" t="n"/>
    </row>
    <row r="931">
      <c r="A931" s="9" t="n">
        <v>696143</v>
      </c>
      <c r="B931" s="9" t="inlineStr">
        <is>
          <t>Anthony Solometo</t>
        </is>
      </c>
      <c r="C931" s="9" t="inlineStr">
        <is>
          <t>PIT</t>
        </is>
      </c>
      <c r="D931" s="9" t="n">
        <v>25</v>
      </c>
      <c r="E931" s="18" t="inlineStr">
        <is>
          <t>L</t>
        </is>
      </c>
      <c r="F931" s="18" t="n"/>
      <c r="G931" s="9" t="n">
        <v>3.01</v>
      </c>
      <c r="H931" s="9" t="n">
        <v>3.01</v>
      </c>
      <c r="I931" s="9" t="inlineStr">
        <is>
          <t>Depth (no MLB IP)</t>
        </is>
      </c>
      <c r="J931" s="18" t="inlineStr">
        <is>
          <t>Opening Day</t>
        </is>
      </c>
      <c r="K931" s="11">
        <f>IFERROR(INDEX(Roles!$B$17:$B$20,MATCH(J931,Roles!$A$17:$A$20,0)),1)</f>
        <v/>
      </c>
      <c r="L931" s="19" t="n">
        <v>1</v>
      </c>
      <c r="M931" s="11" t="n">
        <v>1</v>
      </c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>
        <v>1</v>
      </c>
      <c r="Z931" s="13">
        <f>SUMPRODUCT(N931:Y931,$N$2:$Y$2)*$K931*$L931*$M931</f>
        <v/>
      </c>
      <c r="AA931" s="14">
        <f>SUM(N931:Y931)</f>
        <v/>
      </c>
      <c r="AB931" s="13">
        <f>SUMPRODUCT(N931:Y931,$N$3:$Y$3)*$K931*$L931*$M931</f>
        <v/>
      </c>
      <c r="AC931" s="13">
        <f>SUMPRODUCT(N931:Y931,$N$4:$Y$4)*$K931*$L931*$M931</f>
        <v/>
      </c>
      <c r="AD931" s="15" t="n">
        <v>3</v>
      </c>
      <c r="AE931" s="11" t="n">
        <v>1.011296296296296</v>
      </c>
      <c r="AF931" s="16">
        <f>SUMPRODUCT(N931:Y931,$N$5:$Y$5)*$K931*$L931*$M931</f>
        <v/>
      </c>
      <c r="AG931" s="16">
        <f>SUMPRODUCT(N931:Y931,$N$6:$Y$6)*$K931*$L931*$M931</f>
        <v/>
      </c>
      <c r="AH931" s="20" t="n"/>
    </row>
    <row r="932">
      <c r="A932" s="9" t="n">
        <v>681974</v>
      </c>
      <c r="B932" s="9" t="inlineStr">
        <is>
          <t>Onix Vega</t>
        </is>
      </c>
      <c r="C932" s="9" t="inlineStr">
        <is>
          <t>NYM</t>
        </is>
      </c>
      <c r="D932" s="9" t="n">
        <v>25</v>
      </c>
      <c r="E932" s="18" t="inlineStr">
        <is>
          <t>R</t>
        </is>
      </c>
      <c r="F932" s="18" t="n"/>
      <c r="G932" s="9" t="n">
        <v>3.153333333333333</v>
      </c>
      <c r="H932" s="9" t="n">
        <v>3.153333333333333</v>
      </c>
      <c r="I932" s="9" t="inlineStr">
        <is>
          <t>Depth (no MLB IP)</t>
        </is>
      </c>
      <c r="J932" s="18" t="inlineStr">
        <is>
          <t>Opening Day</t>
        </is>
      </c>
      <c r="K932" s="11">
        <f>IFERROR(INDEX(Roles!$B$17:$B$20,MATCH(J932,Roles!$A$17:$A$20,0)),1)</f>
        <v/>
      </c>
      <c r="L932" s="19" t="n">
        <v>1</v>
      </c>
      <c r="M932" s="11" t="n">
        <v>1</v>
      </c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>
        <v>1</v>
      </c>
      <c r="Z932" s="13">
        <f>SUMPRODUCT(N932:Y932,$N$2:$Y$2)*$K932*$L932*$M932</f>
        <v/>
      </c>
      <c r="AA932" s="14">
        <f>SUM(N932:Y932)</f>
        <v/>
      </c>
      <c r="AB932" s="13">
        <f>SUMPRODUCT(N932:Y932,$N$3:$Y$3)*$K932*$L932*$M932</f>
        <v/>
      </c>
      <c r="AC932" s="13">
        <f>SUMPRODUCT(N932:Y932,$N$4:$Y$4)*$K932*$L932*$M932</f>
        <v/>
      </c>
      <c r="AD932" s="15" t="n">
        <v>3</v>
      </c>
      <c r="AE932" s="11" t="n">
        <v>1.011296296296296</v>
      </c>
      <c r="AF932" s="16">
        <f>SUMPRODUCT(N932:Y932,$N$5:$Y$5)*$K932*$L932*$M932</f>
        <v/>
      </c>
      <c r="AG932" s="16">
        <f>SUMPRODUCT(N932:Y932,$N$6:$Y$6)*$K932*$L932*$M932</f>
        <v/>
      </c>
      <c r="AH932" s="20" t="n"/>
    </row>
    <row r="933">
      <c r="A933" s="9" t="n">
        <v>820936</v>
      </c>
      <c r="B933" s="9" t="inlineStr">
        <is>
          <t>Wenderlyn King</t>
        </is>
      </c>
      <c r="C933" s="9" t="inlineStr">
        <is>
          <t>MIL</t>
        </is>
      </c>
      <c r="D933" s="9" t="n">
        <v>25</v>
      </c>
      <c r="E933" s="18" t="inlineStr">
        <is>
          <t>R</t>
        </is>
      </c>
      <c r="F933" s="18" t="n"/>
      <c r="G933" s="9" t="n">
        <v>2.924</v>
      </c>
      <c r="H933" s="9" t="n">
        <v>2.924</v>
      </c>
      <c r="I933" s="9" t="inlineStr">
        <is>
          <t>Depth (no MLB IP)</t>
        </is>
      </c>
      <c r="J933" s="18" t="inlineStr">
        <is>
          <t>Opening Day</t>
        </is>
      </c>
      <c r="K933" s="11">
        <f>IFERROR(INDEX(Roles!$B$17:$B$20,MATCH(J933,Roles!$A$17:$A$20,0)),1)</f>
        <v/>
      </c>
      <c r="L933" s="19" t="n">
        <v>1</v>
      </c>
      <c r="M933" s="11" t="n">
        <v>1</v>
      </c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>
        <v>1</v>
      </c>
      <c r="Z933" s="13">
        <f>SUMPRODUCT(N933:Y933,$N$2:$Y$2)*$K933*$L933*$M933</f>
        <v/>
      </c>
      <c r="AA933" s="14">
        <f>SUM(N933:Y933)</f>
        <v/>
      </c>
      <c r="AB933" s="13">
        <f>SUMPRODUCT(N933:Y933,$N$3:$Y$3)*$K933*$L933*$M933</f>
        <v/>
      </c>
      <c r="AC933" s="13">
        <f>SUMPRODUCT(N933:Y933,$N$4:$Y$4)*$K933*$L933*$M933</f>
        <v/>
      </c>
      <c r="AD933" s="15" t="n">
        <v>3</v>
      </c>
      <c r="AE933" s="11" t="n">
        <v>1.011296296296296</v>
      </c>
      <c r="AF933" s="16">
        <f>SUMPRODUCT(N933:Y933,$N$5:$Y$5)*$K933*$L933*$M933</f>
        <v/>
      </c>
      <c r="AG933" s="16">
        <f>SUMPRODUCT(N933:Y933,$N$6:$Y$6)*$K933*$L933*$M933</f>
        <v/>
      </c>
      <c r="AH933" s="20" t="n"/>
    </row>
    <row r="934">
      <c r="A934" s="9" t="n">
        <v>805430</v>
      </c>
      <c r="B934" s="9" t="inlineStr">
        <is>
          <t>Engel Peralta</t>
        </is>
      </c>
      <c r="C934" s="9" t="inlineStr">
        <is>
          <t>MIA</t>
        </is>
      </c>
      <c r="D934" s="9" t="n">
        <v>25</v>
      </c>
      <c r="E934" s="18" t="inlineStr">
        <is>
          <t>R</t>
        </is>
      </c>
      <c r="F934" s="18" t="n"/>
      <c r="G934" s="9" t="n">
        <v>3.153333333333333</v>
      </c>
      <c r="H934" s="9" t="n">
        <v>3.153333333333333</v>
      </c>
      <c r="I934" s="9" t="inlineStr">
        <is>
          <t>Depth (no MLB IP)</t>
        </is>
      </c>
      <c r="J934" s="18" t="inlineStr">
        <is>
          <t>Opening Day</t>
        </is>
      </c>
      <c r="K934" s="11">
        <f>IFERROR(INDEX(Roles!$B$17:$B$20,MATCH(J934,Roles!$A$17:$A$20,0)),1)</f>
        <v/>
      </c>
      <c r="L934" s="19" t="n">
        <v>1</v>
      </c>
      <c r="M934" s="11" t="n">
        <v>1</v>
      </c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>
        <v>1</v>
      </c>
      <c r="Z934" s="13">
        <f>SUMPRODUCT(N934:Y934,$N$2:$Y$2)*$K934*$L934*$M934</f>
        <v/>
      </c>
      <c r="AA934" s="14">
        <f>SUM(N934:Y934)</f>
        <v/>
      </c>
      <c r="AB934" s="13">
        <f>SUMPRODUCT(N934:Y934,$N$3:$Y$3)*$K934*$L934*$M934</f>
        <v/>
      </c>
      <c r="AC934" s="13">
        <f>SUMPRODUCT(N934:Y934,$N$4:$Y$4)*$K934*$L934*$M934</f>
        <v/>
      </c>
      <c r="AD934" s="15" t="n">
        <v>3</v>
      </c>
      <c r="AE934" s="11" t="n">
        <v>1.011296296296296</v>
      </c>
      <c r="AF934" s="16">
        <f>SUMPRODUCT(N934:Y934,$N$5:$Y$5)*$K934*$L934*$M934</f>
        <v/>
      </c>
      <c r="AG934" s="16">
        <f>SUMPRODUCT(N934:Y934,$N$6:$Y$6)*$K934*$L934*$M934</f>
        <v/>
      </c>
      <c r="AH934" s="20" t="n"/>
    </row>
    <row r="935">
      <c r="A935" s="9" t="n">
        <v>682276</v>
      </c>
      <c r="B935" s="9" t="inlineStr">
        <is>
          <t>Jose Cordova</t>
        </is>
      </c>
      <c r="C935" s="9" t="inlineStr">
        <is>
          <t>COL</t>
        </is>
      </c>
      <c r="D935" s="9" t="n">
        <v>25</v>
      </c>
      <c r="E935" s="18" t="inlineStr">
        <is>
          <t>R</t>
        </is>
      </c>
      <c r="F935" s="18" t="n"/>
      <c r="G935" s="9" t="n">
        <v>3.153333333333333</v>
      </c>
      <c r="H935" s="9" t="n">
        <v>3.153333333333333</v>
      </c>
      <c r="I935" s="9" t="inlineStr">
        <is>
          <t>Depth (no MLB IP)</t>
        </is>
      </c>
      <c r="J935" s="18" t="inlineStr">
        <is>
          <t>Opening Day</t>
        </is>
      </c>
      <c r="K935" s="11">
        <f>IFERROR(INDEX(Roles!$B$17:$B$20,MATCH(J935,Roles!$A$17:$A$20,0)),1)</f>
        <v/>
      </c>
      <c r="L935" s="19" t="n">
        <v>1</v>
      </c>
      <c r="M935" s="11" t="n">
        <v>1</v>
      </c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>
        <v>1</v>
      </c>
      <c r="Z935" s="13">
        <f>SUMPRODUCT(N935:Y935,$N$2:$Y$2)*$K935*$L935*$M935</f>
        <v/>
      </c>
      <c r="AA935" s="14">
        <f>SUM(N935:Y935)</f>
        <v/>
      </c>
      <c r="AB935" s="13">
        <f>SUMPRODUCT(N935:Y935,$N$3:$Y$3)*$K935*$L935*$M935</f>
        <v/>
      </c>
      <c r="AC935" s="13">
        <f>SUMPRODUCT(N935:Y935,$N$4:$Y$4)*$K935*$L935*$M935</f>
        <v/>
      </c>
      <c r="AD935" s="15" t="n">
        <v>3</v>
      </c>
      <c r="AE935" s="11" t="n">
        <v>1.011296296296296</v>
      </c>
      <c r="AF935" s="16">
        <f>SUMPRODUCT(N935:Y935,$N$5:$Y$5)*$K935*$L935*$M935</f>
        <v/>
      </c>
      <c r="AG935" s="16">
        <f>SUMPRODUCT(N935:Y935,$N$6:$Y$6)*$K935*$L935*$M935</f>
        <v/>
      </c>
      <c r="AH935" s="20" t="n"/>
    </row>
    <row r="936">
      <c r="A936" s="9" t="n">
        <v>824288</v>
      </c>
      <c r="B936" s="9" t="inlineStr">
        <is>
          <t>Treyson Peters</t>
        </is>
      </c>
      <c r="C936" s="9" t="inlineStr">
        <is>
          <t>PIT</t>
        </is>
      </c>
      <c r="D936" s="9" t="n">
        <v>25</v>
      </c>
      <c r="E936" s="18" t="inlineStr">
        <is>
          <t>R</t>
        </is>
      </c>
      <c r="F936" s="18" t="n"/>
      <c r="G936" s="9" t="n">
        <v>3.01</v>
      </c>
      <c r="H936" s="9" t="n">
        <v>3.01</v>
      </c>
      <c r="I936" s="9" t="inlineStr">
        <is>
          <t>Depth (no MLB IP)</t>
        </is>
      </c>
      <c r="J936" s="18" t="inlineStr">
        <is>
          <t>Opening Day</t>
        </is>
      </c>
      <c r="K936" s="11">
        <f>IFERROR(INDEX(Roles!$B$17:$B$20,MATCH(J936,Roles!$A$17:$A$20,0)),1)</f>
        <v/>
      </c>
      <c r="L936" s="19" t="n">
        <v>1</v>
      </c>
      <c r="M936" s="11" t="n">
        <v>1</v>
      </c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>
        <v>1</v>
      </c>
      <c r="Z936" s="13">
        <f>SUMPRODUCT(N936:Y936,$N$2:$Y$2)*$K936*$L936*$M936</f>
        <v/>
      </c>
      <c r="AA936" s="14">
        <f>SUM(N936:Y936)</f>
        <v/>
      </c>
      <c r="AB936" s="13">
        <f>SUMPRODUCT(N936:Y936,$N$3:$Y$3)*$K936*$L936*$M936</f>
        <v/>
      </c>
      <c r="AC936" s="13">
        <f>SUMPRODUCT(N936:Y936,$N$4:$Y$4)*$K936*$L936*$M936</f>
        <v/>
      </c>
      <c r="AD936" s="15" t="n">
        <v>3</v>
      </c>
      <c r="AE936" s="11" t="n">
        <v>1.011296296296296</v>
      </c>
      <c r="AF936" s="16">
        <f>SUMPRODUCT(N936:Y936,$N$5:$Y$5)*$K936*$L936*$M936</f>
        <v/>
      </c>
      <c r="AG936" s="16">
        <f>SUMPRODUCT(N936:Y936,$N$6:$Y$6)*$K936*$L936*$M936</f>
        <v/>
      </c>
      <c r="AH936" s="20" t="n"/>
    </row>
    <row r="937">
      <c r="A937" s="9" t="n">
        <v>691828</v>
      </c>
      <c r="B937" s="9" t="inlineStr">
        <is>
          <t>Sem Robberse</t>
        </is>
      </c>
      <c r="C937" s="9" t="inlineStr">
        <is>
          <t>STL</t>
        </is>
      </c>
      <c r="D937" s="9" t="n">
        <v>25</v>
      </c>
      <c r="E937" s="18" t="inlineStr">
        <is>
          <t>R</t>
        </is>
      </c>
      <c r="F937" s="18" t="n"/>
      <c r="G937" s="9" t="n">
        <v>3.096</v>
      </c>
      <c r="H937" s="9" t="n">
        <v>3.096</v>
      </c>
      <c r="I937" s="9" t="inlineStr">
        <is>
          <t>Depth (no MLB IP)</t>
        </is>
      </c>
      <c r="J937" s="18" t="inlineStr">
        <is>
          <t>Opening Day</t>
        </is>
      </c>
      <c r="K937" s="11">
        <f>IFERROR(INDEX(Roles!$B$17:$B$20,MATCH(J937,Roles!$A$17:$A$20,0)),1)</f>
        <v/>
      </c>
      <c r="L937" s="19" t="n">
        <v>1</v>
      </c>
      <c r="M937" s="11" t="n">
        <v>1</v>
      </c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>
        <v>1</v>
      </c>
      <c r="Z937" s="13">
        <f>SUMPRODUCT(N937:Y937,$N$2:$Y$2)*$K937*$L937*$M937</f>
        <v/>
      </c>
      <c r="AA937" s="14">
        <f>SUM(N937:Y937)</f>
        <v/>
      </c>
      <c r="AB937" s="13">
        <f>SUMPRODUCT(N937:Y937,$N$3:$Y$3)*$K937*$L937*$M937</f>
        <v/>
      </c>
      <c r="AC937" s="13">
        <f>SUMPRODUCT(N937:Y937,$N$4:$Y$4)*$K937*$L937*$M937</f>
        <v/>
      </c>
      <c r="AD937" s="15" t="n">
        <v>3</v>
      </c>
      <c r="AE937" s="11" t="n">
        <v>1.011296296296296</v>
      </c>
      <c r="AF937" s="16">
        <f>SUMPRODUCT(N937:Y937,$N$5:$Y$5)*$K937*$L937*$M937</f>
        <v/>
      </c>
      <c r="AG937" s="16">
        <f>SUMPRODUCT(N937:Y937,$N$6:$Y$6)*$K937*$L937*$M937</f>
        <v/>
      </c>
      <c r="AH937" s="20" t="n"/>
    </row>
    <row r="938">
      <c r="A938" s="9" t="n">
        <v>691588</v>
      </c>
      <c r="B938" s="9" t="inlineStr">
        <is>
          <t>Ian Lewis Jr.</t>
        </is>
      </c>
      <c r="C938" s="9" t="inlineStr">
        <is>
          <t>MIA</t>
        </is>
      </c>
      <c r="D938" s="9" t="n">
        <v>25</v>
      </c>
      <c r="E938" s="18" t="inlineStr">
        <is>
          <t>R</t>
        </is>
      </c>
      <c r="F938" s="18" t="n"/>
      <c r="G938" s="9" t="n">
        <v>3.01</v>
      </c>
      <c r="H938" s="9" t="n">
        <v>3.01</v>
      </c>
      <c r="I938" s="9" t="inlineStr">
        <is>
          <t>Depth (no MLB IP)</t>
        </is>
      </c>
      <c r="J938" s="18" t="inlineStr">
        <is>
          <t>Opening Day</t>
        </is>
      </c>
      <c r="K938" s="11">
        <f>IFERROR(INDEX(Roles!$B$17:$B$20,MATCH(J938,Roles!$A$17:$A$20,0)),1)</f>
        <v/>
      </c>
      <c r="L938" s="19" t="n">
        <v>1</v>
      </c>
      <c r="M938" s="11" t="n">
        <v>1</v>
      </c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>
        <v>1</v>
      </c>
      <c r="Z938" s="13">
        <f>SUMPRODUCT(N938:Y938,$N$2:$Y$2)*$K938*$L938*$M938</f>
        <v/>
      </c>
      <c r="AA938" s="14">
        <f>SUM(N938:Y938)</f>
        <v/>
      </c>
      <c r="AB938" s="13">
        <f>SUMPRODUCT(N938:Y938,$N$3:$Y$3)*$K938*$L938*$M938</f>
        <v/>
      </c>
      <c r="AC938" s="13">
        <f>SUMPRODUCT(N938:Y938,$N$4:$Y$4)*$K938*$L938*$M938</f>
        <v/>
      </c>
      <c r="AD938" s="15" t="n">
        <v>3</v>
      </c>
      <c r="AE938" s="11" t="n">
        <v>1.011296296296296</v>
      </c>
      <c r="AF938" s="16">
        <f>SUMPRODUCT(N938:Y938,$N$5:$Y$5)*$K938*$L938*$M938</f>
        <v/>
      </c>
      <c r="AG938" s="16">
        <f>SUMPRODUCT(N938:Y938,$N$6:$Y$6)*$K938*$L938*$M938</f>
        <v/>
      </c>
      <c r="AH938" s="20" t="n"/>
    </row>
    <row r="939">
      <c r="A939" s="9" t="n">
        <v>826940</v>
      </c>
      <c r="B939" s="9" t="inlineStr">
        <is>
          <t>Kyle DeGroat</t>
        </is>
      </c>
      <c r="C939" s="9" t="inlineStr">
        <is>
          <t>KC</t>
        </is>
      </c>
      <c r="D939" s="9" t="n">
        <v>25</v>
      </c>
      <c r="E939" s="18" t="inlineStr">
        <is>
          <t>R</t>
        </is>
      </c>
      <c r="F939" s="18" t="n"/>
      <c r="G939" s="9" t="n">
        <v>2.924</v>
      </c>
      <c r="H939" s="9" t="n">
        <v>2.924</v>
      </c>
      <c r="I939" s="9" t="inlineStr">
        <is>
          <t>Depth (no MLB IP)</t>
        </is>
      </c>
      <c r="J939" s="18" t="inlineStr">
        <is>
          <t>Opening Day</t>
        </is>
      </c>
      <c r="K939" s="11">
        <f>IFERROR(INDEX(Roles!$B$17:$B$20,MATCH(J939,Roles!$A$17:$A$20,0)),1)</f>
        <v/>
      </c>
      <c r="L939" s="19" t="n">
        <v>1</v>
      </c>
      <c r="M939" s="11" t="n">
        <v>1</v>
      </c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>
        <v>1</v>
      </c>
      <c r="Z939" s="13">
        <f>SUMPRODUCT(N939:Y939,$N$2:$Y$2)*$K939*$L939*$M939</f>
        <v/>
      </c>
      <c r="AA939" s="14">
        <f>SUM(N939:Y939)</f>
        <v/>
      </c>
      <c r="AB939" s="13">
        <f>SUMPRODUCT(N939:Y939,$N$3:$Y$3)*$K939*$L939*$M939</f>
        <v/>
      </c>
      <c r="AC939" s="13">
        <f>SUMPRODUCT(N939:Y939,$N$4:$Y$4)*$K939*$L939*$M939</f>
        <v/>
      </c>
      <c r="AD939" s="15" t="n">
        <v>3</v>
      </c>
      <c r="AE939" s="11" t="n">
        <v>1.011296296296296</v>
      </c>
      <c r="AF939" s="16">
        <f>SUMPRODUCT(N939:Y939,$N$5:$Y$5)*$K939*$L939*$M939</f>
        <v/>
      </c>
      <c r="AG939" s="16">
        <f>SUMPRODUCT(N939:Y939,$N$6:$Y$6)*$K939*$L939*$M939</f>
        <v/>
      </c>
      <c r="AH939" s="20" t="n"/>
    </row>
    <row r="940">
      <c r="A940" s="9" t="n">
        <v>808333</v>
      </c>
      <c r="B940" s="9" t="inlineStr">
        <is>
          <t>Dariel Francia</t>
        </is>
      </c>
      <c r="C940" s="9" t="inlineStr">
        <is>
          <t>PIT</t>
        </is>
      </c>
      <c r="D940" s="9" t="n">
        <v>25</v>
      </c>
      <c r="E940" s="18" t="inlineStr">
        <is>
          <t>R</t>
        </is>
      </c>
      <c r="F940" s="18" t="n"/>
      <c r="G940" s="9" t="n">
        <v>3.01</v>
      </c>
      <c r="H940" s="9" t="n">
        <v>3.01</v>
      </c>
      <c r="I940" s="9" t="inlineStr">
        <is>
          <t>Depth (no MLB IP)</t>
        </is>
      </c>
      <c r="J940" s="18" t="inlineStr">
        <is>
          <t>Opening Day</t>
        </is>
      </c>
      <c r="K940" s="11">
        <f>IFERROR(INDEX(Roles!$B$17:$B$20,MATCH(J940,Roles!$A$17:$A$20,0)),1)</f>
        <v/>
      </c>
      <c r="L940" s="19" t="n">
        <v>1</v>
      </c>
      <c r="M940" s="11" t="n">
        <v>1</v>
      </c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>
        <v>1</v>
      </c>
      <c r="Z940" s="13">
        <f>SUMPRODUCT(N940:Y940,$N$2:$Y$2)*$K940*$L940*$M940</f>
        <v/>
      </c>
      <c r="AA940" s="14">
        <f>SUM(N940:Y940)</f>
        <v/>
      </c>
      <c r="AB940" s="13">
        <f>SUMPRODUCT(N940:Y940,$N$3:$Y$3)*$K940*$L940*$M940</f>
        <v/>
      </c>
      <c r="AC940" s="13">
        <f>SUMPRODUCT(N940:Y940,$N$4:$Y$4)*$K940*$L940*$M940</f>
        <v/>
      </c>
      <c r="AD940" s="15" t="n">
        <v>3</v>
      </c>
      <c r="AE940" s="11" t="n">
        <v>1.011296296296296</v>
      </c>
      <c r="AF940" s="16">
        <f>SUMPRODUCT(N940:Y940,$N$5:$Y$5)*$K940*$L940*$M940</f>
        <v/>
      </c>
      <c r="AG940" s="16">
        <f>SUMPRODUCT(N940:Y940,$N$6:$Y$6)*$K940*$L940*$M940</f>
        <v/>
      </c>
      <c r="AH940" s="20" t="n"/>
    </row>
    <row r="941">
      <c r="A941" s="9" t="n">
        <v>814269</v>
      </c>
      <c r="B941" s="9" t="inlineStr">
        <is>
          <t>Kevin Verde</t>
        </is>
      </c>
      <c r="C941" s="9" t="inlineStr">
        <is>
          <t>NYY</t>
        </is>
      </c>
      <c r="D941" s="9" t="n">
        <v>25</v>
      </c>
      <c r="E941" s="18" t="inlineStr">
        <is>
          <t>R</t>
        </is>
      </c>
      <c r="F941" s="18" t="n"/>
      <c r="G941" s="9" t="n">
        <v>3.01</v>
      </c>
      <c r="H941" s="9" t="n">
        <v>3.01</v>
      </c>
      <c r="I941" s="9" t="inlineStr">
        <is>
          <t>Depth (no MLB IP)</t>
        </is>
      </c>
      <c r="J941" s="18" t="inlineStr">
        <is>
          <t>Opening Day</t>
        </is>
      </c>
      <c r="K941" s="11">
        <f>IFERROR(INDEX(Roles!$B$17:$B$20,MATCH(J941,Roles!$A$17:$A$20,0)),1)</f>
        <v/>
      </c>
      <c r="L941" s="19" t="n">
        <v>1</v>
      </c>
      <c r="M941" s="11" t="n">
        <v>1</v>
      </c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>
        <v>1</v>
      </c>
      <c r="Z941" s="13">
        <f>SUMPRODUCT(N941:Y941,$N$2:$Y$2)*$K941*$L941*$M941</f>
        <v/>
      </c>
      <c r="AA941" s="14">
        <f>SUM(N941:Y941)</f>
        <v/>
      </c>
      <c r="AB941" s="13">
        <f>SUMPRODUCT(N941:Y941,$N$3:$Y$3)*$K941*$L941*$M941</f>
        <v/>
      </c>
      <c r="AC941" s="13">
        <f>SUMPRODUCT(N941:Y941,$N$4:$Y$4)*$K941*$L941*$M941</f>
        <v/>
      </c>
      <c r="AD941" s="15" t="n">
        <v>3</v>
      </c>
      <c r="AE941" s="11" t="n">
        <v>1.011296296296296</v>
      </c>
      <c r="AF941" s="16">
        <f>SUMPRODUCT(N941:Y941,$N$5:$Y$5)*$K941*$L941*$M941</f>
        <v/>
      </c>
      <c r="AG941" s="16">
        <f>SUMPRODUCT(N941:Y941,$N$6:$Y$6)*$K941*$L941*$M941</f>
        <v/>
      </c>
      <c r="AH941" s="20" t="n"/>
    </row>
    <row r="942">
      <c r="A942" s="9" t="n">
        <v>829462</v>
      </c>
      <c r="B942" s="9" t="inlineStr">
        <is>
          <t>Aleiman Cruz</t>
        </is>
      </c>
      <c r="C942" s="9" t="inlineStr">
        <is>
          <t>DET</t>
        </is>
      </c>
      <c r="D942" s="9" t="n">
        <v>25</v>
      </c>
      <c r="E942" s="18" t="inlineStr">
        <is>
          <t>R</t>
        </is>
      </c>
      <c r="F942" s="18" t="n"/>
      <c r="G942" s="9" t="n">
        <v>2.924</v>
      </c>
      <c r="H942" s="9" t="n">
        <v>2.924</v>
      </c>
      <c r="I942" s="9" t="inlineStr">
        <is>
          <t>Depth (no MLB IP)</t>
        </is>
      </c>
      <c r="J942" s="18" t="inlineStr">
        <is>
          <t>Opening Day</t>
        </is>
      </c>
      <c r="K942" s="11">
        <f>IFERROR(INDEX(Roles!$B$17:$B$20,MATCH(J942,Roles!$A$17:$A$20,0)),1)</f>
        <v/>
      </c>
      <c r="L942" s="19" t="n">
        <v>1</v>
      </c>
      <c r="M942" s="11" t="n">
        <v>1</v>
      </c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>
        <v>1</v>
      </c>
      <c r="Z942" s="13">
        <f>SUMPRODUCT(N942:Y942,$N$2:$Y$2)*$K942*$L942*$M942</f>
        <v/>
      </c>
      <c r="AA942" s="14">
        <f>SUM(N942:Y942)</f>
        <v/>
      </c>
      <c r="AB942" s="13">
        <f>SUMPRODUCT(N942:Y942,$N$3:$Y$3)*$K942*$L942*$M942</f>
        <v/>
      </c>
      <c r="AC942" s="13">
        <f>SUMPRODUCT(N942:Y942,$N$4:$Y$4)*$K942*$L942*$M942</f>
        <v/>
      </c>
      <c r="AD942" s="15" t="n">
        <v>3</v>
      </c>
      <c r="AE942" s="11" t="n">
        <v>1.011296296296296</v>
      </c>
      <c r="AF942" s="16">
        <f>SUMPRODUCT(N942:Y942,$N$5:$Y$5)*$K942*$L942*$M942</f>
        <v/>
      </c>
      <c r="AG942" s="16">
        <f>SUMPRODUCT(N942:Y942,$N$6:$Y$6)*$K942*$L942*$M942</f>
        <v/>
      </c>
      <c r="AH942" s="20" t="n"/>
    </row>
    <row r="943">
      <c r="A943" s="9" t="n">
        <v>682625</v>
      </c>
      <c r="B943" s="9" t="inlineStr">
        <is>
          <t>Antonio Gomez</t>
        </is>
      </c>
      <c r="C943" s="9" t="inlineStr">
        <is>
          <t>NYY</t>
        </is>
      </c>
      <c r="D943" s="9" t="n">
        <v>25</v>
      </c>
      <c r="E943" s="18" t="inlineStr">
        <is>
          <t>R</t>
        </is>
      </c>
      <c r="F943" s="18" t="n"/>
      <c r="G943" s="9" t="n">
        <v>2.924</v>
      </c>
      <c r="H943" s="9" t="n">
        <v>2.924</v>
      </c>
      <c r="I943" s="9" t="inlineStr">
        <is>
          <t>Depth (no MLB IP)</t>
        </is>
      </c>
      <c r="J943" s="18" t="inlineStr">
        <is>
          <t>Opening Day</t>
        </is>
      </c>
      <c r="K943" s="11">
        <f>IFERROR(INDEX(Roles!$B$17:$B$20,MATCH(J943,Roles!$A$17:$A$20,0)),1)</f>
        <v/>
      </c>
      <c r="L943" s="19" t="n">
        <v>1</v>
      </c>
      <c r="M943" s="11" t="n">
        <v>1</v>
      </c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>
        <v>1</v>
      </c>
      <c r="Z943" s="13">
        <f>SUMPRODUCT(N943:Y943,$N$2:$Y$2)*$K943*$L943*$M943</f>
        <v/>
      </c>
      <c r="AA943" s="14">
        <f>SUM(N943:Y943)</f>
        <v/>
      </c>
      <c r="AB943" s="13">
        <f>SUMPRODUCT(N943:Y943,$N$3:$Y$3)*$K943*$L943*$M943</f>
        <v/>
      </c>
      <c r="AC943" s="13">
        <f>SUMPRODUCT(N943:Y943,$N$4:$Y$4)*$K943*$L943*$M943</f>
        <v/>
      </c>
      <c r="AD943" s="15" t="n">
        <v>3</v>
      </c>
      <c r="AE943" s="11" t="n">
        <v>1.011296296296296</v>
      </c>
      <c r="AF943" s="16">
        <f>SUMPRODUCT(N943:Y943,$N$5:$Y$5)*$K943*$L943*$M943</f>
        <v/>
      </c>
      <c r="AG943" s="16">
        <f>SUMPRODUCT(N943:Y943,$N$6:$Y$6)*$K943*$L943*$M943</f>
        <v/>
      </c>
      <c r="AH943" s="20" t="n"/>
    </row>
    <row r="944">
      <c r="A944" s="9" t="n">
        <v>700166</v>
      </c>
      <c r="B944" s="9" t="inlineStr">
        <is>
          <t>Redinson Gomez</t>
        </is>
      </c>
      <c r="C944" s="9" t="inlineStr">
        <is>
          <t>COL</t>
        </is>
      </c>
      <c r="D944" s="9" t="n">
        <v>25</v>
      </c>
      <c r="E944" s="18" t="inlineStr">
        <is>
          <t>R</t>
        </is>
      </c>
      <c r="F944" s="18" t="n"/>
      <c r="G944" s="9" t="n">
        <v>3.096</v>
      </c>
      <c r="H944" s="9" t="n">
        <v>3.096</v>
      </c>
      <c r="I944" s="9" t="inlineStr">
        <is>
          <t>Depth (no MLB IP)</t>
        </is>
      </c>
      <c r="J944" s="18" t="inlineStr">
        <is>
          <t>Opening Day</t>
        </is>
      </c>
      <c r="K944" s="11">
        <f>IFERROR(INDEX(Roles!$B$17:$B$20,MATCH(J944,Roles!$A$17:$A$20,0)),1)</f>
        <v/>
      </c>
      <c r="L944" s="19" t="n">
        <v>1</v>
      </c>
      <c r="M944" s="11" t="n">
        <v>1</v>
      </c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>
        <v>1</v>
      </c>
      <c r="Z944" s="13">
        <f>SUMPRODUCT(N944:Y944,$N$2:$Y$2)*$K944*$L944*$M944</f>
        <v/>
      </c>
      <c r="AA944" s="14">
        <f>SUM(N944:Y944)</f>
        <v/>
      </c>
      <c r="AB944" s="13">
        <f>SUMPRODUCT(N944:Y944,$N$3:$Y$3)*$K944*$L944*$M944</f>
        <v/>
      </c>
      <c r="AC944" s="13">
        <f>SUMPRODUCT(N944:Y944,$N$4:$Y$4)*$K944*$L944*$M944</f>
        <v/>
      </c>
      <c r="AD944" s="15" t="n">
        <v>3</v>
      </c>
      <c r="AE944" s="11" t="n">
        <v>1.011296296296296</v>
      </c>
      <c r="AF944" s="16">
        <f>SUMPRODUCT(N944:Y944,$N$5:$Y$5)*$K944*$L944*$M944</f>
        <v/>
      </c>
      <c r="AG944" s="16">
        <f>SUMPRODUCT(N944:Y944,$N$6:$Y$6)*$K944*$L944*$M944</f>
        <v/>
      </c>
      <c r="AH944" s="20" t="n"/>
    </row>
    <row r="945">
      <c r="A945" s="9" t="n">
        <v>702296</v>
      </c>
      <c r="B945" s="9" t="inlineStr">
        <is>
          <t>Nate Dohm</t>
        </is>
      </c>
      <c r="C945" s="9" t="inlineStr">
        <is>
          <t>STL</t>
        </is>
      </c>
      <c r="D945" s="9" t="n">
        <v>25</v>
      </c>
      <c r="E945" s="18" t="inlineStr">
        <is>
          <t>R</t>
        </is>
      </c>
      <c r="F945" s="18" t="n"/>
      <c r="G945" s="9" t="n">
        <v>3.01</v>
      </c>
      <c r="H945" s="9" t="n">
        <v>3.01</v>
      </c>
      <c r="I945" s="9" t="inlineStr">
        <is>
          <t>Depth (no MLB IP)</t>
        </is>
      </c>
      <c r="J945" s="18" t="inlineStr">
        <is>
          <t>Opening Day</t>
        </is>
      </c>
      <c r="K945" s="11">
        <f>IFERROR(INDEX(Roles!$B$17:$B$20,MATCH(J945,Roles!$A$17:$A$20,0)),1)</f>
        <v/>
      </c>
      <c r="L945" s="19" t="n">
        <v>1</v>
      </c>
      <c r="M945" s="11" t="n">
        <v>1</v>
      </c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>
        <v>1</v>
      </c>
      <c r="Z945" s="13">
        <f>SUMPRODUCT(N945:Y945,$N$2:$Y$2)*$K945*$L945*$M945</f>
        <v/>
      </c>
      <c r="AA945" s="14">
        <f>SUM(N945:Y945)</f>
        <v/>
      </c>
      <c r="AB945" s="13">
        <f>SUMPRODUCT(N945:Y945,$N$3:$Y$3)*$K945*$L945*$M945</f>
        <v/>
      </c>
      <c r="AC945" s="13">
        <f>SUMPRODUCT(N945:Y945,$N$4:$Y$4)*$K945*$L945*$M945</f>
        <v/>
      </c>
      <c r="AD945" s="15" t="n">
        <v>3</v>
      </c>
      <c r="AE945" s="11" t="n">
        <v>1.011296296296296</v>
      </c>
      <c r="AF945" s="16">
        <f>SUMPRODUCT(N945:Y945,$N$5:$Y$5)*$K945*$L945*$M945</f>
        <v/>
      </c>
      <c r="AG945" s="16">
        <f>SUMPRODUCT(N945:Y945,$N$6:$Y$6)*$K945*$L945*$M945</f>
        <v/>
      </c>
      <c r="AH945" s="20" t="n"/>
    </row>
    <row r="946">
      <c r="A946" s="9" t="n">
        <v>691017</v>
      </c>
      <c r="B946" s="9" t="inlineStr">
        <is>
          <t>Travis Sthele</t>
        </is>
      </c>
      <c r="C946" s="9" t="inlineStr">
        <is>
          <t>WSH</t>
        </is>
      </c>
      <c r="D946" s="9" t="n">
        <v>25</v>
      </c>
      <c r="E946" s="18" t="inlineStr">
        <is>
          <t>R</t>
        </is>
      </c>
      <c r="F946" s="18" t="n"/>
      <c r="G946" s="9" t="n">
        <v>2.866666666666667</v>
      </c>
      <c r="H946" s="9" t="n">
        <v>2.866666666666667</v>
      </c>
      <c r="I946" s="9" t="inlineStr">
        <is>
          <t>Depth (no MLB IP)</t>
        </is>
      </c>
      <c r="J946" s="18" t="inlineStr">
        <is>
          <t>Opening Day</t>
        </is>
      </c>
      <c r="K946" s="11">
        <f>IFERROR(INDEX(Roles!$B$17:$B$20,MATCH(J946,Roles!$A$17:$A$20,0)),1)</f>
        <v/>
      </c>
      <c r="L946" s="19" t="n">
        <v>1</v>
      </c>
      <c r="M946" s="11" t="n">
        <v>1</v>
      </c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>
        <v>1</v>
      </c>
      <c r="Z946" s="13">
        <f>SUMPRODUCT(N946:Y946,$N$2:$Y$2)*$K946*$L946*$M946</f>
        <v/>
      </c>
      <c r="AA946" s="14">
        <f>SUM(N946:Y946)</f>
        <v/>
      </c>
      <c r="AB946" s="13">
        <f>SUMPRODUCT(N946:Y946,$N$3:$Y$3)*$K946*$L946*$M946</f>
        <v/>
      </c>
      <c r="AC946" s="13">
        <f>SUMPRODUCT(N946:Y946,$N$4:$Y$4)*$K946*$L946*$M946</f>
        <v/>
      </c>
      <c r="AD946" s="15" t="n">
        <v>3</v>
      </c>
      <c r="AE946" s="11" t="n">
        <v>1.011296296296296</v>
      </c>
      <c r="AF946" s="16">
        <f>SUMPRODUCT(N946:Y946,$N$5:$Y$5)*$K946*$L946*$M946</f>
        <v/>
      </c>
      <c r="AG946" s="16">
        <f>SUMPRODUCT(N946:Y946,$N$6:$Y$6)*$K946*$L946*$M946</f>
        <v/>
      </c>
      <c r="AH946" s="20" t="n"/>
    </row>
    <row r="947">
      <c r="A947" s="9" t="n">
        <v>806241</v>
      </c>
      <c r="B947" s="9" t="inlineStr">
        <is>
          <t>Franyel Diaz</t>
        </is>
      </c>
      <c r="C947" s="9" t="inlineStr">
        <is>
          <t>NYM</t>
        </is>
      </c>
      <c r="D947" s="9" t="n">
        <v>25</v>
      </c>
      <c r="E947" s="18" t="inlineStr">
        <is>
          <t>R</t>
        </is>
      </c>
      <c r="F947" s="18" t="n"/>
      <c r="G947" s="9" t="n">
        <v>3.096</v>
      </c>
      <c r="H947" s="9" t="n">
        <v>3.096</v>
      </c>
      <c r="I947" s="9" t="inlineStr">
        <is>
          <t>Depth (no MLB IP)</t>
        </is>
      </c>
      <c r="J947" s="18" t="inlineStr">
        <is>
          <t>Opening Day</t>
        </is>
      </c>
      <c r="K947" s="11">
        <f>IFERROR(INDEX(Roles!$B$17:$B$20,MATCH(J947,Roles!$A$17:$A$20,0)),1)</f>
        <v/>
      </c>
      <c r="L947" s="19" t="n">
        <v>1</v>
      </c>
      <c r="M947" s="11" t="n">
        <v>1</v>
      </c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>
        <v>1</v>
      </c>
      <c r="Z947" s="13">
        <f>SUMPRODUCT(N947:Y947,$N$2:$Y$2)*$K947*$L947*$M947</f>
        <v/>
      </c>
      <c r="AA947" s="14">
        <f>SUM(N947:Y947)</f>
        <v/>
      </c>
      <c r="AB947" s="13">
        <f>SUMPRODUCT(N947:Y947,$N$3:$Y$3)*$K947*$L947*$M947</f>
        <v/>
      </c>
      <c r="AC947" s="13">
        <f>SUMPRODUCT(N947:Y947,$N$4:$Y$4)*$K947*$L947*$M947</f>
        <v/>
      </c>
      <c r="AD947" s="15" t="n">
        <v>3</v>
      </c>
      <c r="AE947" s="11" t="n">
        <v>1.011296296296296</v>
      </c>
      <c r="AF947" s="16">
        <f>SUMPRODUCT(N947:Y947,$N$5:$Y$5)*$K947*$L947*$M947</f>
        <v/>
      </c>
      <c r="AG947" s="16">
        <f>SUMPRODUCT(N947:Y947,$N$6:$Y$6)*$K947*$L947*$M947</f>
        <v/>
      </c>
      <c r="AH947" s="20" t="n"/>
    </row>
    <row r="948">
      <c r="A948" s="9" t="n">
        <v>836171</v>
      </c>
      <c r="B948" s="9" t="inlineStr">
        <is>
          <t>Austin Brown</t>
        </is>
      </c>
      <c r="C948" s="9" t="inlineStr">
        <is>
          <t>NYM</t>
        </is>
      </c>
      <c r="D948" s="9" t="n">
        <v>25</v>
      </c>
      <c r="E948" s="18" t="inlineStr">
        <is>
          <t>R</t>
        </is>
      </c>
      <c r="F948" s="18" t="n"/>
      <c r="G948" s="9" t="n">
        <v>3.268</v>
      </c>
      <c r="H948" s="9" t="n">
        <v>3.268</v>
      </c>
      <c r="I948" s="9" t="inlineStr">
        <is>
          <t>Depth (no MLB IP)</t>
        </is>
      </c>
      <c r="J948" s="18" t="inlineStr">
        <is>
          <t>Opening Day</t>
        </is>
      </c>
      <c r="K948" s="11">
        <f>IFERROR(INDEX(Roles!$B$17:$B$20,MATCH(J948,Roles!$A$17:$A$20,0)),1)</f>
        <v/>
      </c>
      <c r="L948" s="19" t="n">
        <v>1</v>
      </c>
      <c r="M948" s="11" t="n">
        <v>1</v>
      </c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>
        <v>1</v>
      </c>
      <c r="Z948" s="13">
        <f>SUMPRODUCT(N948:Y948,$N$2:$Y$2)*$K948*$L948*$M948</f>
        <v/>
      </c>
      <c r="AA948" s="14">
        <f>SUM(N948:Y948)</f>
        <v/>
      </c>
      <c r="AB948" s="13">
        <f>SUMPRODUCT(N948:Y948,$N$3:$Y$3)*$K948*$L948*$M948</f>
        <v/>
      </c>
      <c r="AC948" s="13">
        <f>SUMPRODUCT(N948:Y948,$N$4:$Y$4)*$K948*$L948*$M948</f>
        <v/>
      </c>
      <c r="AD948" s="15" t="n">
        <v>3</v>
      </c>
      <c r="AE948" s="11" t="n">
        <v>1.011296296296296</v>
      </c>
      <c r="AF948" s="16">
        <f>SUMPRODUCT(N948:Y948,$N$5:$Y$5)*$K948*$L948*$M948</f>
        <v/>
      </c>
      <c r="AG948" s="16">
        <f>SUMPRODUCT(N948:Y948,$N$6:$Y$6)*$K948*$L948*$M948</f>
        <v/>
      </c>
      <c r="AH948" s="20" t="n"/>
    </row>
    <row r="949">
      <c r="A949" s="9" t="n">
        <v>835054</v>
      </c>
      <c r="B949" s="9" t="inlineStr">
        <is>
          <t>Cale Wetwiska</t>
        </is>
      </c>
      <c r="C949" s="9" t="inlineStr">
        <is>
          <t>DET</t>
        </is>
      </c>
      <c r="D949" s="9" t="n">
        <v>25</v>
      </c>
      <c r="E949" s="18" t="inlineStr">
        <is>
          <t>R</t>
        </is>
      </c>
      <c r="F949" s="18" t="n"/>
      <c r="G949" s="9" t="n">
        <v>2.866666666666667</v>
      </c>
      <c r="H949" s="9" t="n">
        <v>2.866666666666667</v>
      </c>
      <c r="I949" s="9" t="inlineStr">
        <is>
          <t>Depth (no MLB IP)</t>
        </is>
      </c>
      <c r="J949" s="18" t="inlineStr">
        <is>
          <t>Opening Day</t>
        </is>
      </c>
      <c r="K949" s="11">
        <f>IFERROR(INDEX(Roles!$B$17:$B$20,MATCH(J949,Roles!$A$17:$A$20,0)),1)</f>
        <v/>
      </c>
      <c r="L949" s="19" t="n">
        <v>1</v>
      </c>
      <c r="M949" s="11" t="n">
        <v>1</v>
      </c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>
        <v>1</v>
      </c>
      <c r="Z949" s="13">
        <f>SUMPRODUCT(N949:Y949,$N$2:$Y$2)*$K949*$L949*$M949</f>
        <v/>
      </c>
      <c r="AA949" s="14">
        <f>SUM(N949:Y949)</f>
        <v/>
      </c>
      <c r="AB949" s="13">
        <f>SUMPRODUCT(N949:Y949,$N$3:$Y$3)*$K949*$L949*$M949</f>
        <v/>
      </c>
      <c r="AC949" s="13">
        <f>SUMPRODUCT(N949:Y949,$N$4:$Y$4)*$K949*$L949*$M949</f>
        <v/>
      </c>
      <c r="AD949" s="15" t="n">
        <v>3</v>
      </c>
      <c r="AE949" s="11" t="n">
        <v>1.011296296296296</v>
      </c>
      <c r="AF949" s="16">
        <f>SUMPRODUCT(N949:Y949,$N$5:$Y$5)*$K949*$L949*$M949</f>
        <v/>
      </c>
      <c r="AG949" s="16">
        <f>SUMPRODUCT(N949:Y949,$N$6:$Y$6)*$K949*$L949*$M949</f>
        <v/>
      </c>
      <c r="AH949" s="20" t="n"/>
    </row>
    <row r="950">
      <c r="A950" s="9" t="n">
        <v>802374</v>
      </c>
      <c r="B950" s="9" t="inlineStr">
        <is>
          <t>Brady Kirtner</t>
        </is>
      </c>
      <c r="C950" s="9" t="inlineStr">
        <is>
          <t>NYY</t>
        </is>
      </c>
      <c r="D950" s="9" t="n">
        <v>25</v>
      </c>
      <c r="E950" s="18" t="inlineStr">
        <is>
          <t>R</t>
        </is>
      </c>
      <c r="F950" s="18" t="n"/>
      <c r="G950" s="9" t="n">
        <v>3.01</v>
      </c>
      <c r="H950" s="9" t="n">
        <v>3.01</v>
      </c>
      <c r="I950" s="9" t="inlineStr">
        <is>
          <t>Depth (no MLB IP)</t>
        </is>
      </c>
      <c r="J950" s="18" t="inlineStr">
        <is>
          <t>Opening Day</t>
        </is>
      </c>
      <c r="K950" s="11">
        <f>IFERROR(INDEX(Roles!$B$17:$B$20,MATCH(J950,Roles!$A$17:$A$20,0)),1)</f>
        <v/>
      </c>
      <c r="L950" s="19" t="n">
        <v>1</v>
      </c>
      <c r="M950" s="11" t="n">
        <v>1</v>
      </c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>
        <v>1</v>
      </c>
      <c r="Z950" s="13">
        <f>SUMPRODUCT(N950:Y950,$N$2:$Y$2)*$K950*$L950*$M950</f>
        <v/>
      </c>
      <c r="AA950" s="14">
        <f>SUM(N950:Y950)</f>
        <v/>
      </c>
      <c r="AB950" s="13">
        <f>SUMPRODUCT(N950:Y950,$N$3:$Y$3)*$K950*$L950*$M950</f>
        <v/>
      </c>
      <c r="AC950" s="13">
        <f>SUMPRODUCT(N950:Y950,$N$4:$Y$4)*$K950*$L950*$M950</f>
        <v/>
      </c>
      <c r="AD950" s="15" t="n">
        <v>3</v>
      </c>
      <c r="AE950" s="11" t="n">
        <v>1.011296296296296</v>
      </c>
      <c r="AF950" s="16">
        <f>SUMPRODUCT(N950:Y950,$N$5:$Y$5)*$K950*$L950*$M950</f>
        <v/>
      </c>
      <c r="AG950" s="16">
        <f>SUMPRODUCT(N950:Y950,$N$6:$Y$6)*$K950*$L950*$M950</f>
        <v/>
      </c>
      <c r="AH950" s="20" t="n"/>
    </row>
    <row r="951">
      <c r="A951" s="9" t="n">
        <v>827604</v>
      </c>
      <c r="B951" s="9" t="inlineStr">
        <is>
          <t>Aidan Deakins</t>
        </is>
      </c>
      <c r="C951" s="9" t="inlineStr">
        <is>
          <t>TEX</t>
        </is>
      </c>
      <c r="D951" s="9" t="n">
        <v>25</v>
      </c>
      <c r="E951" s="18" t="inlineStr">
        <is>
          <t>L</t>
        </is>
      </c>
      <c r="F951" s="18" t="n"/>
      <c r="G951" s="9" t="n">
        <v>2.866666666666667</v>
      </c>
      <c r="H951" s="9" t="n">
        <v>2.866666666666667</v>
      </c>
      <c r="I951" s="9" t="inlineStr">
        <is>
          <t>Depth (no MLB IP)</t>
        </is>
      </c>
      <c r="J951" s="18" t="inlineStr">
        <is>
          <t>Opening Day</t>
        </is>
      </c>
      <c r="K951" s="11">
        <f>IFERROR(INDEX(Roles!$B$17:$B$20,MATCH(J951,Roles!$A$17:$A$20,0)),1)</f>
        <v/>
      </c>
      <c r="L951" s="19" t="n">
        <v>1</v>
      </c>
      <c r="M951" s="11" t="n">
        <v>1</v>
      </c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>
        <v>1</v>
      </c>
      <c r="Z951" s="13">
        <f>SUMPRODUCT(N951:Y951,$N$2:$Y$2)*$K951*$L951*$M951</f>
        <v/>
      </c>
      <c r="AA951" s="14">
        <f>SUM(N951:Y951)</f>
        <v/>
      </c>
      <c r="AB951" s="13">
        <f>SUMPRODUCT(N951:Y951,$N$3:$Y$3)*$K951*$L951*$M951</f>
        <v/>
      </c>
      <c r="AC951" s="13">
        <f>SUMPRODUCT(N951:Y951,$N$4:$Y$4)*$K951*$L951*$M951</f>
        <v/>
      </c>
      <c r="AD951" s="15" t="n">
        <v>3</v>
      </c>
      <c r="AE951" s="11" t="n">
        <v>1.011296296296296</v>
      </c>
      <c r="AF951" s="16">
        <f>SUMPRODUCT(N951:Y951,$N$5:$Y$5)*$K951*$L951*$M951</f>
        <v/>
      </c>
      <c r="AG951" s="16">
        <f>SUMPRODUCT(N951:Y951,$N$6:$Y$6)*$K951*$L951*$M951</f>
        <v/>
      </c>
      <c r="AH951" s="20" t="n"/>
    </row>
    <row r="952">
      <c r="A952" s="9" t="n">
        <v>843965</v>
      </c>
      <c r="B952" s="9" t="inlineStr">
        <is>
          <t>Brian Strange</t>
        </is>
      </c>
      <c r="C952" s="9" t="inlineStr">
        <is>
          <t>MIN</t>
        </is>
      </c>
      <c r="D952" s="9" t="n">
        <v>25</v>
      </c>
      <c r="E952" s="18" t="inlineStr">
        <is>
          <t>R</t>
        </is>
      </c>
      <c r="F952" s="18" t="n"/>
      <c r="G952" s="9" t="n">
        <v>3.268</v>
      </c>
      <c r="H952" s="9" t="n">
        <v>3.268</v>
      </c>
      <c r="I952" s="9" t="inlineStr">
        <is>
          <t>Depth (no MLB IP)</t>
        </is>
      </c>
      <c r="J952" s="18" t="inlineStr">
        <is>
          <t>Opening Day</t>
        </is>
      </c>
      <c r="K952" s="11">
        <f>IFERROR(INDEX(Roles!$B$17:$B$20,MATCH(J952,Roles!$A$17:$A$20,0)),1)</f>
        <v/>
      </c>
      <c r="L952" s="19" t="n">
        <v>1</v>
      </c>
      <c r="M952" s="11" t="n">
        <v>1</v>
      </c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>
        <v>1</v>
      </c>
      <c r="Z952" s="13">
        <f>SUMPRODUCT(N952:Y952,$N$2:$Y$2)*$K952*$L952*$M952</f>
        <v/>
      </c>
      <c r="AA952" s="14">
        <f>SUM(N952:Y952)</f>
        <v/>
      </c>
      <c r="AB952" s="13">
        <f>SUMPRODUCT(N952:Y952,$N$3:$Y$3)*$K952*$L952*$M952</f>
        <v/>
      </c>
      <c r="AC952" s="13">
        <f>SUMPRODUCT(N952:Y952,$N$4:$Y$4)*$K952*$L952*$M952</f>
        <v/>
      </c>
      <c r="AD952" s="15" t="n">
        <v>3</v>
      </c>
      <c r="AE952" s="11" t="n">
        <v>1.011296296296296</v>
      </c>
      <c r="AF952" s="16">
        <f>SUMPRODUCT(N952:Y952,$N$5:$Y$5)*$K952*$L952*$M952</f>
        <v/>
      </c>
      <c r="AG952" s="16">
        <f>SUMPRODUCT(N952:Y952,$N$6:$Y$6)*$K952*$L952*$M952</f>
        <v/>
      </c>
      <c r="AH952" s="20" t="n"/>
    </row>
    <row r="953">
      <c r="A953" s="9" t="n">
        <v>842478</v>
      </c>
      <c r="B953" s="9" t="inlineStr">
        <is>
          <t>Jackson Sleeper</t>
        </is>
      </c>
      <c r="C953" s="9" t="inlineStr">
        <is>
          <t>MIN</t>
        </is>
      </c>
      <c r="D953" s="9" t="n">
        <v>25</v>
      </c>
      <c r="E953" s="18" t="inlineStr">
        <is>
          <t>R</t>
        </is>
      </c>
      <c r="F953" s="18" t="n"/>
      <c r="G953" s="9" t="n">
        <v>2.924</v>
      </c>
      <c r="H953" s="9" t="n">
        <v>2.924</v>
      </c>
      <c r="I953" s="9" t="inlineStr">
        <is>
          <t>Depth (no MLB IP)</t>
        </is>
      </c>
      <c r="J953" s="18" t="inlineStr">
        <is>
          <t>Opening Day</t>
        </is>
      </c>
      <c r="K953" s="11">
        <f>IFERROR(INDEX(Roles!$B$17:$B$20,MATCH(J953,Roles!$A$17:$A$20,0)),1)</f>
        <v/>
      </c>
      <c r="L953" s="19" t="n">
        <v>1</v>
      </c>
      <c r="M953" s="11" t="n">
        <v>1</v>
      </c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>
        <v>1</v>
      </c>
      <c r="Z953" s="13">
        <f>SUMPRODUCT(N953:Y953,$N$2:$Y$2)*$K953*$L953*$M953</f>
        <v/>
      </c>
      <c r="AA953" s="14">
        <f>SUM(N953:Y953)</f>
        <v/>
      </c>
      <c r="AB953" s="13">
        <f>SUMPRODUCT(N953:Y953,$N$3:$Y$3)*$K953*$L953*$M953</f>
        <v/>
      </c>
      <c r="AC953" s="13">
        <f>SUMPRODUCT(N953:Y953,$N$4:$Y$4)*$K953*$L953*$M953</f>
        <v/>
      </c>
      <c r="AD953" s="15" t="n">
        <v>3</v>
      </c>
      <c r="AE953" s="11" t="n">
        <v>1.011296296296296</v>
      </c>
      <c r="AF953" s="16">
        <f>SUMPRODUCT(N953:Y953,$N$5:$Y$5)*$K953*$L953*$M953</f>
        <v/>
      </c>
      <c r="AG953" s="16">
        <f>SUMPRODUCT(N953:Y953,$N$6:$Y$6)*$K953*$L953*$M953</f>
        <v/>
      </c>
      <c r="AH953" s="20" t="n"/>
    </row>
    <row r="954">
      <c r="A954" s="9" t="n">
        <v>837328</v>
      </c>
      <c r="B954" s="9" t="inlineStr">
        <is>
          <t>Fenuel James</t>
        </is>
      </c>
      <c r="C954" s="9" t="inlineStr">
        <is>
          <t>CHC</t>
        </is>
      </c>
      <c r="D954" s="9" t="n">
        <v>25</v>
      </c>
      <c r="E954" s="18" t="inlineStr">
        <is>
          <t>L</t>
        </is>
      </c>
      <c r="F954" s="18" t="n"/>
      <c r="G954" s="9" t="n">
        <v>3.096</v>
      </c>
      <c r="H954" s="9" t="n">
        <v>3.096</v>
      </c>
      <c r="I954" s="9" t="inlineStr">
        <is>
          <t>Depth (no MLB IP)</t>
        </is>
      </c>
      <c r="J954" s="18" t="inlineStr">
        <is>
          <t>Opening Day</t>
        </is>
      </c>
      <c r="K954" s="11">
        <f>IFERROR(INDEX(Roles!$B$17:$B$20,MATCH(J954,Roles!$A$17:$A$20,0)),1)</f>
        <v/>
      </c>
      <c r="L954" s="19" t="n">
        <v>1</v>
      </c>
      <c r="M954" s="11" t="n">
        <v>1</v>
      </c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>
        <v>1</v>
      </c>
      <c r="Z954" s="13">
        <f>SUMPRODUCT(N954:Y954,$N$2:$Y$2)*$K954*$L954*$M954</f>
        <v/>
      </c>
      <c r="AA954" s="14">
        <f>SUM(N954:Y954)</f>
        <v/>
      </c>
      <c r="AB954" s="13">
        <f>SUMPRODUCT(N954:Y954,$N$3:$Y$3)*$K954*$L954*$M954</f>
        <v/>
      </c>
      <c r="AC954" s="13">
        <f>SUMPRODUCT(N954:Y954,$N$4:$Y$4)*$K954*$L954*$M954</f>
        <v/>
      </c>
      <c r="AD954" s="15" t="n">
        <v>3</v>
      </c>
      <c r="AE954" s="11" t="n">
        <v>1.011296296296296</v>
      </c>
      <c r="AF954" s="16">
        <f>SUMPRODUCT(N954:Y954,$N$5:$Y$5)*$K954*$L954*$M954</f>
        <v/>
      </c>
      <c r="AG954" s="16">
        <f>SUMPRODUCT(N954:Y954,$N$6:$Y$6)*$K954*$L954*$M954</f>
        <v/>
      </c>
      <c r="AH954" s="20" t="n"/>
    </row>
    <row r="955">
      <c r="A955" s="9" t="n">
        <v>837597</v>
      </c>
      <c r="B955" s="9" t="inlineStr">
        <is>
          <t>Albert Roblez</t>
        </is>
      </c>
      <c r="C955" s="9" t="inlineStr">
        <is>
          <t>SD</t>
        </is>
      </c>
      <c r="D955" s="9" t="n">
        <v>25</v>
      </c>
      <c r="E955" s="18" t="inlineStr">
        <is>
          <t>R</t>
        </is>
      </c>
      <c r="F955" s="18" t="n"/>
      <c r="G955" s="9" t="n">
        <v>3.268</v>
      </c>
      <c r="H955" s="9" t="n">
        <v>3.268</v>
      </c>
      <c r="I955" s="9" t="inlineStr">
        <is>
          <t>Depth (no MLB IP)</t>
        </is>
      </c>
      <c r="J955" s="18" t="inlineStr">
        <is>
          <t>Opening Day</t>
        </is>
      </c>
      <c r="K955" s="11">
        <f>IFERROR(INDEX(Roles!$B$17:$B$20,MATCH(J955,Roles!$A$17:$A$20,0)),1)</f>
        <v/>
      </c>
      <c r="L955" s="19" t="n">
        <v>1</v>
      </c>
      <c r="M955" s="11" t="n">
        <v>1</v>
      </c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>
        <v>1</v>
      </c>
      <c r="Z955" s="13">
        <f>SUMPRODUCT(N955:Y955,$N$2:$Y$2)*$K955*$L955*$M955</f>
        <v/>
      </c>
      <c r="AA955" s="14">
        <f>SUM(N955:Y955)</f>
        <v/>
      </c>
      <c r="AB955" s="13">
        <f>SUMPRODUCT(N955:Y955,$N$3:$Y$3)*$K955*$L955*$M955</f>
        <v/>
      </c>
      <c r="AC955" s="13">
        <f>SUMPRODUCT(N955:Y955,$N$4:$Y$4)*$K955*$L955*$M955</f>
        <v/>
      </c>
      <c r="AD955" s="15" t="n">
        <v>3</v>
      </c>
      <c r="AE955" s="11" t="n">
        <v>1.011296296296296</v>
      </c>
      <c r="AF955" s="16">
        <f>SUMPRODUCT(N955:Y955,$N$5:$Y$5)*$K955*$L955*$M955</f>
        <v/>
      </c>
      <c r="AG955" s="16">
        <f>SUMPRODUCT(N955:Y955,$N$6:$Y$6)*$K955*$L955*$M955</f>
        <v/>
      </c>
      <c r="AH955" s="20" t="n"/>
    </row>
    <row r="956">
      <c r="A956" s="9" t="n">
        <v>840437</v>
      </c>
      <c r="B956" s="9" t="inlineStr">
        <is>
          <t>Sam Larson</t>
        </is>
      </c>
      <c r="C956" s="9" t="inlineStr">
        <is>
          <t>COL</t>
        </is>
      </c>
      <c r="D956" s="9" t="n">
        <v>25</v>
      </c>
      <c r="E956" s="18" t="inlineStr">
        <is>
          <t>R</t>
        </is>
      </c>
      <c r="F956" s="18" t="n"/>
      <c r="G956" s="9" t="n">
        <v>3.44</v>
      </c>
      <c r="H956" s="9" t="n">
        <v>3.44</v>
      </c>
      <c r="I956" s="9" t="inlineStr">
        <is>
          <t>Depth (no MLB IP)</t>
        </is>
      </c>
      <c r="J956" s="18" t="inlineStr">
        <is>
          <t>Opening Day</t>
        </is>
      </c>
      <c r="K956" s="11">
        <f>IFERROR(INDEX(Roles!$B$17:$B$20,MATCH(J956,Roles!$A$17:$A$20,0)),1)</f>
        <v/>
      </c>
      <c r="L956" s="19" t="n">
        <v>1</v>
      </c>
      <c r="M956" s="11" t="n">
        <v>1</v>
      </c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>
        <v>1</v>
      </c>
      <c r="Z956" s="13">
        <f>SUMPRODUCT(N956:Y956,$N$2:$Y$2)*$K956*$L956*$M956</f>
        <v/>
      </c>
      <c r="AA956" s="14">
        <f>SUM(N956:Y956)</f>
        <v/>
      </c>
      <c r="AB956" s="13">
        <f>SUMPRODUCT(N956:Y956,$N$3:$Y$3)*$K956*$L956*$M956</f>
        <v/>
      </c>
      <c r="AC956" s="13">
        <f>SUMPRODUCT(N956:Y956,$N$4:$Y$4)*$K956*$L956*$M956</f>
        <v/>
      </c>
      <c r="AD956" s="15" t="n">
        <v>3</v>
      </c>
      <c r="AE956" s="11" t="n">
        <v>1.011296296296296</v>
      </c>
      <c r="AF956" s="16">
        <f>SUMPRODUCT(N956:Y956,$N$5:$Y$5)*$K956*$L956*$M956</f>
        <v/>
      </c>
      <c r="AG956" s="16">
        <f>SUMPRODUCT(N956:Y956,$N$6:$Y$6)*$K956*$L956*$M956</f>
        <v/>
      </c>
      <c r="AH956" s="20" t="n"/>
    </row>
    <row r="957">
      <c r="A957" s="9" t="n">
        <v>811669</v>
      </c>
      <c r="B957" s="9" t="inlineStr">
        <is>
          <t>Andrew Gaines</t>
        </is>
      </c>
      <c r="C957" s="9" t="inlineStr">
        <is>
          <t>MIL</t>
        </is>
      </c>
      <c r="D957" s="9" t="n">
        <v>25</v>
      </c>
      <c r="E957" s="18" t="inlineStr">
        <is>
          <t>R</t>
        </is>
      </c>
      <c r="F957" s="18" t="n"/>
      <c r="G957" s="9" t="n">
        <v>3.612</v>
      </c>
      <c r="H957" s="9" t="n">
        <v>3.612</v>
      </c>
      <c r="I957" s="9" t="inlineStr">
        <is>
          <t>Depth (no MLB IP)</t>
        </is>
      </c>
      <c r="J957" s="18" t="inlineStr">
        <is>
          <t>Opening Day</t>
        </is>
      </c>
      <c r="K957" s="11">
        <f>IFERROR(INDEX(Roles!$B$17:$B$20,MATCH(J957,Roles!$A$17:$A$20,0)),1)</f>
        <v/>
      </c>
      <c r="L957" s="19" t="n">
        <v>1</v>
      </c>
      <c r="M957" s="11" t="n">
        <v>1</v>
      </c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>
        <v>1</v>
      </c>
      <c r="Z957" s="13">
        <f>SUMPRODUCT(N957:Y957,$N$2:$Y$2)*$K957*$L957*$M957</f>
        <v/>
      </c>
      <c r="AA957" s="14">
        <f>SUM(N957:Y957)</f>
        <v/>
      </c>
      <c r="AB957" s="13">
        <f>SUMPRODUCT(N957:Y957,$N$3:$Y$3)*$K957*$L957*$M957</f>
        <v/>
      </c>
      <c r="AC957" s="13">
        <f>SUMPRODUCT(N957:Y957,$N$4:$Y$4)*$K957*$L957*$M957</f>
        <v/>
      </c>
      <c r="AD957" s="15" t="n">
        <v>3</v>
      </c>
      <c r="AE957" s="11" t="n">
        <v>1.011296296296296</v>
      </c>
      <c r="AF957" s="16">
        <f>SUMPRODUCT(N957:Y957,$N$5:$Y$5)*$K957*$L957*$M957</f>
        <v/>
      </c>
      <c r="AG957" s="16">
        <f>SUMPRODUCT(N957:Y957,$N$6:$Y$6)*$K957*$L957*$M957</f>
        <v/>
      </c>
      <c r="AH957" s="20" t="n"/>
    </row>
    <row r="958">
      <c r="A958" s="9" t="n">
        <v>695946</v>
      </c>
      <c r="B958" s="9" t="inlineStr">
        <is>
          <t>Junior Flores</t>
        </is>
      </c>
      <c r="C958" s="9" t="inlineStr">
        <is>
          <t>PIT</t>
        </is>
      </c>
      <c r="D958" s="9" t="n">
        <v>25</v>
      </c>
      <c r="E958" s="18" t="inlineStr">
        <is>
          <t>R</t>
        </is>
      </c>
      <c r="F958" s="18" t="n"/>
      <c r="G958" s="9" t="n">
        <v>3.44</v>
      </c>
      <c r="H958" s="9" t="n">
        <v>3.44</v>
      </c>
      <c r="I958" s="9" t="inlineStr">
        <is>
          <t>Depth (no MLB IP)</t>
        </is>
      </c>
      <c r="J958" s="18" t="inlineStr">
        <is>
          <t>Opening Day</t>
        </is>
      </c>
      <c r="K958" s="11">
        <f>IFERROR(INDEX(Roles!$B$17:$B$20,MATCH(J958,Roles!$A$17:$A$20,0)),1)</f>
        <v/>
      </c>
      <c r="L958" s="19" t="n">
        <v>1</v>
      </c>
      <c r="M958" s="11" t="n">
        <v>1</v>
      </c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>
        <v>1</v>
      </c>
      <c r="Z958" s="13">
        <f>SUMPRODUCT(N958:Y958,$N$2:$Y$2)*$K958*$L958*$M958</f>
        <v/>
      </c>
      <c r="AA958" s="14">
        <f>SUM(N958:Y958)</f>
        <v/>
      </c>
      <c r="AB958" s="13">
        <f>SUMPRODUCT(N958:Y958,$N$3:$Y$3)*$K958*$L958*$M958</f>
        <v/>
      </c>
      <c r="AC958" s="13">
        <f>SUMPRODUCT(N958:Y958,$N$4:$Y$4)*$K958*$L958*$M958</f>
        <v/>
      </c>
      <c r="AD958" s="15" t="n">
        <v>3</v>
      </c>
      <c r="AE958" s="11" t="n">
        <v>1.011296296296296</v>
      </c>
      <c r="AF958" s="16">
        <f>SUMPRODUCT(N958:Y958,$N$5:$Y$5)*$K958*$L958*$M958</f>
        <v/>
      </c>
      <c r="AG958" s="16">
        <f>SUMPRODUCT(N958:Y958,$N$6:$Y$6)*$K958*$L958*$M958</f>
        <v/>
      </c>
      <c r="AH958" s="20" t="n"/>
    </row>
    <row r="959">
      <c r="A959" s="9" t="n">
        <v>814487</v>
      </c>
      <c r="B959" s="9" t="inlineStr">
        <is>
          <t>Nolan Hughes</t>
        </is>
      </c>
      <c r="C959" s="9" t="inlineStr">
        <is>
          <t>WSH</t>
        </is>
      </c>
      <c r="D959" s="9" t="n">
        <v>25</v>
      </c>
      <c r="E959" s="18" t="inlineStr">
        <is>
          <t>L</t>
        </is>
      </c>
      <c r="F959" s="18" t="n"/>
      <c r="G959" s="9" t="n">
        <v>3.612</v>
      </c>
      <c r="H959" s="9" t="n">
        <v>3.612</v>
      </c>
      <c r="I959" s="9" t="inlineStr">
        <is>
          <t>Depth (no MLB IP)</t>
        </is>
      </c>
      <c r="J959" s="18" t="inlineStr">
        <is>
          <t>Opening Day</t>
        </is>
      </c>
      <c r="K959" s="11">
        <f>IFERROR(INDEX(Roles!$B$17:$B$20,MATCH(J959,Roles!$A$17:$A$20,0)),1)</f>
        <v/>
      </c>
      <c r="L959" s="19" t="n">
        <v>1</v>
      </c>
      <c r="M959" s="11" t="n">
        <v>1</v>
      </c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>
        <v>1</v>
      </c>
      <c r="Z959" s="13">
        <f>SUMPRODUCT(N959:Y959,$N$2:$Y$2)*$K959*$L959*$M959</f>
        <v/>
      </c>
      <c r="AA959" s="14">
        <f>SUM(N959:Y959)</f>
        <v/>
      </c>
      <c r="AB959" s="13">
        <f>SUMPRODUCT(N959:Y959,$N$3:$Y$3)*$K959*$L959*$M959</f>
        <v/>
      </c>
      <c r="AC959" s="13">
        <f>SUMPRODUCT(N959:Y959,$N$4:$Y$4)*$K959*$L959*$M959</f>
        <v/>
      </c>
      <c r="AD959" s="15" t="n">
        <v>3</v>
      </c>
      <c r="AE959" s="11" t="n">
        <v>1.011296296296296</v>
      </c>
      <c r="AF959" s="16">
        <f>SUMPRODUCT(N959:Y959,$N$5:$Y$5)*$K959*$L959*$M959</f>
        <v/>
      </c>
      <c r="AG959" s="16">
        <f>SUMPRODUCT(N959:Y959,$N$6:$Y$6)*$K959*$L959*$M959</f>
        <v/>
      </c>
      <c r="AH959" s="20" t="n"/>
    </row>
    <row r="960">
      <c r="A960" s="9" t="n">
        <v>703341</v>
      </c>
      <c r="B960" s="9" t="inlineStr">
        <is>
          <t>Candido Cuevas</t>
        </is>
      </c>
      <c r="C960" s="9" t="inlineStr">
        <is>
          <t>NYM</t>
        </is>
      </c>
      <c r="D960" s="9" t="n">
        <v>25</v>
      </c>
      <c r="E960" s="18" t="inlineStr">
        <is>
          <t>R</t>
        </is>
      </c>
      <c r="F960" s="18" t="n"/>
      <c r="G960" s="9" t="n">
        <v>3.44</v>
      </c>
      <c r="H960" s="9" t="n">
        <v>3.44</v>
      </c>
      <c r="I960" s="9" t="inlineStr">
        <is>
          <t>Depth (no MLB IP)</t>
        </is>
      </c>
      <c r="J960" s="18" t="inlineStr">
        <is>
          <t>Opening Day</t>
        </is>
      </c>
      <c r="K960" s="11">
        <f>IFERROR(INDEX(Roles!$B$17:$B$20,MATCH(J960,Roles!$A$17:$A$20,0)),1)</f>
        <v/>
      </c>
      <c r="L960" s="19" t="n">
        <v>1</v>
      </c>
      <c r="M960" s="11" t="n">
        <v>1</v>
      </c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>
        <v>1</v>
      </c>
      <c r="Z960" s="13">
        <f>SUMPRODUCT(N960:Y960,$N$2:$Y$2)*$K960*$L960*$M960</f>
        <v/>
      </c>
      <c r="AA960" s="14">
        <f>SUM(N960:Y960)</f>
        <v/>
      </c>
      <c r="AB960" s="13">
        <f>SUMPRODUCT(N960:Y960,$N$3:$Y$3)*$K960*$L960*$M960</f>
        <v/>
      </c>
      <c r="AC960" s="13">
        <f>SUMPRODUCT(N960:Y960,$N$4:$Y$4)*$K960*$L960*$M960</f>
        <v/>
      </c>
      <c r="AD960" s="15" t="n">
        <v>3</v>
      </c>
      <c r="AE960" s="11" t="n">
        <v>1.011296296296296</v>
      </c>
      <c r="AF960" s="16">
        <f>SUMPRODUCT(N960:Y960,$N$5:$Y$5)*$K960*$L960*$M960</f>
        <v/>
      </c>
      <c r="AG960" s="16">
        <f>SUMPRODUCT(N960:Y960,$N$6:$Y$6)*$K960*$L960*$M960</f>
        <v/>
      </c>
      <c r="AH960" s="20" t="n"/>
    </row>
    <row r="961">
      <c r="A961" s="9" t="n">
        <v>672642</v>
      </c>
      <c r="B961" s="9" t="inlineStr">
        <is>
          <t>Steward Berroa</t>
        </is>
      </c>
      <c r="C961" s="9" t="inlineStr">
        <is>
          <t>PHI</t>
        </is>
      </c>
      <c r="D961" s="9" t="n">
        <v>25</v>
      </c>
      <c r="E961" s="18" t="inlineStr">
        <is>
          <t>R</t>
        </is>
      </c>
      <c r="F961" s="18" t="n"/>
      <c r="G961" s="9" t="n">
        <v>3.153333333333333</v>
      </c>
      <c r="H961" s="9" t="n">
        <v>3.153333333333333</v>
      </c>
      <c r="I961" s="9" t="inlineStr">
        <is>
          <t>Depth (no MLB IP)</t>
        </is>
      </c>
      <c r="J961" s="18" t="inlineStr">
        <is>
          <t>Opening Day</t>
        </is>
      </c>
      <c r="K961" s="11">
        <f>IFERROR(INDEX(Roles!$B$17:$B$20,MATCH(J961,Roles!$A$17:$A$20,0)),1)</f>
        <v/>
      </c>
      <c r="L961" s="19" t="n">
        <v>1</v>
      </c>
      <c r="M961" s="11" t="n">
        <v>1</v>
      </c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>
        <v>1</v>
      </c>
      <c r="Z961" s="13">
        <f>SUMPRODUCT(N961:Y961,$N$2:$Y$2)*$K961*$L961*$M961</f>
        <v/>
      </c>
      <c r="AA961" s="14">
        <f>SUM(N961:Y961)</f>
        <v/>
      </c>
      <c r="AB961" s="13">
        <f>SUMPRODUCT(N961:Y961,$N$3:$Y$3)*$K961*$L961*$M961</f>
        <v/>
      </c>
      <c r="AC961" s="13">
        <f>SUMPRODUCT(N961:Y961,$N$4:$Y$4)*$K961*$L961*$M961</f>
        <v/>
      </c>
      <c r="AD961" s="15" t="n">
        <v>3</v>
      </c>
      <c r="AE961" s="11" t="n">
        <v>1.011296296296296</v>
      </c>
      <c r="AF961" s="16">
        <f>SUMPRODUCT(N961:Y961,$N$5:$Y$5)*$K961*$L961*$M961</f>
        <v/>
      </c>
      <c r="AG961" s="16">
        <f>SUMPRODUCT(N961:Y961,$N$6:$Y$6)*$K961*$L961*$M961</f>
        <v/>
      </c>
      <c r="AH961" s="20" t="n"/>
    </row>
    <row r="962">
      <c r="A962" s="9" t="n">
        <v>668876</v>
      </c>
      <c r="B962" s="9" t="inlineStr">
        <is>
          <t>Zach Humphreys</t>
        </is>
      </c>
      <c r="C962" s="9" t="inlineStr">
        <is>
          <t>LAA</t>
        </is>
      </c>
      <c r="D962" s="9" t="n">
        <v>25</v>
      </c>
      <c r="E962" s="18" t="inlineStr">
        <is>
          <t>R</t>
        </is>
      </c>
      <c r="F962" s="18" t="n"/>
      <c r="G962" s="9" t="n">
        <v>3.153333333333333</v>
      </c>
      <c r="H962" s="9" t="n">
        <v>3.153333333333333</v>
      </c>
      <c r="I962" s="9" t="inlineStr">
        <is>
          <t>Depth (no MLB IP)</t>
        </is>
      </c>
      <c r="J962" s="18" t="inlineStr">
        <is>
          <t>Opening Day</t>
        </is>
      </c>
      <c r="K962" s="11">
        <f>IFERROR(INDEX(Roles!$B$17:$B$20,MATCH(J962,Roles!$A$17:$A$20,0)),1)</f>
        <v/>
      </c>
      <c r="L962" s="19" t="n">
        <v>1</v>
      </c>
      <c r="M962" s="11" t="n">
        <v>1</v>
      </c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>
        <v>1</v>
      </c>
      <c r="Z962" s="13">
        <f>SUMPRODUCT(N962:Y962,$N$2:$Y$2)*$K962*$L962*$M962</f>
        <v/>
      </c>
      <c r="AA962" s="14">
        <f>SUM(N962:Y962)</f>
        <v/>
      </c>
      <c r="AB962" s="13">
        <f>SUMPRODUCT(N962:Y962,$N$3:$Y$3)*$K962*$L962*$M962</f>
        <v/>
      </c>
      <c r="AC962" s="13">
        <f>SUMPRODUCT(N962:Y962,$N$4:$Y$4)*$K962*$L962*$M962</f>
        <v/>
      </c>
      <c r="AD962" s="15" t="n">
        <v>3</v>
      </c>
      <c r="AE962" s="11" t="n">
        <v>1.011296296296296</v>
      </c>
      <c r="AF962" s="16">
        <f>SUMPRODUCT(N962:Y962,$N$5:$Y$5)*$K962*$L962*$M962</f>
        <v/>
      </c>
      <c r="AG962" s="16">
        <f>SUMPRODUCT(N962:Y962,$N$6:$Y$6)*$K962*$L962*$M962</f>
        <v/>
      </c>
      <c r="AH962" s="20" t="n"/>
    </row>
    <row r="963">
      <c r="A963" s="9" t="n">
        <v>805078</v>
      </c>
      <c r="B963" s="9" t="inlineStr">
        <is>
          <t>Jeremy Gonzalez</t>
        </is>
      </c>
      <c r="C963" s="9" t="inlineStr">
        <is>
          <t>CWS</t>
        </is>
      </c>
      <c r="D963" s="9" t="n">
        <v>25</v>
      </c>
      <c r="E963" s="18" t="inlineStr">
        <is>
          <t>L</t>
        </is>
      </c>
      <c r="F963" s="18" t="n"/>
      <c r="G963" s="9" t="n">
        <v>3.612</v>
      </c>
      <c r="H963" s="9" t="n">
        <v>3.612</v>
      </c>
      <c r="I963" s="9" t="inlineStr">
        <is>
          <t>Depth (no MLB IP)</t>
        </is>
      </c>
      <c r="J963" s="18" t="inlineStr">
        <is>
          <t>Opening Day</t>
        </is>
      </c>
      <c r="K963" s="11">
        <f>IFERROR(INDEX(Roles!$B$17:$B$20,MATCH(J963,Roles!$A$17:$A$20,0)),1)</f>
        <v/>
      </c>
      <c r="L963" s="19" t="n">
        <v>1</v>
      </c>
      <c r="M963" s="11" t="n">
        <v>1</v>
      </c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>
        <v>1</v>
      </c>
      <c r="Z963" s="13">
        <f>SUMPRODUCT(N963:Y963,$N$2:$Y$2)*$K963*$L963*$M963</f>
        <v/>
      </c>
      <c r="AA963" s="14">
        <f>SUM(N963:Y963)</f>
        <v/>
      </c>
      <c r="AB963" s="13">
        <f>SUMPRODUCT(N963:Y963,$N$3:$Y$3)*$K963*$L963*$M963</f>
        <v/>
      </c>
      <c r="AC963" s="13">
        <f>SUMPRODUCT(N963:Y963,$N$4:$Y$4)*$K963*$L963*$M963</f>
        <v/>
      </c>
      <c r="AD963" s="15" t="n">
        <v>3</v>
      </c>
      <c r="AE963" s="11" t="n">
        <v>1.011296296296296</v>
      </c>
      <c r="AF963" s="16">
        <f>SUMPRODUCT(N963:Y963,$N$5:$Y$5)*$K963*$L963*$M963</f>
        <v/>
      </c>
      <c r="AG963" s="16">
        <f>SUMPRODUCT(N963:Y963,$N$6:$Y$6)*$K963*$L963*$M963</f>
        <v/>
      </c>
      <c r="AH963" s="20" t="n"/>
    </row>
    <row r="964">
      <c r="A964" s="9" t="n">
        <v>675915</v>
      </c>
      <c r="B964" s="9" t="inlineStr">
        <is>
          <t>David Bañuelos</t>
        </is>
      </c>
      <c r="C964" s="9" t="inlineStr">
        <is>
          <t>MIN</t>
        </is>
      </c>
      <c r="D964" s="9" t="n">
        <v>25</v>
      </c>
      <c r="E964" s="18" t="inlineStr">
        <is>
          <t>R</t>
        </is>
      </c>
      <c r="F964" s="18" t="n"/>
      <c r="G964" s="9" t="n">
        <v>3.153333333333333</v>
      </c>
      <c r="H964" s="9" t="n">
        <v>3.153333333333333</v>
      </c>
      <c r="I964" s="9" t="inlineStr">
        <is>
          <t>Depth (no MLB IP)</t>
        </is>
      </c>
      <c r="J964" s="18" t="inlineStr">
        <is>
          <t>Opening Day</t>
        </is>
      </c>
      <c r="K964" s="11">
        <f>IFERROR(INDEX(Roles!$B$17:$B$20,MATCH(J964,Roles!$A$17:$A$20,0)),1)</f>
        <v/>
      </c>
      <c r="L964" s="19" t="n">
        <v>1</v>
      </c>
      <c r="M964" s="11" t="n">
        <v>1</v>
      </c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>
        <v>1</v>
      </c>
      <c r="Z964" s="13">
        <f>SUMPRODUCT(N964:Y964,$N$2:$Y$2)*$K964*$L964*$M964</f>
        <v/>
      </c>
      <c r="AA964" s="14">
        <f>SUM(N964:Y964)</f>
        <v/>
      </c>
      <c r="AB964" s="13">
        <f>SUMPRODUCT(N964:Y964,$N$3:$Y$3)*$K964*$L964*$M964</f>
        <v/>
      </c>
      <c r="AC964" s="13">
        <f>SUMPRODUCT(N964:Y964,$N$4:$Y$4)*$K964*$L964*$M964</f>
        <v/>
      </c>
      <c r="AD964" s="15" t="n">
        <v>3</v>
      </c>
      <c r="AE964" s="11" t="n">
        <v>1.011296296296296</v>
      </c>
      <c r="AF964" s="16">
        <f>SUMPRODUCT(N964:Y964,$N$5:$Y$5)*$K964*$L964*$M964</f>
        <v/>
      </c>
      <c r="AG964" s="16">
        <f>SUMPRODUCT(N964:Y964,$N$6:$Y$6)*$K964*$L964*$M964</f>
        <v/>
      </c>
      <c r="AH964" s="20" t="n"/>
    </row>
    <row r="965">
      <c r="A965" s="9" t="n">
        <v>835213</v>
      </c>
      <c r="B965" s="9" t="inlineStr">
        <is>
          <t>Thomas Conrad</t>
        </is>
      </c>
      <c r="C965" s="9" t="inlineStr">
        <is>
          <t>MIL</t>
        </is>
      </c>
      <c r="D965" s="9" t="n">
        <v>25</v>
      </c>
      <c r="E965" s="18" t="inlineStr">
        <is>
          <t>R</t>
        </is>
      </c>
      <c r="F965" s="18" t="n"/>
      <c r="G965" s="9" t="n">
        <v>3.44</v>
      </c>
      <c r="H965" s="9" t="n">
        <v>3.44</v>
      </c>
      <c r="I965" s="9" t="inlineStr">
        <is>
          <t>Depth (no MLB IP)</t>
        </is>
      </c>
      <c r="J965" s="18" t="inlineStr">
        <is>
          <t>Opening Day</t>
        </is>
      </c>
      <c r="K965" s="11">
        <f>IFERROR(INDEX(Roles!$B$17:$B$20,MATCH(J965,Roles!$A$17:$A$20,0)),1)</f>
        <v/>
      </c>
      <c r="L965" s="19" t="n">
        <v>1</v>
      </c>
      <c r="M965" s="11" t="n">
        <v>1</v>
      </c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>
        <v>1</v>
      </c>
      <c r="Z965" s="13">
        <f>SUMPRODUCT(N965:Y965,$N$2:$Y$2)*$K965*$L965*$M965</f>
        <v/>
      </c>
      <c r="AA965" s="14">
        <f>SUM(N965:Y965)</f>
        <v/>
      </c>
      <c r="AB965" s="13">
        <f>SUMPRODUCT(N965:Y965,$N$3:$Y$3)*$K965*$L965*$M965</f>
        <v/>
      </c>
      <c r="AC965" s="13">
        <f>SUMPRODUCT(N965:Y965,$N$4:$Y$4)*$K965*$L965*$M965</f>
        <v/>
      </c>
      <c r="AD965" s="15" t="n">
        <v>3</v>
      </c>
      <c r="AE965" s="11" t="n">
        <v>1.011296296296296</v>
      </c>
      <c r="AF965" s="16">
        <f>SUMPRODUCT(N965:Y965,$N$5:$Y$5)*$K965*$L965*$M965</f>
        <v/>
      </c>
      <c r="AG965" s="16">
        <f>SUMPRODUCT(N965:Y965,$N$6:$Y$6)*$K965*$L965*$M965</f>
        <v/>
      </c>
      <c r="AH965" s="20" t="n"/>
    </row>
    <row r="966">
      <c r="A966" s="9" t="n">
        <v>800961</v>
      </c>
      <c r="B966" s="9" t="inlineStr">
        <is>
          <t>Collin Rothermel</t>
        </is>
      </c>
      <c r="C966" s="9" t="inlineStr">
        <is>
          <t>ARI</t>
        </is>
      </c>
      <c r="D966" s="9" t="n">
        <v>25</v>
      </c>
      <c r="E966" s="18" t="inlineStr">
        <is>
          <t>R</t>
        </is>
      </c>
      <c r="F966" s="18" t="n"/>
      <c r="G966" s="9" t="n">
        <v>3.44</v>
      </c>
      <c r="H966" s="9" t="n">
        <v>3.44</v>
      </c>
      <c r="I966" s="9" t="inlineStr">
        <is>
          <t>Depth (no MLB IP)</t>
        </is>
      </c>
      <c r="J966" s="18" t="inlineStr">
        <is>
          <t>Opening Day</t>
        </is>
      </c>
      <c r="K966" s="11">
        <f>IFERROR(INDEX(Roles!$B$17:$B$20,MATCH(J966,Roles!$A$17:$A$20,0)),1)</f>
        <v/>
      </c>
      <c r="L966" s="19" t="n">
        <v>1</v>
      </c>
      <c r="M966" s="11" t="n">
        <v>1</v>
      </c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>
        <v>1</v>
      </c>
      <c r="Z966" s="13">
        <f>SUMPRODUCT(N966:Y966,$N$2:$Y$2)*$K966*$L966*$M966</f>
        <v/>
      </c>
      <c r="AA966" s="14">
        <f>SUM(N966:Y966)</f>
        <v/>
      </c>
      <c r="AB966" s="13">
        <f>SUMPRODUCT(N966:Y966,$N$3:$Y$3)*$K966*$L966*$M966</f>
        <v/>
      </c>
      <c r="AC966" s="13">
        <f>SUMPRODUCT(N966:Y966,$N$4:$Y$4)*$K966*$L966*$M966</f>
        <v/>
      </c>
      <c r="AD966" s="15" t="n">
        <v>3</v>
      </c>
      <c r="AE966" s="11" t="n">
        <v>1.011296296296296</v>
      </c>
      <c r="AF966" s="16">
        <f>SUMPRODUCT(N966:Y966,$N$5:$Y$5)*$K966*$L966*$M966</f>
        <v/>
      </c>
      <c r="AG966" s="16">
        <f>SUMPRODUCT(N966:Y966,$N$6:$Y$6)*$K966*$L966*$M966</f>
        <v/>
      </c>
      <c r="AH966" s="20" t="n"/>
    </row>
    <row r="967">
      <c r="A967" s="9" t="n">
        <v>800423</v>
      </c>
      <c r="B967" s="9" t="inlineStr">
        <is>
          <t>Jorger Petri</t>
        </is>
      </c>
      <c r="C967" s="9" t="inlineStr">
        <is>
          <t>DET</t>
        </is>
      </c>
      <c r="D967" s="9" t="n">
        <v>25</v>
      </c>
      <c r="E967" s="18" t="inlineStr">
        <is>
          <t>L</t>
        </is>
      </c>
      <c r="F967" s="18" t="n"/>
      <c r="G967" s="9" t="n">
        <v>3.44</v>
      </c>
      <c r="H967" s="9" t="n">
        <v>3.44</v>
      </c>
      <c r="I967" s="9" t="inlineStr">
        <is>
          <t>Depth (no MLB IP)</t>
        </is>
      </c>
      <c r="J967" s="18" t="inlineStr">
        <is>
          <t>Opening Day</t>
        </is>
      </c>
      <c r="K967" s="11">
        <f>IFERROR(INDEX(Roles!$B$17:$B$20,MATCH(J967,Roles!$A$17:$A$20,0)),1)</f>
        <v/>
      </c>
      <c r="L967" s="19" t="n">
        <v>1</v>
      </c>
      <c r="M967" s="11" t="n">
        <v>1</v>
      </c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>
        <v>1</v>
      </c>
      <c r="Z967" s="13">
        <f>SUMPRODUCT(N967:Y967,$N$2:$Y$2)*$K967*$L967*$M967</f>
        <v/>
      </c>
      <c r="AA967" s="14">
        <f>SUM(N967:Y967)</f>
        <v/>
      </c>
      <c r="AB967" s="13">
        <f>SUMPRODUCT(N967:Y967,$N$3:$Y$3)*$K967*$L967*$M967</f>
        <v/>
      </c>
      <c r="AC967" s="13">
        <f>SUMPRODUCT(N967:Y967,$N$4:$Y$4)*$K967*$L967*$M967</f>
        <v/>
      </c>
      <c r="AD967" s="15" t="n">
        <v>3</v>
      </c>
      <c r="AE967" s="11" t="n">
        <v>1.011296296296296</v>
      </c>
      <c r="AF967" s="16">
        <f>SUMPRODUCT(N967:Y967,$N$5:$Y$5)*$K967*$L967*$M967</f>
        <v/>
      </c>
      <c r="AG967" s="16">
        <f>SUMPRODUCT(N967:Y967,$N$6:$Y$6)*$K967*$L967*$M967</f>
        <v/>
      </c>
      <c r="AH967" s="20" t="n"/>
    </row>
    <row r="968">
      <c r="A968" s="9" t="n">
        <v>702331</v>
      </c>
      <c r="B968" s="9" t="inlineStr">
        <is>
          <t>Noah Mendlinger</t>
        </is>
      </c>
      <c r="C968" s="9" t="inlineStr">
        <is>
          <t>STL</t>
        </is>
      </c>
      <c r="D968" s="9" t="n">
        <v>25</v>
      </c>
      <c r="E968" s="18" t="inlineStr">
        <is>
          <t>R</t>
        </is>
      </c>
      <c r="F968" s="18" t="n"/>
      <c r="G968" s="9" t="n">
        <v>3.153333333333333</v>
      </c>
      <c r="H968" s="9" t="n">
        <v>3.153333333333333</v>
      </c>
      <c r="I968" s="9" t="inlineStr">
        <is>
          <t>Depth (no MLB IP)</t>
        </is>
      </c>
      <c r="J968" s="18" t="inlineStr">
        <is>
          <t>Opening Day</t>
        </is>
      </c>
      <c r="K968" s="11">
        <f>IFERROR(INDEX(Roles!$B$17:$B$20,MATCH(J968,Roles!$A$17:$A$20,0)),1)</f>
        <v/>
      </c>
      <c r="L968" s="19" t="n">
        <v>1</v>
      </c>
      <c r="M968" s="11" t="n">
        <v>1</v>
      </c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>
        <v>1</v>
      </c>
      <c r="Z968" s="13">
        <f>SUMPRODUCT(N968:Y968,$N$2:$Y$2)*$K968*$L968*$M968</f>
        <v/>
      </c>
      <c r="AA968" s="14">
        <f>SUM(N968:Y968)</f>
        <v/>
      </c>
      <c r="AB968" s="13">
        <f>SUMPRODUCT(N968:Y968,$N$3:$Y$3)*$K968*$L968*$M968</f>
        <v/>
      </c>
      <c r="AC968" s="13">
        <f>SUMPRODUCT(N968:Y968,$N$4:$Y$4)*$K968*$L968*$M968</f>
        <v/>
      </c>
      <c r="AD968" s="15" t="n">
        <v>3</v>
      </c>
      <c r="AE968" s="11" t="n">
        <v>1.011296296296296</v>
      </c>
      <c r="AF968" s="16">
        <f>SUMPRODUCT(N968:Y968,$N$5:$Y$5)*$K968*$L968*$M968</f>
        <v/>
      </c>
      <c r="AG968" s="16">
        <f>SUMPRODUCT(N968:Y968,$N$6:$Y$6)*$K968*$L968*$M968</f>
        <v/>
      </c>
      <c r="AH968" s="20" t="n"/>
    </row>
    <row r="969">
      <c r="A969" s="9" t="n">
        <v>824211</v>
      </c>
      <c r="B969" s="9" t="inlineStr">
        <is>
          <t>Bryan Salgado</t>
        </is>
      </c>
      <c r="C969" s="9" t="inlineStr">
        <is>
          <t>CIN</t>
        </is>
      </c>
      <c r="D969" s="9" t="n">
        <v>25</v>
      </c>
      <c r="E969" s="18" t="inlineStr">
        <is>
          <t>R</t>
        </is>
      </c>
      <c r="F969" s="18" t="n"/>
      <c r="G969" s="9" t="n">
        <v>3.44</v>
      </c>
      <c r="H969" s="9" t="n">
        <v>3.44</v>
      </c>
      <c r="I969" s="9" t="inlineStr">
        <is>
          <t>Depth (no MLB IP)</t>
        </is>
      </c>
      <c r="J969" s="18" t="inlineStr">
        <is>
          <t>Opening Day</t>
        </is>
      </c>
      <c r="K969" s="11">
        <f>IFERROR(INDEX(Roles!$B$17:$B$20,MATCH(J969,Roles!$A$17:$A$20,0)),1)</f>
        <v/>
      </c>
      <c r="L969" s="19" t="n">
        <v>1</v>
      </c>
      <c r="M969" s="11" t="n">
        <v>1</v>
      </c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>
        <v>1</v>
      </c>
      <c r="Z969" s="13">
        <f>SUMPRODUCT(N969:Y969,$N$2:$Y$2)*$K969*$L969*$M969</f>
        <v/>
      </c>
      <c r="AA969" s="14">
        <f>SUM(N969:Y969)</f>
        <v/>
      </c>
      <c r="AB969" s="13">
        <f>SUMPRODUCT(N969:Y969,$N$3:$Y$3)*$K969*$L969*$M969</f>
        <v/>
      </c>
      <c r="AC969" s="13">
        <f>SUMPRODUCT(N969:Y969,$N$4:$Y$4)*$K969*$L969*$M969</f>
        <v/>
      </c>
      <c r="AD969" s="15" t="n">
        <v>3</v>
      </c>
      <c r="AE969" s="11" t="n">
        <v>1.011296296296296</v>
      </c>
      <c r="AF969" s="16">
        <f>SUMPRODUCT(N969:Y969,$N$5:$Y$5)*$K969*$L969*$M969</f>
        <v/>
      </c>
      <c r="AG969" s="16">
        <f>SUMPRODUCT(N969:Y969,$N$6:$Y$6)*$K969*$L969*$M969</f>
        <v/>
      </c>
      <c r="AH969" s="20" t="n"/>
    </row>
    <row r="970">
      <c r="A970" s="9" t="n">
        <v>703748</v>
      </c>
      <c r="B970" s="9" t="inlineStr">
        <is>
          <t>Tanner Bauman</t>
        </is>
      </c>
      <c r="C970" s="9" t="inlineStr">
        <is>
          <t>NYY</t>
        </is>
      </c>
      <c r="D970" s="9" t="n">
        <v>25</v>
      </c>
      <c r="E970" s="18" t="inlineStr">
        <is>
          <t>L</t>
        </is>
      </c>
      <c r="F970" s="18" t="n"/>
      <c r="G970" s="9" t="n">
        <v>3.511666666666666</v>
      </c>
      <c r="H970" s="9" t="n">
        <v>3.511666666666666</v>
      </c>
      <c r="I970" s="9" t="inlineStr">
        <is>
          <t>Depth (no MLB IP)</t>
        </is>
      </c>
      <c r="J970" s="18" t="inlineStr">
        <is>
          <t>Opening Day</t>
        </is>
      </c>
      <c r="K970" s="11">
        <f>IFERROR(INDEX(Roles!$B$17:$B$20,MATCH(J970,Roles!$A$17:$A$20,0)),1)</f>
        <v/>
      </c>
      <c r="L970" s="19" t="n">
        <v>1</v>
      </c>
      <c r="M970" s="11" t="n">
        <v>1</v>
      </c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>
        <v>1</v>
      </c>
      <c r="Z970" s="13">
        <f>SUMPRODUCT(N970:Y970,$N$2:$Y$2)*$K970*$L970*$M970</f>
        <v/>
      </c>
      <c r="AA970" s="14">
        <f>SUM(N970:Y970)</f>
        <v/>
      </c>
      <c r="AB970" s="13">
        <f>SUMPRODUCT(N970:Y970,$N$3:$Y$3)*$K970*$L970*$M970</f>
        <v/>
      </c>
      <c r="AC970" s="13">
        <f>SUMPRODUCT(N970:Y970,$N$4:$Y$4)*$K970*$L970*$M970</f>
        <v/>
      </c>
      <c r="AD970" s="15" t="n">
        <v>3</v>
      </c>
      <c r="AE970" s="11" t="n">
        <v>1.011296296296296</v>
      </c>
      <c r="AF970" s="16">
        <f>SUMPRODUCT(N970:Y970,$N$5:$Y$5)*$K970*$L970*$M970</f>
        <v/>
      </c>
      <c r="AG970" s="16">
        <f>SUMPRODUCT(N970:Y970,$N$6:$Y$6)*$K970*$L970*$M970</f>
        <v/>
      </c>
      <c r="AH970" s="20" t="n"/>
    </row>
    <row r="971">
      <c r="A971" s="9" t="n">
        <v>815318</v>
      </c>
      <c r="B971" s="9" t="inlineStr">
        <is>
          <t>Josh Harlow</t>
        </is>
      </c>
      <c r="C971" s="9" t="inlineStr">
        <is>
          <t>CLE</t>
        </is>
      </c>
      <c r="D971" s="9" t="n">
        <v>25</v>
      </c>
      <c r="E971" s="18" t="inlineStr">
        <is>
          <t>R</t>
        </is>
      </c>
      <c r="F971" s="18" t="n"/>
      <c r="G971" s="9" t="n">
        <v>3.44</v>
      </c>
      <c r="H971" s="9" t="n">
        <v>3.44</v>
      </c>
      <c r="I971" s="9" t="inlineStr">
        <is>
          <t>Depth (no MLB IP)</t>
        </is>
      </c>
      <c r="J971" s="18" t="inlineStr">
        <is>
          <t>Opening Day</t>
        </is>
      </c>
      <c r="K971" s="11">
        <f>IFERROR(INDEX(Roles!$B$17:$B$20,MATCH(J971,Roles!$A$17:$A$20,0)),1)</f>
        <v/>
      </c>
      <c r="L971" s="19" t="n">
        <v>1</v>
      </c>
      <c r="M971" s="11" t="n">
        <v>1</v>
      </c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>
        <v>1</v>
      </c>
      <c r="Z971" s="13">
        <f>SUMPRODUCT(N971:Y971,$N$2:$Y$2)*$K971*$L971*$M971</f>
        <v/>
      </c>
      <c r="AA971" s="14">
        <f>SUM(N971:Y971)</f>
        <v/>
      </c>
      <c r="AB971" s="13">
        <f>SUMPRODUCT(N971:Y971,$N$3:$Y$3)*$K971*$L971*$M971</f>
        <v/>
      </c>
      <c r="AC971" s="13">
        <f>SUMPRODUCT(N971:Y971,$N$4:$Y$4)*$K971*$L971*$M971</f>
        <v/>
      </c>
      <c r="AD971" s="15" t="n">
        <v>3</v>
      </c>
      <c r="AE971" s="11" t="n">
        <v>1.011296296296296</v>
      </c>
      <c r="AF971" s="16">
        <f>SUMPRODUCT(N971:Y971,$N$5:$Y$5)*$K971*$L971*$M971</f>
        <v/>
      </c>
      <c r="AG971" s="16">
        <f>SUMPRODUCT(N971:Y971,$N$6:$Y$6)*$K971*$L971*$M971</f>
        <v/>
      </c>
      <c r="AH971" s="20" t="n"/>
    </row>
    <row r="972">
      <c r="A972" s="9" t="n">
        <v>809111</v>
      </c>
      <c r="B972" s="9" t="inlineStr">
        <is>
          <t>Carson Revay</t>
        </is>
      </c>
      <c r="C972" s="9" t="inlineStr">
        <is>
          <t>BOS</t>
        </is>
      </c>
      <c r="D972" s="9" t="n">
        <v>25</v>
      </c>
      <c r="E972" s="18" t="inlineStr">
        <is>
          <t>L</t>
        </is>
      </c>
      <c r="F972" s="18" t="n"/>
      <c r="G972" s="9" t="n">
        <v>3.44</v>
      </c>
      <c r="H972" s="9" t="n">
        <v>3.44</v>
      </c>
      <c r="I972" s="9" t="inlineStr">
        <is>
          <t>Depth (no MLB IP)</t>
        </is>
      </c>
      <c r="J972" s="18" t="inlineStr">
        <is>
          <t>Opening Day</t>
        </is>
      </c>
      <c r="K972" s="11">
        <f>IFERROR(INDEX(Roles!$B$17:$B$20,MATCH(J972,Roles!$A$17:$A$20,0)),1)</f>
        <v/>
      </c>
      <c r="L972" s="19" t="n">
        <v>1</v>
      </c>
      <c r="M972" s="11" t="n">
        <v>1</v>
      </c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>
        <v>1</v>
      </c>
      <c r="Z972" s="13">
        <f>SUMPRODUCT(N972:Y972,$N$2:$Y$2)*$K972*$L972*$M972</f>
        <v/>
      </c>
      <c r="AA972" s="14">
        <f>SUM(N972:Y972)</f>
        <v/>
      </c>
      <c r="AB972" s="13">
        <f>SUMPRODUCT(N972:Y972,$N$3:$Y$3)*$K972*$L972*$M972</f>
        <v/>
      </c>
      <c r="AC972" s="13">
        <f>SUMPRODUCT(N972:Y972,$N$4:$Y$4)*$K972*$L972*$M972</f>
        <v/>
      </c>
      <c r="AD972" s="15" t="n">
        <v>3</v>
      </c>
      <c r="AE972" s="11" t="n">
        <v>1.011296296296296</v>
      </c>
      <c r="AF972" s="16">
        <f>SUMPRODUCT(N972:Y972,$N$5:$Y$5)*$K972*$L972*$M972</f>
        <v/>
      </c>
      <c r="AG972" s="16">
        <f>SUMPRODUCT(N972:Y972,$N$6:$Y$6)*$K972*$L972*$M972</f>
        <v/>
      </c>
      <c r="AH972" s="20" t="n"/>
    </row>
    <row r="973">
      <c r="A973" s="9" t="n">
        <v>814226</v>
      </c>
      <c r="B973" s="9" t="inlineStr">
        <is>
          <t>Alexander Campos</t>
        </is>
      </c>
      <c r="C973" s="9" t="inlineStr">
        <is>
          <t>TB</t>
        </is>
      </c>
      <c r="D973" s="9" t="n">
        <v>25</v>
      </c>
      <c r="E973" s="18" t="inlineStr">
        <is>
          <t>R</t>
        </is>
      </c>
      <c r="F973" s="18" t="n"/>
      <c r="G973" s="9" t="n">
        <v>3.153333333333333</v>
      </c>
      <c r="H973" s="9" t="n">
        <v>3.153333333333333</v>
      </c>
      <c r="I973" s="9" t="inlineStr">
        <is>
          <t>Depth (no MLB IP)</t>
        </is>
      </c>
      <c r="J973" s="18" t="inlineStr">
        <is>
          <t>Opening Day</t>
        </is>
      </c>
      <c r="K973" s="11">
        <f>IFERROR(INDEX(Roles!$B$17:$B$20,MATCH(J973,Roles!$A$17:$A$20,0)),1)</f>
        <v/>
      </c>
      <c r="L973" s="19" t="n">
        <v>1</v>
      </c>
      <c r="M973" s="11" t="n">
        <v>1</v>
      </c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>
        <v>1</v>
      </c>
      <c r="Z973" s="13">
        <f>SUMPRODUCT(N973:Y973,$N$2:$Y$2)*$K973*$L973*$M973</f>
        <v/>
      </c>
      <c r="AA973" s="14">
        <f>SUM(N973:Y973)</f>
        <v/>
      </c>
      <c r="AB973" s="13">
        <f>SUMPRODUCT(N973:Y973,$N$3:$Y$3)*$K973*$L973*$M973</f>
        <v/>
      </c>
      <c r="AC973" s="13">
        <f>SUMPRODUCT(N973:Y973,$N$4:$Y$4)*$K973*$L973*$M973</f>
        <v/>
      </c>
      <c r="AD973" s="15" t="n">
        <v>3</v>
      </c>
      <c r="AE973" s="11" t="n">
        <v>1.011296296296296</v>
      </c>
      <c r="AF973" s="16">
        <f>SUMPRODUCT(N973:Y973,$N$5:$Y$5)*$K973*$L973*$M973</f>
        <v/>
      </c>
      <c r="AG973" s="16">
        <f>SUMPRODUCT(N973:Y973,$N$6:$Y$6)*$K973*$L973*$M973</f>
        <v/>
      </c>
      <c r="AH973" s="20" t="n"/>
    </row>
    <row r="974">
      <c r="A974" s="9" t="n">
        <v>808878</v>
      </c>
      <c r="B974" s="9" t="inlineStr">
        <is>
          <t>Ben DeTaeye</t>
        </is>
      </c>
      <c r="C974" s="9" t="inlineStr">
        <is>
          <t>TEX</t>
        </is>
      </c>
      <c r="D974" s="9" t="n">
        <v>25</v>
      </c>
      <c r="E974" s="18" t="inlineStr">
        <is>
          <t>L</t>
        </is>
      </c>
      <c r="F974" s="18" t="n"/>
      <c r="G974" s="9" t="n">
        <v>3.511666666666666</v>
      </c>
      <c r="H974" s="9" t="n">
        <v>3.511666666666666</v>
      </c>
      <c r="I974" s="9" t="inlineStr">
        <is>
          <t>Depth (no MLB IP)</t>
        </is>
      </c>
      <c r="J974" s="18" t="inlineStr">
        <is>
          <t>Opening Day</t>
        </is>
      </c>
      <c r="K974" s="11">
        <f>IFERROR(INDEX(Roles!$B$17:$B$20,MATCH(J974,Roles!$A$17:$A$20,0)),1)</f>
        <v/>
      </c>
      <c r="L974" s="19" t="n">
        <v>1</v>
      </c>
      <c r="M974" s="11" t="n">
        <v>1</v>
      </c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>
        <v>1</v>
      </c>
      <c r="Z974" s="13">
        <f>SUMPRODUCT(N974:Y974,$N$2:$Y$2)*$K974*$L974*$M974</f>
        <v/>
      </c>
      <c r="AA974" s="14">
        <f>SUM(N974:Y974)</f>
        <v/>
      </c>
      <c r="AB974" s="13">
        <f>SUMPRODUCT(N974:Y974,$N$3:$Y$3)*$K974*$L974*$M974</f>
        <v/>
      </c>
      <c r="AC974" s="13">
        <f>SUMPRODUCT(N974:Y974,$N$4:$Y$4)*$K974*$L974*$M974</f>
        <v/>
      </c>
      <c r="AD974" s="15" t="n">
        <v>3</v>
      </c>
      <c r="AE974" s="11" t="n">
        <v>1.011296296296296</v>
      </c>
      <c r="AF974" s="16">
        <f>SUMPRODUCT(N974:Y974,$N$5:$Y$5)*$K974*$L974*$M974</f>
        <v/>
      </c>
      <c r="AG974" s="16">
        <f>SUMPRODUCT(N974:Y974,$N$6:$Y$6)*$K974*$L974*$M974</f>
        <v/>
      </c>
      <c r="AH974" s="20" t="n"/>
    </row>
    <row r="975">
      <c r="A975" s="9" t="n">
        <v>821638</v>
      </c>
      <c r="B975" s="9" t="inlineStr">
        <is>
          <t>Earle Zulueta</t>
        </is>
      </c>
      <c r="C975" s="9" t="inlineStr">
        <is>
          <t>STL</t>
        </is>
      </c>
      <c r="D975" s="9" t="n">
        <v>25</v>
      </c>
      <c r="E975" s="18" t="inlineStr">
        <is>
          <t>R</t>
        </is>
      </c>
      <c r="F975" s="18" t="n"/>
      <c r="G975" s="9" t="n">
        <v>3.44</v>
      </c>
      <c r="H975" s="9" t="n">
        <v>3.44</v>
      </c>
      <c r="I975" s="9" t="inlineStr">
        <is>
          <t>Depth (no MLB IP)</t>
        </is>
      </c>
      <c r="J975" s="18" t="inlineStr">
        <is>
          <t>Opening Day</t>
        </is>
      </c>
      <c r="K975" s="11">
        <f>IFERROR(INDEX(Roles!$B$17:$B$20,MATCH(J975,Roles!$A$17:$A$20,0)),1)</f>
        <v/>
      </c>
      <c r="L975" s="19" t="n">
        <v>1</v>
      </c>
      <c r="M975" s="11" t="n">
        <v>1</v>
      </c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>
        <v>1</v>
      </c>
      <c r="Z975" s="13">
        <f>SUMPRODUCT(N975:Y975,$N$2:$Y$2)*$K975*$L975*$M975</f>
        <v/>
      </c>
      <c r="AA975" s="14">
        <f>SUM(N975:Y975)</f>
        <v/>
      </c>
      <c r="AB975" s="13">
        <f>SUMPRODUCT(N975:Y975,$N$3:$Y$3)*$K975*$L975*$M975</f>
        <v/>
      </c>
      <c r="AC975" s="13">
        <f>SUMPRODUCT(N975:Y975,$N$4:$Y$4)*$K975*$L975*$M975</f>
        <v/>
      </c>
      <c r="AD975" s="15" t="n">
        <v>3</v>
      </c>
      <c r="AE975" s="11" t="n">
        <v>1.011296296296296</v>
      </c>
      <c r="AF975" s="16">
        <f>SUMPRODUCT(N975:Y975,$N$5:$Y$5)*$K975*$L975*$M975</f>
        <v/>
      </c>
      <c r="AG975" s="16">
        <f>SUMPRODUCT(N975:Y975,$N$6:$Y$6)*$K975*$L975*$M975</f>
        <v/>
      </c>
      <c r="AH975" s="20" t="n"/>
    </row>
    <row r="976">
      <c r="A976" s="9" t="n">
        <v>808163</v>
      </c>
      <c r="B976" s="9" t="inlineStr">
        <is>
          <t>Kelvin Rosario</t>
        </is>
      </c>
      <c r="C976" s="9" t="inlineStr">
        <is>
          <t>ARI</t>
        </is>
      </c>
      <c r="D976" s="9" t="n">
        <v>25</v>
      </c>
      <c r="E976" s="18" t="inlineStr">
        <is>
          <t>L</t>
        </is>
      </c>
      <c r="F976" s="18" t="n"/>
      <c r="G976" s="9" t="n">
        <v>3.612</v>
      </c>
      <c r="H976" s="9" t="n">
        <v>3.612</v>
      </c>
      <c r="I976" s="9" t="inlineStr">
        <is>
          <t>Depth (no MLB IP)</t>
        </is>
      </c>
      <c r="J976" s="18" t="inlineStr">
        <is>
          <t>Opening Day</t>
        </is>
      </c>
      <c r="K976" s="11">
        <f>IFERROR(INDEX(Roles!$B$17:$B$20,MATCH(J976,Roles!$A$17:$A$20,0)),1)</f>
        <v/>
      </c>
      <c r="L976" s="19" t="n">
        <v>1</v>
      </c>
      <c r="M976" s="11" t="n">
        <v>1</v>
      </c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>
        <v>1</v>
      </c>
      <c r="Z976" s="13">
        <f>SUMPRODUCT(N976:Y976,$N$2:$Y$2)*$K976*$L976*$M976</f>
        <v/>
      </c>
      <c r="AA976" s="14">
        <f>SUM(N976:Y976)</f>
        <v/>
      </c>
      <c r="AB976" s="13">
        <f>SUMPRODUCT(N976:Y976,$N$3:$Y$3)*$K976*$L976*$M976</f>
        <v/>
      </c>
      <c r="AC976" s="13">
        <f>SUMPRODUCT(N976:Y976,$N$4:$Y$4)*$K976*$L976*$M976</f>
        <v/>
      </c>
      <c r="AD976" s="15" t="n">
        <v>3</v>
      </c>
      <c r="AE976" s="11" t="n">
        <v>1.011296296296296</v>
      </c>
      <c r="AF976" s="16">
        <f>SUMPRODUCT(N976:Y976,$N$5:$Y$5)*$K976*$L976*$M976</f>
        <v/>
      </c>
      <c r="AG976" s="16">
        <f>SUMPRODUCT(N976:Y976,$N$6:$Y$6)*$K976*$L976*$M976</f>
        <v/>
      </c>
      <c r="AH976" s="20" t="n"/>
    </row>
    <row r="977">
      <c r="A977" s="9" t="n">
        <v>624523</v>
      </c>
      <c r="B977" s="9" t="inlineStr">
        <is>
          <t>Riley Unroe</t>
        </is>
      </c>
      <c r="C977" s="9" t="inlineStr">
        <is>
          <t>CWS</t>
        </is>
      </c>
      <c r="D977" s="9" t="n">
        <v>25</v>
      </c>
      <c r="E977" s="18" t="inlineStr">
        <is>
          <t>R</t>
        </is>
      </c>
      <c r="F977" s="18" t="n"/>
      <c r="G977" s="9" t="n">
        <v>3.153333333333333</v>
      </c>
      <c r="H977" s="9" t="n">
        <v>3.153333333333333</v>
      </c>
      <c r="I977" s="9" t="inlineStr">
        <is>
          <t>Depth (no MLB IP)</t>
        </is>
      </c>
      <c r="J977" s="18" t="inlineStr">
        <is>
          <t>Opening Day</t>
        </is>
      </c>
      <c r="K977" s="11">
        <f>IFERROR(INDEX(Roles!$B$17:$B$20,MATCH(J977,Roles!$A$17:$A$20,0)),1)</f>
        <v/>
      </c>
      <c r="L977" s="19" t="n">
        <v>1</v>
      </c>
      <c r="M977" s="11" t="n">
        <v>1</v>
      </c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>
        <v>1</v>
      </c>
      <c r="Z977" s="13">
        <f>SUMPRODUCT(N977:Y977,$N$2:$Y$2)*$K977*$L977*$M977</f>
        <v/>
      </c>
      <c r="AA977" s="14">
        <f>SUM(N977:Y977)</f>
        <v/>
      </c>
      <c r="AB977" s="13">
        <f>SUMPRODUCT(N977:Y977,$N$3:$Y$3)*$K977*$L977*$M977</f>
        <v/>
      </c>
      <c r="AC977" s="13">
        <f>SUMPRODUCT(N977:Y977,$N$4:$Y$4)*$K977*$L977*$M977</f>
        <v/>
      </c>
      <c r="AD977" s="15" t="n">
        <v>3</v>
      </c>
      <c r="AE977" s="11" t="n">
        <v>1.011296296296296</v>
      </c>
      <c r="AF977" s="16">
        <f>SUMPRODUCT(N977:Y977,$N$5:$Y$5)*$K977*$L977*$M977</f>
        <v/>
      </c>
      <c r="AG977" s="16">
        <f>SUMPRODUCT(N977:Y977,$N$6:$Y$6)*$K977*$L977*$M977</f>
        <v/>
      </c>
      <c r="AH977" s="20" t="n"/>
    </row>
    <row r="978">
      <c r="A978" s="9" t="n">
        <v>815841</v>
      </c>
      <c r="B978" s="9" t="inlineStr">
        <is>
          <t>Joey Oakie</t>
        </is>
      </c>
      <c r="C978" s="9" t="inlineStr">
        <is>
          <t>CLE</t>
        </is>
      </c>
      <c r="D978" s="9" t="n">
        <v>25</v>
      </c>
      <c r="E978" s="18" t="inlineStr">
        <is>
          <t>R</t>
        </is>
      </c>
      <c r="F978" s="18" t="n"/>
      <c r="G978" s="9" t="n">
        <v>3.44</v>
      </c>
      <c r="H978" s="9" t="n">
        <v>3.44</v>
      </c>
      <c r="I978" s="9" t="inlineStr">
        <is>
          <t>Depth (no MLB IP)</t>
        </is>
      </c>
      <c r="J978" s="18" t="inlineStr">
        <is>
          <t>Opening Day</t>
        </is>
      </c>
      <c r="K978" s="11">
        <f>IFERROR(INDEX(Roles!$B$17:$B$20,MATCH(J978,Roles!$A$17:$A$20,0)),1)</f>
        <v/>
      </c>
      <c r="L978" s="19" t="n">
        <v>1</v>
      </c>
      <c r="M978" s="11" t="n">
        <v>1</v>
      </c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>
        <v>1</v>
      </c>
      <c r="Z978" s="13">
        <f>SUMPRODUCT(N978:Y978,$N$2:$Y$2)*$K978*$L978*$M978</f>
        <v/>
      </c>
      <c r="AA978" s="14">
        <f>SUM(N978:Y978)</f>
        <v/>
      </c>
      <c r="AB978" s="13">
        <f>SUMPRODUCT(N978:Y978,$N$3:$Y$3)*$K978*$L978*$M978</f>
        <v/>
      </c>
      <c r="AC978" s="13">
        <f>SUMPRODUCT(N978:Y978,$N$4:$Y$4)*$K978*$L978*$M978</f>
        <v/>
      </c>
      <c r="AD978" s="15" t="n">
        <v>3</v>
      </c>
      <c r="AE978" s="11" t="n">
        <v>1.011296296296296</v>
      </c>
      <c r="AF978" s="16">
        <f>SUMPRODUCT(N978:Y978,$N$5:$Y$5)*$K978*$L978*$M978</f>
        <v/>
      </c>
      <c r="AG978" s="16">
        <f>SUMPRODUCT(N978:Y978,$N$6:$Y$6)*$K978*$L978*$M978</f>
        <v/>
      </c>
      <c r="AH978" s="20" t="n"/>
    </row>
    <row r="979">
      <c r="A979" s="9" t="n">
        <v>815945</v>
      </c>
      <c r="B979" s="9" t="inlineStr">
        <is>
          <t>Andres Cova</t>
        </is>
      </c>
      <c r="C979" s="9" t="inlineStr">
        <is>
          <t>LAA</t>
        </is>
      </c>
      <c r="D979" s="9" t="n">
        <v>25</v>
      </c>
      <c r="E979" s="18" t="inlineStr">
        <is>
          <t>L</t>
        </is>
      </c>
      <c r="F979" s="18" t="n"/>
      <c r="G979" s="9" t="n">
        <v>3.44</v>
      </c>
      <c r="H979" s="9" t="n">
        <v>3.44</v>
      </c>
      <c r="I979" s="9" t="inlineStr">
        <is>
          <t>Depth (no MLB IP)</t>
        </is>
      </c>
      <c r="J979" s="18" t="inlineStr">
        <is>
          <t>Opening Day</t>
        </is>
      </c>
      <c r="K979" s="11">
        <f>IFERROR(INDEX(Roles!$B$17:$B$20,MATCH(J979,Roles!$A$17:$A$20,0)),1)</f>
        <v/>
      </c>
      <c r="L979" s="19" t="n">
        <v>1</v>
      </c>
      <c r="M979" s="11" t="n">
        <v>1</v>
      </c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>
        <v>1</v>
      </c>
      <c r="Z979" s="13">
        <f>SUMPRODUCT(N979:Y979,$N$2:$Y$2)*$K979*$L979*$M979</f>
        <v/>
      </c>
      <c r="AA979" s="14">
        <f>SUM(N979:Y979)</f>
        <v/>
      </c>
      <c r="AB979" s="13">
        <f>SUMPRODUCT(N979:Y979,$N$3:$Y$3)*$K979*$L979*$M979</f>
        <v/>
      </c>
      <c r="AC979" s="13">
        <f>SUMPRODUCT(N979:Y979,$N$4:$Y$4)*$K979*$L979*$M979</f>
        <v/>
      </c>
      <c r="AD979" s="15" t="n">
        <v>3</v>
      </c>
      <c r="AE979" s="11" t="n">
        <v>1.011296296296296</v>
      </c>
      <c r="AF979" s="16">
        <f>SUMPRODUCT(N979:Y979,$N$5:$Y$5)*$K979*$L979*$M979</f>
        <v/>
      </c>
      <c r="AG979" s="16">
        <f>SUMPRODUCT(N979:Y979,$N$6:$Y$6)*$K979*$L979*$M979</f>
        <v/>
      </c>
      <c r="AH979" s="20" t="n"/>
    </row>
    <row r="980">
      <c r="A980" s="9" t="n">
        <v>701693</v>
      </c>
      <c r="B980" s="9" t="inlineStr">
        <is>
          <t>Tanner Sagouspe</t>
        </is>
      </c>
      <c r="C980" s="9" t="inlineStr">
        <is>
          <t>COL</t>
        </is>
      </c>
      <c r="D980" s="9" t="n">
        <v>25</v>
      </c>
      <c r="E980" s="18" t="inlineStr">
        <is>
          <t>R</t>
        </is>
      </c>
      <c r="F980" s="18" t="n"/>
      <c r="G980" s="9" t="n">
        <v>3.612</v>
      </c>
      <c r="H980" s="9" t="n">
        <v>3.612</v>
      </c>
      <c r="I980" s="9" t="inlineStr">
        <is>
          <t>Depth (no MLB IP)</t>
        </is>
      </c>
      <c r="J980" s="18" t="inlineStr">
        <is>
          <t>Opening Day</t>
        </is>
      </c>
      <c r="K980" s="11">
        <f>IFERROR(INDEX(Roles!$B$17:$B$20,MATCH(J980,Roles!$A$17:$A$20,0)),1)</f>
        <v/>
      </c>
      <c r="L980" s="19" t="n">
        <v>1</v>
      </c>
      <c r="M980" s="11" t="n">
        <v>1</v>
      </c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>
        <v>1</v>
      </c>
      <c r="Z980" s="13">
        <f>SUMPRODUCT(N980:Y980,$N$2:$Y$2)*$K980*$L980*$M980</f>
        <v/>
      </c>
      <c r="AA980" s="14">
        <f>SUM(N980:Y980)</f>
        <v/>
      </c>
      <c r="AB980" s="13">
        <f>SUMPRODUCT(N980:Y980,$N$3:$Y$3)*$K980*$L980*$M980</f>
        <v/>
      </c>
      <c r="AC980" s="13">
        <f>SUMPRODUCT(N980:Y980,$N$4:$Y$4)*$K980*$L980*$M980</f>
        <v/>
      </c>
      <c r="AD980" s="15" t="n">
        <v>3</v>
      </c>
      <c r="AE980" s="11" t="n">
        <v>1.011296296296296</v>
      </c>
      <c r="AF980" s="16">
        <f>SUMPRODUCT(N980:Y980,$N$5:$Y$5)*$K980*$L980*$M980</f>
        <v/>
      </c>
      <c r="AG980" s="16">
        <f>SUMPRODUCT(N980:Y980,$N$6:$Y$6)*$K980*$L980*$M980</f>
        <v/>
      </c>
      <c r="AH980" s="20" t="n"/>
    </row>
    <row r="981">
      <c r="A981" s="9" t="n">
        <v>692157</v>
      </c>
      <c r="B981" s="9" t="inlineStr">
        <is>
          <t>Vicarte Domingo</t>
        </is>
      </c>
      <c r="C981" s="9" t="inlineStr">
        <is>
          <t>SD</t>
        </is>
      </c>
      <c r="D981" s="9" t="n">
        <v>25</v>
      </c>
      <c r="E981" s="18" t="inlineStr">
        <is>
          <t>R</t>
        </is>
      </c>
      <c r="F981" s="18" t="n"/>
      <c r="G981" s="9" t="n">
        <v>3.44</v>
      </c>
      <c r="H981" s="9" t="n">
        <v>3.44</v>
      </c>
      <c r="I981" s="9" t="inlineStr">
        <is>
          <t>Depth (no MLB IP)</t>
        </is>
      </c>
      <c r="J981" s="18" t="inlineStr">
        <is>
          <t>Opening Day</t>
        </is>
      </c>
      <c r="K981" s="11">
        <f>IFERROR(INDEX(Roles!$B$17:$B$20,MATCH(J981,Roles!$A$17:$A$20,0)),1)</f>
        <v/>
      </c>
      <c r="L981" s="19" t="n">
        <v>1</v>
      </c>
      <c r="M981" s="11" t="n">
        <v>1</v>
      </c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>
        <v>1</v>
      </c>
      <c r="Z981" s="13">
        <f>SUMPRODUCT(N981:Y981,$N$2:$Y$2)*$K981*$L981*$M981</f>
        <v/>
      </c>
      <c r="AA981" s="14">
        <f>SUM(N981:Y981)</f>
        <v/>
      </c>
      <c r="AB981" s="13">
        <f>SUMPRODUCT(N981:Y981,$N$3:$Y$3)*$K981*$L981*$M981</f>
        <v/>
      </c>
      <c r="AC981" s="13">
        <f>SUMPRODUCT(N981:Y981,$N$4:$Y$4)*$K981*$L981*$M981</f>
        <v/>
      </c>
      <c r="AD981" s="15" t="n">
        <v>3</v>
      </c>
      <c r="AE981" s="11" t="n">
        <v>1.011296296296296</v>
      </c>
      <c r="AF981" s="16">
        <f>SUMPRODUCT(N981:Y981,$N$5:$Y$5)*$K981*$L981*$M981</f>
        <v/>
      </c>
      <c r="AG981" s="16">
        <f>SUMPRODUCT(N981:Y981,$N$6:$Y$6)*$K981*$L981*$M981</f>
        <v/>
      </c>
      <c r="AH981" s="20" t="n"/>
    </row>
    <row r="982">
      <c r="A982" s="9" t="n">
        <v>816397</v>
      </c>
      <c r="B982" s="9" t="inlineStr">
        <is>
          <t>Jose Guevara</t>
        </is>
      </c>
      <c r="C982" s="9" t="inlineStr">
        <is>
          <t>NYM</t>
        </is>
      </c>
      <c r="D982" s="9" t="n">
        <v>25</v>
      </c>
      <c r="E982" s="18" t="inlineStr">
        <is>
          <t>R</t>
        </is>
      </c>
      <c r="F982" s="18" t="n"/>
      <c r="G982" s="9" t="n">
        <v>3.612</v>
      </c>
      <c r="H982" s="9" t="n">
        <v>3.612</v>
      </c>
      <c r="I982" s="9" t="inlineStr">
        <is>
          <t>Depth (no MLB IP)</t>
        </is>
      </c>
      <c r="J982" s="18" t="inlineStr">
        <is>
          <t>Opening Day</t>
        </is>
      </c>
      <c r="K982" s="11">
        <f>IFERROR(INDEX(Roles!$B$17:$B$20,MATCH(J982,Roles!$A$17:$A$20,0)),1)</f>
        <v/>
      </c>
      <c r="L982" s="19" t="n">
        <v>1</v>
      </c>
      <c r="M982" s="11" t="n">
        <v>1</v>
      </c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>
        <v>1</v>
      </c>
      <c r="Z982" s="13">
        <f>SUMPRODUCT(N982:Y982,$N$2:$Y$2)*$K982*$L982*$M982</f>
        <v/>
      </c>
      <c r="AA982" s="14">
        <f>SUM(N982:Y982)</f>
        <v/>
      </c>
      <c r="AB982" s="13">
        <f>SUMPRODUCT(N982:Y982,$N$3:$Y$3)*$K982*$L982*$M982</f>
        <v/>
      </c>
      <c r="AC982" s="13">
        <f>SUMPRODUCT(N982:Y982,$N$4:$Y$4)*$K982*$L982*$M982</f>
        <v/>
      </c>
      <c r="AD982" s="15" t="n">
        <v>3</v>
      </c>
      <c r="AE982" s="11" t="n">
        <v>1.011296296296296</v>
      </c>
      <c r="AF982" s="16">
        <f>SUMPRODUCT(N982:Y982,$N$5:$Y$5)*$K982*$L982*$M982</f>
        <v/>
      </c>
      <c r="AG982" s="16">
        <f>SUMPRODUCT(N982:Y982,$N$6:$Y$6)*$K982*$L982*$M982</f>
        <v/>
      </c>
      <c r="AH982" s="20" t="n"/>
    </row>
    <row r="983">
      <c r="A983" s="9" t="n">
        <v>806977</v>
      </c>
      <c r="B983" s="9" t="inlineStr">
        <is>
          <t>Janero Miller</t>
        </is>
      </c>
      <c r="C983" s="9" t="inlineStr">
        <is>
          <t>MIA</t>
        </is>
      </c>
      <c r="D983" s="9" t="n">
        <v>25</v>
      </c>
      <c r="E983" s="18" t="inlineStr">
        <is>
          <t>L</t>
        </is>
      </c>
      <c r="F983" s="18" t="n"/>
      <c r="G983" s="9" t="n">
        <v>3.268</v>
      </c>
      <c r="H983" s="9" t="n">
        <v>3.268</v>
      </c>
      <c r="I983" s="9" t="inlineStr">
        <is>
          <t>Depth (no MLB IP)</t>
        </is>
      </c>
      <c r="J983" s="18" t="inlineStr">
        <is>
          <t>Opening Day</t>
        </is>
      </c>
      <c r="K983" s="11">
        <f>IFERROR(INDEX(Roles!$B$17:$B$20,MATCH(J983,Roles!$A$17:$A$20,0)),1)</f>
        <v/>
      </c>
      <c r="L983" s="19" t="n">
        <v>1</v>
      </c>
      <c r="M983" s="11" t="n">
        <v>1</v>
      </c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>
        <v>1</v>
      </c>
      <c r="Z983" s="13">
        <f>SUMPRODUCT(N983:Y983,$N$2:$Y$2)*$K983*$L983*$M983</f>
        <v/>
      </c>
      <c r="AA983" s="14">
        <f>SUM(N983:Y983)</f>
        <v/>
      </c>
      <c r="AB983" s="13">
        <f>SUMPRODUCT(N983:Y983,$N$3:$Y$3)*$K983*$L983*$M983</f>
        <v/>
      </c>
      <c r="AC983" s="13">
        <f>SUMPRODUCT(N983:Y983,$N$4:$Y$4)*$K983*$L983*$M983</f>
        <v/>
      </c>
      <c r="AD983" s="15" t="n">
        <v>3</v>
      </c>
      <c r="AE983" s="11" t="n">
        <v>1.011296296296296</v>
      </c>
      <c r="AF983" s="16">
        <f>SUMPRODUCT(N983:Y983,$N$5:$Y$5)*$K983*$L983*$M983</f>
        <v/>
      </c>
      <c r="AG983" s="16">
        <f>SUMPRODUCT(N983:Y983,$N$6:$Y$6)*$K983*$L983*$M983</f>
        <v/>
      </c>
      <c r="AH983" s="20" t="n"/>
    </row>
    <row r="984">
      <c r="A984" s="9" t="n">
        <v>839286</v>
      </c>
      <c r="B984" s="9" t="inlineStr">
        <is>
          <t>Mick Uebelhor</t>
        </is>
      </c>
      <c r="C984" s="9" t="inlineStr">
        <is>
          <t>HOU</t>
        </is>
      </c>
      <c r="D984" s="9" t="n">
        <v>25</v>
      </c>
      <c r="E984" s="18" t="inlineStr">
        <is>
          <t>R</t>
        </is>
      </c>
      <c r="F984" s="18" t="n"/>
      <c r="G984" s="9" t="n">
        <v>3.612</v>
      </c>
      <c r="H984" s="9" t="n">
        <v>3.612</v>
      </c>
      <c r="I984" s="9" t="inlineStr">
        <is>
          <t>Depth (no MLB IP)</t>
        </is>
      </c>
      <c r="J984" s="18" t="inlineStr">
        <is>
          <t>Opening Day</t>
        </is>
      </c>
      <c r="K984" s="11">
        <f>IFERROR(INDEX(Roles!$B$17:$B$20,MATCH(J984,Roles!$A$17:$A$20,0)),1)</f>
        <v/>
      </c>
      <c r="L984" s="19" t="n">
        <v>1</v>
      </c>
      <c r="M984" s="11" t="n">
        <v>1</v>
      </c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>
        <v>1</v>
      </c>
      <c r="Z984" s="13">
        <f>SUMPRODUCT(N984:Y984,$N$2:$Y$2)*$K984*$L984*$M984</f>
        <v/>
      </c>
      <c r="AA984" s="14">
        <f>SUM(N984:Y984)</f>
        <v/>
      </c>
      <c r="AB984" s="13">
        <f>SUMPRODUCT(N984:Y984,$N$3:$Y$3)*$K984*$L984*$M984</f>
        <v/>
      </c>
      <c r="AC984" s="13">
        <f>SUMPRODUCT(N984:Y984,$N$4:$Y$4)*$K984*$L984*$M984</f>
        <v/>
      </c>
      <c r="AD984" s="15" t="n">
        <v>3</v>
      </c>
      <c r="AE984" s="11" t="n">
        <v>1.011296296296296</v>
      </c>
      <c r="AF984" s="16">
        <f>SUMPRODUCT(N984:Y984,$N$5:$Y$5)*$K984*$L984*$M984</f>
        <v/>
      </c>
      <c r="AG984" s="16">
        <f>SUMPRODUCT(N984:Y984,$N$6:$Y$6)*$K984*$L984*$M984</f>
        <v/>
      </c>
      <c r="AH984" s="20" t="n"/>
    </row>
    <row r="985">
      <c r="A985" s="9" t="n">
        <v>825760</v>
      </c>
      <c r="B985" s="9" t="inlineStr">
        <is>
          <t>Ferny Barreda</t>
        </is>
      </c>
      <c r="C985" s="9" t="inlineStr">
        <is>
          <t>SEA</t>
        </is>
      </c>
      <c r="D985" s="9" t="n">
        <v>25</v>
      </c>
      <c r="E985" s="18" t="inlineStr">
        <is>
          <t>R</t>
        </is>
      </c>
      <c r="F985" s="18" t="n"/>
      <c r="G985" s="9" t="n">
        <v>3.511666666666666</v>
      </c>
      <c r="H985" s="9" t="n">
        <v>3.511666666666666</v>
      </c>
      <c r="I985" s="9" t="inlineStr">
        <is>
          <t>Depth (no MLB IP)</t>
        </is>
      </c>
      <c r="J985" s="18" t="inlineStr">
        <is>
          <t>Opening Day</t>
        </is>
      </c>
      <c r="K985" s="11">
        <f>IFERROR(INDEX(Roles!$B$17:$B$20,MATCH(J985,Roles!$A$17:$A$20,0)),1)</f>
        <v/>
      </c>
      <c r="L985" s="19" t="n">
        <v>1</v>
      </c>
      <c r="M985" s="11" t="n">
        <v>1</v>
      </c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>
        <v>1</v>
      </c>
      <c r="Z985" s="13">
        <f>SUMPRODUCT(N985:Y985,$N$2:$Y$2)*$K985*$L985*$M985</f>
        <v/>
      </c>
      <c r="AA985" s="14">
        <f>SUM(N985:Y985)</f>
        <v/>
      </c>
      <c r="AB985" s="13">
        <f>SUMPRODUCT(N985:Y985,$N$3:$Y$3)*$K985*$L985*$M985</f>
        <v/>
      </c>
      <c r="AC985" s="13">
        <f>SUMPRODUCT(N985:Y985,$N$4:$Y$4)*$K985*$L985*$M985</f>
        <v/>
      </c>
      <c r="AD985" s="15" t="n">
        <v>3</v>
      </c>
      <c r="AE985" s="11" t="n">
        <v>1.011296296296296</v>
      </c>
      <c r="AF985" s="16">
        <f>SUMPRODUCT(N985:Y985,$N$5:$Y$5)*$K985*$L985*$M985</f>
        <v/>
      </c>
      <c r="AG985" s="16">
        <f>SUMPRODUCT(N985:Y985,$N$6:$Y$6)*$K985*$L985*$M985</f>
        <v/>
      </c>
      <c r="AH985" s="20" t="n"/>
    </row>
    <row r="986">
      <c r="A986" s="9" t="n">
        <v>690972</v>
      </c>
      <c r="B986" s="9" t="inlineStr">
        <is>
          <t>Joey Dixon</t>
        </is>
      </c>
      <c r="C986" s="9" t="inlineStr">
        <is>
          <t>HOU</t>
        </is>
      </c>
      <c r="D986" s="9" t="n">
        <v>25</v>
      </c>
      <c r="E986" s="18" t="inlineStr">
        <is>
          <t>R</t>
        </is>
      </c>
      <c r="F986" s="18" t="n"/>
      <c r="G986" s="9" t="n">
        <v>3.268</v>
      </c>
      <c r="H986" s="9" t="n">
        <v>3.268</v>
      </c>
      <c r="I986" s="9" t="inlineStr">
        <is>
          <t>Depth (no MLB IP)</t>
        </is>
      </c>
      <c r="J986" s="18" t="inlineStr">
        <is>
          <t>Opening Day</t>
        </is>
      </c>
      <c r="K986" s="11">
        <f>IFERROR(INDEX(Roles!$B$17:$B$20,MATCH(J986,Roles!$A$17:$A$20,0)),1)</f>
        <v/>
      </c>
      <c r="L986" s="19" t="n">
        <v>1</v>
      </c>
      <c r="M986" s="11" t="n">
        <v>1</v>
      </c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>
        <v>1</v>
      </c>
      <c r="Z986" s="13">
        <f>SUMPRODUCT(N986:Y986,$N$2:$Y$2)*$K986*$L986*$M986</f>
        <v/>
      </c>
      <c r="AA986" s="14">
        <f>SUM(N986:Y986)</f>
        <v/>
      </c>
      <c r="AB986" s="13">
        <f>SUMPRODUCT(N986:Y986,$N$3:$Y$3)*$K986*$L986*$M986</f>
        <v/>
      </c>
      <c r="AC986" s="13">
        <f>SUMPRODUCT(N986:Y986,$N$4:$Y$4)*$K986*$L986*$M986</f>
        <v/>
      </c>
      <c r="AD986" s="15" t="n">
        <v>3</v>
      </c>
      <c r="AE986" s="11" t="n">
        <v>1.011296296296296</v>
      </c>
      <c r="AF986" s="16">
        <f>SUMPRODUCT(N986:Y986,$N$5:$Y$5)*$K986*$L986*$M986</f>
        <v/>
      </c>
      <c r="AG986" s="16">
        <f>SUMPRODUCT(N986:Y986,$N$6:$Y$6)*$K986*$L986*$M986</f>
        <v/>
      </c>
      <c r="AH986" s="20" t="n"/>
    </row>
    <row r="987">
      <c r="A987" s="9" t="n">
        <v>800152</v>
      </c>
      <c r="B987" s="9" t="inlineStr">
        <is>
          <t>Nelfri Payano</t>
        </is>
      </c>
      <c r="C987" s="9" t="inlineStr">
        <is>
          <t>CIN</t>
        </is>
      </c>
      <c r="D987" s="9" t="n">
        <v>25</v>
      </c>
      <c r="E987" s="18" t="inlineStr">
        <is>
          <t>R</t>
        </is>
      </c>
      <c r="F987" s="18" t="n"/>
      <c r="G987" s="9" t="n">
        <v>3.612</v>
      </c>
      <c r="H987" s="9" t="n">
        <v>3.612</v>
      </c>
      <c r="I987" s="9" t="inlineStr">
        <is>
          <t>Depth (no MLB IP)</t>
        </is>
      </c>
      <c r="J987" s="18" t="inlineStr">
        <is>
          <t>Opening Day</t>
        </is>
      </c>
      <c r="K987" s="11">
        <f>IFERROR(INDEX(Roles!$B$17:$B$20,MATCH(J987,Roles!$A$17:$A$20,0)),1)</f>
        <v/>
      </c>
      <c r="L987" s="19" t="n">
        <v>1</v>
      </c>
      <c r="M987" s="11" t="n">
        <v>1</v>
      </c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>
        <v>1</v>
      </c>
      <c r="Z987" s="13">
        <f>SUMPRODUCT(N987:Y987,$N$2:$Y$2)*$K987*$L987*$M987</f>
        <v/>
      </c>
      <c r="AA987" s="14">
        <f>SUM(N987:Y987)</f>
        <v/>
      </c>
      <c r="AB987" s="13">
        <f>SUMPRODUCT(N987:Y987,$N$3:$Y$3)*$K987*$L987*$M987</f>
        <v/>
      </c>
      <c r="AC987" s="13">
        <f>SUMPRODUCT(N987:Y987,$N$4:$Y$4)*$K987*$L987*$M987</f>
        <v/>
      </c>
      <c r="AD987" s="15" t="n">
        <v>3</v>
      </c>
      <c r="AE987" s="11" t="n">
        <v>1.011296296296296</v>
      </c>
      <c r="AF987" s="16">
        <f>SUMPRODUCT(N987:Y987,$N$5:$Y$5)*$K987*$L987*$M987</f>
        <v/>
      </c>
      <c r="AG987" s="16">
        <f>SUMPRODUCT(N987:Y987,$N$6:$Y$6)*$K987*$L987*$M987</f>
        <v/>
      </c>
      <c r="AH987" s="20" t="n"/>
    </row>
    <row r="988">
      <c r="A988" s="9" t="n">
        <v>703715</v>
      </c>
      <c r="B988" s="9" t="inlineStr">
        <is>
          <t>Wyatt Hoffman</t>
        </is>
      </c>
      <c r="C988" s="9" t="inlineStr">
        <is>
          <t>SD</t>
        </is>
      </c>
      <c r="D988" s="9" t="n">
        <v>25</v>
      </c>
      <c r="E988" s="18" t="inlineStr">
        <is>
          <t>R</t>
        </is>
      </c>
      <c r="F988" s="18" t="n"/>
      <c r="G988" s="9" t="n">
        <v>3.511666666666666</v>
      </c>
      <c r="H988" s="9" t="n">
        <v>3.511666666666666</v>
      </c>
      <c r="I988" s="9" t="inlineStr">
        <is>
          <t>Depth (no MLB IP)</t>
        </is>
      </c>
      <c r="J988" s="18" t="inlineStr">
        <is>
          <t>Opening Day</t>
        </is>
      </c>
      <c r="K988" s="11">
        <f>IFERROR(INDEX(Roles!$B$17:$B$20,MATCH(J988,Roles!$A$17:$A$20,0)),1)</f>
        <v/>
      </c>
      <c r="L988" s="19" t="n">
        <v>1</v>
      </c>
      <c r="M988" s="11" t="n">
        <v>1</v>
      </c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>
        <v>1</v>
      </c>
      <c r="Z988" s="13">
        <f>SUMPRODUCT(N988:Y988,$N$2:$Y$2)*$K988*$L988*$M988</f>
        <v/>
      </c>
      <c r="AA988" s="14">
        <f>SUM(N988:Y988)</f>
        <v/>
      </c>
      <c r="AB988" s="13">
        <f>SUMPRODUCT(N988:Y988,$N$3:$Y$3)*$K988*$L988*$M988</f>
        <v/>
      </c>
      <c r="AC988" s="13">
        <f>SUMPRODUCT(N988:Y988,$N$4:$Y$4)*$K988*$L988*$M988</f>
        <v/>
      </c>
      <c r="AD988" s="15" t="n">
        <v>3</v>
      </c>
      <c r="AE988" s="11" t="n">
        <v>1.011296296296296</v>
      </c>
      <c r="AF988" s="16">
        <f>SUMPRODUCT(N988:Y988,$N$5:$Y$5)*$K988*$L988*$M988</f>
        <v/>
      </c>
      <c r="AG988" s="16">
        <f>SUMPRODUCT(N988:Y988,$N$6:$Y$6)*$K988*$L988*$M988</f>
        <v/>
      </c>
      <c r="AH988" s="20" t="n"/>
    </row>
    <row r="989">
      <c r="A989" s="9" t="n">
        <v>690994</v>
      </c>
      <c r="B989" s="9" t="inlineStr">
        <is>
          <t>Ethan Long</t>
        </is>
      </c>
      <c r="C989" s="9" t="inlineStr">
        <is>
          <t>SD</t>
        </is>
      </c>
      <c r="D989" s="9" t="n">
        <v>25</v>
      </c>
      <c r="E989" s="18" t="inlineStr">
        <is>
          <t>R</t>
        </is>
      </c>
      <c r="F989" s="18" t="n"/>
      <c r="G989" s="9" t="n">
        <v>3.44</v>
      </c>
      <c r="H989" s="9" t="n">
        <v>3.44</v>
      </c>
      <c r="I989" s="9" t="inlineStr">
        <is>
          <t>Depth (no MLB IP)</t>
        </is>
      </c>
      <c r="J989" s="18" t="inlineStr">
        <is>
          <t>Opening Day</t>
        </is>
      </c>
      <c r="K989" s="11">
        <f>IFERROR(INDEX(Roles!$B$17:$B$20,MATCH(J989,Roles!$A$17:$A$20,0)),1)</f>
        <v/>
      </c>
      <c r="L989" s="19" t="n">
        <v>1</v>
      </c>
      <c r="M989" s="11" t="n">
        <v>1</v>
      </c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>
        <v>1</v>
      </c>
      <c r="Z989" s="13">
        <f>SUMPRODUCT(N989:Y989,$N$2:$Y$2)*$K989*$L989*$M989</f>
        <v/>
      </c>
      <c r="AA989" s="14">
        <f>SUM(N989:Y989)</f>
        <v/>
      </c>
      <c r="AB989" s="13">
        <f>SUMPRODUCT(N989:Y989,$N$3:$Y$3)*$K989*$L989*$M989</f>
        <v/>
      </c>
      <c r="AC989" s="13">
        <f>SUMPRODUCT(N989:Y989,$N$4:$Y$4)*$K989*$L989*$M989</f>
        <v/>
      </c>
      <c r="AD989" s="15" t="n">
        <v>3</v>
      </c>
      <c r="AE989" s="11" t="n">
        <v>1.011296296296296</v>
      </c>
      <c r="AF989" s="16">
        <f>SUMPRODUCT(N989:Y989,$N$5:$Y$5)*$K989*$L989*$M989</f>
        <v/>
      </c>
      <c r="AG989" s="16">
        <f>SUMPRODUCT(N989:Y989,$N$6:$Y$6)*$K989*$L989*$M989</f>
        <v/>
      </c>
      <c r="AH989" s="20" t="n"/>
    </row>
    <row r="990">
      <c r="A990" s="9" t="n">
        <v>702962</v>
      </c>
      <c r="B990" s="9" t="inlineStr">
        <is>
          <t>Alex Kranzler</t>
        </is>
      </c>
      <c r="C990" s="9" t="inlineStr">
        <is>
          <t>BOS</t>
        </is>
      </c>
      <c r="D990" s="9" t="n">
        <v>25</v>
      </c>
      <c r="E990" s="18" t="inlineStr">
        <is>
          <t>R</t>
        </is>
      </c>
      <c r="F990" s="18" t="n"/>
      <c r="G990" s="9" t="n">
        <v>3.612</v>
      </c>
      <c r="H990" s="9" t="n">
        <v>3.612</v>
      </c>
      <c r="I990" s="9" t="inlineStr">
        <is>
          <t>Depth (no MLB IP)</t>
        </is>
      </c>
      <c r="J990" s="18" t="inlineStr">
        <is>
          <t>Opening Day</t>
        </is>
      </c>
      <c r="K990" s="11">
        <f>IFERROR(INDEX(Roles!$B$17:$B$20,MATCH(J990,Roles!$A$17:$A$20,0)),1)</f>
        <v/>
      </c>
      <c r="L990" s="19" t="n">
        <v>1</v>
      </c>
      <c r="M990" s="11" t="n">
        <v>1</v>
      </c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>
        <v>1</v>
      </c>
      <c r="Z990" s="13">
        <f>SUMPRODUCT(N990:Y990,$N$2:$Y$2)*$K990*$L990*$M990</f>
        <v/>
      </c>
      <c r="AA990" s="14">
        <f>SUM(N990:Y990)</f>
        <v/>
      </c>
      <c r="AB990" s="13">
        <f>SUMPRODUCT(N990:Y990,$N$3:$Y$3)*$K990*$L990*$M990</f>
        <v/>
      </c>
      <c r="AC990" s="13">
        <f>SUMPRODUCT(N990:Y990,$N$4:$Y$4)*$K990*$L990*$M990</f>
        <v/>
      </c>
      <c r="AD990" s="15" t="n">
        <v>3</v>
      </c>
      <c r="AE990" s="11" t="n">
        <v>1.011296296296296</v>
      </c>
      <c r="AF990" s="16">
        <f>SUMPRODUCT(N990:Y990,$N$5:$Y$5)*$K990*$L990*$M990</f>
        <v/>
      </c>
      <c r="AG990" s="16">
        <f>SUMPRODUCT(N990:Y990,$N$6:$Y$6)*$K990*$L990*$M990</f>
        <v/>
      </c>
      <c r="AH990" s="20" t="n"/>
    </row>
    <row r="991">
      <c r="A991" s="9" t="n">
        <v>805255</v>
      </c>
      <c r="B991" s="9" t="inlineStr">
        <is>
          <t>Dominick Reid</t>
        </is>
      </c>
      <c r="C991" s="9" t="inlineStr">
        <is>
          <t>CHC</t>
        </is>
      </c>
      <c r="D991" s="9" t="n">
        <v>25</v>
      </c>
      <c r="E991" s="18" t="inlineStr">
        <is>
          <t>R</t>
        </is>
      </c>
      <c r="F991" s="18" t="n"/>
      <c r="G991" s="9" t="n">
        <v>3.44</v>
      </c>
      <c r="H991" s="9" t="n">
        <v>3.44</v>
      </c>
      <c r="I991" s="9" t="inlineStr">
        <is>
          <t>Depth (no MLB IP)</t>
        </is>
      </c>
      <c r="J991" s="18" t="inlineStr">
        <is>
          <t>Opening Day</t>
        </is>
      </c>
      <c r="K991" s="11">
        <f>IFERROR(INDEX(Roles!$B$17:$B$20,MATCH(J991,Roles!$A$17:$A$20,0)),1)</f>
        <v/>
      </c>
      <c r="L991" s="19" t="n">
        <v>1</v>
      </c>
      <c r="M991" s="11" t="n">
        <v>1</v>
      </c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>
        <v>1</v>
      </c>
      <c r="Z991" s="13">
        <f>SUMPRODUCT(N991:Y991,$N$2:$Y$2)*$K991*$L991*$M991</f>
        <v/>
      </c>
      <c r="AA991" s="14">
        <f>SUM(N991:Y991)</f>
        <v/>
      </c>
      <c r="AB991" s="13">
        <f>SUMPRODUCT(N991:Y991,$N$3:$Y$3)*$K991*$L991*$M991</f>
        <v/>
      </c>
      <c r="AC991" s="13">
        <f>SUMPRODUCT(N991:Y991,$N$4:$Y$4)*$K991*$L991*$M991</f>
        <v/>
      </c>
      <c r="AD991" s="15" t="n">
        <v>3</v>
      </c>
      <c r="AE991" s="11" t="n">
        <v>1.011296296296296</v>
      </c>
      <c r="AF991" s="16">
        <f>SUMPRODUCT(N991:Y991,$N$5:$Y$5)*$K991*$L991*$M991</f>
        <v/>
      </c>
      <c r="AG991" s="16">
        <f>SUMPRODUCT(N991:Y991,$N$6:$Y$6)*$K991*$L991*$M991</f>
        <v/>
      </c>
      <c r="AH991" s="20" t="n"/>
    </row>
    <row r="992">
      <c r="A992" s="9" t="n">
        <v>806168</v>
      </c>
      <c r="B992" s="9" t="inlineStr">
        <is>
          <t>Bryson Moore</t>
        </is>
      </c>
      <c r="C992" s="9" t="inlineStr">
        <is>
          <t>PIT</t>
        </is>
      </c>
      <c r="D992" s="9" t="n">
        <v>25</v>
      </c>
      <c r="E992" s="18" t="inlineStr">
        <is>
          <t>R</t>
        </is>
      </c>
      <c r="F992" s="18" t="n"/>
      <c r="G992" s="9" t="n">
        <v>3.612</v>
      </c>
      <c r="H992" s="9" t="n">
        <v>3.612</v>
      </c>
      <c r="I992" s="9" t="inlineStr">
        <is>
          <t>Depth (no MLB IP)</t>
        </is>
      </c>
      <c r="J992" s="18" t="inlineStr">
        <is>
          <t>Opening Day</t>
        </is>
      </c>
      <c r="K992" s="11">
        <f>IFERROR(INDEX(Roles!$B$17:$B$20,MATCH(J992,Roles!$A$17:$A$20,0)),1)</f>
        <v/>
      </c>
      <c r="L992" s="19" t="n">
        <v>1</v>
      </c>
      <c r="M992" s="11" t="n">
        <v>1</v>
      </c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>
        <v>1</v>
      </c>
      <c r="Z992" s="13">
        <f>SUMPRODUCT(N992:Y992,$N$2:$Y$2)*$K992*$L992*$M992</f>
        <v/>
      </c>
      <c r="AA992" s="14">
        <f>SUM(N992:Y992)</f>
        <v/>
      </c>
      <c r="AB992" s="13">
        <f>SUMPRODUCT(N992:Y992,$N$3:$Y$3)*$K992*$L992*$M992</f>
        <v/>
      </c>
      <c r="AC992" s="13">
        <f>SUMPRODUCT(N992:Y992,$N$4:$Y$4)*$K992*$L992*$M992</f>
        <v/>
      </c>
      <c r="AD992" s="15" t="n">
        <v>3</v>
      </c>
      <c r="AE992" s="11" t="n">
        <v>1.011296296296296</v>
      </c>
      <c r="AF992" s="16">
        <f>SUMPRODUCT(N992:Y992,$N$5:$Y$5)*$K992*$L992*$M992</f>
        <v/>
      </c>
      <c r="AG992" s="16">
        <f>SUMPRODUCT(N992:Y992,$N$6:$Y$6)*$K992*$L992*$M992</f>
        <v/>
      </c>
      <c r="AH992" s="20" t="n"/>
    </row>
    <row r="993">
      <c r="A993" s="9" t="n">
        <v>806143</v>
      </c>
      <c r="B993" s="9" t="inlineStr">
        <is>
          <t>Wil Libbert</t>
        </is>
      </c>
      <c r="C993" s="9" t="inlineStr">
        <is>
          <t>ATL</t>
        </is>
      </c>
      <c r="D993" s="9" t="n">
        <v>25</v>
      </c>
      <c r="E993" s="18" t="inlineStr">
        <is>
          <t>L</t>
        </is>
      </c>
      <c r="F993" s="18" t="n"/>
      <c r="G993" s="9" t="n">
        <v>3.44</v>
      </c>
      <c r="H993" s="9" t="n">
        <v>3.44</v>
      </c>
      <c r="I993" s="9" t="inlineStr">
        <is>
          <t>Depth (no MLB IP)</t>
        </is>
      </c>
      <c r="J993" s="18" t="inlineStr">
        <is>
          <t>Opening Day</t>
        </is>
      </c>
      <c r="K993" s="11">
        <f>IFERROR(INDEX(Roles!$B$17:$B$20,MATCH(J993,Roles!$A$17:$A$20,0)),1)</f>
        <v/>
      </c>
      <c r="L993" s="19" t="n">
        <v>1</v>
      </c>
      <c r="M993" s="11" t="n">
        <v>1</v>
      </c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>
        <v>1</v>
      </c>
      <c r="Z993" s="13">
        <f>SUMPRODUCT(N993:Y993,$N$2:$Y$2)*$K993*$L993*$M993</f>
        <v/>
      </c>
      <c r="AA993" s="14">
        <f>SUM(N993:Y993)</f>
        <v/>
      </c>
      <c r="AB993" s="13">
        <f>SUMPRODUCT(N993:Y993,$N$3:$Y$3)*$K993*$L993*$M993</f>
        <v/>
      </c>
      <c r="AC993" s="13">
        <f>SUMPRODUCT(N993:Y993,$N$4:$Y$4)*$K993*$L993*$M993</f>
        <v/>
      </c>
      <c r="AD993" s="15" t="n">
        <v>3</v>
      </c>
      <c r="AE993" s="11" t="n">
        <v>1.011296296296296</v>
      </c>
      <c r="AF993" s="16">
        <f>SUMPRODUCT(N993:Y993,$N$5:$Y$5)*$K993*$L993*$M993</f>
        <v/>
      </c>
      <c r="AG993" s="16">
        <f>SUMPRODUCT(N993:Y993,$N$6:$Y$6)*$K993*$L993*$M993</f>
        <v/>
      </c>
      <c r="AH993" s="20" t="n"/>
    </row>
    <row r="994">
      <c r="A994" s="9" t="n">
        <v>806141</v>
      </c>
      <c r="B994" s="9" t="inlineStr">
        <is>
          <t>Justin LeGuernic</t>
        </is>
      </c>
      <c r="C994" s="9" t="inlineStr">
        <is>
          <t>KC</t>
        </is>
      </c>
      <c r="D994" s="9" t="n">
        <v>25</v>
      </c>
      <c r="E994" s="18" t="inlineStr">
        <is>
          <t>L</t>
        </is>
      </c>
      <c r="F994" s="18" t="n"/>
      <c r="G994" s="9" t="n">
        <v>3.612</v>
      </c>
      <c r="H994" s="9" t="n">
        <v>3.612</v>
      </c>
      <c r="I994" s="9" t="inlineStr">
        <is>
          <t>Depth (no MLB IP)</t>
        </is>
      </c>
      <c r="J994" s="18" t="inlineStr">
        <is>
          <t>Opening Day</t>
        </is>
      </c>
      <c r="K994" s="11">
        <f>IFERROR(INDEX(Roles!$B$17:$B$20,MATCH(J994,Roles!$A$17:$A$20,0)),1)</f>
        <v/>
      </c>
      <c r="L994" s="19" t="n">
        <v>1</v>
      </c>
      <c r="M994" s="11" t="n">
        <v>1</v>
      </c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>
        <v>1</v>
      </c>
      <c r="Z994" s="13">
        <f>SUMPRODUCT(N994:Y994,$N$2:$Y$2)*$K994*$L994*$M994</f>
        <v/>
      </c>
      <c r="AA994" s="14">
        <f>SUM(N994:Y994)</f>
        <v/>
      </c>
      <c r="AB994" s="13">
        <f>SUMPRODUCT(N994:Y994,$N$3:$Y$3)*$K994*$L994*$M994</f>
        <v/>
      </c>
      <c r="AC994" s="13">
        <f>SUMPRODUCT(N994:Y994,$N$4:$Y$4)*$K994*$L994*$M994</f>
        <v/>
      </c>
      <c r="AD994" s="15" t="n">
        <v>3</v>
      </c>
      <c r="AE994" s="11" t="n">
        <v>1.011296296296296</v>
      </c>
      <c r="AF994" s="16">
        <f>SUMPRODUCT(N994:Y994,$N$5:$Y$5)*$K994*$L994*$M994</f>
        <v/>
      </c>
      <c r="AG994" s="16">
        <f>SUMPRODUCT(N994:Y994,$N$6:$Y$6)*$K994*$L994*$M994</f>
        <v/>
      </c>
      <c r="AH994" s="20" t="n"/>
    </row>
    <row r="995">
      <c r="A995" s="9" t="n">
        <v>822360</v>
      </c>
      <c r="B995" s="9" t="inlineStr">
        <is>
          <t>Blaine Wynk</t>
        </is>
      </c>
      <c r="C995" s="9" t="inlineStr">
        <is>
          <t>CWS</t>
        </is>
      </c>
      <c r="D995" s="9" t="n">
        <v>25</v>
      </c>
      <c r="E995" s="18" t="inlineStr">
        <is>
          <t>R</t>
        </is>
      </c>
      <c r="F995" s="18" t="n"/>
      <c r="G995" s="9" t="n">
        <v>3.44</v>
      </c>
      <c r="H995" s="9" t="n">
        <v>3.44</v>
      </c>
      <c r="I995" s="9" t="inlineStr">
        <is>
          <t>Depth (no MLB IP)</t>
        </is>
      </c>
      <c r="J995" s="18" t="inlineStr">
        <is>
          <t>Opening Day</t>
        </is>
      </c>
      <c r="K995" s="11">
        <f>IFERROR(INDEX(Roles!$B$17:$B$20,MATCH(J995,Roles!$A$17:$A$20,0)),1)</f>
        <v/>
      </c>
      <c r="L995" s="19" t="n">
        <v>1</v>
      </c>
      <c r="M995" s="11" t="n">
        <v>1</v>
      </c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>
        <v>1</v>
      </c>
      <c r="Z995" s="13">
        <f>SUMPRODUCT(N995:Y995,$N$2:$Y$2)*$K995*$L995*$M995</f>
        <v/>
      </c>
      <c r="AA995" s="14">
        <f>SUM(N995:Y995)</f>
        <v/>
      </c>
      <c r="AB995" s="13">
        <f>SUMPRODUCT(N995:Y995,$N$3:$Y$3)*$K995*$L995*$M995</f>
        <v/>
      </c>
      <c r="AC995" s="13">
        <f>SUMPRODUCT(N995:Y995,$N$4:$Y$4)*$K995*$L995*$M995</f>
        <v/>
      </c>
      <c r="AD995" s="15" t="n">
        <v>3</v>
      </c>
      <c r="AE995" s="11" t="n">
        <v>1.011296296296296</v>
      </c>
      <c r="AF995" s="16">
        <f>SUMPRODUCT(N995:Y995,$N$5:$Y$5)*$K995*$L995*$M995</f>
        <v/>
      </c>
      <c r="AG995" s="16">
        <f>SUMPRODUCT(N995:Y995,$N$6:$Y$6)*$K995*$L995*$M995</f>
        <v/>
      </c>
      <c r="AH995" s="20" t="n"/>
    </row>
    <row r="996">
      <c r="A996" s="9" t="n">
        <v>823333</v>
      </c>
      <c r="B996" s="9" t="inlineStr">
        <is>
          <t>Trevor Moore</t>
        </is>
      </c>
      <c r="C996" s="9" t="inlineStr">
        <is>
          <t>WSH</t>
        </is>
      </c>
      <c r="D996" s="9" t="n">
        <v>25</v>
      </c>
      <c r="E996" s="18" t="inlineStr">
        <is>
          <t>R</t>
        </is>
      </c>
      <c r="F996" s="18" t="n"/>
      <c r="G996" s="9" t="n">
        <v>3.268</v>
      </c>
      <c r="H996" s="9" t="n">
        <v>3.268</v>
      </c>
      <c r="I996" s="9" t="inlineStr">
        <is>
          <t>Depth (no MLB IP)</t>
        </is>
      </c>
      <c r="J996" s="18" t="inlineStr">
        <is>
          <t>Opening Day</t>
        </is>
      </c>
      <c r="K996" s="11">
        <f>IFERROR(INDEX(Roles!$B$17:$B$20,MATCH(J996,Roles!$A$17:$A$20,0)),1)</f>
        <v/>
      </c>
      <c r="L996" s="19" t="n">
        <v>1</v>
      </c>
      <c r="M996" s="11" t="n">
        <v>1</v>
      </c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>
        <v>1</v>
      </c>
      <c r="Z996" s="13">
        <f>SUMPRODUCT(N996:Y996,$N$2:$Y$2)*$K996*$L996*$M996</f>
        <v/>
      </c>
      <c r="AA996" s="14">
        <f>SUM(N996:Y996)</f>
        <v/>
      </c>
      <c r="AB996" s="13">
        <f>SUMPRODUCT(N996:Y996,$N$3:$Y$3)*$K996*$L996*$M996</f>
        <v/>
      </c>
      <c r="AC996" s="13">
        <f>SUMPRODUCT(N996:Y996,$N$4:$Y$4)*$K996*$L996*$M996</f>
        <v/>
      </c>
      <c r="AD996" s="15" t="n">
        <v>3</v>
      </c>
      <c r="AE996" s="11" t="n">
        <v>1.011296296296296</v>
      </c>
      <c r="AF996" s="16">
        <f>SUMPRODUCT(N996:Y996,$N$5:$Y$5)*$K996*$L996*$M996</f>
        <v/>
      </c>
      <c r="AG996" s="16">
        <f>SUMPRODUCT(N996:Y996,$N$6:$Y$6)*$K996*$L996*$M996</f>
        <v/>
      </c>
      <c r="AH996" s="20" t="n"/>
    </row>
    <row r="997">
      <c r="A997" s="9" t="n">
        <v>676606</v>
      </c>
      <c r="B997" s="9" t="inlineStr">
        <is>
          <t>Nick Margevicius</t>
        </is>
      </c>
      <c r="C997" s="9" t="inlineStr">
        <is>
          <t>SF</t>
        </is>
      </c>
      <c r="D997" s="9" t="n">
        <v>25</v>
      </c>
      <c r="E997" s="18" t="inlineStr">
        <is>
          <t>L</t>
        </is>
      </c>
      <c r="F997" s="18" t="n"/>
      <c r="G997" s="9" t="n">
        <v>3.268</v>
      </c>
      <c r="H997" s="9" t="n">
        <v>3.268</v>
      </c>
      <c r="I997" s="9" t="inlineStr">
        <is>
          <t>Depth (no MLB IP)</t>
        </is>
      </c>
      <c r="J997" s="18" t="inlineStr">
        <is>
          <t>Opening Day</t>
        </is>
      </c>
      <c r="K997" s="11">
        <f>IFERROR(INDEX(Roles!$B$17:$B$20,MATCH(J997,Roles!$A$17:$A$20,0)),1)</f>
        <v/>
      </c>
      <c r="L997" s="19" t="n">
        <v>1</v>
      </c>
      <c r="M997" s="11" t="n">
        <v>1</v>
      </c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>
        <v>1</v>
      </c>
      <c r="Z997" s="13">
        <f>SUMPRODUCT(N997:Y997,$N$2:$Y$2)*$K997*$L997*$M997</f>
        <v/>
      </c>
      <c r="AA997" s="14">
        <f>SUM(N997:Y997)</f>
        <v/>
      </c>
      <c r="AB997" s="13">
        <f>SUMPRODUCT(N997:Y997,$N$3:$Y$3)*$K997*$L997*$M997</f>
        <v/>
      </c>
      <c r="AC997" s="13">
        <f>SUMPRODUCT(N997:Y997,$N$4:$Y$4)*$K997*$L997*$M997</f>
        <v/>
      </c>
      <c r="AD997" s="15" t="n">
        <v>3</v>
      </c>
      <c r="AE997" s="11" t="n">
        <v>1.011296296296296</v>
      </c>
      <c r="AF997" s="16">
        <f>SUMPRODUCT(N997:Y997,$N$5:$Y$5)*$K997*$L997*$M997</f>
        <v/>
      </c>
      <c r="AG997" s="16">
        <f>SUMPRODUCT(N997:Y997,$N$6:$Y$6)*$K997*$L997*$M997</f>
        <v/>
      </c>
      <c r="AH997" s="20" t="n"/>
    </row>
    <row r="998">
      <c r="A998" s="9" t="n">
        <v>694964</v>
      </c>
      <c r="B998" s="9" t="inlineStr">
        <is>
          <t>Gus Hughes</t>
        </is>
      </c>
      <c r="C998" s="9" t="inlineStr">
        <is>
          <t>WSH</t>
        </is>
      </c>
      <c r="D998" s="9" t="n">
        <v>25</v>
      </c>
      <c r="E998" s="18" t="inlineStr">
        <is>
          <t>R</t>
        </is>
      </c>
      <c r="F998" s="18" t="n"/>
      <c r="G998" s="9" t="n">
        <v>3.726666666666667</v>
      </c>
      <c r="H998" s="9" t="n">
        <v>3.726666666666667</v>
      </c>
      <c r="I998" s="9" t="inlineStr">
        <is>
          <t>Depth (no MLB IP)</t>
        </is>
      </c>
      <c r="J998" s="18" t="inlineStr">
        <is>
          <t>Opening Day</t>
        </is>
      </c>
      <c r="K998" s="11">
        <f>IFERROR(INDEX(Roles!$B$17:$B$20,MATCH(J998,Roles!$A$17:$A$20,0)),1)</f>
        <v/>
      </c>
      <c r="L998" s="19" t="n">
        <v>1</v>
      </c>
      <c r="M998" s="11" t="n">
        <v>1</v>
      </c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>
        <v>1</v>
      </c>
      <c r="Z998" s="13">
        <f>SUMPRODUCT(N998:Y998,$N$2:$Y$2)*$K998*$L998*$M998</f>
        <v/>
      </c>
      <c r="AA998" s="14">
        <f>SUM(N998:Y998)</f>
        <v/>
      </c>
      <c r="AB998" s="13">
        <f>SUMPRODUCT(N998:Y998,$N$3:$Y$3)*$K998*$L998*$M998</f>
        <v/>
      </c>
      <c r="AC998" s="13">
        <f>SUMPRODUCT(N998:Y998,$N$4:$Y$4)*$K998*$L998*$M998</f>
        <v/>
      </c>
      <c r="AD998" s="15" t="n">
        <v>3</v>
      </c>
      <c r="AE998" s="11" t="n">
        <v>1.011296296296296</v>
      </c>
      <c r="AF998" s="16">
        <f>SUMPRODUCT(N998:Y998,$N$5:$Y$5)*$K998*$L998*$M998</f>
        <v/>
      </c>
      <c r="AG998" s="16">
        <f>SUMPRODUCT(N998:Y998,$N$6:$Y$6)*$K998*$L998*$M998</f>
        <v/>
      </c>
      <c r="AH998" s="20" t="n"/>
    </row>
    <row r="999">
      <c r="A999" s="9" t="n">
        <v>811697</v>
      </c>
      <c r="B999" s="9" t="inlineStr">
        <is>
          <t>Tanner Perry</t>
        </is>
      </c>
      <c r="C999" s="9" t="inlineStr">
        <is>
          <t>MIL</t>
        </is>
      </c>
      <c r="D999" s="9" t="n">
        <v>25</v>
      </c>
      <c r="E999" s="18" t="inlineStr">
        <is>
          <t>R</t>
        </is>
      </c>
      <c r="F999" s="18" t="n"/>
      <c r="G999" s="9" t="n">
        <v>3.511666666666666</v>
      </c>
      <c r="H999" s="9" t="n">
        <v>3.511666666666666</v>
      </c>
      <c r="I999" s="9" t="inlineStr">
        <is>
          <t>Depth (no MLB IP)</t>
        </is>
      </c>
      <c r="J999" s="18" t="inlineStr">
        <is>
          <t>Opening Day</t>
        </is>
      </c>
      <c r="K999" s="11">
        <f>IFERROR(INDEX(Roles!$B$17:$B$20,MATCH(J999,Roles!$A$17:$A$20,0)),1)</f>
        <v/>
      </c>
      <c r="L999" s="19" t="n">
        <v>1</v>
      </c>
      <c r="M999" s="11" t="n">
        <v>1</v>
      </c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>
        <v>1</v>
      </c>
      <c r="Z999" s="13">
        <f>SUMPRODUCT(N999:Y999,$N$2:$Y$2)*$K999*$L999*$M999</f>
        <v/>
      </c>
      <c r="AA999" s="14">
        <f>SUM(N999:Y999)</f>
        <v/>
      </c>
      <c r="AB999" s="13">
        <f>SUMPRODUCT(N999:Y999,$N$3:$Y$3)*$K999*$L999*$M999</f>
        <v/>
      </c>
      <c r="AC999" s="13">
        <f>SUMPRODUCT(N999:Y999,$N$4:$Y$4)*$K999*$L999*$M999</f>
        <v/>
      </c>
      <c r="AD999" s="15" t="n">
        <v>3</v>
      </c>
      <c r="AE999" s="11" t="n">
        <v>1.011296296296296</v>
      </c>
      <c r="AF999" s="16">
        <f>SUMPRODUCT(N999:Y999,$N$5:$Y$5)*$K999*$L999*$M999</f>
        <v/>
      </c>
      <c r="AG999" s="16">
        <f>SUMPRODUCT(N999:Y999,$N$6:$Y$6)*$K999*$L999*$M999</f>
        <v/>
      </c>
      <c r="AH999" s="20" t="n"/>
    </row>
    <row r="1000">
      <c r="A1000" s="9" t="n">
        <v>814094</v>
      </c>
      <c r="B1000" s="9" t="inlineStr">
        <is>
          <t>Tyler August</t>
        </is>
      </c>
      <c r="C1000" s="9" t="inlineStr">
        <is>
          <t>OAK</t>
        </is>
      </c>
      <c r="D1000" s="9" t="n">
        <v>25</v>
      </c>
      <c r="E1000" s="18" t="inlineStr">
        <is>
          <t>R</t>
        </is>
      </c>
      <c r="F1000" s="18" t="n"/>
      <c r="G1000" s="9" t="n">
        <v>3.956</v>
      </c>
      <c r="H1000" s="9" t="n">
        <v>3.956</v>
      </c>
      <c r="I1000" s="9" t="inlineStr">
        <is>
          <t>Depth (no MLB IP)</t>
        </is>
      </c>
      <c r="J1000" s="18" t="inlineStr">
        <is>
          <t>Opening Day</t>
        </is>
      </c>
      <c r="K1000" s="11">
        <f>IFERROR(INDEX(Roles!$B$17:$B$20,MATCH(J1000,Roles!$A$17:$A$20,0)),1)</f>
        <v/>
      </c>
      <c r="L1000" s="19" t="n">
        <v>1</v>
      </c>
      <c r="M1000" s="11" t="n">
        <v>1</v>
      </c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>
        <v>1</v>
      </c>
      <c r="Z1000" s="13">
        <f>SUMPRODUCT(N1000:Y1000,$N$2:$Y$2)*$K1000*$L1000*$M1000</f>
        <v/>
      </c>
      <c r="AA1000" s="14">
        <f>SUM(N1000:Y1000)</f>
        <v/>
      </c>
      <c r="AB1000" s="13">
        <f>SUMPRODUCT(N1000:Y1000,$N$3:$Y$3)*$K1000*$L1000*$M1000</f>
        <v/>
      </c>
      <c r="AC1000" s="13">
        <f>SUMPRODUCT(N1000:Y1000,$N$4:$Y$4)*$K1000*$L1000*$M1000</f>
        <v/>
      </c>
      <c r="AD1000" s="15" t="n">
        <v>3</v>
      </c>
      <c r="AE1000" s="11" t="n">
        <v>1.011296296296296</v>
      </c>
      <c r="AF1000" s="16">
        <f>SUMPRODUCT(N1000:Y1000,$N$5:$Y$5)*$K1000*$L1000*$M1000</f>
        <v/>
      </c>
      <c r="AG1000" s="16">
        <f>SUMPRODUCT(N1000:Y1000,$N$6:$Y$6)*$K1000*$L1000*$M1000</f>
        <v/>
      </c>
      <c r="AH1000" s="20" t="n"/>
    </row>
    <row r="1001">
      <c r="A1001" s="9" t="n">
        <v>836071</v>
      </c>
      <c r="B1001" s="9" t="inlineStr">
        <is>
          <t>RJ Shunck</t>
        </is>
      </c>
      <c r="C1001" s="9" t="inlineStr">
        <is>
          <t>MIA</t>
        </is>
      </c>
      <c r="D1001" s="9" t="n">
        <v>25</v>
      </c>
      <c r="E1001" s="18" t="inlineStr">
        <is>
          <t>L</t>
        </is>
      </c>
      <c r="F1001" s="18" t="n"/>
      <c r="G1001" s="9" t="n">
        <v>3.784</v>
      </c>
      <c r="H1001" s="9" t="n">
        <v>3.784</v>
      </c>
      <c r="I1001" s="9" t="inlineStr">
        <is>
          <t>Depth (no MLB IP)</t>
        </is>
      </c>
      <c r="J1001" s="18" t="inlineStr">
        <is>
          <t>Opening Day</t>
        </is>
      </c>
      <c r="K1001" s="11">
        <f>IFERROR(INDEX(Roles!$B$17:$B$20,MATCH(J1001,Roles!$A$17:$A$20,0)),1)</f>
        <v/>
      </c>
      <c r="L1001" s="19" t="n">
        <v>1</v>
      </c>
      <c r="M1001" s="11" t="n">
        <v>1</v>
      </c>
      <c r="N1001" s="19" t="n"/>
      <c r="O1001" s="19" t="n"/>
      <c r="P1001" s="19" t="n"/>
      <c r="Q1001" s="19" t="n"/>
      <c r="R1001" s="19" t="n"/>
      <c r="S1001" s="19" t="n"/>
      <c r="T1001" s="19" t="n"/>
      <c r="U1001" s="19" t="n"/>
      <c r="V1001" s="19" t="n"/>
      <c r="W1001" s="19" t="n"/>
      <c r="X1001" s="19" t="n"/>
      <c r="Y1001" s="19" t="n">
        <v>1</v>
      </c>
      <c r="Z1001" s="13">
        <f>SUMPRODUCT(N1001:Y1001,$N$2:$Y$2)*$K1001*$L1001*$M1001</f>
        <v/>
      </c>
      <c r="AA1001" s="14">
        <f>SUM(N1001:Y1001)</f>
        <v/>
      </c>
      <c r="AB1001" s="13">
        <f>SUMPRODUCT(N1001:Y1001,$N$3:$Y$3)*$K1001*$L1001*$M1001</f>
        <v/>
      </c>
      <c r="AC1001" s="13">
        <f>SUMPRODUCT(N1001:Y1001,$N$4:$Y$4)*$K1001*$L1001*$M1001</f>
        <v/>
      </c>
      <c r="AD1001" s="15" t="n">
        <v>3</v>
      </c>
      <c r="AE1001" s="11" t="n">
        <v>1.011296296296296</v>
      </c>
      <c r="AF1001" s="16">
        <f>SUMPRODUCT(N1001:Y1001,$N$5:$Y$5)*$K1001*$L1001*$M1001</f>
        <v/>
      </c>
      <c r="AG1001" s="16">
        <f>SUMPRODUCT(N1001:Y1001,$N$6:$Y$6)*$K1001*$L1001*$M1001</f>
        <v/>
      </c>
      <c r="AH1001" s="20" t="n"/>
    </row>
    <row r="1002">
      <c r="A1002" s="9" t="n">
        <v>813697</v>
      </c>
      <c r="B1002" s="9" t="inlineStr">
        <is>
          <t>Sam Biller</t>
        </is>
      </c>
      <c r="C1002" s="9" t="inlineStr">
        <is>
          <t>NYM</t>
        </is>
      </c>
      <c r="D1002" s="9" t="n">
        <v>25</v>
      </c>
      <c r="E1002" s="18" t="inlineStr">
        <is>
          <t>L</t>
        </is>
      </c>
      <c r="F1002" s="18" t="n"/>
      <c r="G1002" s="9" t="n">
        <v>3.941666666666667</v>
      </c>
      <c r="H1002" s="9" t="n">
        <v>3.941666666666667</v>
      </c>
      <c r="I1002" s="9" t="inlineStr">
        <is>
          <t>Depth (no MLB IP)</t>
        </is>
      </c>
      <c r="J1002" s="18" t="inlineStr">
        <is>
          <t>Opening Day</t>
        </is>
      </c>
      <c r="K1002" s="11">
        <f>IFERROR(INDEX(Roles!$B$17:$B$20,MATCH(J1002,Roles!$A$17:$A$20,0)),1)</f>
        <v/>
      </c>
      <c r="L1002" s="19" t="n">
        <v>1</v>
      </c>
      <c r="M1002" s="11" t="n">
        <v>1</v>
      </c>
      <c r="N1002" s="19" t="n"/>
      <c r="O1002" s="19" t="n"/>
      <c r="P1002" s="19" t="n"/>
      <c r="Q1002" s="19" t="n"/>
      <c r="R1002" s="19" t="n"/>
      <c r="S1002" s="19" t="n"/>
      <c r="T1002" s="19" t="n"/>
      <c r="U1002" s="19" t="n"/>
      <c r="V1002" s="19" t="n"/>
      <c r="W1002" s="19" t="n"/>
      <c r="X1002" s="19" t="n"/>
      <c r="Y1002" s="19" t="n">
        <v>1</v>
      </c>
      <c r="Z1002" s="13">
        <f>SUMPRODUCT(N1002:Y1002,$N$2:$Y$2)*$K1002*$L1002*$M1002</f>
        <v/>
      </c>
      <c r="AA1002" s="14">
        <f>SUM(N1002:Y1002)</f>
        <v/>
      </c>
      <c r="AB1002" s="13">
        <f>SUMPRODUCT(N1002:Y1002,$N$3:$Y$3)*$K1002*$L1002*$M1002</f>
        <v/>
      </c>
      <c r="AC1002" s="13">
        <f>SUMPRODUCT(N1002:Y1002,$N$4:$Y$4)*$K1002*$L1002*$M1002</f>
        <v/>
      </c>
      <c r="AD1002" s="15" t="n">
        <v>3</v>
      </c>
      <c r="AE1002" s="11" t="n">
        <v>1.011296296296296</v>
      </c>
      <c r="AF1002" s="16">
        <f>SUMPRODUCT(N1002:Y1002,$N$5:$Y$5)*$K1002*$L1002*$M1002</f>
        <v/>
      </c>
      <c r="AG1002" s="16">
        <f>SUMPRODUCT(N1002:Y1002,$N$6:$Y$6)*$K1002*$L1002*$M1002</f>
        <v/>
      </c>
      <c r="AH1002" s="20" t="n"/>
    </row>
    <row r="1003">
      <c r="A1003" s="9" t="n">
        <v>700305</v>
      </c>
      <c r="B1003" s="9" t="inlineStr">
        <is>
          <t>Jorge De Leon</t>
        </is>
      </c>
      <c r="C1003" s="9" t="inlineStr">
        <is>
          <t>NYM</t>
        </is>
      </c>
      <c r="D1003" s="9" t="n">
        <v>25</v>
      </c>
      <c r="E1003" s="18" t="inlineStr">
        <is>
          <t>R</t>
        </is>
      </c>
      <c r="F1003" s="18" t="n"/>
      <c r="G1003" s="9" t="n">
        <v>3.784</v>
      </c>
      <c r="H1003" s="9" t="n">
        <v>3.784</v>
      </c>
      <c r="I1003" s="9" t="inlineStr">
        <is>
          <t>Depth (no MLB IP)</t>
        </is>
      </c>
      <c r="J1003" s="18" t="inlineStr">
        <is>
          <t>Opening Day</t>
        </is>
      </c>
      <c r="K1003" s="11">
        <f>IFERROR(INDEX(Roles!$B$17:$B$20,MATCH(J1003,Roles!$A$17:$A$20,0)),1)</f>
        <v/>
      </c>
      <c r="L1003" s="19" t="n">
        <v>1</v>
      </c>
      <c r="M1003" s="11" t="n">
        <v>1</v>
      </c>
      <c r="N1003" s="19" t="n"/>
      <c r="O1003" s="19" t="n"/>
      <c r="P1003" s="19" t="n"/>
      <c r="Q1003" s="19" t="n"/>
      <c r="R1003" s="19" t="n"/>
      <c r="S1003" s="19" t="n"/>
      <c r="T1003" s="19" t="n"/>
      <c r="U1003" s="19" t="n"/>
      <c r="V1003" s="19" t="n"/>
      <c r="W1003" s="19" t="n"/>
      <c r="X1003" s="19" t="n"/>
      <c r="Y1003" s="19" t="n">
        <v>1</v>
      </c>
      <c r="Z1003" s="13">
        <f>SUMPRODUCT(N1003:Y1003,$N$2:$Y$2)*$K1003*$L1003*$M1003</f>
        <v/>
      </c>
      <c r="AA1003" s="14">
        <f>SUM(N1003:Y1003)</f>
        <v/>
      </c>
      <c r="AB1003" s="13">
        <f>SUMPRODUCT(N1003:Y1003,$N$3:$Y$3)*$K1003*$L1003*$M1003</f>
        <v/>
      </c>
      <c r="AC1003" s="13">
        <f>SUMPRODUCT(N1003:Y1003,$N$4:$Y$4)*$K1003*$L1003*$M1003</f>
        <v/>
      </c>
      <c r="AD1003" s="15" t="n">
        <v>3</v>
      </c>
      <c r="AE1003" s="11" t="n">
        <v>1.011296296296296</v>
      </c>
      <c r="AF1003" s="16">
        <f>SUMPRODUCT(N1003:Y1003,$N$5:$Y$5)*$K1003*$L1003*$M1003</f>
        <v/>
      </c>
      <c r="AG1003" s="16">
        <f>SUMPRODUCT(N1003:Y1003,$N$6:$Y$6)*$K1003*$L1003*$M1003</f>
        <v/>
      </c>
      <c r="AH1003" s="20" t="n"/>
    </row>
    <row r="1004">
      <c r="A1004" s="9" t="n">
        <v>808666</v>
      </c>
      <c r="B1004" s="9" t="inlineStr">
        <is>
          <t>Eccel Correa</t>
        </is>
      </c>
      <c r="C1004" s="9" t="inlineStr">
        <is>
          <t>BAL</t>
        </is>
      </c>
      <c r="D1004" s="9" t="n">
        <v>25</v>
      </c>
      <c r="E1004" s="18" t="inlineStr">
        <is>
          <t>R</t>
        </is>
      </c>
      <c r="F1004" s="18" t="n"/>
      <c r="G1004" s="9" t="n">
        <v>3.511666666666666</v>
      </c>
      <c r="H1004" s="9" t="n">
        <v>3.511666666666666</v>
      </c>
      <c r="I1004" s="9" t="inlineStr">
        <is>
          <t>Depth (no MLB IP)</t>
        </is>
      </c>
      <c r="J1004" s="18" t="inlineStr">
        <is>
          <t>Opening Day</t>
        </is>
      </c>
      <c r="K1004" s="11">
        <f>IFERROR(INDEX(Roles!$B$17:$B$20,MATCH(J1004,Roles!$A$17:$A$20,0)),1)</f>
        <v/>
      </c>
      <c r="L1004" s="19" t="n">
        <v>1</v>
      </c>
      <c r="M1004" s="11" t="n">
        <v>1</v>
      </c>
      <c r="N1004" s="19" t="n"/>
      <c r="O1004" s="19" t="n"/>
      <c r="P1004" s="19" t="n"/>
      <c r="Q1004" s="19" t="n"/>
      <c r="R1004" s="19" t="n"/>
      <c r="S1004" s="19" t="n"/>
      <c r="T1004" s="19" t="n"/>
      <c r="U1004" s="19" t="n"/>
      <c r="V1004" s="19" t="n"/>
      <c r="W1004" s="19" t="n"/>
      <c r="X1004" s="19" t="n"/>
      <c r="Y1004" s="19" t="n">
        <v>1</v>
      </c>
      <c r="Z1004" s="13">
        <f>SUMPRODUCT(N1004:Y1004,$N$2:$Y$2)*$K1004*$L1004*$M1004</f>
        <v/>
      </c>
      <c r="AA1004" s="14">
        <f>SUM(N1004:Y1004)</f>
        <v/>
      </c>
      <c r="AB1004" s="13">
        <f>SUMPRODUCT(N1004:Y1004,$N$3:$Y$3)*$K1004*$L1004*$M1004</f>
        <v/>
      </c>
      <c r="AC1004" s="13">
        <f>SUMPRODUCT(N1004:Y1004,$N$4:$Y$4)*$K1004*$L1004*$M1004</f>
        <v/>
      </c>
      <c r="AD1004" s="15" t="n">
        <v>3</v>
      </c>
      <c r="AE1004" s="11" t="n">
        <v>1.011296296296296</v>
      </c>
      <c r="AF1004" s="16">
        <f>SUMPRODUCT(N1004:Y1004,$N$5:$Y$5)*$K1004*$L1004*$M1004</f>
        <v/>
      </c>
      <c r="AG1004" s="16">
        <f>SUMPRODUCT(N1004:Y1004,$N$6:$Y$6)*$K1004*$L1004*$M1004</f>
        <v/>
      </c>
      <c r="AH1004" s="20" t="n"/>
    </row>
    <row r="1005">
      <c r="A1005" s="9" t="n">
        <v>679602</v>
      </c>
      <c r="B1005" s="9" t="inlineStr">
        <is>
          <t>Drew Ehrhard</t>
        </is>
      </c>
      <c r="C1005" s="9" t="inlineStr">
        <is>
          <t>BOS</t>
        </is>
      </c>
      <c r="D1005" s="9" t="n">
        <v>25</v>
      </c>
      <c r="E1005" s="18" t="inlineStr">
        <is>
          <t>R</t>
        </is>
      </c>
      <c r="F1005" s="18" t="n"/>
      <c r="G1005" s="9" t="n">
        <v>3.511666666666666</v>
      </c>
      <c r="H1005" s="9" t="n">
        <v>3.511666666666666</v>
      </c>
      <c r="I1005" s="9" t="inlineStr">
        <is>
          <t>Depth (no MLB IP)</t>
        </is>
      </c>
      <c r="J1005" s="18" t="inlineStr">
        <is>
          <t>Opening Day</t>
        </is>
      </c>
      <c r="K1005" s="11">
        <f>IFERROR(INDEX(Roles!$B$17:$B$20,MATCH(J1005,Roles!$A$17:$A$20,0)),1)</f>
        <v/>
      </c>
      <c r="L1005" s="19" t="n">
        <v>1</v>
      </c>
      <c r="M1005" s="11" t="n">
        <v>1</v>
      </c>
      <c r="N1005" s="19" t="n"/>
      <c r="O1005" s="19" t="n"/>
      <c r="P1005" s="19" t="n"/>
      <c r="Q1005" s="19" t="n"/>
      <c r="R1005" s="19" t="n"/>
      <c r="S1005" s="19" t="n"/>
      <c r="T1005" s="19" t="n"/>
      <c r="U1005" s="19" t="n"/>
      <c r="V1005" s="19" t="n"/>
      <c r="W1005" s="19" t="n"/>
      <c r="X1005" s="19" t="n"/>
      <c r="Y1005" s="19" t="n">
        <v>1</v>
      </c>
      <c r="Z1005" s="13">
        <f>SUMPRODUCT(N1005:Y1005,$N$2:$Y$2)*$K1005*$L1005*$M1005</f>
        <v/>
      </c>
      <c r="AA1005" s="14">
        <f>SUM(N1005:Y1005)</f>
        <v/>
      </c>
      <c r="AB1005" s="13">
        <f>SUMPRODUCT(N1005:Y1005,$N$3:$Y$3)*$K1005*$L1005*$M1005</f>
        <v/>
      </c>
      <c r="AC1005" s="13">
        <f>SUMPRODUCT(N1005:Y1005,$N$4:$Y$4)*$K1005*$L1005*$M1005</f>
        <v/>
      </c>
      <c r="AD1005" s="15" t="n">
        <v>3</v>
      </c>
      <c r="AE1005" s="11" t="n">
        <v>1.011296296296296</v>
      </c>
      <c r="AF1005" s="16">
        <f>SUMPRODUCT(N1005:Y1005,$N$5:$Y$5)*$K1005*$L1005*$M1005</f>
        <v/>
      </c>
      <c r="AG1005" s="16">
        <f>SUMPRODUCT(N1005:Y1005,$N$6:$Y$6)*$K1005*$L1005*$M1005</f>
        <v/>
      </c>
      <c r="AH1005" s="20" t="n"/>
    </row>
    <row r="1006">
      <c r="A1006" s="9" t="n">
        <v>828396</v>
      </c>
      <c r="B1006" s="9" t="inlineStr">
        <is>
          <t>Billy Oldham</t>
        </is>
      </c>
      <c r="C1006" s="9" t="inlineStr">
        <is>
          <t>MIN</t>
        </is>
      </c>
      <c r="D1006" s="9" t="n">
        <v>25</v>
      </c>
      <c r="E1006" s="18" t="inlineStr">
        <is>
          <t>R</t>
        </is>
      </c>
      <c r="F1006" s="18" t="n"/>
      <c r="G1006" s="9" t="n">
        <v>3.784</v>
      </c>
      <c r="H1006" s="9" t="n">
        <v>3.784</v>
      </c>
      <c r="I1006" s="9" t="inlineStr">
        <is>
          <t>Depth (no MLB IP)</t>
        </is>
      </c>
      <c r="J1006" s="18" t="inlineStr">
        <is>
          <t>Opening Day</t>
        </is>
      </c>
      <c r="K1006" s="11">
        <f>IFERROR(INDEX(Roles!$B$17:$B$20,MATCH(J1006,Roles!$A$17:$A$20,0)),1)</f>
        <v/>
      </c>
      <c r="L1006" s="19" t="n">
        <v>1</v>
      </c>
      <c r="M1006" s="11" t="n">
        <v>1</v>
      </c>
      <c r="N1006" s="19" t="n"/>
      <c r="O1006" s="19" t="n"/>
      <c r="P1006" s="19" t="n"/>
      <c r="Q1006" s="19" t="n"/>
      <c r="R1006" s="19" t="n"/>
      <c r="S1006" s="19" t="n"/>
      <c r="T1006" s="19" t="n"/>
      <c r="U1006" s="19" t="n"/>
      <c r="V1006" s="19" t="n"/>
      <c r="W1006" s="19" t="n"/>
      <c r="X1006" s="19" t="n"/>
      <c r="Y1006" s="19" t="n">
        <v>1</v>
      </c>
      <c r="Z1006" s="13">
        <f>SUMPRODUCT(N1006:Y1006,$N$2:$Y$2)*$K1006*$L1006*$M1006</f>
        <v/>
      </c>
      <c r="AA1006" s="14">
        <f>SUM(N1006:Y1006)</f>
        <v/>
      </c>
      <c r="AB1006" s="13">
        <f>SUMPRODUCT(N1006:Y1006,$N$3:$Y$3)*$K1006*$L1006*$M1006</f>
        <v/>
      </c>
      <c r="AC1006" s="13">
        <f>SUMPRODUCT(N1006:Y1006,$N$4:$Y$4)*$K1006*$L1006*$M1006</f>
        <v/>
      </c>
      <c r="AD1006" s="15" t="n">
        <v>3</v>
      </c>
      <c r="AE1006" s="11" t="n">
        <v>1.011296296296296</v>
      </c>
      <c r="AF1006" s="16">
        <f>SUMPRODUCT(N1006:Y1006,$N$5:$Y$5)*$K1006*$L1006*$M1006</f>
        <v/>
      </c>
      <c r="AG1006" s="16">
        <f>SUMPRODUCT(N1006:Y1006,$N$6:$Y$6)*$K1006*$L1006*$M1006</f>
        <v/>
      </c>
      <c r="AH1006" s="20" t="n"/>
    </row>
    <row r="1007">
      <c r="A1007" s="9" t="n">
        <v>689577</v>
      </c>
      <c r="B1007" s="9" t="inlineStr">
        <is>
          <t>Aaron Antonini</t>
        </is>
      </c>
      <c r="C1007" s="9" t="inlineStr">
        <is>
          <t>DET</t>
        </is>
      </c>
      <c r="D1007" s="9" t="n">
        <v>25</v>
      </c>
      <c r="E1007" s="18" t="inlineStr">
        <is>
          <t>R</t>
        </is>
      </c>
      <c r="F1007" s="18" t="n"/>
      <c r="G1007" s="9" t="n">
        <v>3.511666666666666</v>
      </c>
      <c r="H1007" s="9" t="n">
        <v>3.511666666666666</v>
      </c>
      <c r="I1007" s="9" t="inlineStr">
        <is>
          <t>Depth (no MLB IP)</t>
        </is>
      </c>
      <c r="J1007" s="18" t="inlineStr">
        <is>
          <t>Opening Day</t>
        </is>
      </c>
      <c r="K1007" s="11">
        <f>IFERROR(INDEX(Roles!$B$17:$B$20,MATCH(J1007,Roles!$A$17:$A$20,0)),1)</f>
        <v/>
      </c>
      <c r="L1007" s="19" t="n">
        <v>1</v>
      </c>
      <c r="M1007" s="11" t="n">
        <v>1</v>
      </c>
      <c r="N1007" s="19" t="n"/>
      <c r="O1007" s="19" t="n"/>
      <c r="P1007" s="19" t="n"/>
      <c r="Q1007" s="19" t="n"/>
      <c r="R1007" s="19" t="n"/>
      <c r="S1007" s="19" t="n"/>
      <c r="T1007" s="19" t="n"/>
      <c r="U1007" s="19" t="n"/>
      <c r="V1007" s="19" t="n"/>
      <c r="W1007" s="19" t="n"/>
      <c r="X1007" s="19" t="n"/>
      <c r="Y1007" s="19" t="n">
        <v>1</v>
      </c>
      <c r="Z1007" s="13">
        <f>SUMPRODUCT(N1007:Y1007,$N$2:$Y$2)*$K1007*$L1007*$M1007</f>
        <v/>
      </c>
      <c r="AA1007" s="14">
        <f>SUM(N1007:Y1007)</f>
        <v/>
      </c>
      <c r="AB1007" s="13">
        <f>SUMPRODUCT(N1007:Y1007,$N$3:$Y$3)*$K1007*$L1007*$M1007</f>
        <v/>
      </c>
      <c r="AC1007" s="13">
        <f>SUMPRODUCT(N1007:Y1007,$N$4:$Y$4)*$K1007*$L1007*$M1007</f>
        <v/>
      </c>
      <c r="AD1007" s="15" t="n">
        <v>3</v>
      </c>
      <c r="AE1007" s="11" t="n">
        <v>1.011296296296296</v>
      </c>
      <c r="AF1007" s="16">
        <f>SUMPRODUCT(N1007:Y1007,$N$5:$Y$5)*$K1007*$L1007*$M1007</f>
        <v/>
      </c>
      <c r="AG1007" s="16">
        <f>SUMPRODUCT(N1007:Y1007,$N$6:$Y$6)*$K1007*$L1007*$M1007</f>
        <v/>
      </c>
      <c r="AH1007" s="20" t="n"/>
    </row>
    <row r="1008">
      <c r="A1008" s="9" t="n">
        <v>827734</v>
      </c>
      <c r="B1008" s="9" t="inlineStr">
        <is>
          <t>Wei-En Lin</t>
        </is>
      </c>
      <c r="C1008" s="9" t="inlineStr">
        <is>
          <t>OAK</t>
        </is>
      </c>
      <c r="D1008" s="9" t="n">
        <v>22</v>
      </c>
      <c r="E1008" s="18" t="inlineStr">
        <is>
          <t>L</t>
        </is>
      </c>
      <c r="F1008" s="18" t="n"/>
      <c r="G1008" s="9" t="n">
        <v>3.941666666666667</v>
      </c>
      <c r="H1008" s="9" t="n">
        <v>3.941666666666667</v>
      </c>
      <c r="I1008" s="9" t="inlineStr">
        <is>
          <t>Depth (no MLB IP)</t>
        </is>
      </c>
      <c r="J1008" s="18" t="inlineStr">
        <is>
          <t>Opening Day</t>
        </is>
      </c>
      <c r="K1008" s="11">
        <f>IFERROR(INDEX(Roles!$B$17:$B$20,MATCH(J1008,Roles!$A$17:$A$20,0)),1)</f>
        <v/>
      </c>
      <c r="L1008" s="19" t="n">
        <v>1</v>
      </c>
      <c r="M1008" s="11" t="n">
        <v>1</v>
      </c>
      <c r="N1008" s="19" t="n"/>
      <c r="O1008" s="19" t="n"/>
      <c r="P1008" s="19" t="n"/>
      <c r="Q1008" s="19" t="n"/>
      <c r="R1008" s="19" t="n"/>
      <c r="S1008" s="19" t="n"/>
      <c r="T1008" s="19" t="n"/>
      <c r="U1008" s="19" t="n"/>
      <c r="V1008" s="19" t="n"/>
      <c r="W1008" s="19" t="n"/>
      <c r="X1008" s="19" t="n"/>
      <c r="Y1008" s="19" t="n">
        <v>1</v>
      </c>
      <c r="Z1008" s="13">
        <f>SUMPRODUCT(N1008:Y1008,$N$2:$Y$2)*$K1008*$L1008*$M1008</f>
        <v/>
      </c>
      <c r="AA1008" s="14">
        <f>SUM(N1008:Y1008)</f>
        <v/>
      </c>
      <c r="AB1008" s="13">
        <f>SUMPRODUCT(N1008:Y1008,$N$3:$Y$3)*$K1008*$L1008*$M1008</f>
        <v/>
      </c>
      <c r="AC1008" s="13">
        <f>SUMPRODUCT(N1008:Y1008,$N$4:$Y$4)*$K1008*$L1008*$M1008</f>
        <v/>
      </c>
      <c r="AD1008" s="15" t="n">
        <v>3</v>
      </c>
      <c r="AE1008" s="11" t="n">
        <v>1.011296296296296</v>
      </c>
      <c r="AF1008" s="16">
        <f>SUMPRODUCT(N1008:Y1008,$N$5:$Y$5)*$K1008*$L1008*$M1008</f>
        <v/>
      </c>
      <c r="AG1008" s="16">
        <f>SUMPRODUCT(N1008:Y1008,$N$6:$Y$6)*$K1008*$L1008*$M1008</f>
        <v/>
      </c>
      <c r="AH1008" s="20" t="n"/>
    </row>
    <row r="1009">
      <c r="A1009" s="9" t="n">
        <v>689713</v>
      </c>
      <c r="B1009" s="9" t="inlineStr">
        <is>
          <t>Jack Hartman</t>
        </is>
      </c>
      <c r="C1009" s="9" t="inlineStr">
        <is>
          <t>TB</t>
        </is>
      </c>
      <c r="D1009" s="9" t="n">
        <v>25</v>
      </c>
      <c r="E1009" s="18" t="inlineStr">
        <is>
          <t>R</t>
        </is>
      </c>
      <c r="F1009" s="18" t="n"/>
      <c r="G1009" s="9" t="n">
        <v>4.013333333333333</v>
      </c>
      <c r="H1009" s="9" t="n">
        <v>4.013333333333333</v>
      </c>
      <c r="I1009" s="9" t="inlineStr">
        <is>
          <t>Depth (no MLB IP)</t>
        </is>
      </c>
      <c r="J1009" s="18" t="inlineStr">
        <is>
          <t>Opening Day</t>
        </is>
      </c>
      <c r="K1009" s="11">
        <f>IFERROR(INDEX(Roles!$B$17:$B$20,MATCH(J1009,Roles!$A$17:$A$20,0)),1)</f>
        <v/>
      </c>
      <c r="L1009" s="19" t="n">
        <v>1</v>
      </c>
      <c r="M1009" s="11" t="n">
        <v>1</v>
      </c>
      <c r="N1009" s="19" t="n"/>
      <c r="O1009" s="19" t="n"/>
      <c r="P1009" s="19" t="n"/>
      <c r="Q1009" s="19" t="n"/>
      <c r="R1009" s="19" t="n"/>
      <c r="S1009" s="19" t="n"/>
      <c r="T1009" s="19" t="n"/>
      <c r="U1009" s="19" t="n"/>
      <c r="V1009" s="19" t="n"/>
      <c r="W1009" s="19" t="n"/>
      <c r="X1009" s="19" t="n"/>
      <c r="Y1009" s="19" t="n">
        <v>1</v>
      </c>
      <c r="Z1009" s="13">
        <f>SUMPRODUCT(N1009:Y1009,$N$2:$Y$2)*$K1009*$L1009*$M1009</f>
        <v/>
      </c>
      <c r="AA1009" s="14">
        <f>SUM(N1009:Y1009)</f>
        <v/>
      </c>
      <c r="AB1009" s="13">
        <f>SUMPRODUCT(N1009:Y1009,$N$3:$Y$3)*$K1009*$L1009*$M1009</f>
        <v/>
      </c>
      <c r="AC1009" s="13">
        <f>SUMPRODUCT(N1009:Y1009,$N$4:$Y$4)*$K1009*$L1009*$M1009</f>
        <v/>
      </c>
      <c r="AD1009" s="15" t="n">
        <v>3</v>
      </c>
      <c r="AE1009" s="11" t="n">
        <v>1.011296296296296</v>
      </c>
      <c r="AF1009" s="16">
        <f>SUMPRODUCT(N1009:Y1009,$N$5:$Y$5)*$K1009*$L1009*$M1009</f>
        <v/>
      </c>
      <c r="AG1009" s="16">
        <f>SUMPRODUCT(N1009:Y1009,$N$6:$Y$6)*$K1009*$L1009*$M1009</f>
        <v/>
      </c>
      <c r="AH1009" s="20" t="n"/>
    </row>
    <row r="1010">
      <c r="A1010" s="9" t="n">
        <v>694761</v>
      </c>
      <c r="B1010" s="9" t="inlineStr">
        <is>
          <t>Tommy Vail</t>
        </is>
      </c>
      <c r="C1010" s="9" t="inlineStr">
        <is>
          <t>CWS</t>
        </is>
      </c>
      <c r="D1010" s="9" t="n">
        <v>25</v>
      </c>
      <c r="E1010" s="18" t="inlineStr">
        <is>
          <t>L</t>
        </is>
      </c>
      <c r="F1010" s="18" t="n"/>
      <c r="G1010" s="9" t="n">
        <v>3.941666666666667</v>
      </c>
      <c r="H1010" s="9" t="n">
        <v>3.941666666666667</v>
      </c>
      <c r="I1010" s="9" t="inlineStr">
        <is>
          <t>Depth (no MLB IP)</t>
        </is>
      </c>
      <c r="J1010" s="18" t="inlineStr">
        <is>
          <t>Opening Day</t>
        </is>
      </c>
      <c r="K1010" s="11">
        <f>IFERROR(INDEX(Roles!$B$17:$B$20,MATCH(J1010,Roles!$A$17:$A$20,0)),1)</f>
        <v/>
      </c>
      <c r="L1010" s="19" t="n">
        <v>1</v>
      </c>
      <c r="M1010" s="11" t="n">
        <v>1</v>
      </c>
      <c r="N1010" s="19" t="n"/>
      <c r="O1010" s="19" t="n"/>
      <c r="P1010" s="19" t="n"/>
      <c r="Q1010" s="19" t="n"/>
      <c r="R1010" s="19" t="n"/>
      <c r="S1010" s="19" t="n"/>
      <c r="T1010" s="19" t="n"/>
      <c r="U1010" s="19" t="n"/>
      <c r="V1010" s="19" t="n"/>
      <c r="W1010" s="19" t="n"/>
      <c r="X1010" s="19" t="n"/>
      <c r="Y1010" s="19" t="n">
        <v>1</v>
      </c>
      <c r="Z1010" s="13">
        <f>SUMPRODUCT(N1010:Y1010,$N$2:$Y$2)*$K1010*$L1010*$M1010</f>
        <v/>
      </c>
      <c r="AA1010" s="14">
        <f>SUM(N1010:Y1010)</f>
        <v/>
      </c>
      <c r="AB1010" s="13">
        <f>SUMPRODUCT(N1010:Y1010,$N$3:$Y$3)*$K1010*$L1010*$M1010</f>
        <v/>
      </c>
      <c r="AC1010" s="13">
        <f>SUMPRODUCT(N1010:Y1010,$N$4:$Y$4)*$K1010*$L1010*$M1010</f>
        <v/>
      </c>
      <c r="AD1010" s="15" t="n">
        <v>3</v>
      </c>
      <c r="AE1010" s="11" t="n">
        <v>1.011296296296296</v>
      </c>
      <c r="AF1010" s="16">
        <f>SUMPRODUCT(N1010:Y1010,$N$5:$Y$5)*$K1010*$L1010*$M1010</f>
        <v/>
      </c>
      <c r="AG1010" s="16">
        <f>SUMPRODUCT(N1010:Y1010,$N$6:$Y$6)*$K1010*$L1010*$M1010</f>
        <v/>
      </c>
      <c r="AH1010" s="20" t="n"/>
    </row>
    <row r="1011">
      <c r="A1011" s="9" t="n">
        <v>678232</v>
      </c>
      <c r="B1011" s="9" t="inlineStr">
        <is>
          <t>Jesus Valdez</t>
        </is>
      </c>
      <c r="C1011" s="9" t="inlineStr">
        <is>
          <t>ARI</t>
        </is>
      </c>
      <c r="D1011" s="9" t="n">
        <v>25</v>
      </c>
      <c r="E1011" s="18" t="inlineStr">
        <is>
          <t>R</t>
        </is>
      </c>
      <c r="F1011" s="18" t="n"/>
      <c r="G1011" s="9" t="n">
        <v>3.511666666666666</v>
      </c>
      <c r="H1011" s="9" t="n">
        <v>3.511666666666666</v>
      </c>
      <c r="I1011" s="9" t="inlineStr">
        <is>
          <t>Depth (no MLB IP)</t>
        </is>
      </c>
      <c r="J1011" s="18" t="inlineStr">
        <is>
          <t>Opening Day</t>
        </is>
      </c>
      <c r="K1011" s="11">
        <f>IFERROR(INDEX(Roles!$B$17:$B$20,MATCH(J1011,Roles!$A$17:$A$20,0)),1)</f>
        <v/>
      </c>
      <c r="L1011" s="19" t="n">
        <v>1</v>
      </c>
      <c r="M1011" s="11" t="n">
        <v>1</v>
      </c>
      <c r="N1011" s="19" t="n"/>
      <c r="O1011" s="19" t="n"/>
      <c r="P1011" s="19" t="n"/>
      <c r="Q1011" s="19" t="n"/>
      <c r="R1011" s="19" t="n"/>
      <c r="S1011" s="19" t="n"/>
      <c r="T1011" s="19" t="n"/>
      <c r="U1011" s="19" t="n"/>
      <c r="V1011" s="19" t="n"/>
      <c r="W1011" s="19" t="n"/>
      <c r="X1011" s="19" t="n"/>
      <c r="Y1011" s="19" t="n">
        <v>1</v>
      </c>
      <c r="Z1011" s="13">
        <f>SUMPRODUCT(N1011:Y1011,$N$2:$Y$2)*$K1011*$L1011*$M1011</f>
        <v/>
      </c>
      <c r="AA1011" s="14">
        <f>SUM(N1011:Y1011)</f>
        <v/>
      </c>
      <c r="AB1011" s="13">
        <f>SUMPRODUCT(N1011:Y1011,$N$3:$Y$3)*$K1011*$L1011*$M1011</f>
        <v/>
      </c>
      <c r="AC1011" s="13">
        <f>SUMPRODUCT(N1011:Y1011,$N$4:$Y$4)*$K1011*$L1011*$M1011</f>
        <v/>
      </c>
      <c r="AD1011" s="15" t="n">
        <v>3</v>
      </c>
      <c r="AE1011" s="11" t="n">
        <v>1.011296296296296</v>
      </c>
      <c r="AF1011" s="16">
        <f>SUMPRODUCT(N1011:Y1011,$N$5:$Y$5)*$K1011*$L1011*$M1011</f>
        <v/>
      </c>
      <c r="AG1011" s="16">
        <f>SUMPRODUCT(N1011:Y1011,$N$6:$Y$6)*$K1011*$L1011*$M1011</f>
        <v/>
      </c>
      <c r="AH1011" s="20" t="n"/>
    </row>
    <row r="1012">
      <c r="A1012" s="9" t="n">
        <v>699157</v>
      </c>
      <c r="B1012" s="9" t="inlineStr">
        <is>
          <t>Ahbram Liendo</t>
        </is>
      </c>
      <c r="C1012" s="9" t="inlineStr">
        <is>
          <t>BOS</t>
        </is>
      </c>
      <c r="D1012" s="9" t="n">
        <v>25</v>
      </c>
      <c r="E1012" s="18" t="inlineStr">
        <is>
          <t>R</t>
        </is>
      </c>
      <c r="F1012" s="18" t="n"/>
      <c r="G1012" s="9" t="n">
        <v>3.511666666666666</v>
      </c>
      <c r="H1012" s="9" t="n">
        <v>3.511666666666666</v>
      </c>
      <c r="I1012" s="9" t="inlineStr">
        <is>
          <t>Depth (no MLB IP)</t>
        </is>
      </c>
      <c r="J1012" s="18" t="inlineStr">
        <is>
          <t>Opening Day</t>
        </is>
      </c>
      <c r="K1012" s="11">
        <f>IFERROR(INDEX(Roles!$B$17:$B$20,MATCH(J1012,Roles!$A$17:$A$20,0)),1)</f>
        <v/>
      </c>
      <c r="L1012" s="19" t="n">
        <v>1</v>
      </c>
      <c r="M1012" s="11" t="n">
        <v>1</v>
      </c>
      <c r="N1012" s="19" t="n"/>
      <c r="O1012" s="19" t="n"/>
      <c r="P1012" s="19" t="n"/>
      <c r="Q1012" s="19" t="n"/>
      <c r="R1012" s="19" t="n"/>
      <c r="S1012" s="19" t="n"/>
      <c r="T1012" s="19" t="n"/>
      <c r="U1012" s="19" t="n"/>
      <c r="V1012" s="19" t="n"/>
      <c r="W1012" s="19" t="n"/>
      <c r="X1012" s="19" t="n"/>
      <c r="Y1012" s="19" t="n">
        <v>1</v>
      </c>
      <c r="Z1012" s="13">
        <f>SUMPRODUCT(N1012:Y1012,$N$2:$Y$2)*$K1012*$L1012*$M1012</f>
        <v/>
      </c>
      <c r="AA1012" s="14">
        <f>SUM(N1012:Y1012)</f>
        <v/>
      </c>
      <c r="AB1012" s="13">
        <f>SUMPRODUCT(N1012:Y1012,$N$3:$Y$3)*$K1012*$L1012*$M1012</f>
        <v/>
      </c>
      <c r="AC1012" s="13">
        <f>SUMPRODUCT(N1012:Y1012,$N$4:$Y$4)*$K1012*$L1012*$M1012</f>
        <v/>
      </c>
      <c r="AD1012" s="15" t="n">
        <v>3</v>
      </c>
      <c r="AE1012" s="11" t="n">
        <v>1.011296296296296</v>
      </c>
      <c r="AF1012" s="16">
        <f>SUMPRODUCT(N1012:Y1012,$N$5:$Y$5)*$K1012*$L1012*$M1012</f>
        <v/>
      </c>
      <c r="AG1012" s="16">
        <f>SUMPRODUCT(N1012:Y1012,$N$6:$Y$6)*$K1012*$L1012*$M1012</f>
        <v/>
      </c>
      <c r="AH1012" s="20" t="n"/>
    </row>
    <row r="1013">
      <c r="A1013" s="9" t="n">
        <v>807819</v>
      </c>
      <c r="B1013" s="9" t="inlineStr">
        <is>
          <t>Joel Garcia</t>
        </is>
      </c>
      <c r="C1013" s="9" t="inlineStr">
        <is>
          <t>MIN</t>
        </is>
      </c>
      <c r="D1013" s="9" t="n">
        <v>25</v>
      </c>
      <c r="E1013" s="18" t="inlineStr">
        <is>
          <t>R</t>
        </is>
      </c>
      <c r="F1013" s="18" t="n"/>
      <c r="G1013" s="9" t="n">
        <v>3.784</v>
      </c>
      <c r="H1013" s="9" t="n">
        <v>3.784</v>
      </c>
      <c r="I1013" s="9" t="inlineStr">
        <is>
          <t>Depth (no MLB IP)</t>
        </is>
      </c>
      <c r="J1013" s="18" t="inlineStr">
        <is>
          <t>Opening Day</t>
        </is>
      </c>
      <c r="K1013" s="11">
        <f>IFERROR(INDEX(Roles!$B$17:$B$20,MATCH(J1013,Roles!$A$17:$A$20,0)),1)</f>
        <v/>
      </c>
      <c r="L1013" s="19" t="n">
        <v>1</v>
      </c>
      <c r="M1013" s="11" t="n">
        <v>1</v>
      </c>
      <c r="N1013" s="19" t="n"/>
      <c r="O1013" s="19" t="n"/>
      <c r="P1013" s="19" t="n"/>
      <c r="Q1013" s="19" t="n"/>
      <c r="R1013" s="19" t="n"/>
      <c r="S1013" s="19" t="n"/>
      <c r="T1013" s="19" t="n"/>
      <c r="U1013" s="19" t="n"/>
      <c r="V1013" s="19" t="n"/>
      <c r="W1013" s="19" t="n"/>
      <c r="X1013" s="19" t="n"/>
      <c r="Y1013" s="19" t="n">
        <v>1</v>
      </c>
      <c r="Z1013" s="13">
        <f>SUMPRODUCT(N1013:Y1013,$N$2:$Y$2)*$K1013*$L1013*$M1013</f>
        <v/>
      </c>
      <c r="AA1013" s="14">
        <f>SUM(N1013:Y1013)</f>
        <v/>
      </c>
      <c r="AB1013" s="13">
        <f>SUMPRODUCT(N1013:Y1013,$N$3:$Y$3)*$K1013*$L1013*$M1013</f>
        <v/>
      </c>
      <c r="AC1013" s="13">
        <f>SUMPRODUCT(N1013:Y1013,$N$4:$Y$4)*$K1013*$L1013*$M1013</f>
        <v/>
      </c>
      <c r="AD1013" s="15" t="n">
        <v>3</v>
      </c>
      <c r="AE1013" s="11" t="n">
        <v>1.011296296296296</v>
      </c>
      <c r="AF1013" s="16">
        <f>SUMPRODUCT(N1013:Y1013,$N$5:$Y$5)*$K1013*$L1013*$M1013</f>
        <v/>
      </c>
      <c r="AG1013" s="16">
        <f>SUMPRODUCT(N1013:Y1013,$N$6:$Y$6)*$K1013*$L1013*$M1013</f>
        <v/>
      </c>
      <c r="AH1013" s="20" t="n"/>
    </row>
    <row r="1014">
      <c r="A1014" s="9" t="n">
        <v>808222</v>
      </c>
      <c r="B1014" s="9" t="inlineStr">
        <is>
          <t>Jesus Flores</t>
        </is>
      </c>
      <c r="C1014" s="9" t="inlineStr">
        <is>
          <t>MIL</t>
        </is>
      </c>
      <c r="D1014" s="9" t="n">
        <v>25</v>
      </c>
      <c r="E1014" s="18" t="inlineStr">
        <is>
          <t>R</t>
        </is>
      </c>
      <c r="F1014" s="18" t="n"/>
      <c r="G1014" s="9" t="n">
        <v>4.013333333333334</v>
      </c>
      <c r="H1014" s="9" t="n">
        <v>4.013333333333334</v>
      </c>
      <c r="I1014" s="9" t="inlineStr">
        <is>
          <t>Depth (no MLB IP)</t>
        </is>
      </c>
      <c r="J1014" s="18" t="inlineStr">
        <is>
          <t>Opening Day</t>
        </is>
      </c>
      <c r="K1014" s="11">
        <f>IFERROR(INDEX(Roles!$B$17:$B$20,MATCH(J1014,Roles!$A$17:$A$20,0)),1)</f>
        <v/>
      </c>
      <c r="L1014" s="19" t="n">
        <v>1</v>
      </c>
      <c r="M1014" s="11" t="n">
        <v>1</v>
      </c>
      <c r="N1014" s="19" t="n"/>
      <c r="O1014" s="19" t="n"/>
      <c r="P1014" s="19" t="n"/>
      <c r="Q1014" s="19" t="n"/>
      <c r="R1014" s="19" t="n"/>
      <c r="S1014" s="19" t="n"/>
      <c r="T1014" s="19" t="n"/>
      <c r="U1014" s="19" t="n"/>
      <c r="V1014" s="19" t="n"/>
      <c r="W1014" s="19" t="n"/>
      <c r="X1014" s="19" t="n"/>
      <c r="Y1014" s="19" t="n">
        <v>1</v>
      </c>
      <c r="Z1014" s="13">
        <f>SUMPRODUCT(N1014:Y1014,$N$2:$Y$2)*$K1014*$L1014*$M1014</f>
        <v/>
      </c>
      <c r="AA1014" s="14">
        <f>SUM(N1014:Y1014)</f>
        <v/>
      </c>
      <c r="AB1014" s="13">
        <f>SUMPRODUCT(N1014:Y1014,$N$3:$Y$3)*$K1014*$L1014*$M1014</f>
        <v/>
      </c>
      <c r="AC1014" s="13">
        <f>SUMPRODUCT(N1014:Y1014,$N$4:$Y$4)*$K1014*$L1014*$M1014</f>
        <v/>
      </c>
      <c r="AD1014" s="15" t="n">
        <v>3</v>
      </c>
      <c r="AE1014" s="11" t="n">
        <v>1.011296296296296</v>
      </c>
      <c r="AF1014" s="16">
        <f>SUMPRODUCT(N1014:Y1014,$N$5:$Y$5)*$K1014*$L1014*$M1014</f>
        <v/>
      </c>
      <c r="AG1014" s="16">
        <f>SUMPRODUCT(N1014:Y1014,$N$6:$Y$6)*$K1014*$L1014*$M1014</f>
        <v/>
      </c>
      <c r="AH1014" s="20" t="n"/>
    </row>
    <row r="1015">
      <c r="A1015" s="9" t="n">
        <v>808366</v>
      </c>
      <c r="B1015" s="9" t="inlineStr">
        <is>
          <t>Jose Bello</t>
        </is>
      </c>
      <c r="C1015" s="9" t="inlineStr">
        <is>
          <t>BOS</t>
        </is>
      </c>
      <c r="D1015" s="9" t="n">
        <v>25</v>
      </c>
      <c r="E1015" s="18" t="inlineStr">
        <is>
          <t>R</t>
        </is>
      </c>
      <c r="F1015" s="18" t="n"/>
      <c r="G1015" s="9" t="n">
        <v>3.726666666666667</v>
      </c>
      <c r="H1015" s="9" t="n">
        <v>3.726666666666667</v>
      </c>
      <c r="I1015" s="9" t="inlineStr">
        <is>
          <t>Depth (no MLB IP)</t>
        </is>
      </c>
      <c r="J1015" s="18" t="inlineStr">
        <is>
          <t>Opening Day</t>
        </is>
      </c>
      <c r="K1015" s="11">
        <f>IFERROR(INDEX(Roles!$B$17:$B$20,MATCH(J1015,Roles!$A$17:$A$20,0)),1)</f>
        <v/>
      </c>
      <c r="L1015" s="19" t="n">
        <v>1</v>
      </c>
      <c r="M1015" s="11" t="n">
        <v>1</v>
      </c>
      <c r="N1015" s="19" t="n"/>
      <c r="O1015" s="19" t="n"/>
      <c r="P1015" s="19" t="n"/>
      <c r="Q1015" s="19" t="n"/>
      <c r="R1015" s="19" t="n"/>
      <c r="S1015" s="19" t="n"/>
      <c r="T1015" s="19" t="n"/>
      <c r="U1015" s="19" t="n"/>
      <c r="V1015" s="19" t="n"/>
      <c r="W1015" s="19" t="n"/>
      <c r="X1015" s="19" t="n"/>
      <c r="Y1015" s="19" t="n">
        <v>1</v>
      </c>
      <c r="Z1015" s="13">
        <f>SUMPRODUCT(N1015:Y1015,$N$2:$Y$2)*$K1015*$L1015*$M1015</f>
        <v/>
      </c>
      <c r="AA1015" s="14">
        <f>SUM(N1015:Y1015)</f>
        <v/>
      </c>
      <c r="AB1015" s="13">
        <f>SUMPRODUCT(N1015:Y1015,$N$3:$Y$3)*$K1015*$L1015*$M1015</f>
        <v/>
      </c>
      <c r="AC1015" s="13">
        <f>SUMPRODUCT(N1015:Y1015,$N$4:$Y$4)*$K1015*$L1015*$M1015</f>
        <v/>
      </c>
      <c r="AD1015" s="15" t="n">
        <v>3</v>
      </c>
      <c r="AE1015" s="11" t="n">
        <v>1.011296296296296</v>
      </c>
      <c r="AF1015" s="16">
        <f>SUMPRODUCT(N1015:Y1015,$N$5:$Y$5)*$K1015*$L1015*$M1015</f>
        <v/>
      </c>
      <c r="AG1015" s="16">
        <f>SUMPRODUCT(N1015:Y1015,$N$6:$Y$6)*$K1015*$L1015*$M1015</f>
        <v/>
      </c>
      <c r="AH1015" s="20" t="n"/>
    </row>
    <row r="1016">
      <c r="A1016" s="9" t="n">
        <v>806163</v>
      </c>
      <c r="B1016" s="9" t="inlineStr">
        <is>
          <t>Chase Meyer</t>
        </is>
      </c>
      <c r="C1016" s="9" t="inlineStr">
        <is>
          <t>CHC</t>
        </is>
      </c>
      <c r="D1016" s="9" t="n">
        <v>25</v>
      </c>
      <c r="E1016" s="18" t="inlineStr">
        <is>
          <t>R</t>
        </is>
      </c>
      <c r="F1016" s="18" t="n"/>
      <c r="G1016" s="9" t="n">
        <v>3.784</v>
      </c>
      <c r="H1016" s="9" t="n">
        <v>3.784</v>
      </c>
      <c r="I1016" s="9" t="inlineStr">
        <is>
          <t>Depth (no MLB IP)</t>
        </is>
      </c>
      <c r="J1016" s="18" t="inlineStr">
        <is>
          <t>Opening Day</t>
        </is>
      </c>
      <c r="K1016" s="11">
        <f>IFERROR(INDEX(Roles!$B$17:$B$20,MATCH(J1016,Roles!$A$17:$A$20,0)),1)</f>
        <v/>
      </c>
      <c r="L1016" s="19" t="n">
        <v>1</v>
      </c>
      <c r="M1016" s="11" t="n">
        <v>1</v>
      </c>
      <c r="N1016" s="19" t="n"/>
      <c r="O1016" s="19" t="n"/>
      <c r="P1016" s="19" t="n"/>
      <c r="Q1016" s="19" t="n"/>
      <c r="R1016" s="19" t="n"/>
      <c r="S1016" s="19" t="n"/>
      <c r="T1016" s="19" t="n"/>
      <c r="U1016" s="19" t="n"/>
      <c r="V1016" s="19" t="n"/>
      <c r="W1016" s="19" t="n"/>
      <c r="X1016" s="19" t="n"/>
      <c r="Y1016" s="19" t="n">
        <v>1</v>
      </c>
      <c r="Z1016" s="13">
        <f>SUMPRODUCT(N1016:Y1016,$N$2:$Y$2)*$K1016*$L1016*$M1016</f>
        <v/>
      </c>
      <c r="AA1016" s="14">
        <f>SUM(N1016:Y1016)</f>
        <v/>
      </c>
      <c r="AB1016" s="13">
        <f>SUMPRODUCT(N1016:Y1016,$N$3:$Y$3)*$K1016*$L1016*$M1016</f>
        <v/>
      </c>
      <c r="AC1016" s="13">
        <f>SUMPRODUCT(N1016:Y1016,$N$4:$Y$4)*$K1016*$L1016*$M1016</f>
        <v/>
      </c>
      <c r="AD1016" s="15" t="n">
        <v>3</v>
      </c>
      <c r="AE1016" s="11" t="n">
        <v>1.011296296296296</v>
      </c>
      <c r="AF1016" s="16">
        <f>SUMPRODUCT(N1016:Y1016,$N$5:$Y$5)*$K1016*$L1016*$M1016</f>
        <v/>
      </c>
      <c r="AG1016" s="16">
        <f>SUMPRODUCT(N1016:Y1016,$N$6:$Y$6)*$K1016*$L1016*$M1016</f>
        <v/>
      </c>
      <c r="AH1016" s="20" t="n"/>
    </row>
    <row r="1017">
      <c r="A1017" s="9" t="n">
        <v>806642</v>
      </c>
      <c r="B1017" s="9" t="inlineStr">
        <is>
          <t>Ramon Suarez</t>
        </is>
      </c>
      <c r="C1017" s="9" t="inlineStr">
        <is>
          <t>TOR</t>
        </is>
      </c>
      <c r="D1017" s="9" t="n">
        <v>25</v>
      </c>
      <c r="E1017" s="18" t="inlineStr">
        <is>
          <t>L</t>
        </is>
      </c>
      <c r="F1017" s="18" t="n"/>
      <c r="G1017" s="9" t="n">
        <v>3.784</v>
      </c>
      <c r="H1017" s="9" t="n">
        <v>3.784</v>
      </c>
      <c r="I1017" s="9" t="inlineStr">
        <is>
          <t>Depth (no MLB IP)</t>
        </is>
      </c>
      <c r="J1017" s="18" t="inlineStr">
        <is>
          <t>Opening Day</t>
        </is>
      </c>
      <c r="K1017" s="11">
        <f>IFERROR(INDEX(Roles!$B$17:$B$20,MATCH(J1017,Roles!$A$17:$A$20,0)),1)</f>
        <v/>
      </c>
      <c r="L1017" s="19" t="n">
        <v>1</v>
      </c>
      <c r="M1017" s="11" t="n">
        <v>1</v>
      </c>
      <c r="N1017" s="19" t="n"/>
      <c r="O1017" s="19" t="n"/>
      <c r="P1017" s="19" t="n"/>
      <c r="Q1017" s="19" t="n"/>
      <c r="R1017" s="19" t="n"/>
      <c r="S1017" s="19" t="n"/>
      <c r="T1017" s="19" t="n"/>
      <c r="U1017" s="19" t="n"/>
      <c r="V1017" s="19" t="n"/>
      <c r="W1017" s="19" t="n"/>
      <c r="X1017" s="19" t="n"/>
      <c r="Y1017" s="19" t="n">
        <v>1</v>
      </c>
      <c r="Z1017" s="13">
        <f>SUMPRODUCT(N1017:Y1017,$N$2:$Y$2)*$K1017*$L1017*$M1017</f>
        <v/>
      </c>
      <c r="AA1017" s="14">
        <f>SUM(N1017:Y1017)</f>
        <v/>
      </c>
      <c r="AB1017" s="13">
        <f>SUMPRODUCT(N1017:Y1017,$N$3:$Y$3)*$K1017*$L1017*$M1017</f>
        <v/>
      </c>
      <c r="AC1017" s="13">
        <f>SUMPRODUCT(N1017:Y1017,$N$4:$Y$4)*$K1017*$L1017*$M1017</f>
        <v/>
      </c>
      <c r="AD1017" s="15" t="n">
        <v>3</v>
      </c>
      <c r="AE1017" s="11" t="n">
        <v>1.011296296296296</v>
      </c>
      <c r="AF1017" s="16">
        <f>SUMPRODUCT(N1017:Y1017,$N$5:$Y$5)*$K1017*$L1017*$M1017</f>
        <v/>
      </c>
      <c r="AG1017" s="16">
        <f>SUMPRODUCT(N1017:Y1017,$N$6:$Y$6)*$K1017*$L1017*$M1017</f>
        <v/>
      </c>
      <c r="AH1017" s="20" t="n"/>
    </row>
    <row r="1018">
      <c r="A1018" s="9" t="n">
        <v>683179</v>
      </c>
      <c r="B1018" s="9" t="inlineStr">
        <is>
          <t>Jacob Widener</t>
        </is>
      </c>
      <c r="C1018" s="9" t="inlineStr">
        <is>
          <t>KC</t>
        </is>
      </c>
      <c r="D1018" s="9" t="n">
        <v>25</v>
      </c>
      <c r="E1018" s="18" t="inlineStr">
        <is>
          <t>L</t>
        </is>
      </c>
      <c r="F1018" s="18" t="n"/>
      <c r="G1018" s="9" t="n">
        <v>3.726666666666667</v>
      </c>
      <c r="H1018" s="9" t="n">
        <v>3.726666666666667</v>
      </c>
      <c r="I1018" s="9" t="inlineStr">
        <is>
          <t>Depth (no MLB IP)</t>
        </is>
      </c>
      <c r="J1018" s="18" t="inlineStr">
        <is>
          <t>Opening Day</t>
        </is>
      </c>
      <c r="K1018" s="11">
        <f>IFERROR(INDEX(Roles!$B$17:$B$20,MATCH(J1018,Roles!$A$17:$A$20,0)),1)</f>
        <v/>
      </c>
      <c r="L1018" s="19" t="n">
        <v>1</v>
      </c>
      <c r="M1018" s="11" t="n">
        <v>1</v>
      </c>
      <c r="N1018" s="19" t="n"/>
      <c r="O1018" s="19" t="n"/>
      <c r="P1018" s="19" t="n"/>
      <c r="Q1018" s="19" t="n"/>
      <c r="R1018" s="19" t="n"/>
      <c r="S1018" s="19" t="n"/>
      <c r="T1018" s="19" t="n"/>
      <c r="U1018" s="19" t="n"/>
      <c r="V1018" s="19" t="n"/>
      <c r="W1018" s="19" t="n"/>
      <c r="X1018" s="19" t="n"/>
      <c r="Y1018" s="19" t="n">
        <v>1</v>
      </c>
      <c r="Z1018" s="13">
        <f>SUMPRODUCT(N1018:Y1018,$N$2:$Y$2)*$K1018*$L1018*$M1018</f>
        <v/>
      </c>
      <c r="AA1018" s="14">
        <f>SUM(N1018:Y1018)</f>
        <v/>
      </c>
      <c r="AB1018" s="13">
        <f>SUMPRODUCT(N1018:Y1018,$N$3:$Y$3)*$K1018*$L1018*$M1018</f>
        <v/>
      </c>
      <c r="AC1018" s="13">
        <f>SUMPRODUCT(N1018:Y1018,$N$4:$Y$4)*$K1018*$L1018*$M1018</f>
        <v/>
      </c>
      <c r="AD1018" s="15" t="n">
        <v>3</v>
      </c>
      <c r="AE1018" s="11" t="n">
        <v>1.011296296296296</v>
      </c>
      <c r="AF1018" s="16">
        <f>SUMPRODUCT(N1018:Y1018,$N$5:$Y$5)*$K1018*$L1018*$M1018</f>
        <v/>
      </c>
      <c r="AG1018" s="16">
        <f>SUMPRODUCT(N1018:Y1018,$N$6:$Y$6)*$K1018*$L1018*$M1018</f>
        <v/>
      </c>
      <c r="AH1018" s="20" t="n"/>
    </row>
    <row r="1019">
      <c r="A1019" s="9" t="n">
        <v>692288</v>
      </c>
      <c r="B1019" s="9" t="inlineStr">
        <is>
          <t>Donye Evans</t>
        </is>
      </c>
      <c r="C1019" s="9" t="inlineStr">
        <is>
          <t>DET</t>
        </is>
      </c>
      <c r="D1019" s="9" t="n">
        <v>25</v>
      </c>
      <c r="E1019" s="18" t="inlineStr">
        <is>
          <t>R</t>
        </is>
      </c>
      <c r="F1019" s="18" t="n"/>
      <c r="G1019" s="9" t="n">
        <v>4.013333333333334</v>
      </c>
      <c r="H1019" s="9" t="n">
        <v>4.013333333333334</v>
      </c>
      <c r="I1019" s="9" t="inlineStr">
        <is>
          <t>Depth (no MLB IP)</t>
        </is>
      </c>
      <c r="J1019" s="18" t="inlineStr">
        <is>
          <t>Opening Day</t>
        </is>
      </c>
      <c r="K1019" s="11">
        <f>IFERROR(INDEX(Roles!$B$17:$B$20,MATCH(J1019,Roles!$A$17:$A$20,0)),1)</f>
        <v/>
      </c>
      <c r="L1019" s="19" t="n">
        <v>1</v>
      </c>
      <c r="M1019" s="11" t="n">
        <v>1</v>
      </c>
      <c r="N1019" s="19" t="n"/>
      <c r="O1019" s="19" t="n"/>
      <c r="P1019" s="19" t="n"/>
      <c r="Q1019" s="19" t="n"/>
      <c r="R1019" s="19" t="n"/>
      <c r="S1019" s="19" t="n"/>
      <c r="T1019" s="19" t="n"/>
      <c r="U1019" s="19" t="n"/>
      <c r="V1019" s="19" t="n"/>
      <c r="W1019" s="19" t="n"/>
      <c r="X1019" s="19" t="n"/>
      <c r="Y1019" s="19" t="n">
        <v>1</v>
      </c>
      <c r="Z1019" s="13">
        <f>SUMPRODUCT(N1019:Y1019,$N$2:$Y$2)*$K1019*$L1019*$M1019</f>
        <v/>
      </c>
      <c r="AA1019" s="14">
        <f>SUM(N1019:Y1019)</f>
        <v/>
      </c>
      <c r="AB1019" s="13">
        <f>SUMPRODUCT(N1019:Y1019,$N$3:$Y$3)*$K1019*$L1019*$M1019</f>
        <v/>
      </c>
      <c r="AC1019" s="13">
        <f>SUMPRODUCT(N1019:Y1019,$N$4:$Y$4)*$K1019*$L1019*$M1019</f>
        <v/>
      </c>
      <c r="AD1019" s="15" t="n">
        <v>3</v>
      </c>
      <c r="AE1019" s="11" t="n">
        <v>1.011296296296296</v>
      </c>
      <c r="AF1019" s="16">
        <f>SUMPRODUCT(N1019:Y1019,$N$5:$Y$5)*$K1019*$L1019*$M1019</f>
        <v/>
      </c>
      <c r="AG1019" s="16">
        <f>SUMPRODUCT(N1019:Y1019,$N$6:$Y$6)*$K1019*$L1019*$M1019</f>
        <v/>
      </c>
      <c r="AH1019" s="20" t="n"/>
    </row>
    <row r="1020">
      <c r="A1020" s="9" t="n">
        <v>702255</v>
      </c>
      <c r="B1020" s="9" t="inlineStr">
        <is>
          <t>Brandon Barriera</t>
        </is>
      </c>
      <c r="C1020" s="9" t="inlineStr">
        <is>
          <t>TOR</t>
        </is>
      </c>
      <c r="D1020" s="9" t="n">
        <v>25</v>
      </c>
      <c r="E1020" s="18" t="inlineStr">
        <is>
          <t>L</t>
        </is>
      </c>
      <c r="F1020" s="18" t="n"/>
      <c r="G1020" s="9" t="n">
        <v>3.726666666666667</v>
      </c>
      <c r="H1020" s="9" t="n">
        <v>3.726666666666667</v>
      </c>
      <c r="I1020" s="9" t="inlineStr">
        <is>
          <t>Depth (no MLB IP)</t>
        </is>
      </c>
      <c r="J1020" s="18" t="inlineStr">
        <is>
          <t>Opening Day</t>
        </is>
      </c>
      <c r="K1020" s="11">
        <f>IFERROR(INDEX(Roles!$B$17:$B$20,MATCH(J1020,Roles!$A$17:$A$20,0)),1)</f>
        <v/>
      </c>
      <c r="L1020" s="19" t="n">
        <v>1</v>
      </c>
      <c r="M1020" s="11" t="n">
        <v>1</v>
      </c>
      <c r="N1020" s="19" t="n"/>
      <c r="O1020" s="19" t="n"/>
      <c r="P1020" s="19" t="n"/>
      <c r="Q1020" s="19" t="n"/>
      <c r="R1020" s="19" t="n"/>
      <c r="S1020" s="19" t="n"/>
      <c r="T1020" s="19" t="n"/>
      <c r="U1020" s="19" t="n"/>
      <c r="V1020" s="19" t="n"/>
      <c r="W1020" s="19" t="n"/>
      <c r="X1020" s="19" t="n"/>
      <c r="Y1020" s="19" t="n">
        <v>1</v>
      </c>
      <c r="Z1020" s="13">
        <f>SUMPRODUCT(N1020:Y1020,$N$2:$Y$2)*$K1020*$L1020*$M1020</f>
        <v/>
      </c>
      <c r="AA1020" s="14">
        <f>SUM(N1020:Y1020)</f>
        <v/>
      </c>
      <c r="AB1020" s="13">
        <f>SUMPRODUCT(N1020:Y1020,$N$3:$Y$3)*$K1020*$L1020*$M1020</f>
        <v/>
      </c>
      <c r="AC1020" s="13">
        <f>SUMPRODUCT(N1020:Y1020,$N$4:$Y$4)*$K1020*$L1020*$M1020</f>
        <v/>
      </c>
      <c r="AD1020" s="15" t="n">
        <v>3</v>
      </c>
      <c r="AE1020" s="11" t="n">
        <v>1.011296296296296</v>
      </c>
      <c r="AF1020" s="16">
        <f>SUMPRODUCT(N1020:Y1020,$N$5:$Y$5)*$K1020*$L1020*$M1020</f>
        <v/>
      </c>
      <c r="AG1020" s="16">
        <f>SUMPRODUCT(N1020:Y1020,$N$6:$Y$6)*$K1020*$L1020*$M1020</f>
        <v/>
      </c>
      <c r="AH1020" s="20" t="n"/>
    </row>
    <row r="1021">
      <c r="A1021" s="9" t="n">
        <v>687201</v>
      </c>
      <c r="B1021" s="9" t="inlineStr">
        <is>
          <t>Kevin Kilpatrick Jr.</t>
        </is>
      </c>
      <c r="C1021" s="9" t="inlineStr">
        <is>
          <t>ATL</t>
        </is>
      </c>
      <c r="D1021" s="9" t="n">
        <v>25</v>
      </c>
      <c r="E1021" s="18" t="inlineStr">
        <is>
          <t>R</t>
        </is>
      </c>
      <c r="F1021" s="18" t="n"/>
      <c r="G1021" s="9" t="n">
        <v>3.511666666666666</v>
      </c>
      <c r="H1021" s="9" t="n">
        <v>3.511666666666666</v>
      </c>
      <c r="I1021" s="9" t="inlineStr">
        <is>
          <t>Depth (no MLB IP)</t>
        </is>
      </c>
      <c r="J1021" s="18" t="inlineStr">
        <is>
          <t>Opening Day</t>
        </is>
      </c>
      <c r="K1021" s="11">
        <f>IFERROR(INDEX(Roles!$B$17:$B$20,MATCH(J1021,Roles!$A$17:$A$20,0)),1)</f>
        <v/>
      </c>
      <c r="L1021" s="19" t="n">
        <v>1</v>
      </c>
      <c r="M1021" s="11" t="n">
        <v>1</v>
      </c>
      <c r="N1021" s="19" t="n"/>
      <c r="O1021" s="19" t="n"/>
      <c r="P1021" s="19" t="n"/>
      <c r="Q1021" s="19" t="n"/>
      <c r="R1021" s="19" t="n"/>
      <c r="S1021" s="19" t="n"/>
      <c r="T1021" s="19" t="n"/>
      <c r="U1021" s="19" t="n"/>
      <c r="V1021" s="19" t="n"/>
      <c r="W1021" s="19" t="n"/>
      <c r="X1021" s="19" t="n"/>
      <c r="Y1021" s="19" t="n">
        <v>1</v>
      </c>
      <c r="Z1021" s="13">
        <f>SUMPRODUCT(N1021:Y1021,$N$2:$Y$2)*$K1021*$L1021*$M1021</f>
        <v/>
      </c>
      <c r="AA1021" s="14">
        <f>SUM(N1021:Y1021)</f>
        <v/>
      </c>
      <c r="AB1021" s="13">
        <f>SUMPRODUCT(N1021:Y1021,$N$3:$Y$3)*$K1021*$L1021*$M1021</f>
        <v/>
      </c>
      <c r="AC1021" s="13">
        <f>SUMPRODUCT(N1021:Y1021,$N$4:$Y$4)*$K1021*$L1021*$M1021</f>
        <v/>
      </c>
      <c r="AD1021" s="15" t="n">
        <v>3</v>
      </c>
      <c r="AE1021" s="11" t="n">
        <v>1.011296296296296</v>
      </c>
      <c r="AF1021" s="16">
        <f>SUMPRODUCT(N1021:Y1021,$N$5:$Y$5)*$K1021*$L1021*$M1021</f>
        <v/>
      </c>
      <c r="AG1021" s="16">
        <f>SUMPRODUCT(N1021:Y1021,$N$6:$Y$6)*$K1021*$L1021*$M1021</f>
        <v/>
      </c>
      <c r="AH1021" s="20" t="n"/>
    </row>
    <row r="1022">
      <c r="A1022" s="9" t="n">
        <v>803287</v>
      </c>
      <c r="B1022" s="9" t="inlineStr">
        <is>
          <t>Leighton Finley</t>
        </is>
      </c>
      <c r="C1022" s="9" t="inlineStr">
        <is>
          <t>BOS</t>
        </is>
      </c>
      <c r="D1022" s="9" t="n">
        <v>25</v>
      </c>
      <c r="E1022" s="18" t="inlineStr">
        <is>
          <t>R</t>
        </is>
      </c>
      <c r="F1022" s="18" t="n"/>
      <c r="G1022" s="9" t="n">
        <v>4.013333333333334</v>
      </c>
      <c r="H1022" s="9" t="n">
        <v>4.013333333333334</v>
      </c>
      <c r="I1022" s="9" t="inlineStr">
        <is>
          <t>Depth (no MLB IP)</t>
        </is>
      </c>
      <c r="J1022" s="18" t="inlineStr">
        <is>
          <t>Opening Day</t>
        </is>
      </c>
      <c r="K1022" s="11">
        <f>IFERROR(INDEX(Roles!$B$17:$B$20,MATCH(J1022,Roles!$A$17:$A$20,0)),1)</f>
        <v/>
      </c>
      <c r="L1022" s="19" t="n">
        <v>1</v>
      </c>
      <c r="M1022" s="11" t="n">
        <v>1</v>
      </c>
      <c r="N1022" s="19" t="n"/>
      <c r="O1022" s="19" t="n"/>
      <c r="P1022" s="19" t="n"/>
      <c r="Q1022" s="19" t="n"/>
      <c r="R1022" s="19" t="n"/>
      <c r="S1022" s="19" t="n"/>
      <c r="T1022" s="19" t="n"/>
      <c r="U1022" s="19" t="n"/>
      <c r="V1022" s="19" t="n"/>
      <c r="W1022" s="19" t="n"/>
      <c r="X1022" s="19" t="n"/>
      <c r="Y1022" s="19" t="n">
        <v>1</v>
      </c>
      <c r="Z1022" s="13">
        <f>SUMPRODUCT(N1022:Y1022,$N$2:$Y$2)*$K1022*$L1022*$M1022</f>
        <v/>
      </c>
      <c r="AA1022" s="14">
        <f>SUM(N1022:Y1022)</f>
        <v/>
      </c>
      <c r="AB1022" s="13">
        <f>SUMPRODUCT(N1022:Y1022,$N$3:$Y$3)*$K1022*$L1022*$M1022</f>
        <v/>
      </c>
      <c r="AC1022" s="13">
        <f>SUMPRODUCT(N1022:Y1022,$N$4:$Y$4)*$K1022*$L1022*$M1022</f>
        <v/>
      </c>
      <c r="AD1022" s="15" t="n">
        <v>3</v>
      </c>
      <c r="AE1022" s="11" t="n">
        <v>1.011296296296296</v>
      </c>
      <c r="AF1022" s="16">
        <f>SUMPRODUCT(N1022:Y1022,$N$5:$Y$5)*$K1022*$L1022*$M1022</f>
        <v/>
      </c>
      <c r="AG1022" s="16">
        <f>SUMPRODUCT(N1022:Y1022,$N$6:$Y$6)*$K1022*$L1022*$M1022</f>
        <v/>
      </c>
      <c r="AH1022" s="20" t="n"/>
    </row>
    <row r="1023">
      <c r="A1023" s="9" t="n">
        <v>803289</v>
      </c>
      <c r="B1023" s="9" t="inlineStr">
        <is>
          <t>Collin McKinney</t>
        </is>
      </c>
      <c r="C1023" s="9" t="inlineStr">
        <is>
          <t>BAL</t>
        </is>
      </c>
      <c r="D1023" s="9" t="n">
        <v>25</v>
      </c>
      <c r="E1023" s="18" t="inlineStr">
        <is>
          <t>R</t>
        </is>
      </c>
      <c r="F1023" s="18" t="n"/>
      <c r="G1023" s="9" t="n">
        <v>3.956</v>
      </c>
      <c r="H1023" s="9" t="n">
        <v>3.956</v>
      </c>
      <c r="I1023" s="9" t="inlineStr">
        <is>
          <t>Depth (no MLB IP)</t>
        </is>
      </c>
      <c r="J1023" s="18" t="inlineStr">
        <is>
          <t>Opening Day</t>
        </is>
      </c>
      <c r="K1023" s="11">
        <f>IFERROR(INDEX(Roles!$B$17:$B$20,MATCH(J1023,Roles!$A$17:$A$20,0)),1)</f>
        <v/>
      </c>
      <c r="L1023" s="19" t="n">
        <v>1</v>
      </c>
      <c r="M1023" s="11" t="n">
        <v>1</v>
      </c>
      <c r="N1023" s="19" t="n"/>
      <c r="O1023" s="19" t="n"/>
      <c r="P1023" s="19" t="n"/>
      <c r="Q1023" s="19" t="n"/>
      <c r="R1023" s="19" t="n"/>
      <c r="S1023" s="19" t="n"/>
      <c r="T1023" s="19" t="n"/>
      <c r="U1023" s="19" t="n"/>
      <c r="V1023" s="19" t="n"/>
      <c r="W1023" s="19" t="n"/>
      <c r="X1023" s="19" t="n"/>
      <c r="Y1023" s="19" t="n">
        <v>1</v>
      </c>
      <c r="Z1023" s="13">
        <f>SUMPRODUCT(N1023:Y1023,$N$2:$Y$2)*$K1023*$L1023*$M1023</f>
        <v/>
      </c>
      <c r="AA1023" s="14">
        <f>SUM(N1023:Y1023)</f>
        <v/>
      </c>
      <c r="AB1023" s="13">
        <f>SUMPRODUCT(N1023:Y1023,$N$3:$Y$3)*$K1023*$L1023*$M1023</f>
        <v/>
      </c>
      <c r="AC1023" s="13">
        <f>SUMPRODUCT(N1023:Y1023,$N$4:$Y$4)*$K1023*$L1023*$M1023</f>
        <v/>
      </c>
      <c r="AD1023" s="15" t="n">
        <v>3</v>
      </c>
      <c r="AE1023" s="11" t="n">
        <v>1.011296296296296</v>
      </c>
      <c r="AF1023" s="16">
        <f>SUMPRODUCT(N1023:Y1023,$N$5:$Y$5)*$K1023*$L1023*$M1023</f>
        <v/>
      </c>
      <c r="AG1023" s="16">
        <f>SUMPRODUCT(N1023:Y1023,$N$6:$Y$6)*$K1023*$L1023*$M1023</f>
        <v/>
      </c>
      <c r="AH1023" s="20" t="n"/>
    </row>
    <row r="1024">
      <c r="A1024" s="9" t="n">
        <v>688781</v>
      </c>
      <c r="B1024" s="9" t="inlineStr">
        <is>
          <t>Brett Banks</t>
        </is>
      </c>
      <c r="C1024" s="9" t="inlineStr">
        <is>
          <t>NYM</t>
        </is>
      </c>
      <c r="D1024" s="9" t="n">
        <v>25</v>
      </c>
      <c r="E1024" s="18" t="inlineStr">
        <is>
          <t>R</t>
        </is>
      </c>
      <c r="F1024" s="18" t="n"/>
      <c r="G1024" s="9" t="n">
        <v>3.726666666666667</v>
      </c>
      <c r="H1024" s="9" t="n">
        <v>3.726666666666667</v>
      </c>
      <c r="I1024" s="9" t="inlineStr">
        <is>
          <t>Depth (no MLB IP)</t>
        </is>
      </c>
      <c r="J1024" s="18" t="inlineStr">
        <is>
          <t>Opening Day</t>
        </is>
      </c>
      <c r="K1024" s="11">
        <f>IFERROR(INDEX(Roles!$B$17:$B$20,MATCH(J1024,Roles!$A$17:$A$20,0)),1)</f>
        <v/>
      </c>
      <c r="L1024" s="19" t="n">
        <v>1</v>
      </c>
      <c r="M1024" s="11" t="n">
        <v>1</v>
      </c>
      <c r="N1024" s="19" t="n"/>
      <c r="O1024" s="19" t="n"/>
      <c r="P1024" s="19" t="n"/>
      <c r="Q1024" s="19" t="n"/>
      <c r="R1024" s="19" t="n"/>
      <c r="S1024" s="19" t="n"/>
      <c r="T1024" s="19" t="n"/>
      <c r="U1024" s="19" t="n"/>
      <c r="V1024" s="19" t="n"/>
      <c r="W1024" s="19" t="n"/>
      <c r="X1024" s="19" t="n"/>
      <c r="Y1024" s="19" t="n">
        <v>1</v>
      </c>
      <c r="Z1024" s="13">
        <f>SUMPRODUCT(N1024:Y1024,$N$2:$Y$2)*$K1024*$L1024*$M1024</f>
        <v/>
      </c>
      <c r="AA1024" s="14">
        <f>SUM(N1024:Y1024)</f>
        <v/>
      </c>
      <c r="AB1024" s="13">
        <f>SUMPRODUCT(N1024:Y1024,$N$3:$Y$3)*$K1024*$L1024*$M1024</f>
        <v/>
      </c>
      <c r="AC1024" s="13">
        <f>SUMPRODUCT(N1024:Y1024,$N$4:$Y$4)*$K1024*$L1024*$M1024</f>
        <v/>
      </c>
      <c r="AD1024" s="15" t="n">
        <v>3</v>
      </c>
      <c r="AE1024" s="11" t="n">
        <v>1.011296296296296</v>
      </c>
      <c r="AF1024" s="16">
        <f>SUMPRODUCT(N1024:Y1024,$N$5:$Y$5)*$K1024*$L1024*$M1024</f>
        <v/>
      </c>
      <c r="AG1024" s="16">
        <f>SUMPRODUCT(N1024:Y1024,$N$6:$Y$6)*$K1024*$L1024*$M1024</f>
        <v/>
      </c>
      <c r="AH1024" s="20" t="n"/>
    </row>
    <row r="1025">
      <c r="A1025" s="9" t="n">
        <v>831149</v>
      </c>
      <c r="B1025" s="9" t="inlineStr">
        <is>
          <t>Jordan Gottesman</t>
        </is>
      </c>
      <c r="C1025" s="9" t="inlineStr">
        <is>
          <t>SF</t>
        </is>
      </c>
      <c r="D1025" s="9" t="n">
        <v>25</v>
      </c>
      <c r="E1025" s="18" t="inlineStr">
        <is>
          <t>L</t>
        </is>
      </c>
      <c r="F1025" s="18" t="n"/>
      <c r="G1025" s="9" t="n">
        <v>4.013333333333334</v>
      </c>
      <c r="H1025" s="9" t="n">
        <v>4.013333333333334</v>
      </c>
      <c r="I1025" s="9" t="inlineStr">
        <is>
          <t>Depth (no MLB IP)</t>
        </is>
      </c>
      <c r="J1025" s="18" t="inlineStr">
        <is>
          <t>Opening Day</t>
        </is>
      </c>
      <c r="K1025" s="11">
        <f>IFERROR(INDEX(Roles!$B$17:$B$20,MATCH(J1025,Roles!$A$17:$A$20,0)),1)</f>
        <v/>
      </c>
      <c r="L1025" s="19" t="n">
        <v>1</v>
      </c>
      <c r="M1025" s="11" t="n">
        <v>1</v>
      </c>
      <c r="N1025" s="19" t="n"/>
      <c r="O1025" s="19" t="n"/>
      <c r="P1025" s="19" t="n"/>
      <c r="Q1025" s="19" t="n"/>
      <c r="R1025" s="19" t="n"/>
      <c r="S1025" s="19" t="n"/>
      <c r="T1025" s="19" t="n"/>
      <c r="U1025" s="19" t="n"/>
      <c r="V1025" s="19" t="n"/>
      <c r="W1025" s="19" t="n"/>
      <c r="X1025" s="19" t="n"/>
      <c r="Y1025" s="19" t="n">
        <v>1</v>
      </c>
      <c r="Z1025" s="13">
        <f>SUMPRODUCT(N1025:Y1025,$N$2:$Y$2)*$K1025*$L1025*$M1025</f>
        <v/>
      </c>
      <c r="AA1025" s="14">
        <f>SUM(N1025:Y1025)</f>
        <v/>
      </c>
      <c r="AB1025" s="13">
        <f>SUMPRODUCT(N1025:Y1025,$N$3:$Y$3)*$K1025*$L1025*$M1025</f>
        <v/>
      </c>
      <c r="AC1025" s="13">
        <f>SUMPRODUCT(N1025:Y1025,$N$4:$Y$4)*$K1025*$L1025*$M1025</f>
        <v/>
      </c>
      <c r="AD1025" s="15" t="n">
        <v>3</v>
      </c>
      <c r="AE1025" s="11" t="n">
        <v>1.011296296296296</v>
      </c>
      <c r="AF1025" s="16">
        <f>SUMPRODUCT(N1025:Y1025,$N$5:$Y$5)*$K1025*$L1025*$M1025</f>
        <v/>
      </c>
      <c r="AG1025" s="16">
        <f>SUMPRODUCT(N1025:Y1025,$N$6:$Y$6)*$K1025*$L1025*$M1025</f>
        <v/>
      </c>
      <c r="AH1025" s="20" t="n"/>
    </row>
    <row r="1026">
      <c r="A1026" s="9" t="n">
        <v>686590</v>
      </c>
      <c r="B1026" s="9" t="inlineStr">
        <is>
          <t>Dax Dathe</t>
        </is>
      </c>
      <c r="C1026" s="9" t="inlineStr">
        <is>
          <t>TOR</t>
        </is>
      </c>
      <c r="D1026" s="9" t="n">
        <v>25</v>
      </c>
      <c r="E1026" s="18" t="inlineStr">
        <is>
          <t>R</t>
        </is>
      </c>
      <c r="F1026" s="18" t="n"/>
      <c r="G1026" s="9" t="n">
        <v>4.013333333333334</v>
      </c>
      <c r="H1026" s="9" t="n">
        <v>4.013333333333334</v>
      </c>
      <c r="I1026" s="9" t="inlineStr">
        <is>
          <t>Depth (no MLB IP)</t>
        </is>
      </c>
      <c r="J1026" s="18" t="inlineStr">
        <is>
          <t>Opening Day</t>
        </is>
      </c>
      <c r="K1026" s="11">
        <f>IFERROR(INDEX(Roles!$B$17:$B$20,MATCH(J1026,Roles!$A$17:$A$20,0)),1)</f>
        <v/>
      </c>
      <c r="L1026" s="19" t="n">
        <v>1</v>
      </c>
      <c r="M1026" s="11" t="n">
        <v>1</v>
      </c>
      <c r="N1026" s="19" t="n"/>
      <c r="O1026" s="19" t="n"/>
      <c r="P1026" s="19" t="n"/>
      <c r="Q1026" s="19" t="n"/>
      <c r="R1026" s="19" t="n"/>
      <c r="S1026" s="19" t="n"/>
      <c r="T1026" s="19" t="n"/>
      <c r="U1026" s="19" t="n"/>
      <c r="V1026" s="19" t="n"/>
      <c r="W1026" s="19" t="n"/>
      <c r="X1026" s="19" t="n"/>
      <c r="Y1026" s="19" t="n">
        <v>1</v>
      </c>
      <c r="Z1026" s="13">
        <f>SUMPRODUCT(N1026:Y1026,$N$2:$Y$2)*$K1026*$L1026*$M1026</f>
        <v/>
      </c>
      <c r="AA1026" s="14">
        <f>SUM(N1026:Y1026)</f>
        <v/>
      </c>
      <c r="AB1026" s="13">
        <f>SUMPRODUCT(N1026:Y1026,$N$3:$Y$3)*$K1026*$L1026*$M1026</f>
        <v/>
      </c>
      <c r="AC1026" s="13">
        <f>SUMPRODUCT(N1026:Y1026,$N$4:$Y$4)*$K1026*$L1026*$M1026</f>
        <v/>
      </c>
      <c r="AD1026" s="15" t="n">
        <v>3</v>
      </c>
      <c r="AE1026" s="11" t="n">
        <v>1.011296296296296</v>
      </c>
      <c r="AF1026" s="16">
        <f>SUMPRODUCT(N1026:Y1026,$N$5:$Y$5)*$K1026*$L1026*$M1026</f>
        <v/>
      </c>
      <c r="AG1026" s="16">
        <f>SUMPRODUCT(N1026:Y1026,$N$6:$Y$6)*$K1026*$L1026*$M1026</f>
        <v/>
      </c>
      <c r="AH1026" s="20" t="n"/>
    </row>
    <row r="1027">
      <c r="A1027" s="9" t="n">
        <v>836150</v>
      </c>
      <c r="B1027" s="9" t="inlineStr">
        <is>
          <t>Brendan Parks</t>
        </is>
      </c>
      <c r="C1027" s="9" t="inlineStr">
        <is>
          <t>BAL</t>
        </is>
      </c>
      <c r="D1027" s="9" t="n">
        <v>25</v>
      </c>
      <c r="E1027" s="18" t="inlineStr">
        <is>
          <t>L</t>
        </is>
      </c>
      <c r="F1027" s="18" t="n"/>
      <c r="G1027" s="9" t="n">
        <v>3.726666666666667</v>
      </c>
      <c r="H1027" s="9" t="n">
        <v>3.726666666666667</v>
      </c>
      <c r="I1027" s="9" t="inlineStr">
        <is>
          <t>Depth (no MLB IP)</t>
        </is>
      </c>
      <c r="J1027" s="18" t="inlineStr">
        <is>
          <t>Opening Day</t>
        </is>
      </c>
      <c r="K1027" s="11">
        <f>IFERROR(INDEX(Roles!$B$17:$B$20,MATCH(J1027,Roles!$A$17:$A$20,0)),1)</f>
        <v/>
      </c>
      <c r="L1027" s="19" t="n">
        <v>1</v>
      </c>
      <c r="M1027" s="11" t="n">
        <v>1</v>
      </c>
      <c r="N1027" s="19" t="n"/>
      <c r="O1027" s="19" t="n"/>
      <c r="P1027" s="19" t="n"/>
      <c r="Q1027" s="19" t="n"/>
      <c r="R1027" s="19" t="n"/>
      <c r="S1027" s="19" t="n"/>
      <c r="T1027" s="19" t="n"/>
      <c r="U1027" s="19" t="n"/>
      <c r="V1027" s="19" t="n"/>
      <c r="W1027" s="19" t="n"/>
      <c r="X1027" s="19" t="n"/>
      <c r="Y1027" s="19" t="n">
        <v>1</v>
      </c>
      <c r="Z1027" s="13">
        <f>SUMPRODUCT(N1027:Y1027,$N$2:$Y$2)*$K1027*$L1027*$M1027</f>
        <v/>
      </c>
      <c r="AA1027" s="14">
        <f>SUM(N1027:Y1027)</f>
        <v/>
      </c>
      <c r="AB1027" s="13">
        <f>SUMPRODUCT(N1027:Y1027,$N$3:$Y$3)*$K1027*$L1027*$M1027</f>
        <v/>
      </c>
      <c r="AC1027" s="13">
        <f>SUMPRODUCT(N1027:Y1027,$N$4:$Y$4)*$K1027*$L1027*$M1027</f>
        <v/>
      </c>
      <c r="AD1027" s="15" t="n">
        <v>3</v>
      </c>
      <c r="AE1027" s="11" t="n">
        <v>1.011296296296296</v>
      </c>
      <c r="AF1027" s="16">
        <f>SUMPRODUCT(N1027:Y1027,$N$5:$Y$5)*$K1027*$L1027*$M1027</f>
        <v/>
      </c>
      <c r="AG1027" s="16">
        <f>SUMPRODUCT(N1027:Y1027,$N$6:$Y$6)*$K1027*$L1027*$M1027</f>
        <v/>
      </c>
      <c r="AH1027" s="20" t="n"/>
    </row>
    <row r="1028">
      <c r="A1028" s="9" t="n">
        <v>686579</v>
      </c>
      <c r="B1028" s="9" t="inlineStr">
        <is>
          <t>Wes Burton</t>
        </is>
      </c>
      <c r="C1028" s="9" t="inlineStr">
        <is>
          <t>CLE</t>
        </is>
      </c>
      <c r="D1028" s="9" t="n">
        <v>25</v>
      </c>
      <c r="E1028" s="18" t="inlineStr">
        <is>
          <t>R</t>
        </is>
      </c>
      <c r="F1028" s="18" t="n"/>
      <c r="G1028" s="9" t="n">
        <v>3.956</v>
      </c>
      <c r="H1028" s="9" t="n">
        <v>3.956</v>
      </c>
      <c r="I1028" s="9" t="inlineStr">
        <is>
          <t>Depth (no MLB IP)</t>
        </is>
      </c>
      <c r="J1028" s="18" t="inlineStr">
        <is>
          <t>Opening Day</t>
        </is>
      </c>
      <c r="K1028" s="11">
        <f>IFERROR(INDEX(Roles!$B$17:$B$20,MATCH(J1028,Roles!$A$17:$A$20,0)),1)</f>
        <v/>
      </c>
      <c r="L1028" s="19" t="n">
        <v>1</v>
      </c>
      <c r="M1028" s="11" t="n">
        <v>1</v>
      </c>
      <c r="N1028" s="19" t="n"/>
      <c r="O1028" s="19" t="n"/>
      <c r="P1028" s="19" t="n"/>
      <c r="Q1028" s="19" t="n"/>
      <c r="R1028" s="19" t="n"/>
      <c r="S1028" s="19" t="n"/>
      <c r="T1028" s="19" t="n"/>
      <c r="U1028" s="19" t="n"/>
      <c r="V1028" s="19" t="n"/>
      <c r="W1028" s="19" t="n"/>
      <c r="X1028" s="19" t="n"/>
      <c r="Y1028" s="19" t="n">
        <v>1</v>
      </c>
      <c r="Z1028" s="13">
        <f>SUMPRODUCT(N1028:Y1028,$N$2:$Y$2)*$K1028*$L1028*$M1028</f>
        <v/>
      </c>
      <c r="AA1028" s="14">
        <f>SUM(N1028:Y1028)</f>
        <v/>
      </c>
      <c r="AB1028" s="13">
        <f>SUMPRODUCT(N1028:Y1028,$N$3:$Y$3)*$K1028*$L1028*$M1028</f>
        <v/>
      </c>
      <c r="AC1028" s="13">
        <f>SUMPRODUCT(N1028:Y1028,$N$4:$Y$4)*$K1028*$L1028*$M1028</f>
        <v/>
      </c>
      <c r="AD1028" s="15" t="n">
        <v>3</v>
      </c>
      <c r="AE1028" s="11" t="n">
        <v>1.011296296296296</v>
      </c>
      <c r="AF1028" s="16">
        <f>SUMPRODUCT(N1028:Y1028,$N$5:$Y$5)*$K1028*$L1028*$M1028</f>
        <v/>
      </c>
      <c r="AG1028" s="16">
        <f>SUMPRODUCT(N1028:Y1028,$N$6:$Y$6)*$K1028*$L1028*$M1028</f>
        <v/>
      </c>
      <c r="AH1028" s="20" t="n"/>
    </row>
    <row r="1029">
      <c r="A1029" s="9" t="n">
        <v>830361</v>
      </c>
      <c r="B1029" s="9" t="inlineStr">
        <is>
          <t>Tazwell Butler</t>
        </is>
      </c>
      <c r="C1029" s="9" t="inlineStr">
        <is>
          <t>HOU</t>
        </is>
      </c>
      <c r="D1029" s="9" t="n">
        <v>25</v>
      </c>
      <c r="E1029" s="18" t="inlineStr">
        <is>
          <t>R</t>
        </is>
      </c>
      <c r="F1029" s="18" t="n"/>
      <c r="G1029" s="9" t="n">
        <v>4.3</v>
      </c>
      <c r="H1029" s="9" t="n">
        <v>4.3</v>
      </c>
      <c r="I1029" s="9" t="inlineStr">
        <is>
          <t>Depth (no MLB IP)</t>
        </is>
      </c>
      <c r="J1029" s="18" t="inlineStr">
        <is>
          <t>Opening Day</t>
        </is>
      </c>
      <c r="K1029" s="11">
        <f>IFERROR(INDEX(Roles!$B$17:$B$20,MATCH(J1029,Roles!$A$17:$A$20,0)),1)</f>
        <v/>
      </c>
      <c r="L1029" s="19" t="n">
        <v>1</v>
      </c>
      <c r="M1029" s="11" t="n">
        <v>1</v>
      </c>
      <c r="N1029" s="19" t="n"/>
      <c r="O1029" s="19" t="n"/>
      <c r="P1029" s="19" t="n"/>
      <c r="Q1029" s="19" t="n"/>
      <c r="R1029" s="19" t="n"/>
      <c r="S1029" s="19" t="n"/>
      <c r="T1029" s="19" t="n"/>
      <c r="U1029" s="19" t="n"/>
      <c r="V1029" s="19" t="n"/>
      <c r="W1029" s="19" t="n"/>
      <c r="X1029" s="19" t="n"/>
      <c r="Y1029" s="19" t="n">
        <v>1</v>
      </c>
      <c r="Z1029" s="13">
        <f>SUMPRODUCT(N1029:Y1029,$N$2:$Y$2)*$K1029*$L1029*$M1029</f>
        <v/>
      </c>
      <c r="AA1029" s="14">
        <f>SUM(N1029:Y1029)</f>
        <v/>
      </c>
      <c r="AB1029" s="13">
        <f>SUMPRODUCT(N1029:Y1029,$N$3:$Y$3)*$K1029*$L1029*$M1029</f>
        <v/>
      </c>
      <c r="AC1029" s="13">
        <f>SUMPRODUCT(N1029:Y1029,$N$4:$Y$4)*$K1029*$L1029*$M1029</f>
        <v/>
      </c>
      <c r="AD1029" s="15" t="n">
        <v>3</v>
      </c>
      <c r="AE1029" s="11" t="n">
        <v>1.011296296296296</v>
      </c>
      <c r="AF1029" s="16">
        <f>SUMPRODUCT(N1029:Y1029,$N$5:$Y$5)*$K1029*$L1029*$M1029</f>
        <v/>
      </c>
      <c r="AG1029" s="16">
        <f>SUMPRODUCT(N1029:Y1029,$N$6:$Y$6)*$K1029*$L1029*$M1029</f>
        <v/>
      </c>
      <c r="AH1029" s="20" t="n"/>
    </row>
    <row r="1030">
      <c r="A1030" s="9" t="n">
        <v>687543</v>
      </c>
      <c r="B1030" s="9" t="inlineStr">
        <is>
          <t>Andrew Jenkins</t>
        </is>
      </c>
      <c r="C1030" s="9" t="inlineStr">
        <is>
          <t>DET</t>
        </is>
      </c>
      <c r="D1030" s="9" t="n">
        <v>25</v>
      </c>
      <c r="E1030" s="18" t="inlineStr">
        <is>
          <t>R</t>
        </is>
      </c>
      <c r="F1030" s="18" t="n"/>
      <c r="G1030" s="9" t="n">
        <v>4.013333333333333</v>
      </c>
      <c r="H1030" s="9" t="n">
        <v>4.013333333333333</v>
      </c>
      <c r="I1030" s="9" t="inlineStr">
        <is>
          <t>Depth (no MLB IP)</t>
        </is>
      </c>
      <c r="J1030" s="18" t="inlineStr">
        <is>
          <t>Opening Day</t>
        </is>
      </c>
      <c r="K1030" s="11">
        <f>IFERROR(INDEX(Roles!$B$17:$B$20,MATCH(J1030,Roles!$A$17:$A$20,0)),1)</f>
        <v/>
      </c>
      <c r="L1030" s="19" t="n">
        <v>1</v>
      </c>
      <c r="M1030" s="11" t="n">
        <v>1</v>
      </c>
      <c r="N1030" s="19" t="n"/>
      <c r="O1030" s="19" t="n"/>
      <c r="P1030" s="19" t="n"/>
      <c r="Q1030" s="19" t="n"/>
      <c r="R1030" s="19" t="n"/>
      <c r="S1030" s="19" t="n"/>
      <c r="T1030" s="19" t="n"/>
      <c r="U1030" s="19" t="n"/>
      <c r="V1030" s="19" t="n"/>
      <c r="W1030" s="19" t="n"/>
      <c r="X1030" s="19" t="n"/>
      <c r="Y1030" s="19" t="n">
        <v>1</v>
      </c>
      <c r="Z1030" s="13">
        <f>SUMPRODUCT(N1030:Y1030,$N$2:$Y$2)*$K1030*$L1030*$M1030</f>
        <v/>
      </c>
      <c r="AA1030" s="14">
        <f>SUM(N1030:Y1030)</f>
        <v/>
      </c>
      <c r="AB1030" s="13">
        <f>SUMPRODUCT(N1030:Y1030,$N$3:$Y$3)*$K1030*$L1030*$M1030</f>
        <v/>
      </c>
      <c r="AC1030" s="13">
        <f>SUMPRODUCT(N1030:Y1030,$N$4:$Y$4)*$K1030*$L1030*$M1030</f>
        <v/>
      </c>
      <c r="AD1030" s="15" t="n">
        <v>3</v>
      </c>
      <c r="AE1030" s="11" t="n">
        <v>1.011296296296296</v>
      </c>
      <c r="AF1030" s="16">
        <f>SUMPRODUCT(N1030:Y1030,$N$5:$Y$5)*$K1030*$L1030*$M1030</f>
        <v/>
      </c>
      <c r="AG1030" s="16">
        <f>SUMPRODUCT(N1030:Y1030,$N$6:$Y$6)*$K1030*$L1030*$M1030</f>
        <v/>
      </c>
      <c r="AH1030" s="20" t="n"/>
    </row>
    <row r="1031">
      <c r="A1031" s="9" t="n">
        <v>803427</v>
      </c>
      <c r="B1031" s="9" t="inlineStr">
        <is>
          <t>Felix Castro</t>
        </is>
      </c>
      <c r="C1031" s="9" t="inlineStr">
        <is>
          <t>OAK</t>
        </is>
      </c>
      <c r="D1031" s="9" t="n">
        <v>25</v>
      </c>
      <c r="E1031" s="18" t="inlineStr">
        <is>
          <t>R</t>
        </is>
      </c>
      <c r="F1031" s="18" t="n"/>
      <c r="G1031" s="9" t="n">
        <v>3.956</v>
      </c>
      <c r="H1031" s="9" t="n">
        <v>3.956</v>
      </c>
      <c r="I1031" s="9" t="inlineStr">
        <is>
          <t>Depth (no MLB IP)</t>
        </is>
      </c>
      <c r="J1031" s="18" t="inlineStr">
        <is>
          <t>Opening Day</t>
        </is>
      </c>
      <c r="K1031" s="11">
        <f>IFERROR(INDEX(Roles!$B$17:$B$20,MATCH(J1031,Roles!$A$17:$A$20,0)),1)</f>
        <v/>
      </c>
      <c r="L1031" s="19" t="n">
        <v>1</v>
      </c>
      <c r="M1031" s="11" t="n">
        <v>1</v>
      </c>
      <c r="N1031" s="19" t="n"/>
      <c r="O1031" s="19" t="n"/>
      <c r="P1031" s="19" t="n"/>
      <c r="Q1031" s="19" t="n"/>
      <c r="R1031" s="19" t="n"/>
      <c r="S1031" s="19" t="n"/>
      <c r="T1031" s="19" t="n"/>
      <c r="U1031" s="19" t="n"/>
      <c r="V1031" s="19" t="n"/>
      <c r="W1031" s="19" t="n"/>
      <c r="X1031" s="19" t="n"/>
      <c r="Y1031" s="19" t="n">
        <v>1</v>
      </c>
      <c r="Z1031" s="13">
        <f>SUMPRODUCT(N1031:Y1031,$N$2:$Y$2)*$K1031*$L1031*$M1031</f>
        <v/>
      </c>
      <c r="AA1031" s="14">
        <f>SUM(N1031:Y1031)</f>
        <v/>
      </c>
      <c r="AB1031" s="13">
        <f>SUMPRODUCT(N1031:Y1031,$N$3:$Y$3)*$K1031*$L1031*$M1031</f>
        <v/>
      </c>
      <c r="AC1031" s="13">
        <f>SUMPRODUCT(N1031:Y1031,$N$4:$Y$4)*$K1031*$L1031*$M1031</f>
        <v/>
      </c>
      <c r="AD1031" s="15" t="n">
        <v>3</v>
      </c>
      <c r="AE1031" s="11" t="n">
        <v>1.011296296296296</v>
      </c>
      <c r="AF1031" s="16">
        <f>SUMPRODUCT(N1031:Y1031,$N$5:$Y$5)*$K1031*$L1031*$M1031</f>
        <v/>
      </c>
      <c r="AG1031" s="16">
        <f>SUMPRODUCT(N1031:Y1031,$N$6:$Y$6)*$K1031*$L1031*$M1031</f>
        <v/>
      </c>
      <c r="AH1031" s="20" t="n"/>
    </row>
    <row r="1032">
      <c r="A1032" s="9" t="n">
        <v>835916</v>
      </c>
      <c r="B1032" s="9" t="inlineStr">
        <is>
          <t>Colin Fitzgerald</t>
        </is>
      </c>
      <c r="C1032" s="9" t="inlineStr">
        <is>
          <t>OAK</t>
        </is>
      </c>
      <c r="D1032" s="9" t="n">
        <v>25</v>
      </c>
      <c r="E1032" s="18" t="inlineStr">
        <is>
          <t>R</t>
        </is>
      </c>
      <c r="F1032" s="18" t="n"/>
      <c r="G1032" s="9" t="n">
        <v>3.956</v>
      </c>
      <c r="H1032" s="9" t="n">
        <v>3.956</v>
      </c>
      <c r="I1032" s="9" t="inlineStr">
        <is>
          <t>Depth (no MLB IP)</t>
        </is>
      </c>
      <c r="J1032" s="18" t="inlineStr">
        <is>
          <t>Opening Day</t>
        </is>
      </c>
      <c r="K1032" s="11">
        <f>IFERROR(INDEX(Roles!$B$17:$B$20,MATCH(J1032,Roles!$A$17:$A$20,0)),1)</f>
        <v/>
      </c>
      <c r="L1032" s="19" t="n">
        <v>1</v>
      </c>
      <c r="M1032" s="11" t="n">
        <v>1</v>
      </c>
      <c r="N1032" s="19" t="n"/>
      <c r="O1032" s="19" t="n"/>
      <c r="P1032" s="19" t="n"/>
      <c r="Q1032" s="19" t="n"/>
      <c r="R1032" s="19" t="n"/>
      <c r="S1032" s="19" t="n"/>
      <c r="T1032" s="19" t="n"/>
      <c r="U1032" s="19" t="n"/>
      <c r="V1032" s="19" t="n"/>
      <c r="W1032" s="19" t="n"/>
      <c r="X1032" s="19" t="n"/>
      <c r="Y1032" s="19" t="n">
        <v>1</v>
      </c>
      <c r="Z1032" s="13">
        <f>SUMPRODUCT(N1032:Y1032,$N$2:$Y$2)*$K1032*$L1032*$M1032</f>
        <v/>
      </c>
      <c r="AA1032" s="14">
        <f>SUM(N1032:Y1032)</f>
        <v/>
      </c>
      <c r="AB1032" s="13">
        <f>SUMPRODUCT(N1032:Y1032,$N$3:$Y$3)*$K1032*$L1032*$M1032</f>
        <v/>
      </c>
      <c r="AC1032" s="13">
        <f>SUMPRODUCT(N1032:Y1032,$N$4:$Y$4)*$K1032*$L1032*$M1032</f>
        <v/>
      </c>
      <c r="AD1032" s="15" t="n">
        <v>3</v>
      </c>
      <c r="AE1032" s="11" t="n">
        <v>1.011296296296296</v>
      </c>
      <c r="AF1032" s="16">
        <f>SUMPRODUCT(N1032:Y1032,$N$5:$Y$5)*$K1032*$L1032*$M1032</f>
        <v/>
      </c>
      <c r="AG1032" s="16">
        <f>SUMPRODUCT(N1032:Y1032,$N$6:$Y$6)*$K1032*$L1032*$M1032</f>
        <v/>
      </c>
      <c r="AH1032" s="20" t="n"/>
    </row>
    <row r="1033">
      <c r="A1033" s="9" t="n">
        <v>835656</v>
      </c>
      <c r="B1033" s="9" t="inlineStr">
        <is>
          <t>John Carver</t>
        </is>
      </c>
      <c r="C1033" s="9" t="inlineStr">
        <is>
          <t>HOU</t>
        </is>
      </c>
      <c r="D1033" s="9" t="n">
        <v>25</v>
      </c>
      <c r="E1033" s="18" t="inlineStr">
        <is>
          <t>R</t>
        </is>
      </c>
      <c r="F1033" s="18" t="n"/>
      <c r="G1033" s="9" t="n">
        <v>4.3</v>
      </c>
      <c r="H1033" s="9" t="n">
        <v>4.3</v>
      </c>
      <c r="I1033" s="9" t="inlineStr">
        <is>
          <t>Depth (no MLB IP)</t>
        </is>
      </c>
      <c r="J1033" s="18" t="inlineStr">
        <is>
          <t>Opening Day</t>
        </is>
      </c>
      <c r="K1033" s="11">
        <f>IFERROR(INDEX(Roles!$B$17:$B$20,MATCH(J1033,Roles!$A$17:$A$20,0)),1)</f>
        <v/>
      </c>
      <c r="L1033" s="19" t="n">
        <v>1</v>
      </c>
      <c r="M1033" s="11" t="n">
        <v>1</v>
      </c>
      <c r="N1033" s="19" t="n"/>
      <c r="O1033" s="19" t="n"/>
      <c r="P1033" s="19" t="n"/>
      <c r="Q1033" s="19" t="n"/>
      <c r="R1033" s="19" t="n"/>
      <c r="S1033" s="19" t="n"/>
      <c r="T1033" s="19" t="n"/>
      <c r="U1033" s="19" t="n"/>
      <c r="V1033" s="19" t="n"/>
      <c r="W1033" s="19" t="n"/>
      <c r="X1033" s="19" t="n"/>
      <c r="Y1033" s="19" t="n">
        <v>1</v>
      </c>
      <c r="Z1033" s="13">
        <f>SUMPRODUCT(N1033:Y1033,$N$2:$Y$2)*$K1033*$L1033*$M1033</f>
        <v/>
      </c>
      <c r="AA1033" s="14">
        <f>SUM(N1033:Y1033)</f>
        <v/>
      </c>
      <c r="AB1033" s="13">
        <f>SUMPRODUCT(N1033:Y1033,$N$3:$Y$3)*$K1033*$L1033*$M1033</f>
        <v/>
      </c>
      <c r="AC1033" s="13">
        <f>SUMPRODUCT(N1033:Y1033,$N$4:$Y$4)*$K1033*$L1033*$M1033</f>
        <v/>
      </c>
      <c r="AD1033" s="15" t="n">
        <v>3</v>
      </c>
      <c r="AE1033" s="11" t="n">
        <v>1.011296296296296</v>
      </c>
      <c r="AF1033" s="16">
        <f>SUMPRODUCT(N1033:Y1033,$N$5:$Y$5)*$K1033*$L1033*$M1033</f>
        <v/>
      </c>
      <c r="AG1033" s="16">
        <f>SUMPRODUCT(N1033:Y1033,$N$6:$Y$6)*$K1033*$L1033*$M1033</f>
        <v/>
      </c>
      <c r="AH1033" s="20" t="n"/>
    </row>
    <row r="1034">
      <c r="A1034" s="9" t="n">
        <v>835024</v>
      </c>
      <c r="B1034" s="9" t="inlineStr">
        <is>
          <t>Connor Knox</t>
        </is>
      </c>
      <c r="C1034" s="9" t="inlineStr">
        <is>
          <t>CHC</t>
        </is>
      </c>
      <c r="D1034" s="9" t="n">
        <v>25</v>
      </c>
      <c r="E1034" s="18" t="inlineStr">
        <is>
          <t>R</t>
        </is>
      </c>
      <c r="F1034" s="18" t="n"/>
      <c r="G1034" s="9" t="n">
        <v>3.956</v>
      </c>
      <c r="H1034" s="9" t="n">
        <v>3.956</v>
      </c>
      <c r="I1034" s="9" t="inlineStr">
        <is>
          <t>Depth (no MLB IP)</t>
        </is>
      </c>
      <c r="J1034" s="18" t="inlineStr">
        <is>
          <t>Opening Day</t>
        </is>
      </c>
      <c r="K1034" s="11">
        <f>IFERROR(INDEX(Roles!$B$17:$B$20,MATCH(J1034,Roles!$A$17:$A$20,0)),1)</f>
        <v/>
      </c>
      <c r="L1034" s="19" t="n">
        <v>1</v>
      </c>
      <c r="M1034" s="11" t="n">
        <v>1</v>
      </c>
      <c r="N1034" s="19" t="n"/>
      <c r="O1034" s="19" t="n"/>
      <c r="P1034" s="19" t="n"/>
      <c r="Q1034" s="19" t="n"/>
      <c r="R1034" s="19" t="n"/>
      <c r="S1034" s="19" t="n"/>
      <c r="T1034" s="19" t="n"/>
      <c r="U1034" s="19" t="n"/>
      <c r="V1034" s="19" t="n"/>
      <c r="W1034" s="19" t="n"/>
      <c r="X1034" s="19" t="n"/>
      <c r="Y1034" s="19" t="n">
        <v>1</v>
      </c>
      <c r="Z1034" s="13">
        <f>SUMPRODUCT(N1034:Y1034,$N$2:$Y$2)*$K1034*$L1034*$M1034</f>
        <v/>
      </c>
      <c r="AA1034" s="14">
        <f>SUM(N1034:Y1034)</f>
        <v/>
      </c>
      <c r="AB1034" s="13">
        <f>SUMPRODUCT(N1034:Y1034,$N$3:$Y$3)*$K1034*$L1034*$M1034</f>
        <v/>
      </c>
      <c r="AC1034" s="13">
        <f>SUMPRODUCT(N1034:Y1034,$N$4:$Y$4)*$K1034*$L1034*$M1034</f>
        <v/>
      </c>
      <c r="AD1034" s="15" t="n">
        <v>3</v>
      </c>
      <c r="AE1034" s="11" t="n">
        <v>1.011296296296296</v>
      </c>
      <c r="AF1034" s="16">
        <f>SUMPRODUCT(N1034:Y1034,$N$5:$Y$5)*$K1034*$L1034*$M1034</f>
        <v/>
      </c>
      <c r="AG1034" s="16">
        <f>SUMPRODUCT(N1034:Y1034,$N$6:$Y$6)*$K1034*$L1034*$M1034</f>
        <v/>
      </c>
      <c r="AH1034" s="20" t="n"/>
    </row>
    <row r="1035">
      <c r="A1035" s="9" t="n">
        <v>825751</v>
      </c>
      <c r="B1035" s="9" t="inlineStr">
        <is>
          <t>Gerardo Lopez</t>
        </is>
      </c>
      <c r="C1035" s="9" t="inlineStr">
        <is>
          <t>PHI</t>
        </is>
      </c>
      <c r="D1035" s="9" t="n">
        <v>25</v>
      </c>
      <c r="E1035" s="18" t="inlineStr">
        <is>
          <t>R</t>
        </is>
      </c>
      <c r="F1035" s="18" t="n"/>
      <c r="G1035" s="9" t="n">
        <v>4.3</v>
      </c>
      <c r="H1035" s="9" t="n">
        <v>4.3</v>
      </c>
      <c r="I1035" s="9" t="inlineStr">
        <is>
          <t>Depth (no MLB IP)</t>
        </is>
      </c>
      <c r="J1035" s="18" t="inlineStr">
        <is>
          <t>Opening Day</t>
        </is>
      </c>
      <c r="K1035" s="11">
        <f>IFERROR(INDEX(Roles!$B$17:$B$20,MATCH(J1035,Roles!$A$17:$A$20,0)),1)</f>
        <v/>
      </c>
      <c r="L1035" s="19" t="n">
        <v>1</v>
      </c>
      <c r="M1035" s="11" t="n">
        <v>1</v>
      </c>
      <c r="N1035" s="19" t="n"/>
      <c r="O1035" s="19" t="n"/>
      <c r="P1035" s="19" t="n"/>
      <c r="Q1035" s="19" t="n"/>
      <c r="R1035" s="19" t="n"/>
      <c r="S1035" s="19" t="n"/>
      <c r="T1035" s="19" t="n"/>
      <c r="U1035" s="19" t="n"/>
      <c r="V1035" s="19" t="n"/>
      <c r="W1035" s="19" t="n"/>
      <c r="X1035" s="19" t="n"/>
      <c r="Y1035" s="19" t="n">
        <v>1</v>
      </c>
      <c r="Z1035" s="13">
        <f>SUMPRODUCT(N1035:Y1035,$N$2:$Y$2)*$K1035*$L1035*$M1035</f>
        <v/>
      </c>
      <c r="AA1035" s="14">
        <f>SUM(N1035:Y1035)</f>
        <v/>
      </c>
      <c r="AB1035" s="13">
        <f>SUMPRODUCT(N1035:Y1035,$N$3:$Y$3)*$K1035*$L1035*$M1035</f>
        <v/>
      </c>
      <c r="AC1035" s="13">
        <f>SUMPRODUCT(N1035:Y1035,$N$4:$Y$4)*$K1035*$L1035*$M1035</f>
        <v/>
      </c>
      <c r="AD1035" s="15" t="n">
        <v>3</v>
      </c>
      <c r="AE1035" s="11" t="n">
        <v>1.011296296296296</v>
      </c>
      <c r="AF1035" s="16">
        <f>SUMPRODUCT(N1035:Y1035,$N$5:$Y$5)*$K1035*$L1035*$M1035</f>
        <v/>
      </c>
      <c r="AG1035" s="16">
        <f>SUMPRODUCT(N1035:Y1035,$N$6:$Y$6)*$K1035*$L1035*$M1035</f>
        <v/>
      </c>
      <c r="AH1035" s="20" t="n"/>
    </row>
    <row r="1036">
      <c r="A1036" s="9" t="n">
        <v>824445</v>
      </c>
      <c r="B1036" s="9" t="inlineStr">
        <is>
          <t>Austin Breedlove</t>
        </is>
      </c>
      <c r="C1036" s="9" t="inlineStr">
        <is>
          <t>NYY</t>
        </is>
      </c>
      <c r="D1036" s="9" t="n">
        <v>25</v>
      </c>
      <c r="E1036" s="18" t="inlineStr">
        <is>
          <t>R</t>
        </is>
      </c>
      <c r="F1036" s="18" t="n"/>
      <c r="G1036" s="9" t="n">
        <v>3.956</v>
      </c>
      <c r="H1036" s="9" t="n">
        <v>3.956</v>
      </c>
      <c r="I1036" s="9" t="inlineStr">
        <is>
          <t>Depth (no MLB IP)</t>
        </is>
      </c>
      <c r="J1036" s="18" t="inlineStr">
        <is>
          <t>Opening Day</t>
        </is>
      </c>
      <c r="K1036" s="11">
        <f>IFERROR(INDEX(Roles!$B$17:$B$20,MATCH(J1036,Roles!$A$17:$A$20,0)),1)</f>
        <v/>
      </c>
      <c r="L1036" s="19" t="n">
        <v>1</v>
      </c>
      <c r="M1036" s="11" t="n">
        <v>1</v>
      </c>
      <c r="N1036" s="19" t="n"/>
      <c r="O1036" s="19" t="n"/>
      <c r="P1036" s="19" t="n"/>
      <c r="Q1036" s="19" t="n"/>
      <c r="R1036" s="19" t="n"/>
      <c r="S1036" s="19" t="n"/>
      <c r="T1036" s="19" t="n"/>
      <c r="U1036" s="19" t="n"/>
      <c r="V1036" s="19" t="n"/>
      <c r="W1036" s="19" t="n"/>
      <c r="X1036" s="19" t="n"/>
      <c r="Y1036" s="19" t="n">
        <v>1</v>
      </c>
      <c r="Z1036" s="13">
        <f>SUMPRODUCT(N1036:Y1036,$N$2:$Y$2)*$K1036*$L1036*$M1036</f>
        <v/>
      </c>
      <c r="AA1036" s="14">
        <f>SUM(N1036:Y1036)</f>
        <v/>
      </c>
      <c r="AB1036" s="13">
        <f>SUMPRODUCT(N1036:Y1036,$N$3:$Y$3)*$K1036*$L1036*$M1036</f>
        <v/>
      </c>
      <c r="AC1036" s="13">
        <f>SUMPRODUCT(N1036:Y1036,$N$4:$Y$4)*$K1036*$L1036*$M1036</f>
        <v/>
      </c>
      <c r="AD1036" s="15" t="n">
        <v>3</v>
      </c>
      <c r="AE1036" s="11" t="n">
        <v>1.011296296296296</v>
      </c>
      <c r="AF1036" s="16">
        <f>SUMPRODUCT(N1036:Y1036,$N$5:$Y$5)*$K1036*$L1036*$M1036</f>
        <v/>
      </c>
      <c r="AG1036" s="16">
        <f>SUMPRODUCT(N1036:Y1036,$N$6:$Y$6)*$K1036*$L1036*$M1036</f>
        <v/>
      </c>
      <c r="AH1036" s="20" t="n"/>
    </row>
    <row r="1037">
      <c r="A1037" s="9" t="n">
        <v>823893</v>
      </c>
      <c r="B1037" s="9" t="inlineStr">
        <is>
          <t>Geovanny Vasquez</t>
        </is>
      </c>
      <c r="C1037" s="9" t="inlineStr">
        <is>
          <t>CHC</t>
        </is>
      </c>
      <c r="D1037" s="9" t="n">
        <v>25</v>
      </c>
      <c r="E1037" s="18" t="inlineStr">
        <is>
          <t>R</t>
        </is>
      </c>
      <c r="F1037" s="18" t="n"/>
      <c r="G1037" s="9" t="n">
        <v>3.956</v>
      </c>
      <c r="H1037" s="9" t="n">
        <v>3.956</v>
      </c>
      <c r="I1037" s="9" t="inlineStr">
        <is>
          <t>Depth (no MLB IP)</t>
        </is>
      </c>
      <c r="J1037" s="18" t="inlineStr">
        <is>
          <t>Opening Day</t>
        </is>
      </c>
      <c r="K1037" s="11">
        <f>IFERROR(INDEX(Roles!$B$17:$B$20,MATCH(J1037,Roles!$A$17:$A$20,0)),1)</f>
        <v/>
      </c>
      <c r="L1037" s="19" t="n">
        <v>1</v>
      </c>
      <c r="M1037" s="11" t="n">
        <v>1</v>
      </c>
      <c r="N1037" s="19" t="n"/>
      <c r="O1037" s="19" t="n"/>
      <c r="P1037" s="19" t="n"/>
      <c r="Q1037" s="19" t="n"/>
      <c r="R1037" s="19" t="n"/>
      <c r="S1037" s="19" t="n"/>
      <c r="T1037" s="19" t="n"/>
      <c r="U1037" s="19" t="n"/>
      <c r="V1037" s="19" t="n"/>
      <c r="W1037" s="19" t="n"/>
      <c r="X1037" s="19" t="n"/>
      <c r="Y1037" s="19" t="n">
        <v>1</v>
      </c>
      <c r="Z1037" s="13">
        <f>SUMPRODUCT(N1037:Y1037,$N$2:$Y$2)*$K1037*$L1037*$M1037</f>
        <v/>
      </c>
      <c r="AA1037" s="14">
        <f>SUM(N1037:Y1037)</f>
        <v/>
      </c>
      <c r="AB1037" s="13">
        <f>SUMPRODUCT(N1037:Y1037,$N$3:$Y$3)*$K1037*$L1037*$M1037</f>
        <v/>
      </c>
      <c r="AC1037" s="13">
        <f>SUMPRODUCT(N1037:Y1037,$N$4:$Y$4)*$K1037*$L1037*$M1037</f>
        <v/>
      </c>
      <c r="AD1037" s="15" t="n">
        <v>3</v>
      </c>
      <c r="AE1037" s="11" t="n">
        <v>1.011296296296296</v>
      </c>
      <c r="AF1037" s="16">
        <f>SUMPRODUCT(N1037:Y1037,$N$5:$Y$5)*$K1037*$L1037*$M1037</f>
        <v/>
      </c>
      <c r="AG1037" s="16">
        <f>SUMPRODUCT(N1037:Y1037,$N$6:$Y$6)*$K1037*$L1037*$M1037</f>
        <v/>
      </c>
      <c r="AH1037" s="20" t="n"/>
    </row>
    <row r="1038">
      <c r="A1038" s="9" t="n">
        <v>702374</v>
      </c>
      <c r="B1038" s="9" t="inlineStr">
        <is>
          <t>Yenfri Sosa</t>
        </is>
      </c>
      <c r="C1038" s="9" t="inlineStr">
        <is>
          <t>MIA</t>
        </is>
      </c>
      <c r="D1038" s="9" t="n">
        <v>25</v>
      </c>
      <c r="E1038" s="18" t="inlineStr">
        <is>
          <t>L</t>
        </is>
      </c>
      <c r="F1038" s="18" t="n"/>
      <c r="G1038" s="9" t="n">
        <v>3.956</v>
      </c>
      <c r="H1038" s="9" t="n">
        <v>3.956</v>
      </c>
      <c r="I1038" s="9" t="inlineStr">
        <is>
          <t>Depth (no MLB IP)</t>
        </is>
      </c>
      <c r="J1038" s="18" t="inlineStr">
        <is>
          <t>Opening Day</t>
        </is>
      </c>
      <c r="K1038" s="11">
        <f>IFERROR(INDEX(Roles!$B$17:$B$20,MATCH(J1038,Roles!$A$17:$A$20,0)),1)</f>
        <v/>
      </c>
      <c r="L1038" s="19" t="n">
        <v>1</v>
      </c>
      <c r="M1038" s="11" t="n">
        <v>1</v>
      </c>
      <c r="N1038" s="19" t="n"/>
      <c r="O1038" s="19" t="n"/>
      <c r="P1038" s="19" t="n"/>
      <c r="Q1038" s="19" t="n"/>
      <c r="R1038" s="19" t="n"/>
      <c r="S1038" s="19" t="n"/>
      <c r="T1038" s="19" t="n"/>
      <c r="U1038" s="19" t="n"/>
      <c r="V1038" s="19" t="n"/>
      <c r="W1038" s="19" t="n"/>
      <c r="X1038" s="19" t="n"/>
      <c r="Y1038" s="19" t="n">
        <v>1</v>
      </c>
      <c r="Z1038" s="13">
        <f>SUMPRODUCT(N1038:Y1038,$N$2:$Y$2)*$K1038*$L1038*$M1038</f>
        <v/>
      </c>
      <c r="AA1038" s="14">
        <f>SUM(N1038:Y1038)</f>
        <v/>
      </c>
      <c r="AB1038" s="13">
        <f>SUMPRODUCT(N1038:Y1038,$N$3:$Y$3)*$K1038*$L1038*$M1038</f>
        <v/>
      </c>
      <c r="AC1038" s="13">
        <f>SUMPRODUCT(N1038:Y1038,$N$4:$Y$4)*$K1038*$L1038*$M1038</f>
        <v/>
      </c>
      <c r="AD1038" s="15" t="n">
        <v>3</v>
      </c>
      <c r="AE1038" s="11" t="n">
        <v>1.011296296296296</v>
      </c>
      <c r="AF1038" s="16">
        <f>SUMPRODUCT(N1038:Y1038,$N$5:$Y$5)*$K1038*$L1038*$M1038</f>
        <v/>
      </c>
      <c r="AG1038" s="16">
        <f>SUMPRODUCT(N1038:Y1038,$N$6:$Y$6)*$K1038*$L1038*$M1038</f>
        <v/>
      </c>
      <c r="AH1038" s="20" t="n"/>
    </row>
    <row r="1039">
      <c r="A1039" s="9" t="n">
        <v>691000</v>
      </c>
      <c r="B1039" s="9" t="inlineStr">
        <is>
          <t>Carson Montgomery</t>
        </is>
      </c>
      <c r="C1039" s="9" t="inlineStr">
        <is>
          <t>SD</t>
        </is>
      </c>
      <c r="D1039" s="9" t="n">
        <v>25</v>
      </c>
      <c r="E1039" s="18" t="inlineStr">
        <is>
          <t>R</t>
        </is>
      </c>
      <c r="F1039" s="18" t="n"/>
      <c r="G1039" s="9" t="n">
        <v>4.013333333333333</v>
      </c>
      <c r="H1039" s="9" t="n">
        <v>4.013333333333333</v>
      </c>
      <c r="I1039" s="9" t="inlineStr">
        <is>
          <t>Depth (no MLB IP)</t>
        </is>
      </c>
      <c r="J1039" s="18" t="inlineStr">
        <is>
          <t>Opening Day</t>
        </is>
      </c>
      <c r="K1039" s="11">
        <f>IFERROR(INDEX(Roles!$B$17:$B$20,MATCH(J1039,Roles!$A$17:$A$20,0)),1)</f>
        <v/>
      </c>
      <c r="L1039" s="19" t="n">
        <v>1</v>
      </c>
      <c r="M1039" s="11" t="n">
        <v>1</v>
      </c>
      <c r="N1039" s="19" t="n"/>
      <c r="O1039" s="19" t="n"/>
      <c r="P1039" s="19" t="n"/>
      <c r="Q1039" s="19" t="n"/>
      <c r="R1039" s="19" t="n"/>
      <c r="S1039" s="19" t="n"/>
      <c r="T1039" s="19" t="n"/>
      <c r="U1039" s="19" t="n"/>
      <c r="V1039" s="19" t="n"/>
      <c r="W1039" s="19" t="n"/>
      <c r="X1039" s="19" t="n"/>
      <c r="Y1039" s="19" t="n">
        <v>1</v>
      </c>
      <c r="Z1039" s="13">
        <f>SUMPRODUCT(N1039:Y1039,$N$2:$Y$2)*$K1039*$L1039*$M1039</f>
        <v/>
      </c>
      <c r="AA1039" s="14">
        <f>SUM(N1039:Y1039)</f>
        <v/>
      </c>
      <c r="AB1039" s="13">
        <f>SUMPRODUCT(N1039:Y1039,$N$3:$Y$3)*$K1039*$L1039*$M1039</f>
        <v/>
      </c>
      <c r="AC1039" s="13">
        <f>SUMPRODUCT(N1039:Y1039,$N$4:$Y$4)*$K1039*$L1039*$M1039</f>
        <v/>
      </c>
      <c r="AD1039" s="15" t="n">
        <v>3</v>
      </c>
      <c r="AE1039" s="11" t="n">
        <v>1.011296296296296</v>
      </c>
      <c r="AF1039" s="16">
        <f>SUMPRODUCT(N1039:Y1039,$N$5:$Y$5)*$K1039*$L1039*$M1039</f>
        <v/>
      </c>
      <c r="AG1039" s="16">
        <f>SUMPRODUCT(N1039:Y1039,$N$6:$Y$6)*$K1039*$L1039*$M1039</f>
        <v/>
      </c>
      <c r="AH1039" s="20" t="n"/>
    </row>
    <row r="1040">
      <c r="A1040" s="9" t="n">
        <v>801799</v>
      </c>
      <c r="B1040" s="9" t="inlineStr">
        <is>
          <t>Matthew Becker</t>
        </is>
      </c>
      <c r="C1040" s="9" t="inlineStr">
        <is>
          <t>MIN</t>
        </is>
      </c>
      <c r="D1040" s="9" t="n">
        <v>25</v>
      </c>
      <c r="E1040" s="18" t="inlineStr">
        <is>
          <t>L</t>
        </is>
      </c>
      <c r="F1040" s="18" t="n"/>
      <c r="G1040" s="9" t="n">
        <v>4.3</v>
      </c>
      <c r="H1040" s="9" t="n">
        <v>4.3</v>
      </c>
      <c r="I1040" s="9" t="inlineStr">
        <is>
          <t>Depth (no MLB IP)</t>
        </is>
      </c>
      <c r="J1040" s="18" t="inlineStr">
        <is>
          <t>Opening Day</t>
        </is>
      </c>
      <c r="K1040" s="11">
        <f>IFERROR(INDEX(Roles!$B$17:$B$20,MATCH(J1040,Roles!$A$17:$A$20,0)),1)</f>
        <v/>
      </c>
      <c r="L1040" s="19" t="n">
        <v>1</v>
      </c>
      <c r="M1040" s="11" t="n">
        <v>1</v>
      </c>
      <c r="N1040" s="19" t="n"/>
      <c r="O1040" s="19" t="n"/>
      <c r="P1040" s="19" t="n"/>
      <c r="Q1040" s="19" t="n"/>
      <c r="R1040" s="19" t="n"/>
      <c r="S1040" s="19" t="n"/>
      <c r="T1040" s="19" t="n"/>
      <c r="U1040" s="19" t="n"/>
      <c r="V1040" s="19" t="n"/>
      <c r="W1040" s="19" t="n"/>
      <c r="X1040" s="19" t="n"/>
      <c r="Y1040" s="19" t="n">
        <v>1</v>
      </c>
      <c r="Z1040" s="13">
        <f>SUMPRODUCT(N1040:Y1040,$N$2:$Y$2)*$K1040*$L1040*$M1040</f>
        <v/>
      </c>
      <c r="AA1040" s="14">
        <f>SUM(N1040:Y1040)</f>
        <v/>
      </c>
      <c r="AB1040" s="13">
        <f>SUMPRODUCT(N1040:Y1040,$N$3:$Y$3)*$K1040*$L1040*$M1040</f>
        <v/>
      </c>
      <c r="AC1040" s="13">
        <f>SUMPRODUCT(N1040:Y1040,$N$4:$Y$4)*$K1040*$L1040*$M1040</f>
        <v/>
      </c>
      <c r="AD1040" s="15" t="n">
        <v>3</v>
      </c>
      <c r="AE1040" s="11" t="n">
        <v>1.011296296296296</v>
      </c>
      <c r="AF1040" s="16">
        <f>SUMPRODUCT(N1040:Y1040,$N$5:$Y$5)*$K1040*$L1040*$M1040</f>
        <v/>
      </c>
      <c r="AG1040" s="16">
        <f>SUMPRODUCT(N1040:Y1040,$N$6:$Y$6)*$K1040*$L1040*$M1040</f>
        <v/>
      </c>
      <c r="AH1040" s="20" t="n"/>
    </row>
    <row r="1041">
      <c r="A1041" s="9" t="n">
        <v>824213</v>
      </c>
      <c r="B1041" s="9" t="inlineStr">
        <is>
          <t>Josehp Marte</t>
        </is>
      </c>
      <c r="C1041" s="9" t="inlineStr">
        <is>
          <t>LAD</t>
        </is>
      </c>
      <c r="D1041" s="9" t="n">
        <v>25</v>
      </c>
      <c r="E1041" s="18" t="inlineStr">
        <is>
          <t>R</t>
        </is>
      </c>
      <c r="F1041" s="18" t="n"/>
      <c r="G1041" s="9" t="n">
        <v>3.956</v>
      </c>
      <c r="H1041" s="9" t="n">
        <v>3.956</v>
      </c>
      <c r="I1041" s="9" t="inlineStr">
        <is>
          <t>Depth (no MLB IP)</t>
        </is>
      </c>
      <c r="J1041" s="18" t="inlineStr">
        <is>
          <t>Opening Day</t>
        </is>
      </c>
      <c r="K1041" s="11">
        <f>IFERROR(INDEX(Roles!$B$17:$B$20,MATCH(J1041,Roles!$A$17:$A$20,0)),1)</f>
        <v/>
      </c>
      <c r="L1041" s="19" t="n">
        <v>1</v>
      </c>
      <c r="M1041" s="11" t="n">
        <v>1</v>
      </c>
      <c r="N1041" s="19" t="n"/>
      <c r="O1041" s="19" t="n"/>
      <c r="P1041" s="19" t="n"/>
      <c r="Q1041" s="19" t="n"/>
      <c r="R1041" s="19" t="n"/>
      <c r="S1041" s="19" t="n"/>
      <c r="T1041" s="19" t="n"/>
      <c r="U1041" s="19" t="n"/>
      <c r="V1041" s="19" t="n"/>
      <c r="W1041" s="19" t="n"/>
      <c r="X1041" s="19" t="n"/>
      <c r="Y1041" s="19" t="n">
        <v>1</v>
      </c>
      <c r="Z1041" s="13">
        <f>SUMPRODUCT(N1041:Y1041,$N$2:$Y$2)*$K1041*$L1041*$M1041</f>
        <v/>
      </c>
      <c r="AA1041" s="14">
        <f>SUM(N1041:Y1041)</f>
        <v/>
      </c>
      <c r="AB1041" s="13">
        <f>SUMPRODUCT(N1041:Y1041,$N$3:$Y$3)*$K1041*$L1041*$M1041</f>
        <v/>
      </c>
      <c r="AC1041" s="13">
        <f>SUMPRODUCT(N1041:Y1041,$N$4:$Y$4)*$K1041*$L1041*$M1041</f>
        <v/>
      </c>
      <c r="AD1041" s="15" t="n">
        <v>3</v>
      </c>
      <c r="AE1041" s="11" t="n">
        <v>1.011296296296296</v>
      </c>
      <c r="AF1041" s="16">
        <f>SUMPRODUCT(N1041:Y1041,$N$5:$Y$5)*$K1041*$L1041*$M1041</f>
        <v/>
      </c>
      <c r="AG1041" s="16">
        <f>SUMPRODUCT(N1041:Y1041,$N$6:$Y$6)*$K1041*$L1041*$M1041</f>
        <v/>
      </c>
      <c r="AH1041" s="20" t="n"/>
    </row>
    <row r="1042">
      <c r="A1042" s="9" t="n">
        <v>805238</v>
      </c>
      <c r="B1042" s="9" t="inlineStr">
        <is>
          <t>Cesar Espinal</t>
        </is>
      </c>
      <c r="C1042" s="9" t="inlineStr">
        <is>
          <t>MIL</t>
        </is>
      </c>
      <c r="D1042" s="9" t="n">
        <v>25</v>
      </c>
      <c r="E1042" s="18" t="inlineStr">
        <is>
          <t>R</t>
        </is>
      </c>
      <c r="F1042" s="18" t="n"/>
      <c r="G1042" s="9" t="n">
        <v>4.3</v>
      </c>
      <c r="H1042" s="9" t="n">
        <v>4.3</v>
      </c>
      <c r="I1042" s="9" t="inlineStr">
        <is>
          <t>Depth (no MLB IP)</t>
        </is>
      </c>
      <c r="J1042" s="18" t="inlineStr">
        <is>
          <t>Opening Day</t>
        </is>
      </c>
      <c r="K1042" s="11">
        <f>IFERROR(INDEX(Roles!$B$17:$B$20,MATCH(J1042,Roles!$A$17:$A$20,0)),1)</f>
        <v/>
      </c>
      <c r="L1042" s="19" t="n">
        <v>1</v>
      </c>
      <c r="M1042" s="11" t="n">
        <v>1</v>
      </c>
      <c r="N1042" s="19" t="n"/>
      <c r="O1042" s="19" t="n"/>
      <c r="P1042" s="19" t="n"/>
      <c r="Q1042" s="19" t="n"/>
      <c r="R1042" s="19" t="n"/>
      <c r="S1042" s="19" t="n"/>
      <c r="T1042" s="19" t="n"/>
      <c r="U1042" s="19" t="n"/>
      <c r="V1042" s="19" t="n"/>
      <c r="W1042" s="19" t="n"/>
      <c r="X1042" s="19" t="n"/>
      <c r="Y1042" s="19" t="n">
        <v>1</v>
      </c>
      <c r="Z1042" s="13">
        <f>SUMPRODUCT(N1042:Y1042,$N$2:$Y$2)*$K1042*$L1042*$M1042</f>
        <v/>
      </c>
      <c r="AA1042" s="14">
        <f>SUM(N1042:Y1042)</f>
        <v/>
      </c>
      <c r="AB1042" s="13">
        <f>SUMPRODUCT(N1042:Y1042,$N$3:$Y$3)*$K1042*$L1042*$M1042</f>
        <v/>
      </c>
      <c r="AC1042" s="13">
        <f>SUMPRODUCT(N1042:Y1042,$N$4:$Y$4)*$K1042*$L1042*$M1042</f>
        <v/>
      </c>
      <c r="AD1042" s="15" t="n">
        <v>3</v>
      </c>
      <c r="AE1042" s="11" t="n">
        <v>1.011296296296296</v>
      </c>
      <c r="AF1042" s="16">
        <f>SUMPRODUCT(N1042:Y1042,$N$5:$Y$5)*$K1042*$L1042*$M1042</f>
        <v/>
      </c>
      <c r="AG1042" s="16">
        <f>SUMPRODUCT(N1042:Y1042,$N$6:$Y$6)*$K1042*$L1042*$M1042</f>
        <v/>
      </c>
      <c r="AH1042" s="20" t="n"/>
    </row>
    <row r="1043">
      <c r="A1043" s="9" t="n">
        <v>832457</v>
      </c>
      <c r="B1043" s="9" t="inlineStr">
        <is>
          <t>CJ Gray</t>
        </is>
      </c>
      <c r="C1043" s="9" t="inlineStr">
        <is>
          <t>LAA</t>
        </is>
      </c>
      <c r="D1043" s="9" t="n">
        <v>25</v>
      </c>
      <c r="E1043" s="18" t="inlineStr">
        <is>
          <t>R</t>
        </is>
      </c>
      <c r="F1043" s="18" t="n"/>
      <c r="G1043" s="9" t="n">
        <v>4.128</v>
      </c>
      <c r="H1043" s="9" t="n">
        <v>4.128</v>
      </c>
      <c r="I1043" s="9" t="inlineStr">
        <is>
          <t>Depth (no MLB IP)</t>
        </is>
      </c>
      <c r="J1043" s="18" t="inlineStr">
        <is>
          <t>Opening Day</t>
        </is>
      </c>
      <c r="K1043" s="11">
        <f>IFERROR(INDEX(Roles!$B$17:$B$20,MATCH(J1043,Roles!$A$17:$A$20,0)),1)</f>
        <v/>
      </c>
      <c r="L1043" s="19" t="n">
        <v>1</v>
      </c>
      <c r="M1043" s="11" t="n">
        <v>1</v>
      </c>
      <c r="N1043" s="19" t="n"/>
      <c r="O1043" s="19" t="n"/>
      <c r="P1043" s="19" t="n"/>
      <c r="Q1043" s="19" t="n"/>
      <c r="R1043" s="19" t="n"/>
      <c r="S1043" s="19" t="n"/>
      <c r="T1043" s="19" t="n"/>
      <c r="U1043" s="19" t="n"/>
      <c r="V1043" s="19" t="n"/>
      <c r="W1043" s="19" t="n"/>
      <c r="X1043" s="19" t="n"/>
      <c r="Y1043" s="19" t="n">
        <v>1</v>
      </c>
      <c r="Z1043" s="13">
        <f>SUMPRODUCT(N1043:Y1043,$N$2:$Y$2)*$K1043*$L1043*$M1043</f>
        <v/>
      </c>
      <c r="AA1043" s="14">
        <f>SUM(N1043:Y1043)</f>
        <v/>
      </c>
      <c r="AB1043" s="13">
        <f>SUMPRODUCT(N1043:Y1043,$N$3:$Y$3)*$K1043*$L1043*$M1043</f>
        <v/>
      </c>
      <c r="AC1043" s="13">
        <f>SUMPRODUCT(N1043:Y1043,$N$4:$Y$4)*$K1043*$L1043*$M1043</f>
        <v/>
      </c>
      <c r="AD1043" s="15" t="n">
        <v>3</v>
      </c>
      <c r="AE1043" s="11" t="n">
        <v>1.011296296296296</v>
      </c>
      <c r="AF1043" s="16">
        <f>SUMPRODUCT(N1043:Y1043,$N$5:$Y$5)*$K1043*$L1043*$M1043</f>
        <v/>
      </c>
      <c r="AG1043" s="16">
        <f>SUMPRODUCT(N1043:Y1043,$N$6:$Y$6)*$K1043*$L1043*$M1043</f>
        <v/>
      </c>
      <c r="AH1043" s="20" t="n"/>
    </row>
    <row r="1044">
      <c r="A1044" s="9" t="n">
        <v>678899</v>
      </c>
      <c r="B1044" s="9" t="inlineStr">
        <is>
          <t>Brayan Castillo</t>
        </is>
      </c>
      <c r="C1044" s="9" t="inlineStr">
        <is>
          <t>COL</t>
        </is>
      </c>
      <c r="D1044" s="9" t="n">
        <v>25</v>
      </c>
      <c r="E1044" s="18" t="inlineStr">
        <is>
          <t>R</t>
        </is>
      </c>
      <c r="F1044" s="18" t="n"/>
      <c r="G1044" s="9" t="n">
        <v>3.941666666666667</v>
      </c>
      <c r="H1044" s="9" t="n">
        <v>3.941666666666667</v>
      </c>
      <c r="I1044" s="9" t="inlineStr">
        <is>
          <t>Depth (no MLB IP)</t>
        </is>
      </c>
      <c r="J1044" s="18" t="inlineStr">
        <is>
          <t>Opening Day</t>
        </is>
      </c>
      <c r="K1044" s="11">
        <f>IFERROR(INDEX(Roles!$B$17:$B$20,MATCH(J1044,Roles!$A$17:$A$20,0)),1)</f>
        <v/>
      </c>
      <c r="L1044" s="19" t="n">
        <v>1</v>
      </c>
      <c r="M1044" s="11" t="n">
        <v>1</v>
      </c>
      <c r="N1044" s="19" t="n"/>
      <c r="O1044" s="19" t="n"/>
      <c r="P1044" s="19" t="n"/>
      <c r="Q1044" s="19" t="n"/>
      <c r="R1044" s="19" t="n"/>
      <c r="S1044" s="19" t="n"/>
      <c r="T1044" s="19" t="n"/>
      <c r="U1044" s="19" t="n"/>
      <c r="V1044" s="19" t="n"/>
      <c r="W1044" s="19" t="n"/>
      <c r="X1044" s="19" t="n"/>
      <c r="Y1044" s="19" t="n">
        <v>1</v>
      </c>
      <c r="Z1044" s="13">
        <f>SUMPRODUCT(N1044:Y1044,$N$2:$Y$2)*$K1044*$L1044*$M1044</f>
        <v/>
      </c>
      <c r="AA1044" s="14">
        <f>SUM(N1044:Y1044)</f>
        <v/>
      </c>
      <c r="AB1044" s="13">
        <f>SUMPRODUCT(N1044:Y1044,$N$3:$Y$3)*$K1044*$L1044*$M1044</f>
        <v/>
      </c>
      <c r="AC1044" s="13">
        <f>SUMPRODUCT(N1044:Y1044,$N$4:$Y$4)*$K1044*$L1044*$M1044</f>
        <v/>
      </c>
      <c r="AD1044" s="15" t="n">
        <v>3</v>
      </c>
      <c r="AE1044" s="11" t="n">
        <v>1.011296296296296</v>
      </c>
      <c r="AF1044" s="16">
        <f>SUMPRODUCT(N1044:Y1044,$N$5:$Y$5)*$K1044*$L1044*$M1044</f>
        <v/>
      </c>
      <c r="AG1044" s="16">
        <f>SUMPRODUCT(N1044:Y1044,$N$6:$Y$6)*$K1044*$L1044*$M1044</f>
        <v/>
      </c>
      <c r="AH1044" s="20" t="n"/>
    </row>
    <row r="1045">
      <c r="A1045" s="9" t="n">
        <v>689506</v>
      </c>
      <c r="B1045" s="9" t="inlineStr">
        <is>
          <t>Robbie Knowles</t>
        </is>
      </c>
      <c r="C1045" s="9" t="inlineStr">
        <is>
          <t>STL</t>
        </is>
      </c>
      <c r="D1045" s="9" t="n">
        <v>25</v>
      </c>
      <c r="E1045" s="18" t="inlineStr">
        <is>
          <t>R</t>
        </is>
      </c>
      <c r="F1045" s="18" t="n"/>
      <c r="G1045" s="9" t="n">
        <v>4.128</v>
      </c>
      <c r="H1045" s="9" t="n">
        <v>4.128</v>
      </c>
      <c r="I1045" s="9" t="inlineStr">
        <is>
          <t>Depth (no MLB IP)</t>
        </is>
      </c>
      <c r="J1045" s="18" t="inlineStr">
        <is>
          <t>Opening Day</t>
        </is>
      </c>
      <c r="K1045" s="11">
        <f>IFERROR(INDEX(Roles!$B$17:$B$20,MATCH(J1045,Roles!$A$17:$A$20,0)),1)</f>
        <v/>
      </c>
      <c r="L1045" s="19" t="n">
        <v>1</v>
      </c>
      <c r="M1045" s="11" t="n">
        <v>1</v>
      </c>
      <c r="N1045" s="19" t="n"/>
      <c r="O1045" s="19" t="n"/>
      <c r="P1045" s="19" t="n"/>
      <c r="Q1045" s="19" t="n"/>
      <c r="R1045" s="19" t="n"/>
      <c r="S1045" s="19" t="n"/>
      <c r="T1045" s="19" t="n"/>
      <c r="U1045" s="19" t="n"/>
      <c r="V1045" s="19" t="n"/>
      <c r="W1045" s="19" t="n"/>
      <c r="X1045" s="19" t="n"/>
      <c r="Y1045" s="19" t="n">
        <v>1</v>
      </c>
      <c r="Z1045" s="13">
        <f>SUMPRODUCT(N1045:Y1045,$N$2:$Y$2)*$K1045*$L1045*$M1045</f>
        <v/>
      </c>
      <c r="AA1045" s="14">
        <f>SUM(N1045:Y1045)</f>
        <v/>
      </c>
      <c r="AB1045" s="13">
        <f>SUMPRODUCT(N1045:Y1045,$N$3:$Y$3)*$K1045*$L1045*$M1045</f>
        <v/>
      </c>
      <c r="AC1045" s="13">
        <f>SUMPRODUCT(N1045:Y1045,$N$4:$Y$4)*$K1045*$L1045*$M1045</f>
        <v/>
      </c>
      <c r="AD1045" s="15" t="n">
        <v>3</v>
      </c>
      <c r="AE1045" s="11" t="n">
        <v>1.011296296296296</v>
      </c>
      <c r="AF1045" s="16">
        <f>SUMPRODUCT(N1045:Y1045,$N$5:$Y$5)*$K1045*$L1045*$M1045</f>
        <v/>
      </c>
      <c r="AG1045" s="16">
        <f>SUMPRODUCT(N1045:Y1045,$N$6:$Y$6)*$K1045*$L1045*$M1045</f>
        <v/>
      </c>
      <c r="AH1045" s="20" t="n"/>
    </row>
    <row r="1046">
      <c r="A1046" s="9" t="n">
        <v>694879</v>
      </c>
      <c r="B1046" s="9" t="inlineStr">
        <is>
          <t>Jack Crowder</t>
        </is>
      </c>
      <c r="C1046" s="9" t="inlineStr">
        <is>
          <t>BAL</t>
        </is>
      </c>
      <c r="D1046" s="9" t="n">
        <v>25</v>
      </c>
      <c r="E1046" s="18" t="inlineStr">
        <is>
          <t>R</t>
        </is>
      </c>
      <c r="F1046" s="18" t="n"/>
      <c r="G1046" s="9" t="n">
        <v>4.3</v>
      </c>
      <c r="H1046" s="9" t="n">
        <v>4.3</v>
      </c>
      <c r="I1046" s="9" t="inlineStr">
        <is>
          <t>Depth (no MLB IP)</t>
        </is>
      </c>
      <c r="J1046" s="18" t="inlineStr">
        <is>
          <t>Opening Day</t>
        </is>
      </c>
      <c r="K1046" s="11">
        <f>IFERROR(INDEX(Roles!$B$17:$B$20,MATCH(J1046,Roles!$A$17:$A$20,0)),1)</f>
        <v/>
      </c>
      <c r="L1046" s="19" t="n">
        <v>1</v>
      </c>
      <c r="M1046" s="11" t="n">
        <v>1</v>
      </c>
      <c r="N1046" s="19" t="n"/>
      <c r="O1046" s="19" t="n"/>
      <c r="P1046" s="19" t="n"/>
      <c r="Q1046" s="19" t="n"/>
      <c r="R1046" s="19" t="n"/>
      <c r="S1046" s="19" t="n"/>
      <c r="T1046" s="19" t="n"/>
      <c r="U1046" s="19" t="n"/>
      <c r="V1046" s="19" t="n"/>
      <c r="W1046" s="19" t="n"/>
      <c r="X1046" s="19" t="n"/>
      <c r="Y1046" s="19" t="n">
        <v>1</v>
      </c>
      <c r="Z1046" s="13">
        <f>SUMPRODUCT(N1046:Y1046,$N$2:$Y$2)*$K1046*$L1046*$M1046</f>
        <v/>
      </c>
      <c r="AA1046" s="14">
        <f>SUM(N1046:Y1046)</f>
        <v/>
      </c>
      <c r="AB1046" s="13">
        <f>SUMPRODUCT(N1046:Y1046,$N$3:$Y$3)*$K1046*$L1046*$M1046</f>
        <v/>
      </c>
      <c r="AC1046" s="13">
        <f>SUMPRODUCT(N1046:Y1046,$N$4:$Y$4)*$K1046*$L1046*$M1046</f>
        <v/>
      </c>
      <c r="AD1046" s="15" t="n">
        <v>3</v>
      </c>
      <c r="AE1046" s="11" t="n">
        <v>1.011296296296296</v>
      </c>
      <c r="AF1046" s="16">
        <f>SUMPRODUCT(N1046:Y1046,$N$5:$Y$5)*$K1046*$L1046*$M1046</f>
        <v/>
      </c>
      <c r="AG1046" s="16">
        <f>SUMPRODUCT(N1046:Y1046,$N$6:$Y$6)*$K1046*$L1046*$M1046</f>
        <v/>
      </c>
      <c r="AH1046" s="20" t="n"/>
    </row>
    <row r="1047">
      <c r="A1047" s="9" t="n">
        <v>804984</v>
      </c>
      <c r="B1047" s="9" t="inlineStr">
        <is>
          <t>Sam Bower</t>
        </is>
      </c>
      <c r="C1047" s="9" t="inlineStr">
        <is>
          <t>SF</t>
        </is>
      </c>
      <c r="D1047" s="9" t="n">
        <v>25</v>
      </c>
      <c r="E1047" s="18" t="inlineStr">
        <is>
          <t>R</t>
        </is>
      </c>
      <c r="F1047" s="18" t="n"/>
      <c r="G1047" s="9" t="n">
        <v>4.013333333333334</v>
      </c>
      <c r="H1047" s="9" t="n">
        <v>4.013333333333334</v>
      </c>
      <c r="I1047" s="9" t="inlineStr">
        <is>
          <t>Depth (no MLB IP)</t>
        </is>
      </c>
      <c r="J1047" s="18" t="inlineStr">
        <is>
          <t>Opening Day</t>
        </is>
      </c>
      <c r="K1047" s="11">
        <f>IFERROR(INDEX(Roles!$B$17:$B$20,MATCH(J1047,Roles!$A$17:$A$20,0)),1)</f>
        <v/>
      </c>
      <c r="L1047" s="19" t="n">
        <v>1</v>
      </c>
      <c r="M1047" s="11" t="n">
        <v>1</v>
      </c>
      <c r="N1047" s="19" t="n"/>
      <c r="O1047" s="19" t="n"/>
      <c r="P1047" s="19" t="n"/>
      <c r="Q1047" s="19" t="n"/>
      <c r="R1047" s="19" t="n"/>
      <c r="S1047" s="19" t="n"/>
      <c r="T1047" s="19" t="n"/>
      <c r="U1047" s="19" t="n"/>
      <c r="V1047" s="19" t="n"/>
      <c r="W1047" s="19" t="n"/>
      <c r="X1047" s="19" t="n"/>
      <c r="Y1047" s="19" t="n">
        <v>1</v>
      </c>
      <c r="Z1047" s="13">
        <f>SUMPRODUCT(N1047:Y1047,$N$2:$Y$2)*$K1047*$L1047*$M1047</f>
        <v/>
      </c>
      <c r="AA1047" s="14">
        <f>SUM(N1047:Y1047)</f>
        <v/>
      </c>
      <c r="AB1047" s="13">
        <f>SUMPRODUCT(N1047:Y1047,$N$3:$Y$3)*$K1047*$L1047*$M1047</f>
        <v/>
      </c>
      <c r="AC1047" s="13">
        <f>SUMPRODUCT(N1047:Y1047,$N$4:$Y$4)*$K1047*$L1047*$M1047</f>
        <v/>
      </c>
      <c r="AD1047" s="15" t="n">
        <v>3</v>
      </c>
      <c r="AE1047" s="11" t="n">
        <v>1.011296296296296</v>
      </c>
      <c r="AF1047" s="16">
        <f>SUMPRODUCT(N1047:Y1047,$N$5:$Y$5)*$K1047*$L1047*$M1047</f>
        <v/>
      </c>
      <c r="AG1047" s="16">
        <f>SUMPRODUCT(N1047:Y1047,$N$6:$Y$6)*$K1047*$L1047*$M1047</f>
        <v/>
      </c>
      <c r="AH1047" s="20" t="n"/>
    </row>
    <row r="1048">
      <c r="A1048" s="9" t="n">
        <v>814343</v>
      </c>
      <c r="B1048" s="9" t="inlineStr">
        <is>
          <t>Danny Flatt</t>
        </is>
      </c>
      <c r="C1048" s="9" t="inlineStr">
        <is>
          <t>NYY</t>
        </is>
      </c>
      <c r="D1048" s="9" t="n">
        <v>25</v>
      </c>
      <c r="E1048" s="18" t="inlineStr">
        <is>
          <t>R</t>
        </is>
      </c>
      <c r="F1048" s="18" t="n"/>
      <c r="G1048" s="9" t="n">
        <v>4.3</v>
      </c>
      <c r="H1048" s="9" t="n">
        <v>4.3</v>
      </c>
      <c r="I1048" s="9" t="inlineStr">
        <is>
          <t>Depth (no MLB IP)</t>
        </is>
      </c>
      <c r="J1048" s="18" t="inlineStr">
        <is>
          <t>Opening Day</t>
        </is>
      </c>
      <c r="K1048" s="11">
        <f>IFERROR(INDEX(Roles!$B$17:$B$20,MATCH(J1048,Roles!$A$17:$A$20,0)),1)</f>
        <v/>
      </c>
      <c r="L1048" s="19" t="n">
        <v>1</v>
      </c>
      <c r="M1048" s="11" t="n">
        <v>1</v>
      </c>
      <c r="N1048" s="19" t="n"/>
      <c r="O1048" s="19" t="n"/>
      <c r="P1048" s="19" t="n"/>
      <c r="Q1048" s="19" t="n"/>
      <c r="R1048" s="19" t="n"/>
      <c r="S1048" s="19" t="n"/>
      <c r="T1048" s="19" t="n"/>
      <c r="U1048" s="19" t="n"/>
      <c r="V1048" s="19" t="n"/>
      <c r="W1048" s="19" t="n"/>
      <c r="X1048" s="19" t="n"/>
      <c r="Y1048" s="19" t="n">
        <v>1</v>
      </c>
      <c r="Z1048" s="13">
        <f>SUMPRODUCT(N1048:Y1048,$N$2:$Y$2)*$K1048*$L1048*$M1048</f>
        <v/>
      </c>
      <c r="AA1048" s="14">
        <f>SUM(N1048:Y1048)</f>
        <v/>
      </c>
      <c r="AB1048" s="13">
        <f>SUMPRODUCT(N1048:Y1048,$N$3:$Y$3)*$K1048*$L1048*$M1048</f>
        <v/>
      </c>
      <c r="AC1048" s="13">
        <f>SUMPRODUCT(N1048:Y1048,$N$4:$Y$4)*$K1048*$L1048*$M1048</f>
        <v/>
      </c>
      <c r="AD1048" s="15" t="n">
        <v>3</v>
      </c>
      <c r="AE1048" s="11" t="n">
        <v>1.011296296296296</v>
      </c>
      <c r="AF1048" s="16">
        <f>SUMPRODUCT(N1048:Y1048,$N$5:$Y$5)*$K1048*$L1048*$M1048</f>
        <v/>
      </c>
      <c r="AG1048" s="16">
        <f>SUMPRODUCT(N1048:Y1048,$N$6:$Y$6)*$K1048*$L1048*$M1048</f>
        <v/>
      </c>
      <c r="AH1048" s="20" t="n"/>
    </row>
    <row r="1049">
      <c r="A1049" s="9" t="n">
        <v>815069</v>
      </c>
      <c r="B1049" s="9" t="inlineStr">
        <is>
          <t>Andrew Landry</t>
        </is>
      </c>
      <c r="C1049" s="9" t="inlineStr">
        <is>
          <t>NYY</t>
        </is>
      </c>
      <c r="D1049" s="9" t="n">
        <v>25</v>
      </c>
      <c r="E1049" s="18" t="inlineStr">
        <is>
          <t>R</t>
        </is>
      </c>
      <c r="F1049" s="18" t="n"/>
      <c r="G1049" s="9" t="n">
        <v>4.013333333333333</v>
      </c>
      <c r="H1049" s="9" t="n">
        <v>4.013333333333333</v>
      </c>
      <c r="I1049" s="9" t="inlineStr">
        <is>
          <t>Depth (no MLB IP)</t>
        </is>
      </c>
      <c r="J1049" s="18" t="inlineStr">
        <is>
          <t>Opening Day</t>
        </is>
      </c>
      <c r="K1049" s="11">
        <f>IFERROR(INDEX(Roles!$B$17:$B$20,MATCH(J1049,Roles!$A$17:$A$20,0)),1)</f>
        <v/>
      </c>
      <c r="L1049" s="19" t="n">
        <v>1</v>
      </c>
      <c r="M1049" s="11" t="n">
        <v>1</v>
      </c>
      <c r="N1049" s="19" t="n"/>
      <c r="O1049" s="19" t="n"/>
      <c r="P1049" s="19" t="n"/>
      <c r="Q1049" s="19" t="n"/>
      <c r="R1049" s="19" t="n"/>
      <c r="S1049" s="19" t="n"/>
      <c r="T1049" s="19" t="n"/>
      <c r="U1049" s="19" t="n"/>
      <c r="V1049" s="19" t="n"/>
      <c r="W1049" s="19" t="n"/>
      <c r="X1049" s="19" t="n"/>
      <c r="Y1049" s="19" t="n">
        <v>1</v>
      </c>
      <c r="Z1049" s="13">
        <f>SUMPRODUCT(N1049:Y1049,$N$2:$Y$2)*$K1049*$L1049*$M1049</f>
        <v/>
      </c>
      <c r="AA1049" s="14">
        <f>SUM(N1049:Y1049)</f>
        <v/>
      </c>
      <c r="AB1049" s="13">
        <f>SUMPRODUCT(N1049:Y1049,$N$3:$Y$3)*$K1049*$L1049*$M1049</f>
        <v/>
      </c>
      <c r="AC1049" s="13">
        <f>SUMPRODUCT(N1049:Y1049,$N$4:$Y$4)*$K1049*$L1049*$M1049</f>
        <v/>
      </c>
      <c r="AD1049" s="15" t="n">
        <v>3</v>
      </c>
      <c r="AE1049" s="11" t="n">
        <v>1.011296296296296</v>
      </c>
      <c r="AF1049" s="16">
        <f>SUMPRODUCT(N1049:Y1049,$N$5:$Y$5)*$K1049*$L1049*$M1049</f>
        <v/>
      </c>
      <c r="AG1049" s="16">
        <f>SUMPRODUCT(N1049:Y1049,$N$6:$Y$6)*$K1049*$L1049*$M1049</f>
        <v/>
      </c>
      <c r="AH1049" s="20" t="n"/>
    </row>
    <row r="1050">
      <c r="A1050" s="9" t="n">
        <v>821193</v>
      </c>
      <c r="B1050" s="9" t="inlineStr">
        <is>
          <t>Josdanner Suarez</t>
        </is>
      </c>
      <c r="C1050" s="9" t="inlineStr">
        <is>
          <t>ARI</t>
        </is>
      </c>
      <c r="D1050" s="9" t="n">
        <v>25</v>
      </c>
      <c r="E1050" s="18" t="inlineStr">
        <is>
          <t>R</t>
        </is>
      </c>
      <c r="F1050" s="18" t="n"/>
      <c r="G1050" s="9" t="n">
        <v>3.956</v>
      </c>
      <c r="H1050" s="9" t="n">
        <v>3.956</v>
      </c>
      <c r="I1050" s="9" t="inlineStr">
        <is>
          <t>Depth (no MLB IP)</t>
        </is>
      </c>
      <c r="J1050" s="18" t="inlineStr">
        <is>
          <t>Opening Day</t>
        </is>
      </c>
      <c r="K1050" s="11">
        <f>IFERROR(INDEX(Roles!$B$17:$B$20,MATCH(J1050,Roles!$A$17:$A$20,0)),1)</f>
        <v/>
      </c>
      <c r="L1050" s="19" t="n">
        <v>1</v>
      </c>
      <c r="M1050" s="11" t="n">
        <v>1</v>
      </c>
      <c r="N1050" s="19" t="n"/>
      <c r="O1050" s="19" t="n"/>
      <c r="P1050" s="19" t="n"/>
      <c r="Q1050" s="19" t="n"/>
      <c r="R1050" s="19" t="n"/>
      <c r="S1050" s="19" t="n"/>
      <c r="T1050" s="19" t="n"/>
      <c r="U1050" s="19" t="n"/>
      <c r="V1050" s="19" t="n"/>
      <c r="W1050" s="19" t="n"/>
      <c r="X1050" s="19" t="n"/>
      <c r="Y1050" s="19" t="n">
        <v>1</v>
      </c>
      <c r="Z1050" s="13">
        <f>SUMPRODUCT(N1050:Y1050,$N$2:$Y$2)*$K1050*$L1050*$M1050</f>
        <v/>
      </c>
      <c r="AA1050" s="14">
        <f>SUM(N1050:Y1050)</f>
        <v/>
      </c>
      <c r="AB1050" s="13">
        <f>SUMPRODUCT(N1050:Y1050,$N$3:$Y$3)*$K1050*$L1050*$M1050</f>
        <v/>
      </c>
      <c r="AC1050" s="13">
        <f>SUMPRODUCT(N1050:Y1050,$N$4:$Y$4)*$K1050*$L1050*$M1050</f>
        <v/>
      </c>
      <c r="AD1050" s="15" t="n">
        <v>3</v>
      </c>
      <c r="AE1050" s="11" t="n">
        <v>1.011296296296296</v>
      </c>
      <c r="AF1050" s="16">
        <f>SUMPRODUCT(N1050:Y1050,$N$5:$Y$5)*$K1050*$L1050*$M1050</f>
        <v/>
      </c>
      <c r="AG1050" s="16">
        <f>SUMPRODUCT(N1050:Y1050,$N$6:$Y$6)*$K1050*$L1050*$M1050</f>
        <v/>
      </c>
      <c r="AH1050" s="20" t="n"/>
    </row>
    <row r="1051">
      <c r="A1051" s="9" t="n">
        <v>811600</v>
      </c>
      <c r="B1051" s="9" t="inlineStr">
        <is>
          <t>Abraham Parra</t>
        </is>
      </c>
      <c r="C1051" s="9" t="inlineStr">
        <is>
          <t>SD</t>
        </is>
      </c>
      <c r="D1051" s="9" t="n">
        <v>25</v>
      </c>
      <c r="E1051" s="18" t="inlineStr">
        <is>
          <t>R</t>
        </is>
      </c>
      <c r="F1051" s="18" t="n"/>
      <c r="G1051" s="9" t="n">
        <v>3.941666666666667</v>
      </c>
      <c r="H1051" s="9" t="n">
        <v>3.941666666666667</v>
      </c>
      <c r="I1051" s="9" t="inlineStr">
        <is>
          <t>Depth (no MLB IP)</t>
        </is>
      </c>
      <c r="J1051" s="18" t="inlineStr">
        <is>
          <t>Opening Day</t>
        </is>
      </c>
      <c r="K1051" s="11">
        <f>IFERROR(INDEX(Roles!$B$17:$B$20,MATCH(J1051,Roles!$A$17:$A$20,0)),1)</f>
        <v/>
      </c>
      <c r="L1051" s="19" t="n">
        <v>1</v>
      </c>
      <c r="M1051" s="11" t="n">
        <v>1</v>
      </c>
      <c r="N1051" s="19" t="n"/>
      <c r="O1051" s="19" t="n"/>
      <c r="P1051" s="19" t="n"/>
      <c r="Q1051" s="19" t="n"/>
      <c r="R1051" s="19" t="n"/>
      <c r="S1051" s="19" t="n"/>
      <c r="T1051" s="19" t="n"/>
      <c r="U1051" s="19" t="n"/>
      <c r="V1051" s="19" t="n"/>
      <c r="W1051" s="19" t="n"/>
      <c r="X1051" s="19" t="n"/>
      <c r="Y1051" s="19" t="n">
        <v>1</v>
      </c>
      <c r="Z1051" s="13">
        <f>SUMPRODUCT(N1051:Y1051,$N$2:$Y$2)*$K1051*$L1051*$M1051</f>
        <v/>
      </c>
      <c r="AA1051" s="14">
        <f>SUM(N1051:Y1051)</f>
        <v/>
      </c>
      <c r="AB1051" s="13">
        <f>SUMPRODUCT(N1051:Y1051,$N$3:$Y$3)*$K1051*$L1051*$M1051</f>
        <v/>
      </c>
      <c r="AC1051" s="13">
        <f>SUMPRODUCT(N1051:Y1051,$N$4:$Y$4)*$K1051*$L1051*$M1051</f>
        <v/>
      </c>
      <c r="AD1051" s="15" t="n">
        <v>3</v>
      </c>
      <c r="AE1051" s="11" t="n">
        <v>1.011296296296296</v>
      </c>
      <c r="AF1051" s="16">
        <f>SUMPRODUCT(N1051:Y1051,$N$5:$Y$5)*$K1051*$L1051*$M1051</f>
        <v/>
      </c>
      <c r="AG1051" s="16">
        <f>SUMPRODUCT(N1051:Y1051,$N$6:$Y$6)*$K1051*$L1051*$M1051</f>
        <v/>
      </c>
      <c r="AH1051" s="20" t="n"/>
    </row>
    <row r="1052">
      <c r="A1052" s="9" t="n">
        <v>822476</v>
      </c>
      <c r="B1052" s="9" t="inlineStr">
        <is>
          <t>Connor O'Hara</t>
        </is>
      </c>
      <c r="C1052" s="9" t="inlineStr">
        <is>
          <t>TEX</t>
        </is>
      </c>
      <c r="D1052" s="9" t="n">
        <v>25</v>
      </c>
      <c r="E1052" s="18" t="inlineStr">
        <is>
          <t>R</t>
        </is>
      </c>
      <c r="F1052" s="18" t="n"/>
      <c r="G1052" s="9" t="n">
        <v>4.3</v>
      </c>
      <c r="H1052" s="9" t="n">
        <v>4.3</v>
      </c>
      <c r="I1052" s="9" t="inlineStr">
        <is>
          <t>Depth (no MLB IP)</t>
        </is>
      </c>
      <c r="J1052" s="18" t="inlineStr">
        <is>
          <t>Opening Day</t>
        </is>
      </c>
      <c r="K1052" s="11">
        <f>IFERROR(INDEX(Roles!$B$17:$B$20,MATCH(J1052,Roles!$A$17:$A$20,0)),1)</f>
        <v/>
      </c>
      <c r="L1052" s="19" t="n">
        <v>1</v>
      </c>
      <c r="M1052" s="11" t="n">
        <v>1</v>
      </c>
      <c r="N1052" s="19" t="n"/>
      <c r="O1052" s="19" t="n"/>
      <c r="P1052" s="19" t="n"/>
      <c r="Q1052" s="19" t="n"/>
      <c r="R1052" s="19" t="n"/>
      <c r="S1052" s="19" t="n"/>
      <c r="T1052" s="19" t="n"/>
      <c r="U1052" s="19" t="n"/>
      <c r="V1052" s="19" t="n"/>
      <c r="W1052" s="19" t="n"/>
      <c r="X1052" s="19" t="n"/>
      <c r="Y1052" s="19" t="n">
        <v>1</v>
      </c>
      <c r="Z1052" s="13">
        <f>SUMPRODUCT(N1052:Y1052,$N$2:$Y$2)*$K1052*$L1052*$M1052</f>
        <v/>
      </c>
      <c r="AA1052" s="14">
        <f>SUM(N1052:Y1052)</f>
        <v/>
      </c>
      <c r="AB1052" s="13">
        <f>SUMPRODUCT(N1052:Y1052,$N$3:$Y$3)*$K1052*$L1052*$M1052</f>
        <v/>
      </c>
      <c r="AC1052" s="13">
        <f>SUMPRODUCT(N1052:Y1052,$N$4:$Y$4)*$K1052*$L1052*$M1052</f>
        <v/>
      </c>
      <c r="AD1052" s="15" t="n">
        <v>3</v>
      </c>
      <c r="AE1052" s="11" t="n">
        <v>1.011296296296296</v>
      </c>
      <c r="AF1052" s="16">
        <f>SUMPRODUCT(N1052:Y1052,$N$5:$Y$5)*$K1052*$L1052*$M1052</f>
        <v/>
      </c>
      <c r="AG1052" s="16">
        <f>SUMPRODUCT(N1052:Y1052,$N$6:$Y$6)*$K1052*$L1052*$M1052</f>
        <v/>
      </c>
      <c r="AH1052" s="20" t="n"/>
    </row>
    <row r="1053">
      <c r="A1053" s="9" t="n">
        <v>827370</v>
      </c>
      <c r="B1053" s="9" t="inlineStr">
        <is>
          <t>Iker Redona</t>
        </is>
      </c>
      <c r="C1053" s="9" t="inlineStr">
        <is>
          <t>CIN</t>
        </is>
      </c>
      <c r="D1053" s="9" t="n">
        <v>25</v>
      </c>
      <c r="E1053" s="18" t="inlineStr">
        <is>
          <t>L</t>
        </is>
      </c>
      <c r="F1053" s="18" t="n"/>
      <c r="G1053" s="9" t="n">
        <v>4.472</v>
      </c>
      <c r="H1053" s="9" t="n">
        <v>4.472</v>
      </c>
      <c r="I1053" s="9" t="inlineStr">
        <is>
          <t>Depth (no MLB IP)</t>
        </is>
      </c>
      <c r="J1053" s="18" t="inlineStr">
        <is>
          <t>Opening Day</t>
        </is>
      </c>
      <c r="K1053" s="11">
        <f>IFERROR(INDEX(Roles!$B$17:$B$20,MATCH(J1053,Roles!$A$17:$A$20,0)),1)</f>
        <v/>
      </c>
      <c r="L1053" s="19" t="n">
        <v>1</v>
      </c>
      <c r="M1053" s="11" t="n">
        <v>1</v>
      </c>
      <c r="N1053" s="19" t="n"/>
      <c r="O1053" s="19" t="n"/>
      <c r="P1053" s="19" t="n"/>
      <c r="Q1053" s="19" t="n"/>
      <c r="R1053" s="19" t="n"/>
      <c r="S1053" s="19" t="n"/>
      <c r="T1053" s="19" t="n"/>
      <c r="U1053" s="19" t="n"/>
      <c r="V1053" s="19" t="n"/>
      <c r="W1053" s="19" t="n"/>
      <c r="X1053" s="19" t="n"/>
      <c r="Y1053" s="19" t="n">
        <v>1</v>
      </c>
      <c r="Z1053" s="13">
        <f>SUMPRODUCT(N1053:Y1053,$N$2:$Y$2)*$K1053*$L1053*$M1053</f>
        <v/>
      </c>
      <c r="AA1053" s="14">
        <f>SUM(N1053:Y1053)</f>
        <v/>
      </c>
      <c r="AB1053" s="13">
        <f>SUMPRODUCT(N1053:Y1053,$N$3:$Y$3)*$K1053*$L1053*$M1053</f>
        <v/>
      </c>
      <c r="AC1053" s="13">
        <f>SUMPRODUCT(N1053:Y1053,$N$4:$Y$4)*$K1053*$L1053*$M1053</f>
        <v/>
      </c>
      <c r="AD1053" s="15" t="n">
        <v>3</v>
      </c>
      <c r="AE1053" s="11" t="n">
        <v>1.011296296296296</v>
      </c>
      <c r="AF1053" s="16">
        <f>SUMPRODUCT(N1053:Y1053,$N$5:$Y$5)*$K1053*$L1053*$M1053</f>
        <v/>
      </c>
      <c r="AG1053" s="16">
        <f>SUMPRODUCT(N1053:Y1053,$N$6:$Y$6)*$K1053*$L1053*$M1053</f>
        <v/>
      </c>
      <c r="AH1053" s="20" t="n"/>
    </row>
    <row r="1054">
      <c r="A1054" s="9" t="n">
        <v>800970</v>
      </c>
      <c r="B1054" s="9" t="inlineStr">
        <is>
          <t>Landry Jurecka</t>
        </is>
      </c>
      <c r="C1054" s="9" t="inlineStr">
        <is>
          <t>SD</t>
        </is>
      </c>
      <c r="D1054" s="9" t="n">
        <v>25</v>
      </c>
      <c r="E1054" s="18" t="inlineStr">
        <is>
          <t>R</t>
        </is>
      </c>
      <c r="F1054" s="18" t="n"/>
      <c r="G1054" s="9" t="n">
        <v>4.514999999999999</v>
      </c>
      <c r="H1054" s="9" t="n">
        <v>4.514999999999999</v>
      </c>
      <c r="I1054" s="9" t="inlineStr">
        <is>
          <t>Depth (no MLB IP)</t>
        </is>
      </c>
      <c r="J1054" s="18" t="inlineStr">
        <is>
          <t>Opening Day</t>
        </is>
      </c>
      <c r="K1054" s="11">
        <f>IFERROR(INDEX(Roles!$B$17:$B$20,MATCH(J1054,Roles!$A$17:$A$20,0)),1)</f>
        <v/>
      </c>
      <c r="L1054" s="19" t="n">
        <v>1</v>
      </c>
      <c r="M1054" s="11" t="n">
        <v>1</v>
      </c>
      <c r="N1054" s="19" t="n"/>
      <c r="O1054" s="19" t="n"/>
      <c r="P1054" s="19" t="n"/>
      <c r="Q1054" s="19" t="n"/>
      <c r="R1054" s="19" t="n"/>
      <c r="S1054" s="19" t="n"/>
      <c r="T1054" s="19" t="n"/>
      <c r="U1054" s="19" t="n"/>
      <c r="V1054" s="19" t="n"/>
      <c r="W1054" s="19" t="n"/>
      <c r="X1054" s="19" t="n"/>
      <c r="Y1054" s="19" t="n">
        <v>1</v>
      </c>
      <c r="Z1054" s="13">
        <f>SUMPRODUCT(N1054:Y1054,$N$2:$Y$2)*$K1054*$L1054*$M1054</f>
        <v/>
      </c>
      <c r="AA1054" s="14">
        <f>SUM(N1054:Y1054)</f>
        <v/>
      </c>
      <c r="AB1054" s="13">
        <f>SUMPRODUCT(N1054:Y1054,$N$3:$Y$3)*$K1054*$L1054*$M1054</f>
        <v/>
      </c>
      <c r="AC1054" s="13">
        <f>SUMPRODUCT(N1054:Y1054,$N$4:$Y$4)*$K1054*$L1054*$M1054</f>
        <v/>
      </c>
      <c r="AD1054" s="15" t="n">
        <v>3</v>
      </c>
      <c r="AE1054" s="11" t="n">
        <v>1.011296296296296</v>
      </c>
      <c r="AF1054" s="16">
        <f>SUMPRODUCT(N1054:Y1054,$N$5:$Y$5)*$K1054*$L1054*$M1054</f>
        <v/>
      </c>
      <c r="AG1054" s="16">
        <f>SUMPRODUCT(N1054:Y1054,$N$6:$Y$6)*$K1054*$L1054*$M1054</f>
        <v/>
      </c>
      <c r="AH1054" s="20" t="n"/>
    </row>
    <row r="1055">
      <c r="A1055" s="9" t="n">
        <v>806095</v>
      </c>
      <c r="B1055" s="9" t="inlineStr">
        <is>
          <t>Seth Clark</t>
        </is>
      </c>
      <c r="C1055" s="9" t="inlineStr">
        <is>
          <t>TEX</t>
        </is>
      </c>
      <c r="D1055" s="9" t="n">
        <v>25</v>
      </c>
      <c r="E1055" s="18" t="inlineStr">
        <is>
          <t>L</t>
        </is>
      </c>
      <c r="F1055" s="18" t="n"/>
      <c r="G1055" s="9" t="n">
        <v>4.3</v>
      </c>
      <c r="H1055" s="9" t="n">
        <v>4.3</v>
      </c>
      <c r="I1055" s="9" t="inlineStr">
        <is>
          <t>Depth (no MLB IP)</t>
        </is>
      </c>
      <c r="J1055" s="18" t="inlineStr">
        <is>
          <t>Opening Day</t>
        </is>
      </c>
      <c r="K1055" s="11">
        <f>IFERROR(INDEX(Roles!$B$17:$B$20,MATCH(J1055,Roles!$A$17:$A$20,0)),1)</f>
        <v/>
      </c>
      <c r="L1055" s="19" t="n">
        <v>1</v>
      </c>
      <c r="M1055" s="11" t="n">
        <v>1</v>
      </c>
      <c r="N1055" s="19" t="n"/>
      <c r="O1055" s="19" t="n"/>
      <c r="P1055" s="19" t="n"/>
      <c r="Q1055" s="19" t="n"/>
      <c r="R1055" s="19" t="n"/>
      <c r="S1055" s="19" t="n"/>
      <c r="T1055" s="19" t="n"/>
      <c r="U1055" s="19" t="n"/>
      <c r="V1055" s="19" t="n"/>
      <c r="W1055" s="19" t="n"/>
      <c r="X1055" s="19" t="n"/>
      <c r="Y1055" s="19" t="n">
        <v>1</v>
      </c>
      <c r="Z1055" s="13">
        <f>SUMPRODUCT(N1055:Y1055,$N$2:$Y$2)*$K1055*$L1055*$M1055</f>
        <v/>
      </c>
      <c r="AA1055" s="14">
        <f>SUM(N1055:Y1055)</f>
        <v/>
      </c>
      <c r="AB1055" s="13">
        <f>SUMPRODUCT(N1055:Y1055,$N$3:$Y$3)*$K1055*$L1055*$M1055</f>
        <v/>
      </c>
      <c r="AC1055" s="13">
        <f>SUMPRODUCT(N1055:Y1055,$N$4:$Y$4)*$K1055*$L1055*$M1055</f>
        <v/>
      </c>
      <c r="AD1055" s="15" t="n">
        <v>3</v>
      </c>
      <c r="AE1055" s="11" t="n">
        <v>1.011296296296296</v>
      </c>
      <c r="AF1055" s="16">
        <f>SUMPRODUCT(N1055:Y1055,$N$5:$Y$5)*$K1055*$L1055*$M1055</f>
        <v/>
      </c>
      <c r="AG1055" s="16">
        <f>SUMPRODUCT(N1055:Y1055,$N$6:$Y$6)*$K1055*$L1055*$M1055</f>
        <v/>
      </c>
      <c r="AH1055" s="20" t="n"/>
    </row>
    <row r="1056">
      <c r="A1056" s="9" t="n">
        <v>692366</v>
      </c>
      <c r="B1056" s="9" t="inlineStr">
        <is>
          <t>Onil Perez</t>
        </is>
      </c>
      <c r="C1056" s="9" t="inlineStr">
        <is>
          <t>SF</t>
        </is>
      </c>
      <c r="D1056" s="9" t="n">
        <v>25</v>
      </c>
      <c r="E1056" s="18" t="inlineStr">
        <is>
          <t>R</t>
        </is>
      </c>
      <c r="F1056" s="18" t="n"/>
      <c r="G1056" s="9" t="n">
        <v>4.514999999999999</v>
      </c>
      <c r="H1056" s="9" t="n">
        <v>4.514999999999999</v>
      </c>
      <c r="I1056" s="9" t="inlineStr">
        <is>
          <t>Depth (no MLB IP)</t>
        </is>
      </c>
      <c r="J1056" s="18" t="inlineStr">
        <is>
          <t>Opening Day</t>
        </is>
      </c>
      <c r="K1056" s="11">
        <f>IFERROR(INDEX(Roles!$B$17:$B$20,MATCH(J1056,Roles!$A$17:$A$20,0)),1)</f>
        <v/>
      </c>
      <c r="L1056" s="19" t="n">
        <v>1</v>
      </c>
      <c r="M1056" s="11" t="n">
        <v>1</v>
      </c>
      <c r="N1056" s="19" t="n"/>
      <c r="O1056" s="19" t="n"/>
      <c r="P1056" s="19" t="n"/>
      <c r="Q1056" s="19" t="n"/>
      <c r="R1056" s="19" t="n"/>
      <c r="S1056" s="19" t="n"/>
      <c r="T1056" s="19" t="n"/>
      <c r="U1056" s="19" t="n"/>
      <c r="V1056" s="19" t="n"/>
      <c r="W1056" s="19" t="n"/>
      <c r="X1056" s="19" t="n"/>
      <c r="Y1056" s="19" t="n">
        <v>1</v>
      </c>
      <c r="Z1056" s="13">
        <f>SUMPRODUCT(N1056:Y1056,$N$2:$Y$2)*$K1056*$L1056*$M1056</f>
        <v/>
      </c>
      <c r="AA1056" s="14">
        <f>SUM(N1056:Y1056)</f>
        <v/>
      </c>
      <c r="AB1056" s="13">
        <f>SUMPRODUCT(N1056:Y1056,$N$3:$Y$3)*$K1056*$L1056*$M1056</f>
        <v/>
      </c>
      <c r="AC1056" s="13">
        <f>SUMPRODUCT(N1056:Y1056,$N$4:$Y$4)*$K1056*$L1056*$M1056</f>
        <v/>
      </c>
      <c r="AD1056" s="15" t="n">
        <v>3</v>
      </c>
      <c r="AE1056" s="11" t="n">
        <v>1.011296296296296</v>
      </c>
      <c r="AF1056" s="16">
        <f>SUMPRODUCT(N1056:Y1056,$N$5:$Y$5)*$K1056*$L1056*$M1056</f>
        <v/>
      </c>
      <c r="AG1056" s="16">
        <f>SUMPRODUCT(N1056:Y1056,$N$6:$Y$6)*$K1056*$L1056*$M1056</f>
        <v/>
      </c>
      <c r="AH1056" s="20" t="n"/>
    </row>
    <row r="1057">
      <c r="A1057" s="9" t="n">
        <v>835951</v>
      </c>
      <c r="B1057" s="9" t="inlineStr">
        <is>
          <t>Dominic Mauro</t>
        </is>
      </c>
      <c r="C1057" s="9" t="inlineStr">
        <is>
          <t>OAK</t>
        </is>
      </c>
      <c r="D1057" s="9" t="n">
        <v>25</v>
      </c>
      <c r="E1057" s="18" t="inlineStr">
        <is>
          <t>R</t>
        </is>
      </c>
      <c r="F1057" s="18" t="n"/>
      <c r="G1057" s="9" t="n">
        <v>4.3</v>
      </c>
      <c r="H1057" s="9" t="n">
        <v>4.3</v>
      </c>
      <c r="I1057" s="9" t="inlineStr">
        <is>
          <t>Depth (no MLB IP)</t>
        </is>
      </c>
      <c r="J1057" s="18" t="inlineStr">
        <is>
          <t>Opening Day</t>
        </is>
      </c>
      <c r="K1057" s="11">
        <f>IFERROR(INDEX(Roles!$B$17:$B$20,MATCH(J1057,Roles!$A$17:$A$20,0)),1)</f>
        <v/>
      </c>
      <c r="L1057" s="19" t="n">
        <v>1</v>
      </c>
      <c r="M1057" s="11" t="n">
        <v>1</v>
      </c>
      <c r="N1057" s="19" t="n"/>
      <c r="O1057" s="19" t="n"/>
      <c r="P1057" s="19" t="n"/>
      <c r="Q1057" s="19" t="n"/>
      <c r="R1057" s="19" t="n"/>
      <c r="S1057" s="19" t="n"/>
      <c r="T1057" s="19" t="n"/>
      <c r="U1057" s="19" t="n"/>
      <c r="V1057" s="19" t="n"/>
      <c r="W1057" s="19" t="n"/>
      <c r="X1057" s="19" t="n"/>
      <c r="Y1057" s="19" t="n">
        <v>1</v>
      </c>
      <c r="Z1057" s="13">
        <f>SUMPRODUCT(N1057:Y1057,$N$2:$Y$2)*$K1057*$L1057*$M1057</f>
        <v/>
      </c>
      <c r="AA1057" s="14">
        <f>SUM(N1057:Y1057)</f>
        <v/>
      </c>
      <c r="AB1057" s="13">
        <f>SUMPRODUCT(N1057:Y1057,$N$3:$Y$3)*$K1057*$L1057*$M1057</f>
        <v/>
      </c>
      <c r="AC1057" s="13">
        <f>SUMPRODUCT(N1057:Y1057,$N$4:$Y$4)*$K1057*$L1057*$M1057</f>
        <v/>
      </c>
      <c r="AD1057" s="15" t="n">
        <v>3</v>
      </c>
      <c r="AE1057" s="11" t="n">
        <v>1.011296296296296</v>
      </c>
      <c r="AF1057" s="16">
        <f>SUMPRODUCT(N1057:Y1057,$N$5:$Y$5)*$K1057*$L1057*$M1057</f>
        <v/>
      </c>
      <c r="AG1057" s="16">
        <f>SUMPRODUCT(N1057:Y1057,$N$6:$Y$6)*$K1057*$L1057*$M1057</f>
        <v/>
      </c>
      <c r="AH1057" s="20" t="n"/>
    </row>
    <row r="1058">
      <c r="A1058" s="9" t="n">
        <v>694896</v>
      </c>
      <c r="B1058" s="9" t="inlineStr">
        <is>
          <t>Caden Rose</t>
        </is>
      </c>
      <c r="C1058" s="9" t="inlineStr">
        <is>
          <t>BOS</t>
        </is>
      </c>
      <c r="D1058" s="9" t="n">
        <v>25</v>
      </c>
      <c r="E1058" s="18" t="inlineStr">
        <is>
          <t>R</t>
        </is>
      </c>
      <c r="F1058" s="18" t="n"/>
      <c r="G1058" s="9" t="n">
        <v>4.514999999999999</v>
      </c>
      <c r="H1058" s="9" t="n">
        <v>4.514999999999999</v>
      </c>
      <c r="I1058" s="9" t="inlineStr">
        <is>
          <t>Depth (no MLB IP)</t>
        </is>
      </c>
      <c r="J1058" s="18" t="inlineStr">
        <is>
          <t>Opening Day</t>
        </is>
      </c>
      <c r="K1058" s="11">
        <f>IFERROR(INDEX(Roles!$B$17:$B$20,MATCH(J1058,Roles!$A$17:$A$20,0)),1)</f>
        <v/>
      </c>
      <c r="L1058" s="19" t="n">
        <v>1</v>
      </c>
      <c r="M1058" s="11" t="n">
        <v>1</v>
      </c>
      <c r="N1058" s="19" t="n"/>
      <c r="O1058" s="19" t="n"/>
      <c r="P1058" s="19" t="n"/>
      <c r="Q1058" s="19" t="n"/>
      <c r="R1058" s="19" t="n"/>
      <c r="S1058" s="19" t="n"/>
      <c r="T1058" s="19" t="n"/>
      <c r="U1058" s="19" t="n"/>
      <c r="V1058" s="19" t="n"/>
      <c r="W1058" s="19" t="n"/>
      <c r="X1058" s="19" t="n"/>
      <c r="Y1058" s="19" t="n">
        <v>1</v>
      </c>
      <c r="Z1058" s="13">
        <f>SUMPRODUCT(N1058:Y1058,$N$2:$Y$2)*$K1058*$L1058*$M1058</f>
        <v/>
      </c>
      <c r="AA1058" s="14">
        <f>SUM(N1058:Y1058)</f>
        <v/>
      </c>
      <c r="AB1058" s="13">
        <f>SUMPRODUCT(N1058:Y1058,$N$3:$Y$3)*$K1058*$L1058*$M1058</f>
        <v/>
      </c>
      <c r="AC1058" s="13">
        <f>SUMPRODUCT(N1058:Y1058,$N$4:$Y$4)*$K1058*$L1058*$M1058</f>
        <v/>
      </c>
      <c r="AD1058" s="15" t="n">
        <v>3</v>
      </c>
      <c r="AE1058" s="11" t="n">
        <v>1.011296296296296</v>
      </c>
      <c r="AF1058" s="16">
        <f>SUMPRODUCT(N1058:Y1058,$N$5:$Y$5)*$K1058*$L1058*$M1058</f>
        <v/>
      </c>
      <c r="AG1058" s="16">
        <f>SUMPRODUCT(N1058:Y1058,$N$6:$Y$6)*$K1058*$L1058*$M1058</f>
        <v/>
      </c>
      <c r="AH1058" s="20" t="n"/>
    </row>
    <row r="1059">
      <c r="A1059" s="9" t="n">
        <v>823858</v>
      </c>
      <c r="B1059" s="9" t="inlineStr">
        <is>
          <t>Jaitoine Kelly</t>
        </is>
      </c>
      <c r="C1059" s="9" t="inlineStr">
        <is>
          <t>ARI</t>
        </is>
      </c>
      <c r="D1059" s="9" t="n">
        <v>25</v>
      </c>
      <c r="E1059" s="18" t="inlineStr">
        <is>
          <t>R</t>
        </is>
      </c>
      <c r="F1059" s="18" t="n"/>
      <c r="G1059" s="9" t="n">
        <v>4.3</v>
      </c>
      <c r="H1059" s="9" t="n">
        <v>4.3</v>
      </c>
      <c r="I1059" s="9" t="inlineStr">
        <is>
          <t>Depth (no MLB IP)</t>
        </is>
      </c>
      <c r="J1059" s="18" t="inlineStr">
        <is>
          <t>Opening Day</t>
        </is>
      </c>
      <c r="K1059" s="11">
        <f>IFERROR(INDEX(Roles!$B$17:$B$20,MATCH(J1059,Roles!$A$17:$A$20,0)),1)</f>
        <v/>
      </c>
      <c r="L1059" s="19" t="n">
        <v>1</v>
      </c>
      <c r="M1059" s="11" t="n">
        <v>1</v>
      </c>
      <c r="N1059" s="19" t="n"/>
      <c r="O1059" s="19" t="n"/>
      <c r="P1059" s="19" t="n"/>
      <c r="Q1059" s="19" t="n"/>
      <c r="R1059" s="19" t="n"/>
      <c r="S1059" s="19" t="n"/>
      <c r="T1059" s="19" t="n"/>
      <c r="U1059" s="19" t="n"/>
      <c r="V1059" s="19" t="n"/>
      <c r="W1059" s="19" t="n"/>
      <c r="X1059" s="19" t="n"/>
      <c r="Y1059" s="19" t="n">
        <v>1</v>
      </c>
      <c r="Z1059" s="13">
        <f>SUMPRODUCT(N1059:Y1059,$N$2:$Y$2)*$K1059*$L1059*$M1059</f>
        <v/>
      </c>
      <c r="AA1059" s="14">
        <f>SUM(N1059:Y1059)</f>
        <v/>
      </c>
      <c r="AB1059" s="13">
        <f>SUMPRODUCT(N1059:Y1059,$N$3:$Y$3)*$K1059*$L1059*$M1059</f>
        <v/>
      </c>
      <c r="AC1059" s="13">
        <f>SUMPRODUCT(N1059:Y1059,$N$4:$Y$4)*$K1059*$L1059*$M1059</f>
        <v/>
      </c>
      <c r="AD1059" s="15" t="n">
        <v>3</v>
      </c>
      <c r="AE1059" s="11" t="n">
        <v>1.011296296296296</v>
      </c>
      <c r="AF1059" s="16">
        <f>SUMPRODUCT(N1059:Y1059,$N$5:$Y$5)*$K1059*$L1059*$M1059</f>
        <v/>
      </c>
      <c r="AG1059" s="16">
        <f>SUMPRODUCT(N1059:Y1059,$N$6:$Y$6)*$K1059*$L1059*$M1059</f>
        <v/>
      </c>
      <c r="AH1059" s="20" t="n"/>
    </row>
    <row r="1060">
      <c r="A1060" s="9" t="n">
        <v>679029</v>
      </c>
      <c r="B1060" s="9" t="inlineStr">
        <is>
          <t>Samuel Vásquez</t>
        </is>
      </c>
      <c r="C1060" s="9" t="inlineStr">
        <is>
          <t>MIA</t>
        </is>
      </c>
      <c r="D1060" s="9" t="n">
        <v>25</v>
      </c>
      <c r="E1060" s="18" t="inlineStr">
        <is>
          <t>R</t>
        </is>
      </c>
      <c r="F1060" s="18" t="n"/>
      <c r="G1060" s="9" t="n">
        <v>4.514999999999999</v>
      </c>
      <c r="H1060" s="9" t="n">
        <v>4.514999999999999</v>
      </c>
      <c r="I1060" s="9" t="inlineStr">
        <is>
          <t>Depth (no MLB IP)</t>
        </is>
      </c>
      <c r="J1060" s="18" t="inlineStr">
        <is>
          <t>Opening Day</t>
        </is>
      </c>
      <c r="K1060" s="11">
        <f>IFERROR(INDEX(Roles!$B$17:$B$20,MATCH(J1060,Roles!$A$17:$A$20,0)),1)</f>
        <v/>
      </c>
      <c r="L1060" s="19" t="n">
        <v>1</v>
      </c>
      <c r="M1060" s="11" t="n">
        <v>1</v>
      </c>
      <c r="N1060" s="19" t="n"/>
      <c r="O1060" s="19" t="n"/>
      <c r="P1060" s="19" t="n"/>
      <c r="Q1060" s="19" t="n"/>
      <c r="R1060" s="19" t="n"/>
      <c r="S1060" s="19" t="n"/>
      <c r="T1060" s="19" t="n"/>
      <c r="U1060" s="19" t="n"/>
      <c r="V1060" s="19" t="n"/>
      <c r="W1060" s="19" t="n"/>
      <c r="X1060" s="19" t="n"/>
      <c r="Y1060" s="19" t="n">
        <v>1</v>
      </c>
      <c r="Z1060" s="13">
        <f>SUMPRODUCT(N1060:Y1060,$N$2:$Y$2)*$K1060*$L1060*$M1060</f>
        <v/>
      </c>
      <c r="AA1060" s="14">
        <f>SUM(N1060:Y1060)</f>
        <v/>
      </c>
      <c r="AB1060" s="13">
        <f>SUMPRODUCT(N1060:Y1060,$N$3:$Y$3)*$K1060*$L1060*$M1060</f>
        <v/>
      </c>
      <c r="AC1060" s="13">
        <f>SUMPRODUCT(N1060:Y1060,$N$4:$Y$4)*$K1060*$L1060*$M1060</f>
        <v/>
      </c>
      <c r="AD1060" s="15" t="n">
        <v>3</v>
      </c>
      <c r="AE1060" s="11" t="n">
        <v>1.011296296296296</v>
      </c>
      <c r="AF1060" s="16">
        <f>SUMPRODUCT(N1060:Y1060,$N$5:$Y$5)*$K1060*$L1060*$M1060</f>
        <v/>
      </c>
      <c r="AG1060" s="16">
        <f>SUMPRODUCT(N1060:Y1060,$N$6:$Y$6)*$K1060*$L1060*$M1060</f>
        <v/>
      </c>
      <c r="AH1060" s="20" t="n"/>
    </row>
    <row r="1061">
      <c r="A1061" s="9" t="n">
        <v>822526</v>
      </c>
      <c r="B1061" s="9" t="inlineStr">
        <is>
          <t>Camden Wimbish</t>
        </is>
      </c>
      <c r="C1061" s="9" t="inlineStr">
        <is>
          <t>LAD</t>
        </is>
      </c>
      <c r="D1061" s="9" t="n">
        <v>25</v>
      </c>
      <c r="E1061" s="18" t="inlineStr">
        <is>
          <t>R</t>
        </is>
      </c>
      <c r="F1061" s="18" t="n"/>
      <c r="G1061" s="9" t="n">
        <v>4.472</v>
      </c>
      <c r="H1061" s="9" t="n">
        <v>4.472</v>
      </c>
      <c r="I1061" s="9" t="inlineStr">
        <is>
          <t>Depth (no MLB IP)</t>
        </is>
      </c>
      <c r="J1061" s="18" t="inlineStr">
        <is>
          <t>Opening Day</t>
        </is>
      </c>
      <c r="K1061" s="11">
        <f>IFERROR(INDEX(Roles!$B$17:$B$20,MATCH(J1061,Roles!$A$17:$A$20,0)),1)</f>
        <v/>
      </c>
      <c r="L1061" s="19" t="n">
        <v>1</v>
      </c>
      <c r="M1061" s="11" t="n">
        <v>1</v>
      </c>
      <c r="N1061" s="19" t="n"/>
      <c r="O1061" s="19" t="n"/>
      <c r="P1061" s="19" t="n"/>
      <c r="Q1061" s="19" t="n"/>
      <c r="R1061" s="19" t="n"/>
      <c r="S1061" s="19" t="n"/>
      <c r="T1061" s="19" t="n"/>
      <c r="U1061" s="19" t="n"/>
      <c r="V1061" s="19" t="n"/>
      <c r="W1061" s="19" t="n"/>
      <c r="X1061" s="19" t="n"/>
      <c r="Y1061" s="19" t="n">
        <v>1</v>
      </c>
      <c r="Z1061" s="13">
        <f>SUMPRODUCT(N1061:Y1061,$N$2:$Y$2)*$K1061*$L1061*$M1061</f>
        <v/>
      </c>
      <c r="AA1061" s="14">
        <f>SUM(N1061:Y1061)</f>
        <v/>
      </c>
      <c r="AB1061" s="13">
        <f>SUMPRODUCT(N1061:Y1061,$N$3:$Y$3)*$K1061*$L1061*$M1061</f>
        <v/>
      </c>
      <c r="AC1061" s="13">
        <f>SUMPRODUCT(N1061:Y1061,$N$4:$Y$4)*$K1061*$L1061*$M1061</f>
        <v/>
      </c>
      <c r="AD1061" s="15" t="n">
        <v>3</v>
      </c>
      <c r="AE1061" s="11" t="n">
        <v>1.011296296296296</v>
      </c>
      <c r="AF1061" s="16">
        <f>SUMPRODUCT(N1061:Y1061,$N$5:$Y$5)*$K1061*$L1061*$M1061</f>
        <v/>
      </c>
      <c r="AG1061" s="16">
        <f>SUMPRODUCT(N1061:Y1061,$N$6:$Y$6)*$K1061*$L1061*$M1061</f>
        <v/>
      </c>
      <c r="AH1061" s="20" t="n"/>
    </row>
    <row r="1062">
      <c r="A1062" s="9" t="n">
        <v>820937</v>
      </c>
      <c r="B1062" s="9" t="inlineStr">
        <is>
          <t>Jonathan Rosario</t>
        </is>
      </c>
      <c r="C1062" s="9" t="inlineStr">
        <is>
          <t>MIA</t>
        </is>
      </c>
      <c r="D1062" s="9" t="n">
        <v>25</v>
      </c>
      <c r="E1062" s="18" t="inlineStr">
        <is>
          <t>L</t>
        </is>
      </c>
      <c r="F1062" s="18" t="n"/>
      <c r="G1062" s="9" t="n">
        <v>4.472</v>
      </c>
      <c r="H1062" s="9" t="n">
        <v>4.472</v>
      </c>
      <c r="I1062" s="9" t="inlineStr">
        <is>
          <t>Depth (no MLB IP)</t>
        </is>
      </c>
      <c r="J1062" s="18" t="inlineStr">
        <is>
          <t>Opening Day</t>
        </is>
      </c>
      <c r="K1062" s="11">
        <f>IFERROR(INDEX(Roles!$B$17:$B$20,MATCH(J1062,Roles!$A$17:$A$20,0)),1)</f>
        <v/>
      </c>
      <c r="L1062" s="19" t="n">
        <v>1</v>
      </c>
      <c r="M1062" s="11" t="n">
        <v>1</v>
      </c>
      <c r="N1062" s="19" t="n"/>
      <c r="O1062" s="19" t="n"/>
      <c r="P1062" s="19" t="n"/>
      <c r="Q1062" s="19" t="n"/>
      <c r="R1062" s="19" t="n"/>
      <c r="S1062" s="19" t="n"/>
      <c r="T1062" s="19" t="n"/>
      <c r="U1062" s="19" t="n"/>
      <c r="V1062" s="19" t="n"/>
      <c r="W1062" s="19" t="n"/>
      <c r="X1062" s="19" t="n"/>
      <c r="Y1062" s="19" t="n">
        <v>1</v>
      </c>
      <c r="Z1062" s="13">
        <f>SUMPRODUCT(N1062:Y1062,$N$2:$Y$2)*$K1062*$L1062*$M1062</f>
        <v/>
      </c>
      <c r="AA1062" s="14">
        <f>SUM(N1062:Y1062)</f>
        <v/>
      </c>
      <c r="AB1062" s="13">
        <f>SUMPRODUCT(N1062:Y1062,$N$3:$Y$3)*$K1062*$L1062*$M1062</f>
        <v/>
      </c>
      <c r="AC1062" s="13">
        <f>SUMPRODUCT(N1062:Y1062,$N$4:$Y$4)*$K1062*$L1062*$M1062</f>
        <v/>
      </c>
      <c r="AD1062" s="15" t="n">
        <v>3</v>
      </c>
      <c r="AE1062" s="11" t="n">
        <v>1.011296296296296</v>
      </c>
      <c r="AF1062" s="16">
        <f>SUMPRODUCT(N1062:Y1062,$N$5:$Y$5)*$K1062*$L1062*$M1062</f>
        <v/>
      </c>
      <c r="AG1062" s="16">
        <f>SUMPRODUCT(N1062:Y1062,$N$6:$Y$6)*$K1062*$L1062*$M1062</f>
        <v/>
      </c>
      <c r="AH1062" s="20" t="n"/>
    </row>
    <row r="1063">
      <c r="A1063" s="9" t="n">
        <v>811266</v>
      </c>
      <c r="B1063" s="9" t="inlineStr">
        <is>
          <t>Ryan Reed</t>
        </is>
      </c>
      <c r="C1063" s="9" t="inlineStr">
        <is>
          <t>SD</t>
        </is>
      </c>
      <c r="D1063" s="9" t="n">
        <v>25</v>
      </c>
      <c r="E1063" s="18" t="inlineStr">
        <is>
          <t>L</t>
        </is>
      </c>
      <c r="F1063" s="18" t="n"/>
      <c r="G1063" s="9" t="n">
        <v>4.472</v>
      </c>
      <c r="H1063" s="9" t="n">
        <v>4.472</v>
      </c>
      <c r="I1063" s="9" t="inlineStr">
        <is>
          <t>Depth (no MLB IP)</t>
        </is>
      </c>
      <c r="J1063" s="18" t="inlineStr">
        <is>
          <t>Opening Day</t>
        </is>
      </c>
      <c r="K1063" s="11">
        <f>IFERROR(INDEX(Roles!$B$17:$B$20,MATCH(J1063,Roles!$A$17:$A$20,0)),1)</f>
        <v/>
      </c>
      <c r="L1063" s="19" t="n">
        <v>1</v>
      </c>
      <c r="M1063" s="11" t="n">
        <v>1</v>
      </c>
      <c r="N1063" s="19" t="n"/>
      <c r="O1063" s="19" t="n"/>
      <c r="P1063" s="19" t="n"/>
      <c r="Q1063" s="19" t="n"/>
      <c r="R1063" s="19" t="n"/>
      <c r="S1063" s="19" t="n"/>
      <c r="T1063" s="19" t="n"/>
      <c r="U1063" s="19" t="n"/>
      <c r="V1063" s="19" t="n"/>
      <c r="W1063" s="19" t="n"/>
      <c r="X1063" s="19" t="n"/>
      <c r="Y1063" s="19" t="n">
        <v>1</v>
      </c>
      <c r="Z1063" s="13">
        <f>SUMPRODUCT(N1063:Y1063,$N$2:$Y$2)*$K1063*$L1063*$M1063</f>
        <v/>
      </c>
      <c r="AA1063" s="14">
        <f>SUM(N1063:Y1063)</f>
        <v/>
      </c>
      <c r="AB1063" s="13">
        <f>SUMPRODUCT(N1063:Y1063,$N$3:$Y$3)*$K1063*$L1063*$M1063</f>
        <v/>
      </c>
      <c r="AC1063" s="13">
        <f>SUMPRODUCT(N1063:Y1063,$N$4:$Y$4)*$K1063*$L1063*$M1063</f>
        <v/>
      </c>
      <c r="AD1063" s="15" t="n">
        <v>3</v>
      </c>
      <c r="AE1063" s="11" t="n">
        <v>1.011296296296296</v>
      </c>
      <c r="AF1063" s="16">
        <f>SUMPRODUCT(N1063:Y1063,$N$5:$Y$5)*$K1063*$L1063*$M1063</f>
        <v/>
      </c>
      <c r="AG1063" s="16">
        <f>SUMPRODUCT(N1063:Y1063,$N$6:$Y$6)*$K1063*$L1063*$M1063</f>
        <v/>
      </c>
      <c r="AH1063" s="20" t="n"/>
    </row>
    <row r="1064">
      <c r="A1064" s="9" t="n">
        <v>684491</v>
      </c>
      <c r="B1064" s="9" t="inlineStr">
        <is>
          <t>Frank Rodriguez</t>
        </is>
      </c>
      <c r="C1064" s="9" t="inlineStr">
        <is>
          <t>LAD</t>
        </is>
      </c>
      <c r="D1064" s="9" t="n">
        <v>25</v>
      </c>
      <c r="E1064" s="18" t="inlineStr">
        <is>
          <t>R</t>
        </is>
      </c>
      <c r="F1064" s="18" t="n"/>
      <c r="G1064" s="9" t="n">
        <v>4.514999999999999</v>
      </c>
      <c r="H1064" s="9" t="n">
        <v>4.514999999999999</v>
      </c>
      <c r="I1064" s="9" t="inlineStr">
        <is>
          <t>Depth (no MLB IP)</t>
        </is>
      </c>
      <c r="J1064" s="18" t="inlineStr">
        <is>
          <t>Opening Day</t>
        </is>
      </c>
      <c r="K1064" s="11">
        <f>IFERROR(INDEX(Roles!$B$17:$B$20,MATCH(J1064,Roles!$A$17:$A$20,0)),1)</f>
        <v/>
      </c>
      <c r="L1064" s="19" t="n">
        <v>1</v>
      </c>
      <c r="M1064" s="11" t="n">
        <v>1</v>
      </c>
      <c r="N1064" s="19" t="n"/>
      <c r="O1064" s="19" t="n"/>
      <c r="P1064" s="19" t="n"/>
      <c r="Q1064" s="19" t="n"/>
      <c r="R1064" s="19" t="n"/>
      <c r="S1064" s="19" t="n"/>
      <c r="T1064" s="19" t="n"/>
      <c r="U1064" s="19" t="n"/>
      <c r="V1064" s="19" t="n"/>
      <c r="W1064" s="19" t="n"/>
      <c r="X1064" s="19" t="n"/>
      <c r="Y1064" s="19" t="n">
        <v>1</v>
      </c>
      <c r="Z1064" s="13">
        <f>SUMPRODUCT(N1064:Y1064,$N$2:$Y$2)*$K1064*$L1064*$M1064</f>
        <v/>
      </c>
      <c r="AA1064" s="14">
        <f>SUM(N1064:Y1064)</f>
        <v/>
      </c>
      <c r="AB1064" s="13">
        <f>SUMPRODUCT(N1064:Y1064,$N$3:$Y$3)*$K1064*$L1064*$M1064</f>
        <v/>
      </c>
      <c r="AC1064" s="13">
        <f>SUMPRODUCT(N1064:Y1064,$N$4:$Y$4)*$K1064*$L1064*$M1064</f>
        <v/>
      </c>
      <c r="AD1064" s="15" t="n">
        <v>3</v>
      </c>
      <c r="AE1064" s="11" t="n">
        <v>1.011296296296296</v>
      </c>
      <c r="AF1064" s="16">
        <f>SUMPRODUCT(N1064:Y1064,$N$5:$Y$5)*$K1064*$L1064*$M1064</f>
        <v/>
      </c>
      <c r="AG1064" s="16">
        <f>SUMPRODUCT(N1064:Y1064,$N$6:$Y$6)*$K1064*$L1064*$M1064</f>
        <v/>
      </c>
      <c r="AH1064" s="20" t="n"/>
    </row>
    <row r="1065">
      <c r="A1065" s="9" t="n">
        <v>805725</v>
      </c>
      <c r="B1065" s="9" t="inlineStr">
        <is>
          <t>Jake Miller</t>
        </is>
      </c>
      <c r="C1065" s="9" t="inlineStr">
        <is>
          <t>DET</t>
        </is>
      </c>
      <c r="D1065" s="9" t="n">
        <v>25</v>
      </c>
      <c r="E1065" s="18" t="inlineStr">
        <is>
          <t>L</t>
        </is>
      </c>
      <c r="F1065" s="18" t="n"/>
      <c r="G1065" s="9" t="n">
        <v>4.514999999999999</v>
      </c>
      <c r="H1065" s="9" t="n">
        <v>4.514999999999999</v>
      </c>
      <c r="I1065" s="9" t="inlineStr">
        <is>
          <t>Depth (no MLB IP)</t>
        </is>
      </c>
      <c r="J1065" s="18" t="inlineStr">
        <is>
          <t>Opening Day</t>
        </is>
      </c>
      <c r="K1065" s="11">
        <f>IFERROR(INDEX(Roles!$B$17:$B$20,MATCH(J1065,Roles!$A$17:$A$20,0)),1)</f>
        <v/>
      </c>
      <c r="L1065" s="19" t="n">
        <v>1</v>
      </c>
      <c r="M1065" s="11" t="n">
        <v>1</v>
      </c>
      <c r="N1065" s="19" t="n"/>
      <c r="O1065" s="19" t="n"/>
      <c r="P1065" s="19" t="n"/>
      <c r="Q1065" s="19" t="n"/>
      <c r="R1065" s="19" t="n"/>
      <c r="S1065" s="19" t="n"/>
      <c r="T1065" s="19" t="n"/>
      <c r="U1065" s="19" t="n"/>
      <c r="V1065" s="19" t="n"/>
      <c r="W1065" s="19" t="n"/>
      <c r="X1065" s="19" t="n"/>
      <c r="Y1065" s="19" t="n">
        <v>1</v>
      </c>
      <c r="Z1065" s="13">
        <f>SUMPRODUCT(N1065:Y1065,$N$2:$Y$2)*$K1065*$L1065*$M1065</f>
        <v/>
      </c>
      <c r="AA1065" s="14">
        <f>SUM(N1065:Y1065)</f>
        <v/>
      </c>
      <c r="AB1065" s="13">
        <f>SUMPRODUCT(N1065:Y1065,$N$3:$Y$3)*$K1065*$L1065*$M1065</f>
        <v/>
      </c>
      <c r="AC1065" s="13">
        <f>SUMPRODUCT(N1065:Y1065,$N$4:$Y$4)*$K1065*$L1065*$M1065</f>
        <v/>
      </c>
      <c r="AD1065" s="15" t="n">
        <v>3</v>
      </c>
      <c r="AE1065" s="11" t="n">
        <v>1.011296296296296</v>
      </c>
      <c r="AF1065" s="16">
        <f>SUMPRODUCT(N1065:Y1065,$N$5:$Y$5)*$K1065*$L1065*$M1065</f>
        <v/>
      </c>
      <c r="AG1065" s="16">
        <f>SUMPRODUCT(N1065:Y1065,$N$6:$Y$6)*$K1065*$L1065*$M1065</f>
        <v/>
      </c>
      <c r="AH1065" s="20" t="n"/>
    </row>
    <row r="1066">
      <c r="A1066" s="9" t="n">
        <v>813409</v>
      </c>
      <c r="B1066" s="9" t="inlineStr">
        <is>
          <t>Joe Ariola</t>
        </is>
      </c>
      <c r="C1066" s="9" t="inlineStr">
        <is>
          <t>ARI</t>
        </is>
      </c>
      <c r="D1066" s="9" t="n">
        <v>25</v>
      </c>
      <c r="E1066" s="18" t="inlineStr">
        <is>
          <t>L</t>
        </is>
      </c>
      <c r="F1066" s="18" t="n"/>
      <c r="G1066" s="9" t="n">
        <v>4.514999999999999</v>
      </c>
      <c r="H1066" s="9" t="n">
        <v>4.514999999999999</v>
      </c>
      <c r="I1066" s="9" t="inlineStr">
        <is>
          <t>Depth (no MLB IP)</t>
        </is>
      </c>
      <c r="J1066" s="18" t="inlineStr">
        <is>
          <t>Opening Day</t>
        </is>
      </c>
      <c r="K1066" s="11">
        <f>IFERROR(INDEX(Roles!$B$17:$B$20,MATCH(J1066,Roles!$A$17:$A$20,0)),1)</f>
        <v/>
      </c>
      <c r="L1066" s="19" t="n">
        <v>1</v>
      </c>
      <c r="M1066" s="11" t="n">
        <v>1</v>
      </c>
      <c r="N1066" s="19" t="n"/>
      <c r="O1066" s="19" t="n"/>
      <c r="P1066" s="19" t="n"/>
      <c r="Q1066" s="19" t="n"/>
      <c r="R1066" s="19" t="n"/>
      <c r="S1066" s="19" t="n"/>
      <c r="T1066" s="19" t="n"/>
      <c r="U1066" s="19" t="n"/>
      <c r="V1066" s="19" t="n"/>
      <c r="W1066" s="19" t="n"/>
      <c r="X1066" s="19" t="n"/>
      <c r="Y1066" s="19" t="n">
        <v>1</v>
      </c>
      <c r="Z1066" s="13">
        <f>SUMPRODUCT(N1066:Y1066,$N$2:$Y$2)*$K1066*$L1066*$M1066</f>
        <v/>
      </c>
      <c r="AA1066" s="14">
        <f>SUM(N1066:Y1066)</f>
        <v/>
      </c>
      <c r="AB1066" s="13">
        <f>SUMPRODUCT(N1066:Y1066,$N$3:$Y$3)*$K1066*$L1066*$M1066</f>
        <v/>
      </c>
      <c r="AC1066" s="13">
        <f>SUMPRODUCT(N1066:Y1066,$N$4:$Y$4)*$K1066*$L1066*$M1066</f>
        <v/>
      </c>
      <c r="AD1066" s="15" t="n">
        <v>3</v>
      </c>
      <c r="AE1066" s="11" t="n">
        <v>1.011296296296296</v>
      </c>
      <c r="AF1066" s="16">
        <f>SUMPRODUCT(N1066:Y1066,$N$5:$Y$5)*$K1066*$L1066*$M1066</f>
        <v/>
      </c>
      <c r="AG1066" s="16">
        <f>SUMPRODUCT(N1066:Y1066,$N$6:$Y$6)*$K1066*$L1066*$M1066</f>
        <v/>
      </c>
      <c r="AH1066" s="20" t="n"/>
    </row>
    <row r="1067">
      <c r="A1067" s="9" t="n">
        <v>694057</v>
      </c>
      <c r="B1067" s="9" t="inlineStr">
        <is>
          <t>Yordanny Monegro</t>
        </is>
      </c>
      <c r="C1067" s="9" t="inlineStr">
        <is>
          <t>BOS</t>
        </is>
      </c>
      <c r="D1067" s="9" t="n">
        <v>25</v>
      </c>
      <c r="E1067" s="18" t="inlineStr">
        <is>
          <t>R</t>
        </is>
      </c>
      <c r="F1067" s="18" t="n"/>
      <c r="G1067" s="9" t="n">
        <v>4.514999999999999</v>
      </c>
      <c r="H1067" s="9" t="n">
        <v>4.514999999999999</v>
      </c>
      <c r="I1067" s="9" t="inlineStr">
        <is>
          <t>Depth (no MLB IP)</t>
        </is>
      </c>
      <c r="J1067" s="18" t="inlineStr">
        <is>
          <t>Opening Day</t>
        </is>
      </c>
      <c r="K1067" s="11">
        <f>IFERROR(INDEX(Roles!$B$17:$B$20,MATCH(J1067,Roles!$A$17:$A$20,0)),1)</f>
        <v/>
      </c>
      <c r="L1067" s="19" t="n">
        <v>1</v>
      </c>
      <c r="M1067" s="11" t="n">
        <v>1</v>
      </c>
      <c r="N1067" s="19" t="n"/>
      <c r="O1067" s="19" t="n"/>
      <c r="P1067" s="19" t="n"/>
      <c r="Q1067" s="19" t="n"/>
      <c r="R1067" s="19" t="n"/>
      <c r="S1067" s="19" t="n"/>
      <c r="T1067" s="19" t="n"/>
      <c r="U1067" s="19" t="n"/>
      <c r="V1067" s="19" t="n"/>
      <c r="W1067" s="19" t="n"/>
      <c r="X1067" s="19" t="n"/>
      <c r="Y1067" s="19" t="n">
        <v>1</v>
      </c>
      <c r="Z1067" s="13">
        <f>SUMPRODUCT(N1067:Y1067,$N$2:$Y$2)*$K1067*$L1067*$M1067</f>
        <v/>
      </c>
      <c r="AA1067" s="14">
        <f>SUM(N1067:Y1067)</f>
        <v/>
      </c>
      <c r="AB1067" s="13">
        <f>SUMPRODUCT(N1067:Y1067,$N$3:$Y$3)*$K1067*$L1067*$M1067</f>
        <v/>
      </c>
      <c r="AC1067" s="13">
        <f>SUMPRODUCT(N1067:Y1067,$N$4:$Y$4)*$K1067*$L1067*$M1067</f>
        <v/>
      </c>
      <c r="AD1067" s="15" t="n">
        <v>3</v>
      </c>
      <c r="AE1067" s="11" t="n">
        <v>1.011296296296296</v>
      </c>
      <c r="AF1067" s="16">
        <f>SUMPRODUCT(N1067:Y1067,$N$5:$Y$5)*$K1067*$L1067*$M1067</f>
        <v/>
      </c>
      <c r="AG1067" s="16">
        <f>SUMPRODUCT(N1067:Y1067,$N$6:$Y$6)*$K1067*$L1067*$M1067</f>
        <v/>
      </c>
      <c r="AH1067" s="20" t="n"/>
    </row>
    <row r="1068">
      <c r="A1068" s="9" t="n">
        <v>694939</v>
      </c>
      <c r="B1068" s="9" t="inlineStr">
        <is>
          <t>Marcus Brown</t>
        </is>
      </c>
      <c r="C1068" s="9" t="inlineStr">
        <is>
          <t>HOU</t>
        </is>
      </c>
      <c r="D1068" s="9" t="n">
        <v>25</v>
      </c>
      <c r="E1068" s="18" t="inlineStr">
        <is>
          <t>R</t>
        </is>
      </c>
      <c r="F1068" s="18" t="n"/>
      <c r="G1068" s="9" t="n">
        <v>4.514999999999999</v>
      </c>
      <c r="H1068" s="9" t="n">
        <v>4.514999999999999</v>
      </c>
      <c r="I1068" s="9" t="inlineStr">
        <is>
          <t>Depth (no MLB IP)</t>
        </is>
      </c>
      <c r="J1068" s="18" t="inlineStr">
        <is>
          <t>Opening Day</t>
        </is>
      </c>
      <c r="K1068" s="11">
        <f>IFERROR(INDEX(Roles!$B$17:$B$20,MATCH(J1068,Roles!$A$17:$A$20,0)),1)</f>
        <v/>
      </c>
      <c r="L1068" s="19" t="n">
        <v>1</v>
      </c>
      <c r="M1068" s="11" t="n">
        <v>1</v>
      </c>
      <c r="N1068" s="19" t="n"/>
      <c r="O1068" s="19" t="n"/>
      <c r="P1068" s="19" t="n"/>
      <c r="Q1068" s="19" t="n"/>
      <c r="R1068" s="19" t="n"/>
      <c r="S1068" s="19" t="n"/>
      <c r="T1068" s="19" t="n"/>
      <c r="U1068" s="19" t="n"/>
      <c r="V1068" s="19" t="n"/>
      <c r="W1068" s="19" t="n"/>
      <c r="X1068" s="19" t="n"/>
      <c r="Y1068" s="19" t="n">
        <v>1</v>
      </c>
      <c r="Z1068" s="13">
        <f>SUMPRODUCT(N1068:Y1068,$N$2:$Y$2)*$K1068*$L1068*$M1068</f>
        <v/>
      </c>
      <c r="AA1068" s="14">
        <f>SUM(N1068:Y1068)</f>
        <v/>
      </c>
      <c r="AB1068" s="13">
        <f>SUMPRODUCT(N1068:Y1068,$N$3:$Y$3)*$K1068*$L1068*$M1068</f>
        <v/>
      </c>
      <c r="AC1068" s="13">
        <f>SUMPRODUCT(N1068:Y1068,$N$4:$Y$4)*$K1068*$L1068*$M1068</f>
        <v/>
      </c>
      <c r="AD1068" s="15" t="n">
        <v>3</v>
      </c>
      <c r="AE1068" s="11" t="n">
        <v>1.011296296296296</v>
      </c>
      <c r="AF1068" s="16">
        <f>SUMPRODUCT(N1068:Y1068,$N$5:$Y$5)*$K1068*$L1068*$M1068</f>
        <v/>
      </c>
      <c r="AG1068" s="16">
        <f>SUMPRODUCT(N1068:Y1068,$N$6:$Y$6)*$K1068*$L1068*$M1068</f>
        <v/>
      </c>
      <c r="AH1068" s="20" t="n"/>
    </row>
    <row r="1069">
      <c r="A1069" s="9" t="n">
        <v>813752</v>
      </c>
      <c r="B1069" s="9" t="inlineStr">
        <is>
          <t>Nick Brink</t>
        </is>
      </c>
      <c r="C1069" s="9" t="inlineStr">
        <is>
          <t>MIA</t>
        </is>
      </c>
      <c r="D1069" s="9" t="n">
        <v>25</v>
      </c>
      <c r="E1069" s="18" t="inlineStr">
        <is>
          <t>R</t>
        </is>
      </c>
      <c r="F1069" s="18" t="n"/>
      <c r="G1069" s="9" t="n">
        <v>4.873333333333334</v>
      </c>
      <c r="H1069" s="9" t="n">
        <v>4.873333333333334</v>
      </c>
      <c r="I1069" s="9" t="inlineStr">
        <is>
          <t>Depth (no MLB IP)</t>
        </is>
      </c>
      <c r="J1069" s="18" t="inlineStr">
        <is>
          <t>Opening Day</t>
        </is>
      </c>
      <c r="K1069" s="11">
        <f>IFERROR(INDEX(Roles!$B$17:$B$20,MATCH(J1069,Roles!$A$17:$A$20,0)),1)</f>
        <v/>
      </c>
      <c r="L1069" s="19" t="n">
        <v>1</v>
      </c>
      <c r="M1069" s="11" t="n">
        <v>1</v>
      </c>
      <c r="N1069" s="19" t="n"/>
      <c r="O1069" s="19" t="n"/>
      <c r="P1069" s="19" t="n"/>
      <c r="Q1069" s="19" t="n"/>
      <c r="R1069" s="19" t="n"/>
      <c r="S1069" s="19" t="n"/>
      <c r="T1069" s="19" t="n"/>
      <c r="U1069" s="19" t="n"/>
      <c r="V1069" s="19" t="n"/>
      <c r="W1069" s="19" t="n"/>
      <c r="X1069" s="19" t="n"/>
      <c r="Y1069" s="19" t="n">
        <v>1</v>
      </c>
      <c r="Z1069" s="13">
        <f>SUMPRODUCT(N1069:Y1069,$N$2:$Y$2)*$K1069*$L1069*$M1069</f>
        <v/>
      </c>
      <c r="AA1069" s="14">
        <f>SUM(N1069:Y1069)</f>
        <v/>
      </c>
      <c r="AB1069" s="13">
        <f>SUMPRODUCT(N1069:Y1069,$N$3:$Y$3)*$K1069*$L1069*$M1069</f>
        <v/>
      </c>
      <c r="AC1069" s="13">
        <f>SUMPRODUCT(N1069:Y1069,$N$4:$Y$4)*$K1069*$L1069*$M1069</f>
        <v/>
      </c>
      <c r="AD1069" s="15" t="n">
        <v>3</v>
      </c>
      <c r="AE1069" s="11" t="n">
        <v>1.011296296296296</v>
      </c>
      <c r="AF1069" s="16">
        <f>SUMPRODUCT(N1069:Y1069,$N$5:$Y$5)*$K1069*$L1069*$M1069</f>
        <v/>
      </c>
      <c r="AG1069" s="16">
        <f>SUMPRODUCT(N1069:Y1069,$N$6:$Y$6)*$K1069*$L1069*$M1069</f>
        <v/>
      </c>
      <c r="AH1069" s="20" t="n"/>
    </row>
    <row r="1070">
      <c r="A1070" s="9" t="n">
        <v>813386</v>
      </c>
      <c r="B1070" s="9" t="inlineStr">
        <is>
          <t>Justin Johnson</t>
        </is>
      </c>
      <c r="C1070" s="9" t="inlineStr">
        <is>
          <t>KC</t>
        </is>
      </c>
      <c r="D1070" s="9" t="n">
        <v>25</v>
      </c>
      <c r="E1070" s="18" t="inlineStr">
        <is>
          <t>R</t>
        </is>
      </c>
      <c r="F1070" s="18" t="n"/>
      <c r="G1070" s="9" t="n">
        <v>4.514999999999999</v>
      </c>
      <c r="H1070" s="9" t="n">
        <v>4.514999999999999</v>
      </c>
      <c r="I1070" s="9" t="inlineStr">
        <is>
          <t>Depth (no MLB IP)</t>
        </is>
      </c>
      <c r="J1070" s="18" t="inlineStr">
        <is>
          <t>Opening Day</t>
        </is>
      </c>
      <c r="K1070" s="11">
        <f>IFERROR(INDEX(Roles!$B$17:$B$20,MATCH(J1070,Roles!$A$17:$A$20,0)),1)</f>
        <v/>
      </c>
      <c r="L1070" s="19" t="n">
        <v>1</v>
      </c>
      <c r="M1070" s="11" t="n">
        <v>1</v>
      </c>
      <c r="N1070" s="19" t="n"/>
      <c r="O1070" s="19" t="n"/>
      <c r="P1070" s="19" t="n"/>
      <c r="Q1070" s="19" t="n"/>
      <c r="R1070" s="19" t="n"/>
      <c r="S1070" s="19" t="n"/>
      <c r="T1070" s="19" t="n"/>
      <c r="U1070" s="19" t="n"/>
      <c r="V1070" s="19" t="n"/>
      <c r="W1070" s="19" t="n"/>
      <c r="X1070" s="19" t="n"/>
      <c r="Y1070" s="19" t="n">
        <v>1</v>
      </c>
      <c r="Z1070" s="13">
        <f>SUMPRODUCT(N1070:Y1070,$N$2:$Y$2)*$K1070*$L1070*$M1070</f>
        <v/>
      </c>
      <c r="AA1070" s="14">
        <f>SUM(N1070:Y1070)</f>
        <v/>
      </c>
      <c r="AB1070" s="13">
        <f>SUMPRODUCT(N1070:Y1070,$N$3:$Y$3)*$K1070*$L1070*$M1070</f>
        <v/>
      </c>
      <c r="AC1070" s="13">
        <f>SUMPRODUCT(N1070:Y1070,$N$4:$Y$4)*$K1070*$L1070*$M1070</f>
        <v/>
      </c>
      <c r="AD1070" s="15" t="n">
        <v>3</v>
      </c>
      <c r="AE1070" s="11" t="n">
        <v>1.011296296296296</v>
      </c>
      <c r="AF1070" s="16">
        <f>SUMPRODUCT(N1070:Y1070,$N$5:$Y$5)*$K1070*$L1070*$M1070</f>
        <v/>
      </c>
      <c r="AG1070" s="16">
        <f>SUMPRODUCT(N1070:Y1070,$N$6:$Y$6)*$K1070*$L1070*$M1070</f>
        <v/>
      </c>
      <c r="AH1070" s="20" t="n"/>
    </row>
    <row r="1071">
      <c r="A1071" s="9" t="n">
        <v>695667</v>
      </c>
      <c r="B1071" s="9" t="inlineStr">
        <is>
          <t>Ben Kudrna</t>
        </is>
      </c>
      <c r="C1071" s="9" t="inlineStr">
        <is>
          <t>KC</t>
        </is>
      </c>
      <c r="D1071" s="9" t="n">
        <v>25</v>
      </c>
      <c r="E1071" s="18" t="inlineStr">
        <is>
          <t>R</t>
        </is>
      </c>
      <c r="F1071" s="18" t="n"/>
      <c r="G1071" s="9" t="n">
        <v>4.73</v>
      </c>
      <c r="H1071" s="9" t="n">
        <v>4.73</v>
      </c>
      <c r="I1071" s="9" t="inlineStr">
        <is>
          <t>Depth (no MLB IP)</t>
        </is>
      </c>
      <c r="J1071" s="18" t="inlineStr">
        <is>
          <t>Opening Day</t>
        </is>
      </c>
      <c r="K1071" s="11">
        <f>IFERROR(INDEX(Roles!$B$17:$B$20,MATCH(J1071,Roles!$A$17:$A$20,0)),1)</f>
        <v/>
      </c>
      <c r="L1071" s="19" t="n">
        <v>1</v>
      </c>
      <c r="M1071" s="11" t="n">
        <v>1</v>
      </c>
      <c r="N1071" s="19" t="n"/>
      <c r="O1071" s="19" t="n"/>
      <c r="P1071" s="19" t="n"/>
      <c r="Q1071" s="19" t="n"/>
      <c r="R1071" s="19" t="n"/>
      <c r="S1071" s="19" t="n"/>
      <c r="T1071" s="19" t="n"/>
      <c r="U1071" s="19" t="n"/>
      <c r="V1071" s="19" t="n"/>
      <c r="W1071" s="19" t="n"/>
      <c r="X1071" s="19" t="n"/>
      <c r="Y1071" s="19" t="n">
        <v>1</v>
      </c>
      <c r="Z1071" s="13">
        <f>SUMPRODUCT(N1071:Y1071,$N$2:$Y$2)*$K1071*$L1071*$M1071</f>
        <v/>
      </c>
      <c r="AA1071" s="14">
        <f>SUM(N1071:Y1071)</f>
        <v/>
      </c>
      <c r="AB1071" s="13">
        <f>SUMPRODUCT(N1071:Y1071,$N$3:$Y$3)*$K1071*$L1071*$M1071</f>
        <v/>
      </c>
      <c r="AC1071" s="13">
        <f>SUMPRODUCT(N1071:Y1071,$N$4:$Y$4)*$K1071*$L1071*$M1071</f>
        <v/>
      </c>
      <c r="AD1071" s="15" t="n">
        <v>3</v>
      </c>
      <c r="AE1071" s="11" t="n">
        <v>1.011296296296296</v>
      </c>
      <c r="AF1071" s="16">
        <f>SUMPRODUCT(N1071:Y1071,$N$5:$Y$5)*$K1071*$L1071*$M1071</f>
        <v/>
      </c>
      <c r="AG1071" s="16">
        <f>SUMPRODUCT(N1071:Y1071,$N$6:$Y$6)*$K1071*$L1071*$M1071</f>
        <v/>
      </c>
      <c r="AH1071" s="20" t="n"/>
    </row>
    <row r="1072">
      <c r="A1072" s="9" t="n">
        <v>677312</v>
      </c>
      <c r="B1072" s="9" t="inlineStr">
        <is>
          <t>Zane Mills</t>
        </is>
      </c>
      <c r="C1072" s="9" t="inlineStr">
        <is>
          <t>CHC</t>
        </is>
      </c>
      <c r="D1072" s="9" t="n">
        <v>25</v>
      </c>
      <c r="E1072" s="18" t="inlineStr">
        <is>
          <t>R</t>
        </is>
      </c>
      <c r="F1072" s="18" t="n"/>
      <c r="G1072" s="9" t="n">
        <v>4.514999999999999</v>
      </c>
      <c r="H1072" s="9" t="n">
        <v>4.514999999999999</v>
      </c>
      <c r="I1072" s="9" t="inlineStr">
        <is>
          <t>Depth (no MLB IP)</t>
        </is>
      </c>
      <c r="J1072" s="18" t="inlineStr">
        <is>
          <t>Opening Day</t>
        </is>
      </c>
      <c r="K1072" s="11">
        <f>IFERROR(INDEX(Roles!$B$17:$B$20,MATCH(J1072,Roles!$A$17:$A$20,0)),1)</f>
        <v/>
      </c>
      <c r="L1072" s="19" t="n">
        <v>1</v>
      </c>
      <c r="M1072" s="11" t="n">
        <v>1</v>
      </c>
      <c r="N1072" s="19" t="n"/>
      <c r="O1072" s="19" t="n"/>
      <c r="P1072" s="19" t="n"/>
      <c r="Q1072" s="19" t="n"/>
      <c r="R1072" s="19" t="n"/>
      <c r="S1072" s="19" t="n"/>
      <c r="T1072" s="19" t="n"/>
      <c r="U1072" s="19" t="n"/>
      <c r="V1072" s="19" t="n"/>
      <c r="W1072" s="19" t="n"/>
      <c r="X1072" s="19" t="n"/>
      <c r="Y1072" s="19" t="n">
        <v>1</v>
      </c>
      <c r="Z1072" s="13">
        <f>SUMPRODUCT(N1072:Y1072,$N$2:$Y$2)*$K1072*$L1072*$M1072</f>
        <v/>
      </c>
      <c r="AA1072" s="14">
        <f>SUM(N1072:Y1072)</f>
        <v/>
      </c>
      <c r="AB1072" s="13">
        <f>SUMPRODUCT(N1072:Y1072,$N$3:$Y$3)*$K1072*$L1072*$M1072</f>
        <v/>
      </c>
      <c r="AC1072" s="13">
        <f>SUMPRODUCT(N1072:Y1072,$N$4:$Y$4)*$K1072*$L1072*$M1072</f>
        <v/>
      </c>
      <c r="AD1072" s="15" t="n">
        <v>3</v>
      </c>
      <c r="AE1072" s="11" t="n">
        <v>1.011296296296296</v>
      </c>
      <c r="AF1072" s="16">
        <f>SUMPRODUCT(N1072:Y1072,$N$5:$Y$5)*$K1072*$L1072*$M1072</f>
        <v/>
      </c>
      <c r="AG1072" s="16">
        <f>SUMPRODUCT(N1072:Y1072,$N$6:$Y$6)*$K1072*$L1072*$M1072</f>
        <v/>
      </c>
      <c r="AH1072" s="20" t="n"/>
    </row>
    <row r="1073">
      <c r="A1073" s="9" t="n">
        <v>643565</v>
      </c>
      <c r="B1073" s="9" t="inlineStr">
        <is>
          <t>Mike Tauchman</t>
        </is>
      </c>
      <c r="C1073" s="9" t="inlineStr">
        <is>
          <t>NYM</t>
        </is>
      </c>
      <c r="D1073" s="9" t="n">
        <v>25</v>
      </c>
      <c r="E1073" s="18" t="inlineStr">
        <is>
          <t>L</t>
        </is>
      </c>
      <c r="F1073" s="18" t="n"/>
      <c r="G1073" s="9" t="n">
        <v>4.73</v>
      </c>
      <c r="H1073" s="9" t="n">
        <v>4.73</v>
      </c>
      <c r="I1073" s="9" t="inlineStr">
        <is>
          <t>Depth (no MLB IP)</t>
        </is>
      </c>
      <c r="J1073" s="18" t="inlineStr">
        <is>
          <t>Opening Day</t>
        </is>
      </c>
      <c r="K1073" s="11">
        <f>IFERROR(INDEX(Roles!$B$17:$B$20,MATCH(J1073,Roles!$A$17:$A$20,0)),1)</f>
        <v/>
      </c>
      <c r="L1073" s="19" t="n">
        <v>1</v>
      </c>
      <c r="M1073" s="11" t="n">
        <v>1</v>
      </c>
      <c r="N1073" s="19" t="n"/>
      <c r="O1073" s="19" t="n"/>
      <c r="P1073" s="19" t="n"/>
      <c r="Q1073" s="19" t="n"/>
      <c r="R1073" s="19" t="n"/>
      <c r="S1073" s="19" t="n"/>
      <c r="T1073" s="19" t="n"/>
      <c r="U1073" s="19" t="n"/>
      <c r="V1073" s="19" t="n"/>
      <c r="W1073" s="19" t="n"/>
      <c r="X1073" s="19" t="n"/>
      <c r="Y1073" s="19" t="n">
        <v>1</v>
      </c>
      <c r="Z1073" s="13">
        <f>SUMPRODUCT(N1073:Y1073,$N$2:$Y$2)*$K1073*$L1073*$M1073</f>
        <v/>
      </c>
      <c r="AA1073" s="14">
        <f>SUM(N1073:Y1073)</f>
        <v/>
      </c>
      <c r="AB1073" s="13">
        <f>SUMPRODUCT(N1073:Y1073,$N$3:$Y$3)*$K1073*$L1073*$M1073</f>
        <v/>
      </c>
      <c r="AC1073" s="13">
        <f>SUMPRODUCT(N1073:Y1073,$N$4:$Y$4)*$K1073*$L1073*$M1073</f>
        <v/>
      </c>
      <c r="AD1073" s="15" t="n">
        <v>3</v>
      </c>
      <c r="AE1073" s="11" t="n">
        <v>1.011296296296296</v>
      </c>
      <c r="AF1073" s="16">
        <f>SUMPRODUCT(N1073:Y1073,$N$5:$Y$5)*$K1073*$L1073*$M1073</f>
        <v/>
      </c>
      <c r="AG1073" s="16">
        <f>SUMPRODUCT(N1073:Y1073,$N$6:$Y$6)*$K1073*$L1073*$M1073</f>
        <v/>
      </c>
      <c r="AH1073" s="20" t="n"/>
    </row>
    <row r="1074">
      <c r="A1074" s="9" t="n">
        <v>814810</v>
      </c>
      <c r="B1074" s="9" t="inlineStr">
        <is>
          <t>Calvin Bickerstaff</t>
        </is>
      </c>
      <c r="C1074" s="9" t="inlineStr">
        <is>
          <t>BOS</t>
        </is>
      </c>
      <c r="D1074" s="9" t="n">
        <v>25</v>
      </c>
      <c r="E1074" s="18" t="inlineStr">
        <is>
          <t>R</t>
        </is>
      </c>
      <c r="F1074" s="18" t="n"/>
      <c r="G1074" s="9" t="n">
        <v>4.514999999999999</v>
      </c>
      <c r="H1074" s="9" t="n">
        <v>4.514999999999999</v>
      </c>
      <c r="I1074" s="9" t="inlineStr">
        <is>
          <t>Depth (no MLB IP)</t>
        </is>
      </c>
      <c r="J1074" s="18" t="inlineStr">
        <is>
          <t>Opening Day</t>
        </is>
      </c>
      <c r="K1074" s="11">
        <f>IFERROR(INDEX(Roles!$B$17:$B$20,MATCH(J1074,Roles!$A$17:$A$20,0)),1)</f>
        <v/>
      </c>
      <c r="L1074" s="19" t="n">
        <v>1</v>
      </c>
      <c r="M1074" s="11" t="n">
        <v>1</v>
      </c>
      <c r="N1074" s="19" t="n"/>
      <c r="O1074" s="19" t="n"/>
      <c r="P1074" s="19" t="n"/>
      <c r="Q1074" s="19" t="n"/>
      <c r="R1074" s="19" t="n"/>
      <c r="S1074" s="19" t="n"/>
      <c r="T1074" s="19" t="n"/>
      <c r="U1074" s="19" t="n"/>
      <c r="V1074" s="19" t="n"/>
      <c r="W1074" s="19" t="n"/>
      <c r="X1074" s="19" t="n"/>
      <c r="Y1074" s="19" t="n">
        <v>1</v>
      </c>
      <c r="Z1074" s="13">
        <f>SUMPRODUCT(N1074:Y1074,$N$2:$Y$2)*$K1074*$L1074*$M1074</f>
        <v/>
      </c>
      <c r="AA1074" s="14">
        <f>SUM(N1074:Y1074)</f>
        <v/>
      </c>
      <c r="AB1074" s="13">
        <f>SUMPRODUCT(N1074:Y1074,$N$3:$Y$3)*$K1074*$L1074*$M1074</f>
        <v/>
      </c>
      <c r="AC1074" s="13">
        <f>SUMPRODUCT(N1074:Y1074,$N$4:$Y$4)*$K1074*$L1074*$M1074</f>
        <v/>
      </c>
      <c r="AD1074" s="15" t="n">
        <v>3</v>
      </c>
      <c r="AE1074" s="11" t="n">
        <v>1.011296296296296</v>
      </c>
      <c r="AF1074" s="16">
        <f>SUMPRODUCT(N1074:Y1074,$N$5:$Y$5)*$K1074*$L1074*$M1074</f>
        <v/>
      </c>
      <c r="AG1074" s="16">
        <f>SUMPRODUCT(N1074:Y1074,$N$6:$Y$6)*$K1074*$L1074*$M1074</f>
        <v/>
      </c>
      <c r="AH1074" s="20" t="n"/>
    </row>
    <row r="1075">
      <c r="A1075" s="9" t="n">
        <v>808102</v>
      </c>
      <c r="B1075" s="9" t="inlineStr">
        <is>
          <t>Carlos Mateo</t>
        </is>
      </c>
      <c r="C1075" s="9" t="inlineStr">
        <is>
          <t>PIT</t>
        </is>
      </c>
      <c r="D1075" s="9" t="n">
        <v>25</v>
      </c>
      <c r="E1075" s="18" t="inlineStr">
        <is>
          <t>R</t>
        </is>
      </c>
      <c r="F1075" s="18" t="n"/>
      <c r="G1075" s="9" t="n">
        <v>4.643999999999999</v>
      </c>
      <c r="H1075" s="9" t="n">
        <v>4.643999999999999</v>
      </c>
      <c r="I1075" s="9" t="inlineStr">
        <is>
          <t>Depth (no MLB IP)</t>
        </is>
      </c>
      <c r="J1075" s="18" t="inlineStr">
        <is>
          <t>Opening Day</t>
        </is>
      </c>
      <c r="K1075" s="11">
        <f>IFERROR(INDEX(Roles!$B$17:$B$20,MATCH(J1075,Roles!$A$17:$A$20,0)),1)</f>
        <v/>
      </c>
      <c r="L1075" s="19" t="n">
        <v>1</v>
      </c>
      <c r="M1075" s="11" t="n">
        <v>1</v>
      </c>
      <c r="N1075" s="19" t="n"/>
      <c r="O1075" s="19" t="n"/>
      <c r="P1075" s="19" t="n"/>
      <c r="Q1075" s="19" t="n"/>
      <c r="R1075" s="19" t="n"/>
      <c r="S1075" s="19" t="n"/>
      <c r="T1075" s="19" t="n"/>
      <c r="U1075" s="19" t="n"/>
      <c r="V1075" s="19" t="n"/>
      <c r="W1075" s="19" t="n"/>
      <c r="X1075" s="19" t="n"/>
      <c r="Y1075" s="19" t="n">
        <v>1</v>
      </c>
      <c r="Z1075" s="13">
        <f>SUMPRODUCT(N1075:Y1075,$N$2:$Y$2)*$K1075*$L1075*$M1075</f>
        <v/>
      </c>
      <c r="AA1075" s="14">
        <f>SUM(N1075:Y1075)</f>
        <v/>
      </c>
      <c r="AB1075" s="13">
        <f>SUMPRODUCT(N1075:Y1075,$N$3:$Y$3)*$K1075*$L1075*$M1075</f>
        <v/>
      </c>
      <c r="AC1075" s="13">
        <f>SUMPRODUCT(N1075:Y1075,$N$4:$Y$4)*$K1075*$L1075*$M1075</f>
        <v/>
      </c>
      <c r="AD1075" s="15" t="n">
        <v>3</v>
      </c>
      <c r="AE1075" s="11" t="n">
        <v>1.011296296296296</v>
      </c>
      <c r="AF1075" s="16">
        <f>SUMPRODUCT(N1075:Y1075,$N$5:$Y$5)*$K1075*$L1075*$M1075</f>
        <v/>
      </c>
      <c r="AG1075" s="16">
        <f>SUMPRODUCT(N1075:Y1075,$N$6:$Y$6)*$K1075*$L1075*$M1075</f>
        <v/>
      </c>
      <c r="AH1075" s="20" t="n"/>
    </row>
    <row r="1076">
      <c r="A1076" s="9" t="n">
        <v>805315</v>
      </c>
      <c r="B1076" s="9" t="inlineStr">
        <is>
          <t>Michael Walsh</t>
        </is>
      </c>
      <c r="C1076" s="9" t="inlineStr">
        <is>
          <t>PIT</t>
        </is>
      </c>
      <c r="D1076" s="9" t="n">
        <v>25</v>
      </c>
      <c r="E1076" s="18" t="inlineStr">
        <is>
          <t>R</t>
        </is>
      </c>
      <c r="F1076" s="18" t="n"/>
      <c r="G1076" s="9" t="n">
        <v>4.73</v>
      </c>
      <c r="H1076" s="9" t="n">
        <v>4.73</v>
      </c>
      <c r="I1076" s="9" t="inlineStr">
        <is>
          <t>Depth (no MLB IP)</t>
        </is>
      </c>
      <c r="J1076" s="18" t="inlineStr">
        <is>
          <t>Opening Day</t>
        </is>
      </c>
      <c r="K1076" s="11">
        <f>IFERROR(INDEX(Roles!$B$17:$B$20,MATCH(J1076,Roles!$A$17:$A$20,0)),1)</f>
        <v/>
      </c>
      <c r="L1076" s="19" t="n">
        <v>1</v>
      </c>
      <c r="M1076" s="11" t="n">
        <v>1</v>
      </c>
      <c r="N1076" s="19" t="n"/>
      <c r="O1076" s="19" t="n"/>
      <c r="P1076" s="19" t="n"/>
      <c r="Q1076" s="19" t="n"/>
      <c r="R1076" s="19" t="n"/>
      <c r="S1076" s="19" t="n"/>
      <c r="T1076" s="19" t="n"/>
      <c r="U1076" s="19" t="n"/>
      <c r="V1076" s="19" t="n"/>
      <c r="W1076" s="19" t="n"/>
      <c r="X1076" s="19" t="n"/>
      <c r="Y1076" s="19" t="n">
        <v>1</v>
      </c>
      <c r="Z1076" s="13">
        <f>SUMPRODUCT(N1076:Y1076,$N$2:$Y$2)*$K1076*$L1076*$M1076</f>
        <v/>
      </c>
      <c r="AA1076" s="14">
        <f>SUM(N1076:Y1076)</f>
        <v/>
      </c>
      <c r="AB1076" s="13">
        <f>SUMPRODUCT(N1076:Y1076,$N$3:$Y$3)*$K1076*$L1076*$M1076</f>
        <v/>
      </c>
      <c r="AC1076" s="13">
        <f>SUMPRODUCT(N1076:Y1076,$N$4:$Y$4)*$K1076*$L1076*$M1076</f>
        <v/>
      </c>
      <c r="AD1076" s="15" t="n">
        <v>3</v>
      </c>
      <c r="AE1076" s="11" t="n">
        <v>1.011296296296296</v>
      </c>
      <c r="AF1076" s="16">
        <f>SUMPRODUCT(N1076:Y1076,$N$5:$Y$5)*$K1076*$L1076*$M1076</f>
        <v/>
      </c>
      <c r="AG1076" s="16">
        <f>SUMPRODUCT(N1076:Y1076,$N$6:$Y$6)*$K1076*$L1076*$M1076</f>
        <v/>
      </c>
      <c r="AH1076" s="20" t="n"/>
    </row>
    <row r="1077">
      <c r="A1077" s="9" t="n">
        <v>833416</v>
      </c>
      <c r="B1077" s="9" t="inlineStr">
        <is>
          <t>Ryan Bilka</t>
        </is>
      </c>
      <c r="C1077" s="9" t="inlineStr">
        <is>
          <t>CLE</t>
        </is>
      </c>
      <c r="D1077" s="9" t="n">
        <v>25</v>
      </c>
      <c r="E1077" s="18" t="inlineStr">
        <is>
          <t>R</t>
        </is>
      </c>
      <c r="F1077" s="18" t="n"/>
      <c r="G1077" s="9" t="n">
        <v>4.816</v>
      </c>
      <c r="H1077" s="9" t="n">
        <v>4.816</v>
      </c>
      <c r="I1077" s="9" t="inlineStr">
        <is>
          <t>Depth (no MLB IP)</t>
        </is>
      </c>
      <c r="J1077" s="18" t="inlineStr">
        <is>
          <t>Opening Day</t>
        </is>
      </c>
      <c r="K1077" s="11">
        <f>IFERROR(INDEX(Roles!$B$17:$B$20,MATCH(J1077,Roles!$A$17:$A$20,0)),1)</f>
        <v/>
      </c>
      <c r="L1077" s="19" t="n">
        <v>1</v>
      </c>
      <c r="M1077" s="11" t="n">
        <v>1</v>
      </c>
      <c r="N1077" s="19" t="n"/>
      <c r="O1077" s="19" t="n"/>
      <c r="P1077" s="19" t="n"/>
      <c r="Q1077" s="19" t="n"/>
      <c r="R1077" s="19" t="n"/>
      <c r="S1077" s="19" t="n"/>
      <c r="T1077" s="19" t="n"/>
      <c r="U1077" s="19" t="n"/>
      <c r="V1077" s="19" t="n"/>
      <c r="W1077" s="19" t="n"/>
      <c r="X1077" s="19" t="n"/>
      <c r="Y1077" s="19" t="n">
        <v>1</v>
      </c>
      <c r="Z1077" s="13">
        <f>SUMPRODUCT(N1077:Y1077,$N$2:$Y$2)*$K1077*$L1077*$M1077</f>
        <v/>
      </c>
      <c r="AA1077" s="14">
        <f>SUM(N1077:Y1077)</f>
        <v/>
      </c>
      <c r="AB1077" s="13">
        <f>SUMPRODUCT(N1077:Y1077,$N$3:$Y$3)*$K1077*$L1077*$M1077</f>
        <v/>
      </c>
      <c r="AC1077" s="13">
        <f>SUMPRODUCT(N1077:Y1077,$N$4:$Y$4)*$K1077*$L1077*$M1077</f>
        <v/>
      </c>
      <c r="AD1077" s="15" t="n">
        <v>3</v>
      </c>
      <c r="AE1077" s="11" t="n">
        <v>1.011296296296296</v>
      </c>
      <c r="AF1077" s="16">
        <f>SUMPRODUCT(N1077:Y1077,$N$5:$Y$5)*$K1077*$L1077*$M1077</f>
        <v/>
      </c>
      <c r="AG1077" s="16">
        <f>SUMPRODUCT(N1077:Y1077,$N$6:$Y$6)*$K1077*$L1077*$M1077</f>
        <v/>
      </c>
      <c r="AH1077" s="20" t="n"/>
    </row>
    <row r="1078">
      <c r="A1078" s="9" t="n">
        <v>666150</v>
      </c>
      <c r="B1078" s="9" t="inlineStr">
        <is>
          <t>Dominic Fletcher</t>
        </is>
      </c>
      <c r="C1078" s="9" t="inlineStr">
        <is>
          <t>CIN</t>
        </is>
      </c>
      <c r="D1078" s="9" t="n">
        <v>25</v>
      </c>
      <c r="E1078" s="18" t="inlineStr">
        <is>
          <t>L</t>
        </is>
      </c>
      <c r="F1078" s="18" t="n"/>
      <c r="G1078" s="9" t="n">
        <v>4.73</v>
      </c>
      <c r="H1078" s="9" t="n">
        <v>4.73</v>
      </c>
      <c r="I1078" s="9" t="inlineStr">
        <is>
          <t>Depth (no MLB IP)</t>
        </is>
      </c>
      <c r="J1078" s="18" t="inlineStr">
        <is>
          <t>Opening Day</t>
        </is>
      </c>
      <c r="K1078" s="11">
        <f>IFERROR(INDEX(Roles!$B$17:$B$20,MATCH(J1078,Roles!$A$17:$A$20,0)),1)</f>
        <v/>
      </c>
      <c r="L1078" s="19" t="n">
        <v>1</v>
      </c>
      <c r="M1078" s="11" t="n">
        <v>1</v>
      </c>
      <c r="N1078" s="19" t="n"/>
      <c r="O1078" s="19" t="n"/>
      <c r="P1078" s="19" t="n"/>
      <c r="Q1078" s="19" t="n"/>
      <c r="R1078" s="19" t="n"/>
      <c r="S1078" s="19" t="n"/>
      <c r="T1078" s="19" t="n"/>
      <c r="U1078" s="19" t="n"/>
      <c r="V1078" s="19" t="n"/>
      <c r="W1078" s="19" t="n"/>
      <c r="X1078" s="19" t="n"/>
      <c r="Y1078" s="19" t="n">
        <v>1</v>
      </c>
      <c r="Z1078" s="13">
        <f>SUMPRODUCT(N1078:Y1078,$N$2:$Y$2)*$K1078*$L1078*$M1078</f>
        <v/>
      </c>
      <c r="AA1078" s="14">
        <f>SUM(N1078:Y1078)</f>
        <v/>
      </c>
      <c r="AB1078" s="13">
        <f>SUMPRODUCT(N1078:Y1078,$N$3:$Y$3)*$K1078*$L1078*$M1078</f>
        <v/>
      </c>
      <c r="AC1078" s="13">
        <f>SUMPRODUCT(N1078:Y1078,$N$4:$Y$4)*$K1078*$L1078*$M1078</f>
        <v/>
      </c>
      <c r="AD1078" s="15" t="n">
        <v>3</v>
      </c>
      <c r="AE1078" s="11" t="n">
        <v>1.011296296296296</v>
      </c>
      <c r="AF1078" s="16">
        <f>SUMPRODUCT(N1078:Y1078,$N$5:$Y$5)*$K1078*$L1078*$M1078</f>
        <v/>
      </c>
      <c r="AG1078" s="16">
        <f>SUMPRODUCT(N1078:Y1078,$N$6:$Y$6)*$K1078*$L1078*$M1078</f>
        <v/>
      </c>
      <c r="AH1078" s="20" t="n"/>
    </row>
    <row r="1079">
      <c r="A1079" s="9" t="n">
        <v>834578</v>
      </c>
      <c r="B1079" s="9" t="inlineStr">
        <is>
          <t>Jake Barbee</t>
        </is>
      </c>
      <c r="C1079" s="9" t="inlineStr">
        <is>
          <t>TEX</t>
        </is>
      </c>
      <c r="D1079" s="9" t="n">
        <v>25</v>
      </c>
      <c r="E1079" s="18" t="inlineStr">
        <is>
          <t>R</t>
        </is>
      </c>
      <c r="F1079" s="18" t="n"/>
      <c r="G1079" s="9" t="n">
        <v>4.816</v>
      </c>
      <c r="H1079" s="9" t="n">
        <v>4.816</v>
      </c>
      <c r="I1079" s="9" t="inlineStr">
        <is>
          <t>Depth (no MLB IP)</t>
        </is>
      </c>
      <c r="J1079" s="18" t="inlineStr">
        <is>
          <t>Opening Day</t>
        </is>
      </c>
      <c r="K1079" s="11">
        <f>IFERROR(INDEX(Roles!$B$17:$B$20,MATCH(J1079,Roles!$A$17:$A$20,0)),1)</f>
        <v/>
      </c>
      <c r="L1079" s="19" t="n">
        <v>1</v>
      </c>
      <c r="M1079" s="11" t="n">
        <v>1</v>
      </c>
      <c r="N1079" s="19" t="n"/>
      <c r="O1079" s="19" t="n"/>
      <c r="P1079" s="19" t="n"/>
      <c r="Q1079" s="19" t="n"/>
      <c r="R1079" s="19" t="n"/>
      <c r="S1079" s="19" t="n"/>
      <c r="T1079" s="19" t="n"/>
      <c r="U1079" s="19" t="n"/>
      <c r="V1079" s="19" t="n"/>
      <c r="W1079" s="19" t="n"/>
      <c r="X1079" s="19" t="n"/>
      <c r="Y1079" s="19" t="n">
        <v>1</v>
      </c>
      <c r="Z1079" s="13">
        <f>SUMPRODUCT(N1079:Y1079,$N$2:$Y$2)*$K1079*$L1079*$M1079</f>
        <v/>
      </c>
      <c r="AA1079" s="14">
        <f>SUM(N1079:Y1079)</f>
        <v/>
      </c>
      <c r="AB1079" s="13">
        <f>SUMPRODUCT(N1079:Y1079,$N$3:$Y$3)*$K1079*$L1079*$M1079</f>
        <v/>
      </c>
      <c r="AC1079" s="13">
        <f>SUMPRODUCT(N1079:Y1079,$N$4:$Y$4)*$K1079*$L1079*$M1079</f>
        <v/>
      </c>
      <c r="AD1079" s="15" t="n">
        <v>3</v>
      </c>
      <c r="AE1079" s="11" t="n">
        <v>1.011296296296296</v>
      </c>
      <c r="AF1079" s="16">
        <f>SUMPRODUCT(N1079:Y1079,$N$5:$Y$5)*$K1079*$L1079*$M1079</f>
        <v/>
      </c>
      <c r="AG1079" s="16">
        <f>SUMPRODUCT(N1079:Y1079,$N$6:$Y$6)*$K1079*$L1079*$M1079</f>
        <v/>
      </c>
      <c r="AH1079" s="20" t="n"/>
    </row>
    <row r="1080">
      <c r="A1080" s="9" t="n">
        <v>801453</v>
      </c>
      <c r="B1080" s="9" t="inlineStr">
        <is>
          <t>Cole Stasio</t>
        </is>
      </c>
      <c r="C1080" s="9" t="inlineStr">
        <is>
          <t>TEX</t>
        </is>
      </c>
      <c r="D1080" s="9" t="n">
        <v>25</v>
      </c>
      <c r="E1080" s="18" t="inlineStr">
        <is>
          <t>R</t>
        </is>
      </c>
      <c r="F1080" s="18" t="n"/>
      <c r="G1080" s="9" t="n">
        <v>4.73</v>
      </c>
      <c r="H1080" s="9" t="n">
        <v>4.73</v>
      </c>
      <c r="I1080" s="9" t="inlineStr">
        <is>
          <t>Depth (no MLB IP)</t>
        </is>
      </c>
      <c r="J1080" s="18" t="inlineStr">
        <is>
          <t>Opening Day</t>
        </is>
      </c>
      <c r="K1080" s="11">
        <f>IFERROR(INDEX(Roles!$B$17:$B$20,MATCH(J1080,Roles!$A$17:$A$20,0)),1)</f>
        <v/>
      </c>
      <c r="L1080" s="19" t="n">
        <v>1</v>
      </c>
      <c r="M1080" s="11" t="n">
        <v>1</v>
      </c>
      <c r="N1080" s="19" t="n"/>
      <c r="O1080" s="19" t="n"/>
      <c r="P1080" s="19" t="n"/>
      <c r="Q1080" s="19" t="n"/>
      <c r="R1080" s="19" t="n"/>
      <c r="S1080" s="19" t="n"/>
      <c r="T1080" s="19" t="n"/>
      <c r="U1080" s="19" t="n"/>
      <c r="V1080" s="19" t="n"/>
      <c r="W1080" s="19" t="n"/>
      <c r="X1080" s="19" t="n"/>
      <c r="Y1080" s="19" t="n">
        <v>1</v>
      </c>
      <c r="Z1080" s="13">
        <f>SUMPRODUCT(N1080:Y1080,$N$2:$Y$2)*$K1080*$L1080*$M1080</f>
        <v/>
      </c>
      <c r="AA1080" s="14">
        <f>SUM(N1080:Y1080)</f>
        <v/>
      </c>
      <c r="AB1080" s="13">
        <f>SUMPRODUCT(N1080:Y1080,$N$3:$Y$3)*$K1080*$L1080*$M1080</f>
        <v/>
      </c>
      <c r="AC1080" s="13">
        <f>SUMPRODUCT(N1080:Y1080,$N$4:$Y$4)*$K1080*$L1080*$M1080</f>
        <v/>
      </c>
      <c r="AD1080" s="15" t="n">
        <v>3</v>
      </c>
      <c r="AE1080" s="11" t="n">
        <v>1.011296296296296</v>
      </c>
      <c r="AF1080" s="16">
        <f>SUMPRODUCT(N1080:Y1080,$N$5:$Y$5)*$K1080*$L1080*$M1080</f>
        <v/>
      </c>
      <c r="AG1080" s="16">
        <f>SUMPRODUCT(N1080:Y1080,$N$6:$Y$6)*$K1080*$L1080*$M1080</f>
        <v/>
      </c>
      <c r="AH1080" s="20" t="n"/>
    </row>
    <row r="1081">
      <c r="A1081" s="9" t="n">
        <v>800278</v>
      </c>
      <c r="B1081" s="9" t="inlineStr">
        <is>
          <t>Pitterson Rosa</t>
        </is>
      </c>
      <c r="C1081" s="9" t="inlineStr">
        <is>
          <t>PIT</t>
        </is>
      </c>
      <c r="D1081" s="9" t="n">
        <v>25</v>
      </c>
      <c r="E1081" s="18" t="inlineStr">
        <is>
          <t>R</t>
        </is>
      </c>
      <c r="F1081" s="18" t="n"/>
      <c r="G1081" s="9" t="n">
        <v>4.643999999999999</v>
      </c>
      <c r="H1081" s="9" t="n">
        <v>4.643999999999999</v>
      </c>
      <c r="I1081" s="9" t="inlineStr">
        <is>
          <t>Depth (no MLB IP)</t>
        </is>
      </c>
      <c r="J1081" s="18" t="inlineStr">
        <is>
          <t>Opening Day</t>
        </is>
      </c>
      <c r="K1081" s="11">
        <f>IFERROR(INDEX(Roles!$B$17:$B$20,MATCH(J1081,Roles!$A$17:$A$20,0)),1)</f>
        <v/>
      </c>
      <c r="L1081" s="19" t="n">
        <v>1</v>
      </c>
      <c r="M1081" s="11" t="n">
        <v>1</v>
      </c>
      <c r="N1081" s="19" t="n"/>
      <c r="O1081" s="19" t="n"/>
      <c r="P1081" s="19" t="n"/>
      <c r="Q1081" s="19" t="n"/>
      <c r="R1081" s="19" t="n"/>
      <c r="S1081" s="19" t="n"/>
      <c r="T1081" s="19" t="n"/>
      <c r="U1081" s="19" t="n"/>
      <c r="V1081" s="19" t="n"/>
      <c r="W1081" s="19" t="n"/>
      <c r="X1081" s="19" t="n"/>
      <c r="Y1081" s="19" t="n">
        <v>1</v>
      </c>
      <c r="Z1081" s="13">
        <f>SUMPRODUCT(N1081:Y1081,$N$2:$Y$2)*$K1081*$L1081*$M1081</f>
        <v/>
      </c>
      <c r="AA1081" s="14">
        <f>SUM(N1081:Y1081)</f>
        <v/>
      </c>
      <c r="AB1081" s="13">
        <f>SUMPRODUCT(N1081:Y1081,$N$3:$Y$3)*$K1081*$L1081*$M1081</f>
        <v/>
      </c>
      <c r="AC1081" s="13">
        <f>SUMPRODUCT(N1081:Y1081,$N$4:$Y$4)*$K1081*$L1081*$M1081</f>
        <v/>
      </c>
      <c r="AD1081" s="15" t="n">
        <v>3</v>
      </c>
      <c r="AE1081" s="11" t="n">
        <v>1.011296296296296</v>
      </c>
      <c r="AF1081" s="16">
        <f>SUMPRODUCT(N1081:Y1081,$N$5:$Y$5)*$K1081*$L1081*$M1081</f>
        <v/>
      </c>
      <c r="AG1081" s="16">
        <f>SUMPRODUCT(N1081:Y1081,$N$6:$Y$6)*$K1081*$L1081*$M1081</f>
        <v/>
      </c>
      <c r="AH1081" s="20" t="n"/>
    </row>
    <row r="1082">
      <c r="A1082" s="9" t="n">
        <v>833414</v>
      </c>
      <c r="B1082" s="9" t="inlineStr">
        <is>
          <t>Nico Wagner</t>
        </is>
      </c>
      <c r="C1082" s="9" t="inlineStr">
        <is>
          <t>ATL</t>
        </is>
      </c>
      <c r="D1082" s="9" t="n">
        <v>25</v>
      </c>
      <c r="E1082" s="18" t="inlineStr">
        <is>
          <t>R</t>
        </is>
      </c>
      <c r="F1082" s="18" t="n"/>
      <c r="G1082" s="9" t="n">
        <v>4.816</v>
      </c>
      <c r="H1082" s="9" t="n">
        <v>4.816</v>
      </c>
      <c r="I1082" s="9" t="inlineStr">
        <is>
          <t>Depth (no MLB IP)</t>
        </is>
      </c>
      <c r="J1082" s="18" t="inlineStr">
        <is>
          <t>Opening Day</t>
        </is>
      </c>
      <c r="K1082" s="11">
        <f>IFERROR(INDEX(Roles!$B$17:$B$20,MATCH(J1082,Roles!$A$17:$A$20,0)),1)</f>
        <v/>
      </c>
      <c r="L1082" s="19" t="n">
        <v>1</v>
      </c>
      <c r="M1082" s="11" t="n">
        <v>1</v>
      </c>
      <c r="N1082" s="19" t="n"/>
      <c r="O1082" s="19" t="n"/>
      <c r="P1082" s="19" t="n"/>
      <c r="Q1082" s="19" t="n"/>
      <c r="R1082" s="19" t="n"/>
      <c r="S1082" s="19" t="n"/>
      <c r="T1082" s="19" t="n"/>
      <c r="U1082" s="19" t="n"/>
      <c r="V1082" s="19" t="n"/>
      <c r="W1082" s="19" t="n"/>
      <c r="X1082" s="19" t="n"/>
      <c r="Y1082" s="19" t="n">
        <v>1</v>
      </c>
      <c r="Z1082" s="13">
        <f>SUMPRODUCT(N1082:Y1082,$N$2:$Y$2)*$K1082*$L1082*$M1082</f>
        <v/>
      </c>
      <c r="AA1082" s="14">
        <f>SUM(N1082:Y1082)</f>
        <v/>
      </c>
      <c r="AB1082" s="13">
        <f>SUMPRODUCT(N1082:Y1082,$N$3:$Y$3)*$K1082*$L1082*$M1082</f>
        <v/>
      </c>
      <c r="AC1082" s="13">
        <f>SUMPRODUCT(N1082:Y1082,$N$4:$Y$4)*$K1082*$L1082*$M1082</f>
        <v/>
      </c>
      <c r="AD1082" s="15" t="n">
        <v>3</v>
      </c>
      <c r="AE1082" s="11" t="n">
        <v>1.011296296296296</v>
      </c>
      <c r="AF1082" s="16">
        <f>SUMPRODUCT(N1082:Y1082,$N$5:$Y$5)*$K1082*$L1082*$M1082</f>
        <v/>
      </c>
      <c r="AG1082" s="16">
        <f>SUMPRODUCT(N1082:Y1082,$N$6:$Y$6)*$K1082*$L1082*$M1082</f>
        <v/>
      </c>
      <c r="AH1082" s="20" t="n"/>
    </row>
    <row r="1083">
      <c r="A1083" s="9" t="n">
        <v>667240</v>
      </c>
      <c r="B1083" s="9" t="inlineStr">
        <is>
          <t>Jason Matthews</t>
        </is>
      </c>
      <c r="C1083" s="9" t="inlineStr">
        <is>
          <t>CWS</t>
        </is>
      </c>
      <c r="D1083" s="9" t="n">
        <v>25</v>
      </c>
      <c r="E1083" s="18" t="inlineStr">
        <is>
          <t>R</t>
        </is>
      </c>
      <c r="F1083" s="18" t="n"/>
      <c r="G1083" s="9" t="n">
        <v>4.73</v>
      </c>
      <c r="H1083" s="9" t="n">
        <v>4.73</v>
      </c>
      <c r="I1083" s="9" t="inlineStr">
        <is>
          <t>Depth (no MLB IP)</t>
        </is>
      </c>
      <c r="J1083" s="18" t="inlineStr">
        <is>
          <t>Opening Day</t>
        </is>
      </c>
      <c r="K1083" s="11">
        <f>IFERROR(INDEX(Roles!$B$17:$B$20,MATCH(J1083,Roles!$A$17:$A$20,0)),1)</f>
        <v/>
      </c>
      <c r="L1083" s="19" t="n">
        <v>1</v>
      </c>
      <c r="M1083" s="11" t="n">
        <v>1</v>
      </c>
      <c r="N1083" s="19" t="n"/>
      <c r="O1083" s="19" t="n"/>
      <c r="P1083" s="19" t="n"/>
      <c r="Q1083" s="19" t="n"/>
      <c r="R1083" s="19" t="n"/>
      <c r="S1083" s="19" t="n"/>
      <c r="T1083" s="19" t="n"/>
      <c r="U1083" s="19" t="n"/>
      <c r="V1083" s="19" t="n"/>
      <c r="W1083" s="19" t="n"/>
      <c r="X1083" s="19" t="n"/>
      <c r="Y1083" s="19" t="n">
        <v>1</v>
      </c>
      <c r="Z1083" s="13">
        <f>SUMPRODUCT(N1083:Y1083,$N$2:$Y$2)*$K1083*$L1083*$M1083</f>
        <v/>
      </c>
      <c r="AA1083" s="14">
        <f>SUM(N1083:Y1083)</f>
        <v/>
      </c>
      <c r="AB1083" s="13">
        <f>SUMPRODUCT(N1083:Y1083,$N$3:$Y$3)*$K1083*$L1083*$M1083</f>
        <v/>
      </c>
      <c r="AC1083" s="13">
        <f>SUMPRODUCT(N1083:Y1083,$N$4:$Y$4)*$K1083*$L1083*$M1083</f>
        <v/>
      </c>
      <c r="AD1083" s="15" t="n">
        <v>3</v>
      </c>
      <c r="AE1083" s="11" t="n">
        <v>1.011296296296296</v>
      </c>
      <c r="AF1083" s="16">
        <f>SUMPRODUCT(N1083:Y1083,$N$5:$Y$5)*$K1083*$L1083*$M1083</f>
        <v/>
      </c>
      <c r="AG1083" s="16">
        <f>SUMPRODUCT(N1083:Y1083,$N$6:$Y$6)*$K1083*$L1083*$M1083</f>
        <v/>
      </c>
      <c r="AH1083" s="20" t="n"/>
    </row>
    <row r="1084">
      <c r="A1084" s="9" t="n">
        <v>832008</v>
      </c>
      <c r="B1084" s="9" t="inlineStr">
        <is>
          <t>Brady Pendley</t>
        </is>
      </c>
      <c r="C1084" s="9" t="inlineStr">
        <is>
          <t>LAD</t>
        </is>
      </c>
      <c r="D1084" s="9" t="n">
        <v>25</v>
      </c>
      <c r="E1084" s="18" t="inlineStr">
        <is>
          <t>R</t>
        </is>
      </c>
      <c r="F1084" s="18" t="n"/>
      <c r="G1084" s="9" t="n">
        <v>4.643999999999999</v>
      </c>
      <c r="H1084" s="9" t="n">
        <v>4.643999999999999</v>
      </c>
      <c r="I1084" s="9" t="inlineStr">
        <is>
          <t>Depth (no MLB IP)</t>
        </is>
      </c>
      <c r="J1084" s="18" t="inlineStr">
        <is>
          <t>Opening Day</t>
        </is>
      </c>
      <c r="K1084" s="11">
        <f>IFERROR(INDEX(Roles!$B$17:$B$20,MATCH(J1084,Roles!$A$17:$A$20,0)),1)</f>
        <v/>
      </c>
      <c r="L1084" s="19" t="n">
        <v>1</v>
      </c>
      <c r="M1084" s="11" t="n">
        <v>1</v>
      </c>
      <c r="N1084" s="19" t="n"/>
      <c r="O1084" s="19" t="n"/>
      <c r="P1084" s="19" t="n"/>
      <c r="Q1084" s="19" t="n"/>
      <c r="R1084" s="19" t="n"/>
      <c r="S1084" s="19" t="n"/>
      <c r="T1084" s="19" t="n"/>
      <c r="U1084" s="19" t="n"/>
      <c r="V1084" s="19" t="n"/>
      <c r="W1084" s="19" t="n"/>
      <c r="X1084" s="19" t="n"/>
      <c r="Y1084" s="19" t="n">
        <v>1</v>
      </c>
      <c r="Z1084" s="13">
        <f>SUMPRODUCT(N1084:Y1084,$N$2:$Y$2)*$K1084*$L1084*$M1084</f>
        <v/>
      </c>
      <c r="AA1084" s="14">
        <f>SUM(N1084:Y1084)</f>
        <v/>
      </c>
      <c r="AB1084" s="13">
        <f>SUMPRODUCT(N1084:Y1084,$N$3:$Y$3)*$K1084*$L1084*$M1084</f>
        <v/>
      </c>
      <c r="AC1084" s="13">
        <f>SUMPRODUCT(N1084:Y1084,$N$4:$Y$4)*$K1084*$L1084*$M1084</f>
        <v/>
      </c>
      <c r="AD1084" s="15" t="n">
        <v>3</v>
      </c>
      <c r="AE1084" s="11" t="n">
        <v>1.011296296296296</v>
      </c>
      <c r="AF1084" s="16">
        <f>SUMPRODUCT(N1084:Y1084,$N$5:$Y$5)*$K1084*$L1084*$M1084</f>
        <v/>
      </c>
      <c r="AG1084" s="16">
        <f>SUMPRODUCT(N1084:Y1084,$N$6:$Y$6)*$K1084*$L1084*$M1084</f>
        <v/>
      </c>
      <c r="AH1084" s="20" t="n"/>
    </row>
    <row r="1085">
      <c r="A1085" s="9" t="n">
        <v>695950</v>
      </c>
      <c r="B1085" s="9" t="inlineStr">
        <is>
          <t>Nicolo Pinazzi</t>
        </is>
      </c>
      <c r="C1085" s="9" t="inlineStr">
        <is>
          <t>LAA</t>
        </is>
      </c>
      <c r="D1085" s="9" t="n">
        <v>25</v>
      </c>
      <c r="E1085" s="18" t="inlineStr">
        <is>
          <t>L</t>
        </is>
      </c>
      <c r="F1085" s="18" t="n"/>
      <c r="G1085" s="9" t="n">
        <v>4.73</v>
      </c>
      <c r="H1085" s="9" t="n">
        <v>4.73</v>
      </c>
      <c r="I1085" s="9" t="inlineStr">
        <is>
          <t>Depth (no MLB IP)</t>
        </is>
      </c>
      <c r="J1085" s="18" t="inlineStr">
        <is>
          <t>Opening Day</t>
        </is>
      </c>
      <c r="K1085" s="11">
        <f>IFERROR(INDEX(Roles!$B$17:$B$20,MATCH(J1085,Roles!$A$17:$A$20,0)),1)</f>
        <v/>
      </c>
      <c r="L1085" s="19" t="n">
        <v>1</v>
      </c>
      <c r="M1085" s="11" t="n">
        <v>1</v>
      </c>
      <c r="N1085" s="19" t="n"/>
      <c r="O1085" s="19" t="n"/>
      <c r="P1085" s="19" t="n"/>
      <c r="Q1085" s="19" t="n"/>
      <c r="R1085" s="19" t="n"/>
      <c r="S1085" s="19" t="n"/>
      <c r="T1085" s="19" t="n"/>
      <c r="U1085" s="19" t="n"/>
      <c r="V1085" s="19" t="n"/>
      <c r="W1085" s="19" t="n"/>
      <c r="X1085" s="19" t="n"/>
      <c r="Y1085" s="19" t="n">
        <v>1</v>
      </c>
      <c r="Z1085" s="13">
        <f>SUMPRODUCT(N1085:Y1085,$N$2:$Y$2)*$K1085*$L1085*$M1085</f>
        <v/>
      </c>
      <c r="AA1085" s="14">
        <f>SUM(N1085:Y1085)</f>
        <v/>
      </c>
      <c r="AB1085" s="13">
        <f>SUMPRODUCT(N1085:Y1085,$N$3:$Y$3)*$K1085*$L1085*$M1085</f>
        <v/>
      </c>
      <c r="AC1085" s="13">
        <f>SUMPRODUCT(N1085:Y1085,$N$4:$Y$4)*$K1085*$L1085*$M1085</f>
        <v/>
      </c>
      <c r="AD1085" s="15" t="n">
        <v>3</v>
      </c>
      <c r="AE1085" s="11" t="n">
        <v>1.011296296296296</v>
      </c>
      <c r="AF1085" s="16">
        <f>SUMPRODUCT(N1085:Y1085,$N$5:$Y$5)*$K1085*$L1085*$M1085</f>
        <v/>
      </c>
      <c r="AG1085" s="16">
        <f>SUMPRODUCT(N1085:Y1085,$N$6:$Y$6)*$K1085*$L1085*$M1085</f>
        <v/>
      </c>
      <c r="AH1085" s="20" t="n"/>
    </row>
    <row r="1086">
      <c r="A1086" s="9" t="n">
        <v>812372</v>
      </c>
      <c r="B1086" s="9" t="inlineStr">
        <is>
          <t>Daniel Wright</t>
        </is>
      </c>
      <c r="C1086" s="9" t="inlineStr">
        <is>
          <t>CWS</t>
        </is>
      </c>
      <c r="D1086" s="9" t="n">
        <v>25</v>
      </c>
      <c r="E1086" s="18" t="inlineStr">
        <is>
          <t>R</t>
        </is>
      </c>
      <c r="F1086" s="18" t="n"/>
      <c r="G1086" s="9" t="n">
        <v>4.73</v>
      </c>
      <c r="H1086" s="9" t="n">
        <v>4.73</v>
      </c>
      <c r="I1086" s="9" t="inlineStr">
        <is>
          <t>Depth (no MLB IP)</t>
        </is>
      </c>
      <c r="J1086" s="18" t="inlineStr">
        <is>
          <t>Opening Day</t>
        </is>
      </c>
      <c r="K1086" s="11">
        <f>IFERROR(INDEX(Roles!$B$17:$B$20,MATCH(J1086,Roles!$A$17:$A$20,0)),1)</f>
        <v/>
      </c>
      <c r="L1086" s="19" t="n">
        <v>1</v>
      </c>
      <c r="M1086" s="11" t="n">
        <v>1</v>
      </c>
      <c r="N1086" s="19" t="n"/>
      <c r="O1086" s="19" t="n"/>
      <c r="P1086" s="19" t="n"/>
      <c r="Q1086" s="19" t="n"/>
      <c r="R1086" s="19" t="n"/>
      <c r="S1086" s="19" t="n"/>
      <c r="T1086" s="19" t="n"/>
      <c r="U1086" s="19" t="n"/>
      <c r="V1086" s="19" t="n"/>
      <c r="W1086" s="19" t="n"/>
      <c r="X1086" s="19" t="n"/>
      <c r="Y1086" s="19" t="n">
        <v>1</v>
      </c>
      <c r="Z1086" s="13">
        <f>SUMPRODUCT(N1086:Y1086,$N$2:$Y$2)*$K1086*$L1086*$M1086</f>
        <v/>
      </c>
      <c r="AA1086" s="14">
        <f>SUM(N1086:Y1086)</f>
        <v/>
      </c>
      <c r="AB1086" s="13">
        <f>SUMPRODUCT(N1086:Y1086,$N$3:$Y$3)*$K1086*$L1086*$M1086</f>
        <v/>
      </c>
      <c r="AC1086" s="13">
        <f>SUMPRODUCT(N1086:Y1086,$N$4:$Y$4)*$K1086*$L1086*$M1086</f>
        <v/>
      </c>
      <c r="AD1086" s="15" t="n">
        <v>3</v>
      </c>
      <c r="AE1086" s="11" t="n">
        <v>1.011296296296296</v>
      </c>
      <c r="AF1086" s="16">
        <f>SUMPRODUCT(N1086:Y1086,$N$5:$Y$5)*$K1086*$L1086*$M1086</f>
        <v/>
      </c>
      <c r="AG1086" s="16">
        <f>SUMPRODUCT(N1086:Y1086,$N$6:$Y$6)*$K1086*$L1086*$M1086</f>
        <v/>
      </c>
      <c r="AH1086" s="20" t="n"/>
    </row>
    <row r="1087">
      <c r="A1087" s="9" t="n">
        <v>697795</v>
      </c>
      <c r="B1087" s="9" t="inlineStr">
        <is>
          <t>Ismael Agreda</t>
        </is>
      </c>
      <c r="C1087" s="9" t="inlineStr">
        <is>
          <t>TEX</t>
        </is>
      </c>
      <c r="D1087" s="9" t="n">
        <v>25</v>
      </c>
      <c r="E1087" s="18" t="inlineStr">
        <is>
          <t>R</t>
        </is>
      </c>
      <c r="F1087" s="18" t="n"/>
      <c r="G1087" s="9" t="n">
        <v>4.514999999999999</v>
      </c>
      <c r="H1087" s="9" t="n">
        <v>4.514999999999999</v>
      </c>
      <c r="I1087" s="9" t="inlineStr">
        <is>
          <t>Depth (no MLB IP)</t>
        </is>
      </c>
      <c r="J1087" s="18" t="inlineStr">
        <is>
          <t>Opening Day</t>
        </is>
      </c>
      <c r="K1087" s="11">
        <f>IFERROR(INDEX(Roles!$B$17:$B$20,MATCH(J1087,Roles!$A$17:$A$20,0)),1)</f>
        <v/>
      </c>
      <c r="L1087" s="19" t="n">
        <v>1</v>
      </c>
      <c r="M1087" s="11" t="n">
        <v>1</v>
      </c>
      <c r="N1087" s="19" t="n"/>
      <c r="O1087" s="19" t="n"/>
      <c r="P1087" s="19" t="n"/>
      <c r="Q1087" s="19" t="n"/>
      <c r="R1087" s="19" t="n"/>
      <c r="S1087" s="19" t="n"/>
      <c r="T1087" s="19" t="n"/>
      <c r="U1087" s="19" t="n"/>
      <c r="V1087" s="19" t="n"/>
      <c r="W1087" s="19" t="n"/>
      <c r="X1087" s="19" t="n"/>
      <c r="Y1087" s="19" t="n">
        <v>1</v>
      </c>
      <c r="Z1087" s="13">
        <f>SUMPRODUCT(N1087:Y1087,$N$2:$Y$2)*$K1087*$L1087*$M1087</f>
        <v/>
      </c>
      <c r="AA1087" s="14">
        <f>SUM(N1087:Y1087)</f>
        <v/>
      </c>
      <c r="AB1087" s="13">
        <f>SUMPRODUCT(N1087:Y1087,$N$3:$Y$3)*$K1087*$L1087*$M1087</f>
        <v/>
      </c>
      <c r="AC1087" s="13">
        <f>SUMPRODUCT(N1087:Y1087,$N$4:$Y$4)*$K1087*$L1087*$M1087</f>
        <v/>
      </c>
      <c r="AD1087" s="15" t="n">
        <v>3</v>
      </c>
      <c r="AE1087" s="11" t="n">
        <v>1.011296296296296</v>
      </c>
      <c r="AF1087" s="16">
        <f>SUMPRODUCT(N1087:Y1087,$N$5:$Y$5)*$K1087*$L1087*$M1087</f>
        <v/>
      </c>
      <c r="AG1087" s="16">
        <f>SUMPRODUCT(N1087:Y1087,$N$6:$Y$6)*$K1087*$L1087*$M1087</f>
        <v/>
      </c>
      <c r="AH1087" s="20" t="n"/>
    </row>
    <row r="1088">
      <c r="A1088" s="9" t="n">
        <v>814085</v>
      </c>
      <c r="B1088" s="9" t="inlineStr">
        <is>
          <t>Alan Reyes</t>
        </is>
      </c>
      <c r="C1088" s="9" t="inlineStr">
        <is>
          <t>STL</t>
        </is>
      </c>
      <c r="D1088" s="9" t="n">
        <v>25</v>
      </c>
      <c r="E1088" s="18" t="inlineStr">
        <is>
          <t>R</t>
        </is>
      </c>
      <c r="F1088" s="18" t="n"/>
      <c r="G1088" s="9" t="n">
        <v>4.643999999999999</v>
      </c>
      <c r="H1088" s="9" t="n">
        <v>4.643999999999999</v>
      </c>
      <c r="I1088" s="9" t="inlineStr">
        <is>
          <t>Depth (no MLB IP)</t>
        </is>
      </c>
      <c r="J1088" s="18" t="inlineStr">
        <is>
          <t>Opening Day</t>
        </is>
      </c>
      <c r="K1088" s="11">
        <f>IFERROR(INDEX(Roles!$B$17:$B$20,MATCH(J1088,Roles!$A$17:$A$20,0)),1)</f>
        <v/>
      </c>
      <c r="L1088" s="19" t="n">
        <v>1</v>
      </c>
      <c r="M1088" s="11" t="n">
        <v>1</v>
      </c>
      <c r="N1088" s="19" t="n"/>
      <c r="O1088" s="19" t="n"/>
      <c r="P1088" s="19" t="n"/>
      <c r="Q1088" s="19" t="n"/>
      <c r="R1088" s="19" t="n"/>
      <c r="S1088" s="19" t="n"/>
      <c r="T1088" s="19" t="n"/>
      <c r="U1088" s="19" t="n"/>
      <c r="V1088" s="19" t="n"/>
      <c r="W1088" s="19" t="n"/>
      <c r="X1088" s="19" t="n"/>
      <c r="Y1088" s="19" t="n">
        <v>1</v>
      </c>
      <c r="Z1088" s="13">
        <f>SUMPRODUCT(N1088:Y1088,$N$2:$Y$2)*$K1088*$L1088*$M1088</f>
        <v/>
      </c>
      <c r="AA1088" s="14">
        <f>SUM(N1088:Y1088)</f>
        <v/>
      </c>
      <c r="AB1088" s="13">
        <f>SUMPRODUCT(N1088:Y1088,$N$3:$Y$3)*$K1088*$L1088*$M1088</f>
        <v/>
      </c>
      <c r="AC1088" s="13">
        <f>SUMPRODUCT(N1088:Y1088,$N$4:$Y$4)*$K1088*$L1088*$M1088</f>
        <v/>
      </c>
      <c r="AD1088" s="15" t="n">
        <v>3</v>
      </c>
      <c r="AE1088" s="11" t="n">
        <v>1.011296296296296</v>
      </c>
      <c r="AF1088" s="16">
        <f>SUMPRODUCT(N1088:Y1088,$N$5:$Y$5)*$K1088*$L1088*$M1088</f>
        <v/>
      </c>
      <c r="AG1088" s="16">
        <f>SUMPRODUCT(N1088:Y1088,$N$6:$Y$6)*$K1088*$L1088*$M1088</f>
        <v/>
      </c>
      <c r="AH1088" s="20" t="n"/>
    </row>
    <row r="1089">
      <c r="A1089" s="9" t="n">
        <v>703670</v>
      </c>
      <c r="B1089" s="9" t="inlineStr">
        <is>
          <t>Pierce George</t>
        </is>
      </c>
      <c r="C1089" s="9" t="inlineStr">
        <is>
          <t>CWS</t>
        </is>
      </c>
      <c r="D1089" s="9" t="n">
        <v>25</v>
      </c>
      <c r="E1089" s="18" t="inlineStr">
        <is>
          <t>R</t>
        </is>
      </c>
      <c r="F1089" s="18" t="n"/>
      <c r="G1089" s="9" t="n">
        <v>4.73</v>
      </c>
      <c r="H1089" s="9" t="n">
        <v>4.73</v>
      </c>
      <c r="I1089" s="9" t="inlineStr">
        <is>
          <t>Depth (no MLB IP)</t>
        </is>
      </c>
      <c r="J1089" s="18" t="inlineStr">
        <is>
          <t>Opening Day</t>
        </is>
      </c>
      <c r="K1089" s="11">
        <f>IFERROR(INDEX(Roles!$B$17:$B$20,MATCH(J1089,Roles!$A$17:$A$20,0)),1)</f>
        <v/>
      </c>
      <c r="L1089" s="19" t="n">
        <v>1</v>
      </c>
      <c r="M1089" s="11" t="n">
        <v>1</v>
      </c>
      <c r="N1089" s="19" t="n"/>
      <c r="O1089" s="19" t="n"/>
      <c r="P1089" s="19" t="n"/>
      <c r="Q1089" s="19" t="n"/>
      <c r="R1089" s="19" t="n"/>
      <c r="S1089" s="19" t="n"/>
      <c r="T1089" s="19" t="n"/>
      <c r="U1089" s="19" t="n"/>
      <c r="V1089" s="19" t="n"/>
      <c r="W1089" s="19" t="n"/>
      <c r="X1089" s="19" t="n"/>
      <c r="Y1089" s="19" t="n">
        <v>1</v>
      </c>
      <c r="Z1089" s="13">
        <f>SUMPRODUCT(N1089:Y1089,$N$2:$Y$2)*$K1089*$L1089*$M1089</f>
        <v/>
      </c>
      <c r="AA1089" s="14">
        <f>SUM(N1089:Y1089)</f>
        <v/>
      </c>
      <c r="AB1089" s="13">
        <f>SUMPRODUCT(N1089:Y1089,$N$3:$Y$3)*$K1089*$L1089*$M1089</f>
        <v/>
      </c>
      <c r="AC1089" s="13">
        <f>SUMPRODUCT(N1089:Y1089,$N$4:$Y$4)*$K1089*$L1089*$M1089</f>
        <v/>
      </c>
      <c r="AD1089" s="15" t="n">
        <v>3</v>
      </c>
      <c r="AE1089" s="11" t="n">
        <v>1.011296296296296</v>
      </c>
      <c r="AF1089" s="16">
        <f>SUMPRODUCT(N1089:Y1089,$N$5:$Y$5)*$K1089*$L1089*$M1089</f>
        <v/>
      </c>
      <c r="AG1089" s="16">
        <f>SUMPRODUCT(N1089:Y1089,$N$6:$Y$6)*$K1089*$L1089*$M1089</f>
        <v/>
      </c>
      <c r="AH1089" s="20" t="n"/>
    </row>
    <row r="1090">
      <c r="A1090" s="9" t="n">
        <v>808911</v>
      </c>
      <c r="B1090" s="9" t="inlineStr">
        <is>
          <t>Grant Richardson</t>
        </is>
      </c>
      <c r="C1090" s="9" t="inlineStr">
        <is>
          <t>OAK</t>
        </is>
      </c>
      <c r="D1090" s="9" t="n">
        <v>25</v>
      </c>
      <c r="E1090" s="18" t="inlineStr">
        <is>
          <t>L</t>
        </is>
      </c>
      <c r="F1090" s="18" t="n"/>
      <c r="G1090" s="9" t="n">
        <v>4.816</v>
      </c>
      <c r="H1090" s="9" t="n">
        <v>4.816</v>
      </c>
      <c r="I1090" s="9" t="inlineStr">
        <is>
          <t>Depth (no MLB IP)</t>
        </is>
      </c>
      <c r="J1090" s="18" t="inlineStr">
        <is>
          <t>Opening Day</t>
        </is>
      </c>
      <c r="K1090" s="11">
        <f>IFERROR(INDEX(Roles!$B$17:$B$20,MATCH(J1090,Roles!$A$17:$A$20,0)),1)</f>
        <v/>
      </c>
      <c r="L1090" s="19" t="n">
        <v>1</v>
      </c>
      <c r="M1090" s="11" t="n">
        <v>1</v>
      </c>
      <c r="N1090" s="19" t="n"/>
      <c r="O1090" s="19" t="n"/>
      <c r="P1090" s="19" t="n"/>
      <c r="Q1090" s="19" t="n"/>
      <c r="R1090" s="19" t="n"/>
      <c r="S1090" s="19" t="n"/>
      <c r="T1090" s="19" t="n"/>
      <c r="U1090" s="19" t="n"/>
      <c r="V1090" s="19" t="n"/>
      <c r="W1090" s="19" t="n"/>
      <c r="X1090" s="19" t="n"/>
      <c r="Y1090" s="19" t="n">
        <v>1</v>
      </c>
      <c r="Z1090" s="13">
        <f>SUMPRODUCT(N1090:Y1090,$N$2:$Y$2)*$K1090*$L1090*$M1090</f>
        <v/>
      </c>
      <c r="AA1090" s="14">
        <f>SUM(N1090:Y1090)</f>
        <v/>
      </c>
      <c r="AB1090" s="13">
        <f>SUMPRODUCT(N1090:Y1090,$N$3:$Y$3)*$K1090*$L1090*$M1090</f>
        <v/>
      </c>
      <c r="AC1090" s="13">
        <f>SUMPRODUCT(N1090:Y1090,$N$4:$Y$4)*$K1090*$L1090*$M1090</f>
        <v/>
      </c>
      <c r="AD1090" s="15" t="n">
        <v>3</v>
      </c>
      <c r="AE1090" s="11" t="n">
        <v>1.011296296296296</v>
      </c>
      <c r="AF1090" s="16">
        <f>SUMPRODUCT(N1090:Y1090,$N$5:$Y$5)*$K1090*$L1090*$M1090</f>
        <v/>
      </c>
      <c r="AG1090" s="16">
        <f>SUMPRODUCT(N1090:Y1090,$N$6:$Y$6)*$K1090*$L1090*$M1090</f>
        <v/>
      </c>
      <c r="AH1090" s="20" t="n"/>
    </row>
    <row r="1091">
      <c r="A1091" s="9" t="n">
        <v>699154</v>
      </c>
      <c r="B1091" s="9" t="inlineStr">
        <is>
          <t>Alvaro Mejias</t>
        </is>
      </c>
      <c r="C1091" s="9" t="inlineStr">
        <is>
          <t>TB</t>
        </is>
      </c>
      <c r="D1091" s="9" t="n">
        <v>25</v>
      </c>
      <c r="E1091" s="18" t="inlineStr">
        <is>
          <t>R</t>
        </is>
      </c>
      <c r="F1091" s="18" t="n"/>
      <c r="G1091" s="9" t="n">
        <v>4.816</v>
      </c>
      <c r="H1091" s="9" t="n">
        <v>4.816</v>
      </c>
      <c r="I1091" s="9" t="inlineStr">
        <is>
          <t>Depth (no MLB IP)</t>
        </is>
      </c>
      <c r="J1091" s="18" t="inlineStr">
        <is>
          <t>Opening Day</t>
        </is>
      </c>
      <c r="K1091" s="11">
        <f>IFERROR(INDEX(Roles!$B$17:$B$20,MATCH(J1091,Roles!$A$17:$A$20,0)),1)</f>
        <v/>
      </c>
      <c r="L1091" s="19" t="n">
        <v>1</v>
      </c>
      <c r="M1091" s="11" t="n">
        <v>1</v>
      </c>
      <c r="N1091" s="19" t="n"/>
      <c r="O1091" s="19" t="n"/>
      <c r="P1091" s="19" t="n"/>
      <c r="Q1091" s="19" t="n"/>
      <c r="R1091" s="19" t="n"/>
      <c r="S1091" s="19" t="n"/>
      <c r="T1091" s="19" t="n"/>
      <c r="U1091" s="19" t="n"/>
      <c r="V1091" s="19" t="n"/>
      <c r="W1091" s="19" t="n"/>
      <c r="X1091" s="19" t="n"/>
      <c r="Y1091" s="19" t="n">
        <v>1</v>
      </c>
      <c r="Z1091" s="13">
        <f>SUMPRODUCT(N1091:Y1091,$N$2:$Y$2)*$K1091*$L1091*$M1091</f>
        <v/>
      </c>
      <c r="AA1091" s="14">
        <f>SUM(N1091:Y1091)</f>
        <v/>
      </c>
      <c r="AB1091" s="13">
        <f>SUMPRODUCT(N1091:Y1091,$N$3:$Y$3)*$K1091*$L1091*$M1091</f>
        <v/>
      </c>
      <c r="AC1091" s="13">
        <f>SUMPRODUCT(N1091:Y1091,$N$4:$Y$4)*$K1091*$L1091*$M1091</f>
        <v/>
      </c>
      <c r="AD1091" s="15" t="n">
        <v>3</v>
      </c>
      <c r="AE1091" s="11" t="n">
        <v>1.011296296296296</v>
      </c>
      <c r="AF1091" s="16">
        <f>SUMPRODUCT(N1091:Y1091,$N$5:$Y$5)*$K1091*$L1091*$M1091</f>
        <v/>
      </c>
      <c r="AG1091" s="16">
        <f>SUMPRODUCT(N1091:Y1091,$N$6:$Y$6)*$K1091*$L1091*$M1091</f>
        <v/>
      </c>
      <c r="AH1091" s="20" t="n"/>
    </row>
    <row r="1092">
      <c r="A1092" s="9" t="n">
        <v>691908</v>
      </c>
      <c r="B1092" s="9" t="inlineStr">
        <is>
          <t>Giussepe Velasquez</t>
        </is>
      </c>
      <c r="C1092" s="9" t="inlineStr">
        <is>
          <t>PHI</t>
        </is>
      </c>
      <c r="D1092" s="9" t="n">
        <v>25</v>
      </c>
      <c r="E1092" s="18" t="inlineStr">
        <is>
          <t>R</t>
        </is>
      </c>
      <c r="F1092" s="18" t="n"/>
      <c r="G1092" s="9" t="n">
        <v>4.514999999999999</v>
      </c>
      <c r="H1092" s="9" t="n">
        <v>4.514999999999999</v>
      </c>
      <c r="I1092" s="9" t="inlineStr">
        <is>
          <t>Depth (no MLB IP)</t>
        </is>
      </c>
      <c r="J1092" s="18" t="inlineStr">
        <is>
          <t>Opening Day</t>
        </is>
      </c>
      <c r="K1092" s="11">
        <f>IFERROR(INDEX(Roles!$B$17:$B$20,MATCH(J1092,Roles!$A$17:$A$20,0)),1)</f>
        <v/>
      </c>
      <c r="L1092" s="19" t="n">
        <v>1</v>
      </c>
      <c r="M1092" s="11" t="n">
        <v>1</v>
      </c>
      <c r="N1092" s="19" t="n"/>
      <c r="O1092" s="19" t="n"/>
      <c r="P1092" s="19" t="n"/>
      <c r="Q1092" s="19" t="n"/>
      <c r="R1092" s="19" t="n"/>
      <c r="S1092" s="19" t="n"/>
      <c r="T1092" s="19" t="n"/>
      <c r="U1092" s="19" t="n"/>
      <c r="V1092" s="19" t="n"/>
      <c r="W1092" s="19" t="n"/>
      <c r="X1092" s="19" t="n"/>
      <c r="Y1092" s="19" t="n">
        <v>1</v>
      </c>
      <c r="Z1092" s="13">
        <f>SUMPRODUCT(N1092:Y1092,$N$2:$Y$2)*$K1092*$L1092*$M1092</f>
        <v/>
      </c>
      <c r="AA1092" s="14">
        <f>SUM(N1092:Y1092)</f>
        <v/>
      </c>
      <c r="AB1092" s="13">
        <f>SUMPRODUCT(N1092:Y1092,$N$3:$Y$3)*$K1092*$L1092*$M1092</f>
        <v/>
      </c>
      <c r="AC1092" s="13">
        <f>SUMPRODUCT(N1092:Y1092,$N$4:$Y$4)*$K1092*$L1092*$M1092</f>
        <v/>
      </c>
      <c r="AD1092" s="15" t="n">
        <v>3</v>
      </c>
      <c r="AE1092" s="11" t="n">
        <v>1.011296296296296</v>
      </c>
      <c r="AF1092" s="16">
        <f>SUMPRODUCT(N1092:Y1092,$N$5:$Y$5)*$K1092*$L1092*$M1092</f>
        <v/>
      </c>
      <c r="AG1092" s="16">
        <f>SUMPRODUCT(N1092:Y1092,$N$6:$Y$6)*$K1092*$L1092*$M1092</f>
        <v/>
      </c>
      <c r="AH1092" s="20" t="n"/>
    </row>
    <row r="1093">
      <c r="A1093" s="9" t="n">
        <v>808020</v>
      </c>
      <c r="B1093" s="9" t="inlineStr">
        <is>
          <t>Sann Omosako</t>
        </is>
      </c>
      <c r="C1093" s="9" t="inlineStr">
        <is>
          <t>TOR</t>
        </is>
      </c>
      <c r="D1093" s="9" t="n">
        <v>25</v>
      </c>
      <c r="E1093" s="18" t="inlineStr">
        <is>
          <t>R</t>
        </is>
      </c>
      <c r="F1093" s="18" t="n"/>
      <c r="G1093" s="9" t="n">
        <v>4.643999999999999</v>
      </c>
      <c r="H1093" s="9" t="n">
        <v>4.643999999999999</v>
      </c>
      <c r="I1093" s="9" t="inlineStr">
        <is>
          <t>Depth (no MLB IP)</t>
        </is>
      </c>
      <c r="J1093" s="18" t="inlineStr">
        <is>
          <t>Opening Day</t>
        </is>
      </c>
      <c r="K1093" s="11">
        <f>IFERROR(INDEX(Roles!$B$17:$B$20,MATCH(J1093,Roles!$A$17:$A$20,0)),1)</f>
        <v/>
      </c>
      <c r="L1093" s="19" t="n">
        <v>1</v>
      </c>
      <c r="M1093" s="11" t="n">
        <v>1</v>
      </c>
      <c r="N1093" s="19" t="n"/>
      <c r="O1093" s="19" t="n"/>
      <c r="P1093" s="19" t="n"/>
      <c r="Q1093" s="19" t="n"/>
      <c r="R1093" s="19" t="n"/>
      <c r="S1093" s="19" t="n"/>
      <c r="T1093" s="19" t="n"/>
      <c r="U1093" s="19" t="n"/>
      <c r="V1093" s="19" t="n"/>
      <c r="W1093" s="19" t="n"/>
      <c r="X1093" s="19" t="n"/>
      <c r="Y1093" s="19" t="n">
        <v>1</v>
      </c>
      <c r="Z1093" s="13">
        <f>SUMPRODUCT(N1093:Y1093,$N$2:$Y$2)*$K1093*$L1093*$M1093</f>
        <v/>
      </c>
      <c r="AA1093" s="14">
        <f>SUM(N1093:Y1093)</f>
        <v/>
      </c>
      <c r="AB1093" s="13">
        <f>SUMPRODUCT(N1093:Y1093,$N$3:$Y$3)*$K1093*$L1093*$M1093</f>
        <v/>
      </c>
      <c r="AC1093" s="13">
        <f>SUMPRODUCT(N1093:Y1093,$N$4:$Y$4)*$K1093*$L1093*$M1093</f>
        <v/>
      </c>
      <c r="AD1093" s="15" t="n">
        <v>3</v>
      </c>
      <c r="AE1093" s="11" t="n">
        <v>1.011296296296296</v>
      </c>
      <c r="AF1093" s="16">
        <f>SUMPRODUCT(N1093:Y1093,$N$5:$Y$5)*$K1093*$L1093*$M1093</f>
        <v/>
      </c>
      <c r="AG1093" s="16">
        <f>SUMPRODUCT(N1093:Y1093,$N$6:$Y$6)*$K1093*$L1093*$M1093</f>
        <v/>
      </c>
      <c r="AH1093" s="20" t="n"/>
    </row>
    <row r="1094">
      <c r="A1094" s="9" t="n">
        <v>823650</v>
      </c>
      <c r="B1094" s="9" t="inlineStr">
        <is>
          <t>Miqueas Mercedes</t>
        </is>
      </c>
      <c r="C1094" s="9" t="inlineStr">
        <is>
          <t>MIL</t>
        </is>
      </c>
      <c r="D1094" s="9" t="n">
        <v>25</v>
      </c>
      <c r="E1094" s="18" t="inlineStr">
        <is>
          <t>R</t>
        </is>
      </c>
      <c r="F1094" s="18" t="n"/>
      <c r="G1094" s="9" t="n">
        <v>4.873333333333334</v>
      </c>
      <c r="H1094" s="9" t="n">
        <v>4.873333333333334</v>
      </c>
      <c r="I1094" s="9" t="inlineStr">
        <is>
          <t>Depth (no MLB IP)</t>
        </is>
      </c>
      <c r="J1094" s="18" t="inlineStr">
        <is>
          <t>Opening Day</t>
        </is>
      </c>
      <c r="K1094" s="11">
        <f>IFERROR(INDEX(Roles!$B$17:$B$20,MATCH(J1094,Roles!$A$17:$A$20,0)),1)</f>
        <v/>
      </c>
      <c r="L1094" s="19" t="n">
        <v>1</v>
      </c>
      <c r="M1094" s="11" t="n">
        <v>1</v>
      </c>
      <c r="N1094" s="19" t="n"/>
      <c r="O1094" s="19" t="n"/>
      <c r="P1094" s="19" t="n"/>
      <c r="Q1094" s="19" t="n"/>
      <c r="R1094" s="19" t="n"/>
      <c r="S1094" s="19" t="n"/>
      <c r="T1094" s="19" t="n"/>
      <c r="U1094" s="19" t="n"/>
      <c r="V1094" s="19" t="n"/>
      <c r="W1094" s="19" t="n"/>
      <c r="X1094" s="19" t="n"/>
      <c r="Y1094" s="19" t="n">
        <v>1</v>
      </c>
      <c r="Z1094" s="13">
        <f>SUMPRODUCT(N1094:Y1094,$N$2:$Y$2)*$K1094*$L1094*$M1094</f>
        <v/>
      </c>
      <c r="AA1094" s="14">
        <f>SUM(N1094:Y1094)</f>
        <v/>
      </c>
      <c r="AB1094" s="13">
        <f>SUMPRODUCT(N1094:Y1094,$N$3:$Y$3)*$K1094*$L1094*$M1094</f>
        <v/>
      </c>
      <c r="AC1094" s="13">
        <f>SUMPRODUCT(N1094:Y1094,$N$4:$Y$4)*$K1094*$L1094*$M1094</f>
        <v/>
      </c>
      <c r="AD1094" s="15" t="n">
        <v>3</v>
      </c>
      <c r="AE1094" s="11" t="n">
        <v>1.011296296296296</v>
      </c>
      <c r="AF1094" s="16">
        <f>SUMPRODUCT(N1094:Y1094,$N$5:$Y$5)*$K1094*$L1094*$M1094</f>
        <v/>
      </c>
      <c r="AG1094" s="16">
        <f>SUMPRODUCT(N1094:Y1094,$N$6:$Y$6)*$K1094*$L1094*$M1094</f>
        <v/>
      </c>
      <c r="AH1094" s="20" t="n"/>
    </row>
    <row r="1095">
      <c r="A1095" s="9" t="n">
        <v>821280</v>
      </c>
      <c r="B1095" s="9" t="inlineStr">
        <is>
          <t>Jose Parra</t>
        </is>
      </c>
      <c r="C1095" s="9" t="inlineStr">
        <is>
          <t>OAK</t>
        </is>
      </c>
      <c r="D1095" s="9" t="n">
        <v>25</v>
      </c>
      <c r="E1095" s="18" t="inlineStr">
        <is>
          <t>L</t>
        </is>
      </c>
      <c r="F1095" s="18" t="n"/>
      <c r="G1095" s="9" t="n">
        <v>4.586666666666666</v>
      </c>
      <c r="H1095" s="9" t="n">
        <v>4.586666666666666</v>
      </c>
      <c r="I1095" s="9" t="inlineStr">
        <is>
          <t>Depth (no MLB IP)</t>
        </is>
      </c>
      <c r="J1095" s="18" t="inlineStr">
        <is>
          <t>Opening Day</t>
        </is>
      </c>
      <c r="K1095" s="11">
        <f>IFERROR(INDEX(Roles!$B$17:$B$20,MATCH(J1095,Roles!$A$17:$A$20,0)),1)</f>
        <v/>
      </c>
      <c r="L1095" s="19" t="n">
        <v>1</v>
      </c>
      <c r="M1095" s="11" t="n">
        <v>1</v>
      </c>
      <c r="N1095" s="19" t="n"/>
      <c r="O1095" s="19" t="n"/>
      <c r="P1095" s="19" t="n"/>
      <c r="Q1095" s="19" t="n"/>
      <c r="R1095" s="19" t="n"/>
      <c r="S1095" s="19" t="n"/>
      <c r="T1095" s="19" t="n"/>
      <c r="U1095" s="19" t="n"/>
      <c r="V1095" s="19" t="n"/>
      <c r="W1095" s="19" t="n"/>
      <c r="X1095" s="19" t="n"/>
      <c r="Y1095" s="19" t="n">
        <v>1</v>
      </c>
      <c r="Z1095" s="13">
        <f>SUMPRODUCT(N1095:Y1095,$N$2:$Y$2)*$K1095*$L1095*$M1095</f>
        <v/>
      </c>
      <c r="AA1095" s="14">
        <f>SUM(N1095:Y1095)</f>
        <v/>
      </c>
      <c r="AB1095" s="13">
        <f>SUMPRODUCT(N1095:Y1095,$N$3:$Y$3)*$K1095*$L1095*$M1095</f>
        <v/>
      </c>
      <c r="AC1095" s="13">
        <f>SUMPRODUCT(N1095:Y1095,$N$4:$Y$4)*$K1095*$L1095*$M1095</f>
        <v/>
      </c>
      <c r="AD1095" s="15" t="n">
        <v>3</v>
      </c>
      <c r="AE1095" s="11" t="n">
        <v>1.011296296296296</v>
      </c>
      <c r="AF1095" s="16">
        <f>SUMPRODUCT(N1095:Y1095,$N$5:$Y$5)*$K1095*$L1095*$M1095</f>
        <v/>
      </c>
      <c r="AG1095" s="16">
        <f>SUMPRODUCT(N1095:Y1095,$N$6:$Y$6)*$K1095*$L1095*$M1095</f>
        <v/>
      </c>
      <c r="AH1095" s="20" t="n"/>
    </row>
    <row r="1096">
      <c r="A1096" s="9" t="n">
        <v>666165</v>
      </c>
      <c r="B1096" s="9" t="inlineStr">
        <is>
          <t>Blake Sabol</t>
        </is>
      </c>
      <c r="C1096" s="9" t="inlineStr">
        <is>
          <t>TB</t>
        </is>
      </c>
      <c r="D1096" s="9" t="n">
        <v>25</v>
      </c>
      <c r="E1096" s="18" t="inlineStr">
        <is>
          <t>R</t>
        </is>
      </c>
      <c r="F1096" s="18" t="n"/>
      <c r="G1096" s="9" t="n">
        <v>4.73</v>
      </c>
      <c r="H1096" s="9" t="n">
        <v>4.73</v>
      </c>
      <c r="I1096" s="9" t="inlineStr">
        <is>
          <t>Depth (no MLB IP)</t>
        </is>
      </c>
      <c r="J1096" s="18" t="inlineStr">
        <is>
          <t>Opening Day</t>
        </is>
      </c>
      <c r="K1096" s="11">
        <f>IFERROR(INDEX(Roles!$B$17:$B$20,MATCH(J1096,Roles!$A$17:$A$20,0)),1)</f>
        <v/>
      </c>
      <c r="L1096" s="19" t="n">
        <v>1</v>
      </c>
      <c r="M1096" s="11" t="n">
        <v>1</v>
      </c>
      <c r="N1096" s="19" t="n"/>
      <c r="O1096" s="19" t="n"/>
      <c r="P1096" s="19" t="n"/>
      <c r="Q1096" s="19" t="n"/>
      <c r="R1096" s="19" t="n"/>
      <c r="S1096" s="19" t="n"/>
      <c r="T1096" s="19" t="n"/>
      <c r="U1096" s="19" t="n"/>
      <c r="V1096" s="19" t="n"/>
      <c r="W1096" s="19" t="n"/>
      <c r="X1096" s="19" t="n"/>
      <c r="Y1096" s="19" t="n">
        <v>1</v>
      </c>
      <c r="Z1096" s="13">
        <f>SUMPRODUCT(N1096:Y1096,$N$2:$Y$2)*$K1096*$L1096*$M1096</f>
        <v/>
      </c>
      <c r="AA1096" s="14">
        <f>SUM(N1096:Y1096)</f>
        <v/>
      </c>
      <c r="AB1096" s="13">
        <f>SUMPRODUCT(N1096:Y1096,$N$3:$Y$3)*$K1096*$L1096*$M1096</f>
        <v/>
      </c>
      <c r="AC1096" s="13">
        <f>SUMPRODUCT(N1096:Y1096,$N$4:$Y$4)*$K1096*$L1096*$M1096</f>
        <v/>
      </c>
      <c r="AD1096" s="15" t="n">
        <v>3</v>
      </c>
      <c r="AE1096" s="11" t="n">
        <v>1.011296296296296</v>
      </c>
      <c r="AF1096" s="16">
        <f>SUMPRODUCT(N1096:Y1096,$N$5:$Y$5)*$K1096*$L1096*$M1096</f>
        <v/>
      </c>
      <c r="AG1096" s="16">
        <f>SUMPRODUCT(N1096:Y1096,$N$6:$Y$6)*$K1096*$L1096*$M1096</f>
        <v/>
      </c>
      <c r="AH1096" s="20" t="n"/>
    </row>
    <row r="1097">
      <c r="A1097" s="9" t="n">
        <v>700794</v>
      </c>
      <c r="B1097" s="9" t="inlineStr">
        <is>
          <t>Frankie Scalzo Jr.</t>
        </is>
      </c>
      <c r="C1097" s="9" t="inlineStr">
        <is>
          <t>CHC</t>
        </is>
      </c>
      <c r="D1097" s="9" t="n">
        <v>25</v>
      </c>
      <c r="E1097" s="18" t="inlineStr">
        <is>
          <t>R</t>
        </is>
      </c>
      <c r="F1097" s="18" t="n"/>
      <c r="G1097" s="9" t="n">
        <v>4.73</v>
      </c>
      <c r="H1097" s="9" t="n">
        <v>4.73</v>
      </c>
      <c r="I1097" s="9" t="inlineStr">
        <is>
          <t>Depth (no MLB IP)</t>
        </is>
      </c>
      <c r="J1097" s="18" t="inlineStr">
        <is>
          <t>Opening Day</t>
        </is>
      </c>
      <c r="K1097" s="11">
        <f>IFERROR(INDEX(Roles!$B$17:$B$20,MATCH(J1097,Roles!$A$17:$A$20,0)),1)</f>
        <v/>
      </c>
      <c r="L1097" s="19" t="n">
        <v>1</v>
      </c>
      <c r="M1097" s="11" t="n">
        <v>1</v>
      </c>
      <c r="N1097" s="19" t="n"/>
      <c r="O1097" s="19" t="n"/>
      <c r="P1097" s="19" t="n"/>
      <c r="Q1097" s="19" t="n"/>
      <c r="R1097" s="19" t="n"/>
      <c r="S1097" s="19" t="n"/>
      <c r="T1097" s="19" t="n"/>
      <c r="U1097" s="19" t="n"/>
      <c r="V1097" s="19" t="n"/>
      <c r="W1097" s="19" t="n"/>
      <c r="X1097" s="19" t="n"/>
      <c r="Y1097" s="19" t="n">
        <v>1</v>
      </c>
      <c r="Z1097" s="13">
        <f>SUMPRODUCT(N1097:Y1097,$N$2:$Y$2)*$K1097*$L1097*$M1097</f>
        <v/>
      </c>
      <c r="AA1097" s="14">
        <f>SUM(N1097:Y1097)</f>
        <v/>
      </c>
      <c r="AB1097" s="13">
        <f>SUMPRODUCT(N1097:Y1097,$N$3:$Y$3)*$K1097*$L1097*$M1097</f>
        <v/>
      </c>
      <c r="AC1097" s="13">
        <f>SUMPRODUCT(N1097:Y1097,$N$4:$Y$4)*$K1097*$L1097*$M1097</f>
        <v/>
      </c>
      <c r="AD1097" s="15" t="n">
        <v>3</v>
      </c>
      <c r="AE1097" s="11" t="n">
        <v>1.011296296296296</v>
      </c>
      <c r="AF1097" s="16">
        <f>SUMPRODUCT(N1097:Y1097,$N$5:$Y$5)*$K1097*$L1097*$M1097</f>
        <v/>
      </c>
      <c r="AG1097" s="16">
        <f>SUMPRODUCT(N1097:Y1097,$N$6:$Y$6)*$K1097*$L1097*$M1097</f>
        <v/>
      </c>
      <c r="AH1097" s="20" t="n"/>
    </row>
    <row r="1098">
      <c r="A1098" s="9" t="n">
        <v>836056</v>
      </c>
      <c r="B1098" s="9" t="inlineStr">
        <is>
          <t>Jadon Williamson</t>
        </is>
      </c>
      <c r="C1098" s="9" t="inlineStr">
        <is>
          <t>MIA</t>
        </is>
      </c>
      <c r="D1098" s="9" t="n">
        <v>25</v>
      </c>
      <c r="E1098" s="18" t="inlineStr">
        <is>
          <t>R</t>
        </is>
      </c>
      <c r="F1098" s="18" t="n"/>
      <c r="G1098" s="9" t="n">
        <v>4.643999999999999</v>
      </c>
      <c r="H1098" s="9" t="n">
        <v>4.643999999999999</v>
      </c>
      <c r="I1098" s="9" t="inlineStr">
        <is>
          <t>Depth (no MLB IP)</t>
        </is>
      </c>
      <c r="J1098" s="18" t="inlineStr">
        <is>
          <t>Opening Day</t>
        </is>
      </c>
      <c r="K1098" s="11">
        <f>IFERROR(INDEX(Roles!$B$17:$B$20,MATCH(J1098,Roles!$A$17:$A$20,0)),1)</f>
        <v/>
      </c>
      <c r="L1098" s="19" t="n">
        <v>1</v>
      </c>
      <c r="M1098" s="11" t="n">
        <v>1</v>
      </c>
      <c r="N1098" s="19" t="n"/>
      <c r="O1098" s="19" t="n"/>
      <c r="P1098" s="19" t="n"/>
      <c r="Q1098" s="19" t="n"/>
      <c r="R1098" s="19" t="n"/>
      <c r="S1098" s="19" t="n"/>
      <c r="T1098" s="19" t="n"/>
      <c r="U1098" s="19" t="n"/>
      <c r="V1098" s="19" t="n"/>
      <c r="W1098" s="19" t="n"/>
      <c r="X1098" s="19" t="n"/>
      <c r="Y1098" s="19" t="n">
        <v>1</v>
      </c>
      <c r="Z1098" s="13">
        <f>SUMPRODUCT(N1098:Y1098,$N$2:$Y$2)*$K1098*$L1098*$M1098</f>
        <v/>
      </c>
      <c r="AA1098" s="14">
        <f>SUM(N1098:Y1098)</f>
        <v/>
      </c>
      <c r="AB1098" s="13">
        <f>SUMPRODUCT(N1098:Y1098,$N$3:$Y$3)*$K1098*$L1098*$M1098</f>
        <v/>
      </c>
      <c r="AC1098" s="13">
        <f>SUMPRODUCT(N1098:Y1098,$N$4:$Y$4)*$K1098*$L1098*$M1098</f>
        <v/>
      </c>
      <c r="AD1098" s="15" t="n">
        <v>3</v>
      </c>
      <c r="AE1098" s="11" t="n">
        <v>1.011296296296296</v>
      </c>
      <c r="AF1098" s="16">
        <f>SUMPRODUCT(N1098:Y1098,$N$5:$Y$5)*$K1098*$L1098*$M1098</f>
        <v/>
      </c>
      <c r="AG1098" s="16">
        <f>SUMPRODUCT(N1098:Y1098,$N$6:$Y$6)*$K1098*$L1098*$M1098</f>
        <v/>
      </c>
      <c r="AH1098" s="20" t="n"/>
    </row>
    <row r="1099">
      <c r="A1099" s="9" t="n">
        <v>823947</v>
      </c>
      <c r="B1099" s="9" t="inlineStr">
        <is>
          <t>Andrew Wright</t>
        </is>
      </c>
      <c r="C1099" s="9" t="inlineStr">
        <is>
          <t>SD</t>
        </is>
      </c>
      <c r="D1099" s="9" t="n">
        <v>25</v>
      </c>
      <c r="E1099" s="18" t="inlineStr">
        <is>
          <t>L</t>
        </is>
      </c>
      <c r="F1099" s="18" t="n"/>
      <c r="G1099" s="9" t="n">
        <v>4.643999999999999</v>
      </c>
      <c r="H1099" s="9" t="n">
        <v>4.643999999999999</v>
      </c>
      <c r="I1099" s="9" t="inlineStr">
        <is>
          <t>Depth (no MLB IP)</t>
        </is>
      </c>
      <c r="J1099" s="18" t="inlineStr">
        <is>
          <t>Opening Day</t>
        </is>
      </c>
      <c r="K1099" s="11">
        <f>IFERROR(INDEX(Roles!$B$17:$B$20,MATCH(J1099,Roles!$A$17:$A$20,0)),1)</f>
        <v/>
      </c>
      <c r="L1099" s="19" t="n">
        <v>1</v>
      </c>
      <c r="M1099" s="11" t="n">
        <v>1</v>
      </c>
      <c r="N1099" s="19" t="n"/>
      <c r="O1099" s="19" t="n"/>
      <c r="P1099" s="19" t="n"/>
      <c r="Q1099" s="19" t="n"/>
      <c r="R1099" s="19" t="n"/>
      <c r="S1099" s="19" t="n"/>
      <c r="T1099" s="19" t="n"/>
      <c r="U1099" s="19" t="n"/>
      <c r="V1099" s="19" t="n"/>
      <c r="W1099" s="19" t="n"/>
      <c r="X1099" s="19" t="n"/>
      <c r="Y1099" s="19" t="n">
        <v>1</v>
      </c>
      <c r="Z1099" s="13">
        <f>SUMPRODUCT(N1099:Y1099,$N$2:$Y$2)*$K1099*$L1099*$M1099</f>
        <v/>
      </c>
      <c r="AA1099" s="14">
        <f>SUM(N1099:Y1099)</f>
        <v/>
      </c>
      <c r="AB1099" s="13">
        <f>SUMPRODUCT(N1099:Y1099,$N$3:$Y$3)*$K1099*$L1099*$M1099</f>
        <v/>
      </c>
      <c r="AC1099" s="13">
        <f>SUMPRODUCT(N1099:Y1099,$N$4:$Y$4)*$K1099*$L1099*$M1099</f>
        <v/>
      </c>
      <c r="AD1099" s="15" t="n">
        <v>3</v>
      </c>
      <c r="AE1099" s="11" t="n">
        <v>1.011296296296296</v>
      </c>
      <c r="AF1099" s="16">
        <f>SUMPRODUCT(N1099:Y1099,$N$5:$Y$5)*$K1099*$L1099*$M1099</f>
        <v/>
      </c>
      <c r="AG1099" s="16">
        <f>SUMPRODUCT(N1099:Y1099,$N$6:$Y$6)*$K1099*$L1099*$M1099</f>
        <v/>
      </c>
      <c r="AH1099" s="20" t="n"/>
    </row>
    <row r="1100">
      <c r="A1100" s="9" t="n">
        <v>830353</v>
      </c>
      <c r="B1100" s="9" t="inlineStr">
        <is>
          <t>Gavin Seebold</t>
        </is>
      </c>
      <c r="C1100" s="9" t="inlineStr">
        <is>
          <t>TOR</t>
        </is>
      </c>
      <c r="D1100" s="9" t="n">
        <v>25</v>
      </c>
      <c r="E1100" s="18" t="inlineStr">
        <is>
          <t>R</t>
        </is>
      </c>
      <c r="F1100" s="18" t="n"/>
      <c r="G1100" s="9" t="n">
        <v>4.643999999999999</v>
      </c>
      <c r="H1100" s="9" t="n">
        <v>4.643999999999999</v>
      </c>
      <c r="I1100" s="9" t="inlineStr">
        <is>
          <t>Depth (no MLB IP)</t>
        </is>
      </c>
      <c r="J1100" s="18" t="inlineStr">
        <is>
          <t>Opening Day</t>
        </is>
      </c>
      <c r="K1100" s="11">
        <f>IFERROR(INDEX(Roles!$B$17:$B$20,MATCH(J1100,Roles!$A$17:$A$20,0)),1)</f>
        <v/>
      </c>
      <c r="L1100" s="19" t="n">
        <v>1</v>
      </c>
      <c r="M1100" s="11" t="n">
        <v>1</v>
      </c>
      <c r="N1100" s="19" t="n"/>
      <c r="O1100" s="19" t="n"/>
      <c r="P1100" s="19" t="n"/>
      <c r="Q1100" s="19" t="n"/>
      <c r="R1100" s="19" t="n"/>
      <c r="S1100" s="19" t="n"/>
      <c r="T1100" s="19" t="n"/>
      <c r="U1100" s="19" t="n"/>
      <c r="V1100" s="19" t="n"/>
      <c r="W1100" s="19" t="n"/>
      <c r="X1100" s="19" t="n"/>
      <c r="Y1100" s="19" t="n">
        <v>1</v>
      </c>
      <c r="Z1100" s="13">
        <f>SUMPRODUCT(N1100:Y1100,$N$2:$Y$2)*$K1100*$L1100*$M1100</f>
        <v/>
      </c>
      <c r="AA1100" s="14">
        <f>SUM(N1100:Y1100)</f>
        <v/>
      </c>
      <c r="AB1100" s="13">
        <f>SUMPRODUCT(N1100:Y1100,$N$3:$Y$3)*$K1100*$L1100*$M1100</f>
        <v/>
      </c>
      <c r="AC1100" s="13">
        <f>SUMPRODUCT(N1100:Y1100,$N$4:$Y$4)*$K1100*$L1100*$M1100</f>
        <v/>
      </c>
      <c r="AD1100" s="15" t="n">
        <v>3</v>
      </c>
      <c r="AE1100" s="11" t="n">
        <v>1.011296296296296</v>
      </c>
      <c r="AF1100" s="16">
        <f>SUMPRODUCT(N1100:Y1100,$N$5:$Y$5)*$K1100*$L1100*$M1100</f>
        <v/>
      </c>
      <c r="AG1100" s="16">
        <f>SUMPRODUCT(N1100:Y1100,$N$6:$Y$6)*$K1100*$L1100*$M1100</f>
        <v/>
      </c>
      <c r="AH1100" s="20" t="n"/>
    </row>
    <row r="1101">
      <c r="A1101" s="9" t="n">
        <v>802508</v>
      </c>
      <c r="B1101" s="9" t="inlineStr">
        <is>
          <t>Jeremy Pilon</t>
        </is>
      </c>
      <c r="C1101" s="9" t="inlineStr">
        <is>
          <t>TB</t>
        </is>
      </c>
      <c r="D1101" s="9" t="n">
        <v>25</v>
      </c>
      <c r="E1101" s="18" t="inlineStr">
        <is>
          <t>L</t>
        </is>
      </c>
      <c r="F1101" s="18" t="n"/>
      <c r="G1101" s="9" t="n">
        <v>4.643999999999999</v>
      </c>
      <c r="H1101" s="9" t="n">
        <v>4.643999999999999</v>
      </c>
      <c r="I1101" s="9" t="inlineStr">
        <is>
          <t>Depth (no MLB IP)</t>
        </is>
      </c>
      <c r="J1101" s="18" t="inlineStr">
        <is>
          <t>Opening Day</t>
        </is>
      </c>
      <c r="K1101" s="11">
        <f>IFERROR(INDEX(Roles!$B$17:$B$20,MATCH(J1101,Roles!$A$17:$A$20,0)),1)</f>
        <v/>
      </c>
      <c r="L1101" s="19" t="n">
        <v>1</v>
      </c>
      <c r="M1101" s="11" t="n">
        <v>1</v>
      </c>
      <c r="N1101" s="19" t="n"/>
      <c r="O1101" s="19" t="n"/>
      <c r="P1101" s="19" t="n"/>
      <c r="Q1101" s="19" t="n"/>
      <c r="R1101" s="19" t="n"/>
      <c r="S1101" s="19" t="n"/>
      <c r="T1101" s="19" t="n"/>
      <c r="U1101" s="19" t="n"/>
      <c r="V1101" s="19" t="n"/>
      <c r="W1101" s="19" t="n"/>
      <c r="X1101" s="19" t="n"/>
      <c r="Y1101" s="19" t="n">
        <v>1</v>
      </c>
      <c r="Z1101" s="13">
        <f>SUMPRODUCT(N1101:Y1101,$N$2:$Y$2)*$K1101*$L1101*$M1101</f>
        <v/>
      </c>
      <c r="AA1101" s="14">
        <f>SUM(N1101:Y1101)</f>
        <v/>
      </c>
      <c r="AB1101" s="13">
        <f>SUMPRODUCT(N1101:Y1101,$N$3:$Y$3)*$K1101*$L1101*$M1101</f>
        <v/>
      </c>
      <c r="AC1101" s="13">
        <f>SUMPRODUCT(N1101:Y1101,$N$4:$Y$4)*$K1101*$L1101*$M1101</f>
        <v/>
      </c>
      <c r="AD1101" s="15" t="n">
        <v>3</v>
      </c>
      <c r="AE1101" s="11" t="n">
        <v>1.011296296296296</v>
      </c>
      <c r="AF1101" s="16">
        <f>SUMPRODUCT(N1101:Y1101,$N$5:$Y$5)*$K1101*$L1101*$M1101</f>
        <v/>
      </c>
      <c r="AG1101" s="16">
        <f>SUMPRODUCT(N1101:Y1101,$N$6:$Y$6)*$K1101*$L1101*$M1101</f>
        <v/>
      </c>
      <c r="AH1101" s="20" t="n"/>
    </row>
    <row r="1102">
      <c r="A1102" s="9" t="n">
        <v>800361</v>
      </c>
      <c r="B1102" s="9" t="inlineStr">
        <is>
          <t>Peter Bonilla</t>
        </is>
      </c>
      <c r="C1102" s="9" t="inlineStr">
        <is>
          <t>LAD</t>
        </is>
      </c>
      <c r="D1102" s="9" t="n">
        <v>25</v>
      </c>
      <c r="E1102" s="18" t="inlineStr">
        <is>
          <t>L</t>
        </is>
      </c>
      <c r="F1102" s="18" t="n"/>
      <c r="G1102" s="9" t="n">
        <v>4.643999999999999</v>
      </c>
      <c r="H1102" s="9" t="n">
        <v>4.643999999999999</v>
      </c>
      <c r="I1102" s="9" t="inlineStr">
        <is>
          <t>Depth (no MLB IP)</t>
        </is>
      </c>
      <c r="J1102" s="18" t="inlineStr">
        <is>
          <t>Opening Day</t>
        </is>
      </c>
      <c r="K1102" s="11">
        <f>IFERROR(INDEX(Roles!$B$17:$B$20,MATCH(J1102,Roles!$A$17:$A$20,0)),1)</f>
        <v/>
      </c>
      <c r="L1102" s="19" t="n">
        <v>1</v>
      </c>
      <c r="M1102" s="11" t="n">
        <v>1</v>
      </c>
      <c r="N1102" s="19" t="n"/>
      <c r="O1102" s="19" t="n"/>
      <c r="P1102" s="19" t="n"/>
      <c r="Q1102" s="19" t="n"/>
      <c r="R1102" s="19" t="n"/>
      <c r="S1102" s="19" t="n"/>
      <c r="T1102" s="19" t="n"/>
      <c r="U1102" s="19" t="n"/>
      <c r="V1102" s="19" t="n"/>
      <c r="W1102" s="19" t="n"/>
      <c r="X1102" s="19" t="n"/>
      <c r="Y1102" s="19" t="n">
        <v>1</v>
      </c>
      <c r="Z1102" s="13">
        <f>SUMPRODUCT(N1102:Y1102,$N$2:$Y$2)*$K1102*$L1102*$M1102</f>
        <v/>
      </c>
      <c r="AA1102" s="14">
        <f>SUM(N1102:Y1102)</f>
        <v/>
      </c>
      <c r="AB1102" s="13">
        <f>SUMPRODUCT(N1102:Y1102,$N$3:$Y$3)*$K1102*$L1102*$M1102</f>
        <v/>
      </c>
      <c r="AC1102" s="13">
        <f>SUMPRODUCT(N1102:Y1102,$N$4:$Y$4)*$K1102*$L1102*$M1102</f>
        <v/>
      </c>
      <c r="AD1102" s="15" t="n">
        <v>3</v>
      </c>
      <c r="AE1102" s="11" t="n">
        <v>1.011296296296296</v>
      </c>
      <c r="AF1102" s="16">
        <f>SUMPRODUCT(N1102:Y1102,$N$5:$Y$5)*$K1102*$L1102*$M1102</f>
        <v/>
      </c>
      <c r="AG1102" s="16">
        <f>SUMPRODUCT(N1102:Y1102,$N$6:$Y$6)*$K1102*$L1102*$M1102</f>
        <v/>
      </c>
      <c r="AH1102" s="20" t="n"/>
    </row>
    <row r="1103">
      <c r="A1103" s="9" t="n">
        <v>829680</v>
      </c>
      <c r="B1103" s="9" t="inlineStr">
        <is>
          <t>Claudio Estelie</t>
        </is>
      </c>
      <c r="C1103" s="9" t="inlineStr">
        <is>
          <t>PIT</t>
        </is>
      </c>
      <c r="D1103" s="9" t="n">
        <v>25</v>
      </c>
      <c r="E1103" s="18" t="inlineStr">
        <is>
          <t>R</t>
        </is>
      </c>
      <c r="F1103" s="18" t="n"/>
      <c r="G1103" s="9" t="n">
        <v>4.514999999999999</v>
      </c>
      <c r="H1103" s="9" t="n">
        <v>4.514999999999999</v>
      </c>
      <c r="I1103" s="9" t="inlineStr">
        <is>
          <t>Depth (no MLB IP)</t>
        </is>
      </c>
      <c r="J1103" s="18" t="inlineStr">
        <is>
          <t>Opening Day</t>
        </is>
      </c>
      <c r="K1103" s="11">
        <f>IFERROR(INDEX(Roles!$B$17:$B$20,MATCH(J1103,Roles!$A$17:$A$20,0)),1)</f>
        <v/>
      </c>
      <c r="L1103" s="19" t="n">
        <v>1</v>
      </c>
      <c r="M1103" s="11" t="n">
        <v>1</v>
      </c>
      <c r="N1103" s="19" t="n"/>
      <c r="O1103" s="19" t="n"/>
      <c r="P1103" s="19" t="n"/>
      <c r="Q1103" s="19" t="n"/>
      <c r="R1103" s="19" t="n"/>
      <c r="S1103" s="19" t="n"/>
      <c r="T1103" s="19" t="n"/>
      <c r="U1103" s="19" t="n"/>
      <c r="V1103" s="19" t="n"/>
      <c r="W1103" s="19" t="n"/>
      <c r="X1103" s="19" t="n"/>
      <c r="Y1103" s="19" t="n">
        <v>1</v>
      </c>
      <c r="Z1103" s="13">
        <f>SUMPRODUCT(N1103:Y1103,$N$2:$Y$2)*$K1103*$L1103*$M1103</f>
        <v/>
      </c>
      <c r="AA1103" s="14">
        <f>SUM(N1103:Y1103)</f>
        <v/>
      </c>
      <c r="AB1103" s="13">
        <f>SUMPRODUCT(N1103:Y1103,$N$3:$Y$3)*$K1103*$L1103*$M1103</f>
        <v/>
      </c>
      <c r="AC1103" s="13">
        <f>SUMPRODUCT(N1103:Y1103,$N$4:$Y$4)*$K1103*$L1103*$M1103</f>
        <v/>
      </c>
      <c r="AD1103" s="15" t="n">
        <v>3</v>
      </c>
      <c r="AE1103" s="11" t="n">
        <v>1.011296296296296</v>
      </c>
      <c r="AF1103" s="16">
        <f>SUMPRODUCT(N1103:Y1103,$N$5:$Y$5)*$K1103*$L1103*$M1103</f>
        <v/>
      </c>
      <c r="AG1103" s="16">
        <f>SUMPRODUCT(N1103:Y1103,$N$6:$Y$6)*$K1103*$L1103*$M1103</f>
        <v/>
      </c>
      <c r="AH1103" s="20" t="n"/>
    </row>
    <row r="1104">
      <c r="A1104" s="9" t="n">
        <v>670351</v>
      </c>
      <c r="B1104" s="9" t="inlineStr">
        <is>
          <t>Jose Rojas</t>
        </is>
      </c>
      <c r="C1104" s="9" t="inlineStr">
        <is>
          <t>NYM</t>
        </is>
      </c>
      <c r="D1104" s="9" t="n">
        <v>25</v>
      </c>
      <c r="E1104" s="18" t="inlineStr">
        <is>
          <t>R</t>
        </is>
      </c>
      <c r="F1104" s="18" t="n"/>
      <c r="G1104" s="9" t="n">
        <v>4.73</v>
      </c>
      <c r="H1104" s="9" t="n">
        <v>4.73</v>
      </c>
      <c r="I1104" s="9" t="inlineStr">
        <is>
          <t>Depth (no MLB IP)</t>
        </is>
      </c>
      <c r="J1104" s="18" t="inlineStr">
        <is>
          <t>Opening Day</t>
        </is>
      </c>
      <c r="K1104" s="11">
        <f>IFERROR(INDEX(Roles!$B$17:$B$20,MATCH(J1104,Roles!$A$17:$A$20,0)),1)</f>
        <v/>
      </c>
      <c r="L1104" s="19" t="n">
        <v>1</v>
      </c>
      <c r="M1104" s="11" t="n">
        <v>1</v>
      </c>
      <c r="N1104" s="19" t="n"/>
      <c r="O1104" s="19" t="n"/>
      <c r="P1104" s="19" t="n"/>
      <c r="Q1104" s="19" t="n"/>
      <c r="R1104" s="19" t="n"/>
      <c r="S1104" s="19" t="n"/>
      <c r="T1104" s="19" t="n"/>
      <c r="U1104" s="19" t="n"/>
      <c r="V1104" s="19" t="n"/>
      <c r="W1104" s="19" t="n"/>
      <c r="X1104" s="19" t="n"/>
      <c r="Y1104" s="19" t="n">
        <v>1</v>
      </c>
      <c r="Z1104" s="13">
        <f>SUMPRODUCT(N1104:Y1104,$N$2:$Y$2)*$K1104*$L1104*$M1104</f>
        <v/>
      </c>
      <c r="AA1104" s="14">
        <f>SUM(N1104:Y1104)</f>
        <v/>
      </c>
      <c r="AB1104" s="13">
        <f>SUMPRODUCT(N1104:Y1104,$N$3:$Y$3)*$K1104*$L1104*$M1104</f>
        <v/>
      </c>
      <c r="AC1104" s="13">
        <f>SUMPRODUCT(N1104:Y1104,$N$4:$Y$4)*$K1104*$L1104*$M1104</f>
        <v/>
      </c>
      <c r="AD1104" s="15" t="n">
        <v>3</v>
      </c>
      <c r="AE1104" s="11" t="n">
        <v>1.011296296296296</v>
      </c>
      <c r="AF1104" s="16">
        <f>SUMPRODUCT(N1104:Y1104,$N$5:$Y$5)*$K1104*$L1104*$M1104</f>
        <v/>
      </c>
      <c r="AG1104" s="16">
        <f>SUMPRODUCT(N1104:Y1104,$N$6:$Y$6)*$K1104*$L1104*$M1104</f>
        <v/>
      </c>
      <c r="AH1104" s="20" t="n"/>
    </row>
    <row r="1105">
      <c r="A1105" s="9" t="n">
        <v>828418</v>
      </c>
      <c r="B1105" s="9" t="inlineStr">
        <is>
          <t>Adam Bogosian</t>
        </is>
      </c>
      <c r="C1105" s="9" t="inlineStr">
        <is>
          <t>WSH</t>
        </is>
      </c>
      <c r="D1105" s="9" t="n">
        <v>25</v>
      </c>
      <c r="E1105" s="18" t="inlineStr">
        <is>
          <t>R</t>
        </is>
      </c>
      <c r="F1105" s="18" t="n"/>
      <c r="G1105" s="9" t="n">
        <v>4.816</v>
      </c>
      <c r="H1105" s="9" t="n">
        <v>4.816</v>
      </c>
      <c r="I1105" s="9" t="inlineStr">
        <is>
          <t>Depth (no MLB IP)</t>
        </is>
      </c>
      <c r="J1105" s="18" t="inlineStr">
        <is>
          <t>Opening Day</t>
        </is>
      </c>
      <c r="K1105" s="11">
        <f>IFERROR(INDEX(Roles!$B$17:$B$20,MATCH(J1105,Roles!$A$17:$A$20,0)),1)</f>
        <v/>
      </c>
      <c r="L1105" s="19" t="n">
        <v>1</v>
      </c>
      <c r="M1105" s="11" t="n">
        <v>1</v>
      </c>
      <c r="N1105" s="19" t="n"/>
      <c r="O1105" s="19" t="n"/>
      <c r="P1105" s="19" t="n"/>
      <c r="Q1105" s="19" t="n"/>
      <c r="R1105" s="19" t="n"/>
      <c r="S1105" s="19" t="n"/>
      <c r="T1105" s="19" t="n"/>
      <c r="U1105" s="19" t="n"/>
      <c r="V1105" s="19" t="n"/>
      <c r="W1105" s="19" t="n"/>
      <c r="X1105" s="19" t="n"/>
      <c r="Y1105" s="19" t="n">
        <v>1</v>
      </c>
      <c r="Z1105" s="13">
        <f>SUMPRODUCT(N1105:Y1105,$N$2:$Y$2)*$K1105*$L1105*$M1105</f>
        <v/>
      </c>
      <c r="AA1105" s="14">
        <f>SUM(N1105:Y1105)</f>
        <v/>
      </c>
      <c r="AB1105" s="13">
        <f>SUMPRODUCT(N1105:Y1105,$N$3:$Y$3)*$K1105*$L1105*$M1105</f>
        <v/>
      </c>
      <c r="AC1105" s="13">
        <f>SUMPRODUCT(N1105:Y1105,$N$4:$Y$4)*$K1105*$L1105*$M1105</f>
        <v/>
      </c>
      <c r="AD1105" s="15" t="n">
        <v>3</v>
      </c>
      <c r="AE1105" s="11" t="n">
        <v>1.011296296296296</v>
      </c>
      <c r="AF1105" s="16">
        <f>SUMPRODUCT(N1105:Y1105,$N$5:$Y$5)*$K1105*$L1105*$M1105</f>
        <v/>
      </c>
      <c r="AG1105" s="16">
        <f>SUMPRODUCT(N1105:Y1105,$N$6:$Y$6)*$K1105*$L1105*$M1105</f>
        <v/>
      </c>
      <c r="AH1105" s="20" t="n"/>
    </row>
    <row r="1106">
      <c r="A1106" s="9" t="n">
        <v>688519</v>
      </c>
      <c r="B1106" s="9" t="inlineStr">
        <is>
          <t>Sam Whiting</t>
        </is>
      </c>
      <c r="C1106" s="9" t="inlineStr">
        <is>
          <t>SEA</t>
        </is>
      </c>
      <c r="D1106" s="9" t="n">
        <v>25</v>
      </c>
      <c r="E1106" s="18" t="inlineStr">
        <is>
          <t>R</t>
        </is>
      </c>
      <c r="F1106" s="18" t="n"/>
      <c r="G1106" s="9" t="n">
        <v>5.016666666666667</v>
      </c>
      <c r="H1106" s="9" t="n">
        <v>5.016666666666667</v>
      </c>
      <c r="I1106" s="9" t="inlineStr">
        <is>
          <t>Depth (no MLB IP)</t>
        </is>
      </c>
      <c r="J1106" s="18" t="inlineStr">
        <is>
          <t>Opening Day</t>
        </is>
      </c>
      <c r="K1106" s="11">
        <f>IFERROR(INDEX(Roles!$B$17:$B$20,MATCH(J1106,Roles!$A$17:$A$20,0)),1)</f>
        <v/>
      </c>
      <c r="L1106" s="19" t="n">
        <v>1</v>
      </c>
      <c r="M1106" s="11" t="n">
        <v>1</v>
      </c>
      <c r="N1106" s="19" t="n"/>
      <c r="O1106" s="19" t="n"/>
      <c r="P1106" s="19" t="n"/>
      <c r="Q1106" s="19" t="n"/>
      <c r="R1106" s="19" t="n"/>
      <c r="S1106" s="19" t="n"/>
      <c r="T1106" s="19" t="n"/>
      <c r="U1106" s="19" t="n"/>
      <c r="V1106" s="19" t="n"/>
      <c r="W1106" s="19" t="n"/>
      <c r="X1106" s="19" t="n"/>
      <c r="Y1106" s="19" t="n">
        <v>1</v>
      </c>
      <c r="Z1106" s="13">
        <f>SUMPRODUCT(N1106:Y1106,$N$2:$Y$2)*$K1106*$L1106*$M1106</f>
        <v/>
      </c>
      <c r="AA1106" s="14">
        <f>SUM(N1106:Y1106)</f>
        <v/>
      </c>
      <c r="AB1106" s="13">
        <f>SUMPRODUCT(N1106:Y1106,$N$3:$Y$3)*$K1106*$L1106*$M1106</f>
        <v/>
      </c>
      <c r="AC1106" s="13">
        <f>SUMPRODUCT(N1106:Y1106,$N$4:$Y$4)*$K1106*$L1106*$M1106</f>
        <v/>
      </c>
      <c r="AD1106" s="15" t="n">
        <v>3</v>
      </c>
      <c r="AE1106" s="11" t="n">
        <v>1.011296296296296</v>
      </c>
      <c r="AF1106" s="16">
        <f>SUMPRODUCT(N1106:Y1106,$N$5:$Y$5)*$K1106*$L1106*$M1106</f>
        <v/>
      </c>
      <c r="AG1106" s="16">
        <f>SUMPRODUCT(N1106:Y1106,$N$6:$Y$6)*$K1106*$L1106*$M1106</f>
        <v/>
      </c>
      <c r="AH1106" s="20" t="n"/>
    </row>
    <row r="1107">
      <c r="A1107" s="9" t="n">
        <v>686539</v>
      </c>
      <c r="B1107" s="9" t="inlineStr">
        <is>
          <t>Declan Cronin</t>
        </is>
      </c>
      <c r="C1107" s="9" t="inlineStr">
        <is>
          <t>MIA</t>
        </is>
      </c>
      <c r="D1107" s="9" t="n">
        <v>29</v>
      </c>
      <c r="E1107" s="18" t="inlineStr">
        <is>
          <t>R</t>
        </is>
      </c>
      <c r="F1107" s="18" t="n"/>
      <c r="G1107" s="9" t="n">
        <v>306</v>
      </c>
      <c r="H1107" s="9" t="n">
        <v>357</v>
      </c>
      <c r="I1107" s="9" t="inlineStr">
        <is>
          <t>Depth (no MLB IP)</t>
        </is>
      </c>
      <c r="J1107" s="18" t="inlineStr">
        <is>
          <t>Opening Day</t>
        </is>
      </c>
      <c r="K1107" s="11">
        <f>IFERROR(INDEX(Roles!$B$17:$B$20,MATCH(J1107,Roles!$A$17:$A$20,0)),1)</f>
        <v/>
      </c>
      <c r="L1107" s="19" t="n">
        <v>1</v>
      </c>
      <c r="M1107" s="11" t="n">
        <v>1</v>
      </c>
      <c r="N1107" s="19" t="n"/>
      <c r="O1107" s="19" t="n"/>
      <c r="P1107" s="19" t="n"/>
      <c r="Q1107" s="19" t="n"/>
      <c r="R1107" s="19" t="n"/>
      <c r="S1107" s="19" t="n"/>
      <c r="T1107" s="19" t="n"/>
      <c r="U1107" s="19" t="n"/>
      <c r="V1107" s="19" t="n"/>
      <c r="W1107" s="19" t="n"/>
      <c r="X1107" s="19" t="n"/>
      <c r="Y1107" s="19" t="n">
        <v>1</v>
      </c>
      <c r="Z1107" s="13">
        <f>SUMPRODUCT(N1107:Y1107,$N$2:$Y$2)*$K1107*$L1107*$M1107</f>
        <v/>
      </c>
      <c r="AA1107" s="14">
        <f>SUM(N1107:Y1107)</f>
        <v/>
      </c>
      <c r="AB1107" s="13">
        <f>SUMPRODUCT(N1107:Y1107,$N$3:$Y$3)*$K1107*$L1107*$M1107</f>
        <v/>
      </c>
      <c r="AC1107" s="13">
        <f>SUMPRODUCT(N1107:Y1107,$N$4:$Y$4)*$K1107*$L1107*$M1107</f>
        <v/>
      </c>
      <c r="AD1107" s="15" t="n">
        <v>34.8</v>
      </c>
      <c r="AE1107" s="11" t="n">
        <v>1.092848324514991</v>
      </c>
      <c r="AF1107" s="16">
        <f>SUMPRODUCT(N1107:Y1107,$N$5:$Y$5)*$K1107*$L1107*$M1107</f>
        <v/>
      </c>
      <c r="AG1107" s="16">
        <f>SUMPRODUCT(N1107:Y1107,$N$6:$Y$6)*$K1107*$L1107*$M1107</f>
        <v/>
      </c>
      <c r="AH1107" s="20" t="n"/>
    </row>
    <row r="1108">
      <c r="A1108" s="9" t="n">
        <v>821064</v>
      </c>
      <c r="B1108" s="9" t="inlineStr">
        <is>
          <t>Gilbel Galvan</t>
        </is>
      </c>
      <c r="C1108" s="9" t="inlineStr">
        <is>
          <t>BOS</t>
        </is>
      </c>
      <c r="D1108" s="9" t="n">
        <v>25</v>
      </c>
      <c r="E1108" s="18" t="inlineStr">
        <is>
          <t>R</t>
        </is>
      </c>
      <c r="F1108" s="18" t="n"/>
      <c r="G1108" s="9" t="n">
        <v>4.988</v>
      </c>
      <c r="H1108" s="9" t="n">
        <v>4.988</v>
      </c>
      <c r="I1108" s="9" t="inlineStr">
        <is>
          <t>Depth (no MLB IP)</t>
        </is>
      </c>
      <c r="J1108" s="18" t="inlineStr">
        <is>
          <t>Opening Day</t>
        </is>
      </c>
      <c r="K1108" s="11">
        <f>IFERROR(INDEX(Roles!$B$17:$B$20,MATCH(J1108,Roles!$A$17:$A$20,0)),1)</f>
        <v/>
      </c>
      <c r="L1108" s="19" t="n">
        <v>1</v>
      </c>
      <c r="M1108" s="11" t="n">
        <v>1</v>
      </c>
      <c r="N1108" s="19" t="n"/>
      <c r="O1108" s="19" t="n"/>
      <c r="P1108" s="19" t="n"/>
      <c r="Q1108" s="19" t="n"/>
      <c r="R1108" s="19" t="n"/>
      <c r="S1108" s="19" t="n"/>
      <c r="T1108" s="19" t="n"/>
      <c r="U1108" s="19" t="n"/>
      <c r="V1108" s="19" t="n"/>
      <c r="W1108" s="19" t="n"/>
      <c r="X1108" s="19" t="n"/>
      <c r="Y1108" s="19" t="n">
        <v>1</v>
      </c>
      <c r="Z1108" s="13">
        <f>SUMPRODUCT(N1108:Y1108,$N$2:$Y$2)*$K1108*$L1108*$M1108</f>
        <v/>
      </c>
      <c r="AA1108" s="14">
        <f>SUM(N1108:Y1108)</f>
        <v/>
      </c>
      <c r="AB1108" s="13">
        <f>SUMPRODUCT(N1108:Y1108,$N$3:$Y$3)*$K1108*$L1108*$M1108</f>
        <v/>
      </c>
      <c r="AC1108" s="13">
        <f>SUMPRODUCT(N1108:Y1108,$N$4:$Y$4)*$K1108*$L1108*$M1108</f>
        <v/>
      </c>
      <c r="AD1108" s="15" t="n">
        <v>3</v>
      </c>
      <c r="AE1108" s="11" t="n">
        <v>1.011296296296296</v>
      </c>
      <c r="AF1108" s="16">
        <f>SUMPRODUCT(N1108:Y1108,$N$5:$Y$5)*$K1108*$L1108*$M1108</f>
        <v/>
      </c>
      <c r="AG1108" s="16">
        <f>SUMPRODUCT(N1108:Y1108,$N$6:$Y$6)*$K1108*$L1108*$M1108</f>
        <v/>
      </c>
      <c r="AH1108" s="20" t="n"/>
    </row>
    <row r="1109">
      <c r="A1109" s="9" t="n">
        <v>698785</v>
      </c>
      <c r="B1109" s="9" t="inlineStr">
        <is>
          <t>Kai Wynyard</t>
        </is>
      </c>
      <c r="C1109" s="9" t="inlineStr">
        <is>
          <t>TEX</t>
        </is>
      </c>
      <c r="D1109" s="9" t="n">
        <v>25</v>
      </c>
      <c r="E1109" s="18" t="inlineStr">
        <is>
          <t>R</t>
        </is>
      </c>
      <c r="F1109" s="18" t="n"/>
      <c r="G1109" s="9" t="n">
        <v>5.016666666666667</v>
      </c>
      <c r="H1109" s="9" t="n">
        <v>5.016666666666667</v>
      </c>
      <c r="I1109" s="9" t="inlineStr">
        <is>
          <t>Depth (no MLB IP)</t>
        </is>
      </c>
      <c r="J1109" s="18" t="inlineStr">
        <is>
          <t>Opening Day</t>
        </is>
      </c>
      <c r="K1109" s="11">
        <f>IFERROR(INDEX(Roles!$B$17:$B$20,MATCH(J1109,Roles!$A$17:$A$20,0)),1)</f>
        <v/>
      </c>
      <c r="L1109" s="19" t="n">
        <v>1</v>
      </c>
      <c r="M1109" s="11" t="n">
        <v>1</v>
      </c>
      <c r="N1109" s="19" t="n"/>
      <c r="O1109" s="19" t="n"/>
      <c r="P1109" s="19" t="n"/>
      <c r="Q1109" s="19" t="n"/>
      <c r="R1109" s="19" t="n"/>
      <c r="S1109" s="19" t="n"/>
      <c r="T1109" s="19" t="n"/>
      <c r="U1109" s="19" t="n"/>
      <c r="V1109" s="19" t="n"/>
      <c r="W1109" s="19" t="n"/>
      <c r="X1109" s="19" t="n"/>
      <c r="Y1109" s="19" t="n">
        <v>1</v>
      </c>
      <c r="Z1109" s="13">
        <f>SUMPRODUCT(N1109:Y1109,$N$2:$Y$2)*$K1109*$L1109*$M1109</f>
        <v/>
      </c>
      <c r="AA1109" s="14">
        <f>SUM(N1109:Y1109)</f>
        <v/>
      </c>
      <c r="AB1109" s="13">
        <f>SUMPRODUCT(N1109:Y1109,$N$3:$Y$3)*$K1109*$L1109*$M1109</f>
        <v/>
      </c>
      <c r="AC1109" s="13">
        <f>SUMPRODUCT(N1109:Y1109,$N$4:$Y$4)*$K1109*$L1109*$M1109</f>
        <v/>
      </c>
      <c r="AD1109" s="15" t="n">
        <v>3</v>
      </c>
      <c r="AE1109" s="11" t="n">
        <v>1.011296296296296</v>
      </c>
      <c r="AF1109" s="16">
        <f>SUMPRODUCT(N1109:Y1109,$N$5:$Y$5)*$K1109*$L1109*$M1109</f>
        <v/>
      </c>
      <c r="AG1109" s="16">
        <f>SUMPRODUCT(N1109:Y1109,$N$6:$Y$6)*$K1109*$L1109*$M1109</f>
        <v/>
      </c>
      <c r="AH1109" s="20" t="n"/>
    </row>
    <row r="1110">
      <c r="A1110" s="9" t="n">
        <v>820879</v>
      </c>
      <c r="B1110" s="9" t="inlineStr">
        <is>
          <t>Luis Pimentel</t>
        </is>
      </c>
      <c r="C1110" s="9" t="inlineStr">
        <is>
          <t>CIN</t>
        </is>
      </c>
      <c r="D1110" s="9" t="n">
        <v>25</v>
      </c>
      <c r="E1110" s="18" t="inlineStr">
        <is>
          <t>R</t>
        </is>
      </c>
      <c r="F1110" s="18" t="n"/>
      <c r="G1110" s="9" t="n">
        <v>4.988</v>
      </c>
      <c r="H1110" s="9" t="n">
        <v>4.988</v>
      </c>
      <c r="I1110" s="9" t="inlineStr">
        <is>
          <t>Depth (no MLB IP)</t>
        </is>
      </c>
      <c r="J1110" s="18" t="inlineStr">
        <is>
          <t>Opening Day</t>
        </is>
      </c>
      <c r="K1110" s="11">
        <f>IFERROR(INDEX(Roles!$B$17:$B$20,MATCH(J1110,Roles!$A$17:$A$20,0)),1)</f>
        <v/>
      </c>
      <c r="L1110" s="19" t="n">
        <v>1</v>
      </c>
      <c r="M1110" s="11" t="n">
        <v>1</v>
      </c>
      <c r="N1110" s="19" t="n"/>
      <c r="O1110" s="19" t="n"/>
      <c r="P1110" s="19" t="n"/>
      <c r="Q1110" s="19" t="n"/>
      <c r="R1110" s="19" t="n"/>
      <c r="S1110" s="19" t="n"/>
      <c r="T1110" s="19" t="n"/>
      <c r="U1110" s="19" t="n"/>
      <c r="V1110" s="19" t="n"/>
      <c r="W1110" s="19" t="n"/>
      <c r="X1110" s="19" t="n"/>
      <c r="Y1110" s="19" t="n">
        <v>1</v>
      </c>
      <c r="Z1110" s="13">
        <f>SUMPRODUCT(N1110:Y1110,$N$2:$Y$2)*$K1110*$L1110*$M1110</f>
        <v/>
      </c>
      <c r="AA1110" s="14">
        <f>SUM(N1110:Y1110)</f>
        <v/>
      </c>
      <c r="AB1110" s="13">
        <f>SUMPRODUCT(N1110:Y1110,$N$3:$Y$3)*$K1110*$L1110*$M1110</f>
        <v/>
      </c>
      <c r="AC1110" s="13">
        <f>SUMPRODUCT(N1110:Y1110,$N$4:$Y$4)*$K1110*$L1110*$M1110</f>
        <v/>
      </c>
      <c r="AD1110" s="15" t="n">
        <v>3</v>
      </c>
      <c r="AE1110" s="11" t="n">
        <v>1.011296296296296</v>
      </c>
      <c r="AF1110" s="16">
        <f>SUMPRODUCT(N1110:Y1110,$N$5:$Y$5)*$K1110*$L1110*$M1110</f>
        <v/>
      </c>
      <c r="AG1110" s="16">
        <f>SUMPRODUCT(N1110:Y1110,$N$6:$Y$6)*$K1110*$L1110*$M1110</f>
        <v/>
      </c>
      <c r="AH1110" s="20" t="n"/>
    </row>
    <row r="1111">
      <c r="A1111" s="9" t="n">
        <v>808158</v>
      </c>
      <c r="B1111" s="9" t="inlineStr">
        <is>
          <t>Angel Liranzo</t>
        </is>
      </c>
      <c r="C1111" s="9" t="inlineStr">
        <is>
          <t>PHI</t>
        </is>
      </c>
      <c r="D1111" s="9" t="n">
        <v>25</v>
      </c>
      <c r="E1111" s="18" t="inlineStr">
        <is>
          <t>L</t>
        </is>
      </c>
      <c r="F1111" s="18" t="n"/>
      <c r="G1111" s="9" t="n">
        <v>4.816</v>
      </c>
      <c r="H1111" s="9" t="n">
        <v>4.816</v>
      </c>
      <c r="I1111" s="9" t="inlineStr">
        <is>
          <t>Depth (no MLB IP)</t>
        </is>
      </c>
      <c r="J1111" s="18" t="inlineStr">
        <is>
          <t>Opening Day</t>
        </is>
      </c>
      <c r="K1111" s="11">
        <f>IFERROR(INDEX(Roles!$B$17:$B$20,MATCH(J1111,Roles!$A$17:$A$20,0)),1)</f>
        <v/>
      </c>
      <c r="L1111" s="19" t="n">
        <v>1</v>
      </c>
      <c r="M1111" s="11" t="n">
        <v>1</v>
      </c>
      <c r="N1111" s="19" t="n"/>
      <c r="O1111" s="19" t="n"/>
      <c r="P1111" s="19" t="n"/>
      <c r="Q1111" s="19" t="n"/>
      <c r="R1111" s="19" t="n"/>
      <c r="S1111" s="19" t="n"/>
      <c r="T1111" s="19" t="n"/>
      <c r="U1111" s="19" t="n"/>
      <c r="V1111" s="19" t="n"/>
      <c r="W1111" s="19" t="n"/>
      <c r="X1111" s="19" t="n"/>
      <c r="Y1111" s="19" t="n">
        <v>1</v>
      </c>
      <c r="Z1111" s="13">
        <f>SUMPRODUCT(N1111:Y1111,$N$2:$Y$2)*$K1111*$L1111*$M1111</f>
        <v/>
      </c>
      <c r="AA1111" s="14">
        <f>SUM(N1111:Y1111)</f>
        <v/>
      </c>
      <c r="AB1111" s="13">
        <f>SUMPRODUCT(N1111:Y1111,$N$3:$Y$3)*$K1111*$L1111*$M1111</f>
        <v/>
      </c>
      <c r="AC1111" s="13">
        <f>SUMPRODUCT(N1111:Y1111,$N$4:$Y$4)*$K1111*$L1111*$M1111</f>
        <v/>
      </c>
      <c r="AD1111" s="15" t="n">
        <v>3</v>
      </c>
      <c r="AE1111" s="11" t="n">
        <v>1.011296296296296</v>
      </c>
      <c r="AF1111" s="16">
        <f>SUMPRODUCT(N1111:Y1111,$N$5:$Y$5)*$K1111*$L1111*$M1111</f>
        <v/>
      </c>
      <c r="AG1111" s="16">
        <f>SUMPRODUCT(N1111:Y1111,$N$6:$Y$6)*$K1111*$L1111*$M1111</f>
        <v/>
      </c>
      <c r="AH1111" s="20" t="n"/>
    </row>
    <row r="1112">
      <c r="A1112" s="9" t="n">
        <v>698968</v>
      </c>
      <c r="B1112" s="9" t="inlineStr">
        <is>
          <t>Samir Chires</t>
        </is>
      </c>
      <c r="C1112" s="9" t="inlineStr">
        <is>
          <t>SF</t>
        </is>
      </c>
      <c r="D1112" s="9" t="n">
        <v>25</v>
      </c>
      <c r="E1112" s="18" t="inlineStr">
        <is>
          <t>R</t>
        </is>
      </c>
      <c r="F1112" s="18" t="n"/>
      <c r="G1112" s="9" t="n">
        <v>4.73</v>
      </c>
      <c r="H1112" s="9" t="n">
        <v>4.73</v>
      </c>
      <c r="I1112" s="9" t="inlineStr">
        <is>
          <t>Depth (no MLB IP)</t>
        </is>
      </c>
      <c r="J1112" s="18" t="inlineStr">
        <is>
          <t>Opening Day</t>
        </is>
      </c>
      <c r="K1112" s="11">
        <f>IFERROR(INDEX(Roles!$B$17:$B$20,MATCH(J1112,Roles!$A$17:$A$20,0)),1)</f>
        <v/>
      </c>
      <c r="L1112" s="19" t="n">
        <v>1</v>
      </c>
      <c r="M1112" s="11" t="n">
        <v>1</v>
      </c>
      <c r="N1112" s="19" t="n"/>
      <c r="O1112" s="19" t="n"/>
      <c r="P1112" s="19" t="n"/>
      <c r="Q1112" s="19" t="n"/>
      <c r="R1112" s="19" t="n"/>
      <c r="S1112" s="19" t="n"/>
      <c r="T1112" s="19" t="n"/>
      <c r="U1112" s="19" t="n"/>
      <c r="V1112" s="19" t="n"/>
      <c r="W1112" s="19" t="n"/>
      <c r="X1112" s="19" t="n"/>
      <c r="Y1112" s="19" t="n">
        <v>1</v>
      </c>
      <c r="Z1112" s="13">
        <f>SUMPRODUCT(N1112:Y1112,$N$2:$Y$2)*$K1112*$L1112*$M1112</f>
        <v/>
      </c>
      <c r="AA1112" s="14">
        <f>SUM(N1112:Y1112)</f>
        <v/>
      </c>
      <c r="AB1112" s="13">
        <f>SUMPRODUCT(N1112:Y1112,$N$3:$Y$3)*$K1112*$L1112*$M1112</f>
        <v/>
      </c>
      <c r="AC1112" s="13">
        <f>SUMPRODUCT(N1112:Y1112,$N$4:$Y$4)*$K1112*$L1112*$M1112</f>
        <v/>
      </c>
      <c r="AD1112" s="15" t="n">
        <v>3</v>
      </c>
      <c r="AE1112" s="11" t="n">
        <v>1.011296296296296</v>
      </c>
      <c r="AF1112" s="16">
        <f>SUMPRODUCT(N1112:Y1112,$N$5:$Y$5)*$K1112*$L1112*$M1112</f>
        <v/>
      </c>
      <c r="AG1112" s="16">
        <f>SUMPRODUCT(N1112:Y1112,$N$6:$Y$6)*$K1112*$L1112*$M1112</f>
        <v/>
      </c>
      <c r="AH1112" s="20" t="n"/>
    </row>
    <row r="1113">
      <c r="A1113" s="9" t="n">
        <v>828499</v>
      </c>
      <c r="B1113" s="9" t="inlineStr">
        <is>
          <t>Griffin Kilander</t>
        </is>
      </c>
      <c r="C1113" s="9" t="inlineStr">
        <is>
          <t>BOS</t>
        </is>
      </c>
      <c r="D1113" s="9" t="n">
        <v>25</v>
      </c>
      <c r="E1113" s="18" t="inlineStr">
        <is>
          <t>R</t>
        </is>
      </c>
      <c r="F1113" s="18" t="n"/>
      <c r="G1113" s="9" t="n">
        <v>5.016666666666667</v>
      </c>
      <c r="H1113" s="9" t="n">
        <v>5.016666666666667</v>
      </c>
      <c r="I1113" s="9" t="inlineStr">
        <is>
          <t>Depth (no MLB IP)</t>
        </is>
      </c>
      <c r="J1113" s="18" t="inlineStr">
        <is>
          <t>Opening Day</t>
        </is>
      </c>
      <c r="K1113" s="11">
        <f>IFERROR(INDEX(Roles!$B$17:$B$20,MATCH(J1113,Roles!$A$17:$A$20,0)),1)</f>
        <v/>
      </c>
      <c r="L1113" s="19" t="n">
        <v>1</v>
      </c>
      <c r="M1113" s="11" t="n">
        <v>1</v>
      </c>
      <c r="N1113" s="19" t="n"/>
      <c r="O1113" s="19" t="n"/>
      <c r="P1113" s="19" t="n"/>
      <c r="Q1113" s="19" t="n"/>
      <c r="R1113" s="19" t="n"/>
      <c r="S1113" s="19" t="n"/>
      <c r="T1113" s="19" t="n"/>
      <c r="U1113" s="19" t="n"/>
      <c r="V1113" s="19" t="n"/>
      <c r="W1113" s="19" t="n"/>
      <c r="X1113" s="19" t="n"/>
      <c r="Y1113" s="19" t="n">
        <v>1</v>
      </c>
      <c r="Z1113" s="13">
        <f>SUMPRODUCT(N1113:Y1113,$N$2:$Y$2)*$K1113*$L1113*$M1113</f>
        <v/>
      </c>
      <c r="AA1113" s="14">
        <f>SUM(N1113:Y1113)</f>
        <v/>
      </c>
      <c r="AB1113" s="13">
        <f>SUMPRODUCT(N1113:Y1113,$N$3:$Y$3)*$K1113*$L1113*$M1113</f>
        <v/>
      </c>
      <c r="AC1113" s="13">
        <f>SUMPRODUCT(N1113:Y1113,$N$4:$Y$4)*$K1113*$L1113*$M1113</f>
        <v/>
      </c>
      <c r="AD1113" s="15" t="n">
        <v>3</v>
      </c>
      <c r="AE1113" s="11" t="n">
        <v>1.011296296296296</v>
      </c>
      <c r="AF1113" s="16">
        <f>SUMPRODUCT(N1113:Y1113,$N$5:$Y$5)*$K1113*$L1113*$M1113</f>
        <v/>
      </c>
      <c r="AG1113" s="16">
        <f>SUMPRODUCT(N1113:Y1113,$N$6:$Y$6)*$K1113*$L1113*$M1113</f>
        <v/>
      </c>
      <c r="AH1113" s="20" t="n"/>
    </row>
    <row r="1114">
      <c r="A1114" s="9" t="n">
        <v>829524</v>
      </c>
      <c r="B1114" s="9" t="inlineStr">
        <is>
          <t>Chase Jessee</t>
        </is>
      </c>
      <c r="C1114" s="9" t="inlineStr">
        <is>
          <t>KC</t>
        </is>
      </c>
      <c r="D1114" s="9" t="n">
        <v>25</v>
      </c>
      <c r="E1114" s="18" t="inlineStr">
        <is>
          <t>L</t>
        </is>
      </c>
      <c r="F1114" s="18" t="n"/>
      <c r="G1114" s="9" t="n">
        <v>4.73</v>
      </c>
      <c r="H1114" s="9" t="n">
        <v>4.73</v>
      </c>
      <c r="I1114" s="9" t="inlineStr">
        <is>
          <t>Depth (no MLB IP)</t>
        </is>
      </c>
      <c r="J1114" s="18" t="inlineStr">
        <is>
          <t>Opening Day</t>
        </is>
      </c>
      <c r="K1114" s="11">
        <f>IFERROR(INDEX(Roles!$B$17:$B$20,MATCH(J1114,Roles!$A$17:$A$20,0)),1)</f>
        <v/>
      </c>
      <c r="L1114" s="19" t="n">
        <v>1</v>
      </c>
      <c r="M1114" s="11" t="n">
        <v>1</v>
      </c>
      <c r="N1114" s="19" t="n"/>
      <c r="O1114" s="19" t="n"/>
      <c r="P1114" s="19" t="n"/>
      <c r="Q1114" s="19" t="n"/>
      <c r="R1114" s="19" t="n"/>
      <c r="S1114" s="19" t="n"/>
      <c r="T1114" s="19" t="n"/>
      <c r="U1114" s="19" t="n"/>
      <c r="V1114" s="19" t="n"/>
      <c r="W1114" s="19" t="n"/>
      <c r="X1114" s="19" t="n"/>
      <c r="Y1114" s="19" t="n">
        <v>1</v>
      </c>
      <c r="Z1114" s="13">
        <f>SUMPRODUCT(N1114:Y1114,$N$2:$Y$2)*$K1114*$L1114*$M1114</f>
        <v/>
      </c>
      <c r="AA1114" s="14">
        <f>SUM(N1114:Y1114)</f>
        <v/>
      </c>
      <c r="AB1114" s="13">
        <f>SUMPRODUCT(N1114:Y1114,$N$3:$Y$3)*$K1114*$L1114*$M1114</f>
        <v/>
      </c>
      <c r="AC1114" s="13">
        <f>SUMPRODUCT(N1114:Y1114,$N$4:$Y$4)*$K1114*$L1114*$M1114</f>
        <v/>
      </c>
      <c r="AD1114" s="15" t="n">
        <v>3</v>
      </c>
      <c r="AE1114" s="11" t="n">
        <v>1.011296296296296</v>
      </c>
      <c r="AF1114" s="16">
        <f>SUMPRODUCT(N1114:Y1114,$N$5:$Y$5)*$K1114*$L1114*$M1114</f>
        <v/>
      </c>
      <c r="AG1114" s="16">
        <f>SUMPRODUCT(N1114:Y1114,$N$6:$Y$6)*$K1114*$L1114*$M1114</f>
        <v/>
      </c>
      <c r="AH1114" s="20" t="n"/>
    </row>
    <row r="1115">
      <c r="A1115" s="9" t="n">
        <v>811172</v>
      </c>
      <c r="B1115" s="9" t="inlineStr">
        <is>
          <t>Conner Ware</t>
        </is>
      </c>
      <c r="C1115" s="9" t="inlineStr">
        <is>
          <t>NYM</t>
        </is>
      </c>
      <c r="D1115" s="9" t="n">
        <v>25</v>
      </c>
      <c r="E1115" s="18" t="inlineStr">
        <is>
          <t>L</t>
        </is>
      </c>
      <c r="F1115" s="18" t="n"/>
      <c r="G1115" s="9" t="n">
        <v>5.16</v>
      </c>
      <c r="H1115" s="9" t="n">
        <v>5.16</v>
      </c>
      <c r="I1115" s="9" t="inlineStr">
        <is>
          <t>Depth (no MLB IP)</t>
        </is>
      </c>
      <c r="J1115" s="18" t="inlineStr">
        <is>
          <t>Opening Day</t>
        </is>
      </c>
      <c r="K1115" s="11">
        <f>IFERROR(INDEX(Roles!$B$17:$B$20,MATCH(J1115,Roles!$A$17:$A$20,0)),1)</f>
        <v/>
      </c>
      <c r="L1115" s="19" t="n">
        <v>1</v>
      </c>
      <c r="M1115" s="11" t="n">
        <v>1</v>
      </c>
      <c r="N1115" s="19" t="n"/>
      <c r="O1115" s="19" t="n"/>
      <c r="P1115" s="19" t="n"/>
      <c r="Q1115" s="19" t="n"/>
      <c r="R1115" s="19" t="n"/>
      <c r="S1115" s="19" t="n"/>
      <c r="T1115" s="19" t="n"/>
      <c r="U1115" s="19" t="n"/>
      <c r="V1115" s="19" t="n"/>
      <c r="W1115" s="19" t="n"/>
      <c r="X1115" s="19" t="n"/>
      <c r="Y1115" s="19" t="n">
        <v>1</v>
      </c>
      <c r="Z1115" s="13">
        <f>SUMPRODUCT(N1115:Y1115,$N$2:$Y$2)*$K1115*$L1115*$M1115</f>
        <v/>
      </c>
      <c r="AA1115" s="14">
        <f>SUM(N1115:Y1115)</f>
        <v/>
      </c>
      <c r="AB1115" s="13">
        <f>SUMPRODUCT(N1115:Y1115,$N$3:$Y$3)*$K1115*$L1115*$M1115</f>
        <v/>
      </c>
      <c r="AC1115" s="13">
        <f>SUMPRODUCT(N1115:Y1115,$N$4:$Y$4)*$K1115*$L1115*$M1115</f>
        <v/>
      </c>
      <c r="AD1115" s="15" t="n">
        <v>3</v>
      </c>
      <c r="AE1115" s="11" t="n">
        <v>1.011296296296296</v>
      </c>
      <c r="AF1115" s="16">
        <f>SUMPRODUCT(N1115:Y1115,$N$5:$Y$5)*$K1115*$L1115*$M1115</f>
        <v/>
      </c>
      <c r="AG1115" s="16">
        <f>SUMPRODUCT(N1115:Y1115,$N$6:$Y$6)*$K1115*$L1115*$M1115</f>
        <v/>
      </c>
      <c r="AH1115" s="20" t="n"/>
    </row>
    <row r="1116">
      <c r="A1116" s="9" t="n">
        <v>822483</v>
      </c>
      <c r="B1116" s="9" t="inlineStr">
        <is>
          <t>Sean Matson</t>
        </is>
      </c>
      <c r="C1116" s="9" t="inlineStr">
        <is>
          <t>CLE</t>
        </is>
      </c>
      <c r="D1116" s="9" t="n">
        <v>25</v>
      </c>
      <c r="E1116" s="18" t="inlineStr">
        <is>
          <t>R</t>
        </is>
      </c>
      <c r="F1116" s="18" t="n"/>
      <c r="G1116" s="9" t="n">
        <v>4.73</v>
      </c>
      <c r="H1116" s="9" t="n">
        <v>4.73</v>
      </c>
      <c r="I1116" s="9" t="inlineStr">
        <is>
          <t>Depth (no MLB IP)</t>
        </is>
      </c>
      <c r="J1116" s="18" t="inlineStr">
        <is>
          <t>Opening Day</t>
        </is>
      </c>
      <c r="K1116" s="11">
        <f>IFERROR(INDEX(Roles!$B$17:$B$20,MATCH(J1116,Roles!$A$17:$A$20,0)),1)</f>
        <v/>
      </c>
      <c r="L1116" s="19" t="n">
        <v>1</v>
      </c>
      <c r="M1116" s="11" t="n">
        <v>1</v>
      </c>
      <c r="N1116" s="19" t="n"/>
      <c r="O1116" s="19" t="n"/>
      <c r="P1116" s="19" t="n"/>
      <c r="Q1116" s="19" t="n"/>
      <c r="R1116" s="19" t="n"/>
      <c r="S1116" s="19" t="n"/>
      <c r="T1116" s="19" t="n"/>
      <c r="U1116" s="19" t="n"/>
      <c r="V1116" s="19" t="n"/>
      <c r="W1116" s="19" t="n"/>
      <c r="X1116" s="19" t="n"/>
      <c r="Y1116" s="19" t="n">
        <v>1</v>
      </c>
      <c r="Z1116" s="13">
        <f>SUMPRODUCT(N1116:Y1116,$N$2:$Y$2)*$K1116*$L1116*$M1116</f>
        <v/>
      </c>
      <c r="AA1116" s="14">
        <f>SUM(N1116:Y1116)</f>
        <v/>
      </c>
      <c r="AB1116" s="13">
        <f>SUMPRODUCT(N1116:Y1116,$N$3:$Y$3)*$K1116*$L1116*$M1116</f>
        <v/>
      </c>
      <c r="AC1116" s="13">
        <f>SUMPRODUCT(N1116:Y1116,$N$4:$Y$4)*$K1116*$L1116*$M1116</f>
        <v/>
      </c>
      <c r="AD1116" s="15" t="n">
        <v>3</v>
      </c>
      <c r="AE1116" s="11" t="n">
        <v>1.011296296296296</v>
      </c>
      <c r="AF1116" s="16">
        <f>SUMPRODUCT(N1116:Y1116,$N$5:$Y$5)*$K1116*$L1116*$M1116</f>
        <v/>
      </c>
      <c r="AG1116" s="16">
        <f>SUMPRODUCT(N1116:Y1116,$N$6:$Y$6)*$K1116*$L1116*$M1116</f>
        <v/>
      </c>
      <c r="AH1116" s="20" t="n"/>
    </row>
    <row r="1117">
      <c r="A1117" s="9" t="n">
        <v>806916</v>
      </c>
      <c r="B1117" s="9" t="inlineStr">
        <is>
          <t>Harrison Ruiz</t>
        </is>
      </c>
      <c r="C1117" s="9" t="inlineStr">
        <is>
          <t>CLE</t>
        </is>
      </c>
      <c r="D1117" s="9" t="n">
        <v>25</v>
      </c>
      <c r="E1117" s="18" t="inlineStr">
        <is>
          <t>R</t>
        </is>
      </c>
      <c r="F1117" s="18" t="n"/>
      <c r="G1117" s="9" t="n">
        <v>4.988</v>
      </c>
      <c r="H1117" s="9" t="n">
        <v>4.988</v>
      </c>
      <c r="I1117" s="9" t="inlineStr">
        <is>
          <t>Depth (no MLB IP)</t>
        </is>
      </c>
      <c r="J1117" s="18" t="inlineStr">
        <is>
          <t>Opening Day</t>
        </is>
      </c>
      <c r="K1117" s="11">
        <f>IFERROR(INDEX(Roles!$B$17:$B$20,MATCH(J1117,Roles!$A$17:$A$20,0)),1)</f>
        <v/>
      </c>
      <c r="L1117" s="19" t="n">
        <v>1</v>
      </c>
      <c r="M1117" s="11" t="n">
        <v>1</v>
      </c>
      <c r="N1117" s="19" t="n"/>
      <c r="O1117" s="19" t="n"/>
      <c r="P1117" s="19" t="n"/>
      <c r="Q1117" s="19" t="n"/>
      <c r="R1117" s="19" t="n"/>
      <c r="S1117" s="19" t="n"/>
      <c r="T1117" s="19" t="n"/>
      <c r="U1117" s="19" t="n"/>
      <c r="V1117" s="19" t="n"/>
      <c r="W1117" s="19" t="n"/>
      <c r="X1117" s="19" t="n"/>
      <c r="Y1117" s="19" t="n">
        <v>1</v>
      </c>
      <c r="Z1117" s="13">
        <f>SUMPRODUCT(N1117:Y1117,$N$2:$Y$2)*$K1117*$L1117*$M1117</f>
        <v/>
      </c>
      <c r="AA1117" s="14">
        <f>SUM(N1117:Y1117)</f>
        <v/>
      </c>
      <c r="AB1117" s="13">
        <f>SUMPRODUCT(N1117:Y1117,$N$3:$Y$3)*$K1117*$L1117*$M1117</f>
        <v/>
      </c>
      <c r="AC1117" s="13">
        <f>SUMPRODUCT(N1117:Y1117,$N$4:$Y$4)*$K1117*$L1117*$M1117</f>
        <v/>
      </c>
      <c r="AD1117" s="15" t="n">
        <v>3</v>
      </c>
      <c r="AE1117" s="11" t="n">
        <v>1.011296296296296</v>
      </c>
      <c r="AF1117" s="16">
        <f>SUMPRODUCT(N1117:Y1117,$N$5:$Y$5)*$K1117*$L1117*$M1117</f>
        <v/>
      </c>
      <c r="AG1117" s="16">
        <f>SUMPRODUCT(N1117:Y1117,$N$6:$Y$6)*$K1117*$L1117*$M1117</f>
        <v/>
      </c>
      <c r="AH1117" s="20" t="n"/>
    </row>
    <row r="1118">
      <c r="A1118" s="9" t="n">
        <v>670276</v>
      </c>
      <c r="B1118" s="9" t="inlineStr">
        <is>
          <t>Cal Stevenson</t>
        </is>
      </c>
      <c r="C1118" s="9" t="inlineStr">
        <is>
          <t>DET</t>
        </is>
      </c>
      <c r="D1118" s="9" t="n">
        <v>25</v>
      </c>
      <c r="E1118" s="18" t="inlineStr">
        <is>
          <t>L</t>
        </is>
      </c>
      <c r="F1118" s="18" t="n"/>
      <c r="G1118" s="9" t="n">
        <v>4.73</v>
      </c>
      <c r="H1118" s="9" t="n">
        <v>4.73</v>
      </c>
      <c r="I1118" s="9" t="inlineStr">
        <is>
          <t>Depth (no MLB IP)</t>
        </is>
      </c>
      <c r="J1118" s="18" t="inlineStr">
        <is>
          <t>Opening Day</t>
        </is>
      </c>
      <c r="K1118" s="11">
        <f>IFERROR(INDEX(Roles!$B$17:$B$20,MATCH(J1118,Roles!$A$17:$A$20,0)),1)</f>
        <v/>
      </c>
      <c r="L1118" s="19" t="n">
        <v>1</v>
      </c>
      <c r="M1118" s="11" t="n">
        <v>1</v>
      </c>
      <c r="N1118" s="19" t="n"/>
      <c r="O1118" s="19" t="n"/>
      <c r="P1118" s="19" t="n"/>
      <c r="Q1118" s="19" t="n"/>
      <c r="R1118" s="19" t="n"/>
      <c r="S1118" s="19" t="n"/>
      <c r="T1118" s="19" t="n"/>
      <c r="U1118" s="19" t="n"/>
      <c r="V1118" s="19" t="n"/>
      <c r="W1118" s="19" t="n"/>
      <c r="X1118" s="19" t="n"/>
      <c r="Y1118" s="19" t="n">
        <v>1</v>
      </c>
      <c r="Z1118" s="13">
        <f>SUMPRODUCT(N1118:Y1118,$N$2:$Y$2)*$K1118*$L1118*$M1118</f>
        <v/>
      </c>
      <c r="AA1118" s="14">
        <f>SUM(N1118:Y1118)</f>
        <v/>
      </c>
      <c r="AB1118" s="13">
        <f>SUMPRODUCT(N1118:Y1118,$N$3:$Y$3)*$K1118*$L1118*$M1118</f>
        <v/>
      </c>
      <c r="AC1118" s="13">
        <f>SUMPRODUCT(N1118:Y1118,$N$4:$Y$4)*$K1118*$L1118*$M1118</f>
        <v/>
      </c>
      <c r="AD1118" s="15" t="n">
        <v>3</v>
      </c>
      <c r="AE1118" s="11" t="n">
        <v>1.011296296296296</v>
      </c>
      <c r="AF1118" s="16">
        <f>SUMPRODUCT(N1118:Y1118,$N$5:$Y$5)*$K1118*$L1118*$M1118</f>
        <v/>
      </c>
      <c r="AG1118" s="16">
        <f>SUMPRODUCT(N1118:Y1118,$N$6:$Y$6)*$K1118*$L1118*$M1118</f>
        <v/>
      </c>
      <c r="AH1118" s="20" t="n"/>
    </row>
    <row r="1119">
      <c r="A1119" s="9" t="n">
        <v>702900</v>
      </c>
      <c r="B1119" s="9" t="inlineStr">
        <is>
          <t>Wuillians Herrera</t>
        </is>
      </c>
      <c r="C1119" s="9" t="inlineStr">
        <is>
          <t>LAD</t>
        </is>
      </c>
      <c r="D1119" s="9" t="n">
        <v>25</v>
      </c>
      <c r="E1119" s="18" t="inlineStr">
        <is>
          <t>R</t>
        </is>
      </c>
      <c r="F1119" s="18" t="n"/>
      <c r="G1119" s="9" t="n">
        <v>4.988</v>
      </c>
      <c r="H1119" s="9" t="n">
        <v>4.988</v>
      </c>
      <c r="I1119" s="9" t="inlineStr">
        <is>
          <t>Depth (no MLB IP)</t>
        </is>
      </c>
      <c r="J1119" s="18" t="inlineStr">
        <is>
          <t>Opening Day</t>
        </is>
      </c>
      <c r="K1119" s="11">
        <f>IFERROR(INDEX(Roles!$B$17:$B$20,MATCH(J1119,Roles!$A$17:$A$20,0)),1)</f>
        <v/>
      </c>
      <c r="L1119" s="19" t="n">
        <v>1</v>
      </c>
      <c r="M1119" s="11" t="n">
        <v>1</v>
      </c>
      <c r="N1119" s="19" t="n"/>
      <c r="O1119" s="19" t="n"/>
      <c r="P1119" s="19" t="n"/>
      <c r="Q1119" s="19" t="n"/>
      <c r="R1119" s="19" t="n"/>
      <c r="S1119" s="19" t="n"/>
      <c r="T1119" s="19" t="n"/>
      <c r="U1119" s="19" t="n"/>
      <c r="V1119" s="19" t="n"/>
      <c r="W1119" s="19" t="n"/>
      <c r="X1119" s="19" t="n"/>
      <c r="Y1119" s="19" t="n">
        <v>1</v>
      </c>
      <c r="Z1119" s="13">
        <f>SUMPRODUCT(N1119:Y1119,$N$2:$Y$2)*$K1119*$L1119*$M1119</f>
        <v/>
      </c>
      <c r="AA1119" s="14">
        <f>SUM(N1119:Y1119)</f>
        <v/>
      </c>
      <c r="AB1119" s="13">
        <f>SUMPRODUCT(N1119:Y1119,$N$3:$Y$3)*$K1119*$L1119*$M1119</f>
        <v/>
      </c>
      <c r="AC1119" s="13">
        <f>SUMPRODUCT(N1119:Y1119,$N$4:$Y$4)*$K1119*$L1119*$M1119</f>
        <v/>
      </c>
      <c r="AD1119" s="15" t="n">
        <v>3</v>
      </c>
      <c r="AE1119" s="11" t="n">
        <v>1.011296296296296</v>
      </c>
      <c r="AF1119" s="16">
        <f>SUMPRODUCT(N1119:Y1119,$N$5:$Y$5)*$K1119*$L1119*$M1119</f>
        <v/>
      </c>
      <c r="AG1119" s="16">
        <f>SUMPRODUCT(N1119:Y1119,$N$6:$Y$6)*$K1119*$L1119*$M1119</f>
        <v/>
      </c>
      <c r="AH1119" s="20" t="n"/>
    </row>
    <row r="1120">
      <c r="A1120" s="9" t="n">
        <v>801207</v>
      </c>
      <c r="B1120" s="9" t="inlineStr">
        <is>
          <t>Emmett Olson</t>
        </is>
      </c>
      <c r="C1120" s="9" t="inlineStr">
        <is>
          <t>MIA</t>
        </is>
      </c>
      <c r="D1120" s="9" t="n">
        <v>25</v>
      </c>
      <c r="E1120" s="18" t="inlineStr">
        <is>
          <t>L</t>
        </is>
      </c>
      <c r="F1120" s="18" t="n"/>
      <c r="G1120" s="9" t="n">
        <v>5.016666666666667</v>
      </c>
      <c r="H1120" s="9" t="n">
        <v>5.016666666666667</v>
      </c>
      <c r="I1120" s="9" t="inlineStr">
        <is>
          <t>Depth (no MLB IP)</t>
        </is>
      </c>
      <c r="J1120" s="18" t="inlineStr">
        <is>
          <t>Opening Day</t>
        </is>
      </c>
      <c r="K1120" s="11">
        <f>IFERROR(INDEX(Roles!$B$17:$B$20,MATCH(J1120,Roles!$A$17:$A$20,0)),1)</f>
        <v/>
      </c>
      <c r="L1120" s="19" t="n">
        <v>1</v>
      </c>
      <c r="M1120" s="11" t="n">
        <v>1</v>
      </c>
      <c r="N1120" s="19" t="n"/>
      <c r="O1120" s="19" t="n"/>
      <c r="P1120" s="19" t="n"/>
      <c r="Q1120" s="19" t="n"/>
      <c r="R1120" s="19" t="n"/>
      <c r="S1120" s="19" t="n"/>
      <c r="T1120" s="19" t="n"/>
      <c r="U1120" s="19" t="n"/>
      <c r="V1120" s="19" t="n"/>
      <c r="W1120" s="19" t="n"/>
      <c r="X1120" s="19" t="n"/>
      <c r="Y1120" s="19" t="n">
        <v>1</v>
      </c>
      <c r="Z1120" s="13">
        <f>SUMPRODUCT(N1120:Y1120,$N$2:$Y$2)*$K1120*$L1120*$M1120</f>
        <v/>
      </c>
      <c r="AA1120" s="14">
        <f>SUM(N1120:Y1120)</f>
        <v/>
      </c>
      <c r="AB1120" s="13">
        <f>SUMPRODUCT(N1120:Y1120,$N$3:$Y$3)*$K1120*$L1120*$M1120</f>
        <v/>
      </c>
      <c r="AC1120" s="13">
        <f>SUMPRODUCT(N1120:Y1120,$N$4:$Y$4)*$K1120*$L1120*$M1120</f>
        <v/>
      </c>
      <c r="AD1120" s="15" t="n">
        <v>3</v>
      </c>
      <c r="AE1120" s="11" t="n">
        <v>1.011296296296296</v>
      </c>
      <c r="AF1120" s="16">
        <f>SUMPRODUCT(N1120:Y1120,$N$5:$Y$5)*$K1120*$L1120*$M1120</f>
        <v/>
      </c>
      <c r="AG1120" s="16">
        <f>SUMPRODUCT(N1120:Y1120,$N$6:$Y$6)*$K1120*$L1120*$M1120</f>
        <v/>
      </c>
      <c r="AH1120" s="20" t="n"/>
    </row>
    <row r="1121">
      <c r="A1121" s="9" t="n">
        <v>682017</v>
      </c>
      <c r="B1121" s="9" t="inlineStr">
        <is>
          <t>Bradley Brehmer</t>
        </is>
      </c>
      <c r="C1121" s="9" t="inlineStr">
        <is>
          <t>BAL</t>
        </is>
      </c>
      <c r="D1121" s="9" t="n">
        <v>25</v>
      </c>
      <c r="E1121" s="18" t="inlineStr">
        <is>
          <t>R</t>
        </is>
      </c>
      <c r="F1121" s="18" t="n"/>
      <c r="G1121" s="9" t="n">
        <v>5.016666666666667</v>
      </c>
      <c r="H1121" s="9" t="n">
        <v>5.016666666666667</v>
      </c>
      <c r="I1121" s="9" t="inlineStr">
        <is>
          <t>Depth (no MLB IP)</t>
        </is>
      </c>
      <c r="J1121" s="18" t="inlineStr">
        <is>
          <t>Opening Day</t>
        </is>
      </c>
      <c r="K1121" s="11">
        <f>IFERROR(INDEX(Roles!$B$17:$B$20,MATCH(J1121,Roles!$A$17:$A$20,0)),1)</f>
        <v/>
      </c>
      <c r="L1121" s="19" t="n">
        <v>1</v>
      </c>
      <c r="M1121" s="11" t="n">
        <v>1</v>
      </c>
      <c r="N1121" s="19" t="n"/>
      <c r="O1121" s="19" t="n"/>
      <c r="P1121" s="19" t="n"/>
      <c r="Q1121" s="19" t="n"/>
      <c r="R1121" s="19" t="n"/>
      <c r="S1121" s="19" t="n"/>
      <c r="T1121" s="19" t="n"/>
      <c r="U1121" s="19" t="n"/>
      <c r="V1121" s="19" t="n"/>
      <c r="W1121" s="19" t="n"/>
      <c r="X1121" s="19" t="n"/>
      <c r="Y1121" s="19" t="n">
        <v>1</v>
      </c>
      <c r="Z1121" s="13">
        <f>SUMPRODUCT(N1121:Y1121,$N$2:$Y$2)*$K1121*$L1121*$M1121</f>
        <v/>
      </c>
      <c r="AA1121" s="14">
        <f>SUM(N1121:Y1121)</f>
        <v/>
      </c>
      <c r="AB1121" s="13">
        <f>SUMPRODUCT(N1121:Y1121,$N$3:$Y$3)*$K1121*$L1121*$M1121</f>
        <v/>
      </c>
      <c r="AC1121" s="13">
        <f>SUMPRODUCT(N1121:Y1121,$N$4:$Y$4)*$K1121*$L1121*$M1121</f>
        <v/>
      </c>
      <c r="AD1121" s="15" t="n">
        <v>3</v>
      </c>
      <c r="AE1121" s="11" t="n">
        <v>1.011296296296296</v>
      </c>
      <c r="AF1121" s="16">
        <f>SUMPRODUCT(N1121:Y1121,$N$5:$Y$5)*$K1121*$L1121*$M1121</f>
        <v/>
      </c>
      <c r="AG1121" s="16">
        <f>SUMPRODUCT(N1121:Y1121,$N$6:$Y$6)*$K1121*$L1121*$M1121</f>
        <v/>
      </c>
      <c r="AH1121" s="20" t="n"/>
    </row>
    <row r="1122">
      <c r="A1122" s="9" t="n">
        <v>829475</v>
      </c>
      <c r="B1122" s="9" t="inlineStr">
        <is>
          <t>Luis Mata</t>
        </is>
      </c>
      <c r="C1122" s="9" t="inlineStr">
        <is>
          <t>CHC</t>
        </is>
      </c>
      <c r="D1122" s="9" t="n">
        <v>25</v>
      </c>
      <c r="E1122" s="18" t="inlineStr">
        <is>
          <t>R</t>
        </is>
      </c>
      <c r="F1122" s="18" t="n"/>
      <c r="G1122" s="9" t="n">
        <v>5.16</v>
      </c>
      <c r="H1122" s="9" t="n">
        <v>5.16</v>
      </c>
      <c r="I1122" s="9" t="inlineStr">
        <is>
          <t>Depth (no MLB IP)</t>
        </is>
      </c>
      <c r="J1122" s="18" t="inlineStr">
        <is>
          <t>Opening Day</t>
        </is>
      </c>
      <c r="K1122" s="11">
        <f>IFERROR(INDEX(Roles!$B$17:$B$20,MATCH(J1122,Roles!$A$17:$A$20,0)),1)</f>
        <v/>
      </c>
      <c r="L1122" s="19" t="n">
        <v>1</v>
      </c>
      <c r="M1122" s="11" t="n">
        <v>1</v>
      </c>
      <c r="N1122" s="19" t="n"/>
      <c r="O1122" s="19" t="n"/>
      <c r="P1122" s="19" t="n"/>
      <c r="Q1122" s="19" t="n"/>
      <c r="R1122" s="19" t="n"/>
      <c r="S1122" s="19" t="n"/>
      <c r="T1122" s="19" t="n"/>
      <c r="U1122" s="19" t="n"/>
      <c r="V1122" s="19" t="n"/>
      <c r="W1122" s="19" t="n"/>
      <c r="X1122" s="19" t="n"/>
      <c r="Y1122" s="19" t="n">
        <v>1</v>
      </c>
      <c r="Z1122" s="13">
        <f>SUMPRODUCT(N1122:Y1122,$N$2:$Y$2)*$K1122*$L1122*$M1122</f>
        <v/>
      </c>
      <c r="AA1122" s="14">
        <f>SUM(N1122:Y1122)</f>
        <v/>
      </c>
      <c r="AB1122" s="13">
        <f>SUMPRODUCT(N1122:Y1122,$N$3:$Y$3)*$K1122*$L1122*$M1122</f>
        <v/>
      </c>
      <c r="AC1122" s="13">
        <f>SUMPRODUCT(N1122:Y1122,$N$4:$Y$4)*$K1122*$L1122*$M1122</f>
        <v/>
      </c>
      <c r="AD1122" s="15" t="n">
        <v>3</v>
      </c>
      <c r="AE1122" s="11" t="n">
        <v>1.011296296296296</v>
      </c>
      <c r="AF1122" s="16">
        <f>SUMPRODUCT(N1122:Y1122,$N$5:$Y$5)*$K1122*$L1122*$M1122</f>
        <v/>
      </c>
      <c r="AG1122" s="16">
        <f>SUMPRODUCT(N1122:Y1122,$N$6:$Y$6)*$K1122*$L1122*$M1122</f>
        <v/>
      </c>
      <c r="AH1122" s="20" t="n"/>
    </row>
    <row r="1123">
      <c r="A1123" s="9" t="n">
        <v>805619</v>
      </c>
      <c r="B1123" s="9" t="inlineStr">
        <is>
          <t>Cameron Flukey</t>
        </is>
      </c>
      <c r="C1123" s="9" t="inlineStr">
        <is>
          <t>DET</t>
        </is>
      </c>
      <c r="D1123" s="9" t="n">
        <v>22</v>
      </c>
      <c r="E1123" s="18" t="inlineStr">
        <is>
          <t>R</t>
        </is>
      </c>
      <c r="F1123" s="18" t="n"/>
      <c r="G1123" s="9" t="n">
        <v>5.332</v>
      </c>
      <c r="H1123" s="9" t="n">
        <v>5.332</v>
      </c>
      <c r="I1123" s="9" t="inlineStr">
        <is>
          <t>Depth (no MLB IP)</t>
        </is>
      </c>
      <c r="J1123" s="18" t="inlineStr">
        <is>
          <t>Opening Day</t>
        </is>
      </c>
      <c r="K1123" s="11">
        <f>IFERROR(INDEX(Roles!$B$17:$B$20,MATCH(J1123,Roles!$A$17:$A$20,0)),1)</f>
        <v/>
      </c>
      <c r="L1123" s="19" t="n">
        <v>1</v>
      </c>
      <c r="M1123" s="11" t="n">
        <v>1</v>
      </c>
      <c r="N1123" s="19" t="n"/>
      <c r="O1123" s="19" t="n"/>
      <c r="P1123" s="19" t="n"/>
      <c r="Q1123" s="19" t="n"/>
      <c r="R1123" s="19" t="n"/>
      <c r="S1123" s="19" t="n"/>
      <c r="T1123" s="19" t="n"/>
      <c r="U1123" s="19" t="n"/>
      <c r="V1123" s="19" t="n"/>
      <c r="W1123" s="19" t="n"/>
      <c r="X1123" s="19" t="n"/>
      <c r="Y1123" s="19" t="n">
        <v>1</v>
      </c>
      <c r="Z1123" s="13">
        <f>SUMPRODUCT(N1123:Y1123,$N$2:$Y$2)*$K1123*$L1123*$M1123</f>
        <v/>
      </c>
      <c r="AA1123" s="14">
        <f>SUM(N1123:Y1123)</f>
        <v/>
      </c>
      <c r="AB1123" s="13">
        <f>SUMPRODUCT(N1123:Y1123,$N$3:$Y$3)*$K1123*$L1123*$M1123</f>
        <v/>
      </c>
      <c r="AC1123" s="13">
        <f>SUMPRODUCT(N1123:Y1123,$N$4:$Y$4)*$K1123*$L1123*$M1123</f>
        <v/>
      </c>
      <c r="AD1123" s="15" t="n">
        <v>3</v>
      </c>
      <c r="AE1123" s="11" t="n">
        <v>1.011296296296296</v>
      </c>
      <c r="AF1123" s="16">
        <f>SUMPRODUCT(N1123:Y1123,$N$5:$Y$5)*$K1123*$L1123*$M1123</f>
        <v/>
      </c>
      <c r="AG1123" s="16">
        <f>SUMPRODUCT(N1123:Y1123,$N$6:$Y$6)*$K1123*$L1123*$M1123</f>
        <v/>
      </c>
      <c r="AH1123" s="20" t="n"/>
    </row>
    <row r="1124">
      <c r="A1124" s="9" t="n">
        <v>829881</v>
      </c>
      <c r="B1124" s="9" t="inlineStr">
        <is>
          <t>Williams Montero</t>
        </is>
      </c>
      <c r="C1124" s="9" t="inlineStr">
        <is>
          <t>BOS</t>
        </is>
      </c>
      <c r="D1124" s="9" t="n">
        <v>25</v>
      </c>
      <c r="E1124" s="18" t="inlineStr">
        <is>
          <t>R</t>
        </is>
      </c>
      <c r="F1124" s="18" t="n"/>
      <c r="G1124" s="9" t="n">
        <v>5.16</v>
      </c>
      <c r="H1124" s="9" t="n">
        <v>5.16</v>
      </c>
      <c r="I1124" s="9" t="inlineStr">
        <is>
          <t>Depth (no MLB IP)</t>
        </is>
      </c>
      <c r="J1124" s="18" t="inlineStr">
        <is>
          <t>Opening Day</t>
        </is>
      </c>
      <c r="K1124" s="11">
        <f>IFERROR(INDEX(Roles!$B$17:$B$20,MATCH(J1124,Roles!$A$17:$A$20,0)),1)</f>
        <v/>
      </c>
      <c r="L1124" s="19" t="n">
        <v>1</v>
      </c>
      <c r="M1124" s="11" t="n">
        <v>1</v>
      </c>
      <c r="N1124" s="19" t="n"/>
      <c r="O1124" s="19" t="n"/>
      <c r="P1124" s="19" t="n"/>
      <c r="Q1124" s="19" t="n"/>
      <c r="R1124" s="19" t="n"/>
      <c r="S1124" s="19" t="n"/>
      <c r="T1124" s="19" t="n"/>
      <c r="U1124" s="19" t="n"/>
      <c r="V1124" s="19" t="n"/>
      <c r="W1124" s="19" t="n"/>
      <c r="X1124" s="19" t="n"/>
      <c r="Y1124" s="19" t="n">
        <v>1</v>
      </c>
      <c r="Z1124" s="13">
        <f>SUMPRODUCT(N1124:Y1124,$N$2:$Y$2)*$K1124*$L1124*$M1124</f>
        <v/>
      </c>
      <c r="AA1124" s="14">
        <f>SUM(N1124:Y1124)</f>
        <v/>
      </c>
      <c r="AB1124" s="13">
        <f>SUMPRODUCT(N1124:Y1124,$N$3:$Y$3)*$K1124*$L1124*$M1124</f>
        <v/>
      </c>
      <c r="AC1124" s="13">
        <f>SUMPRODUCT(N1124:Y1124,$N$4:$Y$4)*$K1124*$L1124*$M1124</f>
        <v/>
      </c>
      <c r="AD1124" s="15" t="n">
        <v>3</v>
      </c>
      <c r="AE1124" s="11" t="n">
        <v>1.011296296296296</v>
      </c>
      <c r="AF1124" s="16">
        <f>SUMPRODUCT(N1124:Y1124,$N$5:$Y$5)*$K1124*$L1124*$M1124</f>
        <v/>
      </c>
      <c r="AG1124" s="16">
        <f>SUMPRODUCT(N1124:Y1124,$N$6:$Y$6)*$K1124*$L1124*$M1124</f>
        <v/>
      </c>
      <c r="AH1124" s="20" t="n"/>
    </row>
    <row r="1125">
      <c r="A1125" s="9" t="n">
        <v>692845</v>
      </c>
      <c r="B1125" s="9" t="inlineStr">
        <is>
          <t>Franklin Sanchez</t>
        </is>
      </c>
      <c r="C1125" s="9" t="inlineStr">
        <is>
          <t>MIA</t>
        </is>
      </c>
      <c r="D1125" s="9" t="n">
        <v>25</v>
      </c>
      <c r="E1125" s="18" t="inlineStr">
        <is>
          <t>R</t>
        </is>
      </c>
      <c r="F1125" s="18" t="n"/>
      <c r="G1125" s="9" t="n">
        <v>5.16</v>
      </c>
      <c r="H1125" s="9" t="n">
        <v>5.16</v>
      </c>
      <c r="I1125" s="9" t="inlineStr">
        <is>
          <t>Depth (no MLB IP)</t>
        </is>
      </c>
      <c r="J1125" s="18" t="inlineStr">
        <is>
          <t>Opening Day</t>
        </is>
      </c>
      <c r="K1125" s="11">
        <f>IFERROR(INDEX(Roles!$B$17:$B$20,MATCH(J1125,Roles!$A$17:$A$20,0)),1)</f>
        <v/>
      </c>
      <c r="L1125" s="19" t="n">
        <v>1</v>
      </c>
      <c r="M1125" s="11" t="n">
        <v>1</v>
      </c>
      <c r="N1125" s="19" t="n"/>
      <c r="O1125" s="19" t="n"/>
      <c r="P1125" s="19" t="n"/>
      <c r="Q1125" s="19" t="n"/>
      <c r="R1125" s="19" t="n"/>
      <c r="S1125" s="19" t="n"/>
      <c r="T1125" s="19" t="n"/>
      <c r="U1125" s="19" t="n"/>
      <c r="V1125" s="19" t="n"/>
      <c r="W1125" s="19" t="n"/>
      <c r="X1125" s="19" t="n"/>
      <c r="Y1125" s="19" t="n">
        <v>1</v>
      </c>
      <c r="Z1125" s="13">
        <f>SUMPRODUCT(N1125:Y1125,$N$2:$Y$2)*$K1125*$L1125*$M1125</f>
        <v/>
      </c>
      <c r="AA1125" s="14">
        <f>SUM(N1125:Y1125)</f>
        <v/>
      </c>
      <c r="AB1125" s="13">
        <f>SUMPRODUCT(N1125:Y1125,$N$3:$Y$3)*$K1125*$L1125*$M1125</f>
        <v/>
      </c>
      <c r="AC1125" s="13">
        <f>SUMPRODUCT(N1125:Y1125,$N$4:$Y$4)*$K1125*$L1125*$M1125</f>
        <v/>
      </c>
      <c r="AD1125" s="15" t="n">
        <v>3</v>
      </c>
      <c r="AE1125" s="11" t="n">
        <v>1.011296296296296</v>
      </c>
      <c r="AF1125" s="16">
        <f>SUMPRODUCT(N1125:Y1125,$N$5:$Y$5)*$K1125*$L1125*$M1125</f>
        <v/>
      </c>
      <c r="AG1125" s="16">
        <f>SUMPRODUCT(N1125:Y1125,$N$6:$Y$6)*$K1125*$L1125*$M1125</f>
        <v/>
      </c>
      <c r="AH1125" s="20" t="n"/>
    </row>
    <row r="1126">
      <c r="A1126" s="9" t="n">
        <v>808138</v>
      </c>
      <c r="B1126" s="9" t="inlineStr">
        <is>
          <t>Keiverson Ramírez</t>
        </is>
      </c>
      <c r="C1126" s="9" t="inlineStr">
        <is>
          <t>STL</t>
        </is>
      </c>
      <c r="D1126" s="9" t="n">
        <v>25</v>
      </c>
      <c r="E1126" s="18" t="inlineStr">
        <is>
          <t>R</t>
        </is>
      </c>
      <c r="F1126" s="18" t="n"/>
      <c r="G1126" s="9" t="n">
        <v>5.16</v>
      </c>
      <c r="H1126" s="9" t="n">
        <v>5.16</v>
      </c>
      <c r="I1126" s="9" t="inlineStr">
        <is>
          <t>Depth (no MLB IP)</t>
        </is>
      </c>
      <c r="J1126" s="18" t="inlineStr">
        <is>
          <t>Opening Day</t>
        </is>
      </c>
      <c r="K1126" s="11">
        <f>IFERROR(INDEX(Roles!$B$17:$B$20,MATCH(J1126,Roles!$A$17:$A$20,0)),1)</f>
        <v/>
      </c>
      <c r="L1126" s="19" t="n">
        <v>1</v>
      </c>
      <c r="M1126" s="11" t="n">
        <v>1</v>
      </c>
      <c r="N1126" s="19" t="n"/>
      <c r="O1126" s="19" t="n"/>
      <c r="P1126" s="19" t="n"/>
      <c r="Q1126" s="19" t="n"/>
      <c r="R1126" s="19" t="n"/>
      <c r="S1126" s="19" t="n"/>
      <c r="T1126" s="19" t="n"/>
      <c r="U1126" s="19" t="n"/>
      <c r="V1126" s="19" t="n"/>
      <c r="W1126" s="19" t="n"/>
      <c r="X1126" s="19" t="n"/>
      <c r="Y1126" s="19" t="n">
        <v>1</v>
      </c>
      <c r="Z1126" s="13">
        <f>SUMPRODUCT(N1126:Y1126,$N$2:$Y$2)*$K1126*$L1126*$M1126</f>
        <v/>
      </c>
      <c r="AA1126" s="14">
        <f>SUM(N1126:Y1126)</f>
        <v/>
      </c>
      <c r="AB1126" s="13">
        <f>SUMPRODUCT(N1126:Y1126,$N$3:$Y$3)*$K1126*$L1126*$M1126</f>
        <v/>
      </c>
      <c r="AC1126" s="13">
        <f>SUMPRODUCT(N1126:Y1126,$N$4:$Y$4)*$K1126*$L1126*$M1126</f>
        <v/>
      </c>
      <c r="AD1126" s="15" t="n">
        <v>3</v>
      </c>
      <c r="AE1126" s="11" t="n">
        <v>1.011296296296296</v>
      </c>
      <c r="AF1126" s="16">
        <f>SUMPRODUCT(N1126:Y1126,$N$5:$Y$5)*$K1126*$L1126*$M1126</f>
        <v/>
      </c>
      <c r="AG1126" s="16">
        <f>SUMPRODUCT(N1126:Y1126,$N$6:$Y$6)*$K1126*$L1126*$M1126</f>
        <v/>
      </c>
      <c r="AH1126" s="20" t="n"/>
    </row>
    <row r="1127">
      <c r="A1127" s="9" t="n">
        <v>808697</v>
      </c>
      <c r="B1127" s="9" t="inlineStr">
        <is>
          <t>Hamlet Garcia</t>
        </is>
      </c>
      <c r="C1127" s="9" t="inlineStr">
        <is>
          <t>MIA</t>
        </is>
      </c>
      <c r="D1127" s="9" t="n">
        <v>25</v>
      </c>
      <c r="E1127" s="18" t="inlineStr">
        <is>
          <t>R</t>
        </is>
      </c>
      <c r="F1127" s="18" t="n"/>
      <c r="G1127" s="9" t="n">
        <v>5.332</v>
      </c>
      <c r="H1127" s="9" t="n">
        <v>5.332</v>
      </c>
      <c r="I1127" s="9" t="inlineStr">
        <is>
          <t>Depth (no MLB IP)</t>
        </is>
      </c>
      <c r="J1127" s="18" t="inlineStr">
        <is>
          <t>Opening Day</t>
        </is>
      </c>
      <c r="K1127" s="11">
        <f>IFERROR(INDEX(Roles!$B$17:$B$20,MATCH(J1127,Roles!$A$17:$A$20,0)),1)</f>
        <v/>
      </c>
      <c r="L1127" s="19" t="n">
        <v>1</v>
      </c>
      <c r="M1127" s="11" t="n">
        <v>1</v>
      </c>
      <c r="N1127" s="19" t="n"/>
      <c r="O1127" s="19" t="n"/>
      <c r="P1127" s="19" t="n"/>
      <c r="Q1127" s="19" t="n"/>
      <c r="R1127" s="19" t="n"/>
      <c r="S1127" s="19" t="n"/>
      <c r="T1127" s="19" t="n"/>
      <c r="U1127" s="19" t="n"/>
      <c r="V1127" s="19" t="n"/>
      <c r="W1127" s="19" t="n"/>
      <c r="X1127" s="19" t="n"/>
      <c r="Y1127" s="19" t="n">
        <v>1</v>
      </c>
      <c r="Z1127" s="13">
        <f>SUMPRODUCT(N1127:Y1127,$N$2:$Y$2)*$K1127*$L1127*$M1127</f>
        <v/>
      </c>
      <c r="AA1127" s="14">
        <f>SUM(N1127:Y1127)</f>
        <v/>
      </c>
      <c r="AB1127" s="13">
        <f>SUMPRODUCT(N1127:Y1127,$N$3:$Y$3)*$K1127*$L1127*$M1127</f>
        <v/>
      </c>
      <c r="AC1127" s="13">
        <f>SUMPRODUCT(N1127:Y1127,$N$4:$Y$4)*$K1127*$L1127*$M1127</f>
        <v/>
      </c>
      <c r="AD1127" s="15" t="n">
        <v>3</v>
      </c>
      <c r="AE1127" s="11" t="n">
        <v>1.011296296296296</v>
      </c>
      <c r="AF1127" s="16">
        <f>SUMPRODUCT(N1127:Y1127,$N$5:$Y$5)*$K1127*$L1127*$M1127</f>
        <v/>
      </c>
      <c r="AG1127" s="16">
        <f>SUMPRODUCT(N1127:Y1127,$N$6:$Y$6)*$K1127*$L1127*$M1127</f>
        <v/>
      </c>
      <c r="AH1127" s="20" t="n"/>
    </row>
    <row r="1128">
      <c r="A1128" s="9" t="n">
        <v>703478</v>
      </c>
      <c r="B1128" s="9" t="inlineStr">
        <is>
          <t>Carson Estridge</t>
        </is>
      </c>
      <c r="C1128" s="9" t="inlineStr">
        <is>
          <t>HOU</t>
        </is>
      </c>
      <c r="D1128" s="9" t="n">
        <v>25</v>
      </c>
      <c r="E1128" s="18" t="inlineStr">
        <is>
          <t>R</t>
        </is>
      </c>
      <c r="F1128" s="18" t="n"/>
      <c r="G1128" s="9" t="n">
        <v>5.332</v>
      </c>
      <c r="H1128" s="9" t="n">
        <v>5.332</v>
      </c>
      <c r="I1128" s="9" t="inlineStr">
        <is>
          <t>Depth (no MLB IP)</t>
        </is>
      </c>
      <c r="J1128" s="18" t="inlineStr">
        <is>
          <t>Opening Day</t>
        </is>
      </c>
      <c r="K1128" s="11">
        <f>IFERROR(INDEX(Roles!$B$17:$B$20,MATCH(J1128,Roles!$A$17:$A$20,0)),1)</f>
        <v/>
      </c>
      <c r="L1128" s="19" t="n">
        <v>1</v>
      </c>
      <c r="M1128" s="11" t="n">
        <v>1</v>
      </c>
      <c r="N1128" s="19" t="n"/>
      <c r="O1128" s="19" t="n"/>
      <c r="P1128" s="19" t="n"/>
      <c r="Q1128" s="19" t="n"/>
      <c r="R1128" s="19" t="n"/>
      <c r="S1128" s="19" t="n"/>
      <c r="T1128" s="19" t="n"/>
      <c r="U1128" s="19" t="n"/>
      <c r="V1128" s="19" t="n"/>
      <c r="W1128" s="19" t="n"/>
      <c r="X1128" s="19" t="n"/>
      <c r="Y1128" s="19" t="n">
        <v>1</v>
      </c>
      <c r="Z1128" s="13">
        <f>SUMPRODUCT(N1128:Y1128,$N$2:$Y$2)*$K1128*$L1128*$M1128</f>
        <v/>
      </c>
      <c r="AA1128" s="14">
        <f>SUM(N1128:Y1128)</f>
        <v/>
      </c>
      <c r="AB1128" s="13">
        <f>SUMPRODUCT(N1128:Y1128,$N$3:$Y$3)*$K1128*$L1128*$M1128</f>
        <v/>
      </c>
      <c r="AC1128" s="13">
        <f>SUMPRODUCT(N1128:Y1128,$N$4:$Y$4)*$K1128*$L1128*$M1128</f>
        <v/>
      </c>
      <c r="AD1128" s="15" t="n">
        <v>3</v>
      </c>
      <c r="AE1128" s="11" t="n">
        <v>1.011296296296296</v>
      </c>
      <c r="AF1128" s="16">
        <f>SUMPRODUCT(N1128:Y1128,$N$5:$Y$5)*$K1128*$L1128*$M1128</f>
        <v/>
      </c>
      <c r="AG1128" s="16">
        <f>SUMPRODUCT(N1128:Y1128,$N$6:$Y$6)*$K1128*$L1128*$M1128</f>
        <v/>
      </c>
      <c r="AH1128" s="20" t="n"/>
    </row>
    <row r="1129">
      <c r="A1129" s="9" t="n">
        <v>826209</v>
      </c>
      <c r="B1129" s="9" t="inlineStr">
        <is>
          <t>Aaron Watson</t>
        </is>
      </c>
      <c r="C1129" s="9" t="inlineStr">
        <is>
          <t>CIN</t>
        </is>
      </c>
      <c r="D1129" s="9" t="n">
        <v>25</v>
      </c>
      <c r="E1129" s="18" t="inlineStr">
        <is>
          <t>R</t>
        </is>
      </c>
      <c r="F1129" s="18" t="n"/>
      <c r="G1129" s="9" t="n">
        <v>5.332</v>
      </c>
      <c r="H1129" s="9" t="n">
        <v>5.332</v>
      </c>
      <c r="I1129" s="9" t="inlineStr">
        <is>
          <t>Depth (no MLB IP)</t>
        </is>
      </c>
      <c r="J1129" s="18" t="inlineStr">
        <is>
          <t>Opening Day</t>
        </is>
      </c>
      <c r="K1129" s="11">
        <f>IFERROR(INDEX(Roles!$B$17:$B$20,MATCH(J1129,Roles!$A$17:$A$20,0)),1)</f>
        <v/>
      </c>
      <c r="L1129" s="19" t="n">
        <v>1</v>
      </c>
      <c r="M1129" s="11" t="n">
        <v>1</v>
      </c>
      <c r="N1129" s="19" t="n"/>
      <c r="O1129" s="19" t="n"/>
      <c r="P1129" s="19" t="n"/>
      <c r="Q1129" s="19" t="n"/>
      <c r="R1129" s="19" t="n"/>
      <c r="S1129" s="19" t="n"/>
      <c r="T1129" s="19" t="n"/>
      <c r="U1129" s="19" t="n"/>
      <c r="V1129" s="19" t="n"/>
      <c r="W1129" s="19" t="n"/>
      <c r="X1129" s="19" t="n"/>
      <c r="Y1129" s="19" t="n">
        <v>1</v>
      </c>
      <c r="Z1129" s="13">
        <f>SUMPRODUCT(N1129:Y1129,$N$2:$Y$2)*$K1129*$L1129*$M1129</f>
        <v/>
      </c>
      <c r="AA1129" s="14">
        <f>SUM(N1129:Y1129)</f>
        <v/>
      </c>
      <c r="AB1129" s="13">
        <f>SUMPRODUCT(N1129:Y1129,$N$3:$Y$3)*$K1129*$L1129*$M1129</f>
        <v/>
      </c>
      <c r="AC1129" s="13">
        <f>SUMPRODUCT(N1129:Y1129,$N$4:$Y$4)*$K1129*$L1129*$M1129</f>
        <v/>
      </c>
      <c r="AD1129" s="15" t="n">
        <v>3</v>
      </c>
      <c r="AE1129" s="11" t="n">
        <v>1.011296296296296</v>
      </c>
      <c r="AF1129" s="16">
        <f>SUMPRODUCT(N1129:Y1129,$N$5:$Y$5)*$K1129*$L1129*$M1129</f>
        <v/>
      </c>
      <c r="AG1129" s="16">
        <f>SUMPRODUCT(N1129:Y1129,$N$6:$Y$6)*$K1129*$L1129*$M1129</f>
        <v/>
      </c>
      <c r="AH1129" s="20" t="n"/>
    </row>
    <row r="1130">
      <c r="A1130" s="9" t="n">
        <v>806401</v>
      </c>
      <c r="B1130" s="9" t="inlineStr">
        <is>
          <t>Dayson Croes</t>
        </is>
      </c>
      <c r="C1130" s="9" t="inlineStr">
        <is>
          <t>SF</t>
        </is>
      </c>
      <c r="D1130" s="9" t="n">
        <v>25</v>
      </c>
      <c r="E1130" s="18" t="inlineStr">
        <is>
          <t>R</t>
        </is>
      </c>
      <c r="F1130" s="18" t="n"/>
      <c r="G1130" s="9" t="n">
        <v>5.016666666666667</v>
      </c>
      <c r="H1130" s="9" t="n">
        <v>5.016666666666667</v>
      </c>
      <c r="I1130" s="9" t="inlineStr">
        <is>
          <t>Depth (no MLB IP)</t>
        </is>
      </c>
      <c r="J1130" s="18" t="inlineStr">
        <is>
          <t>Opening Day</t>
        </is>
      </c>
      <c r="K1130" s="11">
        <f>IFERROR(INDEX(Roles!$B$17:$B$20,MATCH(J1130,Roles!$A$17:$A$20,0)),1)</f>
        <v/>
      </c>
      <c r="L1130" s="19" t="n">
        <v>1</v>
      </c>
      <c r="M1130" s="11" t="n">
        <v>1</v>
      </c>
      <c r="N1130" s="19" t="n"/>
      <c r="O1130" s="19" t="n"/>
      <c r="P1130" s="19" t="n"/>
      <c r="Q1130" s="19" t="n"/>
      <c r="R1130" s="19" t="n"/>
      <c r="S1130" s="19" t="n"/>
      <c r="T1130" s="19" t="n"/>
      <c r="U1130" s="19" t="n"/>
      <c r="V1130" s="19" t="n"/>
      <c r="W1130" s="19" t="n"/>
      <c r="X1130" s="19" t="n"/>
      <c r="Y1130" s="19" t="n">
        <v>1</v>
      </c>
      <c r="Z1130" s="13">
        <f>SUMPRODUCT(N1130:Y1130,$N$2:$Y$2)*$K1130*$L1130*$M1130</f>
        <v/>
      </c>
      <c r="AA1130" s="14">
        <f>SUM(N1130:Y1130)</f>
        <v/>
      </c>
      <c r="AB1130" s="13">
        <f>SUMPRODUCT(N1130:Y1130,$N$3:$Y$3)*$K1130*$L1130*$M1130</f>
        <v/>
      </c>
      <c r="AC1130" s="13">
        <f>SUMPRODUCT(N1130:Y1130,$N$4:$Y$4)*$K1130*$L1130*$M1130</f>
        <v/>
      </c>
      <c r="AD1130" s="15" t="n">
        <v>3</v>
      </c>
      <c r="AE1130" s="11" t="n">
        <v>1.011296296296296</v>
      </c>
      <c r="AF1130" s="16">
        <f>SUMPRODUCT(N1130:Y1130,$N$5:$Y$5)*$K1130*$L1130*$M1130</f>
        <v/>
      </c>
      <c r="AG1130" s="16">
        <f>SUMPRODUCT(N1130:Y1130,$N$6:$Y$6)*$K1130*$L1130*$M1130</f>
        <v/>
      </c>
      <c r="AH1130" s="20" t="n"/>
    </row>
    <row r="1131">
      <c r="A1131" s="9" t="n">
        <v>831024</v>
      </c>
      <c r="B1131" s="9" t="inlineStr">
        <is>
          <t>Carson Lane</t>
        </is>
      </c>
      <c r="C1131" s="9" t="inlineStr">
        <is>
          <t>CLE</t>
        </is>
      </c>
      <c r="D1131" s="9" t="n">
        <v>25</v>
      </c>
      <c r="E1131" s="18" t="inlineStr">
        <is>
          <t>R</t>
        </is>
      </c>
      <c r="F1131" s="18" t="n"/>
      <c r="G1131" s="9" t="n">
        <v>5.16</v>
      </c>
      <c r="H1131" s="9" t="n">
        <v>5.16</v>
      </c>
      <c r="I1131" s="9" t="inlineStr">
        <is>
          <t>Depth (no MLB IP)</t>
        </is>
      </c>
      <c r="J1131" s="18" t="inlineStr">
        <is>
          <t>Opening Day</t>
        </is>
      </c>
      <c r="K1131" s="11">
        <f>IFERROR(INDEX(Roles!$B$17:$B$20,MATCH(J1131,Roles!$A$17:$A$20,0)),1)</f>
        <v/>
      </c>
      <c r="L1131" s="19" t="n">
        <v>1</v>
      </c>
      <c r="M1131" s="11" t="n">
        <v>1</v>
      </c>
      <c r="N1131" s="19" t="n"/>
      <c r="O1131" s="19" t="n"/>
      <c r="P1131" s="19" t="n"/>
      <c r="Q1131" s="19" t="n"/>
      <c r="R1131" s="19" t="n"/>
      <c r="S1131" s="19" t="n"/>
      <c r="T1131" s="19" t="n"/>
      <c r="U1131" s="19" t="n"/>
      <c r="V1131" s="19" t="n"/>
      <c r="W1131" s="19" t="n"/>
      <c r="X1131" s="19" t="n"/>
      <c r="Y1131" s="19" t="n">
        <v>1</v>
      </c>
      <c r="Z1131" s="13">
        <f>SUMPRODUCT(N1131:Y1131,$N$2:$Y$2)*$K1131*$L1131*$M1131</f>
        <v/>
      </c>
      <c r="AA1131" s="14">
        <f>SUM(N1131:Y1131)</f>
        <v/>
      </c>
      <c r="AB1131" s="13">
        <f>SUMPRODUCT(N1131:Y1131,$N$3:$Y$3)*$K1131*$L1131*$M1131</f>
        <v/>
      </c>
      <c r="AC1131" s="13">
        <f>SUMPRODUCT(N1131:Y1131,$N$4:$Y$4)*$K1131*$L1131*$M1131</f>
        <v/>
      </c>
      <c r="AD1131" s="15" t="n">
        <v>3</v>
      </c>
      <c r="AE1131" s="11" t="n">
        <v>1.011296296296296</v>
      </c>
      <c r="AF1131" s="16">
        <f>SUMPRODUCT(N1131:Y1131,$N$5:$Y$5)*$K1131*$L1131*$M1131</f>
        <v/>
      </c>
      <c r="AG1131" s="16">
        <f>SUMPRODUCT(N1131:Y1131,$N$6:$Y$6)*$K1131*$L1131*$M1131</f>
        <v/>
      </c>
      <c r="AH1131" s="20" t="n"/>
    </row>
    <row r="1132">
      <c r="A1132" s="9" t="n">
        <v>834947</v>
      </c>
      <c r="B1132" s="9" t="inlineStr">
        <is>
          <t>Luke Alwood</t>
        </is>
      </c>
      <c r="C1132" s="9" t="inlineStr">
        <is>
          <t>CHC</t>
        </is>
      </c>
      <c r="D1132" s="9" t="n">
        <v>25</v>
      </c>
      <c r="E1132" s="18" t="inlineStr">
        <is>
          <t>R</t>
        </is>
      </c>
      <c r="F1132" s="18" t="n"/>
      <c r="G1132" s="9" t="n">
        <v>5.16</v>
      </c>
      <c r="H1132" s="9" t="n">
        <v>5.16</v>
      </c>
      <c r="I1132" s="9" t="inlineStr">
        <is>
          <t>Depth (no MLB IP)</t>
        </is>
      </c>
      <c r="J1132" s="18" t="inlineStr">
        <is>
          <t>Opening Day</t>
        </is>
      </c>
      <c r="K1132" s="11">
        <f>IFERROR(INDEX(Roles!$B$17:$B$20,MATCH(J1132,Roles!$A$17:$A$20,0)),1)</f>
        <v/>
      </c>
      <c r="L1132" s="19" t="n">
        <v>1</v>
      </c>
      <c r="M1132" s="11" t="n">
        <v>1</v>
      </c>
      <c r="N1132" s="19" t="n"/>
      <c r="O1132" s="19" t="n"/>
      <c r="P1132" s="19" t="n"/>
      <c r="Q1132" s="19" t="n"/>
      <c r="R1132" s="19" t="n"/>
      <c r="S1132" s="19" t="n"/>
      <c r="T1132" s="19" t="n"/>
      <c r="U1132" s="19" t="n"/>
      <c r="V1132" s="19" t="n"/>
      <c r="W1132" s="19" t="n"/>
      <c r="X1132" s="19" t="n"/>
      <c r="Y1132" s="19" t="n">
        <v>1</v>
      </c>
      <c r="Z1132" s="13">
        <f>SUMPRODUCT(N1132:Y1132,$N$2:$Y$2)*$K1132*$L1132*$M1132</f>
        <v/>
      </c>
      <c r="AA1132" s="14">
        <f>SUM(N1132:Y1132)</f>
        <v/>
      </c>
      <c r="AB1132" s="13">
        <f>SUMPRODUCT(N1132:Y1132,$N$3:$Y$3)*$K1132*$L1132*$M1132</f>
        <v/>
      </c>
      <c r="AC1132" s="13">
        <f>SUMPRODUCT(N1132:Y1132,$N$4:$Y$4)*$K1132*$L1132*$M1132</f>
        <v/>
      </c>
      <c r="AD1132" s="15" t="n">
        <v>3</v>
      </c>
      <c r="AE1132" s="11" t="n">
        <v>1.011296296296296</v>
      </c>
      <c r="AF1132" s="16">
        <f>SUMPRODUCT(N1132:Y1132,$N$5:$Y$5)*$K1132*$L1132*$M1132</f>
        <v/>
      </c>
      <c r="AG1132" s="16">
        <f>SUMPRODUCT(N1132:Y1132,$N$6:$Y$6)*$K1132*$L1132*$M1132</f>
        <v/>
      </c>
      <c r="AH1132" s="20" t="n"/>
    </row>
    <row r="1133">
      <c r="A1133" s="9" t="n">
        <v>823841</v>
      </c>
      <c r="B1133" s="9" t="inlineStr">
        <is>
          <t>Manuel Colon</t>
        </is>
      </c>
      <c r="C1133" s="9" t="inlineStr">
        <is>
          <t>PHI</t>
        </is>
      </c>
      <c r="D1133" s="9" t="n">
        <v>25</v>
      </c>
      <c r="E1133" s="18" t="inlineStr">
        <is>
          <t>R</t>
        </is>
      </c>
      <c r="F1133" s="18" t="n"/>
      <c r="G1133" s="9" t="n">
        <v>5.16</v>
      </c>
      <c r="H1133" s="9" t="n">
        <v>5.16</v>
      </c>
      <c r="I1133" s="9" t="inlineStr">
        <is>
          <t>Depth (no MLB IP)</t>
        </is>
      </c>
      <c r="J1133" s="18" t="inlineStr">
        <is>
          <t>Opening Day</t>
        </is>
      </c>
      <c r="K1133" s="11">
        <f>IFERROR(INDEX(Roles!$B$17:$B$20,MATCH(J1133,Roles!$A$17:$A$20,0)),1)</f>
        <v/>
      </c>
      <c r="L1133" s="19" t="n">
        <v>1</v>
      </c>
      <c r="M1133" s="11" t="n">
        <v>1</v>
      </c>
      <c r="N1133" s="19" t="n"/>
      <c r="O1133" s="19" t="n"/>
      <c r="P1133" s="19" t="n"/>
      <c r="Q1133" s="19" t="n"/>
      <c r="R1133" s="19" t="n"/>
      <c r="S1133" s="19" t="n"/>
      <c r="T1133" s="19" t="n"/>
      <c r="U1133" s="19" t="n"/>
      <c r="V1133" s="19" t="n"/>
      <c r="W1133" s="19" t="n"/>
      <c r="X1133" s="19" t="n"/>
      <c r="Y1133" s="19" t="n">
        <v>1</v>
      </c>
      <c r="Z1133" s="13">
        <f>SUMPRODUCT(N1133:Y1133,$N$2:$Y$2)*$K1133*$L1133*$M1133</f>
        <v/>
      </c>
      <c r="AA1133" s="14">
        <f>SUM(N1133:Y1133)</f>
        <v/>
      </c>
      <c r="AB1133" s="13">
        <f>SUMPRODUCT(N1133:Y1133,$N$3:$Y$3)*$K1133*$L1133*$M1133</f>
        <v/>
      </c>
      <c r="AC1133" s="13">
        <f>SUMPRODUCT(N1133:Y1133,$N$4:$Y$4)*$K1133*$L1133*$M1133</f>
        <v/>
      </c>
      <c r="AD1133" s="15" t="n">
        <v>3</v>
      </c>
      <c r="AE1133" s="11" t="n">
        <v>1.011296296296296</v>
      </c>
      <c r="AF1133" s="16">
        <f>SUMPRODUCT(N1133:Y1133,$N$5:$Y$5)*$K1133*$L1133*$M1133</f>
        <v/>
      </c>
      <c r="AG1133" s="16">
        <f>SUMPRODUCT(N1133:Y1133,$N$6:$Y$6)*$K1133*$L1133*$M1133</f>
        <v/>
      </c>
      <c r="AH1133" s="20" t="n"/>
    </row>
    <row r="1134">
      <c r="A1134" s="9" t="n">
        <v>800277</v>
      </c>
      <c r="B1134" s="9" t="inlineStr">
        <is>
          <t>Yordy Herrera</t>
        </is>
      </c>
      <c r="C1134" s="9" t="inlineStr">
        <is>
          <t>STL</t>
        </is>
      </c>
      <c r="D1134" s="9" t="n">
        <v>25</v>
      </c>
      <c r="E1134" s="18" t="inlineStr">
        <is>
          <t>L</t>
        </is>
      </c>
      <c r="F1134" s="18" t="n"/>
      <c r="G1134" s="9" t="n">
        <v>5.503999999999999</v>
      </c>
      <c r="H1134" s="9" t="n">
        <v>5.503999999999999</v>
      </c>
      <c r="I1134" s="9" t="inlineStr">
        <is>
          <t>Depth (no MLB IP)</t>
        </is>
      </c>
      <c r="J1134" s="18" t="inlineStr">
        <is>
          <t>Opening Day</t>
        </is>
      </c>
      <c r="K1134" s="11">
        <f>IFERROR(INDEX(Roles!$B$17:$B$20,MATCH(J1134,Roles!$A$17:$A$20,0)),1)</f>
        <v/>
      </c>
      <c r="L1134" s="19" t="n">
        <v>1</v>
      </c>
      <c r="M1134" s="11" t="n">
        <v>1</v>
      </c>
      <c r="N1134" s="19" t="n"/>
      <c r="O1134" s="19" t="n"/>
      <c r="P1134" s="19" t="n"/>
      <c r="Q1134" s="19" t="n"/>
      <c r="R1134" s="19" t="n"/>
      <c r="S1134" s="19" t="n"/>
      <c r="T1134" s="19" t="n"/>
      <c r="U1134" s="19" t="n"/>
      <c r="V1134" s="19" t="n"/>
      <c r="W1134" s="19" t="n"/>
      <c r="X1134" s="19" t="n"/>
      <c r="Y1134" s="19" t="n">
        <v>1</v>
      </c>
      <c r="Z1134" s="13">
        <f>SUMPRODUCT(N1134:Y1134,$N$2:$Y$2)*$K1134*$L1134*$M1134</f>
        <v/>
      </c>
      <c r="AA1134" s="14">
        <f>SUM(N1134:Y1134)</f>
        <v/>
      </c>
      <c r="AB1134" s="13">
        <f>SUMPRODUCT(N1134:Y1134,$N$3:$Y$3)*$K1134*$L1134*$M1134</f>
        <v/>
      </c>
      <c r="AC1134" s="13">
        <f>SUMPRODUCT(N1134:Y1134,$N$4:$Y$4)*$K1134*$L1134*$M1134</f>
        <v/>
      </c>
      <c r="AD1134" s="15" t="n">
        <v>3</v>
      </c>
      <c r="AE1134" s="11" t="n">
        <v>1.011296296296296</v>
      </c>
      <c r="AF1134" s="16">
        <f>SUMPRODUCT(N1134:Y1134,$N$5:$Y$5)*$K1134*$L1134*$M1134</f>
        <v/>
      </c>
      <c r="AG1134" s="16">
        <f>SUMPRODUCT(N1134:Y1134,$N$6:$Y$6)*$K1134*$L1134*$M1134</f>
        <v/>
      </c>
      <c r="AH1134" s="20" t="n"/>
    </row>
    <row r="1135">
      <c r="A1135" s="9" t="n">
        <v>683332</v>
      </c>
      <c r="B1135" s="9" t="inlineStr">
        <is>
          <t>Tyler Boudreau</t>
        </is>
      </c>
      <c r="C1135" s="9" t="inlineStr">
        <is>
          <t>NYY</t>
        </is>
      </c>
      <c r="D1135" s="9" t="n">
        <v>25</v>
      </c>
      <c r="E1135" s="18" t="inlineStr">
        <is>
          <t>R</t>
        </is>
      </c>
      <c r="F1135" s="18" t="n"/>
      <c r="G1135" s="9" t="n">
        <v>5.518333333333333</v>
      </c>
      <c r="H1135" s="9" t="n">
        <v>5.518333333333333</v>
      </c>
      <c r="I1135" s="9" t="inlineStr">
        <is>
          <t>Depth (no MLB IP)</t>
        </is>
      </c>
      <c r="J1135" s="18" t="inlineStr">
        <is>
          <t>Opening Day</t>
        </is>
      </c>
      <c r="K1135" s="11">
        <f>IFERROR(INDEX(Roles!$B$17:$B$20,MATCH(J1135,Roles!$A$17:$A$20,0)),1)</f>
        <v/>
      </c>
      <c r="L1135" s="19" t="n">
        <v>1</v>
      </c>
      <c r="M1135" s="11" t="n">
        <v>1</v>
      </c>
      <c r="N1135" s="19" t="n"/>
      <c r="O1135" s="19" t="n"/>
      <c r="P1135" s="19" t="n"/>
      <c r="Q1135" s="19" t="n"/>
      <c r="R1135" s="19" t="n"/>
      <c r="S1135" s="19" t="n"/>
      <c r="T1135" s="19" t="n"/>
      <c r="U1135" s="19" t="n"/>
      <c r="V1135" s="19" t="n"/>
      <c r="W1135" s="19" t="n"/>
      <c r="X1135" s="19" t="n"/>
      <c r="Y1135" s="19" t="n">
        <v>1</v>
      </c>
      <c r="Z1135" s="13">
        <f>SUMPRODUCT(N1135:Y1135,$N$2:$Y$2)*$K1135*$L1135*$M1135</f>
        <v/>
      </c>
      <c r="AA1135" s="14">
        <f>SUM(N1135:Y1135)</f>
        <v/>
      </c>
      <c r="AB1135" s="13">
        <f>SUMPRODUCT(N1135:Y1135,$N$3:$Y$3)*$K1135*$L1135*$M1135</f>
        <v/>
      </c>
      <c r="AC1135" s="13">
        <f>SUMPRODUCT(N1135:Y1135,$N$4:$Y$4)*$K1135*$L1135*$M1135</f>
        <v/>
      </c>
      <c r="AD1135" s="15" t="n">
        <v>3</v>
      </c>
      <c r="AE1135" s="11" t="n">
        <v>1.011296296296296</v>
      </c>
      <c r="AF1135" s="16">
        <f>SUMPRODUCT(N1135:Y1135,$N$5:$Y$5)*$K1135*$L1135*$M1135</f>
        <v/>
      </c>
      <c r="AG1135" s="16">
        <f>SUMPRODUCT(N1135:Y1135,$N$6:$Y$6)*$K1135*$L1135*$M1135</f>
        <v/>
      </c>
      <c r="AH1135" s="20" t="n"/>
    </row>
    <row r="1136">
      <c r="A1136" s="9" t="n">
        <v>824015</v>
      </c>
      <c r="B1136" s="9" t="inlineStr">
        <is>
          <t>Grant Manning</t>
        </is>
      </c>
      <c r="C1136" s="9" t="inlineStr">
        <is>
          <t>WSH</t>
        </is>
      </c>
      <c r="D1136" s="9" t="n">
        <v>25</v>
      </c>
      <c r="E1136" s="18" t="inlineStr">
        <is>
          <t>R</t>
        </is>
      </c>
      <c r="F1136" s="18" t="n"/>
      <c r="G1136" s="9" t="n">
        <v>5.446666666666666</v>
      </c>
      <c r="H1136" s="9" t="n">
        <v>5.446666666666666</v>
      </c>
      <c r="I1136" s="9" t="inlineStr">
        <is>
          <t>Depth (no MLB IP)</t>
        </is>
      </c>
      <c r="J1136" s="18" t="inlineStr">
        <is>
          <t>Opening Day</t>
        </is>
      </c>
      <c r="K1136" s="11">
        <f>IFERROR(INDEX(Roles!$B$17:$B$20,MATCH(J1136,Roles!$A$17:$A$20,0)),1)</f>
        <v/>
      </c>
      <c r="L1136" s="19" t="n">
        <v>1</v>
      </c>
      <c r="M1136" s="11" t="n">
        <v>1</v>
      </c>
      <c r="N1136" s="19" t="n"/>
      <c r="O1136" s="19" t="n"/>
      <c r="P1136" s="19" t="n"/>
      <c r="Q1136" s="19" t="n"/>
      <c r="R1136" s="19" t="n"/>
      <c r="S1136" s="19" t="n"/>
      <c r="T1136" s="19" t="n"/>
      <c r="U1136" s="19" t="n"/>
      <c r="V1136" s="19" t="n"/>
      <c r="W1136" s="19" t="n"/>
      <c r="X1136" s="19" t="n"/>
      <c r="Y1136" s="19" t="n">
        <v>1</v>
      </c>
      <c r="Z1136" s="13">
        <f>SUMPRODUCT(N1136:Y1136,$N$2:$Y$2)*$K1136*$L1136*$M1136</f>
        <v/>
      </c>
      <c r="AA1136" s="14">
        <f>SUM(N1136:Y1136)</f>
        <v/>
      </c>
      <c r="AB1136" s="13">
        <f>SUMPRODUCT(N1136:Y1136,$N$3:$Y$3)*$K1136*$L1136*$M1136</f>
        <v/>
      </c>
      <c r="AC1136" s="13">
        <f>SUMPRODUCT(N1136:Y1136,$N$4:$Y$4)*$K1136*$L1136*$M1136</f>
        <v/>
      </c>
      <c r="AD1136" s="15" t="n">
        <v>3</v>
      </c>
      <c r="AE1136" s="11" t="n">
        <v>1.011296296296296</v>
      </c>
      <c r="AF1136" s="16">
        <f>SUMPRODUCT(N1136:Y1136,$N$5:$Y$5)*$K1136*$L1136*$M1136</f>
        <v/>
      </c>
      <c r="AG1136" s="16">
        <f>SUMPRODUCT(N1136:Y1136,$N$6:$Y$6)*$K1136*$L1136*$M1136</f>
        <v/>
      </c>
      <c r="AH1136" s="20" t="n"/>
    </row>
    <row r="1137">
      <c r="A1137" s="9" t="n">
        <v>809459</v>
      </c>
      <c r="B1137" s="9" t="inlineStr">
        <is>
          <t>Morris Austin</t>
        </is>
      </c>
      <c r="C1137" s="9" t="inlineStr">
        <is>
          <t>CWS</t>
        </is>
      </c>
      <c r="D1137" s="9" t="n">
        <v>25</v>
      </c>
      <c r="E1137" s="18" t="inlineStr">
        <is>
          <t>R</t>
        </is>
      </c>
      <c r="F1137" s="18" t="n"/>
      <c r="G1137" s="9" t="n">
        <v>5.518333333333334</v>
      </c>
      <c r="H1137" s="9" t="n">
        <v>5.518333333333334</v>
      </c>
      <c r="I1137" s="9" t="inlineStr">
        <is>
          <t>Depth (no MLB IP)</t>
        </is>
      </c>
      <c r="J1137" s="18" t="inlineStr">
        <is>
          <t>Opening Day</t>
        </is>
      </c>
      <c r="K1137" s="11">
        <f>IFERROR(INDEX(Roles!$B$17:$B$20,MATCH(J1137,Roles!$A$17:$A$20,0)),1)</f>
        <v/>
      </c>
      <c r="L1137" s="19" t="n">
        <v>1</v>
      </c>
      <c r="M1137" s="11" t="n">
        <v>1</v>
      </c>
      <c r="N1137" s="19" t="n"/>
      <c r="O1137" s="19" t="n"/>
      <c r="P1137" s="19" t="n"/>
      <c r="Q1137" s="19" t="n"/>
      <c r="R1137" s="19" t="n"/>
      <c r="S1137" s="19" t="n"/>
      <c r="T1137" s="19" t="n"/>
      <c r="U1137" s="19" t="n"/>
      <c r="V1137" s="19" t="n"/>
      <c r="W1137" s="19" t="n"/>
      <c r="X1137" s="19" t="n"/>
      <c r="Y1137" s="19" t="n">
        <v>1</v>
      </c>
      <c r="Z1137" s="13">
        <f>SUMPRODUCT(N1137:Y1137,$N$2:$Y$2)*$K1137*$L1137*$M1137</f>
        <v/>
      </c>
      <c r="AA1137" s="14">
        <f>SUM(N1137:Y1137)</f>
        <v/>
      </c>
      <c r="AB1137" s="13">
        <f>SUMPRODUCT(N1137:Y1137,$N$3:$Y$3)*$K1137*$L1137*$M1137</f>
        <v/>
      </c>
      <c r="AC1137" s="13">
        <f>SUMPRODUCT(N1137:Y1137,$N$4:$Y$4)*$K1137*$L1137*$M1137</f>
        <v/>
      </c>
      <c r="AD1137" s="15" t="n">
        <v>3</v>
      </c>
      <c r="AE1137" s="11" t="n">
        <v>1.011296296296296</v>
      </c>
      <c r="AF1137" s="16">
        <f>SUMPRODUCT(N1137:Y1137,$N$5:$Y$5)*$K1137*$L1137*$M1137</f>
        <v/>
      </c>
      <c r="AG1137" s="16">
        <f>SUMPRODUCT(N1137:Y1137,$N$6:$Y$6)*$K1137*$L1137*$M1137</f>
        <v/>
      </c>
      <c r="AH1137" s="20" t="n"/>
    </row>
    <row r="1138">
      <c r="A1138" s="9" t="n">
        <v>804082</v>
      </c>
      <c r="B1138" s="9" t="inlineStr">
        <is>
          <t>Nolan Higgins</t>
        </is>
      </c>
      <c r="C1138" s="9" t="inlineStr">
        <is>
          <t>TOR</t>
        </is>
      </c>
      <c r="D1138" s="9" t="n">
        <v>25</v>
      </c>
      <c r="E1138" s="18" t="inlineStr">
        <is>
          <t>R</t>
        </is>
      </c>
      <c r="F1138" s="18" t="n"/>
      <c r="G1138" s="9" t="n">
        <v>5.503999999999999</v>
      </c>
      <c r="H1138" s="9" t="n">
        <v>5.503999999999999</v>
      </c>
      <c r="I1138" s="9" t="inlineStr">
        <is>
          <t>Depth (no MLB IP)</t>
        </is>
      </c>
      <c r="J1138" s="18" t="inlineStr">
        <is>
          <t>Opening Day</t>
        </is>
      </c>
      <c r="K1138" s="11">
        <f>IFERROR(INDEX(Roles!$B$17:$B$20,MATCH(J1138,Roles!$A$17:$A$20,0)),1)</f>
        <v/>
      </c>
      <c r="L1138" s="19" t="n">
        <v>1</v>
      </c>
      <c r="M1138" s="11" t="n">
        <v>1</v>
      </c>
      <c r="N1138" s="19" t="n"/>
      <c r="O1138" s="19" t="n"/>
      <c r="P1138" s="19" t="n"/>
      <c r="Q1138" s="19" t="n"/>
      <c r="R1138" s="19" t="n"/>
      <c r="S1138" s="19" t="n"/>
      <c r="T1138" s="19" t="n"/>
      <c r="U1138" s="19" t="n"/>
      <c r="V1138" s="19" t="n"/>
      <c r="W1138" s="19" t="n"/>
      <c r="X1138" s="19" t="n"/>
      <c r="Y1138" s="19" t="n">
        <v>1</v>
      </c>
      <c r="Z1138" s="13">
        <f>SUMPRODUCT(N1138:Y1138,$N$2:$Y$2)*$K1138*$L1138*$M1138</f>
        <v/>
      </c>
      <c r="AA1138" s="14">
        <f>SUM(N1138:Y1138)</f>
        <v/>
      </c>
      <c r="AB1138" s="13">
        <f>SUMPRODUCT(N1138:Y1138,$N$3:$Y$3)*$K1138*$L1138*$M1138</f>
        <v/>
      </c>
      <c r="AC1138" s="13">
        <f>SUMPRODUCT(N1138:Y1138,$N$4:$Y$4)*$K1138*$L1138*$M1138</f>
        <v/>
      </c>
      <c r="AD1138" s="15" t="n">
        <v>3</v>
      </c>
      <c r="AE1138" s="11" t="n">
        <v>1.011296296296296</v>
      </c>
      <c r="AF1138" s="16">
        <f>SUMPRODUCT(N1138:Y1138,$N$5:$Y$5)*$K1138*$L1138*$M1138</f>
        <v/>
      </c>
      <c r="AG1138" s="16">
        <f>SUMPRODUCT(N1138:Y1138,$N$6:$Y$6)*$K1138*$L1138*$M1138</f>
        <v/>
      </c>
      <c r="AH1138" s="20" t="n"/>
    </row>
    <row r="1139">
      <c r="A1139" s="9" t="n">
        <v>830726</v>
      </c>
      <c r="B1139" s="9" t="inlineStr">
        <is>
          <t>Miguel Pantoja</t>
        </is>
      </c>
      <c r="C1139" s="9" t="inlineStr">
        <is>
          <t>TOR</t>
        </is>
      </c>
      <c r="D1139" s="9" t="n">
        <v>25</v>
      </c>
      <c r="E1139" s="18" t="inlineStr">
        <is>
          <t>R</t>
        </is>
      </c>
      <c r="F1139" s="18" t="n"/>
      <c r="G1139" s="9" t="n">
        <v>5.332</v>
      </c>
      <c r="H1139" s="9" t="n">
        <v>5.332</v>
      </c>
      <c r="I1139" s="9" t="inlineStr">
        <is>
          <t>Depth (no MLB IP)</t>
        </is>
      </c>
      <c r="J1139" s="18" t="inlineStr">
        <is>
          <t>Opening Day</t>
        </is>
      </c>
      <c r="K1139" s="11">
        <f>IFERROR(INDEX(Roles!$B$17:$B$20,MATCH(J1139,Roles!$A$17:$A$20,0)),1)</f>
        <v/>
      </c>
      <c r="L1139" s="19" t="n">
        <v>1</v>
      </c>
      <c r="M1139" s="11" t="n">
        <v>1</v>
      </c>
      <c r="N1139" s="19" t="n"/>
      <c r="O1139" s="19" t="n"/>
      <c r="P1139" s="19" t="n"/>
      <c r="Q1139" s="19" t="n"/>
      <c r="R1139" s="19" t="n"/>
      <c r="S1139" s="19" t="n"/>
      <c r="T1139" s="19" t="n"/>
      <c r="U1139" s="19" t="n"/>
      <c r="V1139" s="19" t="n"/>
      <c r="W1139" s="19" t="n"/>
      <c r="X1139" s="19" t="n"/>
      <c r="Y1139" s="19" t="n">
        <v>1</v>
      </c>
      <c r="Z1139" s="13">
        <f>SUMPRODUCT(N1139:Y1139,$N$2:$Y$2)*$K1139*$L1139*$M1139</f>
        <v/>
      </c>
      <c r="AA1139" s="14">
        <f>SUM(N1139:Y1139)</f>
        <v/>
      </c>
      <c r="AB1139" s="13">
        <f>SUMPRODUCT(N1139:Y1139,$N$3:$Y$3)*$K1139*$L1139*$M1139</f>
        <v/>
      </c>
      <c r="AC1139" s="13">
        <f>SUMPRODUCT(N1139:Y1139,$N$4:$Y$4)*$K1139*$L1139*$M1139</f>
        <v/>
      </c>
      <c r="AD1139" s="15" t="n">
        <v>3</v>
      </c>
      <c r="AE1139" s="11" t="n">
        <v>1.011296296296296</v>
      </c>
      <c r="AF1139" s="16">
        <f>SUMPRODUCT(N1139:Y1139,$N$5:$Y$5)*$K1139*$L1139*$M1139</f>
        <v/>
      </c>
      <c r="AG1139" s="16">
        <f>SUMPRODUCT(N1139:Y1139,$N$6:$Y$6)*$K1139*$L1139*$M1139</f>
        <v/>
      </c>
      <c r="AH1139" s="20" t="n"/>
    </row>
    <row r="1140">
      <c r="A1140" s="9" t="n">
        <v>700320</v>
      </c>
      <c r="B1140" s="9" t="inlineStr">
        <is>
          <t>Fidel Montero</t>
        </is>
      </c>
      <c r="C1140" s="9" t="inlineStr">
        <is>
          <t>CWS</t>
        </is>
      </c>
      <c r="D1140" s="9" t="n">
        <v>25</v>
      </c>
      <c r="E1140" s="18" t="inlineStr">
        <is>
          <t>R</t>
        </is>
      </c>
      <c r="F1140" s="18" t="n"/>
      <c r="G1140" s="9" t="n">
        <v>5.503999999999999</v>
      </c>
      <c r="H1140" s="9" t="n">
        <v>5.503999999999999</v>
      </c>
      <c r="I1140" s="9" t="inlineStr">
        <is>
          <t>Depth (no MLB IP)</t>
        </is>
      </c>
      <c r="J1140" s="18" t="inlineStr">
        <is>
          <t>Opening Day</t>
        </is>
      </c>
      <c r="K1140" s="11">
        <f>IFERROR(INDEX(Roles!$B$17:$B$20,MATCH(J1140,Roles!$A$17:$A$20,0)),1)</f>
        <v/>
      </c>
      <c r="L1140" s="19" t="n">
        <v>1</v>
      </c>
      <c r="M1140" s="11" t="n">
        <v>1</v>
      </c>
      <c r="N1140" s="19" t="n"/>
      <c r="O1140" s="19" t="n"/>
      <c r="P1140" s="19" t="n"/>
      <c r="Q1140" s="19" t="n"/>
      <c r="R1140" s="19" t="n"/>
      <c r="S1140" s="19" t="n"/>
      <c r="T1140" s="19" t="n"/>
      <c r="U1140" s="19" t="n"/>
      <c r="V1140" s="19" t="n"/>
      <c r="W1140" s="19" t="n"/>
      <c r="X1140" s="19" t="n"/>
      <c r="Y1140" s="19" t="n">
        <v>1</v>
      </c>
      <c r="Z1140" s="13">
        <f>SUMPRODUCT(N1140:Y1140,$N$2:$Y$2)*$K1140*$L1140*$M1140</f>
        <v/>
      </c>
      <c r="AA1140" s="14">
        <f>SUM(N1140:Y1140)</f>
        <v/>
      </c>
      <c r="AB1140" s="13">
        <f>SUMPRODUCT(N1140:Y1140,$N$3:$Y$3)*$K1140*$L1140*$M1140</f>
        <v/>
      </c>
      <c r="AC1140" s="13">
        <f>SUMPRODUCT(N1140:Y1140,$N$4:$Y$4)*$K1140*$L1140*$M1140</f>
        <v/>
      </c>
      <c r="AD1140" s="15" t="n">
        <v>3</v>
      </c>
      <c r="AE1140" s="11" t="n">
        <v>1.011296296296296</v>
      </c>
      <c r="AF1140" s="16">
        <f>SUMPRODUCT(N1140:Y1140,$N$5:$Y$5)*$K1140*$L1140*$M1140</f>
        <v/>
      </c>
      <c r="AG1140" s="16">
        <f>SUMPRODUCT(N1140:Y1140,$N$6:$Y$6)*$K1140*$L1140*$M1140</f>
        <v/>
      </c>
      <c r="AH1140" s="20" t="n"/>
    </row>
    <row r="1141">
      <c r="A1141" s="9" t="n">
        <v>808865</v>
      </c>
      <c r="B1141" s="9" t="inlineStr">
        <is>
          <t>Jack Young</t>
        </is>
      </c>
      <c r="C1141" s="9" t="inlineStr">
        <is>
          <t>CWS</t>
        </is>
      </c>
      <c r="D1141" s="9" t="n">
        <v>25</v>
      </c>
      <c r="E1141" s="18" t="inlineStr">
        <is>
          <t>R</t>
        </is>
      </c>
      <c r="F1141" s="18" t="n"/>
      <c r="G1141" s="9" t="n">
        <v>5.518333333333334</v>
      </c>
      <c r="H1141" s="9" t="n">
        <v>5.518333333333334</v>
      </c>
      <c r="I1141" s="9" t="inlineStr">
        <is>
          <t>Depth (no MLB IP)</t>
        </is>
      </c>
      <c r="J1141" s="18" t="inlineStr">
        <is>
          <t>Opening Day</t>
        </is>
      </c>
      <c r="K1141" s="11">
        <f>IFERROR(INDEX(Roles!$B$17:$B$20,MATCH(J1141,Roles!$A$17:$A$20,0)),1)</f>
        <v/>
      </c>
      <c r="L1141" s="19" t="n">
        <v>1</v>
      </c>
      <c r="M1141" s="11" t="n">
        <v>1</v>
      </c>
      <c r="N1141" s="19" t="n"/>
      <c r="O1141" s="19" t="n"/>
      <c r="P1141" s="19" t="n"/>
      <c r="Q1141" s="19" t="n"/>
      <c r="R1141" s="19" t="n"/>
      <c r="S1141" s="19" t="n"/>
      <c r="T1141" s="19" t="n"/>
      <c r="U1141" s="19" t="n"/>
      <c r="V1141" s="19" t="n"/>
      <c r="W1141" s="19" t="n"/>
      <c r="X1141" s="19" t="n"/>
      <c r="Y1141" s="19" t="n">
        <v>1</v>
      </c>
      <c r="Z1141" s="13">
        <f>SUMPRODUCT(N1141:Y1141,$N$2:$Y$2)*$K1141*$L1141*$M1141</f>
        <v/>
      </c>
      <c r="AA1141" s="14">
        <f>SUM(N1141:Y1141)</f>
        <v/>
      </c>
      <c r="AB1141" s="13">
        <f>SUMPRODUCT(N1141:Y1141,$N$3:$Y$3)*$K1141*$L1141*$M1141</f>
        <v/>
      </c>
      <c r="AC1141" s="13">
        <f>SUMPRODUCT(N1141:Y1141,$N$4:$Y$4)*$K1141*$L1141*$M1141</f>
        <v/>
      </c>
      <c r="AD1141" s="15" t="n">
        <v>3</v>
      </c>
      <c r="AE1141" s="11" t="n">
        <v>1.011296296296296</v>
      </c>
      <c r="AF1141" s="16">
        <f>SUMPRODUCT(N1141:Y1141,$N$5:$Y$5)*$K1141*$L1141*$M1141</f>
        <v/>
      </c>
      <c r="AG1141" s="16">
        <f>SUMPRODUCT(N1141:Y1141,$N$6:$Y$6)*$K1141*$L1141*$M1141</f>
        <v/>
      </c>
      <c r="AH1141" s="20" t="n"/>
    </row>
    <row r="1142">
      <c r="A1142" s="9" t="n">
        <v>827528</v>
      </c>
      <c r="B1142" s="9" t="inlineStr">
        <is>
          <t>Trent Turzenski</t>
        </is>
      </c>
      <c r="C1142" s="9" t="inlineStr">
        <is>
          <t>BAL</t>
        </is>
      </c>
      <c r="D1142" s="9" t="n">
        <v>25</v>
      </c>
      <c r="E1142" s="18" t="inlineStr">
        <is>
          <t>R</t>
        </is>
      </c>
      <c r="F1142" s="18" t="n"/>
      <c r="G1142" s="9" t="n">
        <v>5.446666666666666</v>
      </c>
      <c r="H1142" s="9" t="n">
        <v>5.446666666666666</v>
      </c>
      <c r="I1142" s="9" t="inlineStr">
        <is>
          <t>Depth (no MLB IP)</t>
        </is>
      </c>
      <c r="J1142" s="18" t="inlineStr">
        <is>
          <t>Opening Day</t>
        </is>
      </c>
      <c r="K1142" s="11">
        <f>IFERROR(INDEX(Roles!$B$17:$B$20,MATCH(J1142,Roles!$A$17:$A$20,0)),1)</f>
        <v/>
      </c>
      <c r="L1142" s="19" t="n">
        <v>1</v>
      </c>
      <c r="M1142" s="11" t="n">
        <v>1</v>
      </c>
      <c r="N1142" s="19" t="n"/>
      <c r="O1142" s="19" t="n"/>
      <c r="P1142" s="19" t="n"/>
      <c r="Q1142" s="19" t="n"/>
      <c r="R1142" s="19" t="n"/>
      <c r="S1142" s="19" t="n"/>
      <c r="T1142" s="19" t="n"/>
      <c r="U1142" s="19" t="n"/>
      <c r="V1142" s="19" t="n"/>
      <c r="W1142" s="19" t="n"/>
      <c r="X1142" s="19" t="n"/>
      <c r="Y1142" s="19" t="n">
        <v>1</v>
      </c>
      <c r="Z1142" s="13">
        <f>SUMPRODUCT(N1142:Y1142,$N$2:$Y$2)*$K1142*$L1142*$M1142</f>
        <v/>
      </c>
      <c r="AA1142" s="14">
        <f>SUM(N1142:Y1142)</f>
        <v/>
      </c>
      <c r="AB1142" s="13">
        <f>SUMPRODUCT(N1142:Y1142,$N$3:$Y$3)*$K1142*$L1142*$M1142</f>
        <v/>
      </c>
      <c r="AC1142" s="13">
        <f>SUMPRODUCT(N1142:Y1142,$N$4:$Y$4)*$K1142*$L1142*$M1142</f>
        <v/>
      </c>
      <c r="AD1142" s="15" t="n">
        <v>3</v>
      </c>
      <c r="AE1142" s="11" t="n">
        <v>1.011296296296296</v>
      </c>
      <c r="AF1142" s="16">
        <f>SUMPRODUCT(N1142:Y1142,$N$5:$Y$5)*$K1142*$L1142*$M1142</f>
        <v/>
      </c>
      <c r="AG1142" s="16">
        <f>SUMPRODUCT(N1142:Y1142,$N$6:$Y$6)*$K1142*$L1142*$M1142</f>
        <v/>
      </c>
      <c r="AH1142" s="20" t="n"/>
    </row>
    <row r="1143">
      <c r="A1143" s="9" t="n">
        <v>808130</v>
      </c>
      <c r="B1143" s="9" t="inlineStr">
        <is>
          <t>Manuel Osorio</t>
        </is>
      </c>
      <c r="C1143" s="9" t="inlineStr">
        <is>
          <t>CLE</t>
        </is>
      </c>
      <c r="D1143" s="9" t="n">
        <v>25</v>
      </c>
      <c r="E1143" s="18" t="inlineStr">
        <is>
          <t>L</t>
        </is>
      </c>
      <c r="F1143" s="18" t="n"/>
      <c r="G1143" s="9" t="n">
        <v>5.503999999999999</v>
      </c>
      <c r="H1143" s="9" t="n">
        <v>5.503999999999999</v>
      </c>
      <c r="I1143" s="9" t="inlineStr">
        <is>
          <t>Depth (no MLB IP)</t>
        </is>
      </c>
      <c r="J1143" s="18" t="inlineStr">
        <is>
          <t>Opening Day</t>
        </is>
      </c>
      <c r="K1143" s="11">
        <f>IFERROR(INDEX(Roles!$B$17:$B$20,MATCH(J1143,Roles!$A$17:$A$20,0)),1)</f>
        <v/>
      </c>
      <c r="L1143" s="19" t="n">
        <v>1</v>
      </c>
      <c r="M1143" s="11" t="n">
        <v>1</v>
      </c>
      <c r="N1143" s="19" t="n"/>
      <c r="O1143" s="19" t="n"/>
      <c r="P1143" s="19" t="n"/>
      <c r="Q1143" s="19" t="n"/>
      <c r="R1143" s="19" t="n"/>
      <c r="S1143" s="19" t="n"/>
      <c r="T1143" s="19" t="n"/>
      <c r="U1143" s="19" t="n"/>
      <c r="V1143" s="19" t="n"/>
      <c r="W1143" s="19" t="n"/>
      <c r="X1143" s="19" t="n"/>
      <c r="Y1143" s="19" t="n">
        <v>1</v>
      </c>
      <c r="Z1143" s="13">
        <f>SUMPRODUCT(N1143:Y1143,$N$2:$Y$2)*$K1143*$L1143*$M1143</f>
        <v/>
      </c>
      <c r="AA1143" s="14">
        <f>SUM(N1143:Y1143)</f>
        <v/>
      </c>
      <c r="AB1143" s="13">
        <f>SUMPRODUCT(N1143:Y1143,$N$3:$Y$3)*$K1143*$L1143*$M1143</f>
        <v/>
      </c>
      <c r="AC1143" s="13">
        <f>SUMPRODUCT(N1143:Y1143,$N$4:$Y$4)*$K1143*$L1143*$M1143</f>
        <v/>
      </c>
      <c r="AD1143" s="15" t="n">
        <v>3</v>
      </c>
      <c r="AE1143" s="11" t="n">
        <v>1.011296296296296</v>
      </c>
      <c r="AF1143" s="16">
        <f>SUMPRODUCT(N1143:Y1143,$N$5:$Y$5)*$K1143*$L1143*$M1143</f>
        <v/>
      </c>
      <c r="AG1143" s="16">
        <f>SUMPRODUCT(N1143:Y1143,$N$6:$Y$6)*$K1143*$L1143*$M1143</f>
        <v/>
      </c>
      <c r="AH1143" s="20" t="n"/>
    </row>
    <row r="1144">
      <c r="A1144" s="9" t="n">
        <v>842295</v>
      </c>
      <c r="B1144" s="9" t="inlineStr">
        <is>
          <t>Bryce Schaum</t>
        </is>
      </c>
      <c r="C1144" s="9" t="inlineStr">
        <is>
          <t>MIL</t>
        </is>
      </c>
      <c r="D1144" s="9" t="n">
        <v>25</v>
      </c>
      <c r="E1144" s="18" t="inlineStr">
        <is>
          <t>R</t>
        </is>
      </c>
      <c r="F1144" s="18" t="n"/>
      <c r="G1144" s="9" t="n">
        <v>5.503999999999999</v>
      </c>
      <c r="H1144" s="9" t="n">
        <v>5.503999999999999</v>
      </c>
      <c r="I1144" s="9" t="inlineStr">
        <is>
          <t>Depth (no MLB IP)</t>
        </is>
      </c>
      <c r="J1144" s="18" t="inlineStr">
        <is>
          <t>Opening Day</t>
        </is>
      </c>
      <c r="K1144" s="11">
        <f>IFERROR(INDEX(Roles!$B$17:$B$20,MATCH(J1144,Roles!$A$17:$A$20,0)),1)</f>
        <v/>
      </c>
      <c r="L1144" s="19" t="n">
        <v>1</v>
      </c>
      <c r="M1144" s="11" t="n">
        <v>1</v>
      </c>
      <c r="N1144" s="19" t="n"/>
      <c r="O1144" s="19" t="n"/>
      <c r="P1144" s="19" t="n"/>
      <c r="Q1144" s="19" t="n"/>
      <c r="R1144" s="19" t="n"/>
      <c r="S1144" s="19" t="n"/>
      <c r="T1144" s="19" t="n"/>
      <c r="U1144" s="19" t="n"/>
      <c r="V1144" s="19" t="n"/>
      <c r="W1144" s="19" t="n"/>
      <c r="X1144" s="19" t="n"/>
      <c r="Y1144" s="19" t="n">
        <v>1</v>
      </c>
      <c r="Z1144" s="13">
        <f>SUMPRODUCT(N1144:Y1144,$N$2:$Y$2)*$K1144*$L1144*$M1144</f>
        <v/>
      </c>
      <c r="AA1144" s="14">
        <f>SUM(N1144:Y1144)</f>
        <v/>
      </c>
      <c r="AB1144" s="13">
        <f>SUMPRODUCT(N1144:Y1144,$N$3:$Y$3)*$K1144*$L1144*$M1144</f>
        <v/>
      </c>
      <c r="AC1144" s="13">
        <f>SUMPRODUCT(N1144:Y1144,$N$4:$Y$4)*$K1144*$L1144*$M1144</f>
        <v/>
      </c>
      <c r="AD1144" s="15" t="n">
        <v>3</v>
      </c>
      <c r="AE1144" s="11" t="n">
        <v>1.011296296296296</v>
      </c>
      <c r="AF1144" s="16">
        <f>SUMPRODUCT(N1144:Y1144,$N$5:$Y$5)*$K1144*$L1144*$M1144</f>
        <v/>
      </c>
      <c r="AG1144" s="16">
        <f>SUMPRODUCT(N1144:Y1144,$N$6:$Y$6)*$K1144*$L1144*$M1144</f>
        <v/>
      </c>
      <c r="AH1144" s="20" t="n"/>
    </row>
    <row r="1145">
      <c r="A1145" s="9" t="n">
        <v>838647</v>
      </c>
      <c r="B1145" s="9" t="inlineStr">
        <is>
          <t>Devin Bell</t>
        </is>
      </c>
      <c r="C1145" s="9" t="inlineStr">
        <is>
          <t>LAD</t>
        </is>
      </c>
      <c r="D1145" s="9" t="n">
        <v>25</v>
      </c>
      <c r="E1145" s="18" t="inlineStr">
        <is>
          <t>R</t>
        </is>
      </c>
      <c r="F1145" s="18" t="n"/>
      <c r="G1145" s="9" t="n">
        <v>5.503999999999999</v>
      </c>
      <c r="H1145" s="9" t="n">
        <v>5.503999999999999</v>
      </c>
      <c r="I1145" s="9" t="inlineStr">
        <is>
          <t>Depth (no MLB IP)</t>
        </is>
      </c>
      <c r="J1145" s="18" t="inlineStr">
        <is>
          <t>Opening Day</t>
        </is>
      </c>
      <c r="K1145" s="11">
        <f>IFERROR(INDEX(Roles!$B$17:$B$20,MATCH(J1145,Roles!$A$17:$A$20,0)),1)</f>
        <v/>
      </c>
      <c r="L1145" s="19" t="n">
        <v>1</v>
      </c>
      <c r="M1145" s="11" t="n">
        <v>1</v>
      </c>
      <c r="N1145" s="19" t="n"/>
      <c r="O1145" s="19" t="n"/>
      <c r="P1145" s="19" t="n"/>
      <c r="Q1145" s="19" t="n"/>
      <c r="R1145" s="19" t="n"/>
      <c r="S1145" s="19" t="n"/>
      <c r="T1145" s="19" t="n"/>
      <c r="U1145" s="19" t="n"/>
      <c r="V1145" s="19" t="n"/>
      <c r="W1145" s="19" t="n"/>
      <c r="X1145" s="19" t="n"/>
      <c r="Y1145" s="19" t="n">
        <v>1</v>
      </c>
      <c r="Z1145" s="13">
        <f>SUMPRODUCT(N1145:Y1145,$N$2:$Y$2)*$K1145*$L1145*$M1145</f>
        <v/>
      </c>
      <c r="AA1145" s="14">
        <f>SUM(N1145:Y1145)</f>
        <v/>
      </c>
      <c r="AB1145" s="13">
        <f>SUMPRODUCT(N1145:Y1145,$N$3:$Y$3)*$K1145*$L1145*$M1145</f>
        <v/>
      </c>
      <c r="AC1145" s="13">
        <f>SUMPRODUCT(N1145:Y1145,$N$4:$Y$4)*$K1145*$L1145*$M1145</f>
        <v/>
      </c>
      <c r="AD1145" s="15" t="n">
        <v>3</v>
      </c>
      <c r="AE1145" s="11" t="n">
        <v>1.011296296296296</v>
      </c>
      <c r="AF1145" s="16">
        <f>SUMPRODUCT(N1145:Y1145,$N$5:$Y$5)*$K1145*$L1145*$M1145</f>
        <v/>
      </c>
      <c r="AG1145" s="16">
        <f>SUMPRODUCT(N1145:Y1145,$N$6:$Y$6)*$K1145*$L1145*$M1145</f>
        <v/>
      </c>
      <c r="AH1145" s="20" t="n"/>
    </row>
    <row r="1146">
      <c r="A1146" s="9" t="n">
        <v>806048</v>
      </c>
      <c r="B1146" s="9" t="inlineStr">
        <is>
          <t>Jonah Conradt</t>
        </is>
      </c>
      <c r="C1146" s="9" t="inlineStr">
        <is>
          <t>WSH</t>
        </is>
      </c>
      <c r="D1146" s="9" t="n">
        <v>25</v>
      </c>
      <c r="E1146" s="18" t="inlineStr">
        <is>
          <t>R</t>
        </is>
      </c>
      <c r="F1146" s="18" t="n"/>
      <c r="G1146" s="9" t="n">
        <v>5.675999999999999</v>
      </c>
      <c r="H1146" s="9" t="n">
        <v>5.675999999999999</v>
      </c>
      <c r="I1146" s="9" t="inlineStr">
        <is>
          <t>Depth (no MLB IP)</t>
        </is>
      </c>
      <c r="J1146" s="18" t="inlineStr">
        <is>
          <t>Opening Day</t>
        </is>
      </c>
      <c r="K1146" s="11">
        <f>IFERROR(INDEX(Roles!$B$17:$B$20,MATCH(J1146,Roles!$A$17:$A$20,0)),1)</f>
        <v/>
      </c>
      <c r="L1146" s="19" t="n">
        <v>1</v>
      </c>
      <c r="M1146" s="11" t="n">
        <v>1</v>
      </c>
      <c r="N1146" s="19" t="n"/>
      <c r="O1146" s="19" t="n"/>
      <c r="P1146" s="19" t="n"/>
      <c r="Q1146" s="19" t="n"/>
      <c r="R1146" s="19" t="n"/>
      <c r="S1146" s="19" t="n"/>
      <c r="T1146" s="19" t="n"/>
      <c r="U1146" s="19" t="n"/>
      <c r="V1146" s="19" t="n"/>
      <c r="W1146" s="19" t="n"/>
      <c r="X1146" s="19" t="n"/>
      <c r="Y1146" s="19" t="n">
        <v>1</v>
      </c>
      <c r="Z1146" s="13">
        <f>SUMPRODUCT(N1146:Y1146,$N$2:$Y$2)*$K1146*$L1146*$M1146</f>
        <v/>
      </c>
      <c r="AA1146" s="14">
        <f>SUM(N1146:Y1146)</f>
        <v/>
      </c>
      <c r="AB1146" s="13">
        <f>SUMPRODUCT(N1146:Y1146,$N$3:$Y$3)*$K1146*$L1146*$M1146</f>
        <v/>
      </c>
      <c r="AC1146" s="13">
        <f>SUMPRODUCT(N1146:Y1146,$N$4:$Y$4)*$K1146*$L1146*$M1146</f>
        <v/>
      </c>
      <c r="AD1146" s="15" t="n">
        <v>3</v>
      </c>
      <c r="AE1146" s="11" t="n">
        <v>1.011296296296296</v>
      </c>
      <c r="AF1146" s="16">
        <f>SUMPRODUCT(N1146:Y1146,$N$5:$Y$5)*$K1146*$L1146*$M1146</f>
        <v/>
      </c>
      <c r="AG1146" s="16">
        <f>SUMPRODUCT(N1146:Y1146,$N$6:$Y$6)*$K1146*$L1146*$M1146</f>
        <v/>
      </c>
      <c r="AH1146" s="20" t="n"/>
    </row>
    <row r="1147">
      <c r="A1147" s="9" t="n">
        <v>806112</v>
      </c>
      <c r="B1147" s="9" t="inlineStr">
        <is>
          <t>Kevin Davis</t>
        </is>
      </c>
      <c r="C1147" s="9" t="inlineStr">
        <is>
          <t>WSH</t>
        </is>
      </c>
      <c r="D1147" s="9" t="n">
        <v>25</v>
      </c>
      <c r="E1147" s="18" t="inlineStr">
        <is>
          <t>R</t>
        </is>
      </c>
      <c r="F1147" s="18" t="n"/>
      <c r="G1147" s="9" t="n">
        <v>5.675999999999999</v>
      </c>
      <c r="H1147" s="9" t="n">
        <v>5.675999999999999</v>
      </c>
      <c r="I1147" s="9" t="inlineStr">
        <is>
          <t>Depth (no MLB IP)</t>
        </is>
      </c>
      <c r="J1147" s="18" t="inlineStr">
        <is>
          <t>Opening Day</t>
        </is>
      </c>
      <c r="K1147" s="11">
        <f>IFERROR(INDEX(Roles!$B$17:$B$20,MATCH(J1147,Roles!$A$17:$A$20,0)),1)</f>
        <v/>
      </c>
      <c r="L1147" s="19" t="n">
        <v>1</v>
      </c>
      <c r="M1147" s="11" t="n">
        <v>1</v>
      </c>
      <c r="N1147" s="19" t="n"/>
      <c r="O1147" s="19" t="n"/>
      <c r="P1147" s="19" t="n"/>
      <c r="Q1147" s="19" t="n"/>
      <c r="R1147" s="19" t="n"/>
      <c r="S1147" s="19" t="n"/>
      <c r="T1147" s="19" t="n"/>
      <c r="U1147" s="19" t="n"/>
      <c r="V1147" s="19" t="n"/>
      <c r="W1147" s="19" t="n"/>
      <c r="X1147" s="19" t="n"/>
      <c r="Y1147" s="19" t="n">
        <v>1</v>
      </c>
      <c r="Z1147" s="13">
        <f>SUMPRODUCT(N1147:Y1147,$N$2:$Y$2)*$K1147*$L1147*$M1147</f>
        <v/>
      </c>
      <c r="AA1147" s="14">
        <f>SUM(N1147:Y1147)</f>
        <v/>
      </c>
      <c r="AB1147" s="13">
        <f>SUMPRODUCT(N1147:Y1147,$N$3:$Y$3)*$K1147*$L1147*$M1147</f>
        <v/>
      </c>
      <c r="AC1147" s="13">
        <f>SUMPRODUCT(N1147:Y1147,$N$4:$Y$4)*$K1147*$L1147*$M1147</f>
        <v/>
      </c>
      <c r="AD1147" s="15" t="n">
        <v>3</v>
      </c>
      <c r="AE1147" s="11" t="n">
        <v>1.011296296296296</v>
      </c>
      <c r="AF1147" s="16">
        <f>SUMPRODUCT(N1147:Y1147,$N$5:$Y$5)*$K1147*$L1147*$M1147</f>
        <v/>
      </c>
      <c r="AG1147" s="16">
        <f>SUMPRODUCT(N1147:Y1147,$N$6:$Y$6)*$K1147*$L1147*$M1147</f>
        <v/>
      </c>
      <c r="AH1147" s="20" t="n"/>
    </row>
    <row r="1148">
      <c r="A1148" s="9" t="n">
        <v>841026</v>
      </c>
      <c r="B1148" s="9" t="inlineStr">
        <is>
          <t>Jacob Haley</t>
        </is>
      </c>
      <c r="C1148" s="9" t="inlineStr">
        <is>
          <t>STL</t>
        </is>
      </c>
      <c r="D1148" s="9" t="n">
        <v>25</v>
      </c>
      <c r="E1148" s="18" t="inlineStr">
        <is>
          <t>R</t>
        </is>
      </c>
      <c r="F1148" s="18" t="n"/>
      <c r="G1148" s="9" t="n">
        <v>5.675999999999999</v>
      </c>
      <c r="H1148" s="9" t="n">
        <v>5.675999999999999</v>
      </c>
      <c r="I1148" s="9" t="inlineStr">
        <is>
          <t>Depth (no MLB IP)</t>
        </is>
      </c>
      <c r="J1148" s="18" t="inlineStr">
        <is>
          <t>Opening Day</t>
        </is>
      </c>
      <c r="K1148" s="11">
        <f>IFERROR(INDEX(Roles!$B$17:$B$20,MATCH(J1148,Roles!$A$17:$A$20,0)),1)</f>
        <v/>
      </c>
      <c r="L1148" s="19" t="n">
        <v>1</v>
      </c>
      <c r="M1148" s="11" t="n">
        <v>1</v>
      </c>
      <c r="N1148" s="19" t="n"/>
      <c r="O1148" s="19" t="n"/>
      <c r="P1148" s="19" t="n"/>
      <c r="Q1148" s="19" t="n"/>
      <c r="R1148" s="19" t="n"/>
      <c r="S1148" s="19" t="n"/>
      <c r="T1148" s="19" t="n"/>
      <c r="U1148" s="19" t="n"/>
      <c r="V1148" s="19" t="n"/>
      <c r="W1148" s="19" t="n"/>
      <c r="X1148" s="19" t="n"/>
      <c r="Y1148" s="19" t="n">
        <v>1</v>
      </c>
      <c r="Z1148" s="13">
        <f>SUMPRODUCT(N1148:Y1148,$N$2:$Y$2)*$K1148*$L1148*$M1148</f>
        <v/>
      </c>
      <c r="AA1148" s="14">
        <f>SUM(N1148:Y1148)</f>
        <v/>
      </c>
      <c r="AB1148" s="13">
        <f>SUMPRODUCT(N1148:Y1148,$N$3:$Y$3)*$K1148*$L1148*$M1148</f>
        <v/>
      </c>
      <c r="AC1148" s="13">
        <f>SUMPRODUCT(N1148:Y1148,$N$4:$Y$4)*$K1148*$L1148*$M1148</f>
        <v/>
      </c>
      <c r="AD1148" s="15" t="n">
        <v>3</v>
      </c>
      <c r="AE1148" s="11" t="n">
        <v>1.011296296296296</v>
      </c>
      <c r="AF1148" s="16">
        <f>SUMPRODUCT(N1148:Y1148,$N$5:$Y$5)*$K1148*$L1148*$M1148</f>
        <v/>
      </c>
      <c r="AG1148" s="16">
        <f>SUMPRODUCT(N1148:Y1148,$N$6:$Y$6)*$K1148*$L1148*$M1148</f>
        <v/>
      </c>
      <c r="AH1148" s="20" t="n"/>
    </row>
    <row r="1149">
      <c r="A1149" s="9" t="n">
        <v>842477</v>
      </c>
      <c r="B1149" s="9" t="inlineStr">
        <is>
          <t>Dalton Hill</t>
        </is>
      </c>
      <c r="C1149" s="9" t="inlineStr">
        <is>
          <t>KC</t>
        </is>
      </c>
      <c r="D1149" s="9" t="n">
        <v>25</v>
      </c>
      <c r="E1149" s="18" t="inlineStr">
        <is>
          <t>R</t>
        </is>
      </c>
      <c r="F1149" s="18" t="n"/>
      <c r="G1149" s="9" t="n">
        <v>5.675999999999999</v>
      </c>
      <c r="H1149" s="9" t="n">
        <v>5.675999999999999</v>
      </c>
      <c r="I1149" s="9" t="inlineStr">
        <is>
          <t>Depth (no MLB IP)</t>
        </is>
      </c>
      <c r="J1149" s="18" t="inlineStr">
        <is>
          <t>Opening Day</t>
        </is>
      </c>
      <c r="K1149" s="11">
        <f>IFERROR(INDEX(Roles!$B$17:$B$20,MATCH(J1149,Roles!$A$17:$A$20,0)),1)</f>
        <v/>
      </c>
      <c r="L1149" s="19" t="n">
        <v>1</v>
      </c>
      <c r="M1149" s="11" t="n">
        <v>1</v>
      </c>
      <c r="N1149" s="19" t="n"/>
      <c r="O1149" s="19" t="n"/>
      <c r="P1149" s="19" t="n"/>
      <c r="Q1149" s="19" t="n"/>
      <c r="R1149" s="19" t="n"/>
      <c r="S1149" s="19" t="n"/>
      <c r="T1149" s="19" t="n"/>
      <c r="U1149" s="19" t="n"/>
      <c r="V1149" s="19" t="n"/>
      <c r="W1149" s="19" t="n"/>
      <c r="X1149" s="19" t="n"/>
      <c r="Y1149" s="19" t="n">
        <v>1</v>
      </c>
      <c r="Z1149" s="13">
        <f>SUMPRODUCT(N1149:Y1149,$N$2:$Y$2)*$K1149*$L1149*$M1149</f>
        <v/>
      </c>
      <c r="AA1149" s="14">
        <f>SUM(N1149:Y1149)</f>
        <v/>
      </c>
      <c r="AB1149" s="13">
        <f>SUMPRODUCT(N1149:Y1149,$N$3:$Y$3)*$K1149*$L1149*$M1149</f>
        <v/>
      </c>
      <c r="AC1149" s="13">
        <f>SUMPRODUCT(N1149:Y1149,$N$4:$Y$4)*$K1149*$L1149*$M1149</f>
        <v/>
      </c>
      <c r="AD1149" s="15" t="n">
        <v>3</v>
      </c>
      <c r="AE1149" s="11" t="n">
        <v>1.011296296296296</v>
      </c>
      <c r="AF1149" s="16">
        <f>SUMPRODUCT(N1149:Y1149,$N$5:$Y$5)*$K1149*$L1149*$M1149</f>
        <v/>
      </c>
      <c r="AG1149" s="16">
        <f>SUMPRODUCT(N1149:Y1149,$N$6:$Y$6)*$K1149*$L1149*$M1149</f>
        <v/>
      </c>
      <c r="AH1149" s="20" t="n"/>
    </row>
    <row r="1150">
      <c r="A1150" s="9" t="n">
        <v>701680</v>
      </c>
      <c r="B1150" s="9" t="inlineStr">
        <is>
          <t>R.J. Sales</t>
        </is>
      </c>
      <c r="C1150" s="9" t="inlineStr">
        <is>
          <t>WSH</t>
        </is>
      </c>
      <c r="D1150" s="9" t="n">
        <v>25</v>
      </c>
      <c r="E1150" s="18" t="inlineStr">
        <is>
          <t>R</t>
        </is>
      </c>
      <c r="F1150" s="18" t="n"/>
      <c r="G1150" s="9" t="n">
        <v>5.733333333333334</v>
      </c>
      <c r="H1150" s="9" t="n">
        <v>5.733333333333334</v>
      </c>
      <c r="I1150" s="9" t="inlineStr">
        <is>
          <t>Depth (no MLB IP)</t>
        </is>
      </c>
      <c r="J1150" s="18" t="inlineStr">
        <is>
          <t>Opening Day</t>
        </is>
      </c>
      <c r="K1150" s="11">
        <f>IFERROR(INDEX(Roles!$B$17:$B$20,MATCH(J1150,Roles!$A$17:$A$20,0)),1)</f>
        <v/>
      </c>
      <c r="L1150" s="19" t="n">
        <v>1</v>
      </c>
      <c r="M1150" s="11" t="n">
        <v>1</v>
      </c>
      <c r="N1150" s="19" t="n"/>
      <c r="O1150" s="19" t="n"/>
      <c r="P1150" s="19" t="n"/>
      <c r="Q1150" s="19" t="n"/>
      <c r="R1150" s="19" t="n"/>
      <c r="S1150" s="19" t="n"/>
      <c r="T1150" s="19" t="n"/>
      <c r="U1150" s="19" t="n"/>
      <c r="V1150" s="19" t="n"/>
      <c r="W1150" s="19" t="n"/>
      <c r="X1150" s="19" t="n"/>
      <c r="Y1150" s="19" t="n">
        <v>1</v>
      </c>
      <c r="Z1150" s="13">
        <f>SUMPRODUCT(N1150:Y1150,$N$2:$Y$2)*$K1150*$L1150*$M1150</f>
        <v/>
      </c>
      <c r="AA1150" s="14">
        <f>SUM(N1150:Y1150)</f>
        <v/>
      </c>
      <c r="AB1150" s="13">
        <f>SUMPRODUCT(N1150:Y1150,$N$3:$Y$3)*$K1150*$L1150*$M1150</f>
        <v/>
      </c>
      <c r="AC1150" s="13">
        <f>SUMPRODUCT(N1150:Y1150,$N$4:$Y$4)*$K1150*$L1150*$M1150</f>
        <v/>
      </c>
      <c r="AD1150" s="15" t="n">
        <v>3</v>
      </c>
      <c r="AE1150" s="11" t="n">
        <v>1.011296296296296</v>
      </c>
      <c r="AF1150" s="16">
        <f>SUMPRODUCT(N1150:Y1150,$N$5:$Y$5)*$K1150*$L1150*$M1150</f>
        <v/>
      </c>
      <c r="AG1150" s="16">
        <f>SUMPRODUCT(N1150:Y1150,$N$6:$Y$6)*$K1150*$L1150*$M1150</f>
        <v/>
      </c>
      <c r="AH1150" s="20" t="n"/>
    </row>
    <row r="1151">
      <c r="A1151" s="9" t="n">
        <v>701686</v>
      </c>
      <c r="B1151" s="9" t="inlineStr">
        <is>
          <t>Kyle Larsen</t>
        </is>
      </c>
      <c r="C1151" s="9" t="inlineStr">
        <is>
          <t>PIT</t>
        </is>
      </c>
      <c r="D1151" s="9" t="n">
        <v>25</v>
      </c>
      <c r="E1151" s="18" t="inlineStr">
        <is>
          <t>R</t>
        </is>
      </c>
      <c r="F1151" s="18" t="n"/>
      <c r="G1151" s="9" t="n">
        <v>5.518333333333333</v>
      </c>
      <c r="H1151" s="9" t="n">
        <v>5.518333333333333</v>
      </c>
      <c r="I1151" s="9" t="inlineStr">
        <is>
          <t>Depth (no MLB IP)</t>
        </is>
      </c>
      <c r="J1151" s="18" t="inlineStr">
        <is>
          <t>Opening Day</t>
        </is>
      </c>
      <c r="K1151" s="11">
        <f>IFERROR(INDEX(Roles!$B$17:$B$20,MATCH(J1151,Roles!$A$17:$A$20,0)),1)</f>
        <v/>
      </c>
      <c r="L1151" s="19" t="n">
        <v>1</v>
      </c>
      <c r="M1151" s="11" t="n">
        <v>1</v>
      </c>
      <c r="N1151" s="19" t="n"/>
      <c r="O1151" s="19" t="n"/>
      <c r="P1151" s="19" t="n"/>
      <c r="Q1151" s="19" t="n"/>
      <c r="R1151" s="19" t="n"/>
      <c r="S1151" s="19" t="n"/>
      <c r="T1151" s="19" t="n"/>
      <c r="U1151" s="19" t="n"/>
      <c r="V1151" s="19" t="n"/>
      <c r="W1151" s="19" t="n"/>
      <c r="X1151" s="19" t="n"/>
      <c r="Y1151" s="19" t="n">
        <v>1</v>
      </c>
      <c r="Z1151" s="13">
        <f>SUMPRODUCT(N1151:Y1151,$N$2:$Y$2)*$K1151*$L1151*$M1151</f>
        <v/>
      </c>
      <c r="AA1151" s="14">
        <f>SUM(N1151:Y1151)</f>
        <v/>
      </c>
      <c r="AB1151" s="13">
        <f>SUMPRODUCT(N1151:Y1151,$N$3:$Y$3)*$K1151*$L1151*$M1151</f>
        <v/>
      </c>
      <c r="AC1151" s="13">
        <f>SUMPRODUCT(N1151:Y1151,$N$4:$Y$4)*$K1151*$L1151*$M1151</f>
        <v/>
      </c>
      <c r="AD1151" s="15" t="n">
        <v>3</v>
      </c>
      <c r="AE1151" s="11" t="n">
        <v>1.011296296296296</v>
      </c>
      <c r="AF1151" s="16">
        <f>SUMPRODUCT(N1151:Y1151,$N$5:$Y$5)*$K1151*$L1151*$M1151</f>
        <v/>
      </c>
      <c r="AG1151" s="16">
        <f>SUMPRODUCT(N1151:Y1151,$N$6:$Y$6)*$K1151*$L1151*$M1151</f>
        <v/>
      </c>
      <c r="AH1151" s="20" t="n"/>
    </row>
    <row r="1152">
      <c r="A1152" s="9" t="n">
        <v>663609</v>
      </c>
      <c r="B1152" s="9" t="inlineStr">
        <is>
          <t>Luken Baker</t>
        </is>
      </c>
      <c r="C1152" s="9" t="inlineStr">
        <is>
          <t>ARI</t>
        </is>
      </c>
      <c r="D1152" s="9" t="n">
        <v>25</v>
      </c>
      <c r="E1152" s="18" t="inlineStr">
        <is>
          <t>R</t>
        </is>
      </c>
      <c r="F1152" s="18" t="n"/>
      <c r="G1152" s="9" t="n">
        <v>5.518333333333334</v>
      </c>
      <c r="H1152" s="9" t="n">
        <v>5.518333333333334</v>
      </c>
      <c r="I1152" s="9" t="inlineStr">
        <is>
          <t>Depth (no MLB IP)</t>
        </is>
      </c>
      <c r="J1152" s="18" t="inlineStr">
        <is>
          <t>Opening Day</t>
        </is>
      </c>
      <c r="K1152" s="11">
        <f>IFERROR(INDEX(Roles!$B$17:$B$20,MATCH(J1152,Roles!$A$17:$A$20,0)),1)</f>
        <v/>
      </c>
      <c r="L1152" s="19" t="n">
        <v>1</v>
      </c>
      <c r="M1152" s="11" t="n">
        <v>1</v>
      </c>
      <c r="N1152" s="19" t="n"/>
      <c r="O1152" s="19" t="n"/>
      <c r="P1152" s="19" t="n"/>
      <c r="Q1152" s="19" t="n"/>
      <c r="R1152" s="19" t="n"/>
      <c r="S1152" s="19" t="n"/>
      <c r="T1152" s="19" t="n"/>
      <c r="U1152" s="19" t="n"/>
      <c r="V1152" s="19" t="n"/>
      <c r="W1152" s="19" t="n"/>
      <c r="X1152" s="19" t="n"/>
      <c r="Y1152" s="19" t="n">
        <v>1</v>
      </c>
      <c r="Z1152" s="13">
        <f>SUMPRODUCT(N1152:Y1152,$N$2:$Y$2)*$K1152*$L1152*$M1152</f>
        <v/>
      </c>
      <c r="AA1152" s="14">
        <f>SUM(N1152:Y1152)</f>
        <v/>
      </c>
      <c r="AB1152" s="13">
        <f>SUMPRODUCT(N1152:Y1152,$N$3:$Y$3)*$K1152*$L1152*$M1152</f>
        <v/>
      </c>
      <c r="AC1152" s="13">
        <f>SUMPRODUCT(N1152:Y1152,$N$4:$Y$4)*$K1152*$L1152*$M1152</f>
        <v/>
      </c>
      <c r="AD1152" s="15" t="n">
        <v>3</v>
      </c>
      <c r="AE1152" s="11" t="n">
        <v>1.011296296296296</v>
      </c>
      <c r="AF1152" s="16">
        <f>SUMPRODUCT(N1152:Y1152,$N$5:$Y$5)*$K1152*$L1152*$M1152</f>
        <v/>
      </c>
      <c r="AG1152" s="16">
        <f>SUMPRODUCT(N1152:Y1152,$N$6:$Y$6)*$K1152*$L1152*$M1152</f>
        <v/>
      </c>
      <c r="AH1152" s="20" t="n"/>
    </row>
    <row r="1153">
      <c r="A1153" s="9" t="n">
        <v>835236</v>
      </c>
      <c r="B1153" s="9" t="inlineStr">
        <is>
          <t>Brandon Langley</t>
        </is>
      </c>
      <c r="C1153" s="9" t="inlineStr">
        <is>
          <t>SD</t>
        </is>
      </c>
      <c r="D1153" s="9" t="n">
        <v>25</v>
      </c>
      <c r="E1153" s="18" t="inlineStr">
        <is>
          <t>R</t>
        </is>
      </c>
      <c r="F1153" s="18" t="n"/>
      <c r="G1153" s="9" t="n">
        <v>5.733333333333334</v>
      </c>
      <c r="H1153" s="9" t="n">
        <v>5.733333333333334</v>
      </c>
      <c r="I1153" s="9" t="inlineStr">
        <is>
          <t>Depth (no MLB IP)</t>
        </is>
      </c>
      <c r="J1153" s="18" t="inlineStr">
        <is>
          <t>Opening Day</t>
        </is>
      </c>
      <c r="K1153" s="11">
        <f>IFERROR(INDEX(Roles!$B$17:$B$20,MATCH(J1153,Roles!$A$17:$A$20,0)),1)</f>
        <v/>
      </c>
      <c r="L1153" s="19" t="n">
        <v>1</v>
      </c>
      <c r="M1153" s="11" t="n">
        <v>1</v>
      </c>
      <c r="N1153" s="19" t="n"/>
      <c r="O1153" s="19" t="n"/>
      <c r="P1153" s="19" t="n"/>
      <c r="Q1153" s="19" t="n"/>
      <c r="R1153" s="19" t="n"/>
      <c r="S1153" s="19" t="n"/>
      <c r="T1153" s="19" t="n"/>
      <c r="U1153" s="19" t="n"/>
      <c r="V1153" s="19" t="n"/>
      <c r="W1153" s="19" t="n"/>
      <c r="X1153" s="19" t="n"/>
      <c r="Y1153" s="19" t="n">
        <v>1</v>
      </c>
      <c r="Z1153" s="13">
        <f>SUMPRODUCT(N1153:Y1153,$N$2:$Y$2)*$K1153*$L1153*$M1153</f>
        <v/>
      </c>
      <c r="AA1153" s="14">
        <f>SUM(N1153:Y1153)</f>
        <v/>
      </c>
      <c r="AB1153" s="13">
        <f>SUMPRODUCT(N1153:Y1153,$N$3:$Y$3)*$K1153*$L1153*$M1153</f>
        <v/>
      </c>
      <c r="AC1153" s="13">
        <f>SUMPRODUCT(N1153:Y1153,$N$4:$Y$4)*$K1153*$L1153*$M1153</f>
        <v/>
      </c>
      <c r="AD1153" s="15" t="n">
        <v>3</v>
      </c>
      <c r="AE1153" s="11" t="n">
        <v>1.011296296296296</v>
      </c>
      <c r="AF1153" s="16">
        <f>SUMPRODUCT(N1153:Y1153,$N$5:$Y$5)*$K1153*$L1153*$M1153</f>
        <v/>
      </c>
      <c r="AG1153" s="16">
        <f>SUMPRODUCT(N1153:Y1153,$N$6:$Y$6)*$K1153*$L1153*$M1153</f>
        <v/>
      </c>
      <c r="AH1153" s="20" t="n"/>
    </row>
    <row r="1154">
      <c r="A1154" s="9" t="n">
        <v>801216</v>
      </c>
      <c r="B1154" s="9" t="inlineStr">
        <is>
          <t>Christian Montes De Oca</t>
        </is>
      </c>
      <c r="C1154" s="9" t="inlineStr">
        <is>
          <t>ARI</t>
        </is>
      </c>
      <c r="D1154" s="9" t="n">
        <v>27</v>
      </c>
      <c r="E1154" s="18" t="inlineStr">
        <is>
          <t>R</t>
        </is>
      </c>
      <c r="F1154" s="18" t="n"/>
      <c r="G1154" s="9" t="n">
        <v>9</v>
      </c>
      <c r="H1154" s="9" t="n">
        <v>9</v>
      </c>
      <c r="I1154" s="9" t="inlineStr">
        <is>
          <t>Depth (no MLB IP)</t>
        </is>
      </c>
      <c r="J1154" s="18" t="inlineStr">
        <is>
          <t>Opening Day</t>
        </is>
      </c>
      <c r="K1154" s="11">
        <f>IFERROR(INDEX(Roles!$B$17:$B$20,MATCH(J1154,Roles!$A$17:$A$20,0)),1)</f>
        <v/>
      </c>
      <c r="L1154" s="19" t="n">
        <v>1</v>
      </c>
      <c r="M1154" s="11" t="n">
        <v>1</v>
      </c>
      <c r="N1154" s="19" t="n"/>
      <c r="O1154" s="19" t="n"/>
      <c r="P1154" s="19" t="n"/>
      <c r="Q1154" s="19" t="n"/>
      <c r="R1154" s="19" t="n"/>
      <c r="S1154" s="19" t="n"/>
      <c r="T1154" s="19" t="n"/>
      <c r="U1154" s="19" t="n"/>
      <c r="V1154" s="19" t="n"/>
      <c r="W1154" s="19" t="n"/>
      <c r="X1154" s="19" t="n"/>
      <c r="Y1154" s="19" t="n">
        <v>1</v>
      </c>
      <c r="Z1154" s="13">
        <f>SUMPRODUCT(N1154:Y1154,$N$2:$Y$2)*$K1154*$L1154*$M1154</f>
        <v/>
      </c>
      <c r="AA1154" s="14">
        <f>SUM(N1154:Y1154)</f>
        <v/>
      </c>
      <c r="AB1154" s="13">
        <f>SUMPRODUCT(N1154:Y1154,$N$3:$Y$3)*$K1154*$L1154*$M1154</f>
        <v/>
      </c>
      <c r="AC1154" s="13">
        <f>SUMPRODUCT(N1154:Y1154,$N$4:$Y$4)*$K1154*$L1154*$M1154</f>
        <v/>
      </c>
      <c r="AD1154" s="15" t="n">
        <v>1.8</v>
      </c>
      <c r="AE1154" s="11" t="n">
        <v>1.563086419753086</v>
      </c>
      <c r="AF1154" s="16">
        <f>SUMPRODUCT(N1154:Y1154,$N$5:$Y$5)*$K1154*$L1154*$M1154</f>
        <v/>
      </c>
      <c r="AG1154" s="16">
        <f>SUMPRODUCT(N1154:Y1154,$N$6:$Y$6)*$K1154*$L1154*$M1154</f>
        <v/>
      </c>
      <c r="AH1154" s="20" t="n"/>
    </row>
    <row r="1155">
      <c r="A1155" s="9" t="n">
        <v>833484</v>
      </c>
      <c r="B1155" s="9" t="inlineStr">
        <is>
          <t>Deiker Pineda</t>
        </is>
      </c>
      <c r="C1155" s="9" t="inlineStr">
        <is>
          <t>TOR</t>
        </is>
      </c>
      <c r="D1155" s="9" t="n">
        <v>25</v>
      </c>
      <c r="E1155" s="18" t="inlineStr">
        <is>
          <t>R</t>
        </is>
      </c>
      <c r="F1155" s="18" t="n"/>
      <c r="G1155" s="9" t="n">
        <v>5.503999999999999</v>
      </c>
      <c r="H1155" s="9" t="n">
        <v>5.503999999999999</v>
      </c>
      <c r="I1155" s="9" t="inlineStr">
        <is>
          <t>Depth (no MLB IP)</t>
        </is>
      </c>
      <c r="J1155" s="18" t="inlineStr">
        <is>
          <t>Opening Day</t>
        </is>
      </c>
      <c r="K1155" s="11">
        <f>IFERROR(INDEX(Roles!$B$17:$B$20,MATCH(J1155,Roles!$A$17:$A$20,0)),1)</f>
        <v/>
      </c>
      <c r="L1155" s="19" t="n">
        <v>1</v>
      </c>
      <c r="M1155" s="11" t="n">
        <v>1</v>
      </c>
      <c r="N1155" s="19" t="n"/>
      <c r="O1155" s="19" t="n"/>
      <c r="P1155" s="19" t="n"/>
      <c r="Q1155" s="19" t="n"/>
      <c r="R1155" s="19" t="n"/>
      <c r="S1155" s="19" t="n"/>
      <c r="T1155" s="19" t="n"/>
      <c r="U1155" s="19" t="n"/>
      <c r="V1155" s="19" t="n"/>
      <c r="W1155" s="19" t="n"/>
      <c r="X1155" s="19" t="n"/>
      <c r="Y1155" s="19" t="n">
        <v>1</v>
      </c>
      <c r="Z1155" s="13">
        <f>SUMPRODUCT(N1155:Y1155,$N$2:$Y$2)*$K1155*$L1155*$M1155</f>
        <v/>
      </c>
      <c r="AA1155" s="14">
        <f>SUM(N1155:Y1155)</f>
        <v/>
      </c>
      <c r="AB1155" s="13">
        <f>SUMPRODUCT(N1155:Y1155,$N$3:$Y$3)*$K1155*$L1155*$M1155</f>
        <v/>
      </c>
      <c r="AC1155" s="13">
        <f>SUMPRODUCT(N1155:Y1155,$N$4:$Y$4)*$K1155*$L1155*$M1155</f>
        <v/>
      </c>
      <c r="AD1155" s="15" t="n">
        <v>3</v>
      </c>
      <c r="AE1155" s="11" t="n">
        <v>1.011296296296296</v>
      </c>
      <c r="AF1155" s="16">
        <f>SUMPRODUCT(N1155:Y1155,$N$5:$Y$5)*$K1155*$L1155*$M1155</f>
        <v/>
      </c>
      <c r="AG1155" s="16">
        <f>SUMPRODUCT(N1155:Y1155,$N$6:$Y$6)*$K1155*$L1155*$M1155</f>
        <v/>
      </c>
      <c r="AH1155" s="20" t="n"/>
    </row>
    <row r="1156">
      <c r="A1156" s="9" t="n">
        <v>835481</v>
      </c>
      <c r="B1156" s="9" t="inlineStr">
        <is>
          <t>Dylan Mathiesen</t>
        </is>
      </c>
      <c r="C1156" s="9" t="inlineStr">
        <is>
          <t>PIT</t>
        </is>
      </c>
      <c r="D1156" s="9" t="n">
        <v>25</v>
      </c>
      <c r="E1156" s="18" t="inlineStr">
        <is>
          <t>R</t>
        </is>
      </c>
      <c r="F1156" s="18" t="n"/>
      <c r="G1156" s="9" t="n">
        <v>5.675999999999999</v>
      </c>
      <c r="H1156" s="9" t="n">
        <v>5.675999999999999</v>
      </c>
      <c r="I1156" s="9" t="inlineStr">
        <is>
          <t>Depth (no MLB IP)</t>
        </is>
      </c>
      <c r="J1156" s="18" t="inlineStr">
        <is>
          <t>Opening Day</t>
        </is>
      </c>
      <c r="K1156" s="11">
        <f>IFERROR(INDEX(Roles!$B$17:$B$20,MATCH(J1156,Roles!$A$17:$A$20,0)),1)</f>
        <v/>
      </c>
      <c r="L1156" s="19" t="n">
        <v>1</v>
      </c>
      <c r="M1156" s="11" t="n">
        <v>1</v>
      </c>
      <c r="N1156" s="19" t="n"/>
      <c r="O1156" s="19" t="n"/>
      <c r="P1156" s="19" t="n"/>
      <c r="Q1156" s="19" t="n"/>
      <c r="R1156" s="19" t="n"/>
      <c r="S1156" s="19" t="n"/>
      <c r="T1156" s="19" t="n"/>
      <c r="U1156" s="19" t="n"/>
      <c r="V1156" s="19" t="n"/>
      <c r="W1156" s="19" t="n"/>
      <c r="X1156" s="19" t="n"/>
      <c r="Y1156" s="19" t="n">
        <v>1</v>
      </c>
      <c r="Z1156" s="13">
        <f>SUMPRODUCT(N1156:Y1156,$N$2:$Y$2)*$K1156*$L1156*$M1156</f>
        <v/>
      </c>
      <c r="AA1156" s="14">
        <f>SUM(N1156:Y1156)</f>
        <v/>
      </c>
      <c r="AB1156" s="13">
        <f>SUMPRODUCT(N1156:Y1156,$N$3:$Y$3)*$K1156*$L1156*$M1156</f>
        <v/>
      </c>
      <c r="AC1156" s="13">
        <f>SUMPRODUCT(N1156:Y1156,$N$4:$Y$4)*$K1156*$L1156*$M1156</f>
        <v/>
      </c>
      <c r="AD1156" s="15" t="n">
        <v>3</v>
      </c>
      <c r="AE1156" s="11" t="n">
        <v>1.011296296296296</v>
      </c>
      <c r="AF1156" s="16">
        <f>SUMPRODUCT(N1156:Y1156,$N$5:$Y$5)*$K1156*$L1156*$M1156</f>
        <v/>
      </c>
      <c r="AG1156" s="16">
        <f>SUMPRODUCT(N1156:Y1156,$N$6:$Y$6)*$K1156*$L1156*$M1156</f>
        <v/>
      </c>
      <c r="AH1156" s="20" t="n"/>
    </row>
    <row r="1157">
      <c r="A1157" s="9" t="n">
        <v>806279</v>
      </c>
      <c r="B1157" s="9" t="inlineStr">
        <is>
          <t>Jake Christianson</t>
        </is>
      </c>
      <c r="C1157" s="9" t="inlineStr">
        <is>
          <t>MIA</t>
        </is>
      </c>
      <c r="D1157" s="9" t="n">
        <v>25</v>
      </c>
      <c r="E1157" s="18" t="inlineStr">
        <is>
          <t>R</t>
        </is>
      </c>
      <c r="F1157" s="18" t="n"/>
      <c r="G1157" s="9" t="n">
        <v>5.518333333333333</v>
      </c>
      <c r="H1157" s="9" t="n">
        <v>5.518333333333333</v>
      </c>
      <c r="I1157" s="9" t="inlineStr">
        <is>
          <t>Depth (no MLB IP)</t>
        </is>
      </c>
      <c r="J1157" s="18" t="inlineStr">
        <is>
          <t>Opening Day</t>
        </is>
      </c>
      <c r="K1157" s="11">
        <f>IFERROR(INDEX(Roles!$B$17:$B$20,MATCH(J1157,Roles!$A$17:$A$20,0)),1)</f>
        <v/>
      </c>
      <c r="L1157" s="19" t="n">
        <v>1</v>
      </c>
      <c r="M1157" s="11" t="n">
        <v>1</v>
      </c>
      <c r="N1157" s="19" t="n"/>
      <c r="O1157" s="19" t="n"/>
      <c r="P1157" s="19" t="n"/>
      <c r="Q1157" s="19" t="n"/>
      <c r="R1157" s="19" t="n"/>
      <c r="S1157" s="19" t="n"/>
      <c r="T1157" s="19" t="n"/>
      <c r="U1157" s="19" t="n"/>
      <c r="V1157" s="19" t="n"/>
      <c r="W1157" s="19" t="n"/>
      <c r="X1157" s="19" t="n"/>
      <c r="Y1157" s="19" t="n">
        <v>1</v>
      </c>
      <c r="Z1157" s="13">
        <f>SUMPRODUCT(N1157:Y1157,$N$2:$Y$2)*$K1157*$L1157*$M1157</f>
        <v/>
      </c>
      <c r="AA1157" s="14">
        <f>SUM(N1157:Y1157)</f>
        <v/>
      </c>
      <c r="AB1157" s="13">
        <f>SUMPRODUCT(N1157:Y1157,$N$3:$Y$3)*$K1157*$L1157*$M1157</f>
        <v/>
      </c>
      <c r="AC1157" s="13">
        <f>SUMPRODUCT(N1157:Y1157,$N$4:$Y$4)*$K1157*$L1157*$M1157</f>
        <v/>
      </c>
      <c r="AD1157" s="15" t="n">
        <v>3</v>
      </c>
      <c r="AE1157" s="11" t="n">
        <v>1.011296296296296</v>
      </c>
      <c r="AF1157" s="16">
        <f>SUMPRODUCT(N1157:Y1157,$N$5:$Y$5)*$K1157*$L1157*$M1157</f>
        <v/>
      </c>
      <c r="AG1157" s="16">
        <f>SUMPRODUCT(N1157:Y1157,$N$6:$Y$6)*$K1157*$L1157*$M1157</f>
        <v/>
      </c>
      <c r="AH1157" s="20" t="n"/>
    </row>
    <row r="1158">
      <c r="A1158" s="9" t="n">
        <v>829478</v>
      </c>
      <c r="B1158" s="9" t="inlineStr">
        <is>
          <t>Jubrayker Salaya</t>
        </is>
      </c>
      <c r="C1158" s="9" t="inlineStr">
        <is>
          <t>CHC</t>
        </is>
      </c>
      <c r="D1158" s="9" t="n">
        <v>25</v>
      </c>
      <c r="E1158" s="18" t="inlineStr">
        <is>
          <t>R</t>
        </is>
      </c>
      <c r="F1158" s="18" t="n"/>
      <c r="G1158" s="9" t="n">
        <v>5.848</v>
      </c>
      <c r="H1158" s="9" t="n">
        <v>5.848</v>
      </c>
      <c r="I1158" s="9" t="inlineStr">
        <is>
          <t>Depth (no MLB IP)</t>
        </is>
      </c>
      <c r="J1158" s="18" t="inlineStr">
        <is>
          <t>Opening Day</t>
        </is>
      </c>
      <c r="K1158" s="11">
        <f>IFERROR(INDEX(Roles!$B$17:$B$20,MATCH(J1158,Roles!$A$17:$A$20,0)),1)</f>
        <v/>
      </c>
      <c r="L1158" s="19" t="n">
        <v>1</v>
      </c>
      <c r="M1158" s="11" t="n">
        <v>1</v>
      </c>
      <c r="N1158" s="19" t="n"/>
      <c r="O1158" s="19" t="n"/>
      <c r="P1158" s="19" t="n"/>
      <c r="Q1158" s="19" t="n"/>
      <c r="R1158" s="19" t="n"/>
      <c r="S1158" s="19" t="n"/>
      <c r="T1158" s="19" t="n"/>
      <c r="U1158" s="19" t="n"/>
      <c r="V1158" s="19" t="n"/>
      <c r="W1158" s="19" t="n"/>
      <c r="X1158" s="19" t="n"/>
      <c r="Y1158" s="19" t="n">
        <v>1</v>
      </c>
      <c r="Z1158" s="13">
        <f>SUMPRODUCT(N1158:Y1158,$N$2:$Y$2)*$K1158*$L1158*$M1158</f>
        <v/>
      </c>
      <c r="AA1158" s="14">
        <f>SUM(N1158:Y1158)</f>
        <v/>
      </c>
      <c r="AB1158" s="13">
        <f>SUMPRODUCT(N1158:Y1158,$N$3:$Y$3)*$K1158*$L1158*$M1158</f>
        <v/>
      </c>
      <c r="AC1158" s="13">
        <f>SUMPRODUCT(N1158:Y1158,$N$4:$Y$4)*$K1158*$L1158*$M1158</f>
        <v/>
      </c>
      <c r="AD1158" s="15" t="n">
        <v>3</v>
      </c>
      <c r="AE1158" s="11" t="n">
        <v>1.011296296296296</v>
      </c>
      <c r="AF1158" s="16">
        <f>SUMPRODUCT(N1158:Y1158,$N$5:$Y$5)*$K1158*$L1158*$M1158</f>
        <v/>
      </c>
      <c r="AG1158" s="16">
        <f>SUMPRODUCT(N1158:Y1158,$N$6:$Y$6)*$K1158*$L1158*$M1158</f>
        <v/>
      </c>
      <c r="AH1158" s="20" t="n"/>
    </row>
    <row r="1159">
      <c r="A1159" s="9" t="n">
        <v>800383</v>
      </c>
      <c r="B1159" s="9" t="inlineStr">
        <is>
          <t>Domingo Geronimo</t>
        </is>
      </c>
      <c r="C1159" s="9" t="inlineStr">
        <is>
          <t>LAD</t>
        </is>
      </c>
      <c r="D1159" s="9" t="n">
        <v>25</v>
      </c>
      <c r="E1159" s="18" t="inlineStr">
        <is>
          <t>R</t>
        </is>
      </c>
      <c r="F1159" s="18" t="n"/>
      <c r="G1159" s="9" t="n">
        <v>5.675999999999999</v>
      </c>
      <c r="H1159" s="9" t="n">
        <v>5.675999999999999</v>
      </c>
      <c r="I1159" s="9" t="inlineStr">
        <is>
          <t>Depth (no MLB IP)</t>
        </is>
      </c>
      <c r="J1159" s="18" t="inlineStr">
        <is>
          <t>Opening Day</t>
        </is>
      </c>
      <c r="K1159" s="11">
        <f>IFERROR(INDEX(Roles!$B$17:$B$20,MATCH(J1159,Roles!$A$17:$A$20,0)),1)</f>
        <v/>
      </c>
      <c r="L1159" s="19" t="n">
        <v>1</v>
      </c>
      <c r="M1159" s="11" t="n">
        <v>1</v>
      </c>
      <c r="N1159" s="19" t="n"/>
      <c r="O1159" s="19" t="n"/>
      <c r="P1159" s="19" t="n"/>
      <c r="Q1159" s="19" t="n"/>
      <c r="R1159" s="19" t="n"/>
      <c r="S1159" s="19" t="n"/>
      <c r="T1159" s="19" t="n"/>
      <c r="U1159" s="19" t="n"/>
      <c r="V1159" s="19" t="n"/>
      <c r="W1159" s="19" t="n"/>
      <c r="X1159" s="19" t="n"/>
      <c r="Y1159" s="19" t="n">
        <v>1</v>
      </c>
      <c r="Z1159" s="13">
        <f>SUMPRODUCT(N1159:Y1159,$N$2:$Y$2)*$K1159*$L1159*$M1159</f>
        <v/>
      </c>
      <c r="AA1159" s="14">
        <f>SUM(N1159:Y1159)</f>
        <v/>
      </c>
      <c r="AB1159" s="13">
        <f>SUMPRODUCT(N1159:Y1159,$N$3:$Y$3)*$K1159*$L1159*$M1159</f>
        <v/>
      </c>
      <c r="AC1159" s="13">
        <f>SUMPRODUCT(N1159:Y1159,$N$4:$Y$4)*$K1159*$L1159*$M1159</f>
        <v/>
      </c>
      <c r="AD1159" s="15" t="n">
        <v>3</v>
      </c>
      <c r="AE1159" s="11" t="n">
        <v>1.011296296296296</v>
      </c>
      <c r="AF1159" s="16">
        <f>SUMPRODUCT(N1159:Y1159,$N$5:$Y$5)*$K1159*$L1159*$M1159</f>
        <v/>
      </c>
      <c r="AG1159" s="16">
        <f>SUMPRODUCT(N1159:Y1159,$N$6:$Y$6)*$K1159*$L1159*$M1159</f>
        <v/>
      </c>
      <c r="AH1159" s="20" t="n"/>
    </row>
    <row r="1160">
      <c r="A1160" s="9" t="n">
        <v>837909</v>
      </c>
      <c r="B1160" s="9" t="inlineStr">
        <is>
          <t>Brandon Jaenke</t>
        </is>
      </c>
      <c r="C1160" s="9" t="inlineStr">
        <is>
          <t>TEX</t>
        </is>
      </c>
      <c r="D1160" s="9" t="n">
        <v>25</v>
      </c>
      <c r="E1160" s="18" t="inlineStr">
        <is>
          <t>R</t>
        </is>
      </c>
      <c r="F1160" s="18" t="n"/>
      <c r="G1160" s="9" t="n">
        <v>5.675999999999999</v>
      </c>
      <c r="H1160" s="9" t="n">
        <v>5.675999999999999</v>
      </c>
      <c r="I1160" s="9" t="inlineStr">
        <is>
          <t>Depth (no MLB IP)</t>
        </is>
      </c>
      <c r="J1160" s="18" t="inlineStr">
        <is>
          <t>Opening Day</t>
        </is>
      </c>
      <c r="K1160" s="11">
        <f>IFERROR(INDEX(Roles!$B$17:$B$20,MATCH(J1160,Roles!$A$17:$A$20,0)),1)</f>
        <v/>
      </c>
      <c r="L1160" s="19" t="n">
        <v>1</v>
      </c>
      <c r="M1160" s="11" t="n">
        <v>1</v>
      </c>
      <c r="N1160" s="19" t="n"/>
      <c r="O1160" s="19" t="n"/>
      <c r="P1160" s="19" t="n"/>
      <c r="Q1160" s="19" t="n"/>
      <c r="R1160" s="19" t="n"/>
      <c r="S1160" s="19" t="n"/>
      <c r="T1160" s="19" t="n"/>
      <c r="U1160" s="19" t="n"/>
      <c r="V1160" s="19" t="n"/>
      <c r="W1160" s="19" t="n"/>
      <c r="X1160" s="19" t="n"/>
      <c r="Y1160" s="19" t="n">
        <v>1</v>
      </c>
      <c r="Z1160" s="13">
        <f>SUMPRODUCT(N1160:Y1160,$N$2:$Y$2)*$K1160*$L1160*$M1160</f>
        <v/>
      </c>
      <c r="AA1160" s="14">
        <f>SUM(N1160:Y1160)</f>
        <v/>
      </c>
      <c r="AB1160" s="13">
        <f>SUMPRODUCT(N1160:Y1160,$N$3:$Y$3)*$K1160*$L1160*$M1160</f>
        <v/>
      </c>
      <c r="AC1160" s="13">
        <f>SUMPRODUCT(N1160:Y1160,$N$4:$Y$4)*$K1160*$L1160*$M1160</f>
        <v/>
      </c>
      <c r="AD1160" s="15" t="n">
        <v>3</v>
      </c>
      <c r="AE1160" s="11" t="n">
        <v>1.011296296296296</v>
      </c>
      <c r="AF1160" s="16">
        <f>SUMPRODUCT(N1160:Y1160,$N$5:$Y$5)*$K1160*$L1160*$M1160</f>
        <v/>
      </c>
      <c r="AG1160" s="16">
        <f>SUMPRODUCT(N1160:Y1160,$N$6:$Y$6)*$K1160*$L1160*$M1160</f>
        <v/>
      </c>
      <c r="AH1160" s="20" t="n"/>
    </row>
    <row r="1161">
      <c r="A1161" s="9" t="n">
        <v>686766</v>
      </c>
      <c r="B1161" s="9" t="inlineStr">
        <is>
          <t>William Simoneit</t>
        </is>
      </c>
      <c r="C1161" s="9" t="inlineStr">
        <is>
          <t>TOR</t>
        </is>
      </c>
      <c r="D1161" s="9" t="n">
        <v>25</v>
      </c>
      <c r="E1161" s="18" t="inlineStr">
        <is>
          <t>R</t>
        </is>
      </c>
      <c r="F1161" s="18" t="n"/>
      <c r="G1161" s="9" t="n">
        <v>5.518333333333334</v>
      </c>
      <c r="H1161" s="9" t="n">
        <v>5.518333333333334</v>
      </c>
      <c r="I1161" s="9" t="inlineStr">
        <is>
          <t>Depth (no MLB IP)</t>
        </is>
      </c>
      <c r="J1161" s="18" t="inlineStr">
        <is>
          <t>Opening Day</t>
        </is>
      </c>
      <c r="K1161" s="11">
        <f>IFERROR(INDEX(Roles!$B$17:$B$20,MATCH(J1161,Roles!$A$17:$A$20,0)),1)</f>
        <v/>
      </c>
      <c r="L1161" s="19" t="n">
        <v>1</v>
      </c>
      <c r="M1161" s="11" t="n">
        <v>1</v>
      </c>
      <c r="N1161" s="19" t="n"/>
      <c r="O1161" s="19" t="n"/>
      <c r="P1161" s="19" t="n"/>
      <c r="Q1161" s="19" t="n"/>
      <c r="R1161" s="19" t="n"/>
      <c r="S1161" s="19" t="n"/>
      <c r="T1161" s="19" t="n"/>
      <c r="U1161" s="19" t="n"/>
      <c r="V1161" s="19" t="n"/>
      <c r="W1161" s="19" t="n"/>
      <c r="X1161" s="19" t="n"/>
      <c r="Y1161" s="19" t="n">
        <v>1</v>
      </c>
      <c r="Z1161" s="13">
        <f>SUMPRODUCT(N1161:Y1161,$N$2:$Y$2)*$K1161*$L1161*$M1161</f>
        <v/>
      </c>
      <c r="AA1161" s="14">
        <f>SUM(N1161:Y1161)</f>
        <v/>
      </c>
      <c r="AB1161" s="13">
        <f>SUMPRODUCT(N1161:Y1161,$N$3:$Y$3)*$K1161*$L1161*$M1161</f>
        <v/>
      </c>
      <c r="AC1161" s="13">
        <f>SUMPRODUCT(N1161:Y1161,$N$4:$Y$4)*$K1161*$L1161*$M1161</f>
        <v/>
      </c>
      <c r="AD1161" s="15" t="n">
        <v>3</v>
      </c>
      <c r="AE1161" s="11" t="n">
        <v>1.011296296296296</v>
      </c>
      <c r="AF1161" s="16">
        <f>SUMPRODUCT(N1161:Y1161,$N$5:$Y$5)*$K1161*$L1161*$M1161</f>
        <v/>
      </c>
      <c r="AG1161" s="16">
        <f>SUMPRODUCT(N1161:Y1161,$N$6:$Y$6)*$K1161*$L1161*$M1161</f>
        <v/>
      </c>
      <c r="AH1161" s="20" t="n"/>
    </row>
    <row r="1162">
      <c r="A1162" s="9" t="n">
        <v>828495</v>
      </c>
      <c r="B1162" s="9" t="inlineStr">
        <is>
          <t>Mason Davenport</t>
        </is>
      </c>
      <c r="C1162" s="9" t="inlineStr">
        <is>
          <t>TOR</t>
        </is>
      </c>
      <c r="D1162" s="9" t="n">
        <v>25</v>
      </c>
      <c r="E1162" s="18" t="inlineStr">
        <is>
          <t>R</t>
        </is>
      </c>
      <c r="F1162" s="18" t="n"/>
      <c r="G1162" s="9" t="n">
        <v>5.503999999999999</v>
      </c>
      <c r="H1162" s="9" t="n">
        <v>5.503999999999999</v>
      </c>
      <c r="I1162" s="9" t="inlineStr">
        <is>
          <t>Depth (no MLB IP)</t>
        </is>
      </c>
      <c r="J1162" s="18" t="inlineStr">
        <is>
          <t>Opening Day</t>
        </is>
      </c>
      <c r="K1162" s="11">
        <f>IFERROR(INDEX(Roles!$B$17:$B$20,MATCH(J1162,Roles!$A$17:$A$20,0)),1)</f>
        <v/>
      </c>
      <c r="L1162" s="19" t="n">
        <v>1</v>
      </c>
      <c r="M1162" s="11" t="n">
        <v>1</v>
      </c>
      <c r="N1162" s="19" t="n"/>
      <c r="O1162" s="19" t="n"/>
      <c r="P1162" s="19" t="n"/>
      <c r="Q1162" s="19" t="n"/>
      <c r="R1162" s="19" t="n"/>
      <c r="S1162" s="19" t="n"/>
      <c r="T1162" s="19" t="n"/>
      <c r="U1162" s="19" t="n"/>
      <c r="V1162" s="19" t="n"/>
      <c r="W1162" s="19" t="n"/>
      <c r="X1162" s="19" t="n"/>
      <c r="Y1162" s="19" t="n">
        <v>1</v>
      </c>
      <c r="Z1162" s="13">
        <f>SUMPRODUCT(N1162:Y1162,$N$2:$Y$2)*$K1162*$L1162*$M1162</f>
        <v/>
      </c>
      <c r="AA1162" s="14">
        <f>SUM(N1162:Y1162)</f>
        <v/>
      </c>
      <c r="AB1162" s="13">
        <f>SUMPRODUCT(N1162:Y1162,$N$3:$Y$3)*$K1162*$L1162*$M1162</f>
        <v/>
      </c>
      <c r="AC1162" s="13">
        <f>SUMPRODUCT(N1162:Y1162,$N$4:$Y$4)*$K1162*$L1162*$M1162</f>
        <v/>
      </c>
      <c r="AD1162" s="15" t="n">
        <v>3</v>
      </c>
      <c r="AE1162" s="11" t="n">
        <v>1.011296296296296</v>
      </c>
      <c r="AF1162" s="16">
        <f>SUMPRODUCT(N1162:Y1162,$N$5:$Y$5)*$K1162*$L1162*$M1162</f>
        <v/>
      </c>
      <c r="AG1162" s="16">
        <f>SUMPRODUCT(N1162:Y1162,$N$6:$Y$6)*$K1162*$L1162*$M1162</f>
        <v/>
      </c>
      <c r="AH1162" s="20" t="n"/>
    </row>
    <row r="1163">
      <c r="A1163" s="9" t="n">
        <v>807995</v>
      </c>
      <c r="B1163" s="9" t="inlineStr">
        <is>
          <t>Eduar Gonzalez</t>
        </is>
      </c>
      <c r="C1163" s="9" t="inlineStr">
        <is>
          <t>TOR</t>
        </is>
      </c>
      <c r="D1163" s="9" t="n">
        <v>25</v>
      </c>
      <c r="E1163" s="18" t="inlineStr">
        <is>
          <t>L</t>
        </is>
      </c>
      <c r="F1163" s="18" t="n"/>
      <c r="G1163" s="9" t="n">
        <v>5.675999999999999</v>
      </c>
      <c r="H1163" s="9" t="n">
        <v>5.675999999999999</v>
      </c>
      <c r="I1163" s="9" t="inlineStr">
        <is>
          <t>Depth (no MLB IP)</t>
        </is>
      </c>
      <c r="J1163" s="18" t="inlineStr">
        <is>
          <t>Opening Day</t>
        </is>
      </c>
      <c r="K1163" s="11">
        <f>IFERROR(INDEX(Roles!$B$17:$B$20,MATCH(J1163,Roles!$A$17:$A$20,0)),1)</f>
        <v/>
      </c>
      <c r="L1163" s="19" t="n">
        <v>1</v>
      </c>
      <c r="M1163" s="11" t="n">
        <v>1</v>
      </c>
      <c r="N1163" s="19" t="n"/>
      <c r="O1163" s="19" t="n"/>
      <c r="P1163" s="19" t="n"/>
      <c r="Q1163" s="19" t="n"/>
      <c r="R1163" s="19" t="n"/>
      <c r="S1163" s="19" t="n"/>
      <c r="T1163" s="19" t="n"/>
      <c r="U1163" s="19" t="n"/>
      <c r="V1163" s="19" t="n"/>
      <c r="W1163" s="19" t="n"/>
      <c r="X1163" s="19" t="n"/>
      <c r="Y1163" s="19" t="n">
        <v>1</v>
      </c>
      <c r="Z1163" s="13">
        <f>SUMPRODUCT(N1163:Y1163,$N$2:$Y$2)*$K1163*$L1163*$M1163</f>
        <v/>
      </c>
      <c r="AA1163" s="14">
        <f>SUM(N1163:Y1163)</f>
        <v/>
      </c>
      <c r="AB1163" s="13">
        <f>SUMPRODUCT(N1163:Y1163,$N$3:$Y$3)*$K1163*$L1163*$M1163</f>
        <v/>
      </c>
      <c r="AC1163" s="13">
        <f>SUMPRODUCT(N1163:Y1163,$N$4:$Y$4)*$K1163*$L1163*$M1163</f>
        <v/>
      </c>
      <c r="AD1163" s="15" t="n">
        <v>3</v>
      </c>
      <c r="AE1163" s="11" t="n">
        <v>1.011296296296296</v>
      </c>
      <c r="AF1163" s="16">
        <f>SUMPRODUCT(N1163:Y1163,$N$5:$Y$5)*$K1163*$L1163*$M1163</f>
        <v/>
      </c>
      <c r="AG1163" s="16">
        <f>SUMPRODUCT(N1163:Y1163,$N$6:$Y$6)*$K1163*$L1163*$M1163</f>
        <v/>
      </c>
      <c r="AH1163" s="20" t="n"/>
    </row>
    <row r="1164">
      <c r="A1164" s="9" t="n">
        <v>807835</v>
      </c>
      <c r="B1164" s="9" t="inlineStr">
        <is>
          <t>Jonawel Valdez</t>
        </is>
      </c>
      <c r="C1164" s="9" t="inlineStr">
        <is>
          <t>MIA</t>
        </is>
      </c>
      <c r="D1164" s="9" t="n">
        <v>25</v>
      </c>
      <c r="E1164" s="18" t="inlineStr">
        <is>
          <t>R</t>
        </is>
      </c>
      <c r="F1164" s="18" t="n"/>
      <c r="G1164" s="9" t="n">
        <v>5.503999999999999</v>
      </c>
      <c r="H1164" s="9" t="n">
        <v>5.503999999999999</v>
      </c>
      <c r="I1164" s="9" t="inlineStr">
        <is>
          <t>Depth (no MLB IP)</t>
        </is>
      </c>
      <c r="J1164" s="18" t="inlineStr">
        <is>
          <t>Opening Day</t>
        </is>
      </c>
      <c r="K1164" s="11">
        <f>IFERROR(INDEX(Roles!$B$17:$B$20,MATCH(J1164,Roles!$A$17:$A$20,0)),1)</f>
        <v/>
      </c>
      <c r="L1164" s="19" t="n">
        <v>1</v>
      </c>
      <c r="M1164" s="11" t="n">
        <v>1</v>
      </c>
      <c r="N1164" s="19" t="n"/>
      <c r="O1164" s="19" t="n"/>
      <c r="P1164" s="19" t="n"/>
      <c r="Q1164" s="19" t="n"/>
      <c r="R1164" s="19" t="n"/>
      <c r="S1164" s="19" t="n"/>
      <c r="T1164" s="19" t="n"/>
      <c r="U1164" s="19" t="n"/>
      <c r="V1164" s="19" t="n"/>
      <c r="W1164" s="19" t="n"/>
      <c r="X1164" s="19" t="n"/>
      <c r="Y1164" s="19" t="n">
        <v>1</v>
      </c>
      <c r="Z1164" s="13">
        <f>SUMPRODUCT(N1164:Y1164,$N$2:$Y$2)*$K1164*$L1164*$M1164</f>
        <v/>
      </c>
      <c r="AA1164" s="14">
        <f>SUM(N1164:Y1164)</f>
        <v/>
      </c>
      <c r="AB1164" s="13">
        <f>SUMPRODUCT(N1164:Y1164,$N$3:$Y$3)*$K1164*$L1164*$M1164</f>
        <v/>
      </c>
      <c r="AC1164" s="13">
        <f>SUMPRODUCT(N1164:Y1164,$N$4:$Y$4)*$K1164*$L1164*$M1164</f>
        <v/>
      </c>
      <c r="AD1164" s="15" t="n">
        <v>3</v>
      </c>
      <c r="AE1164" s="11" t="n">
        <v>1.011296296296296</v>
      </c>
      <c r="AF1164" s="16">
        <f>SUMPRODUCT(N1164:Y1164,$N$5:$Y$5)*$K1164*$L1164*$M1164</f>
        <v/>
      </c>
      <c r="AG1164" s="16">
        <f>SUMPRODUCT(N1164:Y1164,$N$6:$Y$6)*$K1164*$L1164*$M1164</f>
        <v/>
      </c>
      <c r="AH1164" s="20" t="n"/>
    </row>
    <row r="1165">
      <c r="A1165" s="9" t="n">
        <v>806948</v>
      </c>
      <c r="B1165" s="9" t="inlineStr">
        <is>
          <t>Luis Aguilar</t>
        </is>
      </c>
      <c r="C1165" s="9" t="inlineStr">
        <is>
          <t>HOU</t>
        </is>
      </c>
      <c r="D1165" s="9" t="n">
        <v>25</v>
      </c>
      <c r="E1165" s="18" t="inlineStr">
        <is>
          <t>R</t>
        </is>
      </c>
      <c r="F1165" s="18" t="n"/>
      <c r="G1165" s="9" t="n">
        <v>5.503999999999999</v>
      </c>
      <c r="H1165" s="9" t="n">
        <v>5.503999999999999</v>
      </c>
      <c r="I1165" s="9" t="inlineStr">
        <is>
          <t>Depth (no MLB IP)</t>
        </is>
      </c>
      <c r="J1165" s="18" t="inlineStr">
        <is>
          <t>Opening Day</t>
        </is>
      </c>
      <c r="K1165" s="11">
        <f>IFERROR(INDEX(Roles!$B$17:$B$20,MATCH(J1165,Roles!$A$17:$A$20,0)),1)</f>
        <v/>
      </c>
      <c r="L1165" s="19" t="n">
        <v>1</v>
      </c>
      <c r="M1165" s="11" t="n">
        <v>1</v>
      </c>
      <c r="N1165" s="19" t="n"/>
      <c r="O1165" s="19" t="n"/>
      <c r="P1165" s="19" t="n"/>
      <c r="Q1165" s="19" t="n"/>
      <c r="R1165" s="19" t="n"/>
      <c r="S1165" s="19" t="n"/>
      <c r="T1165" s="19" t="n"/>
      <c r="U1165" s="19" t="n"/>
      <c r="V1165" s="19" t="n"/>
      <c r="W1165" s="19" t="n"/>
      <c r="X1165" s="19" t="n"/>
      <c r="Y1165" s="19" t="n">
        <v>1</v>
      </c>
      <c r="Z1165" s="13">
        <f>SUMPRODUCT(N1165:Y1165,$N$2:$Y$2)*$K1165*$L1165*$M1165</f>
        <v/>
      </c>
      <c r="AA1165" s="14">
        <f>SUM(N1165:Y1165)</f>
        <v/>
      </c>
      <c r="AB1165" s="13">
        <f>SUMPRODUCT(N1165:Y1165,$N$3:$Y$3)*$K1165*$L1165*$M1165</f>
        <v/>
      </c>
      <c r="AC1165" s="13">
        <f>SUMPRODUCT(N1165:Y1165,$N$4:$Y$4)*$K1165*$L1165*$M1165</f>
        <v/>
      </c>
      <c r="AD1165" s="15" t="n">
        <v>3</v>
      </c>
      <c r="AE1165" s="11" t="n">
        <v>1.011296296296296</v>
      </c>
      <c r="AF1165" s="16">
        <f>SUMPRODUCT(N1165:Y1165,$N$5:$Y$5)*$K1165*$L1165*$M1165</f>
        <v/>
      </c>
      <c r="AG1165" s="16">
        <f>SUMPRODUCT(N1165:Y1165,$N$6:$Y$6)*$K1165*$L1165*$M1165</f>
        <v/>
      </c>
      <c r="AH1165" s="20" t="n"/>
    </row>
    <row r="1166">
      <c r="A1166" s="9" t="n">
        <v>820872</v>
      </c>
      <c r="B1166" s="9" t="inlineStr">
        <is>
          <t>Jose Cabrera</t>
        </is>
      </c>
      <c r="C1166" s="9" t="inlineStr">
        <is>
          <t>LAD</t>
        </is>
      </c>
      <c r="D1166" s="9" t="n">
        <v>25</v>
      </c>
      <c r="E1166" s="18" t="inlineStr">
        <is>
          <t>R</t>
        </is>
      </c>
      <c r="F1166" s="18" t="n"/>
      <c r="G1166" s="9" t="n">
        <v>5.848</v>
      </c>
      <c r="H1166" s="9" t="n">
        <v>5.848</v>
      </c>
      <c r="I1166" s="9" t="inlineStr">
        <is>
          <t>Depth (no MLB IP)</t>
        </is>
      </c>
      <c r="J1166" s="18" t="inlineStr">
        <is>
          <t>Opening Day</t>
        </is>
      </c>
      <c r="K1166" s="11">
        <f>IFERROR(INDEX(Roles!$B$17:$B$20,MATCH(J1166,Roles!$A$17:$A$20,0)),1)</f>
        <v/>
      </c>
      <c r="L1166" s="19" t="n">
        <v>1</v>
      </c>
      <c r="M1166" s="11" t="n">
        <v>1</v>
      </c>
      <c r="N1166" s="19" t="n"/>
      <c r="O1166" s="19" t="n"/>
      <c r="P1166" s="19" t="n"/>
      <c r="Q1166" s="19" t="n"/>
      <c r="R1166" s="19" t="n"/>
      <c r="S1166" s="19" t="n"/>
      <c r="T1166" s="19" t="n"/>
      <c r="U1166" s="19" t="n"/>
      <c r="V1166" s="19" t="n"/>
      <c r="W1166" s="19" t="n"/>
      <c r="X1166" s="19" t="n"/>
      <c r="Y1166" s="19" t="n">
        <v>1</v>
      </c>
      <c r="Z1166" s="13">
        <f>SUMPRODUCT(N1166:Y1166,$N$2:$Y$2)*$K1166*$L1166*$M1166</f>
        <v/>
      </c>
      <c r="AA1166" s="14">
        <f>SUM(N1166:Y1166)</f>
        <v/>
      </c>
      <c r="AB1166" s="13">
        <f>SUMPRODUCT(N1166:Y1166,$N$3:$Y$3)*$K1166*$L1166*$M1166</f>
        <v/>
      </c>
      <c r="AC1166" s="13">
        <f>SUMPRODUCT(N1166:Y1166,$N$4:$Y$4)*$K1166*$L1166*$M1166</f>
        <v/>
      </c>
      <c r="AD1166" s="15" t="n">
        <v>3</v>
      </c>
      <c r="AE1166" s="11" t="n">
        <v>1.011296296296296</v>
      </c>
      <c r="AF1166" s="16">
        <f>SUMPRODUCT(N1166:Y1166,$N$5:$Y$5)*$K1166*$L1166*$M1166</f>
        <v/>
      </c>
      <c r="AG1166" s="16">
        <f>SUMPRODUCT(N1166:Y1166,$N$6:$Y$6)*$K1166*$L1166*$M1166</f>
        <v/>
      </c>
      <c r="AH1166" s="20" t="n"/>
    </row>
    <row r="1167">
      <c r="A1167" s="9" t="n">
        <v>814537</v>
      </c>
      <c r="B1167" s="9" t="inlineStr">
        <is>
          <t>Coleman Picard</t>
        </is>
      </c>
      <c r="C1167" s="9" t="inlineStr">
        <is>
          <t>KC</t>
        </is>
      </c>
      <c r="D1167" s="9" t="n">
        <v>25</v>
      </c>
      <c r="E1167" s="18" t="inlineStr">
        <is>
          <t>R</t>
        </is>
      </c>
      <c r="F1167" s="18" t="n"/>
      <c r="G1167" s="9" t="n">
        <v>6.02</v>
      </c>
      <c r="H1167" s="9" t="n">
        <v>6.02</v>
      </c>
      <c r="I1167" s="9" t="inlineStr">
        <is>
          <t>Depth (no MLB IP)</t>
        </is>
      </c>
      <c r="J1167" s="18" t="inlineStr">
        <is>
          <t>Opening Day</t>
        </is>
      </c>
      <c r="K1167" s="11">
        <f>IFERROR(INDEX(Roles!$B$17:$B$20,MATCH(J1167,Roles!$A$17:$A$20,0)),1)</f>
        <v/>
      </c>
      <c r="L1167" s="19" t="n">
        <v>1</v>
      </c>
      <c r="M1167" s="11" t="n">
        <v>1</v>
      </c>
      <c r="N1167" s="19" t="n"/>
      <c r="O1167" s="19" t="n"/>
      <c r="P1167" s="19" t="n"/>
      <c r="Q1167" s="19" t="n"/>
      <c r="R1167" s="19" t="n"/>
      <c r="S1167" s="19" t="n"/>
      <c r="T1167" s="19" t="n"/>
      <c r="U1167" s="19" t="n"/>
      <c r="V1167" s="19" t="n"/>
      <c r="W1167" s="19" t="n"/>
      <c r="X1167" s="19" t="n"/>
      <c r="Y1167" s="19" t="n">
        <v>1</v>
      </c>
      <c r="Z1167" s="13">
        <f>SUMPRODUCT(N1167:Y1167,$N$2:$Y$2)*$K1167*$L1167*$M1167</f>
        <v/>
      </c>
      <c r="AA1167" s="14">
        <f>SUM(N1167:Y1167)</f>
        <v/>
      </c>
      <c r="AB1167" s="13">
        <f>SUMPRODUCT(N1167:Y1167,$N$3:$Y$3)*$K1167*$L1167*$M1167</f>
        <v/>
      </c>
      <c r="AC1167" s="13">
        <f>SUMPRODUCT(N1167:Y1167,$N$4:$Y$4)*$K1167*$L1167*$M1167</f>
        <v/>
      </c>
      <c r="AD1167" s="15" t="n">
        <v>3</v>
      </c>
      <c r="AE1167" s="11" t="n">
        <v>1.011296296296296</v>
      </c>
      <c r="AF1167" s="16">
        <f>SUMPRODUCT(N1167:Y1167,$N$5:$Y$5)*$K1167*$L1167*$M1167</f>
        <v/>
      </c>
      <c r="AG1167" s="16">
        <f>SUMPRODUCT(N1167:Y1167,$N$6:$Y$6)*$K1167*$L1167*$M1167</f>
        <v/>
      </c>
      <c r="AH1167" s="20" t="n"/>
    </row>
    <row r="1168">
      <c r="A1168" s="9" t="n">
        <v>699257</v>
      </c>
      <c r="B1168" s="9" t="inlineStr">
        <is>
          <t>Owen Woodward</t>
        </is>
      </c>
      <c r="C1168" s="9" t="inlineStr">
        <is>
          <t>NYM</t>
        </is>
      </c>
      <c r="D1168" s="9" t="n">
        <v>25</v>
      </c>
      <c r="E1168" s="18" t="inlineStr">
        <is>
          <t>R</t>
        </is>
      </c>
      <c r="F1168" s="18" t="n"/>
      <c r="G1168" s="9" t="n">
        <v>5.848</v>
      </c>
      <c r="H1168" s="9" t="n">
        <v>5.848</v>
      </c>
      <c r="I1168" s="9" t="inlineStr">
        <is>
          <t>Depth (no MLB IP)</t>
        </is>
      </c>
      <c r="J1168" s="18" t="inlineStr">
        <is>
          <t>Opening Day</t>
        </is>
      </c>
      <c r="K1168" s="11">
        <f>IFERROR(INDEX(Roles!$B$17:$B$20,MATCH(J1168,Roles!$A$17:$A$20,0)),1)</f>
        <v/>
      </c>
      <c r="L1168" s="19" t="n">
        <v>1</v>
      </c>
      <c r="M1168" s="11" t="n">
        <v>1</v>
      </c>
      <c r="N1168" s="19" t="n"/>
      <c r="O1168" s="19" t="n"/>
      <c r="P1168" s="19" t="n"/>
      <c r="Q1168" s="19" t="n"/>
      <c r="R1168" s="19" t="n"/>
      <c r="S1168" s="19" t="n"/>
      <c r="T1168" s="19" t="n"/>
      <c r="U1168" s="19" t="n"/>
      <c r="V1168" s="19" t="n"/>
      <c r="W1168" s="19" t="n"/>
      <c r="X1168" s="19" t="n"/>
      <c r="Y1168" s="19" t="n">
        <v>1</v>
      </c>
      <c r="Z1168" s="13">
        <f>SUMPRODUCT(N1168:Y1168,$N$2:$Y$2)*$K1168*$L1168*$M1168</f>
        <v/>
      </c>
      <c r="AA1168" s="14">
        <f>SUM(N1168:Y1168)</f>
        <v/>
      </c>
      <c r="AB1168" s="13">
        <f>SUMPRODUCT(N1168:Y1168,$N$3:$Y$3)*$K1168*$L1168*$M1168</f>
        <v/>
      </c>
      <c r="AC1168" s="13">
        <f>SUMPRODUCT(N1168:Y1168,$N$4:$Y$4)*$K1168*$L1168*$M1168</f>
        <v/>
      </c>
      <c r="AD1168" s="15" t="n">
        <v>3</v>
      </c>
      <c r="AE1168" s="11" t="n">
        <v>1.011296296296296</v>
      </c>
      <c r="AF1168" s="16">
        <f>SUMPRODUCT(N1168:Y1168,$N$5:$Y$5)*$K1168*$L1168*$M1168</f>
        <v/>
      </c>
      <c r="AG1168" s="16">
        <f>SUMPRODUCT(N1168:Y1168,$N$6:$Y$6)*$K1168*$L1168*$M1168</f>
        <v/>
      </c>
      <c r="AH1168" s="20" t="n"/>
    </row>
    <row r="1169">
      <c r="A1169" s="9" t="n">
        <v>694647</v>
      </c>
      <c r="B1169" s="9" t="inlineStr">
        <is>
          <t>Drew Dowd</t>
        </is>
      </c>
      <c r="C1169" s="9" t="inlineStr">
        <is>
          <t>TB</t>
        </is>
      </c>
      <c r="D1169" s="9" t="n">
        <v>25</v>
      </c>
      <c r="E1169" s="18" t="inlineStr">
        <is>
          <t>L</t>
        </is>
      </c>
      <c r="F1169" s="18" t="n"/>
      <c r="G1169" s="9" t="n">
        <v>6.02</v>
      </c>
      <c r="H1169" s="9" t="n">
        <v>6.02</v>
      </c>
      <c r="I1169" s="9" t="inlineStr">
        <is>
          <t>Depth (no MLB IP)</t>
        </is>
      </c>
      <c r="J1169" s="18" t="inlineStr">
        <is>
          <t>Opening Day</t>
        </is>
      </c>
      <c r="K1169" s="11">
        <f>IFERROR(INDEX(Roles!$B$17:$B$20,MATCH(J1169,Roles!$A$17:$A$20,0)),1)</f>
        <v/>
      </c>
      <c r="L1169" s="19" t="n">
        <v>1</v>
      </c>
      <c r="M1169" s="11" t="n">
        <v>1</v>
      </c>
      <c r="N1169" s="19" t="n"/>
      <c r="O1169" s="19" t="n"/>
      <c r="P1169" s="19" t="n"/>
      <c r="Q1169" s="19" t="n"/>
      <c r="R1169" s="19" t="n"/>
      <c r="S1169" s="19" t="n"/>
      <c r="T1169" s="19" t="n"/>
      <c r="U1169" s="19" t="n"/>
      <c r="V1169" s="19" t="n"/>
      <c r="W1169" s="19" t="n"/>
      <c r="X1169" s="19" t="n"/>
      <c r="Y1169" s="19" t="n">
        <v>1</v>
      </c>
      <c r="Z1169" s="13">
        <f>SUMPRODUCT(N1169:Y1169,$N$2:$Y$2)*$K1169*$L1169*$M1169</f>
        <v/>
      </c>
      <c r="AA1169" s="14">
        <f>SUM(N1169:Y1169)</f>
        <v/>
      </c>
      <c r="AB1169" s="13">
        <f>SUMPRODUCT(N1169:Y1169,$N$3:$Y$3)*$K1169*$L1169*$M1169</f>
        <v/>
      </c>
      <c r="AC1169" s="13">
        <f>SUMPRODUCT(N1169:Y1169,$N$4:$Y$4)*$K1169*$L1169*$M1169</f>
        <v/>
      </c>
      <c r="AD1169" s="15" t="n">
        <v>3</v>
      </c>
      <c r="AE1169" s="11" t="n">
        <v>1.011296296296296</v>
      </c>
      <c r="AF1169" s="16">
        <f>SUMPRODUCT(N1169:Y1169,$N$5:$Y$5)*$K1169*$L1169*$M1169</f>
        <v/>
      </c>
      <c r="AG1169" s="16">
        <f>SUMPRODUCT(N1169:Y1169,$N$6:$Y$6)*$K1169*$L1169*$M1169</f>
        <v/>
      </c>
      <c r="AH1169" s="20" t="n"/>
    </row>
    <row r="1170">
      <c r="A1170" s="9" t="n">
        <v>808374</v>
      </c>
      <c r="B1170" s="9" t="inlineStr">
        <is>
          <t>Javier González</t>
        </is>
      </c>
      <c r="C1170" s="9" t="inlineStr">
        <is>
          <t>BAL</t>
        </is>
      </c>
      <c r="D1170" s="9" t="n">
        <v>25</v>
      </c>
      <c r="E1170" s="18" t="inlineStr">
        <is>
          <t>R</t>
        </is>
      </c>
      <c r="F1170" s="18" t="n"/>
      <c r="G1170" s="9" t="n">
        <v>5.848</v>
      </c>
      <c r="H1170" s="9" t="n">
        <v>5.848</v>
      </c>
      <c r="I1170" s="9" t="inlineStr">
        <is>
          <t>Depth (no MLB IP)</t>
        </is>
      </c>
      <c r="J1170" s="18" t="inlineStr">
        <is>
          <t>Opening Day</t>
        </is>
      </c>
      <c r="K1170" s="11">
        <f>IFERROR(INDEX(Roles!$B$17:$B$20,MATCH(J1170,Roles!$A$17:$A$20,0)),1)</f>
        <v/>
      </c>
      <c r="L1170" s="19" t="n">
        <v>1</v>
      </c>
      <c r="M1170" s="11" t="n">
        <v>1</v>
      </c>
      <c r="N1170" s="19" t="n"/>
      <c r="O1170" s="19" t="n"/>
      <c r="P1170" s="19" t="n"/>
      <c r="Q1170" s="19" t="n"/>
      <c r="R1170" s="19" t="n"/>
      <c r="S1170" s="19" t="n"/>
      <c r="T1170" s="19" t="n"/>
      <c r="U1170" s="19" t="n"/>
      <c r="V1170" s="19" t="n"/>
      <c r="W1170" s="19" t="n"/>
      <c r="X1170" s="19" t="n"/>
      <c r="Y1170" s="19" t="n">
        <v>1</v>
      </c>
      <c r="Z1170" s="13">
        <f>SUMPRODUCT(N1170:Y1170,$N$2:$Y$2)*$K1170*$L1170*$M1170</f>
        <v/>
      </c>
      <c r="AA1170" s="14">
        <f>SUM(N1170:Y1170)</f>
        <v/>
      </c>
      <c r="AB1170" s="13">
        <f>SUMPRODUCT(N1170:Y1170,$N$3:$Y$3)*$K1170*$L1170*$M1170</f>
        <v/>
      </c>
      <c r="AC1170" s="13">
        <f>SUMPRODUCT(N1170:Y1170,$N$4:$Y$4)*$K1170*$L1170*$M1170</f>
        <v/>
      </c>
      <c r="AD1170" s="15" t="n">
        <v>3</v>
      </c>
      <c r="AE1170" s="11" t="n">
        <v>1.011296296296296</v>
      </c>
      <c r="AF1170" s="16">
        <f>SUMPRODUCT(N1170:Y1170,$N$5:$Y$5)*$K1170*$L1170*$M1170</f>
        <v/>
      </c>
      <c r="AG1170" s="16">
        <f>SUMPRODUCT(N1170:Y1170,$N$6:$Y$6)*$K1170*$L1170*$M1170</f>
        <v/>
      </c>
      <c r="AH1170" s="20" t="n"/>
    </row>
    <row r="1171">
      <c r="A1171" s="9" t="n">
        <v>842191</v>
      </c>
      <c r="B1171" s="9" t="inlineStr">
        <is>
          <t>Andrew Herbert</t>
        </is>
      </c>
      <c r="C1171" s="9" t="inlineStr">
        <is>
          <t>BAL</t>
        </is>
      </c>
      <c r="D1171" s="9" t="n">
        <v>25</v>
      </c>
      <c r="E1171" s="18" t="inlineStr">
        <is>
          <t>R</t>
        </is>
      </c>
      <c r="F1171" s="18" t="n"/>
      <c r="G1171" s="9" t="n">
        <v>6.02</v>
      </c>
      <c r="H1171" s="9" t="n">
        <v>6.02</v>
      </c>
      <c r="I1171" s="9" t="inlineStr">
        <is>
          <t>Depth (no MLB IP)</t>
        </is>
      </c>
      <c r="J1171" s="18" t="inlineStr">
        <is>
          <t>Opening Day</t>
        </is>
      </c>
      <c r="K1171" s="11">
        <f>IFERROR(INDEX(Roles!$B$17:$B$20,MATCH(J1171,Roles!$A$17:$A$20,0)),1)</f>
        <v/>
      </c>
      <c r="L1171" s="19" t="n">
        <v>1</v>
      </c>
      <c r="M1171" s="11" t="n">
        <v>1</v>
      </c>
      <c r="N1171" s="19" t="n"/>
      <c r="O1171" s="19" t="n"/>
      <c r="P1171" s="19" t="n"/>
      <c r="Q1171" s="19" t="n"/>
      <c r="R1171" s="19" t="n"/>
      <c r="S1171" s="19" t="n"/>
      <c r="T1171" s="19" t="n"/>
      <c r="U1171" s="19" t="n"/>
      <c r="V1171" s="19" t="n"/>
      <c r="W1171" s="19" t="n"/>
      <c r="X1171" s="19" t="n"/>
      <c r="Y1171" s="19" t="n">
        <v>1</v>
      </c>
      <c r="Z1171" s="13">
        <f>SUMPRODUCT(N1171:Y1171,$N$2:$Y$2)*$K1171*$L1171*$M1171</f>
        <v/>
      </c>
      <c r="AA1171" s="14">
        <f>SUM(N1171:Y1171)</f>
        <v/>
      </c>
      <c r="AB1171" s="13">
        <f>SUMPRODUCT(N1171:Y1171,$N$3:$Y$3)*$K1171*$L1171*$M1171</f>
        <v/>
      </c>
      <c r="AC1171" s="13">
        <f>SUMPRODUCT(N1171:Y1171,$N$4:$Y$4)*$K1171*$L1171*$M1171</f>
        <v/>
      </c>
      <c r="AD1171" s="15" t="n">
        <v>3</v>
      </c>
      <c r="AE1171" s="11" t="n">
        <v>1.011296296296296</v>
      </c>
      <c r="AF1171" s="16">
        <f>SUMPRODUCT(N1171:Y1171,$N$5:$Y$5)*$K1171*$L1171*$M1171</f>
        <v/>
      </c>
      <c r="AG1171" s="16">
        <f>SUMPRODUCT(N1171:Y1171,$N$6:$Y$6)*$K1171*$L1171*$M1171</f>
        <v/>
      </c>
      <c r="AH1171" s="20" t="n"/>
    </row>
    <row r="1172">
      <c r="A1172" s="9" t="n">
        <v>814835</v>
      </c>
      <c r="B1172" s="9" t="inlineStr">
        <is>
          <t>Jaden Alba</t>
        </is>
      </c>
      <c r="C1172" s="9" t="inlineStr">
        <is>
          <t>STL</t>
        </is>
      </c>
      <c r="D1172" s="9" t="n">
        <v>25</v>
      </c>
      <c r="E1172" s="18" t="inlineStr">
        <is>
          <t>R</t>
        </is>
      </c>
      <c r="F1172" s="18" t="n"/>
      <c r="G1172" s="9" t="n">
        <v>6.02</v>
      </c>
      <c r="H1172" s="9" t="n">
        <v>6.02</v>
      </c>
      <c r="I1172" s="9" t="inlineStr">
        <is>
          <t>Depth (no MLB IP)</t>
        </is>
      </c>
      <c r="J1172" s="18" t="inlineStr">
        <is>
          <t>Opening Day</t>
        </is>
      </c>
      <c r="K1172" s="11">
        <f>IFERROR(INDEX(Roles!$B$17:$B$20,MATCH(J1172,Roles!$A$17:$A$20,0)),1)</f>
        <v/>
      </c>
      <c r="L1172" s="19" t="n">
        <v>1</v>
      </c>
      <c r="M1172" s="11" t="n">
        <v>1</v>
      </c>
      <c r="N1172" s="19" t="n"/>
      <c r="O1172" s="19" t="n"/>
      <c r="P1172" s="19" t="n"/>
      <c r="Q1172" s="19" t="n"/>
      <c r="R1172" s="19" t="n"/>
      <c r="S1172" s="19" t="n"/>
      <c r="T1172" s="19" t="n"/>
      <c r="U1172" s="19" t="n"/>
      <c r="V1172" s="19" t="n"/>
      <c r="W1172" s="19" t="n"/>
      <c r="X1172" s="19" t="n"/>
      <c r="Y1172" s="19" t="n">
        <v>1</v>
      </c>
      <c r="Z1172" s="13">
        <f>SUMPRODUCT(N1172:Y1172,$N$2:$Y$2)*$K1172*$L1172*$M1172</f>
        <v/>
      </c>
      <c r="AA1172" s="14">
        <f>SUM(N1172:Y1172)</f>
        <v/>
      </c>
      <c r="AB1172" s="13">
        <f>SUMPRODUCT(N1172:Y1172,$N$3:$Y$3)*$K1172*$L1172*$M1172</f>
        <v/>
      </c>
      <c r="AC1172" s="13">
        <f>SUMPRODUCT(N1172:Y1172,$N$4:$Y$4)*$K1172*$L1172*$M1172</f>
        <v/>
      </c>
      <c r="AD1172" s="15" t="n">
        <v>3</v>
      </c>
      <c r="AE1172" s="11" t="n">
        <v>1.011296296296296</v>
      </c>
      <c r="AF1172" s="16">
        <f>SUMPRODUCT(N1172:Y1172,$N$5:$Y$5)*$K1172*$L1172*$M1172</f>
        <v/>
      </c>
      <c r="AG1172" s="16">
        <f>SUMPRODUCT(N1172:Y1172,$N$6:$Y$6)*$K1172*$L1172*$M1172</f>
        <v/>
      </c>
      <c r="AH1172" s="20" t="n"/>
    </row>
    <row r="1173">
      <c r="A1173" s="9" t="n">
        <v>700248</v>
      </c>
      <c r="B1173" s="9" t="inlineStr">
        <is>
          <t>Marty Gair</t>
        </is>
      </c>
      <c r="C1173" s="9" t="inlineStr">
        <is>
          <t>SF</t>
        </is>
      </c>
      <c r="D1173" s="9" t="n">
        <v>25</v>
      </c>
      <c r="E1173" s="18" t="inlineStr">
        <is>
          <t>R</t>
        </is>
      </c>
      <c r="F1173" s="18" t="n"/>
      <c r="G1173" s="9" t="n">
        <v>6.02</v>
      </c>
      <c r="H1173" s="9" t="n">
        <v>6.02</v>
      </c>
      <c r="I1173" s="9" t="inlineStr">
        <is>
          <t>Depth (no MLB IP)</t>
        </is>
      </c>
      <c r="J1173" s="18" t="inlineStr">
        <is>
          <t>Opening Day</t>
        </is>
      </c>
      <c r="K1173" s="11">
        <f>IFERROR(INDEX(Roles!$B$17:$B$20,MATCH(J1173,Roles!$A$17:$A$20,0)),1)</f>
        <v/>
      </c>
      <c r="L1173" s="19" t="n">
        <v>1</v>
      </c>
      <c r="M1173" s="11" t="n">
        <v>1</v>
      </c>
      <c r="N1173" s="19" t="n"/>
      <c r="O1173" s="19" t="n"/>
      <c r="P1173" s="19" t="n"/>
      <c r="Q1173" s="19" t="n"/>
      <c r="R1173" s="19" t="n"/>
      <c r="S1173" s="19" t="n"/>
      <c r="T1173" s="19" t="n"/>
      <c r="U1173" s="19" t="n"/>
      <c r="V1173" s="19" t="n"/>
      <c r="W1173" s="19" t="n"/>
      <c r="X1173" s="19" t="n"/>
      <c r="Y1173" s="19" t="n">
        <v>1</v>
      </c>
      <c r="Z1173" s="13">
        <f>SUMPRODUCT(N1173:Y1173,$N$2:$Y$2)*$K1173*$L1173*$M1173</f>
        <v/>
      </c>
      <c r="AA1173" s="14">
        <f>SUM(N1173:Y1173)</f>
        <v/>
      </c>
      <c r="AB1173" s="13">
        <f>SUMPRODUCT(N1173:Y1173,$N$3:$Y$3)*$K1173*$L1173*$M1173</f>
        <v/>
      </c>
      <c r="AC1173" s="13">
        <f>SUMPRODUCT(N1173:Y1173,$N$4:$Y$4)*$K1173*$L1173*$M1173</f>
        <v/>
      </c>
      <c r="AD1173" s="15" t="n">
        <v>3</v>
      </c>
      <c r="AE1173" s="11" t="n">
        <v>1.011296296296296</v>
      </c>
      <c r="AF1173" s="16">
        <f>SUMPRODUCT(N1173:Y1173,$N$5:$Y$5)*$K1173*$L1173*$M1173</f>
        <v/>
      </c>
      <c r="AG1173" s="16">
        <f>SUMPRODUCT(N1173:Y1173,$N$6:$Y$6)*$K1173*$L1173*$M1173</f>
        <v/>
      </c>
      <c r="AH1173" s="20" t="n"/>
    </row>
    <row r="1174">
      <c r="A1174" s="9" t="n">
        <v>807555</v>
      </c>
      <c r="B1174" s="9" t="inlineStr">
        <is>
          <t>Liam Best</t>
        </is>
      </c>
      <c r="C1174" s="9" t="inlineStr">
        <is>
          <t>STL</t>
        </is>
      </c>
      <c r="D1174" s="9" t="n">
        <v>25</v>
      </c>
      <c r="E1174" s="18" t="inlineStr">
        <is>
          <t>R</t>
        </is>
      </c>
      <c r="F1174" s="18" t="n"/>
      <c r="G1174" s="9" t="n">
        <v>6.02</v>
      </c>
      <c r="H1174" s="9" t="n">
        <v>6.02</v>
      </c>
      <c r="I1174" s="9" t="inlineStr">
        <is>
          <t>Depth (no MLB IP)</t>
        </is>
      </c>
      <c r="J1174" s="18" t="inlineStr">
        <is>
          <t>Opening Day</t>
        </is>
      </c>
      <c r="K1174" s="11">
        <f>IFERROR(INDEX(Roles!$B$17:$B$20,MATCH(J1174,Roles!$A$17:$A$20,0)),1)</f>
        <v/>
      </c>
      <c r="L1174" s="19" t="n">
        <v>1</v>
      </c>
      <c r="M1174" s="11" t="n">
        <v>1</v>
      </c>
      <c r="N1174" s="19" t="n"/>
      <c r="O1174" s="19" t="n"/>
      <c r="P1174" s="19" t="n"/>
      <c r="Q1174" s="19" t="n"/>
      <c r="R1174" s="19" t="n"/>
      <c r="S1174" s="19" t="n"/>
      <c r="T1174" s="19" t="n"/>
      <c r="U1174" s="19" t="n"/>
      <c r="V1174" s="19" t="n"/>
      <c r="W1174" s="19" t="n"/>
      <c r="X1174" s="19" t="n"/>
      <c r="Y1174" s="19" t="n">
        <v>1</v>
      </c>
      <c r="Z1174" s="13">
        <f>SUMPRODUCT(N1174:Y1174,$N$2:$Y$2)*$K1174*$L1174*$M1174</f>
        <v/>
      </c>
      <c r="AA1174" s="14">
        <f>SUM(N1174:Y1174)</f>
        <v/>
      </c>
      <c r="AB1174" s="13">
        <f>SUMPRODUCT(N1174:Y1174,$N$3:$Y$3)*$K1174*$L1174*$M1174</f>
        <v/>
      </c>
      <c r="AC1174" s="13">
        <f>SUMPRODUCT(N1174:Y1174,$N$4:$Y$4)*$K1174*$L1174*$M1174</f>
        <v/>
      </c>
      <c r="AD1174" s="15" t="n">
        <v>3</v>
      </c>
      <c r="AE1174" s="11" t="n">
        <v>1.011296296296296</v>
      </c>
      <c r="AF1174" s="16">
        <f>SUMPRODUCT(N1174:Y1174,$N$5:$Y$5)*$K1174*$L1174*$M1174</f>
        <v/>
      </c>
      <c r="AG1174" s="16">
        <f>SUMPRODUCT(N1174:Y1174,$N$6:$Y$6)*$K1174*$L1174*$M1174</f>
        <v/>
      </c>
      <c r="AH1174" s="20" t="n"/>
    </row>
    <row r="1175">
      <c r="A1175" s="9" t="n">
        <v>807992</v>
      </c>
      <c r="B1175" s="9" t="inlineStr">
        <is>
          <t>Roberto Urdaneta</t>
        </is>
      </c>
      <c r="C1175" s="9" t="inlineStr">
        <is>
          <t>OAK</t>
        </is>
      </c>
      <c r="D1175" s="9" t="n">
        <v>25</v>
      </c>
      <c r="E1175" s="18" t="inlineStr">
        <is>
          <t>R</t>
        </is>
      </c>
      <c r="F1175" s="18" t="n"/>
      <c r="G1175" s="9" t="n">
        <v>5.848</v>
      </c>
      <c r="H1175" s="9" t="n">
        <v>5.848</v>
      </c>
      <c r="I1175" s="9" t="inlineStr">
        <is>
          <t>Depth (no MLB IP)</t>
        </is>
      </c>
      <c r="J1175" s="18" t="inlineStr">
        <is>
          <t>Opening Day</t>
        </is>
      </c>
      <c r="K1175" s="11">
        <f>IFERROR(INDEX(Roles!$B$17:$B$20,MATCH(J1175,Roles!$A$17:$A$20,0)),1)</f>
        <v/>
      </c>
      <c r="L1175" s="19" t="n">
        <v>1</v>
      </c>
      <c r="M1175" s="11" t="n">
        <v>1</v>
      </c>
      <c r="N1175" s="19" t="n"/>
      <c r="O1175" s="19" t="n"/>
      <c r="P1175" s="19" t="n"/>
      <c r="Q1175" s="19" t="n"/>
      <c r="R1175" s="19" t="n"/>
      <c r="S1175" s="19" t="n"/>
      <c r="T1175" s="19" t="n"/>
      <c r="U1175" s="19" t="n"/>
      <c r="V1175" s="19" t="n"/>
      <c r="W1175" s="19" t="n"/>
      <c r="X1175" s="19" t="n"/>
      <c r="Y1175" s="19" t="n">
        <v>1</v>
      </c>
      <c r="Z1175" s="13">
        <f>SUMPRODUCT(N1175:Y1175,$N$2:$Y$2)*$K1175*$L1175*$M1175</f>
        <v/>
      </c>
      <c r="AA1175" s="14">
        <f>SUM(N1175:Y1175)</f>
        <v/>
      </c>
      <c r="AB1175" s="13">
        <f>SUMPRODUCT(N1175:Y1175,$N$3:$Y$3)*$K1175*$L1175*$M1175</f>
        <v/>
      </c>
      <c r="AC1175" s="13">
        <f>SUMPRODUCT(N1175:Y1175,$N$4:$Y$4)*$K1175*$L1175*$M1175</f>
        <v/>
      </c>
      <c r="AD1175" s="15" t="n">
        <v>3</v>
      </c>
      <c r="AE1175" s="11" t="n">
        <v>1.011296296296296</v>
      </c>
      <c r="AF1175" s="16">
        <f>SUMPRODUCT(N1175:Y1175,$N$5:$Y$5)*$K1175*$L1175*$M1175</f>
        <v/>
      </c>
      <c r="AG1175" s="16">
        <f>SUMPRODUCT(N1175:Y1175,$N$6:$Y$6)*$K1175*$L1175*$M1175</f>
        <v/>
      </c>
      <c r="AH1175" s="20" t="n"/>
    </row>
    <row r="1176">
      <c r="A1176" s="9" t="n">
        <v>832441</v>
      </c>
      <c r="B1176" s="9" t="inlineStr">
        <is>
          <t>Yonleg Gaetano</t>
        </is>
      </c>
      <c r="C1176" s="9" t="inlineStr">
        <is>
          <t>PIT</t>
        </is>
      </c>
      <c r="D1176" s="9" t="n">
        <v>25</v>
      </c>
      <c r="E1176" s="18" t="inlineStr">
        <is>
          <t>R</t>
        </is>
      </c>
      <c r="F1176" s="18" t="n"/>
      <c r="G1176" s="9" t="n">
        <v>6.02</v>
      </c>
      <c r="H1176" s="9" t="n">
        <v>6.02</v>
      </c>
      <c r="I1176" s="9" t="inlineStr">
        <is>
          <t>Depth (no MLB IP)</t>
        </is>
      </c>
      <c r="J1176" s="18" t="inlineStr">
        <is>
          <t>Opening Day</t>
        </is>
      </c>
      <c r="K1176" s="11">
        <f>IFERROR(INDEX(Roles!$B$17:$B$20,MATCH(J1176,Roles!$A$17:$A$20,0)),1)</f>
        <v/>
      </c>
      <c r="L1176" s="19" t="n">
        <v>1</v>
      </c>
      <c r="M1176" s="11" t="n">
        <v>1</v>
      </c>
      <c r="N1176" s="19" t="n"/>
      <c r="O1176" s="19" t="n"/>
      <c r="P1176" s="19" t="n"/>
      <c r="Q1176" s="19" t="n"/>
      <c r="R1176" s="19" t="n"/>
      <c r="S1176" s="19" t="n"/>
      <c r="T1176" s="19" t="n"/>
      <c r="U1176" s="19" t="n"/>
      <c r="V1176" s="19" t="n"/>
      <c r="W1176" s="19" t="n"/>
      <c r="X1176" s="19" t="n"/>
      <c r="Y1176" s="19" t="n">
        <v>1</v>
      </c>
      <c r="Z1176" s="13">
        <f>SUMPRODUCT(N1176:Y1176,$N$2:$Y$2)*$K1176*$L1176*$M1176</f>
        <v/>
      </c>
      <c r="AA1176" s="14">
        <f>SUM(N1176:Y1176)</f>
        <v/>
      </c>
      <c r="AB1176" s="13">
        <f>SUMPRODUCT(N1176:Y1176,$N$3:$Y$3)*$K1176*$L1176*$M1176</f>
        <v/>
      </c>
      <c r="AC1176" s="13">
        <f>SUMPRODUCT(N1176:Y1176,$N$4:$Y$4)*$K1176*$L1176*$M1176</f>
        <v/>
      </c>
      <c r="AD1176" s="15" t="n">
        <v>3</v>
      </c>
      <c r="AE1176" s="11" t="n">
        <v>1.011296296296296</v>
      </c>
      <c r="AF1176" s="16">
        <f>SUMPRODUCT(N1176:Y1176,$N$5:$Y$5)*$K1176*$L1176*$M1176</f>
        <v/>
      </c>
      <c r="AG1176" s="16">
        <f>SUMPRODUCT(N1176:Y1176,$N$6:$Y$6)*$K1176*$L1176*$M1176</f>
        <v/>
      </c>
      <c r="AH1176" s="20" t="n"/>
    </row>
    <row r="1177">
      <c r="A1177" s="9" t="n">
        <v>800466</v>
      </c>
      <c r="B1177" s="9" t="inlineStr">
        <is>
          <t>Omar Victorino</t>
        </is>
      </c>
      <c r="C1177" s="9" t="inlineStr">
        <is>
          <t>NYM</t>
        </is>
      </c>
      <c r="D1177" s="9" t="n">
        <v>25</v>
      </c>
      <c r="E1177" s="18" t="inlineStr">
        <is>
          <t>R</t>
        </is>
      </c>
      <c r="F1177" s="18" t="n"/>
      <c r="G1177" s="9" t="n">
        <v>6.02</v>
      </c>
      <c r="H1177" s="9" t="n">
        <v>6.02</v>
      </c>
      <c r="I1177" s="9" t="inlineStr">
        <is>
          <t>Depth (no MLB IP)</t>
        </is>
      </c>
      <c r="J1177" s="18" t="inlineStr">
        <is>
          <t>Opening Day</t>
        </is>
      </c>
      <c r="K1177" s="11">
        <f>IFERROR(INDEX(Roles!$B$17:$B$20,MATCH(J1177,Roles!$A$17:$A$20,0)),1)</f>
        <v/>
      </c>
      <c r="L1177" s="19" t="n">
        <v>1</v>
      </c>
      <c r="M1177" s="11" t="n">
        <v>1</v>
      </c>
      <c r="N1177" s="19" t="n"/>
      <c r="O1177" s="19" t="n"/>
      <c r="P1177" s="19" t="n"/>
      <c r="Q1177" s="19" t="n"/>
      <c r="R1177" s="19" t="n"/>
      <c r="S1177" s="19" t="n"/>
      <c r="T1177" s="19" t="n"/>
      <c r="U1177" s="19" t="n"/>
      <c r="V1177" s="19" t="n"/>
      <c r="W1177" s="19" t="n"/>
      <c r="X1177" s="19" t="n"/>
      <c r="Y1177" s="19" t="n">
        <v>1</v>
      </c>
      <c r="Z1177" s="13">
        <f>SUMPRODUCT(N1177:Y1177,$N$2:$Y$2)*$K1177*$L1177*$M1177</f>
        <v/>
      </c>
      <c r="AA1177" s="14">
        <f>SUM(N1177:Y1177)</f>
        <v/>
      </c>
      <c r="AB1177" s="13">
        <f>SUMPRODUCT(N1177:Y1177,$N$3:$Y$3)*$K1177*$L1177*$M1177</f>
        <v/>
      </c>
      <c r="AC1177" s="13">
        <f>SUMPRODUCT(N1177:Y1177,$N$4:$Y$4)*$K1177*$L1177*$M1177</f>
        <v/>
      </c>
      <c r="AD1177" s="15" t="n">
        <v>3</v>
      </c>
      <c r="AE1177" s="11" t="n">
        <v>1.011296296296296</v>
      </c>
      <c r="AF1177" s="16">
        <f>SUMPRODUCT(N1177:Y1177,$N$5:$Y$5)*$K1177*$L1177*$M1177</f>
        <v/>
      </c>
      <c r="AG1177" s="16">
        <f>SUMPRODUCT(N1177:Y1177,$N$6:$Y$6)*$K1177*$L1177*$M1177</f>
        <v/>
      </c>
      <c r="AH1177" s="20" t="n"/>
    </row>
    <row r="1178">
      <c r="A1178" s="9" t="n">
        <v>806067</v>
      </c>
      <c r="B1178" s="9" t="inlineStr">
        <is>
          <t>James Ellwanger</t>
        </is>
      </c>
      <c r="C1178" s="9" t="inlineStr">
        <is>
          <t>MIN</t>
        </is>
      </c>
      <c r="D1178" s="9" t="n">
        <v>25</v>
      </c>
      <c r="E1178" s="18" t="inlineStr">
        <is>
          <t>R</t>
        </is>
      </c>
      <c r="F1178" s="18" t="n"/>
      <c r="G1178" s="9" t="n">
        <v>6.02</v>
      </c>
      <c r="H1178" s="9" t="n">
        <v>6.02</v>
      </c>
      <c r="I1178" s="9" t="inlineStr">
        <is>
          <t>Depth (no MLB IP)</t>
        </is>
      </c>
      <c r="J1178" s="18" t="inlineStr">
        <is>
          <t>Opening Day</t>
        </is>
      </c>
      <c r="K1178" s="11">
        <f>IFERROR(INDEX(Roles!$B$17:$B$20,MATCH(J1178,Roles!$A$17:$A$20,0)),1)</f>
        <v/>
      </c>
      <c r="L1178" s="19" t="n">
        <v>1</v>
      </c>
      <c r="M1178" s="11" t="n">
        <v>1</v>
      </c>
      <c r="N1178" s="19" t="n"/>
      <c r="O1178" s="19" t="n"/>
      <c r="P1178" s="19" t="n"/>
      <c r="Q1178" s="19" t="n"/>
      <c r="R1178" s="19" t="n"/>
      <c r="S1178" s="19" t="n"/>
      <c r="T1178" s="19" t="n"/>
      <c r="U1178" s="19" t="n"/>
      <c r="V1178" s="19" t="n"/>
      <c r="W1178" s="19" t="n"/>
      <c r="X1178" s="19" t="n"/>
      <c r="Y1178" s="19" t="n">
        <v>1</v>
      </c>
      <c r="Z1178" s="13">
        <f>SUMPRODUCT(N1178:Y1178,$N$2:$Y$2)*$K1178*$L1178*$M1178</f>
        <v/>
      </c>
      <c r="AA1178" s="14">
        <f>SUM(N1178:Y1178)</f>
        <v/>
      </c>
      <c r="AB1178" s="13">
        <f>SUMPRODUCT(N1178:Y1178,$N$3:$Y$3)*$K1178*$L1178*$M1178</f>
        <v/>
      </c>
      <c r="AC1178" s="13">
        <f>SUMPRODUCT(N1178:Y1178,$N$4:$Y$4)*$K1178*$L1178*$M1178</f>
        <v/>
      </c>
      <c r="AD1178" s="15" t="n">
        <v>3</v>
      </c>
      <c r="AE1178" s="11" t="n">
        <v>1.011296296296296</v>
      </c>
      <c r="AF1178" s="16">
        <f>SUMPRODUCT(N1178:Y1178,$N$5:$Y$5)*$K1178*$L1178*$M1178</f>
        <v/>
      </c>
      <c r="AG1178" s="16">
        <f>SUMPRODUCT(N1178:Y1178,$N$6:$Y$6)*$K1178*$L1178*$M1178</f>
        <v/>
      </c>
      <c r="AH1178" s="20" t="n"/>
    </row>
    <row r="1179">
      <c r="A1179" s="9" t="n">
        <v>692248</v>
      </c>
      <c r="B1179" s="9" t="inlineStr">
        <is>
          <t>Adam Shoemaker</t>
        </is>
      </c>
      <c r="C1179" s="9" t="inlineStr">
        <is>
          <t>HOU</t>
        </is>
      </c>
      <c r="D1179" s="9" t="n">
        <v>25</v>
      </c>
      <c r="E1179" s="18" t="inlineStr">
        <is>
          <t>L</t>
        </is>
      </c>
      <c r="F1179" s="18" t="n"/>
      <c r="G1179" s="9" t="n">
        <v>6.02</v>
      </c>
      <c r="H1179" s="9" t="n">
        <v>6.02</v>
      </c>
      <c r="I1179" s="9" t="inlineStr">
        <is>
          <t>Depth (no MLB IP)</t>
        </is>
      </c>
      <c r="J1179" s="18" t="inlineStr">
        <is>
          <t>Opening Day</t>
        </is>
      </c>
      <c r="K1179" s="11">
        <f>IFERROR(INDEX(Roles!$B$17:$B$20,MATCH(J1179,Roles!$A$17:$A$20,0)),1)</f>
        <v/>
      </c>
      <c r="L1179" s="19" t="n">
        <v>1</v>
      </c>
      <c r="M1179" s="11" t="n">
        <v>1</v>
      </c>
      <c r="N1179" s="19" t="n"/>
      <c r="O1179" s="19" t="n"/>
      <c r="P1179" s="19" t="n"/>
      <c r="Q1179" s="19" t="n"/>
      <c r="R1179" s="19" t="n"/>
      <c r="S1179" s="19" t="n"/>
      <c r="T1179" s="19" t="n"/>
      <c r="U1179" s="19" t="n"/>
      <c r="V1179" s="19" t="n"/>
      <c r="W1179" s="19" t="n"/>
      <c r="X1179" s="19" t="n"/>
      <c r="Y1179" s="19" t="n">
        <v>1</v>
      </c>
      <c r="Z1179" s="13">
        <f>SUMPRODUCT(N1179:Y1179,$N$2:$Y$2)*$K1179*$L1179*$M1179</f>
        <v/>
      </c>
      <c r="AA1179" s="14">
        <f>SUM(N1179:Y1179)</f>
        <v/>
      </c>
      <c r="AB1179" s="13">
        <f>SUMPRODUCT(N1179:Y1179,$N$3:$Y$3)*$K1179*$L1179*$M1179</f>
        <v/>
      </c>
      <c r="AC1179" s="13">
        <f>SUMPRODUCT(N1179:Y1179,$N$4:$Y$4)*$K1179*$L1179*$M1179</f>
        <v/>
      </c>
      <c r="AD1179" s="15" t="n">
        <v>3</v>
      </c>
      <c r="AE1179" s="11" t="n">
        <v>1.011296296296296</v>
      </c>
      <c r="AF1179" s="16">
        <f>SUMPRODUCT(N1179:Y1179,$N$5:$Y$5)*$K1179*$L1179*$M1179</f>
        <v/>
      </c>
      <c r="AG1179" s="16">
        <f>SUMPRODUCT(N1179:Y1179,$N$6:$Y$6)*$K1179*$L1179*$M1179</f>
        <v/>
      </c>
      <c r="AH1179" s="20" t="n"/>
    </row>
    <row r="1180">
      <c r="A1180" s="9" t="n">
        <v>683087</v>
      </c>
      <c r="B1180" s="9" t="inlineStr">
        <is>
          <t>Joe Charles</t>
        </is>
      </c>
      <c r="C1180" s="9" t="inlineStr">
        <is>
          <t>NYM</t>
        </is>
      </c>
      <c r="D1180" s="9" t="n">
        <v>25</v>
      </c>
      <c r="E1180" s="18" t="inlineStr">
        <is>
          <t>R</t>
        </is>
      </c>
      <c r="F1180" s="18" t="n"/>
      <c r="G1180" s="9" t="n">
        <v>6.02</v>
      </c>
      <c r="H1180" s="9" t="n">
        <v>6.02</v>
      </c>
      <c r="I1180" s="9" t="inlineStr">
        <is>
          <t>Depth (no MLB IP)</t>
        </is>
      </c>
      <c r="J1180" s="18" t="inlineStr">
        <is>
          <t>Opening Day</t>
        </is>
      </c>
      <c r="K1180" s="11">
        <f>IFERROR(INDEX(Roles!$B$17:$B$20,MATCH(J1180,Roles!$A$17:$A$20,0)),1)</f>
        <v/>
      </c>
      <c r="L1180" s="19" t="n">
        <v>1</v>
      </c>
      <c r="M1180" s="11" t="n">
        <v>1</v>
      </c>
      <c r="N1180" s="19" t="n"/>
      <c r="O1180" s="19" t="n"/>
      <c r="P1180" s="19" t="n"/>
      <c r="Q1180" s="19" t="n"/>
      <c r="R1180" s="19" t="n"/>
      <c r="S1180" s="19" t="n"/>
      <c r="T1180" s="19" t="n"/>
      <c r="U1180" s="19" t="n"/>
      <c r="V1180" s="19" t="n"/>
      <c r="W1180" s="19" t="n"/>
      <c r="X1180" s="19" t="n"/>
      <c r="Y1180" s="19" t="n">
        <v>1</v>
      </c>
      <c r="Z1180" s="13">
        <f>SUMPRODUCT(N1180:Y1180,$N$2:$Y$2)*$K1180*$L1180*$M1180</f>
        <v/>
      </c>
      <c r="AA1180" s="14">
        <f>SUM(N1180:Y1180)</f>
        <v/>
      </c>
      <c r="AB1180" s="13">
        <f>SUMPRODUCT(N1180:Y1180,$N$3:$Y$3)*$K1180*$L1180*$M1180</f>
        <v/>
      </c>
      <c r="AC1180" s="13">
        <f>SUMPRODUCT(N1180:Y1180,$N$4:$Y$4)*$K1180*$L1180*$M1180</f>
        <v/>
      </c>
      <c r="AD1180" s="15" t="n">
        <v>3</v>
      </c>
      <c r="AE1180" s="11" t="n">
        <v>1.011296296296296</v>
      </c>
      <c r="AF1180" s="16">
        <f>SUMPRODUCT(N1180:Y1180,$N$5:$Y$5)*$K1180*$L1180*$M1180</f>
        <v/>
      </c>
      <c r="AG1180" s="16">
        <f>SUMPRODUCT(N1180:Y1180,$N$6:$Y$6)*$K1180*$L1180*$M1180</f>
        <v/>
      </c>
      <c r="AH1180" s="20" t="n"/>
    </row>
    <row r="1181">
      <c r="A1181" s="9" t="n">
        <v>809898</v>
      </c>
      <c r="B1181" s="9" t="inlineStr">
        <is>
          <t>Joe Ruzicka</t>
        </is>
      </c>
      <c r="C1181" s="9" t="inlineStr">
        <is>
          <t>DET</t>
        </is>
      </c>
      <c r="D1181" s="9" t="n">
        <v>25</v>
      </c>
      <c r="E1181" s="18" t="inlineStr">
        <is>
          <t>R</t>
        </is>
      </c>
      <c r="F1181" s="18" t="n"/>
      <c r="G1181" s="9" t="n">
        <v>5.848</v>
      </c>
      <c r="H1181" s="9" t="n">
        <v>5.848</v>
      </c>
      <c r="I1181" s="9" t="inlineStr">
        <is>
          <t>Depth (no MLB IP)</t>
        </is>
      </c>
      <c r="J1181" s="18" t="inlineStr">
        <is>
          <t>Opening Day</t>
        </is>
      </c>
      <c r="K1181" s="11">
        <f>IFERROR(INDEX(Roles!$B$17:$B$20,MATCH(J1181,Roles!$A$17:$A$20,0)),1)</f>
        <v/>
      </c>
      <c r="L1181" s="19" t="n">
        <v>1</v>
      </c>
      <c r="M1181" s="11" t="n">
        <v>1</v>
      </c>
      <c r="N1181" s="19" t="n"/>
      <c r="O1181" s="19" t="n"/>
      <c r="P1181" s="19" t="n"/>
      <c r="Q1181" s="19" t="n"/>
      <c r="R1181" s="19" t="n"/>
      <c r="S1181" s="19" t="n"/>
      <c r="T1181" s="19" t="n"/>
      <c r="U1181" s="19" t="n"/>
      <c r="V1181" s="19" t="n"/>
      <c r="W1181" s="19" t="n"/>
      <c r="X1181" s="19" t="n"/>
      <c r="Y1181" s="19" t="n">
        <v>1</v>
      </c>
      <c r="Z1181" s="13">
        <f>SUMPRODUCT(N1181:Y1181,$N$2:$Y$2)*$K1181*$L1181*$M1181</f>
        <v/>
      </c>
      <c r="AA1181" s="14">
        <f>SUM(N1181:Y1181)</f>
        <v/>
      </c>
      <c r="AB1181" s="13">
        <f>SUMPRODUCT(N1181:Y1181,$N$3:$Y$3)*$K1181*$L1181*$M1181</f>
        <v/>
      </c>
      <c r="AC1181" s="13">
        <f>SUMPRODUCT(N1181:Y1181,$N$4:$Y$4)*$K1181*$L1181*$M1181</f>
        <v/>
      </c>
      <c r="AD1181" s="15" t="n">
        <v>3</v>
      </c>
      <c r="AE1181" s="11" t="n">
        <v>1.011296296296296</v>
      </c>
      <c r="AF1181" s="16">
        <f>SUMPRODUCT(N1181:Y1181,$N$5:$Y$5)*$K1181*$L1181*$M1181</f>
        <v/>
      </c>
      <c r="AG1181" s="16">
        <f>SUMPRODUCT(N1181:Y1181,$N$6:$Y$6)*$K1181*$L1181*$M1181</f>
        <v/>
      </c>
      <c r="AH1181" s="20" t="n"/>
    </row>
    <row r="1182">
      <c r="A1182" s="9" t="n">
        <v>825926</v>
      </c>
      <c r="B1182" s="9" t="inlineStr">
        <is>
          <t>Bryant Olson</t>
        </is>
      </c>
      <c r="C1182" s="9" t="inlineStr">
        <is>
          <t>WSH</t>
        </is>
      </c>
      <c r="D1182" s="9" t="n">
        <v>25</v>
      </c>
      <c r="E1182" s="18" t="inlineStr">
        <is>
          <t>L</t>
        </is>
      </c>
      <c r="F1182" s="18" t="n"/>
      <c r="G1182" s="9" t="n">
        <v>5.848</v>
      </c>
      <c r="H1182" s="9" t="n">
        <v>5.848</v>
      </c>
      <c r="I1182" s="9" t="inlineStr">
        <is>
          <t>Depth (no MLB IP)</t>
        </is>
      </c>
      <c r="J1182" s="18" t="inlineStr">
        <is>
          <t>Opening Day</t>
        </is>
      </c>
      <c r="K1182" s="11">
        <f>IFERROR(INDEX(Roles!$B$17:$B$20,MATCH(J1182,Roles!$A$17:$A$20,0)),1)</f>
        <v/>
      </c>
      <c r="L1182" s="19" t="n">
        <v>1</v>
      </c>
      <c r="M1182" s="11" t="n">
        <v>1</v>
      </c>
      <c r="N1182" s="19" t="n"/>
      <c r="O1182" s="19" t="n"/>
      <c r="P1182" s="19" t="n"/>
      <c r="Q1182" s="19" t="n"/>
      <c r="R1182" s="19" t="n"/>
      <c r="S1182" s="19" t="n"/>
      <c r="T1182" s="19" t="n"/>
      <c r="U1182" s="19" t="n"/>
      <c r="V1182" s="19" t="n"/>
      <c r="W1182" s="19" t="n"/>
      <c r="X1182" s="19" t="n"/>
      <c r="Y1182" s="19" t="n">
        <v>1</v>
      </c>
      <c r="Z1182" s="13">
        <f>SUMPRODUCT(N1182:Y1182,$N$2:$Y$2)*$K1182*$L1182*$M1182</f>
        <v/>
      </c>
      <c r="AA1182" s="14">
        <f>SUM(N1182:Y1182)</f>
        <v/>
      </c>
      <c r="AB1182" s="13">
        <f>SUMPRODUCT(N1182:Y1182,$N$3:$Y$3)*$K1182*$L1182*$M1182</f>
        <v/>
      </c>
      <c r="AC1182" s="13">
        <f>SUMPRODUCT(N1182:Y1182,$N$4:$Y$4)*$K1182*$L1182*$M1182</f>
        <v/>
      </c>
      <c r="AD1182" s="15" t="n">
        <v>3</v>
      </c>
      <c r="AE1182" s="11" t="n">
        <v>1.011296296296296</v>
      </c>
      <c r="AF1182" s="16">
        <f>SUMPRODUCT(N1182:Y1182,$N$5:$Y$5)*$K1182*$L1182*$M1182</f>
        <v/>
      </c>
      <c r="AG1182" s="16">
        <f>SUMPRODUCT(N1182:Y1182,$N$6:$Y$6)*$K1182*$L1182*$M1182</f>
        <v/>
      </c>
      <c r="AH1182" s="20" t="n"/>
    </row>
    <row r="1183">
      <c r="A1183" s="9" t="n">
        <v>691621</v>
      </c>
      <c r="B1183" s="9" t="inlineStr">
        <is>
          <t>Jheremy Vargas</t>
        </is>
      </c>
      <c r="C1183" s="9" t="inlineStr">
        <is>
          <t>MIL</t>
        </is>
      </c>
      <c r="D1183" s="9" t="n">
        <v>25</v>
      </c>
      <c r="E1183" s="18" t="inlineStr">
        <is>
          <t>R</t>
        </is>
      </c>
      <c r="F1183" s="18" t="n"/>
      <c r="G1183" s="9" t="n">
        <v>6.02</v>
      </c>
      <c r="H1183" s="9" t="n">
        <v>6.02</v>
      </c>
      <c r="I1183" s="9" t="inlineStr">
        <is>
          <t>Depth (no MLB IP)</t>
        </is>
      </c>
      <c r="J1183" s="18" t="inlineStr">
        <is>
          <t>Opening Day</t>
        </is>
      </c>
      <c r="K1183" s="11">
        <f>IFERROR(INDEX(Roles!$B$17:$B$20,MATCH(J1183,Roles!$A$17:$A$20,0)),1)</f>
        <v/>
      </c>
      <c r="L1183" s="19" t="n">
        <v>1</v>
      </c>
      <c r="M1183" s="11" t="n">
        <v>1</v>
      </c>
      <c r="N1183" s="19" t="n"/>
      <c r="O1183" s="19" t="n"/>
      <c r="P1183" s="19" t="n"/>
      <c r="Q1183" s="19" t="n"/>
      <c r="R1183" s="19" t="n"/>
      <c r="S1183" s="19" t="n"/>
      <c r="T1183" s="19" t="n"/>
      <c r="U1183" s="19" t="n"/>
      <c r="V1183" s="19" t="n"/>
      <c r="W1183" s="19" t="n"/>
      <c r="X1183" s="19" t="n"/>
      <c r="Y1183" s="19" t="n">
        <v>1</v>
      </c>
      <c r="Z1183" s="13">
        <f>SUMPRODUCT(N1183:Y1183,$N$2:$Y$2)*$K1183*$L1183*$M1183</f>
        <v/>
      </c>
      <c r="AA1183" s="14">
        <f>SUM(N1183:Y1183)</f>
        <v/>
      </c>
      <c r="AB1183" s="13">
        <f>SUMPRODUCT(N1183:Y1183,$N$3:$Y$3)*$K1183*$L1183*$M1183</f>
        <v/>
      </c>
      <c r="AC1183" s="13">
        <f>SUMPRODUCT(N1183:Y1183,$N$4:$Y$4)*$K1183*$L1183*$M1183</f>
        <v/>
      </c>
      <c r="AD1183" s="15" t="n">
        <v>3</v>
      </c>
      <c r="AE1183" s="11" t="n">
        <v>1.011296296296296</v>
      </c>
      <c r="AF1183" s="16">
        <f>SUMPRODUCT(N1183:Y1183,$N$5:$Y$5)*$K1183*$L1183*$M1183</f>
        <v/>
      </c>
      <c r="AG1183" s="16">
        <f>SUMPRODUCT(N1183:Y1183,$N$6:$Y$6)*$K1183*$L1183*$M1183</f>
        <v/>
      </c>
      <c r="AH1183" s="20" t="n"/>
    </row>
    <row r="1184">
      <c r="A1184" s="9" t="n">
        <v>828713</v>
      </c>
      <c r="B1184" s="9" t="inlineStr">
        <is>
          <t>Anthony Astudillo</t>
        </is>
      </c>
      <c r="C1184" s="9" t="inlineStr">
        <is>
          <t>TEX</t>
        </is>
      </c>
      <c r="D1184" s="9" t="n">
        <v>25</v>
      </c>
      <c r="E1184" s="18" t="inlineStr">
        <is>
          <t>R</t>
        </is>
      </c>
      <c r="F1184" s="18" t="n"/>
      <c r="G1184" s="9" t="n">
        <v>6.02</v>
      </c>
      <c r="H1184" s="9" t="n">
        <v>6.02</v>
      </c>
      <c r="I1184" s="9" t="inlineStr">
        <is>
          <t>Depth (no MLB IP)</t>
        </is>
      </c>
      <c r="J1184" s="18" t="inlineStr">
        <is>
          <t>Opening Day</t>
        </is>
      </c>
      <c r="K1184" s="11">
        <f>IFERROR(INDEX(Roles!$B$17:$B$20,MATCH(J1184,Roles!$A$17:$A$20,0)),1)</f>
        <v/>
      </c>
      <c r="L1184" s="19" t="n">
        <v>1</v>
      </c>
      <c r="M1184" s="11" t="n">
        <v>1</v>
      </c>
      <c r="N1184" s="19" t="n"/>
      <c r="O1184" s="19" t="n"/>
      <c r="P1184" s="19" t="n"/>
      <c r="Q1184" s="19" t="n"/>
      <c r="R1184" s="19" t="n"/>
      <c r="S1184" s="19" t="n"/>
      <c r="T1184" s="19" t="n"/>
      <c r="U1184" s="19" t="n"/>
      <c r="V1184" s="19" t="n"/>
      <c r="W1184" s="19" t="n"/>
      <c r="X1184" s="19" t="n"/>
      <c r="Y1184" s="19" t="n">
        <v>1</v>
      </c>
      <c r="Z1184" s="13">
        <f>SUMPRODUCT(N1184:Y1184,$N$2:$Y$2)*$K1184*$L1184*$M1184</f>
        <v/>
      </c>
      <c r="AA1184" s="14">
        <f>SUM(N1184:Y1184)</f>
        <v/>
      </c>
      <c r="AB1184" s="13">
        <f>SUMPRODUCT(N1184:Y1184,$N$3:$Y$3)*$K1184*$L1184*$M1184</f>
        <v/>
      </c>
      <c r="AC1184" s="13">
        <f>SUMPRODUCT(N1184:Y1184,$N$4:$Y$4)*$K1184*$L1184*$M1184</f>
        <v/>
      </c>
      <c r="AD1184" s="15" t="n">
        <v>3</v>
      </c>
      <c r="AE1184" s="11" t="n">
        <v>1.011296296296296</v>
      </c>
      <c r="AF1184" s="16">
        <f>SUMPRODUCT(N1184:Y1184,$N$5:$Y$5)*$K1184*$L1184*$M1184</f>
        <v/>
      </c>
      <c r="AG1184" s="16">
        <f>SUMPRODUCT(N1184:Y1184,$N$6:$Y$6)*$K1184*$L1184*$M1184</f>
        <v/>
      </c>
      <c r="AH1184" s="20" t="n"/>
    </row>
    <row r="1185">
      <c r="A1185" s="9" t="n">
        <v>802093</v>
      </c>
      <c r="B1185" s="9" t="inlineStr">
        <is>
          <t>Antonio Florido</t>
        </is>
      </c>
      <c r="C1185" s="9" t="inlineStr">
        <is>
          <t>DET</t>
        </is>
      </c>
      <c r="D1185" s="9" t="n">
        <v>25</v>
      </c>
      <c r="E1185" s="18" t="inlineStr">
        <is>
          <t>R</t>
        </is>
      </c>
      <c r="F1185" s="18" t="n"/>
      <c r="G1185" s="9" t="n">
        <v>5.848</v>
      </c>
      <c r="H1185" s="9" t="n">
        <v>5.848</v>
      </c>
      <c r="I1185" s="9" t="inlineStr">
        <is>
          <t>Depth (no MLB IP)</t>
        </is>
      </c>
      <c r="J1185" s="18" t="inlineStr">
        <is>
          <t>Opening Day</t>
        </is>
      </c>
      <c r="K1185" s="11">
        <f>IFERROR(INDEX(Roles!$B$17:$B$20,MATCH(J1185,Roles!$A$17:$A$20,0)),1)</f>
        <v/>
      </c>
      <c r="L1185" s="19" t="n">
        <v>1</v>
      </c>
      <c r="M1185" s="11" t="n">
        <v>1</v>
      </c>
      <c r="N1185" s="19" t="n"/>
      <c r="O1185" s="19" t="n"/>
      <c r="P1185" s="19" t="n"/>
      <c r="Q1185" s="19" t="n"/>
      <c r="R1185" s="19" t="n"/>
      <c r="S1185" s="19" t="n"/>
      <c r="T1185" s="19" t="n"/>
      <c r="U1185" s="19" t="n"/>
      <c r="V1185" s="19" t="n"/>
      <c r="W1185" s="19" t="n"/>
      <c r="X1185" s="19" t="n"/>
      <c r="Y1185" s="19" t="n">
        <v>1</v>
      </c>
      <c r="Z1185" s="13">
        <f>SUMPRODUCT(N1185:Y1185,$N$2:$Y$2)*$K1185*$L1185*$M1185</f>
        <v/>
      </c>
      <c r="AA1185" s="14">
        <f>SUM(N1185:Y1185)</f>
        <v/>
      </c>
      <c r="AB1185" s="13">
        <f>SUMPRODUCT(N1185:Y1185,$N$3:$Y$3)*$K1185*$L1185*$M1185</f>
        <v/>
      </c>
      <c r="AC1185" s="13">
        <f>SUMPRODUCT(N1185:Y1185,$N$4:$Y$4)*$K1185*$L1185*$M1185</f>
        <v/>
      </c>
      <c r="AD1185" s="15" t="n">
        <v>3</v>
      </c>
      <c r="AE1185" s="11" t="n">
        <v>1.011296296296296</v>
      </c>
      <c r="AF1185" s="16">
        <f>SUMPRODUCT(N1185:Y1185,$N$5:$Y$5)*$K1185*$L1185*$M1185</f>
        <v/>
      </c>
      <c r="AG1185" s="16">
        <f>SUMPRODUCT(N1185:Y1185,$N$6:$Y$6)*$K1185*$L1185*$M1185</f>
        <v/>
      </c>
      <c r="AH1185" s="20" t="n"/>
    </row>
    <row r="1186">
      <c r="A1186" s="9" t="n">
        <v>700251</v>
      </c>
      <c r="B1186" s="9" t="inlineStr">
        <is>
          <t>Brandon Clarke</t>
        </is>
      </c>
      <c r="C1186" s="9" t="inlineStr">
        <is>
          <t>STL</t>
        </is>
      </c>
      <c r="D1186" s="9" t="n">
        <v>24</v>
      </c>
      <c r="E1186" s="18" t="inlineStr">
        <is>
          <t>L</t>
        </is>
      </c>
      <c r="F1186" s="18" t="n"/>
      <c r="G1186" s="9" t="n">
        <v>6.02</v>
      </c>
      <c r="H1186" s="9" t="n">
        <v>6.02</v>
      </c>
      <c r="I1186" s="9" t="inlineStr">
        <is>
          <t>Depth (no MLB IP)</t>
        </is>
      </c>
      <c r="J1186" s="18" t="inlineStr">
        <is>
          <t>Opening Day</t>
        </is>
      </c>
      <c r="K1186" s="11">
        <f>IFERROR(INDEX(Roles!$B$17:$B$20,MATCH(J1186,Roles!$A$17:$A$20,0)),1)</f>
        <v/>
      </c>
      <c r="L1186" s="19" t="n">
        <v>1</v>
      </c>
      <c r="M1186" s="11" t="n">
        <v>1</v>
      </c>
      <c r="N1186" s="19" t="n"/>
      <c r="O1186" s="19" t="n"/>
      <c r="P1186" s="19" t="n"/>
      <c r="Q1186" s="19" t="n"/>
      <c r="R1186" s="19" t="n"/>
      <c r="S1186" s="19" t="n"/>
      <c r="T1186" s="19" t="n"/>
      <c r="U1186" s="19" t="n"/>
      <c r="V1186" s="19" t="n"/>
      <c r="W1186" s="19" t="n"/>
      <c r="X1186" s="19" t="n"/>
      <c r="Y1186" s="19" t="n">
        <v>1</v>
      </c>
      <c r="Z1186" s="13">
        <f>SUMPRODUCT(N1186:Y1186,$N$2:$Y$2)*$K1186*$L1186*$M1186</f>
        <v/>
      </c>
      <c r="AA1186" s="14">
        <f>SUM(N1186:Y1186)</f>
        <v/>
      </c>
      <c r="AB1186" s="13">
        <f>SUMPRODUCT(N1186:Y1186,$N$3:$Y$3)*$K1186*$L1186*$M1186</f>
        <v/>
      </c>
      <c r="AC1186" s="13">
        <f>SUMPRODUCT(N1186:Y1186,$N$4:$Y$4)*$K1186*$L1186*$M1186</f>
        <v/>
      </c>
      <c r="AD1186" s="15" t="n">
        <v>3</v>
      </c>
      <c r="AE1186" s="11" t="n">
        <v>1.011296296296296</v>
      </c>
      <c r="AF1186" s="16">
        <f>SUMPRODUCT(N1186:Y1186,$N$5:$Y$5)*$K1186*$L1186*$M1186</f>
        <v/>
      </c>
      <c r="AG1186" s="16">
        <f>SUMPRODUCT(N1186:Y1186,$N$6:$Y$6)*$K1186*$L1186*$M1186</f>
        <v/>
      </c>
      <c r="AH1186" s="20" t="n"/>
    </row>
    <row r="1187">
      <c r="A1187" s="9" t="n">
        <v>691629</v>
      </c>
      <c r="B1187" s="9" t="inlineStr">
        <is>
          <t>Miguelangel Boadas</t>
        </is>
      </c>
      <c r="C1187" s="9" t="inlineStr">
        <is>
          <t>MIN</t>
        </is>
      </c>
      <c r="D1187" s="9" t="n">
        <v>25</v>
      </c>
      <c r="E1187" s="18" t="inlineStr">
        <is>
          <t>R</t>
        </is>
      </c>
      <c r="F1187" s="18" t="n"/>
      <c r="G1187" s="9" t="n">
        <v>6.02</v>
      </c>
      <c r="H1187" s="9" t="n">
        <v>6.02</v>
      </c>
      <c r="I1187" s="9" t="inlineStr">
        <is>
          <t>Depth (no MLB IP)</t>
        </is>
      </c>
      <c r="J1187" s="18" t="inlineStr">
        <is>
          <t>Opening Day</t>
        </is>
      </c>
      <c r="K1187" s="11">
        <f>IFERROR(INDEX(Roles!$B$17:$B$20,MATCH(J1187,Roles!$A$17:$A$20,0)),1)</f>
        <v/>
      </c>
      <c r="L1187" s="19" t="n">
        <v>1</v>
      </c>
      <c r="M1187" s="11" t="n">
        <v>1</v>
      </c>
      <c r="N1187" s="19" t="n"/>
      <c r="O1187" s="19" t="n"/>
      <c r="P1187" s="19" t="n"/>
      <c r="Q1187" s="19" t="n"/>
      <c r="R1187" s="19" t="n"/>
      <c r="S1187" s="19" t="n"/>
      <c r="T1187" s="19" t="n"/>
      <c r="U1187" s="19" t="n"/>
      <c r="V1187" s="19" t="n"/>
      <c r="W1187" s="19" t="n"/>
      <c r="X1187" s="19" t="n"/>
      <c r="Y1187" s="19" t="n">
        <v>1</v>
      </c>
      <c r="Z1187" s="13">
        <f>SUMPRODUCT(N1187:Y1187,$N$2:$Y$2)*$K1187*$L1187*$M1187</f>
        <v/>
      </c>
      <c r="AA1187" s="14">
        <f>SUM(N1187:Y1187)</f>
        <v/>
      </c>
      <c r="AB1187" s="13">
        <f>SUMPRODUCT(N1187:Y1187,$N$3:$Y$3)*$K1187*$L1187*$M1187</f>
        <v/>
      </c>
      <c r="AC1187" s="13">
        <f>SUMPRODUCT(N1187:Y1187,$N$4:$Y$4)*$K1187*$L1187*$M1187</f>
        <v/>
      </c>
      <c r="AD1187" s="15" t="n">
        <v>3</v>
      </c>
      <c r="AE1187" s="11" t="n">
        <v>1.011296296296296</v>
      </c>
      <c r="AF1187" s="16">
        <f>SUMPRODUCT(N1187:Y1187,$N$5:$Y$5)*$K1187*$L1187*$M1187</f>
        <v/>
      </c>
      <c r="AG1187" s="16">
        <f>SUMPRODUCT(N1187:Y1187,$N$6:$Y$6)*$K1187*$L1187*$M1187</f>
        <v/>
      </c>
      <c r="AH1187" s="20" t="n"/>
    </row>
    <row r="1188">
      <c r="A1188" s="9" t="n">
        <v>695584</v>
      </c>
      <c r="B1188" s="9" t="inlineStr">
        <is>
          <t>Brayden Jones</t>
        </is>
      </c>
      <c r="C1188" s="9" t="inlineStr">
        <is>
          <t>TB</t>
        </is>
      </c>
      <c r="D1188" s="9" t="n">
        <v>25</v>
      </c>
      <c r="E1188" s="18" t="inlineStr">
        <is>
          <t>R</t>
        </is>
      </c>
      <c r="F1188" s="18" t="n"/>
      <c r="G1188" s="9" t="n">
        <v>6.191999999999999</v>
      </c>
      <c r="H1188" s="9" t="n">
        <v>6.191999999999999</v>
      </c>
      <c r="I1188" s="9" t="inlineStr">
        <is>
          <t>Depth (no MLB IP)</t>
        </is>
      </c>
      <c r="J1188" s="18" t="inlineStr">
        <is>
          <t>Opening Day</t>
        </is>
      </c>
      <c r="K1188" s="11">
        <f>IFERROR(INDEX(Roles!$B$17:$B$20,MATCH(J1188,Roles!$A$17:$A$20,0)),1)</f>
        <v/>
      </c>
      <c r="L1188" s="19" t="n">
        <v>1</v>
      </c>
      <c r="M1188" s="11" t="n">
        <v>1</v>
      </c>
      <c r="N1188" s="19" t="n"/>
      <c r="O1188" s="19" t="n"/>
      <c r="P1188" s="19" t="n"/>
      <c r="Q1188" s="19" t="n"/>
      <c r="R1188" s="19" t="n"/>
      <c r="S1188" s="19" t="n"/>
      <c r="T1188" s="19" t="n"/>
      <c r="U1188" s="19" t="n"/>
      <c r="V1188" s="19" t="n"/>
      <c r="W1188" s="19" t="n"/>
      <c r="X1188" s="19" t="n"/>
      <c r="Y1188" s="19" t="n">
        <v>1</v>
      </c>
      <c r="Z1188" s="13">
        <f>SUMPRODUCT(N1188:Y1188,$N$2:$Y$2)*$K1188*$L1188*$M1188</f>
        <v/>
      </c>
      <c r="AA1188" s="14">
        <f>SUM(N1188:Y1188)</f>
        <v/>
      </c>
      <c r="AB1188" s="13">
        <f>SUMPRODUCT(N1188:Y1188,$N$3:$Y$3)*$K1188*$L1188*$M1188</f>
        <v/>
      </c>
      <c r="AC1188" s="13">
        <f>SUMPRODUCT(N1188:Y1188,$N$4:$Y$4)*$K1188*$L1188*$M1188</f>
        <v/>
      </c>
      <c r="AD1188" s="15" t="n">
        <v>3</v>
      </c>
      <c r="AE1188" s="11" t="n">
        <v>1.011296296296296</v>
      </c>
      <c r="AF1188" s="16">
        <f>SUMPRODUCT(N1188:Y1188,$N$5:$Y$5)*$K1188*$L1188*$M1188</f>
        <v/>
      </c>
      <c r="AG1188" s="16">
        <f>SUMPRODUCT(N1188:Y1188,$N$6:$Y$6)*$K1188*$L1188*$M1188</f>
        <v/>
      </c>
      <c r="AH1188" s="20" t="n"/>
    </row>
    <row r="1189">
      <c r="A1189" s="9" t="n">
        <v>828353</v>
      </c>
      <c r="B1189" s="9" t="inlineStr">
        <is>
          <t>Nate Garkow</t>
        </is>
      </c>
      <c r="C1189" s="9" t="inlineStr">
        <is>
          <t>TOR</t>
        </is>
      </c>
      <c r="D1189" s="9" t="n">
        <v>25</v>
      </c>
      <c r="E1189" s="18" t="inlineStr">
        <is>
          <t>R</t>
        </is>
      </c>
      <c r="F1189" s="18" t="n"/>
      <c r="G1189" s="9" t="n">
        <v>6.306666666666667</v>
      </c>
      <c r="H1189" s="9" t="n">
        <v>6.306666666666667</v>
      </c>
      <c r="I1189" s="9" t="inlineStr">
        <is>
          <t>Depth (no MLB IP)</t>
        </is>
      </c>
      <c r="J1189" s="18" t="inlineStr">
        <is>
          <t>Opening Day</t>
        </is>
      </c>
      <c r="K1189" s="11">
        <f>IFERROR(INDEX(Roles!$B$17:$B$20,MATCH(J1189,Roles!$A$17:$A$20,0)),1)</f>
        <v/>
      </c>
      <c r="L1189" s="19" t="n">
        <v>1</v>
      </c>
      <c r="M1189" s="11" t="n">
        <v>1</v>
      </c>
      <c r="N1189" s="19" t="n"/>
      <c r="O1189" s="19" t="n"/>
      <c r="P1189" s="19" t="n"/>
      <c r="Q1189" s="19" t="n"/>
      <c r="R1189" s="19" t="n"/>
      <c r="S1189" s="19" t="n"/>
      <c r="T1189" s="19" t="n"/>
      <c r="U1189" s="19" t="n"/>
      <c r="V1189" s="19" t="n"/>
      <c r="W1189" s="19" t="n"/>
      <c r="X1189" s="19" t="n"/>
      <c r="Y1189" s="19" t="n">
        <v>1</v>
      </c>
      <c r="Z1189" s="13">
        <f>SUMPRODUCT(N1189:Y1189,$N$2:$Y$2)*$K1189*$L1189*$M1189</f>
        <v/>
      </c>
      <c r="AA1189" s="14">
        <f>SUM(N1189:Y1189)</f>
        <v/>
      </c>
      <c r="AB1189" s="13">
        <f>SUMPRODUCT(N1189:Y1189,$N$3:$Y$3)*$K1189*$L1189*$M1189</f>
        <v/>
      </c>
      <c r="AC1189" s="13">
        <f>SUMPRODUCT(N1189:Y1189,$N$4:$Y$4)*$K1189*$L1189*$M1189</f>
        <v/>
      </c>
      <c r="AD1189" s="15" t="n">
        <v>3</v>
      </c>
      <c r="AE1189" s="11" t="n">
        <v>1.011296296296296</v>
      </c>
      <c r="AF1189" s="16">
        <f>SUMPRODUCT(N1189:Y1189,$N$5:$Y$5)*$K1189*$L1189*$M1189</f>
        <v/>
      </c>
      <c r="AG1189" s="16">
        <f>SUMPRODUCT(N1189:Y1189,$N$6:$Y$6)*$K1189*$L1189*$M1189</f>
        <v/>
      </c>
      <c r="AH1189" s="20" t="n"/>
    </row>
    <row r="1190">
      <c r="A1190" s="9" t="n">
        <v>809766</v>
      </c>
      <c r="B1190" s="9" t="inlineStr">
        <is>
          <t>Brad Rudis</t>
        </is>
      </c>
      <c r="C1190" s="9" t="inlineStr">
        <is>
          <t>MIN</t>
        </is>
      </c>
      <c r="D1190" s="9" t="n">
        <v>25</v>
      </c>
      <c r="E1190" s="18" t="inlineStr">
        <is>
          <t>R</t>
        </is>
      </c>
      <c r="F1190" s="18" t="n"/>
      <c r="G1190" s="9" t="n">
        <v>6.191999999999999</v>
      </c>
      <c r="H1190" s="9" t="n">
        <v>6.191999999999999</v>
      </c>
      <c r="I1190" s="9" t="inlineStr">
        <is>
          <t>Depth (no MLB IP)</t>
        </is>
      </c>
      <c r="J1190" s="18" t="inlineStr">
        <is>
          <t>Opening Day</t>
        </is>
      </c>
      <c r="K1190" s="11">
        <f>IFERROR(INDEX(Roles!$B$17:$B$20,MATCH(J1190,Roles!$A$17:$A$20,0)),1)</f>
        <v/>
      </c>
      <c r="L1190" s="19" t="n">
        <v>1</v>
      </c>
      <c r="M1190" s="11" t="n">
        <v>1</v>
      </c>
      <c r="N1190" s="19" t="n"/>
      <c r="O1190" s="19" t="n"/>
      <c r="P1190" s="19" t="n"/>
      <c r="Q1190" s="19" t="n"/>
      <c r="R1190" s="19" t="n"/>
      <c r="S1190" s="19" t="n"/>
      <c r="T1190" s="19" t="n"/>
      <c r="U1190" s="19" t="n"/>
      <c r="V1190" s="19" t="n"/>
      <c r="W1190" s="19" t="n"/>
      <c r="X1190" s="19" t="n"/>
      <c r="Y1190" s="19" t="n">
        <v>1</v>
      </c>
      <c r="Z1190" s="13">
        <f>SUMPRODUCT(N1190:Y1190,$N$2:$Y$2)*$K1190*$L1190*$M1190</f>
        <v/>
      </c>
      <c r="AA1190" s="14">
        <f>SUM(N1190:Y1190)</f>
        <v/>
      </c>
      <c r="AB1190" s="13">
        <f>SUMPRODUCT(N1190:Y1190,$N$3:$Y$3)*$K1190*$L1190*$M1190</f>
        <v/>
      </c>
      <c r="AC1190" s="13">
        <f>SUMPRODUCT(N1190:Y1190,$N$4:$Y$4)*$K1190*$L1190*$M1190</f>
        <v/>
      </c>
      <c r="AD1190" s="15" t="n">
        <v>3</v>
      </c>
      <c r="AE1190" s="11" t="n">
        <v>1.011296296296296</v>
      </c>
      <c r="AF1190" s="16">
        <f>SUMPRODUCT(N1190:Y1190,$N$5:$Y$5)*$K1190*$L1190*$M1190</f>
        <v/>
      </c>
      <c r="AG1190" s="16">
        <f>SUMPRODUCT(N1190:Y1190,$N$6:$Y$6)*$K1190*$L1190*$M1190</f>
        <v/>
      </c>
      <c r="AH1190" s="20" t="n"/>
    </row>
    <row r="1191">
      <c r="A1191" s="9" t="n">
        <v>828330</v>
      </c>
      <c r="B1191" s="9" t="inlineStr">
        <is>
          <t>JR Fordham</t>
        </is>
      </c>
      <c r="C1191" s="9" t="inlineStr">
        <is>
          <t>STL</t>
        </is>
      </c>
      <c r="D1191" s="9" t="n">
        <v>25</v>
      </c>
      <c r="E1191" s="18" t="inlineStr">
        <is>
          <t>R</t>
        </is>
      </c>
      <c r="F1191" s="18" t="n"/>
      <c r="G1191" s="9" t="n">
        <v>6.191999999999999</v>
      </c>
      <c r="H1191" s="9" t="n">
        <v>6.191999999999999</v>
      </c>
      <c r="I1191" s="9" t="inlineStr">
        <is>
          <t>Depth (no MLB IP)</t>
        </is>
      </c>
      <c r="J1191" s="18" t="inlineStr">
        <is>
          <t>Opening Day</t>
        </is>
      </c>
      <c r="K1191" s="11">
        <f>IFERROR(INDEX(Roles!$B$17:$B$20,MATCH(J1191,Roles!$A$17:$A$20,0)),1)</f>
        <v/>
      </c>
      <c r="L1191" s="19" t="n">
        <v>1</v>
      </c>
      <c r="M1191" s="11" t="n">
        <v>1</v>
      </c>
      <c r="N1191" s="19" t="n"/>
      <c r="O1191" s="19" t="n"/>
      <c r="P1191" s="19" t="n"/>
      <c r="Q1191" s="19" t="n"/>
      <c r="R1191" s="19" t="n"/>
      <c r="S1191" s="19" t="n"/>
      <c r="T1191" s="19" t="n"/>
      <c r="U1191" s="19" t="n"/>
      <c r="V1191" s="19" t="n"/>
      <c r="W1191" s="19" t="n"/>
      <c r="X1191" s="19" t="n"/>
      <c r="Y1191" s="19" t="n">
        <v>1</v>
      </c>
      <c r="Z1191" s="13">
        <f>SUMPRODUCT(N1191:Y1191,$N$2:$Y$2)*$K1191*$L1191*$M1191</f>
        <v/>
      </c>
      <c r="AA1191" s="14">
        <f>SUM(N1191:Y1191)</f>
        <v/>
      </c>
      <c r="AB1191" s="13">
        <f>SUMPRODUCT(N1191:Y1191,$N$3:$Y$3)*$K1191*$L1191*$M1191</f>
        <v/>
      </c>
      <c r="AC1191" s="13">
        <f>SUMPRODUCT(N1191:Y1191,$N$4:$Y$4)*$K1191*$L1191*$M1191</f>
        <v/>
      </c>
      <c r="AD1191" s="15" t="n">
        <v>3</v>
      </c>
      <c r="AE1191" s="11" t="n">
        <v>1.011296296296296</v>
      </c>
      <c r="AF1191" s="16">
        <f>SUMPRODUCT(N1191:Y1191,$N$5:$Y$5)*$K1191*$L1191*$M1191</f>
        <v/>
      </c>
      <c r="AG1191" s="16">
        <f>SUMPRODUCT(N1191:Y1191,$N$6:$Y$6)*$K1191*$L1191*$M1191</f>
        <v/>
      </c>
      <c r="AH1191" s="20" t="n"/>
    </row>
    <row r="1192">
      <c r="A1192" s="9" t="n">
        <v>821060</v>
      </c>
      <c r="B1192" s="9" t="inlineStr">
        <is>
          <t>Melvin Rodriguez</t>
        </is>
      </c>
      <c r="C1192" s="9" t="inlineStr">
        <is>
          <t>MIN</t>
        </is>
      </c>
      <c r="D1192" s="9" t="n">
        <v>25</v>
      </c>
      <c r="E1192" s="18" t="inlineStr">
        <is>
          <t>R</t>
        </is>
      </c>
      <c r="F1192" s="18" t="n"/>
      <c r="G1192" s="9" t="n">
        <v>6.191999999999999</v>
      </c>
      <c r="H1192" s="9" t="n">
        <v>6.191999999999999</v>
      </c>
      <c r="I1192" s="9" t="inlineStr">
        <is>
          <t>Depth (no MLB IP)</t>
        </is>
      </c>
      <c r="J1192" s="18" t="inlineStr">
        <is>
          <t>Opening Day</t>
        </is>
      </c>
      <c r="K1192" s="11">
        <f>IFERROR(INDEX(Roles!$B$17:$B$20,MATCH(J1192,Roles!$A$17:$A$20,0)),1)</f>
        <v/>
      </c>
      <c r="L1192" s="19" t="n">
        <v>1</v>
      </c>
      <c r="M1192" s="11" t="n">
        <v>1</v>
      </c>
      <c r="N1192" s="19" t="n"/>
      <c r="O1192" s="19" t="n"/>
      <c r="P1192" s="19" t="n"/>
      <c r="Q1192" s="19" t="n"/>
      <c r="R1192" s="19" t="n"/>
      <c r="S1192" s="19" t="n"/>
      <c r="T1192" s="19" t="n"/>
      <c r="U1192" s="19" t="n"/>
      <c r="V1192" s="19" t="n"/>
      <c r="W1192" s="19" t="n"/>
      <c r="X1192" s="19" t="n"/>
      <c r="Y1192" s="19" t="n">
        <v>1</v>
      </c>
      <c r="Z1192" s="13">
        <f>SUMPRODUCT(N1192:Y1192,$N$2:$Y$2)*$K1192*$L1192*$M1192</f>
        <v/>
      </c>
      <c r="AA1192" s="14">
        <f>SUM(N1192:Y1192)</f>
        <v/>
      </c>
      <c r="AB1192" s="13">
        <f>SUMPRODUCT(N1192:Y1192,$N$3:$Y$3)*$K1192*$L1192*$M1192</f>
        <v/>
      </c>
      <c r="AC1192" s="13">
        <f>SUMPRODUCT(N1192:Y1192,$N$4:$Y$4)*$K1192*$L1192*$M1192</f>
        <v/>
      </c>
      <c r="AD1192" s="15" t="n">
        <v>3</v>
      </c>
      <c r="AE1192" s="11" t="n">
        <v>1.011296296296296</v>
      </c>
      <c r="AF1192" s="16">
        <f>SUMPRODUCT(N1192:Y1192,$N$5:$Y$5)*$K1192*$L1192*$M1192</f>
        <v/>
      </c>
      <c r="AG1192" s="16">
        <f>SUMPRODUCT(N1192:Y1192,$N$6:$Y$6)*$K1192*$L1192*$M1192</f>
        <v/>
      </c>
      <c r="AH1192" s="20" t="n"/>
    </row>
    <row r="1193">
      <c r="A1193" s="9" t="n">
        <v>682239</v>
      </c>
      <c r="B1193" s="9" t="inlineStr">
        <is>
          <t>Luke Ritter</t>
        </is>
      </c>
      <c r="C1193" s="9" t="inlineStr">
        <is>
          <t>DET</t>
        </is>
      </c>
      <c r="D1193" s="9" t="n">
        <v>25</v>
      </c>
      <c r="E1193" s="18" t="inlineStr">
        <is>
          <t>R</t>
        </is>
      </c>
      <c r="F1193" s="18" t="n"/>
      <c r="G1193" s="9" t="n">
        <v>6.306666666666667</v>
      </c>
      <c r="H1193" s="9" t="n">
        <v>6.306666666666667</v>
      </c>
      <c r="I1193" s="9" t="inlineStr">
        <is>
          <t>Depth (no MLB IP)</t>
        </is>
      </c>
      <c r="J1193" s="18" t="inlineStr">
        <is>
          <t>Opening Day</t>
        </is>
      </c>
      <c r="K1193" s="11">
        <f>IFERROR(INDEX(Roles!$B$17:$B$20,MATCH(J1193,Roles!$A$17:$A$20,0)),1)</f>
        <v/>
      </c>
      <c r="L1193" s="19" t="n">
        <v>1</v>
      </c>
      <c r="M1193" s="11" t="n">
        <v>1</v>
      </c>
      <c r="N1193" s="19" t="n"/>
      <c r="O1193" s="19" t="n"/>
      <c r="P1193" s="19" t="n"/>
      <c r="Q1193" s="19" t="n"/>
      <c r="R1193" s="19" t="n"/>
      <c r="S1193" s="19" t="n"/>
      <c r="T1193" s="19" t="n"/>
      <c r="U1193" s="19" t="n"/>
      <c r="V1193" s="19" t="n"/>
      <c r="W1193" s="19" t="n"/>
      <c r="X1193" s="19" t="n"/>
      <c r="Y1193" s="19" t="n">
        <v>1</v>
      </c>
      <c r="Z1193" s="13">
        <f>SUMPRODUCT(N1193:Y1193,$N$2:$Y$2)*$K1193*$L1193*$M1193</f>
        <v/>
      </c>
      <c r="AA1193" s="14">
        <f>SUM(N1193:Y1193)</f>
        <v/>
      </c>
      <c r="AB1193" s="13">
        <f>SUMPRODUCT(N1193:Y1193,$N$3:$Y$3)*$K1193*$L1193*$M1193</f>
        <v/>
      </c>
      <c r="AC1193" s="13">
        <f>SUMPRODUCT(N1193:Y1193,$N$4:$Y$4)*$K1193*$L1193*$M1193</f>
        <v/>
      </c>
      <c r="AD1193" s="15" t="n">
        <v>3</v>
      </c>
      <c r="AE1193" s="11" t="n">
        <v>1.011296296296296</v>
      </c>
      <c r="AF1193" s="16">
        <f>SUMPRODUCT(N1193:Y1193,$N$5:$Y$5)*$K1193*$L1193*$M1193</f>
        <v/>
      </c>
      <c r="AG1193" s="16">
        <f>SUMPRODUCT(N1193:Y1193,$N$6:$Y$6)*$K1193*$L1193*$M1193</f>
        <v/>
      </c>
      <c r="AH1193" s="20" t="n"/>
    </row>
    <row r="1194">
      <c r="A1194" s="9" t="n">
        <v>701698</v>
      </c>
      <c r="B1194" s="9" t="inlineStr">
        <is>
          <t>Izeah Muniz</t>
        </is>
      </c>
      <c r="C1194" s="9" t="inlineStr">
        <is>
          <t>COL</t>
        </is>
      </c>
      <c r="D1194" s="9" t="n">
        <v>25</v>
      </c>
      <c r="E1194" s="18" t="inlineStr">
        <is>
          <t>R</t>
        </is>
      </c>
      <c r="F1194" s="18" t="n"/>
      <c r="G1194" s="9" t="n">
        <v>6.02</v>
      </c>
      <c r="H1194" s="9" t="n">
        <v>6.02</v>
      </c>
      <c r="I1194" s="9" t="inlineStr">
        <is>
          <t>Depth (no MLB IP)</t>
        </is>
      </c>
      <c r="J1194" s="18" t="inlineStr">
        <is>
          <t>Opening Day</t>
        </is>
      </c>
      <c r="K1194" s="11">
        <f>IFERROR(INDEX(Roles!$B$17:$B$20,MATCH(J1194,Roles!$A$17:$A$20,0)),1)</f>
        <v/>
      </c>
      <c r="L1194" s="19" t="n">
        <v>1</v>
      </c>
      <c r="M1194" s="11" t="n">
        <v>1</v>
      </c>
      <c r="N1194" s="19" t="n"/>
      <c r="O1194" s="19" t="n"/>
      <c r="P1194" s="19" t="n"/>
      <c r="Q1194" s="19" t="n"/>
      <c r="R1194" s="19" t="n"/>
      <c r="S1194" s="19" t="n"/>
      <c r="T1194" s="19" t="n"/>
      <c r="U1194" s="19" t="n"/>
      <c r="V1194" s="19" t="n"/>
      <c r="W1194" s="19" t="n"/>
      <c r="X1194" s="19" t="n"/>
      <c r="Y1194" s="19" t="n">
        <v>1</v>
      </c>
      <c r="Z1194" s="13">
        <f>SUMPRODUCT(N1194:Y1194,$N$2:$Y$2)*$K1194*$L1194*$M1194</f>
        <v/>
      </c>
      <c r="AA1194" s="14">
        <f>SUM(N1194:Y1194)</f>
        <v/>
      </c>
      <c r="AB1194" s="13">
        <f>SUMPRODUCT(N1194:Y1194,$N$3:$Y$3)*$K1194*$L1194*$M1194</f>
        <v/>
      </c>
      <c r="AC1194" s="13">
        <f>SUMPRODUCT(N1194:Y1194,$N$4:$Y$4)*$K1194*$L1194*$M1194</f>
        <v/>
      </c>
      <c r="AD1194" s="15" t="n">
        <v>3</v>
      </c>
      <c r="AE1194" s="11" t="n">
        <v>1.011296296296296</v>
      </c>
      <c r="AF1194" s="16">
        <f>SUMPRODUCT(N1194:Y1194,$N$5:$Y$5)*$K1194*$L1194*$M1194</f>
        <v/>
      </c>
      <c r="AG1194" s="16">
        <f>SUMPRODUCT(N1194:Y1194,$N$6:$Y$6)*$K1194*$L1194*$M1194</f>
        <v/>
      </c>
      <c r="AH1194" s="20" t="n"/>
    </row>
    <row r="1195">
      <c r="A1195" s="9" t="n">
        <v>678922</v>
      </c>
      <c r="B1195" s="9" t="inlineStr">
        <is>
          <t>Jeisson Cabrera</t>
        </is>
      </c>
      <c r="C1195" s="9" t="inlineStr">
        <is>
          <t>BAL</t>
        </is>
      </c>
      <c r="D1195" s="9" t="n">
        <v>25</v>
      </c>
      <c r="E1195" s="18" t="inlineStr">
        <is>
          <t>R</t>
        </is>
      </c>
      <c r="F1195" s="18" t="n"/>
      <c r="G1195" s="9" t="n">
        <v>6.306666666666667</v>
      </c>
      <c r="H1195" s="9" t="n">
        <v>6.306666666666667</v>
      </c>
      <c r="I1195" s="9" t="inlineStr">
        <is>
          <t>Depth (no MLB IP)</t>
        </is>
      </c>
      <c r="J1195" s="18" t="inlineStr">
        <is>
          <t>Opening Day</t>
        </is>
      </c>
      <c r="K1195" s="11">
        <f>IFERROR(INDEX(Roles!$B$17:$B$20,MATCH(J1195,Roles!$A$17:$A$20,0)),1)</f>
        <v/>
      </c>
      <c r="L1195" s="19" t="n">
        <v>1</v>
      </c>
      <c r="M1195" s="11" t="n">
        <v>1</v>
      </c>
      <c r="N1195" s="19" t="n"/>
      <c r="O1195" s="19" t="n"/>
      <c r="P1195" s="19" t="n"/>
      <c r="Q1195" s="19" t="n"/>
      <c r="R1195" s="19" t="n"/>
      <c r="S1195" s="19" t="n"/>
      <c r="T1195" s="19" t="n"/>
      <c r="U1195" s="19" t="n"/>
      <c r="V1195" s="19" t="n"/>
      <c r="W1195" s="19" t="n"/>
      <c r="X1195" s="19" t="n"/>
      <c r="Y1195" s="19" t="n">
        <v>1</v>
      </c>
      <c r="Z1195" s="13">
        <f>SUMPRODUCT(N1195:Y1195,$N$2:$Y$2)*$K1195*$L1195*$M1195</f>
        <v/>
      </c>
      <c r="AA1195" s="14">
        <f>SUM(N1195:Y1195)</f>
        <v/>
      </c>
      <c r="AB1195" s="13">
        <f>SUMPRODUCT(N1195:Y1195,$N$3:$Y$3)*$K1195*$L1195*$M1195</f>
        <v/>
      </c>
      <c r="AC1195" s="13">
        <f>SUMPRODUCT(N1195:Y1195,$N$4:$Y$4)*$K1195*$L1195*$M1195</f>
        <v/>
      </c>
      <c r="AD1195" s="15" t="n">
        <v>3</v>
      </c>
      <c r="AE1195" s="11" t="n">
        <v>1.011296296296296</v>
      </c>
      <c r="AF1195" s="16">
        <f>SUMPRODUCT(N1195:Y1195,$N$5:$Y$5)*$K1195*$L1195*$M1195</f>
        <v/>
      </c>
      <c r="AG1195" s="16">
        <f>SUMPRODUCT(N1195:Y1195,$N$6:$Y$6)*$K1195*$L1195*$M1195</f>
        <v/>
      </c>
      <c r="AH1195" s="20" t="n"/>
    </row>
    <row r="1196">
      <c r="A1196" s="9" t="n">
        <v>802363</v>
      </c>
      <c r="B1196" s="9" t="inlineStr">
        <is>
          <t>Jordan Geber</t>
        </is>
      </c>
      <c r="C1196" s="9" t="inlineStr">
        <is>
          <t>NYM</t>
        </is>
      </c>
      <c r="D1196" s="9" t="n">
        <v>25</v>
      </c>
      <c r="E1196" s="18" t="inlineStr">
        <is>
          <t>R</t>
        </is>
      </c>
      <c r="F1196" s="18" t="n"/>
      <c r="G1196" s="9" t="n">
        <v>6.306666666666667</v>
      </c>
      <c r="H1196" s="9" t="n">
        <v>6.306666666666667</v>
      </c>
      <c r="I1196" s="9" t="inlineStr">
        <is>
          <t>Depth (no MLB IP)</t>
        </is>
      </c>
      <c r="J1196" s="18" t="inlineStr">
        <is>
          <t>Opening Day</t>
        </is>
      </c>
      <c r="K1196" s="11">
        <f>IFERROR(INDEX(Roles!$B$17:$B$20,MATCH(J1196,Roles!$A$17:$A$20,0)),1)</f>
        <v/>
      </c>
      <c r="L1196" s="19" t="n">
        <v>1</v>
      </c>
      <c r="M1196" s="11" t="n">
        <v>1</v>
      </c>
      <c r="N1196" s="19" t="n"/>
      <c r="O1196" s="19" t="n"/>
      <c r="P1196" s="19" t="n"/>
      <c r="Q1196" s="19" t="n"/>
      <c r="R1196" s="19" t="n"/>
      <c r="S1196" s="19" t="n"/>
      <c r="T1196" s="19" t="n"/>
      <c r="U1196" s="19" t="n"/>
      <c r="V1196" s="19" t="n"/>
      <c r="W1196" s="19" t="n"/>
      <c r="X1196" s="19" t="n"/>
      <c r="Y1196" s="19" t="n">
        <v>1</v>
      </c>
      <c r="Z1196" s="13">
        <f>SUMPRODUCT(N1196:Y1196,$N$2:$Y$2)*$K1196*$L1196*$M1196</f>
        <v/>
      </c>
      <c r="AA1196" s="14">
        <f>SUM(N1196:Y1196)</f>
        <v/>
      </c>
      <c r="AB1196" s="13">
        <f>SUMPRODUCT(N1196:Y1196,$N$3:$Y$3)*$K1196*$L1196*$M1196</f>
        <v/>
      </c>
      <c r="AC1196" s="13">
        <f>SUMPRODUCT(N1196:Y1196,$N$4:$Y$4)*$K1196*$L1196*$M1196</f>
        <v/>
      </c>
      <c r="AD1196" s="15" t="n">
        <v>3</v>
      </c>
      <c r="AE1196" s="11" t="n">
        <v>1.011296296296296</v>
      </c>
      <c r="AF1196" s="16">
        <f>SUMPRODUCT(N1196:Y1196,$N$5:$Y$5)*$K1196*$L1196*$M1196</f>
        <v/>
      </c>
      <c r="AG1196" s="16">
        <f>SUMPRODUCT(N1196:Y1196,$N$6:$Y$6)*$K1196*$L1196*$M1196</f>
        <v/>
      </c>
      <c r="AH1196" s="20" t="n"/>
    </row>
    <row r="1197">
      <c r="A1197" s="9" t="n">
        <v>703186</v>
      </c>
      <c r="B1197" s="9" t="inlineStr">
        <is>
          <t>Jarlin Susana</t>
        </is>
      </c>
      <c r="C1197" s="9" t="inlineStr">
        <is>
          <t>WSH</t>
        </is>
      </c>
      <c r="D1197" s="9" t="n">
        <v>23</v>
      </c>
      <c r="E1197" s="18" t="inlineStr">
        <is>
          <t>R</t>
        </is>
      </c>
      <c r="F1197" s="18" t="n"/>
      <c r="G1197" s="9" t="n">
        <v>6.306666666666667</v>
      </c>
      <c r="H1197" s="9" t="n">
        <v>6.306666666666667</v>
      </c>
      <c r="I1197" s="9" t="inlineStr">
        <is>
          <t>Depth (no MLB IP)</t>
        </is>
      </c>
      <c r="J1197" s="18" t="inlineStr">
        <is>
          <t>Opening Day</t>
        </is>
      </c>
      <c r="K1197" s="11">
        <f>IFERROR(INDEX(Roles!$B$17:$B$20,MATCH(J1197,Roles!$A$17:$A$20,0)),1)</f>
        <v/>
      </c>
      <c r="L1197" s="19" t="n">
        <v>1</v>
      </c>
      <c r="M1197" s="11" t="n">
        <v>1</v>
      </c>
      <c r="N1197" s="19" t="n"/>
      <c r="O1197" s="19" t="n"/>
      <c r="P1197" s="19" t="n"/>
      <c r="Q1197" s="19" t="n"/>
      <c r="R1197" s="19" t="n"/>
      <c r="S1197" s="19" t="n"/>
      <c r="T1197" s="19" t="n"/>
      <c r="U1197" s="19" t="n"/>
      <c r="V1197" s="19" t="n"/>
      <c r="W1197" s="19" t="n"/>
      <c r="X1197" s="19" t="n"/>
      <c r="Y1197" s="19" t="n">
        <v>1</v>
      </c>
      <c r="Z1197" s="13">
        <f>SUMPRODUCT(N1197:Y1197,$N$2:$Y$2)*$K1197*$L1197*$M1197</f>
        <v/>
      </c>
      <c r="AA1197" s="14">
        <f>SUM(N1197:Y1197)</f>
        <v/>
      </c>
      <c r="AB1197" s="13">
        <f>SUMPRODUCT(N1197:Y1197,$N$3:$Y$3)*$K1197*$L1197*$M1197</f>
        <v/>
      </c>
      <c r="AC1197" s="13">
        <f>SUMPRODUCT(N1197:Y1197,$N$4:$Y$4)*$K1197*$L1197*$M1197</f>
        <v/>
      </c>
      <c r="AD1197" s="15" t="n">
        <v>3</v>
      </c>
      <c r="AE1197" s="11" t="n">
        <v>1.011296296296296</v>
      </c>
      <c r="AF1197" s="16">
        <f>SUMPRODUCT(N1197:Y1197,$N$5:$Y$5)*$K1197*$L1197*$M1197</f>
        <v/>
      </c>
      <c r="AG1197" s="16">
        <f>SUMPRODUCT(N1197:Y1197,$N$6:$Y$6)*$K1197*$L1197*$M1197</f>
        <v/>
      </c>
      <c r="AH1197" s="20" t="n"/>
    </row>
    <row r="1198">
      <c r="A1198" s="9" t="n">
        <v>802371</v>
      </c>
      <c r="B1198" s="9" t="inlineStr">
        <is>
          <t>Christian Worley</t>
        </is>
      </c>
      <c r="C1198" s="9" t="inlineStr">
        <is>
          <t>STL</t>
        </is>
      </c>
      <c r="D1198" s="9" t="n">
        <v>25</v>
      </c>
      <c r="E1198" s="18" t="inlineStr">
        <is>
          <t>R</t>
        </is>
      </c>
      <c r="F1198" s="18" t="n"/>
      <c r="G1198" s="9" t="n">
        <v>6.02</v>
      </c>
      <c r="H1198" s="9" t="n">
        <v>6.02</v>
      </c>
      <c r="I1198" s="9" t="inlineStr">
        <is>
          <t>Depth (no MLB IP)</t>
        </is>
      </c>
      <c r="J1198" s="18" t="inlineStr">
        <is>
          <t>Opening Day</t>
        </is>
      </c>
      <c r="K1198" s="11">
        <f>IFERROR(INDEX(Roles!$B$17:$B$20,MATCH(J1198,Roles!$A$17:$A$20,0)),1)</f>
        <v/>
      </c>
      <c r="L1198" s="19" t="n">
        <v>1</v>
      </c>
      <c r="M1198" s="11" t="n">
        <v>1</v>
      </c>
      <c r="N1198" s="19" t="n"/>
      <c r="O1198" s="19" t="n"/>
      <c r="P1198" s="19" t="n"/>
      <c r="Q1198" s="19" t="n"/>
      <c r="R1198" s="19" t="n"/>
      <c r="S1198" s="19" t="n"/>
      <c r="T1198" s="19" t="n"/>
      <c r="U1198" s="19" t="n"/>
      <c r="V1198" s="19" t="n"/>
      <c r="W1198" s="19" t="n"/>
      <c r="X1198" s="19" t="n"/>
      <c r="Y1198" s="19" t="n">
        <v>1</v>
      </c>
      <c r="Z1198" s="13">
        <f>SUMPRODUCT(N1198:Y1198,$N$2:$Y$2)*$K1198*$L1198*$M1198</f>
        <v/>
      </c>
      <c r="AA1198" s="14">
        <f>SUM(N1198:Y1198)</f>
        <v/>
      </c>
      <c r="AB1198" s="13">
        <f>SUMPRODUCT(N1198:Y1198,$N$3:$Y$3)*$K1198*$L1198*$M1198</f>
        <v/>
      </c>
      <c r="AC1198" s="13">
        <f>SUMPRODUCT(N1198:Y1198,$N$4:$Y$4)*$K1198*$L1198*$M1198</f>
        <v/>
      </c>
      <c r="AD1198" s="15" t="n">
        <v>3</v>
      </c>
      <c r="AE1198" s="11" t="n">
        <v>1.011296296296296</v>
      </c>
      <c r="AF1198" s="16">
        <f>SUMPRODUCT(N1198:Y1198,$N$5:$Y$5)*$K1198*$L1198*$M1198</f>
        <v/>
      </c>
      <c r="AG1198" s="16">
        <f>SUMPRODUCT(N1198:Y1198,$N$6:$Y$6)*$K1198*$L1198*$M1198</f>
        <v/>
      </c>
      <c r="AH1198" s="20" t="n"/>
    </row>
    <row r="1199">
      <c r="A1199" s="9" t="n">
        <v>699167</v>
      </c>
      <c r="B1199" s="9" t="inlineStr">
        <is>
          <t>Samuel Escudero</t>
        </is>
      </c>
      <c r="C1199" s="9" t="inlineStr">
        <is>
          <t>PIT</t>
        </is>
      </c>
      <c r="D1199" s="9" t="n">
        <v>25</v>
      </c>
      <c r="E1199" s="18" t="inlineStr">
        <is>
          <t>R</t>
        </is>
      </c>
      <c r="F1199" s="18" t="n"/>
      <c r="G1199" s="9" t="n">
        <v>6.02</v>
      </c>
      <c r="H1199" s="9" t="n">
        <v>6.02</v>
      </c>
      <c r="I1199" s="9" t="inlineStr">
        <is>
          <t>Depth (no MLB IP)</t>
        </is>
      </c>
      <c r="J1199" s="18" t="inlineStr">
        <is>
          <t>Opening Day</t>
        </is>
      </c>
      <c r="K1199" s="11">
        <f>IFERROR(INDEX(Roles!$B$17:$B$20,MATCH(J1199,Roles!$A$17:$A$20,0)),1)</f>
        <v/>
      </c>
      <c r="L1199" s="19" t="n">
        <v>1</v>
      </c>
      <c r="M1199" s="11" t="n">
        <v>1</v>
      </c>
      <c r="N1199" s="19" t="n"/>
      <c r="O1199" s="19" t="n"/>
      <c r="P1199" s="19" t="n"/>
      <c r="Q1199" s="19" t="n"/>
      <c r="R1199" s="19" t="n"/>
      <c r="S1199" s="19" t="n"/>
      <c r="T1199" s="19" t="n"/>
      <c r="U1199" s="19" t="n"/>
      <c r="V1199" s="19" t="n"/>
      <c r="W1199" s="19" t="n"/>
      <c r="X1199" s="19" t="n"/>
      <c r="Y1199" s="19" t="n">
        <v>1</v>
      </c>
      <c r="Z1199" s="13">
        <f>SUMPRODUCT(N1199:Y1199,$N$2:$Y$2)*$K1199*$L1199*$M1199</f>
        <v/>
      </c>
      <c r="AA1199" s="14">
        <f>SUM(N1199:Y1199)</f>
        <v/>
      </c>
      <c r="AB1199" s="13">
        <f>SUMPRODUCT(N1199:Y1199,$N$3:$Y$3)*$K1199*$L1199*$M1199</f>
        <v/>
      </c>
      <c r="AC1199" s="13">
        <f>SUMPRODUCT(N1199:Y1199,$N$4:$Y$4)*$K1199*$L1199*$M1199</f>
        <v/>
      </c>
      <c r="AD1199" s="15" t="n">
        <v>3</v>
      </c>
      <c r="AE1199" s="11" t="n">
        <v>1.011296296296296</v>
      </c>
      <c r="AF1199" s="16">
        <f>SUMPRODUCT(N1199:Y1199,$N$5:$Y$5)*$K1199*$L1199*$M1199</f>
        <v/>
      </c>
      <c r="AG1199" s="16">
        <f>SUMPRODUCT(N1199:Y1199,$N$6:$Y$6)*$K1199*$L1199*$M1199</f>
        <v/>
      </c>
      <c r="AH1199" s="20" t="n"/>
    </row>
    <row r="1200">
      <c r="A1200" s="9" t="n">
        <v>695462</v>
      </c>
      <c r="B1200" s="9" t="inlineStr">
        <is>
          <t>Cal Conley</t>
        </is>
      </c>
      <c r="C1200" s="9" t="inlineStr">
        <is>
          <t>ATL</t>
        </is>
      </c>
      <c r="D1200" s="9" t="n">
        <v>25</v>
      </c>
      <c r="E1200" s="18" t="inlineStr">
        <is>
          <t>R</t>
        </is>
      </c>
      <c r="F1200" s="18" t="n"/>
      <c r="G1200" s="9" t="n">
        <v>6.306666666666667</v>
      </c>
      <c r="H1200" s="9" t="n">
        <v>6.306666666666667</v>
      </c>
      <c r="I1200" s="9" t="inlineStr">
        <is>
          <t>Depth (no MLB IP)</t>
        </is>
      </c>
      <c r="J1200" s="18" t="inlineStr">
        <is>
          <t>Opening Day</t>
        </is>
      </c>
      <c r="K1200" s="11">
        <f>IFERROR(INDEX(Roles!$B$17:$B$20,MATCH(J1200,Roles!$A$17:$A$20,0)),1)</f>
        <v/>
      </c>
      <c r="L1200" s="19" t="n">
        <v>1</v>
      </c>
      <c r="M1200" s="11" t="n">
        <v>1</v>
      </c>
      <c r="N1200" s="19" t="n"/>
      <c r="O1200" s="19" t="n"/>
      <c r="P1200" s="19" t="n"/>
      <c r="Q1200" s="19" t="n"/>
      <c r="R1200" s="19" t="n"/>
      <c r="S1200" s="19" t="n"/>
      <c r="T1200" s="19" t="n"/>
      <c r="U1200" s="19" t="n"/>
      <c r="V1200" s="19" t="n"/>
      <c r="W1200" s="19" t="n"/>
      <c r="X1200" s="19" t="n"/>
      <c r="Y1200" s="19" t="n">
        <v>1</v>
      </c>
      <c r="Z1200" s="13">
        <f>SUMPRODUCT(N1200:Y1200,$N$2:$Y$2)*$K1200*$L1200*$M1200</f>
        <v/>
      </c>
      <c r="AA1200" s="14">
        <f>SUM(N1200:Y1200)</f>
        <v/>
      </c>
      <c r="AB1200" s="13">
        <f>SUMPRODUCT(N1200:Y1200,$N$3:$Y$3)*$K1200*$L1200*$M1200</f>
        <v/>
      </c>
      <c r="AC1200" s="13">
        <f>SUMPRODUCT(N1200:Y1200,$N$4:$Y$4)*$K1200*$L1200*$M1200</f>
        <v/>
      </c>
      <c r="AD1200" s="15" t="n">
        <v>3</v>
      </c>
      <c r="AE1200" s="11" t="n">
        <v>1.011296296296296</v>
      </c>
      <c r="AF1200" s="16">
        <f>SUMPRODUCT(N1200:Y1200,$N$5:$Y$5)*$K1200*$L1200*$M1200</f>
        <v/>
      </c>
      <c r="AG1200" s="16">
        <f>SUMPRODUCT(N1200:Y1200,$N$6:$Y$6)*$K1200*$L1200*$M1200</f>
        <v/>
      </c>
      <c r="AH1200" s="20" t="n"/>
    </row>
    <row r="1201">
      <c r="A1201" s="9" t="n">
        <v>810836</v>
      </c>
      <c r="B1201" s="9" t="inlineStr">
        <is>
          <t>Andrew Shaffner</t>
        </is>
      </c>
      <c r="C1201" s="9" t="inlineStr">
        <is>
          <t>CIN</t>
        </is>
      </c>
      <c r="D1201" s="9" t="n">
        <v>25</v>
      </c>
      <c r="E1201" s="18" t="inlineStr">
        <is>
          <t>R</t>
        </is>
      </c>
      <c r="F1201" s="18" t="n"/>
      <c r="G1201" s="9" t="n">
        <v>6.02</v>
      </c>
      <c r="H1201" s="9" t="n">
        <v>6.02</v>
      </c>
      <c r="I1201" s="9" t="inlineStr">
        <is>
          <t>Depth (no MLB IP)</t>
        </is>
      </c>
      <c r="J1201" s="18" t="inlineStr">
        <is>
          <t>Opening Day</t>
        </is>
      </c>
      <c r="K1201" s="11">
        <f>IFERROR(INDEX(Roles!$B$17:$B$20,MATCH(J1201,Roles!$A$17:$A$20,0)),1)</f>
        <v/>
      </c>
      <c r="L1201" s="19" t="n">
        <v>1</v>
      </c>
      <c r="M1201" s="11" t="n">
        <v>1</v>
      </c>
      <c r="N1201" s="19" t="n"/>
      <c r="O1201" s="19" t="n"/>
      <c r="P1201" s="19" t="n"/>
      <c r="Q1201" s="19" t="n"/>
      <c r="R1201" s="19" t="n"/>
      <c r="S1201" s="19" t="n"/>
      <c r="T1201" s="19" t="n"/>
      <c r="U1201" s="19" t="n"/>
      <c r="V1201" s="19" t="n"/>
      <c r="W1201" s="19" t="n"/>
      <c r="X1201" s="19" t="n"/>
      <c r="Y1201" s="19" t="n">
        <v>1</v>
      </c>
      <c r="Z1201" s="13">
        <f>SUMPRODUCT(N1201:Y1201,$N$2:$Y$2)*$K1201*$L1201*$M1201</f>
        <v/>
      </c>
      <c r="AA1201" s="14">
        <f>SUM(N1201:Y1201)</f>
        <v/>
      </c>
      <c r="AB1201" s="13">
        <f>SUMPRODUCT(N1201:Y1201,$N$3:$Y$3)*$K1201*$L1201*$M1201</f>
        <v/>
      </c>
      <c r="AC1201" s="13">
        <f>SUMPRODUCT(N1201:Y1201,$N$4:$Y$4)*$K1201*$L1201*$M1201</f>
        <v/>
      </c>
      <c r="AD1201" s="15" t="n">
        <v>3</v>
      </c>
      <c r="AE1201" s="11" t="n">
        <v>1.011296296296296</v>
      </c>
      <c r="AF1201" s="16">
        <f>SUMPRODUCT(N1201:Y1201,$N$5:$Y$5)*$K1201*$L1201*$M1201</f>
        <v/>
      </c>
      <c r="AG1201" s="16">
        <f>SUMPRODUCT(N1201:Y1201,$N$6:$Y$6)*$K1201*$L1201*$M1201</f>
        <v/>
      </c>
      <c r="AH1201" s="20" t="n"/>
    </row>
    <row r="1202">
      <c r="A1202" s="9" t="n">
        <v>842248</v>
      </c>
      <c r="B1202" s="9" t="inlineStr">
        <is>
          <t>L.J. Waco</t>
        </is>
      </c>
      <c r="C1202" s="9" t="inlineStr">
        <is>
          <t>WSH</t>
        </is>
      </c>
      <c r="D1202" s="9" t="n">
        <v>25</v>
      </c>
      <c r="E1202" s="18" t="inlineStr">
        <is>
          <t>R</t>
        </is>
      </c>
      <c r="F1202" s="18" t="n"/>
      <c r="G1202" s="9" t="n">
        <v>6.191999999999999</v>
      </c>
      <c r="H1202" s="9" t="n">
        <v>6.191999999999999</v>
      </c>
      <c r="I1202" s="9" t="inlineStr">
        <is>
          <t>Depth (no MLB IP)</t>
        </is>
      </c>
      <c r="J1202" s="18" t="inlineStr">
        <is>
          <t>Opening Day</t>
        </is>
      </c>
      <c r="K1202" s="11">
        <f>IFERROR(INDEX(Roles!$B$17:$B$20,MATCH(J1202,Roles!$A$17:$A$20,0)),1)</f>
        <v/>
      </c>
      <c r="L1202" s="19" t="n">
        <v>1</v>
      </c>
      <c r="M1202" s="11" t="n">
        <v>1</v>
      </c>
      <c r="N1202" s="19" t="n"/>
      <c r="O1202" s="19" t="n"/>
      <c r="P1202" s="19" t="n"/>
      <c r="Q1202" s="19" t="n"/>
      <c r="R1202" s="19" t="n"/>
      <c r="S1202" s="19" t="n"/>
      <c r="T1202" s="19" t="n"/>
      <c r="U1202" s="19" t="n"/>
      <c r="V1202" s="19" t="n"/>
      <c r="W1202" s="19" t="n"/>
      <c r="X1202" s="19" t="n"/>
      <c r="Y1202" s="19" t="n">
        <v>1</v>
      </c>
      <c r="Z1202" s="13">
        <f>SUMPRODUCT(N1202:Y1202,$N$2:$Y$2)*$K1202*$L1202*$M1202</f>
        <v/>
      </c>
      <c r="AA1202" s="14">
        <f>SUM(N1202:Y1202)</f>
        <v/>
      </c>
      <c r="AB1202" s="13">
        <f>SUMPRODUCT(N1202:Y1202,$N$3:$Y$3)*$K1202*$L1202*$M1202</f>
        <v/>
      </c>
      <c r="AC1202" s="13">
        <f>SUMPRODUCT(N1202:Y1202,$N$4:$Y$4)*$K1202*$L1202*$M1202</f>
        <v/>
      </c>
      <c r="AD1202" s="15" t="n">
        <v>3</v>
      </c>
      <c r="AE1202" s="11" t="n">
        <v>1.011296296296296</v>
      </c>
      <c r="AF1202" s="16">
        <f>SUMPRODUCT(N1202:Y1202,$N$5:$Y$5)*$K1202*$L1202*$M1202</f>
        <v/>
      </c>
      <c r="AG1202" s="16">
        <f>SUMPRODUCT(N1202:Y1202,$N$6:$Y$6)*$K1202*$L1202*$M1202</f>
        <v/>
      </c>
      <c r="AH1202" s="20" t="n"/>
    </row>
    <row r="1203">
      <c r="A1203" s="9" t="n">
        <v>820853</v>
      </c>
      <c r="B1203" s="9" t="inlineStr">
        <is>
          <t>Ryjeteri Merite</t>
        </is>
      </c>
      <c r="C1203" s="9" t="inlineStr">
        <is>
          <t>CIN</t>
        </is>
      </c>
      <c r="D1203" s="9" t="n">
        <v>22</v>
      </c>
      <c r="E1203" s="18" t="inlineStr">
        <is>
          <t>L</t>
        </is>
      </c>
      <c r="F1203" s="18" t="n"/>
      <c r="G1203" s="9" t="n">
        <v>6.191999999999999</v>
      </c>
      <c r="H1203" s="9" t="n">
        <v>6.191999999999999</v>
      </c>
      <c r="I1203" s="9" t="inlineStr">
        <is>
          <t>Depth (no MLB IP)</t>
        </is>
      </c>
      <c r="J1203" s="18" t="inlineStr">
        <is>
          <t>Opening Day</t>
        </is>
      </c>
      <c r="K1203" s="11">
        <f>IFERROR(INDEX(Roles!$B$17:$B$20,MATCH(J1203,Roles!$A$17:$A$20,0)),1)</f>
        <v/>
      </c>
      <c r="L1203" s="19" t="n">
        <v>1</v>
      </c>
      <c r="M1203" s="11" t="n">
        <v>1</v>
      </c>
      <c r="N1203" s="19" t="n"/>
      <c r="O1203" s="19" t="n"/>
      <c r="P1203" s="19" t="n"/>
      <c r="Q1203" s="19" t="n"/>
      <c r="R1203" s="19" t="n"/>
      <c r="S1203" s="19" t="n"/>
      <c r="T1203" s="19" t="n"/>
      <c r="U1203" s="19" t="n"/>
      <c r="V1203" s="19" t="n"/>
      <c r="W1203" s="19" t="n"/>
      <c r="X1203" s="19" t="n"/>
      <c r="Y1203" s="19" t="n">
        <v>1</v>
      </c>
      <c r="Z1203" s="13">
        <f>SUMPRODUCT(N1203:Y1203,$N$2:$Y$2)*$K1203*$L1203*$M1203</f>
        <v/>
      </c>
      <c r="AA1203" s="14">
        <f>SUM(N1203:Y1203)</f>
        <v/>
      </c>
      <c r="AB1203" s="13">
        <f>SUMPRODUCT(N1203:Y1203,$N$3:$Y$3)*$K1203*$L1203*$M1203</f>
        <v/>
      </c>
      <c r="AC1203" s="13">
        <f>SUMPRODUCT(N1203:Y1203,$N$4:$Y$4)*$K1203*$L1203*$M1203</f>
        <v/>
      </c>
      <c r="AD1203" s="15" t="n">
        <v>3</v>
      </c>
      <c r="AE1203" s="11" t="n">
        <v>1.011296296296296</v>
      </c>
      <c r="AF1203" s="16">
        <f>SUMPRODUCT(N1203:Y1203,$N$5:$Y$5)*$K1203*$L1203*$M1203</f>
        <v/>
      </c>
      <c r="AG1203" s="16">
        <f>SUMPRODUCT(N1203:Y1203,$N$6:$Y$6)*$K1203*$L1203*$M1203</f>
        <v/>
      </c>
      <c r="AH1203" s="20" t="n"/>
    </row>
    <row r="1204">
      <c r="A1204" s="9" t="n">
        <v>702535</v>
      </c>
      <c r="B1204" s="9" t="inlineStr">
        <is>
          <t>Julius Sanchez</t>
        </is>
      </c>
      <c r="C1204" s="9" t="inlineStr">
        <is>
          <t>TEX</t>
        </is>
      </c>
      <c r="D1204" s="9" t="n">
        <v>25</v>
      </c>
      <c r="E1204" s="18" t="inlineStr">
        <is>
          <t>R</t>
        </is>
      </c>
      <c r="F1204" s="18" t="n"/>
      <c r="G1204" s="9" t="n">
        <v>6.191999999999999</v>
      </c>
      <c r="H1204" s="9" t="n">
        <v>6.191999999999999</v>
      </c>
      <c r="I1204" s="9" t="inlineStr">
        <is>
          <t>Depth (no MLB IP)</t>
        </is>
      </c>
      <c r="J1204" s="18" t="inlineStr">
        <is>
          <t>Opening Day</t>
        </is>
      </c>
      <c r="K1204" s="11">
        <f>IFERROR(INDEX(Roles!$B$17:$B$20,MATCH(J1204,Roles!$A$17:$A$20,0)),1)</f>
        <v/>
      </c>
      <c r="L1204" s="19" t="n">
        <v>1</v>
      </c>
      <c r="M1204" s="11" t="n">
        <v>1</v>
      </c>
      <c r="N1204" s="19" t="n"/>
      <c r="O1204" s="19" t="n"/>
      <c r="P1204" s="19" t="n"/>
      <c r="Q1204" s="19" t="n"/>
      <c r="R1204" s="19" t="n"/>
      <c r="S1204" s="19" t="n"/>
      <c r="T1204" s="19" t="n"/>
      <c r="U1204" s="19" t="n"/>
      <c r="V1204" s="19" t="n"/>
      <c r="W1204" s="19" t="n"/>
      <c r="X1204" s="19" t="n"/>
      <c r="Y1204" s="19" t="n">
        <v>1</v>
      </c>
      <c r="Z1204" s="13">
        <f>SUMPRODUCT(N1204:Y1204,$N$2:$Y$2)*$K1204*$L1204*$M1204</f>
        <v/>
      </c>
      <c r="AA1204" s="14">
        <f>SUM(N1204:Y1204)</f>
        <v/>
      </c>
      <c r="AB1204" s="13">
        <f>SUMPRODUCT(N1204:Y1204,$N$3:$Y$3)*$K1204*$L1204*$M1204</f>
        <v/>
      </c>
      <c r="AC1204" s="13">
        <f>SUMPRODUCT(N1204:Y1204,$N$4:$Y$4)*$K1204*$L1204*$M1204</f>
        <v/>
      </c>
      <c r="AD1204" s="15" t="n">
        <v>3</v>
      </c>
      <c r="AE1204" s="11" t="n">
        <v>1.011296296296296</v>
      </c>
      <c r="AF1204" s="16">
        <f>SUMPRODUCT(N1204:Y1204,$N$5:$Y$5)*$K1204*$L1204*$M1204</f>
        <v/>
      </c>
      <c r="AG1204" s="16">
        <f>SUMPRODUCT(N1204:Y1204,$N$6:$Y$6)*$K1204*$L1204*$M1204</f>
        <v/>
      </c>
      <c r="AH1204" s="20" t="n"/>
    </row>
    <row r="1205">
      <c r="A1205" s="9" t="n">
        <v>832303</v>
      </c>
      <c r="B1205" s="9" t="inlineStr">
        <is>
          <t>Reese Bassinger</t>
        </is>
      </c>
      <c r="C1205" s="9" t="inlineStr">
        <is>
          <t>TOR</t>
        </is>
      </c>
      <c r="D1205" s="9" t="n">
        <v>25</v>
      </c>
      <c r="E1205" s="18" t="inlineStr">
        <is>
          <t>R</t>
        </is>
      </c>
      <c r="F1205" s="18" t="n"/>
      <c r="G1205" s="9" t="n">
        <v>6.364</v>
      </c>
      <c r="H1205" s="9" t="n">
        <v>6.364</v>
      </c>
      <c r="I1205" s="9" t="inlineStr">
        <is>
          <t>Depth (no MLB IP)</t>
        </is>
      </c>
      <c r="J1205" s="18" t="inlineStr">
        <is>
          <t>Opening Day</t>
        </is>
      </c>
      <c r="K1205" s="11">
        <f>IFERROR(INDEX(Roles!$B$17:$B$20,MATCH(J1205,Roles!$A$17:$A$20,0)),1)</f>
        <v/>
      </c>
      <c r="L1205" s="19" t="n">
        <v>1</v>
      </c>
      <c r="M1205" s="11" t="n">
        <v>1</v>
      </c>
      <c r="N1205" s="19" t="n"/>
      <c r="O1205" s="19" t="n"/>
      <c r="P1205" s="19" t="n"/>
      <c r="Q1205" s="19" t="n"/>
      <c r="R1205" s="19" t="n"/>
      <c r="S1205" s="19" t="n"/>
      <c r="T1205" s="19" t="n"/>
      <c r="U1205" s="19" t="n"/>
      <c r="V1205" s="19" t="n"/>
      <c r="W1205" s="19" t="n"/>
      <c r="X1205" s="19" t="n"/>
      <c r="Y1205" s="19" t="n">
        <v>1</v>
      </c>
      <c r="Z1205" s="13">
        <f>SUMPRODUCT(N1205:Y1205,$N$2:$Y$2)*$K1205*$L1205*$M1205</f>
        <v/>
      </c>
      <c r="AA1205" s="14">
        <f>SUM(N1205:Y1205)</f>
        <v/>
      </c>
      <c r="AB1205" s="13">
        <f>SUMPRODUCT(N1205:Y1205,$N$3:$Y$3)*$K1205*$L1205*$M1205</f>
        <v/>
      </c>
      <c r="AC1205" s="13">
        <f>SUMPRODUCT(N1205:Y1205,$N$4:$Y$4)*$K1205*$L1205*$M1205</f>
        <v/>
      </c>
      <c r="AD1205" s="15" t="n">
        <v>3</v>
      </c>
      <c r="AE1205" s="11" t="n">
        <v>1.011296296296296</v>
      </c>
      <c r="AF1205" s="16">
        <f>SUMPRODUCT(N1205:Y1205,$N$5:$Y$5)*$K1205*$L1205*$M1205</f>
        <v/>
      </c>
      <c r="AG1205" s="16">
        <f>SUMPRODUCT(N1205:Y1205,$N$6:$Y$6)*$K1205*$L1205*$M1205</f>
        <v/>
      </c>
      <c r="AH1205" s="20" t="n"/>
    </row>
    <row r="1206">
      <c r="A1206" s="9" t="n">
        <v>828508</v>
      </c>
      <c r="B1206" s="9" t="inlineStr">
        <is>
          <t>Bryce Alewine</t>
        </is>
      </c>
      <c r="C1206" s="9" t="inlineStr">
        <is>
          <t>DET</t>
        </is>
      </c>
      <c r="D1206" s="9" t="n">
        <v>25</v>
      </c>
      <c r="E1206" s="18" t="inlineStr">
        <is>
          <t>R</t>
        </is>
      </c>
      <c r="F1206" s="18" t="n"/>
      <c r="G1206" s="9" t="n">
        <v>6.364</v>
      </c>
      <c r="H1206" s="9" t="n">
        <v>6.364</v>
      </c>
      <c r="I1206" s="9" t="inlineStr">
        <is>
          <t>Depth (no MLB IP)</t>
        </is>
      </c>
      <c r="J1206" s="18" t="inlineStr">
        <is>
          <t>Opening Day</t>
        </is>
      </c>
      <c r="K1206" s="11">
        <f>IFERROR(INDEX(Roles!$B$17:$B$20,MATCH(J1206,Roles!$A$17:$A$20,0)),1)</f>
        <v/>
      </c>
      <c r="L1206" s="19" t="n">
        <v>1</v>
      </c>
      <c r="M1206" s="11" t="n">
        <v>1</v>
      </c>
      <c r="N1206" s="19" t="n"/>
      <c r="O1206" s="19" t="n"/>
      <c r="P1206" s="19" t="n"/>
      <c r="Q1206" s="19" t="n"/>
      <c r="R1206" s="19" t="n"/>
      <c r="S1206" s="19" t="n"/>
      <c r="T1206" s="19" t="n"/>
      <c r="U1206" s="19" t="n"/>
      <c r="V1206" s="19" t="n"/>
      <c r="W1206" s="19" t="n"/>
      <c r="X1206" s="19" t="n"/>
      <c r="Y1206" s="19" t="n">
        <v>1</v>
      </c>
      <c r="Z1206" s="13">
        <f>SUMPRODUCT(N1206:Y1206,$N$2:$Y$2)*$K1206*$L1206*$M1206</f>
        <v/>
      </c>
      <c r="AA1206" s="14">
        <f>SUM(N1206:Y1206)</f>
        <v/>
      </c>
      <c r="AB1206" s="13">
        <f>SUMPRODUCT(N1206:Y1206,$N$3:$Y$3)*$K1206*$L1206*$M1206</f>
        <v/>
      </c>
      <c r="AC1206" s="13">
        <f>SUMPRODUCT(N1206:Y1206,$N$4:$Y$4)*$K1206*$L1206*$M1206</f>
        <v/>
      </c>
      <c r="AD1206" s="15" t="n">
        <v>3</v>
      </c>
      <c r="AE1206" s="11" t="n">
        <v>1.011296296296296</v>
      </c>
      <c r="AF1206" s="16">
        <f>SUMPRODUCT(N1206:Y1206,$N$5:$Y$5)*$K1206*$L1206*$M1206</f>
        <v/>
      </c>
      <c r="AG1206" s="16">
        <f>SUMPRODUCT(N1206:Y1206,$N$6:$Y$6)*$K1206*$L1206*$M1206</f>
        <v/>
      </c>
      <c r="AH1206" s="20" t="n"/>
    </row>
    <row r="1207">
      <c r="A1207" s="9" t="n">
        <v>696062</v>
      </c>
      <c r="B1207" s="9" t="inlineStr">
        <is>
          <t>Wilber Dotel</t>
        </is>
      </c>
      <c r="C1207" s="9" t="inlineStr">
        <is>
          <t>PIT</t>
        </is>
      </c>
      <c r="D1207" s="9" t="n">
        <v>24</v>
      </c>
      <c r="E1207" s="18" t="inlineStr">
        <is>
          <t>R</t>
        </is>
      </c>
      <c r="F1207" s="18" t="n"/>
      <c r="G1207" s="9" t="n">
        <v>182</v>
      </c>
      <c r="H1207" s="9" t="n">
        <v>182</v>
      </c>
      <c r="I1207" s="9" t="inlineStr">
        <is>
          <t>Swing Arm / Long Relief</t>
        </is>
      </c>
      <c r="J1207" s="18" t="inlineStr">
        <is>
          <t>Opening Day</t>
        </is>
      </c>
      <c r="K1207" s="11">
        <f>IFERROR(INDEX(Roles!$B$17:$B$20,MATCH(J1207,Roles!$A$17:$A$20,0)),1)</f>
        <v/>
      </c>
      <c r="L1207" s="19" t="n">
        <v>1</v>
      </c>
      <c r="M1207" s="11" t="n">
        <v>1</v>
      </c>
      <c r="N1207" s="19" t="n"/>
      <c r="O1207" s="19" t="n"/>
      <c r="P1207" s="19" t="n"/>
      <c r="Q1207" s="19" t="n"/>
      <c r="R1207" s="19" t="n">
        <v>0.55</v>
      </c>
      <c r="S1207" s="19" t="n"/>
      <c r="T1207" s="19" t="n"/>
      <c r="U1207" s="19" t="n"/>
      <c r="V1207" s="19" t="n">
        <v>0.45</v>
      </c>
      <c r="W1207" s="19" t="n"/>
      <c r="X1207" s="19" t="n"/>
      <c r="Y1207" s="19" t="n"/>
      <c r="Z1207" s="13">
        <f>SUMPRODUCT(N1207:Y1207,$N$2:$Y$2)*$K1207*$L1207*$M1207</f>
        <v/>
      </c>
      <c r="AA1207" s="14">
        <f>SUM(N1207:Y1207)</f>
        <v/>
      </c>
      <c r="AB1207" s="13">
        <f>SUMPRODUCT(N1207:Y1207,$N$3:$Y$3)*$K1207*$L1207*$M1207</f>
        <v/>
      </c>
      <c r="AC1207" s="13">
        <f>SUMPRODUCT(N1207:Y1207,$N$4:$Y$4)*$K1207*$L1207*$M1207</f>
        <v/>
      </c>
      <c r="AD1207" s="15" t="n">
        <v>21.33333333333333</v>
      </c>
      <c r="AE1207" s="11" t="n">
        <v>2.309902301705581</v>
      </c>
      <c r="AF1207" s="16">
        <f>SUMPRODUCT(N1207:Y1207,$N$5:$Y$5)*$K1207*$L1207*$M1207</f>
        <v/>
      </c>
      <c r="AG1207" s="16">
        <f>SUMPRODUCT(N1207:Y1207,$N$6:$Y$6)*$K1207*$L1207*$M1207</f>
        <v/>
      </c>
      <c r="AH1207" s="20" t="n"/>
    </row>
    <row r="1208">
      <c r="A1208" s="9" t="n">
        <v>703631</v>
      </c>
      <c r="B1208" s="9" t="inlineStr">
        <is>
          <t>Isaac Williams</t>
        </is>
      </c>
      <c r="C1208" s="9" t="inlineStr">
        <is>
          <t>TOR</t>
        </is>
      </c>
      <c r="D1208" s="9" t="n">
        <v>25</v>
      </c>
      <c r="E1208" s="18" t="inlineStr">
        <is>
          <t>R</t>
        </is>
      </c>
      <c r="F1208" s="18" t="n"/>
      <c r="G1208" s="9" t="n">
        <v>6.535999999999999</v>
      </c>
      <c r="H1208" s="9" t="n">
        <v>6.535999999999999</v>
      </c>
      <c r="I1208" s="9" t="inlineStr">
        <is>
          <t>Depth (no MLB IP)</t>
        </is>
      </c>
      <c r="J1208" s="18" t="inlineStr">
        <is>
          <t>Opening Day</t>
        </is>
      </c>
      <c r="K1208" s="11">
        <f>IFERROR(INDEX(Roles!$B$17:$B$20,MATCH(J1208,Roles!$A$17:$A$20,0)),1)</f>
        <v/>
      </c>
      <c r="L1208" s="19" t="n">
        <v>1</v>
      </c>
      <c r="M1208" s="11" t="n">
        <v>1</v>
      </c>
      <c r="N1208" s="19" t="n"/>
      <c r="O1208" s="19" t="n"/>
      <c r="P1208" s="19" t="n"/>
      <c r="Q1208" s="19" t="n"/>
      <c r="R1208" s="19" t="n"/>
      <c r="S1208" s="19" t="n"/>
      <c r="T1208" s="19" t="n"/>
      <c r="U1208" s="19" t="n"/>
      <c r="V1208" s="19" t="n"/>
      <c r="W1208" s="19" t="n"/>
      <c r="X1208" s="19" t="n"/>
      <c r="Y1208" s="19" t="n">
        <v>1</v>
      </c>
      <c r="Z1208" s="13">
        <f>SUMPRODUCT(N1208:Y1208,$N$2:$Y$2)*$K1208*$L1208*$M1208</f>
        <v/>
      </c>
      <c r="AA1208" s="14">
        <f>SUM(N1208:Y1208)</f>
        <v/>
      </c>
      <c r="AB1208" s="13">
        <f>SUMPRODUCT(N1208:Y1208,$N$3:$Y$3)*$K1208*$L1208*$M1208</f>
        <v/>
      </c>
      <c r="AC1208" s="13">
        <f>SUMPRODUCT(N1208:Y1208,$N$4:$Y$4)*$K1208*$L1208*$M1208</f>
        <v/>
      </c>
      <c r="AD1208" s="15" t="n">
        <v>3</v>
      </c>
      <c r="AE1208" s="11" t="n">
        <v>1.011296296296296</v>
      </c>
      <c r="AF1208" s="16">
        <f>SUMPRODUCT(N1208:Y1208,$N$5:$Y$5)*$K1208*$L1208*$M1208</f>
        <v/>
      </c>
      <c r="AG1208" s="16">
        <f>SUMPRODUCT(N1208:Y1208,$N$6:$Y$6)*$K1208*$L1208*$M1208</f>
        <v/>
      </c>
      <c r="AH1208" s="20" t="n"/>
    </row>
    <row r="1209">
      <c r="A1209" s="9" t="n">
        <v>700113</v>
      </c>
      <c r="B1209" s="9" t="inlineStr">
        <is>
          <t>Nicholas Judice</t>
        </is>
      </c>
      <c r="C1209" s="9" t="inlineStr">
        <is>
          <t>BOS</t>
        </is>
      </c>
      <c r="D1209" s="9" t="n">
        <v>25</v>
      </c>
      <c r="E1209" s="18" t="inlineStr">
        <is>
          <t>R</t>
        </is>
      </c>
      <c r="F1209" s="18" t="n"/>
      <c r="G1209" s="9" t="n">
        <v>6.364</v>
      </c>
      <c r="H1209" s="9" t="n">
        <v>6.364</v>
      </c>
      <c r="I1209" s="9" t="inlineStr">
        <is>
          <t>Depth (no MLB IP)</t>
        </is>
      </c>
      <c r="J1209" s="18" t="inlineStr">
        <is>
          <t>Opening Day</t>
        </is>
      </c>
      <c r="K1209" s="11">
        <f>IFERROR(INDEX(Roles!$B$17:$B$20,MATCH(J1209,Roles!$A$17:$A$20,0)),1)</f>
        <v/>
      </c>
      <c r="L1209" s="19" t="n">
        <v>1</v>
      </c>
      <c r="M1209" s="11" t="n">
        <v>1</v>
      </c>
      <c r="N1209" s="19" t="n"/>
      <c r="O1209" s="19" t="n"/>
      <c r="P1209" s="19" t="n"/>
      <c r="Q1209" s="19" t="n"/>
      <c r="R1209" s="19" t="n"/>
      <c r="S1209" s="19" t="n"/>
      <c r="T1209" s="19" t="n"/>
      <c r="U1209" s="19" t="n"/>
      <c r="V1209" s="19" t="n"/>
      <c r="W1209" s="19" t="n"/>
      <c r="X1209" s="19" t="n"/>
      <c r="Y1209" s="19" t="n">
        <v>1</v>
      </c>
      <c r="Z1209" s="13">
        <f>SUMPRODUCT(N1209:Y1209,$N$2:$Y$2)*$K1209*$L1209*$M1209</f>
        <v/>
      </c>
      <c r="AA1209" s="14">
        <f>SUM(N1209:Y1209)</f>
        <v/>
      </c>
      <c r="AB1209" s="13">
        <f>SUMPRODUCT(N1209:Y1209,$N$3:$Y$3)*$K1209*$L1209*$M1209</f>
        <v/>
      </c>
      <c r="AC1209" s="13">
        <f>SUMPRODUCT(N1209:Y1209,$N$4:$Y$4)*$K1209*$L1209*$M1209</f>
        <v/>
      </c>
      <c r="AD1209" s="15" t="n">
        <v>3</v>
      </c>
      <c r="AE1209" s="11" t="n">
        <v>1.011296296296296</v>
      </c>
      <c r="AF1209" s="16">
        <f>SUMPRODUCT(N1209:Y1209,$N$5:$Y$5)*$K1209*$L1209*$M1209</f>
        <v/>
      </c>
      <c r="AG1209" s="16">
        <f>SUMPRODUCT(N1209:Y1209,$N$6:$Y$6)*$K1209*$L1209*$M1209</f>
        <v/>
      </c>
      <c r="AH1209" s="20" t="n"/>
    </row>
    <row r="1210">
      <c r="A1210" s="9" t="n">
        <v>694544</v>
      </c>
      <c r="B1210" s="9" t="inlineStr">
        <is>
          <t>Austin Amaral</t>
        </is>
      </c>
      <c r="C1210" s="9" t="inlineStr">
        <is>
          <t>WSH</t>
        </is>
      </c>
      <c r="D1210" s="9" t="n">
        <v>25</v>
      </c>
      <c r="E1210" s="18" t="inlineStr">
        <is>
          <t>R</t>
        </is>
      </c>
      <c r="F1210" s="18" t="n"/>
      <c r="G1210" s="9" t="n">
        <v>6.521666666666667</v>
      </c>
      <c r="H1210" s="9" t="n">
        <v>6.521666666666667</v>
      </c>
      <c r="I1210" s="9" t="inlineStr">
        <is>
          <t>Depth (no MLB IP)</t>
        </is>
      </c>
      <c r="J1210" s="18" t="inlineStr">
        <is>
          <t>Opening Day</t>
        </is>
      </c>
      <c r="K1210" s="11">
        <f>IFERROR(INDEX(Roles!$B$17:$B$20,MATCH(J1210,Roles!$A$17:$A$20,0)),1)</f>
        <v/>
      </c>
      <c r="L1210" s="19" t="n">
        <v>1</v>
      </c>
      <c r="M1210" s="11" t="n">
        <v>1</v>
      </c>
      <c r="N1210" s="19" t="n"/>
      <c r="O1210" s="19" t="n"/>
      <c r="P1210" s="19" t="n"/>
      <c r="Q1210" s="19" t="n"/>
      <c r="R1210" s="19" t="n"/>
      <c r="S1210" s="19" t="n"/>
      <c r="T1210" s="19" t="n"/>
      <c r="U1210" s="19" t="n"/>
      <c r="V1210" s="19" t="n"/>
      <c r="W1210" s="19" t="n"/>
      <c r="X1210" s="19" t="n"/>
      <c r="Y1210" s="19" t="n">
        <v>1</v>
      </c>
      <c r="Z1210" s="13">
        <f>SUMPRODUCT(N1210:Y1210,$N$2:$Y$2)*$K1210*$L1210*$M1210</f>
        <v/>
      </c>
      <c r="AA1210" s="14">
        <f>SUM(N1210:Y1210)</f>
        <v/>
      </c>
      <c r="AB1210" s="13">
        <f>SUMPRODUCT(N1210:Y1210,$N$3:$Y$3)*$K1210*$L1210*$M1210</f>
        <v/>
      </c>
      <c r="AC1210" s="13">
        <f>SUMPRODUCT(N1210:Y1210,$N$4:$Y$4)*$K1210*$L1210*$M1210</f>
        <v/>
      </c>
      <c r="AD1210" s="15" t="n">
        <v>3</v>
      </c>
      <c r="AE1210" s="11" t="n">
        <v>1.011296296296296</v>
      </c>
      <c r="AF1210" s="16">
        <f>SUMPRODUCT(N1210:Y1210,$N$5:$Y$5)*$K1210*$L1210*$M1210</f>
        <v/>
      </c>
      <c r="AG1210" s="16">
        <f>SUMPRODUCT(N1210:Y1210,$N$6:$Y$6)*$K1210*$L1210*$M1210</f>
        <v/>
      </c>
      <c r="AH1210" s="20" t="n"/>
    </row>
    <row r="1211">
      <c r="A1211" s="9" t="n">
        <v>811316</v>
      </c>
      <c r="B1211" s="9" t="inlineStr">
        <is>
          <t>William Privette</t>
        </is>
      </c>
      <c r="C1211" s="9" t="inlineStr">
        <is>
          <t>TEX</t>
        </is>
      </c>
      <c r="D1211" s="9" t="n">
        <v>25</v>
      </c>
      <c r="E1211" s="18" t="inlineStr">
        <is>
          <t>R</t>
        </is>
      </c>
      <c r="F1211" s="18" t="n"/>
      <c r="G1211" s="9" t="n">
        <v>6.364</v>
      </c>
      <c r="H1211" s="9" t="n">
        <v>6.364</v>
      </c>
      <c r="I1211" s="9" t="inlineStr">
        <is>
          <t>Depth (no MLB IP)</t>
        </is>
      </c>
      <c r="J1211" s="18" t="inlineStr">
        <is>
          <t>Opening Day</t>
        </is>
      </c>
      <c r="K1211" s="11">
        <f>IFERROR(INDEX(Roles!$B$17:$B$20,MATCH(J1211,Roles!$A$17:$A$20,0)),1)</f>
        <v/>
      </c>
      <c r="L1211" s="19" t="n">
        <v>1</v>
      </c>
      <c r="M1211" s="11" t="n">
        <v>1</v>
      </c>
      <c r="N1211" s="19" t="n"/>
      <c r="O1211" s="19" t="n"/>
      <c r="P1211" s="19" t="n"/>
      <c r="Q1211" s="19" t="n"/>
      <c r="R1211" s="19" t="n"/>
      <c r="S1211" s="19" t="n"/>
      <c r="T1211" s="19" t="n"/>
      <c r="U1211" s="19" t="n"/>
      <c r="V1211" s="19" t="n"/>
      <c r="W1211" s="19" t="n"/>
      <c r="X1211" s="19" t="n"/>
      <c r="Y1211" s="19" t="n">
        <v>1</v>
      </c>
      <c r="Z1211" s="13">
        <f>SUMPRODUCT(N1211:Y1211,$N$2:$Y$2)*$K1211*$L1211*$M1211</f>
        <v/>
      </c>
      <c r="AA1211" s="14">
        <f>SUM(N1211:Y1211)</f>
        <v/>
      </c>
      <c r="AB1211" s="13">
        <f>SUMPRODUCT(N1211:Y1211,$N$3:$Y$3)*$K1211*$L1211*$M1211</f>
        <v/>
      </c>
      <c r="AC1211" s="13">
        <f>SUMPRODUCT(N1211:Y1211,$N$4:$Y$4)*$K1211*$L1211*$M1211</f>
        <v/>
      </c>
      <c r="AD1211" s="15" t="n">
        <v>3</v>
      </c>
      <c r="AE1211" s="11" t="n">
        <v>1.011296296296296</v>
      </c>
      <c r="AF1211" s="16">
        <f>SUMPRODUCT(N1211:Y1211,$N$5:$Y$5)*$K1211*$L1211*$M1211</f>
        <v/>
      </c>
      <c r="AG1211" s="16">
        <f>SUMPRODUCT(N1211:Y1211,$N$6:$Y$6)*$K1211*$L1211*$M1211</f>
        <v/>
      </c>
      <c r="AH1211" s="20" t="n"/>
    </row>
    <row r="1212">
      <c r="A1212" s="9" t="n">
        <v>811229</v>
      </c>
      <c r="B1212" s="9" t="inlineStr">
        <is>
          <t>Ubert Mejias</t>
        </is>
      </c>
      <c r="C1212" s="9" t="inlineStr">
        <is>
          <t>SF</t>
        </is>
      </c>
      <c r="D1212" s="9" t="n">
        <v>25</v>
      </c>
      <c r="E1212" s="18" t="inlineStr">
        <is>
          <t>R</t>
        </is>
      </c>
      <c r="F1212" s="18" t="n"/>
      <c r="G1212" s="9" t="n">
        <v>6.306666666666667</v>
      </c>
      <c r="H1212" s="9" t="n">
        <v>6.306666666666667</v>
      </c>
      <c r="I1212" s="9" t="inlineStr">
        <is>
          <t>Depth (no MLB IP)</t>
        </is>
      </c>
      <c r="J1212" s="18" t="inlineStr">
        <is>
          <t>Opening Day</t>
        </is>
      </c>
      <c r="K1212" s="11">
        <f>IFERROR(INDEX(Roles!$B$17:$B$20,MATCH(J1212,Roles!$A$17:$A$20,0)),1)</f>
        <v/>
      </c>
      <c r="L1212" s="19" t="n">
        <v>1</v>
      </c>
      <c r="M1212" s="11" t="n">
        <v>1</v>
      </c>
      <c r="N1212" s="19" t="n"/>
      <c r="O1212" s="19" t="n"/>
      <c r="P1212" s="19" t="n"/>
      <c r="Q1212" s="19" t="n"/>
      <c r="R1212" s="19" t="n"/>
      <c r="S1212" s="19" t="n"/>
      <c r="T1212" s="19" t="n"/>
      <c r="U1212" s="19" t="n"/>
      <c r="V1212" s="19" t="n"/>
      <c r="W1212" s="19" t="n"/>
      <c r="X1212" s="19" t="n"/>
      <c r="Y1212" s="19" t="n">
        <v>1</v>
      </c>
      <c r="Z1212" s="13">
        <f>SUMPRODUCT(N1212:Y1212,$N$2:$Y$2)*$K1212*$L1212*$M1212</f>
        <v/>
      </c>
      <c r="AA1212" s="14">
        <f>SUM(N1212:Y1212)</f>
        <v/>
      </c>
      <c r="AB1212" s="13">
        <f>SUMPRODUCT(N1212:Y1212,$N$3:$Y$3)*$K1212*$L1212*$M1212</f>
        <v/>
      </c>
      <c r="AC1212" s="13">
        <f>SUMPRODUCT(N1212:Y1212,$N$4:$Y$4)*$K1212*$L1212*$M1212</f>
        <v/>
      </c>
      <c r="AD1212" s="15" t="n">
        <v>3</v>
      </c>
      <c r="AE1212" s="11" t="n">
        <v>1.011296296296296</v>
      </c>
      <c r="AF1212" s="16">
        <f>SUMPRODUCT(N1212:Y1212,$N$5:$Y$5)*$K1212*$L1212*$M1212</f>
        <v/>
      </c>
      <c r="AG1212" s="16">
        <f>SUMPRODUCT(N1212:Y1212,$N$6:$Y$6)*$K1212*$L1212*$M1212</f>
        <v/>
      </c>
      <c r="AH1212" s="20" t="n"/>
    </row>
    <row r="1213">
      <c r="A1213" s="9" t="n">
        <v>815777</v>
      </c>
      <c r="B1213" s="9" t="inlineStr">
        <is>
          <t>Jesus Oliveira</t>
        </is>
      </c>
      <c r="C1213" s="9" t="inlineStr">
        <is>
          <t>KC</t>
        </is>
      </c>
      <c r="D1213" s="9" t="n">
        <v>25</v>
      </c>
      <c r="E1213" s="18" t="inlineStr">
        <is>
          <t>R</t>
        </is>
      </c>
      <c r="F1213" s="18" t="n"/>
      <c r="G1213" s="9" t="n">
        <v>6.364</v>
      </c>
      <c r="H1213" s="9" t="n">
        <v>6.364</v>
      </c>
      <c r="I1213" s="9" t="inlineStr">
        <is>
          <t>Depth (no MLB IP)</t>
        </is>
      </c>
      <c r="J1213" s="18" t="inlineStr">
        <is>
          <t>Opening Day</t>
        </is>
      </c>
      <c r="K1213" s="11">
        <f>IFERROR(INDEX(Roles!$B$17:$B$20,MATCH(J1213,Roles!$A$17:$A$20,0)),1)</f>
        <v/>
      </c>
      <c r="L1213" s="19" t="n">
        <v>1</v>
      </c>
      <c r="M1213" s="11" t="n">
        <v>1</v>
      </c>
      <c r="N1213" s="19" t="n"/>
      <c r="O1213" s="19" t="n"/>
      <c r="P1213" s="19" t="n"/>
      <c r="Q1213" s="19" t="n"/>
      <c r="R1213" s="19" t="n"/>
      <c r="S1213" s="19" t="n"/>
      <c r="T1213" s="19" t="n"/>
      <c r="U1213" s="19" t="n"/>
      <c r="V1213" s="19" t="n"/>
      <c r="W1213" s="19" t="n"/>
      <c r="X1213" s="19" t="n"/>
      <c r="Y1213" s="19" t="n">
        <v>1</v>
      </c>
      <c r="Z1213" s="13">
        <f>SUMPRODUCT(N1213:Y1213,$N$2:$Y$2)*$K1213*$L1213*$M1213</f>
        <v/>
      </c>
      <c r="AA1213" s="14">
        <f>SUM(N1213:Y1213)</f>
        <v/>
      </c>
      <c r="AB1213" s="13">
        <f>SUMPRODUCT(N1213:Y1213,$N$3:$Y$3)*$K1213*$L1213*$M1213</f>
        <v/>
      </c>
      <c r="AC1213" s="13">
        <f>SUMPRODUCT(N1213:Y1213,$N$4:$Y$4)*$K1213*$L1213*$M1213</f>
        <v/>
      </c>
      <c r="AD1213" s="15" t="n">
        <v>3</v>
      </c>
      <c r="AE1213" s="11" t="n">
        <v>1.011296296296296</v>
      </c>
      <c r="AF1213" s="16">
        <f>SUMPRODUCT(N1213:Y1213,$N$5:$Y$5)*$K1213*$L1213*$M1213</f>
        <v/>
      </c>
      <c r="AG1213" s="16">
        <f>SUMPRODUCT(N1213:Y1213,$N$6:$Y$6)*$K1213*$L1213*$M1213</f>
        <v/>
      </c>
      <c r="AH1213" s="20" t="n"/>
    </row>
    <row r="1214">
      <c r="A1214" s="9" t="n">
        <v>694559</v>
      </c>
      <c r="B1214" s="9" t="inlineStr">
        <is>
          <t>Nick Jones</t>
        </is>
      </c>
      <c r="C1214" s="9" t="inlineStr">
        <is>
          <t>LAA</t>
        </is>
      </c>
      <c r="D1214" s="9" t="n">
        <v>25</v>
      </c>
      <c r="E1214" s="18" t="inlineStr">
        <is>
          <t>L</t>
        </is>
      </c>
      <c r="F1214" s="18" t="n"/>
      <c r="G1214" s="9" t="n">
        <v>6.306666666666667</v>
      </c>
      <c r="H1214" s="9" t="n">
        <v>6.306666666666667</v>
      </c>
      <c r="I1214" s="9" t="inlineStr">
        <is>
          <t>Depth (no MLB IP)</t>
        </is>
      </c>
      <c r="J1214" s="18" t="inlineStr">
        <is>
          <t>Opening Day</t>
        </is>
      </c>
      <c r="K1214" s="11">
        <f>IFERROR(INDEX(Roles!$B$17:$B$20,MATCH(J1214,Roles!$A$17:$A$20,0)),1)</f>
        <v/>
      </c>
      <c r="L1214" s="19" t="n">
        <v>1</v>
      </c>
      <c r="M1214" s="11" t="n">
        <v>1</v>
      </c>
      <c r="N1214" s="19" t="n"/>
      <c r="O1214" s="19" t="n"/>
      <c r="P1214" s="19" t="n"/>
      <c r="Q1214" s="19" t="n"/>
      <c r="R1214" s="19" t="n"/>
      <c r="S1214" s="19" t="n"/>
      <c r="T1214" s="19" t="n"/>
      <c r="U1214" s="19" t="n"/>
      <c r="V1214" s="19" t="n"/>
      <c r="W1214" s="19" t="n"/>
      <c r="X1214" s="19" t="n"/>
      <c r="Y1214" s="19" t="n">
        <v>1</v>
      </c>
      <c r="Z1214" s="13">
        <f>SUMPRODUCT(N1214:Y1214,$N$2:$Y$2)*$K1214*$L1214*$M1214</f>
        <v/>
      </c>
      <c r="AA1214" s="14">
        <f>SUM(N1214:Y1214)</f>
        <v/>
      </c>
      <c r="AB1214" s="13">
        <f>SUMPRODUCT(N1214:Y1214,$N$3:$Y$3)*$K1214*$L1214*$M1214</f>
        <v/>
      </c>
      <c r="AC1214" s="13">
        <f>SUMPRODUCT(N1214:Y1214,$N$4:$Y$4)*$K1214*$L1214*$M1214</f>
        <v/>
      </c>
      <c r="AD1214" s="15" t="n">
        <v>3</v>
      </c>
      <c r="AE1214" s="11" t="n">
        <v>1.011296296296296</v>
      </c>
      <c r="AF1214" s="16">
        <f>SUMPRODUCT(N1214:Y1214,$N$5:$Y$5)*$K1214*$L1214*$M1214</f>
        <v/>
      </c>
      <c r="AG1214" s="16">
        <f>SUMPRODUCT(N1214:Y1214,$N$6:$Y$6)*$K1214*$L1214*$M1214</f>
        <v/>
      </c>
      <c r="AH1214" s="20" t="n"/>
    </row>
    <row r="1215">
      <c r="A1215" s="9" t="n">
        <v>833415</v>
      </c>
      <c r="B1215" s="9" t="inlineStr">
        <is>
          <t>Noah Edders</t>
        </is>
      </c>
      <c r="C1215" s="9" t="inlineStr">
        <is>
          <t>CHC</t>
        </is>
      </c>
      <c r="D1215" s="9" t="n">
        <v>25</v>
      </c>
      <c r="E1215" s="18" t="inlineStr">
        <is>
          <t>R</t>
        </is>
      </c>
      <c r="F1215" s="18" t="n"/>
      <c r="G1215" s="9" t="n">
        <v>6.306666666666667</v>
      </c>
      <c r="H1215" s="9" t="n">
        <v>6.306666666666667</v>
      </c>
      <c r="I1215" s="9" t="inlineStr">
        <is>
          <t>Depth (no MLB IP)</t>
        </is>
      </c>
      <c r="J1215" s="18" t="inlineStr">
        <is>
          <t>Opening Day</t>
        </is>
      </c>
      <c r="K1215" s="11">
        <f>IFERROR(INDEX(Roles!$B$17:$B$20,MATCH(J1215,Roles!$A$17:$A$20,0)),1)</f>
        <v/>
      </c>
      <c r="L1215" s="19" t="n">
        <v>1</v>
      </c>
      <c r="M1215" s="11" t="n">
        <v>1</v>
      </c>
      <c r="N1215" s="19" t="n"/>
      <c r="O1215" s="19" t="n"/>
      <c r="P1215" s="19" t="n"/>
      <c r="Q1215" s="19" t="n"/>
      <c r="R1215" s="19" t="n"/>
      <c r="S1215" s="19" t="n"/>
      <c r="T1215" s="19" t="n"/>
      <c r="U1215" s="19" t="n"/>
      <c r="V1215" s="19" t="n"/>
      <c r="W1215" s="19" t="n"/>
      <c r="X1215" s="19" t="n"/>
      <c r="Y1215" s="19" t="n">
        <v>1</v>
      </c>
      <c r="Z1215" s="13">
        <f>SUMPRODUCT(N1215:Y1215,$N$2:$Y$2)*$K1215*$L1215*$M1215</f>
        <v/>
      </c>
      <c r="AA1215" s="14">
        <f>SUM(N1215:Y1215)</f>
        <v/>
      </c>
      <c r="AB1215" s="13">
        <f>SUMPRODUCT(N1215:Y1215,$N$3:$Y$3)*$K1215*$L1215*$M1215</f>
        <v/>
      </c>
      <c r="AC1215" s="13">
        <f>SUMPRODUCT(N1215:Y1215,$N$4:$Y$4)*$K1215*$L1215*$M1215</f>
        <v/>
      </c>
      <c r="AD1215" s="15" t="n">
        <v>3</v>
      </c>
      <c r="AE1215" s="11" t="n">
        <v>1.011296296296296</v>
      </c>
      <c r="AF1215" s="16">
        <f>SUMPRODUCT(N1215:Y1215,$N$5:$Y$5)*$K1215*$L1215*$M1215</f>
        <v/>
      </c>
      <c r="AG1215" s="16">
        <f>SUMPRODUCT(N1215:Y1215,$N$6:$Y$6)*$K1215*$L1215*$M1215</f>
        <v/>
      </c>
      <c r="AH1215" s="20" t="n"/>
    </row>
    <row r="1216">
      <c r="A1216" s="9" t="n">
        <v>805431</v>
      </c>
      <c r="B1216" s="9" t="inlineStr">
        <is>
          <t>Jose Serrano</t>
        </is>
      </c>
      <c r="C1216" s="9" t="inlineStr">
        <is>
          <t>HOU</t>
        </is>
      </c>
      <c r="D1216" s="9" t="n">
        <v>25</v>
      </c>
      <c r="E1216" s="18" t="inlineStr">
        <is>
          <t>R</t>
        </is>
      </c>
      <c r="F1216" s="18" t="n"/>
      <c r="G1216" s="9" t="n">
        <v>6.306666666666667</v>
      </c>
      <c r="H1216" s="9" t="n">
        <v>6.306666666666667</v>
      </c>
      <c r="I1216" s="9" t="inlineStr">
        <is>
          <t>Depth (no MLB IP)</t>
        </is>
      </c>
      <c r="J1216" s="18" t="inlineStr">
        <is>
          <t>Opening Day</t>
        </is>
      </c>
      <c r="K1216" s="11">
        <f>IFERROR(INDEX(Roles!$B$17:$B$20,MATCH(J1216,Roles!$A$17:$A$20,0)),1)</f>
        <v/>
      </c>
      <c r="L1216" s="19" t="n">
        <v>1</v>
      </c>
      <c r="M1216" s="11" t="n">
        <v>1</v>
      </c>
      <c r="N1216" s="19" t="n"/>
      <c r="O1216" s="19" t="n"/>
      <c r="P1216" s="19" t="n"/>
      <c r="Q1216" s="19" t="n"/>
      <c r="R1216" s="19" t="n"/>
      <c r="S1216" s="19" t="n"/>
      <c r="T1216" s="19" t="n"/>
      <c r="U1216" s="19" t="n"/>
      <c r="V1216" s="19" t="n"/>
      <c r="W1216" s="19" t="n"/>
      <c r="X1216" s="19" t="n"/>
      <c r="Y1216" s="19" t="n">
        <v>1</v>
      </c>
      <c r="Z1216" s="13">
        <f>SUMPRODUCT(N1216:Y1216,$N$2:$Y$2)*$K1216*$L1216*$M1216</f>
        <v/>
      </c>
      <c r="AA1216" s="14">
        <f>SUM(N1216:Y1216)</f>
        <v/>
      </c>
      <c r="AB1216" s="13">
        <f>SUMPRODUCT(N1216:Y1216,$N$3:$Y$3)*$K1216*$L1216*$M1216</f>
        <v/>
      </c>
      <c r="AC1216" s="13">
        <f>SUMPRODUCT(N1216:Y1216,$N$4:$Y$4)*$K1216*$L1216*$M1216</f>
        <v/>
      </c>
      <c r="AD1216" s="15" t="n">
        <v>3</v>
      </c>
      <c r="AE1216" s="11" t="n">
        <v>1.011296296296296</v>
      </c>
      <c r="AF1216" s="16">
        <f>SUMPRODUCT(N1216:Y1216,$N$5:$Y$5)*$K1216*$L1216*$M1216</f>
        <v/>
      </c>
      <c r="AG1216" s="16">
        <f>SUMPRODUCT(N1216:Y1216,$N$6:$Y$6)*$K1216*$L1216*$M1216</f>
        <v/>
      </c>
      <c r="AH1216" s="20" t="n"/>
    </row>
    <row r="1217">
      <c r="A1217" s="9" t="n">
        <v>804803</v>
      </c>
      <c r="B1217" s="9" t="inlineStr">
        <is>
          <t>Zac Lampton</t>
        </is>
      </c>
      <c r="C1217" s="9" t="inlineStr">
        <is>
          <t>BAL</t>
        </is>
      </c>
      <c r="D1217" s="9" t="n">
        <v>25</v>
      </c>
      <c r="E1217" s="18" t="inlineStr">
        <is>
          <t>L</t>
        </is>
      </c>
      <c r="F1217" s="18" t="n"/>
      <c r="G1217" s="9" t="n">
        <v>6.306666666666667</v>
      </c>
      <c r="H1217" s="9" t="n">
        <v>6.306666666666667</v>
      </c>
      <c r="I1217" s="9" t="inlineStr">
        <is>
          <t>Depth (no MLB IP)</t>
        </is>
      </c>
      <c r="J1217" s="18" t="inlineStr">
        <is>
          <t>Opening Day</t>
        </is>
      </c>
      <c r="K1217" s="11">
        <f>IFERROR(INDEX(Roles!$B$17:$B$20,MATCH(J1217,Roles!$A$17:$A$20,0)),1)</f>
        <v/>
      </c>
      <c r="L1217" s="19" t="n">
        <v>1</v>
      </c>
      <c r="M1217" s="11" t="n">
        <v>1</v>
      </c>
      <c r="N1217" s="19" t="n"/>
      <c r="O1217" s="19" t="n"/>
      <c r="P1217" s="19" t="n"/>
      <c r="Q1217" s="19" t="n"/>
      <c r="R1217" s="19" t="n"/>
      <c r="S1217" s="19" t="n"/>
      <c r="T1217" s="19" t="n"/>
      <c r="U1217" s="19" t="n"/>
      <c r="V1217" s="19" t="n"/>
      <c r="W1217" s="19" t="n"/>
      <c r="X1217" s="19" t="n"/>
      <c r="Y1217" s="19" t="n">
        <v>1</v>
      </c>
      <c r="Z1217" s="13">
        <f>SUMPRODUCT(N1217:Y1217,$N$2:$Y$2)*$K1217*$L1217*$M1217</f>
        <v/>
      </c>
      <c r="AA1217" s="14">
        <f>SUM(N1217:Y1217)</f>
        <v/>
      </c>
      <c r="AB1217" s="13">
        <f>SUMPRODUCT(N1217:Y1217,$N$3:$Y$3)*$K1217*$L1217*$M1217</f>
        <v/>
      </c>
      <c r="AC1217" s="13">
        <f>SUMPRODUCT(N1217:Y1217,$N$4:$Y$4)*$K1217*$L1217*$M1217</f>
        <v/>
      </c>
      <c r="AD1217" s="15" t="n">
        <v>3</v>
      </c>
      <c r="AE1217" s="11" t="n">
        <v>1.011296296296296</v>
      </c>
      <c r="AF1217" s="16">
        <f>SUMPRODUCT(N1217:Y1217,$N$5:$Y$5)*$K1217*$L1217*$M1217</f>
        <v/>
      </c>
      <c r="AG1217" s="16">
        <f>SUMPRODUCT(N1217:Y1217,$N$6:$Y$6)*$K1217*$L1217*$M1217</f>
        <v/>
      </c>
      <c r="AH1217" s="20" t="n"/>
    </row>
    <row r="1218">
      <c r="A1218" s="9" t="n">
        <v>800148</v>
      </c>
      <c r="B1218" s="9" t="inlineStr">
        <is>
          <t>Marco Vega</t>
        </is>
      </c>
      <c r="C1218" s="9" t="inlineStr">
        <is>
          <t>LAA</t>
        </is>
      </c>
      <c r="D1218" s="9" t="n">
        <v>25</v>
      </c>
      <c r="E1218" s="18" t="inlineStr">
        <is>
          <t>R</t>
        </is>
      </c>
      <c r="F1218" s="18" t="n"/>
      <c r="G1218" s="9" t="n">
        <v>6.535999999999999</v>
      </c>
      <c r="H1218" s="9" t="n">
        <v>6.535999999999999</v>
      </c>
      <c r="I1218" s="9" t="inlineStr">
        <is>
          <t>Depth (no MLB IP)</t>
        </is>
      </c>
      <c r="J1218" s="18" t="inlineStr">
        <is>
          <t>Opening Day</t>
        </is>
      </c>
      <c r="K1218" s="11">
        <f>IFERROR(INDEX(Roles!$B$17:$B$20,MATCH(J1218,Roles!$A$17:$A$20,0)),1)</f>
        <v/>
      </c>
      <c r="L1218" s="19" t="n">
        <v>1</v>
      </c>
      <c r="M1218" s="11" t="n">
        <v>1</v>
      </c>
      <c r="N1218" s="19" t="n"/>
      <c r="O1218" s="19" t="n"/>
      <c r="P1218" s="19" t="n"/>
      <c r="Q1218" s="19" t="n"/>
      <c r="R1218" s="19" t="n"/>
      <c r="S1218" s="19" t="n"/>
      <c r="T1218" s="19" t="n"/>
      <c r="U1218" s="19" t="n"/>
      <c r="V1218" s="19" t="n"/>
      <c r="W1218" s="19" t="n"/>
      <c r="X1218" s="19" t="n"/>
      <c r="Y1218" s="19" t="n">
        <v>1</v>
      </c>
      <c r="Z1218" s="13">
        <f>SUMPRODUCT(N1218:Y1218,$N$2:$Y$2)*$K1218*$L1218*$M1218</f>
        <v/>
      </c>
      <c r="AA1218" s="14">
        <f>SUM(N1218:Y1218)</f>
        <v/>
      </c>
      <c r="AB1218" s="13">
        <f>SUMPRODUCT(N1218:Y1218,$N$3:$Y$3)*$K1218*$L1218*$M1218</f>
        <v/>
      </c>
      <c r="AC1218" s="13">
        <f>SUMPRODUCT(N1218:Y1218,$N$4:$Y$4)*$K1218*$L1218*$M1218</f>
        <v/>
      </c>
      <c r="AD1218" s="15" t="n">
        <v>3</v>
      </c>
      <c r="AE1218" s="11" t="n">
        <v>1.011296296296296</v>
      </c>
      <c r="AF1218" s="16">
        <f>SUMPRODUCT(N1218:Y1218,$N$5:$Y$5)*$K1218*$L1218*$M1218</f>
        <v/>
      </c>
      <c r="AG1218" s="16">
        <f>SUMPRODUCT(N1218:Y1218,$N$6:$Y$6)*$K1218*$L1218*$M1218</f>
        <v/>
      </c>
      <c r="AH1218" s="20" t="n"/>
    </row>
    <row r="1219">
      <c r="A1219" s="9" t="n">
        <v>823868</v>
      </c>
      <c r="B1219" s="9" t="inlineStr">
        <is>
          <t>Wifrailyn Jaquez</t>
        </is>
      </c>
      <c r="C1219" s="9" t="inlineStr">
        <is>
          <t>PIT</t>
        </is>
      </c>
      <c r="D1219" s="9" t="n">
        <v>25</v>
      </c>
      <c r="E1219" s="18" t="inlineStr">
        <is>
          <t>R</t>
        </is>
      </c>
      <c r="F1219" s="18" t="n"/>
      <c r="G1219" s="9" t="n">
        <v>6.707999999999999</v>
      </c>
      <c r="H1219" s="9" t="n">
        <v>6.707999999999999</v>
      </c>
      <c r="I1219" s="9" t="inlineStr">
        <is>
          <t>Depth (no MLB IP)</t>
        </is>
      </c>
      <c r="J1219" s="18" t="inlineStr">
        <is>
          <t>Opening Day</t>
        </is>
      </c>
      <c r="K1219" s="11">
        <f>IFERROR(INDEX(Roles!$B$17:$B$20,MATCH(J1219,Roles!$A$17:$A$20,0)),1)</f>
        <v/>
      </c>
      <c r="L1219" s="19" t="n">
        <v>1</v>
      </c>
      <c r="M1219" s="11" t="n">
        <v>1</v>
      </c>
      <c r="N1219" s="19" t="n"/>
      <c r="O1219" s="19" t="n"/>
      <c r="P1219" s="19" t="n"/>
      <c r="Q1219" s="19" t="n"/>
      <c r="R1219" s="19" t="n"/>
      <c r="S1219" s="19" t="n"/>
      <c r="T1219" s="19" t="n"/>
      <c r="U1219" s="19" t="n"/>
      <c r="V1219" s="19" t="n"/>
      <c r="W1219" s="19" t="n"/>
      <c r="X1219" s="19" t="n"/>
      <c r="Y1219" s="19" t="n">
        <v>1</v>
      </c>
      <c r="Z1219" s="13">
        <f>SUMPRODUCT(N1219:Y1219,$N$2:$Y$2)*$K1219*$L1219*$M1219</f>
        <v/>
      </c>
      <c r="AA1219" s="14">
        <f>SUM(N1219:Y1219)</f>
        <v/>
      </c>
      <c r="AB1219" s="13">
        <f>SUMPRODUCT(N1219:Y1219,$N$3:$Y$3)*$K1219*$L1219*$M1219</f>
        <v/>
      </c>
      <c r="AC1219" s="13">
        <f>SUMPRODUCT(N1219:Y1219,$N$4:$Y$4)*$K1219*$L1219*$M1219</f>
        <v/>
      </c>
      <c r="AD1219" s="15" t="n">
        <v>3</v>
      </c>
      <c r="AE1219" s="11" t="n">
        <v>1.011296296296296</v>
      </c>
      <c r="AF1219" s="16">
        <f>SUMPRODUCT(N1219:Y1219,$N$5:$Y$5)*$K1219*$L1219*$M1219</f>
        <v/>
      </c>
      <c r="AG1219" s="16">
        <f>SUMPRODUCT(N1219:Y1219,$N$6:$Y$6)*$K1219*$L1219*$M1219</f>
        <v/>
      </c>
      <c r="AH1219" s="20" t="n"/>
    </row>
    <row r="1220">
      <c r="A1220" s="9" t="n">
        <v>821131</v>
      </c>
      <c r="B1220" s="9" t="inlineStr">
        <is>
          <t>Ayendy Bravo</t>
        </is>
      </c>
      <c r="C1220" s="9" t="inlineStr">
        <is>
          <t>MIL</t>
        </is>
      </c>
      <c r="D1220" s="9" t="n">
        <v>25</v>
      </c>
      <c r="E1220" s="18" t="inlineStr">
        <is>
          <t>R</t>
        </is>
      </c>
      <c r="F1220" s="18" t="n"/>
      <c r="G1220" s="9" t="n">
        <v>6.593333333333334</v>
      </c>
      <c r="H1220" s="9" t="n">
        <v>6.593333333333334</v>
      </c>
      <c r="I1220" s="9" t="inlineStr">
        <is>
          <t>Depth (no MLB IP)</t>
        </is>
      </c>
      <c r="J1220" s="18" t="inlineStr">
        <is>
          <t>Opening Day</t>
        </is>
      </c>
      <c r="K1220" s="11">
        <f>IFERROR(INDEX(Roles!$B$17:$B$20,MATCH(J1220,Roles!$A$17:$A$20,0)),1)</f>
        <v/>
      </c>
      <c r="L1220" s="19" t="n">
        <v>1</v>
      </c>
      <c r="M1220" s="11" t="n">
        <v>1</v>
      </c>
      <c r="N1220" s="19" t="n"/>
      <c r="O1220" s="19" t="n"/>
      <c r="P1220" s="19" t="n"/>
      <c r="Q1220" s="19" t="n"/>
      <c r="R1220" s="19" t="n"/>
      <c r="S1220" s="19" t="n"/>
      <c r="T1220" s="19" t="n"/>
      <c r="U1220" s="19" t="n"/>
      <c r="V1220" s="19" t="n"/>
      <c r="W1220" s="19" t="n"/>
      <c r="X1220" s="19" t="n"/>
      <c r="Y1220" s="19" t="n">
        <v>1</v>
      </c>
      <c r="Z1220" s="13">
        <f>SUMPRODUCT(N1220:Y1220,$N$2:$Y$2)*$K1220*$L1220*$M1220</f>
        <v/>
      </c>
      <c r="AA1220" s="14">
        <f>SUM(N1220:Y1220)</f>
        <v/>
      </c>
      <c r="AB1220" s="13">
        <f>SUMPRODUCT(N1220:Y1220,$N$3:$Y$3)*$K1220*$L1220*$M1220</f>
        <v/>
      </c>
      <c r="AC1220" s="13">
        <f>SUMPRODUCT(N1220:Y1220,$N$4:$Y$4)*$K1220*$L1220*$M1220</f>
        <v/>
      </c>
      <c r="AD1220" s="15" t="n">
        <v>3</v>
      </c>
      <c r="AE1220" s="11" t="n">
        <v>1.011296296296296</v>
      </c>
      <c r="AF1220" s="16">
        <f>SUMPRODUCT(N1220:Y1220,$N$5:$Y$5)*$K1220*$L1220*$M1220</f>
        <v/>
      </c>
      <c r="AG1220" s="16">
        <f>SUMPRODUCT(N1220:Y1220,$N$6:$Y$6)*$K1220*$L1220*$M1220</f>
        <v/>
      </c>
      <c r="AH1220" s="20" t="n"/>
    </row>
    <row r="1221">
      <c r="A1221" s="9" t="n">
        <v>814133</v>
      </c>
      <c r="B1221" s="9" t="inlineStr">
        <is>
          <t>Frenny Grant</t>
        </is>
      </c>
      <c r="C1221" s="9" t="inlineStr">
        <is>
          <t>DET</t>
        </is>
      </c>
      <c r="D1221" s="9" t="n">
        <v>25</v>
      </c>
      <c r="E1221" s="18" t="inlineStr">
        <is>
          <t>L</t>
        </is>
      </c>
      <c r="F1221" s="18" t="n"/>
      <c r="G1221" s="9" t="n">
        <v>6.707999999999999</v>
      </c>
      <c r="H1221" s="9" t="n">
        <v>6.707999999999999</v>
      </c>
      <c r="I1221" s="9" t="inlineStr">
        <is>
          <t>Depth (no MLB IP)</t>
        </is>
      </c>
      <c r="J1221" s="18" t="inlineStr">
        <is>
          <t>Opening Day</t>
        </is>
      </c>
      <c r="K1221" s="11">
        <f>IFERROR(INDEX(Roles!$B$17:$B$20,MATCH(J1221,Roles!$A$17:$A$20,0)),1)</f>
        <v/>
      </c>
      <c r="L1221" s="19" t="n">
        <v>1</v>
      </c>
      <c r="M1221" s="11" t="n">
        <v>1</v>
      </c>
      <c r="N1221" s="19" t="n"/>
      <c r="O1221" s="19" t="n"/>
      <c r="P1221" s="19" t="n"/>
      <c r="Q1221" s="19" t="n"/>
      <c r="R1221" s="19" t="n"/>
      <c r="S1221" s="19" t="n"/>
      <c r="T1221" s="19" t="n"/>
      <c r="U1221" s="19" t="n"/>
      <c r="V1221" s="19" t="n"/>
      <c r="W1221" s="19" t="n"/>
      <c r="X1221" s="19" t="n"/>
      <c r="Y1221" s="19" t="n">
        <v>1</v>
      </c>
      <c r="Z1221" s="13">
        <f>SUMPRODUCT(N1221:Y1221,$N$2:$Y$2)*$K1221*$L1221*$M1221</f>
        <v/>
      </c>
      <c r="AA1221" s="14">
        <f>SUM(N1221:Y1221)</f>
        <v/>
      </c>
      <c r="AB1221" s="13">
        <f>SUMPRODUCT(N1221:Y1221,$N$3:$Y$3)*$K1221*$L1221*$M1221</f>
        <v/>
      </c>
      <c r="AC1221" s="13">
        <f>SUMPRODUCT(N1221:Y1221,$N$4:$Y$4)*$K1221*$L1221*$M1221</f>
        <v/>
      </c>
      <c r="AD1221" s="15" t="n">
        <v>3</v>
      </c>
      <c r="AE1221" s="11" t="n">
        <v>1.011296296296296</v>
      </c>
      <c r="AF1221" s="16">
        <f>SUMPRODUCT(N1221:Y1221,$N$5:$Y$5)*$K1221*$L1221*$M1221</f>
        <v/>
      </c>
      <c r="AG1221" s="16">
        <f>SUMPRODUCT(N1221:Y1221,$N$6:$Y$6)*$K1221*$L1221*$M1221</f>
        <v/>
      </c>
      <c r="AH1221" s="20" t="n"/>
    </row>
    <row r="1222">
      <c r="A1222" s="9" t="n">
        <v>821087</v>
      </c>
      <c r="B1222" s="9" t="inlineStr">
        <is>
          <t>Yander Pinero</t>
        </is>
      </c>
      <c r="C1222" s="9" t="inlineStr">
        <is>
          <t>ATL</t>
        </is>
      </c>
      <c r="D1222" s="9" t="n">
        <v>25</v>
      </c>
      <c r="E1222" s="18" t="inlineStr">
        <is>
          <t>R</t>
        </is>
      </c>
      <c r="F1222" s="18" t="n"/>
      <c r="G1222" s="9" t="n">
        <v>6.535999999999999</v>
      </c>
      <c r="H1222" s="9" t="n">
        <v>6.535999999999999</v>
      </c>
      <c r="I1222" s="9" t="inlineStr">
        <is>
          <t>Depth (no MLB IP)</t>
        </is>
      </c>
      <c r="J1222" s="18" t="inlineStr">
        <is>
          <t>Opening Day</t>
        </is>
      </c>
      <c r="K1222" s="11">
        <f>IFERROR(INDEX(Roles!$B$17:$B$20,MATCH(J1222,Roles!$A$17:$A$20,0)),1)</f>
        <v/>
      </c>
      <c r="L1222" s="19" t="n">
        <v>1</v>
      </c>
      <c r="M1222" s="11" t="n">
        <v>1</v>
      </c>
      <c r="N1222" s="19" t="n"/>
      <c r="O1222" s="19" t="n"/>
      <c r="P1222" s="19" t="n"/>
      <c r="Q1222" s="19" t="n"/>
      <c r="R1222" s="19" t="n"/>
      <c r="S1222" s="19" t="n"/>
      <c r="T1222" s="19" t="n"/>
      <c r="U1222" s="19" t="n"/>
      <c r="V1222" s="19" t="n"/>
      <c r="W1222" s="19" t="n"/>
      <c r="X1222" s="19" t="n"/>
      <c r="Y1222" s="19" t="n">
        <v>1</v>
      </c>
      <c r="Z1222" s="13">
        <f>SUMPRODUCT(N1222:Y1222,$N$2:$Y$2)*$K1222*$L1222*$M1222</f>
        <v/>
      </c>
      <c r="AA1222" s="14">
        <f>SUM(N1222:Y1222)</f>
        <v/>
      </c>
      <c r="AB1222" s="13">
        <f>SUMPRODUCT(N1222:Y1222,$N$3:$Y$3)*$K1222*$L1222*$M1222</f>
        <v/>
      </c>
      <c r="AC1222" s="13">
        <f>SUMPRODUCT(N1222:Y1222,$N$4:$Y$4)*$K1222*$L1222*$M1222</f>
        <v/>
      </c>
      <c r="AD1222" s="15" t="n">
        <v>3</v>
      </c>
      <c r="AE1222" s="11" t="n">
        <v>1.011296296296296</v>
      </c>
      <c r="AF1222" s="16">
        <f>SUMPRODUCT(N1222:Y1222,$N$5:$Y$5)*$K1222*$L1222*$M1222</f>
        <v/>
      </c>
      <c r="AG1222" s="16">
        <f>SUMPRODUCT(N1222:Y1222,$N$6:$Y$6)*$K1222*$L1222*$M1222</f>
        <v/>
      </c>
      <c r="AH1222" s="20" t="n"/>
    </row>
    <row r="1223">
      <c r="A1223" s="9" t="n">
        <v>823226</v>
      </c>
      <c r="B1223" s="9" t="inlineStr">
        <is>
          <t>Zach Harris</t>
        </is>
      </c>
      <c r="C1223" s="9" t="inlineStr">
        <is>
          <t>COL</t>
        </is>
      </c>
      <c r="D1223" s="9" t="n">
        <v>25</v>
      </c>
      <c r="E1223" s="18" t="inlineStr">
        <is>
          <t>R</t>
        </is>
      </c>
      <c r="F1223" s="18" t="n"/>
      <c r="G1223" s="9" t="n">
        <v>6.707999999999999</v>
      </c>
      <c r="H1223" s="9" t="n">
        <v>6.707999999999999</v>
      </c>
      <c r="I1223" s="9" t="inlineStr">
        <is>
          <t>Depth (no MLB IP)</t>
        </is>
      </c>
      <c r="J1223" s="18" t="inlineStr">
        <is>
          <t>Opening Day</t>
        </is>
      </c>
      <c r="K1223" s="11">
        <f>IFERROR(INDEX(Roles!$B$17:$B$20,MATCH(J1223,Roles!$A$17:$A$20,0)),1)</f>
        <v/>
      </c>
      <c r="L1223" s="19" t="n">
        <v>1</v>
      </c>
      <c r="M1223" s="11" t="n">
        <v>1</v>
      </c>
      <c r="N1223" s="19" t="n"/>
      <c r="O1223" s="19" t="n"/>
      <c r="P1223" s="19" t="n"/>
      <c r="Q1223" s="19" t="n"/>
      <c r="R1223" s="19" t="n"/>
      <c r="S1223" s="19" t="n"/>
      <c r="T1223" s="19" t="n"/>
      <c r="U1223" s="19" t="n"/>
      <c r="V1223" s="19" t="n"/>
      <c r="W1223" s="19" t="n"/>
      <c r="X1223" s="19" t="n"/>
      <c r="Y1223" s="19" t="n">
        <v>1</v>
      </c>
      <c r="Z1223" s="13">
        <f>SUMPRODUCT(N1223:Y1223,$N$2:$Y$2)*$K1223*$L1223*$M1223</f>
        <v/>
      </c>
      <c r="AA1223" s="14">
        <f>SUM(N1223:Y1223)</f>
        <v/>
      </c>
      <c r="AB1223" s="13">
        <f>SUMPRODUCT(N1223:Y1223,$N$3:$Y$3)*$K1223*$L1223*$M1223</f>
        <v/>
      </c>
      <c r="AC1223" s="13">
        <f>SUMPRODUCT(N1223:Y1223,$N$4:$Y$4)*$K1223*$L1223*$M1223</f>
        <v/>
      </c>
      <c r="AD1223" s="15" t="n">
        <v>3</v>
      </c>
      <c r="AE1223" s="11" t="n">
        <v>1.011296296296296</v>
      </c>
      <c r="AF1223" s="16">
        <f>SUMPRODUCT(N1223:Y1223,$N$5:$Y$5)*$K1223*$L1223*$M1223</f>
        <v/>
      </c>
      <c r="AG1223" s="16">
        <f>SUMPRODUCT(N1223:Y1223,$N$6:$Y$6)*$K1223*$L1223*$M1223</f>
        <v/>
      </c>
      <c r="AH1223" s="20" t="n"/>
    </row>
    <row r="1224">
      <c r="A1224" s="9" t="n">
        <v>809934</v>
      </c>
      <c r="B1224" s="9" t="inlineStr">
        <is>
          <t>Freddy Rodriguez</t>
        </is>
      </c>
      <c r="C1224" s="9" t="inlineStr">
        <is>
          <t>CHC</t>
        </is>
      </c>
      <c r="D1224" s="9" t="n">
        <v>25</v>
      </c>
      <c r="E1224" s="18" t="inlineStr">
        <is>
          <t>R</t>
        </is>
      </c>
      <c r="F1224" s="18" t="n"/>
      <c r="G1224" s="9" t="n">
        <v>6.707999999999999</v>
      </c>
      <c r="H1224" s="9" t="n">
        <v>6.707999999999999</v>
      </c>
      <c r="I1224" s="9" t="inlineStr">
        <is>
          <t>Depth (no MLB IP)</t>
        </is>
      </c>
      <c r="J1224" s="18" t="inlineStr">
        <is>
          <t>Opening Day</t>
        </is>
      </c>
      <c r="K1224" s="11">
        <f>IFERROR(INDEX(Roles!$B$17:$B$20,MATCH(J1224,Roles!$A$17:$A$20,0)),1)</f>
        <v/>
      </c>
      <c r="L1224" s="19" t="n">
        <v>1</v>
      </c>
      <c r="M1224" s="11" t="n">
        <v>1</v>
      </c>
      <c r="N1224" s="19" t="n"/>
      <c r="O1224" s="19" t="n"/>
      <c r="P1224" s="19" t="n"/>
      <c r="Q1224" s="19" t="n"/>
      <c r="R1224" s="19" t="n"/>
      <c r="S1224" s="19" t="n"/>
      <c r="T1224" s="19" t="n"/>
      <c r="U1224" s="19" t="n"/>
      <c r="V1224" s="19" t="n"/>
      <c r="W1224" s="19" t="n"/>
      <c r="X1224" s="19" t="n"/>
      <c r="Y1224" s="19" t="n">
        <v>1</v>
      </c>
      <c r="Z1224" s="13">
        <f>SUMPRODUCT(N1224:Y1224,$N$2:$Y$2)*$K1224*$L1224*$M1224</f>
        <v/>
      </c>
      <c r="AA1224" s="14">
        <f>SUM(N1224:Y1224)</f>
        <v/>
      </c>
      <c r="AB1224" s="13">
        <f>SUMPRODUCT(N1224:Y1224,$N$3:$Y$3)*$K1224*$L1224*$M1224</f>
        <v/>
      </c>
      <c r="AC1224" s="13">
        <f>SUMPRODUCT(N1224:Y1224,$N$4:$Y$4)*$K1224*$L1224*$M1224</f>
        <v/>
      </c>
      <c r="AD1224" s="15" t="n">
        <v>3</v>
      </c>
      <c r="AE1224" s="11" t="n">
        <v>1.011296296296296</v>
      </c>
      <c r="AF1224" s="16">
        <f>SUMPRODUCT(N1224:Y1224,$N$5:$Y$5)*$K1224*$L1224*$M1224</f>
        <v/>
      </c>
      <c r="AG1224" s="16">
        <f>SUMPRODUCT(N1224:Y1224,$N$6:$Y$6)*$K1224*$L1224*$M1224</f>
        <v/>
      </c>
      <c r="AH1224" s="20" t="n"/>
    </row>
    <row r="1225">
      <c r="A1225" s="9" t="n">
        <v>656820</v>
      </c>
      <c r="B1225" s="9" t="inlineStr">
        <is>
          <t>Nicholas Padilla</t>
        </is>
      </c>
      <c r="C1225" s="9" t="inlineStr">
        <is>
          <t>CWS</t>
        </is>
      </c>
      <c r="D1225" s="9" t="n">
        <v>30</v>
      </c>
      <c r="E1225" s="18" t="inlineStr">
        <is>
          <t>R</t>
        </is>
      </c>
      <c r="F1225" s="18" t="n"/>
      <c r="G1225" s="9" t="n">
        <v>23</v>
      </c>
      <c r="H1225" s="9" t="n">
        <v>32</v>
      </c>
      <c r="I1225" s="9" t="inlineStr">
        <is>
          <t>Depth (no MLB IP)</t>
        </is>
      </c>
      <c r="J1225" s="18" t="inlineStr">
        <is>
          <t>Opening Day</t>
        </is>
      </c>
      <c r="K1225" s="11">
        <f>IFERROR(INDEX(Roles!$B$17:$B$20,MATCH(J1225,Roles!$A$17:$A$20,0)),1)</f>
        <v/>
      </c>
      <c r="L1225" s="19" t="n">
        <v>1</v>
      </c>
      <c r="M1225" s="11" t="n">
        <v>1</v>
      </c>
      <c r="N1225" s="19" t="n"/>
      <c r="O1225" s="19" t="n"/>
      <c r="P1225" s="19" t="n"/>
      <c r="Q1225" s="19" t="n"/>
      <c r="R1225" s="19" t="n"/>
      <c r="S1225" s="19" t="n"/>
      <c r="T1225" s="19" t="n"/>
      <c r="U1225" s="19" t="n"/>
      <c r="V1225" s="19" t="n"/>
      <c r="W1225" s="19" t="n"/>
      <c r="X1225" s="19" t="n"/>
      <c r="Y1225" s="19" t="n">
        <v>1</v>
      </c>
      <c r="Z1225" s="13">
        <f>SUMPRODUCT(N1225:Y1225,$N$2:$Y$2)*$K1225*$L1225*$M1225</f>
        <v/>
      </c>
      <c r="AA1225" s="14">
        <f>SUM(N1225:Y1225)</f>
        <v/>
      </c>
      <c r="AB1225" s="13">
        <f>SUMPRODUCT(N1225:Y1225,$N$3:$Y$3)*$K1225*$L1225*$M1225</f>
        <v/>
      </c>
      <c r="AC1225" s="13">
        <f>SUMPRODUCT(N1225:Y1225,$N$4:$Y$4)*$K1225*$L1225*$M1225</f>
        <v/>
      </c>
      <c r="AD1225" s="15" t="n">
        <v>3</v>
      </c>
      <c r="AE1225" s="11" t="n">
        <v>1.011296296296296</v>
      </c>
      <c r="AF1225" s="16">
        <f>SUMPRODUCT(N1225:Y1225,$N$5:$Y$5)*$K1225*$L1225*$M1225</f>
        <v/>
      </c>
      <c r="AG1225" s="16">
        <f>SUMPRODUCT(N1225:Y1225,$N$6:$Y$6)*$K1225*$L1225*$M1225</f>
        <v/>
      </c>
      <c r="AH1225" s="20" t="n"/>
    </row>
    <row r="1226">
      <c r="A1226" s="9" t="n">
        <v>813855</v>
      </c>
      <c r="B1226" s="9" t="inlineStr">
        <is>
          <t>Carlton Perkins</t>
        </is>
      </c>
      <c r="C1226" s="9" t="inlineStr">
        <is>
          <t>CWS</t>
        </is>
      </c>
      <c r="D1226" s="9" t="n">
        <v>25</v>
      </c>
      <c r="E1226" s="18" t="inlineStr">
        <is>
          <t>R</t>
        </is>
      </c>
      <c r="F1226" s="18" t="n"/>
      <c r="G1226" s="9" t="n">
        <v>6.88</v>
      </c>
      <c r="H1226" s="9" t="n">
        <v>6.88</v>
      </c>
      <c r="I1226" s="9" t="inlineStr">
        <is>
          <t>Depth (no MLB IP)</t>
        </is>
      </c>
      <c r="J1226" s="18" t="inlineStr">
        <is>
          <t>Opening Day</t>
        </is>
      </c>
      <c r="K1226" s="11">
        <f>IFERROR(INDEX(Roles!$B$17:$B$20,MATCH(J1226,Roles!$A$17:$A$20,0)),1)</f>
        <v/>
      </c>
      <c r="L1226" s="19" t="n">
        <v>1</v>
      </c>
      <c r="M1226" s="11" t="n">
        <v>1</v>
      </c>
      <c r="N1226" s="19" t="n"/>
      <c r="O1226" s="19" t="n"/>
      <c r="P1226" s="19" t="n"/>
      <c r="Q1226" s="19" t="n"/>
      <c r="R1226" s="19" t="n"/>
      <c r="S1226" s="19" t="n"/>
      <c r="T1226" s="19" t="n"/>
      <c r="U1226" s="19" t="n"/>
      <c r="V1226" s="19" t="n"/>
      <c r="W1226" s="19" t="n"/>
      <c r="X1226" s="19" t="n"/>
      <c r="Y1226" s="19" t="n">
        <v>1</v>
      </c>
      <c r="Z1226" s="13">
        <f>SUMPRODUCT(N1226:Y1226,$N$2:$Y$2)*$K1226*$L1226*$M1226</f>
        <v/>
      </c>
      <c r="AA1226" s="14">
        <f>SUM(N1226:Y1226)</f>
        <v/>
      </c>
      <c r="AB1226" s="13">
        <f>SUMPRODUCT(N1226:Y1226,$N$3:$Y$3)*$K1226*$L1226*$M1226</f>
        <v/>
      </c>
      <c r="AC1226" s="13">
        <f>SUMPRODUCT(N1226:Y1226,$N$4:$Y$4)*$K1226*$L1226*$M1226</f>
        <v/>
      </c>
      <c r="AD1226" s="15" t="n">
        <v>3</v>
      </c>
      <c r="AE1226" s="11" t="n">
        <v>1.011296296296296</v>
      </c>
      <c r="AF1226" s="16">
        <f>SUMPRODUCT(N1226:Y1226,$N$5:$Y$5)*$K1226*$L1226*$M1226</f>
        <v/>
      </c>
      <c r="AG1226" s="16">
        <f>SUMPRODUCT(N1226:Y1226,$N$6:$Y$6)*$K1226*$L1226*$M1226</f>
        <v/>
      </c>
      <c r="AH1226" s="20" t="n"/>
    </row>
    <row r="1227">
      <c r="A1227" s="9" t="n">
        <v>821022</v>
      </c>
      <c r="B1227" s="9" t="inlineStr">
        <is>
          <t>Angel Rivero</t>
        </is>
      </c>
      <c r="C1227" s="9" t="inlineStr">
        <is>
          <t>LAA</t>
        </is>
      </c>
      <c r="D1227" s="9" t="n">
        <v>25</v>
      </c>
      <c r="E1227" s="18" t="inlineStr">
        <is>
          <t>R</t>
        </is>
      </c>
      <c r="F1227" s="18" t="n"/>
      <c r="G1227" s="9" t="n">
        <v>6.535999999999999</v>
      </c>
      <c r="H1227" s="9" t="n">
        <v>6.535999999999999</v>
      </c>
      <c r="I1227" s="9" t="inlineStr">
        <is>
          <t>Depth (no MLB IP)</t>
        </is>
      </c>
      <c r="J1227" s="18" t="inlineStr">
        <is>
          <t>Opening Day</t>
        </is>
      </c>
      <c r="K1227" s="11">
        <f>IFERROR(INDEX(Roles!$B$17:$B$20,MATCH(J1227,Roles!$A$17:$A$20,0)),1)</f>
        <v/>
      </c>
      <c r="L1227" s="19" t="n">
        <v>1</v>
      </c>
      <c r="M1227" s="11" t="n">
        <v>1</v>
      </c>
      <c r="N1227" s="19" t="n"/>
      <c r="O1227" s="19" t="n"/>
      <c r="P1227" s="19" t="n"/>
      <c r="Q1227" s="19" t="n"/>
      <c r="R1227" s="19" t="n"/>
      <c r="S1227" s="19" t="n"/>
      <c r="T1227" s="19" t="n"/>
      <c r="U1227" s="19" t="n"/>
      <c r="V1227" s="19" t="n"/>
      <c r="W1227" s="19" t="n"/>
      <c r="X1227" s="19" t="n"/>
      <c r="Y1227" s="19" t="n">
        <v>1</v>
      </c>
      <c r="Z1227" s="13">
        <f>SUMPRODUCT(N1227:Y1227,$N$2:$Y$2)*$K1227*$L1227*$M1227</f>
        <v/>
      </c>
      <c r="AA1227" s="14">
        <f>SUM(N1227:Y1227)</f>
        <v/>
      </c>
      <c r="AB1227" s="13">
        <f>SUMPRODUCT(N1227:Y1227,$N$3:$Y$3)*$K1227*$L1227*$M1227</f>
        <v/>
      </c>
      <c r="AC1227" s="13">
        <f>SUMPRODUCT(N1227:Y1227,$N$4:$Y$4)*$K1227*$L1227*$M1227</f>
        <v/>
      </c>
      <c r="AD1227" s="15" t="n">
        <v>3</v>
      </c>
      <c r="AE1227" s="11" t="n">
        <v>1.011296296296296</v>
      </c>
      <c r="AF1227" s="16">
        <f>SUMPRODUCT(N1227:Y1227,$N$5:$Y$5)*$K1227*$L1227*$M1227</f>
        <v/>
      </c>
      <c r="AG1227" s="16">
        <f>SUMPRODUCT(N1227:Y1227,$N$6:$Y$6)*$K1227*$L1227*$M1227</f>
        <v/>
      </c>
      <c r="AH1227" s="20" t="n"/>
    </row>
    <row r="1228">
      <c r="A1228" s="9" t="n">
        <v>698952</v>
      </c>
      <c r="B1228" s="9" t="inlineStr">
        <is>
          <t>Jose T. Perez</t>
        </is>
      </c>
      <c r="C1228" s="9" t="inlineStr">
        <is>
          <t>SF</t>
        </is>
      </c>
      <c r="D1228" s="9" t="n">
        <v>25</v>
      </c>
      <c r="E1228" s="18" t="inlineStr">
        <is>
          <t>R</t>
        </is>
      </c>
      <c r="F1228" s="18" t="n"/>
      <c r="G1228" s="9" t="n">
        <v>6.707999999999999</v>
      </c>
      <c r="H1228" s="9" t="n">
        <v>6.707999999999999</v>
      </c>
      <c r="I1228" s="9" t="inlineStr">
        <is>
          <t>Depth (no MLB IP)</t>
        </is>
      </c>
      <c r="J1228" s="18" t="inlineStr">
        <is>
          <t>Opening Day</t>
        </is>
      </c>
      <c r="K1228" s="11">
        <f>IFERROR(INDEX(Roles!$B$17:$B$20,MATCH(J1228,Roles!$A$17:$A$20,0)),1)</f>
        <v/>
      </c>
      <c r="L1228" s="19" t="n">
        <v>1</v>
      </c>
      <c r="M1228" s="11" t="n">
        <v>1</v>
      </c>
      <c r="N1228" s="19" t="n"/>
      <c r="O1228" s="19" t="n"/>
      <c r="P1228" s="19" t="n"/>
      <c r="Q1228" s="19" t="n"/>
      <c r="R1228" s="19" t="n"/>
      <c r="S1228" s="19" t="n"/>
      <c r="T1228" s="19" t="n"/>
      <c r="U1228" s="19" t="n"/>
      <c r="V1228" s="19" t="n"/>
      <c r="W1228" s="19" t="n"/>
      <c r="X1228" s="19" t="n"/>
      <c r="Y1228" s="19" t="n">
        <v>1</v>
      </c>
      <c r="Z1228" s="13">
        <f>SUMPRODUCT(N1228:Y1228,$N$2:$Y$2)*$K1228*$L1228*$M1228</f>
        <v/>
      </c>
      <c r="AA1228" s="14">
        <f>SUM(N1228:Y1228)</f>
        <v/>
      </c>
      <c r="AB1228" s="13">
        <f>SUMPRODUCT(N1228:Y1228,$N$3:$Y$3)*$K1228*$L1228*$M1228</f>
        <v/>
      </c>
      <c r="AC1228" s="13">
        <f>SUMPRODUCT(N1228:Y1228,$N$4:$Y$4)*$K1228*$L1228*$M1228</f>
        <v/>
      </c>
      <c r="AD1228" s="15" t="n">
        <v>3</v>
      </c>
      <c r="AE1228" s="11" t="n">
        <v>1.011296296296296</v>
      </c>
      <c r="AF1228" s="16">
        <f>SUMPRODUCT(N1228:Y1228,$N$5:$Y$5)*$K1228*$L1228*$M1228</f>
        <v/>
      </c>
      <c r="AG1228" s="16">
        <f>SUMPRODUCT(N1228:Y1228,$N$6:$Y$6)*$K1228*$L1228*$M1228</f>
        <v/>
      </c>
      <c r="AH1228" s="20" t="n"/>
    </row>
    <row r="1229">
      <c r="A1229" s="9" t="n">
        <v>689548</v>
      </c>
      <c r="B1229" s="9" t="inlineStr">
        <is>
          <t>Ronaldo Gallo</t>
        </is>
      </c>
      <c r="C1229" s="9" t="inlineStr">
        <is>
          <t>PIT</t>
        </is>
      </c>
      <c r="D1229" s="9" t="n">
        <v>25</v>
      </c>
      <c r="E1229" s="18" t="inlineStr">
        <is>
          <t>R</t>
        </is>
      </c>
      <c r="F1229" s="18" t="n"/>
      <c r="G1229" s="9" t="n">
        <v>6.593333333333334</v>
      </c>
      <c r="H1229" s="9" t="n">
        <v>6.593333333333334</v>
      </c>
      <c r="I1229" s="9" t="inlineStr">
        <is>
          <t>Depth (no MLB IP)</t>
        </is>
      </c>
      <c r="J1229" s="18" t="inlineStr">
        <is>
          <t>Opening Day</t>
        </is>
      </c>
      <c r="K1229" s="11">
        <f>IFERROR(INDEX(Roles!$B$17:$B$20,MATCH(J1229,Roles!$A$17:$A$20,0)),1)</f>
        <v/>
      </c>
      <c r="L1229" s="19" t="n">
        <v>1</v>
      </c>
      <c r="M1229" s="11" t="n">
        <v>1</v>
      </c>
      <c r="N1229" s="19" t="n"/>
      <c r="O1229" s="19" t="n"/>
      <c r="P1229" s="19" t="n"/>
      <c r="Q1229" s="19" t="n"/>
      <c r="R1229" s="19" t="n"/>
      <c r="S1229" s="19" t="n"/>
      <c r="T1229" s="19" t="n"/>
      <c r="U1229" s="19" t="n"/>
      <c r="V1229" s="19" t="n"/>
      <c r="W1229" s="19" t="n"/>
      <c r="X1229" s="19" t="n"/>
      <c r="Y1229" s="19" t="n">
        <v>1</v>
      </c>
      <c r="Z1229" s="13">
        <f>SUMPRODUCT(N1229:Y1229,$N$2:$Y$2)*$K1229*$L1229*$M1229</f>
        <v/>
      </c>
      <c r="AA1229" s="14">
        <f>SUM(N1229:Y1229)</f>
        <v/>
      </c>
      <c r="AB1229" s="13">
        <f>SUMPRODUCT(N1229:Y1229,$N$3:$Y$3)*$K1229*$L1229*$M1229</f>
        <v/>
      </c>
      <c r="AC1229" s="13">
        <f>SUMPRODUCT(N1229:Y1229,$N$4:$Y$4)*$K1229*$L1229*$M1229</f>
        <v/>
      </c>
      <c r="AD1229" s="15" t="n">
        <v>3</v>
      </c>
      <c r="AE1229" s="11" t="n">
        <v>1.011296296296296</v>
      </c>
      <c r="AF1229" s="16">
        <f>SUMPRODUCT(N1229:Y1229,$N$5:$Y$5)*$K1229*$L1229*$M1229</f>
        <v/>
      </c>
      <c r="AG1229" s="16">
        <f>SUMPRODUCT(N1229:Y1229,$N$6:$Y$6)*$K1229*$L1229*$M1229</f>
        <v/>
      </c>
      <c r="AH1229" s="20" t="n"/>
    </row>
    <row r="1230">
      <c r="A1230" s="9" t="n">
        <v>800890</v>
      </c>
      <c r="B1230" s="9" t="inlineStr">
        <is>
          <t>Ian May</t>
        </is>
      </c>
      <c r="C1230" s="9" t="inlineStr">
        <is>
          <t>LAD</t>
        </is>
      </c>
      <c r="D1230" s="9" t="n">
        <v>25</v>
      </c>
      <c r="E1230" s="18" t="inlineStr">
        <is>
          <t>L</t>
        </is>
      </c>
      <c r="F1230" s="18" t="n"/>
      <c r="G1230" s="9" t="n">
        <v>6.88</v>
      </c>
      <c r="H1230" s="9" t="n">
        <v>6.88</v>
      </c>
      <c r="I1230" s="9" t="inlineStr">
        <is>
          <t>Depth (no MLB IP)</t>
        </is>
      </c>
      <c r="J1230" s="18" t="inlineStr">
        <is>
          <t>Opening Day</t>
        </is>
      </c>
      <c r="K1230" s="11">
        <f>IFERROR(INDEX(Roles!$B$17:$B$20,MATCH(J1230,Roles!$A$17:$A$20,0)),1)</f>
        <v/>
      </c>
      <c r="L1230" s="19" t="n">
        <v>1</v>
      </c>
      <c r="M1230" s="11" t="n">
        <v>1</v>
      </c>
      <c r="N1230" s="19" t="n"/>
      <c r="O1230" s="19" t="n"/>
      <c r="P1230" s="19" t="n"/>
      <c r="Q1230" s="19" t="n"/>
      <c r="R1230" s="19" t="n"/>
      <c r="S1230" s="19" t="n"/>
      <c r="T1230" s="19" t="n"/>
      <c r="U1230" s="19" t="n"/>
      <c r="V1230" s="19" t="n"/>
      <c r="W1230" s="19" t="n"/>
      <c r="X1230" s="19" t="n"/>
      <c r="Y1230" s="19" t="n">
        <v>1</v>
      </c>
      <c r="Z1230" s="13">
        <f>SUMPRODUCT(N1230:Y1230,$N$2:$Y$2)*$K1230*$L1230*$M1230</f>
        <v/>
      </c>
      <c r="AA1230" s="14">
        <f>SUM(N1230:Y1230)</f>
        <v/>
      </c>
      <c r="AB1230" s="13">
        <f>SUMPRODUCT(N1230:Y1230,$N$3:$Y$3)*$K1230*$L1230*$M1230</f>
        <v/>
      </c>
      <c r="AC1230" s="13">
        <f>SUMPRODUCT(N1230:Y1230,$N$4:$Y$4)*$K1230*$L1230*$M1230</f>
        <v/>
      </c>
      <c r="AD1230" s="15" t="n">
        <v>3</v>
      </c>
      <c r="AE1230" s="11" t="n">
        <v>1.011296296296296</v>
      </c>
      <c r="AF1230" s="16">
        <f>SUMPRODUCT(N1230:Y1230,$N$5:$Y$5)*$K1230*$L1230*$M1230</f>
        <v/>
      </c>
      <c r="AG1230" s="16">
        <f>SUMPRODUCT(N1230:Y1230,$N$6:$Y$6)*$K1230*$L1230*$M1230</f>
        <v/>
      </c>
      <c r="AH1230" s="20" t="n"/>
    </row>
    <row r="1231">
      <c r="A1231" s="9" t="n">
        <v>828069</v>
      </c>
      <c r="B1231" s="9" t="inlineStr">
        <is>
          <t>Luke Roupe</t>
        </is>
      </c>
      <c r="C1231" s="9" t="inlineStr">
        <is>
          <t>MIL</t>
        </is>
      </c>
      <c r="D1231" s="9" t="n">
        <v>25</v>
      </c>
      <c r="E1231" s="18" t="inlineStr">
        <is>
          <t>R</t>
        </is>
      </c>
      <c r="F1231" s="18" t="n"/>
      <c r="G1231" s="9" t="n">
        <v>6.707999999999999</v>
      </c>
      <c r="H1231" s="9" t="n">
        <v>6.707999999999999</v>
      </c>
      <c r="I1231" s="9" t="inlineStr">
        <is>
          <t>Depth (no MLB IP)</t>
        </is>
      </c>
      <c r="J1231" s="18" t="inlineStr">
        <is>
          <t>Opening Day</t>
        </is>
      </c>
      <c r="K1231" s="11">
        <f>IFERROR(INDEX(Roles!$B$17:$B$20,MATCH(J1231,Roles!$A$17:$A$20,0)),1)</f>
        <v/>
      </c>
      <c r="L1231" s="19" t="n">
        <v>1</v>
      </c>
      <c r="M1231" s="11" t="n">
        <v>1</v>
      </c>
      <c r="N1231" s="19" t="n"/>
      <c r="O1231" s="19" t="n"/>
      <c r="P1231" s="19" t="n"/>
      <c r="Q1231" s="19" t="n"/>
      <c r="R1231" s="19" t="n"/>
      <c r="S1231" s="19" t="n"/>
      <c r="T1231" s="19" t="n"/>
      <c r="U1231" s="19" t="n"/>
      <c r="V1231" s="19" t="n"/>
      <c r="W1231" s="19" t="n"/>
      <c r="X1231" s="19" t="n"/>
      <c r="Y1231" s="19" t="n">
        <v>1</v>
      </c>
      <c r="Z1231" s="13">
        <f>SUMPRODUCT(N1231:Y1231,$N$2:$Y$2)*$K1231*$L1231*$M1231</f>
        <v/>
      </c>
      <c r="AA1231" s="14">
        <f>SUM(N1231:Y1231)</f>
        <v/>
      </c>
      <c r="AB1231" s="13">
        <f>SUMPRODUCT(N1231:Y1231,$N$3:$Y$3)*$K1231*$L1231*$M1231</f>
        <v/>
      </c>
      <c r="AC1231" s="13">
        <f>SUMPRODUCT(N1231:Y1231,$N$4:$Y$4)*$K1231*$L1231*$M1231</f>
        <v/>
      </c>
      <c r="AD1231" s="15" t="n">
        <v>3</v>
      </c>
      <c r="AE1231" s="11" t="n">
        <v>1.011296296296296</v>
      </c>
      <c r="AF1231" s="16">
        <f>SUMPRODUCT(N1231:Y1231,$N$5:$Y$5)*$K1231*$L1231*$M1231</f>
        <v/>
      </c>
      <c r="AG1231" s="16">
        <f>SUMPRODUCT(N1231:Y1231,$N$6:$Y$6)*$K1231*$L1231*$M1231</f>
        <v/>
      </c>
      <c r="AH1231" s="20" t="n"/>
    </row>
    <row r="1232">
      <c r="A1232" s="9" t="n">
        <v>802099</v>
      </c>
      <c r="B1232" s="9" t="inlineStr">
        <is>
          <t>Luis Valdez</t>
        </is>
      </c>
      <c r="C1232" s="9" t="inlineStr">
        <is>
          <t>KC</t>
        </is>
      </c>
      <c r="D1232" s="9" t="n">
        <v>25</v>
      </c>
      <c r="E1232" s="18" t="inlineStr">
        <is>
          <t>R</t>
        </is>
      </c>
      <c r="F1232" s="18" t="n"/>
      <c r="G1232" s="9" t="n">
        <v>6.707999999999999</v>
      </c>
      <c r="H1232" s="9" t="n">
        <v>6.707999999999999</v>
      </c>
      <c r="I1232" s="9" t="inlineStr">
        <is>
          <t>Depth (no MLB IP)</t>
        </is>
      </c>
      <c r="J1232" s="18" t="inlineStr">
        <is>
          <t>Opening Day</t>
        </is>
      </c>
      <c r="K1232" s="11">
        <f>IFERROR(INDEX(Roles!$B$17:$B$20,MATCH(J1232,Roles!$A$17:$A$20,0)),1)</f>
        <v/>
      </c>
      <c r="L1232" s="19" t="n">
        <v>1</v>
      </c>
      <c r="M1232" s="11" t="n">
        <v>1</v>
      </c>
      <c r="N1232" s="19" t="n"/>
      <c r="O1232" s="19" t="n"/>
      <c r="P1232" s="19" t="n"/>
      <c r="Q1232" s="19" t="n"/>
      <c r="R1232" s="19" t="n"/>
      <c r="S1232" s="19" t="n"/>
      <c r="T1232" s="19" t="n"/>
      <c r="U1232" s="19" t="n"/>
      <c r="V1232" s="19" t="n"/>
      <c r="W1232" s="19" t="n"/>
      <c r="X1232" s="19" t="n"/>
      <c r="Y1232" s="19" t="n">
        <v>1</v>
      </c>
      <c r="Z1232" s="13">
        <f>SUMPRODUCT(N1232:Y1232,$N$2:$Y$2)*$K1232*$L1232*$M1232</f>
        <v/>
      </c>
      <c r="AA1232" s="14">
        <f>SUM(N1232:Y1232)</f>
        <v/>
      </c>
      <c r="AB1232" s="13">
        <f>SUMPRODUCT(N1232:Y1232,$N$3:$Y$3)*$K1232*$L1232*$M1232</f>
        <v/>
      </c>
      <c r="AC1232" s="13">
        <f>SUMPRODUCT(N1232:Y1232,$N$4:$Y$4)*$K1232*$L1232*$M1232</f>
        <v/>
      </c>
      <c r="AD1232" s="15" t="n">
        <v>3</v>
      </c>
      <c r="AE1232" s="11" t="n">
        <v>1.011296296296296</v>
      </c>
      <c r="AF1232" s="16">
        <f>SUMPRODUCT(N1232:Y1232,$N$5:$Y$5)*$K1232*$L1232*$M1232</f>
        <v/>
      </c>
      <c r="AG1232" s="16">
        <f>SUMPRODUCT(N1232:Y1232,$N$6:$Y$6)*$K1232*$L1232*$M1232</f>
        <v/>
      </c>
      <c r="AH1232" s="20" t="n"/>
    </row>
    <row r="1233">
      <c r="A1233" s="9" t="n">
        <v>807823</v>
      </c>
      <c r="B1233" s="9" t="inlineStr">
        <is>
          <t>Jank Pichardo</t>
        </is>
      </c>
      <c r="C1233" s="9" t="inlineStr">
        <is>
          <t>HOU</t>
        </is>
      </c>
      <c r="D1233" s="9" t="n">
        <v>25</v>
      </c>
      <c r="E1233" s="18" t="inlineStr">
        <is>
          <t>R</t>
        </is>
      </c>
      <c r="F1233" s="18" t="n"/>
      <c r="G1233" s="9" t="n">
        <v>6.707999999999999</v>
      </c>
      <c r="H1233" s="9" t="n">
        <v>6.707999999999999</v>
      </c>
      <c r="I1233" s="9" t="inlineStr">
        <is>
          <t>Depth (no MLB IP)</t>
        </is>
      </c>
      <c r="J1233" s="18" t="inlineStr">
        <is>
          <t>Opening Day</t>
        </is>
      </c>
      <c r="K1233" s="11">
        <f>IFERROR(INDEX(Roles!$B$17:$B$20,MATCH(J1233,Roles!$A$17:$A$20,0)),1)</f>
        <v/>
      </c>
      <c r="L1233" s="19" t="n">
        <v>1</v>
      </c>
      <c r="M1233" s="11" t="n">
        <v>1</v>
      </c>
      <c r="N1233" s="19" t="n"/>
      <c r="O1233" s="19" t="n"/>
      <c r="P1233" s="19" t="n"/>
      <c r="Q1233" s="19" t="n"/>
      <c r="R1233" s="19" t="n"/>
      <c r="S1233" s="19" t="n"/>
      <c r="T1233" s="19" t="n"/>
      <c r="U1233" s="19" t="n"/>
      <c r="V1233" s="19" t="n"/>
      <c r="W1233" s="19" t="n"/>
      <c r="X1233" s="19" t="n"/>
      <c r="Y1233" s="19" t="n">
        <v>1</v>
      </c>
      <c r="Z1233" s="13">
        <f>SUMPRODUCT(N1233:Y1233,$N$2:$Y$2)*$K1233*$L1233*$M1233</f>
        <v/>
      </c>
      <c r="AA1233" s="14">
        <f>SUM(N1233:Y1233)</f>
        <v/>
      </c>
      <c r="AB1233" s="13">
        <f>SUMPRODUCT(N1233:Y1233,$N$3:$Y$3)*$K1233*$L1233*$M1233</f>
        <v/>
      </c>
      <c r="AC1233" s="13">
        <f>SUMPRODUCT(N1233:Y1233,$N$4:$Y$4)*$K1233*$L1233*$M1233</f>
        <v/>
      </c>
      <c r="AD1233" s="15" t="n">
        <v>3</v>
      </c>
      <c r="AE1233" s="11" t="n">
        <v>1.011296296296296</v>
      </c>
      <c r="AF1233" s="16">
        <f>SUMPRODUCT(N1233:Y1233,$N$5:$Y$5)*$K1233*$L1233*$M1233</f>
        <v/>
      </c>
      <c r="AG1233" s="16">
        <f>SUMPRODUCT(N1233:Y1233,$N$6:$Y$6)*$K1233*$L1233*$M1233</f>
        <v/>
      </c>
      <c r="AH1233" s="20" t="n"/>
    </row>
    <row r="1234">
      <c r="A1234" s="9" t="n">
        <v>830161</v>
      </c>
      <c r="B1234" s="9" t="inlineStr">
        <is>
          <t>Landon Waters</t>
        </is>
      </c>
      <c r="C1234" s="9" t="inlineStr">
        <is>
          <t>TOR</t>
        </is>
      </c>
      <c r="D1234" s="9" t="n">
        <v>25</v>
      </c>
      <c r="E1234" s="18" t="inlineStr">
        <is>
          <t>R</t>
        </is>
      </c>
      <c r="F1234" s="18" t="n"/>
      <c r="G1234" s="9" t="n">
        <v>6.88</v>
      </c>
      <c r="H1234" s="9" t="n">
        <v>6.88</v>
      </c>
      <c r="I1234" s="9" t="inlineStr">
        <is>
          <t>Depth (no MLB IP)</t>
        </is>
      </c>
      <c r="J1234" s="18" t="inlineStr">
        <is>
          <t>Opening Day</t>
        </is>
      </c>
      <c r="K1234" s="11">
        <f>IFERROR(INDEX(Roles!$B$17:$B$20,MATCH(J1234,Roles!$A$17:$A$20,0)),1)</f>
        <v/>
      </c>
      <c r="L1234" s="19" t="n">
        <v>1</v>
      </c>
      <c r="M1234" s="11" t="n">
        <v>1</v>
      </c>
      <c r="N1234" s="19" t="n"/>
      <c r="O1234" s="19" t="n"/>
      <c r="P1234" s="19" t="n"/>
      <c r="Q1234" s="19" t="n"/>
      <c r="R1234" s="19" t="n"/>
      <c r="S1234" s="19" t="n"/>
      <c r="T1234" s="19" t="n"/>
      <c r="U1234" s="19" t="n"/>
      <c r="V1234" s="19" t="n"/>
      <c r="W1234" s="19" t="n"/>
      <c r="X1234" s="19" t="n"/>
      <c r="Y1234" s="19" t="n">
        <v>1</v>
      </c>
      <c r="Z1234" s="13">
        <f>SUMPRODUCT(N1234:Y1234,$N$2:$Y$2)*$K1234*$L1234*$M1234</f>
        <v/>
      </c>
      <c r="AA1234" s="14">
        <f>SUM(N1234:Y1234)</f>
        <v/>
      </c>
      <c r="AB1234" s="13">
        <f>SUMPRODUCT(N1234:Y1234,$N$3:$Y$3)*$K1234*$L1234*$M1234</f>
        <v/>
      </c>
      <c r="AC1234" s="13">
        <f>SUMPRODUCT(N1234:Y1234,$N$4:$Y$4)*$K1234*$L1234*$M1234</f>
        <v/>
      </c>
      <c r="AD1234" s="15" t="n">
        <v>3</v>
      </c>
      <c r="AE1234" s="11" t="n">
        <v>1.011296296296296</v>
      </c>
      <c r="AF1234" s="16">
        <f>SUMPRODUCT(N1234:Y1234,$N$5:$Y$5)*$K1234*$L1234*$M1234</f>
        <v/>
      </c>
      <c r="AG1234" s="16">
        <f>SUMPRODUCT(N1234:Y1234,$N$6:$Y$6)*$K1234*$L1234*$M1234</f>
        <v/>
      </c>
      <c r="AH1234" s="20" t="n"/>
    </row>
    <row r="1235">
      <c r="A1235" s="9" t="n">
        <v>837351</v>
      </c>
      <c r="B1235" s="9" t="inlineStr">
        <is>
          <t>Mike McKenna</t>
        </is>
      </c>
      <c r="C1235" s="9" t="inlineStr">
        <is>
          <t>MIN</t>
        </is>
      </c>
      <c r="D1235" s="9" t="n">
        <v>25</v>
      </c>
      <c r="E1235" s="18" t="inlineStr">
        <is>
          <t>R</t>
        </is>
      </c>
      <c r="F1235" s="18" t="n"/>
      <c r="G1235" s="9" t="n">
        <v>6.88</v>
      </c>
      <c r="H1235" s="9" t="n">
        <v>6.88</v>
      </c>
      <c r="I1235" s="9" t="inlineStr">
        <is>
          <t>Depth (no MLB IP)</t>
        </is>
      </c>
      <c r="J1235" s="18" t="inlineStr">
        <is>
          <t>Opening Day</t>
        </is>
      </c>
      <c r="K1235" s="11">
        <f>IFERROR(INDEX(Roles!$B$17:$B$20,MATCH(J1235,Roles!$A$17:$A$20,0)),1)</f>
        <v/>
      </c>
      <c r="L1235" s="19" t="n">
        <v>1</v>
      </c>
      <c r="M1235" s="11" t="n">
        <v>1</v>
      </c>
      <c r="N1235" s="19" t="n"/>
      <c r="O1235" s="19" t="n"/>
      <c r="P1235" s="19" t="n"/>
      <c r="Q1235" s="19" t="n"/>
      <c r="R1235" s="19" t="n"/>
      <c r="S1235" s="19" t="n"/>
      <c r="T1235" s="19" t="n"/>
      <c r="U1235" s="19" t="n"/>
      <c r="V1235" s="19" t="n"/>
      <c r="W1235" s="19" t="n"/>
      <c r="X1235" s="19" t="n"/>
      <c r="Y1235" s="19" t="n">
        <v>1</v>
      </c>
      <c r="Z1235" s="13">
        <f>SUMPRODUCT(N1235:Y1235,$N$2:$Y$2)*$K1235*$L1235*$M1235</f>
        <v/>
      </c>
      <c r="AA1235" s="14">
        <f>SUM(N1235:Y1235)</f>
        <v/>
      </c>
      <c r="AB1235" s="13">
        <f>SUMPRODUCT(N1235:Y1235,$N$3:$Y$3)*$K1235*$L1235*$M1235</f>
        <v/>
      </c>
      <c r="AC1235" s="13">
        <f>SUMPRODUCT(N1235:Y1235,$N$4:$Y$4)*$K1235*$L1235*$M1235</f>
        <v/>
      </c>
      <c r="AD1235" s="15" t="n">
        <v>3</v>
      </c>
      <c r="AE1235" s="11" t="n">
        <v>1.011296296296296</v>
      </c>
      <c r="AF1235" s="16">
        <f>SUMPRODUCT(N1235:Y1235,$N$5:$Y$5)*$K1235*$L1235*$M1235</f>
        <v/>
      </c>
      <c r="AG1235" s="16">
        <f>SUMPRODUCT(N1235:Y1235,$N$6:$Y$6)*$K1235*$L1235*$M1235</f>
        <v/>
      </c>
      <c r="AH1235" s="20" t="n"/>
    </row>
    <row r="1236">
      <c r="A1236" s="9" t="n">
        <v>826150</v>
      </c>
      <c r="B1236" s="9" t="inlineStr">
        <is>
          <t>Dayne Pengelly</t>
        </is>
      </c>
      <c r="C1236" s="9" t="inlineStr">
        <is>
          <t>TOR</t>
        </is>
      </c>
      <c r="D1236" s="9" t="n">
        <v>25</v>
      </c>
      <c r="E1236" s="18" t="inlineStr">
        <is>
          <t>R</t>
        </is>
      </c>
      <c r="F1236" s="18" t="n"/>
      <c r="G1236" s="9" t="n">
        <v>7.051999999999999</v>
      </c>
      <c r="H1236" s="9" t="n">
        <v>7.051999999999999</v>
      </c>
      <c r="I1236" s="9" t="inlineStr">
        <is>
          <t>Depth (no MLB IP)</t>
        </is>
      </c>
      <c r="J1236" s="18" t="inlineStr">
        <is>
          <t>Opening Day</t>
        </is>
      </c>
      <c r="K1236" s="11">
        <f>IFERROR(INDEX(Roles!$B$17:$B$20,MATCH(J1236,Roles!$A$17:$A$20,0)),1)</f>
        <v/>
      </c>
      <c r="L1236" s="19" t="n">
        <v>1</v>
      </c>
      <c r="M1236" s="11" t="n">
        <v>1</v>
      </c>
      <c r="N1236" s="19" t="n"/>
      <c r="O1236" s="19" t="n"/>
      <c r="P1236" s="19" t="n"/>
      <c r="Q1236" s="19" t="n"/>
      <c r="R1236" s="19" t="n"/>
      <c r="S1236" s="19" t="n"/>
      <c r="T1236" s="19" t="n"/>
      <c r="U1236" s="19" t="n"/>
      <c r="V1236" s="19" t="n"/>
      <c r="W1236" s="19" t="n"/>
      <c r="X1236" s="19" t="n"/>
      <c r="Y1236" s="19" t="n">
        <v>1</v>
      </c>
      <c r="Z1236" s="13">
        <f>SUMPRODUCT(N1236:Y1236,$N$2:$Y$2)*$K1236*$L1236*$M1236</f>
        <v/>
      </c>
      <c r="AA1236" s="14">
        <f>SUM(N1236:Y1236)</f>
        <v/>
      </c>
      <c r="AB1236" s="13">
        <f>SUMPRODUCT(N1236:Y1236,$N$3:$Y$3)*$K1236*$L1236*$M1236</f>
        <v/>
      </c>
      <c r="AC1236" s="13">
        <f>SUMPRODUCT(N1236:Y1236,$N$4:$Y$4)*$K1236*$L1236*$M1236</f>
        <v/>
      </c>
      <c r="AD1236" s="15" t="n">
        <v>3</v>
      </c>
      <c r="AE1236" s="11" t="n">
        <v>1.011296296296296</v>
      </c>
      <c r="AF1236" s="16">
        <f>SUMPRODUCT(N1236:Y1236,$N$5:$Y$5)*$K1236*$L1236*$M1236</f>
        <v/>
      </c>
      <c r="AG1236" s="16">
        <f>SUMPRODUCT(N1236:Y1236,$N$6:$Y$6)*$K1236*$L1236*$M1236</f>
        <v/>
      </c>
      <c r="AH1236" s="20" t="n"/>
    </row>
    <row r="1237">
      <c r="A1237" s="9" t="n">
        <v>690967</v>
      </c>
      <c r="B1237" s="9" t="inlineStr">
        <is>
          <t>Max Carlson</t>
        </is>
      </c>
      <c r="C1237" s="9" t="inlineStr">
        <is>
          <t>BOS</t>
        </is>
      </c>
      <c r="D1237" s="9" t="n">
        <v>25</v>
      </c>
      <c r="E1237" s="18" t="inlineStr">
        <is>
          <t>R</t>
        </is>
      </c>
      <c r="F1237" s="18" t="n"/>
      <c r="G1237" s="9" t="n">
        <v>7.095</v>
      </c>
      <c r="H1237" s="9" t="n">
        <v>7.095</v>
      </c>
      <c r="I1237" s="9" t="inlineStr">
        <is>
          <t>Depth (no MLB IP)</t>
        </is>
      </c>
      <c r="J1237" s="18" t="inlineStr">
        <is>
          <t>Opening Day</t>
        </is>
      </c>
      <c r="K1237" s="11">
        <f>IFERROR(INDEX(Roles!$B$17:$B$20,MATCH(J1237,Roles!$A$17:$A$20,0)),1)</f>
        <v/>
      </c>
      <c r="L1237" s="19" t="n">
        <v>1</v>
      </c>
      <c r="M1237" s="11" t="n">
        <v>1</v>
      </c>
      <c r="N1237" s="19" t="n"/>
      <c r="O1237" s="19" t="n"/>
      <c r="P1237" s="19" t="n"/>
      <c r="Q1237" s="19" t="n"/>
      <c r="R1237" s="19" t="n"/>
      <c r="S1237" s="19" t="n"/>
      <c r="T1237" s="19" t="n"/>
      <c r="U1237" s="19" t="n"/>
      <c r="V1237" s="19" t="n"/>
      <c r="W1237" s="19" t="n"/>
      <c r="X1237" s="19" t="n"/>
      <c r="Y1237" s="19" t="n">
        <v>1</v>
      </c>
      <c r="Z1237" s="13">
        <f>SUMPRODUCT(N1237:Y1237,$N$2:$Y$2)*$K1237*$L1237*$M1237</f>
        <v/>
      </c>
      <c r="AA1237" s="14">
        <f>SUM(N1237:Y1237)</f>
        <v/>
      </c>
      <c r="AB1237" s="13">
        <f>SUMPRODUCT(N1237:Y1237,$N$3:$Y$3)*$K1237*$L1237*$M1237</f>
        <v/>
      </c>
      <c r="AC1237" s="13">
        <f>SUMPRODUCT(N1237:Y1237,$N$4:$Y$4)*$K1237*$L1237*$M1237</f>
        <v/>
      </c>
      <c r="AD1237" s="15" t="n">
        <v>3</v>
      </c>
      <c r="AE1237" s="11" t="n">
        <v>1.011296296296296</v>
      </c>
      <c r="AF1237" s="16">
        <f>SUMPRODUCT(N1237:Y1237,$N$5:$Y$5)*$K1237*$L1237*$M1237</f>
        <v/>
      </c>
      <c r="AG1237" s="16">
        <f>SUMPRODUCT(N1237:Y1237,$N$6:$Y$6)*$K1237*$L1237*$M1237</f>
        <v/>
      </c>
      <c r="AH1237" s="20" t="n"/>
    </row>
    <row r="1238">
      <c r="A1238" s="9" t="n">
        <v>690053</v>
      </c>
      <c r="B1238" s="9" t="inlineStr">
        <is>
          <t>Chris Sargent</t>
        </is>
      </c>
      <c r="C1238" s="9" t="inlineStr">
        <is>
          <t>SD</t>
        </is>
      </c>
      <c r="D1238" s="9" t="n">
        <v>25</v>
      </c>
      <c r="E1238" s="18" t="inlineStr">
        <is>
          <t>R</t>
        </is>
      </c>
      <c r="F1238" s="18" t="n"/>
      <c r="G1238" s="9" t="n">
        <v>7.023333333333333</v>
      </c>
      <c r="H1238" s="9" t="n">
        <v>7.023333333333333</v>
      </c>
      <c r="I1238" s="9" t="inlineStr">
        <is>
          <t>Depth (no MLB IP)</t>
        </is>
      </c>
      <c r="J1238" s="18" t="inlineStr">
        <is>
          <t>Opening Day</t>
        </is>
      </c>
      <c r="K1238" s="11">
        <f>IFERROR(INDEX(Roles!$B$17:$B$20,MATCH(J1238,Roles!$A$17:$A$20,0)),1)</f>
        <v/>
      </c>
      <c r="L1238" s="19" t="n">
        <v>1</v>
      </c>
      <c r="M1238" s="11" t="n">
        <v>1</v>
      </c>
      <c r="N1238" s="19" t="n"/>
      <c r="O1238" s="19" t="n"/>
      <c r="P1238" s="19" t="n"/>
      <c r="Q1238" s="19" t="n"/>
      <c r="R1238" s="19" t="n"/>
      <c r="S1238" s="19" t="n"/>
      <c r="T1238" s="19" t="n"/>
      <c r="U1238" s="19" t="n"/>
      <c r="V1238" s="19" t="n"/>
      <c r="W1238" s="19" t="n"/>
      <c r="X1238" s="19" t="n"/>
      <c r="Y1238" s="19" t="n">
        <v>1</v>
      </c>
      <c r="Z1238" s="13">
        <f>SUMPRODUCT(N1238:Y1238,$N$2:$Y$2)*$K1238*$L1238*$M1238</f>
        <v/>
      </c>
      <c r="AA1238" s="14">
        <f>SUM(N1238:Y1238)</f>
        <v/>
      </c>
      <c r="AB1238" s="13">
        <f>SUMPRODUCT(N1238:Y1238,$N$3:$Y$3)*$K1238*$L1238*$M1238</f>
        <v/>
      </c>
      <c r="AC1238" s="13">
        <f>SUMPRODUCT(N1238:Y1238,$N$4:$Y$4)*$K1238*$L1238*$M1238</f>
        <v/>
      </c>
      <c r="AD1238" s="15" t="n">
        <v>3</v>
      </c>
      <c r="AE1238" s="11" t="n">
        <v>1.011296296296296</v>
      </c>
      <c r="AF1238" s="16">
        <f>SUMPRODUCT(N1238:Y1238,$N$5:$Y$5)*$K1238*$L1238*$M1238</f>
        <v/>
      </c>
      <c r="AG1238" s="16">
        <f>SUMPRODUCT(N1238:Y1238,$N$6:$Y$6)*$K1238*$L1238*$M1238</f>
        <v/>
      </c>
      <c r="AH1238" s="20" t="n"/>
    </row>
    <row r="1239">
      <c r="A1239" s="9" t="n">
        <v>806708</v>
      </c>
      <c r="B1239" s="9" t="inlineStr">
        <is>
          <t>Jordi Infante</t>
        </is>
      </c>
      <c r="C1239" s="9" t="inlineStr">
        <is>
          <t>TB</t>
        </is>
      </c>
      <c r="D1239" s="9" t="n">
        <v>25</v>
      </c>
      <c r="E1239" s="18" t="inlineStr">
        <is>
          <t>R</t>
        </is>
      </c>
      <c r="F1239" s="18" t="n"/>
      <c r="G1239" s="9" t="n">
        <v>7.051999999999999</v>
      </c>
      <c r="H1239" s="9" t="n">
        <v>7.051999999999999</v>
      </c>
      <c r="I1239" s="9" t="inlineStr">
        <is>
          <t>Depth (no MLB IP)</t>
        </is>
      </c>
      <c r="J1239" s="18" t="inlineStr">
        <is>
          <t>Opening Day</t>
        </is>
      </c>
      <c r="K1239" s="11">
        <f>IFERROR(INDEX(Roles!$B$17:$B$20,MATCH(J1239,Roles!$A$17:$A$20,0)),1)</f>
        <v/>
      </c>
      <c r="L1239" s="19" t="n">
        <v>1</v>
      </c>
      <c r="M1239" s="11" t="n">
        <v>1</v>
      </c>
      <c r="N1239" s="19" t="n"/>
      <c r="O1239" s="19" t="n"/>
      <c r="P1239" s="19" t="n"/>
      <c r="Q1239" s="19" t="n"/>
      <c r="R1239" s="19" t="n"/>
      <c r="S1239" s="19" t="n"/>
      <c r="T1239" s="19" t="n"/>
      <c r="U1239" s="19" t="n"/>
      <c r="V1239" s="19" t="n"/>
      <c r="W1239" s="19" t="n"/>
      <c r="X1239" s="19" t="n"/>
      <c r="Y1239" s="19" t="n">
        <v>1</v>
      </c>
      <c r="Z1239" s="13">
        <f>SUMPRODUCT(N1239:Y1239,$N$2:$Y$2)*$K1239*$L1239*$M1239</f>
        <v/>
      </c>
      <c r="AA1239" s="14">
        <f>SUM(N1239:Y1239)</f>
        <v/>
      </c>
      <c r="AB1239" s="13">
        <f>SUMPRODUCT(N1239:Y1239,$N$3:$Y$3)*$K1239*$L1239*$M1239</f>
        <v/>
      </c>
      <c r="AC1239" s="13">
        <f>SUMPRODUCT(N1239:Y1239,$N$4:$Y$4)*$K1239*$L1239*$M1239</f>
        <v/>
      </c>
      <c r="AD1239" s="15" t="n">
        <v>3</v>
      </c>
      <c r="AE1239" s="11" t="n">
        <v>1.011296296296296</v>
      </c>
      <c r="AF1239" s="16">
        <f>SUMPRODUCT(N1239:Y1239,$N$5:$Y$5)*$K1239*$L1239*$M1239</f>
        <v/>
      </c>
      <c r="AG1239" s="16">
        <f>SUMPRODUCT(N1239:Y1239,$N$6:$Y$6)*$K1239*$L1239*$M1239</f>
        <v/>
      </c>
      <c r="AH1239" s="20" t="n"/>
    </row>
    <row r="1240">
      <c r="A1240" s="9" t="n">
        <v>839419</v>
      </c>
      <c r="B1240" s="9" t="inlineStr">
        <is>
          <t>Dallis Moran</t>
        </is>
      </c>
      <c r="C1240" s="9" t="inlineStr">
        <is>
          <t>STL</t>
        </is>
      </c>
      <c r="D1240" s="9" t="n">
        <v>25</v>
      </c>
      <c r="E1240" s="18" t="inlineStr">
        <is>
          <t>R</t>
        </is>
      </c>
      <c r="F1240" s="18" t="n"/>
      <c r="G1240" s="9" t="n">
        <v>7.051999999999999</v>
      </c>
      <c r="H1240" s="9" t="n">
        <v>7.051999999999999</v>
      </c>
      <c r="I1240" s="9" t="inlineStr">
        <is>
          <t>Depth (no MLB IP)</t>
        </is>
      </c>
      <c r="J1240" s="18" t="inlineStr">
        <is>
          <t>Opening Day</t>
        </is>
      </c>
      <c r="K1240" s="11">
        <f>IFERROR(INDEX(Roles!$B$17:$B$20,MATCH(J1240,Roles!$A$17:$A$20,0)),1)</f>
        <v/>
      </c>
      <c r="L1240" s="19" t="n">
        <v>1</v>
      </c>
      <c r="M1240" s="11" t="n">
        <v>1</v>
      </c>
      <c r="N1240" s="19" t="n"/>
      <c r="O1240" s="19" t="n"/>
      <c r="P1240" s="19" t="n"/>
      <c r="Q1240" s="19" t="n"/>
      <c r="R1240" s="19" t="n"/>
      <c r="S1240" s="19" t="n"/>
      <c r="T1240" s="19" t="n"/>
      <c r="U1240" s="19" t="n"/>
      <c r="V1240" s="19" t="n"/>
      <c r="W1240" s="19" t="n"/>
      <c r="X1240" s="19" t="n"/>
      <c r="Y1240" s="19" t="n">
        <v>1</v>
      </c>
      <c r="Z1240" s="13">
        <f>SUMPRODUCT(N1240:Y1240,$N$2:$Y$2)*$K1240*$L1240*$M1240</f>
        <v/>
      </c>
      <c r="AA1240" s="14">
        <f>SUM(N1240:Y1240)</f>
        <v/>
      </c>
      <c r="AB1240" s="13">
        <f>SUMPRODUCT(N1240:Y1240,$N$3:$Y$3)*$K1240*$L1240*$M1240</f>
        <v/>
      </c>
      <c r="AC1240" s="13">
        <f>SUMPRODUCT(N1240:Y1240,$N$4:$Y$4)*$K1240*$L1240*$M1240</f>
        <v/>
      </c>
      <c r="AD1240" s="15" t="n">
        <v>3</v>
      </c>
      <c r="AE1240" s="11" t="n">
        <v>1.011296296296296</v>
      </c>
      <c r="AF1240" s="16">
        <f>SUMPRODUCT(N1240:Y1240,$N$5:$Y$5)*$K1240*$L1240*$M1240</f>
        <v/>
      </c>
      <c r="AG1240" s="16">
        <f>SUMPRODUCT(N1240:Y1240,$N$6:$Y$6)*$K1240*$L1240*$M1240</f>
        <v/>
      </c>
      <c r="AH1240" s="20" t="n"/>
    </row>
    <row r="1241">
      <c r="A1241" s="9" t="n">
        <v>801563</v>
      </c>
      <c r="B1241" s="9" t="inlineStr">
        <is>
          <t>Austin Smith</t>
        </is>
      </c>
      <c r="C1241" s="9" t="inlineStr">
        <is>
          <t>TOR</t>
        </is>
      </c>
      <c r="D1241" s="9" t="n">
        <v>25</v>
      </c>
      <c r="E1241" s="18" t="inlineStr">
        <is>
          <t>L</t>
        </is>
      </c>
      <c r="F1241" s="18" t="n"/>
      <c r="G1241" s="9" t="n">
        <v>6.88</v>
      </c>
      <c r="H1241" s="9" t="n">
        <v>6.88</v>
      </c>
      <c r="I1241" s="9" t="inlineStr">
        <is>
          <t>Depth (no MLB IP)</t>
        </is>
      </c>
      <c r="J1241" s="18" t="inlineStr">
        <is>
          <t>Opening Day</t>
        </is>
      </c>
      <c r="K1241" s="11">
        <f>IFERROR(INDEX(Roles!$B$17:$B$20,MATCH(J1241,Roles!$A$17:$A$20,0)),1)</f>
        <v/>
      </c>
      <c r="L1241" s="19" t="n">
        <v>1</v>
      </c>
      <c r="M1241" s="11" t="n">
        <v>1</v>
      </c>
      <c r="N1241" s="19" t="n"/>
      <c r="O1241" s="19" t="n"/>
      <c r="P1241" s="19" t="n"/>
      <c r="Q1241" s="19" t="n"/>
      <c r="R1241" s="19" t="n"/>
      <c r="S1241" s="19" t="n"/>
      <c r="T1241" s="19" t="n"/>
      <c r="U1241" s="19" t="n"/>
      <c r="V1241" s="19" t="n"/>
      <c r="W1241" s="19" t="n"/>
      <c r="X1241" s="19" t="n"/>
      <c r="Y1241" s="19" t="n">
        <v>1</v>
      </c>
      <c r="Z1241" s="13">
        <f>SUMPRODUCT(N1241:Y1241,$N$2:$Y$2)*$K1241*$L1241*$M1241</f>
        <v/>
      </c>
      <c r="AA1241" s="14">
        <f>SUM(N1241:Y1241)</f>
        <v/>
      </c>
      <c r="AB1241" s="13">
        <f>SUMPRODUCT(N1241:Y1241,$N$3:$Y$3)*$K1241*$L1241*$M1241</f>
        <v/>
      </c>
      <c r="AC1241" s="13">
        <f>SUMPRODUCT(N1241:Y1241,$N$4:$Y$4)*$K1241*$L1241*$M1241</f>
        <v/>
      </c>
      <c r="AD1241" s="15" t="n">
        <v>3</v>
      </c>
      <c r="AE1241" s="11" t="n">
        <v>1.011296296296296</v>
      </c>
      <c r="AF1241" s="16">
        <f>SUMPRODUCT(N1241:Y1241,$N$5:$Y$5)*$K1241*$L1241*$M1241</f>
        <v/>
      </c>
      <c r="AG1241" s="16">
        <f>SUMPRODUCT(N1241:Y1241,$N$6:$Y$6)*$K1241*$L1241*$M1241</f>
        <v/>
      </c>
      <c r="AH1241" s="20" t="n"/>
    </row>
    <row r="1242">
      <c r="A1242" s="9" t="n">
        <v>837547</v>
      </c>
      <c r="B1242" s="9" t="inlineStr">
        <is>
          <t>Charlie West</t>
        </is>
      </c>
      <c r="C1242" s="9" t="inlineStr">
        <is>
          <t>LAD</t>
        </is>
      </c>
      <c r="D1242" s="9" t="n">
        <v>25</v>
      </c>
      <c r="E1242" s="18" t="inlineStr">
        <is>
          <t>L</t>
        </is>
      </c>
      <c r="F1242" s="18" t="n"/>
      <c r="G1242" s="9" t="n">
        <v>6.88</v>
      </c>
      <c r="H1242" s="9" t="n">
        <v>6.88</v>
      </c>
      <c r="I1242" s="9" t="inlineStr">
        <is>
          <t>Depth (no MLB IP)</t>
        </is>
      </c>
      <c r="J1242" s="18" t="inlineStr">
        <is>
          <t>Opening Day</t>
        </is>
      </c>
      <c r="K1242" s="11">
        <f>IFERROR(INDEX(Roles!$B$17:$B$20,MATCH(J1242,Roles!$A$17:$A$20,0)),1)</f>
        <v/>
      </c>
      <c r="L1242" s="19" t="n">
        <v>1</v>
      </c>
      <c r="M1242" s="11" t="n">
        <v>1</v>
      </c>
      <c r="N1242" s="19" t="n"/>
      <c r="O1242" s="19" t="n"/>
      <c r="P1242" s="19" t="n"/>
      <c r="Q1242" s="19" t="n"/>
      <c r="R1242" s="19" t="n"/>
      <c r="S1242" s="19" t="n"/>
      <c r="T1242" s="19" t="n"/>
      <c r="U1242" s="19" t="n"/>
      <c r="V1242" s="19" t="n"/>
      <c r="W1242" s="19" t="n"/>
      <c r="X1242" s="19" t="n"/>
      <c r="Y1242" s="19" t="n">
        <v>1</v>
      </c>
      <c r="Z1242" s="13">
        <f>SUMPRODUCT(N1242:Y1242,$N$2:$Y$2)*$K1242*$L1242*$M1242</f>
        <v/>
      </c>
      <c r="AA1242" s="14">
        <f>SUM(N1242:Y1242)</f>
        <v/>
      </c>
      <c r="AB1242" s="13">
        <f>SUMPRODUCT(N1242:Y1242,$N$3:$Y$3)*$K1242*$L1242*$M1242</f>
        <v/>
      </c>
      <c r="AC1242" s="13">
        <f>SUMPRODUCT(N1242:Y1242,$N$4:$Y$4)*$K1242*$L1242*$M1242</f>
        <v/>
      </c>
      <c r="AD1242" s="15" t="n">
        <v>3</v>
      </c>
      <c r="AE1242" s="11" t="n">
        <v>1.011296296296296</v>
      </c>
      <c r="AF1242" s="16">
        <f>SUMPRODUCT(N1242:Y1242,$N$5:$Y$5)*$K1242*$L1242*$M1242</f>
        <v/>
      </c>
      <c r="AG1242" s="16">
        <f>SUMPRODUCT(N1242:Y1242,$N$6:$Y$6)*$K1242*$L1242*$M1242</f>
        <v/>
      </c>
      <c r="AH1242" s="20" t="n"/>
    </row>
    <row r="1243">
      <c r="A1243" s="9" t="n">
        <v>701791</v>
      </c>
      <c r="B1243" s="9" t="inlineStr">
        <is>
          <t>Caden Vire</t>
        </is>
      </c>
      <c r="C1243" s="9" t="inlineStr">
        <is>
          <t>BOS</t>
        </is>
      </c>
      <c r="D1243" s="9" t="n">
        <v>25</v>
      </c>
      <c r="E1243" s="18" t="inlineStr">
        <is>
          <t>L</t>
        </is>
      </c>
      <c r="F1243" s="18" t="n"/>
      <c r="G1243" s="9" t="n">
        <v>7.051999999999999</v>
      </c>
      <c r="H1243" s="9" t="n">
        <v>7.051999999999999</v>
      </c>
      <c r="I1243" s="9" t="inlineStr">
        <is>
          <t>Depth (no MLB IP)</t>
        </is>
      </c>
      <c r="J1243" s="18" t="inlineStr">
        <is>
          <t>Opening Day</t>
        </is>
      </c>
      <c r="K1243" s="11">
        <f>IFERROR(INDEX(Roles!$B$17:$B$20,MATCH(J1243,Roles!$A$17:$A$20,0)),1)</f>
        <v/>
      </c>
      <c r="L1243" s="19" t="n">
        <v>1</v>
      </c>
      <c r="M1243" s="11" t="n">
        <v>1</v>
      </c>
      <c r="N1243" s="19" t="n"/>
      <c r="O1243" s="19" t="n"/>
      <c r="P1243" s="19" t="n"/>
      <c r="Q1243" s="19" t="n"/>
      <c r="R1243" s="19" t="n"/>
      <c r="S1243" s="19" t="n"/>
      <c r="T1243" s="19" t="n"/>
      <c r="U1243" s="19" t="n"/>
      <c r="V1243" s="19" t="n"/>
      <c r="W1243" s="19" t="n"/>
      <c r="X1243" s="19" t="n"/>
      <c r="Y1243" s="19" t="n">
        <v>1</v>
      </c>
      <c r="Z1243" s="13">
        <f>SUMPRODUCT(N1243:Y1243,$N$2:$Y$2)*$K1243*$L1243*$M1243</f>
        <v/>
      </c>
      <c r="AA1243" s="14">
        <f>SUM(N1243:Y1243)</f>
        <v/>
      </c>
      <c r="AB1243" s="13">
        <f>SUMPRODUCT(N1243:Y1243,$N$3:$Y$3)*$K1243*$L1243*$M1243</f>
        <v/>
      </c>
      <c r="AC1243" s="13">
        <f>SUMPRODUCT(N1243:Y1243,$N$4:$Y$4)*$K1243*$L1243*$M1243</f>
        <v/>
      </c>
      <c r="AD1243" s="15" t="n">
        <v>3</v>
      </c>
      <c r="AE1243" s="11" t="n">
        <v>1.011296296296296</v>
      </c>
      <c r="AF1243" s="16">
        <f>SUMPRODUCT(N1243:Y1243,$N$5:$Y$5)*$K1243*$L1243*$M1243</f>
        <v/>
      </c>
      <c r="AG1243" s="16">
        <f>SUMPRODUCT(N1243:Y1243,$N$6:$Y$6)*$K1243*$L1243*$M1243</f>
        <v/>
      </c>
      <c r="AH1243" s="20" t="n"/>
    </row>
    <row r="1244">
      <c r="A1244" s="9" t="n">
        <v>697813</v>
      </c>
      <c r="B1244" s="9" t="inlineStr">
        <is>
          <t>T.J. Brock</t>
        </is>
      </c>
      <c r="C1244" s="9" t="inlineStr">
        <is>
          <t>TOR</t>
        </is>
      </c>
      <c r="D1244" s="9" t="n">
        <v>25</v>
      </c>
      <c r="E1244" s="18" t="inlineStr">
        <is>
          <t>R</t>
        </is>
      </c>
      <c r="F1244" s="18" t="n"/>
      <c r="G1244" s="9" t="n">
        <v>7.023333333333333</v>
      </c>
      <c r="H1244" s="9" t="n">
        <v>7.023333333333333</v>
      </c>
      <c r="I1244" s="9" t="inlineStr">
        <is>
          <t>Depth (no MLB IP)</t>
        </is>
      </c>
      <c r="J1244" s="18" t="inlineStr">
        <is>
          <t>Opening Day</t>
        </is>
      </c>
      <c r="K1244" s="11">
        <f>IFERROR(INDEX(Roles!$B$17:$B$20,MATCH(J1244,Roles!$A$17:$A$20,0)),1)</f>
        <v/>
      </c>
      <c r="L1244" s="19" t="n">
        <v>1</v>
      </c>
      <c r="M1244" s="11" t="n">
        <v>1</v>
      </c>
      <c r="N1244" s="19" t="n"/>
      <c r="O1244" s="19" t="n"/>
      <c r="P1244" s="19" t="n"/>
      <c r="Q1244" s="19" t="n"/>
      <c r="R1244" s="19" t="n"/>
      <c r="S1244" s="19" t="n"/>
      <c r="T1244" s="19" t="n"/>
      <c r="U1244" s="19" t="n"/>
      <c r="V1244" s="19" t="n"/>
      <c r="W1244" s="19" t="n"/>
      <c r="X1244" s="19" t="n"/>
      <c r="Y1244" s="19" t="n">
        <v>1</v>
      </c>
      <c r="Z1244" s="13">
        <f>SUMPRODUCT(N1244:Y1244,$N$2:$Y$2)*$K1244*$L1244*$M1244</f>
        <v/>
      </c>
      <c r="AA1244" s="14">
        <f>SUM(N1244:Y1244)</f>
        <v/>
      </c>
      <c r="AB1244" s="13">
        <f>SUMPRODUCT(N1244:Y1244,$N$3:$Y$3)*$K1244*$L1244*$M1244</f>
        <v/>
      </c>
      <c r="AC1244" s="13">
        <f>SUMPRODUCT(N1244:Y1244,$N$4:$Y$4)*$K1244*$L1244*$M1244</f>
        <v/>
      </c>
      <c r="AD1244" s="15" t="n">
        <v>3</v>
      </c>
      <c r="AE1244" s="11" t="n">
        <v>1.011296296296296</v>
      </c>
      <c r="AF1244" s="16">
        <f>SUMPRODUCT(N1244:Y1244,$N$5:$Y$5)*$K1244*$L1244*$M1244</f>
        <v/>
      </c>
      <c r="AG1244" s="16">
        <f>SUMPRODUCT(N1244:Y1244,$N$6:$Y$6)*$K1244*$L1244*$M1244</f>
        <v/>
      </c>
      <c r="AH1244" s="20" t="n"/>
    </row>
    <row r="1245">
      <c r="A1245" s="9" t="n">
        <v>815047</v>
      </c>
      <c r="B1245" s="9" t="inlineStr">
        <is>
          <t>Hunter Kublick</t>
        </is>
      </c>
      <c r="C1245" s="9" t="inlineStr">
        <is>
          <t>STL</t>
        </is>
      </c>
      <c r="D1245" s="9" t="n">
        <v>25</v>
      </c>
      <c r="E1245" s="18" t="inlineStr">
        <is>
          <t>R</t>
        </is>
      </c>
      <c r="F1245" s="18" t="n"/>
      <c r="G1245" s="9" t="n">
        <v>7.051999999999999</v>
      </c>
      <c r="H1245" s="9" t="n">
        <v>7.051999999999999</v>
      </c>
      <c r="I1245" s="9" t="inlineStr">
        <is>
          <t>Depth (no MLB IP)</t>
        </is>
      </c>
      <c r="J1245" s="18" t="inlineStr">
        <is>
          <t>Opening Day</t>
        </is>
      </c>
      <c r="K1245" s="11">
        <f>IFERROR(INDEX(Roles!$B$17:$B$20,MATCH(J1245,Roles!$A$17:$A$20,0)),1)</f>
        <v/>
      </c>
      <c r="L1245" s="19" t="n">
        <v>1</v>
      </c>
      <c r="M1245" s="11" t="n">
        <v>1</v>
      </c>
      <c r="N1245" s="19" t="n"/>
      <c r="O1245" s="19" t="n"/>
      <c r="P1245" s="19" t="n"/>
      <c r="Q1245" s="19" t="n"/>
      <c r="R1245" s="19" t="n"/>
      <c r="S1245" s="19" t="n"/>
      <c r="T1245" s="19" t="n"/>
      <c r="U1245" s="19" t="n"/>
      <c r="V1245" s="19" t="n"/>
      <c r="W1245" s="19" t="n"/>
      <c r="X1245" s="19" t="n"/>
      <c r="Y1245" s="19" t="n">
        <v>1</v>
      </c>
      <c r="Z1245" s="13">
        <f>SUMPRODUCT(N1245:Y1245,$N$2:$Y$2)*$K1245*$L1245*$M1245</f>
        <v/>
      </c>
      <c r="AA1245" s="14">
        <f>SUM(N1245:Y1245)</f>
        <v/>
      </c>
      <c r="AB1245" s="13">
        <f>SUMPRODUCT(N1245:Y1245,$N$3:$Y$3)*$K1245*$L1245*$M1245</f>
        <v/>
      </c>
      <c r="AC1245" s="13">
        <f>SUMPRODUCT(N1245:Y1245,$N$4:$Y$4)*$K1245*$L1245*$M1245</f>
        <v/>
      </c>
      <c r="AD1245" s="15" t="n">
        <v>3</v>
      </c>
      <c r="AE1245" s="11" t="n">
        <v>1.011296296296296</v>
      </c>
      <c r="AF1245" s="16">
        <f>SUMPRODUCT(N1245:Y1245,$N$5:$Y$5)*$K1245*$L1245*$M1245</f>
        <v/>
      </c>
      <c r="AG1245" s="16">
        <f>SUMPRODUCT(N1245:Y1245,$N$6:$Y$6)*$K1245*$L1245*$M1245</f>
        <v/>
      </c>
      <c r="AH1245" s="20" t="n"/>
    </row>
    <row r="1246">
      <c r="A1246" s="9" t="n">
        <v>806239</v>
      </c>
      <c r="B1246" s="9" t="inlineStr">
        <is>
          <t>Jesus Colina</t>
        </is>
      </c>
      <c r="C1246" s="9" t="inlineStr">
        <is>
          <t>CIN</t>
        </is>
      </c>
      <c r="D1246" s="9" t="n">
        <v>25</v>
      </c>
      <c r="E1246" s="18" t="inlineStr">
        <is>
          <t>R</t>
        </is>
      </c>
      <c r="F1246" s="18" t="n"/>
      <c r="G1246" s="9" t="n">
        <v>6.88</v>
      </c>
      <c r="H1246" s="9" t="n">
        <v>6.88</v>
      </c>
      <c r="I1246" s="9" t="inlineStr">
        <is>
          <t>Depth (no MLB IP)</t>
        </is>
      </c>
      <c r="J1246" s="18" t="inlineStr">
        <is>
          <t>Opening Day</t>
        </is>
      </c>
      <c r="K1246" s="11">
        <f>IFERROR(INDEX(Roles!$B$17:$B$20,MATCH(J1246,Roles!$A$17:$A$20,0)),1)</f>
        <v/>
      </c>
      <c r="L1246" s="19" t="n">
        <v>1</v>
      </c>
      <c r="M1246" s="11" t="n">
        <v>1</v>
      </c>
      <c r="N1246" s="19" t="n"/>
      <c r="O1246" s="19" t="n"/>
      <c r="P1246" s="19" t="n"/>
      <c r="Q1246" s="19" t="n"/>
      <c r="R1246" s="19" t="n"/>
      <c r="S1246" s="19" t="n"/>
      <c r="T1246" s="19" t="n"/>
      <c r="U1246" s="19" t="n"/>
      <c r="V1246" s="19" t="n"/>
      <c r="W1246" s="19" t="n"/>
      <c r="X1246" s="19" t="n"/>
      <c r="Y1246" s="19" t="n">
        <v>1</v>
      </c>
      <c r="Z1246" s="13">
        <f>SUMPRODUCT(N1246:Y1246,$N$2:$Y$2)*$K1246*$L1246*$M1246</f>
        <v/>
      </c>
      <c r="AA1246" s="14">
        <f>SUM(N1246:Y1246)</f>
        <v/>
      </c>
      <c r="AB1246" s="13">
        <f>SUMPRODUCT(N1246:Y1246,$N$3:$Y$3)*$K1246*$L1246*$M1246</f>
        <v/>
      </c>
      <c r="AC1246" s="13">
        <f>SUMPRODUCT(N1246:Y1246,$N$4:$Y$4)*$K1246*$L1246*$M1246</f>
        <v/>
      </c>
      <c r="AD1246" s="15" t="n">
        <v>3</v>
      </c>
      <c r="AE1246" s="11" t="n">
        <v>1.011296296296296</v>
      </c>
      <c r="AF1246" s="16">
        <f>SUMPRODUCT(N1246:Y1246,$N$5:$Y$5)*$K1246*$L1246*$M1246</f>
        <v/>
      </c>
      <c r="AG1246" s="16">
        <f>SUMPRODUCT(N1246:Y1246,$N$6:$Y$6)*$K1246*$L1246*$M1246</f>
        <v/>
      </c>
      <c r="AH1246" s="20" t="n"/>
    </row>
    <row r="1247">
      <c r="A1247" s="9" t="n">
        <v>802509</v>
      </c>
      <c r="B1247" s="9" t="inlineStr">
        <is>
          <t>Jack Pineau</t>
        </is>
      </c>
      <c r="C1247" s="9" t="inlineStr">
        <is>
          <t>SD</t>
        </is>
      </c>
      <c r="D1247" s="9" t="n">
        <v>25</v>
      </c>
      <c r="E1247" s="18" t="inlineStr">
        <is>
          <t>R</t>
        </is>
      </c>
      <c r="F1247" s="18" t="n"/>
      <c r="G1247" s="9" t="n">
        <v>6.88</v>
      </c>
      <c r="H1247" s="9" t="n">
        <v>6.88</v>
      </c>
      <c r="I1247" s="9" t="inlineStr">
        <is>
          <t>Depth (no MLB IP)</t>
        </is>
      </c>
      <c r="J1247" s="18" t="inlineStr">
        <is>
          <t>Opening Day</t>
        </is>
      </c>
      <c r="K1247" s="11">
        <f>IFERROR(INDEX(Roles!$B$17:$B$20,MATCH(J1247,Roles!$A$17:$A$20,0)),1)</f>
        <v/>
      </c>
      <c r="L1247" s="19" t="n">
        <v>1</v>
      </c>
      <c r="M1247" s="11" t="n">
        <v>1</v>
      </c>
      <c r="N1247" s="19" t="n"/>
      <c r="O1247" s="19" t="n"/>
      <c r="P1247" s="19" t="n"/>
      <c r="Q1247" s="19" t="n"/>
      <c r="R1247" s="19" t="n"/>
      <c r="S1247" s="19" t="n"/>
      <c r="T1247" s="19" t="n"/>
      <c r="U1247" s="19" t="n"/>
      <c r="V1247" s="19" t="n"/>
      <c r="W1247" s="19" t="n"/>
      <c r="X1247" s="19" t="n"/>
      <c r="Y1247" s="19" t="n">
        <v>1</v>
      </c>
      <c r="Z1247" s="13">
        <f>SUMPRODUCT(N1247:Y1247,$N$2:$Y$2)*$K1247*$L1247*$M1247</f>
        <v/>
      </c>
      <c r="AA1247" s="14">
        <f>SUM(N1247:Y1247)</f>
        <v/>
      </c>
      <c r="AB1247" s="13">
        <f>SUMPRODUCT(N1247:Y1247,$N$3:$Y$3)*$K1247*$L1247*$M1247</f>
        <v/>
      </c>
      <c r="AC1247" s="13">
        <f>SUMPRODUCT(N1247:Y1247,$N$4:$Y$4)*$K1247*$L1247*$M1247</f>
        <v/>
      </c>
      <c r="AD1247" s="15" t="n">
        <v>3</v>
      </c>
      <c r="AE1247" s="11" t="n">
        <v>1.011296296296296</v>
      </c>
      <c r="AF1247" s="16">
        <f>SUMPRODUCT(N1247:Y1247,$N$5:$Y$5)*$K1247*$L1247*$M1247</f>
        <v/>
      </c>
      <c r="AG1247" s="16">
        <f>SUMPRODUCT(N1247:Y1247,$N$6:$Y$6)*$K1247*$L1247*$M1247</f>
        <v/>
      </c>
      <c r="AH1247" s="20" t="n"/>
    </row>
    <row r="1248">
      <c r="A1248" s="9" t="n">
        <v>703193</v>
      </c>
      <c r="B1248" s="9" t="inlineStr">
        <is>
          <t>Accimias Morales</t>
        </is>
      </c>
      <c r="C1248" s="9" t="inlineStr">
        <is>
          <t>LAD</t>
        </is>
      </c>
      <c r="D1248" s="9" t="n">
        <v>25</v>
      </c>
      <c r="E1248" s="18" t="inlineStr">
        <is>
          <t>R</t>
        </is>
      </c>
      <c r="F1248" s="18" t="n"/>
      <c r="G1248" s="9" t="n">
        <v>6.88</v>
      </c>
      <c r="H1248" s="9" t="n">
        <v>6.88</v>
      </c>
      <c r="I1248" s="9" t="inlineStr">
        <is>
          <t>Depth (no MLB IP)</t>
        </is>
      </c>
      <c r="J1248" s="18" t="inlineStr">
        <is>
          <t>Opening Day</t>
        </is>
      </c>
      <c r="K1248" s="11">
        <f>IFERROR(INDEX(Roles!$B$17:$B$20,MATCH(J1248,Roles!$A$17:$A$20,0)),1)</f>
        <v/>
      </c>
      <c r="L1248" s="19" t="n">
        <v>1</v>
      </c>
      <c r="M1248" s="11" t="n">
        <v>1</v>
      </c>
      <c r="N1248" s="19" t="n"/>
      <c r="O1248" s="19" t="n"/>
      <c r="P1248" s="19" t="n"/>
      <c r="Q1248" s="19" t="n"/>
      <c r="R1248" s="19" t="n"/>
      <c r="S1248" s="19" t="n"/>
      <c r="T1248" s="19" t="n"/>
      <c r="U1248" s="19" t="n"/>
      <c r="V1248" s="19" t="n"/>
      <c r="W1248" s="19" t="n"/>
      <c r="X1248" s="19" t="n"/>
      <c r="Y1248" s="19" t="n">
        <v>1</v>
      </c>
      <c r="Z1248" s="13">
        <f>SUMPRODUCT(N1248:Y1248,$N$2:$Y$2)*$K1248*$L1248*$M1248</f>
        <v/>
      </c>
      <c r="AA1248" s="14">
        <f>SUM(N1248:Y1248)</f>
        <v/>
      </c>
      <c r="AB1248" s="13">
        <f>SUMPRODUCT(N1248:Y1248,$N$3:$Y$3)*$K1248*$L1248*$M1248</f>
        <v/>
      </c>
      <c r="AC1248" s="13">
        <f>SUMPRODUCT(N1248:Y1248,$N$4:$Y$4)*$K1248*$L1248*$M1248</f>
        <v/>
      </c>
      <c r="AD1248" s="15" t="n">
        <v>3</v>
      </c>
      <c r="AE1248" s="11" t="n">
        <v>1.011296296296296</v>
      </c>
      <c r="AF1248" s="16">
        <f>SUMPRODUCT(N1248:Y1248,$N$5:$Y$5)*$K1248*$L1248*$M1248</f>
        <v/>
      </c>
      <c r="AG1248" s="16">
        <f>SUMPRODUCT(N1248:Y1248,$N$6:$Y$6)*$K1248*$L1248*$M1248</f>
        <v/>
      </c>
      <c r="AH1248" s="20" t="n"/>
    </row>
    <row r="1249">
      <c r="A1249" s="9" t="n">
        <v>695406</v>
      </c>
      <c r="B1249" s="9" t="inlineStr">
        <is>
          <t>Case Williams</t>
        </is>
      </c>
      <c r="C1249" s="9" t="inlineStr">
        <is>
          <t>COL</t>
        </is>
      </c>
      <c r="D1249" s="9" t="n">
        <v>25</v>
      </c>
      <c r="E1249" s="18" t="inlineStr">
        <is>
          <t>R</t>
        </is>
      </c>
      <c r="F1249" s="18" t="n"/>
      <c r="G1249" s="9" t="n">
        <v>7.095</v>
      </c>
      <c r="H1249" s="9" t="n">
        <v>7.095</v>
      </c>
      <c r="I1249" s="9" t="inlineStr">
        <is>
          <t>Depth (no MLB IP)</t>
        </is>
      </c>
      <c r="J1249" s="18" t="inlineStr">
        <is>
          <t>Opening Day</t>
        </is>
      </c>
      <c r="K1249" s="11">
        <f>IFERROR(INDEX(Roles!$B$17:$B$20,MATCH(J1249,Roles!$A$17:$A$20,0)),1)</f>
        <v/>
      </c>
      <c r="L1249" s="19" t="n">
        <v>1</v>
      </c>
      <c r="M1249" s="11" t="n">
        <v>1</v>
      </c>
      <c r="N1249" s="19" t="n"/>
      <c r="O1249" s="19" t="n"/>
      <c r="P1249" s="19" t="n"/>
      <c r="Q1249" s="19" t="n"/>
      <c r="R1249" s="19" t="n"/>
      <c r="S1249" s="19" t="n"/>
      <c r="T1249" s="19" t="n"/>
      <c r="U1249" s="19" t="n"/>
      <c r="V1249" s="19" t="n"/>
      <c r="W1249" s="19" t="n"/>
      <c r="X1249" s="19" t="n"/>
      <c r="Y1249" s="19" t="n">
        <v>1</v>
      </c>
      <c r="Z1249" s="13">
        <f>SUMPRODUCT(N1249:Y1249,$N$2:$Y$2)*$K1249*$L1249*$M1249</f>
        <v/>
      </c>
      <c r="AA1249" s="14">
        <f>SUM(N1249:Y1249)</f>
        <v/>
      </c>
      <c r="AB1249" s="13">
        <f>SUMPRODUCT(N1249:Y1249,$N$3:$Y$3)*$K1249*$L1249*$M1249</f>
        <v/>
      </c>
      <c r="AC1249" s="13">
        <f>SUMPRODUCT(N1249:Y1249,$N$4:$Y$4)*$K1249*$L1249*$M1249</f>
        <v/>
      </c>
      <c r="AD1249" s="15" t="n">
        <v>3</v>
      </c>
      <c r="AE1249" s="11" t="n">
        <v>1.011296296296296</v>
      </c>
      <c r="AF1249" s="16">
        <f>SUMPRODUCT(N1249:Y1249,$N$5:$Y$5)*$K1249*$L1249*$M1249</f>
        <v/>
      </c>
      <c r="AG1249" s="16">
        <f>SUMPRODUCT(N1249:Y1249,$N$6:$Y$6)*$K1249*$L1249*$M1249</f>
        <v/>
      </c>
      <c r="AH1249" s="20" t="n"/>
    </row>
    <row r="1250">
      <c r="A1250" s="9" t="n">
        <v>695037</v>
      </c>
      <c r="B1250" s="9" t="inlineStr">
        <is>
          <t>J'Briell Easley</t>
        </is>
      </c>
      <c r="C1250" s="9" t="inlineStr">
        <is>
          <t>TEX</t>
        </is>
      </c>
      <c r="D1250" s="9" t="n">
        <v>25</v>
      </c>
      <c r="E1250" s="18" t="inlineStr">
        <is>
          <t>R</t>
        </is>
      </c>
      <c r="F1250" s="18" t="n"/>
      <c r="G1250" s="9" t="n">
        <v>7.023333333333333</v>
      </c>
      <c r="H1250" s="9" t="n">
        <v>7.023333333333333</v>
      </c>
      <c r="I1250" s="9" t="inlineStr">
        <is>
          <t>Depth (no MLB IP)</t>
        </is>
      </c>
      <c r="J1250" s="18" t="inlineStr">
        <is>
          <t>Opening Day</t>
        </is>
      </c>
      <c r="K1250" s="11">
        <f>IFERROR(INDEX(Roles!$B$17:$B$20,MATCH(J1250,Roles!$A$17:$A$20,0)),1)</f>
        <v/>
      </c>
      <c r="L1250" s="19" t="n">
        <v>1</v>
      </c>
      <c r="M1250" s="11" t="n">
        <v>1</v>
      </c>
      <c r="N1250" s="19" t="n"/>
      <c r="O1250" s="19" t="n"/>
      <c r="P1250" s="19" t="n"/>
      <c r="Q1250" s="19" t="n"/>
      <c r="R1250" s="19" t="n"/>
      <c r="S1250" s="19" t="n"/>
      <c r="T1250" s="19" t="n"/>
      <c r="U1250" s="19" t="n"/>
      <c r="V1250" s="19" t="n"/>
      <c r="W1250" s="19" t="n"/>
      <c r="X1250" s="19" t="n"/>
      <c r="Y1250" s="19" t="n">
        <v>1</v>
      </c>
      <c r="Z1250" s="13">
        <f>SUMPRODUCT(N1250:Y1250,$N$2:$Y$2)*$K1250*$L1250*$M1250</f>
        <v/>
      </c>
      <c r="AA1250" s="14">
        <f>SUM(N1250:Y1250)</f>
        <v/>
      </c>
      <c r="AB1250" s="13">
        <f>SUMPRODUCT(N1250:Y1250,$N$3:$Y$3)*$K1250*$L1250*$M1250</f>
        <v/>
      </c>
      <c r="AC1250" s="13">
        <f>SUMPRODUCT(N1250:Y1250,$N$4:$Y$4)*$K1250*$L1250*$M1250</f>
        <v/>
      </c>
      <c r="AD1250" s="15" t="n">
        <v>3</v>
      </c>
      <c r="AE1250" s="11" t="n">
        <v>1.011296296296296</v>
      </c>
      <c r="AF1250" s="16">
        <f>SUMPRODUCT(N1250:Y1250,$N$5:$Y$5)*$K1250*$L1250*$M1250</f>
        <v/>
      </c>
      <c r="AG1250" s="16">
        <f>SUMPRODUCT(N1250:Y1250,$N$6:$Y$6)*$K1250*$L1250*$M1250</f>
        <v/>
      </c>
      <c r="AH1250" s="20" t="n"/>
    </row>
    <row r="1251">
      <c r="A1251" s="9" t="n">
        <v>813291</v>
      </c>
      <c r="B1251" s="9" t="inlineStr">
        <is>
          <t>Sam Brodersen</t>
        </is>
      </c>
      <c r="C1251" s="9" t="inlineStr">
        <is>
          <t>STL</t>
        </is>
      </c>
      <c r="D1251" s="9" t="n">
        <v>25</v>
      </c>
      <c r="E1251" s="18" t="inlineStr">
        <is>
          <t>R</t>
        </is>
      </c>
      <c r="F1251" s="18" t="n"/>
      <c r="G1251" s="9" t="n">
        <v>6.88</v>
      </c>
      <c r="H1251" s="9" t="n">
        <v>6.88</v>
      </c>
      <c r="I1251" s="9" t="inlineStr">
        <is>
          <t>Depth (no MLB IP)</t>
        </is>
      </c>
      <c r="J1251" s="18" t="inlineStr">
        <is>
          <t>Opening Day</t>
        </is>
      </c>
      <c r="K1251" s="11">
        <f>IFERROR(INDEX(Roles!$B$17:$B$20,MATCH(J1251,Roles!$A$17:$A$20,0)),1)</f>
        <v/>
      </c>
      <c r="L1251" s="19" t="n">
        <v>1</v>
      </c>
      <c r="M1251" s="11" t="n">
        <v>1</v>
      </c>
      <c r="N1251" s="19" t="n"/>
      <c r="O1251" s="19" t="n"/>
      <c r="P1251" s="19" t="n"/>
      <c r="Q1251" s="19" t="n"/>
      <c r="R1251" s="19" t="n"/>
      <c r="S1251" s="19" t="n"/>
      <c r="T1251" s="19" t="n"/>
      <c r="U1251" s="19" t="n"/>
      <c r="V1251" s="19" t="n"/>
      <c r="W1251" s="19" t="n"/>
      <c r="X1251" s="19" t="n"/>
      <c r="Y1251" s="19" t="n">
        <v>1</v>
      </c>
      <c r="Z1251" s="13">
        <f>SUMPRODUCT(N1251:Y1251,$N$2:$Y$2)*$K1251*$L1251*$M1251</f>
        <v/>
      </c>
      <c r="AA1251" s="14">
        <f>SUM(N1251:Y1251)</f>
        <v/>
      </c>
      <c r="AB1251" s="13">
        <f>SUMPRODUCT(N1251:Y1251,$N$3:$Y$3)*$K1251*$L1251*$M1251</f>
        <v/>
      </c>
      <c r="AC1251" s="13">
        <f>SUMPRODUCT(N1251:Y1251,$N$4:$Y$4)*$K1251*$L1251*$M1251</f>
        <v/>
      </c>
      <c r="AD1251" s="15" t="n">
        <v>3</v>
      </c>
      <c r="AE1251" s="11" t="n">
        <v>1.011296296296296</v>
      </c>
      <c r="AF1251" s="16">
        <f>SUMPRODUCT(N1251:Y1251,$N$5:$Y$5)*$K1251*$L1251*$M1251</f>
        <v/>
      </c>
      <c r="AG1251" s="16">
        <f>SUMPRODUCT(N1251:Y1251,$N$6:$Y$6)*$K1251*$L1251*$M1251</f>
        <v/>
      </c>
      <c r="AH1251" s="20" t="n"/>
    </row>
    <row r="1252">
      <c r="A1252" s="9" t="n">
        <v>835743</v>
      </c>
      <c r="B1252" s="9" t="inlineStr">
        <is>
          <t>Juan Ledezma</t>
        </is>
      </c>
      <c r="C1252" s="9" t="inlineStr">
        <is>
          <t>ARI</t>
        </is>
      </c>
      <c r="D1252" s="9" t="n">
        <v>25</v>
      </c>
      <c r="E1252" s="18" t="inlineStr">
        <is>
          <t>R</t>
        </is>
      </c>
      <c r="F1252" s="18" t="n"/>
      <c r="G1252" s="9" t="n">
        <v>7.051999999999999</v>
      </c>
      <c r="H1252" s="9" t="n">
        <v>7.051999999999999</v>
      </c>
      <c r="I1252" s="9" t="inlineStr">
        <is>
          <t>Depth (no MLB IP)</t>
        </is>
      </c>
      <c r="J1252" s="18" t="inlineStr">
        <is>
          <t>Opening Day</t>
        </is>
      </c>
      <c r="K1252" s="11">
        <f>IFERROR(INDEX(Roles!$B$17:$B$20,MATCH(J1252,Roles!$A$17:$A$20,0)),1)</f>
        <v/>
      </c>
      <c r="L1252" s="19" t="n">
        <v>1</v>
      </c>
      <c r="M1252" s="11" t="n">
        <v>1</v>
      </c>
      <c r="N1252" s="19" t="n"/>
      <c r="O1252" s="19" t="n"/>
      <c r="P1252" s="19" t="n"/>
      <c r="Q1252" s="19" t="n"/>
      <c r="R1252" s="19" t="n"/>
      <c r="S1252" s="19" t="n"/>
      <c r="T1252" s="19" t="n"/>
      <c r="U1252" s="19" t="n"/>
      <c r="V1252" s="19" t="n"/>
      <c r="W1252" s="19" t="n"/>
      <c r="X1252" s="19" t="n"/>
      <c r="Y1252" s="19" t="n">
        <v>1</v>
      </c>
      <c r="Z1252" s="13">
        <f>SUMPRODUCT(N1252:Y1252,$N$2:$Y$2)*$K1252*$L1252*$M1252</f>
        <v/>
      </c>
      <c r="AA1252" s="14">
        <f>SUM(N1252:Y1252)</f>
        <v/>
      </c>
      <c r="AB1252" s="13">
        <f>SUMPRODUCT(N1252:Y1252,$N$3:$Y$3)*$K1252*$L1252*$M1252</f>
        <v/>
      </c>
      <c r="AC1252" s="13">
        <f>SUMPRODUCT(N1252:Y1252,$N$4:$Y$4)*$K1252*$L1252*$M1252</f>
        <v/>
      </c>
      <c r="AD1252" s="15" t="n">
        <v>3</v>
      </c>
      <c r="AE1252" s="11" t="n">
        <v>1.011296296296296</v>
      </c>
      <c r="AF1252" s="16">
        <f>SUMPRODUCT(N1252:Y1252,$N$5:$Y$5)*$K1252*$L1252*$M1252</f>
        <v/>
      </c>
      <c r="AG1252" s="16">
        <f>SUMPRODUCT(N1252:Y1252,$N$6:$Y$6)*$K1252*$L1252*$M1252</f>
        <v/>
      </c>
      <c r="AH1252" s="20" t="n"/>
    </row>
    <row r="1253">
      <c r="A1253" s="9" t="n">
        <v>833376</v>
      </c>
      <c r="B1253" s="9" t="inlineStr">
        <is>
          <t>Joe Scarborough</t>
        </is>
      </c>
      <c r="C1253" s="9" t="inlineStr">
        <is>
          <t>NYM</t>
        </is>
      </c>
      <c r="D1253" s="9" t="n">
        <v>25</v>
      </c>
      <c r="E1253" s="18" t="inlineStr">
        <is>
          <t>R</t>
        </is>
      </c>
      <c r="F1253" s="18" t="n"/>
      <c r="G1253" s="9" t="n">
        <v>7.166666666666668</v>
      </c>
      <c r="H1253" s="9" t="n">
        <v>7.166666666666668</v>
      </c>
      <c r="I1253" s="9" t="inlineStr">
        <is>
          <t>Depth (no MLB IP)</t>
        </is>
      </c>
      <c r="J1253" s="18" t="inlineStr">
        <is>
          <t>Opening Day</t>
        </is>
      </c>
      <c r="K1253" s="11">
        <f>IFERROR(INDEX(Roles!$B$17:$B$20,MATCH(J1253,Roles!$A$17:$A$20,0)),1)</f>
        <v/>
      </c>
      <c r="L1253" s="19" t="n">
        <v>1</v>
      </c>
      <c r="M1253" s="11" t="n">
        <v>1</v>
      </c>
      <c r="N1253" s="19" t="n"/>
      <c r="O1253" s="19" t="n"/>
      <c r="P1253" s="19" t="n"/>
      <c r="Q1253" s="19" t="n"/>
      <c r="R1253" s="19" t="n"/>
      <c r="S1253" s="19" t="n"/>
      <c r="T1253" s="19" t="n"/>
      <c r="U1253" s="19" t="n"/>
      <c r="V1253" s="19" t="n"/>
      <c r="W1253" s="19" t="n"/>
      <c r="X1253" s="19" t="n"/>
      <c r="Y1253" s="19" t="n">
        <v>1</v>
      </c>
      <c r="Z1253" s="13">
        <f>SUMPRODUCT(N1253:Y1253,$N$2:$Y$2)*$K1253*$L1253*$M1253</f>
        <v/>
      </c>
      <c r="AA1253" s="14">
        <f>SUM(N1253:Y1253)</f>
        <v/>
      </c>
      <c r="AB1253" s="13">
        <f>SUMPRODUCT(N1253:Y1253,$N$3:$Y$3)*$K1253*$L1253*$M1253</f>
        <v/>
      </c>
      <c r="AC1253" s="13">
        <f>SUMPRODUCT(N1253:Y1253,$N$4:$Y$4)*$K1253*$L1253*$M1253</f>
        <v/>
      </c>
      <c r="AD1253" s="15" t="n">
        <v>3</v>
      </c>
      <c r="AE1253" s="11" t="n">
        <v>1.011296296296296</v>
      </c>
      <c r="AF1253" s="16">
        <f>SUMPRODUCT(N1253:Y1253,$N$5:$Y$5)*$K1253*$L1253*$M1253</f>
        <v/>
      </c>
      <c r="AG1253" s="16">
        <f>SUMPRODUCT(N1253:Y1253,$N$6:$Y$6)*$K1253*$L1253*$M1253</f>
        <v/>
      </c>
      <c r="AH1253" s="20" t="n"/>
    </row>
    <row r="1254">
      <c r="A1254" s="9" t="n">
        <v>694206</v>
      </c>
      <c r="B1254" s="9" t="inlineStr">
        <is>
          <t>Daniel Guilarte</t>
        </is>
      </c>
      <c r="C1254" s="9" t="inlineStr">
        <is>
          <t>MIL</t>
        </is>
      </c>
      <c r="D1254" s="9" t="n">
        <v>25</v>
      </c>
      <c r="E1254" s="18" t="inlineStr">
        <is>
          <t>R</t>
        </is>
      </c>
      <c r="F1254" s="18" t="n"/>
      <c r="G1254" s="9" t="n">
        <v>7.095</v>
      </c>
      <c r="H1254" s="9" t="n">
        <v>7.095</v>
      </c>
      <c r="I1254" s="9" t="inlineStr">
        <is>
          <t>Depth (no MLB IP)</t>
        </is>
      </c>
      <c r="J1254" s="18" t="inlineStr">
        <is>
          <t>Opening Day</t>
        </is>
      </c>
      <c r="K1254" s="11">
        <f>IFERROR(INDEX(Roles!$B$17:$B$20,MATCH(J1254,Roles!$A$17:$A$20,0)),1)</f>
        <v/>
      </c>
      <c r="L1254" s="19" t="n">
        <v>1</v>
      </c>
      <c r="M1254" s="11" t="n">
        <v>1</v>
      </c>
      <c r="N1254" s="19" t="n"/>
      <c r="O1254" s="19" t="n"/>
      <c r="P1254" s="19" t="n"/>
      <c r="Q1254" s="19" t="n"/>
      <c r="R1254" s="19" t="n"/>
      <c r="S1254" s="19" t="n"/>
      <c r="T1254" s="19" t="n"/>
      <c r="U1254" s="19" t="n"/>
      <c r="V1254" s="19" t="n"/>
      <c r="W1254" s="19" t="n"/>
      <c r="X1254" s="19" t="n"/>
      <c r="Y1254" s="19" t="n">
        <v>1</v>
      </c>
      <c r="Z1254" s="13">
        <f>SUMPRODUCT(N1254:Y1254,$N$2:$Y$2)*$K1254*$L1254*$M1254</f>
        <v/>
      </c>
      <c r="AA1254" s="14">
        <f>SUM(N1254:Y1254)</f>
        <v/>
      </c>
      <c r="AB1254" s="13">
        <f>SUMPRODUCT(N1254:Y1254,$N$3:$Y$3)*$K1254*$L1254*$M1254</f>
        <v/>
      </c>
      <c r="AC1254" s="13">
        <f>SUMPRODUCT(N1254:Y1254,$N$4:$Y$4)*$K1254*$L1254*$M1254</f>
        <v/>
      </c>
      <c r="AD1254" s="15" t="n">
        <v>3</v>
      </c>
      <c r="AE1254" s="11" t="n">
        <v>1.011296296296296</v>
      </c>
      <c r="AF1254" s="16">
        <f>SUMPRODUCT(N1254:Y1254,$N$5:$Y$5)*$K1254*$L1254*$M1254</f>
        <v/>
      </c>
      <c r="AG1254" s="16">
        <f>SUMPRODUCT(N1254:Y1254,$N$6:$Y$6)*$K1254*$L1254*$M1254</f>
        <v/>
      </c>
      <c r="AH1254" s="20" t="n"/>
    </row>
    <row r="1255">
      <c r="A1255" s="9" t="n">
        <v>806522</v>
      </c>
      <c r="B1255" s="9" t="inlineStr">
        <is>
          <t>Irving Cota</t>
        </is>
      </c>
      <c r="C1255" s="9" t="inlineStr">
        <is>
          <t>NYM</t>
        </is>
      </c>
      <c r="D1255" s="9" t="n">
        <v>25</v>
      </c>
      <c r="E1255" s="18" t="inlineStr">
        <is>
          <t>R</t>
        </is>
      </c>
      <c r="F1255" s="18" t="n"/>
      <c r="G1255" s="9" t="n">
        <v>7.023333333333333</v>
      </c>
      <c r="H1255" s="9" t="n">
        <v>7.023333333333333</v>
      </c>
      <c r="I1255" s="9" t="inlineStr">
        <is>
          <t>Depth (no MLB IP)</t>
        </is>
      </c>
      <c r="J1255" s="18" t="inlineStr">
        <is>
          <t>Opening Day</t>
        </is>
      </c>
      <c r="K1255" s="11">
        <f>IFERROR(INDEX(Roles!$B$17:$B$20,MATCH(J1255,Roles!$A$17:$A$20,0)),1)</f>
        <v/>
      </c>
      <c r="L1255" s="19" t="n">
        <v>1</v>
      </c>
      <c r="M1255" s="11" t="n">
        <v>1</v>
      </c>
      <c r="N1255" s="19" t="n"/>
      <c r="O1255" s="19" t="n"/>
      <c r="P1255" s="19" t="n"/>
      <c r="Q1255" s="19" t="n"/>
      <c r="R1255" s="19" t="n"/>
      <c r="S1255" s="19" t="n"/>
      <c r="T1255" s="19" t="n"/>
      <c r="U1255" s="19" t="n"/>
      <c r="V1255" s="19" t="n"/>
      <c r="W1255" s="19" t="n"/>
      <c r="X1255" s="19" t="n"/>
      <c r="Y1255" s="19" t="n">
        <v>1</v>
      </c>
      <c r="Z1255" s="13">
        <f>SUMPRODUCT(N1255:Y1255,$N$2:$Y$2)*$K1255*$L1255*$M1255</f>
        <v/>
      </c>
      <c r="AA1255" s="14">
        <f>SUM(N1255:Y1255)</f>
        <v/>
      </c>
      <c r="AB1255" s="13">
        <f>SUMPRODUCT(N1255:Y1255,$N$3:$Y$3)*$K1255*$L1255*$M1255</f>
        <v/>
      </c>
      <c r="AC1255" s="13">
        <f>SUMPRODUCT(N1255:Y1255,$N$4:$Y$4)*$K1255*$L1255*$M1255</f>
        <v/>
      </c>
      <c r="AD1255" s="15" t="n">
        <v>3</v>
      </c>
      <c r="AE1255" s="11" t="n">
        <v>1.011296296296296</v>
      </c>
      <c r="AF1255" s="16">
        <f>SUMPRODUCT(N1255:Y1255,$N$5:$Y$5)*$K1255*$L1255*$M1255</f>
        <v/>
      </c>
      <c r="AG1255" s="16">
        <f>SUMPRODUCT(N1255:Y1255,$N$6:$Y$6)*$K1255*$L1255*$M1255</f>
        <v/>
      </c>
      <c r="AH1255" s="20" t="n"/>
    </row>
    <row r="1256">
      <c r="A1256" s="9" t="n">
        <v>814268</v>
      </c>
      <c r="B1256" s="9" t="inlineStr">
        <is>
          <t>Kevin Camacho</t>
        </is>
      </c>
      <c r="C1256" s="9" t="inlineStr">
        <is>
          <t>CHC</t>
        </is>
      </c>
      <c r="D1256" s="9" t="n">
        <v>25</v>
      </c>
      <c r="E1256" s="18" t="inlineStr">
        <is>
          <t>R</t>
        </is>
      </c>
      <c r="F1256" s="18" t="n"/>
      <c r="G1256" s="9" t="n">
        <v>7.051999999999999</v>
      </c>
      <c r="H1256" s="9" t="n">
        <v>7.051999999999999</v>
      </c>
      <c r="I1256" s="9" t="inlineStr">
        <is>
          <t>Depth (no MLB IP)</t>
        </is>
      </c>
      <c r="J1256" s="18" t="inlineStr">
        <is>
          <t>Opening Day</t>
        </is>
      </c>
      <c r="K1256" s="11">
        <f>IFERROR(INDEX(Roles!$B$17:$B$20,MATCH(J1256,Roles!$A$17:$A$20,0)),1)</f>
        <v/>
      </c>
      <c r="L1256" s="19" t="n">
        <v>1</v>
      </c>
      <c r="M1256" s="11" t="n">
        <v>1</v>
      </c>
      <c r="N1256" s="19" t="n"/>
      <c r="O1256" s="19" t="n"/>
      <c r="P1256" s="19" t="n"/>
      <c r="Q1256" s="19" t="n"/>
      <c r="R1256" s="19" t="n"/>
      <c r="S1256" s="19" t="n"/>
      <c r="T1256" s="19" t="n"/>
      <c r="U1256" s="19" t="n"/>
      <c r="V1256" s="19" t="n"/>
      <c r="W1256" s="19" t="n"/>
      <c r="X1256" s="19" t="n"/>
      <c r="Y1256" s="19" t="n">
        <v>1</v>
      </c>
      <c r="Z1256" s="13">
        <f>SUMPRODUCT(N1256:Y1256,$N$2:$Y$2)*$K1256*$L1256*$M1256</f>
        <v/>
      </c>
      <c r="AA1256" s="14">
        <f>SUM(N1256:Y1256)</f>
        <v/>
      </c>
      <c r="AB1256" s="13">
        <f>SUMPRODUCT(N1256:Y1256,$N$3:$Y$3)*$K1256*$L1256*$M1256</f>
        <v/>
      </c>
      <c r="AC1256" s="13">
        <f>SUMPRODUCT(N1256:Y1256,$N$4:$Y$4)*$K1256*$L1256*$M1256</f>
        <v/>
      </c>
      <c r="AD1256" s="15" t="n">
        <v>3</v>
      </c>
      <c r="AE1256" s="11" t="n">
        <v>1.011296296296296</v>
      </c>
      <c r="AF1256" s="16">
        <f>SUMPRODUCT(N1256:Y1256,$N$5:$Y$5)*$K1256*$L1256*$M1256</f>
        <v/>
      </c>
      <c r="AG1256" s="16">
        <f>SUMPRODUCT(N1256:Y1256,$N$6:$Y$6)*$K1256*$L1256*$M1256</f>
        <v/>
      </c>
      <c r="AH1256" s="20" t="n"/>
    </row>
    <row r="1257">
      <c r="A1257" s="9" t="n">
        <v>814136</v>
      </c>
      <c r="B1257" s="9" t="inlineStr">
        <is>
          <t>Clevari Tejada</t>
        </is>
      </c>
      <c r="C1257" s="9" t="inlineStr">
        <is>
          <t>PIT</t>
        </is>
      </c>
      <c r="D1257" s="9" t="n">
        <v>25</v>
      </c>
      <c r="E1257" s="18" t="inlineStr">
        <is>
          <t>R</t>
        </is>
      </c>
      <c r="F1257" s="18" t="n"/>
      <c r="G1257" s="9" t="n">
        <v>7.223999999999999</v>
      </c>
      <c r="H1257" s="9" t="n">
        <v>7.223999999999999</v>
      </c>
      <c r="I1257" s="9" t="inlineStr">
        <is>
          <t>Depth (no MLB IP)</t>
        </is>
      </c>
      <c r="J1257" s="18" t="inlineStr">
        <is>
          <t>Opening Day</t>
        </is>
      </c>
      <c r="K1257" s="11">
        <f>IFERROR(INDEX(Roles!$B$17:$B$20,MATCH(J1257,Roles!$A$17:$A$20,0)),1)</f>
        <v/>
      </c>
      <c r="L1257" s="19" t="n">
        <v>1</v>
      </c>
      <c r="M1257" s="11" t="n">
        <v>1</v>
      </c>
      <c r="N1257" s="19" t="n"/>
      <c r="O1257" s="19" t="n"/>
      <c r="P1257" s="19" t="n"/>
      <c r="Q1257" s="19" t="n"/>
      <c r="R1257" s="19" t="n"/>
      <c r="S1257" s="19" t="n"/>
      <c r="T1257" s="19" t="n"/>
      <c r="U1257" s="19" t="n"/>
      <c r="V1257" s="19" t="n"/>
      <c r="W1257" s="19" t="n"/>
      <c r="X1257" s="19" t="n"/>
      <c r="Y1257" s="19" t="n">
        <v>1</v>
      </c>
      <c r="Z1257" s="13">
        <f>SUMPRODUCT(N1257:Y1257,$N$2:$Y$2)*$K1257*$L1257*$M1257</f>
        <v/>
      </c>
      <c r="AA1257" s="14">
        <f>SUM(N1257:Y1257)</f>
        <v/>
      </c>
      <c r="AB1257" s="13">
        <f>SUMPRODUCT(N1257:Y1257,$N$3:$Y$3)*$K1257*$L1257*$M1257</f>
        <v/>
      </c>
      <c r="AC1257" s="13">
        <f>SUMPRODUCT(N1257:Y1257,$N$4:$Y$4)*$K1257*$L1257*$M1257</f>
        <v/>
      </c>
      <c r="AD1257" s="15" t="n">
        <v>3</v>
      </c>
      <c r="AE1257" s="11" t="n">
        <v>1.011296296296296</v>
      </c>
      <c r="AF1257" s="16">
        <f>SUMPRODUCT(N1257:Y1257,$N$5:$Y$5)*$K1257*$L1257*$M1257</f>
        <v/>
      </c>
      <c r="AG1257" s="16">
        <f>SUMPRODUCT(N1257:Y1257,$N$6:$Y$6)*$K1257*$L1257*$M1257</f>
        <v/>
      </c>
      <c r="AH1257" s="20" t="n"/>
    </row>
    <row r="1258">
      <c r="A1258" s="9" t="n">
        <v>695038</v>
      </c>
      <c r="B1258" s="9" t="inlineStr">
        <is>
          <t>Sean Hunley</t>
        </is>
      </c>
      <c r="C1258" s="9" t="inlineStr">
        <is>
          <t>DET</t>
        </is>
      </c>
      <c r="D1258" s="9" t="n">
        <v>25</v>
      </c>
      <c r="E1258" s="18" t="inlineStr">
        <is>
          <t>R</t>
        </is>
      </c>
      <c r="F1258" s="18" t="n"/>
      <c r="G1258" s="9" t="n">
        <v>7.095</v>
      </c>
      <c r="H1258" s="9" t="n">
        <v>7.095</v>
      </c>
      <c r="I1258" s="9" t="inlineStr">
        <is>
          <t>Depth (no MLB IP)</t>
        </is>
      </c>
      <c r="J1258" s="18" t="inlineStr">
        <is>
          <t>Opening Day</t>
        </is>
      </c>
      <c r="K1258" s="11">
        <f>IFERROR(INDEX(Roles!$B$17:$B$20,MATCH(J1258,Roles!$A$17:$A$20,0)),1)</f>
        <v/>
      </c>
      <c r="L1258" s="19" t="n">
        <v>1</v>
      </c>
      <c r="M1258" s="11" t="n">
        <v>1</v>
      </c>
      <c r="N1258" s="19" t="n"/>
      <c r="O1258" s="19" t="n"/>
      <c r="P1258" s="19" t="n"/>
      <c r="Q1258" s="19" t="n"/>
      <c r="R1258" s="19" t="n"/>
      <c r="S1258" s="19" t="n"/>
      <c r="T1258" s="19" t="n"/>
      <c r="U1258" s="19" t="n"/>
      <c r="V1258" s="19" t="n"/>
      <c r="W1258" s="19" t="n"/>
      <c r="X1258" s="19" t="n"/>
      <c r="Y1258" s="19" t="n">
        <v>1</v>
      </c>
      <c r="Z1258" s="13">
        <f>SUMPRODUCT(N1258:Y1258,$N$2:$Y$2)*$K1258*$L1258*$M1258</f>
        <v/>
      </c>
      <c r="AA1258" s="14">
        <f>SUM(N1258:Y1258)</f>
        <v/>
      </c>
      <c r="AB1258" s="13">
        <f>SUMPRODUCT(N1258:Y1258,$N$3:$Y$3)*$K1258*$L1258*$M1258</f>
        <v/>
      </c>
      <c r="AC1258" s="13">
        <f>SUMPRODUCT(N1258:Y1258,$N$4:$Y$4)*$K1258*$L1258*$M1258</f>
        <v/>
      </c>
      <c r="AD1258" s="15" t="n">
        <v>3</v>
      </c>
      <c r="AE1258" s="11" t="n">
        <v>1.011296296296296</v>
      </c>
      <c r="AF1258" s="16">
        <f>SUMPRODUCT(N1258:Y1258,$N$5:$Y$5)*$K1258*$L1258*$M1258</f>
        <v/>
      </c>
      <c r="AG1258" s="16">
        <f>SUMPRODUCT(N1258:Y1258,$N$6:$Y$6)*$K1258*$L1258*$M1258</f>
        <v/>
      </c>
      <c r="AH1258" s="20" t="n"/>
    </row>
    <row r="1259">
      <c r="A1259" s="9" t="n">
        <v>681060</v>
      </c>
      <c r="B1259" s="9" t="inlineStr">
        <is>
          <t>Sam Knowlton</t>
        </is>
      </c>
      <c r="C1259" s="9" t="inlineStr">
        <is>
          <t>ARI</t>
        </is>
      </c>
      <c r="D1259" s="9" t="n">
        <v>25</v>
      </c>
      <c r="E1259" s="18" t="inlineStr">
        <is>
          <t>R</t>
        </is>
      </c>
      <c r="F1259" s="18" t="n"/>
      <c r="G1259" s="9" t="n">
        <v>7.166666666666668</v>
      </c>
      <c r="H1259" s="9" t="n">
        <v>7.166666666666668</v>
      </c>
      <c r="I1259" s="9" t="inlineStr">
        <is>
          <t>Depth (no MLB IP)</t>
        </is>
      </c>
      <c r="J1259" s="18" t="inlineStr">
        <is>
          <t>Opening Day</t>
        </is>
      </c>
      <c r="K1259" s="11">
        <f>IFERROR(INDEX(Roles!$B$17:$B$20,MATCH(J1259,Roles!$A$17:$A$20,0)),1)</f>
        <v/>
      </c>
      <c r="L1259" s="19" t="n">
        <v>1</v>
      </c>
      <c r="M1259" s="11" t="n">
        <v>1</v>
      </c>
      <c r="N1259" s="19" t="n"/>
      <c r="O1259" s="19" t="n"/>
      <c r="P1259" s="19" t="n"/>
      <c r="Q1259" s="19" t="n"/>
      <c r="R1259" s="19" t="n"/>
      <c r="S1259" s="19" t="n"/>
      <c r="T1259" s="19" t="n"/>
      <c r="U1259" s="19" t="n"/>
      <c r="V1259" s="19" t="n"/>
      <c r="W1259" s="19" t="n"/>
      <c r="X1259" s="19" t="n"/>
      <c r="Y1259" s="19" t="n">
        <v>1</v>
      </c>
      <c r="Z1259" s="13">
        <f>SUMPRODUCT(N1259:Y1259,$N$2:$Y$2)*$K1259*$L1259*$M1259</f>
        <v/>
      </c>
      <c r="AA1259" s="14">
        <f>SUM(N1259:Y1259)</f>
        <v/>
      </c>
      <c r="AB1259" s="13">
        <f>SUMPRODUCT(N1259:Y1259,$N$3:$Y$3)*$K1259*$L1259*$M1259</f>
        <v/>
      </c>
      <c r="AC1259" s="13">
        <f>SUMPRODUCT(N1259:Y1259,$N$4:$Y$4)*$K1259*$L1259*$M1259</f>
        <v/>
      </c>
      <c r="AD1259" s="15" t="n">
        <v>3</v>
      </c>
      <c r="AE1259" s="11" t="n">
        <v>1.011296296296296</v>
      </c>
      <c r="AF1259" s="16">
        <f>SUMPRODUCT(N1259:Y1259,$N$5:$Y$5)*$K1259*$L1259*$M1259</f>
        <v/>
      </c>
      <c r="AG1259" s="16">
        <f>SUMPRODUCT(N1259:Y1259,$N$6:$Y$6)*$K1259*$L1259*$M1259</f>
        <v/>
      </c>
      <c r="AH1259" s="20" t="n"/>
    </row>
    <row r="1260">
      <c r="A1260" s="9" t="n">
        <v>800243</v>
      </c>
      <c r="B1260" s="9" t="inlineStr">
        <is>
          <t>Jovi Gálvez</t>
        </is>
      </c>
      <c r="C1260" s="9" t="inlineStr">
        <is>
          <t>STL</t>
        </is>
      </c>
      <c r="D1260" s="9" t="n">
        <v>25</v>
      </c>
      <c r="E1260" s="18" t="inlineStr">
        <is>
          <t>R</t>
        </is>
      </c>
      <c r="F1260" s="18" t="n"/>
      <c r="G1260" s="9" t="n">
        <v>7.223999999999999</v>
      </c>
      <c r="H1260" s="9" t="n">
        <v>7.223999999999999</v>
      </c>
      <c r="I1260" s="9" t="inlineStr">
        <is>
          <t>Depth (no MLB IP)</t>
        </is>
      </c>
      <c r="J1260" s="18" t="inlineStr">
        <is>
          <t>Opening Day</t>
        </is>
      </c>
      <c r="K1260" s="11">
        <f>IFERROR(INDEX(Roles!$B$17:$B$20,MATCH(J1260,Roles!$A$17:$A$20,0)),1)</f>
        <v/>
      </c>
      <c r="L1260" s="19" t="n">
        <v>1</v>
      </c>
      <c r="M1260" s="11" t="n">
        <v>1</v>
      </c>
      <c r="N1260" s="19" t="n"/>
      <c r="O1260" s="19" t="n"/>
      <c r="P1260" s="19" t="n"/>
      <c r="Q1260" s="19" t="n"/>
      <c r="R1260" s="19" t="n"/>
      <c r="S1260" s="19" t="n"/>
      <c r="T1260" s="19" t="n"/>
      <c r="U1260" s="19" t="n"/>
      <c r="V1260" s="19" t="n"/>
      <c r="W1260" s="19" t="n"/>
      <c r="X1260" s="19" t="n"/>
      <c r="Y1260" s="19" t="n">
        <v>1</v>
      </c>
      <c r="Z1260" s="13">
        <f>SUMPRODUCT(N1260:Y1260,$N$2:$Y$2)*$K1260*$L1260*$M1260</f>
        <v/>
      </c>
      <c r="AA1260" s="14">
        <f>SUM(N1260:Y1260)</f>
        <v/>
      </c>
      <c r="AB1260" s="13">
        <f>SUMPRODUCT(N1260:Y1260,$N$3:$Y$3)*$K1260*$L1260*$M1260</f>
        <v/>
      </c>
      <c r="AC1260" s="13">
        <f>SUMPRODUCT(N1260:Y1260,$N$4:$Y$4)*$K1260*$L1260*$M1260</f>
        <v/>
      </c>
      <c r="AD1260" s="15" t="n">
        <v>3</v>
      </c>
      <c r="AE1260" s="11" t="n">
        <v>1.011296296296296</v>
      </c>
      <c r="AF1260" s="16">
        <f>SUMPRODUCT(N1260:Y1260,$N$5:$Y$5)*$K1260*$L1260*$M1260</f>
        <v/>
      </c>
      <c r="AG1260" s="16">
        <f>SUMPRODUCT(N1260:Y1260,$N$6:$Y$6)*$K1260*$L1260*$M1260</f>
        <v/>
      </c>
      <c r="AH1260" s="20" t="n"/>
    </row>
    <row r="1261">
      <c r="A1261" s="9" t="n">
        <v>814086</v>
      </c>
      <c r="B1261" s="9" t="inlineStr">
        <is>
          <t>Jefferson Moran</t>
        </is>
      </c>
      <c r="C1261" s="9" t="inlineStr">
        <is>
          <t>STL</t>
        </is>
      </c>
      <c r="D1261" s="9" t="n">
        <v>25</v>
      </c>
      <c r="E1261" s="18" t="inlineStr">
        <is>
          <t>R</t>
        </is>
      </c>
      <c r="F1261" s="18" t="n"/>
      <c r="G1261" s="9" t="n">
        <v>7.223999999999999</v>
      </c>
      <c r="H1261" s="9" t="n">
        <v>7.223999999999999</v>
      </c>
      <c r="I1261" s="9" t="inlineStr">
        <is>
          <t>Depth (no MLB IP)</t>
        </is>
      </c>
      <c r="J1261" s="18" t="inlineStr">
        <is>
          <t>Opening Day</t>
        </is>
      </c>
      <c r="K1261" s="11">
        <f>IFERROR(INDEX(Roles!$B$17:$B$20,MATCH(J1261,Roles!$A$17:$A$20,0)),1)</f>
        <v/>
      </c>
      <c r="L1261" s="19" t="n">
        <v>1</v>
      </c>
      <c r="M1261" s="11" t="n">
        <v>1</v>
      </c>
      <c r="N1261" s="19" t="n"/>
      <c r="O1261" s="19" t="n"/>
      <c r="P1261" s="19" t="n"/>
      <c r="Q1261" s="19" t="n"/>
      <c r="R1261" s="19" t="n"/>
      <c r="S1261" s="19" t="n"/>
      <c r="T1261" s="19" t="n"/>
      <c r="U1261" s="19" t="n"/>
      <c r="V1261" s="19" t="n"/>
      <c r="W1261" s="19" t="n"/>
      <c r="X1261" s="19" t="n"/>
      <c r="Y1261" s="19" t="n">
        <v>1</v>
      </c>
      <c r="Z1261" s="13">
        <f>SUMPRODUCT(N1261:Y1261,$N$2:$Y$2)*$K1261*$L1261*$M1261</f>
        <v/>
      </c>
      <c r="AA1261" s="14">
        <f>SUM(N1261:Y1261)</f>
        <v/>
      </c>
      <c r="AB1261" s="13">
        <f>SUMPRODUCT(N1261:Y1261,$N$3:$Y$3)*$K1261*$L1261*$M1261</f>
        <v/>
      </c>
      <c r="AC1261" s="13">
        <f>SUMPRODUCT(N1261:Y1261,$N$4:$Y$4)*$K1261*$L1261*$M1261</f>
        <v/>
      </c>
      <c r="AD1261" s="15" t="n">
        <v>3</v>
      </c>
      <c r="AE1261" s="11" t="n">
        <v>1.011296296296296</v>
      </c>
      <c r="AF1261" s="16">
        <f>SUMPRODUCT(N1261:Y1261,$N$5:$Y$5)*$K1261*$L1261*$M1261</f>
        <v/>
      </c>
      <c r="AG1261" s="16">
        <f>SUMPRODUCT(N1261:Y1261,$N$6:$Y$6)*$K1261*$L1261*$M1261</f>
        <v/>
      </c>
      <c r="AH1261" s="20" t="n"/>
    </row>
    <row r="1262">
      <c r="A1262" s="9" t="n">
        <v>683093</v>
      </c>
      <c r="B1262" s="9" t="inlineStr">
        <is>
          <t>Hayden Mullins</t>
        </is>
      </c>
      <c r="C1262" s="9" t="inlineStr">
        <is>
          <t>BOS</t>
        </is>
      </c>
      <c r="D1262" s="9" t="n">
        <v>25</v>
      </c>
      <c r="E1262" s="18" t="inlineStr">
        <is>
          <t>L</t>
        </is>
      </c>
      <c r="F1262" s="18" t="n"/>
      <c r="G1262" s="9" t="n">
        <v>7.095</v>
      </c>
      <c r="H1262" s="9" t="n">
        <v>7.095</v>
      </c>
      <c r="I1262" s="9" t="inlineStr">
        <is>
          <t>Depth (no MLB IP)</t>
        </is>
      </c>
      <c r="J1262" s="18" t="inlineStr">
        <is>
          <t>Opening Day</t>
        </is>
      </c>
      <c r="K1262" s="11">
        <f>IFERROR(INDEX(Roles!$B$17:$B$20,MATCH(J1262,Roles!$A$17:$A$20,0)),1)</f>
        <v/>
      </c>
      <c r="L1262" s="19" t="n">
        <v>1</v>
      </c>
      <c r="M1262" s="11" t="n">
        <v>1</v>
      </c>
      <c r="N1262" s="19" t="n"/>
      <c r="O1262" s="19" t="n"/>
      <c r="P1262" s="19" t="n"/>
      <c r="Q1262" s="19" t="n"/>
      <c r="R1262" s="19" t="n"/>
      <c r="S1262" s="19" t="n"/>
      <c r="T1262" s="19" t="n"/>
      <c r="U1262" s="19" t="n"/>
      <c r="V1262" s="19" t="n"/>
      <c r="W1262" s="19" t="n"/>
      <c r="X1262" s="19" t="n"/>
      <c r="Y1262" s="19" t="n">
        <v>1</v>
      </c>
      <c r="Z1262" s="13">
        <f>SUMPRODUCT(N1262:Y1262,$N$2:$Y$2)*$K1262*$L1262*$M1262</f>
        <v/>
      </c>
      <c r="AA1262" s="14">
        <f>SUM(N1262:Y1262)</f>
        <v/>
      </c>
      <c r="AB1262" s="13">
        <f>SUMPRODUCT(N1262:Y1262,$N$3:$Y$3)*$K1262*$L1262*$M1262</f>
        <v/>
      </c>
      <c r="AC1262" s="13">
        <f>SUMPRODUCT(N1262:Y1262,$N$4:$Y$4)*$K1262*$L1262*$M1262</f>
        <v/>
      </c>
      <c r="AD1262" s="15" t="n">
        <v>3</v>
      </c>
      <c r="AE1262" s="11" t="n">
        <v>1.011296296296296</v>
      </c>
      <c r="AF1262" s="16">
        <f>SUMPRODUCT(N1262:Y1262,$N$5:$Y$5)*$K1262*$L1262*$M1262</f>
        <v/>
      </c>
      <c r="AG1262" s="16">
        <f>SUMPRODUCT(N1262:Y1262,$N$6:$Y$6)*$K1262*$L1262*$M1262</f>
        <v/>
      </c>
      <c r="AH1262" s="20" t="n"/>
    </row>
    <row r="1263">
      <c r="A1263" s="9" t="n">
        <v>828266</v>
      </c>
      <c r="B1263" s="9" t="inlineStr">
        <is>
          <t>Rafael Arias</t>
        </is>
      </c>
      <c r="C1263" s="9" t="inlineStr">
        <is>
          <t>NYY</t>
        </is>
      </c>
      <c r="D1263" s="9" t="n">
        <v>25</v>
      </c>
      <c r="E1263" s="18" t="inlineStr">
        <is>
          <t>R</t>
        </is>
      </c>
      <c r="F1263" s="18" t="n"/>
      <c r="G1263" s="9" t="n">
        <v>7.223999999999999</v>
      </c>
      <c r="H1263" s="9" t="n">
        <v>7.223999999999999</v>
      </c>
      <c r="I1263" s="9" t="inlineStr">
        <is>
          <t>Depth (no MLB IP)</t>
        </is>
      </c>
      <c r="J1263" s="18" t="inlineStr">
        <is>
          <t>Opening Day</t>
        </is>
      </c>
      <c r="K1263" s="11">
        <f>IFERROR(INDEX(Roles!$B$17:$B$20,MATCH(J1263,Roles!$A$17:$A$20,0)),1)</f>
        <v/>
      </c>
      <c r="L1263" s="19" t="n">
        <v>1</v>
      </c>
      <c r="M1263" s="11" t="n">
        <v>1</v>
      </c>
      <c r="N1263" s="19" t="n"/>
      <c r="O1263" s="19" t="n"/>
      <c r="P1263" s="19" t="n"/>
      <c r="Q1263" s="19" t="n"/>
      <c r="R1263" s="19" t="n"/>
      <c r="S1263" s="19" t="n"/>
      <c r="T1263" s="19" t="n"/>
      <c r="U1263" s="19" t="n"/>
      <c r="V1263" s="19" t="n"/>
      <c r="W1263" s="19" t="n"/>
      <c r="X1263" s="19" t="n"/>
      <c r="Y1263" s="19" t="n">
        <v>1</v>
      </c>
      <c r="Z1263" s="13">
        <f>SUMPRODUCT(N1263:Y1263,$N$2:$Y$2)*$K1263*$L1263*$M1263</f>
        <v/>
      </c>
      <c r="AA1263" s="14">
        <f>SUM(N1263:Y1263)</f>
        <v/>
      </c>
      <c r="AB1263" s="13">
        <f>SUMPRODUCT(N1263:Y1263,$N$3:$Y$3)*$K1263*$L1263*$M1263</f>
        <v/>
      </c>
      <c r="AC1263" s="13">
        <f>SUMPRODUCT(N1263:Y1263,$N$4:$Y$4)*$K1263*$L1263*$M1263</f>
        <v/>
      </c>
      <c r="AD1263" s="15" t="n">
        <v>3</v>
      </c>
      <c r="AE1263" s="11" t="n">
        <v>1.011296296296296</v>
      </c>
      <c r="AF1263" s="16">
        <f>SUMPRODUCT(N1263:Y1263,$N$5:$Y$5)*$K1263*$L1263*$M1263</f>
        <v/>
      </c>
      <c r="AG1263" s="16">
        <f>SUMPRODUCT(N1263:Y1263,$N$6:$Y$6)*$K1263*$L1263*$M1263</f>
        <v/>
      </c>
      <c r="AH1263" s="20" t="n"/>
    </row>
    <row r="1264">
      <c r="A1264" s="9" t="n">
        <v>703724</v>
      </c>
      <c r="B1264" s="9" t="inlineStr">
        <is>
          <t>Luis A. Reyes</t>
        </is>
      </c>
      <c r="C1264" s="9" t="inlineStr">
        <is>
          <t>CHC</t>
        </is>
      </c>
      <c r="D1264" s="9" t="n">
        <v>25</v>
      </c>
      <c r="E1264" s="18" t="inlineStr">
        <is>
          <t>R</t>
        </is>
      </c>
      <c r="F1264" s="18" t="n"/>
      <c r="G1264" s="9" t="n">
        <v>7.051999999999999</v>
      </c>
      <c r="H1264" s="9" t="n">
        <v>7.051999999999999</v>
      </c>
      <c r="I1264" s="9" t="inlineStr">
        <is>
          <t>Depth (no MLB IP)</t>
        </is>
      </c>
      <c r="J1264" s="18" t="inlineStr">
        <is>
          <t>Opening Day</t>
        </is>
      </c>
      <c r="K1264" s="11">
        <f>IFERROR(INDEX(Roles!$B$17:$B$20,MATCH(J1264,Roles!$A$17:$A$20,0)),1)</f>
        <v/>
      </c>
      <c r="L1264" s="19" t="n">
        <v>1</v>
      </c>
      <c r="M1264" s="11" t="n">
        <v>1</v>
      </c>
      <c r="N1264" s="19" t="n"/>
      <c r="O1264" s="19" t="n"/>
      <c r="P1264" s="19" t="n"/>
      <c r="Q1264" s="19" t="n"/>
      <c r="R1264" s="19" t="n"/>
      <c r="S1264" s="19" t="n"/>
      <c r="T1264" s="19" t="n"/>
      <c r="U1264" s="19" t="n"/>
      <c r="V1264" s="19" t="n"/>
      <c r="W1264" s="19" t="n"/>
      <c r="X1264" s="19" t="n"/>
      <c r="Y1264" s="19" t="n">
        <v>1</v>
      </c>
      <c r="Z1264" s="13">
        <f>SUMPRODUCT(N1264:Y1264,$N$2:$Y$2)*$K1264*$L1264*$M1264</f>
        <v/>
      </c>
      <c r="AA1264" s="14">
        <f>SUM(N1264:Y1264)</f>
        <v/>
      </c>
      <c r="AB1264" s="13">
        <f>SUMPRODUCT(N1264:Y1264,$N$3:$Y$3)*$K1264*$L1264*$M1264</f>
        <v/>
      </c>
      <c r="AC1264" s="13">
        <f>SUMPRODUCT(N1264:Y1264,$N$4:$Y$4)*$K1264*$L1264*$M1264</f>
        <v/>
      </c>
      <c r="AD1264" s="15" t="n">
        <v>3</v>
      </c>
      <c r="AE1264" s="11" t="n">
        <v>1.011296296296296</v>
      </c>
      <c r="AF1264" s="16">
        <f>SUMPRODUCT(N1264:Y1264,$N$5:$Y$5)*$K1264*$L1264*$M1264</f>
        <v/>
      </c>
      <c r="AG1264" s="16">
        <f>SUMPRODUCT(N1264:Y1264,$N$6:$Y$6)*$K1264*$L1264*$M1264</f>
        <v/>
      </c>
      <c r="AH1264" s="20" t="n"/>
    </row>
    <row r="1265">
      <c r="A1265" s="9" t="n">
        <v>703415</v>
      </c>
      <c r="B1265" s="9" t="inlineStr">
        <is>
          <t>Brody Fowler</t>
        </is>
      </c>
      <c r="C1265" s="9" t="inlineStr">
        <is>
          <t>ATL</t>
        </is>
      </c>
      <c r="D1265" s="9" t="n">
        <v>25</v>
      </c>
      <c r="E1265" s="18" t="inlineStr">
        <is>
          <t>R</t>
        </is>
      </c>
      <c r="F1265" s="18" t="n"/>
      <c r="G1265" s="9" t="n">
        <v>7.166666666666668</v>
      </c>
      <c r="H1265" s="9" t="n">
        <v>7.166666666666668</v>
      </c>
      <c r="I1265" s="9" t="inlineStr">
        <is>
          <t>Depth (no MLB IP)</t>
        </is>
      </c>
      <c r="J1265" s="18" t="inlineStr">
        <is>
          <t>Opening Day</t>
        </is>
      </c>
      <c r="K1265" s="11">
        <f>IFERROR(INDEX(Roles!$B$17:$B$20,MATCH(J1265,Roles!$A$17:$A$20,0)),1)</f>
        <v/>
      </c>
      <c r="L1265" s="19" t="n">
        <v>1</v>
      </c>
      <c r="M1265" s="11" t="n">
        <v>1</v>
      </c>
      <c r="N1265" s="19" t="n"/>
      <c r="O1265" s="19" t="n"/>
      <c r="P1265" s="19" t="n"/>
      <c r="Q1265" s="19" t="n"/>
      <c r="R1265" s="19" t="n"/>
      <c r="S1265" s="19" t="n"/>
      <c r="T1265" s="19" t="n"/>
      <c r="U1265" s="19" t="n"/>
      <c r="V1265" s="19" t="n"/>
      <c r="W1265" s="19" t="n"/>
      <c r="X1265" s="19" t="n"/>
      <c r="Y1265" s="19" t="n">
        <v>1</v>
      </c>
      <c r="Z1265" s="13">
        <f>SUMPRODUCT(N1265:Y1265,$N$2:$Y$2)*$K1265*$L1265*$M1265</f>
        <v/>
      </c>
      <c r="AA1265" s="14">
        <f>SUM(N1265:Y1265)</f>
        <v/>
      </c>
      <c r="AB1265" s="13">
        <f>SUMPRODUCT(N1265:Y1265,$N$3:$Y$3)*$K1265*$L1265*$M1265</f>
        <v/>
      </c>
      <c r="AC1265" s="13">
        <f>SUMPRODUCT(N1265:Y1265,$N$4:$Y$4)*$K1265*$L1265*$M1265</f>
        <v/>
      </c>
      <c r="AD1265" s="15" t="n">
        <v>3</v>
      </c>
      <c r="AE1265" s="11" t="n">
        <v>1.011296296296296</v>
      </c>
      <c r="AF1265" s="16">
        <f>SUMPRODUCT(N1265:Y1265,$N$5:$Y$5)*$K1265*$L1265*$M1265</f>
        <v/>
      </c>
      <c r="AG1265" s="16">
        <f>SUMPRODUCT(N1265:Y1265,$N$6:$Y$6)*$K1265*$L1265*$M1265</f>
        <v/>
      </c>
      <c r="AH1265" s="20" t="n"/>
    </row>
    <row r="1266">
      <c r="A1266" s="9" t="n">
        <v>692854</v>
      </c>
      <c r="B1266" s="9" t="inlineStr">
        <is>
          <t>Isaias Uribe</t>
        </is>
      </c>
      <c r="C1266" s="9" t="inlineStr">
        <is>
          <t>PIT</t>
        </is>
      </c>
      <c r="D1266" s="9" t="n">
        <v>25</v>
      </c>
      <c r="E1266" s="18" t="inlineStr">
        <is>
          <t>L</t>
        </is>
      </c>
      <c r="F1266" s="18" t="n"/>
      <c r="G1266" s="9" t="n">
        <v>7.453333333333333</v>
      </c>
      <c r="H1266" s="9" t="n">
        <v>7.453333333333333</v>
      </c>
      <c r="I1266" s="9" t="inlineStr">
        <is>
          <t>Depth (no MLB IP)</t>
        </is>
      </c>
      <c r="J1266" s="18" t="inlineStr">
        <is>
          <t>Opening Day</t>
        </is>
      </c>
      <c r="K1266" s="11">
        <f>IFERROR(INDEX(Roles!$B$17:$B$20,MATCH(J1266,Roles!$A$17:$A$20,0)),1)</f>
        <v/>
      </c>
      <c r="L1266" s="19" t="n">
        <v>1</v>
      </c>
      <c r="M1266" s="11" t="n">
        <v>1</v>
      </c>
      <c r="N1266" s="19" t="n"/>
      <c r="O1266" s="19" t="n"/>
      <c r="P1266" s="19" t="n"/>
      <c r="Q1266" s="19" t="n"/>
      <c r="R1266" s="19" t="n"/>
      <c r="S1266" s="19" t="n"/>
      <c r="T1266" s="19" t="n"/>
      <c r="U1266" s="19" t="n"/>
      <c r="V1266" s="19" t="n"/>
      <c r="W1266" s="19" t="n"/>
      <c r="X1266" s="19" t="n"/>
      <c r="Y1266" s="19" t="n">
        <v>1</v>
      </c>
      <c r="Z1266" s="13">
        <f>SUMPRODUCT(N1266:Y1266,$N$2:$Y$2)*$K1266*$L1266*$M1266</f>
        <v/>
      </c>
      <c r="AA1266" s="14">
        <f>SUM(N1266:Y1266)</f>
        <v/>
      </c>
      <c r="AB1266" s="13">
        <f>SUMPRODUCT(N1266:Y1266,$N$3:$Y$3)*$K1266*$L1266*$M1266</f>
        <v/>
      </c>
      <c r="AC1266" s="13">
        <f>SUMPRODUCT(N1266:Y1266,$N$4:$Y$4)*$K1266*$L1266*$M1266</f>
        <v/>
      </c>
      <c r="AD1266" s="15" t="n">
        <v>3</v>
      </c>
      <c r="AE1266" s="11" t="n">
        <v>1.011296296296296</v>
      </c>
      <c r="AF1266" s="16">
        <f>SUMPRODUCT(N1266:Y1266,$N$5:$Y$5)*$K1266*$L1266*$M1266</f>
        <v/>
      </c>
      <c r="AG1266" s="16">
        <f>SUMPRODUCT(N1266:Y1266,$N$6:$Y$6)*$K1266*$L1266*$M1266</f>
        <v/>
      </c>
      <c r="AH1266" s="20" t="n"/>
    </row>
    <row r="1267">
      <c r="A1267" s="9" t="n">
        <v>822415</v>
      </c>
      <c r="B1267" s="9" t="inlineStr">
        <is>
          <t>Mason McConnaughey</t>
        </is>
      </c>
      <c r="C1267" s="9" t="inlineStr">
        <is>
          <t>TEX</t>
        </is>
      </c>
      <c r="D1267" s="9" t="n">
        <v>25</v>
      </c>
      <c r="E1267" s="18" t="inlineStr">
        <is>
          <t>R</t>
        </is>
      </c>
      <c r="F1267" s="18" t="n"/>
      <c r="G1267" s="9" t="n">
        <v>7.223999999999999</v>
      </c>
      <c r="H1267" s="9" t="n">
        <v>7.223999999999999</v>
      </c>
      <c r="I1267" s="9" t="inlineStr">
        <is>
          <t>Depth (no MLB IP)</t>
        </is>
      </c>
      <c r="J1267" s="18" t="inlineStr">
        <is>
          <t>Opening Day</t>
        </is>
      </c>
      <c r="K1267" s="11">
        <f>IFERROR(INDEX(Roles!$B$17:$B$20,MATCH(J1267,Roles!$A$17:$A$20,0)),1)</f>
        <v/>
      </c>
      <c r="L1267" s="19" t="n">
        <v>1</v>
      </c>
      <c r="M1267" s="11" t="n">
        <v>1</v>
      </c>
      <c r="N1267" s="19" t="n"/>
      <c r="O1267" s="19" t="n"/>
      <c r="P1267" s="19" t="n"/>
      <c r="Q1267" s="19" t="n"/>
      <c r="R1267" s="19" t="n"/>
      <c r="S1267" s="19" t="n"/>
      <c r="T1267" s="19" t="n"/>
      <c r="U1267" s="19" t="n"/>
      <c r="V1267" s="19" t="n"/>
      <c r="W1267" s="19" t="n"/>
      <c r="X1267" s="19" t="n"/>
      <c r="Y1267" s="19" t="n">
        <v>1</v>
      </c>
      <c r="Z1267" s="13">
        <f>SUMPRODUCT(N1267:Y1267,$N$2:$Y$2)*$K1267*$L1267*$M1267</f>
        <v/>
      </c>
      <c r="AA1267" s="14">
        <f>SUM(N1267:Y1267)</f>
        <v/>
      </c>
      <c r="AB1267" s="13">
        <f>SUMPRODUCT(N1267:Y1267,$N$3:$Y$3)*$K1267*$L1267*$M1267</f>
        <v/>
      </c>
      <c r="AC1267" s="13">
        <f>SUMPRODUCT(N1267:Y1267,$N$4:$Y$4)*$K1267*$L1267*$M1267</f>
        <v/>
      </c>
      <c r="AD1267" s="15" t="n">
        <v>3</v>
      </c>
      <c r="AE1267" s="11" t="n">
        <v>1.011296296296296</v>
      </c>
      <c r="AF1267" s="16">
        <f>SUMPRODUCT(N1267:Y1267,$N$5:$Y$5)*$K1267*$L1267*$M1267</f>
        <v/>
      </c>
      <c r="AG1267" s="16">
        <f>SUMPRODUCT(N1267:Y1267,$N$6:$Y$6)*$K1267*$L1267*$M1267</f>
        <v/>
      </c>
      <c r="AH1267" s="20" t="n"/>
    </row>
    <row r="1268">
      <c r="A1268" s="9" t="n">
        <v>669366</v>
      </c>
      <c r="B1268" s="9" t="inlineStr">
        <is>
          <t>Trey Dillard</t>
        </is>
      </c>
      <c r="C1268" s="9" t="inlineStr">
        <is>
          <t>SF</t>
        </is>
      </c>
      <c r="D1268" s="9" t="n">
        <v>25</v>
      </c>
      <c r="E1268" s="18" t="inlineStr">
        <is>
          <t>R</t>
        </is>
      </c>
      <c r="F1268" s="18" t="n"/>
      <c r="G1268" s="9" t="n">
        <v>7.453333333333333</v>
      </c>
      <c r="H1268" s="9" t="n">
        <v>7.453333333333333</v>
      </c>
      <c r="I1268" s="9" t="inlineStr">
        <is>
          <t>Depth (no MLB IP)</t>
        </is>
      </c>
      <c r="J1268" s="18" t="inlineStr">
        <is>
          <t>Opening Day</t>
        </is>
      </c>
      <c r="K1268" s="11">
        <f>IFERROR(INDEX(Roles!$B$17:$B$20,MATCH(J1268,Roles!$A$17:$A$20,0)),1)</f>
        <v/>
      </c>
      <c r="L1268" s="19" t="n">
        <v>1</v>
      </c>
      <c r="M1268" s="11" t="n">
        <v>1</v>
      </c>
      <c r="N1268" s="19" t="n"/>
      <c r="O1268" s="19" t="n"/>
      <c r="P1268" s="19" t="n"/>
      <c r="Q1268" s="19" t="n"/>
      <c r="R1268" s="19" t="n"/>
      <c r="S1268" s="19" t="n"/>
      <c r="T1268" s="19" t="n"/>
      <c r="U1268" s="19" t="n"/>
      <c r="V1268" s="19" t="n"/>
      <c r="W1268" s="19" t="n"/>
      <c r="X1268" s="19" t="n"/>
      <c r="Y1268" s="19" t="n">
        <v>1</v>
      </c>
      <c r="Z1268" s="13">
        <f>SUMPRODUCT(N1268:Y1268,$N$2:$Y$2)*$K1268*$L1268*$M1268</f>
        <v/>
      </c>
      <c r="AA1268" s="14">
        <f>SUM(N1268:Y1268)</f>
        <v/>
      </c>
      <c r="AB1268" s="13">
        <f>SUMPRODUCT(N1268:Y1268,$N$3:$Y$3)*$K1268*$L1268*$M1268</f>
        <v/>
      </c>
      <c r="AC1268" s="13">
        <f>SUMPRODUCT(N1268:Y1268,$N$4:$Y$4)*$K1268*$L1268*$M1268</f>
        <v/>
      </c>
      <c r="AD1268" s="15" t="n">
        <v>3</v>
      </c>
      <c r="AE1268" s="11" t="n">
        <v>1.011296296296296</v>
      </c>
      <c r="AF1268" s="16">
        <f>SUMPRODUCT(N1268:Y1268,$N$5:$Y$5)*$K1268*$L1268*$M1268</f>
        <v/>
      </c>
      <c r="AG1268" s="16">
        <f>SUMPRODUCT(N1268:Y1268,$N$6:$Y$6)*$K1268*$L1268*$M1268</f>
        <v/>
      </c>
      <c r="AH1268" s="20" t="n"/>
    </row>
    <row r="1269">
      <c r="A1269" s="9" t="n">
        <v>669419</v>
      </c>
      <c r="B1269" s="9" t="inlineStr">
        <is>
          <t>Michael Hobbs</t>
        </is>
      </c>
      <c r="C1269" s="9" t="inlineStr">
        <is>
          <t>SEA</t>
        </is>
      </c>
      <c r="D1269" s="9" t="n">
        <v>25</v>
      </c>
      <c r="E1269" s="18" t="inlineStr">
        <is>
          <t>R</t>
        </is>
      </c>
      <c r="F1269" s="18" t="n"/>
      <c r="G1269" s="9" t="n">
        <v>7.524999999999999</v>
      </c>
      <c r="H1269" s="9" t="n">
        <v>7.524999999999999</v>
      </c>
      <c r="I1269" s="9" t="inlineStr">
        <is>
          <t>Depth (no MLB IP)</t>
        </is>
      </c>
      <c r="J1269" s="18" t="inlineStr">
        <is>
          <t>Opening Day</t>
        </is>
      </c>
      <c r="K1269" s="11">
        <f>IFERROR(INDEX(Roles!$B$17:$B$20,MATCH(J1269,Roles!$A$17:$A$20,0)),1)</f>
        <v/>
      </c>
      <c r="L1269" s="19" t="n">
        <v>1</v>
      </c>
      <c r="M1269" s="11" t="n">
        <v>1</v>
      </c>
      <c r="N1269" s="19" t="n"/>
      <c r="O1269" s="19" t="n"/>
      <c r="P1269" s="19" t="n"/>
      <c r="Q1269" s="19" t="n"/>
      <c r="R1269" s="19" t="n"/>
      <c r="S1269" s="19" t="n"/>
      <c r="T1269" s="19" t="n"/>
      <c r="U1269" s="19" t="n"/>
      <c r="V1269" s="19" t="n"/>
      <c r="W1269" s="19" t="n"/>
      <c r="X1269" s="19" t="n"/>
      <c r="Y1269" s="19" t="n">
        <v>1</v>
      </c>
      <c r="Z1269" s="13">
        <f>SUMPRODUCT(N1269:Y1269,$N$2:$Y$2)*$K1269*$L1269*$M1269</f>
        <v/>
      </c>
      <c r="AA1269" s="14">
        <f>SUM(N1269:Y1269)</f>
        <v/>
      </c>
      <c r="AB1269" s="13">
        <f>SUMPRODUCT(N1269:Y1269,$N$3:$Y$3)*$K1269*$L1269*$M1269</f>
        <v/>
      </c>
      <c r="AC1269" s="13">
        <f>SUMPRODUCT(N1269:Y1269,$N$4:$Y$4)*$K1269*$L1269*$M1269</f>
        <v/>
      </c>
      <c r="AD1269" s="15" t="n">
        <v>3</v>
      </c>
      <c r="AE1269" s="11" t="n">
        <v>1.011296296296296</v>
      </c>
      <c r="AF1269" s="16">
        <f>SUMPRODUCT(N1269:Y1269,$N$5:$Y$5)*$K1269*$L1269*$M1269</f>
        <v/>
      </c>
      <c r="AG1269" s="16">
        <f>SUMPRODUCT(N1269:Y1269,$N$6:$Y$6)*$K1269*$L1269*$M1269</f>
        <v/>
      </c>
      <c r="AH1269" s="20" t="n"/>
    </row>
    <row r="1270">
      <c r="A1270" s="9" t="n">
        <v>806155</v>
      </c>
      <c r="B1270" s="9" t="inlineStr">
        <is>
          <t>Ethan McElvain</t>
        </is>
      </c>
      <c r="C1270" s="9" t="inlineStr">
        <is>
          <t>KC</t>
        </is>
      </c>
      <c r="D1270" s="9" t="n">
        <v>25</v>
      </c>
      <c r="E1270" s="18" t="inlineStr">
        <is>
          <t>L</t>
        </is>
      </c>
      <c r="F1270" s="18" t="n"/>
      <c r="G1270" s="9" t="n">
        <v>7.453333333333333</v>
      </c>
      <c r="H1270" s="9" t="n">
        <v>7.453333333333333</v>
      </c>
      <c r="I1270" s="9" t="inlineStr">
        <is>
          <t>Depth (no MLB IP)</t>
        </is>
      </c>
      <c r="J1270" s="18" t="inlineStr">
        <is>
          <t>Opening Day</t>
        </is>
      </c>
      <c r="K1270" s="11">
        <f>IFERROR(INDEX(Roles!$B$17:$B$20,MATCH(J1270,Roles!$A$17:$A$20,0)),1)</f>
        <v/>
      </c>
      <c r="L1270" s="19" t="n">
        <v>1</v>
      </c>
      <c r="M1270" s="11" t="n">
        <v>1</v>
      </c>
      <c r="N1270" s="19" t="n"/>
      <c r="O1270" s="19" t="n"/>
      <c r="P1270" s="19" t="n"/>
      <c r="Q1270" s="19" t="n"/>
      <c r="R1270" s="19" t="n"/>
      <c r="S1270" s="19" t="n"/>
      <c r="T1270" s="19" t="n"/>
      <c r="U1270" s="19" t="n"/>
      <c r="V1270" s="19" t="n"/>
      <c r="W1270" s="19" t="n"/>
      <c r="X1270" s="19" t="n"/>
      <c r="Y1270" s="19" t="n">
        <v>1</v>
      </c>
      <c r="Z1270" s="13">
        <f>SUMPRODUCT(N1270:Y1270,$N$2:$Y$2)*$K1270*$L1270*$M1270</f>
        <v/>
      </c>
      <c r="AA1270" s="14">
        <f>SUM(N1270:Y1270)</f>
        <v/>
      </c>
      <c r="AB1270" s="13">
        <f>SUMPRODUCT(N1270:Y1270,$N$3:$Y$3)*$K1270*$L1270*$M1270</f>
        <v/>
      </c>
      <c r="AC1270" s="13">
        <f>SUMPRODUCT(N1270:Y1270,$N$4:$Y$4)*$K1270*$L1270*$M1270</f>
        <v/>
      </c>
      <c r="AD1270" s="15" t="n">
        <v>3</v>
      </c>
      <c r="AE1270" s="11" t="n">
        <v>1.011296296296296</v>
      </c>
      <c r="AF1270" s="16">
        <f>SUMPRODUCT(N1270:Y1270,$N$5:$Y$5)*$K1270*$L1270*$M1270</f>
        <v/>
      </c>
      <c r="AG1270" s="16">
        <f>SUMPRODUCT(N1270:Y1270,$N$6:$Y$6)*$K1270*$L1270*$M1270</f>
        <v/>
      </c>
      <c r="AH1270" s="20" t="n"/>
    </row>
    <row r="1271">
      <c r="A1271" s="9" t="n">
        <v>805812</v>
      </c>
      <c r="B1271" s="9" t="inlineStr">
        <is>
          <t>Dylan Questad</t>
        </is>
      </c>
      <c r="C1271" s="9" t="inlineStr">
        <is>
          <t>MIN</t>
        </is>
      </c>
      <c r="D1271" s="9" t="n">
        <v>25</v>
      </c>
      <c r="E1271" s="18" t="inlineStr">
        <is>
          <t>R</t>
        </is>
      </c>
      <c r="F1271" s="18" t="n"/>
      <c r="G1271" s="9" t="n">
        <v>7.396</v>
      </c>
      <c r="H1271" s="9" t="n">
        <v>7.396</v>
      </c>
      <c r="I1271" s="9" t="inlineStr">
        <is>
          <t>Depth (no MLB IP)</t>
        </is>
      </c>
      <c r="J1271" s="18" t="inlineStr">
        <is>
          <t>Opening Day</t>
        </is>
      </c>
      <c r="K1271" s="11">
        <f>IFERROR(INDEX(Roles!$B$17:$B$20,MATCH(J1271,Roles!$A$17:$A$20,0)),1)</f>
        <v/>
      </c>
      <c r="L1271" s="19" t="n">
        <v>1</v>
      </c>
      <c r="M1271" s="11" t="n">
        <v>1</v>
      </c>
      <c r="N1271" s="19" t="n"/>
      <c r="O1271" s="19" t="n"/>
      <c r="P1271" s="19" t="n"/>
      <c r="Q1271" s="19" t="n"/>
      <c r="R1271" s="19" t="n"/>
      <c r="S1271" s="19" t="n"/>
      <c r="T1271" s="19" t="n"/>
      <c r="U1271" s="19" t="n"/>
      <c r="V1271" s="19" t="n"/>
      <c r="W1271" s="19" t="n"/>
      <c r="X1271" s="19" t="n"/>
      <c r="Y1271" s="19" t="n">
        <v>1</v>
      </c>
      <c r="Z1271" s="13">
        <f>SUMPRODUCT(N1271:Y1271,$N$2:$Y$2)*$K1271*$L1271*$M1271</f>
        <v/>
      </c>
      <c r="AA1271" s="14">
        <f>SUM(N1271:Y1271)</f>
        <v/>
      </c>
      <c r="AB1271" s="13">
        <f>SUMPRODUCT(N1271:Y1271,$N$3:$Y$3)*$K1271*$L1271*$M1271</f>
        <v/>
      </c>
      <c r="AC1271" s="13">
        <f>SUMPRODUCT(N1271:Y1271,$N$4:$Y$4)*$K1271*$L1271*$M1271</f>
        <v/>
      </c>
      <c r="AD1271" s="15" t="n">
        <v>3</v>
      </c>
      <c r="AE1271" s="11" t="n">
        <v>1.011296296296296</v>
      </c>
      <c r="AF1271" s="16">
        <f>SUMPRODUCT(N1271:Y1271,$N$5:$Y$5)*$K1271*$L1271*$M1271</f>
        <v/>
      </c>
      <c r="AG1271" s="16">
        <f>SUMPRODUCT(N1271:Y1271,$N$6:$Y$6)*$K1271*$L1271*$M1271</f>
        <v/>
      </c>
      <c r="AH1271" s="20" t="n"/>
    </row>
    <row r="1272">
      <c r="A1272" s="9" t="n">
        <v>810826</v>
      </c>
      <c r="B1272" s="9" t="inlineStr">
        <is>
          <t>Cam Padgett</t>
        </is>
      </c>
      <c r="C1272" s="9" t="inlineStr">
        <is>
          <t>BOS</t>
        </is>
      </c>
      <c r="D1272" s="9" t="n">
        <v>25</v>
      </c>
      <c r="E1272" s="18" t="inlineStr">
        <is>
          <t>R</t>
        </is>
      </c>
      <c r="F1272" s="18" t="n"/>
      <c r="G1272" s="9" t="n">
        <v>7.396</v>
      </c>
      <c r="H1272" s="9" t="n">
        <v>7.396</v>
      </c>
      <c r="I1272" s="9" t="inlineStr">
        <is>
          <t>Depth (no MLB IP)</t>
        </is>
      </c>
      <c r="J1272" s="18" t="inlineStr">
        <is>
          <t>Opening Day</t>
        </is>
      </c>
      <c r="K1272" s="11">
        <f>IFERROR(INDEX(Roles!$B$17:$B$20,MATCH(J1272,Roles!$A$17:$A$20,0)),1)</f>
        <v/>
      </c>
      <c r="L1272" s="19" t="n">
        <v>1</v>
      </c>
      <c r="M1272" s="11" t="n">
        <v>1</v>
      </c>
      <c r="N1272" s="19" t="n"/>
      <c r="O1272" s="19" t="n"/>
      <c r="P1272" s="19" t="n"/>
      <c r="Q1272" s="19" t="n"/>
      <c r="R1272" s="19" t="n"/>
      <c r="S1272" s="19" t="n"/>
      <c r="T1272" s="19" t="n"/>
      <c r="U1272" s="19" t="n"/>
      <c r="V1272" s="19" t="n"/>
      <c r="W1272" s="19" t="n"/>
      <c r="X1272" s="19" t="n"/>
      <c r="Y1272" s="19" t="n">
        <v>1</v>
      </c>
      <c r="Z1272" s="13">
        <f>SUMPRODUCT(N1272:Y1272,$N$2:$Y$2)*$K1272*$L1272*$M1272</f>
        <v/>
      </c>
      <c r="AA1272" s="14">
        <f>SUM(N1272:Y1272)</f>
        <v/>
      </c>
      <c r="AB1272" s="13">
        <f>SUMPRODUCT(N1272:Y1272,$N$3:$Y$3)*$K1272*$L1272*$M1272</f>
        <v/>
      </c>
      <c r="AC1272" s="13">
        <f>SUMPRODUCT(N1272:Y1272,$N$4:$Y$4)*$K1272*$L1272*$M1272</f>
        <v/>
      </c>
      <c r="AD1272" s="15" t="n">
        <v>3</v>
      </c>
      <c r="AE1272" s="11" t="n">
        <v>1.011296296296296</v>
      </c>
      <c r="AF1272" s="16">
        <f>SUMPRODUCT(N1272:Y1272,$N$5:$Y$5)*$K1272*$L1272*$M1272</f>
        <v/>
      </c>
      <c r="AG1272" s="16">
        <f>SUMPRODUCT(N1272:Y1272,$N$6:$Y$6)*$K1272*$L1272*$M1272</f>
        <v/>
      </c>
      <c r="AH1272" s="20" t="n"/>
    </row>
    <row r="1273">
      <c r="A1273" s="9" t="n">
        <v>703148</v>
      </c>
      <c r="B1273" s="9" t="inlineStr">
        <is>
          <t>Raimon Gomez</t>
        </is>
      </c>
      <c r="C1273" s="9" t="inlineStr">
        <is>
          <t>BAL</t>
        </is>
      </c>
      <c r="D1273" s="9" t="n">
        <v>25</v>
      </c>
      <c r="E1273" s="18" t="inlineStr">
        <is>
          <t>R</t>
        </is>
      </c>
      <c r="F1273" s="18" t="n"/>
      <c r="G1273" s="9" t="n">
        <v>7.166666666666668</v>
      </c>
      <c r="H1273" s="9" t="n">
        <v>7.166666666666668</v>
      </c>
      <c r="I1273" s="9" t="inlineStr">
        <is>
          <t>Depth (no MLB IP)</t>
        </is>
      </c>
      <c r="J1273" s="18" t="inlineStr">
        <is>
          <t>Opening Day</t>
        </is>
      </c>
      <c r="K1273" s="11">
        <f>IFERROR(INDEX(Roles!$B$17:$B$20,MATCH(J1273,Roles!$A$17:$A$20,0)),1)</f>
        <v/>
      </c>
      <c r="L1273" s="19" t="n">
        <v>1</v>
      </c>
      <c r="M1273" s="11" t="n">
        <v>1</v>
      </c>
      <c r="N1273" s="19" t="n"/>
      <c r="O1273" s="19" t="n"/>
      <c r="P1273" s="19" t="n"/>
      <c r="Q1273" s="19" t="n"/>
      <c r="R1273" s="19" t="n"/>
      <c r="S1273" s="19" t="n"/>
      <c r="T1273" s="19" t="n"/>
      <c r="U1273" s="19" t="n"/>
      <c r="V1273" s="19" t="n"/>
      <c r="W1273" s="19" t="n"/>
      <c r="X1273" s="19" t="n"/>
      <c r="Y1273" s="19" t="n">
        <v>1</v>
      </c>
      <c r="Z1273" s="13">
        <f>SUMPRODUCT(N1273:Y1273,$N$2:$Y$2)*$K1273*$L1273*$M1273</f>
        <v/>
      </c>
      <c r="AA1273" s="14">
        <f>SUM(N1273:Y1273)</f>
        <v/>
      </c>
      <c r="AB1273" s="13">
        <f>SUMPRODUCT(N1273:Y1273,$N$3:$Y$3)*$K1273*$L1273*$M1273</f>
        <v/>
      </c>
      <c r="AC1273" s="13">
        <f>SUMPRODUCT(N1273:Y1273,$N$4:$Y$4)*$K1273*$L1273*$M1273</f>
        <v/>
      </c>
      <c r="AD1273" s="15" t="n">
        <v>3</v>
      </c>
      <c r="AE1273" s="11" t="n">
        <v>1.011296296296296</v>
      </c>
      <c r="AF1273" s="16">
        <f>SUMPRODUCT(N1273:Y1273,$N$5:$Y$5)*$K1273*$L1273*$M1273</f>
        <v/>
      </c>
      <c r="AG1273" s="16">
        <f>SUMPRODUCT(N1273:Y1273,$N$6:$Y$6)*$K1273*$L1273*$M1273</f>
        <v/>
      </c>
      <c r="AH1273" s="20" t="n"/>
    </row>
    <row r="1274">
      <c r="A1274" s="9" t="n">
        <v>701374</v>
      </c>
      <c r="B1274" s="9" t="inlineStr">
        <is>
          <t>Zack Showalter</t>
        </is>
      </c>
      <c r="C1274" s="9" t="inlineStr">
        <is>
          <t>STL</t>
        </is>
      </c>
      <c r="D1274" s="9" t="n">
        <v>25</v>
      </c>
      <c r="E1274" s="18" t="inlineStr">
        <is>
          <t>R</t>
        </is>
      </c>
      <c r="F1274" s="18" t="n"/>
      <c r="G1274" s="9" t="n">
        <v>7.453333333333333</v>
      </c>
      <c r="H1274" s="9" t="n">
        <v>7.453333333333333</v>
      </c>
      <c r="I1274" s="9" t="inlineStr">
        <is>
          <t>Depth (no MLB IP)</t>
        </is>
      </c>
      <c r="J1274" s="18" t="inlineStr">
        <is>
          <t>Opening Day</t>
        </is>
      </c>
      <c r="K1274" s="11">
        <f>IFERROR(INDEX(Roles!$B$17:$B$20,MATCH(J1274,Roles!$A$17:$A$20,0)),1)</f>
        <v/>
      </c>
      <c r="L1274" s="19" t="n">
        <v>1</v>
      </c>
      <c r="M1274" s="11" t="n">
        <v>1</v>
      </c>
      <c r="N1274" s="19" t="n"/>
      <c r="O1274" s="19" t="n"/>
      <c r="P1274" s="19" t="n"/>
      <c r="Q1274" s="19" t="n"/>
      <c r="R1274" s="19" t="n"/>
      <c r="S1274" s="19" t="n"/>
      <c r="T1274" s="19" t="n"/>
      <c r="U1274" s="19" t="n"/>
      <c r="V1274" s="19" t="n"/>
      <c r="W1274" s="19" t="n"/>
      <c r="X1274" s="19" t="n"/>
      <c r="Y1274" s="19" t="n">
        <v>1</v>
      </c>
      <c r="Z1274" s="13">
        <f>SUMPRODUCT(N1274:Y1274,$N$2:$Y$2)*$K1274*$L1274*$M1274</f>
        <v/>
      </c>
      <c r="AA1274" s="14">
        <f>SUM(N1274:Y1274)</f>
        <v/>
      </c>
      <c r="AB1274" s="13">
        <f>SUMPRODUCT(N1274:Y1274,$N$3:$Y$3)*$K1274*$L1274*$M1274</f>
        <v/>
      </c>
      <c r="AC1274" s="13">
        <f>SUMPRODUCT(N1274:Y1274,$N$4:$Y$4)*$K1274*$L1274*$M1274</f>
        <v/>
      </c>
      <c r="AD1274" s="15" t="n">
        <v>3</v>
      </c>
      <c r="AE1274" s="11" t="n">
        <v>1.011296296296296</v>
      </c>
      <c r="AF1274" s="16">
        <f>SUMPRODUCT(N1274:Y1274,$N$5:$Y$5)*$K1274*$L1274*$M1274</f>
        <v/>
      </c>
      <c r="AG1274" s="16">
        <f>SUMPRODUCT(N1274:Y1274,$N$6:$Y$6)*$K1274*$L1274*$M1274</f>
        <v/>
      </c>
      <c r="AH1274" s="20" t="n"/>
    </row>
    <row r="1275">
      <c r="A1275" s="9" t="n">
        <v>808343</v>
      </c>
      <c r="B1275" s="9" t="inlineStr">
        <is>
          <t>Jormy Nivar</t>
        </is>
      </c>
      <c r="C1275" s="9" t="inlineStr">
        <is>
          <t>TEX</t>
        </is>
      </c>
      <c r="D1275" s="9" t="n">
        <v>25</v>
      </c>
      <c r="E1275" s="18" t="inlineStr">
        <is>
          <t>R</t>
        </is>
      </c>
      <c r="F1275" s="18" t="n"/>
      <c r="G1275" s="9" t="n">
        <v>7.453333333333333</v>
      </c>
      <c r="H1275" s="9" t="n">
        <v>7.453333333333333</v>
      </c>
      <c r="I1275" s="9" t="inlineStr">
        <is>
          <t>Depth (no MLB IP)</t>
        </is>
      </c>
      <c r="J1275" s="18" t="inlineStr">
        <is>
          <t>Opening Day</t>
        </is>
      </c>
      <c r="K1275" s="11">
        <f>IFERROR(INDEX(Roles!$B$17:$B$20,MATCH(J1275,Roles!$A$17:$A$20,0)),1)</f>
        <v/>
      </c>
      <c r="L1275" s="19" t="n">
        <v>1</v>
      </c>
      <c r="M1275" s="11" t="n">
        <v>1</v>
      </c>
      <c r="N1275" s="19" t="n"/>
      <c r="O1275" s="19" t="n"/>
      <c r="P1275" s="19" t="n"/>
      <c r="Q1275" s="19" t="n"/>
      <c r="R1275" s="19" t="n"/>
      <c r="S1275" s="19" t="n"/>
      <c r="T1275" s="19" t="n"/>
      <c r="U1275" s="19" t="n"/>
      <c r="V1275" s="19" t="n"/>
      <c r="W1275" s="19" t="n"/>
      <c r="X1275" s="19" t="n"/>
      <c r="Y1275" s="19" t="n">
        <v>1</v>
      </c>
      <c r="Z1275" s="13">
        <f>SUMPRODUCT(N1275:Y1275,$N$2:$Y$2)*$K1275*$L1275*$M1275</f>
        <v/>
      </c>
      <c r="AA1275" s="14">
        <f>SUM(N1275:Y1275)</f>
        <v/>
      </c>
      <c r="AB1275" s="13">
        <f>SUMPRODUCT(N1275:Y1275,$N$3:$Y$3)*$K1275*$L1275*$M1275</f>
        <v/>
      </c>
      <c r="AC1275" s="13">
        <f>SUMPRODUCT(N1275:Y1275,$N$4:$Y$4)*$K1275*$L1275*$M1275</f>
        <v/>
      </c>
      <c r="AD1275" s="15" t="n">
        <v>3</v>
      </c>
      <c r="AE1275" s="11" t="n">
        <v>1.011296296296296</v>
      </c>
      <c r="AF1275" s="16">
        <f>SUMPRODUCT(N1275:Y1275,$N$5:$Y$5)*$K1275*$L1275*$M1275</f>
        <v/>
      </c>
      <c r="AG1275" s="16">
        <f>SUMPRODUCT(N1275:Y1275,$N$6:$Y$6)*$K1275*$L1275*$M1275</f>
        <v/>
      </c>
      <c r="AH1275" s="20" t="n"/>
    </row>
    <row r="1276">
      <c r="A1276" s="9" t="n">
        <v>808349</v>
      </c>
      <c r="B1276" s="9" t="inlineStr">
        <is>
          <t>Cristian Hernandez</t>
        </is>
      </c>
      <c r="C1276" s="9" t="inlineStr">
        <is>
          <t>MIN</t>
        </is>
      </c>
      <c r="D1276" s="9" t="n">
        <v>25</v>
      </c>
      <c r="E1276" s="18" t="inlineStr">
        <is>
          <t>R</t>
        </is>
      </c>
      <c r="F1276" s="18" t="n"/>
      <c r="G1276" s="9" t="n">
        <v>7.568</v>
      </c>
      <c r="H1276" s="9" t="n">
        <v>7.568</v>
      </c>
      <c r="I1276" s="9" t="inlineStr">
        <is>
          <t>Depth (no MLB IP)</t>
        </is>
      </c>
      <c r="J1276" s="18" t="inlineStr">
        <is>
          <t>Opening Day</t>
        </is>
      </c>
      <c r="K1276" s="11">
        <f>IFERROR(INDEX(Roles!$B$17:$B$20,MATCH(J1276,Roles!$A$17:$A$20,0)),1)</f>
        <v/>
      </c>
      <c r="L1276" s="19" t="n">
        <v>1</v>
      </c>
      <c r="M1276" s="11" t="n">
        <v>1</v>
      </c>
      <c r="N1276" s="19" t="n"/>
      <c r="O1276" s="19" t="n"/>
      <c r="P1276" s="19" t="n"/>
      <c r="Q1276" s="19" t="n"/>
      <c r="R1276" s="19" t="n"/>
      <c r="S1276" s="19" t="n"/>
      <c r="T1276" s="19" t="n"/>
      <c r="U1276" s="19" t="n"/>
      <c r="V1276" s="19" t="n"/>
      <c r="W1276" s="19" t="n"/>
      <c r="X1276" s="19" t="n"/>
      <c r="Y1276" s="19" t="n">
        <v>1</v>
      </c>
      <c r="Z1276" s="13">
        <f>SUMPRODUCT(N1276:Y1276,$N$2:$Y$2)*$K1276*$L1276*$M1276</f>
        <v/>
      </c>
      <c r="AA1276" s="14">
        <f>SUM(N1276:Y1276)</f>
        <v/>
      </c>
      <c r="AB1276" s="13">
        <f>SUMPRODUCT(N1276:Y1276,$N$3:$Y$3)*$K1276*$L1276*$M1276</f>
        <v/>
      </c>
      <c r="AC1276" s="13">
        <f>SUMPRODUCT(N1276:Y1276,$N$4:$Y$4)*$K1276*$L1276*$M1276</f>
        <v/>
      </c>
      <c r="AD1276" s="15" t="n">
        <v>3</v>
      </c>
      <c r="AE1276" s="11" t="n">
        <v>1.011296296296296</v>
      </c>
      <c r="AF1276" s="16">
        <f>SUMPRODUCT(N1276:Y1276,$N$5:$Y$5)*$K1276*$L1276*$M1276</f>
        <v/>
      </c>
      <c r="AG1276" s="16">
        <f>SUMPRODUCT(N1276:Y1276,$N$6:$Y$6)*$K1276*$L1276*$M1276</f>
        <v/>
      </c>
      <c r="AH1276" s="20" t="n"/>
    </row>
    <row r="1277">
      <c r="A1277" s="9" t="n">
        <v>823891</v>
      </c>
      <c r="B1277" s="9" t="inlineStr">
        <is>
          <t>Jhoster Baez</t>
        </is>
      </c>
      <c r="C1277" s="9" t="inlineStr">
        <is>
          <t>HOU</t>
        </is>
      </c>
      <c r="D1277" s="9" t="n">
        <v>25</v>
      </c>
      <c r="E1277" s="18" t="inlineStr">
        <is>
          <t>R</t>
        </is>
      </c>
      <c r="F1277" s="18" t="n"/>
      <c r="G1277" s="9" t="n">
        <v>7.453333333333333</v>
      </c>
      <c r="H1277" s="9" t="n">
        <v>7.453333333333333</v>
      </c>
      <c r="I1277" s="9" t="inlineStr">
        <is>
          <t>Depth (no MLB IP)</t>
        </is>
      </c>
      <c r="J1277" s="18" t="inlineStr">
        <is>
          <t>Opening Day</t>
        </is>
      </c>
      <c r="K1277" s="11">
        <f>IFERROR(INDEX(Roles!$B$17:$B$20,MATCH(J1277,Roles!$A$17:$A$20,0)),1)</f>
        <v/>
      </c>
      <c r="L1277" s="19" t="n">
        <v>1</v>
      </c>
      <c r="M1277" s="11" t="n">
        <v>1</v>
      </c>
      <c r="N1277" s="19" t="n"/>
      <c r="O1277" s="19" t="n"/>
      <c r="P1277" s="19" t="n"/>
      <c r="Q1277" s="19" t="n"/>
      <c r="R1277" s="19" t="n"/>
      <c r="S1277" s="19" t="n"/>
      <c r="T1277" s="19" t="n"/>
      <c r="U1277" s="19" t="n"/>
      <c r="V1277" s="19" t="n"/>
      <c r="W1277" s="19" t="n"/>
      <c r="X1277" s="19" t="n"/>
      <c r="Y1277" s="19" t="n">
        <v>1</v>
      </c>
      <c r="Z1277" s="13">
        <f>SUMPRODUCT(N1277:Y1277,$N$2:$Y$2)*$K1277*$L1277*$M1277</f>
        <v/>
      </c>
      <c r="AA1277" s="14">
        <f>SUM(N1277:Y1277)</f>
        <v/>
      </c>
      <c r="AB1277" s="13">
        <f>SUMPRODUCT(N1277:Y1277,$N$3:$Y$3)*$K1277*$L1277*$M1277</f>
        <v/>
      </c>
      <c r="AC1277" s="13">
        <f>SUMPRODUCT(N1277:Y1277,$N$4:$Y$4)*$K1277*$L1277*$M1277</f>
        <v/>
      </c>
      <c r="AD1277" s="15" t="n">
        <v>3</v>
      </c>
      <c r="AE1277" s="11" t="n">
        <v>1.011296296296296</v>
      </c>
      <c r="AF1277" s="16">
        <f>SUMPRODUCT(N1277:Y1277,$N$5:$Y$5)*$K1277*$L1277*$M1277</f>
        <v/>
      </c>
      <c r="AG1277" s="16">
        <f>SUMPRODUCT(N1277:Y1277,$N$6:$Y$6)*$K1277*$L1277*$M1277</f>
        <v/>
      </c>
      <c r="AH1277" s="20" t="n"/>
    </row>
    <row r="1278">
      <c r="A1278" s="9" t="n">
        <v>686705</v>
      </c>
      <c r="B1278" s="9" t="inlineStr">
        <is>
          <t>Daniel Ouderkirk</t>
        </is>
      </c>
      <c r="C1278" s="9" t="inlineStr">
        <is>
          <t>SEA</t>
        </is>
      </c>
      <c r="D1278" s="9" t="n">
        <v>25</v>
      </c>
      <c r="E1278" s="18" t="inlineStr">
        <is>
          <t>R</t>
        </is>
      </c>
      <c r="F1278" s="18" t="n"/>
      <c r="G1278" s="9" t="n">
        <v>7.568</v>
      </c>
      <c r="H1278" s="9" t="n">
        <v>7.568</v>
      </c>
      <c r="I1278" s="9" t="inlineStr">
        <is>
          <t>Depth (no MLB IP)</t>
        </is>
      </c>
      <c r="J1278" s="18" t="inlineStr">
        <is>
          <t>Opening Day</t>
        </is>
      </c>
      <c r="K1278" s="11">
        <f>IFERROR(INDEX(Roles!$B$17:$B$20,MATCH(J1278,Roles!$A$17:$A$20,0)),1)</f>
        <v/>
      </c>
      <c r="L1278" s="19" t="n">
        <v>1</v>
      </c>
      <c r="M1278" s="11" t="n">
        <v>1</v>
      </c>
      <c r="N1278" s="19" t="n"/>
      <c r="O1278" s="19" t="n"/>
      <c r="P1278" s="19" t="n"/>
      <c r="Q1278" s="19" t="n"/>
      <c r="R1278" s="19" t="n"/>
      <c r="S1278" s="19" t="n"/>
      <c r="T1278" s="19" t="n"/>
      <c r="U1278" s="19" t="n"/>
      <c r="V1278" s="19" t="n"/>
      <c r="W1278" s="19" t="n"/>
      <c r="X1278" s="19" t="n"/>
      <c r="Y1278" s="19" t="n">
        <v>1</v>
      </c>
      <c r="Z1278" s="13">
        <f>SUMPRODUCT(N1278:Y1278,$N$2:$Y$2)*$K1278*$L1278*$M1278</f>
        <v/>
      </c>
      <c r="AA1278" s="14">
        <f>SUM(N1278:Y1278)</f>
        <v/>
      </c>
      <c r="AB1278" s="13">
        <f>SUMPRODUCT(N1278:Y1278,$N$3:$Y$3)*$K1278*$L1278*$M1278</f>
        <v/>
      </c>
      <c r="AC1278" s="13">
        <f>SUMPRODUCT(N1278:Y1278,$N$4:$Y$4)*$K1278*$L1278*$M1278</f>
        <v/>
      </c>
      <c r="AD1278" s="15" t="n">
        <v>3</v>
      </c>
      <c r="AE1278" s="11" t="n">
        <v>1.011296296296296</v>
      </c>
      <c r="AF1278" s="16">
        <f>SUMPRODUCT(N1278:Y1278,$N$5:$Y$5)*$K1278*$L1278*$M1278</f>
        <v/>
      </c>
      <c r="AG1278" s="16">
        <f>SUMPRODUCT(N1278:Y1278,$N$6:$Y$6)*$K1278*$L1278*$M1278</f>
        <v/>
      </c>
      <c r="AH1278" s="20" t="n"/>
    </row>
    <row r="1279">
      <c r="A1279" s="9" t="n">
        <v>841027</v>
      </c>
      <c r="B1279" s="9" t="inlineStr">
        <is>
          <t>Brian Garmon</t>
        </is>
      </c>
      <c r="C1279" s="9" t="inlineStr">
        <is>
          <t>STL</t>
        </is>
      </c>
      <c r="D1279" s="9" t="n">
        <v>25</v>
      </c>
      <c r="E1279" s="18" t="inlineStr">
        <is>
          <t>R</t>
        </is>
      </c>
      <c r="F1279" s="18" t="n"/>
      <c r="G1279" s="9" t="n">
        <v>7.568</v>
      </c>
      <c r="H1279" s="9" t="n">
        <v>7.568</v>
      </c>
      <c r="I1279" s="9" t="inlineStr">
        <is>
          <t>Depth (no MLB IP)</t>
        </is>
      </c>
      <c r="J1279" s="18" t="inlineStr">
        <is>
          <t>Opening Day</t>
        </is>
      </c>
      <c r="K1279" s="11">
        <f>IFERROR(INDEX(Roles!$B$17:$B$20,MATCH(J1279,Roles!$A$17:$A$20,0)),1)</f>
        <v/>
      </c>
      <c r="L1279" s="19" t="n">
        <v>1</v>
      </c>
      <c r="M1279" s="11" t="n">
        <v>1</v>
      </c>
      <c r="N1279" s="19" t="n"/>
      <c r="O1279" s="19" t="n"/>
      <c r="P1279" s="19" t="n"/>
      <c r="Q1279" s="19" t="n"/>
      <c r="R1279" s="19" t="n"/>
      <c r="S1279" s="19" t="n"/>
      <c r="T1279" s="19" t="n"/>
      <c r="U1279" s="19" t="n"/>
      <c r="V1279" s="19" t="n"/>
      <c r="W1279" s="19" t="n"/>
      <c r="X1279" s="19" t="n"/>
      <c r="Y1279" s="19" t="n">
        <v>1</v>
      </c>
      <c r="Z1279" s="13">
        <f>SUMPRODUCT(N1279:Y1279,$N$2:$Y$2)*$K1279*$L1279*$M1279</f>
        <v/>
      </c>
      <c r="AA1279" s="14">
        <f>SUM(N1279:Y1279)</f>
        <v/>
      </c>
      <c r="AB1279" s="13">
        <f>SUMPRODUCT(N1279:Y1279,$N$3:$Y$3)*$K1279*$L1279*$M1279</f>
        <v/>
      </c>
      <c r="AC1279" s="13">
        <f>SUMPRODUCT(N1279:Y1279,$N$4:$Y$4)*$K1279*$L1279*$M1279</f>
        <v/>
      </c>
      <c r="AD1279" s="15" t="n">
        <v>3</v>
      </c>
      <c r="AE1279" s="11" t="n">
        <v>1.011296296296296</v>
      </c>
      <c r="AF1279" s="16">
        <f>SUMPRODUCT(N1279:Y1279,$N$5:$Y$5)*$K1279*$L1279*$M1279</f>
        <v/>
      </c>
      <c r="AG1279" s="16">
        <f>SUMPRODUCT(N1279:Y1279,$N$6:$Y$6)*$K1279*$L1279*$M1279</f>
        <v/>
      </c>
      <c r="AH1279" s="20" t="n"/>
    </row>
    <row r="1280">
      <c r="A1280" s="9" t="n">
        <v>814118</v>
      </c>
      <c r="B1280" s="9" t="inlineStr">
        <is>
          <t>Ben Johnson</t>
        </is>
      </c>
      <c r="C1280" s="9" t="inlineStr">
        <is>
          <t>CHC</t>
        </is>
      </c>
      <c r="D1280" s="9" t="n">
        <v>25</v>
      </c>
      <c r="E1280" s="18" t="inlineStr">
        <is>
          <t>R</t>
        </is>
      </c>
      <c r="F1280" s="18" t="n"/>
      <c r="G1280" s="9" t="n">
        <v>7.524999999999999</v>
      </c>
      <c r="H1280" s="9" t="n">
        <v>7.524999999999999</v>
      </c>
      <c r="I1280" s="9" t="inlineStr">
        <is>
          <t>Depth (no MLB IP)</t>
        </is>
      </c>
      <c r="J1280" s="18" t="inlineStr">
        <is>
          <t>Opening Day</t>
        </is>
      </c>
      <c r="K1280" s="11">
        <f>IFERROR(INDEX(Roles!$B$17:$B$20,MATCH(J1280,Roles!$A$17:$A$20,0)),1)</f>
        <v/>
      </c>
      <c r="L1280" s="19" t="n">
        <v>1</v>
      </c>
      <c r="M1280" s="11" t="n">
        <v>1</v>
      </c>
      <c r="N1280" s="19" t="n"/>
      <c r="O1280" s="19" t="n"/>
      <c r="P1280" s="19" t="n"/>
      <c r="Q1280" s="19" t="n"/>
      <c r="R1280" s="19" t="n"/>
      <c r="S1280" s="19" t="n"/>
      <c r="T1280" s="19" t="n"/>
      <c r="U1280" s="19" t="n"/>
      <c r="V1280" s="19" t="n"/>
      <c r="W1280" s="19" t="n"/>
      <c r="X1280" s="19" t="n"/>
      <c r="Y1280" s="19" t="n">
        <v>1</v>
      </c>
      <c r="Z1280" s="13">
        <f>SUMPRODUCT(N1280:Y1280,$N$2:$Y$2)*$K1280*$L1280*$M1280</f>
        <v/>
      </c>
      <c r="AA1280" s="14">
        <f>SUM(N1280:Y1280)</f>
        <v/>
      </c>
      <c r="AB1280" s="13">
        <f>SUMPRODUCT(N1280:Y1280,$N$3:$Y$3)*$K1280*$L1280*$M1280</f>
        <v/>
      </c>
      <c r="AC1280" s="13">
        <f>SUMPRODUCT(N1280:Y1280,$N$4:$Y$4)*$K1280*$L1280*$M1280</f>
        <v/>
      </c>
      <c r="AD1280" s="15" t="n">
        <v>3</v>
      </c>
      <c r="AE1280" s="11" t="n">
        <v>1.011296296296296</v>
      </c>
      <c r="AF1280" s="16">
        <f>SUMPRODUCT(N1280:Y1280,$N$5:$Y$5)*$K1280*$L1280*$M1280</f>
        <v/>
      </c>
      <c r="AG1280" s="16">
        <f>SUMPRODUCT(N1280:Y1280,$N$6:$Y$6)*$K1280*$L1280*$M1280</f>
        <v/>
      </c>
      <c r="AH1280" s="20" t="n"/>
    </row>
    <row r="1281">
      <c r="A1281" s="9" t="n">
        <v>687020</v>
      </c>
      <c r="B1281" s="9" t="inlineStr">
        <is>
          <t>Mason Auer</t>
        </is>
      </c>
      <c r="C1281" s="9" t="inlineStr">
        <is>
          <t>TB</t>
        </is>
      </c>
      <c r="D1281" s="9" t="n">
        <v>25</v>
      </c>
      <c r="E1281" s="18" t="inlineStr">
        <is>
          <t>R</t>
        </is>
      </c>
      <c r="F1281" s="18" t="n"/>
      <c r="G1281" s="9" t="n">
        <v>7.568</v>
      </c>
      <c r="H1281" s="9" t="n">
        <v>7.568</v>
      </c>
      <c r="I1281" s="9" t="inlineStr">
        <is>
          <t>Depth (no MLB IP)</t>
        </is>
      </c>
      <c r="J1281" s="18" t="inlineStr">
        <is>
          <t>Opening Day</t>
        </is>
      </c>
      <c r="K1281" s="11">
        <f>IFERROR(INDEX(Roles!$B$17:$B$20,MATCH(J1281,Roles!$A$17:$A$20,0)),1)</f>
        <v/>
      </c>
      <c r="L1281" s="19" t="n">
        <v>1</v>
      </c>
      <c r="M1281" s="11" t="n">
        <v>1</v>
      </c>
      <c r="N1281" s="19" t="n"/>
      <c r="O1281" s="19" t="n"/>
      <c r="P1281" s="19" t="n"/>
      <c r="Q1281" s="19" t="n"/>
      <c r="R1281" s="19" t="n"/>
      <c r="S1281" s="19" t="n"/>
      <c r="T1281" s="19" t="n"/>
      <c r="U1281" s="19" t="n"/>
      <c r="V1281" s="19" t="n"/>
      <c r="W1281" s="19" t="n"/>
      <c r="X1281" s="19" t="n"/>
      <c r="Y1281" s="19" t="n">
        <v>1</v>
      </c>
      <c r="Z1281" s="13">
        <f>SUMPRODUCT(N1281:Y1281,$N$2:$Y$2)*$K1281*$L1281*$M1281</f>
        <v/>
      </c>
      <c r="AA1281" s="14">
        <f>SUM(N1281:Y1281)</f>
        <v/>
      </c>
      <c r="AB1281" s="13">
        <f>SUMPRODUCT(N1281:Y1281,$N$3:$Y$3)*$K1281*$L1281*$M1281</f>
        <v/>
      </c>
      <c r="AC1281" s="13">
        <f>SUMPRODUCT(N1281:Y1281,$N$4:$Y$4)*$K1281*$L1281*$M1281</f>
        <v/>
      </c>
      <c r="AD1281" s="15" t="n">
        <v>3</v>
      </c>
      <c r="AE1281" s="11" t="n">
        <v>1.011296296296296</v>
      </c>
      <c r="AF1281" s="16">
        <f>SUMPRODUCT(N1281:Y1281,$N$5:$Y$5)*$K1281*$L1281*$M1281</f>
        <v/>
      </c>
      <c r="AG1281" s="16">
        <f>SUMPRODUCT(N1281:Y1281,$N$6:$Y$6)*$K1281*$L1281*$M1281</f>
        <v/>
      </c>
      <c r="AH1281" s="20" t="n"/>
    </row>
    <row r="1282">
      <c r="A1282" s="9" t="n">
        <v>805063</v>
      </c>
      <c r="B1282" s="9" t="inlineStr">
        <is>
          <t>Julio Valdez</t>
        </is>
      </c>
      <c r="C1282" s="9" t="inlineStr">
        <is>
          <t>CHC</t>
        </is>
      </c>
      <c r="D1282" s="9" t="n">
        <v>25</v>
      </c>
      <c r="E1282" s="18" t="inlineStr">
        <is>
          <t>R</t>
        </is>
      </c>
      <c r="F1282" s="18" t="n"/>
      <c r="G1282" s="9" t="n">
        <v>7.568</v>
      </c>
      <c r="H1282" s="9" t="n">
        <v>7.568</v>
      </c>
      <c r="I1282" s="9" t="inlineStr">
        <is>
          <t>Depth (no MLB IP)</t>
        </is>
      </c>
      <c r="J1282" s="18" t="inlineStr">
        <is>
          <t>Opening Day</t>
        </is>
      </c>
      <c r="K1282" s="11">
        <f>IFERROR(INDEX(Roles!$B$17:$B$20,MATCH(J1282,Roles!$A$17:$A$20,0)),1)</f>
        <v/>
      </c>
      <c r="L1282" s="19" t="n">
        <v>1</v>
      </c>
      <c r="M1282" s="11" t="n">
        <v>1</v>
      </c>
      <c r="N1282" s="19" t="n"/>
      <c r="O1282" s="19" t="n"/>
      <c r="P1282" s="19" t="n"/>
      <c r="Q1282" s="19" t="n"/>
      <c r="R1282" s="19" t="n"/>
      <c r="S1282" s="19" t="n"/>
      <c r="T1282" s="19" t="n"/>
      <c r="U1282" s="19" t="n"/>
      <c r="V1282" s="19" t="n"/>
      <c r="W1282" s="19" t="n"/>
      <c r="X1282" s="19" t="n"/>
      <c r="Y1282" s="19" t="n">
        <v>1</v>
      </c>
      <c r="Z1282" s="13">
        <f>SUMPRODUCT(N1282:Y1282,$N$2:$Y$2)*$K1282*$L1282*$M1282</f>
        <v/>
      </c>
      <c r="AA1282" s="14">
        <f>SUM(N1282:Y1282)</f>
        <v/>
      </c>
      <c r="AB1282" s="13">
        <f>SUMPRODUCT(N1282:Y1282,$N$3:$Y$3)*$K1282*$L1282*$M1282</f>
        <v/>
      </c>
      <c r="AC1282" s="13">
        <f>SUMPRODUCT(N1282:Y1282,$N$4:$Y$4)*$K1282*$L1282*$M1282</f>
        <v/>
      </c>
      <c r="AD1282" s="15" t="n">
        <v>3</v>
      </c>
      <c r="AE1282" s="11" t="n">
        <v>1.011296296296296</v>
      </c>
      <c r="AF1282" s="16">
        <f>SUMPRODUCT(N1282:Y1282,$N$5:$Y$5)*$K1282*$L1282*$M1282</f>
        <v/>
      </c>
      <c r="AG1282" s="16">
        <f>SUMPRODUCT(N1282:Y1282,$N$6:$Y$6)*$K1282*$L1282*$M1282</f>
        <v/>
      </c>
      <c r="AH1282" s="20" t="n"/>
    </row>
    <row r="1283">
      <c r="A1283" s="9" t="n">
        <v>681977</v>
      </c>
      <c r="B1283" s="9" t="inlineStr">
        <is>
          <t>Jake Smith</t>
        </is>
      </c>
      <c r="C1283" s="9" t="inlineStr">
        <is>
          <t>MIA</t>
        </is>
      </c>
      <c r="D1283" s="9" t="n">
        <v>25</v>
      </c>
      <c r="E1283" s="18" t="inlineStr">
        <is>
          <t>R</t>
        </is>
      </c>
      <c r="F1283" s="18" t="n"/>
      <c r="G1283" s="9" t="n">
        <v>7.524999999999999</v>
      </c>
      <c r="H1283" s="9" t="n">
        <v>7.524999999999999</v>
      </c>
      <c r="I1283" s="9" t="inlineStr">
        <is>
          <t>Depth (no MLB IP)</t>
        </is>
      </c>
      <c r="J1283" s="18" t="inlineStr">
        <is>
          <t>Opening Day</t>
        </is>
      </c>
      <c r="K1283" s="11">
        <f>IFERROR(INDEX(Roles!$B$17:$B$20,MATCH(J1283,Roles!$A$17:$A$20,0)),1)</f>
        <v/>
      </c>
      <c r="L1283" s="19" t="n">
        <v>1</v>
      </c>
      <c r="M1283" s="11" t="n">
        <v>1</v>
      </c>
      <c r="N1283" s="19" t="n"/>
      <c r="O1283" s="19" t="n"/>
      <c r="P1283" s="19" t="n"/>
      <c r="Q1283" s="19" t="n"/>
      <c r="R1283" s="19" t="n"/>
      <c r="S1283" s="19" t="n"/>
      <c r="T1283" s="19" t="n"/>
      <c r="U1283" s="19" t="n"/>
      <c r="V1283" s="19" t="n"/>
      <c r="W1283" s="19" t="n"/>
      <c r="X1283" s="19" t="n"/>
      <c r="Y1283" s="19" t="n">
        <v>1</v>
      </c>
      <c r="Z1283" s="13">
        <f>SUMPRODUCT(N1283:Y1283,$N$2:$Y$2)*$K1283*$L1283*$M1283</f>
        <v/>
      </c>
      <c r="AA1283" s="14">
        <f>SUM(N1283:Y1283)</f>
        <v/>
      </c>
      <c r="AB1283" s="13">
        <f>SUMPRODUCT(N1283:Y1283,$N$3:$Y$3)*$K1283*$L1283*$M1283</f>
        <v/>
      </c>
      <c r="AC1283" s="13">
        <f>SUMPRODUCT(N1283:Y1283,$N$4:$Y$4)*$K1283*$L1283*$M1283</f>
        <v/>
      </c>
      <c r="AD1283" s="15" t="n">
        <v>3</v>
      </c>
      <c r="AE1283" s="11" t="n">
        <v>1.011296296296296</v>
      </c>
      <c r="AF1283" s="16">
        <f>SUMPRODUCT(N1283:Y1283,$N$5:$Y$5)*$K1283*$L1283*$M1283</f>
        <v/>
      </c>
      <c r="AG1283" s="16">
        <f>SUMPRODUCT(N1283:Y1283,$N$6:$Y$6)*$K1283*$L1283*$M1283</f>
        <v/>
      </c>
      <c r="AH1283" s="20" t="n"/>
    </row>
    <row r="1284">
      <c r="A1284" s="9" t="n">
        <v>681896</v>
      </c>
      <c r="B1284" s="9" t="inlineStr">
        <is>
          <t>Anthony Hoopii-Tuionetoa</t>
        </is>
      </c>
      <c r="C1284" s="9" t="inlineStr">
        <is>
          <t>TEX</t>
        </is>
      </c>
      <c r="D1284" s="9" t="n">
        <v>25</v>
      </c>
      <c r="E1284" s="18" t="inlineStr">
        <is>
          <t>R</t>
        </is>
      </c>
      <c r="F1284" s="18" t="n"/>
      <c r="G1284" s="9" t="n">
        <v>7.739999999999999</v>
      </c>
      <c r="H1284" s="9" t="n">
        <v>7.739999999999999</v>
      </c>
      <c r="I1284" s="9" t="inlineStr">
        <is>
          <t>Depth (no MLB IP)</t>
        </is>
      </c>
      <c r="J1284" s="18" t="inlineStr">
        <is>
          <t>Opening Day</t>
        </is>
      </c>
      <c r="K1284" s="11">
        <f>IFERROR(INDEX(Roles!$B$17:$B$20,MATCH(J1284,Roles!$A$17:$A$20,0)),1)</f>
        <v/>
      </c>
      <c r="L1284" s="19" t="n">
        <v>1</v>
      </c>
      <c r="M1284" s="11" t="n">
        <v>1</v>
      </c>
      <c r="N1284" s="19" t="n"/>
      <c r="O1284" s="19" t="n"/>
      <c r="P1284" s="19" t="n"/>
      <c r="Q1284" s="19" t="n"/>
      <c r="R1284" s="19" t="n"/>
      <c r="S1284" s="19" t="n"/>
      <c r="T1284" s="19" t="n"/>
      <c r="U1284" s="19" t="n"/>
      <c r="V1284" s="19" t="n"/>
      <c r="W1284" s="19" t="n"/>
      <c r="X1284" s="19" t="n"/>
      <c r="Y1284" s="19" t="n">
        <v>1</v>
      </c>
      <c r="Z1284" s="13">
        <f>SUMPRODUCT(N1284:Y1284,$N$2:$Y$2)*$K1284*$L1284*$M1284</f>
        <v/>
      </c>
      <c r="AA1284" s="14">
        <f>SUM(N1284:Y1284)</f>
        <v/>
      </c>
      <c r="AB1284" s="13">
        <f>SUMPRODUCT(N1284:Y1284,$N$3:$Y$3)*$K1284*$L1284*$M1284</f>
        <v/>
      </c>
      <c r="AC1284" s="13">
        <f>SUMPRODUCT(N1284:Y1284,$N$4:$Y$4)*$K1284*$L1284*$M1284</f>
        <v/>
      </c>
      <c r="AD1284" s="15" t="n">
        <v>3</v>
      </c>
      <c r="AE1284" s="11" t="n">
        <v>1.011296296296296</v>
      </c>
      <c r="AF1284" s="16">
        <f>SUMPRODUCT(N1284:Y1284,$N$5:$Y$5)*$K1284*$L1284*$M1284</f>
        <v/>
      </c>
      <c r="AG1284" s="16">
        <f>SUMPRODUCT(N1284:Y1284,$N$6:$Y$6)*$K1284*$L1284*$M1284</f>
        <v/>
      </c>
      <c r="AH1284" s="20" t="n"/>
    </row>
    <row r="1285">
      <c r="A1285" s="9" t="n">
        <v>807937</v>
      </c>
      <c r="B1285" s="9" t="inlineStr">
        <is>
          <t>Nathan Hall</t>
        </is>
      </c>
      <c r="C1285" s="9" t="inlineStr">
        <is>
          <t>NYM</t>
        </is>
      </c>
      <c r="D1285" s="9" t="n">
        <v>25</v>
      </c>
      <c r="E1285" s="18" t="inlineStr">
        <is>
          <t>R</t>
        </is>
      </c>
      <c r="F1285" s="18" t="n"/>
      <c r="G1285" s="9" t="n">
        <v>7.739999999999999</v>
      </c>
      <c r="H1285" s="9" t="n">
        <v>7.739999999999999</v>
      </c>
      <c r="I1285" s="9" t="inlineStr">
        <is>
          <t>Depth (no MLB IP)</t>
        </is>
      </c>
      <c r="J1285" s="18" t="inlineStr">
        <is>
          <t>Opening Day</t>
        </is>
      </c>
      <c r="K1285" s="11">
        <f>IFERROR(INDEX(Roles!$B$17:$B$20,MATCH(J1285,Roles!$A$17:$A$20,0)),1)</f>
        <v/>
      </c>
      <c r="L1285" s="19" t="n">
        <v>1</v>
      </c>
      <c r="M1285" s="11" t="n">
        <v>1</v>
      </c>
      <c r="N1285" s="19" t="n"/>
      <c r="O1285" s="19" t="n"/>
      <c r="P1285" s="19" t="n"/>
      <c r="Q1285" s="19" t="n"/>
      <c r="R1285" s="19" t="n"/>
      <c r="S1285" s="19" t="n"/>
      <c r="T1285" s="19" t="n"/>
      <c r="U1285" s="19" t="n"/>
      <c r="V1285" s="19" t="n"/>
      <c r="W1285" s="19" t="n"/>
      <c r="X1285" s="19" t="n"/>
      <c r="Y1285" s="19" t="n">
        <v>1</v>
      </c>
      <c r="Z1285" s="13">
        <f>SUMPRODUCT(N1285:Y1285,$N$2:$Y$2)*$K1285*$L1285*$M1285</f>
        <v/>
      </c>
      <c r="AA1285" s="14">
        <f>SUM(N1285:Y1285)</f>
        <v/>
      </c>
      <c r="AB1285" s="13">
        <f>SUMPRODUCT(N1285:Y1285,$N$3:$Y$3)*$K1285*$L1285*$M1285</f>
        <v/>
      </c>
      <c r="AC1285" s="13">
        <f>SUMPRODUCT(N1285:Y1285,$N$4:$Y$4)*$K1285*$L1285*$M1285</f>
        <v/>
      </c>
      <c r="AD1285" s="15" t="n">
        <v>3</v>
      </c>
      <c r="AE1285" s="11" t="n">
        <v>1.011296296296296</v>
      </c>
      <c r="AF1285" s="16">
        <f>SUMPRODUCT(N1285:Y1285,$N$5:$Y$5)*$K1285*$L1285*$M1285</f>
        <v/>
      </c>
      <c r="AG1285" s="16">
        <f>SUMPRODUCT(N1285:Y1285,$N$6:$Y$6)*$K1285*$L1285*$M1285</f>
        <v/>
      </c>
      <c r="AH1285" s="20" t="n"/>
    </row>
    <row r="1286">
      <c r="A1286" s="9" t="n">
        <v>823864</v>
      </c>
      <c r="B1286" s="9" t="inlineStr">
        <is>
          <t>Carlos Rodriguez</t>
        </is>
      </c>
      <c r="C1286" s="9" t="inlineStr">
        <is>
          <t>DET</t>
        </is>
      </c>
      <c r="D1286" s="9" t="n">
        <v>25</v>
      </c>
      <c r="E1286" s="18" t="inlineStr">
        <is>
          <t>L</t>
        </is>
      </c>
      <c r="F1286" s="18" t="n"/>
      <c r="G1286" s="9" t="n">
        <v>7.739999999999999</v>
      </c>
      <c r="H1286" s="9" t="n">
        <v>7.739999999999999</v>
      </c>
      <c r="I1286" s="9" t="inlineStr">
        <is>
          <t>Depth (no MLB IP)</t>
        </is>
      </c>
      <c r="J1286" s="18" t="inlineStr">
        <is>
          <t>Opening Day</t>
        </is>
      </c>
      <c r="K1286" s="11">
        <f>IFERROR(INDEX(Roles!$B$17:$B$20,MATCH(J1286,Roles!$A$17:$A$20,0)),1)</f>
        <v/>
      </c>
      <c r="L1286" s="19" t="n">
        <v>1</v>
      </c>
      <c r="M1286" s="11" t="n">
        <v>1</v>
      </c>
      <c r="N1286" s="19" t="n"/>
      <c r="O1286" s="19" t="n"/>
      <c r="P1286" s="19" t="n"/>
      <c r="Q1286" s="19" t="n"/>
      <c r="R1286" s="19" t="n"/>
      <c r="S1286" s="19" t="n"/>
      <c r="T1286" s="19" t="n"/>
      <c r="U1286" s="19" t="n"/>
      <c r="V1286" s="19" t="n"/>
      <c r="W1286" s="19" t="n"/>
      <c r="X1286" s="19" t="n"/>
      <c r="Y1286" s="19" t="n">
        <v>1</v>
      </c>
      <c r="Z1286" s="13">
        <f>SUMPRODUCT(N1286:Y1286,$N$2:$Y$2)*$K1286*$L1286*$M1286</f>
        <v/>
      </c>
      <c r="AA1286" s="14">
        <f>SUM(N1286:Y1286)</f>
        <v/>
      </c>
      <c r="AB1286" s="13">
        <f>SUMPRODUCT(N1286:Y1286,$N$3:$Y$3)*$K1286*$L1286*$M1286</f>
        <v/>
      </c>
      <c r="AC1286" s="13">
        <f>SUMPRODUCT(N1286:Y1286,$N$4:$Y$4)*$K1286*$L1286*$M1286</f>
        <v/>
      </c>
      <c r="AD1286" s="15" t="n">
        <v>3</v>
      </c>
      <c r="AE1286" s="11" t="n">
        <v>1.011296296296296</v>
      </c>
      <c r="AF1286" s="16">
        <f>SUMPRODUCT(N1286:Y1286,$N$5:$Y$5)*$K1286*$L1286*$M1286</f>
        <v/>
      </c>
      <c r="AG1286" s="16">
        <f>SUMPRODUCT(N1286:Y1286,$N$6:$Y$6)*$K1286*$L1286*$M1286</f>
        <v/>
      </c>
      <c r="AH1286" s="20" t="n"/>
    </row>
    <row r="1287">
      <c r="A1287" s="9" t="n">
        <v>815919</v>
      </c>
      <c r="B1287" s="9" t="inlineStr">
        <is>
          <t>Branneli Franco</t>
        </is>
      </c>
      <c r="C1287" s="9" t="inlineStr">
        <is>
          <t>STL</t>
        </is>
      </c>
      <c r="D1287" s="9" t="n">
        <v>25</v>
      </c>
      <c r="E1287" s="18" t="inlineStr">
        <is>
          <t>R</t>
        </is>
      </c>
      <c r="F1287" s="18" t="n"/>
      <c r="G1287" s="9" t="n">
        <v>7.739999999999999</v>
      </c>
      <c r="H1287" s="9" t="n">
        <v>7.739999999999999</v>
      </c>
      <c r="I1287" s="9" t="inlineStr">
        <is>
          <t>Depth (no MLB IP)</t>
        </is>
      </c>
      <c r="J1287" s="18" t="inlineStr">
        <is>
          <t>Opening Day</t>
        </is>
      </c>
      <c r="K1287" s="11">
        <f>IFERROR(INDEX(Roles!$B$17:$B$20,MATCH(J1287,Roles!$A$17:$A$20,0)),1)</f>
        <v/>
      </c>
      <c r="L1287" s="19" t="n">
        <v>1</v>
      </c>
      <c r="M1287" s="11" t="n">
        <v>1</v>
      </c>
      <c r="N1287" s="19" t="n"/>
      <c r="O1287" s="19" t="n"/>
      <c r="P1287" s="19" t="n"/>
      <c r="Q1287" s="19" t="n"/>
      <c r="R1287" s="19" t="n"/>
      <c r="S1287" s="19" t="n"/>
      <c r="T1287" s="19" t="n"/>
      <c r="U1287" s="19" t="n"/>
      <c r="V1287" s="19" t="n"/>
      <c r="W1287" s="19" t="n"/>
      <c r="X1287" s="19" t="n"/>
      <c r="Y1287" s="19" t="n">
        <v>1</v>
      </c>
      <c r="Z1287" s="13">
        <f>SUMPRODUCT(N1287:Y1287,$N$2:$Y$2)*$K1287*$L1287*$M1287</f>
        <v/>
      </c>
      <c r="AA1287" s="14">
        <f>SUM(N1287:Y1287)</f>
        <v/>
      </c>
      <c r="AB1287" s="13">
        <f>SUMPRODUCT(N1287:Y1287,$N$3:$Y$3)*$K1287*$L1287*$M1287</f>
        <v/>
      </c>
      <c r="AC1287" s="13">
        <f>SUMPRODUCT(N1287:Y1287,$N$4:$Y$4)*$K1287*$L1287*$M1287</f>
        <v/>
      </c>
      <c r="AD1287" s="15" t="n">
        <v>3</v>
      </c>
      <c r="AE1287" s="11" t="n">
        <v>1.011296296296296</v>
      </c>
      <c r="AF1287" s="16">
        <f>SUMPRODUCT(N1287:Y1287,$N$5:$Y$5)*$K1287*$L1287*$M1287</f>
        <v/>
      </c>
      <c r="AG1287" s="16">
        <f>SUMPRODUCT(N1287:Y1287,$N$6:$Y$6)*$K1287*$L1287*$M1287</f>
        <v/>
      </c>
      <c r="AH1287" s="20" t="n"/>
    </row>
    <row r="1288">
      <c r="A1288" s="9" t="n">
        <v>806426</v>
      </c>
      <c r="B1288" s="9" t="inlineStr">
        <is>
          <t>Jarrette Bonet</t>
        </is>
      </c>
      <c r="C1288" s="9" t="inlineStr">
        <is>
          <t>MIL</t>
        </is>
      </c>
      <c r="D1288" s="9" t="n">
        <v>25</v>
      </c>
      <c r="E1288" s="18" t="inlineStr">
        <is>
          <t>R</t>
        </is>
      </c>
      <c r="F1288" s="18" t="n"/>
      <c r="G1288" s="9" t="n">
        <v>7.739999999999999</v>
      </c>
      <c r="H1288" s="9" t="n">
        <v>7.739999999999999</v>
      </c>
      <c r="I1288" s="9" t="inlineStr">
        <is>
          <t>Depth (no MLB IP)</t>
        </is>
      </c>
      <c r="J1288" s="18" t="inlineStr">
        <is>
          <t>Opening Day</t>
        </is>
      </c>
      <c r="K1288" s="11">
        <f>IFERROR(INDEX(Roles!$B$17:$B$20,MATCH(J1288,Roles!$A$17:$A$20,0)),1)</f>
        <v/>
      </c>
      <c r="L1288" s="19" t="n">
        <v>1</v>
      </c>
      <c r="M1288" s="11" t="n">
        <v>1</v>
      </c>
      <c r="N1288" s="19" t="n"/>
      <c r="O1288" s="19" t="n"/>
      <c r="P1288" s="19" t="n"/>
      <c r="Q1288" s="19" t="n"/>
      <c r="R1288" s="19" t="n"/>
      <c r="S1288" s="19" t="n"/>
      <c r="T1288" s="19" t="n"/>
      <c r="U1288" s="19" t="n"/>
      <c r="V1288" s="19" t="n"/>
      <c r="W1288" s="19" t="n"/>
      <c r="X1288" s="19" t="n"/>
      <c r="Y1288" s="19" t="n">
        <v>1</v>
      </c>
      <c r="Z1288" s="13">
        <f>SUMPRODUCT(N1288:Y1288,$N$2:$Y$2)*$K1288*$L1288*$M1288</f>
        <v/>
      </c>
      <c r="AA1288" s="14">
        <f>SUM(N1288:Y1288)</f>
        <v/>
      </c>
      <c r="AB1288" s="13">
        <f>SUMPRODUCT(N1288:Y1288,$N$3:$Y$3)*$K1288*$L1288*$M1288</f>
        <v/>
      </c>
      <c r="AC1288" s="13">
        <f>SUMPRODUCT(N1288:Y1288,$N$4:$Y$4)*$K1288*$L1288*$M1288</f>
        <v/>
      </c>
      <c r="AD1288" s="15" t="n">
        <v>3</v>
      </c>
      <c r="AE1288" s="11" t="n">
        <v>1.011296296296296</v>
      </c>
      <c r="AF1288" s="16">
        <f>SUMPRODUCT(N1288:Y1288,$N$5:$Y$5)*$K1288*$L1288*$M1288</f>
        <v/>
      </c>
      <c r="AG1288" s="16">
        <f>SUMPRODUCT(N1288:Y1288,$N$6:$Y$6)*$K1288*$L1288*$M1288</f>
        <v/>
      </c>
      <c r="AH1288" s="20" t="n"/>
    </row>
    <row r="1289">
      <c r="A1289" s="9" t="n">
        <v>801293</v>
      </c>
      <c r="B1289" s="9" t="inlineStr">
        <is>
          <t>Eric Yost</t>
        </is>
      </c>
      <c r="C1289" s="9" t="inlineStr">
        <is>
          <t>SD</t>
        </is>
      </c>
      <c r="D1289" s="9" t="n">
        <v>25</v>
      </c>
      <c r="E1289" s="18" t="inlineStr">
        <is>
          <t>R</t>
        </is>
      </c>
      <c r="F1289" s="18" t="n"/>
      <c r="G1289" s="9" t="n">
        <v>7.883333333333335</v>
      </c>
      <c r="H1289" s="9" t="n">
        <v>7.883333333333335</v>
      </c>
      <c r="I1289" s="9" t="inlineStr">
        <is>
          <t>Depth (no MLB IP)</t>
        </is>
      </c>
      <c r="J1289" s="18" t="inlineStr">
        <is>
          <t>Opening Day</t>
        </is>
      </c>
      <c r="K1289" s="11">
        <f>IFERROR(INDEX(Roles!$B$17:$B$20,MATCH(J1289,Roles!$A$17:$A$20,0)),1)</f>
        <v/>
      </c>
      <c r="L1289" s="19" t="n">
        <v>1</v>
      </c>
      <c r="M1289" s="11" t="n">
        <v>1</v>
      </c>
      <c r="N1289" s="19" t="n"/>
      <c r="O1289" s="19" t="n"/>
      <c r="P1289" s="19" t="n"/>
      <c r="Q1289" s="19" t="n"/>
      <c r="R1289" s="19" t="n"/>
      <c r="S1289" s="19" t="n"/>
      <c r="T1289" s="19" t="n"/>
      <c r="U1289" s="19" t="n"/>
      <c r="V1289" s="19" t="n"/>
      <c r="W1289" s="19" t="n"/>
      <c r="X1289" s="19" t="n"/>
      <c r="Y1289" s="19" t="n">
        <v>1</v>
      </c>
      <c r="Z1289" s="13">
        <f>SUMPRODUCT(N1289:Y1289,$N$2:$Y$2)*$K1289*$L1289*$M1289</f>
        <v/>
      </c>
      <c r="AA1289" s="14">
        <f>SUM(N1289:Y1289)</f>
        <v/>
      </c>
      <c r="AB1289" s="13">
        <f>SUMPRODUCT(N1289:Y1289,$N$3:$Y$3)*$K1289*$L1289*$M1289</f>
        <v/>
      </c>
      <c r="AC1289" s="13">
        <f>SUMPRODUCT(N1289:Y1289,$N$4:$Y$4)*$K1289*$L1289*$M1289</f>
        <v/>
      </c>
      <c r="AD1289" s="15" t="n">
        <v>3</v>
      </c>
      <c r="AE1289" s="11" t="n">
        <v>1.011296296296296</v>
      </c>
      <c r="AF1289" s="16">
        <f>SUMPRODUCT(N1289:Y1289,$N$5:$Y$5)*$K1289*$L1289*$M1289</f>
        <v/>
      </c>
      <c r="AG1289" s="16">
        <f>SUMPRODUCT(N1289:Y1289,$N$6:$Y$6)*$K1289*$L1289*$M1289</f>
        <v/>
      </c>
      <c r="AH1289" s="20" t="n"/>
    </row>
    <row r="1290">
      <c r="A1290" s="9" t="n">
        <v>811637</v>
      </c>
      <c r="B1290" s="9" t="inlineStr">
        <is>
          <t>Wilmis Paulino</t>
        </is>
      </c>
      <c r="C1290" s="9" t="inlineStr">
        <is>
          <t>COL</t>
        </is>
      </c>
      <c r="D1290" s="9" t="n">
        <v>25</v>
      </c>
      <c r="E1290" s="18" t="inlineStr">
        <is>
          <t>R</t>
        </is>
      </c>
      <c r="F1290" s="18" t="n"/>
      <c r="G1290" s="9" t="n">
        <v>7.568</v>
      </c>
      <c r="H1290" s="9" t="n">
        <v>7.568</v>
      </c>
      <c r="I1290" s="9" t="inlineStr">
        <is>
          <t>Depth (no MLB IP)</t>
        </is>
      </c>
      <c r="J1290" s="18" t="inlineStr">
        <is>
          <t>Opening Day</t>
        </is>
      </c>
      <c r="K1290" s="11">
        <f>IFERROR(INDEX(Roles!$B$17:$B$20,MATCH(J1290,Roles!$A$17:$A$20,0)),1)</f>
        <v/>
      </c>
      <c r="L1290" s="19" t="n">
        <v>1</v>
      </c>
      <c r="M1290" s="11" t="n">
        <v>1</v>
      </c>
      <c r="N1290" s="19" t="n"/>
      <c r="O1290" s="19" t="n"/>
      <c r="P1290" s="19" t="n"/>
      <c r="Q1290" s="19" t="n"/>
      <c r="R1290" s="19" t="n"/>
      <c r="S1290" s="19" t="n"/>
      <c r="T1290" s="19" t="n"/>
      <c r="U1290" s="19" t="n"/>
      <c r="V1290" s="19" t="n"/>
      <c r="W1290" s="19" t="n"/>
      <c r="X1290" s="19" t="n"/>
      <c r="Y1290" s="19" t="n">
        <v>1</v>
      </c>
      <c r="Z1290" s="13">
        <f>SUMPRODUCT(N1290:Y1290,$N$2:$Y$2)*$K1290*$L1290*$M1290</f>
        <v/>
      </c>
      <c r="AA1290" s="14">
        <f>SUM(N1290:Y1290)</f>
        <v/>
      </c>
      <c r="AB1290" s="13">
        <f>SUMPRODUCT(N1290:Y1290,$N$3:$Y$3)*$K1290*$L1290*$M1290</f>
        <v/>
      </c>
      <c r="AC1290" s="13">
        <f>SUMPRODUCT(N1290:Y1290,$N$4:$Y$4)*$K1290*$L1290*$M1290</f>
        <v/>
      </c>
      <c r="AD1290" s="15" t="n">
        <v>3</v>
      </c>
      <c r="AE1290" s="11" t="n">
        <v>1.011296296296296</v>
      </c>
      <c r="AF1290" s="16">
        <f>SUMPRODUCT(N1290:Y1290,$N$5:$Y$5)*$K1290*$L1290*$M1290</f>
        <v/>
      </c>
      <c r="AG1290" s="16">
        <f>SUMPRODUCT(N1290:Y1290,$N$6:$Y$6)*$K1290*$L1290*$M1290</f>
        <v/>
      </c>
      <c r="AH1290" s="20" t="n"/>
    </row>
    <row r="1291">
      <c r="A1291" s="9" t="n">
        <v>823245</v>
      </c>
      <c r="B1291" s="9" t="inlineStr">
        <is>
          <t>Andrew Berg</t>
        </is>
      </c>
      <c r="C1291" s="9" t="inlineStr">
        <is>
          <t>CWS</t>
        </is>
      </c>
      <c r="D1291" s="9" t="n">
        <v>25</v>
      </c>
      <c r="E1291" s="18" t="inlineStr">
        <is>
          <t>R</t>
        </is>
      </c>
      <c r="F1291" s="18" t="n"/>
      <c r="G1291" s="9" t="n">
        <v>7.568</v>
      </c>
      <c r="H1291" s="9" t="n">
        <v>7.568</v>
      </c>
      <c r="I1291" s="9" t="inlineStr">
        <is>
          <t>Depth (no MLB IP)</t>
        </is>
      </c>
      <c r="J1291" s="18" t="inlineStr">
        <is>
          <t>Opening Day</t>
        </is>
      </c>
      <c r="K1291" s="11">
        <f>IFERROR(INDEX(Roles!$B$17:$B$20,MATCH(J1291,Roles!$A$17:$A$20,0)),1)</f>
        <v/>
      </c>
      <c r="L1291" s="19" t="n">
        <v>1</v>
      </c>
      <c r="M1291" s="11" t="n">
        <v>1</v>
      </c>
      <c r="N1291" s="19" t="n"/>
      <c r="O1291" s="19" t="n"/>
      <c r="P1291" s="19" t="n"/>
      <c r="Q1291" s="19" t="n"/>
      <c r="R1291" s="19" t="n"/>
      <c r="S1291" s="19" t="n"/>
      <c r="T1291" s="19" t="n"/>
      <c r="U1291" s="19" t="n"/>
      <c r="V1291" s="19" t="n"/>
      <c r="W1291" s="19" t="n"/>
      <c r="X1291" s="19" t="n"/>
      <c r="Y1291" s="19" t="n">
        <v>1</v>
      </c>
      <c r="Z1291" s="13">
        <f>SUMPRODUCT(N1291:Y1291,$N$2:$Y$2)*$K1291*$L1291*$M1291</f>
        <v/>
      </c>
      <c r="AA1291" s="14">
        <f>SUM(N1291:Y1291)</f>
        <v/>
      </c>
      <c r="AB1291" s="13">
        <f>SUMPRODUCT(N1291:Y1291,$N$3:$Y$3)*$K1291*$L1291*$M1291</f>
        <v/>
      </c>
      <c r="AC1291" s="13">
        <f>SUMPRODUCT(N1291:Y1291,$N$4:$Y$4)*$K1291*$L1291*$M1291</f>
        <v/>
      </c>
      <c r="AD1291" s="15" t="n">
        <v>3</v>
      </c>
      <c r="AE1291" s="11" t="n">
        <v>1.011296296296296</v>
      </c>
      <c r="AF1291" s="16">
        <f>SUMPRODUCT(N1291:Y1291,$N$5:$Y$5)*$K1291*$L1291*$M1291</f>
        <v/>
      </c>
      <c r="AG1291" s="16">
        <f>SUMPRODUCT(N1291:Y1291,$N$6:$Y$6)*$K1291*$L1291*$M1291</f>
        <v/>
      </c>
      <c r="AH1291" s="20" t="n"/>
    </row>
    <row r="1292">
      <c r="A1292" s="9" t="n">
        <v>825432</v>
      </c>
      <c r="B1292" s="9" t="inlineStr">
        <is>
          <t>Adrian Belen</t>
        </is>
      </c>
      <c r="C1292" s="9" t="inlineStr">
        <is>
          <t>KC</t>
        </is>
      </c>
      <c r="D1292" s="9" t="n">
        <v>25</v>
      </c>
      <c r="E1292" s="18" t="inlineStr">
        <is>
          <t>R</t>
        </is>
      </c>
      <c r="F1292" s="18" t="n"/>
      <c r="G1292" s="9" t="n">
        <v>7.739999999999999</v>
      </c>
      <c r="H1292" s="9" t="n">
        <v>7.739999999999999</v>
      </c>
      <c r="I1292" s="9" t="inlineStr">
        <is>
          <t>Depth (no MLB IP)</t>
        </is>
      </c>
      <c r="J1292" s="18" t="inlineStr">
        <is>
          <t>Opening Day</t>
        </is>
      </c>
      <c r="K1292" s="11">
        <f>IFERROR(INDEX(Roles!$B$17:$B$20,MATCH(J1292,Roles!$A$17:$A$20,0)),1)</f>
        <v/>
      </c>
      <c r="L1292" s="19" t="n">
        <v>1</v>
      </c>
      <c r="M1292" s="11" t="n">
        <v>1</v>
      </c>
      <c r="N1292" s="19" t="n"/>
      <c r="O1292" s="19" t="n"/>
      <c r="P1292" s="19" t="n"/>
      <c r="Q1292" s="19" t="n"/>
      <c r="R1292" s="19" t="n"/>
      <c r="S1292" s="19" t="n"/>
      <c r="T1292" s="19" t="n"/>
      <c r="U1292" s="19" t="n"/>
      <c r="V1292" s="19" t="n"/>
      <c r="W1292" s="19" t="n"/>
      <c r="X1292" s="19" t="n"/>
      <c r="Y1292" s="19" t="n">
        <v>1</v>
      </c>
      <c r="Z1292" s="13">
        <f>SUMPRODUCT(N1292:Y1292,$N$2:$Y$2)*$K1292*$L1292*$M1292</f>
        <v/>
      </c>
      <c r="AA1292" s="14">
        <f>SUM(N1292:Y1292)</f>
        <v/>
      </c>
      <c r="AB1292" s="13">
        <f>SUMPRODUCT(N1292:Y1292,$N$3:$Y$3)*$K1292*$L1292*$M1292</f>
        <v/>
      </c>
      <c r="AC1292" s="13">
        <f>SUMPRODUCT(N1292:Y1292,$N$4:$Y$4)*$K1292*$L1292*$M1292</f>
        <v/>
      </c>
      <c r="AD1292" s="15" t="n">
        <v>3</v>
      </c>
      <c r="AE1292" s="11" t="n">
        <v>1.011296296296296</v>
      </c>
      <c r="AF1292" s="16">
        <f>SUMPRODUCT(N1292:Y1292,$N$5:$Y$5)*$K1292*$L1292*$M1292</f>
        <v/>
      </c>
      <c r="AG1292" s="16">
        <f>SUMPRODUCT(N1292:Y1292,$N$6:$Y$6)*$K1292*$L1292*$M1292</f>
        <v/>
      </c>
      <c r="AH1292" s="20" t="n"/>
    </row>
    <row r="1293">
      <c r="A1293" s="9" t="n">
        <v>808327</v>
      </c>
      <c r="B1293" s="9" t="inlineStr">
        <is>
          <t>Dioris Martinez</t>
        </is>
      </c>
      <c r="C1293" s="9" t="inlineStr">
        <is>
          <t>PIT</t>
        </is>
      </c>
      <c r="D1293" s="9" t="n">
        <v>25</v>
      </c>
      <c r="E1293" s="18" t="inlineStr">
        <is>
          <t>R</t>
        </is>
      </c>
      <c r="F1293" s="18" t="n"/>
      <c r="G1293" s="9" t="n">
        <v>7.739999999999999</v>
      </c>
      <c r="H1293" s="9" t="n">
        <v>7.739999999999999</v>
      </c>
      <c r="I1293" s="9" t="inlineStr">
        <is>
          <t>Depth (no MLB IP)</t>
        </is>
      </c>
      <c r="J1293" s="18" t="inlineStr">
        <is>
          <t>Opening Day</t>
        </is>
      </c>
      <c r="K1293" s="11">
        <f>IFERROR(INDEX(Roles!$B$17:$B$20,MATCH(J1293,Roles!$A$17:$A$20,0)),1)</f>
        <v/>
      </c>
      <c r="L1293" s="19" t="n">
        <v>1</v>
      </c>
      <c r="M1293" s="11" t="n">
        <v>1</v>
      </c>
      <c r="N1293" s="19" t="n"/>
      <c r="O1293" s="19" t="n"/>
      <c r="P1293" s="19" t="n"/>
      <c r="Q1293" s="19" t="n"/>
      <c r="R1293" s="19" t="n"/>
      <c r="S1293" s="19" t="n"/>
      <c r="T1293" s="19" t="n"/>
      <c r="U1293" s="19" t="n"/>
      <c r="V1293" s="19" t="n"/>
      <c r="W1293" s="19" t="n"/>
      <c r="X1293" s="19" t="n"/>
      <c r="Y1293" s="19" t="n">
        <v>1</v>
      </c>
      <c r="Z1293" s="13">
        <f>SUMPRODUCT(N1293:Y1293,$N$2:$Y$2)*$K1293*$L1293*$M1293</f>
        <v/>
      </c>
      <c r="AA1293" s="14">
        <f>SUM(N1293:Y1293)</f>
        <v/>
      </c>
      <c r="AB1293" s="13">
        <f>SUMPRODUCT(N1293:Y1293,$N$3:$Y$3)*$K1293*$L1293*$M1293</f>
        <v/>
      </c>
      <c r="AC1293" s="13">
        <f>SUMPRODUCT(N1293:Y1293,$N$4:$Y$4)*$K1293*$L1293*$M1293</f>
        <v/>
      </c>
      <c r="AD1293" s="15" t="n">
        <v>3</v>
      </c>
      <c r="AE1293" s="11" t="n">
        <v>1.011296296296296</v>
      </c>
      <c r="AF1293" s="16">
        <f>SUMPRODUCT(N1293:Y1293,$N$5:$Y$5)*$K1293*$L1293*$M1293</f>
        <v/>
      </c>
      <c r="AG1293" s="16">
        <f>SUMPRODUCT(N1293:Y1293,$N$6:$Y$6)*$K1293*$L1293*$M1293</f>
        <v/>
      </c>
      <c r="AH1293" s="20" t="n"/>
    </row>
    <row r="1294">
      <c r="A1294" s="9" t="n">
        <v>806272</v>
      </c>
      <c r="B1294" s="9" t="inlineStr">
        <is>
          <t>Zane Petty</t>
        </is>
      </c>
      <c r="C1294" s="9" t="inlineStr">
        <is>
          <t>CLE</t>
        </is>
      </c>
      <c r="D1294" s="9" t="n">
        <v>25</v>
      </c>
      <c r="E1294" s="18" t="inlineStr">
        <is>
          <t>R</t>
        </is>
      </c>
      <c r="F1294" s="18" t="n"/>
      <c r="G1294" s="9" t="n">
        <v>7.739999999999999</v>
      </c>
      <c r="H1294" s="9" t="n">
        <v>7.739999999999999</v>
      </c>
      <c r="I1294" s="9" t="inlineStr">
        <is>
          <t>Depth (no MLB IP)</t>
        </is>
      </c>
      <c r="J1294" s="18" t="inlineStr">
        <is>
          <t>Opening Day</t>
        </is>
      </c>
      <c r="K1294" s="11">
        <f>IFERROR(INDEX(Roles!$B$17:$B$20,MATCH(J1294,Roles!$A$17:$A$20,0)),1)</f>
        <v/>
      </c>
      <c r="L1294" s="19" t="n">
        <v>1</v>
      </c>
      <c r="M1294" s="11" t="n">
        <v>1</v>
      </c>
      <c r="N1294" s="19" t="n"/>
      <c r="O1294" s="19" t="n"/>
      <c r="P1294" s="19" t="n"/>
      <c r="Q1294" s="19" t="n"/>
      <c r="R1294" s="19" t="n"/>
      <c r="S1294" s="19" t="n"/>
      <c r="T1294" s="19" t="n"/>
      <c r="U1294" s="19" t="n"/>
      <c r="V1294" s="19" t="n"/>
      <c r="W1294" s="19" t="n"/>
      <c r="X1294" s="19" t="n"/>
      <c r="Y1294" s="19" t="n">
        <v>1</v>
      </c>
      <c r="Z1294" s="13">
        <f>SUMPRODUCT(N1294:Y1294,$N$2:$Y$2)*$K1294*$L1294*$M1294</f>
        <v/>
      </c>
      <c r="AA1294" s="14">
        <f>SUM(N1294:Y1294)</f>
        <v/>
      </c>
      <c r="AB1294" s="13">
        <f>SUMPRODUCT(N1294:Y1294,$N$3:$Y$3)*$K1294*$L1294*$M1294</f>
        <v/>
      </c>
      <c r="AC1294" s="13">
        <f>SUMPRODUCT(N1294:Y1294,$N$4:$Y$4)*$K1294*$L1294*$M1294</f>
        <v/>
      </c>
      <c r="AD1294" s="15" t="n">
        <v>3</v>
      </c>
      <c r="AE1294" s="11" t="n">
        <v>1.011296296296296</v>
      </c>
      <c r="AF1294" s="16">
        <f>SUMPRODUCT(N1294:Y1294,$N$5:$Y$5)*$K1294*$L1294*$M1294</f>
        <v/>
      </c>
      <c r="AG1294" s="16">
        <f>SUMPRODUCT(N1294:Y1294,$N$6:$Y$6)*$K1294*$L1294*$M1294</f>
        <v/>
      </c>
      <c r="AH1294" s="20" t="n"/>
    </row>
    <row r="1295">
      <c r="A1295" s="9" t="n">
        <v>813539</v>
      </c>
      <c r="B1295" s="9" t="inlineStr">
        <is>
          <t>Grant Cleavinger</t>
        </is>
      </c>
      <c r="C1295" s="9" t="inlineStr">
        <is>
          <t>CWS</t>
        </is>
      </c>
      <c r="D1295" s="9" t="n">
        <v>25</v>
      </c>
      <c r="E1295" s="18" t="inlineStr">
        <is>
          <t>L</t>
        </is>
      </c>
      <c r="F1295" s="18" t="n"/>
      <c r="G1295" s="9" t="n">
        <v>7.739999999999999</v>
      </c>
      <c r="H1295" s="9" t="n">
        <v>7.739999999999999</v>
      </c>
      <c r="I1295" s="9" t="inlineStr">
        <is>
          <t>Depth (no MLB IP)</t>
        </is>
      </c>
      <c r="J1295" s="18" t="inlineStr">
        <is>
          <t>Opening Day</t>
        </is>
      </c>
      <c r="K1295" s="11">
        <f>IFERROR(INDEX(Roles!$B$17:$B$20,MATCH(J1295,Roles!$A$17:$A$20,0)),1)</f>
        <v/>
      </c>
      <c r="L1295" s="19" t="n">
        <v>1</v>
      </c>
      <c r="M1295" s="11" t="n">
        <v>1</v>
      </c>
      <c r="N1295" s="19" t="n"/>
      <c r="O1295" s="19" t="n"/>
      <c r="P1295" s="19" t="n"/>
      <c r="Q1295" s="19" t="n"/>
      <c r="R1295" s="19" t="n"/>
      <c r="S1295" s="19" t="n"/>
      <c r="T1295" s="19" t="n"/>
      <c r="U1295" s="19" t="n"/>
      <c r="V1295" s="19" t="n"/>
      <c r="W1295" s="19" t="n"/>
      <c r="X1295" s="19" t="n"/>
      <c r="Y1295" s="19" t="n">
        <v>1</v>
      </c>
      <c r="Z1295" s="13">
        <f>SUMPRODUCT(N1295:Y1295,$N$2:$Y$2)*$K1295*$L1295*$M1295</f>
        <v/>
      </c>
      <c r="AA1295" s="14">
        <f>SUM(N1295:Y1295)</f>
        <v/>
      </c>
      <c r="AB1295" s="13">
        <f>SUMPRODUCT(N1295:Y1295,$N$3:$Y$3)*$K1295*$L1295*$M1295</f>
        <v/>
      </c>
      <c r="AC1295" s="13">
        <f>SUMPRODUCT(N1295:Y1295,$N$4:$Y$4)*$K1295*$L1295*$M1295</f>
        <v/>
      </c>
      <c r="AD1295" s="15" t="n">
        <v>3</v>
      </c>
      <c r="AE1295" s="11" t="n">
        <v>1.011296296296296</v>
      </c>
      <c r="AF1295" s="16">
        <f>SUMPRODUCT(N1295:Y1295,$N$5:$Y$5)*$K1295*$L1295*$M1295</f>
        <v/>
      </c>
      <c r="AG1295" s="16">
        <f>SUMPRODUCT(N1295:Y1295,$N$6:$Y$6)*$K1295*$L1295*$M1295</f>
        <v/>
      </c>
      <c r="AH1295" s="20" t="n"/>
    </row>
    <row r="1296">
      <c r="A1296" s="9" t="n">
        <v>829877</v>
      </c>
      <c r="B1296" s="9" t="inlineStr">
        <is>
          <t>Joan Pena</t>
        </is>
      </c>
      <c r="C1296" s="9" t="inlineStr">
        <is>
          <t>MIL</t>
        </is>
      </c>
      <c r="D1296" s="9" t="n">
        <v>25</v>
      </c>
      <c r="E1296" s="18" t="inlineStr">
        <is>
          <t>L</t>
        </is>
      </c>
      <c r="F1296" s="18" t="n"/>
      <c r="G1296" s="9" t="n">
        <v>7.912</v>
      </c>
      <c r="H1296" s="9" t="n">
        <v>7.912</v>
      </c>
      <c r="I1296" s="9" t="inlineStr">
        <is>
          <t>Depth (no MLB IP)</t>
        </is>
      </c>
      <c r="J1296" s="18" t="inlineStr">
        <is>
          <t>Opening Day</t>
        </is>
      </c>
      <c r="K1296" s="11">
        <f>IFERROR(INDEX(Roles!$B$17:$B$20,MATCH(J1296,Roles!$A$17:$A$20,0)),1)</f>
        <v/>
      </c>
      <c r="L1296" s="19" t="n">
        <v>1</v>
      </c>
      <c r="M1296" s="11" t="n">
        <v>1</v>
      </c>
      <c r="N1296" s="19" t="n"/>
      <c r="O1296" s="19" t="n"/>
      <c r="P1296" s="19" t="n"/>
      <c r="Q1296" s="19" t="n"/>
      <c r="R1296" s="19" t="n"/>
      <c r="S1296" s="19" t="n"/>
      <c r="T1296" s="19" t="n"/>
      <c r="U1296" s="19" t="n"/>
      <c r="V1296" s="19" t="n"/>
      <c r="W1296" s="19" t="n"/>
      <c r="X1296" s="19" t="n"/>
      <c r="Y1296" s="19" t="n">
        <v>1</v>
      </c>
      <c r="Z1296" s="13">
        <f>SUMPRODUCT(N1296:Y1296,$N$2:$Y$2)*$K1296*$L1296*$M1296</f>
        <v/>
      </c>
      <c r="AA1296" s="14">
        <f>SUM(N1296:Y1296)</f>
        <v/>
      </c>
      <c r="AB1296" s="13">
        <f>SUMPRODUCT(N1296:Y1296,$N$3:$Y$3)*$K1296*$L1296*$M1296</f>
        <v/>
      </c>
      <c r="AC1296" s="13">
        <f>SUMPRODUCT(N1296:Y1296,$N$4:$Y$4)*$K1296*$L1296*$M1296</f>
        <v/>
      </c>
      <c r="AD1296" s="15" t="n">
        <v>3</v>
      </c>
      <c r="AE1296" s="11" t="n">
        <v>1.011296296296296</v>
      </c>
      <c r="AF1296" s="16">
        <f>SUMPRODUCT(N1296:Y1296,$N$5:$Y$5)*$K1296*$L1296*$M1296</f>
        <v/>
      </c>
      <c r="AG1296" s="16">
        <f>SUMPRODUCT(N1296:Y1296,$N$6:$Y$6)*$K1296*$L1296*$M1296</f>
        <v/>
      </c>
      <c r="AH1296" s="20" t="n"/>
    </row>
    <row r="1297">
      <c r="A1297" s="9" t="n">
        <v>822715</v>
      </c>
      <c r="B1297" s="9" t="inlineStr">
        <is>
          <t>Mason Patel</t>
        </is>
      </c>
      <c r="C1297" s="9" t="inlineStr">
        <is>
          <t>OAK</t>
        </is>
      </c>
      <c r="D1297" s="9" t="n">
        <v>25</v>
      </c>
      <c r="E1297" s="18" t="inlineStr">
        <is>
          <t>R</t>
        </is>
      </c>
      <c r="F1297" s="18" t="n"/>
      <c r="G1297" s="9" t="n">
        <v>7.912</v>
      </c>
      <c r="H1297" s="9" t="n">
        <v>7.912</v>
      </c>
      <c r="I1297" s="9" t="inlineStr">
        <is>
          <t>Depth (no MLB IP)</t>
        </is>
      </c>
      <c r="J1297" s="18" t="inlineStr">
        <is>
          <t>Opening Day</t>
        </is>
      </c>
      <c r="K1297" s="11">
        <f>IFERROR(INDEX(Roles!$B$17:$B$20,MATCH(J1297,Roles!$A$17:$A$20,0)),1)</f>
        <v/>
      </c>
      <c r="L1297" s="19" t="n">
        <v>1</v>
      </c>
      <c r="M1297" s="11" t="n">
        <v>1</v>
      </c>
      <c r="N1297" s="19" t="n"/>
      <c r="O1297" s="19" t="n"/>
      <c r="P1297" s="19" t="n"/>
      <c r="Q1297" s="19" t="n"/>
      <c r="R1297" s="19" t="n"/>
      <c r="S1297" s="19" t="n"/>
      <c r="T1297" s="19" t="n"/>
      <c r="U1297" s="19" t="n"/>
      <c r="V1297" s="19" t="n"/>
      <c r="W1297" s="19" t="n"/>
      <c r="X1297" s="19" t="n"/>
      <c r="Y1297" s="19" t="n">
        <v>1</v>
      </c>
      <c r="Z1297" s="13">
        <f>SUMPRODUCT(N1297:Y1297,$N$2:$Y$2)*$K1297*$L1297*$M1297</f>
        <v/>
      </c>
      <c r="AA1297" s="14">
        <f>SUM(N1297:Y1297)</f>
        <v/>
      </c>
      <c r="AB1297" s="13">
        <f>SUMPRODUCT(N1297:Y1297,$N$3:$Y$3)*$K1297*$L1297*$M1297</f>
        <v/>
      </c>
      <c r="AC1297" s="13">
        <f>SUMPRODUCT(N1297:Y1297,$N$4:$Y$4)*$K1297*$L1297*$M1297</f>
        <v/>
      </c>
      <c r="AD1297" s="15" t="n">
        <v>3</v>
      </c>
      <c r="AE1297" s="11" t="n">
        <v>1.011296296296296</v>
      </c>
      <c r="AF1297" s="16">
        <f>SUMPRODUCT(N1297:Y1297,$N$5:$Y$5)*$K1297*$L1297*$M1297</f>
        <v/>
      </c>
      <c r="AG1297" s="16">
        <f>SUMPRODUCT(N1297:Y1297,$N$6:$Y$6)*$K1297*$L1297*$M1297</f>
        <v/>
      </c>
      <c r="AH1297" s="20" t="n"/>
    </row>
    <row r="1298">
      <c r="A1298" s="9" t="n">
        <v>701195</v>
      </c>
      <c r="B1298" s="9" t="inlineStr">
        <is>
          <t>Manuel Castro</t>
        </is>
      </c>
      <c r="C1298" s="9" t="inlineStr">
        <is>
          <t>SD</t>
        </is>
      </c>
      <c r="D1298" s="9" t="n">
        <v>25</v>
      </c>
      <c r="E1298" s="18" t="inlineStr">
        <is>
          <t>R</t>
        </is>
      </c>
      <c r="F1298" s="18" t="n"/>
      <c r="G1298" s="9" t="n">
        <v>8.026666666666666</v>
      </c>
      <c r="H1298" s="9" t="n">
        <v>8.026666666666666</v>
      </c>
      <c r="I1298" s="9" t="inlineStr">
        <is>
          <t>Depth (no MLB IP)</t>
        </is>
      </c>
      <c r="J1298" s="18" t="inlineStr">
        <is>
          <t>Opening Day</t>
        </is>
      </c>
      <c r="K1298" s="11">
        <f>IFERROR(INDEX(Roles!$B$17:$B$20,MATCH(J1298,Roles!$A$17:$A$20,0)),1)</f>
        <v/>
      </c>
      <c r="L1298" s="19" t="n">
        <v>1</v>
      </c>
      <c r="M1298" s="11" t="n">
        <v>1</v>
      </c>
      <c r="N1298" s="19" t="n"/>
      <c r="O1298" s="19" t="n"/>
      <c r="P1298" s="19" t="n"/>
      <c r="Q1298" s="19" t="n"/>
      <c r="R1298" s="19" t="n"/>
      <c r="S1298" s="19" t="n"/>
      <c r="T1298" s="19" t="n"/>
      <c r="U1298" s="19" t="n"/>
      <c r="V1298" s="19" t="n"/>
      <c r="W1298" s="19" t="n"/>
      <c r="X1298" s="19" t="n"/>
      <c r="Y1298" s="19" t="n">
        <v>1</v>
      </c>
      <c r="Z1298" s="13">
        <f>SUMPRODUCT(N1298:Y1298,$N$2:$Y$2)*$K1298*$L1298*$M1298</f>
        <v/>
      </c>
      <c r="AA1298" s="14">
        <f>SUM(N1298:Y1298)</f>
        <v/>
      </c>
      <c r="AB1298" s="13">
        <f>SUMPRODUCT(N1298:Y1298,$N$3:$Y$3)*$K1298*$L1298*$M1298</f>
        <v/>
      </c>
      <c r="AC1298" s="13">
        <f>SUMPRODUCT(N1298:Y1298,$N$4:$Y$4)*$K1298*$L1298*$M1298</f>
        <v/>
      </c>
      <c r="AD1298" s="15" t="n">
        <v>3</v>
      </c>
      <c r="AE1298" s="11" t="n">
        <v>1.011296296296296</v>
      </c>
      <c r="AF1298" s="16">
        <f>SUMPRODUCT(N1298:Y1298,$N$5:$Y$5)*$K1298*$L1298*$M1298</f>
        <v/>
      </c>
      <c r="AG1298" s="16">
        <f>SUMPRODUCT(N1298:Y1298,$N$6:$Y$6)*$K1298*$L1298*$M1298</f>
        <v/>
      </c>
      <c r="AH1298" s="20" t="n"/>
    </row>
    <row r="1299">
      <c r="A1299" s="9" t="n">
        <v>691013</v>
      </c>
      <c r="B1299" s="9" t="inlineStr">
        <is>
          <t>Jason Savacool</t>
        </is>
      </c>
      <c r="C1299" s="9" t="inlineStr">
        <is>
          <t>STL</t>
        </is>
      </c>
      <c r="D1299" s="9" t="n">
        <v>25</v>
      </c>
      <c r="E1299" s="18" t="inlineStr">
        <is>
          <t>R</t>
        </is>
      </c>
      <c r="F1299" s="18" t="n"/>
      <c r="G1299" s="9" t="n">
        <v>7.883333333333335</v>
      </c>
      <c r="H1299" s="9" t="n">
        <v>7.883333333333335</v>
      </c>
      <c r="I1299" s="9" t="inlineStr">
        <is>
          <t>Depth (no MLB IP)</t>
        </is>
      </c>
      <c r="J1299" s="18" t="inlineStr">
        <is>
          <t>Opening Day</t>
        </is>
      </c>
      <c r="K1299" s="11">
        <f>IFERROR(INDEX(Roles!$B$17:$B$20,MATCH(J1299,Roles!$A$17:$A$20,0)),1)</f>
        <v/>
      </c>
      <c r="L1299" s="19" t="n">
        <v>1</v>
      </c>
      <c r="M1299" s="11" t="n">
        <v>1</v>
      </c>
      <c r="N1299" s="19" t="n"/>
      <c r="O1299" s="19" t="n"/>
      <c r="P1299" s="19" t="n"/>
      <c r="Q1299" s="19" t="n"/>
      <c r="R1299" s="19" t="n"/>
      <c r="S1299" s="19" t="n"/>
      <c r="T1299" s="19" t="n"/>
      <c r="U1299" s="19" t="n"/>
      <c r="V1299" s="19" t="n"/>
      <c r="W1299" s="19" t="n"/>
      <c r="X1299" s="19" t="n"/>
      <c r="Y1299" s="19" t="n">
        <v>1</v>
      </c>
      <c r="Z1299" s="13">
        <f>SUMPRODUCT(N1299:Y1299,$N$2:$Y$2)*$K1299*$L1299*$M1299</f>
        <v/>
      </c>
      <c r="AA1299" s="14">
        <f>SUM(N1299:Y1299)</f>
        <v/>
      </c>
      <c r="AB1299" s="13">
        <f>SUMPRODUCT(N1299:Y1299,$N$3:$Y$3)*$K1299*$L1299*$M1299</f>
        <v/>
      </c>
      <c r="AC1299" s="13">
        <f>SUMPRODUCT(N1299:Y1299,$N$4:$Y$4)*$K1299*$L1299*$M1299</f>
        <v/>
      </c>
      <c r="AD1299" s="15" t="n">
        <v>3</v>
      </c>
      <c r="AE1299" s="11" t="n">
        <v>1.011296296296296</v>
      </c>
      <c r="AF1299" s="16">
        <f>SUMPRODUCT(N1299:Y1299,$N$5:$Y$5)*$K1299*$L1299*$M1299</f>
        <v/>
      </c>
      <c r="AG1299" s="16">
        <f>SUMPRODUCT(N1299:Y1299,$N$6:$Y$6)*$K1299*$L1299*$M1299</f>
        <v/>
      </c>
      <c r="AH1299" s="20" t="n"/>
    </row>
    <row r="1300">
      <c r="A1300" s="9" t="n">
        <v>694453</v>
      </c>
      <c r="B1300" s="9" t="inlineStr">
        <is>
          <t>Alex Galvan</t>
        </is>
      </c>
      <c r="C1300" s="9" t="inlineStr">
        <is>
          <t>ARI</t>
        </is>
      </c>
      <c r="D1300" s="9" t="n">
        <v>25</v>
      </c>
      <c r="E1300" s="18" t="inlineStr">
        <is>
          <t>R</t>
        </is>
      </c>
      <c r="F1300" s="18" t="n"/>
      <c r="G1300" s="9" t="n">
        <v>8.084</v>
      </c>
      <c r="H1300" s="9" t="n">
        <v>8.084</v>
      </c>
      <c r="I1300" s="9" t="inlineStr">
        <is>
          <t>Depth (no MLB IP)</t>
        </is>
      </c>
      <c r="J1300" s="18" t="inlineStr">
        <is>
          <t>Opening Day</t>
        </is>
      </c>
      <c r="K1300" s="11">
        <f>IFERROR(INDEX(Roles!$B$17:$B$20,MATCH(J1300,Roles!$A$17:$A$20,0)),1)</f>
        <v/>
      </c>
      <c r="L1300" s="19" t="n">
        <v>1</v>
      </c>
      <c r="M1300" s="11" t="n">
        <v>1</v>
      </c>
      <c r="N1300" s="19" t="n"/>
      <c r="O1300" s="19" t="n"/>
      <c r="P1300" s="19" t="n"/>
      <c r="Q1300" s="19" t="n"/>
      <c r="R1300" s="19" t="n"/>
      <c r="S1300" s="19" t="n"/>
      <c r="T1300" s="19" t="n"/>
      <c r="U1300" s="19" t="n"/>
      <c r="V1300" s="19" t="n"/>
      <c r="W1300" s="19" t="n"/>
      <c r="X1300" s="19" t="n"/>
      <c r="Y1300" s="19" t="n">
        <v>1</v>
      </c>
      <c r="Z1300" s="13">
        <f>SUMPRODUCT(N1300:Y1300,$N$2:$Y$2)*$K1300*$L1300*$M1300</f>
        <v/>
      </c>
      <c r="AA1300" s="14">
        <f>SUM(N1300:Y1300)</f>
        <v/>
      </c>
      <c r="AB1300" s="13">
        <f>SUMPRODUCT(N1300:Y1300,$N$3:$Y$3)*$K1300*$L1300*$M1300</f>
        <v/>
      </c>
      <c r="AC1300" s="13">
        <f>SUMPRODUCT(N1300:Y1300,$N$4:$Y$4)*$K1300*$L1300*$M1300</f>
        <v/>
      </c>
      <c r="AD1300" s="15" t="n">
        <v>3</v>
      </c>
      <c r="AE1300" s="11" t="n">
        <v>1.011296296296296</v>
      </c>
      <c r="AF1300" s="16">
        <f>SUMPRODUCT(N1300:Y1300,$N$5:$Y$5)*$K1300*$L1300*$M1300</f>
        <v/>
      </c>
      <c r="AG1300" s="16">
        <f>SUMPRODUCT(N1300:Y1300,$N$6:$Y$6)*$K1300*$L1300*$M1300</f>
        <v/>
      </c>
      <c r="AH1300" s="20" t="n"/>
    </row>
    <row r="1301">
      <c r="A1301" s="9" t="n">
        <v>805730</v>
      </c>
      <c r="B1301" s="9" t="inlineStr">
        <is>
          <t>Blake Gillespie</t>
        </is>
      </c>
      <c r="C1301" s="9" t="inlineStr">
        <is>
          <t>NYY</t>
        </is>
      </c>
      <c r="D1301" s="9" t="n">
        <v>25</v>
      </c>
      <c r="E1301" s="18" t="inlineStr">
        <is>
          <t>R</t>
        </is>
      </c>
      <c r="F1301" s="18" t="n"/>
      <c r="G1301" s="9" t="n">
        <v>8.084</v>
      </c>
      <c r="H1301" s="9" t="n">
        <v>8.084</v>
      </c>
      <c r="I1301" s="9" t="inlineStr">
        <is>
          <t>Depth (no MLB IP)</t>
        </is>
      </c>
      <c r="J1301" s="18" t="inlineStr">
        <is>
          <t>Opening Day</t>
        </is>
      </c>
      <c r="K1301" s="11">
        <f>IFERROR(INDEX(Roles!$B$17:$B$20,MATCH(J1301,Roles!$A$17:$A$20,0)),1)</f>
        <v/>
      </c>
      <c r="L1301" s="19" t="n">
        <v>1</v>
      </c>
      <c r="M1301" s="11" t="n">
        <v>1</v>
      </c>
      <c r="N1301" s="19" t="n"/>
      <c r="O1301" s="19" t="n"/>
      <c r="P1301" s="19" t="n"/>
      <c r="Q1301" s="19" t="n"/>
      <c r="R1301" s="19" t="n"/>
      <c r="S1301" s="19" t="n"/>
      <c r="T1301" s="19" t="n"/>
      <c r="U1301" s="19" t="n"/>
      <c r="V1301" s="19" t="n"/>
      <c r="W1301" s="19" t="n"/>
      <c r="X1301" s="19" t="n"/>
      <c r="Y1301" s="19" t="n">
        <v>1</v>
      </c>
      <c r="Z1301" s="13">
        <f>SUMPRODUCT(N1301:Y1301,$N$2:$Y$2)*$K1301*$L1301*$M1301</f>
        <v/>
      </c>
      <c r="AA1301" s="14">
        <f>SUM(N1301:Y1301)</f>
        <v/>
      </c>
      <c r="AB1301" s="13">
        <f>SUMPRODUCT(N1301:Y1301,$N$3:$Y$3)*$K1301*$L1301*$M1301</f>
        <v/>
      </c>
      <c r="AC1301" s="13">
        <f>SUMPRODUCT(N1301:Y1301,$N$4:$Y$4)*$K1301*$L1301*$M1301</f>
        <v/>
      </c>
      <c r="AD1301" s="15" t="n">
        <v>3</v>
      </c>
      <c r="AE1301" s="11" t="n">
        <v>1.011296296296296</v>
      </c>
      <c r="AF1301" s="16">
        <f>SUMPRODUCT(N1301:Y1301,$N$5:$Y$5)*$K1301*$L1301*$M1301</f>
        <v/>
      </c>
      <c r="AG1301" s="16">
        <f>SUMPRODUCT(N1301:Y1301,$N$6:$Y$6)*$K1301*$L1301*$M1301</f>
        <v/>
      </c>
      <c r="AH1301" s="20" t="n"/>
    </row>
    <row r="1302">
      <c r="A1302" s="9" t="n">
        <v>813536</v>
      </c>
      <c r="B1302" s="9" t="inlineStr">
        <is>
          <t>Juan Valera</t>
        </is>
      </c>
      <c r="C1302" s="9" t="inlineStr">
        <is>
          <t>BOS</t>
        </is>
      </c>
      <c r="D1302" s="9" t="n">
        <v>21</v>
      </c>
      <c r="E1302" s="18" t="inlineStr">
        <is>
          <t>R</t>
        </is>
      </c>
      <c r="F1302" s="18" t="n"/>
      <c r="G1302" s="9" t="n">
        <v>8.026666666666667</v>
      </c>
      <c r="H1302" s="9" t="n">
        <v>8.026666666666667</v>
      </c>
      <c r="I1302" s="9" t="inlineStr">
        <is>
          <t>Depth (no MLB IP)</t>
        </is>
      </c>
      <c r="J1302" s="18" t="inlineStr">
        <is>
          <t>Opening Day</t>
        </is>
      </c>
      <c r="K1302" s="11">
        <f>IFERROR(INDEX(Roles!$B$17:$B$20,MATCH(J1302,Roles!$A$17:$A$20,0)),1)</f>
        <v/>
      </c>
      <c r="L1302" s="19" t="n">
        <v>1</v>
      </c>
      <c r="M1302" s="11" t="n">
        <v>1</v>
      </c>
      <c r="N1302" s="19" t="n"/>
      <c r="O1302" s="19" t="n"/>
      <c r="P1302" s="19" t="n"/>
      <c r="Q1302" s="19" t="n"/>
      <c r="R1302" s="19" t="n"/>
      <c r="S1302" s="19" t="n"/>
      <c r="T1302" s="19" t="n"/>
      <c r="U1302" s="19" t="n"/>
      <c r="V1302" s="19" t="n"/>
      <c r="W1302" s="19" t="n"/>
      <c r="X1302" s="19" t="n"/>
      <c r="Y1302" s="19" t="n">
        <v>1</v>
      </c>
      <c r="Z1302" s="13">
        <f>SUMPRODUCT(N1302:Y1302,$N$2:$Y$2)*$K1302*$L1302*$M1302</f>
        <v/>
      </c>
      <c r="AA1302" s="14">
        <f>SUM(N1302:Y1302)</f>
        <v/>
      </c>
      <c r="AB1302" s="13">
        <f>SUMPRODUCT(N1302:Y1302,$N$3:$Y$3)*$K1302*$L1302*$M1302</f>
        <v/>
      </c>
      <c r="AC1302" s="13">
        <f>SUMPRODUCT(N1302:Y1302,$N$4:$Y$4)*$K1302*$L1302*$M1302</f>
        <v/>
      </c>
      <c r="AD1302" s="15" t="n">
        <v>3</v>
      </c>
      <c r="AE1302" s="11" t="n">
        <v>1.011296296296296</v>
      </c>
      <c r="AF1302" s="16">
        <f>SUMPRODUCT(N1302:Y1302,$N$5:$Y$5)*$K1302*$L1302*$M1302</f>
        <v/>
      </c>
      <c r="AG1302" s="16">
        <f>SUMPRODUCT(N1302:Y1302,$N$6:$Y$6)*$K1302*$L1302*$M1302</f>
        <v/>
      </c>
      <c r="AH1302" s="20" t="n"/>
    </row>
    <row r="1303">
      <c r="A1303" s="9" t="n">
        <v>811138</v>
      </c>
      <c r="B1303" s="9" t="inlineStr">
        <is>
          <t>Jairon Digon</t>
        </is>
      </c>
      <c r="C1303" s="9" t="inlineStr">
        <is>
          <t>ARI</t>
        </is>
      </c>
      <c r="D1303" s="9" t="n">
        <v>25</v>
      </c>
      <c r="E1303" s="18" t="inlineStr">
        <is>
          <t>R</t>
        </is>
      </c>
      <c r="F1303" s="18" t="n"/>
      <c r="G1303" s="9" t="n">
        <v>8.084</v>
      </c>
      <c r="H1303" s="9" t="n">
        <v>8.084</v>
      </c>
      <c r="I1303" s="9" t="inlineStr">
        <is>
          <t>Depth (no MLB IP)</t>
        </is>
      </c>
      <c r="J1303" s="18" t="inlineStr">
        <is>
          <t>Opening Day</t>
        </is>
      </c>
      <c r="K1303" s="11">
        <f>IFERROR(INDEX(Roles!$B$17:$B$20,MATCH(J1303,Roles!$A$17:$A$20,0)),1)</f>
        <v/>
      </c>
      <c r="L1303" s="19" t="n">
        <v>1</v>
      </c>
      <c r="M1303" s="11" t="n">
        <v>1</v>
      </c>
      <c r="N1303" s="19" t="n"/>
      <c r="O1303" s="19" t="n"/>
      <c r="P1303" s="19" t="n"/>
      <c r="Q1303" s="19" t="n"/>
      <c r="R1303" s="19" t="n"/>
      <c r="S1303" s="19" t="n"/>
      <c r="T1303" s="19" t="n"/>
      <c r="U1303" s="19" t="n"/>
      <c r="V1303" s="19" t="n"/>
      <c r="W1303" s="19" t="n"/>
      <c r="X1303" s="19" t="n"/>
      <c r="Y1303" s="19" t="n">
        <v>1</v>
      </c>
      <c r="Z1303" s="13">
        <f>SUMPRODUCT(N1303:Y1303,$N$2:$Y$2)*$K1303*$L1303*$M1303</f>
        <v/>
      </c>
      <c r="AA1303" s="14">
        <f>SUM(N1303:Y1303)</f>
        <v/>
      </c>
      <c r="AB1303" s="13">
        <f>SUMPRODUCT(N1303:Y1303,$N$3:$Y$3)*$K1303*$L1303*$M1303</f>
        <v/>
      </c>
      <c r="AC1303" s="13">
        <f>SUMPRODUCT(N1303:Y1303,$N$4:$Y$4)*$K1303*$L1303*$M1303</f>
        <v/>
      </c>
      <c r="AD1303" s="15" t="n">
        <v>3</v>
      </c>
      <c r="AE1303" s="11" t="n">
        <v>1.011296296296296</v>
      </c>
      <c r="AF1303" s="16">
        <f>SUMPRODUCT(N1303:Y1303,$N$5:$Y$5)*$K1303*$L1303*$M1303</f>
        <v/>
      </c>
      <c r="AG1303" s="16">
        <f>SUMPRODUCT(N1303:Y1303,$N$6:$Y$6)*$K1303*$L1303*$M1303</f>
        <v/>
      </c>
      <c r="AH1303" s="20" t="n"/>
    </row>
    <row r="1304">
      <c r="A1304" s="9" t="n">
        <v>808839</v>
      </c>
      <c r="B1304" s="9" t="inlineStr">
        <is>
          <t>Stephen Quigley</t>
        </is>
      </c>
      <c r="C1304" s="9" t="inlineStr">
        <is>
          <t>CIN</t>
        </is>
      </c>
      <c r="D1304" s="9" t="n">
        <v>25</v>
      </c>
      <c r="E1304" s="18" t="inlineStr">
        <is>
          <t>R</t>
        </is>
      </c>
      <c r="F1304" s="18" t="n"/>
      <c r="G1304" s="9" t="n">
        <v>8.026666666666666</v>
      </c>
      <c r="H1304" s="9" t="n">
        <v>8.026666666666666</v>
      </c>
      <c r="I1304" s="9" t="inlineStr">
        <is>
          <t>Depth (no MLB IP)</t>
        </is>
      </c>
      <c r="J1304" s="18" t="inlineStr">
        <is>
          <t>Opening Day</t>
        </is>
      </c>
      <c r="K1304" s="11">
        <f>IFERROR(INDEX(Roles!$B$17:$B$20,MATCH(J1304,Roles!$A$17:$A$20,0)),1)</f>
        <v/>
      </c>
      <c r="L1304" s="19" t="n">
        <v>1</v>
      </c>
      <c r="M1304" s="11" t="n">
        <v>1</v>
      </c>
      <c r="N1304" s="19" t="n"/>
      <c r="O1304" s="19" t="n"/>
      <c r="P1304" s="19" t="n"/>
      <c r="Q1304" s="19" t="n"/>
      <c r="R1304" s="19" t="n"/>
      <c r="S1304" s="19" t="n"/>
      <c r="T1304" s="19" t="n"/>
      <c r="U1304" s="19" t="n"/>
      <c r="V1304" s="19" t="n"/>
      <c r="W1304" s="19" t="n"/>
      <c r="X1304" s="19" t="n"/>
      <c r="Y1304" s="19" t="n">
        <v>1</v>
      </c>
      <c r="Z1304" s="13">
        <f>SUMPRODUCT(N1304:Y1304,$N$2:$Y$2)*$K1304*$L1304*$M1304</f>
        <v/>
      </c>
      <c r="AA1304" s="14">
        <f>SUM(N1304:Y1304)</f>
        <v/>
      </c>
      <c r="AB1304" s="13">
        <f>SUMPRODUCT(N1304:Y1304,$N$3:$Y$3)*$K1304*$L1304*$M1304</f>
        <v/>
      </c>
      <c r="AC1304" s="13">
        <f>SUMPRODUCT(N1304:Y1304,$N$4:$Y$4)*$K1304*$L1304*$M1304</f>
        <v/>
      </c>
      <c r="AD1304" s="15" t="n">
        <v>3</v>
      </c>
      <c r="AE1304" s="11" t="n">
        <v>1.011296296296296</v>
      </c>
      <c r="AF1304" s="16">
        <f>SUMPRODUCT(N1304:Y1304,$N$5:$Y$5)*$K1304*$L1304*$M1304</f>
        <v/>
      </c>
      <c r="AG1304" s="16">
        <f>SUMPRODUCT(N1304:Y1304,$N$6:$Y$6)*$K1304*$L1304*$M1304</f>
        <v/>
      </c>
      <c r="AH1304" s="20" t="n"/>
    </row>
    <row r="1305">
      <c r="A1305" s="9" t="n">
        <v>829397</v>
      </c>
      <c r="B1305" s="9" t="inlineStr">
        <is>
          <t>Berny Ortiz</t>
        </is>
      </c>
      <c r="C1305" s="9" t="inlineStr">
        <is>
          <t>BOS</t>
        </is>
      </c>
      <c r="D1305" s="9" t="n">
        <v>25</v>
      </c>
      <c r="E1305" s="18" t="inlineStr">
        <is>
          <t>R</t>
        </is>
      </c>
      <c r="F1305" s="18" t="n"/>
      <c r="G1305" s="9" t="n">
        <v>8.084</v>
      </c>
      <c r="H1305" s="9" t="n">
        <v>8.084</v>
      </c>
      <c r="I1305" s="9" t="inlineStr">
        <is>
          <t>Depth (no MLB IP)</t>
        </is>
      </c>
      <c r="J1305" s="18" t="inlineStr">
        <is>
          <t>Opening Day</t>
        </is>
      </c>
      <c r="K1305" s="11">
        <f>IFERROR(INDEX(Roles!$B$17:$B$20,MATCH(J1305,Roles!$A$17:$A$20,0)),1)</f>
        <v/>
      </c>
      <c r="L1305" s="19" t="n">
        <v>1</v>
      </c>
      <c r="M1305" s="11" t="n">
        <v>1</v>
      </c>
      <c r="N1305" s="19" t="n"/>
      <c r="O1305" s="19" t="n"/>
      <c r="P1305" s="19" t="n"/>
      <c r="Q1305" s="19" t="n"/>
      <c r="R1305" s="19" t="n"/>
      <c r="S1305" s="19" t="n"/>
      <c r="T1305" s="19" t="n"/>
      <c r="U1305" s="19" t="n"/>
      <c r="V1305" s="19" t="n"/>
      <c r="W1305" s="19" t="n"/>
      <c r="X1305" s="19" t="n"/>
      <c r="Y1305" s="19" t="n">
        <v>1</v>
      </c>
      <c r="Z1305" s="13">
        <f>SUMPRODUCT(N1305:Y1305,$N$2:$Y$2)*$K1305*$L1305*$M1305</f>
        <v/>
      </c>
      <c r="AA1305" s="14">
        <f>SUM(N1305:Y1305)</f>
        <v/>
      </c>
      <c r="AB1305" s="13">
        <f>SUMPRODUCT(N1305:Y1305,$N$3:$Y$3)*$K1305*$L1305*$M1305</f>
        <v/>
      </c>
      <c r="AC1305" s="13">
        <f>SUMPRODUCT(N1305:Y1305,$N$4:$Y$4)*$K1305*$L1305*$M1305</f>
        <v/>
      </c>
      <c r="AD1305" s="15" t="n">
        <v>3</v>
      </c>
      <c r="AE1305" s="11" t="n">
        <v>1.011296296296296</v>
      </c>
      <c r="AF1305" s="16">
        <f>SUMPRODUCT(N1305:Y1305,$N$5:$Y$5)*$K1305*$L1305*$M1305</f>
        <v/>
      </c>
      <c r="AG1305" s="16">
        <f>SUMPRODUCT(N1305:Y1305,$N$6:$Y$6)*$K1305*$L1305*$M1305</f>
        <v/>
      </c>
      <c r="AH1305" s="20" t="n"/>
    </row>
    <row r="1306">
      <c r="A1306" s="9" t="n">
        <v>691771</v>
      </c>
      <c r="B1306" s="9" t="inlineStr">
        <is>
          <t>Michael Braswell III</t>
        </is>
      </c>
      <c r="C1306" s="9" t="inlineStr">
        <is>
          <t>KC</t>
        </is>
      </c>
      <c r="D1306" s="9" t="n">
        <v>25</v>
      </c>
      <c r="E1306" s="18" t="inlineStr">
        <is>
          <t>R</t>
        </is>
      </c>
      <c r="F1306" s="18" t="n"/>
      <c r="G1306" s="9" t="n">
        <v>8.084</v>
      </c>
      <c r="H1306" s="9" t="n">
        <v>8.084</v>
      </c>
      <c r="I1306" s="9" t="inlineStr">
        <is>
          <t>Depth (no MLB IP)</t>
        </is>
      </c>
      <c r="J1306" s="18" t="inlineStr">
        <is>
          <t>Opening Day</t>
        </is>
      </c>
      <c r="K1306" s="11">
        <f>IFERROR(INDEX(Roles!$B$17:$B$20,MATCH(J1306,Roles!$A$17:$A$20,0)),1)</f>
        <v/>
      </c>
      <c r="L1306" s="19" t="n">
        <v>1</v>
      </c>
      <c r="M1306" s="11" t="n">
        <v>1</v>
      </c>
      <c r="N1306" s="19" t="n"/>
      <c r="O1306" s="19" t="n"/>
      <c r="P1306" s="19" t="n"/>
      <c r="Q1306" s="19" t="n"/>
      <c r="R1306" s="19" t="n"/>
      <c r="S1306" s="19" t="n"/>
      <c r="T1306" s="19" t="n"/>
      <c r="U1306" s="19" t="n"/>
      <c r="V1306" s="19" t="n"/>
      <c r="W1306" s="19" t="n"/>
      <c r="X1306" s="19" t="n"/>
      <c r="Y1306" s="19" t="n">
        <v>1</v>
      </c>
      <c r="Z1306" s="13">
        <f>SUMPRODUCT(N1306:Y1306,$N$2:$Y$2)*$K1306*$L1306*$M1306</f>
        <v/>
      </c>
      <c r="AA1306" s="14">
        <f>SUM(N1306:Y1306)</f>
        <v/>
      </c>
      <c r="AB1306" s="13">
        <f>SUMPRODUCT(N1306:Y1306,$N$3:$Y$3)*$K1306*$L1306*$M1306</f>
        <v/>
      </c>
      <c r="AC1306" s="13">
        <f>SUMPRODUCT(N1306:Y1306,$N$4:$Y$4)*$K1306*$L1306*$M1306</f>
        <v/>
      </c>
      <c r="AD1306" s="15" t="n">
        <v>3</v>
      </c>
      <c r="AE1306" s="11" t="n">
        <v>1.011296296296296</v>
      </c>
      <c r="AF1306" s="16">
        <f>SUMPRODUCT(N1306:Y1306,$N$5:$Y$5)*$K1306*$L1306*$M1306</f>
        <v/>
      </c>
      <c r="AG1306" s="16">
        <f>SUMPRODUCT(N1306:Y1306,$N$6:$Y$6)*$K1306*$L1306*$M1306</f>
        <v/>
      </c>
      <c r="AH1306" s="20" t="n"/>
    </row>
    <row r="1307">
      <c r="A1307" s="9" t="n">
        <v>835183</v>
      </c>
      <c r="B1307" s="9" t="inlineStr">
        <is>
          <t>Wily Villar</t>
        </is>
      </c>
      <c r="C1307" s="9" t="inlineStr">
        <is>
          <t>TEX</t>
        </is>
      </c>
      <c r="D1307" s="9" t="n">
        <v>25</v>
      </c>
      <c r="E1307" s="18" t="inlineStr">
        <is>
          <t>R</t>
        </is>
      </c>
      <c r="F1307" s="18" t="n"/>
      <c r="G1307" s="9" t="n">
        <v>8.026666666666666</v>
      </c>
      <c r="H1307" s="9" t="n">
        <v>8.026666666666666</v>
      </c>
      <c r="I1307" s="9" t="inlineStr">
        <is>
          <t>Depth (no MLB IP)</t>
        </is>
      </c>
      <c r="J1307" s="18" t="inlineStr">
        <is>
          <t>Opening Day</t>
        </is>
      </c>
      <c r="K1307" s="11">
        <f>IFERROR(INDEX(Roles!$B$17:$B$20,MATCH(J1307,Roles!$A$17:$A$20,0)),1)</f>
        <v/>
      </c>
      <c r="L1307" s="19" t="n">
        <v>1</v>
      </c>
      <c r="M1307" s="11" t="n">
        <v>1</v>
      </c>
      <c r="N1307" s="19" t="n"/>
      <c r="O1307" s="19" t="n"/>
      <c r="P1307" s="19" t="n"/>
      <c r="Q1307" s="19" t="n"/>
      <c r="R1307" s="19" t="n"/>
      <c r="S1307" s="19" t="n"/>
      <c r="T1307" s="19" t="n"/>
      <c r="U1307" s="19" t="n"/>
      <c r="V1307" s="19" t="n"/>
      <c r="W1307" s="19" t="n"/>
      <c r="X1307" s="19" t="n"/>
      <c r="Y1307" s="19" t="n">
        <v>1</v>
      </c>
      <c r="Z1307" s="13">
        <f>SUMPRODUCT(N1307:Y1307,$N$2:$Y$2)*$K1307*$L1307*$M1307</f>
        <v/>
      </c>
      <c r="AA1307" s="14">
        <f>SUM(N1307:Y1307)</f>
        <v/>
      </c>
      <c r="AB1307" s="13">
        <f>SUMPRODUCT(N1307:Y1307,$N$3:$Y$3)*$K1307*$L1307*$M1307</f>
        <v/>
      </c>
      <c r="AC1307" s="13">
        <f>SUMPRODUCT(N1307:Y1307,$N$4:$Y$4)*$K1307*$L1307*$M1307</f>
        <v/>
      </c>
      <c r="AD1307" s="15" t="n">
        <v>3</v>
      </c>
      <c r="AE1307" s="11" t="n">
        <v>1.011296296296296</v>
      </c>
      <c r="AF1307" s="16">
        <f>SUMPRODUCT(N1307:Y1307,$N$5:$Y$5)*$K1307*$L1307*$M1307</f>
        <v/>
      </c>
      <c r="AG1307" s="16">
        <f>SUMPRODUCT(N1307:Y1307,$N$6:$Y$6)*$K1307*$L1307*$M1307</f>
        <v/>
      </c>
      <c r="AH1307" s="20" t="n"/>
    </row>
    <row r="1308">
      <c r="A1308" s="9" t="n">
        <v>702052</v>
      </c>
      <c r="B1308" s="9" t="inlineStr">
        <is>
          <t>Hunter Hollan</t>
        </is>
      </c>
      <c r="C1308" s="9" t="inlineStr">
        <is>
          <t>CIN</t>
        </is>
      </c>
      <c r="D1308" s="9" t="n">
        <v>25</v>
      </c>
      <c r="E1308" s="18" t="inlineStr">
        <is>
          <t>L</t>
        </is>
      </c>
      <c r="F1308" s="18" t="n"/>
      <c r="G1308" s="9" t="n">
        <v>8.084</v>
      </c>
      <c r="H1308" s="9" t="n">
        <v>8.084</v>
      </c>
      <c r="I1308" s="9" t="inlineStr">
        <is>
          <t>Depth (no MLB IP)</t>
        </is>
      </c>
      <c r="J1308" s="18" t="inlineStr">
        <is>
          <t>Opening Day</t>
        </is>
      </c>
      <c r="K1308" s="11">
        <f>IFERROR(INDEX(Roles!$B$17:$B$20,MATCH(J1308,Roles!$A$17:$A$20,0)),1)</f>
        <v/>
      </c>
      <c r="L1308" s="19" t="n">
        <v>1</v>
      </c>
      <c r="M1308" s="11" t="n">
        <v>1</v>
      </c>
      <c r="N1308" s="19" t="n"/>
      <c r="O1308" s="19" t="n"/>
      <c r="P1308" s="19" t="n"/>
      <c r="Q1308" s="19" t="n"/>
      <c r="R1308" s="19" t="n"/>
      <c r="S1308" s="19" t="n"/>
      <c r="T1308" s="19" t="n"/>
      <c r="U1308" s="19" t="n"/>
      <c r="V1308" s="19" t="n"/>
      <c r="W1308" s="19" t="n"/>
      <c r="X1308" s="19" t="n"/>
      <c r="Y1308" s="19" t="n">
        <v>1</v>
      </c>
      <c r="Z1308" s="13">
        <f>SUMPRODUCT(N1308:Y1308,$N$2:$Y$2)*$K1308*$L1308*$M1308</f>
        <v/>
      </c>
      <c r="AA1308" s="14">
        <f>SUM(N1308:Y1308)</f>
        <v/>
      </c>
      <c r="AB1308" s="13">
        <f>SUMPRODUCT(N1308:Y1308,$N$3:$Y$3)*$K1308*$L1308*$M1308</f>
        <v/>
      </c>
      <c r="AC1308" s="13">
        <f>SUMPRODUCT(N1308:Y1308,$N$4:$Y$4)*$K1308*$L1308*$M1308</f>
        <v/>
      </c>
      <c r="AD1308" s="15" t="n">
        <v>3</v>
      </c>
      <c r="AE1308" s="11" t="n">
        <v>1.011296296296296</v>
      </c>
      <c r="AF1308" s="16">
        <f>SUMPRODUCT(N1308:Y1308,$N$5:$Y$5)*$K1308*$L1308*$M1308</f>
        <v/>
      </c>
      <c r="AG1308" s="16">
        <f>SUMPRODUCT(N1308:Y1308,$N$6:$Y$6)*$K1308*$L1308*$M1308</f>
        <v/>
      </c>
      <c r="AH1308" s="20" t="n"/>
    </row>
    <row r="1309">
      <c r="A1309" s="9" t="n">
        <v>803370</v>
      </c>
      <c r="B1309" s="9" t="inlineStr">
        <is>
          <t>Richard Fernandez</t>
        </is>
      </c>
      <c r="C1309" s="9" t="inlineStr">
        <is>
          <t>OAK</t>
        </is>
      </c>
      <c r="D1309" s="9" t="n">
        <v>25</v>
      </c>
      <c r="E1309" s="18" t="inlineStr">
        <is>
          <t>R</t>
        </is>
      </c>
      <c r="F1309" s="18" t="n"/>
      <c r="G1309" s="9" t="n">
        <v>8.084</v>
      </c>
      <c r="H1309" s="9" t="n">
        <v>8.084</v>
      </c>
      <c r="I1309" s="9" t="inlineStr">
        <is>
          <t>Depth (no MLB IP)</t>
        </is>
      </c>
      <c r="J1309" s="18" t="inlineStr">
        <is>
          <t>Opening Day</t>
        </is>
      </c>
      <c r="K1309" s="11">
        <f>IFERROR(INDEX(Roles!$B$17:$B$20,MATCH(J1309,Roles!$A$17:$A$20,0)),1)</f>
        <v/>
      </c>
      <c r="L1309" s="19" t="n">
        <v>1</v>
      </c>
      <c r="M1309" s="11" t="n">
        <v>1</v>
      </c>
      <c r="N1309" s="19" t="n"/>
      <c r="O1309" s="19" t="n"/>
      <c r="P1309" s="19" t="n"/>
      <c r="Q1309" s="19" t="n"/>
      <c r="R1309" s="19" t="n"/>
      <c r="S1309" s="19" t="n"/>
      <c r="T1309" s="19" t="n"/>
      <c r="U1309" s="19" t="n"/>
      <c r="V1309" s="19" t="n"/>
      <c r="W1309" s="19" t="n"/>
      <c r="X1309" s="19" t="n"/>
      <c r="Y1309" s="19" t="n">
        <v>1</v>
      </c>
      <c r="Z1309" s="13">
        <f>SUMPRODUCT(N1309:Y1309,$N$2:$Y$2)*$K1309*$L1309*$M1309</f>
        <v/>
      </c>
      <c r="AA1309" s="14">
        <f>SUM(N1309:Y1309)</f>
        <v/>
      </c>
      <c r="AB1309" s="13">
        <f>SUMPRODUCT(N1309:Y1309,$N$3:$Y$3)*$K1309*$L1309*$M1309</f>
        <v/>
      </c>
      <c r="AC1309" s="13">
        <f>SUMPRODUCT(N1309:Y1309,$N$4:$Y$4)*$K1309*$L1309*$M1309</f>
        <v/>
      </c>
      <c r="AD1309" s="15" t="n">
        <v>3</v>
      </c>
      <c r="AE1309" s="11" t="n">
        <v>1.011296296296296</v>
      </c>
      <c r="AF1309" s="16">
        <f>SUMPRODUCT(N1309:Y1309,$N$5:$Y$5)*$K1309*$L1309*$M1309</f>
        <v/>
      </c>
      <c r="AG1309" s="16">
        <f>SUMPRODUCT(N1309:Y1309,$N$6:$Y$6)*$K1309*$L1309*$M1309</f>
        <v/>
      </c>
      <c r="AH1309" s="20" t="n"/>
    </row>
    <row r="1310">
      <c r="A1310" s="9" t="n">
        <v>829679</v>
      </c>
      <c r="B1310" s="9" t="inlineStr">
        <is>
          <t>Shotaro Morii</t>
        </is>
      </c>
      <c r="C1310" s="9" t="inlineStr">
        <is>
          <t>OAK</t>
        </is>
      </c>
      <c r="D1310" s="9" t="n">
        <v>25</v>
      </c>
      <c r="E1310" s="18" t="inlineStr">
        <is>
          <t>R</t>
        </is>
      </c>
      <c r="F1310" s="18" t="n"/>
      <c r="G1310" s="9" t="n">
        <v>7.912</v>
      </c>
      <c r="H1310" s="9" t="n">
        <v>7.912</v>
      </c>
      <c r="I1310" s="9" t="inlineStr">
        <is>
          <t>Depth (no MLB IP)</t>
        </is>
      </c>
      <c r="J1310" s="18" t="inlineStr">
        <is>
          <t>Opening Day</t>
        </is>
      </c>
      <c r="K1310" s="11">
        <f>IFERROR(INDEX(Roles!$B$17:$B$20,MATCH(J1310,Roles!$A$17:$A$20,0)),1)</f>
        <v/>
      </c>
      <c r="L1310" s="19" t="n">
        <v>1</v>
      </c>
      <c r="M1310" s="11" t="n">
        <v>1</v>
      </c>
      <c r="N1310" s="19" t="n"/>
      <c r="O1310" s="19" t="n"/>
      <c r="P1310" s="19" t="n"/>
      <c r="Q1310" s="19" t="n"/>
      <c r="R1310" s="19" t="n"/>
      <c r="S1310" s="19" t="n"/>
      <c r="T1310" s="19" t="n"/>
      <c r="U1310" s="19" t="n"/>
      <c r="V1310" s="19" t="n"/>
      <c r="W1310" s="19" t="n"/>
      <c r="X1310" s="19" t="n"/>
      <c r="Y1310" s="19" t="n">
        <v>1</v>
      </c>
      <c r="Z1310" s="13">
        <f>SUMPRODUCT(N1310:Y1310,$N$2:$Y$2)*$K1310*$L1310*$M1310</f>
        <v/>
      </c>
      <c r="AA1310" s="14">
        <f>SUM(N1310:Y1310)</f>
        <v/>
      </c>
      <c r="AB1310" s="13">
        <f>SUMPRODUCT(N1310:Y1310,$N$3:$Y$3)*$K1310*$L1310*$M1310</f>
        <v/>
      </c>
      <c r="AC1310" s="13">
        <f>SUMPRODUCT(N1310:Y1310,$N$4:$Y$4)*$K1310*$L1310*$M1310</f>
        <v/>
      </c>
      <c r="AD1310" s="15" t="n">
        <v>3</v>
      </c>
      <c r="AE1310" s="11" t="n">
        <v>1.011296296296296</v>
      </c>
      <c r="AF1310" s="16">
        <f>SUMPRODUCT(N1310:Y1310,$N$5:$Y$5)*$K1310*$L1310*$M1310</f>
        <v/>
      </c>
      <c r="AG1310" s="16">
        <f>SUMPRODUCT(N1310:Y1310,$N$6:$Y$6)*$K1310*$L1310*$M1310</f>
        <v/>
      </c>
      <c r="AH1310" s="20" t="n"/>
    </row>
    <row r="1311">
      <c r="A1311" s="9" t="n">
        <v>837215</v>
      </c>
      <c r="B1311" s="9" t="inlineStr">
        <is>
          <t>Kendry Garcia</t>
        </is>
      </c>
      <c r="C1311" s="9" t="inlineStr">
        <is>
          <t>CWS</t>
        </is>
      </c>
      <c r="D1311" s="9" t="n">
        <v>25</v>
      </c>
      <c r="E1311" s="18" t="inlineStr">
        <is>
          <t>R</t>
        </is>
      </c>
      <c r="F1311" s="18" t="n"/>
      <c r="G1311" s="9" t="n">
        <v>8.256</v>
      </c>
      <c r="H1311" s="9" t="n">
        <v>8.256</v>
      </c>
      <c r="I1311" s="9" t="inlineStr">
        <is>
          <t>Depth (no MLB IP)</t>
        </is>
      </c>
      <c r="J1311" s="18" t="inlineStr">
        <is>
          <t>Opening Day</t>
        </is>
      </c>
      <c r="K1311" s="11">
        <f>IFERROR(INDEX(Roles!$B$17:$B$20,MATCH(J1311,Roles!$A$17:$A$20,0)),1)</f>
        <v/>
      </c>
      <c r="L1311" s="19" t="n">
        <v>1</v>
      </c>
      <c r="M1311" s="11" t="n">
        <v>1</v>
      </c>
      <c r="N1311" s="19" t="n"/>
      <c r="O1311" s="19" t="n"/>
      <c r="P1311" s="19" t="n"/>
      <c r="Q1311" s="19" t="n"/>
      <c r="R1311" s="19" t="n"/>
      <c r="S1311" s="19" t="n"/>
      <c r="T1311" s="19" t="n"/>
      <c r="U1311" s="19" t="n"/>
      <c r="V1311" s="19" t="n"/>
      <c r="W1311" s="19" t="n"/>
      <c r="X1311" s="19" t="n"/>
      <c r="Y1311" s="19" t="n">
        <v>1</v>
      </c>
      <c r="Z1311" s="13">
        <f>SUMPRODUCT(N1311:Y1311,$N$2:$Y$2)*$K1311*$L1311*$M1311</f>
        <v/>
      </c>
      <c r="AA1311" s="14">
        <f>SUM(N1311:Y1311)</f>
        <v/>
      </c>
      <c r="AB1311" s="13">
        <f>SUMPRODUCT(N1311:Y1311,$N$3:$Y$3)*$K1311*$L1311*$M1311</f>
        <v/>
      </c>
      <c r="AC1311" s="13">
        <f>SUMPRODUCT(N1311:Y1311,$N$4:$Y$4)*$K1311*$L1311*$M1311</f>
        <v/>
      </c>
      <c r="AD1311" s="15" t="n">
        <v>3</v>
      </c>
      <c r="AE1311" s="11" t="n">
        <v>1.011296296296296</v>
      </c>
      <c r="AF1311" s="16">
        <f>SUMPRODUCT(N1311:Y1311,$N$5:$Y$5)*$K1311*$L1311*$M1311</f>
        <v/>
      </c>
      <c r="AG1311" s="16">
        <f>SUMPRODUCT(N1311:Y1311,$N$6:$Y$6)*$K1311*$L1311*$M1311</f>
        <v/>
      </c>
      <c r="AH1311" s="20" t="n"/>
    </row>
    <row r="1312">
      <c r="A1312" s="9" t="n">
        <v>802957</v>
      </c>
      <c r="B1312" s="9" t="inlineStr">
        <is>
          <t>Luke Hansel</t>
        </is>
      </c>
      <c r="C1312" s="9" t="inlineStr">
        <is>
          <t>COL</t>
        </is>
      </c>
      <c r="D1312" s="9" t="n">
        <v>25</v>
      </c>
      <c r="E1312" s="18" t="inlineStr">
        <is>
          <t>R</t>
        </is>
      </c>
      <c r="F1312" s="18" t="n"/>
      <c r="G1312" s="9" t="n">
        <v>8.313333333333333</v>
      </c>
      <c r="H1312" s="9" t="n">
        <v>8.313333333333333</v>
      </c>
      <c r="I1312" s="9" t="inlineStr">
        <is>
          <t>Depth (no MLB IP)</t>
        </is>
      </c>
      <c r="J1312" s="18" t="inlineStr">
        <is>
          <t>Opening Day</t>
        </is>
      </c>
      <c r="K1312" s="11">
        <f>IFERROR(INDEX(Roles!$B$17:$B$20,MATCH(J1312,Roles!$A$17:$A$20,0)),1)</f>
        <v/>
      </c>
      <c r="L1312" s="19" t="n">
        <v>1</v>
      </c>
      <c r="M1312" s="11" t="n">
        <v>1</v>
      </c>
      <c r="N1312" s="19" t="n"/>
      <c r="O1312" s="19" t="n"/>
      <c r="P1312" s="19" t="n"/>
      <c r="Q1312" s="19" t="n"/>
      <c r="R1312" s="19" t="n"/>
      <c r="S1312" s="19" t="n"/>
      <c r="T1312" s="19" t="n"/>
      <c r="U1312" s="19" t="n"/>
      <c r="V1312" s="19" t="n"/>
      <c r="W1312" s="19" t="n"/>
      <c r="X1312" s="19" t="n"/>
      <c r="Y1312" s="19" t="n">
        <v>1</v>
      </c>
      <c r="Z1312" s="13">
        <f>SUMPRODUCT(N1312:Y1312,$N$2:$Y$2)*$K1312*$L1312*$M1312</f>
        <v/>
      </c>
      <c r="AA1312" s="14">
        <f>SUM(N1312:Y1312)</f>
        <v/>
      </c>
      <c r="AB1312" s="13">
        <f>SUMPRODUCT(N1312:Y1312,$N$3:$Y$3)*$K1312*$L1312*$M1312</f>
        <v/>
      </c>
      <c r="AC1312" s="13">
        <f>SUMPRODUCT(N1312:Y1312,$N$4:$Y$4)*$K1312*$L1312*$M1312</f>
        <v/>
      </c>
      <c r="AD1312" s="15" t="n">
        <v>3</v>
      </c>
      <c r="AE1312" s="11" t="n">
        <v>1.011296296296296</v>
      </c>
      <c r="AF1312" s="16">
        <f>SUMPRODUCT(N1312:Y1312,$N$5:$Y$5)*$K1312*$L1312*$M1312</f>
        <v/>
      </c>
      <c r="AG1312" s="16">
        <f>SUMPRODUCT(N1312:Y1312,$N$6:$Y$6)*$K1312*$L1312*$M1312</f>
        <v/>
      </c>
      <c r="AH1312" s="20" t="n"/>
    </row>
    <row r="1313">
      <c r="A1313" s="9" t="n">
        <v>828987</v>
      </c>
      <c r="B1313" s="9" t="inlineStr">
        <is>
          <t>Briggs McKenzie</t>
        </is>
      </c>
      <c r="C1313" s="9" t="inlineStr">
        <is>
          <t>ATL</t>
        </is>
      </c>
      <c r="D1313" s="9" t="n">
        <v>21</v>
      </c>
      <c r="E1313" s="18" t="inlineStr">
        <is>
          <t>L</t>
        </is>
      </c>
      <c r="F1313" s="18" t="n"/>
      <c r="G1313" s="9" t="n">
        <v>8.313333333333333</v>
      </c>
      <c r="H1313" s="9" t="n">
        <v>8.313333333333333</v>
      </c>
      <c r="I1313" s="9" t="inlineStr">
        <is>
          <t>Depth (no MLB IP)</t>
        </is>
      </c>
      <c r="J1313" s="18" t="inlineStr">
        <is>
          <t>Opening Day</t>
        </is>
      </c>
      <c r="K1313" s="11">
        <f>IFERROR(INDEX(Roles!$B$17:$B$20,MATCH(J1313,Roles!$A$17:$A$20,0)),1)</f>
        <v/>
      </c>
      <c r="L1313" s="19" t="n">
        <v>1</v>
      </c>
      <c r="M1313" s="11" t="n">
        <v>1</v>
      </c>
      <c r="N1313" s="19" t="n"/>
      <c r="O1313" s="19" t="n"/>
      <c r="P1313" s="19" t="n"/>
      <c r="Q1313" s="19" t="n"/>
      <c r="R1313" s="19" t="n"/>
      <c r="S1313" s="19" t="n"/>
      <c r="T1313" s="19" t="n"/>
      <c r="U1313" s="19" t="n"/>
      <c r="V1313" s="19" t="n"/>
      <c r="W1313" s="19" t="n"/>
      <c r="X1313" s="19" t="n"/>
      <c r="Y1313" s="19" t="n">
        <v>1</v>
      </c>
      <c r="Z1313" s="13">
        <f>SUMPRODUCT(N1313:Y1313,$N$2:$Y$2)*$K1313*$L1313*$M1313</f>
        <v/>
      </c>
      <c r="AA1313" s="14">
        <f>SUM(N1313:Y1313)</f>
        <v/>
      </c>
      <c r="AB1313" s="13">
        <f>SUMPRODUCT(N1313:Y1313,$N$3:$Y$3)*$K1313*$L1313*$M1313</f>
        <v/>
      </c>
      <c r="AC1313" s="13">
        <f>SUMPRODUCT(N1313:Y1313,$N$4:$Y$4)*$K1313*$L1313*$M1313</f>
        <v/>
      </c>
      <c r="AD1313" s="15" t="n">
        <v>3</v>
      </c>
      <c r="AE1313" s="11" t="n">
        <v>1.011296296296296</v>
      </c>
      <c r="AF1313" s="16">
        <f>SUMPRODUCT(N1313:Y1313,$N$5:$Y$5)*$K1313*$L1313*$M1313</f>
        <v/>
      </c>
      <c r="AG1313" s="16">
        <f>SUMPRODUCT(N1313:Y1313,$N$6:$Y$6)*$K1313*$L1313*$M1313</f>
        <v/>
      </c>
      <c r="AH1313" s="20" t="n"/>
    </row>
    <row r="1314">
      <c r="A1314" s="9" t="n">
        <v>828043</v>
      </c>
      <c r="B1314" s="9" t="inlineStr">
        <is>
          <t>Hunter Alberini</t>
        </is>
      </c>
      <c r="C1314" s="9" t="inlineStr">
        <is>
          <t>KC</t>
        </is>
      </c>
      <c r="D1314" s="9" t="n">
        <v>25</v>
      </c>
      <c r="E1314" s="18" t="inlineStr">
        <is>
          <t>R</t>
        </is>
      </c>
      <c r="F1314" s="18" t="n"/>
      <c r="G1314" s="9" t="n">
        <v>8.313333333333333</v>
      </c>
      <c r="H1314" s="9" t="n">
        <v>8.313333333333333</v>
      </c>
      <c r="I1314" s="9" t="inlineStr">
        <is>
          <t>Depth (no MLB IP)</t>
        </is>
      </c>
      <c r="J1314" s="18" t="inlineStr">
        <is>
          <t>Opening Day</t>
        </is>
      </c>
      <c r="K1314" s="11">
        <f>IFERROR(INDEX(Roles!$B$17:$B$20,MATCH(J1314,Roles!$A$17:$A$20,0)),1)</f>
        <v/>
      </c>
      <c r="L1314" s="19" t="n">
        <v>1</v>
      </c>
      <c r="M1314" s="11" t="n">
        <v>1</v>
      </c>
      <c r="N1314" s="19" t="n"/>
      <c r="O1314" s="19" t="n"/>
      <c r="P1314" s="19" t="n"/>
      <c r="Q1314" s="19" t="n"/>
      <c r="R1314" s="19" t="n"/>
      <c r="S1314" s="19" t="n"/>
      <c r="T1314" s="19" t="n"/>
      <c r="U1314" s="19" t="n"/>
      <c r="V1314" s="19" t="n"/>
      <c r="W1314" s="19" t="n"/>
      <c r="X1314" s="19" t="n"/>
      <c r="Y1314" s="19" t="n">
        <v>1</v>
      </c>
      <c r="Z1314" s="13">
        <f>SUMPRODUCT(N1314:Y1314,$N$2:$Y$2)*$K1314*$L1314*$M1314</f>
        <v/>
      </c>
      <c r="AA1314" s="14">
        <f>SUM(N1314:Y1314)</f>
        <v/>
      </c>
      <c r="AB1314" s="13">
        <f>SUMPRODUCT(N1314:Y1314,$N$3:$Y$3)*$K1314*$L1314*$M1314</f>
        <v/>
      </c>
      <c r="AC1314" s="13">
        <f>SUMPRODUCT(N1314:Y1314,$N$4:$Y$4)*$K1314*$L1314*$M1314</f>
        <v/>
      </c>
      <c r="AD1314" s="15" t="n">
        <v>3</v>
      </c>
      <c r="AE1314" s="11" t="n">
        <v>1.011296296296296</v>
      </c>
      <c r="AF1314" s="16">
        <f>SUMPRODUCT(N1314:Y1314,$N$5:$Y$5)*$K1314*$L1314*$M1314</f>
        <v/>
      </c>
      <c r="AG1314" s="16">
        <f>SUMPRODUCT(N1314:Y1314,$N$6:$Y$6)*$K1314*$L1314*$M1314</f>
        <v/>
      </c>
      <c r="AH1314" s="20" t="n"/>
    </row>
    <row r="1315">
      <c r="A1315" s="9" t="n">
        <v>696098</v>
      </c>
      <c r="B1315" s="9" t="inlineStr">
        <is>
          <t>Jose Romero</t>
        </is>
      </c>
      <c r="C1315" s="9" t="inlineStr">
        <is>
          <t>CHC</t>
        </is>
      </c>
      <c r="D1315" s="9" t="n">
        <v>25</v>
      </c>
      <c r="E1315" s="18" t="inlineStr">
        <is>
          <t>R</t>
        </is>
      </c>
      <c r="F1315" s="18" t="n"/>
      <c r="G1315" s="9" t="n">
        <v>8.313333333333333</v>
      </c>
      <c r="H1315" s="9" t="n">
        <v>8.313333333333333</v>
      </c>
      <c r="I1315" s="9" t="inlineStr">
        <is>
          <t>Depth (no MLB IP)</t>
        </is>
      </c>
      <c r="J1315" s="18" t="inlineStr">
        <is>
          <t>Opening Day</t>
        </is>
      </c>
      <c r="K1315" s="11">
        <f>IFERROR(INDEX(Roles!$B$17:$B$20,MATCH(J1315,Roles!$A$17:$A$20,0)),1)</f>
        <v/>
      </c>
      <c r="L1315" s="19" t="n">
        <v>1</v>
      </c>
      <c r="M1315" s="11" t="n">
        <v>1</v>
      </c>
      <c r="N1315" s="19" t="n"/>
      <c r="O1315" s="19" t="n"/>
      <c r="P1315" s="19" t="n"/>
      <c r="Q1315" s="19" t="n"/>
      <c r="R1315" s="19" t="n"/>
      <c r="S1315" s="19" t="n"/>
      <c r="T1315" s="19" t="n"/>
      <c r="U1315" s="19" t="n"/>
      <c r="V1315" s="19" t="n"/>
      <c r="W1315" s="19" t="n"/>
      <c r="X1315" s="19" t="n"/>
      <c r="Y1315" s="19" t="n">
        <v>1</v>
      </c>
      <c r="Z1315" s="13">
        <f>SUMPRODUCT(N1315:Y1315,$N$2:$Y$2)*$K1315*$L1315*$M1315</f>
        <v/>
      </c>
      <c r="AA1315" s="14">
        <f>SUM(N1315:Y1315)</f>
        <v/>
      </c>
      <c r="AB1315" s="13">
        <f>SUMPRODUCT(N1315:Y1315,$N$3:$Y$3)*$K1315*$L1315*$M1315</f>
        <v/>
      </c>
      <c r="AC1315" s="13">
        <f>SUMPRODUCT(N1315:Y1315,$N$4:$Y$4)*$K1315*$L1315*$M1315</f>
        <v/>
      </c>
      <c r="AD1315" s="15" t="n">
        <v>3</v>
      </c>
      <c r="AE1315" s="11" t="n">
        <v>1.011296296296296</v>
      </c>
      <c r="AF1315" s="16">
        <f>SUMPRODUCT(N1315:Y1315,$N$5:$Y$5)*$K1315*$L1315*$M1315</f>
        <v/>
      </c>
      <c r="AG1315" s="16">
        <f>SUMPRODUCT(N1315:Y1315,$N$6:$Y$6)*$K1315*$L1315*$M1315</f>
        <v/>
      </c>
      <c r="AH1315" s="20" t="n"/>
    </row>
    <row r="1316">
      <c r="A1316" s="9" t="n">
        <v>830769</v>
      </c>
      <c r="B1316" s="9" t="inlineStr">
        <is>
          <t>Nick Potter</t>
        </is>
      </c>
      <c r="C1316" s="9" t="inlineStr">
        <is>
          <t>HOU</t>
        </is>
      </c>
      <c r="D1316" s="9" t="n">
        <v>25</v>
      </c>
      <c r="E1316" s="18" t="inlineStr">
        <is>
          <t>R</t>
        </is>
      </c>
      <c r="F1316" s="18" t="n"/>
      <c r="G1316" s="9" t="n">
        <v>8.026666666666667</v>
      </c>
      <c r="H1316" s="9" t="n">
        <v>8.026666666666667</v>
      </c>
      <c r="I1316" s="9" t="inlineStr">
        <is>
          <t>Depth (no MLB IP)</t>
        </is>
      </c>
      <c r="J1316" s="18" t="inlineStr">
        <is>
          <t>Opening Day</t>
        </is>
      </c>
      <c r="K1316" s="11">
        <f>IFERROR(INDEX(Roles!$B$17:$B$20,MATCH(J1316,Roles!$A$17:$A$20,0)),1)</f>
        <v/>
      </c>
      <c r="L1316" s="19" t="n">
        <v>1</v>
      </c>
      <c r="M1316" s="11" t="n">
        <v>1</v>
      </c>
      <c r="N1316" s="19" t="n"/>
      <c r="O1316" s="19" t="n"/>
      <c r="P1316" s="19" t="n"/>
      <c r="Q1316" s="19" t="n"/>
      <c r="R1316" s="19" t="n"/>
      <c r="S1316" s="19" t="n"/>
      <c r="T1316" s="19" t="n"/>
      <c r="U1316" s="19" t="n"/>
      <c r="V1316" s="19" t="n"/>
      <c r="W1316" s="19" t="n"/>
      <c r="X1316" s="19" t="n"/>
      <c r="Y1316" s="19" t="n">
        <v>1</v>
      </c>
      <c r="Z1316" s="13">
        <f>SUMPRODUCT(N1316:Y1316,$N$2:$Y$2)*$K1316*$L1316*$M1316</f>
        <v/>
      </c>
      <c r="AA1316" s="14">
        <f>SUM(N1316:Y1316)</f>
        <v/>
      </c>
      <c r="AB1316" s="13">
        <f>SUMPRODUCT(N1316:Y1316,$N$3:$Y$3)*$K1316*$L1316*$M1316</f>
        <v/>
      </c>
      <c r="AC1316" s="13">
        <f>SUMPRODUCT(N1316:Y1316,$N$4:$Y$4)*$K1316*$L1316*$M1316</f>
        <v/>
      </c>
      <c r="AD1316" s="15" t="n">
        <v>3</v>
      </c>
      <c r="AE1316" s="11" t="n">
        <v>1.011296296296296</v>
      </c>
      <c r="AF1316" s="16">
        <f>SUMPRODUCT(N1316:Y1316,$N$5:$Y$5)*$K1316*$L1316*$M1316</f>
        <v/>
      </c>
      <c r="AG1316" s="16">
        <f>SUMPRODUCT(N1316:Y1316,$N$6:$Y$6)*$K1316*$L1316*$M1316</f>
        <v/>
      </c>
      <c r="AH1316" s="20" t="n"/>
    </row>
    <row r="1317">
      <c r="A1317" s="9" t="n">
        <v>657053</v>
      </c>
      <c r="B1317" s="9" t="inlineStr">
        <is>
          <t>Touki Toussaint</t>
        </is>
      </c>
      <c r="C1317" s="9" t="inlineStr">
        <is>
          <t>CWS</t>
        </is>
      </c>
      <c r="D1317" s="9" t="n">
        <v>31</v>
      </c>
      <c r="E1317" s="18" t="inlineStr">
        <is>
          <t>R</t>
        </is>
      </c>
      <c r="F1317" s="18" t="n"/>
      <c r="G1317" s="9" t="n">
        <v>11</v>
      </c>
      <c r="H1317" s="9" t="n">
        <v>620</v>
      </c>
      <c r="I1317" s="9" t="inlineStr">
        <is>
          <t>Depth (no MLB IP)</t>
        </is>
      </c>
      <c r="J1317" s="18" t="inlineStr">
        <is>
          <t>Opening Day</t>
        </is>
      </c>
      <c r="K1317" s="11">
        <f>IFERROR(INDEX(Roles!$B$17:$B$20,MATCH(J1317,Roles!$A$17:$A$20,0)),1)</f>
        <v/>
      </c>
      <c r="L1317" s="19" t="n">
        <v>1</v>
      </c>
      <c r="M1317" s="11" t="n">
        <v>1</v>
      </c>
      <c r="N1317" s="19" t="n"/>
      <c r="O1317" s="19" t="n"/>
      <c r="P1317" s="19" t="n"/>
      <c r="Q1317" s="19" t="n"/>
      <c r="R1317" s="19" t="n"/>
      <c r="S1317" s="19" t="n"/>
      <c r="T1317" s="19" t="n"/>
      <c r="U1317" s="19" t="n"/>
      <c r="V1317" s="19" t="n"/>
      <c r="W1317" s="19" t="n"/>
      <c r="X1317" s="19" t="n"/>
      <c r="Y1317" s="19" t="n">
        <v>1</v>
      </c>
      <c r="Z1317" s="13">
        <f>SUMPRODUCT(N1317:Y1317,$N$2:$Y$2)*$K1317*$L1317*$M1317</f>
        <v/>
      </c>
      <c r="AA1317" s="14">
        <f>SUM(N1317:Y1317)</f>
        <v/>
      </c>
      <c r="AB1317" s="13">
        <f>SUMPRODUCT(N1317:Y1317,$N$3:$Y$3)*$K1317*$L1317*$M1317</f>
        <v/>
      </c>
      <c r="AC1317" s="13">
        <f>SUMPRODUCT(N1317:Y1317,$N$4:$Y$4)*$K1317*$L1317*$M1317</f>
        <v/>
      </c>
      <c r="AD1317" s="15" t="n">
        <v>3.8</v>
      </c>
      <c r="AE1317" s="11" t="n">
        <v>1.366505223171889</v>
      </c>
      <c r="AF1317" s="16">
        <f>SUMPRODUCT(N1317:Y1317,$N$5:$Y$5)*$K1317*$L1317*$M1317</f>
        <v/>
      </c>
      <c r="AG1317" s="16">
        <f>SUMPRODUCT(N1317:Y1317,$N$6:$Y$6)*$K1317*$L1317*$M1317</f>
        <v/>
      </c>
      <c r="AH1317" s="20" t="n"/>
    </row>
    <row r="1318">
      <c r="A1318" s="9" t="n">
        <v>821092</v>
      </c>
      <c r="B1318" s="9" t="inlineStr">
        <is>
          <t>Dalvinson Reyes</t>
        </is>
      </c>
      <c r="C1318" s="9" t="inlineStr">
        <is>
          <t>BOS</t>
        </is>
      </c>
      <c r="D1318" s="9" t="n">
        <v>25</v>
      </c>
      <c r="E1318" s="18" t="inlineStr">
        <is>
          <t>R</t>
        </is>
      </c>
      <c r="F1318" s="18" t="n"/>
      <c r="G1318" s="9" t="n">
        <v>8.256</v>
      </c>
      <c r="H1318" s="9" t="n">
        <v>8.256</v>
      </c>
      <c r="I1318" s="9" t="inlineStr">
        <is>
          <t>Depth (no MLB IP)</t>
        </is>
      </c>
      <c r="J1318" s="18" t="inlineStr">
        <is>
          <t>Opening Day</t>
        </is>
      </c>
      <c r="K1318" s="11">
        <f>IFERROR(INDEX(Roles!$B$17:$B$20,MATCH(J1318,Roles!$A$17:$A$20,0)),1)</f>
        <v/>
      </c>
      <c r="L1318" s="19" t="n">
        <v>1</v>
      </c>
      <c r="M1318" s="11" t="n">
        <v>1</v>
      </c>
      <c r="N1318" s="19" t="n"/>
      <c r="O1318" s="19" t="n"/>
      <c r="P1318" s="19" t="n"/>
      <c r="Q1318" s="19" t="n"/>
      <c r="R1318" s="19" t="n"/>
      <c r="S1318" s="19" t="n"/>
      <c r="T1318" s="19" t="n"/>
      <c r="U1318" s="19" t="n"/>
      <c r="V1318" s="19" t="n"/>
      <c r="W1318" s="19" t="n"/>
      <c r="X1318" s="19" t="n"/>
      <c r="Y1318" s="19" t="n">
        <v>1</v>
      </c>
      <c r="Z1318" s="13">
        <f>SUMPRODUCT(N1318:Y1318,$N$2:$Y$2)*$K1318*$L1318*$M1318</f>
        <v/>
      </c>
      <c r="AA1318" s="14">
        <f>SUM(N1318:Y1318)</f>
        <v/>
      </c>
      <c r="AB1318" s="13">
        <f>SUMPRODUCT(N1318:Y1318,$N$3:$Y$3)*$K1318*$L1318*$M1318</f>
        <v/>
      </c>
      <c r="AC1318" s="13">
        <f>SUMPRODUCT(N1318:Y1318,$N$4:$Y$4)*$K1318*$L1318*$M1318</f>
        <v/>
      </c>
      <c r="AD1318" s="15" t="n">
        <v>3</v>
      </c>
      <c r="AE1318" s="11" t="n">
        <v>1.011296296296296</v>
      </c>
      <c r="AF1318" s="16">
        <f>SUMPRODUCT(N1318:Y1318,$N$5:$Y$5)*$K1318*$L1318*$M1318</f>
        <v/>
      </c>
      <c r="AG1318" s="16">
        <f>SUMPRODUCT(N1318:Y1318,$N$6:$Y$6)*$K1318*$L1318*$M1318</f>
        <v/>
      </c>
      <c r="AH1318" s="20" t="n"/>
    </row>
    <row r="1319">
      <c r="A1319" s="9" t="n">
        <v>806652</v>
      </c>
      <c r="B1319" s="9" t="inlineStr">
        <is>
          <t>Jacob Edwards</t>
        </is>
      </c>
      <c r="C1319" s="9" t="inlineStr">
        <is>
          <t>CIN</t>
        </is>
      </c>
      <c r="D1319" s="9" t="n">
        <v>25</v>
      </c>
      <c r="E1319" s="18" t="inlineStr">
        <is>
          <t>L</t>
        </is>
      </c>
      <c r="F1319" s="18" t="n"/>
      <c r="G1319" s="9" t="n">
        <v>8.026666666666666</v>
      </c>
      <c r="H1319" s="9" t="n">
        <v>8.026666666666666</v>
      </c>
      <c r="I1319" s="9" t="inlineStr">
        <is>
          <t>Depth (no MLB IP)</t>
        </is>
      </c>
      <c r="J1319" s="18" t="inlineStr">
        <is>
          <t>Opening Day</t>
        </is>
      </c>
      <c r="K1319" s="11">
        <f>IFERROR(INDEX(Roles!$B$17:$B$20,MATCH(J1319,Roles!$A$17:$A$20,0)),1)</f>
        <v/>
      </c>
      <c r="L1319" s="19" t="n">
        <v>1</v>
      </c>
      <c r="M1319" s="11" t="n">
        <v>1</v>
      </c>
      <c r="N1319" s="19" t="n"/>
      <c r="O1319" s="19" t="n"/>
      <c r="P1319" s="19" t="n"/>
      <c r="Q1319" s="19" t="n"/>
      <c r="R1319" s="19" t="n"/>
      <c r="S1319" s="19" t="n"/>
      <c r="T1319" s="19" t="n"/>
      <c r="U1319" s="19" t="n"/>
      <c r="V1319" s="19" t="n"/>
      <c r="W1319" s="19" t="n"/>
      <c r="X1319" s="19" t="n"/>
      <c r="Y1319" s="19" t="n">
        <v>1</v>
      </c>
      <c r="Z1319" s="13">
        <f>SUMPRODUCT(N1319:Y1319,$N$2:$Y$2)*$K1319*$L1319*$M1319</f>
        <v/>
      </c>
      <c r="AA1319" s="14">
        <f>SUM(N1319:Y1319)</f>
        <v/>
      </c>
      <c r="AB1319" s="13">
        <f>SUMPRODUCT(N1319:Y1319,$N$3:$Y$3)*$K1319*$L1319*$M1319</f>
        <v/>
      </c>
      <c r="AC1319" s="13">
        <f>SUMPRODUCT(N1319:Y1319,$N$4:$Y$4)*$K1319*$L1319*$M1319</f>
        <v/>
      </c>
      <c r="AD1319" s="15" t="n">
        <v>3</v>
      </c>
      <c r="AE1319" s="11" t="n">
        <v>1.011296296296296</v>
      </c>
      <c r="AF1319" s="16">
        <f>SUMPRODUCT(N1319:Y1319,$N$5:$Y$5)*$K1319*$L1319*$M1319</f>
        <v/>
      </c>
      <c r="AG1319" s="16">
        <f>SUMPRODUCT(N1319:Y1319,$N$6:$Y$6)*$K1319*$L1319*$M1319</f>
        <v/>
      </c>
      <c r="AH1319" s="20" t="n"/>
    </row>
    <row r="1320">
      <c r="A1320" s="9" t="n">
        <v>821116</v>
      </c>
      <c r="B1320" s="9" t="inlineStr">
        <is>
          <t>Reinold Navarro</t>
        </is>
      </c>
      <c r="C1320" s="9" t="inlineStr">
        <is>
          <t>PIT</t>
        </is>
      </c>
      <c r="D1320" s="9" t="n">
        <v>21</v>
      </c>
      <c r="E1320" s="18" t="inlineStr">
        <is>
          <t>L</t>
        </is>
      </c>
      <c r="F1320" s="18" t="n"/>
      <c r="G1320" s="9" t="n">
        <v>8.313333333333333</v>
      </c>
      <c r="H1320" s="9" t="n">
        <v>8.313333333333333</v>
      </c>
      <c r="I1320" s="9" t="inlineStr">
        <is>
          <t>Depth (no MLB IP)</t>
        </is>
      </c>
      <c r="J1320" s="18" t="inlineStr">
        <is>
          <t>Opening Day</t>
        </is>
      </c>
      <c r="K1320" s="11">
        <f>IFERROR(INDEX(Roles!$B$17:$B$20,MATCH(J1320,Roles!$A$17:$A$20,0)),1)</f>
        <v/>
      </c>
      <c r="L1320" s="19" t="n">
        <v>1</v>
      </c>
      <c r="M1320" s="11" t="n">
        <v>1</v>
      </c>
      <c r="N1320" s="19" t="n"/>
      <c r="O1320" s="19" t="n"/>
      <c r="P1320" s="19" t="n"/>
      <c r="Q1320" s="19" t="n"/>
      <c r="R1320" s="19" t="n"/>
      <c r="S1320" s="19" t="n"/>
      <c r="T1320" s="19" t="n"/>
      <c r="U1320" s="19" t="n"/>
      <c r="V1320" s="19" t="n"/>
      <c r="W1320" s="19" t="n"/>
      <c r="X1320" s="19" t="n"/>
      <c r="Y1320" s="19" t="n">
        <v>1</v>
      </c>
      <c r="Z1320" s="13">
        <f>SUMPRODUCT(N1320:Y1320,$N$2:$Y$2)*$K1320*$L1320*$M1320</f>
        <v/>
      </c>
      <c r="AA1320" s="14">
        <f>SUM(N1320:Y1320)</f>
        <v/>
      </c>
      <c r="AB1320" s="13">
        <f>SUMPRODUCT(N1320:Y1320,$N$3:$Y$3)*$K1320*$L1320*$M1320</f>
        <v/>
      </c>
      <c r="AC1320" s="13">
        <f>SUMPRODUCT(N1320:Y1320,$N$4:$Y$4)*$K1320*$L1320*$M1320</f>
        <v/>
      </c>
      <c r="AD1320" s="15" t="n">
        <v>3</v>
      </c>
      <c r="AE1320" s="11" t="n">
        <v>1.011296296296296</v>
      </c>
      <c r="AF1320" s="16">
        <f>SUMPRODUCT(N1320:Y1320,$N$5:$Y$5)*$K1320*$L1320*$M1320</f>
        <v/>
      </c>
      <c r="AG1320" s="16">
        <f>SUMPRODUCT(N1320:Y1320,$N$6:$Y$6)*$K1320*$L1320*$M1320</f>
        <v/>
      </c>
      <c r="AH1320" s="20" t="n"/>
    </row>
    <row r="1321">
      <c r="A1321" s="9" t="n">
        <v>844324</v>
      </c>
      <c r="B1321" s="9" t="inlineStr">
        <is>
          <t>Brady Stuart</t>
        </is>
      </c>
      <c r="C1321" s="9" t="inlineStr">
        <is>
          <t>LAA</t>
        </is>
      </c>
      <c r="D1321" s="9" t="n">
        <v>25</v>
      </c>
      <c r="E1321" s="18" t="inlineStr">
        <is>
          <t>R</t>
        </is>
      </c>
      <c r="F1321" s="18" t="n"/>
      <c r="G1321" s="9" t="n">
        <v>8.313333333333333</v>
      </c>
      <c r="H1321" s="9" t="n">
        <v>8.313333333333333</v>
      </c>
      <c r="I1321" s="9" t="inlineStr">
        <is>
          <t>Depth (no MLB IP)</t>
        </is>
      </c>
      <c r="J1321" s="18" t="inlineStr">
        <is>
          <t>Opening Day</t>
        </is>
      </c>
      <c r="K1321" s="11">
        <f>IFERROR(INDEX(Roles!$B$17:$B$20,MATCH(J1321,Roles!$A$17:$A$20,0)),1)</f>
        <v/>
      </c>
      <c r="L1321" s="19" t="n">
        <v>1</v>
      </c>
      <c r="M1321" s="11" t="n">
        <v>1</v>
      </c>
      <c r="N1321" s="19" t="n"/>
      <c r="O1321" s="19" t="n"/>
      <c r="P1321" s="19" t="n"/>
      <c r="Q1321" s="19" t="n"/>
      <c r="R1321" s="19" t="n"/>
      <c r="S1321" s="19" t="n"/>
      <c r="T1321" s="19" t="n"/>
      <c r="U1321" s="19" t="n"/>
      <c r="V1321" s="19" t="n"/>
      <c r="W1321" s="19" t="n"/>
      <c r="X1321" s="19" t="n"/>
      <c r="Y1321" s="19" t="n">
        <v>1</v>
      </c>
      <c r="Z1321" s="13">
        <f>SUMPRODUCT(N1321:Y1321,$N$2:$Y$2)*$K1321*$L1321*$M1321</f>
        <v/>
      </c>
      <c r="AA1321" s="14">
        <f>SUM(N1321:Y1321)</f>
        <v/>
      </c>
      <c r="AB1321" s="13">
        <f>SUMPRODUCT(N1321:Y1321,$N$3:$Y$3)*$K1321*$L1321*$M1321</f>
        <v/>
      </c>
      <c r="AC1321" s="13">
        <f>SUMPRODUCT(N1321:Y1321,$N$4:$Y$4)*$K1321*$L1321*$M1321</f>
        <v/>
      </c>
      <c r="AD1321" s="15" t="n">
        <v>3</v>
      </c>
      <c r="AE1321" s="11" t="n">
        <v>1.011296296296296</v>
      </c>
      <c r="AF1321" s="16">
        <f>SUMPRODUCT(N1321:Y1321,$N$5:$Y$5)*$K1321*$L1321*$M1321</f>
        <v/>
      </c>
      <c r="AG1321" s="16">
        <f>SUMPRODUCT(N1321:Y1321,$N$6:$Y$6)*$K1321*$L1321*$M1321</f>
        <v/>
      </c>
      <c r="AH1321" s="20" t="n"/>
    </row>
    <row r="1322">
      <c r="A1322" s="9" t="n">
        <v>809669</v>
      </c>
      <c r="B1322" s="9" t="inlineStr">
        <is>
          <t>Jackson Cleveland</t>
        </is>
      </c>
      <c r="C1322" s="9" t="inlineStr">
        <is>
          <t>KC</t>
        </is>
      </c>
      <c r="D1322" s="9" t="n">
        <v>25</v>
      </c>
      <c r="E1322" s="18" t="inlineStr">
        <is>
          <t>R</t>
        </is>
      </c>
      <c r="F1322" s="18" t="n"/>
      <c r="G1322" s="9" t="n">
        <v>8.313333333333333</v>
      </c>
      <c r="H1322" s="9" t="n">
        <v>8.313333333333333</v>
      </c>
      <c r="I1322" s="9" t="inlineStr">
        <is>
          <t>Depth (no MLB IP)</t>
        </is>
      </c>
      <c r="J1322" s="18" t="inlineStr">
        <is>
          <t>Opening Day</t>
        </is>
      </c>
      <c r="K1322" s="11">
        <f>IFERROR(INDEX(Roles!$B$17:$B$20,MATCH(J1322,Roles!$A$17:$A$20,0)),1)</f>
        <v/>
      </c>
      <c r="L1322" s="19" t="n">
        <v>1</v>
      </c>
      <c r="M1322" s="11" t="n">
        <v>1</v>
      </c>
      <c r="N1322" s="19" t="n"/>
      <c r="O1322" s="19" t="n"/>
      <c r="P1322" s="19" t="n"/>
      <c r="Q1322" s="19" t="n"/>
      <c r="R1322" s="19" t="n"/>
      <c r="S1322" s="19" t="n"/>
      <c r="T1322" s="19" t="n"/>
      <c r="U1322" s="19" t="n"/>
      <c r="V1322" s="19" t="n"/>
      <c r="W1322" s="19" t="n"/>
      <c r="X1322" s="19" t="n"/>
      <c r="Y1322" s="19" t="n">
        <v>1</v>
      </c>
      <c r="Z1322" s="13">
        <f>SUMPRODUCT(N1322:Y1322,$N$2:$Y$2)*$K1322*$L1322*$M1322</f>
        <v/>
      </c>
      <c r="AA1322" s="14">
        <f>SUM(N1322:Y1322)</f>
        <v/>
      </c>
      <c r="AB1322" s="13">
        <f>SUMPRODUCT(N1322:Y1322,$N$3:$Y$3)*$K1322*$L1322*$M1322</f>
        <v/>
      </c>
      <c r="AC1322" s="13">
        <f>SUMPRODUCT(N1322:Y1322,$N$4:$Y$4)*$K1322*$L1322*$M1322</f>
        <v/>
      </c>
      <c r="AD1322" s="15" t="n">
        <v>3</v>
      </c>
      <c r="AE1322" s="11" t="n">
        <v>1.011296296296296</v>
      </c>
      <c r="AF1322" s="16">
        <f>SUMPRODUCT(N1322:Y1322,$N$5:$Y$5)*$K1322*$L1322*$M1322</f>
        <v/>
      </c>
      <c r="AG1322" s="16">
        <f>SUMPRODUCT(N1322:Y1322,$N$6:$Y$6)*$K1322*$L1322*$M1322</f>
        <v/>
      </c>
      <c r="AH1322" s="20" t="n"/>
    </row>
    <row r="1323">
      <c r="A1323" s="9" t="n">
        <v>811319</v>
      </c>
      <c r="B1323" s="9" t="inlineStr">
        <is>
          <t>Riley Frey</t>
        </is>
      </c>
      <c r="C1323" s="9" t="inlineStr">
        <is>
          <t>ATL</t>
        </is>
      </c>
      <c r="D1323" s="9" t="n">
        <v>25</v>
      </c>
      <c r="E1323" s="18" t="inlineStr">
        <is>
          <t>L</t>
        </is>
      </c>
      <c r="F1323" s="18" t="n"/>
      <c r="G1323" s="9" t="n">
        <v>8.528333333333332</v>
      </c>
      <c r="H1323" s="9" t="n">
        <v>8.528333333333332</v>
      </c>
      <c r="I1323" s="9" t="inlineStr">
        <is>
          <t>Depth (no MLB IP)</t>
        </is>
      </c>
      <c r="J1323" s="18" t="inlineStr">
        <is>
          <t>Opening Day</t>
        </is>
      </c>
      <c r="K1323" s="11">
        <f>IFERROR(INDEX(Roles!$B$17:$B$20,MATCH(J1323,Roles!$A$17:$A$20,0)),1)</f>
        <v/>
      </c>
      <c r="L1323" s="19" t="n">
        <v>1</v>
      </c>
      <c r="M1323" s="11" t="n">
        <v>1</v>
      </c>
      <c r="N1323" s="19" t="n"/>
      <c r="O1323" s="19" t="n"/>
      <c r="P1323" s="19" t="n"/>
      <c r="Q1323" s="19" t="n"/>
      <c r="R1323" s="19" t="n"/>
      <c r="S1323" s="19" t="n"/>
      <c r="T1323" s="19" t="n"/>
      <c r="U1323" s="19" t="n"/>
      <c r="V1323" s="19" t="n"/>
      <c r="W1323" s="19" t="n"/>
      <c r="X1323" s="19" t="n"/>
      <c r="Y1323" s="19" t="n">
        <v>1</v>
      </c>
      <c r="Z1323" s="13">
        <f>SUMPRODUCT(N1323:Y1323,$N$2:$Y$2)*$K1323*$L1323*$M1323</f>
        <v/>
      </c>
      <c r="AA1323" s="14">
        <f>SUM(N1323:Y1323)</f>
        <v/>
      </c>
      <c r="AB1323" s="13">
        <f>SUMPRODUCT(N1323:Y1323,$N$3:$Y$3)*$K1323*$L1323*$M1323</f>
        <v/>
      </c>
      <c r="AC1323" s="13">
        <f>SUMPRODUCT(N1323:Y1323,$N$4:$Y$4)*$K1323*$L1323*$M1323</f>
        <v/>
      </c>
      <c r="AD1323" s="15" t="n">
        <v>3</v>
      </c>
      <c r="AE1323" s="11" t="n">
        <v>1.011296296296296</v>
      </c>
      <c r="AF1323" s="16">
        <f>SUMPRODUCT(N1323:Y1323,$N$5:$Y$5)*$K1323*$L1323*$M1323</f>
        <v/>
      </c>
      <c r="AG1323" s="16">
        <f>SUMPRODUCT(N1323:Y1323,$N$6:$Y$6)*$K1323*$L1323*$M1323</f>
        <v/>
      </c>
      <c r="AH1323" s="20" t="n"/>
    </row>
    <row r="1324">
      <c r="A1324" s="9" t="n">
        <v>694491</v>
      </c>
      <c r="B1324" s="9" t="inlineStr">
        <is>
          <t>Grayson Hitt</t>
        </is>
      </c>
      <c r="C1324" s="9" t="inlineStr">
        <is>
          <t>ARI</t>
        </is>
      </c>
      <c r="D1324" s="9" t="n">
        <v>25</v>
      </c>
      <c r="E1324" s="18" t="inlineStr">
        <is>
          <t>L</t>
        </is>
      </c>
      <c r="F1324" s="18" t="n"/>
      <c r="G1324" s="9" t="n">
        <v>8.427999999999997</v>
      </c>
      <c r="H1324" s="9" t="n">
        <v>8.427999999999997</v>
      </c>
      <c r="I1324" s="9" t="inlineStr">
        <is>
          <t>Depth (no MLB IP)</t>
        </is>
      </c>
      <c r="J1324" s="18" t="inlineStr">
        <is>
          <t>Opening Day</t>
        </is>
      </c>
      <c r="K1324" s="11">
        <f>IFERROR(INDEX(Roles!$B$17:$B$20,MATCH(J1324,Roles!$A$17:$A$20,0)),1)</f>
        <v/>
      </c>
      <c r="L1324" s="19" t="n">
        <v>1</v>
      </c>
      <c r="M1324" s="11" t="n">
        <v>1</v>
      </c>
      <c r="N1324" s="19" t="n"/>
      <c r="O1324" s="19" t="n"/>
      <c r="P1324" s="19" t="n"/>
      <c r="Q1324" s="19" t="n"/>
      <c r="R1324" s="19" t="n"/>
      <c r="S1324" s="19" t="n"/>
      <c r="T1324" s="19" t="n"/>
      <c r="U1324" s="19" t="n"/>
      <c r="V1324" s="19" t="n"/>
      <c r="W1324" s="19" t="n"/>
      <c r="X1324" s="19" t="n"/>
      <c r="Y1324" s="19" t="n">
        <v>1</v>
      </c>
      <c r="Z1324" s="13">
        <f>SUMPRODUCT(N1324:Y1324,$N$2:$Y$2)*$K1324*$L1324*$M1324</f>
        <v/>
      </c>
      <c r="AA1324" s="14">
        <f>SUM(N1324:Y1324)</f>
        <v/>
      </c>
      <c r="AB1324" s="13">
        <f>SUMPRODUCT(N1324:Y1324,$N$3:$Y$3)*$K1324*$L1324*$M1324</f>
        <v/>
      </c>
      <c r="AC1324" s="13">
        <f>SUMPRODUCT(N1324:Y1324,$N$4:$Y$4)*$K1324*$L1324*$M1324</f>
        <v/>
      </c>
      <c r="AD1324" s="15" t="n">
        <v>3</v>
      </c>
      <c r="AE1324" s="11" t="n">
        <v>1.011296296296296</v>
      </c>
      <c r="AF1324" s="16">
        <f>SUMPRODUCT(N1324:Y1324,$N$5:$Y$5)*$K1324*$L1324*$M1324</f>
        <v/>
      </c>
      <c r="AG1324" s="16">
        <f>SUMPRODUCT(N1324:Y1324,$N$6:$Y$6)*$K1324*$L1324*$M1324</f>
        <v/>
      </c>
      <c r="AH1324" s="20" t="n"/>
    </row>
    <row r="1325">
      <c r="A1325" s="9" t="n">
        <v>683091</v>
      </c>
      <c r="B1325" s="9" t="inlineStr">
        <is>
          <t>Logan Tanner</t>
        </is>
      </c>
      <c r="C1325" s="9" t="inlineStr">
        <is>
          <t>CIN</t>
        </is>
      </c>
      <c r="D1325" s="9" t="n">
        <v>25</v>
      </c>
      <c r="E1325" s="18" t="inlineStr">
        <is>
          <t>R</t>
        </is>
      </c>
      <c r="F1325" s="18" t="n"/>
      <c r="G1325" s="9" t="n">
        <v>8.427999999999997</v>
      </c>
      <c r="H1325" s="9" t="n">
        <v>8.427999999999997</v>
      </c>
      <c r="I1325" s="9" t="inlineStr">
        <is>
          <t>Depth (no MLB IP)</t>
        </is>
      </c>
      <c r="J1325" s="18" t="inlineStr">
        <is>
          <t>Opening Day</t>
        </is>
      </c>
      <c r="K1325" s="11">
        <f>IFERROR(INDEX(Roles!$B$17:$B$20,MATCH(J1325,Roles!$A$17:$A$20,0)),1)</f>
        <v/>
      </c>
      <c r="L1325" s="19" t="n">
        <v>1</v>
      </c>
      <c r="M1325" s="11" t="n">
        <v>1</v>
      </c>
      <c r="N1325" s="19" t="n"/>
      <c r="O1325" s="19" t="n"/>
      <c r="P1325" s="19" t="n"/>
      <c r="Q1325" s="19" t="n"/>
      <c r="R1325" s="19" t="n"/>
      <c r="S1325" s="19" t="n"/>
      <c r="T1325" s="19" t="n"/>
      <c r="U1325" s="19" t="n"/>
      <c r="V1325" s="19" t="n"/>
      <c r="W1325" s="19" t="n"/>
      <c r="X1325" s="19" t="n"/>
      <c r="Y1325" s="19" t="n">
        <v>1</v>
      </c>
      <c r="Z1325" s="13">
        <f>SUMPRODUCT(N1325:Y1325,$N$2:$Y$2)*$K1325*$L1325*$M1325</f>
        <v/>
      </c>
      <c r="AA1325" s="14">
        <f>SUM(N1325:Y1325)</f>
        <v/>
      </c>
      <c r="AB1325" s="13">
        <f>SUMPRODUCT(N1325:Y1325,$N$3:$Y$3)*$K1325*$L1325*$M1325</f>
        <v/>
      </c>
      <c r="AC1325" s="13">
        <f>SUMPRODUCT(N1325:Y1325,$N$4:$Y$4)*$K1325*$L1325*$M1325</f>
        <v/>
      </c>
      <c r="AD1325" s="15" t="n">
        <v>3</v>
      </c>
      <c r="AE1325" s="11" t="n">
        <v>1.011296296296296</v>
      </c>
      <c r="AF1325" s="16">
        <f>SUMPRODUCT(N1325:Y1325,$N$5:$Y$5)*$K1325*$L1325*$M1325</f>
        <v/>
      </c>
      <c r="AG1325" s="16">
        <f>SUMPRODUCT(N1325:Y1325,$N$6:$Y$6)*$K1325*$L1325*$M1325</f>
        <v/>
      </c>
      <c r="AH1325" s="20" t="n"/>
    </row>
    <row r="1326">
      <c r="A1326" s="9" t="n">
        <v>805110</v>
      </c>
      <c r="B1326" s="9" t="inlineStr">
        <is>
          <t>Ricardo Montero</t>
        </is>
      </c>
      <c r="C1326" s="9" t="inlineStr">
        <is>
          <t>LAD</t>
        </is>
      </c>
      <c r="D1326" s="9" t="n">
        <v>25</v>
      </c>
      <c r="E1326" s="18" t="inlineStr">
        <is>
          <t>R</t>
        </is>
      </c>
      <c r="F1326" s="18" t="n"/>
      <c r="G1326" s="9" t="n">
        <v>8.427999999999997</v>
      </c>
      <c r="H1326" s="9" t="n">
        <v>8.427999999999997</v>
      </c>
      <c r="I1326" s="9" t="inlineStr">
        <is>
          <t>Depth (no MLB IP)</t>
        </is>
      </c>
      <c r="J1326" s="18" t="inlineStr">
        <is>
          <t>Opening Day</t>
        </is>
      </c>
      <c r="K1326" s="11">
        <f>IFERROR(INDEX(Roles!$B$17:$B$20,MATCH(J1326,Roles!$A$17:$A$20,0)),1)</f>
        <v/>
      </c>
      <c r="L1326" s="19" t="n">
        <v>1</v>
      </c>
      <c r="M1326" s="11" t="n">
        <v>1</v>
      </c>
      <c r="N1326" s="19" t="n"/>
      <c r="O1326" s="19" t="n"/>
      <c r="P1326" s="19" t="n"/>
      <c r="Q1326" s="19" t="n"/>
      <c r="R1326" s="19" t="n"/>
      <c r="S1326" s="19" t="n"/>
      <c r="T1326" s="19" t="n"/>
      <c r="U1326" s="19" t="n"/>
      <c r="V1326" s="19" t="n"/>
      <c r="W1326" s="19" t="n"/>
      <c r="X1326" s="19" t="n"/>
      <c r="Y1326" s="19" t="n">
        <v>1</v>
      </c>
      <c r="Z1326" s="13">
        <f>SUMPRODUCT(N1326:Y1326,$N$2:$Y$2)*$K1326*$L1326*$M1326</f>
        <v/>
      </c>
      <c r="AA1326" s="14">
        <f>SUM(N1326:Y1326)</f>
        <v/>
      </c>
      <c r="AB1326" s="13">
        <f>SUMPRODUCT(N1326:Y1326,$N$3:$Y$3)*$K1326*$L1326*$M1326</f>
        <v/>
      </c>
      <c r="AC1326" s="13">
        <f>SUMPRODUCT(N1326:Y1326,$N$4:$Y$4)*$K1326*$L1326*$M1326</f>
        <v/>
      </c>
      <c r="AD1326" s="15" t="n">
        <v>3</v>
      </c>
      <c r="AE1326" s="11" t="n">
        <v>1.011296296296296</v>
      </c>
      <c r="AF1326" s="16">
        <f>SUMPRODUCT(N1326:Y1326,$N$5:$Y$5)*$K1326*$L1326*$M1326</f>
        <v/>
      </c>
      <c r="AG1326" s="16">
        <f>SUMPRODUCT(N1326:Y1326,$N$6:$Y$6)*$K1326*$L1326*$M1326</f>
        <v/>
      </c>
      <c r="AH1326" s="20" t="n"/>
    </row>
    <row r="1327">
      <c r="A1327" s="9" t="n">
        <v>807546</v>
      </c>
      <c r="B1327" s="9" t="inlineStr">
        <is>
          <t>Noah Palmese</t>
        </is>
      </c>
      <c r="C1327" s="9" t="inlineStr">
        <is>
          <t>TOR</t>
        </is>
      </c>
      <c r="D1327" s="9" t="n">
        <v>25</v>
      </c>
      <c r="E1327" s="18" t="inlineStr">
        <is>
          <t>R</t>
        </is>
      </c>
      <c r="F1327" s="18" t="n"/>
      <c r="G1327" s="9" t="n">
        <v>8.256</v>
      </c>
      <c r="H1327" s="9" t="n">
        <v>8.256</v>
      </c>
      <c r="I1327" s="9" t="inlineStr">
        <is>
          <t>Depth (no MLB IP)</t>
        </is>
      </c>
      <c r="J1327" s="18" t="inlineStr">
        <is>
          <t>Opening Day</t>
        </is>
      </c>
      <c r="K1327" s="11">
        <f>IFERROR(INDEX(Roles!$B$17:$B$20,MATCH(J1327,Roles!$A$17:$A$20,0)),1)</f>
        <v/>
      </c>
      <c r="L1327" s="19" t="n">
        <v>1</v>
      </c>
      <c r="M1327" s="11" t="n">
        <v>1</v>
      </c>
      <c r="N1327" s="19" t="n"/>
      <c r="O1327" s="19" t="n"/>
      <c r="P1327" s="19" t="n"/>
      <c r="Q1327" s="19" t="n"/>
      <c r="R1327" s="19" t="n"/>
      <c r="S1327" s="19" t="n"/>
      <c r="T1327" s="19" t="n"/>
      <c r="U1327" s="19" t="n"/>
      <c r="V1327" s="19" t="n"/>
      <c r="W1327" s="19" t="n"/>
      <c r="X1327" s="19" t="n"/>
      <c r="Y1327" s="19" t="n">
        <v>1</v>
      </c>
      <c r="Z1327" s="13">
        <f>SUMPRODUCT(N1327:Y1327,$N$2:$Y$2)*$K1327*$L1327*$M1327</f>
        <v/>
      </c>
      <c r="AA1327" s="14">
        <f>SUM(N1327:Y1327)</f>
        <v/>
      </c>
      <c r="AB1327" s="13">
        <f>SUMPRODUCT(N1327:Y1327,$N$3:$Y$3)*$K1327*$L1327*$M1327</f>
        <v/>
      </c>
      <c r="AC1327" s="13">
        <f>SUMPRODUCT(N1327:Y1327,$N$4:$Y$4)*$K1327*$L1327*$M1327</f>
        <v/>
      </c>
      <c r="AD1327" s="15" t="n">
        <v>3</v>
      </c>
      <c r="AE1327" s="11" t="n">
        <v>1.011296296296296</v>
      </c>
      <c r="AF1327" s="16">
        <f>SUMPRODUCT(N1327:Y1327,$N$5:$Y$5)*$K1327*$L1327*$M1327</f>
        <v/>
      </c>
      <c r="AG1327" s="16">
        <f>SUMPRODUCT(N1327:Y1327,$N$6:$Y$6)*$K1327*$L1327*$M1327</f>
        <v/>
      </c>
      <c r="AH1327" s="20" t="n"/>
    </row>
    <row r="1328">
      <c r="A1328" s="9" t="n">
        <v>821122</v>
      </c>
      <c r="B1328" s="9" t="inlineStr">
        <is>
          <t>Alejandro Rivera</t>
        </is>
      </c>
      <c r="C1328" s="9" t="inlineStr">
        <is>
          <t>CIN</t>
        </is>
      </c>
      <c r="D1328" s="9" t="n">
        <v>25</v>
      </c>
      <c r="E1328" s="18" t="inlineStr">
        <is>
          <t>R</t>
        </is>
      </c>
      <c r="F1328" s="18" t="n"/>
      <c r="G1328" s="9" t="n">
        <v>8.256</v>
      </c>
      <c r="H1328" s="9" t="n">
        <v>8.256</v>
      </c>
      <c r="I1328" s="9" t="inlineStr">
        <is>
          <t>Depth (no MLB IP)</t>
        </is>
      </c>
      <c r="J1328" s="18" t="inlineStr">
        <is>
          <t>Opening Day</t>
        </is>
      </c>
      <c r="K1328" s="11">
        <f>IFERROR(INDEX(Roles!$B$17:$B$20,MATCH(J1328,Roles!$A$17:$A$20,0)),1)</f>
        <v/>
      </c>
      <c r="L1328" s="19" t="n">
        <v>1</v>
      </c>
      <c r="M1328" s="11" t="n">
        <v>1</v>
      </c>
      <c r="N1328" s="19" t="n"/>
      <c r="O1328" s="19" t="n"/>
      <c r="P1328" s="19" t="n"/>
      <c r="Q1328" s="19" t="n"/>
      <c r="R1328" s="19" t="n"/>
      <c r="S1328" s="19" t="n"/>
      <c r="T1328" s="19" t="n"/>
      <c r="U1328" s="19" t="n"/>
      <c r="V1328" s="19" t="n"/>
      <c r="W1328" s="19" t="n"/>
      <c r="X1328" s="19" t="n"/>
      <c r="Y1328" s="19" t="n">
        <v>1</v>
      </c>
      <c r="Z1328" s="13">
        <f>SUMPRODUCT(N1328:Y1328,$N$2:$Y$2)*$K1328*$L1328*$M1328</f>
        <v/>
      </c>
      <c r="AA1328" s="14">
        <f>SUM(N1328:Y1328)</f>
        <v/>
      </c>
      <c r="AB1328" s="13">
        <f>SUMPRODUCT(N1328:Y1328,$N$3:$Y$3)*$K1328*$L1328*$M1328</f>
        <v/>
      </c>
      <c r="AC1328" s="13">
        <f>SUMPRODUCT(N1328:Y1328,$N$4:$Y$4)*$K1328*$L1328*$M1328</f>
        <v/>
      </c>
      <c r="AD1328" s="15" t="n">
        <v>3</v>
      </c>
      <c r="AE1328" s="11" t="n">
        <v>1.011296296296296</v>
      </c>
      <c r="AF1328" s="16">
        <f>SUMPRODUCT(N1328:Y1328,$N$5:$Y$5)*$K1328*$L1328*$M1328</f>
        <v/>
      </c>
      <c r="AG1328" s="16">
        <f>SUMPRODUCT(N1328:Y1328,$N$6:$Y$6)*$K1328*$L1328*$M1328</f>
        <v/>
      </c>
      <c r="AH1328" s="20" t="n"/>
    </row>
    <row r="1329">
      <c r="A1329" s="9" t="n">
        <v>691188</v>
      </c>
      <c r="B1329" s="9" t="inlineStr">
        <is>
          <t>Robert Puason</t>
        </is>
      </c>
      <c r="C1329" s="9" t="inlineStr">
        <is>
          <t>OAK</t>
        </is>
      </c>
      <c r="D1329" s="9" t="n">
        <v>25</v>
      </c>
      <c r="E1329" s="18" t="inlineStr">
        <is>
          <t>R</t>
        </is>
      </c>
      <c r="F1329" s="18" t="n"/>
      <c r="G1329" s="9" t="n">
        <v>8.256</v>
      </c>
      <c r="H1329" s="9" t="n">
        <v>8.256</v>
      </c>
      <c r="I1329" s="9" t="inlineStr">
        <is>
          <t>Depth (no MLB IP)</t>
        </is>
      </c>
      <c r="J1329" s="18" t="inlineStr">
        <is>
          <t>Opening Day</t>
        </is>
      </c>
      <c r="K1329" s="11">
        <f>IFERROR(INDEX(Roles!$B$17:$B$20,MATCH(J1329,Roles!$A$17:$A$20,0)),1)</f>
        <v/>
      </c>
      <c r="L1329" s="19" t="n">
        <v>1</v>
      </c>
      <c r="M1329" s="11" t="n">
        <v>1</v>
      </c>
      <c r="N1329" s="19" t="n"/>
      <c r="O1329" s="19" t="n"/>
      <c r="P1329" s="19" t="n"/>
      <c r="Q1329" s="19" t="n"/>
      <c r="R1329" s="19" t="n"/>
      <c r="S1329" s="19" t="n"/>
      <c r="T1329" s="19" t="n"/>
      <c r="U1329" s="19" t="n"/>
      <c r="V1329" s="19" t="n"/>
      <c r="W1329" s="19" t="n"/>
      <c r="X1329" s="19" t="n"/>
      <c r="Y1329" s="19" t="n">
        <v>1</v>
      </c>
      <c r="Z1329" s="13">
        <f>SUMPRODUCT(N1329:Y1329,$N$2:$Y$2)*$K1329*$L1329*$M1329</f>
        <v/>
      </c>
      <c r="AA1329" s="14">
        <f>SUM(N1329:Y1329)</f>
        <v/>
      </c>
      <c r="AB1329" s="13">
        <f>SUMPRODUCT(N1329:Y1329,$N$3:$Y$3)*$K1329*$L1329*$M1329</f>
        <v/>
      </c>
      <c r="AC1329" s="13">
        <f>SUMPRODUCT(N1329:Y1329,$N$4:$Y$4)*$K1329*$L1329*$M1329</f>
        <v/>
      </c>
      <c r="AD1329" s="15" t="n">
        <v>3</v>
      </c>
      <c r="AE1329" s="11" t="n">
        <v>1.011296296296296</v>
      </c>
      <c r="AF1329" s="16">
        <f>SUMPRODUCT(N1329:Y1329,$N$5:$Y$5)*$K1329*$L1329*$M1329</f>
        <v/>
      </c>
      <c r="AG1329" s="16">
        <f>SUMPRODUCT(N1329:Y1329,$N$6:$Y$6)*$K1329*$L1329*$M1329</f>
        <v/>
      </c>
      <c r="AH1329" s="20" t="n"/>
    </row>
    <row r="1330">
      <c r="A1330" s="9" t="n">
        <v>677161</v>
      </c>
      <c r="B1330" s="9" t="inlineStr">
        <is>
          <t>Zack Kelly</t>
        </is>
      </c>
      <c r="C1330" s="9" t="inlineStr">
        <is>
          <t>BOS</t>
        </is>
      </c>
      <c r="D1330" s="9" t="n">
        <v>32</v>
      </c>
      <c r="E1330" s="18" t="inlineStr">
        <is>
          <t>R</t>
        </is>
      </c>
      <c r="F1330" s="18" t="n"/>
      <c r="G1330" s="9" t="n">
        <v>71</v>
      </c>
      <c r="H1330" s="9" t="n">
        <v>566</v>
      </c>
      <c r="I1330" s="9" t="inlineStr">
        <is>
          <t>Bullpen Depth Arm</t>
        </is>
      </c>
      <c r="J1330" s="18" t="inlineStr">
        <is>
          <t>Opening Day</t>
        </is>
      </c>
      <c r="K1330" s="11">
        <f>IFERROR(INDEX(Roles!$B$17:$B$20,MATCH(J1330,Roles!$A$17:$A$20,0)),1)</f>
        <v/>
      </c>
      <c r="L1330" s="19" t="n">
        <v>1</v>
      </c>
      <c r="M1330" s="11" t="n">
        <v>1</v>
      </c>
      <c r="N1330" s="19" t="n"/>
      <c r="O1330" s="19" t="n"/>
      <c r="P1330" s="19" t="n"/>
      <c r="Q1330" s="19" t="n"/>
      <c r="R1330" s="19" t="n"/>
      <c r="S1330" s="19" t="n"/>
      <c r="T1330" s="19" t="n"/>
      <c r="U1330" s="19" t="n"/>
      <c r="V1330" s="19" t="n">
        <v>0.15</v>
      </c>
      <c r="W1330" s="19" t="n">
        <v>0.85</v>
      </c>
      <c r="X1330" s="19" t="n"/>
      <c r="Y1330" s="19" t="n"/>
      <c r="Z1330" s="13">
        <f>SUMPRODUCT(N1330:Y1330,$N$2:$Y$2)*$K1330*$L1330*$M1330</f>
        <v/>
      </c>
      <c r="AA1330" s="14">
        <f>SUM(N1330:Y1330)</f>
        <v/>
      </c>
      <c r="AB1330" s="13">
        <f>SUMPRODUCT(N1330:Y1330,$N$3:$Y$3)*$K1330*$L1330*$M1330</f>
        <v/>
      </c>
      <c r="AC1330" s="13">
        <f>SUMPRODUCT(N1330:Y1330,$N$4:$Y$4)*$K1330*$L1330*$M1330</f>
        <v/>
      </c>
      <c r="AD1330" s="15" t="n">
        <v>21.26666666666667</v>
      </c>
      <c r="AE1330" s="11" t="n">
        <v>1.178287761621095</v>
      </c>
      <c r="AF1330" s="16">
        <f>SUMPRODUCT(N1330:Y1330,$N$5:$Y$5)*$K1330*$L1330*$M1330</f>
        <v/>
      </c>
      <c r="AG1330" s="16">
        <f>SUMPRODUCT(N1330:Y1330,$N$6:$Y$6)*$K1330*$L1330*$M1330</f>
        <v/>
      </c>
      <c r="AH1330" s="20" t="n"/>
    </row>
    <row r="1331">
      <c r="A1331" s="9" t="n">
        <v>827768</v>
      </c>
      <c r="B1331" s="9" t="inlineStr">
        <is>
          <t>Anthony Mena</t>
        </is>
      </c>
      <c r="C1331" s="9" t="inlineStr">
        <is>
          <t>NYY</t>
        </is>
      </c>
      <c r="D1331" s="9" t="n">
        <v>25</v>
      </c>
      <c r="E1331" s="18" t="inlineStr">
        <is>
          <t>R</t>
        </is>
      </c>
      <c r="F1331" s="18" t="n"/>
      <c r="G1331" s="9" t="n">
        <v>8.427999999999997</v>
      </c>
      <c r="H1331" s="9" t="n">
        <v>8.427999999999997</v>
      </c>
      <c r="I1331" s="9" t="inlineStr">
        <is>
          <t>Depth (no MLB IP)</t>
        </is>
      </c>
      <c r="J1331" s="18" t="inlineStr">
        <is>
          <t>Opening Day</t>
        </is>
      </c>
      <c r="K1331" s="11">
        <f>IFERROR(INDEX(Roles!$B$17:$B$20,MATCH(J1331,Roles!$A$17:$A$20,0)),1)</f>
        <v/>
      </c>
      <c r="L1331" s="19" t="n">
        <v>1</v>
      </c>
      <c r="M1331" s="11" t="n">
        <v>1</v>
      </c>
      <c r="N1331" s="19" t="n"/>
      <c r="O1331" s="19" t="n"/>
      <c r="P1331" s="19" t="n"/>
      <c r="Q1331" s="19" t="n"/>
      <c r="R1331" s="19" t="n"/>
      <c r="S1331" s="19" t="n"/>
      <c r="T1331" s="19" t="n"/>
      <c r="U1331" s="19" t="n"/>
      <c r="V1331" s="19" t="n"/>
      <c r="W1331" s="19" t="n"/>
      <c r="X1331" s="19" t="n"/>
      <c r="Y1331" s="19" t="n">
        <v>1</v>
      </c>
      <c r="Z1331" s="13">
        <f>SUMPRODUCT(N1331:Y1331,$N$2:$Y$2)*$K1331*$L1331*$M1331</f>
        <v/>
      </c>
      <c r="AA1331" s="14">
        <f>SUM(N1331:Y1331)</f>
        <v/>
      </c>
      <c r="AB1331" s="13">
        <f>SUMPRODUCT(N1331:Y1331,$N$3:$Y$3)*$K1331*$L1331*$M1331</f>
        <v/>
      </c>
      <c r="AC1331" s="13">
        <f>SUMPRODUCT(N1331:Y1331,$N$4:$Y$4)*$K1331*$L1331*$M1331</f>
        <v/>
      </c>
      <c r="AD1331" s="15" t="n">
        <v>3</v>
      </c>
      <c r="AE1331" s="11" t="n">
        <v>1.011296296296296</v>
      </c>
      <c r="AF1331" s="16">
        <f>SUMPRODUCT(N1331:Y1331,$N$5:$Y$5)*$K1331*$L1331*$M1331</f>
        <v/>
      </c>
      <c r="AG1331" s="16">
        <f>SUMPRODUCT(N1331:Y1331,$N$6:$Y$6)*$K1331*$L1331*$M1331</f>
        <v/>
      </c>
      <c r="AH1331" s="20" t="n"/>
    </row>
    <row r="1332">
      <c r="A1332" s="9" t="n">
        <v>832453</v>
      </c>
      <c r="B1332" s="9" t="inlineStr">
        <is>
          <t>Kaleb Wing</t>
        </is>
      </c>
      <c r="C1332" s="9" t="inlineStr">
        <is>
          <t>CHC</t>
        </is>
      </c>
      <c r="D1332" s="9" t="n">
        <v>25</v>
      </c>
      <c r="E1332" s="18" t="inlineStr">
        <is>
          <t>R</t>
        </is>
      </c>
      <c r="F1332" s="18" t="n"/>
      <c r="G1332" s="9" t="n">
        <v>8.427999999999997</v>
      </c>
      <c r="H1332" s="9" t="n">
        <v>8.427999999999997</v>
      </c>
      <c r="I1332" s="9" t="inlineStr">
        <is>
          <t>Depth (no MLB IP)</t>
        </is>
      </c>
      <c r="J1332" s="18" t="inlineStr">
        <is>
          <t>Opening Day</t>
        </is>
      </c>
      <c r="K1332" s="11">
        <f>IFERROR(INDEX(Roles!$B$17:$B$20,MATCH(J1332,Roles!$A$17:$A$20,0)),1)</f>
        <v/>
      </c>
      <c r="L1332" s="19" t="n">
        <v>1</v>
      </c>
      <c r="M1332" s="11" t="n">
        <v>1</v>
      </c>
      <c r="N1332" s="19" t="n"/>
      <c r="O1332" s="19" t="n"/>
      <c r="P1332" s="19" t="n"/>
      <c r="Q1332" s="19" t="n"/>
      <c r="R1332" s="19" t="n"/>
      <c r="S1332" s="19" t="n"/>
      <c r="T1332" s="19" t="n"/>
      <c r="U1332" s="19" t="n"/>
      <c r="V1332" s="19" t="n"/>
      <c r="W1332" s="19" t="n"/>
      <c r="X1332" s="19" t="n"/>
      <c r="Y1332" s="19" t="n">
        <v>1</v>
      </c>
      <c r="Z1332" s="13">
        <f>SUMPRODUCT(N1332:Y1332,$N$2:$Y$2)*$K1332*$L1332*$M1332</f>
        <v/>
      </c>
      <c r="AA1332" s="14">
        <f>SUM(N1332:Y1332)</f>
        <v/>
      </c>
      <c r="AB1332" s="13">
        <f>SUMPRODUCT(N1332:Y1332,$N$3:$Y$3)*$K1332*$L1332*$M1332</f>
        <v/>
      </c>
      <c r="AC1332" s="13">
        <f>SUMPRODUCT(N1332:Y1332,$N$4:$Y$4)*$K1332*$L1332*$M1332</f>
        <v/>
      </c>
      <c r="AD1332" s="15" t="n">
        <v>3</v>
      </c>
      <c r="AE1332" s="11" t="n">
        <v>1.011296296296296</v>
      </c>
      <c r="AF1332" s="16">
        <f>SUMPRODUCT(N1332:Y1332,$N$5:$Y$5)*$K1332*$L1332*$M1332</f>
        <v/>
      </c>
      <c r="AG1332" s="16">
        <f>SUMPRODUCT(N1332:Y1332,$N$6:$Y$6)*$K1332*$L1332*$M1332</f>
        <v/>
      </c>
      <c r="AH1332" s="20" t="n"/>
    </row>
    <row r="1333">
      <c r="A1333" s="9" t="n">
        <v>828349</v>
      </c>
      <c r="B1333" s="9" t="inlineStr">
        <is>
          <t>Victor Rodriguez</t>
        </is>
      </c>
      <c r="C1333" s="9" t="inlineStr">
        <is>
          <t>MIA</t>
        </is>
      </c>
      <c r="D1333" s="9" t="n">
        <v>25</v>
      </c>
      <c r="E1333" s="18" t="inlineStr">
        <is>
          <t>R</t>
        </is>
      </c>
      <c r="F1333" s="18" t="n"/>
      <c r="G1333" s="9" t="n">
        <v>8.427999999999997</v>
      </c>
      <c r="H1333" s="9" t="n">
        <v>8.427999999999997</v>
      </c>
      <c r="I1333" s="9" t="inlineStr">
        <is>
          <t>Depth (no MLB IP)</t>
        </is>
      </c>
      <c r="J1333" s="18" t="inlineStr">
        <is>
          <t>Opening Day</t>
        </is>
      </c>
      <c r="K1333" s="11">
        <f>IFERROR(INDEX(Roles!$B$17:$B$20,MATCH(J1333,Roles!$A$17:$A$20,0)),1)</f>
        <v/>
      </c>
      <c r="L1333" s="19" t="n">
        <v>1</v>
      </c>
      <c r="M1333" s="11" t="n">
        <v>1</v>
      </c>
      <c r="N1333" s="19" t="n"/>
      <c r="O1333" s="19" t="n"/>
      <c r="P1333" s="19" t="n"/>
      <c r="Q1333" s="19" t="n"/>
      <c r="R1333" s="19" t="n"/>
      <c r="S1333" s="19" t="n"/>
      <c r="T1333" s="19" t="n"/>
      <c r="U1333" s="19" t="n"/>
      <c r="V1333" s="19" t="n"/>
      <c r="W1333" s="19" t="n"/>
      <c r="X1333" s="19" t="n"/>
      <c r="Y1333" s="19" t="n">
        <v>1</v>
      </c>
      <c r="Z1333" s="13">
        <f>SUMPRODUCT(N1333:Y1333,$N$2:$Y$2)*$K1333*$L1333*$M1333</f>
        <v/>
      </c>
      <c r="AA1333" s="14">
        <f>SUM(N1333:Y1333)</f>
        <v/>
      </c>
      <c r="AB1333" s="13">
        <f>SUMPRODUCT(N1333:Y1333,$N$3:$Y$3)*$K1333*$L1333*$M1333</f>
        <v/>
      </c>
      <c r="AC1333" s="13">
        <f>SUMPRODUCT(N1333:Y1333,$N$4:$Y$4)*$K1333*$L1333*$M1333</f>
        <v/>
      </c>
      <c r="AD1333" s="15" t="n">
        <v>3</v>
      </c>
      <c r="AE1333" s="11" t="n">
        <v>1.011296296296296</v>
      </c>
      <c r="AF1333" s="16">
        <f>SUMPRODUCT(N1333:Y1333,$N$5:$Y$5)*$K1333*$L1333*$M1333</f>
        <v/>
      </c>
      <c r="AG1333" s="16">
        <f>SUMPRODUCT(N1333:Y1333,$N$6:$Y$6)*$K1333*$L1333*$M1333</f>
        <v/>
      </c>
      <c r="AH1333" s="20" t="n"/>
    </row>
    <row r="1334">
      <c r="A1334" s="9" t="n">
        <v>815085</v>
      </c>
      <c r="B1334" s="9" t="inlineStr">
        <is>
          <t>Isaac Silva</t>
        </is>
      </c>
      <c r="C1334" s="9" t="inlineStr">
        <is>
          <t>BAL</t>
        </is>
      </c>
      <c r="D1334" s="9" t="n">
        <v>25</v>
      </c>
      <c r="E1334" s="18" t="inlineStr">
        <is>
          <t>R</t>
        </is>
      </c>
      <c r="F1334" s="18" t="n"/>
      <c r="G1334" s="9" t="n">
        <v>8.6</v>
      </c>
      <c r="H1334" s="9" t="n">
        <v>8.6</v>
      </c>
      <c r="I1334" s="9" t="inlineStr">
        <is>
          <t>Depth (no MLB IP)</t>
        </is>
      </c>
      <c r="J1334" s="18" t="inlineStr">
        <is>
          <t>Opening Day</t>
        </is>
      </c>
      <c r="K1334" s="11">
        <f>IFERROR(INDEX(Roles!$B$17:$B$20,MATCH(J1334,Roles!$A$17:$A$20,0)),1)</f>
        <v/>
      </c>
      <c r="L1334" s="19" t="n">
        <v>1</v>
      </c>
      <c r="M1334" s="11" t="n">
        <v>1</v>
      </c>
      <c r="N1334" s="19" t="n"/>
      <c r="O1334" s="19" t="n"/>
      <c r="P1334" s="19" t="n"/>
      <c r="Q1334" s="19" t="n"/>
      <c r="R1334" s="19" t="n"/>
      <c r="S1334" s="19" t="n"/>
      <c r="T1334" s="19" t="n"/>
      <c r="U1334" s="19" t="n"/>
      <c r="V1334" s="19" t="n"/>
      <c r="W1334" s="19" t="n"/>
      <c r="X1334" s="19" t="n"/>
      <c r="Y1334" s="19" t="n">
        <v>1</v>
      </c>
      <c r="Z1334" s="13">
        <f>SUMPRODUCT(N1334:Y1334,$N$2:$Y$2)*$K1334*$L1334*$M1334</f>
        <v/>
      </c>
      <c r="AA1334" s="14">
        <f>SUM(N1334:Y1334)</f>
        <v/>
      </c>
      <c r="AB1334" s="13">
        <f>SUMPRODUCT(N1334:Y1334,$N$3:$Y$3)*$K1334*$L1334*$M1334</f>
        <v/>
      </c>
      <c r="AC1334" s="13">
        <f>SUMPRODUCT(N1334:Y1334,$N$4:$Y$4)*$K1334*$L1334*$M1334</f>
        <v/>
      </c>
      <c r="AD1334" s="15" t="n">
        <v>3</v>
      </c>
      <c r="AE1334" s="11" t="n">
        <v>1.011296296296296</v>
      </c>
      <c r="AF1334" s="16">
        <f>SUMPRODUCT(N1334:Y1334,$N$5:$Y$5)*$K1334*$L1334*$M1334</f>
        <v/>
      </c>
      <c r="AG1334" s="16">
        <f>SUMPRODUCT(N1334:Y1334,$N$6:$Y$6)*$K1334*$L1334*$M1334</f>
        <v/>
      </c>
      <c r="AH1334" s="20" t="n"/>
    </row>
    <row r="1335">
      <c r="A1335" s="9" t="n">
        <v>801619</v>
      </c>
      <c r="B1335" s="9" t="inlineStr">
        <is>
          <t>Jake Faherty</t>
        </is>
      </c>
      <c r="C1335" s="9" t="inlineStr">
        <is>
          <t>MIA</t>
        </is>
      </c>
      <c r="D1335" s="9" t="n">
        <v>25</v>
      </c>
      <c r="E1335" s="18" t="inlineStr">
        <is>
          <t>R</t>
        </is>
      </c>
      <c r="F1335" s="18" t="n"/>
      <c r="G1335" s="9" t="n">
        <v>8.6</v>
      </c>
      <c r="H1335" s="9" t="n">
        <v>8.6</v>
      </c>
      <c r="I1335" s="9" t="inlineStr">
        <is>
          <t>Depth (no MLB IP)</t>
        </is>
      </c>
      <c r="J1335" s="18" t="inlineStr">
        <is>
          <t>Opening Day</t>
        </is>
      </c>
      <c r="K1335" s="11">
        <f>IFERROR(INDEX(Roles!$B$17:$B$20,MATCH(J1335,Roles!$A$17:$A$20,0)),1)</f>
        <v/>
      </c>
      <c r="L1335" s="19" t="n">
        <v>1</v>
      </c>
      <c r="M1335" s="11" t="n">
        <v>1</v>
      </c>
      <c r="N1335" s="19" t="n"/>
      <c r="O1335" s="19" t="n"/>
      <c r="P1335" s="19" t="n"/>
      <c r="Q1335" s="19" t="n"/>
      <c r="R1335" s="19" t="n"/>
      <c r="S1335" s="19" t="n"/>
      <c r="T1335" s="19" t="n"/>
      <c r="U1335" s="19" t="n"/>
      <c r="V1335" s="19" t="n"/>
      <c r="W1335" s="19" t="n"/>
      <c r="X1335" s="19" t="n"/>
      <c r="Y1335" s="19" t="n">
        <v>1</v>
      </c>
      <c r="Z1335" s="13">
        <f>SUMPRODUCT(N1335:Y1335,$N$2:$Y$2)*$K1335*$L1335*$M1335</f>
        <v/>
      </c>
      <c r="AA1335" s="14">
        <f>SUM(N1335:Y1335)</f>
        <v/>
      </c>
      <c r="AB1335" s="13">
        <f>SUMPRODUCT(N1335:Y1335,$N$3:$Y$3)*$K1335*$L1335*$M1335</f>
        <v/>
      </c>
      <c r="AC1335" s="13">
        <f>SUMPRODUCT(N1335:Y1335,$N$4:$Y$4)*$K1335*$L1335*$M1335</f>
        <v/>
      </c>
      <c r="AD1335" s="15" t="n">
        <v>3</v>
      </c>
      <c r="AE1335" s="11" t="n">
        <v>1.011296296296296</v>
      </c>
      <c r="AF1335" s="16">
        <f>SUMPRODUCT(N1335:Y1335,$N$5:$Y$5)*$K1335*$L1335*$M1335</f>
        <v/>
      </c>
      <c r="AG1335" s="16">
        <f>SUMPRODUCT(N1335:Y1335,$N$6:$Y$6)*$K1335*$L1335*$M1335</f>
        <v/>
      </c>
      <c r="AH1335" s="20" t="n"/>
    </row>
    <row r="1336">
      <c r="A1336" s="9" t="n">
        <v>801921</v>
      </c>
      <c r="B1336" s="9" t="inlineStr">
        <is>
          <t>Carter Lovasz</t>
        </is>
      </c>
      <c r="C1336" s="9" t="inlineStr">
        <is>
          <t>ATL</t>
        </is>
      </c>
      <c r="D1336" s="9" t="n">
        <v>25</v>
      </c>
      <c r="E1336" s="18" t="inlineStr">
        <is>
          <t>R</t>
        </is>
      </c>
      <c r="F1336" s="18" t="n"/>
      <c r="G1336" s="9" t="n">
        <v>8.6</v>
      </c>
      <c r="H1336" s="9" t="n">
        <v>8.6</v>
      </c>
      <c r="I1336" s="9" t="inlineStr">
        <is>
          <t>Depth (no MLB IP)</t>
        </is>
      </c>
      <c r="J1336" s="18" t="inlineStr">
        <is>
          <t>Opening Day</t>
        </is>
      </c>
      <c r="K1336" s="11">
        <f>IFERROR(INDEX(Roles!$B$17:$B$20,MATCH(J1336,Roles!$A$17:$A$20,0)),1)</f>
        <v/>
      </c>
      <c r="L1336" s="19" t="n">
        <v>1</v>
      </c>
      <c r="M1336" s="11" t="n">
        <v>1</v>
      </c>
      <c r="N1336" s="19" t="n"/>
      <c r="O1336" s="19" t="n"/>
      <c r="P1336" s="19" t="n"/>
      <c r="Q1336" s="19" t="n"/>
      <c r="R1336" s="19" t="n"/>
      <c r="S1336" s="19" t="n"/>
      <c r="T1336" s="19" t="n"/>
      <c r="U1336" s="19" t="n"/>
      <c r="V1336" s="19" t="n"/>
      <c r="W1336" s="19" t="n"/>
      <c r="X1336" s="19" t="n"/>
      <c r="Y1336" s="19" t="n">
        <v>1</v>
      </c>
      <c r="Z1336" s="13">
        <f>SUMPRODUCT(N1336:Y1336,$N$2:$Y$2)*$K1336*$L1336*$M1336</f>
        <v/>
      </c>
      <c r="AA1336" s="14">
        <f>SUM(N1336:Y1336)</f>
        <v/>
      </c>
      <c r="AB1336" s="13">
        <f>SUMPRODUCT(N1336:Y1336,$N$3:$Y$3)*$K1336*$L1336*$M1336</f>
        <v/>
      </c>
      <c r="AC1336" s="13">
        <f>SUMPRODUCT(N1336:Y1336,$N$4:$Y$4)*$K1336*$L1336*$M1336</f>
        <v/>
      </c>
      <c r="AD1336" s="15" t="n">
        <v>3</v>
      </c>
      <c r="AE1336" s="11" t="n">
        <v>1.011296296296296</v>
      </c>
      <c r="AF1336" s="16">
        <f>SUMPRODUCT(N1336:Y1336,$N$5:$Y$5)*$K1336*$L1336*$M1336</f>
        <v/>
      </c>
      <c r="AG1336" s="16">
        <f>SUMPRODUCT(N1336:Y1336,$N$6:$Y$6)*$K1336*$L1336*$M1336</f>
        <v/>
      </c>
      <c r="AH1336" s="20" t="n"/>
    </row>
    <row r="1337">
      <c r="A1337" s="9" t="n">
        <v>682992</v>
      </c>
      <c r="B1337" s="9" t="inlineStr">
        <is>
          <t>Erik Rivera</t>
        </is>
      </c>
      <c r="C1337" s="9" t="inlineStr">
        <is>
          <t>BOS</t>
        </is>
      </c>
      <c r="D1337" s="9" t="n">
        <v>25</v>
      </c>
      <c r="E1337" s="18" t="inlineStr">
        <is>
          <t>L</t>
        </is>
      </c>
      <c r="F1337" s="18" t="n"/>
      <c r="G1337" s="9" t="n">
        <v>8.671666666666667</v>
      </c>
      <c r="H1337" s="9" t="n">
        <v>8.671666666666667</v>
      </c>
      <c r="I1337" s="9" t="inlineStr">
        <is>
          <t>Depth (no MLB IP)</t>
        </is>
      </c>
      <c r="J1337" s="18" t="inlineStr">
        <is>
          <t>Opening Day</t>
        </is>
      </c>
      <c r="K1337" s="11">
        <f>IFERROR(INDEX(Roles!$B$17:$B$20,MATCH(J1337,Roles!$A$17:$A$20,0)),1)</f>
        <v/>
      </c>
      <c r="L1337" s="19" t="n">
        <v>1</v>
      </c>
      <c r="M1337" s="11" t="n">
        <v>1</v>
      </c>
      <c r="N1337" s="19" t="n"/>
      <c r="O1337" s="19" t="n"/>
      <c r="P1337" s="19" t="n"/>
      <c r="Q1337" s="19" t="n"/>
      <c r="R1337" s="19" t="n"/>
      <c r="S1337" s="19" t="n"/>
      <c r="T1337" s="19" t="n"/>
      <c r="U1337" s="19" t="n"/>
      <c r="V1337" s="19" t="n"/>
      <c r="W1337" s="19" t="n"/>
      <c r="X1337" s="19" t="n"/>
      <c r="Y1337" s="19" t="n">
        <v>1</v>
      </c>
      <c r="Z1337" s="13">
        <f>SUMPRODUCT(N1337:Y1337,$N$2:$Y$2)*$K1337*$L1337*$M1337</f>
        <v/>
      </c>
      <c r="AA1337" s="14">
        <f>SUM(N1337:Y1337)</f>
        <v/>
      </c>
      <c r="AB1337" s="13">
        <f>SUMPRODUCT(N1337:Y1337,$N$3:$Y$3)*$K1337*$L1337*$M1337</f>
        <v/>
      </c>
      <c r="AC1337" s="13">
        <f>SUMPRODUCT(N1337:Y1337,$N$4:$Y$4)*$K1337*$L1337*$M1337</f>
        <v/>
      </c>
      <c r="AD1337" s="15" t="n">
        <v>3</v>
      </c>
      <c r="AE1337" s="11" t="n">
        <v>1.011296296296296</v>
      </c>
      <c r="AF1337" s="16">
        <f>SUMPRODUCT(N1337:Y1337,$N$5:$Y$5)*$K1337*$L1337*$M1337</f>
        <v/>
      </c>
      <c r="AG1337" s="16">
        <f>SUMPRODUCT(N1337:Y1337,$N$6:$Y$6)*$K1337*$L1337*$M1337</f>
        <v/>
      </c>
      <c r="AH1337" s="20" t="n"/>
    </row>
    <row r="1338">
      <c r="A1338" s="9" t="n">
        <v>828344</v>
      </c>
      <c r="B1338" s="9" t="inlineStr">
        <is>
          <t>Dean Livingston</t>
        </is>
      </c>
      <c r="C1338" s="9" t="inlineStr">
        <is>
          <t>ARI</t>
        </is>
      </c>
      <c r="D1338" s="9" t="n">
        <v>25</v>
      </c>
      <c r="E1338" s="18" t="inlineStr">
        <is>
          <t>R</t>
        </is>
      </c>
      <c r="F1338" s="18" t="n"/>
      <c r="G1338" s="9" t="n">
        <v>8.6</v>
      </c>
      <c r="H1338" s="9" t="n">
        <v>8.6</v>
      </c>
      <c r="I1338" s="9" t="inlineStr">
        <is>
          <t>Depth (no MLB IP)</t>
        </is>
      </c>
      <c r="J1338" s="18" t="inlineStr">
        <is>
          <t>Opening Day</t>
        </is>
      </c>
      <c r="K1338" s="11">
        <f>IFERROR(INDEX(Roles!$B$17:$B$20,MATCH(J1338,Roles!$A$17:$A$20,0)),1)</f>
        <v/>
      </c>
      <c r="L1338" s="19" t="n">
        <v>1</v>
      </c>
      <c r="M1338" s="11" t="n">
        <v>1</v>
      </c>
      <c r="N1338" s="19" t="n"/>
      <c r="O1338" s="19" t="n"/>
      <c r="P1338" s="19" t="n"/>
      <c r="Q1338" s="19" t="n"/>
      <c r="R1338" s="19" t="n"/>
      <c r="S1338" s="19" t="n"/>
      <c r="T1338" s="19" t="n"/>
      <c r="U1338" s="19" t="n"/>
      <c r="V1338" s="19" t="n"/>
      <c r="W1338" s="19" t="n"/>
      <c r="X1338" s="19" t="n"/>
      <c r="Y1338" s="19" t="n">
        <v>1</v>
      </c>
      <c r="Z1338" s="13">
        <f>SUMPRODUCT(N1338:Y1338,$N$2:$Y$2)*$K1338*$L1338*$M1338</f>
        <v/>
      </c>
      <c r="AA1338" s="14">
        <f>SUM(N1338:Y1338)</f>
        <v/>
      </c>
      <c r="AB1338" s="13">
        <f>SUMPRODUCT(N1338:Y1338,$N$3:$Y$3)*$K1338*$L1338*$M1338</f>
        <v/>
      </c>
      <c r="AC1338" s="13">
        <f>SUMPRODUCT(N1338:Y1338,$N$4:$Y$4)*$K1338*$L1338*$M1338</f>
        <v/>
      </c>
      <c r="AD1338" s="15" t="n">
        <v>3</v>
      </c>
      <c r="AE1338" s="11" t="n">
        <v>1.011296296296296</v>
      </c>
      <c r="AF1338" s="16">
        <f>SUMPRODUCT(N1338:Y1338,$N$5:$Y$5)*$K1338*$L1338*$M1338</f>
        <v/>
      </c>
      <c r="AG1338" s="16">
        <f>SUMPRODUCT(N1338:Y1338,$N$6:$Y$6)*$K1338*$L1338*$M1338</f>
        <v/>
      </c>
      <c r="AH1338" s="20" t="n"/>
    </row>
    <row r="1339">
      <c r="A1339" s="9" t="n">
        <v>608335</v>
      </c>
      <c r="B1339" s="9" t="inlineStr">
        <is>
          <t>Kyle Funkhouser</t>
        </is>
      </c>
      <c r="C1339" s="9" t="inlineStr">
        <is>
          <t>TEX</t>
        </is>
      </c>
      <c r="D1339" s="9" t="n">
        <v>25</v>
      </c>
      <c r="E1339" s="18" t="inlineStr">
        <is>
          <t>R</t>
        </is>
      </c>
      <c r="F1339" s="18" t="n"/>
      <c r="G1339" s="9" t="n">
        <v>8.671666666666667</v>
      </c>
      <c r="H1339" s="9" t="n">
        <v>8.671666666666667</v>
      </c>
      <c r="I1339" s="9" t="inlineStr">
        <is>
          <t>Depth (no MLB IP)</t>
        </is>
      </c>
      <c r="J1339" s="18" t="inlineStr">
        <is>
          <t>Opening Day</t>
        </is>
      </c>
      <c r="K1339" s="11">
        <f>IFERROR(INDEX(Roles!$B$17:$B$20,MATCH(J1339,Roles!$A$17:$A$20,0)),1)</f>
        <v/>
      </c>
      <c r="L1339" s="19" t="n">
        <v>1</v>
      </c>
      <c r="M1339" s="11" t="n">
        <v>1</v>
      </c>
      <c r="N1339" s="19" t="n"/>
      <c r="O1339" s="19" t="n"/>
      <c r="P1339" s="19" t="n"/>
      <c r="Q1339" s="19" t="n"/>
      <c r="R1339" s="19" t="n"/>
      <c r="S1339" s="19" t="n"/>
      <c r="T1339" s="19" t="n"/>
      <c r="U1339" s="19" t="n"/>
      <c r="V1339" s="19" t="n"/>
      <c r="W1339" s="19" t="n"/>
      <c r="X1339" s="19" t="n"/>
      <c r="Y1339" s="19" t="n">
        <v>1</v>
      </c>
      <c r="Z1339" s="13">
        <f>SUMPRODUCT(N1339:Y1339,$N$2:$Y$2)*$K1339*$L1339*$M1339</f>
        <v/>
      </c>
      <c r="AA1339" s="14">
        <f>SUM(N1339:Y1339)</f>
        <v/>
      </c>
      <c r="AB1339" s="13">
        <f>SUMPRODUCT(N1339:Y1339,$N$3:$Y$3)*$K1339*$L1339*$M1339</f>
        <v/>
      </c>
      <c r="AC1339" s="13">
        <f>SUMPRODUCT(N1339:Y1339,$N$4:$Y$4)*$K1339*$L1339*$M1339</f>
        <v/>
      </c>
      <c r="AD1339" s="15" t="n">
        <v>3</v>
      </c>
      <c r="AE1339" s="11" t="n">
        <v>1.011296296296296</v>
      </c>
      <c r="AF1339" s="16">
        <f>SUMPRODUCT(N1339:Y1339,$N$5:$Y$5)*$K1339*$L1339*$M1339</f>
        <v/>
      </c>
      <c r="AG1339" s="16">
        <f>SUMPRODUCT(N1339:Y1339,$N$6:$Y$6)*$K1339*$L1339*$M1339</f>
        <v/>
      </c>
      <c r="AH1339" s="20" t="n"/>
    </row>
    <row r="1340">
      <c r="A1340" s="9" t="n">
        <v>800686</v>
      </c>
      <c r="B1340" s="9" t="inlineStr">
        <is>
          <t>Parker Carlson</t>
        </is>
      </c>
      <c r="C1340" s="9" t="inlineStr">
        <is>
          <t>NYM</t>
        </is>
      </c>
      <c r="D1340" s="9" t="n">
        <v>25</v>
      </c>
      <c r="E1340" s="18" t="inlineStr">
        <is>
          <t>R</t>
        </is>
      </c>
      <c r="F1340" s="18" t="n"/>
      <c r="G1340" s="9" t="n">
        <v>8.671666666666667</v>
      </c>
      <c r="H1340" s="9" t="n">
        <v>8.671666666666667</v>
      </c>
      <c r="I1340" s="9" t="inlineStr">
        <is>
          <t>Depth (no MLB IP)</t>
        </is>
      </c>
      <c r="J1340" s="18" t="inlineStr">
        <is>
          <t>Opening Day</t>
        </is>
      </c>
      <c r="K1340" s="11">
        <f>IFERROR(INDEX(Roles!$B$17:$B$20,MATCH(J1340,Roles!$A$17:$A$20,0)),1)</f>
        <v/>
      </c>
      <c r="L1340" s="19" t="n">
        <v>1</v>
      </c>
      <c r="M1340" s="11" t="n">
        <v>1</v>
      </c>
      <c r="N1340" s="19" t="n"/>
      <c r="O1340" s="19" t="n"/>
      <c r="P1340" s="19" t="n"/>
      <c r="Q1340" s="19" t="n"/>
      <c r="R1340" s="19" t="n"/>
      <c r="S1340" s="19" t="n"/>
      <c r="T1340" s="19" t="n"/>
      <c r="U1340" s="19" t="n"/>
      <c r="V1340" s="19" t="n"/>
      <c r="W1340" s="19" t="n"/>
      <c r="X1340" s="19" t="n"/>
      <c r="Y1340" s="19" t="n">
        <v>1</v>
      </c>
      <c r="Z1340" s="13">
        <f>SUMPRODUCT(N1340:Y1340,$N$2:$Y$2)*$K1340*$L1340*$M1340</f>
        <v/>
      </c>
      <c r="AA1340" s="14">
        <f>SUM(N1340:Y1340)</f>
        <v/>
      </c>
      <c r="AB1340" s="13">
        <f>SUMPRODUCT(N1340:Y1340,$N$3:$Y$3)*$K1340*$L1340*$M1340</f>
        <v/>
      </c>
      <c r="AC1340" s="13">
        <f>SUMPRODUCT(N1340:Y1340,$N$4:$Y$4)*$K1340*$L1340*$M1340</f>
        <v/>
      </c>
      <c r="AD1340" s="15" t="n">
        <v>3</v>
      </c>
      <c r="AE1340" s="11" t="n">
        <v>1.011296296296296</v>
      </c>
      <c r="AF1340" s="16">
        <f>SUMPRODUCT(N1340:Y1340,$N$5:$Y$5)*$K1340*$L1340*$M1340</f>
        <v/>
      </c>
      <c r="AG1340" s="16">
        <f>SUMPRODUCT(N1340:Y1340,$N$6:$Y$6)*$K1340*$L1340*$M1340</f>
        <v/>
      </c>
      <c r="AH1340" s="20" t="n"/>
    </row>
    <row r="1341">
      <c r="A1341" s="9" t="n">
        <v>806536</v>
      </c>
      <c r="B1341" s="9" t="inlineStr">
        <is>
          <t>Alexis Liebano</t>
        </is>
      </c>
      <c r="C1341" s="9" t="inlineStr">
        <is>
          <t>ARI</t>
        </is>
      </c>
      <c r="D1341" s="9" t="n">
        <v>25</v>
      </c>
      <c r="E1341" s="18" t="inlineStr">
        <is>
          <t>R</t>
        </is>
      </c>
      <c r="F1341" s="18" t="n"/>
      <c r="G1341" s="9" t="n">
        <v>8.6</v>
      </c>
      <c r="H1341" s="9" t="n">
        <v>8.6</v>
      </c>
      <c r="I1341" s="9" t="inlineStr">
        <is>
          <t>Depth (no MLB IP)</t>
        </is>
      </c>
      <c r="J1341" s="18" t="inlineStr">
        <is>
          <t>Opening Day</t>
        </is>
      </c>
      <c r="K1341" s="11">
        <f>IFERROR(INDEX(Roles!$B$17:$B$20,MATCH(J1341,Roles!$A$17:$A$20,0)),1)</f>
        <v/>
      </c>
      <c r="L1341" s="19" t="n">
        <v>1</v>
      </c>
      <c r="M1341" s="11" t="n">
        <v>1</v>
      </c>
      <c r="N1341" s="19" t="n"/>
      <c r="O1341" s="19" t="n"/>
      <c r="P1341" s="19" t="n"/>
      <c r="Q1341" s="19" t="n"/>
      <c r="R1341" s="19" t="n"/>
      <c r="S1341" s="19" t="n"/>
      <c r="T1341" s="19" t="n"/>
      <c r="U1341" s="19" t="n"/>
      <c r="V1341" s="19" t="n"/>
      <c r="W1341" s="19" t="n"/>
      <c r="X1341" s="19" t="n"/>
      <c r="Y1341" s="19" t="n">
        <v>1</v>
      </c>
      <c r="Z1341" s="13">
        <f>SUMPRODUCT(N1341:Y1341,$N$2:$Y$2)*$K1341*$L1341*$M1341</f>
        <v/>
      </c>
      <c r="AA1341" s="14">
        <f>SUM(N1341:Y1341)</f>
        <v/>
      </c>
      <c r="AB1341" s="13">
        <f>SUMPRODUCT(N1341:Y1341,$N$3:$Y$3)*$K1341*$L1341*$M1341</f>
        <v/>
      </c>
      <c r="AC1341" s="13">
        <f>SUMPRODUCT(N1341:Y1341,$N$4:$Y$4)*$K1341*$L1341*$M1341</f>
        <v/>
      </c>
      <c r="AD1341" s="15" t="n">
        <v>3</v>
      </c>
      <c r="AE1341" s="11" t="n">
        <v>1.011296296296296</v>
      </c>
      <c r="AF1341" s="16">
        <f>SUMPRODUCT(N1341:Y1341,$N$5:$Y$5)*$K1341*$L1341*$M1341</f>
        <v/>
      </c>
      <c r="AG1341" s="16">
        <f>SUMPRODUCT(N1341:Y1341,$N$6:$Y$6)*$K1341*$L1341*$M1341</f>
        <v/>
      </c>
      <c r="AH1341" s="20" t="n"/>
    </row>
    <row r="1342">
      <c r="A1342" s="9" t="n">
        <v>682087</v>
      </c>
      <c r="B1342" s="9" t="inlineStr">
        <is>
          <t>Antonio Knowles</t>
        </is>
      </c>
      <c r="C1342" s="9" t="inlineStr">
        <is>
          <t>LAD</t>
        </is>
      </c>
      <c r="D1342" s="9" t="n">
        <v>25</v>
      </c>
      <c r="E1342" s="18" t="inlineStr">
        <is>
          <t>R</t>
        </is>
      </c>
      <c r="F1342" s="18" t="n"/>
      <c r="G1342" s="9" t="n">
        <v>8.671666666666667</v>
      </c>
      <c r="H1342" s="9" t="n">
        <v>8.671666666666667</v>
      </c>
      <c r="I1342" s="9" t="inlineStr">
        <is>
          <t>Depth (no MLB IP)</t>
        </is>
      </c>
      <c r="J1342" s="18" t="inlineStr">
        <is>
          <t>Opening Day</t>
        </is>
      </c>
      <c r="K1342" s="11">
        <f>IFERROR(INDEX(Roles!$B$17:$B$20,MATCH(J1342,Roles!$A$17:$A$20,0)),1)</f>
        <v/>
      </c>
      <c r="L1342" s="19" t="n">
        <v>1</v>
      </c>
      <c r="M1342" s="11" t="n">
        <v>1</v>
      </c>
      <c r="N1342" s="19" t="n"/>
      <c r="O1342" s="19" t="n"/>
      <c r="P1342" s="19" t="n"/>
      <c r="Q1342" s="19" t="n"/>
      <c r="R1342" s="19" t="n"/>
      <c r="S1342" s="19" t="n"/>
      <c r="T1342" s="19" t="n"/>
      <c r="U1342" s="19" t="n"/>
      <c r="V1342" s="19" t="n"/>
      <c r="W1342" s="19" t="n"/>
      <c r="X1342" s="19" t="n"/>
      <c r="Y1342" s="19" t="n">
        <v>1</v>
      </c>
      <c r="Z1342" s="13">
        <f>SUMPRODUCT(N1342:Y1342,$N$2:$Y$2)*$K1342*$L1342*$M1342</f>
        <v/>
      </c>
      <c r="AA1342" s="14">
        <f>SUM(N1342:Y1342)</f>
        <v/>
      </c>
      <c r="AB1342" s="13">
        <f>SUMPRODUCT(N1342:Y1342,$N$3:$Y$3)*$K1342*$L1342*$M1342</f>
        <v/>
      </c>
      <c r="AC1342" s="13">
        <f>SUMPRODUCT(N1342:Y1342,$N$4:$Y$4)*$K1342*$L1342*$M1342</f>
        <v/>
      </c>
      <c r="AD1342" s="15" t="n">
        <v>3</v>
      </c>
      <c r="AE1342" s="11" t="n">
        <v>1.011296296296296</v>
      </c>
      <c r="AF1342" s="16">
        <f>SUMPRODUCT(N1342:Y1342,$N$5:$Y$5)*$K1342*$L1342*$M1342</f>
        <v/>
      </c>
      <c r="AG1342" s="16">
        <f>SUMPRODUCT(N1342:Y1342,$N$6:$Y$6)*$K1342*$L1342*$M1342</f>
        <v/>
      </c>
      <c r="AH1342" s="20" t="n"/>
    </row>
    <row r="1343">
      <c r="A1343" s="9" t="n">
        <v>800618</v>
      </c>
      <c r="B1343" s="9" t="inlineStr">
        <is>
          <t>Paul Wilson</t>
        </is>
      </c>
      <c r="C1343" s="9" t="inlineStr">
        <is>
          <t>DET</t>
        </is>
      </c>
      <c r="D1343" s="9" t="n">
        <v>25</v>
      </c>
      <c r="E1343" s="18" t="inlineStr">
        <is>
          <t>L</t>
        </is>
      </c>
      <c r="F1343" s="18" t="n"/>
      <c r="G1343" s="9" t="n">
        <v>8.6</v>
      </c>
      <c r="H1343" s="9" t="n">
        <v>8.6</v>
      </c>
      <c r="I1343" s="9" t="inlineStr">
        <is>
          <t>Depth (no MLB IP)</t>
        </is>
      </c>
      <c r="J1343" s="18" t="inlineStr">
        <is>
          <t>Opening Day</t>
        </is>
      </c>
      <c r="K1343" s="11">
        <f>IFERROR(INDEX(Roles!$B$17:$B$20,MATCH(J1343,Roles!$A$17:$A$20,0)),1)</f>
        <v/>
      </c>
      <c r="L1343" s="19" t="n">
        <v>1</v>
      </c>
      <c r="M1343" s="11" t="n">
        <v>1</v>
      </c>
      <c r="N1343" s="19" t="n"/>
      <c r="O1343" s="19" t="n"/>
      <c r="P1343" s="19" t="n"/>
      <c r="Q1343" s="19" t="n"/>
      <c r="R1343" s="19" t="n"/>
      <c r="S1343" s="19" t="n"/>
      <c r="T1343" s="19" t="n"/>
      <c r="U1343" s="19" t="n"/>
      <c r="V1343" s="19" t="n"/>
      <c r="W1343" s="19" t="n"/>
      <c r="X1343" s="19" t="n"/>
      <c r="Y1343" s="19" t="n">
        <v>1</v>
      </c>
      <c r="Z1343" s="13">
        <f>SUMPRODUCT(N1343:Y1343,$N$2:$Y$2)*$K1343*$L1343*$M1343</f>
        <v/>
      </c>
      <c r="AA1343" s="14">
        <f>SUM(N1343:Y1343)</f>
        <v/>
      </c>
      <c r="AB1343" s="13">
        <f>SUMPRODUCT(N1343:Y1343,$N$3:$Y$3)*$K1343*$L1343*$M1343</f>
        <v/>
      </c>
      <c r="AC1343" s="13">
        <f>SUMPRODUCT(N1343:Y1343,$N$4:$Y$4)*$K1343*$L1343*$M1343</f>
        <v/>
      </c>
      <c r="AD1343" s="15" t="n">
        <v>3</v>
      </c>
      <c r="AE1343" s="11" t="n">
        <v>1.011296296296296</v>
      </c>
      <c r="AF1343" s="16">
        <f>SUMPRODUCT(N1343:Y1343,$N$5:$Y$5)*$K1343*$L1343*$M1343</f>
        <v/>
      </c>
      <c r="AG1343" s="16">
        <f>SUMPRODUCT(N1343:Y1343,$N$6:$Y$6)*$K1343*$L1343*$M1343</f>
        <v/>
      </c>
      <c r="AH1343" s="20" t="n"/>
    </row>
    <row r="1344">
      <c r="A1344" s="9" t="n">
        <v>834900</v>
      </c>
      <c r="B1344" s="9" t="inlineStr">
        <is>
          <t>Barrett Morgan</t>
        </is>
      </c>
      <c r="C1344" s="9" t="inlineStr">
        <is>
          <t>BOS</t>
        </is>
      </c>
      <c r="D1344" s="9" t="n">
        <v>25</v>
      </c>
      <c r="E1344" s="18" t="inlineStr">
        <is>
          <t>R</t>
        </is>
      </c>
      <c r="F1344" s="18" t="n"/>
      <c r="G1344" s="9" t="n">
        <v>8.6</v>
      </c>
      <c r="H1344" s="9" t="n">
        <v>8.6</v>
      </c>
      <c r="I1344" s="9" t="inlineStr">
        <is>
          <t>Depth (no MLB IP)</t>
        </is>
      </c>
      <c r="J1344" s="18" t="inlineStr">
        <is>
          <t>Opening Day</t>
        </is>
      </c>
      <c r="K1344" s="11">
        <f>IFERROR(INDEX(Roles!$B$17:$B$20,MATCH(J1344,Roles!$A$17:$A$20,0)),1)</f>
        <v/>
      </c>
      <c r="L1344" s="19" t="n">
        <v>1</v>
      </c>
      <c r="M1344" s="11" t="n">
        <v>1</v>
      </c>
      <c r="N1344" s="19" t="n"/>
      <c r="O1344" s="19" t="n"/>
      <c r="P1344" s="19" t="n"/>
      <c r="Q1344" s="19" t="n"/>
      <c r="R1344" s="19" t="n"/>
      <c r="S1344" s="19" t="n"/>
      <c r="T1344" s="19" t="n"/>
      <c r="U1344" s="19" t="n"/>
      <c r="V1344" s="19" t="n"/>
      <c r="W1344" s="19" t="n"/>
      <c r="X1344" s="19" t="n"/>
      <c r="Y1344" s="19" t="n">
        <v>1</v>
      </c>
      <c r="Z1344" s="13">
        <f>SUMPRODUCT(N1344:Y1344,$N$2:$Y$2)*$K1344*$L1344*$M1344</f>
        <v/>
      </c>
      <c r="AA1344" s="14">
        <f>SUM(N1344:Y1344)</f>
        <v/>
      </c>
      <c r="AB1344" s="13">
        <f>SUMPRODUCT(N1344:Y1344,$N$3:$Y$3)*$K1344*$L1344*$M1344</f>
        <v/>
      </c>
      <c r="AC1344" s="13">
        <f>SUMPRODUCT(N1344:Y1344,$N$4:$Y$4)*$K1344*$L1344*$M1344</f>
        <v/>
      </c>
      <c r="AD1344" s="15" t="n">
        <v>3</v>
      </c>
      <c r="AE1344" s="11" t="n">
        <v>1.011296296296296</v>
      </c>
      <c r="AF1344" s="16">
        <f>SUMPRODUCT(N1344:Y1344,$N$5:$Y$5)*$K1344*$L1344*$M1344</f>
        <v/>
      </c>
      <c r="AG1344" s="16">
        <f>SUMPRODUCT(N1344:Y1344,$N$6:$Y$6)*$K1344*$L1344*$M1344</f>
        <v/>
      </c>
      <c r="AH1344" s="20" t="n"/>
    </row>
    <row r="1345">
      <c r="A1345" s="9" t="n">
        <v>832312</v>
      </c>
      <c r="B1345" s="9" t="inlineStr">
        <is>
          <t>Edrwin Veras</t>
        </is>
      </c>
      <c r="C1345" s="9" t="inlineStr">
        <is>
          <t>TOR</t>
        </is>
      </c>
      <c r="D1345" s="9" t="n">
        <v>25</v>
      </c>
      <c r="E1345" s="18" t="inlineStr">
        <is>
          <t>R</t>
        </is>
      </c>
      <c r="F1345" s="18" t="n"/>
      <c r="G1345" s="9" t="n">
        <v>8.6</v>
      </c>
      <c r="H1345" s="9" t="n">
        <v>8.6</v>
      </c>
      <c r="I1345" s="9" t="inlineStr">
        <is>
          <t>Depth (no MLB IP)</t>
        </is>
      </c>
      <c r="J1345" s="18" t="inlineStr">
        <is>
          <t>Opening Day</t>
        </is>
      </c>
      <c r="K1345" s="11">
        <f>IFERROR(INDEX(Roles!$B$17:$B$20,MATCH(J1345,Roles!$A$17:$A$20,0)),1)</f>
        <v/>
      </c>
      <c r="L1345" s="19" t="n">
        <v>1</v>
      </c>
      <c r="M1345" s="11" t="n">
        <v>1</v>
      </c>
      <c r="N1345" s="19" t="n"/>
      <c r="O1345" s="19" t="n"/>
      <c r="P1345" s="19" t="n"/>
      <c r="Q1345" s="19" t="n"/>
      <c r="R1345" s="19" t="n"/>
      <c r="S1345" s="19" t="n"/>
      <c r="T1345" s="19" t="n"/>
      <c r="U1345" s="19" t="n"/>
      <c r="V1345" s="19" t="n"/>
      <c r="W1345" s="19" t="n"/>
      <c r="X1345" s="19" t="n"/>
      <c r="Y1345" s="19" t="n">
        <v>1</v>
      </c>
      <c r="Z1345" s="13">
        <f>SUMPRODUCT(N1345:Y1345,$N$2:$Y$2)*$K1345*$L1345*$M1345</f>
        <v/>
      </c>
      <c r="AA1345" s="14">
        <f>SUM(N1345:Y1345)</f>
        <v/>
      </c>
      <c r="AB1345" s="13">
        <f>SUMPRODUCT(N1345:Y1345,$N$3:$Y$3)*$K1345*$L1345*$M1345</f>
        <v/>
      </c>
      <c r="AC1345" s="13">
        <f>SUMPRODUCT(N1345:Y1345,$N$4:$Y$4)*$K1345*$L1345*$M1345</f>
        <v/>
      </c>
      <c r="AD1345" s="15" t="n">
        <v>3</v>
      </c>
      <c r="AE1345" s="11" t="n">
        <v>1.011296296296296</v>
      </c>
      <c r="AF1345" s="16">
        <f>SUMPRODUCT(N1345:Y1345,$N$5:$Y$5)*$K1345*$L1345*$M1345</f>
        <v/>
      </c>
      <c r="AG1345" s="16">
        <f>SUMPRODUCT(N1345:Y1345,$N$6:$Y$6)*$K1345*$L1345*$M1345</f>
        <v/>
      </c>
      <c r="AH1345" s="20" t="n"/>
    </row>
    <row r="1346">
      <c r="A1346" s="9" t="n">
        <v>823898</v>
      </c>
      <c r="B1346" s="9" t="inlineStr">
        <is>
          <t>Edwardo Melendez</t>
        </is>
      </c>
      <c r="C1346" s="9" t="inlineStr">
        <is>
          <t>CHC</t>
        </is>
      </c>
      <c r="D1346" s="9" t="n">
        <v>25</v>
      </c>
      <c r="E1346" s="18" t="inlineStr">
        <is>
          <t>R</t>
        </is>
      </c>
      <c r="F1346" s="18" t="n"/>
      <c r="G1346" s="9" t="n">
        <v>8.6</v>
      </c>
      <c r="H1346" s="9" t="n">
        <v>8.6</v>
      </c>
      <c r="I1346" s="9" t="inlineStr">
        <is>
          <t>Depth (no MLB IP)</t>
        </is>
      </c>
      <c r="J1346" s="18" t="inlineStr">
        <is>
          <t>Opening Day</t>
        </is>
      </c>
      <c r="K1346" s="11">
        <f>IFERROR(INDEX(Roles!$B$17:$B$20,MATCH(J1346,Roles!$A$17:$A$20,0)),1)</f>
        <v/>
      </c>
      <c r="L1346" s="19" t="n">
        <v>1</v>
      </c>
      <c r="M1346" s="11" t="n">
        <v>1</v>
      </c>
      <c r="N1346" s="19" t="n"/>
      <c r="O1346" s="19" t="n"/>
      <c r="P1346" s="19" t="n"/>
      <c r="Q1346" s="19" t="n"/>
      <c r="R1346" s="19" t="n"/>
      <c r="S1346" s="19" t="n"/>
      <c r="T1346" s="19" t="n"/>
      <c r="U1346" s="19" t="n"/>
      <c r="V1346" s="19" t="n"/>
      <c r="W1346" s="19" t="n"/>
      <c r="X1346" s="19" t="n"/>
      <c r="Y1346" s="19" t="n">
        <v>1</v>
      </c>
      <c r="Z1346" s="13">
        <f>SUMPRODUCT(N1346:Y1346,$N$2:$Y$2)*$K1346*$L1346*$M1346</f>
        <v/>
      </c>
      <c r="AA1346" s="14">
        <f>SUM(N1346:Y1346)</f>
        <v/>
      </c>
      <c r="AB1346" s="13">
        <f>SUMPRODUCT(N1346:Y1346,$N$3:$Y$3)*$K1346*$L1346*$M1346</f>
        <v/>
      </c>
      <c r="AC1346" s="13">
        <f>SUMPRODUCT(N1346:Y1346,$N$4:$Y$4)*$K1346*$L1346*$M1346</f>
        <v/>
      </c>
      <c r="AD1346" s="15" t="n">
        <v>3</v>
      </c>
      <c r="AE1346" s="11" t="n">
        <v>1.011296296296296</v>
      </c>
      <c r="AF1346" s="16">
        <f>SUMPRODUCT(N1346:Y1346,$N$5:$Y$5)*$K1346*$L1346*$M1346</f>
        <v/>
      </c>
      <c r="AG1346" s="16">
        <f>SUMPRODUCT(N1346:Y1346,$N$6:$Y$6)*$K1346*$L1346*$M1346</f>
        <v/>
      </c>
      <c r="AH1346" s="20" t="n"/>
    </row>
    <row r="1347">
      <c r="A1347" s="9" t="n">
        <v>835985</v>
      </c>
      <c r="B1347" s="9" t="inlineStr">
        <is>
          <t>Brady Miller</t>
        </is>
      </c>
      <c r="C1347" s="9" t="inlineStr">
        <is>
          <t>NYM</t>
        </is>
      </c>
      <c r="D1347" s="9" t="n">
        <v>25</v>
      </c>
      <c r="E1347" s="18" t="inlineStr">
        <is>
          <t>R</t>
        </is>
      </c>
      <c r="F1347" s="18" t="n"/>
      <c r="G1347" s="9" t="n">
        <v>8.6</v>
      </c>
      <c r="H1347" s="9" t="n">
        <v>8.6</v>
      </c>
      <c r="I1347" s="9" t="inlineStr">
        <is>
          <t>Depth (no MLB IP)</t>
        </is>
      </c>
      <c r="J1347" s="18" t="inlineStr">
        <is>
          <t>Opening Day</t>
        </is>
      </c>
      <c r="K1347" s="11">
        <f>IFERROR(INDEX(Roles!$B$17:$B$20,MATCH(J1347,Roles!$A$17:$A$20,0)),1)</f>
        <v/>
      </c>
      <c r="L1347" s="19" t="n">
        <v>1</v>
      </c>
      <c r="M1347" s="11" t="n">
        <v>1</v>
      </c>
      <c r="N1347" s="19" t="n"/>
      <c r="O1347" s="19" t="n"/>
      <c r="P1347" s="19" t="n"/>
      <c r="Q1347" s="19" t="n"/>
      <c r="R1347" s="19" t="n"/>
      <c r="S1347" s="19" t="n"/>
      <c r="T1347" s="19" t="n"/>
      <c r="U1347" s="19" t="n"/>
      <c r="V1347" s="19" t="n"/>
      <c r="W1347" s="19" t="n"/>
      <c r="X1347" s="19" t="n"/>
      <c r="Y1347" s="19" t="n">
        <v>1</v>
      </c>
      <c r="Z1347" s="13">
        <f>SUMPRODUCT(N1347:Y1347,$N$2:$Y$2)*$K1347*$L1347*$M1347</f>
        <v/>
      </c>
      <c r="AA1347" s="14">
        <f>SUM(N1347:Y1347)</f>
        <v/>
      </c>
      <c r="AB1347" s="13">
        <f>SUMPRODUCT(N1347:Y1347,$N$3:$Y$3)*$K1347*$L1347*$M1347</f>
        <v/>
      </c>
      <c r="AC1347" s="13">
        <f>SUMPRODUCT(N1347:Y1347,$N$4:$Y$4)*$K1347*$L1347*$M1347</f>
        <v/>
      </c>
      <c r="AD1347" s="15" t="n">
        <v>3</v>
      </c>
      <c r="AE1347" s="11" t="n">
        <v>1.011296296296296</v>
      </c>
      <c r="AF1347" s="16">
        <f>SUMPRODUCT(N1347:Y1347,$N$5:$Y$5)*$K1347*$L1347*$M1347</f>
        <v/>
      </c>
      <c r="AG1347" s="16">
        <f>SUMPRODUCT(N1347:Y1347,$N$6:$Y$6)*$K1347*$L1347*$M1347</f>
        <v/>
      </c>
      <c r="AH1347" s="20" t="n"/>
    </row>
    <row r="1348">
      <c r="A1348" s="9" t="n">
        <v>828616</v>
      </c>
      <c r="B1348" s="9" t="inlineStr">
        <is>
          <t>Jack Nedrow</t>
        </is>
      </c>
      <c r="C1348" s="9" t="inlineStr">
        <is>
          <t>TOR</t>
        </is>
      </c>
      <c r="D1348" s="9" t="n">
        <v>25</v>
      </c>
      <c r="E1348" s="18" t="inlineStr">
        <is>
          <t>R</t>
        </is>
      </c>
      <c r="F1348" s="18" t="n"/>
      <c r="G1348" s="9" t="n">
        <v>8.671666666666667</v>
      </c>
      <c r="H1348" s="9" t="n">
        <v>8.671666666666667</v>
      </c>
      <c r="I1348" s="9" t="inlineStr">
        <is>
          <t>Depth (no MLB IP)</t>
        </is>
      </c>
      <c r="J1348" s="18" t="inlineStr">
        <is>
          <t>Opening Day</t>
        </is>
      </c>
      <c r="K1348" s="11">
        <f>IFERROR(INDEX(Roles!$B$17:$B$20,MATCH(J1348,Roles!$A$17:$A$20,0)),1)</f>
        <v/>
      </c>
      <c r="L1348" s="19" t="n">
        <v>1</v>
      </c>
      <c r="M1348" s="11" t="n">
        <v>1</v>
      </c>
      <c r="N1348" s="19" t="n"/>
      <c r="O1348" s="19" t="n"/>
      <c r="P1348" s="19" t="n"/>
      <c r="Q1348" s="19" t="n"/>
      <c r="R1348" s="19" t="n"/>
      <c r="S1348" s="19" t="n"/>
      <c r="T1348" s="19" t="n"/>
      <c r="U1348" s="19" t="n"/>
      <c r="V1348" s="19" t="n"/>
      <c r="W1348" s="19" t="n"/>
      <c r="X1348" s="19" t="n"/>
      <c r="Y1348" s="19" t="n">
        <v>1</v>
      </c>
      <c r="Z1348" s="13">
        <f>SUMPRODUCT(N1348:Y1348,$N$2:$Y$2)*$K1348*$L1348*$M1348</f>
        <v/>
      </c>
      <c r="AA1348" s="14">
        <f>SUM(N1348:Y1348)</f>
        <v/>
      </c>
      <c r="AB1348" s="13">
        <f>SUMPRODUCT(N1348:Y1348,$N$3:$Y$3)*$K1348*$L1348*$M1348</f>
        <v/>
      </c>
      <c r="AC1348" s="13">
        <f>SUMPRODUCT(N1348:Y1348,$N$4:$Y$4)*$K1348*$L1348*$M1348</f>
        <v/>
      </c>
      <c r="AD1348" s="15" t="n">
        <v>3</v>
      </c>
      <c r="AE1348" s="11" t="n">
        <v>1.011296296296296</v>
      </c>
      <c r="AF1348" s="16">
        <f>SUMPRODUCT(N1348:Y1348,$N$5:$Y$5)*$K1348*$L1348*$M1348</f>
        <v/>
      </c>
      <c r="AG1348" s="16">
        <f>SUMPRODUCT(N1348:Y1348,$N$6:$Y$6)*$K1348*$L1348*$M1348</f>
        <v/>
      </c>
      <c r="AH1348" s="20" t="n"/>
    </row>
    <row r="1349">
      <c r="A1349" s="9" t="n">
        <v>804948</v>
      </c>
      <c r="B1349" s="9" t="inlineStr">
        <is>
          <t>Gage Stanifer</t>
        </is>
      </c>
      <c r="C1349" s="9" t="inlineStr">
        <is>
          <t>TOR</t>
        </is>
      </c>
      <c r="D1349" s="9" t="n">
        <v>25</v>
      </c>
      <c r="E1349" s="18" t="inlineStr">
        <is>
          <t>R</t>
        </is>
      </c>
      <c r="F1349" s="18" t="n"/>
      <c r="G1349" s="9" t="n">
        <v>8.671666666666667</v>
      </c>
      <c r="H1349" s="9" t="n">
        <v>8.671666666666667</v>
      </c>
      <c r="I1349" s="9" t="inlineStr">
        <is>
          <t>Depth (no MLB IP)</t>
        </is>
      </c>
      <c r="J1349" s="18" t="inlineStr">
        <is>
          <t>Opening Day</t>
        </is>
      </c>
      <c r="K1349" s="11">
        <f>IFERROR(INDEX(Roles!$B$17:$B$20,MATCH(J1349,Roles!$A$17:$A$20,0)),1)</f>
        <v/>
      </c>
      <c r="L1349" s="19" t="n">
        <v>1</v>
      </c>
      <c r="M1349" s="11" t="n">
        <v>1</v>
      </c>
      <c r="N1349" s="19" t="n"/>
      <c r="O1349" s="19" t="n"/>
      <c r="P1349" s="19" t="n"/>
      <c r="Q1349" s="19" t="n"/>
      <c r="R1349" s="19" t="n"/>
      <c r="S1349" s="19" t="n"/>
      <c r="T1349" s="19" t="n"/>
      <c r="U1349" s="19" t="n"/>
      <c r="V1349" s="19" t="n"/>
      <c r="W1349" s="19" t="n"/>
      <c r="X1349" s="19" t="n"/>
      <c r="Y1349" s="19" t="n">
        <v>1</v>
      </c>
      <c r="Z1349" s="13">
        <f>SUMPRODUCT(N1349:Y1349,$N$2:$Y$2)*$K1349*$L1349*$M1349</f>
        <v/>
      </c>
      <c r="AA1349" s="14">
        <f>SUM(N1349:Y1349)</f>
        <v/>
      </c>
      <c r="AB1349" s="13">
        <f>SUMPRODUCT(N1349:Y1349,$N$3:$Y$3)*$K1349*$L1349*$M1349</f>
        <v/>
      </c>
      <c r="AC1349" s="13">
        <f>SUMPRODUCT(N1349:Y1349,$N$4:$Y$4)*$K1349*$L1349*$M1349</f>
        <v/>
      </c>
      <c r="AD1349" s="15" t="n">
        <v>3</v>
      </c>
      <c r="AE1349" s="11" t="n">
        <v>1.011296296296296</v>
      </c>
      <c r="AF1349" s="16">
        <f>SUMPRODUCT(N1349:Y1349,$N$5:$Y$5)*$K1349*$L1349*$M1349</f>
        <v/>
      </c>
      <c r="AG1349" s="16">
        <f>SUMPRODUCT(N1349:Y1349,$N$6:$Y$6)*$K1349*$L1349*$M1349</f>
        <v/>
      </c>
      <c r="AH1349" s="20" t="n"/>
    </row>
    <row r="1350">
      <c r="A1350" s="9" t="n">
        <v>815157</v>
      </c>
      <c r="B1350" s="9" t="inlineStr">
        <is>
          <t>Owen Hall</t>
        </is>
      </c>
      <c r="C1350" s="9" t="inlineStr">
        <is>
          <t>DET</t>
        </is>
      </c>
      <c r="D1350" s="9" t="n">
        <v>25</v>
      </c>
      <c r="E1350" s="18" t="inlineStr">
        <is>
          <t>R</t>
        </is>
      </c>
      <c r="F1350" s="18" t="n"/>
      <c r="G1350" s="9" t="n">
        <v>8.6</v>
      </c>
      <c r="H1350" s="9" t="n">
        <v>8.6</v>
      </c>
      <c r="I1350" s="9" t="inlineStr">
        <is>
          <t>Depth (no MLB IP)</t>
        </is>
      </c>
      <c r="J1350" s="18" t="inlineStr">
        <is>
          <t>Opening Day</t>
        </is>
      </c>
      <c r="K1350" s="11">
        <f>IFERROR(INDEX(Roles!$B$17:$B$20,MATCH(J1350,Roles!$A$17:$A$20,0)),1)</f>
        <v/>
      </c>
      <c r="L1350" s="19" t="n">
        <v>1</v>
      </c>
      <c r="M1350" s="11" t="n">
        <v>1</v>
      </c>
      <c r="N1350" s="19" t="n"/>
      <c r="O1350" s="19" t="n"/>
      <c r="P1350" s="19" t="n"/>
      <c r="Q1350" s="19" t="n"/>
      <c r="R1350" s="19" t="n"/>
      <c r="S1350" s="19" t="n"/>
      <c r="T1350" s="19" t="n"/>
      <c r="U1350" s="19" t="n"/>
      <c r="V1350" s="19" t="n"/>
      <c r="W1350" s="19" t="n"/>
      <c r="X1350" s="19" t="n"/>
      <c r="Y1350" s="19" t="n">
        <v>1</v>
      </c>
      <c r="Z1350" s="13">
        <f>SUMPRODUCT(N1350:Y1350,$N$2:$Y$2)*$K1350*$L1350*$M1350</f>
        <v/>
      </c>
      <c r="AA1350" s="14">
        <f>SUM(N1350:Y1350)</f>
        <v/>
      </c>
      <c r="AB1350" s="13">
        <f>SUMPRODUCT(N1350:Y1350,$N$3:$Y$3)*$K1350*$L1350*$M1350</f>
        <v/>
      </c>
      <c r="AC1350" s="13">
        <f>SUMPRODUCT(N1350:Y1350,$N$4:$Y$4)*$K1350*$L1350*$M1350</f>
        <v/>
      </c>
      <c r="AD1350" s="15" t="n">
        <v>3</v>
      </c>
      <c r="AE1350" s="11" t="n">
        <v>1.011296296296296</v>
      </c>
      <c r="AF1350" s="16">
        <f>SUMPRODUCT(N1350:Y1350,$N$5:$Y$5)*$K1350*$L1350*$M1350</f>
        <v/>
      </c>
      <c r="AG1350" s="16">
        <f>SUMPRODUCT(N1350:Y1350,$N$6:$Y$6)*$K1350*$L1350*$M1350</f>
        <v/>
      </c>
      <c r="AH1350" s="20" t="n"/>
    </row>
    <row r="1351">
      <c r="A1351" s="9" t="n">
        <v>801573</v>
      </c>
      <c r="B1351" s="9" t="inlineStr">
        <is>
          <t>Ryan Forcucci</t>
        </is>
      </c>
      <c r="C1351" s="9" t="inlineStr">
        <is>
          <t>HOU</t>
        </is>
      </c>
      <c r="D1351" s="9" t="n">
        <v>25</v>
      </c>
      <c r="E1351" s="18" t="inlineStr">
        <is>
          <t>R</t>
        </is>
      </c>
      <c r="F1351" s="18" t="n"/>
      <c r="G1351" s="9" t="n">
        <v>8.771999999999998</v>
      </c>
      <c r="H1351" s="9" t="n">
        <v>8.771999999999998</v>
      </c>
      <c r="I1351" s="9" t="inlineStr">
        <is>
          <t>Depth (no MLB IP)</t>
        </is>
      </c>
      <c r="J1351" s="18" t="inlineStr">
        <is>
          <t>Opening Day</t>
        </is>
      </c>
      <c r="K1351" s="11">
        <f>IFERROR(INDEX(Roles!$B$17:$B$20,MATCH(J1351,Roles!$A$17:$A$20,0)),1)</f>
        <v/>
      </c>
      <c r="L1351" s="19" t="n">
        <v>1</v>
      </c>
      <c r="M1351" s="11" t="n">
        <v>1</v>
      </c>
      <c r="N1351" s="19" t="n"/>
      <c r="O1351" s="19" t="n"/>
      <c r="P1351" s="19" t="n"/>
      <c r="Q1351" s="19" t="n"/>
      <c r="R1351" s="19" t="n"/>
      <c r="S1351" s="19" t="n"/>
      <c r="T1351" s="19" t="n"/>
      <c r="U1351" s="19" t="n"/>
      <c r="V1351" s="19" t="n"/>
      <c r="W1351" s="19" t="n"/>
      <c r="X1351" s="19" t="n"/>
      <c r="Y1351" s="19" t="n">
        <v>1</v>
      </c>
      <c r="Z1351" s="13">
        <f>SUMPRODUCT(N1351:Y1351,$N$2:$Y$2)*$K1351*$L1351*$M1351</f>
        <v/>
      </c>
      <c r="AA1351" s="14">
        <f>SUM(N1351:Y1351)</f>
        <v/>
      </c>
      <c r="AB1351" s="13">
        <f>SUMPRODUCT(N1351:Y1351,$N$3:$Y$3)*$K1351*$L1351*$M1351</f>
        <v/>
      </c>
      <c r="AC1351" s="13">
        <f>SUMPRODUCT(N1351:Y1351,$N$4:$Y$4)*$K1351*$L1351*$M1351</f>
        <v/>
      </c>
      <c r="AD1351" s="15" t="n">
        <v>3</v>
      </c>
      <c r="AE1351" s="11" t="n">
        <v>1.011296296296296</v>
      </c>
      <c r="AF1351" s="16">
        <f>SUMPRODUCT(N1351:Y1351,$N$5:$Y$5)*$K1351*$L1351*$M1351</f>
        <v/>
      </c>
      <c r="AG1351" s="16">
        <f>SUMPRODUCT(N1351:Y1351,$N$6:$Y$6)*$K1351*$L1351*$M1351</f>
        <v/>
      </c>
      <c r="AH1351" s="20" t="n"/>
    </row>
    <row r="1352">
      <c r="A1352" s="9" t="n">
        <v>702586</v>
      </c>
      <c r="B1352" s="9" t="inlineStr">
        <is>
          <t>Fulton Lockhart</t>
        </is>
      </c>
      <c r="C1352" s="9" t="inlineStr">
        <is>
          <t>LAA</t>
        </is>
      </c>
      <c r="D1352" s="9" t="n">
        <v>25</v>
      </c>
      <c r="E1352" s="18" t="inlineStr">
        <is>
          <t>R</t>
        </is>
      </c>
      <c r="F1352" s="18" t="n"/>
      <c r="G1352" s="9" t="n">
        <v>8.886666666666668</v>
      </c>
      <c r="H1352" s="9" t="n">
        <v>8.886666666666668</v>
      </c>
      <c r="I1352" s="9" t="inlineStr">
        <is>
          <t>Depth (no MLB IP)</t>
        </is>
      </c>
      <c r="J1352" s="18" t="inlineStr">
        <is>
          <t>Opening Day</t>
        </is>
      </c>
      <c r="K1352" s="11">
        <f>IFERROR(INDEX(Roles!$B$17:$B$20,MATCH(J1352,Roles!$A$17:$A$20,0)),1)</f>
        <v/>
      </c>
      <c r="L1352" s="19" t="n">
        <v>1</v>
      </c>
      <c r="M1352" s="11" t="n">
        <v>1</v>
      </c>
      <c r="N1352" s="19" t="n"/>
      <c r="O1352" s="19" t="n"/>
      <c r="P1352" s="19" t="n"/>
      <c r="Q1352" s="19" t="n"/>
      <c r="R1352" s="19" t="n"/>
      <c r="S1352" s="19" t="n"/>
      <c r="T1352" s="19" t="n"/>
      <c r="U1352" s="19" t="n"/>
      <c r="V1352" s="19" t="n"/>
      <c r="W1352" s="19" t="n"/>
      <c r="X1352" s="19" t="n"/>
      <c r="Y1352" s="19" t="n">
        <v>1</v>
      </c>
      <c r="Z1352" s="13">
        <f>SUMPRODUCT(N1352:Y1352,$N$2:$Y$2)*$K1352*$L1352*$M1352</f>
        <v/>
      </c>
      <c r="AA1352" s="14">
        <f>SUM(N1352:Y1352)</f>
        <v/>
      </c>
      <c r="AB1352" s="13">
        <f>SUMPRODUCT(N1352:Y1352,$N$3:$Y$3)*$K1352*$L1352*$M1352</f>
        <v/>
      </c>
      <c r="AC1352" s="13">
        <f>SUMPRODUCT(N1352:Y1352,$N$4:$Y$4)*$K1352*$L1352*$M1352</f>
        <v/>
      </c>
      <c r="AD1352" s="15" t="n">
        <v>3</v>
      </c>
      <c r="AE1352" s="11" t="n">
        <v>1.011296296296296</v>
      </c>
      <c r="AF1352" s="16">
        <f>SUMPRODUCT(N1352:Y1352,$N$5:$Y$5)*$K1352*$L1352*$M1352</f>
        <v/>
      </c>
      <c r="AG1352" s="16">
        <f>SUMPRODUCT(N1352:Y1352,$N$6:$Y$6)*$K1352*$L1352*$M1352</f>
        <v/>
      </c>
      <c r="AH1352" s="20" t="n"/>
    </row>
    <row r="1353">
      <c r="A1353" s="9" t="n">
        <v>834872</v>
      </c>
      <c r="B1353" s="9" t="inlineStr">
        <is>
          <t>Gabel Pentecost</t>
        </is>
      </c>
      <c r="C1353" s="9" t="inlineStr">
        <is>
          <t>HOU</t>
        </is>
      </c>
      <c r="D1353" s="9" t="n">
        <v>25</v>
      </c>
      <c r="E1353" s="18" t="inlineStr">
        <is>
          <t>R</t>
        </is>
      </c>
      <c r="F1353" s="18" t="n"/>
      <c r="G1353" s="9" t="n">
        <v>8.771999999999998</v>
      </c>
      <c r="H1353" s="9" t="n">
        <v>8.771999999999998</v>
      </c>
      <c r="I1353" s="9" t="inlineStr">
        <is>
          <t>Depth (no MLB IP)</t>
        </is>
      </c>
      <c r="J1353" s="18" t="inlineStr">
        <is>
          <t>Opening Day</t>
        </is>
      </c>
      <c r="K1353" s="11">
        <f>IFERROR(INDEX(Roles!$B$17:$B$20,MATCH(J1353,Roles!$A$17:$A$20,0)),1)</f>
        <v/>
      </c>
      <c r="L1353" s="19" t="n">
        <v>1</v>
      </c>
      <c r="M1353" s="11" t="n">
        <v>1</v>
      </c>
      <c r="N1353" s="19" t="n"/>
      <c r="O1353" s="19" t="n"/>
      <c r="P1353" s="19" t="n"/>
      <c r="Q1353" s="19" t="n"/>
      <c r="R1353" s="19" t="n"/>
      <c r="S1353" s="19" t="n"/>
      <c r="T1353" s="19" t="n"/>
      <c r="U1353" s="19" t="n"/>
      <c r="V1353" s="19" t="n"/>
      <c r="W1353" s="19" t="n"/>
      <c r="X1353" s="19" t="n"/>
      <c r="Y1353" s="19" t="n">
        <v>1</v>
      </c>
      <c r="Z1353" s="13">
        <f>SUMPRODUCT(N1353:Y1353,$N$2:$Y$2)*$K1353*$L1353*$M1353</f>
        <v/>
      </c>
      <c r="AA1353" s="14">
        <f>SUM(N1353:Y1353)</f>
        <v/>
      </c>
      <c r="AB1353" s="13">
        <f>SUMPRODUCT(N1353:Y1353,$N$3:$Y$3)*$K1353*$L1353*$M1353</f>
        <v/>
      </c>
      <c r="AC1353" s="13">
        <f>SUMPRODUCT(N1353:Y1353,$N$4:$Y$4)*$K1353*$L1353*$M1353</f>
        <v/>
      </c>
      <c r="AD1353" s="15" t="n">
        <v>3</v>
      </c>
      <c r="AE1353" s="11" t="n">
        <v>1.011296296296296</v>
      </c>
      <c r="AF1353" s="16">
        <f>SUMPRODUCT(N1353:Y1353,$N$5:$Y$5)*$K1353*$L1353*$M1353</f>
        <v/>
      </c>
      <c r="AG1353" s="16">
        <f>SUMPRODUCT(N1353:Y1353,$N$6:$Y$6)*$K1353*$L1353*$M1353</f>
        <v/>
      </c>
      <c r="AH1353" s="20" t="n"/>
    </row>
    <row r="1354">
      <c r="A1354" s="9" t="n">
        <v>688753</v>
      </c>
      <c r="B1354" s="9" t="inlineStr">
        <is>
          <t>Evan Gates</t>
        </is>
      </c>
      <c r="C1354" s="9" t="inlineStr">
        <is>
          <t>PHI</t>
        </is>
      </c>
      <c r="D1354" s="9" t="n">
        <v>25</v>
      </c>
      <c r="E1354" s="18" t="inlineStr">
        <is>
          <t>R</t>
        </is>
      </c>
      <c r="F1354" s="18" t="n"/>
      <c r="G1354" s="9" t="n">
        <v>8.671666666666667</v>
      </c>
      <c r="H1354" s="9" t="n">
        <v>8.671666666666667</v>
      </c>
      <c r="I1354" s="9" t="inlineStr">
        <is>
          <t>Depth (no MLB IP)</t>
        </is>
      </c>
      <c r="J1354" s="18" t="inlineStr">
        <is>
          <t>Opening Day</t>
        </is>
      </c>
      <c r="K1354" s="11">
        <f>IFERROR(INDEX(Roles!$B$17:$B$20,MATCH(J1354,Roles!$A$17:$A$20,0)),1)</f>
        <v/>
      </c>
      <c r="L1354" s="19" t="n">
        <v>1</v>
      </c>
      <c r="M1354" s="11" t="n">
        <v>1</v>
      </c>
      <c r="N1354" s="19" t="n"/>
      <c r="O1354" s="19" t="n"/>
      <c r="P1354" s="19" t="n"/>
      <c r="Q1354" s="19" t="n"/>
      <c r="R1354" s="19" t="n"/>
      <c r="S1354" s="19" t="n"/>
      <c r="T1354" s="19" t="n"/>
      <c r="U1354" s="19" t="n"/>
      <c r="V1354" s="19" t="n"/>
      <c r="W1354" s="19" t="n"/>
      <c r="X1354" s="19" t="n"/>
      <c r="Y1354" s="19" t="n">
        <v>1</v>
      </c>
      <c r="Z1354" s="13">
        <f>SUMPRODUCT(N1354:Y1354,$N$2:$Y$2)*$K1354*$L1354*$M1354</f>
        <v/>
      </c>
      <c r="AA1354" s="14">
        <f>SUM(N1354:Y1354)</f>
        <v/>
      </c>
      <c r="AB1354" s="13">
        <f>SUMPRODUCT(N1354:Y1354,$N$3:$Y$3)*$K1354*$L1354*$M1354</f>
        <v/>
      </c>
      <c r="AC1354" s="13">
        <f>SUMPRODUCT(N1354:Y1354,$N$4:$Y$4)*$K1354*$L1354*$M1354</f>
        <v/>
      </c>
      <c r="AD1354" s="15" t="n">
        <v>3</v>
      </c>
      <c r="AE1354" s="11" t="n">
        <v>1.011296296296296</v>
      </c>
      <c r="AF1354" s="16">
        <f>SUMPRODUCT(N1354:Y1354,$N$5:$Y$5)*$K1354*$L1354*$M1354</f>
        <v/>
      </c>
      <c r="AG1354" s="16">
        <f>SUMPRODUCT(N1354:Y1354,$N$6:$Y$6)*$K1354*$L1354*$M1354</f>
        <v/>
      </c>
      <c r="AH1354" s="20" t="n"/>
    </row>
    <row r="1355">
      <c r="A1355" s="9" t="n">
        <v>701569</v>
      </c>
      <c r="B1355" s="9" t="inlineStr">
        <is>
          <t>Aaron Holiday</t>
        </is>
      </c>
      <c r="C1355" s="9" t="inlineStr">
        <is>
          <t>STL</t>
        </is>
      </c>
      <c r="D1355" s="9" t="n">
        <v>25</v>
      </c>
      <c r="E1355" s="18" t="inlineStr">
        <is>
          <t>R</t>
        </is>
      </c>
      <c r="F1355" s="18" t="n"/>
      <c r="G1355" s="9" t="n">
        <v>8.6</v>
      </c>
      <c r="H1355" s="9" t="n">
        <v>8.6</v>
      </c>
      <c r="I1355" s="9" t="inlineStr">
        <is>
          <t>Depth (no MLB IP)</t>
        </is>
      </c>
      <c r="J1355" s="18" t="inlineStr">
        <is>
          <t>Opening Day</t>
        </is>
      </c>
      <c r="K1355" s="11">
        <f>IFERROR(INDEX(Roles!$B$17:$B$20,MATCH(J1355,Roles!$A$17:$A$20,0)),1)</f>
        <v/>
      </c>
      <c r="L1355" s="19" t="n">
        <v>1</v>
      </c>
      <c r="M1355" s="11" t="n">
        <v>1</v>
      </c>
      <c r="N1355" s="19" t="n"/>
      <c r="O1355" s="19" t="n"/>
      <c r="P1355" s="19" t="n"/>
      <c r="Q1355" s="19" t="n"/>
      <c r="R1355" s="19" t="n"/>
      <c r="S1355" s="19" t="n"/>
      <c r="T1355" s="19" t="n"/>
      <c r="U1355" s="19" t="n"/>
      <c r="V1355" s="19" t="n"/>
      <c r="W1355" s="19" t="n"/>
      <c r="X1355" s="19" t="n"/>
      <c r="Y1355" s="19" t="n">
        <v>1</v>
      </c>
      <c r="Z1355" s="13">
        <f>SUMPRODUCT(N1355:Y1355,$N$2:$Y$2)*$K1355*$L1355*$M1355</f>
        <v/>
      </c>
      <c r="AA1355" s="14">
        <f>SUM(N1355:Y1355)</f>
        <v/>
      </c>
      <c r="AB1355" s="13">
        <f>SUMPRODUCT(N1355:Y1355,$N$3:$Y$3)*$K1355*$L1355*$M1355</f>
        <v/>
      </c>
      <c r="AC1355" s="13">
        <f>SUMPRODUCT(N1355:Y1355,$N$4:$Y$4)*$K1355*$L1355*$M1355</f>
        <v/>
      </c>
      <c r="AD1355" s="15" t="n">
        <v>3</v>
      </c>
      <c r="AE1355" s="11" t="n">
        <v>1.011296296296296</v>
      </c>
      <c r="AF1355" s="16">
        <f>SUMPRODUCT(N1355:Y1355,$N$5:$Y$5)*$K1355*$L1355*$M1355</f>
        <v/>
      </c>
      <c r="AG1355" s="16">
        <f>SUMPRODUCT(N1355:Y1355,$N$6:$Y$6)*$K1355*$L1355*$M1355</f>
        <v/>
      </c>
      <c r="AH1355" s="20" t="n"/>
    </row>
    <row r="1356">
      <c r="A1356" s="9" t="n">
        <v>695500</v>
      </c>
      <c r="B1356" s="9" t="inlineStr">
        <is>
          <t>Daniel Brooks</t>
        </is>
      </c>
      <c r="C1356" s="9" t="inlineStr">
        <is>
          <t>ATL</t>
        </is>
      </c>
      <c r="D1356" s="9" t="n">
        <v>25</v>
      </c>
      <c r="E1356" s="18" t="inlineStr">
        <is>
          <t>R</t>
        </is>
      </c>
      <c r="F1356" s="18" t="n"/>
      <c r="G1356" s="9" t="n">
        <v>8.886666666666668</v>
      </c>
      <c r="H1356" s="9" t="n">
        <v>8.886666666666668</v>
      </c>
      <c r="I1356" s="9" t="inlineStr">
        <is>
          <t>Depth (no MLB IP)</t>
        </is>
      </c>
      <c r="J1356" s="18" t="inlineStr">
        <is>
          <t>Opening Day</t>
        </is>
      </c>
      <c r="K1356" s="11">
        <f>IFERROR(INDEX(Roles!$B$17:$B$20,MATCH(J1356,Roles!$A$17:$A$20,0)),1)</f>
        <v/>
      </c>
      <c r="L1356" s="19" t="n">
        <v>1</v>
      </c>
      <c r="M1356" s="11" t="n">
        <v>1</v>
      </c>
      <c r="N1356" s="19" t="n"/>
      <c r="O1356" s="19" t="n"/>
      <c r="P1356" s="19" t="n"/>
      <c r="Q1356" s="19" t="n"/>
      <c r="R1356" s="19" t="n"/>
      <c r="S1356" s="19" t="n"/>
      <c r="T1356" s="19" t="n"/>
      <c r="U1356" s="19" t="n"/>
      <c r="V1356" s="19" t="n"/>
      <c r="W1356" s="19" t="n"/>
      <c r="X1356" s="19" t="n"/>
      <c r="Y1356" s="19" t="n">
        <v>1</v>
      </c>
      <c r="Z1356" s="13">
        <f>SUMPRODUCT(N1356:Y1356,$N$2:$Y$2)*$K1356*$L1356*$M1356</f>
        <v/>
      </c>
      <c r="AA1356" s="14">
        <f>SUM(N1356:Y1356)</f>
        <v/>
      </c>
      <c r="AB1356" s="13">
        <f>SUMPRODUCT(N1356:Y1356,$N$3:$Y$3)*$K1356*$L1356*$M1356</f>
        <v/>
      </c>
      <c r="AC1356" s="13">
        <f>SUMPRODUCT(N1356:Y1356,$N$4:$Y$4)*$K1356*$L1356*$M1356</f>
        <v/>
      </c>
      <c r="AD1356" s="15" t="n">
        <v>3</v>
      </c>
      <c r="AE1356" s="11" t="n">
        <v>1.011296296296296</v>
      </c>
      <c r="AF1356" s="16">
        <f>SUMPRODUCT(N1356:Y1356,$N$5:$Y$5)*$K1356*$L1356*$M1356</f>
        <v/>
      </c>
      <c r="AG1356" s="16">
        <f>SUMPRODUCT(N1356:Y1356,$N$6:$Y$6)*$K1356*$L1356*$M1356</f>
        <v/>
      </c>
      <c r="AH1356" s="20" t="n"/>
    </row>
    <row r="1357">
      <c r="A1357" s="9" t="n">
        <v>836174</v>
      </c>
      <c r="B1357" s="9" t="inlineStr">
        <is>
          <t>Cole MacRae</t>
        </is>
      </c>
      <c r="C1357" s="9" t="inlineStr">
        <is>
          <t>HOU</t>
        </is>
      </c>
      <c r="D1357" s="9" t="n">
        <v>25</v>
      </c>
      <c r="E1357" s="18" t="inlineStr">
        <is>
          <t>R</t>
        </is>
      </c>
      <c r="F1357" s="18" t="n"/>
      <c r="G1357" s="9" t="n">
        <v>8.943999999999999</v>
      </c>
      <c r="H1357" s="9" t="n">
        <v>8.943999999999999</v>
      </c>
      <c r="I1357" s="9" t="inlineStr">
        <is>
          <t>Depth (no MLB IP)</t>
        </is>
      </c>
      <c r="J1357" s="18" t="inlineStr">
        <is>
          <t>Opening Day</t>
        </is>
      </c>
      <c r="K1357" s="11">
        <f>IFERROR(INDEX(Roles!$B$17:$B$20,MATCH(J1357,Roles!$A$17:$A$20,0)),1)</f>
        <v/>
      </c>
      <c r="L1357" s="19" t="n">
        <v>1</v>
      </c>
      <c r="M1357" s="11" t="n">
        <v>1</v>
      </c>
      <c r="N1357" s="19" t="n"/>
      <c r="O1357" s="19" t="n"/>
      <c r="P1357" s="19" t="n"/>
      <c r="Q1357" s="19" t="n"/>
      <c r="R1357" s="19" t="n"/>
      <c r="S1357" s="19" t="n"/>
      <c r="T1357" s="19" t="n"/>
      <c r="U1357" s="19" t="n"/>
      <c r="V1357" s="19" t="n"/>
      <c r="W1357" s="19" t="n"/>
      <c r="X1357" s="19" t="n"/>
      <c r="Y1357" s="19" t="n">
        <v>1</v>
      </c>
      <c r="Z1357" s="13">
        <f>SUMPRODUCT(N1357:Y1357,$N$2:$Y$2)*$K1357*$L1357*$M1357</f>
        <v/>
      </c>
      <c r="AA1357" s="14">
        <f>SUM(N1357:Y1357)</f>
        <v/>
      </c>
      <c r="AB1357" s="13">
        <f>SUMPRODUCT(N1357:Y1357,$N$3:$Y$3)*$K1357*$L1357*$M1357</f>
        <v/>
      </c>
      <c r="AC1357" s="13">
        <f>SUMPRODUCT(N1357:Y1357,$N$4:$Y$4)*$K1357*$L1357*$M1357</f>
        <v/>
      </c>
      <c r="AD1357" s="15" t="n">
        <v>3</v>
      </c>
      <c r="AE1357" s="11" t="n">
        <v>1.011296296296296</v>
      </c>
      <c r="AF1357" s="16">
        <f>SUMPRODUCT(N1357:Y1357,$N$5:$Y$5)*$K1357*$L1357*$M1357</f>
        <v/>
      </c>
      <c r="AG1357" s="16">
        <f>SUMPRODUCT(N1357:Y1357,$N$6:$Y$6)*$K1357*$L1357*$M1357</f>
        <v/>
      </c>
      <c r="AH1357" s="20" t="n"/>
    </row>
    <row r="1358">
      <c r="A1358" s="9" t="n">
        <v>802092</v>
      </c>
      <c r="B1358" s="9" t="inlineStr">
        <is>
          <t>Luis Ramirez</t>
        </is>
      </c>
      <c r="C1358" s="9" t="inlineStr">
        <is>
          <t>MIA</t>
        </is>
      </c>
      <c r="D1358" s="9" t="n">
        <v>25</v>
      </c>
      <c r="E1358" s="18" t="inlineStr">
        <is>
          <t>R</t>
        </is>
      </c>
      <c r="F1358" s="18" t="n"/>
      <c r="G1358" s="9" t="n">
        <v>8.886666666666668</v>
      </c>
      <c r="H1358" s="9" t="n">
        <v>8.886666666666668</v>
      </c>
      <c r="I1358" s="9" t="inlineStr">
        <is>
          <t>Depth (no MLB IP)</t>
        </is>
      </c>
      <c r="J1358" s="18" t="inlineStr">
        <is>
          <t>Opening Day</t>
        </is>
      </c>
      <c r="K1358" s="11">
        <f>IFERROR(INDEX(Roles!$B$17:$B$20,MATCH(J1358,Roles!$A$17:$A$20,0)),1)</f>
        <v/>
      </c>
      <c r="L1358" s="19" t="n">
        <v>1</v>
      </c>
      <c r="M1358" s="11" t="n">
        <v>1</v>
      </c>
      <c r="N1358" s="19" t="n"/>
      <c r="O1358" s="19" t="n"/>
      <c r="P1358" s="19" t="n"/>
      <c r="Q1358" s="19" t="n"/>
      <c r="R1358" s="19" t="n"/>
      <c r="S1358" s="19" t="n"/>
      <c r="T1358" s="19" t="n"/>
      <c r="U1358" s="19" t="n"/>
      <c r="V1358" s="19" t="n"/>
      <c r="W1358" s="19" t="n"/>
      <c r="X1358" s="19" t="n"/>
      <c r="Y1358" s="19" t="n">
        <v>1</v>
      </c>
      <c r="Z1358" s="13">
        <f>SUMPRODUCT(N1358:Y1358,$N$2:$Y$2)*$K1358*$L1358*$M1358</f>
        <v/>
      </c>
      <c r="AA1358" s="14">
        <f>SUM(N1358:Y1358)</f>
        <v/>
      </c>
      <c r="AB1358" s="13">
        <f>SUMPRODUCT(N1358:Y1358,$N$3:$Y$3)*$K1358*$L1358*$M1358</f>
        <v/>
      </c>
      <c r="AC1358" s="13">
        <f>SUMPRODUCT(N1358:Y1358,$N$4:$Y$4)*$K1358*$L1358*$M1358</f>
        <v/>
      </c>
      <c r="AD1358" s="15" t="n">
        <v>3</v>
      </c>
      <c r="AE1358" s="11" t="n">
        <v>1.011296296296296</v>
      </c>
      <c r="AF1358" s="16">
        <f>SUMPRODUCT(N1358:Y1358,$N$5:$Y$5)*$K1358*$L1358*$M1358</f>
        <v/>
      </c>
      <c r="AG1358" s="16">
        <f>SUMPRODUCT(N1358:Y1358,$N$6:$Y$6)*$K1358*$L1358*$M1358</f>
        <v/>
      </c>
      <c r="AH1358" s="20" t="n"/>
    </row>
    <row r="1359">
      <c r="A1359" s="9" t="n">
        <v>809950</v>
      </c>
      <c r="B1359" s="9" t="inlineStr">
        <is>
          <t>Dakota Hawkins</t>
        </is>
      </c>
      <c r="C1359" s="9" t="inlineStr">
        <is>
          <t>NYM</t>
        </is>
      </c>
      <c r="D1359" s="9" t="n">
        <v>25</v>
      </c>
      <c r="E1359" s="18" t="inlineStr">
        <is>
          <t>R</t>
        </is>
      </c>
      <c r="F1359" s="18" t="n"/>
      <c r="G1359" s="9" t="n">
        <v>8.671666666666667</v>
      </c>
      <c r="H1359" s="9" t="n">
        <v>8.671666666666667</v>
      </c>
      <c r="I1359" s="9" t="inlineStr">
        <is>
          <t>Depth (no MLB IP)</t>
        </is>
      </c>
      <c r="J1359" s="18" t="inlineStr">
        <is>
          <t>Opening Day</t>
        </is>
      </c>
      <c r="K1359" s="11">
        <f>IFERROR(INDEX(Roles!$B$17:$B$20,MATCH(J1359,Roles!$A$17:$A$20,0)),1)</f>
        <v/>
      </c>
      <c r="L1359" s="19" t="n">
        <v>1</v>
      </c>
      <c r="M1359" s="11" t="n">
        <v>1</v>
      </c>
      <c r="N1359" s="19" t="n"/>
      <c r="O1359" s="19" t="n"/>
      <c r="P1359" s="19" t="n"/>
      <c r="Q1359" s="19" t="n"/>
      <c r="R1359" s="19" t="n"/>
      <c r="S1359" s="19" t="n"/>
      <c r="T1359" s="19" t="n"/>
      <c r="U1359" s="19" t="n"/>
      <c r="V1359" s="19" t="n"/>
      <c r="W1359" s="19" t="n"/>
      <c r="X1359" s="19" t="n"/>
      <c r="Y1359" s="19" t="n">
        <v>1</v>
      </c>
      <c r="Z1359" s="13">
        <f>SUMPRODUCT(N1359:Y1359,$N$2:$Y$2)*$K1359*$L1359*$M1359</f>
        <v/>
      </c>
      <c r="AA1359" s="14">
        <f>SUM(N1359:Y1359)</f>
        <v/>
      </c>
      <c r="AB1359" s="13">
        <f>SUMPRODUCT(N1359:Y1359,$N$3:$Y$3)*$K1359*$L1359*$M1359</f>
        <v/>
      </c>
      <c r="AC1359" s="13">
        <f>SUMPRODUCT(N1359:Y1359,$N$4:$Y$4)*$K1359*$L1359*$M1359</f>
        <v/>
      </c>
      <c r="AD1359" s="15" t="n">
        <v>3</v>
      </c>
      <c r="AE1359" s="11" t="n">
        <v>1.011296296296296</v>
      </c>
      <c r="AF1359" s="16">
        <f>SUMPRODUCT(N1359:Y1359,$N$5:$Y$5)*$K1359*$L1359*$M1359</f>
        <v/>
      </c>
      <c r="AG1359" s="16">
        <f>SUMPRODUCT(N1359:Y1359,$N$6:$Y$6)*$K1359*$L1359*$M1359</f>
        <v/>
      </c>
      <c r="AH1359" s="20" t="n"/>
    </row>
    <row r="1360">
      <c r="A1360" s="9" t="n">
        <v>701726</v>
      </c>
      <c r="B1360" s="9" t="inlineStr">
        <is>
          <t>Merritt Beeker</t>
        </is>
      </c>
      <c r="C1360" s="9" t="inlineStr">
        <is>
          <t>WSH</t>
        </is>
      </c>
      <c r="D1360" s="9" t="n">
        <v>25</v>
      </c>
      <c r="E1360" s="18" t="inlineStr">
        <is>
          <t>L</t>
        </is>
      </c>
      <c r="F1360" s="18" t="n"/>
      <c r="G1360" s="9" t="n">
        <v>8.943999999999999</v>
      </c>
      <c r="H1360" s="9" t="n">
        <v>8.943999999999999</v>
      </c>
      <c r="I1360" s="9" t="inlineStr">
        <is>
          <t>Depth (no MLB IP)</t>
        </is>
      </c>
      <c r="J1360" s="18" t="inlineStr">
        <is>
          <t>Opening Day</t>
        </is>
      </c>
      <c r="K1360" s="11">
        <f>IFERROR(INDEX(Roles!$B$17:$B$20,MATCH(J1360,Roles!$A$17:$A$20,0)),1)</f>
        <v/>
      </c>
      <c r="L1360" s="19" t="n">
        <v>1</v>
      </c>
      <c r="M1360" s="11" t="n">
        <v>1</v>
      </c>
      <c r="N1360" s="19" t="n"/>
      <c r="O1360" s="19" t="n"/>
      <c r="P1360" s="19" t="n"/>
      <c r="Q1360" s="19" t="n"/>
      <c r="R1360" s="19" t="n"/>
      <c r="S1360" s="19" t="n"/>
      <c r="T1360" s="19" t="n"/>
      <c r="U1360" s="19" t="n"/>
      <c r="V1360" s="19" t="n"/>
      <c r="W1360" s="19" t="n"/>
      <c r="X1360" s="19" t="n"/>
      <c r="Y1360" s="19" t="n">
        <v>1</v>
      </c>
      <c r="Z1360" s="13">
        <f>SUMPRODUCT(N1360:Y1360,$N$2:$Y$2)*$K1360*$L1360*$M1360</f>
        <v/>
      </c>
      <c r="AA1360" s="14">
        <f>SUM(N1360:Y1360)</f>
        <v/>
      </c>
      <c r="AB1360" s="13">
        <f>SUMPRODUCT(N1360:Y1360,$N$3:$Y$3)*$K1360*$L1360*$M1360</f>
        <v/>
      </c>
      <c r="AC1360" s="13">
        <f>SUMPRODUCT(N1360:Y1360,$N$4:$Y$4)*$K1360*$L1360*$M1360</f>
        <v/>
      </c>
      <c r="AD1360" s="15" t="n">
        <v>3</v>
      </c>
      <c r="AE1360" s="11" t="n">
        <v>1.011296296296296</v>
      </c>
      <c r="AF1360" s="16">
        <f>SUMPRODUCT(N1360:Y1360,$N$5:$Y$5)*$K1360*$L1360*$M1360</f>
        <v/>
      </c>
      <c r="AG1360" s="16">
        <f>SUMPRODUCT(N1360:Y1360,$N$6:$Y$6)*$K1360*$L1360*$M1360</f>
        <v/>
      </c>
      <c r="AH1360" s="20" t="n"/>
    </row>
    <row r="1361">
      <c r="A1361" s="9" t="n">
        <v>702909</v>
      </c>
      <c r="B1361" s="9" t="inlineStr">
        <is>
          <t>Brian Arias</t>
        </is>
      </c>
      <c r="C1361" s="9" t="inlineStr">
        <is>
          <t>NYY</t>
        </is>
      </c>
      <c r="D1361" s="9" t="n">
        <v>25</v>
      </c>
      <c r="E1361" s="18" t="inlineStr">
        <is>
          <t>R</t>
        </is>
      </c>
      <c r="F1361" s="18" t="n"/>
      <c r="G1361" s="9" t="n">
        <v>8.943999999999999</v>
      </c>
      <c r="H1361" s="9" t="n">
        <v>8.943999999999999</v>
      </c>
      <c r="I1361" s="9" t="inlineStr">
        <is>
          <t>Depth (no MLB IP)</t>
        </is>
      </c>
      <c r="J1361" s="18" t="inlineStr">
        <is>
          <t>Opening Day</t>
        </is>
      </c>
      <c r="K1361" s="11">
        <f>IFERROR(INDEX(Roles!$B$17:$B$20,MATCH(J1361,Roles!$A$17:$A$20,0)),1)</f>
        <v/>
      </c>
      <c r="L1361" s="19" t="n">
        <v>1</v>
      </c>
      <c r="M1361" s="11" t="n">
        <v>1</v>
      </c>
      <c r="N1361" s="19" t="n"/>
      <c r="O1361" s="19" t="n"/>
      <c r="P1361" s="19" t="n"/>
      <c r="Q1361" s="19" t="n"/>
      <c r="R1361" s="19" t="n"/>
      <c r="S1361" s="19" t="n"/>
      <c r="T1361" s="19" t="n"/>
      <c r="U1361" s="19" t="n"/>
      <c r="V1361" s="19" t="n"/>
      <c r="W1361" s="19" t="n"/>
      <c r="X1361" s="19" t="n"/>
      <c r="Y1361" s="19" t="n">
        <v>1</v>
      </c>
      <c r="Z1361" s="13">
        <f>SUMPRODUCT(N1361:Y1361,$N$2:$Y$2)*$K1361*$L1361*$M1361</f>
        <v/>
      </c>
      <c r="AA1361" s="14">
        <f>SUM(N1361:Y1361)</f>
        <v/>
      </c>
      <c r="AB1361" s="13">
        <f>SUMPRODUCT(N1361:Y1361,$N$3:$Y$3)*$K1361*$L1361*$M1361</f>
        <v/>
      </c>
      <c r="AC1361" s="13">
        <f>SUMPRODUCT(N1361:Y1361,$N$4:$Y$4)*$K1361*$L1361*$M1361</f>
        <v/>
      </c>
      <c r="AD1361" s="15" t="n">
        <v>3</v>
      </c>
      <c r="AE1361" s="11" t="n">
        <v>1.011296296296296</v>
      </c>
      <c r="AF1361" s="16">
        <f>SUMPRODUCT(N1361:Y1361,$N$5:$Y$5)*$K1361*$L1361*$M1361</f>
        <v/>
      </c>
      <c r="AG1361" s="16">
        <f>SUMPRODUCT(N1361:Y1361,$N$6:$Y$6)*$K1361*$L1361*$M1361</f>
        <v/>
      </c>
      <c r="AH1361" s="20" t="n"/>
    </row>
    <row r="1362">
      <c r="A1362" s="9" t="n">
        <v>827625</v>
      </c>
      <c r="B1362" s="9" t="inlineStr">
        <is>
          <t>Michael Carpenter</t>
        </is>
      </c>
      <c r="C1362" s="9" t="inlineStr">
        <is>
          <t>MIN</t>
        </is>
      </c>
      <c r="D1362" s="9" t="n">
        <v>25</v>
      </c>
      <c r="E1362" s="18" t="inlineStr">
        <is>
          <t>L</t>
        </is>
      </c>
      <c r="F1362" s="18" t="n"/>
      <c r="G1362" s="9" t="n">
        <v>8.886666666666668</v>
      </c>
      <c r="H1362" s="9" t="n">
        <v>8.886666666666668</v>
      </c>
      <c r="I1362" s="9" t="inlineStr">
        <is>
          <t>Depth (no MLB IP)</t>
        </is>
      </c>
      <c r="J1362" s="18" t="inlineStr">
        <is>
          <t>Opening Day</t>
        </is>
      </c>
      <c r="K1362" s="11">
        <f>IFERROR(INDEX(Roles!$B$17:$B$20,MATCH(J1362,Roles!$A$17:$A$20,0)),1)</f>
        <v/>
      </c>
      <c r="L1362" s="19" t="n">
        <v>1</v>
      </c>
      <c r="M1362" s="11" t="n">
        <v>1</v>
      </c>
      <c r="N1362" s="19" t="n"/>
      <c r="O1362" s="19" t="n"/>
      <c r="P1362" s="19" t="n"/>
      <c r="Q1362" s="19" t="n"/>
      <c r="R1362" s="19" t="n"/>
      <c r="S1362" s="19" t="n"/>
      <c r="T1362" s="19" t="n"/>
      <c r="U1362" s="19" t="n"/>
      <c r="V1362" s="19" t="n"/>
      <c r="W1362" s="19" t="n"/>
      <c r="X1362" s="19" t="n"/>
      <c r="Y1362" s="19" t="n">
        <v>1</v>
      </c>
      <c r="Z1362" s="13">
        <f>SUMPRODUCT(N1362:Y1362,$N$2:$Y$2)*$K1362*$L1362*$M1362</f>
        <v/>
      </c>
      <c r="AA1362" s="14">
        <f>SUM(N1362:Y1362)</f>
        <v/>
      </c>
      <c r="AB1362" s="13">
        <f>SUMPRODUCT(N1362:Y1362,$N$3:$Y$3)*$K1362*$L1362*$M1362</f>
        <v/>
      </c>
      <c r="AC1362" s="13">
        <f>SUMPRODUCT(N1362:Y1362,$N$4:$Y$4)*$K1362*$L1362*$M1362</f>
        <v/>
      </c>
      <c r="AD1362" s="15" t="n">
        <v>3</v>
      </c>
      <c r="AE1362" s="11" t="n">
        <v>1.011296296296296</v>
      </c>
      <c r="AF1362" s="16">
        <f>SUMPRODUCT(N1362:Y1362,$N$5:$Y$5)*$K1362*$L1362*$M1362</f>
        <v/>
      </c>
      <c r="AG1362" s="16">
        <f>SUMPRODUCT(N1362:Y1362,$N$6:$Y$6)*$K1362*$L1362*$M1362</f>
        <v/>
      </c>
      <c r="AH1362" s="20" t="n"/>
    </row>
    <row r="1363">
      <c r="A1363" s="9" t="n">
        <v>832399</v>
      </c>
      <c r="B1363" s="9" t="inlineStr">
        <is>
          <t>Gensi Angeles</t>
        </is>
      </c>
      <c r="C1363" s="9" t="inlineStr">
        <is>
          <t>ATL</t>
        </is>
      </c>
      <c r="D1363" s="9" t="n">
        <v>25</v>
      </c>
      <c r="E1363" s="18" t="inlineStr">
        <is>
          <t>R</t>
        </is>
      </c>
      <c r="F1363" s="18" t="n"/>
      <c r="G1363" s="9" t="n">
        <v>8.771999999999998</v>
      </c>
      <c r="H1363" s="9" t="n">
        <v>8.771999999999998</v>
      </c>
      <c r="I1363" s="9" t="inlineStr">
        <is>
          <t>Depth (no MLB IP)</t>
        </is>
      </c>
      <c r="J1363" s="18" t="inlineStr">
        <is>
          <t>Opening Day</t>
        </is>
      </c>
      <c r="K1363" s="11">
        <f>IFERROR(INDEX(Roles!$B$17:$B$20,MATCH(J1363,Roles!$A$17:$A$20,0)),1)</f>
        <v/>
      </c>
      <c r="L1363" s="19" t="n">
        <v>1</v>
      </c>
      <c r="M1363" s="11" t="n">
        <v>1</v>
      </c>
      <c r="N1363" s="19" t="n"/>
      <c r="O1363" s="19" t="n"/>
      <c r="P1363" s="19" t="n"/>
      <c r="Q1363" s="19" t="n"/>
      <c r="R1363" s="19" t="n"/>
      <c r="S1363" s="19" t="n"/>
      <c r="T1363" s="19" t="n"/>
      <c r="U1363" s="19" t="n"/>
      <c r="V1363" s="19" t="n"/>
      <c r="W1363" s="19" t="n"/>
      <c r="X1363" s="19" t="n"/>
      <c r="Y1363" s="19" t="n">
        <v>1</v>
      </c>
      <c r="Z1363" s="13">
        <f>SUMPRODUCT(N1363:Y1363,$N$2:$Y$2)*$K1363*$L1363*$M1363</f>
        <v/>
      </c>
      <c r="AA1363" s="14">
        <f>SUM(N1363:Y1363)</f>
        <v/>
      </c>
      <c r="AB1363" s="13">
        <f>SUMPRODUCT(N1363:Y1363,$N$3:$Y$3)*$K1363*$L1363*$M1363</f>
        <v/>
      </c>
      <c r="AC1363" s="13">
        <f>SUMPRODUCT(N1363:Y1363,$N$4:$Y$4)*$K1363*$L1363*$M1363</f>
        <v/>
      </c>
      <c r="AD1363" s="15" t="n">
        <v>3</v>
      </c>
      <c r="AE1363" s="11" t="n">
        <v>1.011296296296296</v>
      </c>
      <c r="AF1363" s="16">
        <f>SUMPRODUCT(N1363:Y1363,$N$5:$Y$5)*$K1363*$L1363*$M1363</f>
        <v/>
      </c>
      <c r="AG1363" s="16">
        <f>SUMPRODUCT(N1363:Y1363,$N$6:$Y$6)*$K1363*$L1363*$M1363</f>
        <v/>
      </c>
      <c r="AH1363" s="20" t="n"/>
    </row>
    <row r="1364">
      <c r="A1364" s="9" t="n">
        <v>682754</v>
      </c>
      <c r="B1364" s="9" t="inlineStr">
        <is>
          <t>Teofilo Mendez</t>
        </is>
      </c>
      <c r="C1364" s="9" t="inlineStr">
        <is>
          <t>ARI</t>
        </is>
      </c>
      <c r="D1364" s="9" t="n">
        <v>25</v>
      </c>
      <c r="E1364" s="18" t="inlineStr">
        <is>
          <t>R</t>
        </is>
      </c>
      <c r="F1364" s="18" t="n"/>
      <c r="G1364" s="9" t="n">
        <v>8.886666666666668</v>
      </c>
      <c r="H1364" s="9" t="n">
        <v>8.886666666666668</v>
      </c>
      <c r="I1364" s="9" t="inlineStr">
        <is>
          <t>Depth (no MLB IP)</t>
        </is>
      </c>
      <c r="J1364" s="18" t="inlineStr">
        <is>
          <t>Opening Day</t>
        </is>
      </c>
      <c r="K1364" s="11">
        <f>IFERROR(INDEX(Roles!$B$17:$B$20,MATCH(J1364,Roles!$A$17:$A$20,0)),1)</f>
        <v/>
      </c>
      <c r="L1364" s="19" t="n">
        <v>1</v>
      </c>
      <c r="M1364" s="11" t="n">
        <v>1</v>
      </c>
      <c r="N1364" s="19" t="n"/>
      <c r="O1364" s="19" t="n"/>
      <c r="P1364" s="19" t="n"/>
      <c r="Q1364" s="19" t="n"/>
      <c r="R1364" s="19" t="n"/>
      <c r="S1364" s="19" t="n"/>
      <c r="T1364" s="19" t="n"/>
      <c r="U1364" s="19" t="n"/>
      <c r="V1364" s="19" t="n"/>
      <c r="W1364" s="19" t="n"/>
      <c r="X1364" s="19" t="n"/>
      <c r="Y1364" s="19" t="n">
        <v>1</v>
      </c>
      <c r="Z1364" s="13">
        <f>SUMPRODUCT(N1364:Y1364,$N$2:$Y$2)*$K1364*$L1364*$M1364</f>
        <v/>
      </c>
      <c r="AA1364" s="14">
        <f>SUM(N1364:Y1364)</f>
        <v/>
      </c>
      <c r="AB1364" s="13">
        <f>SUMPRODUCT(N1364:Y1364,$N$3:$Y$3)*$K1364*$L1364*$M1364</f>
        <v/>
      </c>
      <c r="AC1364" s="13">
        <f>SUMPRODUCT(N1364:Y1364,$N$4:$Y$4)*$K1364*$L1364*$M1364</f>
        <v/>
      </c>
      <c r="AD1364" s="15" t="n">
        <v>3</v>
      </c>
      <c r="AE1364" s="11" t="n">
        <v>1.011296296296296</v>
      </c>
      <c r="AF1364" s="16">
        <f>SUMPRODUCT(N1364:Y1364,$N$5:$Y$5)*$K1364*$L1364*$M1364</f>
        <v/>
      </c>
      <c r="AG1364" s="16">
        <f>SUMPRODUCT(N1364:Y1364,$N$6:$Y$6)*$K1364*$L1364*$M1364</f>
        <v/>
      </c>
      <c r="AH1364" s="20" t="n"/>
    </row>
    <row r="1365">
      <c r="A1365" s="9" t="n">
        <v>802392</v>
      </c>
      <c r="B1365" s="9" t="inlineStr">
        <is>
          <t>Carlos Medina</t>
        </is>
      </c>
      <c r="C1365" s="9" t="inlineStr">
        <is>
          <t>SD</t>
        </is>
      </c>
      <c r="D1365" s="9" t="n">
        <v>25</v>
      </c>
      <c r="E1365" s="18" t="inlineStr">
        <is>
          <t>R</t>
        </is>
      </c>
      <c r="F1365" s="18" t="n"/>
      <c r="G1365" s="9" t="n">
        <v>9.029999999999998</v>
      </c>
      <c r="H1365" s="9" t="n">
        <v>9.029999999999998</v>
      </c>
      <c r="I1365" s="9" t="inlineStr">
        <is>
          <t>Depth (no MLB IP)</t>
        </is>
      </c>
      <c r="J1365" s="18" t="inlineStr">
        <is>
          <t>Opening Day</t>
        </is>
      </c>
      <c r="K1365" s="11">
        <f>IFERROR(INDEX(Roles!$B$17:$B$20,MATCH(J1365,Roles!$A$17:$A$20,0)),1)</f>
        <v/>
      </c>
      <c r="L1365" s="19" t="n">
        <v>1</v>
      </c>
      <c r="M1365" s="11" t="n">
        <v>1</v>
      </c>
      <c r="N1365" s="19" t="n"/>
      <c r="O1365" s="19" t="n"/>
      <c r="P1365" s="19" t="n"/>
      <c r="Q1365" s="19" t="n"/>
      <c r="R1365" s="19" t="n"/>
      <c r="S1365" s="19" t="n"/>
      <c r="T1365" s="19" t="n"/>
      <c r="U1365" s="19" t="n"/>
      <c r="V1365" s="19" t="n"/>
      <c r="W1365" s="19" t="n"/>
      <c r="X1365" s="19" t="n"/>
      <c r="Y1365" s="19" t="n">
        <v>1</v>
      </c>
      <c r="Z1365" s="13">
        <f>SUMPRODUCT(N1365:Y1365,$N$2:$Y$2)*$K1365*$L1365*$M1365</f>
        <v/>
      </c>
      <c r="AA1365" s="14">
        <f>SUM(N1365:Y1365)</f>
        <v/>
      </c>
      <c r="AB1365" s="13">
        <f>SUMPRODUCT(N1365:Y1365,$N$3:$Y$3)*$K1365*$L1365*$M1365</f>
        <v/>
      </c>
      <c r="AC1365" s="13">
        <f>SUMPRODUCT(N1365:Y1365,$N$4:$Y$4)*$K1365*$L1365*$M1365</f>
        <v/>
      </c>
      <c r="AD1365" s="15" t="n">
        <v>3</v>
      </c>
      <c r="AE1365" s="11" t="n">
        <v>1.011296296296296</v>
      </c>
      <c r="AF1365" s="16">
        <f>SUMPRODUCT(N1365:Y1365,$N$5:$Y$5)*$K1365*$L1365*$M1365</f>
        <v/>
      </c>
      <c r="AG1365" s="16">
        <f>SUMPRODUCT(N1365:Y1365,$N$6:$Y$6)*$K1365*$L1365*$M1365</f>
        <v/>
      </c>
      <c r="AH1365" s="20" t="n"/>
    </row>
    <row r="1366">
      <c r="A1366" s="9" t="n">
        <v>827603</v>
      </c>
      <c r="B1366" s="9" t="inlineStr">
        <is>
          <t>Jayden Voelker</t>
        </is>
      </c>
      <c r="C1366" s="9" t="inlineStr">
        <is>
          <t>TB</t>
        </is>
      </c>
      <c r="D1366" s="9" t="n">
        <v>25</v>
      </c>
      <c r="E1366" s="18" t="inlineStr">
        <is>
          <t>R</t>
        </is>
      </c>
      <c r="F1366" s="18" t="n"/>
      <c r="G1366" s="9" t="n">
        <v>8.943999999999999</v>
      </c>
      <c r="H1366" s="9" t="n">
        <v>8.943999999999999</v>
      </c>
      <c r="I1366" s="9" t="inlineStr">
        <is>
          <t>Depth (no MLB IP)</t>
        </is>
      </c>
      <c r="J1366" s="18" t="inlineStr">
        <is>
          <t>Opening Day</t>
        </is>
      </c>
      <c r="K1366" s="11">
        <f>IFERROR(INDEX(Roles!$B$17:$B$20,MATCH(J1366,Roles!$A$17:$A$20,0)),1)</f>
        <v/>
      </c>
      <c r="L1366" s="19" t="n">
        <v>1</v>
      </c>
      <c r="M1366" s="11" t="n">
        <v>1</v>
      </c>
      <c r="N1366" s="19" t="n"/>
      <c r="O1366" s="19" t="n"/>
      <c r="P1366" s="19" t="n"/>
      <c r="Q1366" s="19" t="n"/>
      <c r="R1366" s="19" t="n"/>
      <c r="S1366" s="19" t="n"/>
      <c r="T1366" s="19" t="n"/>
      <c r="U1366" s="19" t="n"/>
      <c r="V1366" s="19" t="n"/>
      <c r="W1366" s="19" t="n"/>
      <c r="X1366" s="19" t="n"/>
      <c r="Y1366" s="19" t="n">
        <v>1</v>
      </c>
      <c r="Z1366" s="13">
        <f>SUMPRODUCT(N1366:Y1366,$N$2:$Y$2)*$K1366*$L1366*$M1366</f>
        <v/>
      </c>
      <c r="AA1366" s="14">
        <f>SUM(N1366:Y1366)</f>
        <v/>
      </c>
      <c r="AB1366" s="13">
        <f>SUMPRODUCT(N1366:Y1366,$N$3:$Y$3)*$K1366*$L1366*$M1366</f>
        <v/>
      </c>
      <c r="AC1366" s="13">
        <f>SUMPRODUCT(N1366:Y1366,$N$4:$Y$4)*$K1366*$L1366*$M1366</f>
        <v/>
      </c>
      <c r="AD1366" s="15" t="n">
        <v>3</v>
      </c>
      <c r="AE1366" s="11" t="n">
        <v>1.011296296296296</v>
      </c>
      <c r="AF1366" s="16">
        <f>SUMPRODUCT(N1366:Y1366,$N$5:$Y$5)*$K1366*$L1366*$M1366</f>
        <v/>
      </c>
      <c r="AG1366" s="16">
        <f>SUMPRODUCT(N1366:Y1366,$N$6:$Y$6)*$K1366*$L1366*$M1366</f>
        <v/>
      </c>
      <c r="AH1366" s="20" t="n"/>
    </row>
    <row r="1367">
      <c r="A1367" s="9" t="n">
        <v>701432</v>
      </c>
      <c r="B1367" s="9" t="inlineStr">
        <is>
          <t>Orlando Gonzalez</t>
        </is>
      </c>
      <c r="C1367" s="9" t="inlineStr">
        <is>
          <t>PHI</t>
        </is>
      </c>
      <c r="D1367" s="9" t="n">
        <v>25</v>
      </c>
      <c r="E1367" s="18" t="inlineStr">
        <is>
          <t>R</t>
        </is>
      </c>
      <c r="F1367" s="18" t="n"/>
      <c r="G1367" s="9" t="n">
        <v>9.116</v>
      </c>
      <c r="H1367" s="9" t="n">
        <v>9.116</v>
      </c>
      <c r="I1367" s="9" t="inlineStr">
        <is>
          <t>Depth (no MLB IP)</t>
        </is>
      </c>
      <c r="J1367" s="18" t="inlineStr">
        <is>
          <t>Opening Day</t>
        </is>
      </c>
      <c r="K1367" s="11">
        <f>IFERROR(INDEX(Roles!$B$17:$B$20,MATCH(J1367,Roles!$A$17:$A$20,0)),1)</f>
        <v/>
      </c>
      <c r="L1367" s="19" t="n">
        <v>1</v>
      </c>
      <c r="M1367" s="11" t="n">
        <v>1</v>
      </c>
      <c r="N1367" s="19" t="n"/>
      <c r="O1367" s="19" t="n"/>
      <c r="P1367" s="19" t="n"/>
      <c r="Q1367" s="19" t="n"/>
      <c r="R1367" s="19" t="n"/>
      <c r="S1367" s="19" t="n"/>
      <c r="T1367" s="19" t="n"/>
      <c r="U1367" s="19" t="n"/>
      <c r="V1367" s="19" t="n"/>
      <c r="W1367" s="19" t="n"/>
      <c r="X1367" s="19" t="n"/>
      <c r="Y1367" s="19" t="n">
        <v>1</v>
      </c>
      <c r="Z1367" s="13">
        <f>SUMPRODUCT(N1367:Y1367,$N$2:$Y$2)*$K1367*$L1367*$M1367</f>
        <v/>
      </c>
      <c r="AA1367" s="14">
        <f>SUM(N1367:Y1367)</f>
        <v/>
      </c>
      <c r="AB1367" s="13">
        <f>SUMPRODUCT(N1367:Y1367,$N$3:$Y$3)*$K1367*$L1367*$M1367</f>
        <v/>
      </c>
      <c r="AC1367" s="13">
        <f>SUMPRODUCT(N1367:Y1367,$N$4:$Y$4)*$K1367*$L1367*$M1367</f>
        <v/>
      </c>
      <c r="AD1367" s="15" t="n">
        <v>3</v>
      </c>
      <c r="AE1367" s="11" t="n">
        <v>1.011296296296296</v>
      </c>
      <c r="AF1367" s="16">
        <f>SUMPRODUCT(N1367:Y1367,$N$5:$Y$5)*$K1367*$L1367*$M1367</f>
        <v/>
      </c>
      <c r="AG1367" s="16">
        <f>SUMPRODUCT(N1367:Y1367,$N$6:$Y$6)*$K1367*$L1367*$M1367</f>
        <v/>
      </c>
      <c r="AH1367" s="20" t="n"/>
    </row>
    <row r="1368">
      <c r="A1368" s="9" t="n">
        <v>835375</v>
      </c>
      <c r="B1368" s="9" t="inlineStr">
        <is>
          <t>Jacob Johnson</t>
        </is>
      </c>
      <c r="C1368" s="9" t="inlineStr">
        <is>
          <t>TEX</t>
        </is>
      </c>
      <c r="D1368" s="9" t="n">
        <v>25</v>
      </c>
      <c r="E1368" s="18" t="inlineStr">
        <is>
          <t>R</t>
        </is>
      </c>
      <c r="F1368" s="18" t="n"/>
      <c r="G1368" s="9" t="n">
        <v>9.116</v>
      </c>
      <c r="H1368" s="9" t="n">
        <v>9.116</v>
      </c>
      <c r="I1368" s="9" t="inlineStr">
        <is>
          <t>Depth (no MLB IP)</t>
        </is>
      </c>
      <c r="J1368" s="18" t="inlineStr">
        <is>
          <t>Opening Day</t>
        </is>
      </c>
      <c r="K1368" s="11">
        <f>IFERROR(INDEX(Roles!$B$17:$B$20,MATCH(J1368,Roles!$A$17:$A$20,0)),1)</f>
        <v/>
      </c>
      <c r="L1368" s="19" t="n">
        <v>1</v>
      </c>
      <c r="M1368" s="11" t="n">
        <v>1</v>
      </c>
      <c r="N1368" s="19" t="n"/>
      <c r="O1368" s="19" t="n"/>
      <c r="P1368" s="19" t="n"/>
      <c r="Q1368" s="19" t="n"/>
      <c r="R1368" s="19" t="n"/>
      <c r="S1368" s="19" t="n"/>
      <c r="T1368" s="19" t="n"/>
      <c r="U1368" s="19" t="n"/>
      <c r="V1368" s="19" t="n"/>
      <c r="W1368" s="19" t="n"/>
      <c r="X1368" s="19" t="n"/>
      <c r="Y1368" s="19" t="n">
        <v>1</v>
      </c>
      <c r="Z1368" s="13">
        <f>SUMPRODUCT(N1368:Y1368,$N$2:$Y$2)*$K1368*$L1368*$M1368</f>
        <v/>
      </c>
      <c r="AA1368" s="14">
        <f>SUM(N1368:Y1368)</f>
        <v/>
      </c>
      <c r="AB1368" s="13">
        <f>SUMPRODUCT(N1368:Y1368,$N$3:$Y$3)*$K1368*$L1368*$M1368</f>
        <v/>
      </c>
      <c r="AC1368" s="13">
        <f>SUMPRODUCT(N1368:Y1368,$N$4:$Y$4)*$K1368*$L1368*$M1368</f>
        <v/>
      </c>
      <c r="AD1368" s="15" t="n">
        <v>3</v>
      </c>
      <c r="AE1368" s="11" t="n">
        <v>1.011296296296296</v>
      </c>
      <c r="AF1368" s="16">
        <f>SUMPRODUCT(N1368:Y1368,$N$5:$Y$5)*$K1368*$L1368*$M1368</f>
        <v/>
      </c>
      <c r="AG1368" s="16">
        <f>SUMPRODUCT(N1368:Y1368,$N$6:$Y$6)*$K1368*$L1368*$M1368</f>
        <v/>
      </c>
      <c r="AH1368" s="20" t="n"/>
    </row>
    <row r="1369">
      <c r="A1369" s="9" t="n">
        <v>804397</v>
      </c>
      <c r="B1369" s="9" t="inlineStr">
        <is>
          <t>Anthony Karoly</t>
        </is>
      </c>
      <c r="C1369" s="9" t="inlineStr">
        <is>
          <t>SEA</t>
        </is>
      </c>
      <c r="D1369" s="9" t="n">
        <v>25</v>
      </c>
      <c r="E1369" s="18" t="inlineStr">
        <is>
          <t>R</t>
        </is>
      </c>
      <c r="F1369" s="18" t="n"/>
      <c r="G1369" s="9" t="n">
        <v>9.116</v>
      </c>
      <c r="H1369" s="9" t="n">
        <v>9.116</v>
      </c>
      <c r="I1369" s="9" t="inlineStr">
        <is>
          <t>Depth (no MLB IP)</t>
        </is>
      </c>
      <c r="J1369" s="18" t="inlineStr">
        <is>
          <t>Opening Day</t>
        </is>
      </c>
      <c r="K1369" s="11">
        <f>IFERROR(INDEX(Roles!$B$17:$B$20,MATCH(J1369,Roles!$A$17:$A$20,0)),1)</f>
        <v/>
      </c>
      <c r="L1369" s="19" t="n">
        <v>1</v>
      </c>
      <c r="M1369" s="11" t="n">
        <v>1</v>
      </c>
      <c r="N1369" s="19" t="n"/>
      <c r="O1369" s="19" t="n"/>
      <c r="P1369" s="19" t="n"/>
      <c r="Q1369" s="19" t="n"/>
      <c r="R1369" s="19" t="n"/>
      <c r="S1369" s="19" t="n"/>
      <c r="T1369" s="19" t="n"/>
      <c r="U1369" s="19" t="n"/>
      <c r="V1369" s="19" t="n"/>
      <c r="W1369" s="19" t="n"/>
      <c r="X1369" s="19" t="n"/>
      <c r="Y1369" s="19" t="n">
        <v>1</v>
      </c>
      <c r="Z1369" s="13">
        <f>SUMPRODUCT(N1369:Y1369,$N$2:$Y$2)*$K1369*$L1369*$M1369</f>
        <v/>
      </c>
      <c r="AA1369" s="14">
        <f>SUM(N1369:Y1369)</f>
        <v/>
      </c>
      <c r="AB1369" s="13">
        <f>SUMPRODUCT(N1369:Y1369,$N$3:$Y$3)*$K1369*$L1369*$M1369</f>
        <v/>
      </c>
      <c r="AC1369" s="13">
        <f>SUMPRODUCT(N1369:Y1369,$N$4:$Y$4)*$K1369*$L1369*$M1369</f>
        <v/>
      </c>
      <c r="AD1369" s="15" t="n">
        <v>3</v>
      </c>
      <c r="AE1369" s="11" t="n">
        <v>1.011296296296296</v>
      </c>
      <c r="AF1369" s="16">
        <f>SUMPRODUCT(N1369:Y1369,$N$5:$Y$5)*$K1369*$L1369*$M1369</f>
        <v/>
      </c>
      <c r="AG1369" s="16">
        <f>SUMPRODUCT(N1369:Y1369,$N$6:$Y$6)*$K1369*$L1369*$M1369</f>
        <v/>
      </c>
      <c r="AH1369" s="20" t="n"/>
    </row>
    <row r="1370">
      <c r="A1370" s="9" t="n">
        <v>702568</v>
      </c>
      <c r="B1370" s="9" t="inlineStr">
        <is>
          <t>Mason Morris</t>
        </is>
      </c>
      <c r="C1370" s="9" t="inlineStr">
        <is>
          <t>CIN</t>
        </is>
      </c>
      <c r="D1370" s="9" t="n">
        <v>25</v>
      </c>
      <c r="E1370" s="18" t="inlineStr">
        <is>
          <t>R</t>
        </is>
      </c>
      <c r="F1370" s="18" t="n"/>
      <c r="G1370" s="9" t="n">
        <v>9.173333333333332</v>
      </c>
      <c r="H1370" s="9" t="n">
        <v>9.173333333333332</v>
      </c>
      <c r="I1370" s="9" t="inlineStr">
        <is>
          <t>Depth (no MLB IP)</t>
        </is>
      </c>
      <c r="J1370" s="18" t="inlineStr">
        <is>
          <t>Opening Day</t>
        </is>
      </c>
      <c r="K1370" s="11">
        <f>IFERROR(INDEX(Roles!$B$17:$B$20,MATCH(J1370,Roles!$A$17:$A$20,0)),1)</f>
        <v/>
      </c>
      <c r="L1370" s="19" t="n">
        <v>1</v>
      </c>
      <c r="M1370" s="11" t="n">
        <v>1</v>
      </c>
      <c r="N1370" s="19" t="n"/>
      <c r="O1370" s="19" t="n"/>
      <c r="P1370" s="19" t="n"/>
      <c r="Q1370" s="19" t="n"/>
      <c r="R1370" s="19" t="n"/>
      <c r="S1370" s="19" t="n"/>
      <c r="T1370" s="19" t="n"/>
      <c r="U1370" s="19" t="n"/>
      <c r="V1370" s="19" t="n"/>
      <c r="W1370" s="19" t="n"/>
      <c r="X1370" s="19" t="n"/>
      <c r="Y1370" s="19" t="n">
        <v>1</v>
      </c>
      <c r="Z1370" s="13">
        <f>SUMPRODUCT(N1370:Y1370,$N$2:$Y$2)*$K1370*$L1370*$M1370</f>
        <v/>
      </c>
      <c r="AA1370" s="14">
        <f>SUM(N1370:Y1370)</f>
        <v/>
      </c>
      <c r="AB1370" s="13">
        <f>SUMPRODUCT(N1370:Y1370,$N$3:$Y$3)*$K1370*$L1370*$M1370</f>
        <v/>
      </c>
      <c r="AC1370" s="13">
        <f>SUMPRODUCT(N1370:Y1370,$N$4:$Y$4)*$K1370*$L1370*$M1370</f>
        <v/>
      </c>
      <c r="AD1370" s="15" t="n">
        <v>3</v>
      </c>
      <c r="AE1370" s="11" t="n">
        <v>1.011296296296296</v>
      </c>
      <c r="AF1370" s="16">
        <f>SUMPRODUCT(N1370:Y1370,$N$5:$Y$5)*$K1370*$L1370*$M1370</f>
        <v/>
      </c>
      <c r="AG1370" s="16">
        <f>SUMPRODUCT(N1370:Y1370,$N$6:$Y$6)*$K1370*$L1370*$M1370</f>
        <v/>
      </c>
      <c r="AH1370" s="20" t="n"/>
    </row>
    <row r="1371">
      <c r="A1371" s="9" t="n">
        <v>828518</v>
      </c>
      <c r="B1371" s="9" t="inlineStr">
        <is>
          <t>Luke Lashutka</t>
        </is>
      </c>
      <c r="C1371" s="9" t="inlineStr">
        <is>
          <t>MIA</t>
        </is>
      </c>
      <c r="D1371" s="9" t="n">
        <v>25</v>
      </c>
      <c r="E1371" s="18" t="inlineStr">
        <is>
          <t>R</t>
        </is>
      </c>
      <c r="F1371" s="18" t="n"/>
      <c r="G1371" s="9" t="n">
        <v>8.886666666666668</v>
      </c>
      <c r="H1371" s="9" t="n">
        <v>8.886666666666668</v>
      </c>
      <c r="I1371" s="9" t="inlineStr">
        <is>
          <t>Depth (no MLB IP)</t>
        </is>
      </c>
      <c r="J1371" s="18" t="inlineStr">
        <is>
          <t>Opening Day</t>
        </is>
      </c>
      <c r="K1371" s="11">
        <f>IFERROR(INDEX(Roles!$B$17:$B$20,MATCH(J1371,Roles!$A$17:$A$20,0)),1)</f>
        <v/>
      </c>
      <c r="L1371" s="19" t="n">
        <v>1</v>
      </c>
      <c r="M1371" s="11" t="n">
        <v>1</v>
      </c>
      <c r="N1371" s="19" t="n"/>
      <c r="O1371" s="19" t="n"/>
      <c r="P1371" s="19" t="n"/>
      <c r="Q1371" s="19" t="n"/>
      <c r="R1371" s="19" t="n"/>
      <c r="S1371" s="19" t="n"/>
      <c r="T1371" s="19" t="n"/>
      <c r="U1371" s="19" t="n"/>
      <c r="V1371" s="19" t="n"/>
      <c r="W1371" s="19" t="n"/>
      <c r="X1371" s="19" t="n"/>
      <c r="Y1371" s="19" t="n">
        <v>1</v>
      </c>
      <c r="Z1371" s="13">
        <f>SUMPRODUCT(N1371:Y1371,$N$2:$Y$2)*$K1371*$L1371*$M1371</f>
        <v/>
      </c>
      <c r="AA1371" s="14">
        <f>SUM(N1371:Y1371)</f>
        <v/>
      </c>
      <c r="AB1371" s="13">
        <f>SUMPRODUCT(N1371:Y1371,$N$3:$Y$3)*$K1371*$L1371*$M1371</f>
        <v/>
      </c>
      <c r="AC1371" s="13">
        <f>SUMPRODUCT(N1371:Y1371,$N$4:$Y$4)*$K1371*$L1371*$M1371</f>
        <v/>
      </c>
      <c r="AD1371" s="15" t="n">
        <v>3</v>
      </c>
      <c r="AE1371" s="11" t="n">
        <v>1.011296296296296</v>
      </c>
      <c r="AF1371" s="16">
        <f>SUMPRODUCT(N1371:Y1371,$N$5:$Y$5)*$K1371*$L1371*$M1371</f>
        <v/>
      </c>
      <c r="AG1371" s="16">
        <f>SUMPRODUCT(N1371:Y1371,$N$6:$Y$6)*$K1371*$L1371*$M1371</f>
        <v/>
      </c>
      <c r="AH1371" s="20" t="n"/>
    </row>
    <row r="1372">
      <c r="A1372" s="9" t="n">
        <v>803068</v>
      </c>
      <c r="B1372" s="9" t="inlineStr">
        <is>
          <t>Chandler Welch</t>
        </is>
      </c>
      <c r="C1372" s="9" t="inlineStr">
        <is>
          <t>MIL</t>
        </is>
      </c>
      <c r="D1372" s="9" t="n">
        <v>25</v>
      </c>
      <c r="E1372" s="18" t="inlineStr">
        <is>
          <t>R</t>
        </is>
      </c>
      <c r="F1372" s="18" t="n"/>
      <c r="G1372" s="9" t="n">
        <v>9.029999999999998</v>
      </c>
      <c r="H1372" s="9" t="n">
        <v>9.029999999999998</v>
      </c>
      <c r="I1372" s="9" t="inlineStr">
        <is>
          <t>Depth (no MLB IP)</t>
        </is>
      </c>
      <c r="J1372" s="18" t="inlineStr">
        <is>
          <t>Opening Day</t>
        </is>
      </c>
      <c r="K1372" s="11">
        <f>IFERROR(INDEX(Roles!$B$17:$B$20,MATCH(J1372,Roles!$A$17:$A$20,0)),1)</f>
        <v/>
      </c>
      <c r="L1372" s="19" t="n">
        <v>1</v>
      </c>
      <c r="M1372" s="11" t="n">
        <v>1</v>
      </c>
      <c r="N1372" s="19" t="n"/>
      <c r="O1372" s="19" t="n"/>
      <c r="P1372" s="19" t="n"/>
      <c r="Q1372" s="19" t="n"/>
      <c r="R1372" s="19" t="n"/>
      <c r="S1372" s="19" t="n"/>
      <c r="T1372" s="19" t="n"/>
      <c r="U1372" s="19" t="n"/>
      <c r="V1372" s="19" t="n"/>
      <c r="W1372" s="19" t="n"/>
      <c r="X1372" s="19" t="n"/>
      <c r="Y1372" s="19" t="n">
        <v>1</v>
      </c>
      <c r="Z1372" s="13">
        <f>SUMPRODUCT(N1372:Y1372,$N$2:$Y$2)*$K1372*$L1372*$M1372</f>
        <v/>
      </c>
      <c r="AA1372" s="14">
        <f>SUM(N1372:Y1372)</f>
        <v/>
      </c>
      <c r="AB1372" s="13">
        <f>SUMPRODUCT(N1372:Y1372,$N$3:$Y$3)*$K1372*$L1372*$M1372</f>
        <v/>
      </c>
      <c r="AC1372" s="13">
        <f>SUMPRODUCT(N1372:Y1372,$N$4:$Y$4)*$K1372*$L1372*$M1372</f>
        <v/>
      </c>
      <c r="AD1372" s="15" t="n">
        <v>3</v>
      </c>
      <c r="AE1372" s="11" t="n">
        <v>1.011296296296296</v>
      </c>
      <c r="AF1372" s="16">
        <f>SUMPRODUCT(N1372:Y1372,$N$5:$Y$5)*$K1372*$L1372*$M1372</f>
        <v/>
      </c>
      <c r="AG1372" s="16">
        <f>SUMPRODUCT(N1372:Y1372,$N$6:$Y$6)*$K1372*$L1372*$M1372</f>
        <v/>
      </c>
      <c r="AH1372" s="20" t="n"/>
    </row>
    <row r="1373">
      <c r="A1373" s="9" t="n">
        <v>802486</v>
      </c>
      <c r="B1373" s="9" t="inlineStr">
        <is>
          <t>Julian Tonghini</t>
        </is>
      </c>
      <c r="C1373" s="9" t="inlineStr">
        <is>
          <t>WSH</t>
        </is>
      </c>
      <c r="D1373" s="9" t="n">
        <v>25</v>
      </c>
      <c r="E1373" s="18" t="inlineStr">
        <is>
          <t>R</t>
        </is>
      </c>
      <c r="F1373" s="18" t="n"/>
      <c r="G1373" s="9" t="n">
        <v>9.173333333333332</v>
      </c>
      <c r="H1373" s="9" t="n">
        <v>9.173333333333332</v>
      </c>
      <c r="I1373" s="9" t="inlineStr">
        <is>
          <t>Depth (no MLB IP)</t>
        </is>
      </c>
      <c r="J1373" s="18" t="inlineStr">
        <is>
          <t>Opening Day</t>
        </is>
      </c>
      <c r="K1373" s="11">
        <f>IFERROR(INDEX(Roles!$B$17:$B$20,MATCH(J1373,Roles!$A$17:$A$20,0)),1)</f>
        <v/>
      </c>
      <c r="L1373" s="19" t="n">
        <v>1</v>
      </c>
      <c r="M1373" s="11" t="n">
        <v>1</v>
      </c>
      <c r="N1373" s="19" t="n"/>
      <c r="O1373" s="19" t="n"/>
      <c r="P1373" s="19" t="n"/>
      <c r="Q1373" s="19" t="n"/>
      <c r="R1373" s="19" t="n"/>
      <c r="S1373" s="19" t="n"/>
      <c r="T1373" s="19" t="n"/>
      <c r="U1373" s="19" t="n"/>
      <c r="V1373" s="19" t="n"/>
      <c r="W1373" s="19" t="n"/>
      <c r="X1373" s="19" t="n"/>
      <c r="Y1373" s="19" t="n">
        <v>1</v>
      </c>
      <c r="Z1373" s="13">
        <f>SUMPRODUCT(N1373:Y1373,$N$2:$Y$2)*$K1373*$L1373*$M1373</f>
        <v/>
      </c>
      <c r="AA1373" s="14">
        <f>SUM(N1373:Y1373)</f>
        <v/>
      </c>
      <c r="AB1373" s="13">
        <f>SUMPRODUCT(N1373:Y1373,$N$3:$Y$3)*$K1373*$L1373*$M1373</f>
        <v/>
      </c>
      <c r="AC1373" s="13">
        <f>SUMPRODUCT(N1373:Y1373,$N$4:$Y$4)*$K1373*$L1373*$M1373</f>
        <v/>
      </c>
      <c r="AD1373" s="15" t="n">
        <v>3</v>
      </c>
      <c r="AE1373" s="11" t="n">
        <v>1.011296296296296</v>
      </c>
      <c r="AF1373" s="16">
        <f>SUMPRODUCT(N1373:Y1373,$N$5:$Y$5)*$K1373*$L1373*$M1373</f>
        <v/>
      </c>
      <c r="AG1373" s="16">
        <f>SUMPRODUCT(N1373:Y1373,$N$6:$Y$6)*$K1373*$L1373*$M1373</f>
        <v/>
      </c>
      <c r="AH1373" s="20" t="n"/>
    </row>
    <row r="1374">
      <c r="A1374" s="9" t="n">
        <v>692165</v>
      </c>
      <c r="B1374" s="9" t="inlineStr">
        <is>
          <t>Tyrelle Chadwick</t>
        </is>
      </c>
      <c r="C1374" s="9" t="inlineStr">
        <is>
          <t>COL</t>
        </is>
      </c>
      <c r="D1374" s="9" t="n">
        <v>25</v>
      </c>
      <c r="E1374" s="18" t="inlineStr">
        <is>
          <t>R</t>
        </is>
      </c>
      <c r="F1374" s="18" t="n"/>
      <c r="G1374" s="9" t="n">
        <v>9.116</v>
      </c>
      <c r="H1374" s="9" t="n">
        <v>9.116</v>
      </c>
      <c r="I1374" s="9" t="inlineStr">
        <is>
          <t>Depth (no MLB IP)</t>
        </is>
      </c>
      <c r="J1374" s="18" t="inlineStr">
        <is>
          <t>Opening Day</t>
        </is>
      </c>
      <c r="K1374" s="11">
        <f>IFERROR(INDEX(Roles!$B$17:$B$20,MATCH(J1374,Roles!$A$17:$A$20,0)),1)</f>
        <v/>
      </c>
      <c r="L1374" s="19" t="n">
        <v>1</v>
      </c>
      <c r="M1374" s="11" t="n">
        <v>1</v>
      </c>
      <c r="N1374" s="19" t="n"/>
      <c r="O1374" s="19" t="n"/>
      <c r="P1374" s="19" t="n"/>
      <c r="Q1374" s="19" t="n"/>
      <c r="R1374" s="19" t="n"/>
      <c r="S1374" s="19" t="n"/>
      <c r="T1374" s="19" t="n"/>
      <c r="U1374" s="19" t="n"/>
      <c r="V1374" s="19" t="n"/>
      <c r="W1374" s="19" t="n"/>
      <c r="X1374" s="19" t="n"/>
      <c r="Y1374" s="19" t="n">
        <v>1</v>
      </c>
      <c r="Z1374" s="13">
        <f>SUMPRODUCT(N1374:Y1374,$N$2:$Y$2)*$K1374*$L1374*$M1374</f>
        <v/>
      </c>
      <c r="AA1374" s="14">
        <f>SUM(N1374:Y1374)</f>
        <v/>
      </c>
      <c r="AB1374" s="13">
        <f>SUMPRODUCT(N1374:Y1374,$N$3:$Y$3)*$K1374*$L1374*$M1374</f>
        <v/>
      </c>
      <c r="AC1374" s="13">
        <f>SUMPRODUCT(N1374:Y1374,$N$4:$Y$4)*$K1374*$L1374*$M1374</f>
        <v/>
      </c>
      <c r="AD1374" s="15" t="n">
        <v>3</v>
      </c>
      <c r="AE1374" s="11" t="n">
        <v>1.011296296296296</v>
      </c>
      <c r="AF1374" s="16">
        <f>SUMPRODUCT(N1374:Y1374,$N$5:$Y$5)*$K1374*$L1374*$M1374</f>
        <v/>
      </c>
      <c r="AG1374" s="16">
        <f>SUMPRODUCT(N1374:Y1374,$N$6:$Y$6)*$K1374*$L1374*$M1374</f>
        <v/>
      </c>
      <c r="AH1374" s="20" t="n"/>
    </row>
    <row r="1375">
      <c r="A1375" s="9" t="n">
        <v>701718</v>
      </c>
      <c r="B1375" s="9" t="inlineStr">
        <is>
          <t>Garrett Horn</t>
        </is>
      </c>
      <c r="C1375" s="9" t="inlineStr">
        <is>
          <t>MIN</t>
        </is>
      </c>
      <c r="D1375" s="9" t="n">
        <v>25</v>
      </c>
      <c r="E1375" s="18" t="inlineStr">
        <is>
          <t>L</t>
        </is>
      </c>
      <c r="F1375" s="18" t="n"/>
      <c r="G1375" s="9" t="n">
        <v>9.173333333333332</v>
      </c>
      <c r="H1375" s="9" t="n">
        <v>9.173333333333332</v>
      </c>
      <c r="I1375" s="9" t="inlineStr">
        <is>
          <t>Depth (no MLB IP)</t>
        </is>
      </c>
      <c r="J1375" s="18" t="inlineStr">
        <is>
          <t>Opening Day</t>
        </is>
      </c>
      <c r="K1375" s="11">
        <f>IFERROR(INDEX(Roles!$B$17:$B$20,MATCH(J1375,Roles!$A$17:$A$20,0)),1)</f>
        <v/>
      </c>
      <c r="L1375" s="19" t="n">
        <v>1</v>
      </c>
      <c r="M1375" s="11" t="n">
        <v>1</v>
      </c>
      <c r="N1375" s="19" t="n"/>
      <c r="O1375" s="19" t="n"/>
      <c r="P1375" s="19" t="n"/>
      <c r="Q1375" s="19" t="n"/>
      <c r="R1375" s="19" t="n"/>
      <c r="S1375" s="19" t="n"/>
      <c r="T1375" s="19" t="n"/>
      <c r="U1375" s="19" t="n"/>
      <c r="V1375" s="19" t="n"/>
      <c r="W1375" s="19" t="n"/>
      <c r="X1375" s="19" t="n"/>
      <c r="Y1375" s="19" t="n">
        <v>1</v>
      </c>
      <c r="Z1375" s="13">
        <f>SUMPRODUCT(N1375:Y1375,$N$2:$Y$2)*$K1375*$L1375*$M1375</f>
        <v/>
      </c>
      <c r="AA1375" s="14">
        <f>SUM(N1375:Y1375)</f>
        <v/>
      </c>
      <c r="AB1375" s="13">
        <f>SUMPRODUCT(N1375:Y1375,$N$3:$Y$3)*$K1375*$L1375*$M1375</f>
        <v/>
      </c>
      <c r="AC1375" s="13">
        <f>SUMPRODUCT(N1375:Y1375,$N$4:$Y$4)*$K1375*$L1375*$M1375</f>
        <v/>
      </c>
      <c r="AD1375" s="15" t="n">
        <v>3</v>
      </c>
      <c r="AE1375" s="11" t="n">
        <v>1.011296296296296</v>
      </c>
      <c r="AF1375" s="16">
        <f>SUMPRODUCT(N1375:Y1375,$N$5:$Y$5)*$K1375*$L1375*$M1375</f>
        <v/>
      </c>
      <c r="AG1375" s="16">
        <f>SUMPRODUCT(N1375:Y1375,$N$6:$Y$6)*$K1375*$L1375*$M1375</f>
        <v/>
      </c>
      <c r="AH1375" s="20" t="n"/>
    </row>
    <row r="1376">
      <c r="A1376" s="9" t="n">
        <v>830242</v>
      </c>
      <c r="B1376" s="9" t="inlineStr">
        <is>
          <t>Michael Hilker</t>
        </is>
      </c>
      <c r="C1376" s="9" t="inlineStr">
        <is>
          <t>MIN</t>
        </is>
      </c>
      <c r="D1376" s="9" t="n">
        <v>25</v>
      </c>
      <c r="E1376" s="18" t="inlineStr">
        <is>
          <t>R</t>
        </is>
      </c>
      <c r="F1376" s="18" t="n"/>
      <c r="G1376" s="9" t="n">
        <v>9.173333333333332</v>
      </c>
      <c r="H1376" s="9" t="n">
        <v>9.173333333333332</v>
      </c>
      <c r="I1376" s="9" t="inlineStr">
        <is>
          <t>Depth (no MLB IP)</t>
        </is>
      </c>
      <c r="J1376" s="18" t="inlineStr">
        <is>
          <t>Opening Day</t>
        </is>
      </c>
      <c r="K1376" s="11">
        <f>IFERROR(INDEX(Roles!$B$17:$B$20,MATCH(J1376,Roles!$A$17:$A$20,0)),1)</f>
        <v/>
      </c>
      <c r="L1376" s="19" t="n">
        <v>1</v>
      </c>
      <c r="M1376" s="11" t="n">
        <v>1</v>
      </c>
      <c r="N1376" s="19" t="n"/>
      <c r="O1376" s="19" t="n"/>
      <c r="P1376" s="19" t="n"/>
      <c r="Q1376" s="19" t="n"/>
      <c r="R1376" s="19" t="n"/>
      <c r="S1376" s="19" t="n"/>
      <c r="T1376" s="19" t="n"/>
      <c r="U1376" s="19" t="n"/>
      <c r="V1376" s="19" t="n"/>
      <c r="W1376" s="19" t="n"/>
      <c r="X1376" s="19" t="n"/>
      <c r="Y1376" s="19" t="n">
        <v>1</v>
      </c>
      <c r="Z1376" s="13">
        <f>SUMPRODUCT(N1376:Y1376,$N$2:$Y$2)*$K1376*$L1376*$M1376</f>
        <v/>
      </c>
      <c r="AA1376" s="14">
        <f>SUM(N1376:Y1376)</f>
        <v/>
      </c>
      <c r="AB1376" s="13">
        <f>SUMPRODUCT(N1376:Y1376,$N$3:$Y$3)*$K1376*$L1376*$M1376</f>
        <v/>
      </c>
      <c r="AC1376" s="13">
        <f>SUMPRODUCT(N1376:Y1376,$N$4:$Y$4)*$K1376*$L1376*$M1376</f>
        <v/>
      </c>
      <c r="AD1376" s="15" t="n">
        <v>3</v>
      </c>
      <c r="AE1376" s="11" t="n">
        <v>1.011296296296296</v>
      </c>
      <c r="AF1376" s="16">
        <f>SUMPRODUCT(N1376:Y1376,$N$5:$Y$5)*$K1376*$L1376*$M1376</f>
        <v/>
      </c>
      <c r="AG1376" s="16">
        <f>SUMPRODUCT(N1376:Y1376,$N$6:$Y$6)*$K1376*$L1376*$M1376</f>
        <v/>
      </c>
      <c r="AH1376" s="20" t="n"/>
    </row>
    <row r="1377">
      <c r="A1377" s="9" t="n">
        <v>699575</v>
      </c>
      <c r="B1377" s="9" t="inlineStr">
        <is>
          <t>Zeke Wood</t>
        </is>
      </c>
      <c r="C1377" s="9" t="inlineStr">
        <is>
          <t>STL</t>
        </is>
      </c>
      <c r="D1377" s="9" t="n">
        <v>25</v>
      </c>
      <c r="E1377" s="18" t="inlineStr">
        <is>
          <t>R</t>
        </is>
      </c>
      <c r="F1377" s="18" t="n"/>
      <c r="G1377" s="9" t="n">
        <v>9.173333333333332</v>
      </c>
      <c r="H1377" s="9" t="n">
        <v>9.173333333333332</v>
      </c>
      <c r="I1377" s="9" t="inlineStr">
        <is>
          <t>Depth (no MLB IP)</t>
        </is>
      </c>
      <c r="J1377" s="18" t="inlineStr">
        <is>
          <t>Opening Day</t>
        </is>
      </c>
      <c r="K1377" s="11">
        <f>IFERROR(INDEX(Roles!$B$17:$B$20,MATCH(J1377,Roles!$A$17:$A$20,0)),1)</f>
        <v/>
      </c>
      <c r="L1377" s="19" t="n">
        <v>1</v>
      </c>
      <c r="M1377" s="11" t="n">
        <v>1</v>
      </c>
      <c r="N1377" s="19" t="n"/>
      <c r="O1377" s="19" t="n"/>
      <c r="P1377" s="19" t="n"/>
      <c r="Q1377" s="19" t="n"/>
      <c r="R1377" s="19" t="n"/>
      <c r="S1377" s="19" t="n"/>
      <c r="T1377" s="19" t="n"/>
      <c r="U1377" s="19" t="n"/>
      <c r="V1377" s="19" t="n"/>
      <c r="W1377" s="19" t="n"/>
      <c r="X1377" s="19" t="n"/>
      <c r="Y1377" s="19" t="n">
        <v>1</v>
      </c>
      <c r="Z1377" s="13">
        <f>SUMPRODUCT(N1377:Y1377,$N$2:$Y$2)*$K1377*$L1377*$M1377</f>
        <v/>
      </c>
      <c r="AA1377" s="14">
        <f>SUM(N1377:Y1377)</f>
        <v/>
      </c>
      <c r="AB1377" s="13">
        <f>SUMPRODUCT(N1377:Y1377,$N$3:$Y$3)*$K1377*$L1377*$M1377</f>
        <v/>
      </c>
      <c r="AC1377" s="13">
        <f>SUMPRODUCT(N1377:Y1377,$N$4:$Y$4)*$K1377*$L1377*$M1377</f>
        <v/>
      </c>
      <c r="AD1377" s="15" t="n">
        <v>3</v>
      </c>
      <c r="AE1377" s="11" t="n">
        <v>1.011296296296296</v>
      </c>
      <c r="AF1377" s="16">
        <f>SUMPRODUCT(N1377:Y1377,$N$5:$Y$5)*$K1377*$L1377*$M1377</f>
        <v/>
      </c>
      <c r="AG1377" s="16">
        <f>SUMPRODUCT(N1377:Y1377,$N$6:$Y$6)*$K1377*$L1377*$M1377</f>
        <v/>
      </c>
      <c r="AH1377" s="20" t="n"/>
    </row>
    <row r="1378">
      <c r="A1378" s="9" t="n">
        <v>808350</v>
      </c>
      <c r="B1378" s="9" t="inlineStr">
        <is>
          <t>Joshua Quezada</t>
        </is>
      </c>
      <c r="C1378" s="9" t="inlineStr">
        <is>
          <t>MIL</t>
        </is>
      </c>
      <c r="D1378" s="9" t="n">
        <v>25</v>
      </c>
      <c r="E1378" s="18" t="inlineStr">
        <is>
          <t>R</t>
        </is>
      </c>
      <c r="F1378" s="18" t="n"/>
      <c r="G1378" s="9" t="n">
        <v>9.460000000000001</v>
      </c>
      <c r="H1378" s="9" t="n">
        <v>9.460000000000001</v>
      </c>
      <c r="I1378" s="9" t="inlineStr">
        <is>
          <t>Depth (no MLB IP)</t>
        </is>
      </c>
      <c r="J1378" s="18" t="inlineStr">
        <is>
          <t>Opening Day</t>
        </is>
      </c>
      <c r="K1378" s="11">
        <f>IFERROR(INDEX(Roles!$B$17:$B$20,MATCH(J1378,Roles!$A$17:$A$20,0)),1)</f>
        <v/>
      </c>
      <c r="L1378" s="19" t="n">
        <v>1</v>
      </c>
      <c r="M1378" s="11" t="n">
        <v>1</v>
      </c>
      <c r="N1378" s="19" t="n"/>
      <c r="O1378" s="19" t="n"/>
      <c r="P1378" s="19" t="n"/>
      <c r="Q1378" s="19" t="n"/>
      <c r="R1378" s="19" t="n"/>
      <c r="S1378" s="19" t="n"/>
      <c r="T1378" s="19" t="n"/>
      <c r="U1378" s="19" t="n"/>
      <c r="V1378" s="19" t="n"/>
      <c r="W1378" s="19" t="n"/>
      <c r="X1378" s="19" t="n"/>
      <c r="Y1378" s="19" t="n">
        <v>1</v>
      </c>
      <c r="Z1378" s="13">
        <f>SUMPRODUCT(N1378:Y1378,$N$2:$Y$2)*$K1378*$L1378*$M1378</f>
        <v/>
      </c>
      <c r="AA1378" s="14">
        <f>SUM(N1378:Y1378)</f>
        <v/>
      </c>
      <c r="AB1378" s="13">
        <f>SUMPRODUCT(N1378:Y1378,$N$3:$Y$3)*$K1378*$L1378*$M1378</f>
        <v/>
      </c>
      <c r="AC1378" s="13">
        <f>SUMPRODUCT(N1378:Y1378,$N$4:$Y$4)*$K1378*$L1378*$M1378</f>
        <v/>
      </c>
      <c r="AD1378" s="15" t="n">
        <v>3</v>
      </c>
      <c r="AE1378" s="11" t="n">
        <v>1.011296296296296</v>
      </c>
      <c r="AF1378" s="16">
        <f>SUMPRODUCT(N1378:Y1378,$N$5:$Y$5)*$K1378*$L1378*$M1378</f>
        <v/>
      </c>
      <c r="AG1378" s="16">
        <f>SUMPRODUCT(N1378:Y1378,$N$6:$Y$6)*$K1378*$L1378*$M1378</f>
        <v/>
      </c>
      <c r="AH1378" s="20" t="n"/>
    </row>
    <row r="1379">
      <c r="A1379" s="9" t="n">
        <v>664123</v>
      </c>
      <c r="B1379" s="9" t="inlineStr">
        <is>
          <t>Scott Effross</t>
        </is>
      </c>
      <c r="C1379" s="9" t="inlineStr">
        <is>
          <t>NYY</t>
        </is>
      </c>
      <c r="D1379" s="9" t="n">
        <v>33</v>
      </c>
      <c r="E1379" s="18" t="inlineStr">
        <is>
          <t>R</t>
        </is>
      </c>
      <c r="F1379" s="18" t="n"/>
      <c r="G1379" s="9" t="n">
        <v>51</v>
      </c>
      <c r="H1379" s="9" t="n">
        <v>294</v>
      </c>
      <c r="I1379" s="9" t="inlineStr">
        <is>
          <t>Bullpen Depth Arm</t>
        </is>
      </c>
      <c r="J1379" s="18" t="inlineStr">
        <is>
          <t>Opening Day</t>
        </is>
      </c>
      <c r="K1379" s="11">
        <f>IFERROR(INDEX(Roles!$B$17:$B$20,MATCH(J1379,Roles!$A$17:$A$20,0)),1)</f>
        <v/>
      </c>
      <c r="L1379" s="19" t="n">
        <v>1</v>
      </c>
      <c r="M1379" s="11" t="n">
        <v>1</v>
      </c>
      <c r="N1379" s="19" t="n"/>
      <c r="O1379" s="19" t="n"/>
      <c r="P1379" s="19" t="n"/>
      <c r="Q1379" s="19" t="n"/>
      <c r="R1379" s="19" t="n"/>
      <c r="S1379" s="19" t="n"/>
      <c r="T1379" s="19" t="n"/>
      <c r="U1379" s="19" t="n"/>
      <c r="V1379" s="19" t="n"/>
      <c r="W1379" s="19" t="n">
        <v>1</v>
      </c>
      <c r="X1379" s="19" t="n"/>
      <c r="Y1379" s="19" t="n"/>
      <c r="Z1379" s="13">
        <f>SUMPRODUCT(N1379:Y1379,$N$2:$Y$2)*$K1379*$L1379*$M1379</f>
        <v/>
      </c>
      <c r="AA1379" s="14">
        <f>SUM(N1379:Y1379)</f>
        <v/>
      </c>
      <c r="AB1379" s="13">
        <f>SUMPRODUCT(N1379:Y1379,$N$3:$Y$3)*$K1379*$L1379*$M1379</f>
        <v/>
      </c>
      <c r="AC1379" s="13">
        <f>SUMPRODUCT(N1379:Y1379,$N$4:$Y$4)*$K1379*$L1379*$M1379</f>
        <v/>
      </c>
      <c r="AD1379" s="15" t="n">
        <v>10.66666666666667</v>
      </c>
      <c r="AE1379" s="11" t="n">
        <v>1.130396023729357</v>
      </c>
      <c r="AF1379" s="16">
        <f>SUMPRODUCT(N1379:Y1379,$N$5:$Y$5)*$K1379*$L1379*$M1379</f>
        <v/>
      </c>
      <c r="AG1379" s="16">
        <f>SUMPRODUCT(N1379:Y1379,$N$6:$Y$6)*$K1379*$L1379*$M1379</f>
        <v/>
      </c>
      <c r="AH1379" s="20" t="n"/>
    </row>
    <row r="1380">
      <c r="A1380" s="9" t="n">
        <v>834722</v>
      </c>
      <c r="B1380" s="9" t="inlineStr">
        <is>
          <t>Holden deJong</t>
        </is>
      </c>
      <c r="C1380" s="9" t="inlineStr">
        <is>
          <t>BAL</t>
        </is>
      </c>
      <c r="D1380" s="9" t="n">
        <v>25</v>
      </c>
      <c r="E1380" s="18" t="inlineStr">
        <is>
          <t>L</t>
        </is>
      </c>
      <c r="F1380" s="18" t="n"/>
      <c r="G1380" s="9" t="n">
        <v>9.287999999999998</v>
      </c>
      <c r="H1380" s="9" t="n">
        <v>9.287999999999998</v>
      </c>
      <c r="I1380" s="9" t="inlineStr">
        <is>
          <t>Depth (no MLB IP)</t>
        </is>
      </c>
      <c r="J1380" s="18" t="inlineStr">
        <is>
          <t>Opening Day</t>
        </is>
      </c>
      <c r="K1380" s="11">
        <f>IFERROR(INDEX(Roles!$B$17:$B$20,MATCH(J1380,Roles!$A$17:$A$20,0)),1)</f>
        <v/>
      </c>
      <c r="L1380" s="19" t="n">
        <v>1</v>
      </c>
      <c r="M1380" s="11" t="n">
        <v>1</v>
      </c>
      <c r="N1380" s="19" t="n"/>
      <c r="O1380" s="19" t="n"/>
      <c r="P1380" s="19" t="n"/>
      <c r="Q1380" s="19" t="n"/>
      <c r="R1380" s="19" t="n"/>
      <c r="S1380" s="19" t="n"/>
      <c r="T1380" s="19" t="n"/>
      <c r="U1380" s="19" t="n"/>
      <c r="V1380" s="19" t="n"/>
      <c r="W1380" s="19" t="n"/>
      <c r="X1380" s="19" t="n"/>
      <c r="Y1380" s="19" t="n">
        <v>1</v>
      </c>
      <c r="Z1380" s="13">
        <f>SUMPRODUCT(N1380:Y1380,$N$2:$Y$2)*$K1380*$L1380*$M1380</f>
        <v/>
      </c>
      <c r="AA1380" s="14">
        <f>SUM(N1380:Y1380)</f>
        <v/>
      </c>
      <c r="AB1380" s="13">
        <f>SUMPRODUCT(N1380:Y1380,$N$3:$Y$3)*$K1380*$L1380*$M1380</f>
        <v/>
      </c>
      <c r="AC1380" s="13">
        <f>SUMPRODUCT(N1380:Y1380,$N$4:$Y$4)*$K1380*$L1380*$M1380</f>
        <v/>
      </c>
      <c r="AD1380" s="15" t="n">
        <v>3</v>
      </c>
      <c r="AE1380" s="11" t="n">
        <v>1.011296296296296</v>
      </c>
      <c r="AF1380" s="16">
        <f>SUMPRODUCT(N1380:Y1380,$N$5:$Y$5)*$K1380*$L1380*$M1380</f>
        <v/>
      </c>
      <c r="AG1380" s="16">
        <f>SUMPRODUCT(N1380:Y1380,$N$6:$Y$6)*$K1380*$L1380*$M1380</f>
        <v/>
      </c>
      <c r="AH1380" s="20" t="n"/>
    </row>
    <row r="1381">
      <c r="A1381" s="9" t="n">
        <v>692416</v>
      </c>
      <c r="B1381" s="9" t="inlineStr">
        <is>
          <t>Christian Cerda</t>
        </is>
      </c>
      <c r="C1381" s="9" t="inlineStr">
        <is>
          <t>ARI</t>
        </is>
      </c>
      <c r="D1381" s="9" t="n">
        <v>25</v>
      </c>
      <c r="E1381" s="18" t="inlineStr">
        <is>
          <t>R</t>
        </is>
      </c>
      <c r="F1381" s="18" t="n"/>
      <c r="G1381" s="9" t="n">
        <v>9.460000000000001</v>
      </c>
      <c r="H1381" s="9" t="n">
        <v>9.460000000000001</v>
      </c>
      <c r="I1381" s="9" t="inlineStr">
        <is>
          <t>Depth (no MLB IP)</t>
        </is>
      </c>
      <c r="J1381" s="18" t="inlineStr">
        <is>
          <t>Opening Day</t>
        </is>
      </c>
      <c r="K1381" s="11">
        <f>IFERROR(INDEX(Roles!$B$17:$B$20,MATCH(J1381,Roles!$A$17:$A$20,0)),1)</f>
        <v/>
      </c>
      <c r="L1381" s="19" t="n">
        <v>1</v>
      </c>
      <c r="M1381" s="11" t="n">
        <v>1</v>
      </c>
      <c r="N1381" s="19" t="n"/>
      <c r="O1381" s="19" t="n"/>
      <c r="P1381" s="19" t="n"/>
      <c r="Q1381" s="19" t="n"/>
      <c r="R1381" s="19" t="n"/>
      <c r="S1381" s="19" t="n"/>
      <c r="T1381" s="19" t="n"/>
      <c r="U1381" s="19" t="n"/>
      <c r="V1381" s="19" t="n"/>
      <c r="W1381" s="19" t="n"/>
      <c r="X1381" s="19" t="n"/>
      <c r="Y1381" s="19" t="n">
        <v>1</v>
      </c>
      <c r="Z1381" s="13">
        <f>SUMPRODUCT(N1381:Y1381,$N$2:$Y$2)*$K1381*$L1381*$M1381</f>
        <v/>
      </c>
      <c r="AA1381" s="14">
        <f>SUM(N1381:Y1381)</f>
        <v/>
      </c>
      <c r="AB1381" s="13">
        <f>SUMPRODUCT(N1381:Y1381,$N$3:$Y$3)*$K1381*$L1381*$M1381</f>
        <v/>
      </c>
      <c r="AC1381" s="13">
        <f>SUMPRODUCT(N1381:Y1381,$N$4:$Y$4)*$K1381*$L1381*$M1381</f>
        <v/>
      </c>
      <c r="AD1381" s="15" t="n">
        <v>3</v>
      </c>
      <c r="AE1381" s="11" t="n">
        <v>1.011296296296296</v>
      </c>
      <c r="AF1381" s="16">
        <f>SUMPRODUCT(N1381:Y1381,$N$5:$Y$5)*$K1381*$L1381*$M1381</f>
        <v/>
      </c>
      <c r="AG1381" s="16">
        <f>SUMPRODUCT(N1381:Y1381,$N$6:$Y$6)*$K1381*$L1381*$M1381</f>
        <v/>
      </c>
      <c r="AH1381" s="20" t="n"/>
    </row>
    <row r="1382">
      <c r="A1382" s="9" t="n">
        <v>828314</v>
      </c>
      <c r="B1382" s="9" t="inlineStr">
        <is>
          <t>Kyle Roche</t>
        </is>
      </c>
      <c r="C1382" s="9" t="inlineStr">
        <is>
          <t>LAA</t>
        </is>
      </c>
      <c r="D1382" s="9" t="n">
        <v>25</v>
      </c>
      <c r="E1382" s="18" t="inlineStr">
        <is>
          <t>R</t>
        </is>
      </c>
      <c r="F1382" s="18" t="n"/>
      <c r="G1382" s="9" t="n">
        <v>9.460000000000001</v>
      </c>
      <c r="H1382" s="9" t="n">
        <v>9.460000000000001</v>
      </c>
      <c r="I1382" s="9" t="inlineStr">
        <is>
          <t>Depth (no MLB IP)</t>
        </is>
      </c>
      <c r="J1382" s="18" t="inlineStr">
        <is>
          <t>Opening Day</t>
        </is>
      </c>
      <c r="K1382" s="11">
        <f>IFERROR(INDEX(Roles!$B$17:$B$20,MATCH(J1382,Roles!$A$17:$A$20,0)),1)</f>
        <v/>
      </c>
      <c r="L1382" s="19" t="n">
        <v>1</v>
      </c>
      <c r="M1382" s="11" t="n">
        <v>1</v>
      </c>
      <c r="N1382" s="19" t="n"/>
      <c r="O1382" s="19" t="n"/>
      <c r="P1382" s="19" t="n"/>
      <c r="Q1382" s="19" t="n"/>
      <c r="R1382" s="19" t="n"/>
      <c r="S1382" s="19" t="n"/>
      <c r="T1382" s="19" t="n"/>
      <c r="U1382" s="19" t="n"/>
      <c r="V1382" s="19" t="n"/>
      <c r="W1382" s="19" t="n"/>
      <c r="X1382" s="19" t="n"/>
      <c r="Y1382" s="19" t="n">
        <v>1</v>
      </c>
      <c r="Z1382" s="13">
        <f>SUMPRODUCT(N1382:Y1382,$N$2:$Y$2)*$K1382*$L1382*$M1382</f>
        <v/>
      </c>
      <c r="AA1382" s="14">
        <f>SUM(N1382:Y1382)</f>
        <v/>
      </c>
      <c r="AB1382" s="13">
        <f>SUMPRODUCT(N1382:Y1382,$N$3:$Y$3)*$K1382*$L1382*$M1382</f>
        <v/>
      </c>
      <c r="AC1382" s="13">
        <f>SUMPRODUCT(N1382:Y1382,$N$4:$Y$4)*$K1382*$L1382*$M1382</f>
        <v/>
      </c>
      <c r="AD1382" s="15" t="n">
        <v>3</v>
      </c>
      <c r="AE1382" s="11" t="n">
        <v>1.011296296296296</v>
      </c>
      <c r="AF1382" s="16">
        <f>SUMPRODUCT(N1382:Y1382,$N$5:$Y$5)*$K1382*$L1382*$M1382</f>
        <v/>
      </c>
      <c r="AG1382" s="16">
        <f>SUMPRODUCT(N1382:Y1382,$N$6:$Y$6)*$K1382*$L1382*$M1382</f>
        <v/>
      </c>
      <c r="AH1382" s="20" t="n"/>
    </row>
    <row r="1383">
      <c r="A1383" s="9" t="n">
        <v>805741</v>
      </c>
      <c r="B1383" s="9" t="inlineStr">
        <is>
          <t>Leodarlyn Colon</t>
        </is>
      </c>
      <c r="C1383" s="9" t="inlineStr">
        <is>
          <t>WSH</t>
        </is>
      </c>
      <c r="D1383" s="9" t="n">
        <v>25</v>
      </c>
      <c r="E1383" s="18" t="inlineStr">
        <is>
          <t>R</t>
        </is>
      </c>
      <c r="F1383" s="18" t="n"/>
      <c r="G1383" s="9" t="n">
        <v>9.460000000000001</v>
      </c>
      <c r="H1383" s="9" t="n">
        <v>9.460000000000001</v>
      </c>
      <c r="I1383" s="9" t="inlineStr">
        <is>
          <t>Depth (no MLB IP)</t>
        </is>
      </c>
      <c r="J1383" s="18" t="inlineStr">
        <is>
          <t>Opening Day</t>
        </is>
      </c>
      <c r="K1383" s="11">
        <f>IFERROR(INDEX(Roles!$B$17:$B$20,MATCH(J1383,Roles!$A$17:$A$20,0)),1)</f>
        <v/>
      </c>
      <c r="L1383" s="19" t="n">
        <v>1</v>
      </c>
      <c r="M1383" s="11" t="n">
        <v>1</v>
      </c>
      <c r="N1383" s="19" t="n"/>
      <c r="O1383" s="19" t="n"/>
      <c r="P1383" s="19" t="n"/>
      <c r="Q1383" s="19" t="n"/>
      <c r="R1383" s="19" t="n"/>
      <c r="S1383" s="19" t="n"/>
      <c r="T1383" s="19" t="n"/>
      <c r="U1383" s="19" t="n"/>
      <c r="V1383" s="19" t="n"/>
      <c r="W1383" s="19" t="n"/>
      <c r="X1383" s="19" t="n"/>
      <c r="Y1383" s="19" t="n">
        <v>1</v>
      </c>
      <c r="Z1383" s="13">
        <f>SUMPRODUCT(N1383:Y1383,$N$2:$Y$2)*$K1383*$L1383*$M1383</f>
        <v/>
      </c>
      <c r="AA1383" s="14">
        <f>SUM(N1383:Y1383)</f>
        <v/>
      </c>
      <c r="AB1383" s="13">
        <f>SUMPRODUCT(N1383:Y1383,$N$3:$Y$3)*$K1383*$L1383*$M1383</f>
        <v/>
      </c>
      <c r="AC1383" s="13">
        <f>SUMPRODUCT(N1383:Y1383,$N$4:$Y$4)*$K1383*$L1383*$M1383</f>
        <v/>
      </c>
      <c r="AD1383" s="15" t="n">
        <v>3</v>
      </c>
      <c r="AE1383" s="11" t="n">
        <v>1.011296296296296</v>
      </c>
      <c r="AF1383" s="16">
        <f>SUMPRODUCT(N1383:Y1383,$N$5:$Y$5)*$K1383*$L1383*$M1383</f>
        <v/>
      </c>
      <c r="AG1383" s="16">
        <f>SUMPRODUCT(N1383:Y1383,$N$6:$Y$6)*$K1383*$L1383*$M1383</f>
        <v/>
      </c>
      <c r="AH1383" s="20" t="n"/>
    </row>
    <row r="1384">
      <c r="A1384" s="9" t="n">
        <v>669456</v>
      </c>
      <c r="B1384" s="9" t="inlineStr">
        <is>
          <t>Shane Bieber</t>
        </is>
      </c>
      <c r="C1384" s="9" t="inlineStr">
        <is>
          <t>TOR</t>
        </is>
      </c>
      <c r="D1384" s="9" t="n">
        <v>32</v>
      </c>
      <c r="E1384" s="18" t="inlineStr">
        <is>
          <t>R</t>
        </is>
      </c>
      <c r="F1384" s="18" t="n"/>
      <c r="G1384" s="9" t="n">
        <v>242</v>
      </c>
      <c r="H1384" s="9" t="n">
        <v>1770</v>
      </c>
      <c r="I1384" s="9" t="inlineStr">
        <is>
          <t>End-of-Rotation Starter (SP4-5)</t>
        </is>
      </c>
      <c r="J1384" s="18" t="inlineStr">
        <is>
          <t>Opening Day</t>
        </is>
      </c>
      <c r="K1384" s="11">
        <f>IFERROR(INDEX(Roles!$B$17:$B$20,MATCH(J1384,Roles!$A$17:$A$20,0)),1)</f>
        <v/>
      </c>
      <c r="L1384" s="19" t="n">
        <v>1</v>
      </c>
      <c r="M1384" s="11" t="n">
        <v>1</v>
      </c>
      <c r="N1384" s="19" t="n"/>
      <c r="O1384" s="19" t="n"/>
      <c r="P1384" s="19" t="n">
        <v>0.5</v>
      </c>
      <c r="Q1384" s="19" t="n"/>
      <c r="R1384" s="19" t="n">
        <v>0.5</v>
      </c>
      <c r="S1384" s="19" t="n"/>
      <c r="T1384" s="19" t="n"/>
      <c r="U1384" s="19" t="n"/>
      <c r="V1384" s="19" t="n"/>
      <c r="W1384" s="19" t="n"/>
      <c r="X1384" s="19" t="n"/>
      <c r="Y1384" s="19" t="n"/>
      <c r="Z1384" s="13">
        <f>SUMPRODUCT(N1384:Y1384,$N$2:$Y$2)*$K1384*$L1384*$M1384</f>
        <v/>
      </c>
      <c r="AA1384" s="14">
        <f>SUM(N1384:Y1384)</f>
        <v/>
      </c>
      <c r="AB1384" s="13">
        <f>SUMPRODUCT(N1384:Y1384,$N$3:$Y$3)*$K1384*$L1384*$M1384</f>
        <v/>
      </c>
      <c r="AC1384" s="13">
        <f>SUMPRODUCT(N1384:Y1384,$N$4:$Y$4)*$K1384*$L1384*$M1384</f>
        <v/>
      </c>
      <c r="AD1384" s="15" t="n">
        <v>11.3</v>
      </c>
      <c r="AE1384" s="11" t="n">
        <v>4.803476946334089</v>
      </c>
      <c r="AF1384" s="16">
        <f>SUMPRODUCT(N1384:Y1384,$N$5:$Y$5)*$K1384*$L1384*$M1384</f>
        <v/>
      </c>
      <c r="AG1384" s="16">
        <f>SUMPRODUCT(N1384:Y1384,$N$6:$Y$6)*$K1384*$L1384*$M1384</f>
        <v/>
      </c>
      <c r="AH1384" s="20" t="n"/>
    </row>
    <row r="1385">
      <c r="A1385" s="9" t="n">
        <v>828511</v>
      </c>
      <c r="B1385" s="9" t="inlineStr">
        <is>
          <t>Michael Caldon</t>
        </is>
      </c>
      <c r="C1385" s="9" t="inlineStr">
        <is>
          <t>BAL</t>
        </is>
      </c>
      <c r="D1385" s="9" t="n">
        <v>25</v>
      </c>
      <c r="E1385" s="18" t="inlineStr">
        <is>
          <t>R</t>
        </is>
      </c>
      <c r="F1385" s="18" t="n"/>
      <c r="G1385" s="9" t="n">
        <v>9.531666666666665</v>
      </c>
      <c r="H1385" s="9" t="n">
        <v>9.531666666666665</v>
      </c>
      <c r="I1385" s="9" t="inlineStr">
        <is>
          <t>Depth (no MLB IP)</t>
        </is>
      </c>
      <c r="J1385" s="18" t="inlineStr">
        <is>
          <t>Opening Day</t>
        </is>
      </c>
      <c r="K1385" s="11">
        <f>IFERROR(INDEX(Roles!$B$17:$B$20,MATCH(J1385,Roles!$A$17:$A$20,0)),1)</f>
        <v/>
      </c>
      <c r="L1385" s="19" t="n">
        <v>1</v>
      </c>
      <c r="M1385" s="11" t="n">
        <v>1</v>
      </c>
      <c r="N1385" s="19" t="n"/>
      <c r="O1385" s="19" t="n"/>
      <c r="P1385" s="19" t="n"/>
      <c r="Q1385" s="19" t="n"/>
      <c r="R1385" s="19" t="n"/>
      <c r="S1385" s="19" t="n"/>
      <c r="T1385" s="19" t="n"/>
      <c r="U1385" s="19" t="n"/>
      <c r="V1385" s="19" t="n"/>
      <c r="W1385" s="19" t="n"/>
      <c r="X1385" s="19" t="n"/>
      <c r="Y1385" s="19" t="n">
        <v>1</v>
      </c>
      <c r="Z1385" s="13">
        <f>SUMPRODUCT(N1385:Y1385,$N$2:$Y$2)*$K1385*$L1385*$M1385</f>
        <v/>
      </c>
      <c r="AA1385" s="14">
        <f>SUM(N1385:Y1385)</f>
        <v/>
      </c>
      <c r="AB1385" s="13">
        <f>SUMPRODUCT(N1385:Y1385,$N$3:$Y$3)*$K1385*$L1385*$M1385</f>
        <v/>
      </c>
      <c r="AC1385" s="13">
        <f>SUMPRODUCT(N1385:Y1385,$N$4:$Y$4)*$K1385*$L1385*$M1385</f>
        <v/>
      </c>
      <c r="AD1385" s="15" t="n">
        <v>3</v>
      </c>
      <c r="AE1385" s="11" t="n">
        <v>1.011296296296296</v>
      </c>
      <c r="AF1385" s="16">
        <f>SUMPRODUCT(N1385:Y1385,$N$5:$Y$5)*$K1385*$L1385*$M1385</f>
        <v/>
      </c>
      <c r="AG1385" s="16">
        <f>SUMPRODUCT(N1385:Y1385,$N$6:$Y$6)*$K1385*$L1385*$M1385</f>
        <v/>
      </c>
      <c r="AH1385" s="20" t="n"/>
    </row>
    <row r="1386">
      <c r="A1386" s="9" t="n">
        <v>691315</v>
      </c>
      <c r="B1386" s="9" t="inlineStr">
        <is>
          <t>Yehizon Sanchez</t>
        </is>
      </c>
      <c r="C1386" s="9" t="inlineStr">
        <is>
          <t>MIN</t>
        </is>
      </c>
      <c r="D1386" s="9" t="n">
        <v>25</v>
      </c>
      <c r="E1386" s="18" t="inlineStr">
        <is>
          <t>R</t>
        </is>
      </c>
      <c r="F1386" s="18" t="n"/>
      <c r="G1386" s="9" t="n">
        <v>9.531666666666665</v>
      </c>
      <c r="H1386" s="9" t="n">
        <v>9.531666666666665</v>
      </c>
      <c r="I1386" s="9" t="inlineStr">
        <is>
          <t>Depth (no MLB IP)</t>
        </is>
      </c>
      <c r="J1386" s="18" t="inlineStr">
        <is>
          <t>Opening Day</t>
        </is>
      </c>
      <c r="K1386" s="11">
        <f>IFERROR(INDEX(Roles!$B$17:$B$20,MATCH(J1386,Roles!$A$17:$A$20,0)),1)</f>
        <v/>
      </c>
      <c r="L1386" s="19" t="n">
        <v>1</v>
      </c>
      <c r="M1386" s="11" t="n">
        <v>1</v>
      </c>
      <c r="N1386" s="19" t="n"/>
      <c r="O1386" s="19" t="n"/>
      <c r="P1386" s="19" t="n"/>
      <c r="Q1386" s="19" t="n"/>
      <c r="R1386" s="19" t="n"/>
      <c r="S1386" s="19" t="n"/>
      <c r="T1386" s="19" t="n"/>
      <c r="U1386" s="19" t="n"/>
      <c r="V1386" s="19" t="n"/>
      <c r="W1386" s="19" t="n"/>
      <c r="X1386" s="19" t="n"/>
      <c r="Y1386" s="19" t="n">
        <v>1</v>
      </c>
      <c r="Z1386" s="13">
        <f>SUMPRODUCT(N1386:Y1386,$N$2:$Y$2)*$K1386*$L1386*$M1386</f>
        <v/>
      </c>
      <c r="AA1386" s="14">
        <f>SUM(N1386:Y1386)</f>
        <v/>
      </c>
      <c r="AB1386" s="13">
        <f>SUMPRODUCT(N1386:Y1386,$N$3:$Y$3)*$K1386*$L1386*$M1386</f>
        <v/>
      </c>
      <c r="AC1386" s="13">
        <f>SUMPRODUCT(N1386:Y1386,$N$4:$Y$4)*$K1386*$L1386*$M1386</f>
        <v/>
      </c>
      <c r="AD1386" s="15" t="n">
        <v>3</v>
      </c>
      <c r="AE1386" s="11" t="n">
        <v>1.011296296296296</v>
      </c>
      <c r="AF1386" s="16">
        <f>SUMPRODUCT(N1386:Y1386,$N$5:$Y$5)*$K1386*$L1386*$M1386</f>
        <v/>
      </c>
      <c r="AG1386" s="16">
        <f>SUMPRODUCT(N1386:Y1386,$N$6:$Y$6)*$K1386*$L1386*$M1386</f>
        <v/>
      </c>
      <c r="AH1386" s="20" t="n"/>
    </row>
    <row r="1387">
      <c r="A1387" s="9" t="n">
        <v>694818</v>
      </c>
      <c r="B1387" s="9" t="inlineStr">
        <is>
          <t>Hunter Owen</t>
        </is>
      </c>
      <c r="C1387" s="9" t="inlineStr">
        <is>
          <t>KC</t>
        </is>
      </c>
      <c r="D1387" s="9" t="n">
        <v>25</v>
      </c>
      <c r="E1387" s="18" t="inlineStr">
        <is>
          <t>L</t>
        </is>
      </c>
      <c r="F1387" s="18" t="n"/>
      <c r="G1387" s="9" t="n">
        <v>9.460000000000001</v>
      </c>
      <c r="H1387" s="9" t="n">
        <v>9.460000000000001</v>
      </c>
      <c r="I1387" s="9" t="inlineStr">
        <is>
          <t>Depth (no MLB IP)</t>
        </is>
      </c>
      <c r="J1387" s="18" t="inlineStr">
        <is>
          <t>Opening Day</t>
        </is>
      </c>
      <c r="K1387" s="11">
        <f>IFERROR(INDEX(Roles!$B$17:$B$20,MATCH(J1387,Roles!$A$17:$A$20,0)),1)</f>
        <v/>
      </c>
      <c r="L1387" s="19" t="n">
        <v>1</v>
      </c>
      <c r="M1387" s="11" t="n">
        <v>1</v>
      </c>
      <c r="N1387" s="19" t="n"/>
      <c r="O1387" s="19" t="n"/>
      <c r="P1387" s="19" t="n"/>
      <c r="Q1387" s="19" t="n"/>
      <c r="R1387" s="19" t="n"/>
      <c r="S1387" s="19" t="n"/>
      <c r="T1387" s="19" t="n"/>
      <c r="U1387" s="19" t="n"/>
      <c r="V1387" s="19" t="n"/>
      <c r="W1387" s="19" t="n"/>
      <c r="X1387" s="19" t="n"/>
      <c r="Y1387" s="19" t="n">
        <v>1</v>
      </c>
      <c r="Z1387" s="13">
        <f>SUMPRODUCT(N1387:Y1387,$N$2:$Y$2)*$K1387*$L1387*$M1387</f>
        <v/>
      </c>
      <c r="AA1387" s="14">
        <f>SUM(N1387:Y1387)</f>
        <v/>
      </c>
      <c r="AB1387" s="13">
        <f>SUMPRODUCT(N1387:Y1387,$N$3:$Y$3)*$K1387*$L1387*$M1387</f>
        <v/>
      </c>
      <c r="AC1387" s="13">
        <f>SUMPRODUCT(N1387:Y1387,$N$4:$Y$4)*$K1387*$L1387*$M1387</f>
        <v/>
      </c>
      <c r="AD1387" s="15" t="n">
        <v>3</v>
      </c>
      <c r="AE1387" s="11" t="n">
        <v>1.011296296296296</v>
      </c>
      <c r="AF1387" s="16">
        <f>SUMPRODUCT(N1387:Y1387,$N$5:$Y$5)*$K1387*$L1387*$M1387</f>
        <v/>
      </c>
      <c r="AG1387" s="16">
        <f>SUMPRODUCT(N1387:Y1387,$N$6:$Y$6)*$K1387*$L1387*$M1387</f>
        <v/>
      </c>
      <c r="AH1387" s="20" t="n"/>
    </row>
    <row r="1388">
      <c r="A1388" s="9" t="n">
        <v>701298</v>
      </c>
      <c r="B1388" s="9" t="inlineStr">
        <is>
          <t>Phillip Glasser</t>
        </is>
      </c>
      <c r="C1388" s="9" t="inlineStr">
        <is>
          <t>WSH</t>
        </is>
      </c>
      <c r="D1388" s="9" t="n">
        <v>25</v>
      </c>
      <c r="E1388" s="18" t="inlineStr">
        <is>
          <t>R</t>
        </is>
      </c>
      <c r="F1388" s="18" t="n"/>
      <c r="G1388" s="9" t="n">
        <v>9.460000000000001</v>
      </c>
      <c r="H1388" s="9" t="n">
        <v>9.460000000000001</v>
      </c>
      <c r="I1388" s="9" t="inlineStr">
        <is>
          <t>Depth (no MLB IP)</t>
        </is>
      </c>
      <c r="J1388" s="18" t="inlineStr">
        <is>
          <t>Opening Day</t>
        </is>
      </c>
      <c r="K1388" s="11">
        <f>IFERROR(INDEX(Roles!$B$17:$B$20,MATCH(J1388,Roles!$A$17:$A$20,0)),1)</f>
        <v/>
      </c>
      <c r="L1388" s="19" t="n">
        <v>1</v>
      </c>
      <c r="M1388" s="11" t="n">
        <v>1</v>
      </c>
      <c r="N1388" s="19" t="n"/>
      <c r="O1388" s="19" t="n"/>
      <c r="P1388" s="19" t="n"/>
      <c r="Q1388" s="19" t="n"/>
      <c r="R1388" s="19" t="n"/>
      <c r="S1388" s="19" t="n"/>
      <c r="T1388" s="19" t="n"/>
      <c r="U1388" s="19" t="n"/>
      <c r="V1388" s="19" t="n"/>
      <c r="W1388" s="19" t="n"/>
      <c r="X1388" s="19" t="n"/>
      <c r="Y1388" s="19" t="n">
        <v>1</v>
      </c>
      <c r="Z1388" s="13">
        <f>SUMPRODUCT(N1388:Y1388,$N$2:$Y$2)*$K1388*$L1388*$M1388</f>
        <v/>
      </c>
      <c r="AA1388" s="14">
        <f>SUM(N1388:Y1388)</f>
        <v/>
      </c>
      <c r="AB1388" s="13">
        <f>SUMPRODUCT(N1388:Y1388,$N$3:$Y$3)*$K1388*$L1388*$M1388</f>
        <v/>
      </c>
      <c r="AC1388" s="13">
        <f>SUMPRODUCT(N1388:Y1388,$N$4:$Y$4)*$K1388*$L1388*$M1388</f>
        <v/>
      </c>
      <c r="AD1388" s="15" t="n">
        <v>3</v>
      </c>
      <c r="AE1388" s="11" t="n">
        <v>1.011296296296296</v>
      </c>
      <c r="AF1388" s="16">
        <f>SUMPRODUCT(N1388:Y1388,$N$5:$Y$5)*$K1388*$L1388*$M1388</f>
        <v/>
      </c>
      <c r="AG1388" s="16">
        <f>SUMPRODUCT(N1388:Y1388,$N$6:$Y$6)*$K1388*$L1388*$M1388</f>
        <v/>
      </c>
      <c r="AH1388" s="20" t="n"/>
    </row>
    <row r="1389">
      <c r="A1389" s="9" t="n">
        <v>806634</v>
      </c>
      <c r="B1389" s="9" t="inlineStr">
        <is>
          <t>Garrett Apker</t>
        </is>
      </c>
      <c r="C1389" s="9" t="inlineStr">
        <is>
          <t>HOU</t>
        </is>
      </c>
      <c r="D1389" s="9" t="n">
        <v>25</v>
      </c>
      <c r="E1389" s="18" t="inlineStr">
        <is>
          <t>R</t>
        </is>
      </c>
      <c r="F1389" s="18" t="n"/>
      <c r="G1389" s="9" t="n">
        <v>9.460000000000001</v>
      </c>
      <c r="H1389" s="9" t="n">
        <v>9.460000000000001</v>
      </c>
      <c r="I1389" s="9" t="inlineStr">
        <is>
          <t>Depth (no MLB IP)</t>
        </is>
      </c>
      <c r="J1389" s="18" t="inlineStr">
        <is>
          <t>Opening Day</t>
        </is>
      </c>
      <c r="K1389" s="11">
        <f>IFERROR(INDEX(Roles!$B$17:$B$20,MATCH(J1389,Roles!$A$17:$A$20,0)),1)</f>
        <v/>
      </c>
      <c r="L1389" s="19" t="n">
        <v>1</v>
      </c>
      <c r="M1389" s="11" t="n">
        <v>1</v>
      </c>
      <c r="N1389" s="19" t="n"/>
      <c r="O1389" s="19" t="n"/>
      <c r="P1389" s="19" t="n"/>
      <c r="Q1389" s="19" t="n"/>
      <c r="R1389" s="19" t="n"/>
      <c r="S1389" s="19" t="n"/>
      <c r="T1389" s="19" t="n"/>
      <c r="U1389" s="19" t="n"/>
      <c r="V1389" s="19" t="n"/>
      <c r="W1389" s="19" t="n"/>
      <c r="X1389" s="19" t="n"/>
      <c r="Y1389" s="19" t="n">
        <v>1</v>
      </c>
      <c r="Z1389" s="13">
        <f>SUMPRODUCT(N1389:Y1389,$N$2:$Y$2)*$K1389*$L1389*$M1389</f>
        <v/>
      </c>
      <c r="AA1389" s="14">
        <f>SUM(N1389:Y1389)</f>
        <v/>
      </c>
      <c r="AB1389" s="13">
        <f>SUMPRODUCT(N1389:Y1389,$N$3:$Y$3)*$K1389*$L1389*$M1389</f>
        <v/>
      </c>
      <c r="AC1389" s="13">
        <f>SUMPRODUCT(N1389:Y1389,$N$4:$Y$4)*$K1389*$L1389*$M1389</f>
        <v/>
      </c>
      <c r="AD1389" s="15" t="n">
        <v>3</v>
      </c>
      <c r="AE1389" s="11" t="n">
        <v>1.011296296296296</v>
      </c>
      <c r="AF1389" s="16">
        <f>SUMPRODUCT(N1389:Y1389,$N$5:$Y$5)*$K1389*$L1389*$M1389</f>
        <v/>
      </c>
      <c r="AG1389" s="16">
        <f>SUMPRODUCT(N1389:Y1389,$N$6:$Y$6)*$K1389*$L1389*$M1389</f>
        <v/>
      </c>
      <c r="AH1389" s="20" t="n"/>
    </row>
    <row r="1390">
      <c r="A1390" s="9" t="n">
        <v>831050</v>
      </c>
      <c r="B1390" s="9" t="inlineStr">
        <is>
          <t>Jan Cabrera</t>
        </is>
      </c>
      <c r="C1390" s="9" t="inlineStr">
        <is>
          <t>STL</t>
        </is>
      </c>
      <c r="D1390" s="9" t="n">
        <v>25</v>
      </c>
      <c r="E1390" s="18" t="inlineStr">
        <is>
          <t>R</t>
        </is>
      </c>
      <c r="F1390" s="18" t="n"/>
      <c r="G1390" s="9" t="n">
        <v>9.460000000000001</v>
      </c>
      <c r="H1390" s="9" t="n">
        <v>9.460000000000001</v>
      </c>
      <c r="I1390" s="9" t="inlineStr">
        <is>
          <t>Depth (no MLB IP)</t>
        </is>
      </c>
      <c r="J1390" s="18" t="inlineStr">
        <is>
          <t>Opening Day</t>
        </is>
      </c>
      <c r="K1390" s="11">
        <f>IFERROR(INDEX(Roles!$B$17:$B$20,MATCH(J1390,Roles!$A$17:$A$20,0)),1)</f>
        <v/>
      </c>
      <c r="L1390" s="19" t="n">
        <v>1</v>
      </c>
      <c r="M1390" s="11" t="n">
        <v>1</v>
      </c>
      <c r="N1390" s="19" t="n"/>
      <c r="O1390" s="19" t="n"/>
      <c r="P1390" s="19" t="n"/>
      <c r="Q1390" s="19" t="n"/>
      <c r="R1390" s="19" t="n"/>
      <c r="S1390" s="19" t="n"/>
      <c r="T1390" s="19" t="n"/>
      <c r="U1390" s="19" t="n"/>
      <c r="V1390" s="19" t="n"/>
      <c r="W1390" s="19" t="n"/>
      <c r="X1390" s="19" t="n"/>
      <c r="Y1390" s="19" t="n">
        <v>1</v>
      </c>
      <c r="Z1390" s="13">
        <f>SUMPRODUCT(N1390:Y1390,$N$2:$Y$2)*$K1390*$L1390*$M1390</f>
        <v/>
      </c>
      <c r="AA1390" s="14">
        <f>SUM(N1390:Y1390)</f>
        <v/>
      </c>
      <c r="AB1390" s="13">
        <f>SUMPRODUCT(N1390:Y1390,$N$3:$Y$3)*$K1390*$L1390*$M1390</f>
        <v/>
      </c>
      <c r="AC1390" s="13">
        <f>SUMPRODUCT(N1390:Y1390,$N$4:$Y$4)*$K1390*$L1390*$M1390</f>
        <v/>
      </c>
      <c r="AD1390" s="15" t="n">
        <v>3</v>
      </c>
      <c r="AE1390" s="11" t="n">
        <v>1.011296296296296</v>
      </c>
      <c r="AF1390" s="16">
        <f>SUMPRODUCT(N1390:Y1390,$N$5:$Y$5)*$K1390*$L1390*$M1390</f>
        <v/>
      </c>
      <c r="AG1390" s="16">
        <f>SUMPRODUCT(N1390:Y1390,$N$6:$Y$6)*$K1390*$L1390*$M1390</f>
        <v/>
      </c>
      <c r="AH1390" s="20" t="n"/>
    </row>
    <row r="1391">
      <c r="A1391" s="9" t="n">
        <v>684665</v>
      </c>
      <c r="B1391" s="9" t="inlineStr">
        <is>
          <t>Luke Murphy</t>
        </is>
      </c>
      <c r="C1391" s="9" t="inlineStr">
        <is>
          <t>LAA</t>
        </is>
      </c>
      <c r="D1391" s="9" t="n">
        <v>27</v>
      </c>
      <c r="E1391" s="18" t="inlineStr">
        <is>
          <t>R</t>
        </is>
      </c>
      <c r="F1391" s="18" t="n"/>
      <c r="G1391" s="9" t="n">
        <v>89</v>
      </c>
      <c r="H1391" s="9" t="n">
        <v>89</v>
      </c>
      <c r="I1391" s="9" t="inlineStr">
        <is>
          <t>Middle Relief</t>
        </is>
      </c>
      <c r="J1391" s="18" t="inlineStr">
        <is>
          <t>Opening Day</t>
        </is>
      </c>
      <c r="K1391" s="11">
        <f>IFERROR(INDEX(Roles!$B$17:$B$20,MATCH(J1391,Roles!$A$17:$A$20,0)),1)</f>
        <v/>
      </c>
      <c r="L1391" s="19" t="n">
        <v>1</v>
      </c>
      <c r="M1391" s="11" t="n">
        <v>1</v>
      </c>
      <c r="N1391" s="19" t="n"/>
      <c r="O1391" s="19" t="n"/>
      <c r="P1391" s="19" t="n"/>
      <c r="Q1391" s="19" t="n"/>
      <c r="R1391" s="19" t="n"/>
      <c r="S1391" s="19" t="n"/>
      <c r="T1391" s="19" t="n"/>
      <c r="U1391" s="19" t="n"/>
      <c r="V1391" s="19" t="n">
        <v>0.85</v>
      </c>
      <c r="W1391" s="19" t="n">
        <v>0.15</v>
      </c>
      <c r="X1391" s="19" t="n"/>
      <c r="Y1391" s="19" t="n"/>
      <c r="Z1391" s="13">
        <f>SUMPRODUCT(N1391:Y1391,$N$2:$Y$2)*$K1391*$L1391*$M1391</f>
        <v/>
      </c>
      <c r="AA1391" s="14">
        <f>SUM(N1391:Y1391)</f>
        <v/>
      </c>
      <c r="AB1391" s="13">
        <f>SUMPRODUCT(N1391:Y1391,$N$3:$Y$3)*$K1391*$L1391*$M1391</f>
        <v/>
      </c>
      <c r="AC1391" s="13">
        <f>SUMPRODUCT(N1391:Y1391,$N$4:$Y$4)*$K1391*$L1391*$M1391</f>
        <v/>
      </c>
      <c r="AD1391" s="15" t="n">
        <v>27.93333333333333</v>
      </c>
      <c r="AE1391" s="11" t="n">
        <v>0.9921740678057168</v>
      </c>
      <c r="AF1391" s="16">
        <f>SUMPRODUCT(N1391:Y1391,$N$5:$Y$5)*$K1391*$L1391*$M1391</f>
        <v/>
      </c>
      <c r="AG1391" s="16">
        <f>SUMPRODUCT(N1391:Y1391,$N$6:$Y$6)*$K1391*$L1391*$M1391</f>
        <v/>
      </c>
      <c r="AH1391" s="20" t="n"/>
    </row>
    <row r="1392">
      <c r="A1392" s="9" t="n">
        <v>656686</v>
      </c>
      <c r="B1392" s="9" t="inlineStr">
        <is>
          <t>Corbin Martin</t>
        </is>
      </c>
      <c r="C1392" s="9" t="inlineStr">
        <is>
          <t>CHC</t>
        </is>
      </c>
      <c r="D1392" s="9" t="n">
        <v>31</v>
      </c>
      <c r="E1392" s="18" t="inlineStr">
        <is>
          <t>R</t>
        </is>
      </c>
      <c r="F1392" s="18" t="n"/>
      <c r="G1392" s="9" t="n">
        <v>25</v>
      </c>
      <c r="H1392" s="9" t="n">
        <v>215</v>
      </c>
      <c r="I1392" s="9" t="inlineStr">
        <is>
          <t>Bullpen Depth Arm</t>
        </is>
      </c>
      <c r="J1392" s="18" t="inlineStr">
        <is>
          <t>Opening Day</t>
        </is>
      </c>
      <c r="K1392" s="11">
        <f>IFERROR(INDEX(Roles!$B$17:$B$20,MATCH(J1392,Roles!$A$17:$A$20,0)),1)</f>
        <v/>
      </c>
      <c r="L1392" s="19" t="n">
        <v>1</v>
      </c>
      <c r="M1392" s="11" t="n">
        <v>1</v>
      </c>
      <c r="N1392" s="19" t="n"/>
      <c r="O1392" s="19" t="n"/>
      <c r="P1392" s="19" t="n"/>
      <c r="Q1392" s="19" t="n"/>
      <c r="R1392" s="19" t="n"/>
      <c r="S1392" s="19" t="n"/>
      <c r="T1392" s="19" t="n"/>
      <c r="U1392" s="19" t="n"/>
      <c r="V1392" s="19" t="n"/>
      <c r="W1392" s="19" t="n">
        <v>1</v>
      </c>
      <c r="X1392" s="19" t="n"/>
      <c r="Y1392" s="19" t="n"/>
      <c r="Z1392" s="13">
        <f>SUMPRODUCT(N1392:Y1392,$N$2:$Y$2)*$K1392*$L1392*$M1392</f>
        <v/>
      </c>
      <c r="AA1392" s="14">
        <f>SUM(N1392:Y1392)</f>
        <v/>
      </c>
      <c r="AB1392" s="13">
        <f>SUMPRODUCT(N1392:Y1392,$N$3:$Y$3)*$K1392*$L1392*$M1392</f>
        <v/>
      </c>
      <c r="AC1392" s="13">
        <f>SUMPRODUCT(N1392:Y1392,$N$4:$Y$4)*$K1392*$L1392*$M1392</f>
        <v/>
      </c>
      <c r="AD1392" s="15" t="n">
        <v>12.26666666666667</v>
      </c>
      <c r="AE1392" s="11" t="n">
        <v>1.110598043931377</v>
      </c>
      <c r="AF1392" s="16">
        <f>SUMPRODUCT(N1392:Y1392,$N$5:$Y$5)*$K1392*$L1392*$M1392</f>
        <v/>
      </c>
      <c r="AG1392" s="16">
        <f>SUMPRODUCT(N1392:Y1392,$N$6:$Y$6)*$K1392*$L1392*$M1392</f>
        <v/>
      </c>
      <c r="AH1392" s="20" t="n"/>
    </row>
    <row r="1393">
      <c r="A1393" s="9" t="n">
        <v>685045</v>
      </c>
      <c r="B1393" s="9" t="inlineStr">
        <is>
          <t>Jesse Bergin</t>
        </is>
      </c>
      <c r="C1393" s="9" t="inlineStr">
        <is>
          <t>MIN</t>
        </is>
      </c>
      <c r="D1393" s="9" t="n">
        <v>25</v>
      </c>
      <c r="E1393" s="18" t="inlineStr">
        <is>
          <t>R</t>
        </is>
      </c>
      <c r="F1393" s="18" t="n"/>
      <c r="G1393" s="9" t="n">
        <v>9.460000000000001</v>
      </c>
      <c r="H1393" s="9" t="n">
        <v>9.460000000000001</v>
      </c>
      <c r="I1393" s="9" t="inlineStr">
        <is>
          <t>Depth (no MLB IP)</t>
        </is>
      </c>
      <c r="J1393" s="18" t="inlineStr">
        <is>
          <t>Opening Day</t>
        </is>
      </c>
      <c r="K1393" s="11">
        <f>IFERROR(INDEX(Roles!$B$17:$B$20,MATCH(J1393,Roles!$A$17:$A$20,0)),1)</f>
        <v/>
      </c>
      <c r="L1393" s="19" t="n">
        <v>1</v>
      </c>
      <c r="M1393" s="11" t="n">
        <v>1</v>
      </c>
      <c r="N1393" s="19" t="n"/>
      <c r="O1393" s="19" t="n"/>
      <c r="P1393" s="19" t="n"/>
      <c r="Q1393" s="19" t="n"/>
      <c r="R1393" s="19" t="n"/>
      <c r="S1393" s="19" t="n"/>
      <c r="T1393" s="19" t="n"/>
      <c r="U1393" s="19" t="n"/>
      <c r="V1393" s="19" t="n"/>
      <c r="W1393" s="19" t="n"/>
      <c r="X1393" s="19" t="n"/>
      <c r="Y1393" s="19" t="n">
        <v>1</v>
      </c>
      <c r="Z1393" s="13">
        <f>SUMPRODUCT(N1393:Y1393,$N$2:$Y$2)*$K1393*$L1393*$M1393</f>
        <v/>
      </c>
      <c r="AA1393" s="14">
        <f>SUM(N1393:Y1393)</f>
        <v/>
      </c>
      <c r="AB1393" s="13">
        <f>SUMPRODUCT(N1393:Y1393,$N$3:$Y$3)*$K1393*$L1393*$M1393</f>
        <v/>
      </c>
      <c r="AC1393" s="13">
        <f>SUMPRODUCT(N1393:Y1393,$N$4:$Y$4)*$K1393*$L1393*$M1393</f>
        <v/>
      </c>
      <c r="AD1393" s="15" t="n">
        <v>3</v>
      </c>
      <c r="AE1393" s="11" t="n">
        <v>1.011296296296296</v>
      </c>
      <c r="AF1393" s="16">
        <f>SUMPRODUCT(N1393:Y1393,$N$5:$Y$5)*$K1393*$L1393*$M1393</f>
        <v/>
      </c>
      <c r="AG1393" s="16">
        <f>SUMPRODUCT(N1393:Y1393,$N$6:$Y$6)*$K1393*$L1393*$M1393</f>
        <v/>
      </c>
      <c r="AH1393" s="20" t="n"/>
    </row>
    <row r="1394">
      <c r="A1394" s="9" t="n">
        <v>687317</v>
      </c>
      <c r="B1394" s="9" t="inlineStr">
        <is>
          <t>Stu Flesland III</t>
        </is>
      </c>
      <c r="C1394" s="9" t="inlineStr">
        <is>
          <t>COL</t>
        </is>
      </c>
      <c r="D1394" s="9" t="n">
        <v>25</v>
      </c>
      <c r="E1394" s="18" t="inlineStr">
        <is>
          <t>L</t>
        </is>
      </c>
      <c r="F1394" s="18" t="n"/>
      <c r="G1394" s="9" t="n">
        <v>9.460000000000001</v>
      </c>
      <c r="H1394" s="9" t="n">
        <v>9.460000000000001</v>
      </c>
      <c r="I1394" s="9" t="inlineStr">
        <is>
          <t>Depth (no MLB IP)</t>
        </is>
      </c>
      <c r="J1394" s="18" t="inlineStr">
        <is>
          <t>Opening Day</t>
        </is>
      </c>
      <c r="K1394" s="11">
        <f>IFERROR(INDEX(Roles!$B$17:$B$20,MATCH(J1394,Roles!$A$17:$A$20,0)),1)</f>
        <v/>
      </c>
      <c r="L1394" s="19" t="n">
        <v>1</v>
      </c>
      <c r="M1394" s="11" t="n">
        <v>1</v>
      </c>
      <c r="N1394" s="19" t="n"/>
      <c r="O1394" s="19" t="n"/>
      <c r="P1394" s="19" t="n"/>
      <c r="Q1394" s="19" t="n"/>
      <c r="R1394" s="19" t="n"/>
      <c r="S1394" s="19" t="n"/>
      <c r="T1394" s="19" t="n"/>
      <c r="U1394" s="19" t="n"/>
      <c r="V1394" s="19" t="n"/>
      <c r="W1394" s="19" t="n"/>
      <c r="X1394" s="19" t="n"/>
      <c r="Y1394" s="19" t="n">
        <v>1</v>
      </c>
      <c r="Z1394" s="13">
        <f>SUMPRODUCT(N1394:Y1394,$N$2:$Y$2)*$K1394*$L1394*$M1394</f>
        <v/>
      </c>
      <c r="AA1394" s="14">
        <f>SUM(N1394:Y1394)</f>
        <v/>
      </c>
      <c r="AB1394" s="13">
        <f>SUMPRODUCT(N1394:Y1394,$N$3:$Y$3)*$K1394*$L1394*$M1394</f>
        <v/>
      </c>
      <c r="AC1394" s="13">
        <f>SUMPRODUCT(N1394:Y1394,$N$4:$Y$4)*$K1394*$L1394*$M1394</f>
        <v/>
      </c>
      <c r="AD1394" s="15" t="n">
        <v>3</v>
      </c>
      <c r="AE1394" s="11" t="n">
        <v>1.011296296296296</v>
      </c>
      <c r="AF1394" s="16">
        <f>SUMPRODUCT(N1394:Y1394,$N$5:$Y$5)*$K1394*$L1394*$M1394</f>
        <v/>
      </c>
      <c r="AG1394" s="16">
        <f>SUMPRODUCT(N1394:Y1394,$N$6:$Y$6)*$K1394*$L1394*$M1394</f>
        <v/>
      </c>
      <c r="AH1394" s="20" t="n"/>
    </row>
    <row r="1395">
      <c r="A1395" s="9" t="n">
        <v>810840</v>
      </c>
      <c r="B1395" s="9" t="inlineStr">
        <is>
          <t>Josh Blum</t>
        </is>
      </c>
      <c r="C1395" s="9" t="inlineStr">
        <is>
          <t>NYM</t>
        </is>
      </c>
      <c r="D1395" s="9" t="n">
        <v>25</v>
      </c>
      <c r="E1395" s="18" t="inlineStr">
        <is>
          <t>R</t>
        </is>
      </c>
      <c r="F1395" s="18" t="n"/>
      <c r="G1395" s="9" t="n">
        <v>9.746666666666668</v>
      </c>
      <c r="H1395" s="9" t="n">
        <v>9.746666666666668</v>
      </c>
      <c r="I1395" s="9" t="inlineStr">
        <is>
          <t>Depth (no MLB IP)</t>
        </is>
      </c>
      <c r="J1395" s="18" t="inlineStr">
        <is>
          <t>Opening Day</t>
        </is>
      </c>
      <c r="K1395" s="11">
        <f>IFERROR(INDEX(Roles!$B$17:$B$20,MATCH(J1395,Roles!$A$17:$A$20,0)),1)</f>
        <v/>
      </c>
      <c r="L1395" s="19" t="n">
        <v>1</v>
      </c>
      <c r="M1395" s="11" t="n">
        <v>1</v>
      </c>
      <c r="N1395" s="19" t="n"/>
      <c r="O1395" s="19" t="n"/>
      <c r="P1395" s="19" t="n"/>
      <c r="Q1395" s="19" t="n"/>
      <c r="R1395" s="19" t="n"/>
      <c r="S1395" s="19" t="n"/>
      <c r="T1395" s="19" t="n"/>
      <c r="U1395" s="19" t="n"/>
      <c r="V1395" s="19" t="n"/>
      <c r="W1395" s="19" t="n"/>
      <c r="X1395" s="19" t="n"/>
      <c r="Y1395" s="19" t="n">
        <v>1</v>
      </c>
      <c r="Z1395" s="13">
        <f>SUMPRODUCT(N1395:Y1395,$N$2:$Y$2)*$K1395*$L1395*$M1395</f>
        <v/>
      </c>
      <c r="AA1395" s="14">
        <f>SUM(N1395:Y1395)</f>
        <v/>
      </c>
      <c r="AB1395" s="13">
        <f>SUMPRODUCT(N1395:Y1395,$N$3:$Y$3)*$K1395*$L1395*$M1395</f>
        <v/>
      </c>
      <c r="AC1395" s="13">
        <f>SUMPRODUCT(N1395:Y1395,$N$4:$Y$4)*$K1395*$L1395*$M1395</f>
        <v/>
      </c>
      <c r="AD1395" s="15" t="n">
        <v>3</v>
      </c>
      <c r="AE1395" s="11" t="n">
        <v>1.011296296296296</v>
      </c>
      <c r="AF1395" s="16">
        <f>SUMPRODUCT(N1395:Y1395,$N$5:$Y$5)*$K1395*$L1395*$M1395</f>
        <v/>
      </c>
      <c r="AG1395" s="16">
        <f>SUMPRODUCT(N1395:Y1395,$N$6:$Y$6)*$K1395*$L1395*$M1395</f>
        <v/>
      </c>
      <c r="AH1395" s="20" t="n"/>
    </row>
    <row r="1396">
      <c r="A1396" s="9" t="n">
        <v>685125</v>
      </c>
      <c r="B1396" s="9" t="inlineStr">
        <is>
          <t>Christian Chamberlain</t>
        </is>
      </c>
      <c r="C1396" s="9" t="inlineStr">
        <is>
          <t>KC</t>
        </is>
      </c>
      <c r="D1396" s="9" t="n">
        <v>25</v>
      </c>
      <c r="E1396" s="18" t="inlineStr">
        <is>
          <t>L</t>
        </is>
      </c>
      <c r="F1396" s="18" t="n"/>
      <c r="G1396" s="9" t="n">
        <v>9.531666666666665</v>
      </c>
      <c r="H1396" s="9" t="n">
        <v>9.531666666666665</v>
      </c>
      <c r="I1396" s="9" t="inlineStr">
        <is>
          <t>Depth (no MLB IP)</t>
        </is>
      </c>
      <c r="J1396" s="18" t="inlineStr">
        <is>
          <t>Opening Day</t>
        </is>
      </c>
      <c r="K1396" s="11">
        <f>IFERROR(INDEX(Roles!$B$17:$B$20,MATCH(J1396,Roles!$A$17:$A$20,0)),1)</f>
        <v/>
      </c>
      <c r="L1396" s="19" t="n">
        <v>1</v>
      </c>
      <c r="M1396" s="11" t="n">
        <v>1</v>
      </c>
      <c r="N1396" s="19" t="n"/>
      <c r="O1396" s="19" t="n"/>
      <c r="P1396" s="19" t="n"/>
      <c r="Q1396" s="19" t="n"/>
      <c r="R1396" s="19" t="n"/>
      <c r="S1396" s="19" t="n"/>
      <c r="T1396" s="19" t="n"/>
      <c r="U1396" s="19" t="n"/>
      <c r="V1396" s="19" t="n"/>
      <c r="W1396" s="19" t="n"/>
      <c r="X1396" s="19" t="n"/>
      <c r="Y1396" s="19" t="n">
        <v>1</v>
      </c>
      <c r="Z1396" s="13">
        <f>SUMPRODUCT(N1396:Y1396,$N$2:$Y$2)*$K1396*$L1396*$M1396</f>
        <v/>
      </c>
      <c r="AA1396" s="14">
        <f>SUM(N1396:Y1396)</f>
        <v/>
      </c>
      <c r="AB1396" s="13">
        <f>SUMPRODUCT(N1396:Y1396,$N$3:$Y$3)*$K1396*$L1396*$M1396</f>
        <v/>
      </c>
      <c r="AC1396" s="13">
        <f>SUMPRODUCT(N1396:Y1396,$N$4:$Y$4)*$K1396*$L1396*$M1396</f>
        <v/>
      </c>
      <c r="AD1396" s="15" t="n">
        <v>3</v>
      </c>
      <c r="AE1396" s="11" t="n">
        <v>1.011296296296296</v>
      </c>
      <c r="AF1396" s="16">
        <f>SUMPRODUCT(N1396:Y1396,$N$5:$Y$5)*$K1396*$L1396*$M1396</f>
        <v/>
      </c>
      <c r="AG1396" s="16">
        <f>SUMPRODUCT(N1396:Y1396,$N$6:$Y$6)*$K1396*$L1396*$M1396</f>
        <v/>
      </c>
      <c r="AH1396" s="20" t="n"/>
    </row>
    <row r="1397">
      <c r="A1397" s="9" t="n">
        <v>811167</v>
      </c>
      <c r="B1397" s="9" t="inlineStr">
        <is>
          <t>Landen Payne</t>
        </is>
      </c>
      <c r="C1397" s="9" t="inlineStr">
        <is>
          <t>CWS</t>
        </is>
      </c>
      <c r="D1397" s="9" t="n">
        <v>25</v>
      </c>
      <c r="E1397" s="18" t="inlineStr">
        <is>
          <t>R</t>
        </is>
      </c>
      <c r="F1397" s="18" t="n"/>
      <c r="G1397" s="9" t="n">
        <v>9.746666666666668</v>
      </c>
      <c r="H1397" s="9" t="n">
        <v>9.746666666666668</v>
      </c>
      <c r="I1397" s="9" t="inlineStr">
        <is>
          <t>Depth (no MLB IP)</t>
        </is>
      </c>
      <c r="J1397" s="18" t="inlineStr">
        <is>
          <t>Opening Day</t>
        </is>
      </c>
      <c r="K1397" s="11">
        <f>IFERROR(INDEX(Roles!$B$17:$B$20,MATCH(J1397,Roles!$A$17:$A$20,0)),1)</f>
        <v/>
      </c>
      <c r="L1397" s="19" t="n">
        <v>1</v>
      </c>
      <c r="M1397" s="11" t="n">
        <v>1</v>
      </c>
      <c r="N1397" s="19" t="n"/>
      <c r="O1397" s="19" t="n"/>
      <c r="P1397" s="19" t="n"/>
      <c r="Q1397" s="19" t="n"/>
      <c r="R1397" s="19" t="n"/>
      <c r="S1397" s="19" t="n"/>
      <c r="T1397" s="19" t="n"/>
      <c r="U1397" s="19" t="n"/>
      <c r="V1397" s="19" t="n"/>
      <c r="W1397" s="19" t="n"/>
      <c r="X1397" s="19" t="n"/>
      <c r="Y1397" s="19" t="n">
        <v>1</v>
      </c>
      <c r="Z1397" s="13">
        <f>SUMPRODUCT(N1397:Y1397,$N$2:$Y$2)*$K1397*$L1397*$M1397</f>
        <v/>
      </c>
      <c r="AA1397" s="14">
        <f>SUM(N1397:Y1397)</f>
        <v/>
      </c>
      <c r="AB1397" s="13">
        <f>SUMPRODUCT(N1397:Y1397,$N$3:$Y$3)*$K1397*$L1397*$M1397</f>
        <v/>
      </c>
      <c r="AC1397" s="13">
        <f>SUMPRODUCT(N1397:Y1397,$N$4:$Y$4)*$K1397*$L1397*$M1397</f>
        <v/>
      </c>
      <c r="AD1397" s="15" t="n">
        <v>3</v>
      </c>
      <c r="AE1397" s="11" t="n">
        <v>1.011296296296296</v>
      </c>
      <c r="AF1397" s="16">
        <f>SUMPRODUCT(N1397:Y1397,$N$5:$Y$5)*$K1397*$L1397*$M1397</f>
        <v/>
      </c>
      <c r="AG1397" s="16">
        <f>SUMPRODUCT(N1397:Y1397,$N$6:$Y$6)*$K1397*$L1397*$M1397</f>
        <v/>
      </c>
      <c r="AH1397" s="20" t="n"/>
    </row>
    <row r="1398">
      <c r="A1398" s="9" t="n">
        <v>675356</v>
      </c>
      <c r="B1398" s="9" t="inlineStr">
        <is>
          <t>Jake Covey</t>
        </is>
      </c>
      <c r="C1398" s="9" t="inlineStr">
        <is>
          <t>MIN</t>
        </is>
      </c>
      <c r="D1398" s="9" t="n">
        <v>25</v>
      </c>
      <c r="E1398" s="18" t="inlineStr">
        <is>
          <t>R</t>
        </is>
      </c>
      <c r="F1398" s="18" t="n"/>
      <c r="G1398" s="9" t="n">
        <v>9.632</v>
      </c>
      <c r="H1398" s="9" t="n">
        <v>9.632</v>
      </c>
      <c r="I1398" s="9" t="inlineStr">
        <is>
          <t>Depth (no MLB IP)</t>
        </is>
      </c>
      <c r="J1398" s="18" t="inlineStr">
        <is>
          <t>Opening Day</t>
        </is>
      </c>
      <c r="K1398" s="11">
        <f>IFERROR(INDEX(Roles!$B$17:$B$20,MATCH(J1398,Roles!$A$17:$A$20,0)),1)</f>
        <v/>
      </c>
      <c r="L1398" s="19" t="n">
        <v>1</v>
      </c>
      <c r="M1398" s="11" t="n">
        <v>1</v>
      </c>
      <c r="N1398" s="19" t="n"/>
      <c r="O1398" s="19" t="n"/>
      <c r="P1398" s="19" t="n"/>
      <c r="Q1398" s="19" t="n"/>
      <c r="R1398" s="19" t="n"/>
      <c r="S1398" s="19" t="n"/>
      <c r="T1398" s="19" t="n"/>
      <c r="U1398" s="19" t="n"/>
      <c r="V1398" s="19" t="n"/>
      <c r="W1398" s="19" t="n"/>
      <c r="X1398" s="19" t="n"/>
      <c r="Y1398" s="19" t="n">
        <v>1</v>
      </c>
      <c r="Z1398" s="13">
        <f>SUMPRODUCT(N1398:Y1398,$N$2:$Y$2)*$K1398*$L1398*$M1398</f>
        <v/>
      </c>
      <c r="AA1398" s="14">
        <f>SUM(N1398:Y1398)</f>
        <v/>
      </c>
      <c r="AB1398" s="13">
        <f>SUMPRODUCT(N1398:Y1398,$N$3:$Y$3)*$K1398*$L1398*$M1398</f>
        <v/>
      </c>
      <c r="AC1398" s="13">
        <f>SUMPRODUCT(N1398:Y1398,$N$4:$Y$4)*$K1398*$L1398*$M1398</f>
        <v/>
      </c>
      <c r="AD1398" s="15" t="n">
        <v>3</v>
      </c>
      <c r="AE1398" s="11" t="n">
        <v>1.011296296296296</v>
      </c>
      <c r="AF1398" s="16">
        <f>SUMPRODUCT(N1398:Y1398,$N$5:$Y$5)*$K1398*$L1398*$M1398</f>
        <v/>
      </c>
      <c r="AG1398" s="16">
        <f>SUMPRODUCT(N1398:Y1398,$N$6:$Y$6)*$K1398*$L1398*$M1398</f>
        <v/>
      </c>
      <c r="AH1398" s="20" t="n"/>
    </row>
    <row r="1399">
      <c r="A1399" s="9" t="n">
        <v>808668</v>
      </c>
      <c r="B1399" s="9" t="inlineStr">
        <is>
          <t>Moises Amezquita</t>
        </is>
      </c>
      <c r="C1399" s="9" t="inlineStr">
        <is>
          <t>KC</t>
        </is>
      </c>
      <c r="D1399" s="9" t="n">
        <v>25</v>
      </c>
      <c r="E1399" s="18" t="inlineStr">
        <is>
          <t>L</t>
        </is>
      </c>
      <c r="F1399" s="18" t="n"/>
      <c r="G1399" s="9" t="n">
        <v>9.632</v>
      </c>
      <c r="H1399" s="9" t="n">
        <v>9.632</v>
      </c>
      <c r="I1399" s="9" t="inlineStr">
        <is>
          <t>Depth (no MLB IP)</t>
        </is>
      </c>
      <c r="J1399" s="18" t="inlineStr">
        <is>
          <t>Opening Day</t>
        </is>
      </c>
      <c r="K1399" s="11">
        <f>IFERROR(INDEX(Roles!$B$17:$B$20,MATCH(J1399,Roles!$A$17:$A$20,0)),1)</f>
        <v/>
      </c>
      <c r="L1399" s="19" t="n">
        <v>1</v>
      </c>
      <c r="M1399" s="11" t="n">
        <v>1</v>
      </c>
      <c r="N1399" s="19" t="n"/>
      <c r="O1399" s="19" t="n"/>
      <c r="P1399" s="19" t="n"/>
      <c r="Q1399" s="19" t="n"/>
      <c r="R1399" s="19" t="n"/>
      <c r="S1399" s="19" t="n"/>
      <c r="T1399" s="19" t="n"/>
      <c r="U1399" s="19" t="n"/>
      <c r="V1399" s="19" t="n"/>
      <c r="W1399" s="19" t="n"/>
      <c r="X1399" s="19" t="n"/>
      <c r="Y1399" s="19" t="n">
        <v>1</v>
      </c>
      <c r="Z1399" s="13">
        <f>SUMPRODUCT(N1399:Y1399,$N$2:$Y$2)*$K1399*$L1399*$M1399</f>
        <v/>
      </c>
      <c r="AA1399" s="14">
        <f>SUM(N1399:Y1399)</f>
        <v/>
      </c>
      <c r="AB1399" s="13">
        <f>SUMPRODUCT(N1399:Y1399,$N$3:$Y$3)*$K1399*$L1399*$M1399</f>
        <v/>
      </c>
      <c r="AC1399" s="13">
        <f>SUMPRODUCT(N1399:Y1399,$N$4:$Y$4)*$K1399*$L1399*$M1399</f>
        <v/>
      </c>
      <c r="AD1399" s="15" t="n">
        <v>3</v>
      </c>
      <c r="AE1399" s="11" t="n">
        <v>1.011296296296296</v>
      </c>
      <c r="AF1399" s="16">
        <f>SUMPRODUCT(N1399:Y1399,$N$5:$Y$5)*$K1399*$L1399*$M1399</f>
        <v/>
      </c>
      <c r="AG1399" s="16">
        <f>SUMPRODUCT(N1399:Y1399,$N$6:$Y$6)*$K1399*$L1399*$M1399</f>
        <v/>
      </c>
      <c r="AH1399" s="20" t="n"/>
    </row>
    <row r="1400">
      <c r="A1400" s="9" t="n">
        <v>701564</v>
      </c>
      <c r="B1400" s="9" t="inlineStr">
        <is>
          <t>Joe Adametz</t>
        </is>
      </c>
      <c r="C1400" s="9" t="inlineStr">
        <is>
          <t>TEX</t>
        </is>
      </c>
      <c r="D1400" s="9" t="n">
        <v>25</v>
      </c>
      <c r="E1400" s="18" t="inlineStr">
        <is>
          <t>L</t>
        </is>
      </c>
      <c r="F1400" s="18" t="n"/>
      <c r="G1400" s="9" t="n">
        <v>9.460000000000001</v>
      </c>
      <c r="H1400" s="9" t="n">
        <v>9.460000000000001</v>
      </c>
      <c r="I1400" s="9" t="inlineStr">
        <is>
          <t>Depth (no MLB IP)</t>
        </is>
      </c>
      <c r="J1400" s="18" t="inlineStr">
        <is>
          <t>Opening Day</t>
        </is>
      </c>
      <c r="K1400" s="11">
        <f>IFERROR(INDEX(Roles!$B$17:$B$20,MATCH(J1400,Roles!$A$17:$A$20,0)),1)</f>
        <v/>
      </c>
      <c r="L1400" s="19" t="n">
        <v>1</v>
      </c>
      <c r="M1400" s="11" t="n">
        <v>1</v>
      </c>
      <c r="N1400" s="19" t="n"/>
      <c r="O1400" s="19" t="n"/>
      <c r="P1400" s="19" t="n"/>
      <c r="Q1400" s="19" t="n"/>
      <c r="R1400" s="19" t="n"/>
      <c r="S1400" s="19" t="n"/>
      <c r="T1400" s="19" t="n"/>
      <c r="U1400" s="19" t="n"/>
      <c r="V1400" s="19" t="n"/>
      <c r="W1400" s="19" t="n"/>
      <c r="X1400" s="19" t="n"/>
      <c r="Y1400" s="19" t="n">
        <v>1</v>
      </c>
      <c r="Z1400" s="13">
        <f>SUMPRODUCT(N1400:Y1400,$N$2:$Y$2)*$K1400*$L1400*$M1400</f>
        <v/>
      </c>
      <c r="AA1400" s="14">
        <f>SUM(N1400:Y1400)</f>
        <v/>
      </c>
      <c r="AB1400" s="13">
        <f>SUMPRODUCT(N1400:Y1400,$N$3:$Y$3)*$K1400*$L1400*$M1400</f>
        <v/>
      </c>
      <c r="AC1400" s="13">
        <f>SUMPRODUCT(N1400:Y1400,$N$4:$Y$4)*$K1400*$L1400*$M1400</f>
        <v/>
      </c>
      <c r="AD1400" s="15" t="n">
        <v>3</v>
      </c>
      <c r="AE1400" s="11" t="n">
        <v>1.011296296296296</v>
      </c>
      <c r="AF1400" s="16">
        <f>SUMPRODUCT(N1400:Y1400,$N$5:$Y$5)*$K1400*$L1400*$M1400</f>
        <v/>
      </c>
      <c r="AG1400" s="16">
        <f>SUMPRODUCT(N1400:Y1400,$N$6:$Y$6)*$K1400*$L1400*$M1400</f>
        <v/>
      </c>
      <c r="AH1400" s="20" t="n"/>
    </row>
    <row r="1401">
      <c r="A1401" s="9" t="n">
        <v>808486</v>
      </c>
      <c r="B1401" s="9" t="inlineStr">
        <is>
          <t>Chen-Hsun Lee</t>
        </is>
      </c>
      <c r="C1401" s="9" t="inlineStr">
        <is>
          <t>SF</t>
        </is>
      </c>
      <c r="D1401" s="9" t="n">
        <v>25</v>
      </c>
      <c r="E1401" s="18" t="inlineStr">
        <is>
          <t>R</t>
        </is>
      </c>
      <c r="F1401" s="18" t="n"/>
      <c r="G1401" s="9" t="n">
        <v>9.804</v>
      </c>
      <c r="H1401" s="9" t="n">
        <v>9.804</v>
      </c>
      <c r="I1401" s="9" t="inlineStr">
        <is>
          <t>Depth (no MLB IP)</t>
        </is>
      </c>
      <c r="J1401" s="18" t="inlineStr">
        <is>
          <t>Opening Day</t>
        </is>
      </c>
      <c r="K1401" s="11">
        <f>IFERROR(INDEX(Roles!$B$17:$B$20,MATCH(J1401,Roles!$A$17:$A$20,0)),1)</f>
        <v/>
      </c>
      <c r="L1401" s="19" t="n">
        <v>1</v>
      </c>
      <c r="M1401" s="11" t="n">
        <v>1</v>
      </c>
      <c r="N1401" s="19" t="n"/>
      <c r="O1401" s="19" t="n"/>
      <c r="P1401" s="19" t="n"/>
      <c r="Q1401" s="19" t="n"/>
      <c r="R1401" s="19" t="n"/>
      <c r="S1401" s="19" t="n"/>
      <c r="T1401" s="19" t="n"/>
      <c r="U1401" s="19" t="n"/>
      <c r="V1401" s="19" t="n"/>
      <c r="W1401" s="19" t="n"/>
      <c r="X1401" s="19" t="n"/>
      <c r="Y1401" s="19" t="n">
        <v>1</v>
      </c>
      <c r="Z1401" s="13">
        <f>SUMPRODUCT(N1401:Y1401,$N$2:$Y$2)*$K1401*$L1401*$M1401</f>
        <v/>
      </c>
      <c r="AA1401" s="14">
        <f>SUM(N1401:Y1401)</f>
        <v/>
      </c>
      <c r="AB1401" s="13">
        <f>SUMPRODUCT(N1401:Y1401,$N$3:$Y$3)*$K1401*$L1401*$M1401</f>
        <v/>
      </c>
      <c r="AC1401" s="13">
        <f>SUMPRODUCT(N1401:Y1401,$N$4:$Y$4)*$K1401*$L1401*$M1401</f>
        <v/>
      </c>
      <c r="AD1401" s="15" t="n">
        <v>3</v>
      </c>
      <c r="AE1401" s="11" t="n">
        <v>1.011296296296296</v>
      </c>
      <c r="AF1401" s="16">
        <f>SUMPRODUCT(N1401:Y1401,$N$5:$Y$5)*$K1401*$L1401*$M1401</f>
        <v/>
      </c>
      <c r="AG1401" s="16">
        <f>SUMPRODUCT(N1401:Y1401,$N$6:$Y$6)*$K1401*$L1401*$M1401</f>
        <v/>
      </c>
      <c r="AH1401" s="20" t="n"/>
    </row>
    <row r="1402">
      <c r="A1402" s="9" t="n">
        <v>696277</v>
      </c>
      <c r="B1402" s="9" t="inlineStr">
        <is>
          <t>Mason Marriott</t>
        </is>
      </c>
      <c r="C1402" s="9" t="inlineStr">
        <is>
          <t>ARI</t>
        </is>
      </c>
      <c r="D1402" s="9" t="n">
        <v>25</v>
      </c>
      <c r="E1402" s="18" t="inlineStr">
        <is>
          <t>R</t>
        </is>
      </c>
      <c r="F1402" s="18" t="n"/>
      <c r="G1402" s="9" t="n">
        <v>9.531666666666665</v>
      </c>
      <c r="H1402" s="9" t="n">
        <v>9.531666666666665</v>
      </c>
      <c r="I1402" s="9" t="inlineStr">
        <is>
          <t>Depth (no MLB IP)</t>
        </is>
      </c>
      <c r="J1402" s="18" t="inlineStr">
        <is>
          <t>Opening Day</t>
        </is>
      </c>
      <c r="K1402" s="11">
        <f>IFERROR(INDEX(Roles!$B$17:$B$20,MATCH(J1402,Roles!$A$17:$A$20,0)),1)</f>
        <v/>
      </c>
      <c r="L1402" s="19" t="n">
        <v>1</v>
      </c>
      <c r="M1402" s="11" t="n">
        <v>1</v>
      </c>
      <c r="N1402" s="19" t="n"/>
      <c r="O1402" s="19" t="n"/>
      <c r="P1402" s="19" t="n"/>
      <c r="Q1402" s="19" t="n"/>
      <c r="R1402" s="19" t="n"/>
      <c r="S1402" s="19" t="n"/>
      <c r="T1402" s="19" t="n"/>
      <c r="U1402" s="19" t="n"/>
      <c r="V1402" s="19" t="n"/>
      <c r="W1402" s="19" t="n"/>
      <c r="X1402" s="19" t="n"/>
      <c r="Y1402" s="19" t="n">
        <v>1</v>
      </c>
      <c r="Z1402" s="13">
        <f>SUMPRODUCT(N1402:Y1402,$N$2:$Y$2)*$K1402*$L1402*$M1402</f>
        <v/>
      </c>
      <c r="AA1402" s="14">
        <f>SUM(N1402:Y1402)</f>
        <v/>
      </c>
      <c r="AB1402" s="13">
        <f>SUMPRODUCT(N1402:Y1402,$N$3:$Y$3)*$K1402*$L1402*$M1402</f>
        <v/>
      </c>
      <c r="AC1402" s="13">
        <f>SUMPRODUCT(N1402:Y1402,$N$4:$Y$4)*$K1402*$L1402*$M1402</f>
        <v/>
      </c>
      <c r="AD1402" s="15" t="n">
        <v>3</v>
      </c>
      <c r="AE1402" s="11" t="n">
        <v>1.011296296296296</v>
      </c>
      <c r="AF1402" s="16">
        <f>SUMPRODUCT(N1402:Y1402,$N$5:$Y$5)*$K1402*$L1402*$M1402</f>
        <v/>
      </c>
      <c r="AG1402" s="16">
        <f>SUMPRODUCT(N1402:Y1402,$N$6:$Y$6)*$K1402*$L1402*$M1402</f>
        <v/>
      </c>
      <c r="AH1402" s="20" t="n"/>
    </row>
    <row r="1403">
      <c r="A1403" s="9" t="n">
        <v>804942</v>
      </c>
      <c r="B1403" s="9" t="inlineStr">
        <is>
          <t>Cam Leiter</t>
        </is>
      </c>
      <c r="C1403" s="9" t="inlineStr">
        <is>
          <t>LAD</t>
        </is>
      </c>
      <c r="D1403" s="9" t="n">
        <v>23</v>
      </c>
      <c r="E1403" s="18" t="inlineStr">
        <is>
          <t>R</t>
        </is>
      </c>
      <c r="F1403" s="18" t="n"/>
      <c r="G1403" s="9" t="n">
        <v>9.746666666666668</v>
      </c>
      <c r="H1403" s="9" t="n">
        <v>9.746666666666668</v>
      </c>
      <c r="I1403" s="9" t="inlineStr">
        <is>
          <t>Depth (no MLB IP)</t>
        </is>
      </c>
      <c r="J1403" s="18" t="inlineStr">
        <is>
          <t>Opening Day</t>
        </is>
      </c>
      <c r="K1403" s="11">
        <f>IFERROR(INDEX(Roles!$B$17:$B$20,MATCH(J1403,Roles!$A$17:$A$20,0)),1)</f>
        <v/>
      </c>
      <c r="L1403" s="19" t="n">
        <v>1</v>
      </c>
      <c r="M1403" s="11" t="n">
        <v>1</v>
      </c>
      <c r="N1403" s="19" t="n"/>
      <c r="O1403" s="19" t="n"/>
      <c r="P1403" s="19" t="n"/>
      <c r="Q1403" s="19" t="n"/>
      <c r="R1403" s="19" t="n"/>
      <c r="S1403" s="19" t="n"/>
      <c r="T1403" s="19" t="n"/>
      <c r="U1403" s="19" t="n"/>
      <c r="V1403" s="19" t="n"/>
      <c r="W1403" s="19" t="n"/>
      <c r="X1403" s="19" t="n"/>
      <c r="Y1403" s="19" t="n">
        <v>1</v>
      </c>
      <c r="Z1403" s="13">
        <f>SUMPRODUCT(N1403:Y1403,$N$2:$Y$2)*$K1403*$L1403*$M1403</f>
        <v/>
      </c>
      <c r="AA1403" s="14">
        <f>SUM(N1403:Y1403)</f>
        <v/>
      </c>
      <c r="AB1403" s="13">
        <f>SUMPRODUCT(N1403:Y1403,$N$3:$Y$3)*$K1403*$L1403*$M1403</f>
        <v/>
      </c>
      <c r="AC1403" s="13">
        <f>SUMPRODUCT(N1403:Y1403,$N$4:$Y$4)*$K1403*$L1403*$M1403</f>
        <v/>
      </c>
      <c r="AD1403" s="15" t="n">
        <v>3</v>
      </c>
      <c r="AE1403" s="11" t="n">
        <v>1.011296296296296</v>
      </c>
      <c r="AF1403" s="16">
        <f>SUMPRODUCT(N1403:Y1403,$N$5:$Y$5)*$K1403*$L1403*$M1403</f>
        <v/>
      </c>
      <c r="AG1403" s="16">
        <f>SUMPRODUCT(N1403:Y1403,$N$6:$Y$6)*$K1403*$L1403*$M1403</f>
        <v/>
      </c>
      <c r="AH1403" s="20" t="n"/>
    </row>
    <row r="1404">
      <c r="A1404" s="9" t="n">
        <v>681357</v>
      </c>
      <c r="B1404" s="9" t="inlineStr">
        <is>
          <t>Cody Morissette</t>
        </is>
      </c>
      <c r="C1404" s="9" t="inlineStr">
        <is>
          <t>MIA</t>
        </is>
      </c>
      <c r="D1404" s="9" t="n">
        <v>25</v>
      </c>
      <c r="E1404" s="18" t="inlineStr">
        <is>
          <t>R</t>
        </is>
      </c>
      <c r="F1404" s="18" t="n"/>
      <c r="G1404" s="9" t="n">
        <v>9.460000000000001</v>
      </c>
      <c r="H1404" s="9" t="n">
        <v>9.460000000000001</v>
      </c>
      <c r="I1404" s="9" t="inlineStr">
        <is>
          <t>Depth (no MLB IP)</t>
        </is>
      </c>
      <c r="J1404" s="18" t="inlineStr">
        <is>
          <t>Opening Day</t>
        </is>
      </c>
      <c r="K1404" s="11">
        <f>IFERROR(INDEX(Roles!$B$17:$B$20,MATCH(J1404,Roles!$A$17:$A$20,0)),1)</f>
        <v/>
      </c>
      <c r="L1404" s="19" t="n">
        <v>1</v>
      </c>
      <c r="M1404" s="11" t="n">
        <v>1</v>
      </c>
      <c r="N1404" s="19" t="n"/>
      <c r="O1404" s="19" t="n"/>
      <c r="P1404" s="19" t="n"/>
      <c r="Q1404" s="19" t="n"/>
      <c r="R1404" s="19" t="n"/>
      <c r="S1404" s="19" t="n"/>
      <c r="T1404" s="19" t="n"/>
      <c r="U1404" s="19" t="n"/>
      <c r="V1404" s="19" t="n"/>
      <c r="W1404" s="19" t="n"/>
      <c r="X1404" s="19" t="n"/>
      <c r="Y1404" s="19" t="n">
        <v>1</v>
      </c>
      <c r="Z1404" s="13">
        <f>SUMPRODUCT(N1404:Y1404,$N$2:$Y$2)*$K1404*$L1404*$M1404</f>
        <v/>
      </c>
      <c r="AA1404" s="14">
        <f>SUM(N1404:Y1404)</f>
        <v/>
      </c>
      <c r="AB1404" s="13">
        <f>SUMPRODUCT(N1404:Y1404,$N$3:$Y$3)*$K1404*$L1404*$M1404</f>
        <v/>
      </c>
      <c r="AC1404" s="13">
        <f>SUMPRODUCT(N1404:Y1404,$N$4:$Y$4)*$K1404*$L1404*$M1404</f>
        <v/>
      </c>
      <c r="AD1404" s="15" t="n">
        <v>3</v>
      </c>
      <c r="AE1404" s="11" t="n">
        <v>1.011296296296296</v>
      </c>
      <c r="AF1404" s="16">
        <f>SUMPRODUCT(N1404:Y1404,$N$5:$Y$5)*$K1404*$L1404*$M1404</f>
        <v/>
      </c>
      <c r="AG1404" s="16">
        <f>SUMPRODUCT(N1404:Y1404,$N$6:$Y$6)*$K1404*$L1404*$M1404</f>
        <v/>
      </c>
      <c r="AH1404" s="20" t="n"/>
    </row>
    <row r="1405">
      <c r="A1405" s="9" t="n">
        <v>676700</v>
      </c>
      <c r="B1405" s="9" t="inlineStr">
        <is>
          <t>Caleb Bolden</t>
        </is>
      </c>
      <c r="C1405" s="9" t="inlineStr">
        <is>
          <t>BOS</t>
        </is>
      </c>
      <c r="D1405" s="9" t="n">
        <v>25</v>
      </c>
      <c r="E1405" s="18" t="inlineStr">
        <is>
          <t>R</t>
        </is>
      </c>
      <c r="F1405" s="18" t="n"/>
      <c r="G1405" s="9" t="n">
        <v>9.460000000000001</v>
      </c>
      <c r="H1405" s="9" t="n">
        <v>9.460000000000001</v>
      </c>
      <c r="I1405" s="9" t="inlineStr">
        <is>
          <t>Depth (no MLB IP)</t>
        </is>
      </c>
      <c r="J1405" s="18" t="inlineStr">
        <is>
          <t>Opening Day</t>
        </is>
      </c>
      <c r="K1405" s="11">
        <f>IFERROR(INDEX(Roles!$B$17:$B$20,MATCH(J1405,Roles!$A$17:$A$20,0)),1)</f>
        <v/>
      </c>
      <c r="L1405" s="19" t="n">
        <v>1</v>
      </c>
      <c r="M1405" s="11" t="n">
        <v>1</v>
      </c>
      <c r="N1405" s="19" t="n"/>
      <c r="O1405" s="19" t="n"/>
      <c r="P1405" s="19" t="n"/>
      <c r="Q1405" s="19" t="n"/>
      <c r="R1405" s="19" t="n"/>
      <c r="S1405" s="19" t="n"/>
      <c r="T1405" s="19" t="n"/>
      <c r="U1405" s="19" t="n"/>
      <c r="V1405" s="19" t="n"/>
      <c r="W1405" s="19" t="n"/>
      <c r="X1405" s="19" t="n"/>
      <c r="Y1405" s="19" t="n">
        <v>1</v>
      </c>
      <c r="Z1405" s="13">
        <f>SUMPRODUCT(N1405:Y1405,$N$2:$Y$2)*$K1405*$L1405*$M1405</f>
        <v/>
      </c>
      <c r="AA1405" s="14">
        <f>SUM(N1405:Y1405)</f>
        <v/>
      </c>
      <c r="AB1405" s="13">
        <f>SUMPRODUCT(N1405:Y1405,$N$3:$Y$3)*$K1405*$L1405*$M1405</f>
        <v/>
      </c>
      <c r="AC1405" s="13">
        <f>SUMPRODUCT(N1405:Y1405,$N$4:$Y$4)*$K1405*$L1405*$M1405</f>
        <v/>
      </c>
      <c r="AD1405" s="15" t="n">
        <v>3</v>
      </c>
      <c r="AE1405" s="11" t="n">
        <v>1.011296296296296</v>
      </c>
      <c r="AF1405" s="16">
        <f>SUMPRODUCT(N1405:Y1405,$N$5:$Y$5)*$K1405*$L1405*$M1405</f>
        <v/>
      </c>
      <c r="AG1405" s="16">
        <f>SUMPRODUCT(N1405:Y1405,$N$6:$Y$6)*$K1405*$L1405*$M1405</f>
        <v/>
      </c>
      <c r="AH1405" s="20" t="n"/>
    </row>
    <row r="1406">
      <c r="A1406" s="9" t="n">
        <v>821318</v>
      </c>
      <c r="B1406" s="9" t="inlineStr">
        <is>
          <t>Augie Mojica</t>
        </is>
      </c>
      <c r="C1406" s="9" t="inlineStr">
        <is>
          <t>ARI</t>
        </is>
      </c>
      <c r="D1406" s="9" t="n">
        <v>25</v>
      </c>
      <c r="E1406" s="18" t="inlineStr">
        <is>
          <t>R</t>
        </is>
      </c>
      <c r="F1406" s="18" t="n"/>
      <c r="G1406" s="9" t="n">
        <v>9.746666666666668</v>
      </c>
      <c r="H1406" s="9" t="n">
        <v>9.746666666666668</v>
      </c>
      <c r="I1406" s="9" t="inlineStr">
        <is>
          <t>Depth (no MLB IP)</t>
        </is>
      </c>
      <c r="J1406" s="18" t="inlineStr">
        <is>
          <t>Opening Day</t>
        </is>
      </c>
      <c r="K1406" s="11">
        <f>IFERROR(INDEX(Roles!$B$17:$B$20,MATCH(J1406,Roles!$A$17:$A$20,0)),1)</f>
        <v/>
      </c>
      <c r="L1406" s="19" t="n">
        <v>1</v>
      </c>
      <c r="M1406" s="11" t="n">
        <v>1</v>
      </c>
      <c r="N1406" s="19" t="n"/>
      <c r="O1406" s="19" t="n"/>
      <c r="P1406" s="19" t="n"/>
      <c r="Q1406" s="19" t="n"/>
      <c r="R1406" s="19" t="n"/>
      <c r="S1406" s="19" t="n"/>
      <c r="T1406" s="19" t="n"/>
      <c r="U1406" s="19" t="n"/>
      <c r="V1406" s="19" t="n"/>
      <c r="W1406" s="19" t="n"/>
      <c r="X1406" s="19" t="n"/>
      <c r="Y1406" s="19" t="n">
        <v>1</v>
      </c>
      <c r="Z1406" s="13">
        <f>SUMPRODUCT(N1406:Y1406,$N$2:$Y$2)*$K1406*$L1406*$M1406</f>
        <v/>
      </c>
      <c r="AA1406" s="14">
        <f>SUM(N1406:Y1406)</f>
        <v/>
      </c>
      <c r="AB1406" s="13">
        <f>SUMPRODUCT(N1406:Y1406,$N$3:$Y$3)*$K1406*$L1406*$M1406</f>
        <v/>
      </c>
      <c r="AC1406" s="13">
        <f>SUMPRODUCT(N1406:Y1406,$N$4:$Y$4)*$K1406*$L1406*$M1406</f>
        <v/>
      </c>
      <c r="AD1406" s="15" t="n">
        <v>3</v>
      </c>
      <c r="AE1406" s="11" t="n">
        <v>1.011296296296296</v>
      </c>
      <c r="AF1406" s="16">
        <f>SUMPRODUCT(N1406:Y1406,$N$5:$Y$5)*$K1406*$L1406*$M1406</f>
        <v/>
      </c>
      <c r="AG1406" s="16">
        <f>SUMPRODUCT(N1406:Y1406,$N$6:$Y$6)*$K1406*$L1406*$M1406</f>
        <v/>
      </c>
      <c r="AH1406" s="20" t="n"/>
    </row>
    <row r="1407">
      <c r="A1407" s="9" t="n">
        <v>686671</v>
      </c>
      <c r="B1407" s="9" t="inlineStr">
        <is>
          <t>Thomas Farr</t>
        </is>
      </c>
      <c r="C1407" s="9" t="inlineStr">
        <is>
          <t>CIN</t>
        </is>
      </c>
      <c r="D1407" s="9" t="n">
        <v>25</v>
      </c>
      <c r="E1407" s="18" t="inlineStr">
        <is>
          <t>R</t>
        </is>
      </c>
      <c r="F1407" s="18" t="n"/>
      <c r="G1407" s="9" t="n">
        <v>9.460000000000001</v>
      </c>
      <c r="H1407" s="9" t="n">
        <v>9.460000000000001</v>
      </c>
      <c r="I1407" s="9" t="inlineStr">
        <is>
          <t>Depth (no MLB IP)</t>
        </is>
      </c>
      <c r="J1407" s="18" t="inlineStr">
        <is>
          <t>Opening Day</t>
        </is>
      </c>
      <c r="K1407" s="11">
        <f>IFERROR(INDEX(Roles!$B$17:$B$20,MATCH(J1407,Roles!$A$17:$A$20,0)),1)</f>
        <v/>
      </c>
      <c r="L1407" s="19" t="n">
        <v>1</v>
      </c>
      <c r="M1407" s="11" t="n">
        <v>1</v>
      </c>
      <c r="N1407" s="19" t="n"/>
      <c r="O1407" s="19" t="n"/>
      <c r="P1407" s="19" t="n"/>
      <c r="Q1407" s="19" t="n"/>
      <c r="R1407" s="19" t="n"/>
      <c r="S1407" s="19" t="n"/>
      <c r="T1407" s="19" t="n"/>
      <c r="U1407" s="19" t="n"/>
      <c r="V1407" s="19" t="n"/>
      <c r="W1407" s="19" t="n"/>
      <c r="X1407" s="19" t="n"/>
      <c r="Y1407" s="19" t="n">
        <v>1</v>
      </c>
      <c r="Z1407" s="13">
        <f>SUMPRODUCT(N1407:Y1407,$N$2:$Y$2)*$K1407*$L1407*$M1407</f>
        <v/>
      </c>
      <c r="AA1407" s="14">
        <f>SUM(N1407:Y1407)</f>
        <v/>
      </c>
      <c r="AB1407" s="13">
        <f>SUMPRODUCT(N1407:Y1407,$N$3:$Y$3)*$K1407*$L1407*$M1407</f>
        <v/>
      </c>
      <c r="AC1407" s="13">
        <f>SUMPRODUCT(N1407:Y1407,$N$4:$Y$4)*$K1407*$L1407*$M1407</f>
        <v/>
      </c>
      <c r="AD1407" s="15" t="n">
        <v>3</v>
      </c>
      <c r="AE1407" s="11" t="n">
        <v>1.011296296296296</v>
      </c>
      <c r="AF1407" s="16">
        <f>SUMPRODUCT(N1407:Y1407,$N$5:$Y$5)*$K1407*$L1407*$M1407</f>
        <v/>
      </c>
      <c r="AG1407" s="16">
        <f>SUMPRODUCT(N1407:Y1407,$N$6:$Y$6)*$K1407*$L1407*$M1407</f>
        <v/>
      </c>
      <c r="AH1407" s="20" t="n"/>
    </row>
    <row r="1408">
      <c r="A1408" s="9" t="n">
        <v>808537</v>
      </c>
      <c r="B1408" s="9" t="inlineStr">
        <is>
          <t>Miguel Toscano</t>
        </is>
      </c>
      <c r="C1408" s="9" t="inlineStr">
        <is>
          <t>TB</t>
        </is>
      </c>
      <c r="D1408" s="9" t="n">
        <v>25</v>
      </c>
      <c r="E1408" s="18" t="inlineStr">
        <is>
          <t>R</t>
        </is>
      </c>
      <c r="F1408" s="18" t="n"/>
      <c r="G1408" s="9" t="n">
        <v>9.804</v>
      </c>
      <c r="H1408" s="9" t="n">
        <v>9.804</v>
      </c>
      <c r="I1408" s="9" t="inlineStr">
        <is>
          <t>Depth (no MLB IP)</t>
        </is>
      </c>
      <c r="J1408" s="18" t="inlineStr">
        <is>
          <t>Opening Day</t>
        </is>
      </c>
      <c r="K1408" s="11">
        <f>IFERROR(INDEX(Roles!$B$17:$B$20,MATCH(J1408,Roles!$A$17:$A$20,0)),1)</f>
        <v/>
      </c>
      <c r="L1408" s="19" t="n">
        <v>1</v>
      </c>
      <c r="M1408" s="11" t="n">
        <v>1</v>
      </c>
      <c r="N1408" s="19" t="n"/>
      <c r="O1408" s="19" t="n"/>
      <c r="P1408" s="19" t="n"/>
      <c r="Q1408" s="19" t="n"/>
      <c r="R1408" s="19" t="n"/>
      <c r="S1408" s="19" t="n"/>
      <c r="T1408" s="19" t="n"/>
      <c r="U1408" s="19" t="n"/>
      <c r="V1408" s="19" t="n"/>
      <c r="W1408" s="19" t="n"/>
      <c r="X1408" s="19" t="n"/>
      <c r="Y1408" s="19" t="n">
        <v>1</v>
      </c>
      <c r="Z1408" s="13">
        <f>SUMPRODUCT(N1408:Y1408,$N$2:$Y$2)*$K1408*$L1408*$M1408</f>
        <v/>
      </c>
      <c r="AA1408" s="14">
        <f>SUM(N1408:Y1408)</f>
        <v/>
      </c>
      <c r="AB1408" s="13">
        <f>SUMPRODUCT(N1408:Y1408,$N$3:$Y$3)*$K1408*$L1408*$M1408</f>
        <v/>
      </c>
      <c r="AC1408" s="13">
        <f>SUMPRODUCT(N1408:Y1408,$N$4:$Y$4)*$K1408*$L1408*$M1408</f>
        <v/>
      </c>
      <c r="AD1408" s="15" t="n">
        <v>3</v>
      </c>
      <c r="AE1408" s="11" t="n">
        <v>1.011296296296296</v>
      </c>
      <c r="AF1408" s="16">
        <f>SUMPRODUCT(N1408:Y1408,$N$5:$Y$5)*$K1408*$L1408*$M1408</f>
        <v/>
      </c>
      <c r="AG1408" s="16">
        <f>SUMPRODUCT(N1408:Y1408,$N$6:$Y$6)*$K1408*$L1408*$M1408</f>
        <v/>
      </c>
      <c r="AH1408" s="20" t="n"/>
    </row>
    <row r="1409">
      <c r="A1409" s="9" t="n">
        <v>703523</v>
      </c>
      <c r="B1409" s="9" t="inlineStr">
        <is>
          <t>Seth Clausen</t>
        </is>
      </c>
      <c r="C1409" s="9" t="inlineStr">
        <is>
          <t>COL</t>
        </is>
      </c>
      <c r="D1409" s="9" t="n">
        <v>25</v>
      </c>
      <c r="E1409" s="18" t="inlineStr">
        <is>
          <t>R</t>
        </is>
      </c>
      <c r="F1409" s="18" t="n"/>
      <c r="G1409" s="9" t="n">
        <v>9.746666666666668</v>
      </c>
      <c r="H1409" s="9" t="n">
        <v>9.746666666666668</v>
      </c>
      <c r="I1409" s="9" t="inlineStr">
        <is>
          <t>Depth (no MLB IP)</t>
        </is>
      </c>
      <c r="J1409" s="18" t="inlineStr">
        <is>
          <t>Opening Day</t>
        </is>
      </c>
      <c r="K1409" s="11">
        <f>IFERROR(INDEX(Roles!$B$17:$B$20,MATCH(J1409,Roles!$A$17:$A$20,0)),1)</f>
        <v/>
      </c>
      <c r="L1409" s="19" t="n">
        <v>1</v>
      </c>
      <c r="M1409" s="11" t="n">
        <v>1</v>
      </c>
      <c r="N1409" s="19" t="n"/>
      <c r="O1409" s="19" t="n"/>
      <c r="P1409" s="19" t="n"/>
      <c r="Q1409" s="19" t="n"/>
      <c r="R1409" s="19" t="n"/>
      <c r="S1409" s="19" t="n"/>
      <c r="T1409" s="19" t="n"/>
      <c r="U1409" s="19" t="n"/>
      <c r="V1409" s="19" t="n"/>
      <c r="W1409" s="19" t="n"/>
      <c r="X1409" s="19" t="n"/>
      <c r="Y1409" s="19" t="n">
        <v>1</v>
      </c>
      <c r="Z1409" s="13">
        <f>SUMPRODUCT(N1409:Y1409,$N$2:$Y$2)*$K1409*$L1409*$M1409</f>
        <v/>
      </c>
      <c r="AA1409" s="14">
        <f>SUM(N1409:Y1409)</f>
        <v/>
      </c>
      <c r="AB1409" s="13">
        <f>SUMPRODUCT(N1409:Y1409,$N$3:$Y$3)*$K1409*$L1409*$M1409</f>
        <v/>
      </c>
      <c r="AC1409" s="13">
        <f>SUMPRODUCT(N1409:Y1409,$N$4:$Y$4)*$K1409*$L1409*$M1409</f>
        <v/>
      </c>
      <c r="AD1409" s="15" t="n">
        <v>3</v>
      </c>
      <c r="AE1409" s="11" t="n">
        <v>1.011296296296296</v>
      </c>
      <c r="AF1409" s="16">
        <f>SUMPRODUCT(N1409:Y1409,$N$5:$Y$5)*$K1409*$L1409*$M1409</f>
        <v/>
      </c>
      <c r="AG1409" s="16">
        <f>SUMPRODUCT(N1409:Y1409,$N$6:$Y$6)*$K1409*$L1409*$M1409</f>
        <v/>
      </c>
      <c r="AH1409" s="20" t="n"/>
    </row>
    <row r="1410">
      <c r="A1410" s="9" t="n">
        <v>820961</v>
      </c>
      <c r="B1410" s="9" t="inlineStr">
        <is>
          <t>Gerinton Mendez</t>
        </is>
      </c>
      <c r="C1410" s="9" t="inlineStr">
        <is>
          <t>MIA</t>
        </is>
      </c>
      <c r="D1410" s="9" t="n">
        <v>25</v>
      </c>
      <c r="E1410" s="18" t="inlineStr">
        <is>
          <t>R</t>
        </is>
      </c>
      <c r="F1410" s="18" t="n"/>
      <c r="G1410" s="9" t="n">
        <v>9.804</v>
      </c>
      <c r="H1410" s="9" t="n">
        <v>9.804</v>
      </c>
      <c r="I1410" s="9" t="inlineStr">
        <is>
          <t>Depth (no MLB IP)</t>
        </is>
      </c>
      <c r="J1410" s="18" t="inlineStr">
        <is>
          <t>Opening Day</t>
        </is>
      </c>
      <c r="K1410" s="11">
        <f>IFERROR(INDEX(Roles!$B$17:$B$20,MATCH(J1410,Roles!$A$17:$A$20,0)),1)</f>
        <v/>
      </c>
      <c r="L1410" s="19" t="n">
        <v>1</v>
      </c>
      <c r="M1410" s="11" t="n">
        <v>1</v>
      </c>
      <c r="N1410" s="19" t="n"/>
      <c r="O1410" s="19" t="n"/>
      <c r="P1410" s="19" t="n"/>
      <c r="Q1410" s="19" t="n"/>
      <c r="R1410" s="19" t="n"/>
      <c r="S1410" s="19" t="n"/>
      <c r="T1410" s="19" t="n"/>
      <c r="U1410" s="19" t="n"/>
      <c r="V1410" s="19" t="n"/>
      <c r="W1410" s="19" t="n"/>
      <c r="X1410" s="19" t="n"/>
      <c r="Y1410" s="19" t="n">
        <v>1</v>
      </c>
      <c r="Z1410" s="13">
        <f>SUMPRODUCT(N1410:Y1410,$N$2:$Y$2)*$K1410*$L1410*$M1410</f>
        <v/>
      </c>
      <c r="AA1410" s="14">
        <f>SUM(N1410:Y1410)</f>
        <v/>
      </c>
      <c r="AB1410" s="13">
        <f>SUMPRODUCT(N1410:Y1410,$N$3:$Y$3)*$K1410*$L1410*$M1410</f>
        <v/>
      </c>
      <c r="AC1410" s="13">
        <f>SUMPRODUCT(N1410:Y1410,$N$4:$Y$4)*$K1410*$L1410*$M1410</f>
        <v/>
      </c>
      <c r="AD1410" s="15" t="n">
        <v>3</v>
      </c>
      <c r="AE1410" s="11" t="n">
        <v>1.011296296296296</v>
      </c>
      <c r="AF1410" s="16">
        <f>SUMPRODUCT(N1410:Y1410,$N$5:$Y$5)*$K1410*$L1410*$M1410</f>
        <v/>
      </c>
      <c r="AG1410" s="16">
        <f>SUMPRODUCT(N1410:Y1410,$N$6:$Y$6)*$K1410*$L1410*$M1410</f>
        <v/>
      </c>
      <c r="AH1410" s="20" t="n"/>
    </row>
    <row r="1411">
      <c r="A1411" s="9" t="n">
        <v>807077</v>
      </c>
      <c r="B1411" s="9" t="inlineStr">
        <is>
          <t>Will Hynes</t>
        </is>
      </c>
      <c r="C1411" s="9" t="inlineStr">
        <is>
          <t>CLE</t>
        </is>
      </c>
      <c r="D1411" s="9" t="n">
        <v>25</v>
      </c>
      <c r="E1411" s="18" t="inlineStr">
        <is>
          <t>R</t>
        </is>
      </c>
      <c r="F1411" s="18" t="n"/>
      <c r="G1411" s="9" t="n">
        <v>9.804</v>
      </c>
      <c r="H1411" s="9" t="n">
        <v>9.804</v>
      </c>
      <c r="I1411" s="9" t="inlineStr">
        <is>
          <t>Depth (no MLB IP)</t>
        </is>
      </c>
      <c r="J1411" s="18" t="inlineStr">
        <is>
          <t>Opening Day</t>
        </is>
      </c>
      <c r="K1411" s="11">
        <f>IFERROR(INDEX(Roles!$B$17:$B$20,MATCH(J1411,Roles!$A$17:$A$20,0)),1)</f>
        <v/>
      </c>
      <c r="L1411" s="19" t="n">
        <v>1</v>
      </c>
      <c r="M1411" s="11" t="n">
        <v>1</v>
      </c>
      <c r="N1411" s="19" t="n"/>
      <c r="O1411" s="19" t="n"/>
      <c r="P1411" s="19" t="n"/>
      <c r="Q1411" s="19" t="n"/>
      <c r="R1411" s="19" t="n"/>
      <c r="S1411" s="19" t="n"/>
      <c r="T1411" s="19" t="n"/>
      <c r="U1411" s="19" t="n"/>
      <c r="V1411" s="19" t="n"/>
      <c r="W1411" s="19" t="n"/>
      <c r="X1411" s="19" t="n"/>
      <c r="Y1411" s="19" t="n">
        <v>1</v>
      </c>
      <c r="Z1411" s="13">
        <f>SUMPRODUCT(N1411:Y1411,$N$2:$Y$2)*$K1411*$L1411*$M1411</f>
        <v/>
      </c>
      <c r="AA1411" s="14">
        <f>SUM(N1411:Y1411)</f>
        <v/>
      </c>
      <c r="AB1411" s="13">
        <f>SUMPRODUCT(N1411:Y1411,$N$3:$Y$3)*$K1411*$L1411*$M1411</f>
        <v/>
      </c>
      <c r="AC1411" s="13">
        <f>SUMPRODUCT(N1411:Y1411,$N$4:$Y$4)*$K1411*$L1411*$M1411</f>
        <v/>
      </c>
      <c r="AD1411" s="15" t="n">
        <v>3</v>
      </c>
      <c r="AE1411" s="11" t="n">
        <v>1.011296296296296</v>
      </c>
      <c r="AF1411" s="16">
        <f>SUMPRODUCT(N1411:Y1411,$N$5:$Y$5)*$K1411*$L1411*$M1411</f>
        <v/>
      </c>
      <c r="AG1411" s="16">
        <f>SUMPRODUCT(N1411:Y1411,$N$6:$Y$6)*$K1411*$L1411*$M1411</f>
        <v/>
      </c>
      <c r="AH1411" s="20" t="n"/>
    </row>
    <row r="1412">
      <c r="A1412" s="9" t="n">
        <v>826141</v>
      </c>
      <c r="B1412" s="9" t="inlineStr">
        <is>
          <t>Sean Barnett</t>
        </is>
      </c>
      <c r="C1412" s="9" t="inlineStr">
        <is>
          <t>SD</t>
        </is>
      </c>
      <c r="D1412" s="9" t="n">
        <v>25</v>
      </c>
      <c r="E1412" s="18" t="inlineStr">
        <is>
          <t>R</t>
        </is>
      </c>
      <c r="F1412" s="18" t="n"/>
      <c r="G1412" s="9" t="n">
        <v>9.746666666666668</v>
      </c>
      <c r="H1412" s="9" t="n">
        <v>9.746666666666668</v>
      </c>
      <c r="I1412" s="9" t="inlineStr">
        <is>
          <t>Depth (no MLB IP)</t>
        </is>
      </c>
      <c r="J1412" s="18" t="inlineStr">
        <is>
          <t>Opening Day</t>
        </is>
      </c>
      <c r="K1412" s="11">
        <f>IFERROR(INDEX(Roles!$B$17:$B$20,MATCH(J1412,Roles!$A$17:$A$20,0)),1)</f>
        <v/>
      </c>
      <c r="L1412" s="19" t="n">
        <v>1</v>
      </c>
      <c r="M1412" s="11" t="n">
        <v>1</v>
      </c>
      <c r="N1412" s="19" t="n"/>
      <c r="O1412" s="19" t="n"/>
      <c r="P1412" s="19" t="n"/>
      <c r="Q1412" s="19" t="n"/>
      <c r="R1412" s="19" t="n"/>
      <c r="S1412" s="19" t="n"/>
      <c r="T1412" s="19" t="n"/>
      <c r="U1412" s="19" t="n"/>
      <c r="V1412" s="19" t="n"/>
      <c r="W1412" s="19" t="n"/>
      <c r="X1412" s="19" t="n"/>
      <c r="Y1412" s="19" t="n">
        <v>1</v>
      </c>
      <c r="Z1412" s="13">
        <f>SUMPRODUCT(N1412:Y1412,$N$2:$Y$2)*$K1412*$L1412*$M1412</f>
        <v/>
      </c>
      <c r="AA1412" s="14">
        <f>SUM(N1412:Y1412)</f>
        <v/>
      </c>
      <c r="AB1412" s="13">
        <f>SUMPRODUCT(N1412:Y1412,$N$3:$Y$3)*$K1412*$L1412*$M1412</f>
        <v/>
      </c>
      <c r="AC1412" s="13">
        <f>SUMPRODUCT(N1412:Y1412,$N$4:$Y$4)*$K1412*$L1412*$M1412</f>
        <v/>
      </c>
      <c r="AD1412" s="15" t="n">
        <v>3</v>
      </c>
      <c r="AE1412" s="11" t="n">
        <v>1.011296296296296</v>
      </c>
      <c r="AF1412" s="16">
        <f>SUMPRODUCT(N1412:Y1412,$N$5:$Y$5)*$K1412*$L1412*$M1412</f>
        <v/>
      </c>
      <c r="AG1412" s="16">
        <f>SUMPRODUCT(N1412:Y1412,$N$6:$Y$6)*$K1412*$L1412*$M1412</f>
        <v/>
      </c>
      <c r="AH1412" s="20" t="n"/>
    </row>
    <row r="1413">
      <c r="A1413" s="9" t="n">
        <v>830141</v>
      </c>
      <c r="B1413" s="9" t="inlineStr">
        <is>
          <t>Luke Hoskins</t>
        </is>
      </c>
      <c r="C1413" s="9" t="inlineStr">
        <is>
          <t>DET</t>
        </is>
      </c>
      <c r="D1413" s="9" t="n">
        <v>25</v>
      </c>
      <c r="E1413" s="18" t="inlineStr">
        <is>
          <t>R</t>
        </is>
      </c>
      <c r="F1413" s="18" t="n"/>
      <c r="G1413" s="9" t="n">
        <v>10.03333333333333</v>
      </c>
      <c r="H1413" s="9" t="n">
        <v>10.03333333333333</v>
      </c>
      <c r="I1413" s="9" t="inlineStr">
        <is>
          <t>Depth (no MLB IP)</t>
        </is>
      </c>
      <c r="J1413" s="18" t="inlineStr">
        <is>
          <t>Opening Day</t>
        </is>
      </c>
      <c r="K1413" s="11">
        <f>IFERROR(INDEX(Roles!$B$17:$B$20,MATCH(J1413,Roles!$A$17:$A$20,0)),1)</f>
        <v/>
      </c>
      <c r="L1413" s="19" t="n">
        <v>1</v>
      </c>
      <c r="M1413" s="11" t="n">
        <v>1</v>
      </c>
      <c r="N1413" s="19" t="n"/>
      <c r="O1413" s="19" t="n"/>
      <c r="P1413" s="19" t="n"/>
      <c r="Q1413" s="19" t="n"/>
      <c r="R1413" s="19" t="n"/>
      <c r="S1413" s="19" t="n"/>
      <c r="T1413" s="19" t="n"/>
      <c r="U1413" s="19" t="n"/>
      <c r="V1413" s="19" t="n"/>
      <c r="W1413" s="19" t="n"/>
      <c r="X1413" s="19" t="n"/>
      <c r="Y1413" s="19" t="n">
        <v>1</v>
      </c>
      <c r="Z1413" s="13">
        <f>SUMPRODUCT(N1413:Y1413,$N$2:$Y$2)*$K1413*$L1413*$M1413</f>
        <v/>
      </c>
      <c r="AA1413" s="14">
        <f>SUM(N1413:Y1413)</f>
        <v/>
      </c>
      <c r="AB1413" s="13">
        <f>SUMPRODUCT(N1413:Y1413,$N$3:$Y$3)*$K1413*$L1413*$M1413</f>
        <v/>
      </c>
      <c r="AC1413" s="13">
        <f>SUMPRODUCT(N1413:Y1413,$N$4:$Y$4)*$K1413*$L1413*$M1413</f>
        <v/>
      </c>
      <c r="AD1413" s="15" t="n">
        <v>3</v>
      </c>
      <c r="AE1413" s="11" t="n">
        <v>1.011296296296296</v>
      </c>
      <c r="AF1413" s="16">
        <f>SUMPRODUCT(N1413:Y1413,$N$5:$Y$5)*$K1413*$L1413*$M1413</f>
        <v/>
      </c>
      <c r="AG1413" s="16">
        <f>SUMPRODUCT(N1413:Y1413,$N$6:$Y$6)*$K1413*$L1413*$M1413</f>
        <v/>
      </c>
      <c r="AH1413" s="20" t="n"/>
    </row>
    <row r="1414">
      <c r="A1414" s="9" t="n">
        <v>814511</v>
      </c>
      <c r="B1414" s="9" t="inlineStr">
        <is>
          <t>Jaylen Paden</t>
        </is>
      </c>
      <c r="C1414" s="9" t="inlineStr">
        <is>
          <t>ATL</t>
        </is>
      </c>
      <c r="D1414" s="9" t="n">
        <v>25</v>
      </c>
      <c r="E1414" s="18" t="inlineStr">
        <is>
          <t>R</t>
        </is>
      </c>
      <c r="F1414" s="18" t="n"/>
      <c r="G1414" s="9" t="n">
        <v>9.976000000000001</v>
      </c>
      <c r="H1414" s="9" t="n">
        <v>9.976000000000001</v>
      </c>
      <c r="I1414" s="9" t="inlineStr">
        <is>
          <t>Depth (no MLB IP)</t>
        </is>
      </c>
      <c r="J1414" s="18" t="inlineStr">
        <is>
          <t>Opening Day</t>
        </is>
      </c>
      <c r="K1414" s="11">
        <f>IFERROR(INDEX(Roles!$B$17:$B$20,MATCH(J1414,Roles!$A$17:$A$20,0)),1)</f>
        <v/>
      </c>
      <c r="L1414" s="19" t="n">
        <v>1</v>
      </c>
      <c r="M1414" s="11" t="n">
        <v>1</v>
      </c>
      <c r="N1414" s="19" t="n"/>
      <c r="O1414" s="19" t="n"/>
      <c r="P1414" s="19" t="n"/>
      <c r="Q1414" s="19" t="n"/>
      <c r="R1414" s="19" t="n"/>
      <c r="S1414" s="19" t="n"/>
      <c r="T1414" s="19" t="n"/>
      <c r="U1414" s="19" t="n"/>
      <c r="V1414" s="19" t="n"/>
      <c r="W1414" s="19" t="n"/>
      <c r="X1414" s="19" t="n"/>
      <c r="Y1414" s="19" t="n">
        <v>1</v>
      </c>
      <c r="Z1414" s="13">
        <f>SUMPRODUCT(N1414:Y1414,$N$2:$Y$2)*$K1414*$L1414*$M1414</f>
        <v/>
      </c>
      <c r="AA1414" s="14">
        <f>SUM(N1414:Y1414)</f>
        <v/>
      </c>
      <c r="AB1414" s="13">
        <f>SUMPRODUCT(N1414:Y1414,$N$3:$Y$3)*$K1414*$L1414*$M1414</f>
        <v/>
      </c>
      <c r="AC1414" s="13">
        <f>SUMPRODUCT(N1414:Y1414,$N$4:$Y$4)*$K1414*$L1414*$M1414</f>
        <v/>
      </c>
      <c r="AD1414" s="15" t="n">
        <v>3</v>
      </c>
      <c r="AE1414" s="11" t="n">
        <v>1.011296296296296</v>
      </c>
      <c r="AF1414" s="16">
        <f>SUMPRODUCT(N1414:Y1414,$N$5:$Y$5)*$K1414*$L1414*$M1414</f>
        <v/>
      </c>
      <c r="AG1414" s="16">
        <f>SUMPRODUCT(N1414:Y1414,$N$6:$Y$6)*$K1414*$L1414*$M1414</f>
        <v/>
      </c>
      <c r="AH1414" s="20" t="n"/>
    </row>
    <row r="1415">
      <c r="A1415" s="9" t="n">
        <v>805972</v>
      </c>
      <c r="B1415" s="9" t="inlineStr">
        <is>
          <t>Austin Ehrlicher</t>
        </is>
      </c>
      <c r="C1415" s="9" t="inlineStr">
        <is>
          <t>BOS</t>
        </is>
      </c>
      <c r="D1415" s="9" t="n">
        <v>25</v>
      </c>
      <c r="E1415" s="18" t="inlineStr">
        <is>
          <t>R</t>
        </is>
      </c>
      <c r="F1415" s="18" t="n"/>
      <c r="G1415" s="9" t="n">
        <v>10.03333333333333</v>
      </c>
      <c r="H1415" s="9" t="n">
        <v>10.03333333333333</v>
      </c>
      <c r="I1415" s="9" t="inlineStr">
        <is>
          <t>Depth (no MLB IP)</t>
        </is>
      </c>
      <c r="J1415" s="18" t="inlineStr">
        <is>
          <t>Opening Day</t>
        </is>
      </c>
      <c r="K1415" s="11">
        <f>IFERROR(INDEX(Roles!$B$17:$B$20,MATCH(J1415,Roles!$A$17:$A$20,0)),1)</f>
        <v/>
      </c>
      <c r="L1415" s="19" t="n">
        <v>1</v>
      </c>
      <c r="M1415" s="11" t="n">
        <v>1</v>
      </c>
      <c r="N1415" s="19" t="n"/>
      <c r="O1415" s="19" t="n"/>
      <c r="P1415" s="19" t="n"/>
      <c r="Q1415" s="19" t="n"/>
      <c r="R1415" s="19" t="n"/>
      <c r="S1415" s="19" t="n"/>
      <c r="T1415" s="19" t="n"/>
      <c r="U1415" s="19" t="n"/>
      <c r="V1415" s="19" t="n"/>
      <c r="W1415" s="19" t="n"/>
      <c r="X1415" s="19" t="n"/>
      <c r="Y1415" s="19" t="n">
        <v>1</v>
      </c>
      <c r="Z1415" s="13">
        <f>SUMPRODUCT(N1415:Y1415,$N$2:$Y$2)*$K1415*$L1415*$M1415</f>
        <v/>
      </c>
      <c r="AA1415" s="14">
        <f>SUM(N1415:Y1415)</f>
        <v/>
      </c>
      <c r="AB1415" s="13">
        <f>SUMPRODUCT(N1415:Y1415,$N$3:$Y$3)*$K1415*$L1415*$M1415</f>
        <v/>
      </c>
      <c r="AC1415" s="13">
        <f>SUMPRODUCT(N1415:Y1415,$N$4:$Y$4)*$K1415*$L1415*$M1415</f>
        <v/>
      </c>
      <c r="AD1415" s="15" t="n">
        <v>3</v>
      </c>
      <c r="AE1415" s="11" t="n">
        <v>1.011296296296296</v>
      </c>
      <c r="AF1415" s="16">
        <f>SUMPRODUCT(N1415:Y1415,$N$5:$Y$5)*$K1415*$L1415*$M1415</f>
        <v/>
      </c>
      <c r="AG1415" s="16">
        <f>SUMPRODUCT(N1415:Y1415,$N$6:$Y$6)*$K1415*$L1415*$M1415</f>
        <v/>
      </c>
      <c r="AH1415" s="20" t="n"/>
    </row>
    <row r="1416">
      <c r="A1416" s="9" t="n">
        <v>808547</v>
      </c>
      <c r="B1416" s="9" t="inlineStr">
        <is>
          <t>Keyner Benitez</t>
        </is>
      </c>
      <c r="C1416" s="9" t="inlineStr">
        <is>
          <t>MIA</t>
        </is>
      </c>
      <c r="D1416" s="9" t="n">
        <v>25</v>
      </c>
      <c r="E1416" s="18" t="inlineStr">
        <is>
          <t>L</t>
        </is>
      </c>
      <c r="F1416" s="18" t="n"/>
      <c r="G1416" s="9" t="n">
        <v>9.976000000000001</v>
      </c>
      <c r="H1416" s="9" t="n">
        <v>9.976000000000001</v>
      </c>
      <c r="I1416" s="9" t="inlineStr">
        <is>
          <t>Depth (no MLB IP)</t>
        </is>
      </c>
      <c r="J1416" s="18" t="inlineStr">
        <is>
          <t>Opening Day</t>
        </is>
      </c>
      <c r="K1416" s="11">
        <f>IFERROR(INDEX(Roles!$B$17:$B$20,MATCH(J1416,Roles!$A$17:$A$20,0)),1)</f>
        <v/>
      </c>
      <c r="L1416" s="19" t="n">
        <v>1</v>
      </c>
      <c r="M1416" s="11" t="n">
        <v>1</v>
      </c>
      <c r="N1416" s="19" t="n"/>
      <c r="O1416" s="19" t="n"/>
      <c r="P1416" s="19" t="n"/>
      <c r="Q1416" s="19" t="n"/>
      <c r="R1416" s="19" t="n"/>
      <c r="S1416" s="19" t="n"/>
      <c r="T1416" s="19" t="n"/>
      <c r="U1416" s="19" t="n"/>
      <c r="V1416" s="19" t="n"/>
      <c r="W1416" s="19" t="n"/>
      <c r="X1416" s="19" t="n"/>
      <c r="Y1416" s="19" t="n">
        <v>1</v>
      </c>
      <c r="Z1416" s="13">
        <f>SUMPRODUCT(N1416:Y1416,$N$2:$Y$2)*$K1416*$L1416*$M1416</f>
        <v/>
      </c>
      <c r="AA1416" s="14">
        <f>SUM(N1416:Y1416)</f>
        <v/>
      </c>
      <c r="AB1416" s="13">
        <f>SUMPRODUCT(N1416:Y1416,$N$3:$Y$3)*$K1416*$L1416*$M1416</f>
        <v/>
      </c>
      <c r="AC1416" s="13">
        <f>SUMPRODUCT(N1416:Y1416,$N$4:$Y$4)*$K1416*$L1416*$M1416</f>
        <v/>
      </c>
      <c r="AD1416" s="15" t="n">
        <v>3</v>
      </c>
      <c r="AE1416" s="11" t="n">
        <v>1.011296296296296</v>
      </c>
      <c r="AF1416" s="16">
        <f>SUMPRODUCT(N1416:Y1416,$N$5:$Y$5)*$K1416*$L1416*$M1416</f>
        <v/>
      </c>
      <c r="AG1416" s="16">
        <f>SUMPRODUCT(N1416:Y1416,$N$6:$Y$6)*$K1416*$L1416*$M1416</f>
        <v/>
      </c>
      <c r="AH1416" s="20" t="n"/>
    </row>
    <row r="1417">
      <c r="A1417" s="9" t="n">
        <v>694341</v>
      </c>
      <c r="B1417" s="9" t="inlineStr">
        <is>
          <t>Brendan Beck</t>
        </is>
      </c>
      <c r="C1417" s="9" t="inlineStr">
        <is>
          <t>NYY</t>
        </is>
      </c>
      <c r="D1417" s="9" t="n">
        <v>28</v>
      </c>
      <c r="E1417" s="18" t="inlineStr">
        <is>
          <t>R</t>
        </is>
      </c>
      <c r="F1417" s="18" t="n"/>
      <c r="G1417" s="9" t="n">
        <v>58</v>
      </c>
      <c r="H1417" s="9" t="n">
        <v>58</v>
      </c>
      <c r="I1417" s="9" t="inlineStr">
        <is>
          <t>Bullpen Depth Arm</t>
        </is>
      </c>
      <c r="J1417" s="18" t="inlineStr">
        <is>
          <t>Opening Day</t>
        </is>
      </c>
      <c r="K1417" s="11">
        <f>IFERROR(INDEX(Roles!$B$17:$B$20,MATCH(J1417,Roles!$A$17:$A$20,0)),1)</f>
        <v/>
      </c>
      <c r="L1417" s="19" t="n">
        <v>1</v>
      </c>
      <c r="M1417" s="11" t="n">
        <v>1</v>
      </c>
      <c r="N1417" s="19" t="n"/>
      <c r="O1417" s="19" t="n"/>
      <c r="P1417" s="19" t="n"/>
      <c r="Q1417" s="19" t="n"/>
      <c r="R1417" s="19" t="n"/>
      <c r="S1417" s="19" t="n"/>
      <c r="T1417" s="19" t="n"/>
      <c r="U1417" s="19" t="n"/>
      <c r="V1417" s="19" t="n"/>
      <c r="W1417" s="19" t="n">
        <v>1</v>
      </c>
      <c r="X1417" s="19" t="n"/>
      <c r="Y1417" s="19" t="n"/>
      <c r="Z1417" s="13">
        <f>SUMPRODUCT(N1417:Y1417,$N$2:$Y$2)*$K1417*$L1417*$M1417</f>
        <v/>
      </c>
      <c r="AA1417" s="14">
        <f>SUM(N1417:Y1417)</f>
        <v/>
      </c>
      <c r="AB1417" s="13">
        <f>SUMPRODUCT(N1417:Y1417,$N$3:$Y$3)*$K1417*$L1417*$M1417</f>
        <v/>
      </c>
      <c r="AC1417" s="13">
        <f>SUMPRODUCT(N1417:Y1417,$N$4:$Y$4)*$K1417*$L1417*$M1417</f>
        <v/>
      </c>
      <c r="AD1417" s="15" t="n">
        <v>8.066666666666666</v>
      </c>
      <c r="AE1417" s="11" t="n">
        <v>1.857062690396024</v>
      </c>
      <c r="AF1417" s="16">
        <f>SUMPRODUCT(N1417:Y1417,$N$5:$Y$5)*$K1417*$L1417*$M1417</f>
        <v/>
      </c>
      <c r="AG1417" s="16">
        <f>SUMPRODUCT(N1417:Y1417,$N$6:$Y$6)*$K1417*$L1417*$M1417</f>
        <v/>
      </c>
      <c r="AH1417" s="20" t="n"/>
    </row>
    <row r="1418">
      <c r="A1418" s="9" t="n">
        <v>681892</v>
      </c>
      <c r="B1418" s="9" t="inlineStr">
        <is>
          <t>Kody Funderburk</t>
        </is>
      </c>
      <c r="C1418" s="9" t="inlineStr">
        <is>
          <t>MIN</t>
        </is>
      </c>
      <c r="D1418" s="9" t="n">
        <v>30</v>
      </c>
      <c r="E1418" s="18" t="inlineStr">
        <is>
          <t>L</t>
        </is>
      </c>
      <c r="F1418" s="18" t="n"/>
      <c r="G1418" s="9" t="n">
        <v>222</v>
      </c>
      <c r="H1418" s="9" t="n">
        <v>613</v>
      </c>
      <c r="I1418" s="9" t="inlineStr">
        <is>
          <t>Middle Relief</t>
        </is>
      </c>
      <c r="J1418" s="18" t="inlineStr">
        <is>
          <t>Opening Day</t>
        </is>
      </c>
      <c r="K1418" s="11">
        <f>IFERROR(INDEX(Roles!$B$17:$B$20,MATCH(J1418,Roles!$A$17:$A$20,0)),1)</f>
        <v/>
      </c>
      <c r="L1418" s="19" t="n">
        <v>1</v>
      </c>
      <c r="M1418" s="11" t="n">
        <v>1</v>
      </c>
      <c r="N1418" s="19" t="n"/>
      <c r="O1418" s="19" t="n"/>
      <c r="P1418" s="19" t="n"/>
      <c r="Q1418" s="19" t="n"/>
      <c r="R1418" s="19" t="n"/>
      <c r="S1418" s="19" t="n"/>
      <c r="T1418" s="19" t="n"/>
      <c r="U1418" s="19" t="n"/>
      <c r="V1418" s="19" t="n">
        <v>0.6</v>
      </c>
      <c r="W1418" s="19" t="n">
        <v>0.4</v>
      </c>
      <c r="X1418" s="19" t="n"/>
      <c r="Y1418" s="19" t="n"/>
      <c r="Z1418" s="13">
        <f>SUMPRODUCT(N1418:Y1418,$N$2:$Y$2)*$K1418*$L1418*$M1418</f>
        <v/>
      </c>
      <c r="AA1418" s="14">
        <f>SUM(N1418:Y1418)</f>
        <v/>
      </c>
      <c r="AB1418" s="13">
        <f>SUMPRODUCT(N1418:Y1418,$N$3:$Y$3)*$K1418*$L1418*$M1418</f>
        <v/>
      </c>
      <c r="AC1418" s="13">
        <f>SUMPRODUCT(N1418:Y1418,$N$4:$Y$4)*$K1418*$L1418*$M1418</f>
        <v/>
      </c>
      <c r="AD1418" s="15" t="n">
        <v>42.63333333333333</v>
      </c>
      <c r="AE1418" s="11" t="n">
        <v>1.011326162226628</v>
      </c>
      <c r="AF1418" s="16">
        <f>SUMPRODUCT(N1418:Y1418,$N$5:$Y$5)*$K1418*$L1418*$M1418</f>
        <v/>
      </c>
      <c r="AG1418" s="16">
        <f>SUMPRODUCT(N1418:Y1418,$N$6:$Y$6)*$K1418*$L1418*$M1418</f>
        <v/>
      </c>
      <c r="AH1418" s="20" t="n"/>
    </row>
    <row r="1419">
      <c r="A1419" s="9" t="n">
        <v>836090</v>
      </c>
      <c r="B1419" s="9" t="inlineStr">
        <is>
          <t>Connor Gehr</t>
        </is>
      </c>
      <c r="C1419" s="9" t="inlineStr">
        <is>
          <t>BAL</t>
        </is>
      </c>
      <c r="D1419" s="9" t="n">
        <v>25</v>
      </c>
      <c r="E1419" s="18" t="inlineStr">
        <is>
          <t>R</t>
        </is>
      </c>
      <c r="F1419" s="18" t="n"/>
      <c r="G1419" s="9" t="n">
        <v>9.976000000000001</v>
      </c>
      <c r="H1419" s="9" t="n">
        <v>9.976000000000001</v>
      </c>
      <c r="I1419" s="9" t="inlineStr">
        <is>
          <t>Depth (no MLB IP)</t>
        </is>
      </c>
      <c r="J1419" s="18" t="inlineStr">
        <is>
          <t>Opening Day</t>
        </is>
      </c>
      <c r="K1419" s="11">
        <f>IFERROR(INDEX(Roles!$B$17:$B$20,MATCH(J1419,Roles!$A$17:$A$20,0)),1)</f>
        <v/>
      </c>
      <c r="L1419" s="19" t="n">
        <v>1</v>
      </c>
      <c r="M1419" s="11" t="n">
        <v>1</v>
      </c>
      <c r="N1419" s="19" t="n"/>
      <c r="O1419" s="19" t="n"/>
      <c r="P1419" s="19" t="n"/>
      <c r="Q1419" s="19" t="n"/>
      <c r="R1419" s="19" t="n"/>
      <c r="S1419" s="19" t="n"/>
      <c r="T1419" s="19" t="n"/>
      <c r="U1419" s="19" t="n"/>
      <c r="V1419" s="19" t="n"/>
      <c r="W1419" s="19" t="n"/>
      <c r="X1419" s="19" t="n"/>
      <c r="Y1419" s="19" t="n">
        <v>1</v>
      </c>
      <c r="Z1419" s="13">
        <f>SUMPRODUCT(N1419:Y1419,$N$2:$Y$2)*$K1419*$L1419*$M1419</f>
        <v/>
      </c>
      <c r="AA1419" s="14">
        <f>SUM(N1419:Y1419)</f>
        <v/>
      </c>
      <c r="AB1419" s="13">
        <f>SUMPRODUCT(N1419:Y1419,$N$3:$Y$3)*$K1419*$L1419*$M1419</f>
        <v/>
      </c>
      <c r="AC1419" s="13">
        <f>SUMPRODUCT(N1419:Y1419,$N$4:$Y$4)*$K1419*$L1419*$M1419</f>
        <v/>
      </c>
      <c r="AD1419" s="15" t="n">
        <v>3</v>
      </c>
      <c r="AE1419" s="11" t="n">
        <v>1.011296296296296</v>
      </c>
      <c r="AF1419" s="16">
        <f>SUMPRODUCT(N1419:Y1419,$N$5:$Y$5)*$K1419*$L1419*$M1419</f>
        <v/>
      </c>
      <c r="AG1419" s="16">
        <f>SUMPRODUCT(N1419:Y1419,$N$6:$Y$6)*$K1419*$L1419*$M1419</f>
        <v/>
      </c>
      <c r="AH1419" s="20" t="n"/>
    </row>
    <row r="1420">
      <c r="A1420" s="9" t="n">
        <v>808511</v>
      </c>
      <c r="B1420" s="9" t="inlineStr">
        <is>
          <t>Dylan Wilson</t>
        </is>
      </c>
      <c r="C1420" s="9" t="inlineStr">
        <is>
          <t>SEA</t>
        </is>
      </c>
      <c r="D1420" s="9" t="n">
        <v>25</v>
      </c>
      <c r="E1420" s="18" t="inlineStr">
        <is>
          <t>R</t>
        </is>
      </c>
      <c r="F1420" s="18" t="n"/>
      <c r="G1420" s="9" t="n">
        <v>10.148</v>
      </c>
      <c r="H1420" s="9" t="n">
        <v>10.148</v>
      </c>
      <c r="I1420" s="9" t="inlineStr">
        <is>
          <t>Depth (no MLB IP)</t>
        </is>
      </c>
      <c r="J1420" s="18" t="inlineStr">
        <is>
          <t>Opening Day</t>
        </is>
      </c>
      <c r="K1420" s="11">
        <f>IFERROR(INDEX(Roles!$B$17:$B$20,MATCH(J1420,Roles!$A$17:$A$20,0)),1)</f>
        <v/>
      </c>
      <c r="L1420" s="19" t="n">
        <v>1</v>
      </c>
      <c r="M1420" s="11" t="n">
        <v>1</v>
      </c>
      <c r="N1420" s="19" t="n"/>
      <c r="O1420" s="19" t="n"/>
      <c r="P1420" s="19" t="n"/>
      <c r="Q1420" s="19" t="n"/>
      <c r="R1420" s="19" t="n"/>
      <c r="S1420" s="19" t="n"/>
      <c r="T1420" s="19" t="n"/>
      <c r="U1420" s="19" t="n"/>
      <c r="V1420" s="19" t="n"/>
      <c r="W1420" s="19" t="n"/>
      <c r="X1420" s="19" t="n"/>
      <c r="Y1420" s="19" t="n">
        <v>1</v>
      </c>
      <c r="Z1420" s="13">
        <f>SUMPRODUCT(N1420:Y1420,$N$2:$Y$2)*$K1420*$L1420*$M1420</f>
        <v/>
      </c>
      <c r="AA1420" s="14">
        <f>SUM(N1420:Y1420)</f>
        <v/>
      </c>
      <c r="AB1420" s="13">
        <f>SUMPRODUCT(N1420:Y1420,$N$3:$Y$3)*$K1420*$L1420*$M1420</f>
        <v/>
      </c>
      <c r="AC1420" s="13">
        <f>SUMPRODUCT(N1420:Y1420,$N$4:$Y$4)*$K1420*$L1420*$M1420</f>
        <v/>
      </c>
      <c r="AD1420" s="15" t="n">
        <v>3</v>
      </c>
      <c r="AE1420" s="11" t="n">
        <v>1.011296296296296</v>
      </c>
      <c r="AF1420" s="16">
        <f>SUMPRODUCT(N1420:Y1420,$N$5:$Y$5)*$K1420*$L1420*$M1420</f>
        <v/>
      </c>
      <c r="AG1420" s="16">
        <f>SUMPRODUCT(N1420:Y1420,$N$6:$Y$6)*$K1420*$L1420*$M1420</f>
        <v/>
      </c>
      <c r="AH1420" s="20" t="n"/>
    </row>
    <row r="1421">
      <c r="A1421" s="9" t="n">
        <v>694475</v>
      </c>
      <c r="B1421" s="9" t="inlineStr">
        <is>
          <t>Cade Austin</t>
        </is>
      </c>
      <c r="C1421" s="9" t="inlineStr">
        <is>
          <t>MIA</t>
        </is>
      </c>
      <c r="D1421" s="9" t="n">
        <v>25</v>
      </c>
      <c r="E1421" s="18" t="inlineStr">
        <is>
          <t>R</t>
        </is>
      </c>
      <c r="F1421" s="18" t="n"/>
      <c r="G1421" s="9" t="n">
        <v>10.03333333333333</v>
      </c>
      <c r="H1421" s="9" t="n">
        <v>10.03333333333333</v>
      </c>
      <c r="I1421" s="9" t="inlineStr">
        <is>
          <t>Depth (no MLB IP)</t>
        </is>
      </c>
      <c r="J1421" s="18" t="inlineStr">
        <is>
          <t>Opening Day</t>
        </is>
      </c>
      <c r="K1421" s="11">
        <f>IFERROR(INDEX(Roles!$B$17:$B$20,MATCH(J1421,Roles!$A$17:$A$20,0)),1)</f>
        <v/>
      </c>
      <c r="L1421" s="19" t="n">
        <v>1</v>
      </c>
      <c r="M1421" s="11" t="n">
        <v>1</v>
      </c>
      <c r="N1421" s="19" t="n"/>
      <c r="O1421" s="19" t="n"/>
      <c r="P1421" s="19" t="n"/>
      <c r="Q1421" s="19" t="n"/>
      <c r="R1421" s="19" t="n"/>
      <c r="S1421" s="19" t="n"/>
      <c r="T1421" s="19" t="n"/>
      <c r="U1421" s="19" t="n"/>
      <c r="V1421" s="19" t="n"/>
      <c r="W1421" s="19" t="n"/>
      <c r="X1421" s="19" t="n"/>
      <c r="Y1421" s="19" t="n">
        <v>1</v>
      </c>
      <c r="Z1421" s="13">
        <f>SUMPRODUCT(N1421:Y1421,$N$2:$Y$2)*$K1421*$L1421*$M1421</f>
        <v/>
      </c>
      <c r="AA1421" s="14">
        <f>SUM(N1421:Y1421)</f>
        <v/>
      </c>
      <c r="AB1421" s="13">
        <f>SUMPRODUCT(N1421:Y1421,$N$3:$Y$3)*$K1421*$L1421*$M1421</f>
        <v/>
      </c>
      <c r="AC1421" s="13">
        <f>SUMPRODUCT(N1421:Y1421,$N$4:$Y$4)*$K1421*$L1421*$M1421</f>
        <v/>
      </c>
      <c r="AD1421" s="15" t="n">
        <v>3</v>
      </c>
      <c r="AE1421" s="11" t="n">
        <v>1.011296296296296</v>
      </c>
      <c r="AF1421" s="16">
        <f>SUMPRODUCT(N1421:Y1421,$N$5:$Y$5)*$K1421*$L1421*$M1421</f>
        <v/>
      </c>
      <c r="AG1421" s="16">
        <f>SUMPRODUCT(N1421:Y1421,$N$6:$Y$6)*$K1421*$L1421*$M1421</f>
        <v/>
      </c>
      <c r="AH1421" s="20" t="n"/>
    </row>
    <row r="1422">
      <c r="A1422" s="9" t="n">
        <v>700579</v>
      </c>
      <c r="B1422" s="9" t="inlineStr">
        <is>
          <t>Nathan Dettmer</t>
        </is>
      </c>
      <c r="C1422" s="9" t="inlineStr">
        <is>
          <t>OAK</t>
        </is>
      </c>
      <c r="D1422" s="9" t="n">
        <v>25</v>
      </c>
      <c r="E1422" s="18" t="inlineStr">
        <is>
          <t>R</t>
        </is>
      </c>
      <c r="F1422" s="18" t="n"/>
      <c r="G1422" s="9" t="n">
        <v>10.24833333333333</v>
      </c>
      <c r="H1422" s="9" t="n">
        <v>10.24833333333333</v>
      </c>
      <c r="I1422" s="9" t="inlineStr">
        <is>
          <t>Depth (no MLB IP)</t>
        </is>
      </c>
      <c r="J1422" s="18" t="inlineStr">
        <is>
          <t>Opening Day</t>
        </is>
      </c>
      <c r="K1422" s="11">
        <f>IFERROR(INDEX(Roles!$B$17:$B$20,MATCH(J1422,Roles!$A$17:$A$20,0)),1)</f>
        <v/>
      </c>
      <c r="L1422" s="19" t="n">
        <v>1</v>
      </c>
      <c r="M1422" s="11" t="n">
        <v>1</v>
      </c>
      <c r="N1422" s="19" t="n"/>
      <c r="O1422" s="19" t="n"/>
      <c r="P1422" s="19" t="n"/>
      <c r="Q1422" s="19" t="n"/>
      <c r="R1422" s="19" t="n"/>
      <c r="S1422" s="19" t="n"/>
      <c r="T1422" s="19" t="n"/>
      <c r="U1422" s="19" t="n"/>
      <c r="V1422" s="19" t="n"/>
      <c r="W1422" s="19" t="n"/>
      <c r="X1422" s="19" t="n"/>
      <c r="Y1422" s="19" t="n">
        <v>1</v>
      </c>
      <c r="Z1422" s="13">
        <f>SUMPRODUCT(N1422:Y1422,$N$2:$Y$2)*$K1422*$L1422*$M1422</f>
        <v/>
      </c>
      <c r="AA1422" s="14">
        <f>SUM(N1422:Y1422)</f>
        <v/>
      </c>
      <c r="AB1422" s="13">
        <f>SUMPRODUCT(N1422:Y1422,$N$3:$Y$3)*$K1422*$L1422*$M1422</f>
        <v/>
      </c>
      <c r="AC1422" s="13">
        <f>SUMPRODUCT(N1422:Y1422,$N$4:$Y$4)*$K1422*$L1422*$M1422</f>
        <v/>
      </c>
      <c r="AD1422" s="15" t="n">
        <v>3</v>
      </c>
      <c r="AE1422" s="11" t="n">
        <v>1.011296296296296</v>
      </c>
      <c r="AF1422" s="16">
        <f>SUMPRODUCT(N1422:Y1422,$N$5:$Y$5)*$K1422*$L1422*$M1422</f>
        <v/>
      </c>
      <c r="AG1422" s="16">
        <f>SUMPRODUCT(N1422:Y1422,$N$6:$Y$6)*$K1422*$L1422*$M1422</f>
        <v/>
      </c>
      <c r="AH1422" s="20" t="n"/>
    </row>
    <row r="1423">
      <c r="A1423" s="9" t="n">
        <v>807966</v>
      </c>
      <c r="B1423" s="9" t="inlineStr">
        <is>
          <t>Anderson Cardenas</t>
        </is>
      </c>
      <c r="C1423" s="9" t="inlineStr">
        <is>
          <t>ARI</t>
        </is>
      </c>
      <c r="D1423" s="9" t="n">
        <v>25</v>
      </c>
      <c r="E1423" s="18" t="inlineStr">
        <is>
          <t>R</t>
        </is>
      </c>
      <c r="F1423" s="18" t="n"/>
      <c r="G1423" s="9" t="n">
        <v>10.148</v>
      </c>
      <c r="H1423" s="9" t="n">
        <v>10.148</v>
      </c>
      <c r="I1423" s="9" t="inlineStr">
        <is>
          <t>Depth (no MLB IP)</t>
        </is>
      </c>
      <c r="J1423" s="18" t="inlineStr">
        <is>
          <t>Opening Day</t>
        </is>
      </c>
      <c r="K1423" s="11">
        <f>IFERROR(INDEX(Roles!$B$17:$B$20,MATCH(J1423,Roles!$A$17:$A$20,0)),1)</f>
        <v/>
      </c>
      <c r="L1423" s="19" t="n">
        <v>1</v>
      </c>
      <c r="M1423" s="11" t="n">
        <v>1</v>
      </c>
      <c r="N1423" s="19" t="n"/>
      <c r="O1423" s="19" t="n"/>
      <c r="P1423" s="19" t="n"/>
      <c r="Q1423" s="19" t="n"/>
      <c r="R1423" s="19" t="n"/>
      <c r="S1423" s="19" t="n"/>
      <c r="T1423" s="19" t="n"/>
      <c r="U1423" s="19" t="n"/>
      <c r="V1423" s="19" t="n"/>
      <c r="W1423" s="19" t="n"/>
      <c r="X1423" s="19" t="n"/>
      <c r="Y1423" s="19" t="n">
        <v>1</v>
      </c>
      <c r="Z1423" s="13">
        <f>SUMPRODUCT(N1423:Y1423,$N$2:$Y$2)*$K1423*$L1423*$M1423</f>
        <v/>
      </c>
      <c r="AA1423" s="14">
        <f>SUM(N1423:Y1423)</f>
        <v/>
      </c>
      <c r="AB1423" s="13">
        <f>SUMPRODUCT(N1423:Y1423,$N$3:$Y$3)*$K1423*$L1423*$M1423</f>
        <v/>
      </c>
      <c r="AC1423" s="13">
        <f>SUMPRODUCT(N1423:Y1423,$N$4:$Y$4)*$K1423*$L1423*$M1423</f>
        <v/>
      </c>
      <c r="AD1423" s="15" t="n">
        <v>3</v>
      </c>
      <c r="AE1423" s="11" t="n">
        <v>1.011296296296296</v>
      </c>
      <c r="AF1423" s="16">
        <f>SUMPRODUCT(N1423:Y1423,$N$5:$Y$5)*$K1423*$L1423*$M1423</f>
        <v/>
      </c>
      <c r="AG1423" s="16">
        <f>SUMPRODUCT(N1423:Y1423,$N$6:$Y$6)*$K1423*$L1423*$M1423</f>
        <v/>
      </c>
      <c r="AH1423" s="20" t="n"/>
    </row>
    <row r="1424">
      <c r="A1424" s="9" t="n">
        <v>693527</v>
      </c>
      <c r="B1424" s="9" t="inlineStr">
        <is>
          <t>Jacob Denner</t>
        </is>
      </c>
      <c r="C1424" s="9" t="inlineStr">
        <is>
          <t>SEA</t>
        </is>
      </c>
      <c r="D1424" s="9" t="n">
        <v>25</v>
      </c>
      <c r="E1424" s="18" t="inlineStr">
        <is>
          <t>L</t>
        </is>
      </c>
      <c r="F1424" s="18" t="n"/>
      <c r="G1424" s="9" t="n">
        <v>10.03333333333333</v>
      </c>
      <c r="H1424" s="9" t="n">
        <v>10.03333333333333</v>
      </c>
      <c r="I1424" s="9" t="inlineStr">
        <is>
          <t>Depth (no MLB IP)</t>
        </is>
      </c>
      <c r="J1424" s="18" t="inlineStr">
        <is>
          <t>Opening Day</t>
        </is>
      </c>
      <c r="K1424" s="11">
        <f>IFERROR(INDEX(Roles!$B$17:$B$20,MATCH(J1424,Roles!$A$17:$A$20,0)),1)</f>
        <v/>
      </c>
      <c r="L1424" s="19" t="n">
        <v>1</v>
      </c>
      <c r="M1424" s="11" t="n">
        <v>1</v>
      </c>
      <c r="N1424" s="19" t="n"/>
      <c r="O1424" s="19" t="n"/>
      <c r="P1424" s="19" t="n"/>
      <c r="Q1424" s="19" t="n"/>
      <c r="R1424" s="19" t="n"/>
      <c r="S1424" s="19" t="n"/>
      <c r="T1424" s="19" t="n"/>
      <c r="U1424" s="19" t="n"/>
      <c r="V1424" s="19" t="n"/>
      <c r="W1424" s="19" t="n"/>
      <c r="X1424" s="19" t="n"/>
      <c r="Y1424" s="19" t="n">
        <v>1</v>
      </c>
      <c r="Z1424" s="13">
        <f>SUMPRODUCT(N1424:Y1424,$N$2:$Y$2)*$K1424*$L1424*$M1424</f>
        <v/>
      </c>
      <c r="AA1424" s="14">
        <f>SUM(N1424:Y1424)</f>
        <v/>
      </c>
      <c r="AB1424" s="13">
        <f>SUMPRODUCT(N1424:Y1424,$N$3:$Y$3)*$K1424*$L1424*$M1424</f>
        <v/>
      </c>
      <c r="AC1424" s="13">
        <f>SUMPRODUCT(N1424:Y1424,$N$4:$Y$4)*$K1424*$L1424*$M1424</f>
        <v/>
      </c>
      <c r="AD1424" s="15" t="n">
        <v>3</v>
      </c>
      <c r="AE1424" s="11" t="n">
        <v>1.011296296296296</v>
      </c>
      <c r="AF1424" s="16">
        <f>SUMPRODUCT(N1424:Y1424,$N$5:$Y$5)*$K1424*$L1424*$M1424</f>
        <v/>
      </c>
      <c r="AG1424" s="16">
        <f>SUMPRODUCT(N1424:Y1424,$N$6:$Y$6)*$K1424*$L1424*$M1424</f>
        <v/>
      </c>
      <c r="AH1424" s="20" t="n"/>
    </row>
    <row r="1425">
      <c r="A1425" s="9" t="n">
        <v>702419</v>
      </c>
      <c r="B1425" s="9" t="inlineStr">
        <is>
          <t>Dameivi Tineo</t>
        </is>
      </c>
      <c r="C1425" s="9" t="inlineStr">
        <is>
          <t>MIA</t>
        </is>
      </c>
      <c r="D1425" s="9" t="n">
        <v>25</v>
      </c>
      <c r="E1425" s="18" t="inlineStr">
        <is>
          <t>L</t>
        </is>
      </c>
      <c r="F1425" s="18" t="n"/>
      <c r="G1425" s="9" t="n">
        <v>10.03333333333333</v>
      </c>
      <c r="H1425" s="9" t="n">
        <v>10.03333333333333</v>
      </c>
      <c r="I1425" s="9" t="inlineStr">
        <is>
          <t>Depth (no MLB IP)</t>
        </is>
      </c>
      <c r="J1425" s="18" t="inlineStr">
        <is>
          <t>Opening Day</t>
        </is>
      </c>
      <c r="K1425" s="11">
        <f>IFERROR(INDEX(Roles!$B$17:$B$20,MATCH(J1425,Roles!$A$17:$A$20,0)),1)</f>
        <v/>
      </c>
      <c r="L1425" s="19" t="n">
        <v>1</v>
      </c>
      <c r="M1425" s="11" t="n">
        <v>1</v>
      </c>
      <c r="N1425" s="19" t="n"/>
      <c r="O1425" s="19" t="n"/>
      <c r="P1425" s="19" t="n"/>
      <c r="Q1425" s="19" t="n"/>
      <c r="R1425" s="19" t="n"/>
      <c r="S1425" s="19" t="n"/>
      <c r="T1425" s="19" t="n"/>
      <c r="U1425" s="19" t="n"/>
      <c r="V1425" s="19" t="n"/>
      <c r="W1425" s="19" t="n"/>
      <c r="X1425" s="19" t="n"/>
      <c r="Y1425" s="19" t="n">
        <v>1</v>
      </c>
      <c r="Z1425" s="13">
        <f>SUMPRODUCT(N1425:Y1425,$N$2:$Y$2)*$K1425*$L1425*$M1425</f>
        <v/>
      </c>
      <c r="AA1425" s="14">
        <f>SUM(N1425:Y1425)</f>
        <v/>
      </c>
      <c r="AB1425" s="13">
        <f>SUMPRODUCT(N1425:Y1425,$N$3:$Y$3)*$K1425*$L1425*$M1425</f>
        <v/>
      </c>
      <c r="AC1425" s="13">
        <f>SUMPRODUCT(N1425:Y1425,$N$4:$Y$4)*$K1425*$L1425*$M1425</f>
        <v/>
      </c>
      <c r="AD1425" s="15" t="n">
        <v>3</v>
      </c>
      <c r="AE1425" s="11" t="n">
        <v>1.011296296296296</v>
      </c>
      <c r="AF1425" s="16">
        <f>SUMPRODUCT(N1425:Y1425,$N$5:$Y$5)*$K1425*$L1425*$M1425</f>
        <v/>
      </c>
      <c r="AG1425" s="16">
        <f>SUMPRODUCT(N1425:Y1425,$N$6:$Y$6)*$K1425*$L1425*$M1425</f>
        <v/>
      </c>
      <c r="AH1425" s="20" t="n"/>
    </row>
    <row r="1426">
      <c r="A1426" s="9" t="n">
        <v>821593</v>
      </c>
      <c r="B1426" s="9" t="inlineStr">
        <is>
          <t>Adrian Ardines</t>
        </is>
      </c>
      <c r="C1426" s="9" t="inlineStr">
        <is>
          <t>HOU</t>
        </is>
      </c>
      <c r="D1426" s="9" t="n">
        <v>25</v>
      </c>
      <c r="E1426" s="18" t="inlineStr">
        <is>
          <t>R</t>
        </is>
      </c>
      <c r="F1426" s="18" t="n"/>
      <c r="G1426" s="9" t="n">
        <v>10.148</v>
      </c>
      <c r="H1426" s="9" t="n">
        <v>10.148</v>
      </c>
      <c r="I1426" s="9" t="inlineStr">
        <is>
          <t>Depth (no MLB IP)</t>
        </is>
      </c>
      <c r="J1426" s="18" t="inlineStr">
        <is>
          <t>Opening Day</t>
        </is>
      </c>
      <c r="K1426" s="11">
        <f>IFERROR(INDEX(Roles!$B$17:$B$20,MATCH(J1426,Roles!$A$17:$A$20,0)),1)</f>
        <v/>
      </c>
      <c r="L1426" s="19" t="n">
        <v>1</v>
      </c>
      <c r="M1426" s="11" t="n">
        <v>1</v>
      </c>
      <c r="N1426" s="19" t="n"/>
      <c r="O1426" s="19" t="n"/>
      <c r="P1426" s="19" t="n"/>
      <c r="Q1426" s="19" t="n"/>
      <c r="R1426" s="19" t="n"/>
      <c r="S1426" s="19" t="n"/>
      <c r="T1426" s="19" t="n"/>
      <c r="U1426" s="19" t="n"/>
      <c r="V1426" s="19" t="n"/>
      <c r="W1426" s="19" t="n"/>
      <c r="X1426" s="19" t="n"/>
      <c r="Y1426" s="19" t="n">
        <v>1</v>
      </c>
      <c r="Z1426" s="13">
        <f>SUMPRODUCT(N1426:Y1426,$N$2:$Y$2)*$K1426*$L1426*$M1426</f>
        <v/>
      </c>
      <c r="AA1426" s="14">
        <f>SUM(N1426:Y1426)</f>
        <v/>
      </c>
      <c r="AB1426" s="13">
        <f>SUMPRODUCT(N1426:Y1426,$N$3:$Y$3)*$K1426*$L1426*$M1426</f>
        <v/>
      </c>
      <c r="AC1426" s="13">
        <f>SUMPRODUCT(N1426:Y1426,$N$4:$Y$4)*$K1426*$L1426*$M1426</f>
        <v/>
      </c>
      <c r="AD1426" s="15" t="n">
        <v>3</v>
      </c>
      <c r="AE1426" s="11" t="n">
        <v>1.011296296296296</v>
      </c>
      <c r="AF1426" s="16">
        <f>SUMPRODUCT(N1426:Y1426,$N$5:$Y$5)*$K1426*$L1426*$M1426</f>
        <v/>
      </c>
      <c r="AG1426" s="16">
        <f>SUMPRODUCT(N1426:Y1426,$N$6:$Y$6)*$K1426*$L1426*$M1426</f>
        <v/>
      </c>
      <c r="AH1426" s="20" t="n"/>
    </row>
    <row r="1427">
      <c r="A1427" s="9" t="n">
        <v>656061</v>
      </c>
      <c r="B1427" s="9" t="inlineStr">
        <is>
          <t>Albert Abreu</t>
        </is>
      </c>
      <c r="C1427" s="9" t="inlineStr">
        <is>
          <t>NYY</t>
        </is>
      </c>
      <c r="D1427" s="9" t="n">
        <v>31</v>
      </c>
      <c r="E1427" s="18" t="inlineStr">
        <is>
          <t>R</t>
        </is>
      </c>
      <c r="F1427" s="18" t="n"/>
      <c r="G1427" s="9" t="n">
        <v>268</v>
      </c>
      <c r="H1427" s="9" t="n">
        <v>440</v>
      </c>
      <c r="I1427" s="9" t="inlineStr">
        <is>
          <t>Depth (no MLB IP)</t>
        </is>
      </c>
      <c r="J1427" s="18" t="inlineStr">
        <is>
          <t>Opening Day</t>
        </is>
      </c>
      <c r="K1427" s="11">
        <f>IFERROR(INDEX(Roles!$B$17:$B$20,MATCH(J1427,Roles!$A$17:$A$20,0)),1)</f>
        <v/>
      </c>
      <c r="L1427" s="19" t="n">
        <v>1</v>
      </c>
      <c r="M1427" s="11" t="n">
        <v>1</v>
      </c>
      <c r="N1427" s="19" t="n"/>
      <c r="O1427" s="19" t="n"/>
      <c r="P1427" s="19" t="n"/>
      <c r="Q1427" s="19" t="n"/>
      <c r="R1427" s="19" t="n"/>
      <c r="S1427" s="19" t="n"/>
      <c r="T1427" s="19" t="n"/>
      <c r="U1427" s="19" t="n"/>
      <c r="V1427" s="19" t="n"/>
      <c r="W1427" s="19" t="n"/>
      <c r="X1427" s="19" t="n"/>
      <c r="Y1427" s="19" t="n">
        <v>1</v>
      </c>
      <c r="Z1427" s="13">
        <f>SUMPRODUCT(N1427:Y1427,$N$2:$Y$2)*$K1427*$L1427*$M1427</f>
        <v/>
      </c>
      <c r="AA1427" s="14">
        <f>SUM(N1427:Y1427)</f>
        <v/>
      </c>
      <c r="AB1427" s="13">
        <f>SUMPRODUCT(N1427:Y1427,$N$3:$Y$3)*$K1427*$L1427*$M1427</f>
        <v/>
      </c>
      <c r="AC1427" s="13">
        <f>SUMPRODUCT(N1427:Y1427,$N$4:$Y$4)*$K1427*$L1427*$M1427</f>
        <v/>
      </c>
      <c r="AD1427" s="15" t="n">
        <v>3</v>
      </c>
      <c r="AE1427" s="11" t="n">
        <v>1.011296296296296</v>
      </c>
      <c r="AF1427" s="16">
        <f>SUMPRODUCT(N1427:Y1427,$N$5:$Y$5)*$K1427*$L1427*$M1427</f>
        <v/>
      </c>
      <c r="AG1427" s="16">
        <f>SUMPRODUCT(N1427:Y1427,$N$6:$Y$6)*$K1427*$L1427*$M1427</f>
        <v/>
      </c>
      <c r="AH1427" s="20" t="n"/>
    </row>
    <row r="1428">
      <c r="A1428" s="9" t="n">
        <v>694766</v>
      </c>
      <c r="B1428" s="9" t="inlineStr">
        <is>
          <t>Wyatt Hudepohl</t>
        </is>
      </c>
      <c r="C1428" s="9" t="inlineStr">
        <is>
          <t>NYM</t>
        </is>
      </c>
      <c r="D1428" s="9" t="n">
        <v>25</v>
      </c>
      <c r="E1428" s="18" t="inlineStr">
        <is>
          <t>R</t>
        </is>
      </c>
      <c r="F1428" s="18" t="n"/>
      <c r="G1428" s="9" t="n">
        <v>10.03333333333333</v>
      </c>
      <c r="H1428" s="9" t="n">
        <v>10.03333333333333</v>
      </c>
      <c r="I1428" s="9" t="inlineStr">
        <is>
          <t>Depth (no MLB IP)</t>
        </is>
      </c>
      <c r="J1428" s="18" t="inlineStr">
        <is>
          <t>Opening Day</t>
        </is>
      </c>
      <c r="K1428" s="11">
        <f>IFERROR(INDEX(Roles!$B$17:$B$20,MATCH(J1428,Roles!$A$17:$A$20,0)),1)</f>
        <v/>
      </c>
      <c r="L1428" s="19" t="n">
        <v>1</v>
      </c>
      <c r="M1428" s="11" t="n">
        <v>1</v>
      </c>
      <c r="N1428" s="19" t="n"/>
      <c r="O1428" s="19" t="n"/>
      <c r="P1428" s="19" t="n"/>
      <c r="Q1428" s="19" t="n"/>
      <c r="R1428" s="19" t="n"/>
      <c r="S1428" s="19" t="n"/>
      <c r="T1428" s="19" t="n"/>
      <c r="U1428" s="19" t="n"/>
      <c r="V1428" s="19" t="n"/>
      <c r="W1428" s="19" t="n"/>
      <c r="X1428" s="19" t="n"/>
      <c r="Y1428" s="19" t="n">
        <v>1</v>
      </c>
      <c r="Z1428" s="13">
        <f>SUMPRODUCT(N1428:Y1428,$N$2:$Y$2)*$K1428*$L1428*$M1428</f>
        <v/>
      </c>
      <c r="AA1428" s="14">
        <f>SUM(N1428:Y1428)</f>
        <v/>
      </c>
      <c r="AB1428" s="13">
        <f>SUMPRODUCT(N1428:Y1428,$N$3:$Y$3)*$K1428*$L1428*$M1428</f>
        <v/>
      </c>
      <c r="AC1428" s="13">
        <f>SUMPRODUCT(N1428:Y1428,$N$4:$Y$4)*$K1428*$L1428*$M1428</f>
        <v/>
      </c>
      <c r="AD1428" s="15" t="n">
        <v>3</v>
      </c>
      <c r="AE1428" s="11" t="n">
        <v>1.011296296296296</v>
      </c>
      <c r="AF1428" s="16">
        <f>SUMPRODUCT(N1428:Y1428,$N$5:$Y$5)*$K1428*$L1428*$M1428</f>
        <v/>
      </c>
      <c r="AG1428" s="16">
        <f>SUMPRODUCT(N1428:Y1428,$N$6:$Y$6)*$K1428*$L1428*$M1428</f>
        <v/>
      </c>
      <c r="AH1428" s="20" t="n"/>
    </row>
    <row r="1429">
      <c r="A1429" s="9" t="n">
        <v>681004</v>
      </c>
      <c r="B1429" s="9" t="inlineStr">
        <is>
          <t>Jack Carey</t>
        </is>
      </c>
      <c r="C1429" s="9" t="inlineStr">
        <is>
          <t>CLE</t>
        </is>
      </c>
      <c r="D1429" s="9" t="n">
        <v>25</v>
      </c>
      <c r="E1429" s="18" t="inlineStr">
        <is>
          <t>R</t>
        </is>
      </c>
      <c r="F1429" s="18" t="n"/>
      <c r="G1429" s="9" t="n">
        <v>10.24833333333333</v>
      </c>
      <c r="H1429" s="9" t="n">
        <v>10.24833333333333</v>
      </c>
      <c r="I1429" s="9" t="inlineStr">
        <is>
          <t>Depth (no MLB IP)</t>
        </is>
      </c>
      <c r="J1429" s="18" t="inlineStr">
        <is>
          <t>Opening Day</t>
        </is>
      </c>
      <c r="K1429" s="11">
        <f>IFERROR(INDEX(Roles!$B$17:$B$20,MATCH(J1429,Roles!$A$17:$A$20,0)),1)</f>
        <v/>
      </c>
      <c r="L1429" s="19" t="n">
        <v>1</v>
      </c>
      <c r="M1429" s="11" t="n">
        <v>1</v>
      </c>
      <c r="N1429" s="19" t="n"/>
      <c r="O1429" s="19" t="n"/>
      <c r="P1429" s="19" t="n"/>
      <c r="Q1429" s="19" t="n"/>
      <c r="R1429" s="19" t="n"/>
      <c r="S1429" s="19" t="n"/>
      <c r="T1429" s="19" t="n"/>
      <c r="U1429" s="19" t="n"/>
      <c r="V1429" s="19" t="n"/>
      <c r="W1429" s="19" t="n"/>
      <c r="X1429" s="19" t="n"/>
      <c r="Y1429" s="19" t="n">
        <v>1</v>
      </c>
      <c r="Z1429" s="13">
        <f>SUMPRODUCT(N1429:Y1429,$N$2:$Y$2)*$K1429*$L1429*$M1429</f>
        <v/>
      </c>
      <c r="AA1429" s="14">
        <f>SUM(N1429:Y1429)</f>
        <v/>
      </c>
      <c r="AB1429" s="13">
        <f>SUMPRODUCT(N1429:Y1429,$N$3:$Y$3)*$K1429*$L1429*$M1429</f>
        <v/>
      </c>
      <c r="AC1429" s="13">
        <f>SUMPRODUCT(N1429:Y1429,$N$4:$Y$4)*$K1429*$L1429*$M1429</f>
        <v/>
      </c>
      <c r="AD1429" s="15" t="n">
        <v>3</v>
      </c>
      <c r="AE1429" s="11" t="n">
        <v>1.011296296296296</v>
      </c>
      <c r="AF1429" s="16">
        <f>SUMPRODUCT(N1429:Y1429,$N$5:$Y$5)*$K1429*$L1429*$M1429</f>
        <v/>
      </c>
      <c r="AG1429" s="16">
        <f>SUMPRODUCT(N1429:Y1429,$N$6:$Y$6)*$K1429*$L1429*$M1429</f>
        <v/>
      </c>
      <c r="AH1429" s="20" t="n"/>
    </row>
    <row r="1430">
      <c r="A1430" s="9" t="n">
        <v>814252</v>
      </c>
      <c r="B1430" s="9" t="inlineStr">
        <is>
          <t>Sandy Ozuna</t>
        </is>
      </c>
      <c r="C1430" s="9" t="inlineStr">
        <is>
          <t>COL</t>
        </is>
      </c>
      <c r="D1430" s="9" t="n">
        <v>25</v>
      </c>
      <c r="E1430" s="18" t="inlineStr">
        <is>
          <t>R</t>
        </is>
      </c>
      <c r="F1430" s="18" t="n"/>
      <c r="G1430" s="9" t="n">
        <v>10.148</v>
      </c>
      <c r="H1430" s="9" t="n">
        <v>10.148</v>
      </c>
      <c r="I1430" s="9" t="inlineStr">
        <is>
          <t>Depth (no MLB IP)</t>
        </is>
      </c>
      <c r="J1430" s="18" t="inlineStr">
        <is>
          <t>Opening Day</t>
        </is>
      </c>
      <c r="K1430" s="11">
        <f>IFERROR(INDEX(Roles!$B$17:$B$20,MATCH(J1430,Roles!$A$17:$A$20,0)),1)</f>
        <v/>
      </c>
      <c r="L1430" s="19" t="n">
        <v>1</v>
      </c>
      <c r="M1430" s="11" t="n">
        <v>1</v>
      </c>
      <c r="N1430" s="19" t="n"/>
      <c r="O1430" s="19" t="n"/>
      <c r="P1430" s="19" t="n"/>
      <c r="Q1430" s="19" t="n"/>
      <c r="R1430" s="19" t="n"/>
      <c r="S1430" s="19" t="n"/>
      <c r="T1430" s="19" t="n"/>
      <c r="U1430" s="19" t="n"/>
      <c r="V1430" s="19" t="n"/>
      <c r="W1430" s="19" t="n"/>
      <c r="X1430" s="19" t="n"/>
      <c r="Y1430" s="19" t="n">
        <v>1</v>
      </c>
      <c r="Z1430" s="13">
        <f>SUMPRODUCT(N1430:Y1430,$N$2:$Y$2)*$K1430*$L1430*$M1430</f>
        <v/>
      </c>
      <c r="AA1430" s="14">
        <f>SUM(N1430:Y1430)</f>
        <v/>
      </c>
      <c r="AB1430" s="13">
        <f>SUMPRODUCT(N1430:Y1430,$N$3:$Y$3)*$K1430*$L1430*$M1430</f>
        <v/>
      </c>
      <c r="AC1430" s="13">
        <f>SUMPRODUCT(N1430:Y1430,$N$4:$Y$4)*$K1430*$L1430*$M1430</f>
        <v/>
      </c>
      <c r="AD1430" s="15" t="n">
        <v>3</v>
      </c>
      <c r="AE1430" s="11" t="n">
        <v>1.011296296296296</v>
      </c>
      <c r="AF1430" s="16">
        <f>SUMPRODUCT(N1430:Y1430,$N$5:$Y$5)*$K1430*$L1430*$M1430</f>
        <v/>
      </c>
      <c r="AG1430" s="16">
        <f>SUMPRODUCT(N1430:Y1430,$N$6:$Y$6)*$K1430*$L1430*$M1430</f>
        <v/>
      </c>
      <c r="AH1430" s="20" t="n"/>
    </row>
    <row r="1431">
      <c r="A1431" s="9" t="n">
        <v>809137</v>
      </c>
      <c r="B1431" s="9" t="inlineStr">
        <is>
          <t>Brian Hendry</t>
        </is>
      </c>
      <c r="C1431" s="9" t="inlineStr">
        <is>
          <t>NYY</t>
        </is>
      </c>
      <c r="D1431" s="9" t="n">
        <v>25</v>
      </c>
      <c r="E1431" s="18" t="inlineStr">
        <is>
          <t>R</t>
        </is>
      </c>
      <c r="F1431" s="18" t="n"/>
      <c r="G1431" s="9" t="n">
        <v>10.24833333333333</v>
      </c>
      <c r="H1431" s="9" t="n">
        <v>10.24833333333333</v>
      </c>
      <c r="I1431" s="9" t="inlineStr">
        <is>
          <t>Depth (no MLB IP)</t>
        </is>
      </c>
      <c r="J1431" s="18" t="inlineStr">
        <is>
          <t>Opening Day</t>
        </is>
      </c>
      <c r="K1431" s="11">
        <f>IFERROR(INDEX(Roles!$B$17:$B$20,MATCH(J1431,Roles!$A$17:$A$20,0)),1)</f>
        <v/>
      </c>
      <c r="L1431" s="19" t="n">
        <v>1</v>
      </c>
      <c r="M1431" s="11" t="n">
        <v>1</v>
      </c>
      <c r="N1431" s="19" t="n"/>
      <c r="O1431" s="19" t="n"/>
      <c r="P1431" s="19" t="n"/>
      <c r="Q1431" s="19" t="n"/>
      <c r="R1431" s="19" t="n"/>
      <c r="S1431" s="19" t="n"/>
      <c r="T1431" s="19" t="n"/>
      <c r="U1431" s="19" t="n"/>
      <c r="V1431" s="19" t="n"/>
      <c r="W1431" s="19" t="n"/>
      <c r="X1431" s="19" t="n"/>
      <c r="Y1431" s="19" t="n">
        <v>1</v>
      </c>
      <c r="Z1431" s="13">
        <f>SUMPRODUCT(N1431:Y1431,$N$2:$Y$2)*$K1431*$L1431*$M1431</f>
        <v/>
      </c>
      <c r="AA1431" s="14">
        <f>SUM(N1431:Y1431)</f>
        <v/>
      </c>
      <c r="AB1431" s="13">
        <f>SUMPRODUCT(N1431:Y1431,$N$3:$Y$3)*$K1431*$L1431*$M1431</f>
        <v/>
      </c>
      <c r="AC1431" s="13">
        <f>SUMPRODUCT(N1431:Y1431,$N$4:$Y$4)*$K1431*$L1431*$M1431</f>
        <v/>
      </c>
      <c r="AD1431" s="15" t="n">
        <v>3</v>
      </c>
      <c r="AE1431" s="11" t="n">
        <v>1.011296296296296</v>
      </c>
      <c r="AF1431" s="16">
        <f>SUMPRODUCT(N1431:Y1431,$N$5:$Y$5)*$K1431*$L1431*$M1431</f>
        <v/>
      </c>
      <c r="AG1431" s="16">
        <f>SUMPRODUCT(N1431:Y1431,$N$6:$Y$6)*$K1431*$L1431*$M1431</f>
        <v/>
      </c>
      <c r="AH1431" s="20" t="n"/>
    </row>
    <row r="1432">
      <c r="A1432" s="9" t="n">
        <v>802541</v>
      </c>
      <c r="B1432" s="9" t="inlineStr">
        <is>
          <t>Bryan Broecker</t>
        </is>
      </c>
      <c r="C1432" s="9" t="inlineStr">
        <is>
          <t>TB</t>
        </is>
      </c>
      <c r="D1432" s="9" t="n">
        <v>25</v>
      </c>
      <c r="E1432" s="18" t="inlineStr">
        <is>
          <t>R</t>
        </is>
      </c>
      <c r="F1432" s="18" t="n"/>
      <c r="G1432" s="9" t="n">
        <v>10.24833333333333</v>
      </c>
      <c r="H1432" s="9" t="n">
        <v>10.24833333333333</v>
      </c>
      <c r="I1432" s="9" t="inlineStr">
        <is>
          <t>Depth (no MLB IP)</t>
        </is>
      </c>
      <c r="J1432" s="18" t="inlineStr">
        <is>
          <t>Opening Day</t>
        </is>
      </c>
      <c r="K1432" s="11">
        <f>IFERROR(INDEX(Roles!$B$17:$B$20,MATCH(J1432,Roles!$A$17:$A$20,0)),1)</f>
        <v/>
      </c>
      <c r="L1432" s="19" t="n">
        <v>1</v>
      </c>
      <c r="M1432" s="11" t="n">
        <v>1</v>
      </c>
      <c r="N1432" s="19" t="n"/>
      <c r="O1432" s="19" t="n"/>
      <c r="P1432" s="19" t="n"/>
      <c r="Q1432" s="19" t="n"/>
      <c r="R1432" s="19" t="n"/>
      <c r="S1432" s="19" t="n"/>
      <c r="T1432" s="19" t="n"/>
      <c r="U1432" s="19" t="n"/>
      <c r="V1432" s="19" t="n"/>
      <c r="W1432" s="19" t="n"/>
      <c r="X1432" s="19" t="n"/>
      <c r="Y1432" s="19" t="n">
        <v>1</v>
      </c>
      <c r="Z1432" s="13">
        <f>SUMPRODUCT(N1432:Y1432,$N$2:$Y$2)*$K1432*$L1432*$M1432</f>
        <v/>
      </c>
      <c r="AA1432" s="14">
        <f>SUM(N1432:Y1432)</f>
        <v/>
      </c>
      <c r="AB1432" s="13">
        <f>SUMPRODUCT(N1432:Y1432,$N$3:$Y$3)*$K1432*$L1432*$M1432</f>
        <v/>
      </c>
      <c r="AC1432" s="13">
        <f>SUMPRODUCT(N1432:Y1432,$N$4:$Y$4)*$K1432*$L1432*$M1432</f>
        <v/>
      </c>
      <c r="AD1432" s="15" t="n">
        <v>3</v>
      </c>
      <c r="AE1432" s="11" t="n">
        <v>1.011296296296296</v>
      </c>
      <c r="AF1432" s="16">
        <f>SUMPRODUCT(N1432:Y1432,$N$5:$Y$5)*$K1432*$L1432*$M1432</f>
        <v/>
      </c>
      <c r="AG1432" s="16">
        <f>SUMPRODUCT(N1432:Y1432,$N$6:$Y$6)*$K1432*$L1432*$M1432</f>
        <v/>
      </c>
      <c r="AH1432" s="20" t="n"/>
    </row>
    <row r="1433">
      <c r="A1433" s="9" t="n">
        <v>829463</v>
      </c>
      <c r="B1433" s="9" t="inlineStr">
        <is>
          <t>Mailon Felix</t>
        </is>
      </c>
      <c r="C1433" s="9" t="inlineStr">
        <is>
          <t>TEX</t>
        </is>
      </c>
      <c r="D1433" s="9" t="n">
        <v>25</v>
      </c>
      <c r="E1433" s="18" t="inlineStr">
        <is>
          <t>R</t>
        </is>
      </c>
      <c r="F1433" s="18" t="n"/>
      <c r="G1433" s="9" t="n">
        <v>10.03333333333333</v>
      </c>
      <c r="H1433" s="9" t="n">
        <v>10.03333333333333</v>
      </c>
      <c r="I1433" s="9" t="inlineStr">
        <is>
          <t>Depth (no MLB IP)</t>
        </is>
      </c>
      <c r="J1433" s="18" t="inlineStr">
        <is>
          <t>Opening Day</t>
        </is>
      </c>
      <c r="K1433" s="11">
        <f>IFERROR(INDEX(Roles!$B$17:$B$20,MATCH(J1433,Roles!$A$17:$A$20,0)),1)</f>
        <v/>
      </c>
      <c r="L1433" s="19" t="n">
        <v>1</v>
      </c>
      <c r="M1433" s="11" t="n">
        <v>1</v>
      </c>
      <c r="N1433" s="19" t="n"/>
      <c r="O1433" s="19" t="n"/>
      <c r="P1433" s="19" t="n"/>
      <c r="Q1433" s="19" t="n"/>
      <c r="R1433" s="19" t="n"/>
      <c r="S1433" s="19" t="n"/>
      <c r="T1433" s="19" t="n"/>
      <c r="U1433" s="19" t="n"/>
      <c r="V1433" s="19" t="n"/>
      <c r="W1433" s="19" t="n"/>
      <c r="X1433" s="19" t="n"/>
      <c r="Y1433" s="19" t="n">
        <v>1</v>
      </c>
      <c r="Z1433" s="13">
        <f>SUMPRODUCT(N1433:Y1433,$N$2:$Y$2)*$K1433*$L1433*$M1433</f>
        <v/>
      </c>
      <c r="AA1433" s="14">
        <f>SUM(N1433:Y1433)</f>
        <v/>
      </c>
      <c r="AB1433" s="13">
        <f>SUMPRODUCT(N1433:Y1433,$N$3:$Y$3)*$K1433*$L1433*$M1433</f>
        <v/>
      </c>
      <c r="AC1433" s="13">
        <f>SUMPRODUCT(N1433:Y1433,$N$4:$Y$4)*$K1433*$L1433*$M1433</f>
        <v/>
      </c>
      <c r="AD1433" s="15" t="n">
        <v>3</v>
      </c>
      <c r="AE1433" s="11" t="n">
        <v>1.011296296296296</v>
      </c>
      <c r="AF1433" s="16">
        <f>SUMPRODUCT(N1433:Y1433,$N$5:$Y$5)*$K1433*$L1433*$M1433</f>
        <v/>
      </c>
      <c r="AG1433" s="16">
        <f>SUMPRODUCT(N1433:Y1433,$N$6:$Y$6)*$K1433*$L1433*$M1433</f>
        <v/>
      </c>
      <c r="AH1433" s="20" t="n"/>
    </row>
    <row r="1434">
      <c r="A1434" s="9" t="n">
        <v>836169</v>
      </c>
      <c r="B1434" s="9" t="inlineStr">
        <is>
          <t>J.D. Hennen</t>
        </is>
      </c>
      <c r="C1434" s="9" t="inlineStr">
        <is>
          <t>BAL</t>
        </is>
      </c>
      <c r="D1434" s="9" t="n">
        <v>25</v>
      </c>
      <c r="E1434" s="18" t="inlineStr">
        <is>
          <t>R</t>
        </is>
      </c>
      <c r="F1434" s="18" t="n"/>
      <c r="G1434" s="9" t="n">
        <v>10.32</v>
      </c>
      <c r="H1434" s="9" t="n">
        <v>10.32</v>
      </c>
      <c r="I1434" s="9" t="inlineStr">
        <is>
          <t>Depth (no MLB IP)</t>
        </is>
      </c>
      <c r="J1434" s="18" t="inlineStr">
        <is>
          <t>Opening Day</t>
        </is>
      </c>
      <c r="K1434" s="11">
        <f>IFERROR(INDEX(Roles!$B$17:$B$20,MATCH(J1434,Roles!$A$17:$A$20,0)),1)</f>
        <v/>
      </c>
      <c r="L1434" s="19" t="n">
        <v>1</v>
      </c>
      <c r="M1434" s="11" t="n">
        <v>1</v>
      </c>
      <c r="N1434" s="19" t="n"/>
      <c r="O1434" s="19" t="n"/>
      <c r="P1434" s="19" t="n"/>
      <c r="Q1434" s="19" t="n"/>
      <c r="R1434" s="19" t="n"/>
      <c r="S1434" s="19" t="n"/>
      <c r="T1434" s="19" t="n"/>
      <c r="U1434" s="19" t="n"/>
      <c r="V1434" s="19" t="n"/>
      <c r="W1434" s="19" t="n"/>
      <c r="X1434" s="19" t="n"/>
      <c r="Y1434" s="19" t="n">
        <v>1</v>
      </c>
      <c r="Z1434" s="13">
        <f>SUMPRODUCT(N1434:Y1434,$N$2:$Y$2)*$K1434*$L1434*$M1434</f>
        <v/>
      </c>
      <c r="AA1434" s="14">
        <f>SUM(N1434:Y1434)</f>
        <v/>
      </c>
      <c r="AB1434" s="13">
        <f>SUMPRODUCT(N1434:Y1434,$N$3:$Y$3)*$K1434*$L1434*$M1434</f>
        <v/>
      </c>
      <c r="AC1434" s="13">
        <f>SUMPRODUCT(N1434:Y1434,$N$4:$Y$4)*$K1434*$L1434*$M1434</f>
        <v/>
      </c>
      <c r="AD1434" s="15" t="n">
        <v>3</v>
      </c>
      <c r="AE1434" s="11" t="n">
        <v>1.011296296296296</v>
      </c>
      <c r="AF1434" s="16">
        <f>SUMPRODUCT(N1434:Y1434,$N$5:$Y$5)*$K1434*$L1434*$M1434</f>
        <v/>
      </c>
      <c r="AG1434" s="16">
        <f>SUMPRODUCT(N1434:Y1434,$N$6:$Y$6)*$K1434*$L1434*$M1434</f>
        <v/>
      </c>
      <c r="AH1434" s="20" t="n"/>
    </row>
    <row r="1435">
      <c r="A1435" s="9" t="n">
        <v>690455</v>
      </c>
      <c r="B1435" s="9" t="inlineStr">
        <is>
          <t>German Fajardo</t>
        </is>
      </c>
      <c r="C1435" s="9" t="inlineStr">
        <is>
          <t>SEA</t>
        </is>
      </c>
      <c r="D1435" s="9" t="n">
        <v>25</v>
      </c>
      <c r="E1435" s="18" t="inlineStr">
        <is>
          <t>R</t>
        </is>
      </c>
      <c r="F1435" s="18" t="n"/>
      <c r="G1435" s="9" t="n">
        <v>10.148</v>
      </c>
      <c r="H1435" s="9" t="n">
        <v>10.148</v>
      </c>
      <c r="I1435" s="9" t="inlineStr">
        <is>
          <t>Depth (no MLB IP)</t>
        </is>
      </c>
      <c r="J1435" s="18" t="inlineStr">
        <is>
          <t>Opening Day</t>
        </is>
      </c>
      <c r="K1435" s="11">
        <f>IFERROR(INDEX(Roles!$B$17:$B$20,MATCH(J1435,Roles!$A$17:$A$20,0)),1)</f>
        <v/>
      </c>
      <c r="L1435" s="19" t="n">
        <v>1</v>
      </c>
      <c r="M1435" s="11" t="n">
        <v>1</v>
      </c>
      <c r="N1435" s="19" t="n"/>
      <c r="O1435" s="19" t="n"/>
      <c r="P1435" s="19" t="n"/>
      <c r="Q1435" s="19" t="n"/>
      <c r="R1435" s="19" t="n"/>
      <c r="S1435" s="19" t="n"/>
      <c r="T1435" s="19" t="n"/>
      <c r="U1435" s="19" t="n"/>
      <c r="V1435" s="19" t="n"/>
      <c r="W1435" s="19" t="n"/>
      <c r="X1435" s="19" t="n"/>
      <c r="Y1435" s="19" t="n">
        <v>1</v>
      </c>
      <c r="Z1435" s="13">
        <f>SUMPRODUCT(N1435:Y1435,$N$2:$Y$2)*$K1435*$L1435*$M1435</f>
        <v/>
      </c>
      <c r="AA1435" s="14">
        <f>SUM(N1435:Y1435)</f>
        <v/>
      </c>
      <c r="AB1435" s="13">
        <f>SUMPRODUCT(N1435:Y1435,$N$3:$Y$3)*$K1435*$L1435*$M1435</f>
        <v/>
      </c>
      <c r="AC1435" s="13">
        <f>SUMPRODUCT(N1435:Y1435,$N$4:$Y$4)*$K1435*$L1435*$M1435</f>
        <v/>
      </c>
      <c r="AD1435" s="15" t="n">
        <v>3</v>
      </c>
      <c r="AE1435" s="11" t="n">
        <v>1.011296296296296</v>
      </c>
      <c r="AF1435" s="16">
        <f>SUMPRODUCT(N1435:Y1435,$N$5:$Y$5)*$K1435*$L1435*$M1435</f>
        <v/>
      </c>
      <c r="AG1435" s="16">
        <f>SUMPRODUCT(N1435:Y1435,$N$6:$Y$6)*$K1435*$L1435*$M1435</f>
        <v/>
      </c>
      <c r="AH1435" s="20" t="n"/>
    </row>
    <row r="1436">
      <c r="A1436" s="9" t="n">
        <v>695704</v>
      </c>
      <c r="B1436" s="9" t="inlineStr">
        <is>
          <t>Karson Ligon</t>
        </is>
      </c>
      <c r="C1436" s="9" t="inlineStr">
        <is>
          <t>TOR</t>
        </is>
      </c>
      <c r="D1436" s="9" t="n">
        <v>25</v>
      </c>
      <c r="E1436" s="18" t="inlineStr">
        <is>
          <t>R</t>
        </is>
      </c>
      <c r="F1436" s="18" t="n"/>
      <c r="G1436" s="9" t="n">
        <v>10.148</v>
      </c>
      <c r="H1436" s="9" t="n">
        <v>10.148</v>
      </c>
      <c r="I1436" s="9" t="inlineStr">
        <is>
          <t>Depth (no MLB IP)</t>
        </is>
      </c>
      <c r="J1436" s="18" t="inlineStr">
        <is>
          <t>Opening Day</t>
        </is>
      </c>
      <c r="K1436" s="11">
        <f>IFERROR(INDEX(Roles!$B$17:$B$20,MATCH(J1436,Roles!$A$17:$A$20,0)),1)</f>
        <v/>
      </c>
      <c r="L1436" s="19" t="n">
        <v>1</v>
      </c>
      <c r="M1436" s="11" t="n">
        <v>1</v>
      </c>
      <c r="N1436" s="19" t="n"/>
      <c r="O1436" s="19" t="n"/>
      <c r="P1436" s="19" t="n"/>
      <c r="Q1436" s="19" t="n"/>
      <c r="R1436" s="19" t="n"/>
      <c r="S1436" s="19" t="n"/>
      <c r="T1436" s="19" t="n"/>
      <c r="U1436" s="19" t="n"/>
      <c r="V1436" s="19" t="n"/>
      <c r="W1436" s="19" t="n"/>
      <c r="X1436" s="19" t="n"/>
      <c r="Y1436" s="19" t="n">
        <v>1</v>
      </c>
      <c r="Z1436" s="13">
        <f>SUMPRODUCT(N1436:Y1436,$N$2:$Y$2)*$K1436*$L1436*$M1436</f>
        <v/>
      </c>
      <c r="AA1436" s="14">
        <f>SUM(N1436:Y1436)</f>
        <v/>
      </c>
      <c r="AB1436" s="13">
        <f>SUMPRODUCT(N1436:Y1436,$N$3:$Y$3)*$K1436*$L1436*$M1436</f>
        <v/>
      </c>
      <c r="AC1436" s="13">
        <f>SUMPRODUCT(N1436:Y1436,$N$4:$Y$4)*$K1436*$L1436*$M1436</f>
        <v/>
      </c>
      <c r="AD1436" s="15" t="n">
        <v>3</v>
      </c>
      <c r="AE1436" s="11" t="n">
        <v>1.011296296296296</v>
      </c>
      <c r="AF1436" s="16">
        <f>SUMPRODUCT(N1436:Y1436,$N$5:$Y$5)*$K1436*$L1436*$M1436</f>
        <v/>
      </c>
      <c r="AG1436" s="16">
        <f>SUMPRODUCT(N1436:Y1436,$N$6:$Y$6)*$K1436*$L1436*$M1436</f>
        <v/>
      </c>
      <c r="AH1436" s="20" t="n"/>
    </row>
    <row r="1437">
      <c r="A1437" s="9" t="n">
        <v>823750</v>
      </c>
      <c r="B1437" s="9" t="inlineStr">
        <is>
          <t>Jacob Weaver</t>
        </is>
      </c>
      <c r="C1437" s="9" t="inlineStr">
        <is>
          <t>WSH</t>
        </is>
      </c>
      <c r="D1437" s="9" t="n">
        <v>25</v>
      </c>
      <c r="E1437" s="18" t="inlineStr">
        <is>
          <t>R</t>
        </is>
      </c>
      <c r="F1437" s="18" t="n"/>
      <c r="G1437" s="9" t="n">
        <v>10.32</v>
      </c>
      <c r="H1437" s="9" t="n">
        <v>10.32</v>
      </c>
      <c r="I1437" s="9" t="inlineStr">
        <is>
          <t>Depth (no MLB IP)</t>
        </is>
      </c>
      <c r="J1437" s="18" t="inlineStr">
        <is>
          <t>Opening Day</t>
        </is>
      </c>
      <c r="K1437" s="11">
        <f>IFERROR(INDEX(Roles!$B$17:$B$20,MATCH(J1437,Roles!$A$17:$A$20,0)),1)</f>
        <v/>
      </c>
      <c r="L1437" s="19" t="n">
        <v>1</v>
      </c>
      <c r="M1437" s="11" t="n">
        <v>1</v>
      </c>
      <c r="N1437" s="19" t="n"/>
      <c r="O1437" s="19" t="n"/>
      <c r="P1437" s="19" t="n"/>
      <c r="Q1437" s="19" t="n"/>
      <c r="R1437" s="19" t="n"/>
      <c r="S1437" s="19" t="n"/>
      <c r="T1437" s="19" t="n"/>
      <c r="U1437" s="19" t="n"/>
      <c r="V1437" s="19" t="n"/>
      <c r="W1437" s="19" t="n"/>
      <c r="X1437" s="19" t="n"/>
      <c r="Y1437" s="19" t="n">
        <v>1</v>
      </c>
      <c r="Z1437" s="13">
        <f>SUMPRODUCT(N1437:Y1437,$N$2:$Y$2)*$K1437*$L1437*$M1437</f>
        <v/>
      </c>
      <c r="AA1437" s="14">
        <f>SUM(N1437:Y1437)</f>
        <v/>
      </c>
      <c r="AB1437" s="13">
        <f>SUMPRODUCT(N1437:Y1437,$N$3:$Y$3)*$K1437*$L1437*$M1437</f>
        <v/>
      </c>
      <c r="AC1437" s="13">
        <f>SUMPRODUCT(N1437:Y1437,$N$4:$Y$4)*$K1437*$L1437*$M1437</f>
        <v/>
      </c>
      <c r="AD1437" s="15" t="n">
        <v>3</v>
      </c>
      <c r="AE1437" s="11" t="n">
        <v>1.011296296296296</v>
      </c>
      <c r="AF1437" s="16">
        <f>SUMPRODUCT(N1437:Y1437,$N$5:$Y$5)*$K1437*$L1437*$M1437</f>
        <v/>
      </c>
      <c r="AG1437" s="16">
        <f>SUMPRODUCT(N1437:Y1437,$N$6:$Y$6)*$K1437*$L1437*$M1437</f>
        <v/>
      </c>
      <c r="AH1437" s="20" t="n"/>
    </row>
    <row r="1438">
      <c r="A1438" s="9" t="n">
        <v>702073</v>
      </c>
      <c r="B1438" s="9" t="inlineStr">
        <is>
          <t>Ryan Ure</t>
        </is>
      </c>
      <c r="C1438" s="9" t="inlineStr">
        <is>
          <t>KC</t>
        </is>
      </c>
      <c r="D1438" s="9" t="n">
        <v>25</v>
      </c>
      <c r="E1438" s="18" t="inlineStr">
        <is>
          <t>L</t>
        </is>
      </c>
      <c r="F1438" s="18" t="n"/>
      <c r="G1438" s="9" t="n">
        <v>10.32</v>
      </c>
      <c r="H1438" s="9" t="n">
        <v>10.32</v>
      </c>
      <c r="I1438" s="9" t="inlineStr">
        <is>
          <t>Depth (no MLB IP)</t>
        </is>
      </c>
      <c r="J1438" s="18" t="inlineStr">
        <is>
          <t>Opening Day</t>
        </is>
      </c>
      <c r="K1438" s="11">
        <f>IFERROR(INDEX(Roles!$B$17:$B$20,MATCH(J1438,Roles!$A$17:$A$20,0)),1)</f>
        <v/>
      </c>
      <c r="L1438" s="19" t="n">
        <v>1</v>
      </c>
      <c r="M1438" s="11" t="n">
        <v>1</v>
      </c>
      <c r="N1438" s="19" t="n"/>
      <c r="O1438" s="19" t="n"/>
      <c r="P1438" s="19" t="n"/>
      <c r="Q1438" s="19" t="n"/>
      <c r="R1438" s="19" t="n"/>
      <c r="S1438" s="19" t="n"/>
      <c r="T1438" s="19" t="n"/>
      <c r="U1438" s="19" t="n"/>
      <c r="V1438" s="19" t="n"/>
      <c r="W1438" s="19" t="n"/>
      <c r="X1438" s="19" t="n"/>
      <c r="Y1438" s="19" t="n">
        <v>1</v>
      </c>
      <c r="Z1438" s="13">
        <f>SUMPRODUCT(N1438:Y1438,$N$2:$Y$2)*$K1438*$L1438*$M1438</f>
        <v/>
      </c>
      <c r="AA1438" s="14">
        <f>SUM(N1438:Y1438)</f>
        <v/>
      </c>
      <c r="AB1438" s="13">
        <f>SUMPRODUCT(N1438:Y1438,$N$3:$Y$3)*$K1438*$L1438*$M1438</f>
        <v/>
      </c>
      <c r="AC1438" s="13">
        <f>SUMPRODUCT(N1438:Y1438,$N$4:$Y$4)*$K1438*$L1438*$M1438</f>
        <v/>
      </c>
      <c r="AD1438" s="15" t="n">
        <v>3</v>
      </c>
      <c r="AE1438" s="11" t="n">
        <v>1.011296296296296</v>
      </c>
      <c r="AF1438" s="16">
        <f>SUMPRODUCT(N1438:Y1438,$N$5:$Y$5)*$K1438*$L1438*$M1438</f>
        <v/>
      </c>
      <c r="AG1438" s="16">
        <f>SUMPRODUCT(N1438:Y1438,$N$6:$Y$6)*$K1438*$L1438*$M1438</f>
        <v/>
      </c>
      <c r="AH1438" s="20" t="n"/>
    </row>
    <row r="1439">
      <c r="A1439" s="9" t="n">
        <v>800436</v>
      </c>
      <c r="B1439" s="9" t="inlineStr">
        <is>
          <t>Luichi Casilla</t>
        </is>
      </c>
      <c r="C1439" s="9" t="inlineStr">
        <is>
          <t>COL</t>
        </is>
      </c>
      <c r="D1439" s="9" t="n">
        <v>25</v>
      </c>
      <c r="E1439" s="18" t="inlineStr">
        <is>
          <t>L</t>
        </is>
      </c>
      <c r="F1439" s="18" t="n"/>
      <c r="G1439" s="9" t="n">
        <v>10.492</v>
      </c>
      <c r="H1439" s="9" t="n">
        <v>10.492</v>
      </c>
      <c r="I1439" s="9" t="inlineStr">
        <is>
          <t>Depth (no MLB IP)</t>
        </is>
      </c>
      <c r="J1439" s="18" t="inlineStr">
        <is>
          <t>Opening Day</t>
        </is>
      </c>
      <c r="K1439" s="11">
        <f>IFERROR(INDEX(Roles!$B$17:$B$20,MATCH(J1439,Roles!$A$17:$A$20,0)),1)</f>
        <v/>
      </c>
      <c r="L1439" s="19" t="n">
        <v>1</v>
      </c>
      <c r="M1439" s="11" t="n">
        <v>1</v>
      </c>
      <c r="N1439" s="19" t="n"/>
      <c r="O1439" s="19" t="n"/>
      <c r="P1439" s="19" t="n"/>
      <c r="Q1439" s="19" t="n"/>
      <c r="R1439" s="19" t="n"/>
      <c r="S1439" s="19" t="n"/>
      <c r="T1439" s="19" t="n"/>
      <c r="U1439" s="19" t="n"/>
      <c r="V1439" s="19" t="n"/>
      <c r="W1439" s="19" t="n"/>
      <c r="X1439" s="19" t="n"/>
      <c r="Y1439" s="19" t="n">
        <v>1</v>
      </c>
      <c r="Z1439" s="13">
        <f>SUMPRODUCT(N1439:Y1439,$N$2:$Y$2)*$K1439*$L1439*$M1439</f>
        <v/>
      </c>
      <c r="AA1439" s="14">
        <f>SUM(N1439:Y1439)</f>
        <v/>
      </c>
      <c r="AB1439" s="13">
        <f>SUMPRODUCT(N1439:Y1439,$N$3:$Y$3)*$K1439*$L1439*$M1439</f>
        <v/>
      </c>
      <c r="AC1439" s="13">
        <f>SUMPRODUCT(N1439:Y1439,$N$4:$Y$4)*$K1439*$L1439*$M1439</f>
        <v/>
      </c>
      <c r="AD1439" s="15" t="n">
        <v>3</v>
      </c>
      <c r="AE1439" s="11" t="n">
        <v>1.011296296296296</v>
      </c>
      <c r="AF1439" s="16">
        <f>SUMPRODUCT(N1439:Y1439,$N$5:$Y$5)*$K1439*$L1439*$M1439</f>
        <v/>
      </c>
      <c r="AG1439" s="16">
        <f>SUMPRODUCT(N1439:Y1439,$N$6:$Y$6)*$K1439*$L1439*$M1439</f>
        <v/>
      </c>
      <c r="AH1439" s="20" t="n"/>
    </row>
    <row r="1440">
      <c r="A1440" s="9" t="n">
        <v>814702</v>
      </c>
      <c r="B1440" s="9" t="inlineStr">
        <is>
          <t>Adler Cecil</t>
        </is>
      </c>
      <c r="C1440" s="9" t="inlineStr">
        <is>
          <t>SD</t>
        </is>
      </c>
      <c r="D1440" s="9" t="n">
        <v>25</v>
      </c>
      <c r="E1440" s="18" t="inlineStr">
        <is>
          <t>L</t>
        </is>
      </c>
      <c r="F1440" s="18" t="n"/>
      <c r="G1440" s="9" t="n">
        <v>10.492</v>
      </c>
      <c r="H1440" s="9" t="n">
        <v>10.492</v>
      </c>
      <c r="I1440" s="9" t="inlineStr">
        <is>
          <t>Depth (no MLB IP)</t>
        </is>
      </c>
      <c r="J1440" s="18" t="inlineStr">
        <is>
          <t>Opening Day</t>
        </is>
      </c>
      <c r="K1440" s="11">
        <f>IFERROR(INDEX(Roles!$B$17:$B$20,MATCH(J1440,Roles!$A$17:$A$20,0)),1)</f>
        <v/>
      </c>
      <c r="L1440" s="19" t="n">
        <v>1</v>
      </c>
      <c r="M1440" s="11" t="n">
        <v>1</v>
      </c>
      <c r="N1440" s="19" t="n"/>
      <c r="O1440" s="19" t="n"/>
      <c r="P1440" s="19" t="n"/>
      <c r="Q1440" s="19" t="n"/>
      <c r="R1440" s="19" t="n"/>
      <c r="S1440" s="19" t="n"/>
      <c r="T1440" s="19" t="n"/>
      <c r="U1440" s="19" t="n"/>
      <c r="V1440" s="19" t="n"/>
      <c r="W1440" s="19" t="n"/>
      <c r="X1440" s="19" t="n"/>
      <c r="Y1440" s="19" t="n">
        <v>1</v>
      </c>
      <c r="Z1440" s="13">
        <f>SUMPRODUCT(N1440:Y1440,$N$2:$Y$2)*$K1440*$L1440*$M1440</f>
        <v/>
      </c>
      <c r="AA1440" s="14">
        <f>SUM(N1440:Y1440)</f>
        <v/>
      </c>
      <c r="AB1440" s="13">
        <f>SUMPRODUCT(N1440:Y1440,$N$3:$Y$3)*$K1440*$L1440*$M1440</f>
        <v/>
      </c>
      <c r="AC1440" s="13">
        <f>SUMPRODUCT(N1440:Y1440,$N$4:$Y$4)*$K1440*$L1440*$M1440</f>
        <v/>
      </c>
      <c r="AD1440" s="15" t="n">
        <v>3</v>
      </c>
      <c r="AE1440" s="11" t="n">
        <v>1.011296296296296</v>
      </c>
      <c r="AF1440" s="16">
        <f>SUMPRODUCT(N1440:Y1440,$N$5:$Y$5)*$K1440*$L1440*$M1440</f>
        <v/>
      </c>
      <c r="AG1440" s="16">
        <f>SUMPRODUCT(N1440:Y1440,$N$6:$Y$6)*$K1440*$L1440*$M1440</f>
        <v/>
      </c>
      <c r="AH1440" s="20" t="n"/>
    </row>
    <row r="1441">
      <c r="A1441" s="9" t="n">
        <v>823136</v>
      </c>
      <c r="B1441" s="9" t="inlineStr">
        <is>
          <t>Tegan Cain</t>
        </is>
      </c>
      <c r="C1441" s="9" t="inlineStr">
        <is>
          <t>PHI</t>
        </is>
      </c>
      <c r="D1441" s="9" t="n">
        <v>25</v>
      </c>
      <c r="E1441" s="18" t="inlineStr">
        <is>
          <t>R</t>
        </is>
      </c>
      <c r="F1441" s="18" t="n"/>
      <c r="G1441" s="9" t="n">
        <v>10.32</v>
      </c>
      <c r="H1441" s="9" t="n">
        <v>10.32</v>
      </c>
      <c r="I1441" s="9" t="inlineStr">
        <is>
          <t>Depth (no MLB IP)</t>
        </is>
      </c>
      <c r="J1441" s="18" t="inlineStr">
        <is>
          <t>Opening Day</t>
        </is>
      </c>
      <c r="K1441" s="11">
        <f>IFERROR(INDEX(Roles!$B$17:$B$20,MATCH(J1441,Roles!$A$17:$A$20,0)),1)</f>
        <v/>
      </c>
      <c r="L1441" s="19" t="n">
        <v>1</v>
      </c>
      <c r="M1441" s="11" t="n">
        <v>1</v>
      </c>
      <c r="N1441" s="19" t="n"/>
      <c r="O1441" s="19" t="n"/>
      <c r="P1441" s="19" t="n"/>
      <c r="Q1441" s="19" t="n"/>
      <c r="R1441" s="19" t="n"/>
      <c r="S1441" s="19" t="n"/>
      <c r="T1441" s="19" t="n"/>
      <c r="U1441" s="19" t="n"/>
      <c r="V1441" s="19" t="n"/>
      <c r="W1441" s="19" t="n"/>
      <c r="X1441" s="19" t="n"/>
      <c r="Y1441" s="19" t="n">
        <v>1</v>
      </c>
      <c r="Z1441" s="13">
        <f>SUMPRODUCT(N1441:Y1441,$N$2:$Y$2)*$K1441*$L1441*$M1441</f>
        <v/>
      </c>
      <c r="AA1441" s="14">
        <f>SUM(N1441:Y1441)</f>
        <v/>
      </c>
      <c r="AB1441" s="13">
        <f>SUMPRODUCT(N1441:Y1441,$N$3:$Y$3)*$K1441*$L1441*$M1441</f>
        <v/>
      </c>
      <c r="AC1441" s="13">
        <f>SUMPRODUCT(N1441:Y1441,$N$4:$Y$4)*$K1441*$L1441*$M1441</f>
        <v/>
      </c>
      <c r="AD1441" s="15" t="n">
        <v>3</v>
      </c>
      <c r="AE1441" s="11" t="n">
        <v>1.011296296296296</v>
      </c>
      <c r="AF1441" s="16">
        <f>SUMPRODUCT(N1441:Y1441,$N$5:$Y$5)*$K1441*$L1441*$M1441</f>
        <v/>
      </c>
      <c r="AG1441" s="16">
        <f>SUMPRODUCT(N1441:Y1441,$N$6:$Y$6)*$K1441*$L1441*$M1441</f>
        <v/>
      </c>
      <c r="AH1441" s="20" t="n"/>
    </row>
    <row r="1442">
      <c r="A1442" s="9" t="n">
        <v>807833</v>
      </c>
      <c r="B1442" s="9" t="inlineStr">
        <is>
          <t>Jose Vasquez</t>
        </is>
      </c>
      <c r="C1442" s="9" t="inlineStr">
        <is>
          <t>LAD</t>
        </is>
      </c>
      <c r="D1442" s="9" t="n">
        <v>25</v>
      </c>
      <c r="E1442" s="18" t="inlineStr">
        <is>
          <t>R</t>
        </is>
      </c>
      <c r="F1442" s="18" t="n"/>
      <c r="G1442" s="9" t="n">
        <v>10.492</v>
      </c>
      <c r="H1442" s="9" t="n">
        <v>10.492</v>
      </c>
      <c r="I1442" s="9" t="inlineStr">
        <is>
          <t>Depth (no MLB IP)</t>
        </is>
      </c>
      <c r="J1442" s="18" t="inlineStr">
        <is>
          <t>Opening Day</t>
        </is>
      </c>
      <c r="K1442" s="11">
        <f>IFERROR(INDEX(Roles!$B$17:$B$20,MATCH(J1442,Roles!$A$17:$A$20,0)),1)</f>
        <v/>
      </c>
      <c r="L1442" s="19" t="n">
        <v>1</v>
      </c>
      <c r="M1442" s="11" t="n">
        <v>1</v>
      </c>
      <c r="N1442" s="19" t="n"/>
      <c r="O1442" s="19" t="n"/>
      <c r="P1442" s="19" t="n"/>
      <c r="Q1442" s="19" t="n"/>
      <c r="R1442" s="19" t="n"/>
      <c r="S1442" s="19" t="n"/>
      <c r="T1442" s="19" t="n"/>
      <c r="U1442" s="19" t="n"/>
      <c r="V1442" s="19" t="n"/>
      <c r="W1442" s="19" t="n"/>
      <c r="X1442" s="19" t="n"/>
      <c r="Y1442" s="19" t="n">
        <v>1</v>
      </c>
      <c r="Z1442" s="13">
        <f>SUMPRODUCT(N1442:Y1442,$N$2:$Y$2)*$K1442*$L1442*$M1442</f>
        <v/>
      </c>
      <c r="AA1442" s="14">
        <f>SUM(N1442:Y1442)</f>
        <v/>
      </c>
      <c r="AB1442" s="13">
        <f>SUMPRODUCT(N1442:Y1442,$N$3:$Y$3)*$K1442*$L1442*$M1442</f>
        <v/>
      </c>
      <c r="AC1442" s="13">
        <f>SUMPRODUCT(N1442:Y1442,$N$4:$Y$4)*$K1442*$L1442*$M1442</f>
        <v/>
      </c>
      <c r="AD1442" s="15" t="n">
        <v>3</v>
      </c>
      <c r="AE1442" s="11" t="n">
        <v>1.011296296296296</v>
      </c>
      <c r="AF1442" s="16">
        <f>SUMPRODUCT(N1442:Y1442,$N$5:$Y$5)*$K1442*$L1442*$M1442</f>
        <v/>
      </c>
      <c r="AG1442" s="16">
        <f>SUMPRODUCT(N1442:Y1442,$N$6:$Y$6)*$K1442*$L1442*$M1442</f>
        <v/>
      </c>
      <c r="AH1442" s="20" t="n"/>
    </row>
    <row r="1443">
      <c r="A1443" s="9" t="n">
        <v>822477</v>
      </c>
      <c r="B1443" s="9" t="inlineStr">
        <is>
          <t>JB Middleton</t>
        </is>
      </c>
      <c r="C1443" s="9" t="inlineStr">
        <is>
          <t>COL</t>
        </is>
      </c>
      <c r="D1443" s="9" t="n">
        <v>25</v>
      </c>
      <c r="E1443" s="18" t="inlineStr">
        <is>
          <t>R</t>
        </is>
      </c>
      <c r="F1443" s="18" t="n"/>
      <c r="G1443" s="9" t="n">
        <v>10.32</v>
      </c>
      <c r="H1443" s="9" t="n">
        <v>10.32</v>
      </c>
      <c r="I1443" s="9" t="inlineStr">
        <is>
          <t>Depth (no MLB IP)</t>
        </is>
      </c>
      <c r="J1443" s="18" t="inlineStr">
        <is>
          <t>Opening Day</t>
        </is>
      </c>
      <c r="K1443" s="11">
        <f>IFERROR(INDEX(Roles!$B$17:$B$20,MATCH(J1443,Roles!$A$17:$A$20,0)),1)</f>
        <v/>
      </c>
      <c r="L1443" s="19" t="n">
        <v>1</v>
      </c>
      <c r="M1443" s="11" t="n">
        <v>1</v>
      </c>
      <c r="N1443" s="19" t="n"/>
      <c r="O1443" s="19" t="n"/>
      <c r="P1443" s="19" t="n"/>
      <c r="Q1443" s="19" t="n"/>
      <c r="R1443" s="19" t="n"/>
      <c r="S1443" s="19" t="n"/>
      <c r="T1443" s="19" t="n"/>
      <c r="U1443" s="19" t="n"/>
      <c r="V1443" s="19" t="n"/>
      <c r="W1443" s="19" t="n"/>
      <c r="X1443" s="19" t="n"/>
      <c r="Y1443" s="19" t="n">
        <v>1</v>
      </c>
      <c r="Z1443" s="13">
        <f>SUMPRODUCT(N1443:Y1443,$N$2:$Y$2)*$K1443*$L1443*$M1443</f>
        <v/>
      </c>
      <c r="AA1443" s="14">
        <f>SUM(N1443:Y1443)</f>
        <v/>
      </c>
      <c r="AB1443" s="13">
        <f>SUMPRODUCT(N1443:Y1443,$N$3:$Y$3)*$K1443*$L1443*$M1443</f>
        <v/>
      </c>
      <c r="AC1443" s="13">
        <f>SUMPRODUCT(N1443:Y1443,$N$4:$Y$4)*$K1443*$L1443*$M1443</f>
        <v/>
      </c>
      <c r="AD1443" s="15" t="n">
        <v>3</v>
      </c>
      <c r="AE1443" s="11" t="n">
        <v>1.011296296296296</v>
      </c>
      <c r="AF1443" s="16">
        <f>SUMPRODUCT(N1443:Y1443,$N$5:$Y$5)*$K1443*$L1443*$M1443</f>
        <v/>
      </c>
      <c r="AG1443" s="16">
        <f>SUMPRODUCT(N1443:Y1443,$N$6:$Y$6)*$K1443*$L1443*$M1443</f>
        <v/>
      </c>
      <c r="AH1443" s="20" t="n"/>
    </row>
    <row r="1444">
      <c r="A1444" s="9" t="n">
        <v>669416</v>
      </c>
      <c r="B1444" s="9" t="inlineStr">
        <is>
          <t>Blayne Enlow</t>
        </is>
      </c>
      <c r="C1444" s="9" t="inlineStr">
        <is>
          <t>ATL</t>
        </is>
      </c>
      <c r="D1444" s="9" t="n">
        <v>25</v>
      </c>
      <c r="E1444" s="18" t="inlineStr">
        <is>
          <t>R</t>
        </is>
      </c>
      <c r="F1444" s="18" t="n"/>
      <c r="G1444" s="9" t="n">
        <v>10.24833333333333</v>
      </c>
      <c r="H1444" s="9" t="n">
        <v>10.24833333333333</v>
      </c>
      <c r="I1444" s="9" t="inlineStr">
        <is>
          <t>Depth (no MLB IP)</t>
        </is>
      </c>
      <c r="J1444" s="18" t="inlineStr">
        <is>
          <t>Opening Day</t>
        </is>
      </c>
      <c r="K1444" s="11">
        <f>IFERROR(INDEX(Roles!$B$17:$B$20,MATCH(J1444,Roles!$A$17:$A$20,0)),1)</f>
        <v/>
      </c>
      <c r="L1444" s="19" t="n">
        <v>1</v>
      </c>
      <c r="M1444" s="11" t="n">
        <v>1</v>
      </c>
      <c r="N1444" s="19" t="n"/>
      <c r="O1444" s="19" t="n"/>
      <c r="P1444" s="19" t="n"/>
      <c r="Q1444" s="19" t="n"/>
      <c r="R1444" s="19" t="n"/>
      <c r="S1444" s="19" t="n"/>
      <c r="T1444" s="19" t="n"/>
      <c r="U1444" s="19" t="n"/>
      <c r="V1444" s="19" t="n"/>
      <c r="W1444" s="19" t="n"/>
      <c r="X1444" s="19" t="n"/>
      <c r="Y1444" s="19" t="n">
        <v>1</v>
      </c>
      <c r="Z1444" s="13">
        <f>SUMPRODUCT(N1444:Y1444,$N$2:$Y$2)*$K1444*$L1444*$M1444</f>
        <v/>
      </c>
      <c r="AA1444" s="14">
        <f>SUM(N1444:Y1444)</f>
        <v/>
      </c>
      <c r="AB1444" s="13">
        <f>SUMPRODUCT(N1444:Y1444,$N$3:$Y$3)*$K1444*$L1444*$M1444</f>
        <v/>
      </c>
      <c r="AC1444" s="13">
        <f>SUMPRODUCT(N1444:Y1444,$N$4:$Y$4)*$K1444*$L1444*$M1444</f>
        <v/>
      </c>
      <c r="AD1444" s="15" t="n">
        <v>3</v>
      </c>
      <c r="AE1444" s="11" t="n">
        <v>1.011296296296296</v>
      </c>
      <c r="AF1444" s="16">
        <f>SUMPRODUCT(N1444:Y1444,$N$5:$Y$5)*$K1444*$L1444*$M1444</f>
        <v/>
      </c>
      <c r="AG1444" s="16">
        <f>SUMPRODUCT(N1444:Y1444,$N$6:$Y$6)*$K1444*$L1444*$M1444</f>
        <v/>
      </c>
      <c r="AH1444" s="20" t="n"/>
    </row>
    <row r="1445">
      <c r="A1445" s="9" t="n">
        <v>570731</v>
      </c>
      <c r="B1445" s="9" t="inlineStr">
        <is>
          <t>Jonathan Schoop</t>
        </is>
      </c>
      <c r="C1445" s="9" t="inlineStr">
        <is>
          <t>DET</t>
        </is>
      </c>
      <c r="D1445" s="9" t="n">
        <v>35</v>
      </c>
      <c r="E1445" s="18" t="inlineStr">
        <is>
          <t>R</t>
        </is>
      </c>
      <c r="F1445" s="18" t="n"/>
      <c r="G1445" s="9" t="n">
        <v>5</v>
      </c>
      <c r="H1445" s="9" t="n">
        <v>5</v>
      </c>
      <c r="I1445" s="9" t="inlineStr">
        <is>
          <t>Depth (no MLB IP)</t>
        </is>
      </c>
      <c r="J1445" s="18" t="inlineStr">
        <is>
          <t>Opening Day</t>
        </is>
      </c>
      <c r="K1445" s="11">
        <f>IFERROR(INDEX(Roles!$B$17:$B$20,MATCH(J1445,Roles!$A$17:$A$20,0)),1)</f>
        <v/>
      </c>
      <c r="L1445" s="19" t="n">
        <v>1</v>
      </c>
      <c r="M1445" s="11" t="n">
        <v>1</v>
      </c>
      <c r="N1445" s="19" t="n"/>
      <c r="O1445" s="19" t="n"/>
      <c r="P1445" s="19" t="n"/>
      <c r="Q1445" s="19" t="n"/>
      <c r="R1445" s="19" t="n"/>
      <c r="S1445" s="19" t="n"/>
      <c r="T1445" s="19" t="n"/>
      <c r="U1445" s="19" t="n"/>
      <c r="V1445" s="19" t="n"/>
      <c r="W1445" s="19" t="n"/>
      <c r="X1445" s="19" t="n"/>
      <c r="Y1445" s="19" t="n">
        <v>1</v>
      </c>
      <c r="Z1445" s="13">
        <f>SUMPRODUCT(N1445:Y1445,$N$2:$Y$2)*$K1445*$L1445*$M1445</f>
        <v/>
      </c>
      <c r="AA1445" s="14">
        <f>SUM(N1445:Y1445)</f>
        <v/>
      </c>
      <c r="AB1445" s="13">
        <f>SUMPRODUCT(N1445:Y1445,$N$3:$Y$3)*$K1445*$L1445*$M1445</f>
        <v/>
      </c>
      <c r="AC1445" s="13">
        <f>SUMPRODUCT(N1445:Y1445,$N$4:$Y$4)*$K1445*$L1445*$M1445</f>
        <v/>
      </c>
      <c r="AD1445" s="15" t="n">
        <v>3</v>
      </c>
      <c r="AE1445" s="11" t="n">
        <v>1.011296296296296</v>
      </c>
      <c r="AF1445" s="16">
        <f>SUMPRODUCT(N1445:Y1445,$N$5:$Y$5)*$K1445*$L1445*$M1445</f>
        <v/>
      </c>
      <c r="AG1445" s="16">
        <f>SUMPRODUCT(N1445:Y1445,$N$6:$Y$6)*$K1445*$L1445*$M1445</f>
        <v/>
      </c>
      <c r="AH1445" s="20" t="n"/>
    </row>
    <row r="1446">
      <c r="A1446" s="9" t="n">
        <v>835867</v>
      </c>
      <c r="B1446" s="9" t="inlineStr">
        <is>
          <t>Matthew DesMarets</t>
        </is>
      </c>
      <c r="C1446" s="9" t="inlineStr">
        <is>
          <t>MIN</t>
        </is>
      </c>
      <c r="D1446" s="9" t="n">
        <v>25</v>
      </c>
      <c r="E1446" s="18" t="inlineStr">
        <is>
          <t>R</t>
        </is>
      </c>
      <c r="F1446" s="18" t="n"/>
      <c r="G1446" s="9" t="n">
        <v>10.492</v>
      </c>
      <c r="H1446" s="9" t="n">
        <v>10.492</v>
      </c>
      <c r="I1446" s="9" t="inlineStr">
        <is>
          <t>Depth (no MLB IP)</t>
        </is>
      </c>
      <c r="J1446" s="18" t="inlineStr">
        <is>
          <t>Opening Day</t>
        </is>
      </c>
      <c r="K1446" s="11">
        <f>IFERROR(INDEX(Roles!$B$17:$B$20,MATCH(J1446,Roles!$A$17:$A$20,0)),1)</f>
        <v/>
      </c>
      <c r="L1446" s="19" t="n">
        <v>1</v>
      </c>
      <c r="M1446" s="11" t="n">
        <v>1</v>
      </c>
      <c r="N1446" s="19" t="n"/>
      <c r="O1446" s="19" t="n"/>
      <c r="P1446" s="19" t="n"/>
      <c r="Q1446" s="19" t="n"/>
      <c r="R1446" s="19" t="n"/>
      <c r="S1446" s="19" t="n"/>
      <c r="T1446" s="19" t="n"/>
      <c r="U1446" s="19" t="n"/>
      <c r="V1446" s="19" t="n"/>
      <c r="W1446" s="19" t="n"/>
      <c r="X1446" s="19" t="n"/>
      <c r="Y1446" s="19" t="n">
        <v>1</v>
      </c>
      <c r="Z1446" s="13">
        <f>SUMPRODUCT(N1446:Y1446,$N$2:$Y$2)*$K1446*$L1446*$M1446</f>
        <v/>
      </c>
      <c r="AA1446" s="14">
        <f>SUM(N1446:Y1446)</f>
        <v/>
      </c>
      <c r="AB1446" s="13">
        <f>SUMPRODUCT(N1446:Y1446,$N$3:$Y$3)*$K1446*$L1446*$M1446</f>
        <v/>
      </c>
      <c r="AC1446" s="13">
        <f>SUMPRODUCT(N1446:Y1446,$N$4:$Y$4)*$K1446*$L1446*$M1446</f>
        <v/>
      </c>
      <c r="AD1446" s="15" t="n">
        <v>3</v>
      </c>
      <c r="AE1446" s="11" t="n">
        <v>1.011296296296296</v>
      </c>
      <c r="AF1446" s="16">
        <f>SUMPRODUCT(N1446:Y1446,$N$5:$Y$5)*$K1446*$L1446*$M1446</f>
        <v/>
      </c>
      <c r="AG1446" s="16">
        <f>SUMPRODUCT(N1446:Y1446,$N$6:$Y$6)*$K1446*$L1446*$M1446</f>
        <v/>
      </c>
      <c r="AH1446" s="20" t="n"/>
    </row>
    <row r="1447">
      <c r="A1447" s="9" t="n">
        <v>806102</v>
      </c>
      <c r="B1447" s="9" t="inlineStr">
        <is>
          <t>Jose Varela</t>
        </is>
      </c>
      <c r="C1447" s="9" t="inlineStr">
        <is>
          <t>HOU</t>
        </is>
      </c>
      <c r="D1447" s="9" t="n">
        <v>25</v>
      </c>
      <c r="E1447" s="18" t="inlineStr">
        <is>
          <t>R</t>
        </is>
      </c>
      <c r="F1447" s="18" t="n"/>
      <c r="G1447" s="9" t="n">
        <v>10.60666666666667</v>
      </c>
      <c r="H1447" s="9" t="n">
        <v>10.60666666666667</v>
      </c>
      <c r="I1447" s="9" t="inlineStr">
        <is>
          <t>Depth (no MLB IP)</t>
        </is>
      </c>
      <c r="J1447" s="18" t="inlineStr">
        <is>
          <t>Opening Day</t>
        </is>
      </c>
      <c r="K1447" s="11">
        <f>IFERROR(INDEX(Roles!$B$17:$B$20,MATCH(J1447,Roles!$A$17:$A$20,0)),1)</f>
        <v/>
      </c>
      <c r="L1447" s="19" t="n">
        <v>1</v>
      </c>
      <c r="M1447" s="11" t="n">
        <v>1</v>
      </c>
      <c r="N1447" s="19" t="n"/>
      <c r="O1447" s="19" t="n"/>
      <c r="P1447" s="19" t="n"/>
      <c r="Q1447" s="19" t="n"/>
      <c r="R1447" s="19" t="n"/>
      <c r="S1447" s="19" t="n"/>
      <c r="T1447" s="19" t="n"/>
      <c r="U1447" s="19" t="n"/>
      <c r="V1447" s="19" t="n"/>
      <c r="W1447" s="19" t="n"/>
      <c r="X1447" s="19" t="n"/>
      <c r="Y1447" s="19" t="n">
        <v>1</v>
      </c>
      <c r="Z1447" s="13">
        <f>SUMPRODUCT(N1447:Y1447,$N$2:$Y$2)*$K1447*$L1447*$M1447</f>
        <v/>
      </c>
      <c r="AA1447" s="14">
        <f>SUM(N1447:Y1447)</f>
        <v/>
      </c>
      <c r="AB1447" s="13">
        <f>SUMPRODUCT(N1447:Y1447,$N$3:$Y$3)*$K1447*$L1447*$M1447</f>
        <v/>
      </c>
      <c r="AC1447" s="13">
        <f>SUMPRODUCT(N1447:Y1447,$N$4:$Y$4)*$K1447*$L1447*$M1447</f>
        <v/>
      </c>
      <c r="AD1447" s="15" t="n">
        <v>3</v>
      </c>
      <c r="AE1447" s="11" t="n">
        <v>1.011296296296296</v>
      </c>
      <c r="AF1447" s="16">
        <f>SUMPRODUCT(N1447:Y1447,$N$5:$Y$5)*$K1447*$L1447*$M1447</f>
        <v/>
      </c>
      <c r="AG1447" s="16">
        <f>SUMPRODUCT(N1447:Y1447,$N$6:$Y$6)*$K1447*$L1447*$M1447</f>
        <v/>
      </c>
      <c r="AH1447" s="20" t="n"/>
    </row>
    <row r="1448">
      <c r="A1448" s="9" t="n">
        <v>805079</v>
      </c>
      <c r="B1448" s="9" t="inlineStr">
        <is>
          <t>Jesus Mendez</t>
        </is>
      </c>
      <c r="C1448" s="9" t="inlineStr">
        <is>
          <t>CWS</t>
        </is>
      </c>
      <c r="D1448" s="9" t="n">
        <v>25</v>
      </c>
      <c r="E1448" s="18" t="inlineStr">
        <is>
          <t>R</t>
        </is>
      </c>
      <c r="F1448" s="18" t="n"/>
      <c r="G1448" s="9" t="n">
        <v>10.60666666666667</v>
      </c>
      <c r="H1448" s="9" t="n">
        <v>10.60666666666667</v>
      </c>
      <c r="I1448" s="9" t="inlineStr">
        <is>
          <t>Depth (no MLB IP)</t>
        </is>
      </c>
      <c r="J1448" s="18" t="inlineStr">
        <is>
          <t>Opening Day</t>
        </is>
      </c>
      <c r="K1448" s="11">
        <f>IFERROR(INDEX(Roles!$B$17:$B$20,MATCH(J1448,Roles!$A$17:$A$20,0)),1)</f>
        <v/>
      </c>
      <c r="L1448" s="19" t="n">
        <v>1</v>
      </c>
      <c r="M1448" s="11" t="n">
        <v>1</v>
      </c>
      <c r="N1448" s="19" t="n"/>
      <c r="O1448" s="19" t="n"/>
      <c r="P1448" s="19" t="n"/>
      <c r="Q1448" s="19" t="n"/>
      <c r="R1448" s="19" t="n"/>
      <c r="S1448" s="19" t="n"/>
      <c r="T1448" s="19" t="n"/>
      <c r="U1448" s="19" t="n"/>
      <c r="V1448" s="19" t="n"/>
      <c r="W1448" s="19" t="n"/>
      <c r="X1448" s="19" t="n"/>
      <c r="Y1448" s="19" t="n">
        <v>1</v>
      </c>
      <c r="Z1448" s="13">
        <f>SUMPRODUCT(N1448:Y1448,$N$2:$Y$2)*$K1448*$L1448*$M1448</f>
        <v/>
      </c>
      <c r="AA1448" s="14">
        <f>SUM(N1448:Y1448)</f>
        <v/>
      </c>
      <c r="AB1448" s="13">
        <f>SUMPRODUCT(N1448:Y1448,$N$3:$Y$3)*$K1448*$L1448*$M1448</f>
        <v/>
      </c>
      <c r="AC1448" s="13">
        <f>SUMPRODUCT(N1448:Y1448,$N$4:$Y$4)*$K1448*$L1448*$M1448</f>
        <v/>
      </c>
      <c r="AD1448" s="15" t="n">
        <v>3</v>
      </c>
      <c r="AE1448" s="11" t="n">
        <v>1.011296296296296</v>
      </c>
      <c r="AF1448" s="16">
        <f>SUMPRODUCT(N1448:Y1448,$N$5:$Y$5)*$K1448*$L1448*$M1448</f>
        <v/>
      </c>
      <c r="AG1448" s="16">
        <f>SUMPRODUCT(N1448:Y1448,$N$6:$Y$6)*$K1448*$L1448*$M1448</f>
        <v/>
      </c>
      <c r="AH1448" s="20" t="n"/>
    </row>
    <row r="1449">
      <c r="A1449" s="9" t="n">
        <v>694581</v>
      </c>
      <c r="B1449" s="9" t="inlineStr">
        <is>
          <t>Dylan Carmouche</t>
        </is>
      </c>
      <c r="C1449" s="9" t="inlineStr">
        <is>
          <t>SF</t>
        </is>
      </c>
      <c r="D1449" s="9" t="n">
        <v>25</v>
      </c>
      <c r="E1449" s="18" t="inlineStr">
        <is>
          <t>L</t>
        </is>
      </c>
      <c r="F1449" s="18" t="n"/>
      <c r="G1449" s="9" t="n">
        <v>10.535</v>
      </c>
      <c r="H1449" s="9" t="n">
        <v>10.535</v>
      </c>
      <c r="I1449" s="9" t="inlineStr">
        <is>
          <t>Depth (no MLB IP)</t>
        </is>
      </c>
      <c r="J1449" s="18" t="inlineStr">
        <is>
          <t>Opening Day</t>
        </is>
      </c>
      <c r="K1449" s="11">
        <f>IFERROR(INDEX(Roles!$B$17:$B$20,MATCH(J1449,Roles!$A$17:$A$20,0)),1)</f>
        <v/>
      </c>
      <c r="L1449" s="19" t="n">
        <v>1</v>
      </c>
      <c r="M1449" s="11" t="n">
        <v>1</v>
      </c>
      <c r="N1449" s="19" t="n"/>
      <c r="O1449" s="19" t="n"/>
      <c r="P1449" s="19" t="n"/>
      <c r="Q1449" s="19" t="n"/>
      <c r="R1449" s="19" t="n"/>
      <c r="S1449" s="19" t="n"/>
      <c r="T1449" s="19" t="n"/>
      <c r="U1449" s="19" t="n"/>
      <c r="V1449" s="19" t="n"/>
      <c r="W1449" s="19" t="n"/>
      <c r="X1449" s="19" t="n"/>
      <c r="Y1449" s="19" t="n">
        <v>1</v>
      </c>
      <c r="Z1449" s="13">
        <f>SUMPRODUCT(N1449:Y1449,$N$2:$Y$2)*$K1449*$L1449*$M1449</f>
        <v/>
      </c>
      <c r="AA1449" s="14">
        <f>SUM(N1449:Y1449)</f>
        <v/>
      </c>
      <c r="AB1449" s="13">
        <f>SUMPRODUCT(N1449:Y1449,$N$3:$Y$3)*$K1449*$L1449*$M1449</f>
        <v/>
      </c>
      <c r="AC1449" s="13">
        <f>SUMPRODUCT(N1449:Y1449,$N$4:$Y$4)*$K1449*$L1449*$M1449</f>
        <v/>
      </c>
      <c r="AD1449" s="15" t="n">
        <v>3</v>
      </c>
      <c r="AE1449" s="11" t="n">
        <v>1.011296296296296</v>
      </c>
      <c r="AF1449" s="16">
        <f>SUMPRODUCT(N1449:Y1449,$N$5:$Y$5)*$K1449*$L1449*$M1449</f>
        <v/>
      </c>
      <c r="AG1449" s="16">
        <f>SUMPRODUCT(N1449:Y1449,$N$6:$Y$6)*$K1449*$L1449*$M1449</f>
        <v/>
      </c>
      <c r="AH1449" s="20" t="n"/>
    </row>
    <row r="1450">
      <c r="A1450" s="9" t="n">
        <v>676272</v>
      </c>
      <c r="B1450" s="9" t="inlineStr">
        <is>
          <t>Bobby Miller</t>
        </is>
      </c>
      <c r="C1450" s="9" t="inlineStr">
        <is>
          <t>LAD</t>
        </is>
      </c>
      <c r="D1450" s="9" t="n">
        <v>28</v>
      </c>
      <c r="E1450" s="18" t="inlineStr">
        <is>
          <t>R</t>
        </is>
      </c>
      <c r="F1450" s="18" t="n"/>
      <c r="G1450" s="9" t="n">
        <v>33</v>
      </c>
      <c r="H1450" s="9" t="n">
        <v>824</v>
      </c>
      <c r="I1450" s="9" t="inlineStr">
        <is>
          <t>Bullpen Depth Arm</t>
        </is>
      </c>
      <c r="J1450" s="18" t="inlineStr">
        <is>
          <t>Opening Day</t>
        </is>
      </c>
      <c r="K1450" s="11">
        <f>IFERROR(INDEX(Roles!$B$17:$B$20,MATCH(J1450,Roles!$A$17:$A$20,0)),1)</f>
        <v/>
      </c>
      <c r="L1450" s="19" t="n">
        <v>1</v>
      </c>
      <c r="M1450" s="11" t="n">
        <v>1</v>
      </c>
      <c r="N1450" s="19" t="n"/>
      <c r="O1450" s="19" t="n"/>
      <c r="P1450" s="19" t="n"/>
      <c r="Q1450" s="19" t="n"/>
      <c r="R1450" s="19" t="n"/>
      <c r="S1450" s="19" t="n"/>
      <c r="T1450" s="19" t="n"/>
      <c r="U1450" s="19" t="n"/>
      <c r="V1450" s="19" t="n">
        <v>0.15</v>
      </c>
      <c r="W1450" s="19" t="n">
        <v>0.85</v>
      </c>
      <c r="X1450" s="19" t="n"/>
      <c r="Y1450" s="19" t="n"/>
      <c r="Z1450" s="13">
        <f>SUMPRODUCT(N1450:Y1450,$N$2:$Y$2)*$K1450*$L1450*$M1450</f>
        <v/>
      </c>
      <c r="AA1450" s="14">
        <f>SUM(N1450:Y1450)</f>
        <v/>
      </c>
      <c r="AB1450" s="13">
        <f>SUMPRODUCT(N1450:Y1450,$N$3:$Y$3)*$K1450*$L1450*$M1450</f>
        <v/>
      </c>
      <c r="AC1450" s="13">
        <f>SUMPRODUCT(N1450:Y1450,$N$4:$Y$4)*$K1450*$L1450*$M1450</f>
        <v/>
      </c>
      <c r="AD1450" s="15" t="n">
        <v>8.266666666666666</v>
      </c>
      <c r="AE1450" s="11" t="n">
        <v>1.929712263045596</v>
      </c>
      <c r="AF1450" s="16">
        <f>SUMPRODUCT(N1450:Y1450,$N$5:$Y$5)*$K1450*$L1450*$M1450</f>
        <v/>
      </c>
      <c r="AG1450" s="16">
        <f>SUMPRODUCT(N1450:Y1450,$N$6:$Y$6)*$K1450*$L1450*$M1450</f>
        <v/>
      </c>
      <c r="AH1450" s="20" t="n"/>
    </row>
    <row r="1451">
      <c r="A1451" s="9" t="n">
        <v>804643</v>
      </c>
      <c r="B1451" s="9" t="inlineStr">
        <is>
          <t>Bryce Archie</t>
        </is>
      </c>
      <c r="C1451" s="9" t="inlineStr">
        <is>
          <t>CIN</t>
        </is>
      </c>
      <c r="D1451" s="9" t="n">
        <v>25</v>
      </c>
      <c r="E1451" s="18" t="inlineStr">
        <is>
          <t>R</t>
        </is>
      </c>
      <c r="F1451" s="18" t="n"/>
      <c r="G1451" s="9" t="n">
        <v>10.60666666666667</v>
      </c>
      <c r="H1451" s="9" t="n">
        <v>10.60666666666667</v>
      </c>
      <c r="I1451" s="9" t="inlineStr">
        <is>
          <t>Depth (no MLB IP)</t>
        </is>
      </c>
      <c r="J1451" s="18" t="inlineStr">
        <is>
          <t>Opening Day</t>
        </is>
      </c>
      <c r="K1451" s="11">
        <f>IFERROR(INDEX(Roles!$B$17:$B$20,MATCH(J1451,Roles!$A$17:$A$20,0)),1)</f>
        <v/>
      </c>
      <c r="L1451" s="19" t="n">
        <v>1</v>
      </c>
      <c r="M1451" s="11" t="n">
        <v>1</v>
      </c>
      <c r="N1451" s="19" t="n"/>
      <c r="O1451" s="19" t="n"/>
      <c r="P1451" s="19" t="n"/>
      <c r="Q1451" s="19" t="n"/>
      <c r="R1451" s="19" t="n"/>
      <c r="S1451" s="19" t="n"/>
      <c r="T1451" s="19" t="n"/>
      <c r="U1451" s="19" t="n"/>
      <c r="V1451" s="19" t="n"/>
      <c r="W1451" s="19" t="n"/>
      <c r="X1451" s="19" t="n"/>
      <c r="Y1451" s="19" t="n">
        <v>1</v>
      </c>
      <c r="Z1451" s="13">
        <f>SUMPRODUCT(N1451:Y1451,$N$2:$Y$2)*$K1451*$L1451*$M1451</f>
        <v/>
      </c>
      <c r="AA1451" s="14">
        <f>SUM(N1451:Y1451)</f>
        <v/>
      </c>
      <c r="AB1451" s="13">
        <f>SUMPRODUCT(N1451:Y1451,$N$3:$Y$3)*$K1451*$L1451*$M1451</f>
        <v/>
      </c>
      <c r="AC1451" s="13">
        <f>SUMPRODUCT(N1451:Y1451,$N$4:$Y$4)*$K1451*$L1451*$M1451</f>
        <v/>
      </c>
      <c r="AD1451" s="15" t="n">
        <v>3</v>
      </c>
      <c r="AE1451" s="11" t="n">
        <v>1.011296296296296</v>
      </c>
      <c r="AF1451" s="16">
        <f>SUMPRODUCT(N1451:Y1451,$N$5:$Y$5)*$K1451*$L1451*$M1451</f>
        <v/>
      </c>
      <c r="AG1451" s="16">
        <f>SUMPRODUCT(N1451:Y1451,$N$6:$Y$6)*$K1451*$L1451*$M1451</f>
        <v/>
      </c>
      <c r="AH1451" s="20" t="n"/>
    </row>
    <row r="1452">
      <c r="A1452" s="9" t="n">
        <v>805872</v>
      </c>
      <c r="B1452" s="9" t="inlineStr">
        <is>
          <t>Michael Perez</t>
        </is>
      </c>
      <c r="C1452" s="9" t="inlineStr">
        <is>
          <t>MIA</t>
        </is>
      </c>
      <c r="D1452" s="9" t="n">
        <v>25</v>
      </c>
      <c r="E1452" s="18" t="inlineStr">
        <is>
          <t>R</t>
        </is>
      </c>
      <c r="F1452" s="18" t="n"/>
      <c r="G1452" s="9" t="n">
        <v>10.535</v>
      </c>
      <c r="H1452" s="9" t="n">
        <v>10.535</v>
      </c>
      <c r="I1452" s="9" t="inlineStr">
        <is>
          <t>Depth (no MLB IP)</t>
        </is>
      </c>
      <c r="J1452" s="18" t="inlineStr">
        <is>
          <t>Opening Day</t>
        </is>
      </c>
      <c r="K1452" s="11">
        <f>IFERROR(INDEX(Roles!$B$17:$B$20,MATCH(J1452,Roles!$A$17:$A$20,0)),1)</f>
        <v/>
      </c>
      <c r="L1452" s="19" t="n">
        <v>1</v>
      </c>
      <c r="M1452" s="11" t="n">
        <v>1</v>
      </c>
      <c r="N1452" s="19" t="n"/>
      <c r="O1452" s="19" t="n"/>
      <c r="P1452" s="19" t="n"/>
      <c r="Q1452" s="19" t="n"/>
      <c r="R1452" s="19" t="n"/>
      <c r="S1452" s="19" t="n"/>
      <c r="T1452" s="19" t="n"/>
      <c r="U1452" s="19" t="n"/>
      <c r="V1452" s="19" t="n"/>
      <c r="W1452" s="19" t="n"/>
      <c r="X1452" s="19" t="n"/>
      <c r="Y1452" s="19" t="n">
        <v>1</v>
      </c>
      <c r="Z1452" s="13">
        <f>SUMPRODUCT(N1452:Y1452,$N$2:$Y$2)*$K1452*$L1452*$M1452</f>
        <v/>
      </c>
      <c r="AA1452" s="14">
        <f>SUM(N1452:Y1452)</f>
        <v/>
      </c>
      <c r="AB1452" s="13">
        <f>SUMPRODUCT(N1452:Y1452,$N$3:$Y$3)*$K1452*$L1452*$M1452</f>
        <v/>
      </c>
      <c r="AC1452" s="13">
        <f>SUMPRODUCT(N1452:Y1452,$N$4:$Y$4)*$K1452*$L1452*$M1452</f>
        <v/>
      </c>
      <c r="AD1452" s="15" t="n">
        <v>3</v>
      </c>
      <c r="AE1452" s="11" t="n">
        <v>1.011296296296296</v>
      </c>
      <c r="AF1452" s="16">
        <f>SUMPRODUCT(N1452:Y1452,$N$5:$Y$5)*$K1452*$L1452*$M1452</f>
        <v/>
      </c>
      <c r="AG1452" s="16">
        <f>SUMPRODUCT(N1452:Y1452,$N$6:$Y$6)*$K1452*$L1452*$M1452</f>
        <v/>
      </c>
      <c r="AH1452" s="20" t="n"/>
    </row>
    <row r="1453">
      <c r="A1453" s="9" t="n">
        <v>623507</v>
      </c>
      <c r="B1453" s="9" t="inlineStr">
        <is>
          <t>Josh Lester</t>
        </is>
      </c>
      <c r="C1453" s="9" t="inlineStr">
        <is>
          <t>BAL</t>
        </is>
      </c>
      <c r="D1453" s="9" t="n">
        <v>32</v>
      </c>
      <c r="E1453" s="18" t="inlineStr">
        <is>
          <t>R</t>
        </is>
      </c>
      <c r="F1453" s="18" t="n"/>
      <c r="G1453" s="9" t="n">
        <v>5</v>
      </c>
      <c r="H1453" s="9" t="n">
        <v>5</v>
      </c>
      <c r="I1453" s="9" t="inlineStr">
        <is>
          <t>Depth (no MLB IP)</t>
        </is>
      </c>
      <c r="J1453" s="18" t="inlineStr">
        <is>
          <t>Opening Day</t>
        </is>
      </c>
      <c r="K1453" s="11">
        <f>IFERROR(INDEX(Roles!$B$17:$B$20,MATCH(J1453,Roles!$A$17:$A$20,0)),1)</f>
        <v/>
      </c>
      <c r="L1453" s="19" t="n">
        <v>1</v>
      </c>
      <c r="M1453" s="11" t="n">
        <v>1</v>
      </c>
      <c r="N1453" s="19" t="n"/>
      <c r="O1453" s="19" t="n"/>
      <c r="P1453" s="19" t="n"/>
      <c r="Q1453" s="19" t="n"/>
      <c r="R1453" s="19" t="n"/>
      <c r="S1453" s="19" t="n"/>
      <c r="T1453" s="19" t="n"/>
      <c r="U1453" s="19" t="n"/>
      <c r="V1453" s="19" t="n"/>
      <c r="W1453" s="19" t="n"/>
      <c r="X1453" s="19" t="n"/>
      <c r="Y1453" s="19" t="n">
        <v>1</v>
      </c>
      <c r="Z1453" s="13">
        <f>SUMPRODUCT(N1453:Y1453,$N$2:$Y$2)*$K1453*$L1453*$M1453</f>
        <v/>
      </c>
      <c r="AA1453" s="14">
        <f>SUM(N1453:Y1453)</f>
        <v/>
      </c>
      <c r="AB1453" s="13">
        <f>SUMPRODUCT(N1453:Y1453,$N$3:$Y$3)*$K1453*$L1453*$M1453</f>
        <v/>
      </c>
      <c r="AC1453" s="13">
        <f>SUMPRODUCT(N1453:Y1453,$N$4:$Y$4)*$K1453*$L1453*$M1453</f>
        <v/>
      </c>
      <c r="AD1453" s="15" t="n">
        <v>3</v>
      </c>
      <c r="AE1453" s="11" t="n">
        <v>1.011296296296296</v>
      </c>
      <c r="AF1453" s="16">
        <f>SUMPRODUCT(N1453:Y1453,$N$5:$Y$5)*$K1453*$L1453*$M1453</f>
        <v/>
      </c>
      <c r="AG1453" s="16">
        <f>SUMPRODUCT(N1453:Y1453,$N$6:$Y$6)*$K1453*$L1453*$M1453</f>
        <v/>
      </c>
      <c r="AH1453" s="20" t="n"/>
    </row>
    <row r="1454">
      <c r="A1454" s="9" t="n">
        <v>811949</v>
      </c>
      <c r="B1454" s="9" t="inlineStr">
        <is>
          <t>Jason Shockley</t>
        </is>
      </c>
      <c r="C1454" s="9" t="inlineStr">
        <is>
          <t>BAL</t>
        </is>
      </c>
      <c r="D1454" s="9" t="n">
        <v>25</v>
      </c>
      <c r="E1454" s="18" t="inlineStr">
        <is>
          <t>R</t>
        </is>
      </c>
      <c r="F1454" s="18" t="n"/>
      <c r="G1454" s="9" t="n">
        <v>10.664</v>
      </c>
      <c r="H1454" s="9" t="n">
        <v>10.664</v>
      </c>
      <c r="I1454" s="9" t="inlineStr">
        <is>
          <t>Depth (no MLB IP)</t>
        </is>
      </c>
      <c r="J1454" s="18" t="inlineStr">
        <is>
          <t>Opening Day</t>
        </is>
      </c>
      <c r="K1454" s="11">
        <f>IFERROR(INDEX(Roles!$B$17:$B$20,MATCH(J1454,Roles!$A$17:$A$20,0)),1)</f>
        <v/>
      </c>
      <c r="L1454" s="19" t="n">
        <v>1</v>
      </c>
      <c r="M1454" s="11" t="n">
        <v>1</v>
      </c>
      <c r="N1454" s="19" t="n"/>
      <c r="O1454" s="19" t="n"/>
      <c r="P1454" s="19" t="n"/>
      <c r="Q1454" s="19" t="n"/>
      <c r="R1454" s="19" t="n"/>
      <c r="S1454" s="19" t="n"/>
      <c r="T1454" s="19" t="n"/>
      <c r="U1454" s="19" t="n"/>
      <c r="V1454" s="19" t="n"/>
      <c r="W1454" s="19" t="n"/>
      <c r="X1454" s="19" t="n"/>
      <c r="Y1454" s="19" t="n">
        <v>1</v>
      </c>
      <c r="Z1454" s="13">
        <f>SUMPRODUCT(N1454:Y1454,$N$2:$Y$2)*$K1454*$L1454*$M1454</f>
        <v/>
      </c>
      <c r="AA1454" s="14">
        <f>SUM(N1454:Y1454)</f>
        <v/>
      </c>
      <c r="AB1454" s="13">
        <f>SUMPRODUCT(N1454:Y1454,$N$3:$Y$3)*$K1454*$L1454*$M1454</f>
        <v/>
      </c>
      <c r="AC1454" s="13">
        <f>SUMPRODUCT(N1454:Y1454,$N$4:$Y$4)*$K1454*$L1454*$M1454</f>
        <v/>
      </c>
      <c r="AD1454" s="15" t="n">
        <v>3</v>
      </c>
      <c r="AE1454" s="11" t="n">
        <v>1.011296296296296</v>
      </c>
      <c r="AF1454" s="16">
        <f>SUMPRODUCT(N1454:Y1454,$N$5:$Y$5)*$K1454*$L1454*$M1454</f>
        <v/>
      </c>
      <c r="AG1454" s="16">
        <f>SUMPRODUCT(N1454:Y1454,$N$6:$Y$6)*$K1454*$L1454*$M1454</f>
        <v/>
      </c>
      <c r="AH1454" s="20" t="n"/>
    </row>
    <row r="1455">
      <c r="A1455" s="9" t="n">
        <v>702280</v>
      </c>
      <c r="B1455" s="9" t="inlineStr">
        <is>
          <t>Tristan Smith</t>
        </is>
      </c>
      <c r="C1455" s="9" t="inlineStr">
        <is>
          <t>CIN</t>
        </is>
      </c>
      <c r="D1455" s="9" t="n">
        <v>25</v>
      </c>
      <c r="E1455" s="18" t="inlineStr">
        <is>
          <t>L</t>
        </is>
      </c>
      <c r="F1455" s="18" t="n"/>
      <c r="G1455" s="9" t="n">
        <v>10.664</v>
      </c>
      <c r="H1455" s="9" t="n">
        <v>10.664</v>
      </c>
      <c r="I1455" s="9" t="inlineStr">
        <is>
          <t>Depth (no MLB IP)</t>
        </is>
      </c>
      <c r="J1455" s="18" t="inlineStr">
        <is>
          <t>Opening Day</t>
        </is>
      </c>
      <c r="K1455" s="11">
        <f>IFERROR(INDEX(Roles!$B$17:$B$20,MATCH(J1455,Roles!$A$17:$A$20,0)),1)</f>
        <v/>
      </c>
      <c r="L1455" s="19" t="n">
        <v>1</v>
      </c>
      <c r="M1455" s="11" t="n">
        <v>1</v>
      </c>
      <c r="N1455" s="19" t="n"/>
      <c r="O1455" s="19" t="n"/>
      <c r="P1455" s="19" t="n"/>
      <c r="Q1455" s="19" t="n"/>
      <c r="R1455" s="19" t="n"/>
      <c r="S1455" s="19" t="n"/>
      <c r="T1455" s="19" t="n"/>
      <c r="U1455" s="19" t="n"/>
      <c r="V1455" s="19" t="n"/>
      <c r="W1455" s="19" t="n"/>
      <c r="X1455" s="19" t="n"/>
      <c r="Y1455" s="19" t="n">
        <v>1</v>
      </c>
      <c r="Z1455" s="13">
        <f>SUMPRODUCT(N1455:Y1455,$N$2:$Y$2)*$K1455*$L1455*$M1455</f>
        <v/>
      </c>
      <c r="AA1455" s="14">
        <f>SUM(N1455:Y1455)</f>
        <v/>
      </c>
      <c r="AB1455" s="13">
        <f>SUMPRODUCT(N1455:Y1455,$N$3:$Y$3)*$K1455*$L1455*$M1455</f>
        <v/>
      </c>
      <c r="AC1455" s="13">
        <f>SUMPRODUCT(N1455:Y1455,$N$4:$Y$4)*$K1455*$L1455*$M1455</f>
        <v/>
      </c>
      <c r="AD1455" s="15" t="n">
        <v>3</v>
      </c>
      <c r="AE1455" s="11" t="n">
        <v>1.011296296296296</v>
      </c>
      <c r="AF1455" s="16">
        <f>SUMPRODUCT(N1455:Y1455,$N$5:$Y$5)*$K1455*$L1455*$M1455</f>
        <v/>
      </c>
      <c r="AG1455" s="16">
        <f>SUMPRODUCT(N1455:Y1455,$N$6:$Y$6)*$K1455*$L1455*$M1455</f>
        <v/>
      </c>
      <c r="AH1455" s="20" t="n"/>
    </row>
    <row r="1456">
      <c r="A1456" s="9" t="n">
        <v>822654</v>
      </c>
      <c r="B1456" s="9" t="inlineStr">
        <is>
          <t>Will Gervase</t>
        </is>
      </c>
      <c r="C1456" s="9" t="inlineStr">
        <is>
          <t>LAA</t>
        </is>
      </c>
      <c r="D1456" s="9" t="n">
        <v>25</v>
      </c>
      <c r="E1456" s="18" t="inlineStr">
        <is>
          <t>L</t>
        </is>
      </c>
      <c r="F1456" s="18" t="n"/>
      <c r="G1456" s="9" t="n">
        <v>10.836</v>
      </c>
      <c r="H1456" s="9" t="n">
        <v>10.836</v>
      </c>
      <c r="I1456" s="9" t="inlineStr">
        <is>
          <t>Depth (no MLB IP)</t>
        </is>
      </c>
      <c r="J1456" s="18" t="inlineStr">
        <is>
          <t>Opening Day</t>
        </is>
      </c>
      <c r="K1456" s="11">
        <f>IFERROR(INDEX(Roles!$B$17:$B$20,MATCH(J1456,Roles!$A$17:$A$20,0)),1)</f>
        <v/>
      </c>
      <c r="L1456" s="19" t="n">
        <v>1</v>
      </c>
      <c r="M1456" s="11" t="n">
        <v>1</v>
      </c>
      <c r="N1456" s="19" t="n"/>
      <c r="O1456" s="19" t="n"/>
      <c r="P1456" s="19" t="n"/>
      <c r="Q1456" s="19" t="n"/>
      <c r="R1456" s="19" t="n"/>
      <c r="S1456" s="19" t="n"/>
      <c r="T1456" s="19" t="n"/>
      <c r="U1456" s="19" t="n"/>
      <c r="V1456" s="19" t="n"/>
      <c r="W1456" s="19" t="n"/>
      <c r="X1456" s="19" t="n"/>
      <c r="Y1456" s="19" t="n">
        <v>1</v>
      </c>
      <c r="Z1456" s="13">
        <f>SUMPRODUCT(N1456:Y1456,$N$2:$Y$2)*$K1456*$L1456*$M1456</f>
        <v/>
      </c>
      <c r="AA1456" s="14">
        <f>SUM(N1456:Y1456)</f>
        <v/>
      </c>
      <c r="AB1456" s="13">
        <f>SUMPRODUCT(N1456:Y1456,$N$3:$Y$3)*$K1456*$L1456*$M1456</f>
        <v/>
      </c>
      <c r="AC1456" s="13">
        <f>SUMPRODUCT(N1456:Y1456,$N$4:$Y$4)*$K1456*$L1456*$M1456</f>
        <v/>
      </c>
      <c r="AD1456" s="15" t="n">
        <v>3</v>
      </c>
      <c r="AE1456" s="11" t="n">
        <v>1.011296296296296</v>
      </c>
      <c r="AF1456" s="16">
        <f>SUMPRODUCT(N1456:Y1456,$N$5:$Y$5)*$K1456*$L1456*$M1456</f>
        <v/>
      </c>
      <c r="AG1456" s="16">
        <f>SUMPRODUCT(N1456:Y1456,$N$6:$Y$6)*$K1456*$L1456*$M1456</f>
        <v/>
      </c>
      <c r="AH1456" s="20" t="n"/>
    </row>
    <row r="1457">
      <c r="A1457" s="9" t="n">
        <v>805879</v>
      </c>
      <c r="B1457" s="9" t="inlineStr">
        <is>
          <t>Connor Foley</t>
        </is>
      </c>
      <c r="C1457" s="9" t="inlineStr">
        <is>
          <t>ARI</t>
        </is>
      </c>
      <c r="D1457" s="9" t="n">
        <v>25</v>
      </c>
      <c r="E1457" s="18" t="inlineStr">
        <is>
          <t>R</t>
        </is>
      </c>
      <c r="F1457" s="18" t="n"/>
      <c r="G1457" s="9" t="n">
        <v>10.836</v>
      </c>
      <c r="H1457" s="9" t="n">
        <v>10.836</v>
      </c>
      <c r="I1457" s="9" t="inlineStr">
        <is>
          <t>Depth (no MLB IP)</t>
        </is>
      </c>
      <c r="J1457" s="18" t="inlineStr">
        <is>
          <t>Opening Day</t>
        </is>
      </c>
      <c r="K1457" s="11">
        <f>IFERROR(INDEX(Roles!$B$17:$B$20,MATCH(J1457,Roles!$A$17:$A$20,0)),1)</f>
        <v/>
      </c>
      <c r="L1457" s="19" t="n">
        <v>1</v>
      </c>
      <c r="M1457" s="11" t="n">
        <v>1</v>
      </c>
      <c r="N1457" s="19" t="n"/>
      <c r="O1457" s="19" t="n"/>
      <c r="P1457" s="19" t="n"/>
      <c r="Q1457" s="19" t="n"/>
      <c r="R1457" s="19" t="n"/>
      <c r="S1457" s="19" t="n"/>
      <c r="T1457" s="19" t="n"/>
      <c r="U1457" s="19" t="n"/>
      <c r="V1457" s="19" t="n"/>
      <c r="W1457" s="19" t="n"/>
      <c r="X1457" s="19" t="n"/>
      <c r="Y1457" s="19" t="n">
        <v>1</v>
      </c>
      <c r="Z1457" s="13">
        <f>SUMPRODUCT(N1457:Y1457,$N$2:$Y$2)*$K1457*$L1457*$M1457</f>
        <v/>
      </c>
      <c r="AA1457" s="14">
        <f>SUM(N1457:Y1457)</f>
        <v/>
      </c>
      <c r="AB1457" s="13">
        <f>SUMPRODUCT(N1457:Y1457,$N$3:$Y$3)*$K1457*$L1457*$M1457</f>
        <v/>
      </c>
      <c r="AC1457" s="13">
        <f>SUMPRODUCT(N1457:Y1457,$N$4:$Y$4)*$K1457*$L1457*$M1457</f>
        <v/>
      </c>
      <c r="AD1457" s="15" t="n">
        <v>3</v>
      </c>
      <c r="AE1457" s="11" t="n">
        <v>1.011296296296296</v>
      </c>
      <c r="AF1457" s="16">
        <f>SUMPRODUCT(N1457:Y1457,$N$5:$Y$5)*$K1457*$L1457*$M1457</f>
        <v/>
      </c>
      <c r="AG1457" s="16">
        <f>SUMPRODUCT(N1457:Y1457,$N$6:$Y$6)*$K1457*$L1457*$M1457</f>
        <v/>
      </c>
      <c r="AH1457" s="20" t="n"/>
    </row>
    <row r="1458">
      <c r="A1458" s="9" t="n">
        <v>801456</v>
      </c>
      <c r="B1458" s="9" t="inlineStr">
        <is>
          <t>Henry Cone</t>
        </is>
      </c>
      <c r="C1458" s="9" t="inlineStr">
        <is>
          <t>CHC</t>
        </is>
      </c>
      <c r="D1458" s="9" t="n">
        <v>25</v>
      </c>
      <c r="E1458" s="18" t="inlineStr">
        <is>
          <t>R</t>
        </is>
      </c>
      <c r="F1458" s="18" t="n"/>
      <c r="G1458" s="9" t="n">
        <v>10.836</v>
      </c>
      <c r="H1458" s="9" t="n">
        <v>10.836</v>
      </c>
      <c r="I1458" s="9" t="inlineStr">
        <is>
          <t>Depth (no MLB IP)</t>
        </is>
      </c>
      <c r="J1458" s="18" t="inlineStr">
        <is>
          <t>Opening Day</t>
        </is>
      </c>
      <c r="K1458" s="11">
        <f>IFERROR(INDEX(Roles!$B$17:$B$20,MATCH(J1458,Roles!$A$17:$A$20,0)),1)</f>
        <v/>
      </c>
      <c r="L1458" s="19" t="n">
        <v>1</v>
      </c>
      <c r="M1458" s="11" t="n">
        <v>1</v>
      </c>
      <c r="N1458" s="19" t="n"/>
      <c r="O1458" s="19" t="n"/>
      <c r="P1458" s="19" t="n"/>
      <c r="Q1458" s="19" t="n"/>
      <c r="R1458" s="19" t="n"/>
      <c r="S1458" s="19" t="n"/>
      <c r="T1458" s="19" t="n"/>
      <c r="U1458" s="19" t="n"/>
      <c r="V1458" s="19" t="n"/>
      <c r="W1458" s="19" t="n"/>
      <c r="X1458" s="19" t="n"/>
      <c r="Y1458" s="19" t="n">
        <v>1</v>
      </c>
      <c r="Z1458" s="13">
        <f>SUMPRODUCT(N1458:Y1458,$N$2:$Y$2)*$K1458*$L1458*$M1458</f>
        <v/>
      </c>
      <c r="AA1458" s="14">
        <f>SUM(N1458:Y1458)</f>
        <v/>
      </c>
      <c r="AB1458" s="13">
        <f>SUMPRODUCT(N1458:Y1458,$N$3:$Y$3)*$K1458*$L1458*$M1458</f>
        <v/>
      </c>
      <c r="AC1458" s="13">
        <f>SUMPRODUCT(N1458:Y1458,$N$4:$Y$4)*$K1458*$L1458*$M1458</f>
        <v/>
      </c>
      <c r="AD1458" s="15" t="n">
        <v>3</v>
      </c>
      <c r="AE1458" s="11" t="n">
        <v>1.011296296296296</v>
      </c>
      <c r="AF1458" s="16">
        <f>SUMPRODUCT(N1458:Y1458,$N$5:$Y$5)*$K1458*$L1458*$M1458</f>
        <v/>
      </c>
      <c r="AG1458" s="16">
        <f>SUMPRODUCT(N1458:Y1458,$N$6:$Y$6)*$K1458*$L1458*$M1458</f>
        <v/>
      </c>
      <c r="AH1458" s="20" t="n"/>
    </row>
    <row r="1459">
      <c r="A1459" s="9" t="n">
        <v>702268</v>
      </c>
      <c r="B1459" s="9" t="inlineStr">
        <is>
          <t>Aiden Moffett</t>
        </is>
      </c>
      <c r="C1459" s="9" t="inlineStr">
        <is>
          <t>CHC</t>
        </is>
      </c>
      <c r="D1459" s="9" t="n">
        <v>25</v>
      </c>
      <c r="E1459" s="18" t="inlineStr">
        <is>
          <t>R</t>
        </is>
      </c>
      <c r="F1459" s="18" t="n"/>
      <c r="G1459" s="9" t="n">
        <v>10.836</v>
      </c>
      <c r="H1459" s="9" t="n">
        <v>10.836</v>
      </c>
      <c r="I1459" s="9" t="inlineStr">
        <is>
          <t>Depth (no MLB IP)</t>
        </is>
      </c>
      <c r="J1459" s="18" t="inlineStr">
        <is>
          <t>Opening Day</t>
        </is>
      </c>
      <c r="K1459" s="11">
        <f>IFERROR(INDEX(Roles!$B$17:$B$20,MATCH(J1459,Roles!$A$17:$A$20,0)),1)</f>
        <v/>
      </c>
      <c r="L1459" s="19" t="n">
        <v>1</v>
      </c>
      <c r="M1459" s="11" t="n">
        <v>1</v>
      </c>
      <c r="N1459" s="19" t="n"/>
      <c r="O1459" s="19" t="n"/>
      <c r="P1459" s="19" t="n"/>
      <c r="Q1459" s="19" t="n"/>
      <c r="R1459" s="19" t="n"/>
      <c r="S1459" s="19" t="n"/>
      <c r="T1459" s="19" t="n"/>
      <c r="U1459" s="19" t="n"/>
      <c r="V1459" s="19" t="n"/>
      <c r="W1459" s="19" t="n"/>
      <c r="X1459" s="19" t="n"/>
      <c r="Y1459" s="19" t="n">
        <v>1</v>
      </c>
      <c r="Z1459" s="13">
        <f>SUMPRODUCT(N1459:Y1459,$N$2:$Y$2)*$K1459*$L1459*$M1459</f>
        <v/>
      </c>
      <c r="AA1459" s="14">
        <f>SUM(N1459:Y1459)</f>
        <v/>
      </c>
      <c r="AB1459" s="13">
        <f>SUMPRODUCT(N1459:Y1459,$N$3:$Y$3)*$K1459*$L1459*$M1459</f>
        <v/>
      </c>
      <c r="AC1459" s="13">
        <f>SUMPRODUCT(N1459:Y1459,$N$4:$Y$4)*$K1459*$L1459*$M1459</f>
        <v/>
      </c>
      <c r="AD1459" s="15" t="n">
        <v>3</v>
      </c>
      <c r="AE1459" s="11" t="n">
        <v>1.011296296296296</v>
      </c>
      <c r="AF1459" s="16">
        <f>SUMPRODUCT(N1459:Y1459,$N$5:$Y$5)*$K1459*$L1459*$M1459</f>
        <v/>
      </c>
      <c r="AG1459" s="16">
        <f>SUMPRODUCT(N1459:Y1459,$N$6:$Y$6)*$K1459*$L1459*$M1459</f>
        <v/>
      </c>
      <c r="AH1459" s="20" t="n"/>
    </row>
    <row r="1460">
      <c r="A1460" s="9" t="n">
        <v>814288</v>
      </c>
      <c r="B1460" s="9" t="inlineStr">
        <is>
          <t>Franly Urena</t>
        </is>
      </c>
      <c r="C1460" s="9" t="inlineStr">
        <is>
          <t>TOR</t>
        </is>
      </c>
      <c r="D1460" s="9" t="n">
        <v>25</v>
      </c>
      <c r="E1460" s="18" t="inlineStr">
        <is>
          <t>R</t>
        </is>
      </c>
      <c r="F1460" s="18" t="n"/>
      <c r="G1460" s="9" t="n">
        <v>10.89333333333333</v>
      </c>
      <c r="H1460" s="9" t="n">
        <v>10.89333333333333</v>
      </c>
      <c r="I1460" s="9" t="inlineStr">
        <is>
          <t>Depth (no MLB IP)</t>
        </is>
      </c>
      <c r="J1460" s="18" t="inlineStr">
        <is>
          <t>Opening Day</t>
        </is>
      </c>
      <c r="K1460" s="11">
        <f>IFERROR(INDEX(Roles!$B$17:$B$20,MATCH(J1460,Roles!$A$17:$A$20,0)),1)</f>
        <v/>
      </c>
      <c r="L1460" s="19" t="n">
        <v>1</v>
      </c>
      <c r="M1460" s="11" t="n">
        <v>1</v>
      </c>
      <c r="N1460" s="19" t="n"/>
      <c r="O1460" s="19" t="n"/>
      <c r="P1460" s="19" t="n"/>
      <c r="Q1460" s="19" t="n"/>
      <c r="R1460" s="19" t="n"/>
      <c r="S1460" s="19" t="n"/>
      <c r="T1460" s="19" t="n"/>
      <c r="U1460" s="19" t="n"/>
      <c r="V1460" s="19" t="n"/>
      <c r="W1460" s="19" t="n"/>
      <c r="X1460" s="19" t="n"/>
      <c r="Y1460" s="19" t="n">
        <v>1</v>
      </c>
      <c r="Z1460" s="13">
        <f>SUMPRODUCT(N1460:Y1460,$N$2:$Y$2)*$K1460*$L1460*$M1460</f>
        <v/>
      </c>
      <c r="AA1460" s="14">
        <f>SUM(N1460:Y1460)</f>
        <v/>
      </c>
      <c r="AB1460" s="13">
        <f>SUMPRODUCT(N1460:Y1460,$N$3:$Y$3)*$K1460*$L1460*$M1460</f>
        <v/>
      </c>
      <c r="AC1460" s="13">
        <f>SUMPRODUCT(N1460:Y1460,$N$4:$Y$4)*$K1460*$L1460*$M1460</f>
        <v/>
      </c>
      <c r="AD1460" s="15" t="n">
        <v>3</v>
      </c>
      <c r="AE1460" s="11" t="n">
        <v>1.011296296296296</v>
      </c>
      <c r="AF1460" s="16">
        <f>SUMPRODUCT(N1460:Y1460,$N$5:$Y$5)*$K1460*$L1460*$M1460</f>
        <v/>
      </c>
      <c r="AG1460" s="16">
        <f>SUMPRODUCT(N1460:Y1460,$N$6:$Y$6)*$K1460*$L1460*$M1460</f>
        <v/>
      </c>
      <c r="AH1460" s="20" t="n"/>
    </row>
    <row r="1461">
      <c r="A1461" s="9" t="n">
        <v>800727</v>
      </c>
      <c r="B1461" s="9" t="inlineStr">
        <is>
          <t>Jackson Dannelley</t>
        </is>
      </c>
      <c r="C1461" s="9" t="inlineStr">
        <is>
          <t>WSH</t>
        </is>
      </c>
      <c r="D1461" s="9" t="n">
        <v>25</v>
      </c>
      <c r="E1461" s="18" t="inlineStr">
        <is>
          <t>R</t>
        </is>
      </c>
      <c r="F1461" s="18" t="n"/>
      <c r="G1461" s="9" t="n">
        <v>10.89333333333333</v>
      </c>
      <c r="H1461" s="9" t="n">
        <v>10.89333333333333</v>
      </c>
      <c r="I1461" s="9" t="inlineStr">
        <is>
          <t>Depth (no MLB IP)</t>
        </is>
      </c>
      <c r="J1461" s="18" t="inlineStr">
        <is>
          <t>Opening Day</t>
        </is>
      </c>
      <c r="K1461" s="11">
        <f>IFERROR(INDEX(Roles!$B$17:$B$20,MATCH(J1461,Roles!$A$17:$A$20,0)),1)</f>
        <v/>
      </c>
      <c r="L1461" s="19" t="n">
        <v>1</v>
      </c>
      <c r="M1461" s="11" t="n">
        <v>1</v>
      </c>
      <c r="N1461" s="19" t="n"/>
      <c r="O1461" s="19" t="n"/>
      <c r="P1461" s="19" t="n"/>
      <c r="Q1461" s="19" t="n"/>
      <c r="R1461" s="19" t="n"/>
      <c r="S1461" s="19" t="n"/>
      <c r="T1461" s="19" t="n"/>
      <c r="U1461" s="19" t="n"/>
      <c r="V1461" s="19" t="n"/>
      <c r="W1461" s="19" t="n"/>
      <c r="X1461" s="19" t="n"/>
      <c r="Y1461" s="19" t="n">
        <v>1</v>
      </c>
      <c r="Z1461" s="13">
        <f>SUMPRODUCT(N1461:Y1461,$N$2:$Y$2)*$K1461*$L1461*$M1461</f>
        <v/>
      </c>
      <c r="AA1461" s="14">
        <f>SUM(N1461:Y1461)</f>
        <v/>
      </c>
      <c r="AB1461" s="13">
        <f>SUMPRODUCT(N1461:Y1461,$N$3:$Y$3)*$K1461*$L1461*$M1461</f>
        <v/>
      </c>
      <c r="AC1461" s="13">
        <f>SUMPRODUCT(N1461:Y1461,$N$4:$Y$4)*$K1461*$L1461*$M1461</f>
        <v/>
      </c>
      <c r="AD1461" s="15" t="n">
        <v>3</v>
      </c>
      <c r="AE1461" s="11" t="n">
        <v>1.011296296296296</v>
      </c>
      <c r="AF1461" s="16">
        <f>SUMPRODUCT(N1461:Y1461,$N$5:$Y$5)*$K1461*$L1461*$M1461</f>
        <v/>
      </c>
      <c r="AG1461" s="16">
        <f>SUMPRODUCT(N1461:Y1461,$N$6:$Y$6)*$K1461*$L1461*$M1461</f>
        <v/>
      </c>
      <c r="AH1461" s="20" t="n"/>
    </row>
    <row r="1462">
      <c r="A1462" s="9" t="n">
        <v>702911</v>
      </c>
      <c r="B1462" s="9" t="inlineStr">
        <is>
          <t>Tristan Garnett</t>
        </is>
      </c>
      <c r="C1462" s="9" t="inlineStr">
        <is>
          <t>PHI</t>
        </is>
      </c>
      <c r="D1462" s="9" t="n">
        <v>25</v>
      </c>
      <c r="E1462" s="18" t="inlineStr">
        <is>
          <t>L</t>
        </is>
      </c>
      <c r="F1462" s="18" t="n"/>
      <c r="G1462" s="9" t="n">
        <v>11.03666666666667</v>
      </c>
      <c r="H1462" s="9" t="n">
        <v>11.03666666666667</v>
      </c>
      <c r="I1462" s="9" t="inlineStr">
        <is>
          <t>Depth (no MLB IP)</t>
        </is>
      </c>
      <c r="J1462" s="18" t="inlineStr">
        <is>
          <t>Opening Day</t>
        </is>
      </c>
      <c r="K1462" s="11">
        <f>IFERROR(INDEX(Roles!$B$17:$B$20,MATCH(J1462,Roles!$A$17:$A$20,0)),1)</f>
        <v/>
      </c>
      <c r="L1462" s="19" t="n">
        <v>1</v>
      </c>
      <c r="M1462" s="11" t="n">
        <v>1</v>
      </c>
      <c r="N1462" s="19" t="n"/>
      <c r="O1462" s="19" t="n"/>
      <c r="P1462" s="19" t="n"/>
      <c r="Q1462" s="19" t="n"/>
      <c r="R1462" s="19" t="n"/>
      <c r="S1462" s="19" t="n"/>
      <c r="T1462" s="19" t="n"/>
      <c r="U1462" s="19" t="n"/>
      <c r="V1462" s="19" t="n"/>
      <c r="W1462" s="19" t="n"/>
      <c r="X1462" s="19" t="n"/>
      <c r="Y1462" s="19" t="n">
        <v>1</v>
      </c>
      <c r="Z1462" s="13">
        <f>SUMPRODUCT(N1462:Y1462,$N$2:$Y$2)*$K1462*$L1462*$M1462</f>
        <v/>
      </c>
      <c r="AA1462" s="14">
        <f>SUM(N1462:Y1462)</f>
        <v/>
      </c>
      <c r="AB1462" s="13">
        <f>SUMPRODUCT(N1462:Y1462,$N$3:$Y$3)*$K1462*$L1462*$M1462</f>
        <v/>
      </c>
      <c r="AC1462" s="13">
        <f>SUMPRODUCT(N1462:Y1462,$N$4:$Y$4)*$K1462*$L1462*$M1462</f>
        <v/>
      </c>
      <c r="AD1462" s="15" t="n">
        <v>3</v>
      </c>
      <c r="AE1462" s="11" t="n">
        <v>1.011296296296296</v>
      </c>
      <c r="AF1462" s="16">
        <f>SUMPRODUCT(N1462:Y1462,$N$5:$Y$5)*$K1462*$L1462*$M1462</f>
        <v/>
      </c>
      <c r="AG1462" s="16">
        <f>SUMPRODUCT(N1462:Y1462,$N$6:$Y$6)*$K1462*$L1462*$M1462</f>
        <v/>
      </c>
      <c r="AH1462" s="20" t="n"/>
    </row>
    <row r="1463">
      <c r="A1463" s="9" t="n">
        <v>699283</v>
      </c>
      <c r="B1463" s="9" t="inlineStr">
        <is>
          <t>Cleiber Maldonado</t>
        </is>
      </c>
      <c r="C1463" s="9" t="inlineStr">
        <is>
          <t>MIN</t>
        </is>
      </c>
      <c r="D1463" s="9" t="n">
        <v>25</v>
      </c>
      <c r="E1463" s="18" t="inlineStr">
        <is>
          <t>L</t>
        </is>
      </c>
      <c r="F1463" s="18" t="n"/>
      <c r="G1463" s="9" t="n">
        <v>10.89333333333333</v>
      </c>
      <c r="H1463" s="9" t="n">
        <v>10.89333333333333</v>
      </c>
      <c r="I1463" s="9" t="inlineStr">
        <is>
          <t>Depth (no MLB IP)</t>
        </is>
      </c>
      <c r="J1463" s="18" t="inlineStr">
        <is>
          <t>Opening Day</t>
        </is>
      </c>
      <c r="K1463" s="11">
        <f>IFERROR(INDEX(Roles!$B$17:$B$20,MATCH(J1463,Roles!$A$17:$A$20,0)),1)</f>
        <v/>
      </c>
      <c r="L1463" s="19" t="n">
        <v>1</v>
      </c>
      <c r="M1463" s="11" t="n">
        <v>1</v>
      </c>
      <c r="N1463" s="19" t="n"/>
      <c r="O1463" s="19" t="n"/>
      <c r="P1463" s="19" t="n"/>
      <c r="Q1463" s="19" t="n"/>
      <c r="R1463" s="19" t="n"/>
      <c r="S1463" s="19" t="n"/>
      <c r="T1463" s="19" t="n"/>
      <c r="U1463" s="19" t="n"/>
      <c r="V1463" s="19" t="n"/>
      <c r="W1463" s="19" t="n"/>
      <c r="X1463" s="19" t="n"/>
      <c r="Y1463" s="19" t="n">
        <v>1</v>
      </c>
      <c r="Z1463" s="13">
        <f>SUMPRODUCT(N1463:Y1463,$N$2:$Y$2)*$K1463*$L1463*$M1463</f>
        <v/>
      </c>
      <c r="AA1463" s="14">
        <f>SUM(N1463:Y1463)</f>
        <v/>
      </c>
      <c r="AB1463" s="13">
        <f>SUMPRODUCT(N1463:Y1463,$N$3:$Y$3)*$K1463*$L1463*$M1463</f>
        <v/>
      </c>
      <c r="AC1463" s="13">
        <f>SUMPRODUCT(N1463:Y1463,$N$4:$Y$4)*$K1463*$L1463*$M1463</f>
        <v/>
      </c>
      <c r="AD1463" s="15" t="n">
        <v>3</v>
      </c>
      <c r="AE1463" s="11" t="n">
        <v>1.011296296296296</v>
      </c>
      <c r="AF1463" s="16">
        <f>SUMPRODUCT(N1463:Y1463,$N$5:$Y$5)*$K1463*$L1463*$M1463</f>
        <v/>
      </c>
      <c r="AG1463" s="16">
        <f>SUMPRODUCT(N1463:Y1463,$N$6:$Y$6)*$K1463*$L1463*$M1463</f>
        <v/>
      </c>
      <c r="AH1463" s="20" t="n"/>
    </row>
    <row r="1464">
      <c r="A1464" s="9" t="n">
        <v>801696</v>
      </c>
      <c r="B1464" s="9" t="inlineStr">
        <is>
          <t>Will Schomberg</t>
        </is>
      </c>
      <c r="C1464" s="9" t="inlineStr">
        <is>
          <t>MIA</t>
        </is>
      </c>
      <c r="D1464" s="9" t="n">
        <v>25</v>
      </c>
      <c r="E1464" s="18" t="inlineStr">
        <is>
          <t>R</t>
        </is>
      </c>
      <c r="F1464" s="18" t="n"/>
      <c r="G1464" s="9" t="n">
        <v>11.03666666666666</v>
      </c>
      <c r="H1464" s="9" t="n">
        <v>11.03666666666666</v>
      </c>
      <c r="I1464" s="9" t="inlineStr">
        <is>
          <t>Depth (no MLB IP)</t>
        </is>
      </c>
      <c r="J1464" s="18" t="inlineStr">
        <is>
          <t>Opening Day</t>
        </is>
      </c>
      <c r="K1464" s="11">
        <f>IFERROR(INDEX(Roles!$B$17:$B$20,MATCH(J1464,Roles!$A$17:$A$20,0)),1)</f>
        <v/>
      </c>
      <c r="L1464" s="19" t="n">
        <v>1</v>
      </c>
      <c r="M1464" s="11" t="n">
        <v>1</v>
      </c>
      <c r="N1464" s="19" t="n"/>
      <c r="O1464" s="19" t="n"/>
      <c r="P1464" s="19" t="n"/>
      <c r="Q1464" s="19" t="n"/>
      <c r="R1464" s="19" t="n"/>
      <c r="S1464" s="19" t="n"/>
      <c r="T1464" s="19" t="n"/>
      <c r="U1464" s="19" t="n"/>
      <c r="V1464" s="19" t="n"/>
      <c r="W1464" s="19" t="n"/>
      <c r="X1464" s="19" t="n"/>
      <c r="Y1464" s="19" t="n">
        <v>1</v>
      </c>
      <c r="Z1464" s="13">
        <f>SUMPRODUCT(N1464:Y1464,$N$2:$Y$2)*$K1464*$L1464*$M1464</f>
        <v/>
      </c>
      <c r="AA1464" s="14">
        <f>SUM(N1464:Y1464)</f>
        <v/>
      </c>
      <c r="AB1464" s="13">
        <f>SUMPRODUCT(N1464:Y1464,$N$3:$Y$3)*$K1464*$L1464*$M1464</f>
        <v/>
      </c>
      <c r="AC1464" s="13">
        <f>SUMPRODUCT(N1464:Y1464,$N$4:$Y$4)*$K1464*$L1464*$M1464</f>
        <v/>
      </c>
      <c r="AD1464" s="15" t="n">
        <v>3</v>
      </c>
      <c r="AE1464" s="11" t="n">
        <v>1.011296296296296</v>
      </c>
      <c r="AF1464" s="16">
        <f>SUMPRODUCT(N1464:Y1464,$N$5:$Y$5)*$K1464*$L1464*$M1464</f>
        <v/>
      </c>
      <c r="AG1464" s="16">
        <f>SUMPRODUCT(N1464:Y1464,$N$6:$Y$6)*$K1464*$L1464*$M1464</f>
        <v/>
      </c>
      <c r="AH1464" s="20" t="n"/>
    </row>
    <row r="1465">
      <c r="A1465" s="9" t="n">
        <v>806121</v>
      </c>
      <c r="B1465" s="9" t="inlineStr">
        <is>
          <t>Mac Heuer</t>
        </is>
      </c>
      <c r="C1465" s="9" t="inlineStr">
        <is>
          <t>NYY</t>
        </is>
      </c>
      <c r="D1465" s="9" t="n">
        <v>25</v>
      </c>
      <c r="E1465" s="18" t="inlineStr">
        <is>
          <t>R</t>
        </is>
      </c>
      <c r="F1465" s="18" t="n"/>
      <c r="G1465" s="9" t="n">
        <v>10.836</v>
      </c>
      <c r="H1465" s="9" t="n">
        <v>10.836</v>
      </c>
      <c r="I1465" s="9" t="inlineStr">
        <is>
          <t>Depth (no MLB IP)</t>
        </is>
      </c>
      <c r="J1465" s="18" t="inlineStr">
        <is>
          <t>Opening Day</t>
        </is>
      </c>
      <c r="K1465" s="11">
        <f>IFERROR(INDEX(Roles!$B$17:$B$20,MATCH(J1465,Roles!$A$17:$A$20,0)),1)</f>
        <v/>
      </c>
      <c r="L1465" s="19" t="n">
        <v>1</v>
      </c>
      <c r="M1465" s="11" t="n">
        <v>1</v>
      </c>
      <c r="N1465" s="19" t="n"/>
      <c r="O1465" s="19" t="n"/>
      <c r="P1465" s="19" t="n"/>
      <c r="Q1465" s="19" t="n"/>
      <c r="R1465" s="19" t="n"/>
      <c r="S1465" s="19" t="n"/>
      <c r="T1465" s="19" t="n"/>
      <c r="U1465" s="19" t="n"/>
      <c r="V1465" s="19" t="n"/>
      <c r="W1465" s="19" t="n"/>
      <c r="X1465" s="19" t="n"/>
      <c r="Y1465" s="19" t="n">
        <v>1</v>
      </c>
      <c r="Z1465" s="13">
        <f>SUMPRODUCT(N1465:Y1465,$N$2:$Y$2)*$K1465*$L1465*$M1465</f>
        <v/>
      </c>
      <c r="AA1465" s="14">
        <f>SUM(N1465:Y1465)</f>
        <v/>
      </c>
      <c r="AB1465" s="13">
        <f>SUMPRODUCT(N1465:Y1465,$N$3:$Y$3)*$K1465*$L1465*$M1465</f>
        <v/>
      </c>
      <c r="AC1465" s="13">
        <f>SUMPRODUCT(N1465:Y1465,$N$4:$Y$4)*$K1465*$L1465*$M1465</f>
        <v/>
      </c>
      <c r="AD1465" s="15" t="n">
        <v>3</v>
      </c>
      <c r="AE1465" s="11" t="n">
        <v>1.011296296296296</v>
      </c>
      <c r="AF1465" s="16">
        <f>SUMPRODUCT(N1465:Y1465,$N$5:$Y$5)*$K1465*$L1465*$M1465</f>
        <v/>
      </c>
      <c r="AG1465" s="16">
        <f>SUMPRODUCT(N1465:Y1465,$N$6:$Y$6)*$K1465*$L1465*$M1465</f>
        <v/>
      </c>
      <c r="AH1465" s="20" t="n"/>
    </row>
    <row r="1466">
      <c r="A1466" s="9" t="n">
        <v>815308</v>
      </c>
      <c r="B1466" s="9" t="inlineStr">
        <is>
          <t>Colby Langford</t>
        </is>
      </c>
      <c r="C1466" s="9" t="inlineStr">
        <is>
          <t>HOU</t>
        </is>
      </c>
      <c r="D1466" s="9" t="n">
        <v>25</v>
      </c>
      <c r="E1466" s="18" t="inlineStr">
        <is>
          <t>L</t>
        </is>
      </c>
      <c r="F1466" s="18" t="n"/>
      <c r="G1466" s="9" t="n">
        <v>11.03666666666666</v>
      </c>
      <c r="H1466" s="9" t="n">
        <v>11.03666666666666</v>
      </c>
      <c r="I1466" s="9" t="inlineStr">
        <is>
          <t>Depth (no MLB IP)</t>
        </is>
      </c>
      <c r="J1466" s="18" t="inlineStr">
        <is>
          <t>Opening Day</t>
        </is>
      </c>
      <c r="K1466" s="11">
        <f>IFERROR(INDEX(Roles!$B$17:$B$20,MATCH(J1466,Roles!$A$17:$A$20,0)),1)</f>
        <v/>
      </c>
      <c r="L1466" s="19" t="n">
        <v>1</v>
      </c>
      <c r="M1466" s="11" t="n">
        <v>1</v>
      </c>
      <c r="N1466" s="19" t="n"/>
      <c r="O1466" s="19" t="n"/>
      <c r="P1466" s="19" t="n"/>
      <c r="Q1466" s="19" t="n"/>
      <c r="R1466" s="19" t="n"/>
      <c r="S1466" s="19" t="n"/>
      <c r="T1466" s="19" t="n"/>
      <c r="U1466" s="19" t="n"/>
      <c r="V1466" s="19" t="n"/>
      <c r="W1466" s="19" t="n"/>
      <c r="X1466" s="19" t="n"/>
      <c r="Y1466" s="19" t="n">
        <v>1</v>
      </c>
      <c r="Z1466" s="13">
        <f>SUMPRODUCT(N1466:Y1466,$N$2:$Y$2)*$K1466*$L1466*$M1466</f>
        <v/>
      </c>
      <c r="AA1466" s="14">
        <f>SUM(N1466:Y1466)</f>
        <v/>
      </c>
      <c r="AB1466" s="13">
        <f>SUMPRODUCT(N1466:Y1466,$N$3:$Y$3)*$K1466*$L1466*$M1466</f>
        <v/>
      </c>
      <c r="AC1466" s="13">
        <f>SUMPRODUCT(N1466:Y1466,$N$4:$Y$4)*$K1466*$L1466*$M1466</f>
        <v/>
      </c>
      <c r="AD1466" s="15" t="n">
        <v>3</v>
      </c>
      <c r="AE1466" s="11" t="n">
        <v>1.011296296296296</v>
      </c>
      <c r="AF1466" s="16">
        <f>SUMPRODUCT(N1466:Y1466,$N$5:$Y$5)*$K1466*$L1466*$M1466</f>
        <v/>
      </c>
      <c r="AG1466" s="16">
        <f>SUMPRODUCT(N1466:Y1466,$N$6:$Y$6)*$K1466*$L1466*$M1466</f>
        <v/>
      </c>
      <c r="AH1466" s="20" t="n"/>
    </row>
    <row r="1467">
      <c r="A1467" s="9" t="n">
        <v>815552</v>
      </c>
      <c r="B1467" s="9" t="inlineStr">
        <is>
          <t>Levi Sterling</t>
        </is>
      </c>
      <c r="C1467" s="9" t="inlineStr">
        <is>
          <t>PIT</t>
        </is>
      </c>
      <c r="D1467" s="9" t="n">
        <v>21</v>
      </c>
      <c r="E1467" s="18" t="inlineStr">
        <is>
          <t>R</t>
        </is>
      </c>
      <c r="F1467" s="18" t="n"/>
      <c r="G1467" s="9" t="n">
        <v>10.89333333333333</v>
      </c>
      <c r="H1467" s="9" t="n">
        <v>10.89333333333333</v>
      </c>
      <c r="I1467" s="9" t="inlineStr">
        <is>
          <t>Depth (no MLB IP)</t>
        </is>
      </c>
      <c r="J1467" s="18" t="inlineStr">
        <is>
          <t>Opening Day</t>
        </is>
      </c>
      <c r="K1467" s="11">
        <f>IFERROR(INDEX(Roles!$B$17:$B$20,MATCH(J1467,Roles!$A$17:$A$20,0)),1)</f>
        <v/>
      </c>
      <c r="L1467" s="19" t="n">
        <v>1</v>
      </c>
      <c r="M1467" s="11" t="n">
        <v>1</v>
      </c>
      <c r="N1467" s="19" t="n"/>
      <c r="O1467" s="19" t="n"/>
      <c r="P1467" s="19" t="n"/>
      <c r="Q1467" s="19" t="n"/>
      <c r="R1467" s="19" t="n"/>
      <c r="S1467" s="19" t="n"/>
      <c r="T1467" s="19" t="n"/>
      <c r="U1467" s="19" t="n"/>
      <c r="V1467" s="19" t="n"/>
      <c r="W1467" s="19" t="n"/>
      <c r="X1467" s="19" t="n"/>
      <c r="Y1467" s="19" t="n">
        <v>1</v>
      </c>
      <c r="Z1467" s="13">
        <f>SUMPRODUCT(N1467:Y1467,$N$2:$Y$2)*$K1467*$L1467*$M1467</f>
        <v/>
      </c>
      <c r="AA1467" s="14">
        <f>SUM(N1467:Y1467)</f>
        <v/>
      </c>
      <c r="AB1467" s="13">
        <f>SUMPRODUCT(N1467:Y1467,$N$3:$Y$3)*$K1467*$L1467*$M1467</f>
        <v/>
      </c>
      <c r="AC1467" s="13">
        <f>SUMPRODUCT(N1467:Y1467,$N$4:$Y$4)*$K1467*$L1467*$M1467</f>
        <v/>
      </c>
      <c r="AD1467" s="15" t="n">
        <v>3</v>
      </c>
      <c r="AE1467" s="11" t="n">
        <v>1.011296296296296</v>
      </c>
      <c r="AF1467" s="16">
        <f>SUMPRODUCT(N1467:Y1467,$N$5:$Y$5)*$K1467*$L1467*$M1467</f>
        <v/>
      </c>
      <c r="AG1467" s="16">
        <f>SUMPRODUCT(N1467:Y1467,$N$6:$Y$6)*$K1467*$L1467*$M1467</f>
        <v/>
      </c>
      <c r="AH1467" s="20" t="n"/>
    </row>
    <row r="1468">
      <c r="A1468" s="9" t="n">
        <v>809701</v>
      </c>
      <c r="B1468" s="9" t="inlineStr">
        <is>
          <t>Luis Avila</t>
        </is>
      </c>
      <c r="C1468" s="9" t="inlineStr">
        <is>
          <t>PHI</t>
        </is>
      </c>
      <c r="D1468" s="9" t="n">
        <v>25</v>
      </c>
      <c r="E1468" s="18" t="inlineStr">
        <is>
          <t>R</t>
        </is>
      </c>
      <c r="F1468" s="18" t="n"/>
      <c r="G1468" s="9" t="n">
        <v>10.89333333333333</v>
      </c>
      <c r="H1468" s="9" t="n">
        <v>10.89333333333333</v>
      </c>
      <c r="I1468" s="9" t="inlineStr">
        <is>
          <t>Depth (no MLB IP)</t>
        </is>
      </c>
      <c r="J1468" s="18" t="inlineStr">
        <is>
          <t>Opening Day</t>
        </is>
      </c>
      <c r="K1468" s="11">
        <f>IFERROR(INDEX(Roles!$B$17:$B$20,MATCH(J1468,Roles!$A$17:$A$20,0)),1)</f>
        <v/>
      </c>
      <c r="L1468" s="19" t="n">
        <v>1</v>
      </c>
      <c r="M1468" s="11" t="n">
        <v>1</v>
      </c>
      <c r="N1468" s="19" t="n"/>
      <c r="O1468" s="19" t="n"/>
      <c r="P1468" s="19" t="n"/>
      <c r="Q1468" s="19" t="n"/>
      <c r="R1468" s="19" t="n"/>
      <c r="S1468" s="19" t="n"/>
      <c r="T1468" s="19" t="n"/>
      <c r="U1468" s="19" t="n"/>
      <c r="V1468" s="19" t="n"/>
      <c r="W1468" s="19" t="n"/>
      <c r="X1468" s="19" t="n"/>
      <c r="Y1468" s="19" t="n">
        <v>1</v>
      </c>
      <c r="Z1468" s="13">
        <f>SUMPRODUCT(N1468:Y1468,$N$2:$Y$2)*$K1468*$L1468*$M1468</f>
        <v/>
      </c>
      <c r="AA1468" s="14">
        <f>SUM(N1468:Y1468)</f>
        <v/>
      </c>
      <c r="AB1468" s="13">
        <f>SUMPRODUCT(N1468:Y1468,$N$3:$Y$3)*$K1468*$L1468*$M1468</f>
        <v/>
      </c>
      <c r="AC1468" s="13">
        <f>SUMPRODUCT(N1468:Y1468,$N$4:$Y$4)*$K1468*$L1468*$M1468</f>
        <v/>
      </c>
      <c r="AD1468" s="15" t="n">
        <v>3</v>
      </c>
      <c r="AE1468" s="11" t="n">
        <v>1.011296296296296</v>
      </c>
      <c r="AF1468" s="16">
        <f>SUMPRODUCT(N1468:Y1468,$N$5:$Y$5)*$K1468*$L1468*$M1468</f>
        <v/>
      </c>
      <c r="AG1468" s="16">
        <f>SUMPRODUCT(N1468:Y1468,$N$6:$Y$6)*$K1468*$L1468*$M1468</f>
        <v/>
      </c>
      <c r="AH1468" s="20" t="n"/>
    </row>
    <row r="1469">
      <c r="A1469" s="9" t="n">
        <v>809100</v>
      </c>
      <c r="B1469" s="9" t="inlineStr">
        <is>
          <t>Ixan Henderson</t>
        </is>
      </c>
      <c r="C1469" s="9" t="inlineStr">
        <is>
          <t>STL</t>
        </is>
      </c>
      <c r="D1469" s="9" t="n">
        <v>25</v>
      </c>
      <c r="E1469" s="18" t="inlineStr">
        <is>
          <t>L</t>
        </is>
      </c>
      <c r="F1469" s="18" t="n"/>
      <c r="G1469" s="9" t="n">
        <v>11.03666666666667</v>
      </c>
      <c r="H1469" s="9" t="n">
        <v>11.03666666666667</v>
      </c>
      <c r="I1469" s="9" t="inlineStr">
        <is>
          <t>Depth (no MLB IP)</t>
        </is>
      </c>
      <c r="J1469" s="18" t="inlineStr">
        <is>
          <t>Opening Day</t>
        </is>
      </c>
      <c r="K1469" s="11">
        <f>IFERROR(INDEX(Roles!$B$17:$B$20,MATCH(J1469,Roles!$A$17:$A$20,0)),1)</f>
        <v/>
      </c>
      <c r="L1469" s="19" t="n">
        <v>1</v>
      </c>
      <c r="M1469" s="11" t="n">
        <v>1</v>
      </c>
      <c r="N1469" s="19" t="n"/>
      <c r="O1469" s="19" t="n"/>
      <c r="P1469" s="19" t="n"/>
      <c r="Q1469" s="19" t="n"/>
      <c r="R1469" s="19" t="n"/>
      <c r="S1469" s="19" t="n"/>
      <c r="T1469" s="19" t="n"/>
      <c r="U1469" s="19" t="n"/>
      <c r="V1469" s="19" t="n"/>
      <c r="W1469" s="19" t="n"/>
      <c r="X1469" s="19" t="n"/>
      <c r="Y1469" s="19" t="n">
        <v>1</v>
      </c>
      <c r="Z1469" s="13">
        <f>SUMPRODUCT(N1469:Y1469,$N$2:$Y$2)*$K1469*$L1469*$M1469</f>
        <v/>
      </c>
      <c r="AA1469" s="14">
        <f>SUM(N1469:Y1469)</f>
        <v/>
      </c>
      <c r="AB1469" s="13">
        <f>SUMPRODUCT(N1469:Y1469,$N$3:$Y$3)*$K1469*$L1469*$M1469</f>
        <v/>
      </c>
      <c r="AC1469" s="13">
        <f>SUMPRODUCT(N1469:Y1469,$N$4:$Y$4)*$K1469*$L1469*$M1469</f>
        <v/>
      </c>
      <c r="AD1469" s="15" t="n">
        <v>3</v>
      </c>
      <c r="AE1469" s="11" t="n">
        <v>1.011296296296296</v>
      </c>
      <c r="AF1469" s="16">
        <f>SUMPRODUCT(N1469:Y1469,$N$5:$Y$5)*$K1469*$L1469*$M1469</f>
        <v/>
      </c>
      <c r="AG1469" s="16">
        <f>SUMPRODUCT(N1469:Y1469,$N$6:$Y$6)*$K1469*$L1469*$M1469</f>
        <v/>
      </c>
      <c r="AH1469" s="20" t="n"/>
    </row>
    <row r="1470">
      <c r="A1470" s="9" t="n">
        <v>702041</v>
      </c>
      <c r="B1470" s="9" t="inlineStr">
        <is>
          <t>Chase Renner</t>
        </is>
      </c>
      <c r="C1470" s="9" t="inlineStr">
        <is>
          <t>MIA</t>
        </is>
      </c>
      <c r="D1470" s="9" t="n">
        <v>25</v>
      </c>
      <c r="E1470" s="18" t="inlineStr">
        <is>
          <t>R</t>
        </is>
      </c>
      <c r="F1470" s="18" t="n"/>
      <c r="G1470" s="9" t="n">
        <v>10.89333333333333</v>
      </c>
      <c r="H1470" s="9" t="n">
        <v>10.89333333333333</v>
      </c>
      <c r="I1470" s="9" t="inlineStr">
        <is>
          <t>Depth (no MLB IP)</t>
        </is>
      </c>
      <c r="J1470" s="18" t="inlineStr">
        <is>
          <t>Opening Day</t>
        </is>
      </c>
      <c r="K1470" s="11">
        <f>IFERROR(INDEX(Roles!$B$17:$B$20,MATCH(J1470,Roles!$A$17:$A$20,0)),1)</f>
        <v/>
      </c>
      <c r="L1470" s="19" t="n">
        <v>1</v>
      </c>
      <c r="M1470" s="11" t="n">
        <v>1</v>
      </c>
      <c r="N1470" s="19" t="n"/>
      <c r="O1470" s="19" t="n"/>
      <c r="P1470" s="19" t="n"/>
      <c r="Q1470" s="19" t="n"/>
      <c r="R1470" s="19" t="n"/>
      <c r="S1470" s="19" t="n"/>
      <c r="T1470" s="19" t="n"/>
      <c r="U1470" s="19" t="n"/>
      <c r="V1470" s="19" t="n"/>
      <c r="W1470" s="19" t="n"/>
      <c r="X1470" s="19" t="n"/>
      <c r="Y1470" s="19" t="n">
        <v>1</v>
      </c>
      <c r="Z1470" s="13">
        <f>SUMPRODUCT(N1470:Y1470,$N$2:$Y$2)*$K1470*$L1470*$M1470</f>
        <v/>
      </c>
      <c r="AA1470" s="14">
        <f>SUM(N1470:Y1470)</f>
        <v/>
      </c>
      <c r="AB1470" s="13">
        <f>SUMPRODUCT(N1470:Y1470,$N$3:$Y$3)*$K1470*$L1470*$M1470</f>
        <v/>
      </c>
      <c r="AC1470" s="13">
        <f>SUMPRODUCT(N1470:Y1470,$N$4:$Y$4)*$K1470*$L1470*$M1470</f>
        <v/>
      </c>
      <c r="AD1470" s="15" t="n">
        <v>3</v>
      </c>
      <c r="AE1470" s="11" t="n">
        <v>1.011296296296296</v>
      </c>
      <c r="AF1470" s="16">
        <f>SUMPRODUCT(N1470:Y1470,$N$5:$Y$5)*$K1470*$L1470*$M1470</f>
        <v/>
      </c>
      <c r="AG1470" s="16">
        <f>SUMPRODUCT(N1470:Y1470,$N$6:$Y$6)*$K1470*$L1470*$M1470</f>
        <v/>
      </c>
      <c r="AH1470" s="20" t="n"/>
    </row>
    <row r="1471">
      <c r="A1471" s="9" t="n">
        <v>834395</v>
      </c>
      <c r="B1471" s="9" t="inlineStr">
        <is>
          <t>Richie Cortese</t>
        </is>
      </c>
      <c r="C1471" s="9" t="inlineStr">
        <is>
          <t>PHI</t>
        </is>
      </c>
      <c r="D1471" s="9" t="n">
        <v>25</v>
      </c>
      <c r="E1471" s="18" t="inlineStr">
        <is>
          <t>R</t>
        </is>
      </c>
      <c r="F1471" s="18" t="n"/>
      <c r="G1471" s="9" t="n">
        <v>11.18</v>
      </c>
      <c r="H1471" s="9" t="n">
        <v>11.18</v>
      </c>
      <c r="I1471" s="9" t="inlineStr">
        <is>
          <t>Depth (no MLB IP)</t>
        </is>
      </c>
      <c r="J1471" s="18" t="inlineStr">
        <is>
          <t>Opening Day</t>
        </is>
      </c>
      <c r="K1471" s="11">
        <f>IFERROR(INDEX(Roles!$B$17:$B$20,MATCH(J1471,Roles!$A$17:$A$20,0)),1)</f>
        <v/>
      </c>
      <c r="L1471" s="19" t="n">
        <v>1</v>
      </c>
      <c r="M1471" s="11" t="n">
        <v>1</v>
      </c>
      <c r="N1471" s="19" t="n"/>
      <c r="O1471" s="19" t="n"/>
      <c r="P1471" s="19" t="n"/>
      <c r="Q1471" s="19" t="n"/>
      <c r="R1471" s="19" t="n"/>
      <c r="S1471" s="19" t="n"/>
      <c r="T1471" s="19" t="n"/>
      <c r="U1471" s="19" t="n"/>
      <c r="V1471" s="19" t="n"/>
      <c r="W1471" s="19" t="n"/>
      <c r="X1471" s="19" t="n"/>
      <c r="Y1471" s="19" t="n">
        <v>1</v>
      </c>
      <c r="Z1471" s="13">
        <f>SUMPRODUCT(N1471:Y1471,$N$2:$Y$2)*$K1471*$L1471*$M1471</f>
        <v/>
      </c>
      <c r="AA1471" s="14">
        <f>SUM(N1471:Y1471)</f>
        <v/>
      </c>
      <c r="AB1471" s="13">
        <f>SUMPRODUCT(N1471:Y1471,$N$3:$Y$3)*$K1471*$L1471*$M1471</f>
        <v/>
      </c>
      <c r="AC1471" s="13">
        <f>SUMPRODUCT(N1471:Y1471,$N$4:$Y$4)*$K1471*$L1471*$M1471</f>
        <v/>
      </c>
      <c r="AD1471" s="15" t="n">
        <v>3</v>
      </c>
      <c r="AE1471" s="11" t="n">
        <v>1.011296296296296</v>
      </c>
      <c r="AF1471" s="16">
        <f>SUMPRODUCT(N1471:Y1471,$N$5:$Y$5)*$K1471*$L1471*$M1471</f>
        <v/>
      </c>
      <c r="AG1471" s="16">
        <f>SUMPRODUCT(N1471:Y1471,$N$6:$Y$6)*$K1471*$L1471*$M1471</f>
        <v/>
      </c>
      <c r="AH1471" s="20" t="n"/>
    </row>
    <row r="1472">
      <c r="A1472" s="9" t="n">
        <v>800485</v>
      </c>
      <c r="B1472" s="9" t="inlineStr">
        <is>
          <t>Wande Torres</t>
        </is>
      </c>
      <c r="C1472" s="9" t="inlineStr">
        <is>
          <t>MIL</t>
        </is>
      </c>
      <c r="D1472" s="9" t="n">
        <v>25</v>
      </c>
      <c r="E1472" s="18" t="inlineStr">
        <is>
          <t>L</t>
        </is>
      </c>
      <c r="F1472" s="18" t="n"/>
      <c r="G1472" s="9" t="n">
        <v>11.03666666666666</v>
      </c>
      <c r="H1472" s="9" t="n">
        <v>11.03666666666666</v>
      </c>
      <c r="I1472" s="9" t="inlineStr">
        <is>
          <t>Depth (no MLB IP)</t>
        </is>
      </c>
      <c r="J1472" s="18" t="inlineStr">
        <is>
          <t>Opening Day</t>
        </is>
      </c>
      <c r="K1472" s="11">
        <f>IFERROR(INDEX(Roles!$B$17:$B$20,MATCH(J1472,Roles!$A$17:$A$20,0)),1)</f>
        <v/>
      </c>
      <c r="L1472" s="19" t="n">
        <v>1</v>
      </c>
      <c r="M1472" s="11" t="n">
        <v>1</v>
      </c>
      <c r="N1472" s="19" t="n"/>
      <c r="O1472" s="19" t="n"/>
      <c r="P1472" s="19" t="n"/>
      <c r="Q1472" s="19" t="n"/>
      <c r="R1472" s="19" t="n"/>
      <c r="S1472" s="19" t="n"/>
      <c r="T1472" s="19" t="n"/>
      <c r="U1472" s="19" t="n"/>
      <c r="V1472" s="19" t="n"/>
      <c r="W1472" s="19" t="n"/>
      <c r="X1472" s="19" t="n"/>
      <c r="Y1472" s="19" t="n">
        <v>1</v>
      </c>
      <c r="Z1472" s="13">
        <f>SUMPRODUCT(N1472:Y1472,$N$2:$Y$2)*$K1472*$L1472*$M1472</f>
        <v/>
      </c>
      <c r="AA1472" s="14">
        <f>SUM(N1472:Y1472)</f>
        <v/>
      </c>
      <c r="AB1472" s="13">
        <f>SUMPRODUCT(N1472:Y1472,$N$3:$Y$3)*$K1472*$L1472*$M1472</f>
        <v/>
      </c>
      <c r="AC1472" s="13">
        <f>SUMPRODUCT(N1472:Y1472,$N$4:$Y$4)*$K1472*$L1472*$M1472</f>
        <v/>
      </c>
      <c r="AD1472" s="15" t="n">
        <v>3</v>
      </c>
      <c r="AE1472" s="11" t="n">
        <v>1.011296296296296</v>
      </c>
      <c r="AF1472" s="16">
        <f>SUMPRODUCT(N1472:Y1472,$N$5:$Y$5)*$K1472*$L1472*$M1472</f>
        <v/>
      </c>
      <c r="AG1472" s="16">
        <f>SUMPRODUCT(N1472:Y1472,$N$6:$Y$6)*$K1472*$L1472*$M1472</f>
        <v/>
      </c>
      <c r="AH1472" s="20" t="n"/>
    </row>
    <row r="1473">
      <c r="A1473" s="9" t="n">
        <v>701052</v>
      </c>
      <c r="B1473" s="9" t="inlineStr">
        <is>
          <t>Bradley Wilson</t>
        </is>
      </c>
      <c r="C1473" s="9" t="inlineStr">
        <is>
          <t>TOR</t>
        </is>
      </c>
      <c r="D1473" s="9" t="n">
        <v>25</v>
      </c>
      <c r="E1473" s="18" t="inlineStr">
        <is>
          <t>R</t>
        </is>
      </c>
      <c r="F1473" s="18" t="n"/>
      <c r="G1473" s="9" t="n">
        <v>11.18</v>
      </c>
      <c r="H1473" s="9" t="n">
        <v>11.18</v>
      </c>
      <c r="I1473" s="9" t="inlineStr">
        <is>
          <t>Depth (no MLB IP)</t>
        </is>
      </c>
      <c r="J1473" s="18" t="inlineStr">
        <is>
          <t>Opening Day</t>
        </is>
      </c>
      <c r="K1473" s="11">
        <f>IFERROR(INDEX(Roles!$B$17:$B$20,MATCH(J1473,Roles!$A$17:$A$20,0)),1)</f>
        <v/>
      </c>
      <c r="L1473" s="19" t="n">
        <v>1</v>
      </c>
      <c r="M1473" s="11" t="n">
        <v>1</v>
      </c>
      <c r="N1473" s="19" t="n"/>
      <c r="O1473" s="19" t="n"/>
      <c r="P1473" s="19" t="n"/>
      <c r="Q1473" s="19" t="n"/>
      <c r="R1473" s="19" t="n"/>
      <c r="S1473" s="19" t="n"/>
      <c r="T1473" s="19" t="n"/>
      <c r="U1473" s="19" t="n"/>
      <c r="V1473" s="19" t="n"/>
      <c r="W1473" s="19" t="n"/>
      <c r="X1473" s="19" t="n"/>
      <c r="Y1473" s="19" t="n">
        <v>1</v>
      </c>
      <c r="Z1473" s="13">
        <f>SUMPRODUCT(N1473:Y1473,$N$2:$Y$2)*$K1473*$L1473*$M1473</f>
        <v/>
      </c>
      <c r="AA1473" s="14">
        <f>SUM(N1473:Y1473)</f>
        <v/>
      </c>
      <c r="AB1473" s="13">
        <f>SUMPRODUCT(N1473:Y1473,$N$3:$Y$3)*$K1473*$L1473*$M1473</f>
        <v/>
      </c>
      <c r="AC1473" s="13">
        <f>SUMPRODUCT(N1473:Y1473,$N$4:$Y$4)*$K1473*$L1473*$M1473</f>
        <v/>
      </c>
      <c r="AD1473" s="15" t="n">
        <v>3</v>
      </c>
      <c r="AE1473" s="11" t="n">
        <v>1.011296296296296</v>
      </c>
      <c r="AF1473" s="16">
        <f>SUMPRODUCT(N1473:Y1473,$N$5:$Y$5)*$K1473*$L1473*$M1473</f>
        <v/>
      </c>
      <c r="AG1473" s="16">
        <f>SUMPRODUCT(N1473:Y1473,$N$6:$Y$6)*$K1473*$L1473*$M1473</f>
        <v/>
      </c>
      <c r="AH1473" s="20" t="n"/>
    </row>
    <row r="1474">
      <c r="A1474" s="9" t="n">
        <v>808254</v>
      </c>
      <c r="B1474" s="9" t="inlineStr">
        <is>
          <t>Ismael Yanez</t>
        </is>
      </c>
      <c r="C1474" s="9" t="inlineStr">
        <is>
          <t>MIL</t>
        </is>
      </c>
      <c r="D1474" s="9" t="n">
        <v>25</v>
      </c>
      <c r="E1474" s="18" t="inlineStr">
        <is>
          <t>R</t>
        </is>
      </c>
      <c r="F1474" s="18" t="n"/>
      <c r="G1474" s="9" t="n">
        <v>11.008</v>
      </c>
      <c r="H1474" s="9" t="n">
        <v>11.008</v>
      </c>
      <c r="I1474" s="9" t="inlineStr">
        <is>
          <t>Depth (no MLB IP)</t>
        </is>
      </c>
      <c r="J1474" s="18" t="inlineStr">
        <is>
          <t>Opening Day</t>
        </is>
      </c>
      <c r="K1474" s="11">
        <f>IFERROR(INDEX(Roles!$B$17:$B$20,MATCH(J1474,Roles!$A$17:$A$20,0)),1)</f>
        <v/>
      </c>
      <c r="L1474" s="19" t="n">
        <v>1</v>
      </c>
      <c r="M1474" s="11" t="n">
        <v>1</v>
      </c>
      <c r="N1474" s="19" t="n"/>
      <c r="O1474" s="19" t="n"/>
      <c r="P1474" s="19" t="n"/>
      <c r="Q1474" s="19" t="n"/>
      <c r="R1474" s="19" t="n"/>
      <c r="S1474" s="19" t="n"/>
      <c r="T1474" s="19" t="n"/>
      <c r="U1474" s="19" t="n"/>
      <c r="V1474" s="19" t="n"/>
      <c r="W1474" s="19" t="n"/>
      <c r="X1474" s="19" t="n"/>
      <c r="Y1474" s="19" t="n">
        <v>1</v>
      </c>
      <c r="Z1474" s="13">
        <f>SUMPRODUCT(N1474:Y1474,$N$2:$Y$2)*$K1474*$L1474*$M1474</f>
        <v/>
      </c>
      <c r="AA1474" s="14">
        <f>SUM(N1474:Y1474)</f>
        <v/>
      </c>
      <c r="AB1474" s="13">
        <f>SUMPRODUCT(N1474:Y1474,$N$3:$Y$3)*$K1474*$L1474*$M1474</f>
        <v/>
      </c>
      <c r="AC1474" s="13">
        <f>SUMPRODUCT(N1474:Y1474,$N$4:$Y$4)*$K1474*$L1474*$M1474</f>
        <v/>
      </c>
      <c r="AD1474" s="15" t="n">
        <v>3</v>
      </c>
      <c r="AE1474" s="11" t="n">
        <v>1.011296296296296</v>
      </c>
      <c r="AF1474" s="16">
        <f>SUMPRODUCT(N1474:Y1474,$N$5:$Y$5)*$K1474*$L1474*$M1474</f>
        <v/>
      </c>
      <c r="AG1474" s="16">
        <f>SUMPRODUCT(N1474:Y1474,$N$6:$Y$6)*$K1474*$L1474*$M1474</f>
        <v/>
      </c>
      <c r="AH1474" s="20" t="n"/>
    </row>
    <row r="1475">
      <c r="A1475" s="9" t="n">
        <v>674674</v>
      </c>
      <c r="B1475" s="9" t="inlineStr">
        <is>
          <t>T.J. Sikkema</t>
        </is>
      </c>
      <c r="C1475" s="9" t="inlineStr">
        <is>
          <t>BOS</t>
        </is>
      </c>
      <c r="D1475" s="9" t="n">
        <v>25</v>
      </c>
      <c r="E1475" s="18" t="inlineStr">
        <is>
          <t>L</t>
        </is>
      </c>
      <c r="F1475" s="18" t="n"/>
      <c r="G1475" s="9" t="n">
        <v>11.03666666666667</v>
      </c>
      <c r="H1475" s="9" t="n">
        <v>11.03666666666667</v>
      </c>
      <c r="I1475" s="9" t="inlineStr">
        <is>
          <t>Depth (no MLB IP)</t>
        </is>
      </c>
      <c r="J1475" s="18" t="inlineStr">
        <is>
          <t>Opening Day</t>
        </is>
      </c>
      <c r="K1475" s="11">
        <f>IFERROR(INDEX(Roles!$B$17:$B$20,MATCH(J1475,Roles!$A$17:$A$20,0)),1)</f>
        <v/>
      </c>
      <c r="L1475" s="19" t="n">
        <v>1</v>
      </c>
      <c r="M1475" s="11" t="n">
        <v>1</v>
      </c>
      <c r="N1475" s="19" t="n"/>
      <c r="O1475" s="19" t="n"/>
      <c r="P1475" s="19" t="n"/>
      <c r="Q1475" s="19" t="n"/>
      <c r="R1475" s="19" t="n"/>
      <c r="S1475" s="19" t="n"/>
      <c r="T1475" s="19" t="n"/>
      <c r="U1475" s="19" t="n"/>
      <c r="V1475" s="19" t="n"/>
      <c r="W1475" s="19" t="n"/>
      <c r="X1475" s="19" t="n"/>
      <c r="Y1475" s="19" t="n">
        <v>1</v>
      </c>
      <c r="Z1475" s="13">
        <f>SUMPRODUCT(N1475:Y1475,$N$2:$Y$2)*$K1475*$L1475*$M1475</f>
        <v/>
      </c>
      <c r="AA1475" s="14">
        <f>SUM(N1475:Y1475)</f>
        <v/>
      </c>
      <c r="AB1475" s="13">
        <f>SUMPRODUCT(N1475:Y1475,$N$3:$Y$3)*$K1475*$L1475*$M1475</f>
        <v/>
      </c>
      <c r="AC1475" s="13">
        <f>SUMPRODUCT(N1475:Y1475,$N$4:$Y$4)*$K1475*$L1475*$M1475</f>
        <v/>
      </c>
      <c r="AD1475" s="15" t="n">
        <v>3</v>
      </c>
      <c r="AE1475" s="11" t="n">
        <v>1.011296296296296</v>
      </c>
      <c r="AF1475" s="16">
        <f>SUMPRODUCT(N1475:Y1475,$N$5:$Y$5)*$K1475*$L1475*$M1475</f>
        <v/>
      </c>
      <c r="AG1475" s="16">
        <f>SUMPRODUCT(N1475:Y1475,$N$6:$Y$6)*$K1475*$L1475*$M1475</f>
        <v/>
      </c>
      <c r="AH1475" s="20" t="n"/>
    </row>
    <row r="1476">
      <c r="A1476" s="9" t="n">
        <v>808262</v>
      </c>
      <c r="B1476" s="9" t="inlineStr">
        <is>
          <t>Francisco Morao</t>
        </is>
      </c>
      <c r="C1476" s="9" t="inlineStr">
        <is>
          <t>BAL</t>
        </is>
      </c>
      <c r="D1476" s="9" t="n">
        <v>25</v>
      </c>
      <c r="E1476" s="18" t="inlineStr">
        <is>
          <t>L</t>
        </is>
      </c>
      <c r="F1476" s="18" t="n"/>
      <c r="G1476" s="9" t="n">
        <v>11.18</v>
      </c>
      <c r="H1476" s="9" t="n">
        <v>11.18</v>
      </c>
      <c r="I1476" s="9" t="inlineStr">
        <is>
          <t>Depth (no MLB IP)</t>
        </is>
      </c>
      <c r="J1476" s="18" t="inlineStr">
        <is>
          <t>Opening Day</t>
        </is>
      </c>
      <c r="K1476" s="11">
        <f>IFERROR(INDEX(Roles!$B$17:$B$20,MATCH(J1476,Roles!$A$17:$A$20,0)),1)</f>
        <v/>
      </c>
      <c r="L1476" s="19" t="n">
        <v>1</v>
      </c>
      <c r="M1476" s="11" t="n">
        <v>1</v>
      </c>
      <c r="N1476" s="19" t="n"/>
      <c r="O1476" s="19" t="n"/>
      <c r="P1476" s="19" t="n"/>
      <c r="Q1476" s="19" t="n"/>
      <c r="R1476" s="19" t="n"/>
      <c r="S1476" s="19" t="n"/>
      <c r="T1476" s="19" t="n"/>
      <c r="U1476" s="19" t="n"/>
      <c r="V1476" s="19" t="n"/>
      <c r="W1476" s="19" t="n"/>
      <c r="X1476" s="19" t="n"/>
      <c r="Y1476" s="19" t="n">
        <v>1</v>
      </c>
      <c r="Z1476" s="13">
        <f>SUMPRODUCT(N1476:Y1476,$N$2:$Y$2)*$K1476*$L1476*$M1476</f>
        <v/>
      </c>
      <c r="AA1476" s="14">
        <f>SUM(N1476:Y1476)</f>
        <v/>
      </c>
      <c r="AB1476" s="13">
        <f>SUMPRODUCT(N1476:Y1476,$N$3:$Y$3)*$K1476*$L1476*$M1476</f>
        <v/>
      </c>
      <c r="AC1476" s="13">
        <f>SUMPRODUCT(N1476:Y1476,$N$4:$Y$4)*$K1476*$L1476*$M1476</f>
        <v/>
      </c>
      <c r="AD1476" s="15" t="n">
        <v>3</v>
      </c>
      <c r="AE1476" s="11" t="n">
        <v>1.011296296296296</v>
      </c>
      <c r="AF1476" s="16">
        <f>SUMPRODUCT(N1476:Y1476,$N$5:$Y$5)*$K1476*$L1476*$M1476</f>
        <v/>
      </c>
      <c r="AG1476" s="16">
        <f>SUMPRODUCT(N1476:Y1476,$N$6:$Y$6)*$K1476*$L1476*$M1476</f>
        <v/>
      </c>
      <c r="AH1476" s="20" t="n"/>
    </row>
    <row r="1477">
      <c r="A1477" s="9" t="n">
        <v>823804</v>
      </c>
      <c r="B1477" s="9" t="inlineStr">
        <is>
          <t>Ryan Dromboski</t>
        </is>
      </c>
      <c r="C1477" s="9" t="inlineStr">
        <is>
          <t>PHI</t>
        </is>
      </c>
      <c r="D1477" s="9" t="n">
        <v>25</v>
      </c>
      <c r="E1477" s="18" t="inlineStr">
        <is>
          <t>R</t>
        </is>
      </c>
      <c r="F1477" s="18" t="n"/>
      <c r="G1477" s="9" t="n">
        <v>11.03666666666666</v>
      </c>
      <c r="H1477" s="9" t="n">
        <v>11.03666666666666</v>
      </c>
      <c r="I1477" s="9" t="inlineStr">
        <is>
          <t>Depth (no MLB IP)</t>
        </is>
      </c>
      <c r="J1477" s="18" t="inlineStr">
        <is>
          <t>Opening Day</t>
        </is>
      </c>
      <c r="K1477" s="11">
        <f>IFERROR(INDEX(Roles!$B$17:$B$20,MATCH(J1477,Roles!$A$17:$A$20,0)),1)</f>
        <v/>
      </c>
      <c r="L1477" s="19" t="n">
        <v>1</v>
      </c>
      <c r="M1477" s="11" t="n">
        <v>1</v>
      </c>
      <c r="N1477" s="19" t="n"/>
      <c r="O1477" s="19" t="n"/>
      <c r="P1477" s="19" t="n"/>
      <c r="Q1477" s="19" t="n"/>
      <c r="R1477" s="19" t="n"/>
      <c r="S1477" s="19" t="n"/>
      <c r="T1477" s="19" t="n"/>
      <c r="U1477" s="19" t="n"/>
      <c r="V1477" s="19" t="n"/>
      <c r="W1477" s="19" t="n"/>
      <c r="X1477" s="19" t="n"/>
      <c r="Y1477" s="19" t="n">
        <v>1</v>
      </c>
      <c r="Z1477" s="13">
        <f>SUMPRODUCT(N1477:Y1477,$N$2:$Y$2)*$K1477*$L1477*$M1477</f>
        <v/>
      </c>
      <c r="AA1477" s="14">
        <f>SUM(N1477:Y1477)</f>
        <v/>
      </c>
      <c r="AB1477" s="13">
        <f>SUMPRODUCT(N1477:Y1477,$N$3:$Y$3)*$K1477*$L1477*$M1477</f>
        <v/>
      </c>
      <c r="AC1477" s="13">
        <f>SUMPRODUCT(N1477:Y1477,$N$4:$Y$4)*$K1477*$L1477*$M1477</f>
        <v/>
      </c>
      <c r="AD1477" s="15" t="n">
        <v>3</v>
      </c>
      <c r="AE1477" s="11" t="n">
        <v>1.011296296296296</v>
      </c>
      <c r="AF1477" s="16">
        <f>SUMPRODUCT(N1477:Y1477,$N$5:$Y$5)*$K1477*$L1477*$M1477</f>
        <v/>
      </c>
      <c r="AG1477" s="16">
        <f>SUMPRODUCT(N1477:Y1477,$N$6:$Y$6)*$K1477*$L1477*$M1477</f>
        <v/>
      </c>
      <c r="AH1477" s="20" t="n"/>
    </row>
    <row r="1478">
      <c r="A1478" s="9" t="n">
        <v>688328</v>
      </c>
      <c r="B1478" s="9" t="inlineStr">
        <is>
          <t>Eric Adler</t>
        </is>
      </c>
      <c r="C1478" s="9" t="inlineStr">
        <is>
          <t>CWS</t>
        </is>
      </c>
      <c r="D1478" s="9" t="n">
        <v>25</v>
      </c>
      <c r="E1478" s="18" t="inlineStr">
        <is>
          <t>R</t>
        </is>
      </c>
      <c r="F1478" s="18" t="n"/>
      <c r="G1478" s="9" t="n">
        <v>11.03666666666666</v>
      </c>
      <c r="H1478" s="9" t="n">
        <v>11.03666666666666</v>
      </c>
      <c r="I1478" s="9" t="inlineStr">
        <is>
          <t>Depth (no MLB IP)</t>
        </is>
      </c>
      <c r="J1478" s="18" t="inlineStr">
        <is>
          <t>Opening Day</t>
        </is>
      </c>
      <c r="K1478" s="11">
        <f>IFERROR(INDEX(Roles!$B$17:$B$20,MATCH(J1478,Roles!$A$17:$A$20,0)),1)</f>
        <v/>
      </c>
      <c r="L1478" s="19" t="n">
        <v>1</v>
      </c>
      <c r="M1478" s="11" t="n">
        <v>1</v>
      </c>
      <c r="N1478" s="19" t="n"/>
      <c r="O1478" s="19" t="n"/>
      <c r="P1478" s="19" t="n"/>
      <c r="Q1478" s="19" t="n"/>
      <c r="R1478" s="19" t="n"/>
      <c r="S1478" s="19" t="n"/>
      <c r="T1478" s="19" t="n"/>
      <c r="U1478" s="19" t="n"/>
      <c r="V1478" s="19" t="n"/>
      <c r="W1478" s="19" t="n"/>
      <c r="X1478" s="19" t="n"/>
      <c r="Y1478" s="19" t="n">
        <v>1</v>
      </c>
      <c r="Z1478" s="13">
        <f>SUMPRODUCT(N1478:Y1478,$N$2:$Y$2)*$K1478*$L1478*$M1478</f>
        <v/>
      </c>
      <c r="AA1478" s="14">
        <f>SUM(N1478:Y1478)</f>
        <v/>
      </c>
      <c r="AB1478" s="13">
        <f>SUMPRODUCT(N1478:Y1478,$N$3:$Y$3)*$K1478*$L1478*$M1478</f>
        <v/>
      </c>
      <c r="AC1478" s="13">
        <f>SUMPRODUCT(N1478:Y1478,$N$4:$Y$4)*$K1478*$L1478*$M1478</f>
        <v/>
      </c>
      <c r="AD1478" s="15" t="n">
        <v>3</v>
      </c>
      <c r="AE1478" s="11" t="n">
        <v>1.011296296296296</v>
      </c>
      <c r="AF1478" s="16">
        <f>SUMPRODUCT(N1478:Y1478,$N$5:$Y$5)*$K1478*$L1478*$M1478</f>
        <v/>
      </c>
      <c r="AG1478" s="16">
        <f>SUMPRODUCT(N1478:Y1478,$N$6:$Y$6)*$K1478*$L1478*$M1478</f>
        <v/>
      </c>
      <c r="AH1478" s="20" t="n"/>
    </row>
    <row r="1479">
      <c r="A1479" s="9" t="n">
        <v>685086</v>
      </c>
      <c r="B1479" s="9" t="inlineStr">
        <is>
          <t>Jack White</t>
        </is>
      </c>
      <c r="C1479" s="9" t="inlineStr">
        <is>
          <t>SEA</t>
        </is>
      </c>
      <c r="D1479" s="9" t="n">
        <v>25</v>
      </c>
      <c r="E1479" s="18" t="inlineStr">
        <is>
          <t>L</t>
        </is>
      </c>
      <c r="F1479" s="18" t="n"/>
      <c r="G1479" s="9" t="n">
        <v>11.18</v>
      </c>
      <c r="H1479" s="9" t="n">
        <v>11.18</v>
      </c>
      <c r="I1479" s="9" t="inlineStr">
        <is>
          <t>Depth (no MLB IP)</t>
        </is>
      </c>
      <c r="J1479" s="18" t="inlineStr">
        <is>
          <t>Opening Day</t>
        </is>
      </c>
      <c r="K1479" s="11">
        <f>IFERROR(INDEX(Roles!$B$17:$B$20,MATCH(J1479,Roles!$A$17:$A$20,0)),1)</f>
        <v/>
      </c>
      <c r="L1479" s="19" t="n">
        <v>1</v>
      </c>
      <c r="M1479" s="11" t="n">
        <v>1</v>
      </c>
      <c r="N1479" s="19" t="n"/>
      <c r="O1479" s="19" t="n"/>
      <c r="P1479" s="19" t="n"/>
      <c r="Q1479" s="19" t="n"/>
      <c r="R1479" s="19" t="n"/>
      <c r="S1479" s="19" t="n"/>
      <c r="T1479" s="19" t="n"/>
      <c r="U1479" s="19" t="n"/>
      <c r="V1479" s="19" t="n"/>
      <c r="W1479" s="19" t="n"/>
      <c r="X1479" s="19" t="n"/>
      <c r="Y1479" s="19" t="n">
        <v>1</v>
      </c>
      <c r="Z1479" s="13">
        <f>SUMPRODUCT(N1479:Y1479,$N$2:$Y$2)*$K1479*$L1479*$M1479</f>
        <v/>
      </c>
      <c r="AA1479" s="14">
        <f>SUM(N1479:Y1479)</f>
        <v/>
      </c>
      <c r="AB1479" s="13">
        <f>SUMPRODUCT(N1479:Y1479,$N$3:$Y$3)*$K1479*$L1479*$M1479</f>
        <v/>
      </c>
      <c r="AC1479" s="13">
        <f>SUMPRODUCT(N1479:Y1479,$N$4:$Y$4)*$K1479*$L1479*$M1479</f>
        <v/>
      </c>
      <c r="AD1479" s="15" t="n">
        <v>3</v>
      </c>
      <c r="AE1479" s="11" t="n">
        <v>1.011296296296296</v>
      </c>
      <c r="AF1479" s="16">
        <f>SUMPRODUCT(N1479:Y1479,$N$5:$Y$5)*$K1479*$L1479*$M1479</f>
        <v/>
      </c>
      <c r="AG1479" s="16">
        <f>SUMPRODUCT(N1479:Y1479,$N$6:$Y$6)*$K1479*$L1479*$M1479</f>
        <v/>
      </c>
      <c r="AH1479" s="20" t="n"/>
    </row>
    <row r="1480">
      <c r="A1480" s="9" t="n">
        <v>823996</v>
      </c>
      <c r="B1480" s="9" t="inlineStr">
        <is>
          <t>Luke Craig</t>
        </is>
      </c>
      <c r="C1480" s="9" t="inlineStr">
        <is>
          <t>ARI</t>
        </is>
      </c>
      <c r="D1480" s="9" t="n">
        <v>25</v>
      </c>
      <c r="E1480" s="18" t="inlineStr">
        <is>
          <t>L</t>
        </is>
      </c>
      <c r="F1480" s="18" t="n"/>
      <c r="G1480" s="9" t="n">
        <v>11.46666666666667</v>
      </c>
      <c r="H1480" s="9" t="n">
        <v>11.46666666666667</v>
      </c>
      <c r="I1480" s="9" t="inlineStr">
        <is>
          <t>Depth (no MLB IP)</t>
        </is>
      </c>
      <c r="J1480" s="18" t="inlineStr">
        <is>
          <t>Opening Day</t>
        </is>
      </c>
      <c r="K1480" s="11">
        <f>IFERROR(INDEX(Roles!$B$17:$B$20,MATCH(J1480,Roles!$A$17:$A$20,0)),1)</f>
        <v/>
      </c>
      <c r="L1480" s="19" t="n">
        <v>1</v>
      </c>
      <c r="M1480" s="11" t="n">
        <v>1</v>
      </c>
      <c r="N1480" s="19" t="n"/>
      <c r="O1480" s="19" t="n"/>
      <c r="P1480" s="19" t="n"/>
      <c r="Q1480" s="19" t="n"/>
      <c r="R1480" s="19" t="n"/>
      <c r="S1480" s="19" t="n"/>
      <c r="T1480" s="19" t="n"/>
      <c r="U1480" s="19" t="n"/>
      <c r="V1480" s="19" t="n"/>
      <c r="W1480" s="19" t="n"/>
      <c r="X1480" s="19" t="n"/>
      <c r="Y1480" s="19" t="n">
        <v>1</v>
      </c>
      <c r="Z1480" s="13">
        <f>SUMPRODUCT(N1480:Y1480,$N$2:$Y$2)*$K1480*$L1480*$M1480</f>
        <v/>
      </c>
      <c r="AA1480" s="14">
        <f>SUM(N1480:Y1480)</f>
        <v/>
      </c>
      <c r="AB1480" s="13">
        <f>SUMPRODUCT(N1480:Y1480,$N$3:$Y$3)*$K1480*$L1480*$M1480</f>
        <v/>
      </c>
      <c r="AC1480" s="13">
        <f>SUMPRODUCT(N1480:Y1480,$N$4:$Y$4)*$K1480*$L1480*$M1480</f>
        <v/>
      </c>
      <c r="AD1480" s="15" t="n">
        <v>3</v>
      </c>
      <c r="AE1480" s="11" t="n">
        <v>1.011296296296296</v>
      </c>
      <c r="AF1480" s="16">
        <f>SUMPRODUCT(N1480:Y1480,$N$5:$Y$5)*$K1480*$L1480*$M1480</f>
        <v/>
      </c>
      <c r="AG1480" s="16">
        <f>SUMPRODUCT(N1480:Y1480,$N$6:$Y$6)*$K1480*$L1480*$M1480</f>
        <v/>
      </c>
      <c r="AH1480" s="20" t="n"/>
    </row>
    <row r="1481">
      <c r="A1481" s="9" t="n">
        <v>703102</v>
      </c>
      <c r="B1481" s="9" t="inlineStr">
        <is>
          <t>Anfernny Reyes</t>
        </is>
      </c>
      <c r="C1481" s="9" t="inlineStr">
        <is>
          <t>MIL</t>
        </is>
      </c>
      <c r="D1481" s="9" t="n">
        <v>25</v>
      </c>
      <c r="E1481" s="18" t="inlineStr">
        <is>
          <t>L</t>
        </is>
      </c>
      <c r="F1481" s="18" t="n"/>
      <c r="G1481" s="9" t="n">
        <v>11.352</v>
      </c>
      <c r="H1481" s="9" t="n">
        <v>11.352</v>
      </c>
      <c r="I1481" s="9" t="inlineStr">
        <is>
          <t>Depth (no MLB IP)</t>
        </is>
      </c>
      <c r="J1481" s="18" t="inlineStr">
        <is>
          <t>Opening Day</t>
        </is>
      </c>
      <c r="K1481" s="11">
        <f>IFERROR(INDEX(Roles!$B$17:$B$20,MATCH(J1481,Roles!$A$17:$A$20,0)),1)</f>
        <v/>
      </c>
      <c r="L1481" s="19" t="n">
        <v>1</v>
      </c>
      <c r="M1481" s="11" t="n">
        <v>1</v>
      </c>
      <c r="N1481" s="19" t="n"/>
      <c r="O1481" s="19" t="n"/>
      <c r="P1481" s="19" t="n"/>
      <c r="Q1481" s="19" t="n"/>
      <c r="R1481" s="19" t="n"/>
      <c r="S1481" s="19" t="n"/>
      <c r="T1481" s="19" t="n"/>
      <c r="U1481" s="19" t="n"/>
      <c r="V1481" s="19" t="n"/>
      <c r="W1481" s="19" t="n"/>
      <c r="X1481" s="19" t="n"/>
      <c r="Y1481" s="19" t="n">
        <v>1</v>
      </c>
      <c r="Z1481" s="13">
        <f>SUMPRODUCT(N1481:Y1481,$N$2:$Y$2)*$K1481*$L1481*$M1481</f>
        <v/>
      </c>
      <c r="AA1481" s="14">
        <f>SUM(N1481:Y1481)</f>
        <v/>
      </c>
      <c r="AB1481" s="13">
        <f>SUMPRODUCT(N1481:Y1481,$N$3:$Y$3)*$K1481*$L1481*$M1481</f>
        <v/>
      </c>
      <c r="AC1481" s="13">
        <f>SUMPRODUCT(N1481:Y1481,$N$4:$Y$4)*$K1481*$L1481*$M1481</f>
        <v/>
      </c>
      <c r="AD1481" s="15" t="n">
        <v>3</v>
      </c>
      <c r="AE1481" s="11" t="n">
        <v>1.011296296296296</v>
      </c>
      <c r="AF1481" s="16">
        <f>SUMPRODUCT(N1481:Y1481,$N$5:$Y$5)*$K1481*$L1481*$M1481</f>
        <v/>
      </c>
      <c r="AG1481" s="16">
        <f>SUMPRODUCT(N1481:Y1481,$N$6:$Y$6)*$K1481*$L1481*$M1481</f>
        <v/>
      </c>
      <c r="AH1481" s="20" t="n"/>
    </row>
    <row r="1482">
      <c r="A1482" s="9" t="n">
        <v>829084</v>
      </c>
      <c r="B1482" s="9" t="inlineStr">
        <is>
          <t>Yordanis Guerra</t>
        </is>
      </c>
      <c r="C1482" s="9" t="inlineStr">
        <is>
          <t>PHI</t>
        </is>
      </c>
      <c r="D1482" s="9" t="n">
        <v>25</v>
      </c>
      <c r="E1482" s="18" t="inlineStr">
        <is>
          <t>L</t>
        </is>
      </c>
      <c r="F1482" s="18" t="n"/>
      <c r="G1482" s="9" t="n">
        <v>11.352</v>
      </c>
      <c r="H1482" s="9" t="n">
        <v>11.352</v>
      </c>
      <c r="I1482" s="9" t="inlineStr">
        <is>
          <t>Depth (no MLB IP)</t>
        </is>
      </c>
      <c r="J1482" s="18" t="inlineStr">
        <is>
          <t>Opening Day</t>
        </is>
      </c>
      <c r="K1482" s="11">
        <f>IFERROR(INDEX(Roles!$B$17:$B$20,MATCH(J1482,Roles!$A$17:$A$20,0)),1)</f>
        <v/>
      </c>
      <c r="L1482" s="19" t="n">
        <v>1</v>
      </c>
      <c r="M1482" s="11" t="n">
        <v>1</v>
      </c>
      <c r="N1482" s="19" t="n"/>
      <c r="O1482" s="19" t="n"/>
      <c r="P1482" s="19" t="n"/>
      <c r="Q1482" s="19" t="n"/>
      <c r="R1482" s="19" t="n"/>
      <c r="S1482" s="19" t="n"/>
      <c r="T1482" s="19" t="n"/>
      <c r="U1482" s="19" t="n"/>
      <c r="V1482" s="19" t="n"/>
      <c r="W1482" s="19" t="n"/>
      <c r="X1482" s="19" t="n"/>
      <c r="Y1482" s="19" t="n">
        <v>1</v>
      </c>
      <c r="Z1482" s="13">
        <f>SUMPRODUCT(N1482:Y1482,$N$2:$Y$2)*$K1482*$L1482*$M1482</f>
        <v/>
      </c>
      <c r="AA1482" s="14">
        <f>SUM(N1482:Y1482)</f>
        <v/>
      </c>
      <c r="AB1482" s="13">
        <f>SUMPRODUCT(N1482:Y1482,$N$3:$Y$3)*$K1482*$L1482*$M1482</f>
        <v/>
      </c>
      <c r="AC1482" s="13">
        <f>SUMPRODUCT(N1482:Y1482,$N$4:$Y$4)*$K1482*$L1482*$M1482</f>
        <v/>
      </c>
      <c r="AD1482" s="15" t="n">
        <v>3</v>
      </c>
      <c r="AE1482" s="11" t="n">
        <v>1.011296296296296</v>
      </c>
      <c r="AF1482" s="16">
        <f>SUMPRODUCT(N1482:Y1482,$N$5:$Y$5)*$K1482*$L1482*$M1482</f>
        <v/>
      </c>
      <c r="AG1482" s="16">
        <f>SUMPRODUCT(N1482:Y1482,$N$6:$Y$6)*$K1482*$L1482*$M1482</f>
        <v/>
      </c>
      <c r="AH1482" s="20" t="n"/>
    </row>
    <row r="1483">
      <c r="A1483" s="9" t="n">
        <v>702418</v>
      </c>
      <c r="B1483" s="9" t="inlineStr">
        <is>
          <t>Juan Reynoso</t>
        </is>
      </c>
      <c r="C1483" s="9" t="inlineStr">
        <is>
          <t>MIA</t>
        </is>
      </c>
      <c r="D1483" s="9" t="n">
        <v>25</v>
      </c>
      <c r="E1483" s="18" t="inlineStr">
        <is>
          <t>R</t>
        </is>
      </c>
      <c r="F1483" s="18" t="n"/>
      <c r="G1483" s="9" t="n">
        <v>11.53833333333333</v>
      </c>
      <c r="H1483" s="9" t="n">
        <v>11.53833333333333</v>
      </c>
      <c r="I1483" s="9" t="inlineStr">
        <is>
          <t>Depth (no MLB IP)</t>
        </is>
      </c>
      <c r="J1483" s="18" t="inlineStr">
        <is>
          <t>Opening Day</t>
        </is>
      </c>
      <c r="K1483" s="11">
        <f>IFERROR(INDEX(Roles!$B$17:$B$20,MATCH(J1483,Roles!$A$17:$A$20,0)),1)</f>
        <v/>
      </c>
      <c r="L1483" s="19" t="n">
        <v>1</v>
      </c>
      <c r="M1483" s="11" t="n">
        <v>1</v>
      </c>
      <c r="N1483" s="19" t="n"/>
      <c r="O1483" s="19" t="n"/>
      <c r="P1483" s="19" t="n"/>
      <c r="Q1483" s="19" t="n"/>
      <c r="R1483" s="19" t="n"/>
      <c r="S1483" s="19" t="n"/>
      <c r="T1483" s="19" t="n"/>
      <c r="U1483" s="19" t="n"/>
      <c r="V1483" s="19" t="n"/>
      <c r="W1483" s="19" t="n"/>
      <c r="X1483" s="19" t="n"/>
      <c r="Y1483" s="19" t="n">
        <v>1</v>
      </c>
      <c r="Z1483" s="13">
        <f>SUMPRODUCT(N1483:Y1483,$N$2:$Y$2)*$K1483*$L1483*$M1483</f>
        <v/>
      </c>
      <c r="AA1483" s="14">
        <f>SUM(N1483:Y1483)</f>
        <v/>
      </c>
      <c r="AB1483" s="13">
        <f>SUMPRODUCT(N1483:Y1483,$N$3:$Y$3)*$K1483*$L1483*$M1483</f>
        <v/>
      </c>
      <c r="AC1483" s="13">
        <f>SUMPRODUCT(N1483:Y1483,$N$4:$Y$4)*$K1483*$L1483*$M1483</f>
        <v/>
      </c>
      <c r="AD1483" s="15" t="n">
        <v>3</v>
      </c>
      <c r="AE1483" s="11" t="n">
        <v>1.011296296296296</v>
      </c>
      <c r="AF1483" s="16">
        <f>SUMPRODUCT(N1483:Y1483,$N$5:$Y$5)*$K1483*$L1483*$M1483</f>
        <v/>
      </c>
      <c r="AG1483" s="16">
        <f>SUMPRODUCT(N1483:Y1483,$N$6:$Y$6)*$K1483*$L1483*$M1483</f>
        <v/>
      </c>
      <c r="AH1483" s="20" t="n"/>
    </row>
    <row r="1484">
      <c r="A1484" s="9" t="n">
        <v>683634</v>
      </c>
      <c r="B1484" s="9" t="inlineStr">
        <is>
          <t>Johan Otanez</t>
        </is>
      </c>
      <c r="C1484" s="9" t="inlineStr">
        <is>
          <t>WSH</t>
        </is>
      </c>
      <c r="D1484" s="9" t="n">
        <v>25</v>
      </c>
      <c r="E1484" s="18" t="inlineStr">
        <is>
          <t>R</t>
        </is>
      </c>
      <c r="F1484" s="18" t="n"/>
      <c r="G1484" s="9" t="n">
        <v>11.524</v>
      </c>
      <c r="H1484" s="9" t="n">
        <v>11.524</v>
      </c>
      <c r="I1484" s="9" t="inlineStr">
        <is>
          <t>Depth (no MLB IP)</t>
        </is>
      </c>
      <c r="J1484" s="18" t="inlineStr">
        <is>
          <t>Opening Day</t>
        </is>
      </c>
      <c r="K1484" s="11">
        <f>IFERROR(INDEX(Roles!$B$17:$B$20,MATCH(J1484,Roles!$A$17:$A$20,0)),1)</f>
        <v/>
      </c>
      <c r="L1484" s="19" t="n">
        <v>1</v>
      </c>
      <c r="M1484" s="11" t="n">
        <v>1</v>
      </c>
      <c r="N1484" s="19" t="n"/>
      <c r="O1484" s="19" t="n"/>
      <c r="P1484" s="19" t="n"/>
      <c r="Q1484" s="19" t="n"/>
      <c r="R1484" s="19" t="n"/>
      <c r="S1484" s="19" t="n"/>
      <c r="T1484" s="19" t="n"/>
      <c r="U1484" s="19" t="n"/>
      <c r="V1484" s="19" t="n"/>
      <c r="W1484" s="19" t="n"/>
      <c r="X1484" s="19" t="n"/>
      <c r="Y1484" s="19" t="n">
        <v>1</v>
      </c>
      <c r="Z1484" s="13">
        <f>SUMPRODUCT(N1484:Y1484,$N$2:$Y$2)*$K1484*$L1484*$M1484</f>
        <v/>
      </c>
      <c r="AA1484" s="14">
        <f>SUM(N1484:Y1484)</f>
        <v/>
      </c>
      <c r="AB1484" s="13">
        <f>SUMPRODUCT(N1484:Y1484,$N$3:$Y$3)*$K1484*$L1484*$M1484</f>
        <v/>
      </c>
      <c r="AC1484" s="13">
        <f>SUMPRODUCT(N1484:Y1484,$N$4:$Y$4)*$K1484*$L1484*$M1484</f>
        <v/>
      </c>
      <c r="AD1484" s="15" t="n">
        <v>3</v>
      </c>
      <c r="AE1484" s="11" t="n">
        <v>1.011296296296296</v>
      </c>
      <c r="AF1484" s="16">
        <f>SUMPRODUCT(N1484:Y1484,$N$5:$Y$5)*$K1484*$L1484*$M1484</f>
        <v/>
      </c>
      <c r="AG1484" s="16">
        <f>SUMPRODUCT(N1484:Y1484,$N$6:$Y$6)*$K1484*$L1484*$M1484</f>
        <v/>
      </c>
      <c r="AH1484" s="20" t="n"/>
    </row>
    <row r="1485">
      <c r="A1485" s="9" t="n">
        <v>691109</v>
      </c>
      <c r="B1485" s="9" t="inlineStr">
        <is>
          <t>Zach Vennaro</t>
        </is>
      </c>
      <c r="C1485" s="9" t="inlineStr">
        <is>
          <t>MIN</t>
        </is>
      </c>
      <c r="D1485" s="9" t="n">
        <v>25</v>
      </c>
      <c r="E1485" s="18" t="inlineStr">
        <is>
          <t>R</t>
        </is>
      </c>
      <c r="F1485" s="18" t="n"/>
      <c r="G1485" s="9" t="n">
        <v>11.53833333333333</v>
      </c>
      <c r="H1485" s="9" t="n">
        <v>11.53833333333333</v>
      </c>
      <c r="I1485" s="9" t="inlineStr">
        <is>
          <t>Depth (no MLB IP)</t>
        </is>
      </c>
      <c r="J1485" s="18" t="inlineStr">
        <is>
          <t>Opening Day</t>
        </is>
      </c>
      <c r="K1485" s="11">
        <f>IFERROR(INDEX(Roles!$B$17:$B$20,MATCH(J1485,Roles!$A$17:$A$20,0)),1)</f>
        <v/>
      </c>
      <c r="L1485" s="19" t="n">
        <v>1</v>
      </c>
      <c r="M1485" s="11" t="n">
        <v>1</v>
      </c>
      <c r="N1485" s="19" t="n"/>
      <c r="O1485" s="19" t="n"/>
      <c r="P1485" s="19" t="n"/>
      <c r="Q1485" s="19" t="n"/>
      <c r="R1485" s="19" t="n"/>
      <c r="S1485" s="19" t="n"/>
      <c r="T1485" s="19" t="n"/>
      <c r="U1485" s="19" t="n"/>
      <c r="V1485" s="19" t="n"/>
      <c r="W1485" s="19" t="n"/>
      <c r="X1485" s="19" t="n"/>
      <c r="Y1485" s="19" t="n">
        <v>1</v>
      </c>
      <c r="Z1485" s="13">
        <f>SUMPRODUCT(N1485:Y1485,$N$2:$Y$2)*$K1485*$L1485*$M1485</f>
        <v/>
      </c>
      <c r="AA1485" s="14">
        <f>SUM(N1485:Y1485)</f>
        <v/>
      </c>
      <c r="AB1485" s="13">
        <f>SUMPRODUCT(N1485:Y1485,$N$3:$Y$3)*$K1485*$L1485*$M1485</f>
        <v/>
      </c>
      <c r="AC1485" s="13">
        <f>SUMPRODUCT(N1485:Y1485,$N$4:$Y$4)*$K1485*$L1485*$M1485</f>
        <v/>
      </c>
      <c r="AD1485" s="15" t="n">
        <v>3</v>
      </c>
      <c r="AE1485" s="11" t="n">
        <v>1.011296296296296</v>
      </c>
      <c r="AF1485" s="16">
        <f>SUMPRODUCT(N1485:Y1485,$N$5:$Y$5)*$K1485*$L1485*$M1485</f>
        <v/>
      </c>
      <c r="AG1485" s="16">
        <f>SUMPRODUCT(N1485:Y1485,$N$6:$Y$6)*$K1485*$L1485*$M1485</f>
        <v/>
      </c>
      <c r="AH1485" s="20" t="n"/>
    </row>
    <row r="1486">
      <c r="A1486" s="9" t="n">
        <v>692844</v>
      </c>
      <c r="B1486" s="9" t="inlineStr">
        <is>
          <t>Brayan Restituyo</t>
        </is>
      </c>
      <c r="C1486" s="9" t="inlineStr">
        <is>
          <t>OAK</t>
        </is>
      </c>
      <c r="D1486" s="9" t="n">
        <v>25</v>
      </c>
      <c r="E1486" s="18" t="inlineStr">
        <is>
          <t>L</t>
        </is>
      </c>
      <c r="F1486" s="18" t="n"/>
      <c r="G1486" s="9" t="n">
        <v>11.352</v>
      </c>
      <c r="H1486" s="9" t="n">
        <v>11.352</v>
      </c>
      <c r="I1486" s="9" t="inlineStr">
        <is>
          <t>Depth (no MLB IP)</t>
        </is>
      </c>
      <c r="J1486" s="18" t="inlineStr">
        <is>
          <t>Opening Day</t>
        </is>
      </c>
      <c r="K1486" s="11">
        <f>IFERROR(INDEX(Roles!$B$17:$B$20,MATCH(J1486,Roles!$A$17:$A$20,0)),1)</f>
        <v/>
      </c>
      <c r="L1486" s="19" t="n">
        <v>1</v>
      </c>
      <c r="M1486" s="11" t="n">
        <v>1</v>
      </c>
      <c r="N1486" s="19" t="n"/>
      <c r="O1486" s="19" t="n"/>
      <c r="P1486" s="19" t="n"/>
      <c r="Q1486" s="19" t="n"/>
      <c r="R1486" s="19" t="n"/>
      <c r="S1486" s="19" t="n"/>
      <c r="T1486" s="19" t="n"/>
      <c r="U1486" s="19" t="n"/>
      <c r="V1486" s="19" t="n"/>
      <c r="W1486" s="19" t="n"/>
      <c r="X1486" s="19" t="n"/>
      <c r="Y1486" s="19" t="n">
        <v>1</v>
      </c>
      <c r="Z1486" s="13">
        <f>SUMPRODUCT(N1486:Y1486,$N$2:$Y$2)*$K1486*$L1486*$M1486</f>
        <v/>
      </c>
      <c r="AA1486" s="14">
        <f>SUM(N1486:Y1486)</f>
        <v/>
      </c>
      <c r="AB1486" s="13">
        <f>SUMPRODUCT(N1486:Y1486,$N$3:$Y$3)*$K1486*$L1486*$M1486</f>
        <v/>
      </c>
      <c r="AC1486" s="13">
        <f>SUMPRODUCT(N1486:Y1486,$N$4:$Y$4)*$K1486*$L1486*$M1486</f>
        <v/>
      </c>
      <c r="AD1486" s="15" t="n">
        <v>3</v>
      </c>
      <c r="AE1486" s="11" t="n">
        <v>1.011296296296296</v>
      </c>
      <c r="AF1486" s="16">
        <f>SUMPRODUCT(N1486:Y1486,$N$5:$Y$5)*$K1486*$L1486*$M1486</f>
        <v/>
      </c>
      <c r="AG1486" s="16">
        <f>SUMPRODUCT(N1486:Y1486,$N$6:$Y$6)*$K1486*$L1486*$M1486</f>
        <v/>
      </c>
      <c r="AH1486" s="20" t="n"/>
    </row>
    <row r="1487">
      <c r="A1487" s="9" t="n">
        <v>808003</v>
      </c>
      <c r="B1487" s="9" t="inlineStr">
        <is>
          <t>Rafael Gonzalez</t>
        </is>
      </c>
      <c r="C1487" s="9" t="inlineStr">
        <is>
          <t>HOU</t>
        </is>
      </c>
      <c r="D1487" s="9" t="n">
        <v>25</v>
      </c>
      <c r="E1487" s="18" t="inlineStr">
        <is>
          <t>R</t>
        </is>
      </c>
      <c r="F1487" s="18" t="n"/>
      <c r="G1487" s="9" t="n">
        <v>11.524</v>
      </c>
      <c r="H1487" s="9" t="n">
        <v>11.524</v>
      </c>
      <c r="I1487" s="9" t="inlineStr">
        <is>
          <t>Depth (no MLB IP)</t>
        </is>
      </c>
      <c r="J1487" s="18" t="inlineStr">
        <is>
          <t>Opening Day</t>
        </is>
      </c>
      <c r="K1487" s="11">
        <f>IFERROR(INDEX(Roles!$B$17:$B$20,MATCH(J1487,Roles!$A$17:$A$20,0)),1)</f>
        <v/>
      </c>
      <c r="L1487" s="19" t="n">
        <v>1</v>
      </c>
      <c r="M1487" s="11" t="n">
        <v>1</v>
      </c>
      <c r="N1487" s="19" t="n"/>
      <c r="O1487" s="19" t="n"/>
      <c r="P1487" s="19" t="n"/>
      <c r="Q1487" s="19" t="n"/>
      <c r="R1487" s="19" t="n"/>
      <c r="S1487" s="19" t="n"/>
      <c r="T1487" s="19" t="n"/>
      <c r="U1487" s="19" t="n"/>
      <c r="V1487" s="19" t="n"/>
      <c r="W1487" s="19" t="n"/>
      <c r="X1487" s="19" t="n"/>
      <c r="Y1487" s="19" t="n">
        <v>1</v>
      </c>
      <c r="Z1487" s="13">
        <f>SUMPRODUCT(N1487:Y1487,$N$2:$Y$2)*$K1487*$L1487*$M1487</f>
        <v/>
      </c>
      <c r="AA1487" s="14">
        <f>SUM(N1487:Y1487)</f>
        <v/>
      </c>
      <c r="AB1487" s="13">
        <f>SUMPRODUCT(N1487:Y1487,$N$3:$Y$3)*$K1487*$L1487*$M1487</f>
        <v/>
      </c>
      <c r="AC1487" s="13">
        <f>SUMPRODUCT(N1487:Y1487,$N$4:$Y$4)*$K1487*$L1487*$M1487</f>
        <v/>
      </c>
      <c r="AD1487" s="15" t="n">
        <v>3</v>
      </c>
      <c r="AE1487" s="11" t="n">
        <v>1.011296296296296</v>
      </c>
      <c r="AF1487" s="16">
        <f>SUMPRODUCT(N1487:Y1487,$N$5:$Y$5)*$K1487*$L1487*$M1487</f>
        <v/>
      </c>
      <c r="AG1487" s="16">
        <f>SUMPRODUCT(N1487:Y1487,$N$6:$Y$6)*$K1487*$L1487*$M1487</f>
        <v/>
      </c>
      <c r="AH1487" s="20" t="n"/>
    </row>
    <row r="1488">
      <c r="A1488" s="9" t="n">
        <v>664977</v>
      </c>
      <c r="B1488" s="9" t="inlineStr">
        <is>
          <t>Blake Cederlind</t>
        </is>
      </c>
      <c r="C1488" s="9" t="inlineStr">
        <is>
          <t>ARI</t>
        </is>
      </c>
      <c r="D1488" s="9" t="n">
        <v>25</v>
      </c>
      <c r="E1488" s="18" t="inlineStr">
        <is>
          <t>R</t>
        </is>
      </c>
      <c r="F1488" s="18" t="n"/>
      <c r="G1488" s="9" t="n">
        <v>11.53833333333333</v>
      </c>
      <c r="H1488" s="9" t="n">
        <v>11.53833333333333</v>
      </c>
      <c r="I1488" s="9" t="inlineStr">
        <is>
          <t>Depth (no MLB IP)</t>
        </is>
      </c>
      <c r="J1488" s="18" t="inlineStr">
        <is>
          <t>Opening Day</t>
        </is>
      </c>
      <c r="K1488" s="11">
        <f>IFERROR(INDEX(Roles!$B$17:$B$20,MATCH(J1488,Roles!$A$17:$A$20,0)),1)</f>
        <v/>
      </c>
      <c r="L1488" s="19" t="n">
        <v>1</v>
      </c>
      <c r="M1488" s="11" t="n">
        <v>1</v>
      </c>
      <c r="N1488" s="19" t="n"/>
      <c r="O1488" s="19" t="n"/>
      <c r="P1488" s="19" t="n"/>
      <c r="Q1488" s="19" t="n"/>
      <c r="R1488" s="19" t="n"/>
      <c r="S1488" s="19" t="n"/>
      <c r="T1488" s="19" t="n"/>
      <c r="U1488" s="19" t="n"/>
      <c r="V1488" s="19" t="n"/>
      <c r="W1488" s="19" t="n"/>
      <c r="X1488" s="19" t="n"/>
      <c r="Y1488" s="19" t="n">
        <v>1</v>
      </c>
      <c r="Z1488" s="13">
        <f>SUMPRODUCT(N1488:Y1488,$N$2:$Y$2)*$K1488*$L1488*$M1488</f>
        <v/>
      </c>
      <c r="AA1488" s="14">
        <f>SUM(N1488:Y1488)</f>
        <v/>
      </c>
      <c r="AB1488" s="13">
        <f>SUMPRODUCT(N1488:Y1488,$N$3:$Y$3)*$K1488*$L1488*$M1488</f>
        <v/>
      </c>
      <c r="AC1488" s="13">
        <f>SUMPRODUCT(N1488:Y1488,$N$4:$Y$4)*$K1488*$L1488*$M1488</f>
        <v/>
      </c>
      <c r="AD1488" s="15" t="n">
        <v>3</v>
      </c>
      <c r="AE1488" s="11" t="n">
        <v>1.011296296296296</v>
      </c>
      <c r="AF1488" s="16">
        <f>SUMPRODUCT(N1488:Y1488,$N$5:$Y$5)*$K1488*$L1488*$M1488</f>
        <v/>
      </c>
      <c r="AG1488" s="16">
        <f>SUMPRODUCT(N1488:Y1488,$N$6:$Y$6)*$K1488*$L1488*$M1488</f>
        <v/>
      </c>
      <c r="AH1488" s="20" t="n"/>
    </row>
    <row r="1489">
      <c r="A1489" s="9" t="n">
        <v>683165</v>
      </c>
      <c r="B1489" s="9" t="inlineStr">
        <is>
          <t>Joseph King</t>
        </is>
      </c>
      <c r="C1489" s="9" t="inlineStr">
        <is>
          <t>STL</t>
        </is>
      </c>
      <c r="D1489" s="9" t="n">
        <v>25</v>
      </c>
      <c r="E1489" s="18" t="inlineStr">
        <is>
          <t>R</t>
        </is>
      </c>
      <c r="F1489" s="18" t="n"/>
      <c r="G1489" s="9" t="n">
        <v>11.53833333333333</v>
      </c>
      <c r="H1489" s="9" t="n">
        <v>11.53833333333333</v>
      </c>
      <c r="I1489" s="9" t="inlineStr">
        <is>
          <t>Depth (no MLB IP)</t>
        </is>
      </c>
      <c r="J1489" s="18" t="inlineStr">
        <is>
          <t>Opening Day</t>
        </is>
      </c>
      <c r="K1489" s="11">
        <f>IFERROR(INDEX(Roles!$B$17:$B$20,MATCH(J1489,Roles!$A$17:$A$20,0)),1)</f>
        <v/>
      </c>
      <c r="L1489" s="19" t="n">
        <v>1</v>
      </c>
      <c r="M1489" s="11" t="n">
        <v>1</v>
      </c>
      <c r="N1489" s="19" t="n"/>
      <c r="O1489" s="19" t="n"/>
      <c r="P1489" s="19" t="n"/>
      <c r="Q1489" s="19" t="n"/>
      <c r="R1489" s="19" t="n"/>
      <c r="S1489" s="19" t="n"/>
      <c r="T1489" s="19" t="n"/>
      <c r="U1489" s="19" t="n"/>
      <c r="V1489" s="19" t="n"/>
      <c r="W1489" s="19" t="n"/>
      <c r="X1489" s="19" t="n"/>
      <c r="Y1489" s="19" t="n">
        <v>1</v>
      </c>
      <c r="Z1489" s="13">
        <f>SUMPRODUCT(N1489:Y1489,$N$2:$Y$2)*$K1489*$L1489*$M1489</f>
        <v/>
      </c>
      <c r="AA1489" s="14">
        <f>SUM(N1489:Y1489)</f>
        <v/>
      </c>
      <c r="AB1489" s="13">
        <f>SUMPRODUCT(N1489:Y1489,$N$3:$Y$3)*$K1489*$L1489*$M1489</f>
        <v/>
      </c>
      <c r="AC1489" s="13">
        <f>SUMPRODUCT(N1489:Y1489,$N$4:$Y$4)*$K1489*$L1489*$M1489</f>
        <v/>
      </c>
      <c r="AD1489" s="15" t="n">
        <v>3</v>
      </c>
      <c r="AE1489" s="11" t="n">
        <v>1.011296296296296</v>
      </c>
      <c r="AF1489" s="16">
        <f>SUMPRODUCT(N1489:Y1489,$N$5:$Y$5)*$K1489*$L1489*$M1489</f>
        <v/>
      </c>
      <c r="AG1489" s="16">
        <f>SUMPRODUCT(N1489:Y1489,$N$6:$Y$6)*$K1489*$L1489*$M1489</f>
        <v/>
      </c>
      <c r="AH1489" s="20" t="n"/>
    </row>
    <row r="1490">
      <c r="A1490" s="9" t="n">
        <v>825101</v>
      </c>
      <c r="B1490" s="9" t="inlineStr">
        <is>
          <t>Anthony Watts</t>
        </is>
      </c>
      <c r="C1490" s="9" t="inlineStr">
        <is>
          <t>STL</t>
        </is>
      </c>
      <c r="D1490" s="9" t="n">
        <v>25</v>
      </c>
      <c r="E1490" s="18" t="inlineStr">
        <is>
          <t>R</t>
        </is>
      </c>
      <c r="F1490" s="18" t="n"/>
      <c r="G1490" s="9" t="n">
        <v>11.524</v>
      </c>
      <c r="H1490" s="9" t="n">
        <v>11.524</v>
      </c>
      <c r="I1490" s="9" t="inlineStr">
        <is>
          <t>Depth (no MLB IP)</t>
        </is>
      </c>
      <c r="J1490" s="18" t="inlineStr">
        <is>
          <t>Opening Day</t>
        </is>
      </c>
      <c r="K1490" s="11">
        <f>IFERROR(INDEX(Roles!$B$17:$B$20,MATCH(J1490,Roles!$A$17:$A$20,0)),1)</f>
        <v/>
      </c>
      <c r="L1490" s="19" t="n">
        <v>1</v>
      </c>
      <c r="M1490" s="11" t="n">
        <v>1</v>
      </c>
      <c r="N1490" s="19" t="n"/>
      <c r="O1490" s="19" t="n"/>
      <c r="P1490" s="19" t="n"/>
      <c r="Q1490" s="19" t="n"/>
      <c r="R1490" s="19" t="n"/>
      <c r="S1490" s="19" t="n"/>
      <c r="T1490" s="19" t="n"/>
      <c r="U1490" s="19" t="n"/>
      <c r="V1490" s="19" t="n"/>
      <c r="W1490" s="19" t="n"/>
      <c r="X1490" s="19" t="n"/>
      <c r="Y1490" s="19" t="n">
        <v>1</v>
      </c>
      <c r="Z1490" s="13">
        <f>SUMPRODUCT(N1490:Y1490,$N$2:$Y$2)*$K1490*$L1490*$M1490</f>
        <v/>
      </c>
      <c r="AA1490" s="14">
        <f>SUM(N1490:Y1490)</f>
        <v/>
      </c>
      <c r="AB1490" s="13">
        <f>SUMPRODUCT(N1490:Y1490,$N$3:$Y$3)*$K1490*$L1490*$M1490</f>
        <v/>
      </c>
      <c r="AC1490" s="13">
        <f>SUMPRODUCT(N1490:Y1490,$N$4:$Y$4)*$K1490*$L1490*$M1490</f>
        <v/>
      </c>
      <c r="AD1490" s="15" t="n">
        <v>3</v>
      </c>
      <c r="AE1490" s="11" t="n">
        <v>1.011296296296296</v>
      </c>
      <c r="AF1490" s="16">
        <f>SUMPRODUCT(N1490:Y1490,$N$5:$Y$5)*$K1490*$L1490*$M1490</f>
        <v/>
      </c>
      <c r="AG1490" s="16">
        <f>SUMPRODUCT(N1490:Y1490,$N$6:$Y$6)*$K1490*$L1490*$M1490</f>
        <v/>
      </c>
      <c r="AH1490" s="20" t="n"/>
    </row>
    <row r="1491">
      <c r="A1491" s="9" t="n">
        <v>672380</v>
      </c>
      <c r="B1491" s="9" t="inlineStr">
        <is>
          <t>Marco Jimenez</t>
        </is>
      </c>
      <c r="C1491" s="9" t="inlineStr">
        <is>
          <t>DET</t>
        </is>
      </c>
      <c r="D1491" s="9" t="n">
        <v>25</v>
      </c>
      <c r="E1491" s="18" t="inlineStr">
        <is>
          <t>R</t>
        </is>
      </c>
      <c r="F1491" s="18" t="n"/>
      <c r="G1491" s="9" t="n">
        <v>11.53833333333333</v>
      </c>
      <c r="H1491" s="9" t="n">
        <v>11.53833333333333</v>
      </c>
      <c r="I1491" s="9" t="inlineStr">
        <is>
          <t>Depth (no MLB IP)</t>
        </is>
      </c>
      <c r="J1491" s="18" t="inlineStr">
        <is>
          <t>Opening Day</t>
        </is>
      </c>
      <c r="K1491" s="11">
        <f>IFERROR(INDEX(Roles!$B$17:$B$20,MATCH(J1491,Roles!$A$17:$A$20,0)),1)</f>
        <v/>
      </c>
      <c r="L1491" s="19" t="n">
        <v>1</v>
      </c>
      <c r="M1491" s="11" t="n">
        <v>1</v>
      </c>
      <c r="N1491" s="19" t="n"/>
      <c r="O1491" s="19" t="n"/>
      <c r="P1491" s="19" t="n"/>
      <c r="Q1491" s="19" t="n"/>
      <c r="R1491" s="19" t="n"/>
      <c r="S1491" s="19" t="n"/>
      <c r="T1491" s="19" t="n"/>
      <c r="U1491" s="19" t="n"/>
      <c r="V1491" s="19" t="n"/>
      <c r="W1491" s="19" t="n"/>
      <c r="X1491" s="19" t="n"/>
      <c r="Y1491" s="19" t="n">
        <v>1</v>
      </c>
      <c r="Z1491" s="13">
        <f>SUMPRODUCT(N1491:Y1491,$N$2:$Y$2)*$K1491*$L1491*$M1491</f>
        <v/>
      </c>
      <c r="AA1491" s="14">
        <f>SUM(N1491:Y1491)</f>
        <v/>
      </c>
      <c r="AB1491" s="13">
        <f>SUMPRODUCT(N1491:Y1491,$N$3:$Y$3)*$K1491*$L1491*$M1491</f>
        <v/>
      </c>
      <c r="AC1491" s="13">
        <f>SUMPRODUCT(N1491:Y1491,$N$4:$Y$4)*$K1491*$L1491*$M1491</f>
        <v/>
      </c>
      <c r="AD1491" s="15" t="n">
        <v>3</v>
      </c>
      <c r="AE1491" s="11" t="n">
        <v>1.011296296296296</v>
      </c>
      <c r="AF1491" s="16">
        <f>SUMPRODUCT(N1491:Y1491,$N$5:$Y$5)*$K1491*$L1491*$M1491</f>
        <v/>
      </c>
      <c r="AG1491" s="16">
        <f>SUMPRODUCT(N1491:Y1491,$N$6:$Y$6)*$K1491*$L1491*$M1491</f>
        <v/>
      </c>
      <c r="AH1491" s="20" t="n"/>
    </row>
    <row r="1492">
      <c r="A1492" s="9" t="n">
        <v>701364</v>
      </c>
      <c r="B1492" s="9" t="inlineStr">
        <is>
          <t>Jamie Arnold</t>
        </is>
      </c>
      <c r="C1492" s="9" t="inlineStr">
        <is>
          <t>OAK</t>
        </is>
      </c>
      <c r="D1492" s="9" t="n">
        <v>23</v>
      </c>
      <c r="E1492" s="18" t="inlineStr">
        <is>
          <t>L</t>
        </is>
      </c>
      <c r="F1492" s="18" t="n"/>
      <c r="G1492" s="9" t="n">
        <v>11.825</v>
      </c>
      <c r="H1492" s="9" t="n">
        <v>11.825</v>
      </c>
      <c r="I1492" s="9" t="inlineStr">
        <is>
          <t>Depth (no MLB IP)</t>
        </is>
      </c>
      <c r="J1492" s="18" t="inlineStr">
        <is>
          <t>Opening Day</t>
        </is>
      </c>
      <c r="K1492" s="11">
        <f>IFERROR(INDEX(Roles!$B$17:$B$20,MATCH(J1492,Roles!$A$17:$A$20,0)),1)</f>
        <v/>
      </c>
      <c r="L1492" s="19" t="n">
        <v>1</v>
      </c>
      <c r="M1492" s="11" t="n">
        <v>1</v>
      </c>
      <c r="N1492" s="19" t="n"/>
      <c r="O1492" s="19" t="n"/>
      <c r="P1492" s="19" t="n"/>
      <c r="Q1492" s="19" t="n"/>
      <c r="R1492" s="19" t="n"/>
      <c r="S1492" s="19" t="n"/>
      <c r="T1492" s="19" t="n"/>
      <c r="U1492" s="19" t="n"/>
      <c r="V1492" s="19" t="n"/>
      <c r="W1492" s="19" t="n"/>
      <c r="X1492" s="19" t="n"/>
      <c r="Y1492" s="19" t="n">
        <v>1</v>
      </c>
      <c r="Z1492" s="13">
        <f>SUMPRODUCT(N1492:Y1492,$N$2:$Y$2)*$K1492*$L1492*$M1492</f>
        <v/>
      </c>
      <c r="AA1492" s="14">
        <f>SUM(N1492:Y1492)</f>
        <v/>
      </c>
      <c r="AB1492" s="13">
        <f>SUMPRODUCT(N1492:Y1492,$N$3:$Y$3)*$K1492*$L1492*$M1492</f>
        <v/>
      </c>
      <c r="AC1492" s="13">
        <f>SUMPRODUCT(N1492:Y1492,$N$4:$Y$4)*$K1492*$L1492*$M1492</f>
        <v/>
      </c>
      <c r="AD1492" s="15" t="n">
        <v>3</v>
      </c>
      <c r="AE1492" s="11" t="n">
        <v>1.011296296296296</v>
      </c>
      <c r="AF1492" s="16">
        <f>SUMPRODUCT(N1492:Y1492,$N$5:$Y$5)*$K1492*$L1492*$M1492</f>
        <v/>
      </c>
      <c r="AG1492" s="16">
        <f>SUMPRODUCT(N1492:Y1492,$N$6:$Y$6)*$K1492*$L1492*$M1492</f>
        <v/>
      </c>
      <c r="AH1492" s="20" t="n"/>
    </row>
    <row r="1493">
      <c r="A1493" s="9" t="n">
        <v>703941</v>
      </c>
      <c r="B1493" s="9" t="inlineStr">
        <is>
          <t>Melvin Pineda</t>
        </is>
      </c>
      <c r="C1493" s="9" t="inlineStr">
        <is>
          <t>SF</t>
        </is>
      </c>
      <c r="D1493" s="9" t="n">
        <v>25</v>
      </c>
      <c r="E1493" s="18" t="inlineStr">
        <is>
          <t>R</t>
        </is>
      </c>
      <c r="F1493" s="18" t="n"/>
      <c r="G1493" s="9" t="n">
        <v>11.696</v>
      </c>
      <c r="H1493" s="9" t="n">
        <v>11.696</v>
      </c>
      <c r="I1493" s="9" t="inlineStr">
        <is>
          <t>Depth (no MLB IP)</t>
        </is>
      </c>
      <c r="J1493" s="18" t="inlineStr">
        <is>
          <t>Opening Day</t>
        </is>
      </c>
      <c r="K1493" s="11">
        <f>IFERROR(INDEX(Roles!$B$17:$B$20,MATCH(J1493,Roles!$A$17:$A$20,0)),1)</f>
        <v/>
      </c>
      <c r="L1493" s="19" t="n">
        <v>1</v>
      </c>
      <c r="M1493" s="11" t="n">
        <v>1</v>
      </c>
      <c r="N1493" s="19" t="n"/>
      <c r="O1493" s="19" t="n"/>
      <c r="P1493" s="19" t="n"/>
      <c r="Q1493" s="19" t="n"/>
      <c r="R1493" s="19" t="n"/>
      <c r="S1493" s="19" t="n"/>
      <c r="T1493" s="19" t="n"/>
      <c r="U1493" s="19" t="n"/>
      <c r="V1493" s="19" t="n"/>
      <c r="W1493" s="19" t="n"/>
      <c r="X1493" s="19" t="n"/>
      <c r="Y1493" s="19" t="n">
        <v>1</v>
      </c>
      <c r="Z1493" s="13">
        <f>SUMPRODUCT(N1493:Y1493,$N$2:$Y$2)*$K1493*$L1493*$M1493</f>
        <v/>
      </c>
      <c r="AA1493" s="14">
        <f>SUM(N1493:Y1493)</f>
        <v/>
      </c>
      <c r="AB1493" s="13">
        <f>SUMPRODUCT(N1493:Y1493,$N$3:$Y$3)*$K1493*$L1493*$M1493</f>
        <v/>
      </c>
      <c r="AC1493" s="13">
        <f>SUMPRODUCT(N1493:Y1493,$N$4:$Y$4)*$K1493*$L1493*$M1493</f>
        <v/>
      </c>
      <c r="AD1493" s="15" t="n">
        <v>3</v>
      </c>
      <c r="AE1493" s="11" t="n">
        <v>1.011296296296296</v>
      </c>
      <c r="AF1493" s="16">
        <f>SUMPRODUCT(N1493:Y1493,$N$5:$Y$5)*$K1493*$L1493*$M1493</f>
        <v/>
      </c>
      <c r="AG1493" s="16">
        <f>SUMPRODUCT(N1493:Y1493,$N$6:$Y$6)*$K1493*$L1493*$M1493</f>
        <v/>
      </c>
      <c r="AH1493" s="20" t="n"/>
    </row>
    <row r="1494">
      <c r="A1494" s="9" t="n">
        <v>811573</v>
      </c>
      <c r="B1494" s="9" t="inlineStr">
        <is>
          <t>Myles Patton</t>
        </is>
      </c>
      <c r="C1494" s="9" t="inlineStr">
        <is>
          <t>BOS</t>
        </is>
      </c>
      <c r="D1494" s="9" t="n">
        <v>25</v>
      </c>
      <c r="E1494" s="18" t="inlineStr">
        <is>
          <t>L</t>
        </is>
      </c>
      <c r="F1494" s="18" t="n"/>
      <c r="G1494" s="9" t="n">
        <v>11.696</v>
      </c>
      <c r="H1494" s="9" t="n">
        <v>11.696</v>
      </c>
      <c r="I1494" s="9" t="inlineStr">
        <is>
          <t>Depth (no MLB IP)</t>
        </is>
      </c>
      <c r="J1494" s="18" t="inlineStr">
        <is>
          <t>Opening Day</t>
        </is>
      </c>
      <c r="K1494" s="11">
        <f>IFERROR(INDEX(Roles!$B$17:$B$20,MATCH(J1494,Roles!$A$17:$A$20,0)),1)</f>
        <v/>
      </c>
      <c r="L1494" s="19" t="n">
        <v>1</v>
      </c>
      <c r="M1494" s="11" t="n">
        <v>1</v>
      </c>
      <c r="N1494" s="19" t="n"/>
      <c r="O1494" s="19" t="n"/>
      <c r="P1494" s="19" t="n"/>
      <c r="Q1494" s="19" t="n"/>
      <c r="R1494" s="19" t="n"/>
      <c r="S1494" s="19" t="n"/>
      <c r="T1494" s="19" t="n"/>
      <c r="U1494" s="19" t="n"/>
      <c r="V1494" s="19" t="n"/>
      <c r="W1494" s="19" t="n"/>
      <c r="X1494" s="19" t="n"/>
      <c r="Y1494" s="19" t="n">
        <v>1</v>
      </c>
      <c r="Z1494" s="13">
        <f>SUMPRODUCT(N1494:Y1494,$N$2:$Y$2)*$K1494*$L1494*$M1494</f>
        <v/>
      </c>
      <c r="AA1494" s="14">
        <f>SUM(N1494:Y1494)</f>
        <v/>
      </c>
      <c r="AB1494" s="13">
        <f>SUMPRODUCT(N1494:Y1494,$N$3:$Y$3)*$K1494*$L1494*$M1494</f>
        <v/>
      </c>
      <c r="AC1494" s="13">
        <f>SUMPRODUCT(N1494:Y1494,$N$4:$Y$4)*$K1494*$L1494*$M1494</f>
        <v/>
      </c>
      <c r="AD1494" s="15" t="n">
        <v>3</v>
      </c>
      <c r="AE1494" s="11" t="n">
        <v>1.011296296296296</v>
      </c>
      <c r="AF1494" s="16">
        <f>SUMPRODUCT(N1494:Y1494,$N$5:$Y$5)*$K1494*$L1494*$M1494</f>
        <v/>
      </c>
      <c r="AG1494" s="16">
        <f>SUMPRODUCT(N1494:Y1494,$N$6:$Y$6)*$K1494*$L1494*$M1494</f>
        <v/>
      </c>
      <c r="AH1494" s="20" t="n"/>
    </row>
    <row r="1495">
      <c r="A1495" s="9" t="n">
        <v>814366</v>
      </c>
      <c r="B1495" s="9" t="inlineStr">
        <is>
          <t>Cade Feeney</t>
        </is>
      </c>
      <c r="C1495" s="9" t="inlineStr">
        <is>
          <t>BOS</t>
        </is>
      </c>
      <c r="D1495" s="9" t="n">
        <v>25</v>
      </c>
      <c r="E1495" s="18" t="inlineStr">
        <is>
          <t>R</t>
        </is>
      </c>
      <c r="F1495" s="18" t="n"/>
      <c r="G1495" s="9" t="n">
        <v>11.825</v>
      </c>
      <c r="H1495" s="9" t="n">
        <v>11.825</v>
      </c>
      <c r="I1495" s="9" t="inlineStr">
        <is>
          <t>Depth (no MLB IP)</t>
        </is>
      </c>
      <c r="J1495" s="18" t="inlineStr">
        <is>
          <t>Opening Day</t>
        </is>
      </c>
      <c r="K1495" s="11">
        <f>IFERROR(INDEX(Roles!$B$17:$B$20,MATCH(J1495,Roles!$A$17:$A$20,0)),1)</f>
        <v/>
      </c>
      <c r="L1495" s="19" t="n">
        <v>1</v>
      </c>
      <c r="M1495" s="11" t="n">
        <v>1</v>
      </c>
      <c r="N1495" s="19" t="n"/>
      <c r="O1495" s="19" t="n"/>
      <c r="P1495" s="19" t="n"/>
      <c r="Q1495" s="19" t="n"/>
      <c r="R1495" s="19" t="n"/>
      <c r="S1495" s="19" t="n"/>
      <c r="T1495" s="19" t="n"/>
      <c r="U1495" s="19" t="n"/>
      <c r="V1495" s="19" t="n"/>
      <c r="W1495" s="19" t="n"/>
      <c r="X1495" s="19" t="n"/>
      <c r="Y1495" s="19" t="n">
        <v>1</v>
      </c>
      <c r="Z1495" s="13">
        <f>SUMPRODUCT(N1495:Y1495,$N$2:$Y$2)*$K1495*$L1495*$M1495</f>
        <v/>
      </c>
      <c r="AA1495" s="14">
        <f>SUM(N1495:Y1495)</f>
        <v/>
      </c>
      <c r="AB1495" s="13">
        <f>SUMPRODUCT(N1495:Y1495,$N$3:$Y$3)*$K1495*$L1495*$M1495</f>
        <v/>
      </c>
      <c r="AC1495" s="13">
        <f>SUMPRODUCT(N1495:Y1495,$N$4:$Y$4)*$K1495*$L1495*$M1495</f>
        <v/>
      </c>
      <c r="AD1495" s="15" t="n">
        <v>3</v>
      </c>
      <c r="AE1495" s="11" t="n">
        <v>1.011296296296296</v>
      </c>
      <c r="AF1495" s="16">
        <f>SUMPRODUCT(N1495:Y1495,$N$5:$Y$5)*$K1495*$L1495*$M1495</f>
        <v/>
      </c>
      <c r="AG1495" s="16">
        <f>SUMPRODUCT(N1495:Y1495,$N$6:$Y$6)*$K1495*$L1495*$M1495</f>
        <v/>
      </c>
      <c r="AH1495" s="20" t="n"/>
    </row>
    <row r="1496">
      <c r="A1496" s="9" t="n">
        <v>804541</v>
      </c>
      <c r="B1496" s="9" t="inlineStr">
        <is>
          <t>Gary Gill Hill</t>
        </is>
      </c>
      <c r="C1496" s="9" t="inlineStr">
        <is>
          <t>NYM</t>
        </is>
      </c>
      <c r="D1496" s="9" t="n">
        <v>25</v>
      </c>
      <c r="E1496" s="18" t="inlineStr">
        <is>
          <t>R</t>
        </is>
      </c>
      <c r="F1496" s="18" t="n"/>
      <c r="G1496" s="9" t="n">
        <v>11.825</v>
      </c>
      <c r="H1496" s="9" t="n">
        <v>11.825</v>
      </c>
      <c r="I1496" s="9" t="inlineStr">
        <is>
          <t>Depth (no MLB IP)</t>
        </is>
      </c>
      <c r="J1496" s="18" t="inlineStr">
        <is>
          <t>Opening Day</t>
        </is>
      </c>
      <c r="K1496" s="11">
        <f>IFERROR(INDEX(Roles!$B$17:$B$20,MATCH(J1496,Roles!$A$17:$A$20,0)),1)</f>
        <v/>
      </c>
      <c r="L1496" s="19" t="n">
        <v>1</v>
      </c>
      <c r="M1496" s="11" t="n">
        <v>1</v>
      </c>
      <c r="N1496" s="19" t="n"/>
      <c r="O1496" s="19" t="n"/>
      <c r="P1496" s="19" t="n"/>
      <c r="Q1496" s="19" t="n"/>
      <c r="R1496" s="19" t="n"/>
      <c r="S1496" s="19" t="n"/>
      <c r="T1496" s="19" t="n"/>
      <c r="U1496" s="19" t="n"/>
      <c r="V1496" s="19" t="n"/>
      <c r="W1496" s="19" t="n"/>
      <c r="X1496" s="19" t="n"/>
      <c r="Y1496" s="19" t="n">
        <v>1</v>
      </c>
      <c r="Z1496" s="13">
        <f>SUMPRODUCT(N1496:Y1496,$N$2:$Y$2)*$K1496*$L1496*$M1496</f>
        <v/>
      </c>
      <c r="AA1496" s="14">
        <f>SUM(N1496:Y1496)</f>
        <v/>
      </c>
      <c r="AB1496" s="13">
        <f>SUMPRODUCT(N1496:Y1496,$N$3:$Y$3)*$K1496*$L1496*$M1496</f>
        <v/>
      </c>
      <c r="AC1496" s="13">
        <f>SUMPRODUCT(N1496:Y1496,$N$4:$Y$4)*$K1496*$L1496*$M1496</f>
        <v/>
      </c>
      <c r="AD1496" s="15" t="n">
        <v>3</v>
      </c>
      <c r="AE1496" s="11" t="n">
        <v>1.011296296296296</v>
      </c>
      <c r="AF1496" s="16">
        <f>SUMPRODUCT(N1496:Y1496,$N$5:$Y$5)*$K1496*$L1496*$M1496</f>
        <v/>
      </c>
      <c r="AG1496" s="16">
        <f>SUMPRODUCT(N1496:Y1496,$N$6:$Y$6)*$K1496*$L1496*$M1496</f>
        <v/>
      </c>
      <c r="AH1496" s="20" t="n"/>
    </row>
    <row r="1497">
      <c r="A1497" s="9" t="n">
        <v>687847</v>
      </c>
      <c r="B1497" s="9" t="inlineStr">
        <is>
          <t>Marc Church</t>
        </is>
      </c>
      <c r="C1497" s="9" t="inlineStr">
        <is>
          <t>TEX</t>
        </is>
      </c>
      <c r="D1497" s="9" t="n">
        <v>26</v>
      </c>
      <c r="E1497" s="18" t="inlineStr">
        <is>
          <t>R</t>
        </is>
      </c>
      <c r="F1497" s="18" t="n"/>
      <c r="G1497" s="9" t="n">
        <v>23</v>
      </c>
      <c r="H1497" s="9" t="n">
        <v>27</v>
      </c>
      <c r="I1497" s="9" t="inlineStr">
        <is>
          <t>Depth (no MLB IP)</t>
        </is>
      </c>
      <c r="J1497" s="18" t="inlineStr">
        <is>
          <t>Opening Day</t>
        </is>
      </c>
      <c r="K1497" s="11">
        <f>IFERROR(INDEX(Roles!$B$17:$B$20,MATCH(J1497,Roles!$A$17:$A$20,0)),1)</f>
        <v/>
      </c>
      <c r="L1497" s="19" t="n">
        <v>1</v>
      </c>
      <c r="M1497" s="11" t="n">
        <v>1</v>
      </c>
      <c r="N1497" s="19" t="n"/>
      <c r="O1497" s="19" t="n"/>
      <c r="P1497" s="19" t="n"/>
      <c r="Q1497" s="19" t="n"/>
      <c r="R1497" s="19" t="n"/>
      <c r="S1497" s="19" t="n"/>
      <c r="T1497" s="19" t="n"/>
      <c r="U1497" s="19" t="n"/>
      <c r="V1497" s="19" t="n"/>
      <c r="W1497" s="19" t="n"/>
      <c r="X1497" s="19" t="n"/>
      <c r="Y1497" s="19" t="n">
        <v>1</v>
      </c>
      <c r="Z1497" s="13">
        <f>SUMPRODUCT(N1497:Y1497,$N$2:$Y$2)*$K1497*$L1497*$M1497</f>
        <v/>
      </c>
      <c r="AA1497" s="14">
        <f>SUM(N1497:Y1497)</f>
        <v/>
      </c>
      <c r="AB1497" s="13">
        <f>SUMPRODUCT(N1497:Y1497,$N$3:$Y$3)*$K1497*$L1497*$M1497</f>
        <v/>
      </c>
      <c r="AC1497" s="13">
        <f>SUMPRODUCT(N1497:Y1497,$N$4:$Y$4)*$K1497*$L1497*$M1497</f>
        <v/>
      </c>
      <c r="AD1497" s="15" t="n">
        <v>3.4</v>
      </c>
      <c r="AE1497" s="11" t="n">
        <v>0.9873288439955104</v>
      </c>
      <c r="AF1497" s="16">
        <f>SUMPRODUCT(N1497:Y1497,$N$5:$Y$5)*$K1497*$L1497*$M1497</f>
        <v/>
      </c>
      <c r="AG1497" s="16">
        <f>SUMPRODUCT(N1497:Y1497,$N$6:$Y$6)*$K1497*$L1497*$M1497</f>
        <v/>
      </c>
      <c r="AH1497" s="20" t="n"/>
    </row>
    <row r="1498">
      <c r="A1498" s="9" t="n">
        <v>835862</v>
      </c>
      <c r="B1498" s="9" t="inlineStr">
        <is>
          <t>Julien Hernandez</t>
        </is>
      </c>
      <c r="C1498" s="9" t="inlineStr">
        <is>
          <t>ARI</t>
        </is>
      </c>
      <c r="D1498" s="9" t="n">
        <v>25</v>
      </c>
      <c r="E1498" s="18" t="inlineStr">
        <is>
          <t>R</t>
        </is>
      </c>
      <c r="F1498" s="18" t="n"/>
      <c r="G1498" s="9" t="n">
        <v>11.696</v>
      </c>
      <c r="H1498" s="9" t="n">
        <v>11.696</v>
      </c>
      <c r="I1498" s="9" t="inlineStr">
        <is>
          <t>Depth (no MLB IP)</t>
        </is>
      </c>
      <c r="J1498" s="18" t="inlineStr">
        <is>
          <t>Opening Day</t>
        </is>
      </c>
      <c r="K1498" s="11">
        <f>IFERROR(INDEX(Roles!$B$17:$B$20,MATCH(J1498,Roles!$A$17:$A$20,0)),1)</f>
        <v/>
      </c>
      <c r="L1498" s="19" t="n">
        <v>1</v>
      </c>
      <c r="M1498" s="11" t="n">
        <v>1</v>
      </c>
      <c r="N1498" s="19" t="n"/>
      <c r="O1498" s="19" t="n"/>
      <c r="P1498" s="19" t="n"/>
      <c r="Q1498" s="19" t="n"/>
      <c r="R1498" s="19" t="n"/>
      <c r="S1498" s="19" t="n"/>
      <c r="T1498" s="19" t="n"/>
      <c r="U1498" s="19" t="n"/>
      <c r="V1498" s="19" t="n"/>
      <c r="W1498" s="19" t="n"/>
      <c r="X1498" s="19" t="n"/>
      <c r="Y1498" s="19" t="n">
        <v>1</v>
      </c>
      <c r="Z1498" s="13">
        <f>SUMPRODUCT(N1498:Y1498,$N$2:$Y$2)*$K1498*$L1498*$M1498</f>
        <v/>
      </c>
      <c r="AA1498" s="14">
        <f>SUM(N1498:Y1498)</f>
        <v/>
      </c>
      <c r="AB1498" s="13">
        <f>SUMPRODUCT(N1498:Y1498,$N$3:$Y$3)*$K1498*$L1498*$M1498</f>
        <v/>
      </c>
      <c r="AC1498" s="13">
        <f>SUMPRODUCT(N1498:Y1498,$N$4:$Y$4)*$K1498*$L1498*$M1498</f>
        <v/>
      </c>
      <c r="AD1498" s="15" t="n">
        <v>3</v>
      </c>
      <c r="AE1498" s="11" t="n">
        <v>1.011296296296296</v>
      </c>
      <c r="AF1498" s="16">
        <f>SUMPRODUCT(N1498:Y1498,$N$5:$Y$5)*$K1498*$L1498*$M1498</f>
        <v/>
      </c>
      <c r="AG1498" s="16">
        <f>SUMPRODUCT(N1498:Y1498,$N$6:$Y$6)*$K1498*$L1498*$M1498</f>
        <v/>
      </c>
      <c r="AH1498" s="20" t="n"/>
    </row>
    <row r="1499">
      <c r="A1499" s="9" t="n">
        <v>702060</v>
      </c>
      <c r="B1499" s="9" t="inlineStr">
        <is>
          <t>Seth Chavez</t>
        </is>
      </c>
      <c r="C1499" s="9" t="inlineStr">
        <is>
          <t>DET</t>
        </is>
      </c>
      <c r="D1499" s="9" t="n">
        <v>25</v>
      </c>
      <c r="E1499" s="18" t="inlineStr">
        <is>
          <t>R</t>
        </is>
      </c>
      <c r="F1499" s="18" t="n"/>
      <c r="G1499" s="9" t="n">
        <v>11.75333333333333</v>
      </c>
      <c r="H1499" s="9" t="n">
        <v>11.75333333333333</v>
      </c>
      <c r="I1499" s="9" t="inlineStr">
        <is>
          <t>Depth (no MLB IP)</t>
        </is>
      </c>
      <c r="J1499" s="18" t="inlineStr">
        <is>
          <t>Opening Day</t>
        </is>
      </c>
      <c r="K1499" s="11">
        <f>IFERROR(INDEX(Roles!$B$17:$B$20,MATCH(J1499,Roles!$A$17:$A$20,0)),1)</f>
        <v/>
      </c>
      <c r="L1499" s="19" t="n">
        <v>1</v>
      </c>
      <c r="M1499" s="11" t="n">
        <v>1</v>
      </c>
      <c r="N1499" s="19" t="n"/>
      <c r="O1499" s="19" t="n"/>
      <c r="P1499" s="19" t="n"/>
      <c r="Q1499" s="19" t="n"/>
      <c r="R1499" s="19" t="n"/>
      <c r="S1499" s="19" t="n"/>
      <c r="T1499" s="19" t="n"/>
      <c r="U1499" s="19" t="n"/>
      <c r="V1499" s="19" t="n"/>
      <c r="W1499" s="19" t="n"/>
      <c r="X1499" s="19" t="n"/>
      <c r="Y1499" s="19" t="n">
        <v>1</v>
      </c>
      <c r="Z1499" s="13">
        <f>SUMPRODUCT(N1499:Y1499,$N$2:$Y$2)*$K1499*$L1499*$M1499</f>
        <v/>
      </c>
      <c r="AA1499" s="14">
        <f>SUM(N1499:Y1499)</f>
        <v/>
      </c>
      <c r="AB1499" s="13">
        <f>SUMPRODUCT(N1499:Y1499,$N$3:$Y$3)*$K1499*$L1499*$M1499</f>
        <v/>
      </c>
      <c r="AC1499" s="13">
        <f>SUMPRODUCT(N1499:Y1499,$N$4:$Y$4)*$K1499*$L1499*$M1499</f>
        <v/>
      </c>
      <c r="AD1499" s="15" t="n">
        <v>3</v>
      </c>
      <c r="AE1499" s="11" t="n">
        <v>1.011296296296296</v>
      </c>
      <c r="AF1499" s="16">
        <f>SUMPRODUCT(N1499:Y1499,$N$5:$Y$5)*$K1499*$L1499*$M1499</f>
        <v/>
      </c>
      <c r="AG1499" s="16">
        <f>SUMPRODUCT(N1499:Y1499,$N$6:$Y$6)*$K1499*$L1499*$M1499</f>
        <v/>
      </c>
      <c r="AH1499" s="20" t="n"/>
    </row>
    <row r="1500">
      <c r="A1500" s="9" t="n">
        <v>814532</v>
      </c>
      <c r="B1500" s="9" t="inlineStr">
        <is>
          <t>Teddy Sharkey</t>
        </is>
      </c>
      <c r="C1500" s="9" t="inlineStr">
        <is>
          <t>BAL</t>
        </is>
      </c>
      <c r="D1500" s="9" t="n">
        <v>25</v>
      </c>
      <c r="E1500" s="18" t="inlineStr">
        <is>
          <t>R</t>
        </is>
      </c>
      <c r="F1500" s="18" t="n"/>
      <c r="G1500" s="9" t="n">
        <v>11.75333333333333</v>
      </c>
      <c r="H1500" s="9" t="n">
        <v>11.75333333333333</v>
      </c>
      <c r="I1500" s="9" t="inlineStr">
        <is>
          <t>Depth (no MLB IP)</t>
        </is>
      </c>
      <c r="J1500" s="18" t="inlineStr">
        <is>
          <t>Opening Day</t>
        </is>
      </c>
      <c r="K1500" s="11">
        <f>IFERROR(INDEX(Roles!$B$17:$B$20,MATCH(J1500,Roles!$A$17:$A$20,0)),1)</f>
        <v/>
      </c>
      <c r="L1500" s="19" t="n">
        <v>1</v>
      </c>
      <c r="M1500" s="11" t="n">
        <v>1</v>
      </c>
      <c r="N1500" s="19" t="n"/>
      <c r="O1500" s="19" t="n"/>
      <c r="P1500" s="19" t="n"/>
      <c r="Q1500" s="19" t="n"/>
      <c r="R1500" s="19" t="n"/>
      <c r="S1500" s="19" t="n"/>
      <c r="T1500" s="19" t="n"/>
      <c r="U1500" s="19" t="n"/>
      <c r="V1500" s="19" t="n"/>
      <c r="W1500" s="19" t="n"/>
      <c r="X1500" s="19" t="n"/>
      <c r="Y1500" s="19" t="n">
        <v>1</v>
      </c>
      <c r="Z1500" s="13">
        <f>SUMPRODUCT(N1500:Y1500,$N$2:$Y$2)*$K1500*$L1500*$M1500</f>
        <v/>
      </c>
      <c r="AA1500" s="14">
        <f>SUM(N1500:Y1500)</f>
        <v/>
      </c>
      <c r="AB1500" s="13">
        <f>SUMPRODUCT(N1500:Y1500,$N$3:$Y$3)*$K1500*$L1500*$M1500</f>
        <v/>
      </c>
      <c r="AC1500" s="13">
        <f>SUMPRODUCT(N1500:Y1500,$N$4:$Y$4)*$K1500*$L1500*$M1500</f>
        <v/>
      </c>
      <c r="AD1500" s="15" t="n">
        <v>3</v>
      </c>
      <c r="AE1500" s="11" t="n">
        <v>1.011296296296296</v>
      </c>
      <c r="AF1500" s="16">
        <f>SUMPRODUCT(N1500:Y1500,$N$5:$Y$5)*$K1500*$L1500*$M1500</f>
        <v/>
      </c>
      <c r="AG1500" s="16">
        <f>SUMPRODUCT(N1500:Y1500,$N$6:$Y$6)*$K1500*$L1500*$M1500</f>
        <v/>
      </c>
      <c r="AH1500" s="20" t="n"/>
    </row>
    <row r="1501">
      <c r="A1501" s="9" t="n">
        <v>691945</v>
      </c>
      <c r="B1501" s="9" t="inlineStr">
        <is>
          <t>Carter Baumler</t>
        </is>
      </c>
      <c r="C1501" s="9" t="inlineStr">
        <is>
          <t>TEX</t>
        </is>
      </c>
      <c r="D1501" s="9" t="n">
        <v>25</v>
      </c>
      <c r="E1501" s="18" t="inlineStr">
        <is>
          <t>R</t>
        </is>
      </c>
      <c r="F1501" s="18" t="n"/>
      <c r="G1501" s="9" t="n">
        <v>27</v>
      </c>
      <c r="H1501" s="9" t="n">
        <v>27</v>
      </c>
      <c r="I1501" s="9" t="inlineStr">
        <is>
          <t>Bullpen Depth Arm</t>
        </is>
      </c>
      <c r="J1501" s="18" t="inlineStr">
        <is>
          <t>Opening Day</t>
        </is>
      </c>
      <c r="K1501" s="11">
        <f>IFERROR(INDEX(Roles!$B$17:$B$20,MATCH(J1501,Roles!$A$17:$A$20,0)),1)</f>
        <v/>
      </c>
      <c r="L1501" s="19" t="n">
        <v>1</v>
      </c>
      <c r="M1501" s="11" t="n">
        <v>1</v>
      </c>
      <c r="N1501" s="19" t="n"/>
      <c r="O1501" s="19" t="n"/>
      <c r="P1501" s="19" t="n"/>
      <c r="Q1501" s="19" t="n"/>
      <c r="R1501" s="19" t="n"/>
      <c r="S1501" s="19" t="n"/>
      <c r="T1501" s="19" t="n"/>
      <c r="U1501" s="19" t="n"/>
      <c r="V1501" s="19" t="n">
        <v>0.15</v>
      </c>
      <c r="W1501" s="19" t="n">
        <v>0.85</v>
      </c>
      <c r="X1501" s="19" t="n"/>
      <c r="Y1501" s="19" t="n"/>
      <c r="Z1501" s="13">
        <f>SUMPRODUCT(N1501:Y1501,$N$2:$Y$2)*$K1501*$L1501*$M1501</f>
        <v/>
      </c>
      <c r="AA1501" s="14">
        <f>SUM(N1501:Y1501)</f>
        <v/>
      </c>
      <c r="AB1501" s="13">
        <f>SUMPRODUCT(N1501:Y1501,$N$3:$Y$3)*$K1501*$L1501*$M1501</f>
        <v/>
      </c>
      <c r="AC1501" s="13">
        <f>SUMPRODUCT(N1501:Y1501,$N$4:$Y$4)*$K1501*$L1501*$M1501</f>
        <v/>
      </c>
      <c r="AD1501" s="15" t="n">
        <v>8.066666666666666</v>
      </c>
      <c r="AE1501" s="11" t="n">
        <v>1.27372935706269</v>
      </c>
      <c r="AF1501" s="16">
        <f>SUMPRODUCT(N1501:Y1501,$N$5:$Y$5)*$K1501*$L1501*$M1501</f>
        <v/>
      </c>
      <c r="AG1501" s="16">
        <f>SUMPRODUCT(N1501:Y1501,$N$6:$Y$6)*$K1501*$L1501*$M1501</f>
        <v/>
      </c>
      <c r="AH1501" s="20" t="n"/>
    </row>
    <row r="1502">
      <c r="A1502" s="9" t="n">
        <v>813268</v>
      </c>
      <c r="B1502" s="9" t="inlineStr">
        <is>
          <t>Jake Curtis</t>
        </is>
      </c>
      <c r="C1502" s="9" t="inlineStr">
        <is>
          <t>CWS</t>
        </is>
      </c>
      <c r="D1502" s="9" t="n">
        <v>25</v>
      </c>
      <c r="E1502" s="18" t="inlineStr">
        <is>
          <t>R</t>
        </is>
      </c>
      <c r="F1502" s="18" t="n"/>
      <c r="G1502" s="9" t="n">
        <v>11.825</v>
      </c>
      <c r="H1502" s="9" t="n">
        <v>11.825</v>
      </c>
      <c r="I1502" s="9" t="inlineStr">
        <is>
          <t>Depth (no MLB IP)</t>
        </is>
      </c>
      <c r="J1502" s="18" t="inlineStr">
        <is>
          <t>Opening Day</t>
        </is>
      </c>
      <c r="K1502" s="11">
        <f>IFERROR(INDEX(Roles!$B$17:$B$20,MATCH(J1502,Roles!$A$17:$A$20,0)),1)</f>
        <v/>
      </c>
      <c r="L1502" s="19" t="n">
        <v>1</v>
      </c>
      <c r="M1502" s="11" t="n">
        <v>1</v>
      </c>
      <c r="N1502" s="19" t="n"/>
      <c r="O1502" s="19" t="n"/>
      <c r="P1502" s="19" t="n"/>
      <c r="Q1502" s="19" t="n"/>
      <c r="R1502" s="19" t="n"/>
      <c r="S1502" s="19" t="n"/>
      <c r="T1502" s="19" t="n"/>
      <c r="U1502" s="19" t="n"/>
      <c r="V1502" s="19" t="n"/>
      <c r="W1502" s="19" t="n"/>
      <c r="X1502" s="19" t="n"/>
      <c r="Y1502" s="19" t="n">
        <v>1</v>
      </c>
      <c r="Z1502" s="13">
        <f>SUMPRODUCT(N1502:Y1502,$N$2:$Y$2)*$K1502*$L1502*$M1502</f>
        <v/>
      </c>
      <c r="AA1502" s="14">
        <f>SUM(N1502:Y1502)</f>
        <v/>
      </c>
      <c r="AB1502" s="13">
        <f>SUMPRODUCT(N1502:Y1502,$N$3:$Y$3)*$K1502*$L1502*$M1502</f>
        <v/>
      </c>
      <c r="AC1502" s="13">
        <f>SUMPRODUCT(N1502:Y1502,$N$4:$Y$4)*$K1502*$L1502*$M1502</f>
        <v/>
      </c>
      <c r="AD1502" s="15" t="n">
        <v>3</v>
      </c>
      <c r="AE1502" s="11" t="n">
        <v>1.011296296296296</v>
      </c>
      <c r="AF1502" s="16">
        <f>SUMPRODUCT(N1502:Y1502,$N$5:$Y$5)*$K1502*$L1502*$M1502</f>
        <v/>
      </c>
      <c r="AG1502" s="16">
        <f>SUMPRODUCT(N1502:Y1502,$N$6:$Y$6)*$K1502*$L1502*$M1502</f>
        <v/>
      </c>
      <c r="AH1502" s="20" t="n"/>
    </row>
    <row r="1503">
      <c r="A1503" s="9" t="n">
        <v>695778</v>
      </c>
      <c r="B1503" s="9" t="inlineStr">
        <is>
          <t>Aidan Curry</t>
        </is>
      </c>
      <c r="C1503" s="9" t="inlineStr">
        <is>
          <t>TEX</t>
        </is>
      </c>
      <c r="D1503" s="9" t="n">
        <v>25</v>
      </c>
      <c r="E1503" s="18" t="inlineStr">
        <is>
          <t>R</t>
        </is>
      </c>
      <c r="F1503" s="18" t="n"/>
      <c r="G1503" s="9" t="n">
        <v>11.825</v>
      </c>
      <c r="H1503" s="9" t="n">
        <v>11.825</v>
      </c>
      <c r="I1503" s="9" t="inlineStr">
        <is>
          <t>Depth (no MLB IP)</t>
        </is>
      </c>
      <c r="J1503" s="18" t="inlineStr">
        <is>
          <t>Opening Day</t>
        </is>
      </c>
      <c r="K1503" s="11">
        <f>IFERROR(INDEX(Roles!$B$17:$B$20,MATCH(J1503,Roles!$A$17:$A$20,0)),1)</f>
        <v/>
      </c>
      <c r="L1503" s="19" t="n">
        <v>1</v>
      </c>
      <c r="M1503" s="11" t="n">
        <v>1</v>
      </c>
      <c r="N1503" s="19" t="n"/>
      <c r="O1503" s="19" t="n"/>
      <c r="P1503" s="19" t="n"/>
      <c r="Q1503" s="19" t="n"/>
      <c r="R1503" s="19" t="n"/>
      <c r="S1503" s="19" t="n"/>
      <c r="T1503" s="19" t="n"/>
      <c r="U1503" s="19" t="n"/>
      <c r="V1503" s="19" t="n"/>
      <c r="W1503" s="19" t="n"/>
      <c r="X1503" s="19" t="n"/>
      <c r="Y1503" s="19" t="n">
        <v>1</v>
      </c>
      <c r="Z1503" s="13">
        <f>SUMPRODUCT(N1503:Y1503,$N$2:$Y$2)*$K1503*$L1503*$M1503</f>
        <v/>
      </c>
      <c r="AA1503" s="14">
        <f>SUM(N1503:Y1503)</f>
        <v/>
      </c>
      <c r="AB1503" s="13">
        <f>SUMPRODUCT(N1503:Y1503,$N$3:$Y$3)*$K1503*$L1503*$M1503</f>
        <v/>
      </c>
      <c r="AC1503" s="13">
        <f>SUMPRODUCT(N1503:Y1503,$N$4:$Y$4)*$K1503*$L1503*$M1503</f>
        <v/>
      </c>
      <c r="AD1503" s="15" t="n">
        <v>3</v>
      </c>
      <c r="AE1503" s="11" t="n">
        <v>1.011296296296296</v>
      </c>
      <c r="AF1503" s="16">
        <f>SUMPRODUCT(N1503:Y1503,$N$5:$Y$5)*$K1503*$L1503*$M1503</f>
        <v/>
      </c>
      <c r="AG1503" s="16">
        <f>SUMPRODUCT(N1503:Y1503,$N$6:$Y$6)*$K1503*$L1503*$M1503</f>
        <v/>
      </c>
      <c r="AH1503" s="20" t="n"/>
    </row>
    <row r="1504">
      <c r="A1504" s="9" t="n">
        <v>829500</v>
      </c>
      <c r="B1504" s="9" t="inlineStr">
        <is>
          <t>Luis  Fonseca</t>
        </is>
      </c>
      <c r="C1504" s="9" t="inlineStr">
        <is>
          <t>CWS</t>
        </is>
      </c>
      <c r="D1504" s="9" t="n">
        <v>25</v>
      </c>
      <c r="E1504" s="18" t="inlineStr">
        <is>
          <t>L</t>
        </is>
      </c>
      <c r="F1504" s="18" t="n"/>
      <c r="G1504" s="9" t="n">
        <v>11.868</v>
      </c>
      <c r="H1504" s="9" t="n">
        <v>11.868</v>
      </c>
      <c r="I1504" s="9" t="inlineStr">
        <is>
          <t>Depth (no MLB IP)</t>
        </is>
      </c>
      <c r="J1504" s="18" t="inlineStr">
        <is>
          <t>Opening Day</t>
        </is>
      </c>
      <c r="K1504" s="11">
        <f>IFERROR(INDEX(Roles!$B$17:$B$20,MATCH(J1504,Roles!$A$17:$A$20,0)),1)</f>
        <v/>
      </c>
      <c r="L1504" s="19" t="n">
        <v>1</v>
      </c>
      <c r="M1504" s="11" t="n">
        <v>1</v>
      </c>
      <c r="N1504" s="19" t="n"/>
      <c r="O1504" s="19" t="n"/>
      <c r="P1504" s="19" t="n"/>
      <c r="Q1504" s="19" t="n"/>
      <c r="R1504" s="19" t="n"/>
      <c r="S1504" s="19" t="n"/>
      <c r="T1504" s="19" t="n"/>
      <c r="U1504" s="19" t="n"/>
      <c r="V1504" s="19" t="n"/>
      <c r="W1504" s="19" t="n"/>
      <c r="X1504" s="19" t="n"/>
      <c r="Y1504" s="19" t="n">
        <v>1</v>
      </c>
      <c r="Z1504" s="13">
        <f>SUMPRODUCT(N1504:Y1504,$N$2:$Y$2)*$K1504*$L1504*$M1504</f>
        <v/>
      </c>
      <c r="AA1504" s="14">
        <f>SUM(N1504:Y1504)</f>
        <v/>
      </c>
      <c r="AB1504" s="13">
        <f>SUMPRODUCT(N1504:Y1504,$N$3:$Y$3)*$K1504*$L1504*$M1504</f>
        <v/>
      </c>
      <c r="AC1504" s="13">
        <f>SUMPRODUCT(N1504:Y1504,$N$4:$Y$4)*$K1504*$L1504*$M1504</f>
        <v/>
      </c>
      <c r="AD1504" s="15" t="n">
        <v>3</v>
      </c>
      <c r="AE1504" s="11" t="n">
        <v>1.011296296296296</v>
      </c>
      <c r="AF1504" s="16">
        <f>SUMPRODUCT(N1504:Y1504,$N$5:$Y$5)*$K1504*$L1504*$M1504</f>
        <v/>
      </c>
      <c r="AG1504" s="16">
        <f>SUMPRODUCT(N1504:Y1504,$N$6:$Y$6)*$K1504*$L1504*$M1504</f>
        <v/>
      </c>
      <c r="AH1504" s="20" t="n"/>
    </row>
    <row r="1505">
      <c r="A1505" s="9" t="n">
        <v>824616</v>
      </c>
      <c r="B1505" s="9" t="inlineStr">
        <is>
          <t>KK Clark</t>
        </is>
      </c>
      <c r="C1505" s="9" t="inlineStr">
        <is>
          <t>BAL</t>
        </is>
      </c>
      <c r="D1505" s="9" t="n">
        <v>25</v>
      </c>
      <c r="E1505" s="18" t="inlineStr">
        <is>
          <t>R</t>
        </is>
      </c>
      <c r="F1505" s="18" t="n"/>
      <c r="G1505" s="9" t="n">
        <v>11.868</v>
      </c>
      <c r="H1505" s="9" t="n">
        <v>11.868</v>
      </c>
      <c r="I1505" s="9" t="inlineStr">
        <is>
          <t>Depth (no MLB IP)</t>
        </is>
      </c>
      <c r="J1505" s="18" t="inlineStr">
        <is>
          <t>Opening Day</t>
        </is>
      </c>
      <c r="K1505" s="11">
        <f>IFERROR(INDEX(Roles!$B$17:$B$20,MATCH(J1505,Roles!$A$17:$A$20,0)),1)</f>
        <v/>
      </c>
      <c r="L1505" s="19" t="n">
        <v>1</v>
      </c>
      <c r="M1505" s="11" t="n">
        <v>1</v>
      </c>
      <c r="N1505" s="19" t="n"/>
      <c r="O1505" s="19" t="n"/>
      <c r="P1505" s="19" t="n"/>
      <c r="Q1505" s="19" t="n"/>
      <c r="R1505" s="19" t="n"/>
      <c r="S1505" s="19" t="n"/>
      <c r="T1505" s="19" t="n"/>
      <c r="U1505" s="19" t="n"/>
      <c r="V1505" s="19" t="n"/>
      <c r="W1505" s="19" t="n"/>
      <c r="X1505" s="19" t="n"/>
      <c r="Y1505" s="19" t="n">
        <v>1</v>
      </c>
      <c r="Z1505" s="13">
        <f>SUMPRODUCT(N1505:Y1505,$N$2:$Y$2)*$K1505*$L1505*$M1505</f>
        <v/>
      </c>
      <c r="AA1505" s="14">
        <f>SUM(N1505:Y1505)</f>
        <v/>
      </c>
      <c r="AB1505" s="13">
        <f>SUMPRODUCT(N1505:Y1505,$N$3:$Y$3)*$K1505*$L1505*$M1505</f>
        <v/>
      </c>
      <c r="AC1505" s="13">
        <f>SUMPRODUCT(N1505:Y1505,$N$4:$Y$4)*$K1505*$L1505*$M1505</f>
        <v/>
      </c>
      <c r="AD1505" s="15" t="n">
        <v>3</v>
      </c>
      <c r="AE1505" s="11" t="n">
        <v>1.011296296296296</v>
      </c>
      <c r="AF1505" s="16">
        <f>SUMPRODUCT(N1505:Y1505,$N$5:$Y$5)*$K1505*$L1505*$M1505</f>
        <v/>
      </c>
      <c r="AG1505" s="16">
        <f>SUMPRODUCT(N1505:Y1505,$N$6:$Y$6)*$K1505*$L1505*$M1505</f>
        <v/>
      </c>
      <c r="AH1505" s="20" t="n"/>
    </row>
    <row r="1506">
      <c r="A1506" s="9" t="n">
        <v>691721</v>
      </c>
      <c r="B1506" s="9" t="inlineStr">
        <is>
          <t>Jared Kelley</t>
        </is>
      </c>
      <c r="C1506" s="9" t="inlineStr">
        <is>
          <t>CWS</t>
        </is>
      </c>
      <c r="D1506" s="9" t="n">
        <v>25</v>
      </c>
      <c r="E1506" s="18" t="inlineStr">
        <is>
          <t>R</t>
        </is>
      </c>
      <c r="F1506" s="18" t="n"/>
      <c r="G1506" s="9" t="n">
        <v>11.825</v>
      </c>
      <c r="H1506" s="9" t="n">
        <v>11.825</v>
      </c>
      <c r="I1506" s="9" t="inlineStr">
        <is>
          <t>Depth (no MLB IP)</t>
        </is>
      </c>
      <c r="J1506" s="18" t="inlineStr">
        <is>
          <t>Opening Day</t>
        </is>
      </c>
      <c r="K1506" s="11">
        <f>IFERROR(INDEX(Roles!$B$17:$B$20,MATCH(J1506,Roles!$A$17:$A$20,0)),1)</f>
        <v/>
      </c>
      <c r="L1506" s="19" t="n">
        <v>1</v>
      </c>
      <c r="M1506" s="11" t="n">
        <v>1</v>
      </c>
      <c r="N1506" s="19" t="n"/>
      <c r="O1506" s="19" t="n"/>
      <c r="P1506" s="19" t="n"/>
      <c r="Q1506" s="19" t="n"/>
      <c r="R1506" s="19" t="n"/>
      <c r="S1506" s="19" t="n"/>
      <c r="T1506" s="19" t="n"/>
      <c r="U1506" s="19" t="n"/>
      <c r="V1506" s="19" t="n"/>
      <c r="W1506" s="19" t="n"/>
      <c r="X1506" s="19" t="n"/>
      <c r="Y1506" s="19" t="n">
        <v>1</v>
      </c>
      <c r="Z1506" s="13">
        <f>SUMPRODUCT(N1506:Y1506,$N$2:$Y$2)*$K1506*$L1506*$M1506</f>
        <v/>
      </c>
      <c r="AA1506" s="14">
        <f>SUM(N1506:Y1506)</f>
        <v/>
      </c>
      <c r="AB1506" s="13">
        <f>SUMPRODUCT(N1506:Y1506,$N$3:$Y$3)*$K1506*$L1506*$M1506</f>
        <v/>
      </c>
      <c r="AC1506" s="13">
        <f>SUMPRODUCT(N1506:Y1506,$N$4:$Y$4)*$K1506*$L1506*$M1506</f>
        <v/>
      </c>
      <c r="AD1506" s="15" t="n">
        <v>3</v>
      </c>
      <c r="AE1506" s="11" t="n">
        <v>1.011296296296296</v>
      </c>
      <c r="AF1506" s="16">
        <f>SUMPRODUCT(N1506:Y1506,$N$5:$Y$5)*$K1506*$L1506*$M1506</f>
        <v/>
      </c>
      <c r="AG1506" s="16">
        <f>SUMPRODUCT(N1506:Y1506,$N$6:$Y$6)*$K1506*$L1506*$M1506</f>
        <v/>
      </c>
      <c r="AH1506" s="20" t="n"/>
    </row>
    <row r="1507">
      <c r="A1507" s="9" t="n">
        <v>668761</v>
      </c>
      <c r="B1507" s="9" t="inlineStr">
        <is>
          <t>Colin Peluse</t>
        </is>
      </c>
      <c r="C1507" s="9" t="inlineStr">
        <is>
          <t>PHI</t>
        </is>
      </c>
      <c r="D1507" s="9" t="n">
        <v>25</v>
      </c>
      <c r="E1507" s="18" t="inlineStr">
        <is>
          <t>R</t>
        </is>
      </c>
      <c r="F1507" s="18" t="n"/>
      <c r="G1507" s="9" t="n">
        <v>11.825</v>
      </c>
      <c r="H1507" s="9" t="n">
        <v>11.825</v>
      </c>
      <c r="I1507" s="9" t="inlineStr">
        <is>
          <t>Depth (no MLB IP)</t>
        </is>
      </c>
      <c r="J1507" s="18" t="inlineStr">
        <is>
          <t>Opening Day</t>
        </is>
      </c>
      <c r="K1507" s="11">
        <f>IFERROR(INDEX(Roles!$B$17:$B$20,MATCH(J1507,Roles!$A$17:$A$20,0)),1)</f>
        <v/>
      </c>
      <c r="L1507" s="19" t="n">
        <v>1</v>
      </c>
      <c r="M1507" s="11" t="n">
        <v>1</v>
      </c>
      <c r="N1507" s="19" t="n"/>
      <c r="O1507" s="19" t="n"/>
      <c r="P1507" s="19" t="n"/>
      <c r="Q1507" s="19" t="n"/>
      <c r="R1507" s="19" t="n"/>
      <c r="S1507" s="19" t="n"/>
      <c r="T1507" s="19" t="n"/>
      <c r="U1507" s="19" t="n"/>
      <c r="V1507" s="19" t="n"/>
      <c r="W1507" s="19" t="n"/>
      <c r="X1507" s="19" t="n"/>
      <c r="Y1507" s="19" t="n">
        <v>1</v>
      </c>
      <c r="Z1507" s="13">
        <f>SUMPRODUCT(N1507:Y1507,$N$2:$Y$2)*$K1507*$L1507*$M1507</f>
        <v/>
      </c>
      <c r="AA1507" s="14">
        <f>SUM(N1507:Y1507)</f>
        <v/>
      </c>
      <c r="AB1507" s="13">
        <f>SUMPRODUCT(N1507:Y1507,$N$3:$Y$3)*$K1507*$L1507*$M1507</f>
        <v/>
      </c>
      <c r="AC1507" s="13">
        <f>SUMPRODUCT(N1507:Y1507,$N$4:$Y$4)*$K1507*$L1507*$M1507</f>
        <v/>
      </c>
      <c r="AD1507" s="15" t="n">
        <v>3</v>
      </c>
      <c r="AE1507" s="11" t="n">
        <v>1.011296296296296</v>
      </c>
      <c r="AF1507" s="16">
        <f>SUMPRODUCT(N1507:Y1507,$N$5:$Y$5)*$K1507*$L1507*$M1507</f>
        <v/>
      </c>
      <c r="AG1507" s="16">
        <f>SUMPRODUCT(N1507:Y1507,$N$6:$Y$6)*$K1507*$L1507*$M1507</f>
        <v/>
      </c>
      <c r="AH1507" s="20" t="n"/>
    </row>
    <row r="1508">
      <c r="A1508" s="9" t="n">
        <v>823115</v>
      </c>
      <c r="B1508" s="9" t="inlineStr">
        <is>
          <t>Mason Moore</t>
        </is>
      </c>
      <c r="C1508" s="9" t="inlineStr">
        <is>
          <t>CWS</t>
        </is>
      </c>
      <c r="D1508" s="9" t="n">
        <v>25</v>
      </c>
      <c r="E1508" s="18" t="inlineStr">
        <is>
          <t>R</t>
        </is>
      </c>
      <c r="F1508" s="18" t="n"/>
      <c r="G1508" s="9" t="n">
        <v>11.75333333333333</v>
      </c>
      <c r="H1508" s="9" t="n">
        <v>11.75333333333333</v>
      </c>
      <c r="I1508" s="9" t="inlineStr">
        <is>
          <t>Depth (no MLB IP)</t>
        </is>
      </c>
      <c r="J1508" s="18" t="inlineStr">
        <is>
          <t>Opening Day</t>
        </is>
      </c>
      <c r="K1508" s="11">
        <f>IFERROR(INDEX(Roles!$B$17:$B$20,MATCH(J1508,Roles!$A$17:$A$20,0)),1)</f>
        <v/>
      </c>
      <c r="L1508" s="19" t="n">
        <v>1</v>
      </c>
      <c r="M1508" s="11" t="n">
        <v>1</v>
      </c>
      <c r="N1508" s="19" t="n"/>
      <c r="O1508" s="19" t="n"/>
      <c r="P1508" s="19" t="n"/>
      <c r="Q1508" s="19" t="n"/>
      <c r="R1508" s="19" t="n"/>
      <c r="S1508" s="19" t="n"/>
      <c r="T1508" s="19" t="n"/>
      <c r="U1508" s="19" t="n"/>
      <c r="V1508" s="19" t="n"/>
      <c r="W1508" s="19" t="n"/>
      <c r="X1508" s="19" t="n"/>
      <c r="Y1508" s="19" t="n">
        <v>1</v>
      </c>
      <c r="Z1508" s="13">
        <f>SUMPRODUCT(N1508:Y1508,$N$2:$Y$2)*$K1508*$L1508*$M1508</f>
        <v/>
      </c>
      <c r="AA1508" s="14">
        <f>SUM(N1508:Y1508)</f>
        <v/>
      </c>
      <c r="AB1508" s="13">
        <f>SUMPRODUCT(N1508:Y1508,$N$3:$Y$3)*$K1508*$L1508*$M1508</f>
        <v/>
      </c>
      <c r="AC1508" s="13">
        <f>SUMPRODUCT(N1508:Y1508,$N$4:$Y$4)*$K1508*$L1508*$M1508</f>
        <v/>
      </c>
      <c r="AD1508" s="15" t="n">
        <v>3</v>
      </c>
      <c r="AE1508" s="11" t="n">
        <v>1.011296296296296</v>
      </c>
      <c r="AF1508" s="16">
        <f>SUMPRODUCT(N1508:Y1508,$N$5:$Y$5)*$K1508*$L1508*$M1508</f>
        <v/>
      </c>
      <c r="AG1508" s="16">
        <f>SUMPRODUCT(N1508:Y1508,$N$6:$Y$6)*$K1508*$L1508*$M1508</f>
        <v/>
      </c>
      <c r="AH1508" s="20" t="n"/>
    </row>
    <row r="1509">
      <c r="A1509" s="9" t="n">
        <v>701422</v>
      </c>
      <c r="B1509" s="9" t="inlineStr">
        <is>
          <t>Conner Whittaker</t>
        </is>
      </c>
      <c r="C1509" s="9" t="inlineStr">
        <is>
          <t>CLE</t>
        </is>
      </c>
      <c r="D1509" s="9" t="n">
        <v>25</v>
      </c>
      <c r="E1509" s="18" t="inlineStr">
        <is>
          <t>R</t>
        </is>
      </c>
      <c r="F1509" s="18" t="n"/>
      <c r="G1509" s="9" t="n">
        <v>11.75333333333333</v>
      </c>
      <c r="H1509" s="9" t="n">
        <v>11.75333333333333</v>
      </c>
      <c r="I1509" s="9" t="inlineStr">
        <is>
          <t>Depth (no MLB IP)</t>
        </is>
      </c>
      <c r="J1509" s="18" t="inlineStr">
        <is>
          <t>Opening Day</t>
        </is>
      </c>
      <c r="K1509" s="11">
        <f>IFERROR(INDEX(Roles!$B$17:$B$20,MATCH(J1509,Roles!$A$17:$A$20,0)),1)</f>
        <v/>
      </c>
      <c r="L1509" s="19" t="n">
        <v>1</v>
      </c>
      <c r="M1509" s="11" t="n">
        <v>1</v>
      </c>
      <c r="N1509" s="19" t="n"/>
      <c r="O1509" s="19" t="n"/>
      <c r="P1509" s="19" t="n"/>
      <c r="Q1509" s="19" t="n"/>
      <c r="R1509" s="19" t="n"/>
      <c r="S1509" s="19" t="n"/>
      <c r="T1509" s="19" t="n"/>
      <c r="U1509" s="19" t="n"/>
      <c r="V1509" s="19" t="n"/>
      <c r="W1509" s="19" t="n"/>
      <c r="X1509" s="19" t="n"/>
      <c r="Y1509" s="19" t="n">
        <v>1</v>
      </c>
      <c r="Z1509" s="13">
        <f>SUMPRODUCT(N1509:Y1509,$N$2:$Y$2)*$K1509*$L1509*$M1509</f>
        <v/>
      </c>
      <c r="AA1509" s="14">
        <f>SUM(N1509:Y1509)</f>
        <v/>
      </c>
      <c r="AB1509" s="13">
        <f>SUMPRODUCT(N1509:Y1509,$N$3:$Y$3)*$K1509*$L1509*$M1509</f>
        <v/>
      </c>
      <c r="AC1509" s="13">
        <f>SUMPRODUCT(N1509:Y1509,$N$4:$Y$4)*$K1509*$L1509*$M1509</f>
        <v/>
      </c>
      <c r="AD1509" s="15" t="n">
        <v>3</v>
      </c>
      <c r="AE1509" s="11" t="n">
        <v>1.011296296296296</v>
      </c>
      <c r="AF1509" s="16">
        <f>SUMPRODUCT(N1509:Y1509,$N$5:$Y$5)*$K1509*$L1509*$M1509</f>
        <v/>
      </c>
      <c r="AG1509" s="16">
        <f>SUMPRODUCT(N1509:Y1509,$N$6:$Y$6)*$K1509*$L1509*$M1509</f>
        <v/>
      </c>
      <c r="AH1509" s="20" t="n"/>
    </row>
    <row r="1510">
      <c r="A1510" s="9" t="n">
        <v>813683</v>
      </c>
      <c r="B1510" s="9" t="inlineStr">
        <is>
          <t>Jose Zerpa</t>
        </is>
      </c>
      <c r="C1510" s="9" t="inlineStr">
        <is>
          <t>SEA</t>
        </is>
      </c>
      <c r="D1510" s="9" t="n">
        <v>25</v>
      </c>
      <c r="E1510" s="18" t="inlineStr">
        <is>
          <t>R</t>
        </is>
      </c>
      <c r="F1510" s="18" t="n"/>
      <c r="G1510" s="9" t="n">
        <v>11.868</v>
      </c>
      <c r="H1510" s="9" t="n">
        <v>11.868</v>
      </c>
      <c r="I1510" s="9" t="inlineStr">
        <is>
          <t>Depth (no MLB IP)</t>
        </is>
      </c>
      <c r="J1510" s="18" t="inlineStr">
        <is>
          <t>Opening Day</t>
        </is>
      </c>
      <c r="K1510" s="11">
        <f>IFERROR(INDEX(Roles!$B$17:$B$20,MATCH(J1510,Roles!$A$17:$A$20,0)),1)</f>
        <v/>
      </c>
      <c r="L1510" s="19" t="n">
        <v>1</v>
      </c>
      <c r="M1510" s="11" t="n">
        <v>1</v>
      </c>
      <c r="N1510" s="19" t="n"/>
      <c r="O1510" s="19" t="n"/>
      <c r="P1510" s="19" t="n"/>
      <c r="Q1510" s="19" t="n"/>
      <c r="R1510" s="19" t="n"/>
      <c r="S1510" s="19" t="n"/>
      <c r="T1510" s="19" t="n"/>
      <c r="U1510" s="19" t="n"/>
      <c r="V1510" s="19" t="n"/>
      <c r="W1510" s="19" t="n"/>
      <c r="X1510" s="19" t="n"/>
      <c r="Y1510" s="19" t="n">
        <v>1</v>
      </c>
      <c r="Z1510" s="13">
        <f>SUMPRODUCT(N1510:Y1510,$N$2:$Y$2)*$K1510*$L1510*$M1510</f>
        <v/>
      </c>
      <c r="AA1510" s="14">
        <f>SUM(N1510:Y1510)</f>
        <v/>
      </c>
      <c r="AB1510" s="13">
        <f>SUMPRODUCT(N1510:Y1510,$N$3:$Y$3)*$K1510*$L1510*$M1510</f>
        <v/>
      </c>
      <c r="AC1510" s="13">
        <f>SUMPRODUCT(N1510:Y1510,$N$4:$Y$4)*$K1510*$L1510*$M1510</f>
        <v/>
      </c>
      <c r="AD1510" s="15" t="n">
        <v>3</v>
      </c>
      <c r="AE1510" s="11" t="n">
        <v>1.011296296296296</v>
      </c>
      <c r="AF1510" s="16">
        <f>SUMPRODUCT(N1510:Y1510,$N$5:$Y$5)*$K1510*$L1510*$M1510</f>
        <v/>
      </c>
      <c r="AG1510" s="16">
        <f>SUMPRODUCT(N1510:Y1510,$N$6:$Y$6)*$K1510*$L1510*$M1510</f>
        <v/>
      </c>
      <c r="AH1510" s="20" t="n"/>
    </row>
    <row r="1511">
      <c r="A1511" s="9" t="n">
        <v>695618</v>
      </c>
      <c r="B1511" s="9" t="inlineStr">
        <is>
          <t>Anthony Susac</t>
        </is>
      </c>
      <c r="C1511" s="9" t="inlineStr">
        <is>
          <t>TEX</t>
        </is>
      </c>
      <c r="D1511" s="9" t="n">
        <v>25</v>
      </c>
      <c r="E1511" s="18" t="inlineStr">
        <is>
          <t>R</t>
        </is>
      </c>
      <c r="F1511" s="18" t="n"/>
      <c r="G1511" s="9" t="n">
        <v>12.04</v>
      </c>
      <c r="H1511" s="9" t="n">
        <v>12.04</v>
      </c>
      <c r="I1511" s="9" t="inlineStr">
        <is>
          <t>Depth (no MLB IP)</t>
        </is>
      </c>
      <c r="J1511" s="18" t="inlineStr">
        <is>
          <t>Opening Day</t>
        </is>
      </c>
      <c r="K1511" s="11">
        <f>IFERROR(INDEX(Roles!$B$17:$B$20,MATCH(J1511,Roles!$A$17:$A$20,0)),1)</f>
        <v/>
      </c>
      <c r="L1511" s="19" t="n">
        <v>1</v>
      </c>
      <c r="M1511" s="11" t="n">
        <v>1</v>
      </c>
      <c r="N1511" s="19" t="n"/>
      <c r="O1511" s="19" t="n"/>
      <c r="P1511" s="19" t="n"/>
      <c r="Q1511" s="19" t="n"/>
      <c r="R1511" s="19" t="n"/>
      <c r="S1511" s="19" t="n"/>
      <c r="T1511" s="19" t="n"/>
      <c r="U1511" s="19" t="n"/>
      <c r="V1511" s="19" t="n"/>
      <c r="W1511" s="19" t="n"/>
      <c r="X1511" s="19" t="n"/>
      <c r="Y1511" s="19" t="n">
        <v>1</v>
      </c>
      <c r="Z1511" s="13">
        <f>SUMPRODUCT(N1511:Y1511,$N$2:$Y$2)*$K1511*$L1511*$M1511</f>
        <v/>
      </c>
      <c r="AA1511" s="14">
        <f>SUM(N1511:Y1511)</f>
        <v/>
      </c>
      <c r="AB1511" s="13">
        <f>SUMPRODUCT(N1511:Y1511,$N$3:$Y$3)*$K1511*$L1511*$M1511</f>
        <v/>
      </c>
      <c r="AC1511" s="13">
        <f>SUMPRODUCT(N1511:Y1511,$N$4:$Y$4)*$K1511*$L1511*$M1511</f>
        <v/>
      </c>
      <c r="AD1511" s="15" t="n">
        <v>3</v>
      </c>
      <c r="AE1511" s="11" t="n">
        <v>1.011296296296296</v>
      </c>
      <c r="AF1511" s="16">
        <f>SUMPRODUCT(N1511:Y1511,$N$5:$Y$5)*$K1511*$L1511*$M1511</f>
        <v/>
      </c>
      <c r="AG1511" s="16">
        <f>SUMPRODUCT(N1511:Y1511,$N$6:$Y$6)*$K1511*$L1511*$M1511</f>
        <v/>
      </c>
      <c r="AH1511" s="20" t="n"/>
    </row>
    <row r="1512">
      <c r="A1512" s="9" t="n">
        <v>805262</v>
      </c>
      <c r="B1512" s="9" t="inlineStr">
        <is>
          <t>Jaren Warwick</t>
        </is>
      </c>
      <c r="C1512" s="9" t="inlineStr">
        <is>
          <t>LAA</t>
        </is>
      </c>
      <c r="D1512" s="9" t="n">
        <v>25</v>
      </c>
      <c r="E1512" s="18" t="inlineStr">
        <is>
          <t>R</t>
        </is>
      </c>
      <c r="F1512" s="18" t="n"/>
      <c r="G1512" s="9" t="n">
        <v>12.04</v>
      </c>
      <c r="H1512" s="9" t="n">
        <v>12.04</v>
      </c>
      <c r="I1512" s="9" t="inlineStr">
        <is>
          <t>Depth (no MLB IP)</t>
        </is>
      </c>
      <c r="J1512" s="18" t="inlineStr">
        <is>
          <t>Opening Day</t>
        </is>
      </c>
      <c r="K1512" s="11">
        <f>IFERROR(INDEX(Roles!$B$17:$B$20,MATCH(J1512,Roles!$A$17:$A$20,0)),1)</f>
        <v/>
      </c>
      <c r="L1512" s="19" t="n">
        <v>1</v>
      </c>
      <c r="M1512" s="11" t="n">
        <v>1</v>
      </c>
      <c r="N1512" s="19" t="n"/>
      <c r="O1512" s="19" t="n"/>
      <c r="P1512" s="19" t="n"/>
      <c r="Q1512" s="19" t="n"/>
      <c r="R1512" s="19" t="n"/>
      <c r="S1512" s="19" t="n"/>
      <c r="T1512" s="19" t="n"/>
      <c r="U1512" s="19" t="n"/>
      <c r="V1512" s="19" t="n"/>
      <c r="W1512" s="19" t="n"/>
      <c r="X1512" s="19" t="n"/>
      <c r="Y1512" s="19" t="n">
        <v>1</v>
      </c>
      <c r="Z1512" s="13">
        <f>SUMPRODUCT(N1512:Y1512,$N$2:$Y$2)*$K1512*$L1512*$M1512</f>
        <v/>
      </c>
      <c r="AA1512" s="14">
        <f>SUM(N1512:Y1512)</f>
        <v/>
      </c>
      <c r="AB1512" s="13">
        <f>SUMPRODUCT(N1512:Y1512,$N$3:$Y$3)*$K1512*$L1512*$M1512</f>
        <v/>
      </c>
      <c r="AC1512" s="13">
        <f>SUMPRODUCT(N1512:Y1512,$N$4:$Y$4)*$K1512*$L1512*$M1512</f>
        <v/>
      </c>
      <c r="AD1512" s="15" t="n">
        <v>3</v>
      </c>
      <c r="AE1512" s="11" t="n">
        <v>1.011296296296296</v>
      </c>
      <c r="AF1512" s="16">
        <f>SUMPRODUCT(N1512:Y1512,$N$5:$Y$5)*$K1512*$L1512*$M1512</f>
        <v/>
      </c>
      <c r="AG1512" s="16">
        <f>SUMPRODUCT(N1512:Y1512,$N$6:$Y$6)*$K1512*$L1512*$M1512</f>
        <v/>
      </c>
      <c r="AH1512" s="20" t="n"/>
    </row>
    <row r="1513">
      <c r="A1513" s="9" t="n">
        <v>694855</v>
      </c>
      <c r="B1513" s="9" t="inlineStr">
        <is>
          <t>Riley Cooper</t>
        </is>
      </c>
      <c r="C1513" s="9" t="inlineStr">
        <is>
          <t>BAL</t>
        </is>
      </c>
      <c r="D1513" s="9" t="n">
        <v>25</v>
      </c>
      <c r="E1513" s="18" t="inlineStr">
        <is>
          <t>L</t>
        </is>
      </c>
      <c r="F1513" s="18" t="n"/>
      <c r="G1513" s="9" t="n">
        <v>11.825</v>
      </c>
      <c r="H1513" s="9" t="n">
        <v>11.825</v>
      </c>
      <c r="I1513" s="9" t="inlineStr">
        <is>
          <t>Depth (no MLB IP)</t>
        </is>
      </c>
      <c r="J1513" s="18" t="inlineStr">
        <is>
          <t>Opening Day</t>
        </is>
      </c>
      <c r="K1513" s="11">
        <f>IFERROR(INDEX(Roles!$B$17:$B$20,MATCH(J1513,Roles!$A$17:$A$20,0)),1)</f>
        <v/>
      </c>
      <c r="L1513" s="19" t="n">
        <v>1</v>
      </c>
      <c r="M1513" s="11" t="n">
        <v>1</v>
      </c>
      <c r="N1513" s="19" t="n"/>
      <c r="O1513" s="19" t="n"/>
      <c r="P1513" s="19" t="n"/>
      <c r="Q1513" s="19" t="n"/>
      <c r="R1513" s="19" t="n"/>
      <c r="S1513" s="19" t="n"/>
      <c r="T1513" s="19" t="n"/>
      <c r="U1513" s="19" t="n"/>
      <c r="V1513" s="19" t="n"/>
      <c r="W1513" s="19" t="n"/>
      <c r="X1513" s="19" t="n"/>
      <c r="Y1513" s="19" t="n">
        <v>1</v>
      </c>
      <c r="Z1513" s="13">
        <f>SUMPRODUCT(N1513:Y1513,$N$2:$Y$2)*$K1513*$L1513*$M1513</f>
        <v/>
      </c>
      <c r="AA1513" s="14">
        <f>SUM(N1513:Y1513)</f>
        <v/>
      </c>
      <c r="AB1513" s="13">
        <f>SUMPRODUCT(N1513:Y1513,$N$3:$Y$3)*$K1513*$L1513*$M1513</f>
        <v/>
      </c>
      <c r="AC1513" s="13">
        <f>SUMPRODUCT(N1513:Y1513,$N$4:$Y$4)*$K1513*$L1513*$M1513</f>
        <v/>
      </c>
      <c r="AD1513" s="15" t="n">
        <v>3</v>
      </c>
      <c r="AE1513" s="11" t="n">
        <v>1.011296296296296</v>
      </c>
      <c r="AF1513" s="16">
        <f>SUMPRODUCT(N1513:Y1513,$N$5:$Y$5)*$K1513*$L1513*$M1513</f>
        <v/>
      </c>
      <c r="AG1513" s="16">
        <f>SUMPRODUCT(N1513:Y1513,$N$6:$Y$6)*$K1513*$L1513*$M1513</f>
        <v/>
      </c>
      <c r="AH1513" s="20" t="n"/>
    </row>
    <row r="1514">
      <c r="A1514" s="9" t="n">
        <v>827487</v>
      </c>
      <c r="B1514" s="9" t="inlineStr">
        <is>
          <t>Yoesmerli Beltre</t>
        </is>
      </c>
      <c r="C1514" s="9" t="inlineStr">
        <is>
          <t>SD</t>
        </is>
      </c>
      <c r="D1514" s="9" t="n">
        <v>25</v>
      </c>
      <c r="E1514" s="18" t="inlineStr">
        <is>
          <t>R</t>
        </is>
      </c>
      <c r="F1514" s="18" t="n"/>
      <c r="G1514" s="9" t="n">
        <v>11.868</v>
      </c>
      <c r="H1514" s="9" t="n">
        <v>11.868</v>
      </c>
      <c r="I1514" s="9" t="inlineStr">
        <is>
          <t>Depth (no MLB IP)</t>
        </is>
      </c>
      <c r="J1514" s="18" t="inlineStr">
        <is>
          <t>Opening Day</t>
        </is>
      </c>
      <c r="K1514" s="11">
        <f>IFERROR(INDEX(Roles!$B$17:$B$20,MATCH(J1514,Roles!$A$17:$A$20,0)),1)</f>
        <v/>
      </c>
      <c r="L1514" s="19" t="n">
        <v>1</v>
      </c>
      <c r="M1514" s="11" t="n">
        <v>1</v>
      </c>
      <c r="N1514" s="19" t="n"/>
      <c r="O1514" s="19" t="n"/>
      <c r="P1514" s="19" t="n"/>
      <c r="Q1514" s="19" t="n"/>
      <c r="R1514" s="19" t="n"/>
      <c r="S1514" s="19" t="n"/>
      <c r="T1514" s="19" t="n"/>
      <c r="U1514" s="19" t="n"/>
      <c r="V1514" s="19" t="n"/>
      <c r="W1514" s="19" t="n"/>
      <c r="X1514" s="19" t="n"/>
      <c r="Y1514" s="19" t="n">
        <v>1</v>
      </c>
      <c r="Z1514" s="13">
        <f>SUMPRODUCT(N1514:Y1514,$N$2:$Y$2)*$K1514*$L1514*$M1514</f>
        <v/>
      </c>
      <c r="AA1514" s="14">
        <f>SUM(N1514:Y1514)</f>
        <v/>
      </c>
      <c r="AB1514" s="13">
        <f>SUMPRODUCT(N1514:Y1514,$N$3:$Y$3)*$K1514*$L1514*$M1514</f>
        <v/>
      </c>
      <c r="AC1514" s="13">
        <f>SUMPRODUCT(N1514:Y1514,$N$4:$Y$4)*$K1514*$L1514*$M1514</f>
        <v/>
      </c>
      <c r="AD1514" s="15" t="n">
        <v>3</v>
      </c>
      <c r="AE1514" s="11" t="n">
        <v>1.011296296296296</v>
      </c>
      <c r="AF1514" s="16">
        <f>SUMPRODUCT(N1514:Y1514,$N$5:$Y$5)*$K1514*$L1514*$M1514</f>
        <v/>
      </c>
      <c r="AG1514" s="16">
        <f>SUMPRODUCT(N1514:Y1514,$N$6:$Y$6)*$K1514*$L1514*$M1514</f>
        <v/>
      </c>
      <c r="AH1514" s="20" t="n"/>
    </row>
    <row r="1515">
      <c r="A1515" s="9" t="n">
        <v>806640</v>
      </c>
      <c r="B1515" s="9" t="inlineStr">
        <is>
          <t>Daniel Keaney</t>
        </is>
      </c>
      <c r="C1515" s="9" t="inlineStr">
        <is>
          <t>TEX</t>
        </is>
      </c>
      <c r="D1515" s="9" t="n">
        <v>25</v>
      </c>
      <c r="E1515" s="18" t="inlineStr">
        <is>
          <t>R</t>
        </is>
      </c>
      <c r="F1515" s="18" t="n"/>
      <c r="G1515" s="9" t="n">
        <v>12.04</v>
      </c>
      <c r="H1515" s="9" t="n">
        <v>12.04</v>
      </c>
      <c r="I1515" s="9" t="inlineStr">
        <is>
          <t>Depth (no MLB IP)</t>
        </is>
      </c>
      <c r="J1515" s="18" t="inlineStr">
        <is>
          <t>Opening Day</t>
        </is>
      </c>
      <c r="K1515" s="11">
        <f>IFERROR(INDEX(Roles!$B$17:$B$20,MATCH(J1515,Roles!$A$17:$A$20,0)),1)</f>
        <v/>
      </c>
      <c r="L1515" s="19" t="n">
        <v>1</v>
      </c>
      <c r="M1515" s="11" t="n">
        <v>1</v>
      </c>
      <c r="N1515" s="19" t="n"/>
      <c r="O1515" s="19" t="n"/>
      <c r="P1515" s="19" t="n"/>
      <c r="Q1515" s="19" t="n"/>
      <c r="R1515" s="19" t="n"/>
      <c r="S1515" s="19" t="n"/>
      <c r="T1515" s="19" t="n"/>
      <c r="U1515" s="19" t="n"/>
      <c r="V1515" s="19" t="n"/>
      <c r="W1515" s="19" t="n"/>
      <c r="X1515" s="19" t="n"/>
      <c r="Y1515" s="19" t="n">
        <v>1</v>
      </c>
      <c r="Z1515" s="13">
        <f>SUMPRODUCT(N1515:Y1515,$N$2:$Y$2)*$K1515*$L1515*$M1515</f>
        <v/>
      </c>
      <c r="AA1515" s="14">
        <f>SUM(N1515:Y1515)</f>
        <v/>
      </c>
      <c r="AB1515" s="13">
        <f>SUMPRODUCT(N1515:Y1515,$N$3:$Y$3)*$K1515*$L1515*$M1515</f>
        <v/>
      </c>
      <c r="AC1515" s="13">
        <f>SUMPRODUCT(N1515:Y1515,$N$4:$Y$4)*$K1515*$L1515*$M1515</f>
        <v/>
      </c>
      <c r="AD1515" s="15" t="n">
        <v>3</v>
      </c>
      <c r="AE1515" s="11" t="n">
        <v>1.011296296296296</v>
      </c>
      <c r="AF1515" s="16">
        <f>SUMPRODUCT(N1515:Y1515,$N$5:$Y$5)*$K1515*$L1515*$M1515</f>
        <v/>
      </c>
      <c r="AG1515" s="16">
        <f>SUMPRODUCT(N1515:Y1515,$N$6:$Y$6)*$K1515*$L1515*$M1515</f>
        <v/>
      </c>
      <c r="AH1515" s="20" t="n"/>
    </row>
    <row r="1516">
      <c r="A1516" s="9" t="n">
        <v>800344</v>
      </c>
      <c r="B1516" s="9" t="inlineStr">
        <is>
          <t>Sean Paul Liñan</t>
        </is>
      </c>
      <c r="C1516" s="9" t="inlineStr">
        <is>
          <t>NYY</t>
        </is>
      </c>
      <c r="D1516" s="9" t="n">
        <v>25</v>
      </c>
      <c r="E1516" s="18" t="inlineStr">
        <is>
          <t>R</t>
        </is>
      </c>
      <c r="F1516" s="18" t="n"/>
      <c r="G1516" s="9" t="n">
        <v>12.04</v>
      </c>
      <c r="H1516" s="9" t="n">
        <v>12.04</v>
      </c>
      <c r="I1516" s="9" t="inlineStr">
        <is>
          <t>Depth (no MLB IP)</t>
        </is>
      </c>
      <c r="J1516" s="18" t="inlineStr">
        <is>
          <t>Opening Day</t>
        </is>
      </c>
      <c r="K1516" s="11">
        <f>IFERROR(INDEX(Roles!$B$17:$B$20,MATCH(J1516,Roles!$A$17:$A$20,0)),1)</f>
        <v/>
      </c>
      <c r="L1516" s="19" t="n">
        <v>1</v>
      </c>
      <c r="M1516" s="11" t="n">
        <v>1</v>
      </c>
      <c r="N1516" s="19" t="n"/>
      <c r="O1516" s="19" t="n"/>
      <c r="P1516" s="19" t="n"/>
      <c r="Q1516" s="19" t="n"/>
      <c r="R1516" s="19" t="n"/>
      <c r="S1516" s="19" t="n"/>
      <c r="T1516" s="19" t="n"/>
      <c r="U1516" s="19" t="n"/>
      <c r="V1516" s="19" t="n"/>
      <c r="W1516" s="19" t="n"/>
      <c r="X1516" s="19" t="n"/>
      <c r="Y1516" s="19" t="n">
        <v>1</v>
      </c>
      <c r="Z1516" s="13">
        <f>SUMPRODUCT(N1516:Y1516,$N$2:$Y$2)*$K1516*$L1516*$M1516</f>
        <v/>
      </c>
      <c r="AA1516" s="14">
        <f>SUM(N1516:Y1516)</f>
        <v/>
      </c>
      <c r="AB1516" s="13">
        <f>SUMPRODUCT(N1516:Y1516,$N$3:$Y$3)*$K1516*$L1516*$M1516</f>
        <v/>
      </c>
      <c r="AC1516" s="13">
        <f>SUMPRODUCT(N1516:Y1516,$N$4:$Y$4)*$K1516*$L1516*$M1516</f>
        <v/>
      </c>
      <c r="AD1516" s="15" t="n">
        <v>3</v>
      </c>
      <c r="AE1516" s="11" t="n">
        <v>1.011296296296296</v>
      </c>
      <c r="AF1516" s="16">
        <f>SUMPRODUCT(N1516:Y1516,$N$5:$Y$5)*$K1516*$L1516*$M1516</f>
        <v/>
      </c>
      <c r="AG1516" s="16">
        <f>SUMPRODUCT(N1516:Y1516,$N$6:$Y$6)*$K1516*$L1516*$M1516</f>
        <v/>
      </c>
      <c r="AH1516" s="20" t="n"/>
    </row>
    <row r="1517">
      <c r="A1517" s="9" t="n">
        <v>830336</v>
      </c>
      <c r="B1517" s="9" t="inlineStr">
        <is>
          <t>Mason Peters</t>
        </is>
      </c>
      <c r="C1517" s="9" t="inlineStr">
        <is>
          <t>SEA</t>
        </is>
      </c>
      <c r="D1517" s="9" t="n">
        <v>24</v>
      </c>
      <c r="E1517" s="18" t="inlineStr">
        <is>
          <t>L</t>
        </is>
      </c>
      <c r="F1517" s="18" t="n"/>
      <c r="G1517" s="9" t="n">
        <v>12.04</v>
      </c>
      <c r="H1517" s="9" t="n">
        <v>12.04</v>
      </c>
      <c r="I1517" s="9" t="inlineStr">
        <is>
          <t>Depth (no MLB IP)</t>
        </is>
      </c>
      <c r="J1517" s="18" t="inlineStr">
        <is>
          <t>Opening Day</t>
        </is>
      </c>
      <c r="K1517" s="11">
        <f>IFERROR(INDEX(Roles!$B$17:$B$20,MATCH(J1517,Roles!$A$17:$A$20,0)),1)</f>
        <v/>
      </c>
      <c r="L1517" s="19" t="n">
        <v>1</v>
      </c>
      <c r="M1517" s="11" t="n">
        <v>1</v>
      </c>
      <c r="N1517" s="19" t="n"/>
      <c r="O1517" s="19" t="n"/>
      <c r="P1517" s="19" t="n"/>
      <c r="Q1517" s="19" t="n"/>
      <c r="R1517" s="19" t="n"/>
      <c r="S1517" s="19" t="n"/>
      <c r="T1517" s="19" t="n"/>
      <c r="U1517" s="19" t="n"/>
      <c r="V1517" s="19" t="n"/>
      <c r="W1517" s="19" t="n"/>
      <c r="X1517" s="19" t="n"/>
      <c r="Y1517" s="19" t="n">
        <v>1</v>
      </c>
      <c r="Z1517" s="13">
        <f>SUMPRODUCT(N1517:Y1517,$N$2:$Y$2)*$K1517*$L1517*$M1517</f>
        <v/>
      </c>
      <c r="AA1517" s="14">
        <f>SUM(N1517:Y1517)</f>
        <v/>
      </c>
      <c r="AB1517" s="13">
        <f>SUMPRODUCT(N1517:Y1517,$N$3:$Y$3)*$K1517*$L1517*$M1517</f>
        <v/>
      </c>
      <c r="AC1517" s="13">
        <f>SUMPRODUCT(N1517:Y1517,$N$4:$Y$4)*$K1517*$L1517*$M1517</f>
        <v/>
      </c>
      <c r="AD1517" s="15" t="n">
        <v>3</v>
      </c>
      <c r="AE1517" s="11" t="n">
        <v>1.011296296296296</v>
      </c>
      <c r="AF1517" s="16">
        <f>SUMPRODUCT(N1517:Y1517,$N$5:$Y$5)*$K1517*$L1517*$M1517</f>
        <v/>
      </c>
      <c r="AG1517" s="16">
        <f>SUMPRODUCT(N1517:Y1517,$N$6:$Y$6)*$K1517*$L1517*$M1517</f>
        <v/>
      </c>
      <c r="AH1517" s="20" t="n"/>
    </row>
    <row r="1518">
      <c r="A1518" s="9" t="n">
        <v>832699</v>
      </c>
      <c r="B1518" s="9" t="inlineStr">
        <is>
          <t>Matt Barr</t>
        </is>
      </c>
      <c r="C1518" s="9" t="inlineStr">
        <is>
          <t>MIN</t>
        </is>
      </c>
      <c r="D1518" s="9" t="n">
        <v>25</v>
      </c>
      <c r="E1518" s="18" t="inlineStr">
        <is>
          <t>R</t>
        </is>
      </c>
      <c r="F1518" s="18" t="n"/>
      <c r="G1518" s="9" t="n">
        <v>12.04</v>
      </c>
      <c r="H1518" s="9" t="n">
        <v>12.04</v>
      </c>
      <c r="I1518" s="9" t="inlineStr">
        <is>
          <t>Depth (no MLB IP)</t>
        </is>
      </c>
      <c r="J1518" s="18" t="inlineStr">
        <is>
          <t>Opening Day</t>
        </is>
      </c>
      <c r="K1518" s="11">
        <f>IFERROR(INDEX(Roles!$B$17:$B$20,MATCH(J1518,Roles!$A$17:$A$20,0)),1)</f>
        <v/>
      </c>
      <c r="L1518" s="19" t="n">
        <v>1</v>
      </c>
      <c r="M1518" s="11" t="n">
        <v>1</v>
      </c>
      <c r="N1518" s="19" t="n"/>
      <c r="O1518" s="19" t="n"/>
      <c r="P1518" s="19" t="n"/>
      <c r="Q1518" s="19" t="n"/>
      <c r="R1518" s="19" t="n"/>
      <c r="S1518" s="19" t="n"/>
      <c r="T1518" s="19" t="n"/>
      <c r="U1518" s="19" t="n"/>
      <c r="V1518" s="19" t="n"/>
      <c r="W1518" s="19" t="n"/>
      <c r="X1518" s="19" t="n"/>
      <c r="Y1518" s="19" t="n">
        <v>1</v>
      </c>
      <c r="Z1518" s="13">
        <f>SUMPRODUCT(N1518:Y1518,$N$2:$Y$2)*$K1518*$L1518*$M1518</f>
        <v/>
      </c>
      <c r="AA1518" s="14">
        <f>SUM(N1518:Y1518)</f>
        <v/>
      </c>
      <c r="AB1518" s="13">
        <f>SUMPRODUCT(N1518:Y1518,$N$3:$Y$3)*$K1518*$L1518*$M1518</f>
        <v/>
      </c>
      <c r="AC1518" s="13">
        <f>SUMPRODUCT(N1518:Y1518,$N$4:$Y$4)*$K1518*$L1518*$M1518</f>
        <v/>
      </c>
      <c r="AD1518" s="15" t="n">
        <v>3</v>
      </c>
      <c r="AE1518" s="11" t="n">
        <v>1.011296296296296</v>
      </c>
      <c r="AF1518" s="16">
        <f>SUMPRODUCT(N1518:Y1518,$N$5:$Y$5)*$K1518*$L1518*$M1518</f>
        <v/>
      </c>
      <c r="AG1518" s="16">
        <f>SUMPRODUCT(N1518:Y1518,$N$6:$Y$6)*$K1518*$L1518*$M1518</f>
        <v/>
      </c>
      <c r="AH1518" s="20" t="n"/>
    </row>
    <row r="1519">
      <c r="A1519" s="9" t="n">
        <v>689583</v>
      </c>
      <c r="B1519" s="9" t="inlineStr">
        <is>
          <t>Adrian Rodriguez</t>
        </is>
      </c>
      <c r="C1519" s="9" t="inlineStr">
        <is>
          <t>TEX</t>
        </is>
      </c>
      <c r="D1519" s="9" t="n">
        <v>25</v>
      </c>
      <c r="E1519" s="18" t="inlineStr">
        <is>
          <t>R</t>
        </is>
      </c>
      <c r="F1519" s="18" t="n"/>
      <c r="G1519" s="9" t="n">
        <v>12.04</v>
      </c>
      <c r="H1519" s="9" t="n">
        <v>12.04</v>
      </c>
      <c r="I1519" s="9" t="inlineStr">
        <is>
          <t>Depth (no MLB IP)</t>
        </is>
      </c>
      <c r="J1519" s="18" t="inlineStr">
        <is>
          <t>Opening Day</t>
        </is>
      </c>
      <c r="K1519" s="11">
        <f>IFERROR(INDEX(Roles!$B$17:$B$20,MATCH(J1519,Roles!$A$17:$A$20,0)),1)</f>
        <v/>
      </c>
      <c r="L1519" s="19" t="n">
        <v>1</v>
      </c>
      <c r="M1519" s="11" t="n">
        <v>1</v>
      </c>
      <c r="N1519" s="19" t="n"/>
      <c r="O1519" s="19" t="n"/>
      <c r="P1519" s="19" t="n"/>
      <c r="Q1519" s="19" t="n"/>
      <c r="R1519" s="19" t="n"/>
      <c r="S1519" s="19" t="n"/>
      <c r="T1519" s="19" t="n"/>
      <c r="U1519" s="19" t="n"/>
      <c r="V1519" s="19" t="n"/>
      <c r="W1519" s="19" t="n"/>
      <c r="X1519" s="19" t="n"/>
      <c r="Y1519" s="19" t="n">
        <v>1</v>
      </c>
      <c r="Z1519" s="13">
        <f>SUMPRODUCT(N1519:Y1519,$N$2:$Y$2)*$K1519*$L1519*$M1519</f>
        <v/>
      </c>
      <c r="AA1519" s="14">
        <f>SUM(N1519:Y1519)</f>
        <v/>
      </c>
      <c r="AB1519" s="13">
        <f>SUMPRODUCT(N1519:Y1519,$N$3:$Y$3)*$K1519*$L1519*$M1519</f>
        <v/>
      </c>
      <c r="AC1519" s="13">
        <f>SUMPRODUCT(N1519:Y1519,$N$4:$Y$4)*$K1519*$L1519*$M1519</f>
        <v/>
      </c>
      <c r="AD1519" s="15" t="n">
        <v>3</v>
      </c>
      <c r="AE1519" s="11" t="n">
        <v>1.011296296296296</v>
      </c>
      <c r="AF1519" s="16">
        <f>SUMPRODUCT(N1519:Y1519,$N$5:$Y$5)*$K1519*$L1519*$M1519</f>
        <v/>
      </c>
      <c r="AG1519" s="16">
        <f>SUMPRODUCT(N1519:Y1519,$N$6:$Y$6)*$K1519*$L1519*$M1519</f>
        <v/>
      </c>
      <c r="AH1519" s="20" t="n"/>
    </row>
    <row r="1520">
      <c r="A1520" s="9" t="n">
        <v>808219</v>
      </c>
      <c r="B1520" s="9" t="inlineStr">
        <is>
          <t>Juan Reyes</t>
        </is>
      </c>
      <c r="C1520" s="9" t="inlineStr">
        <is>
          <t>WSH</t>
        </is>
      </c>
      <c r="D1520" s="9" t="n">
        <v>25</v>
      </c>
      <c r="E1520" s="18" t="inlineStr">
        <is>
          <t>L</t>
        </is>
      </c>
      <c r="F1520" s="18" t="n"/>
      <c r="G1520" s="9" t="n">
        <v>12.212</v>
      </c>
      <c r="H1520" s="9" t="n">
        <v>12.212</v>
      </c>
      <c r="I1520" s="9" t="inlineStr">
        <is>
          <t>Depth (no MLB IP)</t>
        </is>
      </c>
      <c r="J1520" s="18" t="inlineStr">
        <is>
          <t>Opening Day</t>
        </is>
      </c>
      <c r="K1520" s="11">
        <f>IFERROR(INDEX(Roles!$B$17:$B$20,MATCH(J1520,Roles!$A$17:$A$20,0)),1)</f>
        <v/>
      </c>
      <c r="L1520" s="19" t="n">
        <v>1</v>
      </c>
      <c r="M1520" s="11" t="n">
        <v>1</v>
      </c>
      <c r="N1520" s="19" t="n"/>
      <c r="O1520" s="19" t="n"/>
      <c r="P1520" s="19" t="n"/>
      <c r="Q1520" s="19" t="n"/>
      <c r="R1520" s="19" t="n"/>
      <c r="S1520" s="19" t="n"/>
      <c r="T1520" s="19" t="n"/>
      <c r="U1520" s="19" t="n"/>
      <c r="V1520" s="19" t="n"/>
      <c r="W1520" s="19" t="n"/>
      <c r="X1520" s="19" t="n"/>
      <c r="Y1520" s="19" t="n">
        <v>1</v>
      </c>
      <c r="Z1520" s="13">
        <f>SUMPRODUCT(N1520:Y1520,$N$2:$Y$2)*$K1520*$L1520*$M1520</f>
        <v/>
      </c>
      <c r="AA1520" s="14">
        <f>SUM(N1520:Y1520)</f>
        <v/>
      </c>
      <c r="AB1520" s="13">
        <f>SUMPRODUCT(N1520:Y1520,$N$3:$Y$3)*$K1520*$L1520*$M1520</f>
        <v/>
      </c>
      <c r="AC1520" s="13">
        <f>SUMPRODUCT(N1520:Y1520,$N$4:$Y$4)*$K1520*$L1520*$M1520</f>
        <v/>
      </c>
      <c r="AD1520" s="15" t="n">
        <v>3</v>
      </c>
      <c r="AE1520" s="11" t="n">
        <v>1.011296296296296</v>
      </c>
      <c r="AF1520" s="16">
        <f>SUMPRODUCT(N1520:Y1520,$N$5:$Y$5)*$K1520*$L1520*$M1520</f>
        <v/>
      </c>
      <c r="AG1520" s="16">
        <f>SUMPRODUCT(N1520:Y1520,$N$6:$Y$6)*$K1520*$L1520*$M1520</f>
        <v/>
      </c>
      <c r="AH1520" s="20" t="n"/>
    </row>
    <row r="1521">
      <c r="A1521" s="9" t="n">
        <v>814193</v>
      </c>
      <c r="B1521" s="9" t="inlineStr">
        <is>
          <t>Justin Storm</t>
        </is>
      </c>
      <c r="C1521" s="9" t="inlineStr">
        <is>
          <t>MIA</t>
        </is>
      </c>
      <c r="D1521" s="9" t="n">
        <v>25</v>
      </c>
      <c r="E1521" s="18" t="inlineStr">
        <is>
          <t>L</t>
        </is>
      </c>
      <c r="F1521" s="18" t="n"/>
      <c r="G1521" s="9" t="n">
        <v>12.04</v>
      </c>
      <c r="H1521" s="9" t="n">
        <v>12.04</v>
      </c>
      <c r="I1521" s="9" t="inlineStr">
        <is>
          <t>Depth (no MLB IP)</t>
        </is>
      </c>
      <c r="J1521" s="18" t="inlineStr">
        <is>
          <t>Opening Day</t>
        </is>
      </c>
      <c r="K1521" s="11">
        <f>IFERROR(INDEX(Roles!$B$17:$B$20,MATCH(J1521,Roles!$A$17:$A$20,0)),1)</f>
        <v/>
      </c>
      <c r="L1521" s="19" t="n">
        <v>1</v>
      </c>
      <c r="M1521" s="11" t="n">
        <v>1</v>
      </c>
      <c r="N1521" s="19" t="n"/>
      <c r="O1521" s="19" t="n"/>
      <c r="P1521" s="19" t="n"/>
      <c r="Q1521" s="19" t="n"/>
      <c r="R1521" s="19" t="n"/>
      <c r="S1521" s="19" t="n"/>
      <c r="T1521" s="19" t="n"/>
      <c r="U1521" s="19" t="n"/>
      <c r="V1521" s="19" t="n"/>
      <c r="W1521" s="19" t="n"/>
      <c r="X1521" s="19" t="n"/>
      <c r="Y1521" s="19" t="n">
        <v>1</v>
      </c>
      <c r="Z1521" s="13">
        <f>SUMPRODUCT(N1521:Y1521,$N$2:$Y$2)*$K1521*$L1521*$M1521</f>
        <v/>
      </c>
      <c r="AA1521" s="14">
        <f>SUM(N1521:Y1521)</f>
        <v/>
      </c>
      <c r="AB1521" s="13">
        <f>SUMPRODUCT(N1521:Y1521,$N$3:$Y$3)*$K1521*$L1521*$M1521</f>
        <v/>
      </c>
      <c r="AC1521" s="13">
        <f>SUMPRODUCT(N1521:Y1521,$N$4:$Y$4)*$K1521*$L1521*$M1521</f>
        <v/>
      </c>
      <c r="AD1521" s="15" t="n">
        <v>3</v>
      </c>
      <c r="AE1521" s="11" t="n">
        <v>1.011296296296296</v>
      </c>
      <c r="AF1521" s="16">
        <f>SUMPRODUCT(N1521:Y1521,$N$5:$Y$5)*$K1521*$L1521*$M1521</f>
        <v/>
      </c>
      <c r="AG1521" s="16">
        <f>SUMPRODUCT(N1521:Y1521,$N$6:$Y$6)*$K1521*$L1521*$M1521</f>
        <v/>
      </c>
      <c r="AH1521" s="20" t="n"/>
    </row>
    <row r="1522">
      <c r="A1522" s="9" t="n">
        <v>802146</v>
      </c>
      <c r="B1522" s="9" t="inlineStr">
        <is>
          <t>Aidan Major</t>
        </is>
      </c>
      <c r="C1522" s="9" t="inlineStr">
        <is>
          <t>CLE</t>
        </is>
      </c>
      <c r="D1522" s="9" t="n">
        <v>25</v>
      </c>
      <c r="E1522" s="18" t="inlineStr">
        <is>
          <t>R</t>
        </is>
      </c>
      <c r="F1522" s="18" t="n"/>
      <c r="G1522" s="9" t="n">
        <v>12.04</v>
      </c>
      <c r="H1522" s="9" t="n">
        <v>12.04</v>
      </c>
      <c r="I1522" s="9" t="inlineStr">
        <is>
          <t>Depth (no MLB IP)</t>
        </is>
      </c>
      <c r="J1522" s="18" t="inlineStr">
        <is>
          <t>Opening Day</t>
        </is>
      </c>
      <c r="K1522" s="11">
        <f>IFERROR(INDEX(Roles!$B$17:$B$20,MATCH(J1522,Roles!$A$17:$A$20,0)),1)</f>
        <v/>
      </c>
      <c r="L1522" s="19" t="n">
        <v>1</v>
      </c>
      <c r="M1522" s="11" t="n">
        <v>1</v>
      </c>
      <c r="N1522" s="19" t="n"/>
      <c r="O1522" s="19" t="n"/>
      <c r="P1522" s="19" t="n"/>
      <c r="Q1522" s="19" t="n"/>
      <c r="R1522" s="19" t="n"/>
      <c r="S1522" s="19" t="n"/>
      <c r="T1522" s="19" t="n"/>
      <c r="U1522" s="19" t="n"/>
      <c r="V1522" s="19" t="n"/>
      <c r="W1522" s="19" t="n"/>
      <c r="X1522" s="19" t="n"/>
      <c r="Y1522" s="19" t="n">
        <v>1</v>
      </c>
      <c r="Z1522" s="13">
        <f>SUMPRODUCT(N1522:Y1522,$N$2:$Y$2)*$K1522*$L1522*$M1522</f>
        <v/>
      </c>
      <c r="AA1522" s="14">
        <f>SUM(N1522:Y1522)</f>
        <v/>
      </c>
      <c r="AB1522" s="13">
        <f>SUMPRODUCT(N1522:Y1522,$N$3:$Y$3)*$K1522*$L1522*$M1522</f>
        <v/>
      </c>
      <c r="AC1522" s="13">
        <f>SUMPRODUCT(N1522:Y1522,$N$4:$Y$4)*$K1522*$L1522*$M1522</f>
        <v/>
      </c>
      <c r="AD1522" s="15" t="n">
        <v>3</v>
      </c>
      <c r="AE1522" s="11" t="n">
        <v>1.011296296296296</v>
      </c>
      <c r="AF1522" s="16">
        <f>SUMPRODUCT(N1522:Y1522,$N$5:$Y$5)*$K1522*$L1522*$M1522</f>
        <v/>
      </c>
      <c r="AG1522" s="16">
        <f>SUMPRODUCT(N1522:Y1522,$N$6:$Y$6)*$K1522*$L1522*$M1522</f>
        <v/>
      </c>
      <c r="AH1522" s="20" t="n"/>
    </row>
    <row r="1523">
      <c r="A1523" s="9" t="n">
        <v>657193</v>
      </c>
      <c r="B1523" s="9" t="inlineStr">
        <is>
          <t>Eddy Alvarez</t>
        </is>
      </c>
      <c r="C1523" s="9" t="inlineStr">
        <is>
          <t>NYM</t>
        </is>
      </c>
      <c r="D1523" s="9" t="n">
        <v>37</v>
      </c>
      <c r="E1523" s="18" t="inlineStr">
        <is>
          <t>R</t>
        </is>
      </c>
      <c r="F1523" s="18" t="n"/>
      <c r="G1523" s="9" t="n">
        <v>5</v>
      </c>
      <c r="H1523" s="9" t="n">
        <v>5</v>
      </c>
      <c r="I1523" s="9" t="inlineStr">
        <is>
          <t>Depth (no MLB IP)</t>
        </is>
      </c>
      <c r="J1523" s="18" t="inlineStr">
        <is>
          <t>Opening Day</t>
        </is>
      </c>
      <c r="K1523" s="11">
        <f>IFERROR(INDEX(Roles!$B$17:$B$20,MATCH(J1523,Roles!$A$17:$A$20,0)),1)</f>
        <v/>
      </c>
      <c r="L1523" s="19" t="n">
        <v>1</v>
      </c>
      <c r="M1523" s="11" t="n">
        <v>1</v>
      </c>
      <c r="N1523" s="19" t="n"/>
      <c r="O1523" s="19" t="n"/>
      <c r="P1523" s="19" t="n"/>
      <c r="Q1523" s="19" t="n"/>
      <c r="R1523" s="19" t="n"/>
      <c r="S1523" s="19" t="n"/>
      <c r="T1523" s="19" t="n"/>
      <c r="U1523" s="19" t="n"/>
      <c r="V1523" s="19" t="n"/>
      <c r="W1523" s="19" t="n"/>
      <c r="X1523" s="19" t="n"/>
      <c r="Y1523" s="19" t="n">
        <v>1</v>
      </c>
      <c r="Z1523" s="13">
        <f>SUMPRODUCT(N1523:Y1523,$N$2:$Y$2)*$K1523*$L1523*$M1523</f>
        <v/>
      </c>
      <c r="AA1523" s="14">
        <f>SUM(N1523:Y1523)</f>
        <v/>
      </c>
      <c r="AB1523" s="13">
        <f>SUMPRODUCT(N1523:Y1523,$N$3:$Y$3)*$K1523*$L1523*$M1523</f>
        <v/>
      </c>
      <c r="AC1523" s="13">
        <f>SUMPRODUCT(N1523:Y1523,$N$4:$Y$4)*$K1523*$L1523*$M1523</f>
        <v/>
      </c>
      <c r="AD1523" s="15" t="n">
        <v>1.8</v>
      </c>
      <c r="AE1523" s="11" t="n">
        <v>1.007530864197531</v>
      </c>
      <c r="AF1523" s="16">
        <f>SUMPRODUCT(N1523:Y1523,$N$5:$Y$5)*$K1523*$L1523*$M1523</f>
        <v/>
      </c>
      <c r="AG1523" s="16">
        <f>SUMPRODUCT(N1523:Y1523,$N$6:$Y$6)*$K1523*$L1523*$M1523</f>
        <v/>
      </c>
      <c r="AH1523" s="20" t="n"/>
    </row>
    <row r="1524">
      <c r="A1524" s="9" t="n">
        <v>815794</v>
      </c>
      <c r="B1524" s="9" t="inlineStr">
        <is>
          <t>Hyun-Seok Jang</t>
        </is>
      </c>
      <c r="C1524" s="9" t="inlineStr">
        <is>
          <t>LAD</t>
        </is>
      </c>
      <c r="D1524" s="9" t="n">
        <v>23</v>
      </c>
      <c r="E1524" s="18" t="inlineStr">
        <is>
          <t>R</t>
        </is>
      </c>
      <c r="F1524" s="18" t="n"/>
      <c r="G1524" s="9" t="n">
        <v>12.32666666666667</v>
      </c>
      <c r="H1524" s="9" t="n">
        <v>12.32666666666667</v>
      </c>
      <c r="I1524" s="9" t="inlineStr">
        <is>
          <t>Depth (no MLB IP)</t>
        </is>
      </c>
      <c r="J1524" s="18" t="inlineStr">
        <is>
          <t>Opening Day</t>
        </is>
      </c>
      <c r="K1524" s="11">
        <f>IFERROR(INDEX(Roles!$B$17:$B$20,MATCH(J1524,Roles!$A$17:$A$20,0)),1)</f>
        <v/>
      </c>
      <c r="L1524" s="19" t="n">
        <v>1</v>
      </c>
      <c r="M1524" s="11" t="n">
        <v>1</v>
      </c>
      <c r="N1524" s="19" t="n"/>
      <c r="O1524" s="19" t="n"/>
      <c r="P1524" s="19" t="n"/>
      <c r="Q1524" s="19" t="n"/>
      <c r="R1524" s="19" t="n"/>
      <c r="S1524" s="19" t="n"/>
      <c r="T1524" s="19" t="n"/>
      <c r="U1524" s="19" t="n"/>
      <c r="V1524" s="19" t="n"/>
      <c r="W1524" s="19" t="n"/>
      <c r="X1524" s="19" t="n"/>
      <c r="Y1524" s="19" t="n">
        <v>1</v>
      </c>
      <c r="Z1524" s="13">
        <f>SUMPRODUCT(N1524:Y1524,$N$2:$Y$2)*$K1524*$L1524*$M1524</f>
        <v/>
      </c>
      <c r="AA1524" s="14">
        <f>SUM(N1524:Y1524)</f>
        <v/>
      </c>
      <c r="AB1524" s="13">
        <f>SUMPRODUCT(N1524:Y1524,$N$3:$Y$3)*$K1524*$L1524*$M1524</f>
        <v/>
      </c>
      <c r="AC1524" s="13">
        <f>SUMPRODUCT(N1524:Y1524,$N$4:$Y$4)*$K1524*$L1524*$M1524</f>
        <v/>
      </c>
      <c r="AD1524" s="15" t="n">
        <v>3</v>
      </c>
      <c r="AE1524" s="11" t="n">
        <v>1.011296296296296</v>
      </c>
      <c r="AF1524" s="16">
        <f>SUMPRODUCT(N1524:Y1524,$N$5:$Y$5)*$K1524*$L1524*$M1524</f>
        <v/>
      </c>
      <c r="AG1524" s="16">
        <f>SUMPRODUCT(N1524:Y1524,$N$6:$Y$6)*$K1524*$L1524*$M1524</f>
        <v/>
      </c>
      <c r="AH1524" s="20" t="n"/>
    </row>
    <row r="1525">
      <c r="A1525" s="9" t="n">
        <v>827635</v>
      </c>
      <c r="B1525" s="9" t="inlineStr">
        <is>
          <t>Alex Bouchard</t>
        </is>
      </c>
      <c r="C1525" s="9" t="inlineStr">
        <is>
          <t>BOS</t>
        </is>
      </c>
      <c r="D1525" s="9" t="n">
        <v>25</v>
      </c>
      <c r="E1525" s="18" t="inlineStr">
        <is>
          <t>R</t>
        </is>
      </c>
      <c r="F1525" s="18" t="n"/>
      <c r="G1525" s="9" t="n">
        <v>12.04</v>
      </c>
      <c r="H1525" s="9" t="n">
        <v>12.04</v>
      </c>
      <c r="I1525" s="9" t="inlineStr">
        <is>
          <t>Depth (no MLB IP)</t>
        </is>
      </c>
      <c r="J1525" s="18" t="inlineStr">
        <is>
          <t>Opening Day</t>
        </is>
      </c>
      <c r="K1525" s="11">
        <f>IFERROR(INDEX(Roles!$B$17:$B$20,MATCH(J1525,Roles!$A$17:$A$20,0)),1)</f>
        <v/>
      </c>
      <c r="L1525" s="19" t="n">
        <v>1</v>
      </c>
      <c r="M1525" s="11" t="n">
        <v>1</v>
      </c>
      <c r="N1525" s="19" t="n"/>
      <c r="O1525" s="19" t="n"/>
      <c r="P1525" s="19" t="n"/>
      <c r="Q1525" s="19" t="n"/>
      <c r="R1525" s="19" t="n"/>
      <c r="S1525" s="19" t="n"/>
      <c r="T1525" s="19" t="n"/>
      <c r="U1525" s="19" t="n"/>
      <c r="V1525" s="19" t="n"/>
      <c r="W1525" s="19" t="n"/>
      <c r="X1525" s="19" t="n"/>
      <c r="Y1525" s="19" t="n">
        <v>1</v>
      </c>
      <c r="Z1525" s="13">
        <f>SUMPRODUCT(N1525:Y1525,$N$2:$Y$2)*$K1525*$L1525*$M1525</f>
        <v/>
      </c>
      <c r="AA1525" s="14">
        <f>SUM(N1525:Y1525)</f>
        <v/>
      </c>
      <c r="AB1525" s="13">
        <f>SUMPRODUCT(N1525:Y1525,$N$3:$Y$3)*$K1525*$L1525*$M1525</f>
        <v/>
      </c>
      <c r="AC1525" s="13">
        <f>SUMPRODUCT(N1525:Y1525,$N$4:$Y$4)*$K1525*$L1525*$M1525</f>
        <v/>
      </c>
      <c r="AD1525" s="15" t="n">
        <v>3</v>
      </c>
      <c r="AE1525" s="11" t="n">
        <v>1.011296296296296</v>
      </c>
      <c r="AF1525" s="16">
        <f>SUMPRODUCT(N1525:Y1525,$N$5:$Y$5)*$K1525*$L1525*$M1525</f>
        <v/>
      </c>
      <c r="AG1525" s="16">
        <f>SUMPRODUCT(N1525:Y1525,$N$6:$Y$6)*$K1525*$L1525*$M1525</f>
        <v/>
      </c>
      <c r="AH1525" s="20" t="n"/>
    </row>
    <row r="1526">
      <c r="A1526" s="9" t="n">
        <v>827446</v>
      </c>
      <c r="B1526" s="9" t="inlineStr">
        <is>
          <t>Emilio Ramos</t>
        </is>
      </c>
      <c r="C1526" s="9" t="inlineStr">
        <is>
          <t>CHC</t>
        </is>
      </c>
      <c r="D1526" s="9" t="n">
        <v>25</v>
      </c>
      <c r="E1526" s="18" t="inlineStr">
        <is>
          <t>R</t>
        </is>
      </c>
      <c r="F1526" s="18" t="n"/>
      <c r="G1526" s="9" t="n">
        <v>12.212</v>
      </c>
      <c r="H1526" s="9" t="n">
        <v>12.212</v>
      </c>
      <c r="I1526" s="9" t="inlineStr">
        <is>
          <t>Depth (no MLB IP)</t>
        </is>
      </c>
      <c r="J1526" s="18" t="inlineStr">
        <is>
          <t>Opening Day</t>
        </is>
      </c>
      <c r="K1526" s="11">
        <f>IFERROR(INDEX(Roles!$B$17:$B$20,MATCH(J1526,Roles!$A$17:$A$20,0)),1)</f>
        <v/>
      </c>
      <c r="L1526" s="19" t="n">
        <v>1</v>
      </c>
      <c r="M1526" s="11" t="n">
        <v>1</v>
      </c>
      <c r="N1526" s="19" t="n"/>
      <c r="O1526" s="19" t="n"/>
      <c r="P1526" s="19" t="n"/>
      <c r="Q1526" s="19" t="n"/>
      <c r="R1526" s="19" t="n"/>
      <c r="S1526" s="19" t="n"/>
      <c r="T1526" s="19" t="n"/>
      <c r="U1526" s="19" t="n"/>
      <c r="V1526" s="19" t="n"/>
      <c r="W1526" s="19" t="n"/>
      <c r="X1526" s="19" t="n"/>
      <c r="Y1526" s="19" t="n">
        <v>1</v>
      </c>
      <c r="Z1526" s="13">
        <f>SUMPRODUCT(N1526:Y1526,$N$2:$Y$2)*$K1526*$L1526*$M1526</f>
        <v/>
      </c>
      <c r="AA1526" s="14">
        <f>SUM(N1526:Y1526)</f>
        <v/>
      </c>
      <c r="AB1526" s="13">
        <f>SUMPRODUCT(N1526:Y1526,$N$3:$Y$3)*$K1526*$L1526*$M1526</f>
        <v/>
      </c>
      <c r="AC1526" s="13">
        <f>SUMPRODUCT(N1526:Y1526,$N$4:$Y$4)*$K1526*$L1526*$M1526</f>
        <v/>
      </c>
      <c r="AD1526" s="15" t="n">
        <v>3</v>
      </c>
      <c r="AE1526" s="11" t="n">
        <v>1.011296296296296</v>
      </c>
      <c r="AF1526" s="16">
        <f>SUMPRODUCT(N1526:Y1526,$N$5:$Y$5)*$K1526*$L1526*$M1526</f>
        <v/>
      </c>
      <c r="AG1526" s="16">
        <f>SUMPRODUCT(N1526:Y1526,$N$6:$Y$6)*$K1526*$L1526*$M1526</f>
        <v/>
      </c>
      <c r="AH1526" s="20" t="n"/>
    </row>
    <row r="1527">
      <c r="A1527" s="9" t="n">
        <v>827698</v>
      </c>
      <c r="B1527" s="9" t="inlineStr">
        <is>
          <t>Ryan Mathiesen</t>
        </is>
      </c>
      <c r="C1527" s="9" t="inlineStr">
        <is>
          <t>HOU</t>
        </is>
      </c>
      <c r="D1527" s="9" t="n">
        <v>25</v>
      </c>
      <c r="E1527" s="18" t="inlineStr">
        <is>
          <t>R</t>
        </is>
      </c>
      <c r="F1527" s="18" t="n"/>
      <c r="G1527" s="9" t="n">
        <v>12.384</v>
      </c>
      <c r="H1527" s="9" t="n">
        <v>12.384</v>
      </c>
      <c r="I1527" s="9" t="inlineStr">
        <is>
          <t>Depth (no MLB IP)</t>
        </is>
      </c>
      <c r="J1527" s="18" t="inlineStr">
        <is>
          <t>Opening Day</t>
        </is>
      </c>
      <c r="K1527" s="11">
        <f>IFERROR(INDEX(Roles!$B$17:$B$20,MATCH(J1527,Roles!$A$17:$A$20,0)),1)</f>
        <v/>
      </c>
      <c r="L1527" s="19" t="n">
        <v>1</v>
      </c>
      <c r="M1527" s="11" t="n">
        <v>1</v>
      </c>
      <c r="N1527" s="19" t="n"/>
      <c r="O1527" s="19" t="n"/>
      <c r="P1527" s="19" t="n"/>
      <c r="Q1527" s="19" t="n"/>
      <c r="R1527" s="19" t="n"/>
      <c r="S1527" s="19" t="n"/>
      <c r="T1527" s="19" t="n"/>
      <c r="U1527" s="19" t="n"/>
      <c r="V1527" s="19" t="n"/>
      <c r="W1527" s="19" t="n"/>
      <c r="X1527" s="19" t="n"/>
      <c r="Y1527" s="19" t="n">
        <v>1</v>
      </c>
      <c r="Z1527" s="13">
        <f>SUMPRODUCT(N1527:Y1527,$N$2:$Y$2)*$K1527*$L1527*$M1527</f>
        <v/>
      </c>
      <c r="AA1527" s="14">
        <f>SUM(N1527:Y1527)</f>
        <v/>
      </c>
      <c r="AB1527" s="13">
        <f>SUMPRODUCT(N1527:Y1527,$N$3:$Y$3)*$K1527*$L1527*$M1527</f>
        <v/>
      </c>
      <c r="AC1527" s="13">
        <f>SUMPRODUCT(N1527:Y1527,$N$4:$Y$4)*$K1527*$L1527*$M1527</f>
        <v/>
      </c>
      <c r="AD1527" s="15" t="n">
        <v>3</v>
      </c>
      <c r="AE1527" s="11" t="n">
        <v>1.011296296296296</v>
      </c>
      <c r="AF1527" s="16">
        <f>SUMPRODUCT(N1527:Y1527,$N$5:$Y$5)*$K1527*$L1527*$M1527</f>
        <v/>
      </c>
      <c r="AG1527" s="16">
        <f>SUMPRODUCT(N1527:Y1527,$N$6:$Y$6)*$K1527*$L1527*$M1527</f>
        <v/>
      </c>
      <c r="AH1527" s="20" t="n"/>
    </row>
    <row r="1528">
      <c r="A1528" s="9" t="n">
        <v>607188</v>
      </c>
      <c r="B1528" s="9" t="inlineStr">
        <is>
          <t>Jake Faria</t>
        </is>
      </c>
      <c r="C1528" s="9" t="inlineStr">
        <is>
          <t>BOS</t>
        </is>
      </c>
      <c r="D1528" s="9" t="n">
        <v>33</v>
      </c>
      <c r="E1528" s="18" t="inlineStr">
        <is>
          <t>R</t>
        </is>
      </c>
      <c r="F1528" s="18" t="n"/>
      <c r="G1528" s="9" t="n">
        <v>14</v>
      </c>
      <c r="H1528" s="9" t="n">
        <v>14</v>
      </c>
      <c r="I1528" s="9" t="inlineStr">
        <is>
          <t>Depth (no MLB IP)</t>
        </is>
      </c>
      <c r="J1528" s="18" t="inlineStr">
        <is>
          <t>Opening Day</t>
        </is>
      </c>
      <c r="K1528" s="11">
        <f>IFERROR(INDEX(Roles!$B$17:$B$20,MATCH(J1528,Roles!$A$17:$A$20,0)),1)</f>
        <v/>
      </c>
      <c r="L1528" s="19" t="n">
        <v>1</v>
      </c>
      <c r="M1528" s="11" t="n">
        <v>1</v>
      </c>
      <c r="N1528" s="19" t="n"/>
      <c r="O1528" s="19" t="n"/>
      <c r="P1528" s="19" t="n"/>
      <c r="Q1528" s="19" t="n"/>
      <c r="R1528" s="19" t="n"/>
      <c r="S1528" s="19" t="n"/>
      <c r="T1528" s="19" t="n"/>
      <c r="U1528" s="19" t="n"/>
      <c r="V1528" s="19" t="n"/>
      <c r="W1528" s="19" t="n"/>
      <c r="X1528" s="19" t="n"/>
      <c r="Y1528" s="19" t="n">
        <v>1</v>
      </c>
      <c r="Z1528" s="13">
        <f>SUMPRODUCT(N1528:Y1528,$N$2:$Y$2)*$K1528*$L1528*$M1528</f>
        <v/>
      </c>
      <c r="AA1528" s="14">
        <f>SUM(N1528:Y1528)</f>
        <v/>
      </c>
      <c r="AB1528" s="13">
        <f>SUMPRODUCT(N1528:Y1528,$N$3:$Y$3)*$K1528*$L1528*$M1528</f>
        <v/>
      </c>
      <c r="AC1528" s="13">
        <f>SUMPRODUCT(N1528:Y1528,$N$4:$Y$4)*$K1528*$L1528*$M1528</f>
        <v/>
      </c>
      <c r="AD1528" s="15" t="n">
        <v>3</v>
      </c>
      <c r="AE1528" s="11" t="n">
        <v>1.011296296296296</v>
      </c>
      <c r="AF1528" s="16">
        <f>SUMPRODUCT(N1528:Y1528,$N$5:$Y$5)*$K1528*$L1528*$M1528</f>
        <v/>
      </c>
      <c r="AG1528" s="16">
        <f>SUMPRODUCT(N1528:Y1528,$N$6:$Y$6)*$K1528*$L1528*$M1528</f>
        <v/>
      </c>
      <c r="AH1528" s="20" t="n"/>
    </row>
    <row r="1529">
      <c r="A1529" s="9" t="n">
        <v>676442</v>
      </c>
      <c r="B1529" s="9" t="inlineStr">
        <is>
          <t>Bailey Dees</t>
        </is>
      </c>
      <c r="C1529" s="9" t="inlineStr">
        <is>
          <t>NYY</t>
        </is>
      </c>
      <c r="D1529" s="9" t="n">
        <v>25</v>
      </c>
      <c r="E1529" s="18" t="inlineStr">
        <is>
          <t>R</t>
        </is>
      </c>
      <c r="F1529" s="18" t="n"/>
      <c r="G1529" s="9" t="n">
        <v>12.54166666666667</v>
      </c>
      <c r="H1529" s="9" t="n">
        <v>12.54166666666667</v>
      </c>
      <c r="I1529" s="9" t="inlineStr">
        <is>
          <t>Depth (no MLB IP)</t>
        </is>
      </c>
      <c r="J1529" s="18" t="inlineStr">
        <is>
          <t>Opening Day</t>
        </is>
      </c>
      <c r="K1529" s="11">
        <f>IFERROR(INDEX(Roles!$B$17:$B$20,MATCH(J1529,Roles!$A$17:$A$20,0)),1)</f>
        <v/>
      </c>
      <c r="L1529" s="19" t="n">
        <v>1</v>
      </c>
      <c r="M1529" s="11" t="n">
        <v>1</v>
      </c>
      <c r="N1529" s="19" t="n"/>
      <c r="O1529" s="19" t="n"/>
      <c r="P1529" s="19" t="n"/>
      <c r="Q1529" s="19" t="n"/>
      <c r="R1529" s="19" t="n"/>
      <c r="S1529" s="19" t="n"/>
      <c r="T1529" s="19" t="n"/>
      <c r="U1529" s="19" t="n"/>
      <c r="V1529" s="19" t="n"/>
      <c r="W1529" s="19" t="n"/>
      <c r="X1529" s="19" t="n"/>
      <c r="Y1529" s="19" t="n">
        <v>1</v>
      </c>
      <c r="Z1529" s="13">
        <f>SUMPRODUCT(N1529:Y1529,$N$2:$Y$2)*$K1529*$L1529*$M1529</f>
        <v/>
      </c>
      <c r="AA1529" s="14">
        <f>SUM(N1529:Y1529)</f>
        <v/>
      </c>
      <c r="AB1529" s="13">
        <f>SUMPRODUCT(N1529:Y1529,$N$3:$Y$3)*$K1529*$L1529*$M1529</f>
        <v/>
      </c>
      <c r="AC1529" s="13">
        <f>SUMPRODUCT(N1529:Y1529,$N$4:$Y$4)*$K1529*$L1529*$M1529</f>
        <v/>
      </c>
      <c r="AD1529" s="15" t="n">
        <v>3</v>
      </c>
      <c r="AE1529" s="11" t="n">
        <v>1.011296296296296</v>
      </c>
      <c r="AF1529" s="16">
        <f>SUMPRODUCT(N1529:Y1529,$N$5:$Y$5)*$K1529*$L1529*$M1529</f>
        <v/>
      </c>
      <c r="AG1529" s="16">
        <f>SUMPRODUCT(N1529:Y1529,$N$6:$Y$6)*$K1529*$L1529*$M1529</f>
        <v/>
      </c>
      <c r="AH1529" s="20" t="n"/>
    </row>
    <row r="1530">
      <c r="A1530" s="9" t="n">
        <v>820940</v>
      </c>
      <c r="B1530" s="9" t="inlineStr">
        <is>
          <t>Eiver Mosquera</t>
        </is>
      </c>
      <c r="C1530" s="9" t="inlineStr">
        <is>
          <t>MIA</t>
        </is>
      </c>
      <c r="D1530" s="9" t="n">
        <v>25</v>
      </c>
      <c r="E1530" s="18" t="inlineStr">
        <is>
          <t>R</t>
        </is>
      </c>
      <c r="F1530" s="18" t="n"/>
      <c r="G1530" s="9" t="n">
        <v>12.384</v>
      </c>
      <c r="H1530" s="9" t="n">
        <v>12.384</v>
      </c>
      <c r="I1530" s="9" t="inlineStr">
        <is>
          <t>Depth (no MLB IP)</t>
        </is>
      </c>
      <c r="J1530" s="18" t="inlineStr">
        <is>
          <t>Opening Day</t>
        </is>
      </c>
      <c r="K1530" s="11">
        <f>IFERROR(INDEX(Roles!$B$17:$B$20,MATCH(J1530,Roles!$A$17:$A$20,0)),1)</f>
        <v/>
      </c>
      <c r="L1530" s="19" t="n">
        <v>1</v>
      </c>
      <c r="M1530" s="11" t="n">
        <v>1</v>
      </c>
      <c r="N1530" s="19" t="n"/>
      <c r="O1530" s="19" t="n"/>
      <c r="P1530" s="19" t="n"/>
      <c r="Q1530" s="19" t="n"/>
      <c r="R1530" s="19" t="n"/>
      <c r="S1530" s="19" t="n"/>
      <c r="T1530" s="19" t="n"/>
      <c r="U1530" s="19" t="n"/>
      <c r="V1530" s="19" t="n"/>
      <c r="W1530" s="19" t="n"/>
      <c r="X1530" s="19" t="n"/>
      <c r="Y1530" s="19" t="n">
        <v>1</v>
      </c>
      <c r="Z1530" s="13">
        <f>SUMPRODUCT(N1530:Y1530,$N$2:$Y$2)*$K1530*$L1530*$M1530</f>
        <v/>
      </c>
      <c r="AA1530" s="14">
        <f>SUM(N1530:Y1530)</f>
        <v/>
      </c>
      <c r="AB1530" s="13">
        <f>SUMPRODUCT(N1530:Y1530,$N$3:$Y$3)*$K1530*$L1530*$M1530</f>
        <v/>
      </c>
      <c r="AC1530" s="13">
        <f>SUMPRODUCT(N1530:Y1530,$N$4:$Y$4)*$K1530*$L1530*$M1530</f>
        <v/>
      </c>
      <c r="AD1530" s="15" t="n">
        <v>3</v>
      </c>
      <c r="AE1530" s="11" t="n">
        <v>1.011296296296296</v>
      </c>
      <c r="AF1530" s="16">
        <f>SUMPRODUCT(N1530:Y1530,$N$5:$Y$5)*$K1530*$L1530*$M1530</f>
        <v/>
      </c>
      <c r="AG1530" s="16">
        <f>SUMPRODUCT(N1530:Y1530,$N$6:$Y$6)*$K1530*$L1530*$M1530</f>
        <v/>
      </c>
      <c r="AH1530" s="20" t="n"/>
    </row>
    <row r="1531">
      <c r="A1531" s="9" t="n">
        <v>682719</v>
      </c>
      <c r="B1531" s="9" t="inlineStr">
        <is>
          <t>Jose Atencio</t>
        </is>
      </c>
      <c r="C1531" s="9" t="inlineStr">
        <is>
          <t>LAA</t>
        </is>
      </c>
      <c r="D1531" s="9" t="n">
        <v>25</v>
      </c>
      <c r="E1531" s="18" t="inlineStr">
        <is>
          <t>R</t>
        </is>
      </c>
      <c r="F1531" s="18" t="n"/>
      <c r="G1531" s="9" t="n">
        <v>12.61333333333333</v>
      </c>
      <c r="H1531" s="9" t="n">
        <v>12.61333333333333</v>
      </c>
      <c r="I1531" s="9" t="inlineStr">
        <is>
          <t>Depth (no MLB IP)</t>
        </is>
      </c>
      <c r="J1531" s="18" t="inlineStr">
        <is>
          <t>Opening Day</t>
        </is>
      </c>
      <c r="K1531" s="11">
        <f>IFERROR(INDEX(Roles!$B$17:$B$20,MATCH(J1531,Roles!$A$17:$A$20,0)),1)</f>
        <v/>
      </c>
      <c r="L1531" s="19" t="n">
        <v>1</v>
      </c>
      <c r="M1531" s="11" t="n">
        <v>1</v>
      </c>
      <c r="N1531" s="19" t="n"/>
      <c r="O1531" s="19" t="n"/>
      <c r="P1531" s="19" t="n"/>
      <c r="Q1531" s="19" t="n"/>
      <c r="R1531" s="19" t="n"/>
      <c r="S1531" s="19" t="n"/>
      <c r="T1531" s="19" t="n"/>
      <c r="U1531" s="19" t="n"/>
      <c r="V1531" s="19" t="n"/>
      <c r="W1531" s="19" t="n"/>
      <c r="X1531" s="19" t="n"/>
      <c r="Y1531" s="19" t="n">
        <v>1</v>
      </c>
      <c r="Z1531" s="13">
        <f>SUMPRODUCT(N1531:Y1531,$N$2:$Y$2)*$K1531*$L1531*$M1531</f>
        <v/>
      </c>
      <c r="AA1531" s="14">
        <f>SUM(N1531:Y1531)</f>
        <v/>
      </c>
      <c r="AB1531" s="13">
        <f>SUMPRODUCT(N1531:Y1531,$N$3:$Y$3)*$K1531*$L1531*$M1531</f>
        <v/>
      </c>
      <c r="AC1531" s="13">
        <f>SUMPRODUCT(N1531:Y1531,$N$4:$Y$4)*$K1531*$L1531*$M1531</f>
        <v/>
      </c>
      <c r="AD1531" s="15" t="n">
        <v>3</v>
      </c>
      <c r="AE1531" s="11" t="n">
        <v>1.011296296296296</v>
      </c>
      <c r="AF1531" s="16">
        <f>SUMPRODUCT(N1531:Y1531,$N$5:$Y$5)*$K1531*$L1531*$M1531</f>
        <v/>
      </c>
      <c r="AG1531" s="16">
        <f>SUMPRODUCT(N1531:Y1531,$N$6:$Y$6)*$K1531*$L1531*$M1531</f>
        <v/>
      </c>
      <c r="AH1531" s="20" t="n"/>
    </row>
    <row r="1532">
      <c r="A1532" s="9" t="n">
        <v>836166</v>
      </c>
      <c r="B1532" s="9" t="inlineStr">
        <is>
          <t>Cal Riehl</t>
        </is>
      </c>
      <c r="C1532" s="9" t="inlineStr">
        <is>
          <t>SD</t>
        </is>
      </c>
      <c r="D1532" s="9" t="n">
        <v>25</v>
      </c>
      <c r="E1532" s="18" t="inlineStr">
        <is>
          <t>L</t>
        </is>
      </c>
      <c r="F1532" s="18" t="n"/>
      <c r="G1532" s="9" t="n">
        <v>12.556</v>
      </c>
      <c r="H1532" s="9" t="n">
        <v>12.556</v>
      </c>
      <c r="I1532" s="9" t="inlineStr">
        <is>
          <t>Depth (no MLB IP)</t>
        </is>
      </c>
      <c r="J1532" s="18" t="inlineStr">
        <is>
          <t>Opening Day</t>
        </is>
      </c>
      <c r="K1532" s="11">
        <f>IFERROR(INDEX(Roles!$B$17:$B$20,MATCH(J1532,Roles!$A$17:$A$20,0)),1)</f>
        <v/>
      </c>
      <c r="L1532" s="19" t="n">
        <v>1</v>
      </c>
      <c r="M1532" s="11" t="n">
        <v>1</v>
      </c>
      <c r="N1532" s="19" t="n"/>
      <c r="O1532" s="19" t="n"/>
      <c r="P1532" s="19" t="n"/>
      <c r="Q1532" s="19" t="n"/>
      <c r="R1532" s="19" t="n"/>
      <c r="S1532" s="19" t="n"/>
      <c r="T1532" s="19" t="n"/>
      <c r="U1532" s="19" t="n"/>
      <c r="V1532" s="19" t="n"/>
      <c r="W1532" s="19" t="n"/>
      <c r="X1532" s="19" t="n"/>
      <c r="Y1532" s="19" t="n">
        <v>1</v>
      </c>
      <c r="Z1532" s="13">
        <f>SUMPRODUCT(N1532:Y1532,$N$2:$Y$2)*$K1532*$L1532*$M1532</f>
        <v/>
      </c>
      <c r="AA1532" s="14">
        <f>SUM(N1532:Y1532)</f>
        <v/>
      </c>
      <c r="AB1532" s="13">
        <f>SUMPRODUCT(N1532:Y1532,$N$3:$Y$3)*$K1532*$L1532*$M1532</f>
        <v/>
      </c>
      <c r="AC1532" s="13">
        <f>SUMPRODUCT(N1532:Y1532,$N$4:$Y$4)*$K1532*$L1532*$M1532</f>
        <v/>
      </c>
      <c r="AD1532" s="15" t="n">
        <v>3</v>
      </c>
      <c r="AE1532" s="11" t="n">
        <v>1.011296296296296</v>
      </c>
      <c r="AF1532" s="16">
        <f>SUMPRODUCT(N1532:Y1532,$N$5:$Y$5)*$K1532*$L1532*$M1532</f>
        <v/>
      </c>
      <c r="AG1532" s="16">
        <f>SUMPRODUCT(N1532:Y1532,$N$6:$Y$6)*$K1532*$L1532*$M1532</f>
        <v/>
      </c>
      <c r="AH1532" s="20" t="n"/>
    </row>
    <row r="1533">
      <c r="A1533" s="9" t="n">
        <v>809784</v>
      </c>
      <c r="B1533" s="9" t="inlineStr">
        <is>
          <t>Garrett Stratton</t>
        </is>
      </c>
      <c r="C1533" s="9" t="inlineStr">
        <is>
          <t>NYM</t>
        </is>
      </c>
      <c r="D1533" s="9" t="n">
        <v>25</v>
      </c>
      <c r="E1533" s="18" t="inlineStr">
        <is>
          <t>R</t>
        </is>
      </c>
      <c r="F1533" s="18" t="n"/>
      <c r="G1533" s="9" t="n">
        <v>12.61333333333333</v>
      </c>
      <c r="H1533" s="9" t="n">
        <v>12.61333333333333</v>
      </c>
      <c r="I1533" s="9" t="inlineStr">
        <is>
          <t>Depth (no MLB IP)</t>
        </is>
      </c>
      <c r="J1533" s="18" t="inlineStr">
        <is>
          <t>Opening Day</t>
        </is>
      </c>
      <c r="K1533" s="11">
        <f>IFERROR(INDEX(Roles!$B$17:$B$20,MATCH(J1533,Roles!$A$17:$A$20,0)),1)</f>
        <v/>
      </c>
      <c r="L1533" s="19" t="n">
        <v>1</v>
      </c>
      <c r="M1533" s="11" t="n">
        <v>1</v>
      </c>
      <c r="N1533" s="19" t="n"/>
      <c r="O1533" s="19" t="n"/>
      <c r="P1533" s="19" t="n"/>
      <c r="Q1533" s="19" t="n"/>
      <c r="R1533" s="19" t="n"/>
      <c r="S1533" s="19" t="n"/>
      <c r="T1533" s="19" t="n"/>
      <c r="U1533" s="19" t="n"/>
      <c r="V1533" s="19" t="n"/>
      <c r="W1533" s="19" t="n"/>
      <c r="X1533" s="19" t="n"/>
      <c r="Y1533" s="19" t="n">
        <v>1</v>
      </c>
      <c r="Z1533" s="13">
        <f>SUMPRODUCT(N1533:Y1533,$N$2:$Y$2)*$K1533*$L1533*$M1533</f>
        <v/>
      </c>
      <c r="AA1533" s="14">
        <f>SUM(N1533:Y1533)</f>
        <v/>
      </c>
      <c r="AB1533" s="13">
        <f>SUMPRODUCT(N1533:Y1533,$N$3:$Y$3)*$K1533*$L1533*$M1533</f>
        <v/>
      </c>
      <c r="AC1533" s="13">
        <f>SUMPRODUCT(N1533:Y1533,$N$4:$Y$4)*$K1533*$L1533*$M1533</f>
        <v/>
      </c>
      <c r="AD1533" s="15" t="n">
        <v>3</v>
      </c>
      <c r="AE1533" s="11" t="n">
        <v>1.011296296296296</v>
      </c>
      <c r="AF1533" s="16">
        <f>SUMPRODUCT(N1533:Y1533,$N$5:$Y$5)*$K1533*$L1533*$M1533</f>
        <v/>
      </c>
      <c r="AG1533" s="16">
        <f>SUMPRODUCT(N1533:Y1533,$N$6:$Y$6)*$K1533*$L1533*$M1533</f>
        <v/>
      </c>
      <c r="AH1533" s="20" t="n"/>
    </row>
    <row r="1534">
      <c r="A1534" s="9" t="n">
        <v>816144</v>
      </c>
      <c r="B1534" s="9" t="inlineStr">
        <is>
          <t>Joel Cruz</t>
        </is>
      </c>
      <c r="C1534" s="9" t="inlineStr">
        <is>
          <t>LAD</t>
        </is>
      </c>
      <c r="D1534" s="9" t="n">
        <v>25</v>
      </c>
      <c r="E1534" s="18" t="inlineStr">
        <is>
          <t>R</t>
        </is>
      </c>
      <c r="F1534" s="18" t="n"/>
      <c r="G1534" s="9" t="n">
        <v>12.556</v>
      </c>
      <c r="H1534" s="9" t="n">
        <v>12.556</v>
      </c>
      <c r="I1534" s="9" t="inlineStr">
        <is>
          <t>Depth (no MLB IP)</t>
        </is>
      </c>
      <c r="J1534" s="18" t="inlineStr">
        <is>
          <t>Opening Day</t>
        </is>
      </c>
      <c r="K1534" s="11">
        <f>IFERROR(INDEX(Roles!$B$17:$B$20,MATCH(J1534,Roles!$A$17:$A$20,0)),1)</f>
        <v/>
      </c>
      <c r="L1534" s="19" t="n">
        <v>1</v>
      </c>
      <c r="M1534" s="11" t="n">
        <v>1</v>
      </c>
      <c r="N1534" s="19" t="n"/>
      <c r="O1534" s="19" t="n"/>
      <c r="P1534" s="19" t="n"/>
      <c r="Q1534" s="19" t="n"/>
      <c r="R1534" s="19" t="n"/>
      <c r="S1534" s="19" t="n"/>
      <c r="T1534" s="19" t="n"/>
      <c r="U1534" s="19" t="n"/>
      <c r="V1534" s="19" t="n"/>
      <c r="W1534" s="19" t="n"/>
      <c r="X1534" s="19" t="n"/>
      <c r="Y1534" s="19" t="n">
        <v>1</v>
      </c>
      <c r="Z1534" s="13">
        <f>SUMPRODUCT(N1534:Y1534,$N$2:$Y$2)*$K1534*$L1534*$M1534</f>
        <v/>
      </c>
      <c r="AA1534" s="14">
        <f>SUM(N1534:Y1534)</f>
        <v/>
      </c>
      <c r="AB1534" s="13">
        <f>SUMPRODUCT(N1534:Y1534,$N$3:$Y$3)*$K1534*$L1534*$M1534</f>
        <v/>
      </c>
      <c r="AC1534" s="13">
        <f>SUMPRODUCT(N1534:Y1534,$N$4:$Y$4)*$K1534*$L1534*$M1534</f>
        <v/>
      </c>
      <c r="AD1534" s="15" t="n">
        <v>3</v>
      </c>
      <c r="AE1534" s="11" t="n">
        <v>1.011296296296296</v>
      </c>
      <c r="AF1534" s="16">
        <f>SUMPRODUCT(N1534:Y1534,$N$5:$Y$5)*$K1534*$L1534*$M1534</f>
        <v/>
      </c>
      <c r="AG1534" s="16">
        <f>SUMPRODUCT(N1534:Y1534,$N$6:$Y$6)*$K1534*$L1534*$M1534</f>
        <v/>
      </c>
      <c r="AH1534" s="20" t="n"/>
    </row>
    <row r="1535">
      <c r="A1535" s="9" t="n">
        <v>807963</v>
      </c>
      <c r="B1535" s="9" t="inlineStr">
        <is>
          <t>Wilfred Alvarado</t>
        </is>
      </c>
      <c r="C1535" s="9" t="inlineStr">
        <is>
          <t>OAK</t>
        </is>
      </c>
      <c r="D1535" s="9" t="n">
        <v>25</v>
      </c>
      <c r="E1535" s="18" t="inlineStr">
        <is>
          <t>R</t>
        </is>
      </c>
      <c r="F1535" s="18" t="n"/>
      <c r="G1535" s="9" t="n">
        <v>12.556</v>
      </c>
      <c r="H1535" s="9" t="n">
        <v>12.556</v>
      </c>
      <c r="I1535" s="9" t="inlineStr">
        <is>
          <t>Depth (no MLB IP)</t>
        </is>
      </c>
      <c r="J1535" s="18" t="inlineStr">
        <is>
          <t>Opening Day</t>
        </is>
      </c>
      <c r="K1535" s="11">
        <f>IFERROR(INDEX(Roles!$B$17:$B$20,MATCH(J1535,Roles!$A$17:$A$20,0)),1)</f>
        <v/>
      </c>
      <c r="L1535" s="19" t="n">
        <v>1</v>
      </c>
      <c r="M1535" s="11" t="n">
        <v>1</v>
      </c>
      <c r="N1535" s="19" t="n"/>
      <c r="O1535" s="19" t="n"/>
      <c r="P1535" s="19" t="n"/>
      <c r="Q1535" s="19" t="n"/>
      <c r="R1535" s="19" t="n"/>
      <c r="S1535" s="19" t="n"/>
      <c r="T1535" s="19" t="n"/>
      <c r="U1535" s="19" t="n"/>
      <c r="V1535" s="19" t="n"/>
      <c r="W1535" s="19" t="n"/>
      <c r="X1535" s="19" t="n"/>
      <c r="Y1535" s="19" t="n">
        <v>1</v>
      </c>
      <c r="Z1535" s="13">
        <f>SUMPRODUCT(N1535:Y1535,$N$2:$Y$2)*$K1535*$L1535*$M1535</f>
        <v/>
      </c>
      <c r="AA1535" s="14">
        <f>SUM(N1535:Y1535)</f>
        <v/>
      </c>
      <c r="AB1535" s="13">
        <f>SUMPRODUCT(N1535:Y1535,$N$3:$Y$3)*$K1535*$L1535*$M1535</f>
        <v/>
      </c>
      <c r="AC1535" s="13">
        <f>SUMPRODUCT(N1535:Y1535,$N$4:$Y$4)*$K1535*$L1535*$M1535</f>
        <v/>
      </c>
      <c r="AD1535" s="15" t="n">
        <v>3</v>
      </c>
      <c r="AE1535" s="11" t="n">
        <v>1.011296296296296</v>
      </c>
      <c r="AF1535" s="16">
        <f>SUMPRODUCT(N1535:Y1535,$N$5:$Y$5)*$K1535*$L1535*$M1535</f>
        <v/>
      </c>
      <c r="AG1535" s="16">
        <f>SUMPRODUCT(N1535:Y1535,$N$6:$Y$6)*$K1535*$L1535*$M1535</f>
        <v/>
      </c>
      <c r="AH1535" s="20" t="n"/>
    </row>
    <row r="1536">
      <c r="A1536" s="9" t="n">
        <v>835214</v>
      </c>
      <c r="B1536" s="9" t="inlineStr">
        <is>
          <t>Charlie Christensen</t>
        </is>
      </c>
      <c r="C1536" s="9" t="inlineStr">
        <is>
          <t>DET</t>
        </is>
      </c>
      <c r="D1536" s="9" t="n">
        <v>25</v>
      </c>
      <c r="E1536" s="18" t="inlineStr">
        <is>
          <t>R</t>
        </is>
      </c>
      <c r="F1536" s="18" t="n"/>
      <c r="G1536" s="9" t="n">
        <v>12.61333333333333</v>
      </c>
      <c r="H1536" s="9" t="n">
        <v>12.61333333333333</v>
      </c>
      <c r="I1536" s="9" t="inlineStr">
        <is>
          <t>Depth (no MLB IP)</t>
        </is>
      </c>
      <c r="J1536" s="18" t="inlineStr">
        <is>
          <t>Opening Day</t>
        </is>
      </c>
      <c r="K1536" s="11">
        <f>IFERROR(INDEX(Roles!$B$17:$B$20,MATCH(J1536,Roles!$A$17:$A$20,0)),1)</f>
        <v/>
      </c>
      <c r="L1536" s="19" t="n">
        <v>1</v>
      </c>
      <c r="M1536" s="11" t="n">
        <v>1</v>
      </c>
      <c r="N1536" s="19" t="n"/>
      <c r="O1536" s="19" t="n"/>
      <c r="P1536" s="19" t="n"/>
      <c r="Q1536" s="19" t="n"/>
      <c r="R1536" s="19" t="n"/>
      <c r="S1536" s="19" t="n"/>
      <c r="T1536" s="19" t="n"/>
      <c r="U1536" s="19" t="n"/>
      <c r="V1536" s="19" t="n"/>
      <c r="W1536" s="19" t="n"/>
      <c r="X1536" s="19" t="n"/>
      <c r="Y1536" s="19" t="n">
        <v>1</v>
      </c>
      <c r="Z1536" s="13">
        <f>SUMPRODUCT(N1536:Y1536,$N$2:$Y$2)*$K1536*$L1536*$M1536</f>
        <v/>
      </c>
      <c r="AA1536" s="14">
        <f>SUM(N1536:Y1536)</f>
        <v/>
      </c>
      <c r="AB1536" s="13">
        <f>SUMPRODUCT(N1536:Y1536,$N$3:$Y$3)*$K1536*$L1536*$M1536</f>
        <v/>
      </c>
      <c r="AC1536" s="13">
        <f>SUMPRODUCT(N1536:Y1536,$N$4:$Y$4)*$K1536*$L1536*$M1536</f>
        <v/>
      </c>
      <c r="AD1536" s="15" t="n">
        <v>3</v>
      </c>
      <c r="AE1536" s="11" t="n">
        <v>1.011296296296296</v>
      </c>
      <c r="AF1536" s="16">
        <f>SUMPRODUCT(N1536:Y1536,$N$5:$Y$5)*$K1536*$L1536*$M1536</f>
        <v/>
      </c>
      <c r="AG1536" s="16">
        <f>SUMPRODUCT(N1536:Y1536,$N$6:$Y$6)*$K1536*$L1536*$M1536</f>
        <v/>
      </c>
      <c r="AH1536" s="20" t="n"/>
    </row>
    <row r="1537">
      <c r="A1537" s="9" t="n">
        <v>692372</v>
      </c>
      <c r="B1537" s="9" t="inlineStr">
        <is>
          <t>Ettore Giulianelli</t>
        </is>
      </c>
      <c r="C1537" s="9" t="inlineStr">
        <is>
          <t>CLE</t>
        </is>
      </c>
      <c r="D1537" s="9" t="n">
        <v>25</v>
      </c>
      <c r="E1537" s="18" t="inlineStr">
        <is>
          <t>R</t>
        </is>
      </c>
      <c r="F1537" s="18" t="n"/>
      <c r="G1537" s="9" t="n">
        <v>12.728</v>
      </c>
      <c r="H1537" s="9" t="n">
        <v>12.728</v>
      </c>
      <c r="I1537" s="9" t="inlineStr">
        <is>
          <t>Depth (no MLB IP)</t>
        </is>
      </c>
      <c r="J1537" s="18" t="inlineStr">
        <is>
          <t>Opening Day</t>
        </is>
      </c>
      <c r="K1537" s="11">
        <f>IFERROR(INDEX(Roles!$B$17:$B$20,MATCH(J1537,Roles!$A$17:$A$20,0)),1)</f>
        <v/>
      </c>
      <c r="L1537" s="19" t="n">
        <v>1</v>
      </c>
      <c r="M1537" s="11" t="n">
        <v>1</v>
      </c>
      <c r="N1537" s="19" t="n"/>
      <c r="O1537" s="19" t="n"/>
      <c r="P1537" s="19" t="n"/>
      <c r="Q1537" s="19" t="n"/>
      <c r="R1537" s="19" t="n"/>
      <c r="S1537" s="19" t="n"/>
      <c r="T1537" s="19" t="n"/>
      <c r="U1537" s="19" t="n"/>
      <c r="V1537" s="19" t="n"/>
      <c r="W1537" s="19" t="n"/>
      <c r="X1537" s="19" t="n"/>
      <c r="Y1537" s="19" t="n">
        <v>1</v>
      </c>
      <c r="Z1537" s="13">
        <f>SUMPRODUCT(N1537:Y1537,$N$2:$Y$2)*$K1537*$L1537*$M1537</f>
        <v/>
      </c>
      <c r="AA1537" s="14">
        <f>SUM(N1537:Y1537)</f>
        <v/>
      </c>
      <c r="AB1537" s="13">
        <f>SUMPRODUCT(N1537:Y1537,$N$3:$Y$3)*$K1537*$L1537*$M1537</f>
        <v/>
      </c>
      <c r="AC1537" s="13">
        <f>SUMPRODUCT(N1537:Y1537,$N$4:$Y$4)*$K1537*$L1537*$M1537</f>
        <v/>
      </c>
      <c r="AD1537" s="15" t="n">
        <v>3</v>
      </c>
      <c r="AE1537" s="11" t="n">
        <v>1.011296296296296</v>
      </c>
      <c r="AF1537" s="16">
        <f>SUMPRODUCT(N1537:Y1537,$N$5:$Y$5)*$K1537*$L1537*$M1537</f>
        <v/>
      </c>
      <c r="AG1537" s="16">
        <f>SUMPRODUCT(N1537:Y1537,$N$6:$Y$6)*$K1537*$L1537*$M1537</f>
        <v/>
      </c>
      <c r="AH1537" s="20" t="n"/>
    </row>
    <row r="1538">
      <c r="A1538" s="9" t="n">
        <v>803373</v>
      </c>
      <c r="B1538" s="9" t="inlineStr">
        <is>
          <t>Anderson Guevara</t>
        </is>
      </c>
      <c r="C1538" s="9" t="inlineStr">
        <is>
          <t>SEA</t>
        </is>
      </c>
      <c r="D1538" s="9" t="n">
        <v>25</v>
      </c>
      <c r="E1538" s="18" t="inlineStr">
        <is>
          <t>R</t>
        </is>
      </c>
      <c r="F1538" s="18" t="n"/>
      <c r="G1538" s="9" t="n">
        <v>12.728</v>
      </c>
      <c r="H1538" s="9" t="n">
        <v>12.728</v>
      </c>
      <c r="I1538" s="9" t="inlineStr">
        <is>
          <t>Depth (no MLB IP)</t>
        </is>
      </c>
      <c r="J1538" s="18" t="inlineStr">
        <is>
          <t>Opening Day</t>
        </is>
      </c>
      <c r="K1538" s="11">
        <f>IFERROR(INDEX(Roles!$B$17:$B$20,MATCH(J1538,Roles!$A$17:$A$20,0)),1)</f>
        <v/>
      </c>
      <c r="L1538" s="19" t="n">
        <v>1</v>
      </c>
      <c r="M1538" s="11" t="n">
        <v>1</v>
      </c>
      <c r="N1538" s="19" t="n"/>
      <c r="O1538" s="19" t="n"/>
      <c r="P1538" s="19" t="n"/>
      <c r="Q1538" s="19" t="n"/>
      <c r="R1538" s="19" t="n"/>
      <c r="S1538" s="19" t="n"/>
      <c r="T1538" s="19" t="n"/>
      <c r="U1538" s="19" t="n"/>
      <c r="V1538" s="19" t="n"/>
      <c r="W1538" s="19" t="n"/>
      <c r="X1538" s="19" t="n"/>
      <c r="Y1538" s="19" t="n">
        <v>1</v>
      </c>
      <c r="Z1538" s="13">
        <f>SUMPRODUCT(N1538:Y1538,$N$2:$Y$2)*$K1538*$L1538*$M1538</f>
        <v/>
      </c>
      <c r="AA1538" s="14">
        <f>SUM(N1538:Y1538)</f>
        <v/>
      </c>
      <c r="AB1538" s="13">
        <f>SUMPRODUCT(N1538:Y1538,$N$3:$Y$3)*$K1538*$L1538*$M1538</f>
        <v/>
      </c>
      <c r="AC1538" s="13">
        <f>SUMPRODUCT(N1538:Y1538,$N$4:$Y$4)*$K1538*$L1538*$M1538</f>
        <v/>
      </c>
      <c r="AD1538" s="15" t="n">
        <v>3</v>
      </c>
      <c r="AE1538" s="11" t="n">
        <v>1.011296296296296</v>
      </c>
      <c r="AF1538" s="16">
        <f>SUMPRODUCT(N1538:Y1538,$N$5:$Y$5)*$K1538*$L1538*$M1538</f>
        <v/>
      </c>
      <c r="AG1538" s="16">
        <f>SUMPRODUCT(N1538:Y1538,$N$6:$Y$6)*$K1538*$L1538*$M1538</f>
        <v/>
      </c>
      <c r="AH1538" s="20" t="n"/>
    </row>
    <row r="1539">
      <c r="A1539" s="9" t="n">
        <v>700370</v>
      </c>
      <c r="B1539" s="9" t="inlineStr">
        <is>
          <t>Felipe De La Cruz</t>
        </is>
      </c>
      <c r="C1539" s="9" t="inlineStr">
        <is>
          <t>NYM</t>
        </is>
      </c>
      <c r="D1539" s="9" t="n">
        <v>25</v>
      </c>
      <c r="E1539" s="18" t="inlineStr">
        <is>
          <t>L</t>
        </is>
      </c>
      <c r="F1539" s="18" t="n"/>
      <c r="G1539" s="9" t="n">
        <v>12.61333333333333</v>
      </c>
      <c r="H1539" s="9" t="n">
        <v>12.61333333333333</v>
      </c>
      <c r="I1539" s="9" t="inlineStr">
        <is>
          <t>Depth (no MLB IP)</t>
        </is>
      </c>
      <c r="J1539" s="18" t="inlineStr">
        <is>
          <t>Opening Day</t>
        </is>
      </c>
      <c r="K1539" s="11">
        <f>IFERROR(INDEX(Roles!$B$17:$B$20,MATCH(J1539,Roles!$A$17:$A$20,0)),1)</f>
        <v/>
      </c>
      <c r="L1539" s="19" t="n">
        <v>1</v>
      </c>
      <c r="M1539" s="11" t="n">
        <v>1</v>
      </c>
      <c r="N1539" s="19" t="n"/>
      <c r="O1539" s="19" t="n"/>
      <c r="P1539" s="19" t="n"/>
      <c r="Q1539" s="19" t="n"/>
      <c r="R1539" s="19" t="n"/>
      <c r="S1539" s="19" t="n"/>
      <c r="T1539" s="19" t="n"/>
      <c r="U1539" s="19" t="n"/>
      <c r="V1539" s="19" t="n"/>
      <c r="W1539" s="19" t="n"/>
      <c r="X1539" s="19" t="n"/>
      <c r="Y1539" s="19" t="n">
        <v>1</v>
      </c>
      <c r="Z1539" s="13">
        <f>SUMPRODUCT(N1539:Y1539,$N$2:$Y$2)*$K1539*$L1539*$M1539</f>
        <v/>
      </c>
      <c r="AA1539" s="14">
        <f>SUM(N1539:Y1539)</f>
        <v/>
      </c>
      <c r="AB1539" s="13">
        <f>SUMPRODUCT(N1539:Y1539,$N$3:$Y$3)*$K1539*$L1539*$M1539</f>
        <v/>
      </c>
      <c r="AC1539" s="13">
        <f>SUMPRODUCT(N1539:Y1539,$N$4:$Y$4)*$K1539*$L1539*$M1539</f>
        <v/>
      </c>
      <c r="AD1539" s="15" t="n">
        <v>3</v>
      </c>
      <c r="AE1539" s="11" t="n">
        <v>1.011296296296296</v>
      </c>
      <c r="AF1539" s="16">
        <f>SUMPRODUCT(N1539:Y1539,$N$5:$Y$5)*$K1539*$L1539*$M1539</f>
        <v/>
      </c>
      <c r="AG1539" s="16">
        <f>SUMPRODUCT(N1539:Y1539,$N$6:$Y$6)*$K1539*$L1539*$M1539</f>
        <v/>
      </c>
      <c r="AH1539" s="20" t="n"/>
    </row>
    <row r="1540">
      <c r="A1540" s="9" t="n">
        <v>682858</v>
      </c>
      <c r="B1540" s="9" t="inlineStr">
        <is>
          <t>Gabriel Barbosa</t>
        </is>
      </c>
      <c r="C1540" s="9" t="inlineStr">
        <is>
          <t>PHI</t>
        </is>
      </c>
      <c r="D1540" s="9" t="n">
        <v>25</v>
      </c>
      <c r="E1540" s="18" t="inlineStr">
        <is>
          <t>R</t>
        </is>
      </c>
      <c r="F1540" s="18" t="n"/>
      <c r="G1540" s="9" t="n">
        <v>12.61333333333333</v>
      </c>
      <c r="H1540" s="9" t="n">
        <v>12.61333333333333</v>
      </c>
      <c r="I1540" s="9" t="inlineStr">
        <is>
          <t>Depth (no MLB IP)</t>
        </is>
      </c>
      <c r="J1540" s="18" t="inlineStr">
        <is>
          <t>Opening Day</t>
        </is>
      </c>
      <c r="K1540" s="11">
        <f>IFERROR(INDEX(Roles!$B$17:$B$20,MATCH(J1540,Roles!$A$17:$A$20,0)),1)</f>
        <v/>
      </c>
      <c r="L1540" s="19" t="n">
        <v>1</v>
      </c>
      <c r="M1540" s="11" t="n">
        <v>1</v>
      </c>
      <c r="N1540" s="19" t="n"/>
      <c r="O1540" s="19" t="n"/>
      <c r="P1540" s="19" t="n"/>
      <c r="Q1540" s="19" t="n"/>
      <c r="R1540" s="19" t="n"/>
      <c r="S1540" s="19" t="n"/>
      <c r="T1540" s="19" t="n"/>
      <c r="U1540" s="19" t="n"/>
      <c r="V1540" s="19" t="n"/>
      <c r="W1540" s="19" t="n"/>
      <c r="X1540" s="19" t="n"/>
      <c r="Y1540" s="19" t="n">
        <v>1</v>
      </c>
      <c r="Z1540" s="13">
        <f>SUMPRODUCT(N1540:Y1540,$N$2:$Y$2)*$K1540*$L1540*$M1540</f>
        <v/>
      </c>
      <c r="AA1540" s="14">
        <f>SUM(N1540:Y1540)</f>
        <v/>
      </c>
      <c r="AB1540" s="13">
        <f>SUMPRODUCT(N1540:Y1540,$N$3:$Y$3)*$K1540*$L1540*$M1540</f>
        <v/>
      </c>
      <c r="AC1540" s="13">
        <f>SUMPRODUCT(N1540:Y1540,$N$4:$Y$4)*$K1540*$L1540*$M1540</f>
        <v/>
      </c>
      <c r="AD1540" s="15" t="n">
        <v>3</v>
      </c>
      <c r="AE1540" s="11" t="n">
        <v>1.011296296296296</v>
      </c>
      <c r="AF1540" s="16">
        <f>SUMPRODUCT(N1540:Y1540,$N$5:$Y$5)*$K1540*$L1540*$M1540</f>
        <v/>
      </c>
      <c r="AG1540" s="16">
        <f>SUMPRODUCT(N1540:Y1540,$N$6:$Y$6)*$K1540*$L1540*$M1540</f>
        <v/>
      </c>
      <c r="AH1540" s="20" t="n"/>
    </row>
    <row r="1541">
      <c r="A1541" s="9" t="n">
        <v>823208</v>
      </c>
      <c r="B1541" s="9" t="inlineStr">
        <is>
          <t>Cameron Nohos</t>
        </is>
      </c>
      <c r="C1541" s="9" t="inlineStr">
        <is>
          <t>SD</t>
        </is>
      </c>
      <c r="D1541" s="9" t="n">
        <v>25</v>
      </c>
      <c r="E1541" s="18" t="inlineStr">
        <is>
          <t>R</t>
        </is>
      </c>
      <c r="F1541" s="18" t="n"/>
      <c r="G1541" s="9" t="n">
        <v>12.556</v>
      </c>
      <c r="H1541" s="9" t="n">
        <v>12.556</v>
      </c>
      <c r="I1541" s="9" t="inlineStr">
        <is>
          <t>Depth (no MLB IP)</t>
        </is>
      </c>
      <c r="J1541" s="18" t="inlineStr">
        <is>
          <t>Opening Day</t>
        </is>
      </c>
      <c r="K1541" s="11">
        <f>IFERROR(INDEX(Roles!$B$17:$B$20,MATCH(J1541,Roles!$A$17:$A$20,0)),1)</f>
        <v/>
      </c>
      <c r="L1541" s="19" t="n">
        <v>1</v>
      </c>
      <c r="M1541" s="11" t="n">
        <v>1</v>
      </c>
      <c r="N1541" s="19" t="n"/>
      <c r="O1541" s="19" t="n"/>
      <c r="P1541" s="19" t="n"/>
      <c r="Q1541" s="19" t="n"/>
      <c r="R1541" s="19" t="n"/>
      <c r="S1541" s="19" t="n"/>
      <c r="T1541" s="19" t="n"/>
      <c r="U1541" s="19" t="n"/>
      <c r="V1541" s="19" t="n"/>
      <c r="W1541" s="19" t="n"/>
      <c r="X1541" s="19" t="n"/>
      <c r="Y1541" s="19" t="n">
        <v>1</v>
      </c>
      <c r="Z1541" s="13">
        <f>SUMPRODUCT(N1541:Y1541,$N$2:$Y$2)*$K1541*$L1541*$M1541</f>
        <v/>
      </c>
      <c r="AA1541" s="14">
        <f>SUM(N1541:Y1541)</f>
        <v/>
      </c>
      <c r="AB1541" s="13">
        <f>SUMPRODUCT(N1541:Y1541,$N$3:$Y$3)*$K1541*$L1541*$M1541</f>
        <v/>
      </c>
      <c r="AC1541" s="13">
        <f>SUMPRODUCT(N1541:Y1541,$N$4:$Y$4)*$K1541*$L1541*$M1541</f>
        <v/>
      </c>
      <c r="AD1541" s="15" t="n">
        <v>3</v>
      </c>
      <c r="AE1541" s="11" t="n">
        <v>1.011296296296296</v>
      </c>
      <c r="AF1541" s="16">
        <f>SUMPRODUCT(N1541:Y1541,$N$5:$Y$5)*$K1541*$L1541*$M1541</f>
        <v/>
      </c>
      <c r="AG1541" s="16">
        <f>SUMPRODUCT(N1541:Y1541,$N$6:$Y$6)*$K1541*$L1541*$M1541</f>
        <v/>
      </c>
      <c r="AH1541" s="20" t="n"/>
    </row>
    <row r="1542">
      <c r="A1542" s="9" t="n">
        <v>808005</v>
      </c>
      <c r="B1542" s="9" t="inlineStr">
        <is>
          <t>Walvin Mena</t>
        </is>
      </c>
      <c r="C1542" s="9" t="inlineStr">
        <is>
          <t>ARI</t>
        </is>
      </c>
      <c r="D1542" s="9" t="n">
        <v>25</v>
      </c>
      <c r="E1542" s="18" t="inlineStr">
        <is>
          <t>R</t>
        </is>
      </c>
      <c r="F1542" s="18" t="n"/>
      <c r="G1542" s="9" t="n">
        <v>12.728</v>
      </c>
      <c r="H1542" s="9" t="n">
        <v>12.728</v>
      </c>
      <c r="I1542" s="9" t="inlineStr">
        <is>
          <t>Depth (no MLB IP)</t>
        </is>
      </c>
      <c r="J1542" s="18" t="inlineStr">
        <is>
          <t>Opening Day</t>
        </is>
      </c>
      <c r="K1542" s="11">
        <f>IFERROR(INDEX(Roles!$B$17:$B$20,MATCH(J1542,Roles!$A$17:$A$20,0)),1)</f>
        <v/>
      </c>
      <c r="L1542" s="19" t="n">
        <v>1</v>
      </c>
      <c r="M1542" s="11" t="n">
        <v>1</v>
      </c>
      <c r="N1542" s="19" t="n"/>
      <c r="O1542" s="19" t="n"/>
      <c r="P1542" s="19" t="n"/>
      <c r="Q1542" s="19" t="n"/>
      <c r="R1542" s="19" t="n"/>
      <c r="S1542" s="19" t="n"/>
      <c r="T1542" s="19" t="n"/>
      <c r="U1542" s="19" t="n"/>
      <c r="V1542" s="19" t="n"/>
      <c r="W1542" s="19" t="n"/>
      <c r="X1542" s="19" t="n"/>
      <c r="Y1542" s="19" t="n">
        <v>1</v>
      </c>
      <c r="Z1542" s="13">
        <f>SUMPRODUCT(N1542:Y1542,$N$2:$Y$2)*$K1542*$L1542*$M1542</f>
        <v/>
      </c>
      <c r="AA1542" s="14">
        <f>SUM(N1542:Y1542)</f>
        <v/>
      </c>
      <c r="AB1542" s="13">
        <f>SUMPRODUCT(N1542:Y1542,$N$3:$Y$3)*$K1542*$L1542*$M1542</f>
        <v/>
      </c>
      <c r="AC1542" s="13">
        <f>SUMPRODUCT(N1542:Y1542,$N$4:$Y$4)*$K1542*$L1542*$M1542</f>
        <v/>
      </c>
      <c r="AD1542" s="15" t="n">
        <v>3</v>
      </c>
      <c r="AE1542" s="11" t="n">
        <v>1.011296296296296</v>
      </c>
      <c r="AF1542" s="16">
        <f>SUMPRODUCT(N1542:Y1542,$N$5:$Y$5)*$K1542*$L1542*$M1542</f>
        <v/>
      </c>
      <c r="AG1542" s="16">
        <f>SUMPRODUCT(N1542:Y1542,$N$6:$Y$6)*$K1542*$L1542*$M1542</f>
        <v/>
      </c>
      <c r="AH1542" s="20" t="n"/>
    </row>
    <row r="1543">
      <c r="A1543" s="9" t="n">
        <v>824028</v>
      </c>
      <c r="B1543" s="9" t="inlineStr">
        <is>
          <t>Gage Miller</t>
        </is>
      </c>
      <c r="C1543" s="9" t="inlineStr">
        <is>
          <t>MIA</t>
        </is>
      </c>
      <c r="D1543" s="9" t="n">
        <v>25</v>
      </c>
      <c r="E1543" s="18" t="inlineStr">
        <is>
          <t>R</t>
        </is>
      </c>
      <c r="F1543" s="18" t="n"/>
      <c r="G1543" s="9" t="n">
        <v>12.61333333333333</v>
      </c>
      <c r="H1543" s="9" t="n">
        <v>12.61333333333333</v>
      </c>
      <c r="I1543" s="9" t="inlineStr">
        <is>
          <t>Depth (no MLB IP)</t>
        </is>
      </c>
      <c r="J1543" s="18" t="inlineStr">
        <is>
          <t>Opening Day</t>
        </is>
      </c>
      <c r="K1543" s="11">
        <f>IFERROR(INDEX(Roles!$B$17:$B$20,MATCH(J1543,Roles!$A$17:$A$20,0)),1)</f>
        <v/>
      </c>
      <c r="L1543" s="19" t="n">
        <v>1</v>
      </c>
      <c r="M1543" s="11" t="n">
        <v>1</v>
      </c>
      <c r="N1543" s="19" t="n"/>
      <c r="O1543" s="19" t="n"/>
      <c r="P1543" s="19" t="n"/>
      <c r="Q1543" s="19" t="n"/>
      <c r="R1543" s="19" t="n"/>
      <c r="S1543" s="19" t="n"/>
      <c r="T1543" s="19" t="n"/>
      <c r="U1543" s="19" t="n"/>
      <c r="V1543" s="19" t="n"/>
      <c r="W1543" s="19" t="n"/>
      <c r="X1543" s="19" t="n"/>
      <c r="Y1543" s="19" t="n">
        <v>1</v>
      </c>
      <c r="Z1543" s="13">
        <f>SUMPRODUCT(N1543:Y1543,$N$2:$Y$2)*$K1543*$L1543*$M1543</f>
        <v/>
      </c>
      <c r="AA1543" s="14">
        <f>SUM(N1543:Y1543)</f>
        <v/>
      </c>
      <c r="AB1543" s="13">
        <f>SUMPRODUCT(N1543:Y1543,$N$3:$Y$3)*$K1543*$L1543*$M1543</f>
        <v/>
      </c>
      <c r="AC1543" s="13">
        <f>SUMPRODUCT(N1543:Y1543,$N$4:$Y$4)*$K1543*$L1543*$M1543</f>
        <v/>
      </c>
      <c r="AD1543" s="15" t="n">
        <v>3</v>
      </c>
      <c r="AE1543" s="11" t="n">
        <v>1.011296296296296</v>
      </c>
      <c r="AF1543" s="16">
        <f>SUMPRODUCT(N1543:Y1543,$N$5:$Y$5)*$K1543*$L1543*$M1543</f>
        <v/>
      </c>
      <c r="AG1543" s="16">
        <f>SUMPRODUCT(N1543:Y1543,$N$6:$Y$6)*$K1543*$L1543*$M1543</f>
        <v/>
      </c>
      <c r="AH1543" s="20" t="n"/>
    </row>
    <row r="1544">
      <c r="A1544" s="9" t="n">
        <v>690977</v>
      </c>
      <c r="B1544" s="9" t="inlineStr">
        <is>
          <t>Jackson Fristoe</t>
        </is>
      </c>
      <c r="C1544" s="9" t="inlineStr">
        <is>
          <t>NYY</t>
        </is>
      </c>
      <c r="D1544" s="9" t="n">
        <v>25</v>
      </c>
      <c r="E1544" s="18" t="inlineStr">
        <is>
          <t>R</t>
        </is>
      </c>
      <c r="F1544" s="18" t="n"/>
      <c r="G1544" s="9" t="n">
        <v>12.9</v>
      </c>
      <c r="H1544" s="9" t="n">
        <v>12.9</v>
      </c>
      <c r="I1544" s="9" t="inlineStr">
        <is>
          <t>Depth (no MLB IP)</t>
        </is>
      </c>
      <c r="J1544" s="18" t="inlineStr">
        <is>
          <t>Opening Day</t>
        </is>
      </c>
      <c r="K1544" s="11">
        <f>IFERROR(INDEX(Roles!$B$17:$B$20,MATCH(J1544,Roles!$A$17:$A$20,0)),1)</f>
        <v/>
      </c>
      <c r="L1544" s="19" t="n">
        <v>1</v>
      </c>
      <c r="M1544" s="11" t="n">
        <v>1</v>
      </c>
      <c r="N1544" s="19" t="n"/>
      <c r="O1544" s="19" t="n"/>
      <c r="P1544" s="19" t="n"/>
      <c r="Q1544" s="19" t="n"/>
      <c r="R1544" s="19" t="n"/>
      <c r="S1544" s="19" t="n"/>
      <c r="T1544" s="19" t="n"/>
      <c r="U1544" s="19" t="n"/>
      <c r="V1544" s="19" t="n"/>
      <c r="W1544" s="19" t="n"/>
      <c r="X1544" s="19" t="n"/>
      <c r="Y1544" s="19" t="n">
        <v>1</v>
      </c>
      <c r="Z1544" s="13">
        <f>SUMPRODUCT(N1544:Y1544,$N$2:$Y$2)*$K1544*$L1544*$M1544</f>
        <v/>
      </c>
      <c r="AA1544" s="14">
        <f>SUM(N1544:Y1544)</f>
        <v/>
      </c>
      <c r="AB1544" s="13">
        <f>SUMPRODUCT(N1544:Y1544,$N$3:$Y$3)*$K1544*$L1544*$M1544</f>
        <v/>
      </c>
      <c r="AC1544" s="13">
        <f>SUMPRODUCT(N1544:Y1544,$N$4:$Y$4)*$K1544*$L1544*$M1544</f>
        <v/>
      </c>
      <c r="AD1544" s="15" t="n">
        <v>3</v>
      </c>
      <c r="AE1544" s="11" t="n">
        <v>1.011296296296296</v>
      </c>
      <c r="AF1544" s="16">
        <f>SUMPRODUCT(N1544:Y1544,$N$5:$Y$5)*$K1544*$L1544*$M1544</f>
        <v/>
      </c>
      <c r="AG1544" s="16">
        <f>SUMPRODUCT(N1544:Y1544,$N$6:$Y$6)*$K1544*$L1544*$M1544</f>
        <v/>
      </c>
      <c r="AH1544" s="20" t="n"/>
    </row>
    <row r="1545">
      <c r="A1545" s="9" t="n">
        <v>806879</v>
      </c>
      <c r="B1545" s="9" t="inlineStr">
        <is>
          <t>Anhuar Garcia</t>
        </is>
      </c>
      <c r="C1545" s="9" t="inlineStr">
        <is>
          <t>CHC</t>
        </is>
      </c>
      <c r="D1545" s="9" t="n">
        <v>25</v>
      </c>
      <c r="E1545" s="18" t="inlineStr">
        <is>
          <t>R</t>
        </is>
      </c>
      <c r="F1545" s="18" t="n"/>
      <c r="G1545" s="9" t="n">
        <v>12.9</v>
      </c>
      <c r="H1545" s="9" t="n">
        <v>12.9</v>
      </c>
      <c r="I1545" s="9" t="inlineStr">
        <is>
          <t>Depth (no MLB IP)</t>
        </is>
      </c>
      <c r="J1545" s="18" t="inlineStr">
        <is>
          <t>Opening Day</t>
        </is>
      </c>
      <c r="K1545" s="11">
        <f>IFERROR(INDEX(Roles!$B$17:$B$20,MATCH(J1545,Roles!$A$17:$A$20,0)),1)</f>
        <v/>
      </c>
      <c r="L1545" s="19" t="n">
        <v>1</v>
      </c>
      <c r="M1545" s="11" t="n">
        <v>1</v>
      </c>
      <c r="N1545" s="19" t="n"/>
      <c r="O1545" s="19" t="n"/>
      <c r="P1545" s="19" t="n"/>
      <c r="Q1545" s="19" t="n"/>
      <c r="R1545" s="19" t="n"/>
      <c r="S1545" s="19" t="n"/>
      <c r="T1545" s="19" t="n"/>
      <c r="U1545" s="19" t="n"/>
      <c r="V1545" s="19" t="n"/>
      <c r="W1545" s="19" t="n"/>
      <c r="X1545" s="19" t="n"/>
      <c r="Y1545" s="19" t="n">
        <v>1</v>
      </c>
      <c r="Z1545" s="13">
        <f>SUMPRODUCT(N1545:Y1545,$N$2:$Y$2)*$K1545*$L1545*$M1545</f>
        <v/>
      </c>
      <c r="AA1545" s="14">
        <f>SUM(N1545:Y1545)</f>
        <v/>
      </c>
      <c r="AB1545" s="13">
        <f>SUMPRODUCT(N1545:Y1545,$N$3:$Y$3)*$K1545*$L1545*$M1545</f>
        <v/>
      </c>
      <c r="AC1545" s="13">
        <f>SUMPRODUCT(N1545:Y1545,$N$4:$Y$4)*$K1545*$L1545*$M1545</f>
        <v/>
      </c>
      <c r="AD1545" s="15" t="n">
        <v>3</v>
      </c>
      <c r="AE1545" s="11" t="n">
        <v>1.011296296296296</v>
      </c>
      <c r="AF1545" s="16">
        <f>SUMPRODUCT(N1545:Y1545,$N$5:$Y$5)*$K1545*$L1545*$M1545</f>
        <v/>
      </c>
      <c r="AG1545" s="16">
        <f>SUMPRODUCT(N1545:Y1545,$N$6:$Y$6)*$K1545*$L1545*$M1545</f>
        <v/>
      </c>
      <c r="AH1545" s="20" t="n"/>
    </row>
    <row r="1546">
      <c r="A1546" s="9" t="n">
        <v>808055</v>
      </c>
      <c r="B1546" s="9" t="inlineStr">
        <is>
          <t>Luis Beltrán</t>
        </is>
      </c>
      <c r="C1546" s="9" t="inlineStr">
        <is>
          <t>BAL</t>
        </is>
      </c>
      <c r="D1546" s="9" t="n">
        <v>25</v>
      </c>
      <c r="E1546" s="18" t="inlineStr">
        <is>
          <t>R</t>
        </is>
      </c>
      <c r="F1546" s="18" t="n"/>
      <c r="G1546" s="9" t="n">
        <v>12.9</v>
      </c>
      <c r="H1546" s="9" t="n">
        <v>12.9</v>
      </c>
      <c r="I1546" s="9" t="inlineStr">
        <is>
          <t>Depth (no MLB IP)</t>
        </is>
      </c>
      <c r="J1546" s="18" t="inlineStr">
        <is>
          <t>Opening Day</t>
        </is>
      </c>
      <c r="K1546" s="11">
        <f>IFERROR(INDEX(Roles!$B$17:$B$20,MATCH(J1546,Roles!$A$17:$A$20,0)),1)</f>
        <v/>
      </c>
      <c r="L1546" s="19" t="n">
        <v>1</v>
      </c>
      <c r="M1546" s="11" t="n">
        <v>1</v>
      </c>
      <c r="N1546" s="19" t="n"/>
      <c r="O1546" s="19" t="n"/>
      <c r="P1546" s="19" t="n"/>
      <c r="Q1546" s="19" t="n"/>
      <c r="R1546" s="19" t="n"/>
      <c r="S1546" s="19" t="n"/>
      <c r="T1546" s="19" t="n"/>
      <c r="U1546" s="19" t="n"/>
      <c r="V1546" s="19" t="n"/>
      <c r="W1546" s="19" t="n"/>
      <c r="X1546" s="19" t="n"/>
      <c r="Y1546" s="19" t="n">
        <v>1</v>
      </c>
      <c r="Z1546" s="13">
        <f>SUMPRODUCT(N1546:Y1546,$N$2:$Y$2)*$K1546*$L1546*$M1546</f>
        <v/>
      </c>
      <c r="AA1546" s="14">
        <f>SUM(N1546:Y1546)</f>
        <v/>
      </c>
      <c r="AB1546" s="13">
        <f>SUMPRODUCT(N1546:Y1546,$N$3:$Y$3)*$K1546*$L1546*$M1546</f>
        <v/>
      </c>
      <c r="AC1546" s="13">
        <f>SUMPRODUCT(N1546:Y1546,$N$4:$Y$4)*$K1546*$L1546*$M1546</f>
        <v/>
      </c>
      <c r="AD1546" s="15" t="n">
        <v>3</v>
      </c>
      <c r="AE1546" s="11" t="n">
        <v>1.011296296296296</v>
      </c>
      <c r="AF1546" s="16">
        <f>SUMPRODUCT(N1546:Y1546,$N$5:$Y$5)*$K1546*$L1546*$M1546</f>
        <v/>
      </c>
      <c r="AG1546" s="16">
        <f>SUMPRODUCT(N1546:Y1546,$N$6:$Y$6)*$K1546*$L1546*$M1546</f>
        <v/>
      </c>
      <c r="AH1546" s="20" t="n"/>
    </row>
    <row r="1547">
      <c r="A1547" s="9" t="n">
        <v>825099</v>
      </c>
      <c r="B1547" s="9" t="inlineStr">
        <is>
          <t>Thomas Higgins</t>
        </is>
      </c>
      <c r="C1547" s="9" t="inlineStr">
        <is>
          <t>SEA</t>
        </is>
      </c>
      <c r="D1547" s="9" t="n">
        <v>25</v>
      </c>
      <c r="E1547" s="18" t="inlineStr">
        <is>
          <t>R</t>
        </is>
      </c>
      <c r="F1547" s="18" t="n"/>
      <c r="G1547" s="9" t="n">
        <v>12.9</v>
      </c>
      <c r="H1547" s="9" t="n">
        <v>12.9</v>
      </c>
      <c r="I1547" s="9" t="inlineStr">
        <is>
          <t>Depth (no MLB IP)</t>
        </is>
      </c>
      <c r="J1547" s="18" t="inlineStr">
        <is>
          <t>Opening Day</t>
        </is>
      </c>
      <c r="K1547" s="11">
        <f>IFERROR(INDEX(Roles!$B$17:$B$20,MATCH(J1547,Roles!$A$17:$A$20,0)),1)</f>
        <v/>
      </c>
      <c r="L1547" s="19" t="n">
        <v>1</v>
      </c>
      <c r="M1547" s="11" t="n">
        <v>1</v>
      </c>
      <c r="N1547" s="19" t="n"/>
      <c r="O1547" s="19" t="n"/>
      <c r="P1547" s="19" t="n"/>
      <c r="Q1547" s="19" t="n"/>
      <c r="R1547" s="19" t="n"/>
      <c r="S1547" s="19" t="n"/>
      <c r="T1547" s="19" t="n"/>
      <c r="U1547" s="19" t="n"/>
      <c r="V1547" s="19" t="n"/>
      <c r="W1547" s="19" t="n"/>
      <c r="X1547" s="19" t="n"/>
      <c r="Y1547" s="19" t="n">
        <v>1</v>
      </c>
      <c r="Z1547" s="13">
        <f>SUMPRODUCT(N1547:Y1547,$N$2:$Y$2)*$K1547*$L1547*$M1547</f>
        <v/>
      </c>
      <c r="AA1547" s="14">
        <f>SUM(N1547:Y1547)</f>
        <v/>
      </c>
      <c r="AB1547" s="13">
        <f>SUMPRODUCT(N1547:Y1547,$N$3:$Y$3)*$K1547*$L1547*$M1547</f>
        <v/>
      </c>
      <c r="AC1547" s="13">
        <f>SUMPRODUCT(N1547:Y1547,$N$4:$Y$4)*$K1547*$L1547*$M1547</f>
        <v/>
      </c>
      <c r="AD1547" s="15" t="n">
        <v>3</v>
      </c>
      <c r="AE1547" s="11" t="n">
        <v>1.011296296296296</v>
      </c>
      <c r="AF1547" s="16">
        <f>SUMPRODUCT(N1547:Y1547,$N$5:$Y$5)*$K1547*$L1547*$M1547</f>
        <v/>
      </c>
      <c r="AG1547" s="16">
        <f>SUMPRODUCT(N1547:Y1547,$N$6:$Y$6)*$K1547*$L1547*$M1547</f>
        <v/>
      </c>
      <c r="AH1547" s="20" t="n"/>
    </row>
    <row r="1548">
      <c r="A1548" s="9" t="n">
        <v>826935</v>
      </c>
      <c r="B1548" s="9" t="inlineStr">
        <is>
          <t>Jacob Hartlaub</t>
        </is>
      </c>
      <c r="C1548" s="9" t="inlineStr">
        <is>
          <t>TB</t>
        </is>
      </c>
      <c r="D1548" s="9" t="n">
        <v>25</v>
      </c>
      <c r="E1548" s="18" t="inlineStr">
        <is>
          <t>R</t>
        </is>
      </c>
      <c r="F1548" s="18" t="n"/>
      <c r="G1548" s="9" t="n">
        <v>12.9</v>
      </c>
      <c r="H1548" s="9" t="n">
        <v>12.9</v>
      </c>
      <c r="I1548" s="9" t="inlineStr">
        <is>
          <t>Depth (no MLB IP)</t>
        </is>
      </c>
      <c r="J1548" s="18" t="inlineStr">
        <is>
          <t>Opening Day</t>
        </is>
      </c>
      <c r="K1548" s="11">
        <f>IFERROR(INDEX(Roles!$B$17:$B$20,MATCH(J1548,Roles!$A$17:$A$20,0)),1)</f>
        <v/>
      </c>
      <c r="L1548" s="19" t="n">
        <v>1</v>
      </c>
      <c r="M1548" s="11" t="n">
        <v>1</v>
      </c>
      <c r="N1548" s="19" t="n"/>
      <c r="O1548" s="19" t="n"/>
      <c r="P1548" s="19" t="n"/>
      <c r="Q1548" s="19" t="n"/>
      <c r="R1548" s="19" t="n"/>
      <c r="S1548" s="19" t="n"/>
      <c r="T1548" s="19" t="n"/>
      <c r="U1548" s="19" t="n"/>
      <c r="V1548" s="19" t="n"/>
      <c r="W1548" s="19" t="n"/>
      <c r="X1548" s="19" t="n"/>
      <c r="Y1548" s="19" t="n">
        <v>1</v>
      </c>
      <c r="Z1548" s="13">
        <f>SUMPRODUCT(N1548:Y1548,$N$2:$Y$2)*$K1548*$L1548*$M1548</f>
        <v/>
      </c>
      <c r="AA1548" s="14">
        <f>SUM(N1548:Y1548)</f>
        <v/>
      </c>
      <c r="AB1548" s="13">
        <f>SUMPRODUCT(N1548:Y1548,$N$3:$Y$3)*$K1548*$L1548*$M1548</f>
        <v/>
      </c>
      <c r="AC1548" s="13">
        <f>SUMPRODUCT(N1548:Y1548,$N$4:$Y$4)*$K1548*$L1548*$M1548</f>
        <v/>
      </c>
      <c r="AD1548" s="15" t="n">
        <v>3</v>
      </c>
      <c r="AE1548" s="11" t="n">
        <v>1.011296296296296</v>
      </c>
      <c r="AF1548" s="16">
        <f>SUMPRODUCT(N1548:Y1548,$N$5:$Y$5)*$K1548*$L1548*$M1548</f>
        <v/>
      </c>
      <c r="AG1548" s="16">
        <f>SUMPRODUCT(N1548:Y1548,$N$6:$Y$6)*$K1548*$L1548*$M1548</f>
        <v/>
      </c>
      <c r="AH1548" s="20" t="n"/>
    </row>
    <row r="1549">
      <c r="A1549" s="9" t="n">
        <v>827610</v>
      </c>
      <c r="B1549" s="9" t="inlineStr">
        <is>
          <t>Brandon Cain</t>
        </is>
      </c>
      <c r="C1549" s="9" t="inlineStr">
        <is>
          <t>PIT</t>
        </is>
      </c>
      <c r="D1549" s="9" t="n">
        <v>25</v>
      </c>
      <c r="E1549" s="18" t="inlineStr">
        <is>
          <t>R</t>
        </is>
      </c>
      <c r="F1549" s="18" t="n"/>
      <c r="G1549" s="9" t="n">
        <v>12.9</v>
      </c>
      <c r="H1549" s="9" t="n">
        <v>12.9</v>
      </c>
      <c r="I1549" s="9" t="inlineStr">
        <is>
          <t>Depth (no MLB IP)</t>
        </is>
      </c>
      <c r="J1549" s="18" t="inlineStr">
        <is>
          <t>Opening Day</t>
        </is>
      </c>
      <c r="K1549" s="11">
        <f>IFERROR(INDEX(Roles!$B$17:$B$20,MATCH(J1549,Roles!$A$17:$A$20,0)),1)</f>
        <v/>
      </c>
      <c r="L1549" s="19" t="n">
        <v>1</v>
      </c>
      <c r="M1549" s="11" t="n">
        <v>1</v>
      </c>
      <c r="N1549" s="19" t="n"/>
      <c r="O1549" s="19" t="n"/>
      <c r="P1549" s="19" t="n"/>
      <c r="Q1549" s="19" t="n"/>
      <c r="R1549" s="19" t="n"/>
      <c r="S1549" s="19" t="n"/>
      <c r="T1549" s="19" t="n"/>
      <c r="U1549" s="19" t="n"/>
      <c r="V1549" s="19" t="n"/>
      <c r="W1549" s="19" t="n"/>
      <c r="X1549" s="19" t="n"/>
      <c r="Y1549" s="19" t="n">
        <v>1</v>
      </c>
      <c r="Z1549" s="13">
        <f>SUMPRODUCT(N1549:Y1549,$N$2:$Y$2)*$K1549*$L1549*$M1549</f>
        <v/>
      </c>
      <c r="AA1549" s="14">
        <f>SUM(N1549:Y1549)</f>
        <v/>
      </c>
      <c r="AB1549" s="13">
        <f>SUMPRODUCT(N1549:Y1549,$N$3:$Y$3)*$K1549*$L1549*$M1549</f>
        <v/>
      </c>
      <c r="AC1549" s="13">
        <f>SUMPRODUCT(N1549:Y1549,$N$4:$Y$4)*$K1549*$L1549*$M1549</f>
        <v/>
      </c>
      <c r="AD1549" s="15" t="n">
        <v>3</v>
      </c>
      <c r="AE1549" s="11" t="n">
        <v>1.011296296296296</v>
      </c>
      <c r="AF1549" s="16">
        <f>SUMPRODUCT(N1549:Y1549,$N$5:$Y$5)*$K1549*$L1549*$M1549</f>
        <v/>
      </c>
      <c r="AG1549" s="16">
        <f>SUMPRODUCT(N1549:Y1549,$N$6:$Y$6)*$K1549*$L1549*$M1549</f>
        <v/>
      </c>
      <c r="AH1549" s="20" t="n"/>
    </row>
    <row r="1550">
      <c r="A1550" s="9" t="n">
        <v>829094</v>
      </c>
      <c r="B1550" s="9" t="inlineStr">
        <is>
          <t>Sadbiel Delzine</t>
        </is>
      </c>
      <c r="C1550" s="9" t="inlineStr">
        <is>
          <t>BOS</t>
        </is>
      </c>
      <c r="D1550" s="9" t="n">
        <v>19</v>
      </c>
      <c r="E1550" s="18" t="inlineStr">
        <is>
          <t>R</t>
        </is>
      </c>
      <c r="F1550" s="18" t="n"/>
      <c r="G1550" s="9" t="n">
        <v>12.9</v>
      </c>
      <c r="H1550" s="9" t="n">
        <v>12.9</v>
      </c>
      <c r="I1550" s="9" t="inlineStr">
        <is>
          <t>Depth (no MLB IP)</t>
        </is>
      </c>
      <c r="J1550" s="18" t="inlineStr">
        <is>
          <t>Opening Day</t>
        </is>
      </c>
      <c r="K1550" s="11">
        <f>IFERROR(INDEX(Roles!$B$17:$B$20,MATCH(J1550,Roles!$A$17:$A$20,0)),1)</f>
        <v/>
      </c>
      <c r="L1550" s="19" t="n">
        <v>1</v>
      </c>
      <c r="M1550" s="11" t="n">
        <v>1</v>
      </c>
      <c r="N1550" s="19" t="n"/>
      <c r="O1550" s="19" t="n"/>
      <c r="P1550" s="19" t="n"/>
      <c r="Q1550" s="19" t="n"/>
      <c r="R1550" s="19" t="n"/>
      <c r="S1550" s="19" t="n"/>
      <c r="T1550" s="19" t="n"/>
      <c r="U1550" s="19" t="n"/>
      <c r="V1550" s="19" t="n"/>
      <c r="W1550" s="19" t="n"/>
      <c r="X1550" s="19" t="n"/>
      <c r="Y1550" s="19" t="n">
        <v>1</v>
      </c>
      <c r="Z1550" s="13">
        <f>SUMPRODUCT(N1550:Y1550,$N$2:$Y$2)*$K1550*$L1550*$M1550</f>
        <v/>
      </c>
      <c r="AA1550" s="14">
        <f>SUM(N1550:Y1550)</f>
        <v/>
      </c>
      <c r="AB1550" s="13">
        <f>SUMPRODUCT(N1550:Y1550,$N$3:$Y$3)*$K1550*$L1550*$M1550</f>
        <v/>
      </c>
      <c r="AC1550" s="13">
        <f>SUMPRODUCT(N1550:Y1550,$N$4:$Y$4)*$K1550*$L1550*$M1550</f>
        <v/>
      </c>
      <c r="AD1550" s="15" t="n">
        <v>3</v>
      </c>
      <c r="AE1550" s="11" t="n">
        <v>1.011296296296296</v>
      </c>
      <c r="AF1550" s="16">
        <f>SUMPRODUCT(N1550:Y1550,$N$5:$Y$5)*$K1550*$L1550*$M1550</f>
        <v/>
      </c>
      <c r="AG1550" s="16">
        <f>SUMPRODUCT(N1550:Y1550,$N$6:$Y$6)*$K1550*$L1550*$M1550</f>
        <v/>
      </c>
      <c r="AH1550" s="20" t="n"/>
    </row>
    <row r="1551">
      <c r="A1551" s="9" t="n">
        <v>702560</v>
      </c>
      <c r="B1551" s="9" t="inlineStr">
        <is>
          <t>Jack O'Connor</t>
        </is>
      </c>
      <c r="C1551" s="9" t="inlineStr">
        <is>
          <t>LAD</t>
        </is>
      </c>
      <c r="D1551" s="9" t="n">
        <v>25</v>
      </c>
      <c r="E1551" s="18" t="inlineStr">
        <is>
          <t>R</t>
        </is>
      </c>
      <c r="F1551" s="18" t="n"/>
      <c r="G1551" s="9" t="n">
        <v>13.072</v>
      </c>
      <c r="H1551" s="9" t="n">
        <v>13.072</v>
      </c>
      <c r="I1551" s="9" t="inlineStr">
        <is>
          <t>Depth (no MLB IP)</t>
        </is>
      </c>
      <c r="J1551" s="18" t="inlineStr">
        <is>
          <t>Opening Day</t>
        </is>
      </c>
      <c r="K1551" s="11">
        <f>IFERROR(INDEX(Roles!$B$17:$B$20,MATCH(J1551,Roles!$A$17:$A$20,0)),1)</f>
        <v/>
      </c>
      <c r="L1551" s="19" t="n">
        <v>1</v>
      </c>
      <c r="M1551" s="11" t="n">
        <v>1</v>
      </c>
      <c r="N1551" s="19" t="n"/>
      <c r="O1551" s="19" t="n"/>
      <c r="P1551" s="19" t="n"/>
      <c r="Q1551" s="19" t="n"/>
      <c r="R1551" s="19" t="n"/>
      <c r="S1551" s="19" t="n"/>
      <c r="T1551" s="19" t="n"/>
      <c r="U1551" s="19" t="n"/>
      <c r="V1551" s="19" t="n"/>
      <c r="W1551" s="19" t="n"/>
      <c r="X1551" s="19" t="n"/>
      <c r="Y1551" s="19" t="n">
        <v>1</v>
      </c>
      <c r="Z1551" s="13">
        <f>SUMPRODUCT(N1551:Y1551,$N$2:$Y$2)*$K1551*$L1551*$M1551</f>
        <v/>
      </c>
      <c r="AA1551" s="14">
        <f>SUM(N1551:Y1551)</f>
        <v/>
      </c>
      <c r="AB1551" s="13">
        <f>SUMPRODUCT(N1551:Y1551,$N$3:$Y$3)*$K1551*$L1551*$M1551</f>
        <v/>
      </c>
      <c r="AC1551" s="13">
        <f>SUMPRODUCT(N1551:Y1551,$N$4:$Y$4)*$K1551*$L1551*$M1551</f>
        <v/>
      </c>
      <c r="AD1551" s="15" t="n">
        <v>3</v>
      </c>
      <c r="AE1551" s="11" t="n">
        <v>1.011296296296296</v>
      </c>
      <c r="AF1551" s="16">
        <f>SUMPRODUCT(N1551:Y1551,$N$5:$Y$5)*$K1551*$L1551*$M1551</f>
        <v/>
      </c>
      <c r="AG1551" s="16">
        <f>SUMPRODUCT(N1551:Y1551,$N$6:$Y$6)*$K1551*$L1551*$M1551</f>
        <v/>
      </c>
      <c r="AH1551" s="20" t="n"/>
    </row>
    <row r="1552">
      <c r="A1552" s="9" t="n">
        <v>700351</v>
      </c>
      <c r="B1552" s="9" t="inlineStr">
        <is>
          <t>Luis Alvarez</t>
        </is>
      </c>
      <c r="C1552" s="9" t="inlineStr">
        <is>
          <t>NYM</t>
        </is>
      </c>
      <c r="D1552" s="9" t="n">
        <v>25</v>
      </c>
      <c r="E1552" s="18" t="inlineStr">
        <is>
          <t>R</t>
        </is>
      </c>
      <c r="F1552" s="18" t="n"/>
      <c r="G1552" s="9" t="n">
        <v>12.9</v>
      </c>
      <c r="H1552" s="9" t="n">
        <v>12.9</v>
      </c>
      <c r="I1552" s="9" t="inlineStr">
        <is>
          <t>Depth (no MLB IP)</t>
        </is>
      </c>
      <c r="J1552" s="18" t="inlineStr">
        <is>
          <t>Opening Day</t>
        </is>
      </c>
      <c r="K1552" s="11">
        <f>IFERROR(INDEX(Roles!$B$17:$B$20,MATCH(J1552,Roles!$A$17:$A$20,0)),1)</f>
        <v/>
      </c>
      <c r="L1552" s="19" t="n">
        <v>1</v>
      </c>
      <c r="M1552" s="11" t="n">
        <v>1</v>
      </c>
      <c r="N1552" s="19" t="n"/>
      <c r="O1552" s="19" t="n"/>
      <c r="P1552" s="19" t="n"/>
      <c r="Q1552" s="19" t="n"/>
      <c r="R1552" s="19" t="n"/>
      <c r="S1552" s="19" t="n"/>
      <c r="T1552" s="19" t="n"/>
      <c r="U1552" s="19" t="n"/>
      <c r="V1552" s="19" t="n"/>
      <c r="W1552" s="19" t="n"/>
      <c r="X1552" s="19" t="n"/>
      <c r="Y1552" s="19" t="n">
        <v>1</v>
      </c>
      <c r="Z1552" s="13">
        <f>SUMPRODUCT(N1552:Y1552,$N$2:$Y$2)*$K1552*$L1552*$M1552</f>
        <v/>
      </c>
      <c r="AA1552" s="14">
        <f>SUM(N1552:Y1552)</f>
        <v/>
      </c>
      <c r="AB1552" s="13">
        <f>SUMPRODUCT(N1552:Y1552,$N$3:$Y$3)*$K1552*$L1552*$M1552</f>
        <v/>
      </c>
      <c r="AC1552" s="13">
        <f>SUMPRODUCT(N1552:Y1552,$N$4:$Y$4)*$K1552*$L1552*$M1552</f>
        <v/>
      </c>
      <c r="AD1552" s="15" t="n">
        <v>3</v>
      </c>
      <c r="AE1552" s="11" t="n">
        <v>1.011296296296296</v>
      </c>
      <c r="AF1552" s="16">
        <f>SUMPRODUCT(N1552:Y1552,$N$5:$Y$5)*$K1552*$L1552*$M1552</f>
        <v/>
      </c>
      <c r="AG1552" s="16">
        <f>SUMPRODUCT(N1552:Y1552,$N$6:$Y$6)*$K1552*$L1552*$M1552</f>
        <v/>
      </c>
      <c r="AH1552" s="20" t="n"/>
    </row>
    <row r="1553">
      <c r="A1553" s="9" t="n">
        <v>842247</v>
      </c>
      <c r="B1553" s="9" t="inlineStr">
        <is>
          <t>Noah Millikan</t>
        </is>
      </c>
      <c r="C1553" s="9" t="inlineStr">
        <is>
          <t>WSH</t>
        </is>
      </c>
      <c r="D1553" s="9" t="n">
        <v>25</v>
      </c>
      <c r="E1553" s="18" t="inlineStr">
        <is>
          <t>R</t>
        </is>
      </c>
      <c r="F1553" s="18" t="n"/>
      <c r="G1553" s="9" t="n">
        <v>13.072</v>
      </c>
      <c r="H1553" s="9" t="n">
        <v>13.072</v>
      </c>
      <c r="I1553" s="9" t="inlineStr">
        <is>
          <t>Depth (no MLB IP)</t>
        </is>
      </c>
      <c r="J1553" s="18" t="inlineStr">
        <is>
          <t>Opening Day</t>
        </is>
      </c>
      <c r="K1553" s="11">
        <f>IFERROR(INDEX(Roles!$B$17:$B$20,MATCH(J1553,Roles!$A$17:$A$20,0)),1)</f>
        <v/>
      </c>
      <c r="L1553" s="19" t="n">
        <v>1</v>
      </c>
      <c r="M1553" s="11" t="n">
        <v>1</v>
      </c>
      <c r="N1553" s="19" t="n"/>
      <c r="O1553" s="19" t="n"/>
      <c r="P1553" s="19" t="n"/>
      <c r="Q1553" s="19" t="n"/>
      <c r="R1553" s="19" t="n"/>
      <c r="S1553" s="19" t="n"/>
      <c r="T1553" s="19" t="n"/>
      <c r="U1553" s="19" t="n"/>
      <c r="V1553" s="19" t="n"/>
      <c r="W1553" s="19" t="n"/>
      <c r="X1553" s="19" t="n"/>
      <c r="Y1553" s="19" t="n">
        <v>1</v>
      </c>
      <c r="Z1553" s="13">
        <f>SUMPRODUCT(N1553:Y1553,$N$2:$Y$2)*$K1553*$L1553*$M1553</f>
        <v/>
      </c>
      <c r="AA1553" s="14">
        <f>SUM(N1553:Y1553)</f>
        <v/>
      </c>
      <c r="AB1553" s="13">
        <f>SUMPRODUCT(N1553:Y1553,$N$3:$Y$3)*$K1553*$L1553*$M1553</f>
        <v/>
      </c>
      <c r="AC1553" s="13">
        <f>SUMPRODUCT(N1553:Y1553,$N$4:$Y$4)*$K1553*$L1553*$M1553</f>
        <v/>
      </c>
      <c r="AD1553" s="15" t="n">
        <v>3</v>
      </c>
      <c r="AE1553" s="11" t="n">
        <v>1.011296296296296</v>
      </c>
      <c r="AF1553" s="16">
        <f>SUMPRODUCT(N1553:Y1553,$N$5:$Y$5)*$K1553*$L1553*$M1553</f>
        <v/>
      </c>
      <c r="AG1553" s="16">
        <f>SUMPRODUCT(N1553:Y1553,$N$6:$Y$6)*$K1553*$L1553*$M1553</f>
        <v/>
      </c>
      <c r="AH1553" s="20" t="n"/>
    </row>
    <row r="1554">
      <c r="A1554" s="9" t="n">
        <v>688902</v>
      </c>
      <c r="B1554" s="9" t="inlineStr">
        <is>
          <t>Nick Pinto</t>
        </is>
      </c>
      <c r="C1554" s="9" t="inlineStr">
        <is>
          <t>CWS</t>
        </is>
      </c>
      <c r="D1554" s="9" t="n">
        <v>25</v>
      </c>
      <c r="E1554" s="18" t="inlineStr">
        <is>
          <t>L</t>
        </is>
      </c>
      <c r="F1554" s="18" t="n"/>
      <c r="G1554" s="9" t="n">
        <v>13.072</v>
      </c>
      <c r="H1554" s="9" t="n">
        <v>13.072</v>
      </c>
      <c r="I1554" s="9" t="inlineStr">
        <is>
          <t>Depth (no MLB IP)</t>
        </is>
      </c>
      <c r="J1554" s="18" t="inlineStr">
        <is>
          <t>Opening Day</t>
        </is>
      </c>
      <c r="K1554" s="11">
        <f>IFERROR(INDEX(Roles!$B$17:$B$20,MATCH(J1554,Roles!$A$17:$A$20,0)),1)</f>
        <v/>
      </c>
      <c r="L1554" s="19" t="n">
        <v>1</v>
      </c>
      <c r="M1554" s="11" t="n">
        <v>1</v>
      </c>
      <c r="N1554" s="19" t="n"/>
      <c r="O1554" s="19" t="n"/>
      <c r="P1554" s="19" t="n"/>
      <c r="Q1554" s="19" t="n"/>
      <c r="R1554" s="19" t="n"/>
      <c r="S1554" s="19" t="n"/>
      <c r="T1554" s="19" t="n"/>
      <c r="U1554" s="19" t="n"/>
      <c r="V1554" s="19" t="n"/>
      <c r="W1554" s="19" t="n"/>
      <c r="X1554" s="19" t="n"/>
      <c r="Y1554" s="19" t="n">
        <v>1</v>
      </c>
      <c r="Z1554" s="13">
        <f>SUMPRODUCT(N1554:Y1554,$N$2:$Y$2)*$K1554*$L1554*$M1554</f>
        <v/>
      </c>
      <c r="AA1554" s="14">
        <f>SUM(N1554:Y1554)</f>
        <v/>
      </c>
      <c r="AB1554" s="13">
        <f>SUMPRODUCT(N1554:Y1554,$N$3:$Y$3)*$K1554*$L1554*$M1554</f>
        <v/>
      </c>
      <c r="AC1554" s="13">
        <f>SUMPRODUCT(N1554:Y1554,$N$4:$Y$4)*$K1554*$L1554*$M1554</f>
        <v/>
      </c>
      <c r="AD1554" s="15" t="n">
        <v>3</v>
      </c>
      <c r="AE1554" s="11" t="n">
        <v>1.011296296296296</v>
      </c>
      <c r="AF1554" s="16">
        <f>SUMPRODUCT(N1554:Y1554,$N$5:$Y$5)*$K1554*$L1554*$M1554</f>
        <v/>
      </c>
      <c r="AG1554" s="16">
        <f>SUMPRODUCT(N1554:Y1554,$N$6:$Y$6)*$K1554*$L1554*$M1554</f>
        <v/>
      </c>
      <c r="AH1554" s="20" t="n"/>
    </row>
    <row r="1555">
      <c r="A1555" s="9" t="n">
        <v>805122</v>
      </c>
      <c r="B1555" s="9" t="inlineStr">
        <is>
          <t>Eudry Alcantara</t>
        </is>
      </c>
      <c r="C1555" s="9" t="inlineStr">
        <is>
          <t>CLE</t>
        </is>
      </c>
      <c r="D1555" s="9" t="n">
        <v>25</v>
      </c>
      <c r="E1555" s="18" t="inlineStr">
        <is>
          <t>R</t>
        </is>
      </c>
      <c r="F1555" s="18" t="n"/>
      <c r="G1555" s="9" t="n">
        <v>13.072</v>
      </c>
      <c r="H1555" s="9" t="n">
        <v>13.072</v>
      </c>
      <c r="I1555" s="9" t="inlineStr">
        <is>
          <t>Depth (no MLB IP)</t>
        </is>
      </c>
      <c r="J1555" s="18" t="inlineStr">
        <is>
          <t>Opening Day</t>
        </is>
      </c>
      <c r="K1555" s="11">
        <f>IFERROR(INDEX(Roles!$B$17:$B$20,MATCH(J1555,Roles!$A$17:$A$20,0)),1)</f>
        <v/>
      </c>
      <c r="L1555" s="19" t="n">
        <v>1</v>
      </c>
      <c r="M1555" s="11" t="n">
        <v>1</v>
      </c>
      <c r="N1555" s="19" t="n"/>
      <c r="O1555" s="19" t="n"/>
      <c r="P1555" s="19" t="n"/>
      <c r="Q1555" s="19" t="n"/>
      <c r="R1555" s="19" t="n"/>
      <c r="S1555" s="19" t="n"/>
      <c r="T1555" s="19" t="n"/>
      <c r="U1555" s="19" t="n"/>
      <c r="V1555" s="19" t="n"/>
      <c r="W1555" s="19" t="n"/>
      <c r="X1555" s="19" t="n"/>
      <c r="Y1555" s="19" t="n">
        <v>1</v>
      </c>
      <c r="Z1555" s="13">
        <f>SUMPRODUCT(N1555:Y1555,$N$2:$Y$2)*$K1555*$L1555*$M1555</f>
        <v/>
      </c>
      <c r="AA1555" s="14">
        <f>SUM(N1555:Y1555)</f>
        <v/>
      </c>
      <c r="AB1555" s="13">
        <f>SUMPRODUCT(N1555:Y1555,$N$3:$Y$3)*$K1555*$L1555*$M1555</f>
        <v/>
      </c>
      <c r="AC1555" s="13">
        <f>SUMPRODUCT(N1555:Y1555,$N$4:$Y$4)*$K1555*$L1555*$M1555</f>
        <v/>
      </c>
      <c r="AD1555" s="15" t="n">
        <v>3</v>
      </c>
      <c r="AE1555" s="11" t="n">
        <v>1.011296296296296</v>
      </c>
      <c r="AF1555" s="16">
        <f>SUMPRODUCT(N1555:Y1555,$N$5:$Y$5)*$K1555*$L1555*$M1555</f>
        <v/>
      </c>
      <c r="AG1555" s="16">
        <f>SUMPRODUCT(N1555:Y1555,$N$6:$Y$6)*$K1555*$L1555*$M1555</f>
        <v/>
      </c>
      <c r="AH1555" s="20" t="n"/>
    </row>
    <row r="1556">
      <c r="A1556" s="9" t="n">
        <v>808274</v>
      </c>
      <c r="B1556" s="9" t="inlineStr">
        <is>
          <t>Elwis Mijares</t>
        </is>
      </c>
      <c r="C1556" s="9" t="inlineStr">
        <is>
          <t>NYM</t>
        </is>
      </c>
      <c r="D1556" s="9" t="n">
        <v>25</v>
      </c>
      <c r="E1556" s="18" t="inlineStr">
        <is>
          <t>R</t>
        </is>
      </c>
      <c r="F1556" s="18" t="n"/>
      <c r="G1556" s="9" t="n">
        <v>13.18666666666667</v>
      </c>
      <c r="H1556" s="9" t="n">
        <v>13.18666666666667</v>
      </c>
      <c r="I1556" s="9" t="inlineStr">
        <is>
          <t>Depth (no MLB IP)</t>
        </is>
      </c>
      <c r="J1556" s="18" t="inlineStr">
        <is>
          <t>Opening Day</t>
        </is>
      </c>
      <c r="K1556" s="11">
        <f>IFERROR(INDEX(Roles!$B$17:$B$20,MATCH(J1556,Roles!$A$17:$A$20,0)),1)</f>
        <v/>
      </c>
      <c r="L1556" s="19" t="n">
        <v>1</v>
      </c>
      <c r="M1556" s="11" t="n">
        <v>1</v>
      </c>
      <c r="N1556" s="19" t="n"/>
      <c r="O1556" s="19" t="n"/>
      <c r="P1556" s="19" t="n"/>
      <c r="Q1556" s="19" t="n"/>
      <c r="R1556" s="19" t="n"/>
      <c r="S1556" s="19" t="n"/>
      <c r="T1556" s="19" t="n"/>
      <c r="U1556" s="19" t="n"/>
      <c r="V1556" s="19" t="n"/>
      <c r="W1556" s="19" t="n"/>
      <c r="X1556" s="19" t="n"/>
      <c r="Y1556" s="19" t="n">
        <v>1</v>
      </c>
      <c r="Z1556" s="13">
        <f>SUMPRODUCT(N1556:Y1556,$N$2:$Y$2)*$K1556*$L1556*$M1556</f>
        <v/>
      </c>
      <c r="AA1556" s="14">
        <f>SUM(N1556:Y1556)</f>
        <v/>
      </c>
      <c r="AB1556" s="13">
        <f>SUMPRODUCT(N1556:Y1556,$N$3:$Y$3)*$K1556*$L1556*$M1556</f>
        <v/>
      </c>
      <c r="AC1556" s="13">
        <f>SUMPRODUCT(N1556:Y1556,$N$4:$Y$4)*$K1556*$L1556*$M1556</f>
        <v/>
      </c>
      <c r="AD1556" s="15" t="n">
        <v>3</v>
      </c>
      <c r="AE1556" s="11" t="n">
        <v>1.011296296296296</v>
      </c>
      <c r="AF1556" s="16">
        <f>SUMPRODUCT(N1556:Y1556,$N$5:$Y$5)*$K1556*$L1556*$M1556</f>
        <v/>
      </c>
      <c r="AG1556" s="16">
        <f>SUMPRODUCT(N1556:Y1556,$N$6:$Y$6)*$K1556*$L1556*$M1556</f>
        <v/>
      </c>
      <c r="AH1556" s="20" t="n"/>
    </row>
    <row r="1557">
      <c r="A1557" s="9" t="n">
        <v>608648</v>
      </c>
      <c r="B1557" s="9" t="inlineStr">
        <is>
          <t>Tyler Duffey</t>
        </is>
      </c>
      <c r="C1557" s="9" t="inlineStr">
        <is>
          <t>KC</t>
        </is>
      </c>
      <c r="D1557" s="9" t="n">
        <v>36</v>
      </c>
      <c r="E1557" s="18" t="inlineStr">
        <is>
          <t>R</t>
        </is>
      </c>
      <c r="F1557" s="18" t="n"/>
      <c r="G1557" s="9" t="n">
        <v>42</v>
      </c>
      <c r="H1557" s="9" t="n">
        <v>234</v>
      </c>
      <c r="I1557" s="9" t="inlineStr">
        <is>
          <t>Depth (no MLB IP)</t>
        </is>
      </c>
      <c r="J1557" s="18" t="inlineStr">
        <is>
          <t>Opening Day</t>
        </is>
      </c>
      <c r="K1557" s="11">
        <f>IFERROR(INDEX(Roles!$B$17:$B$20,MATCH(J1557,Roles!$A$17:$A$20,0)),1)</f>
        <v/>
      </c>
      <c r="L1557" s="19" t="n">
        <v>1</v>
      </c>
      <c r="M1557" s="11" t="n">
        <v>1</v>
      </c>
      <c r="N1557" s="19" t="n"/>
      <c r="O1557" s="19" t="n"/>
      <c r="P1557" s="19" t="n"/>
      <c r="Q1557" s="19" t="n"/>
      <c r="R1557" s="19" t="n"/>
      <c r="S1557" s="19" t="n"/>
      <c r="T1557" s="19" t="n"/>
      <c r="U1557" s="19" t="n"/>
      <c r="V1557" s="19" t="n"/>
      <c r="W1557" s="19" t="n"/>
      <c r="X1557" s="19" t="n"/>
      <c r="Y1557" s="19" t="n">
        <v>1</v>
      </c>
      <c r="Z1557" s="13">
        <f>SUMPRODUCT(N1557:Y1557,$N$2:$Y$2)*$K1557*$L1557*$M1557</f>
        <v/>
      </c>
      <c r="AA1557" s="14">
        <f>SUM(N1557:Y1557)</f>
        <v/>
      </c>
      <c r="AB1557" s="13">
        <f>SUMPRODUCT(N1557:Y1557,$N$3:$Y$3)*$K1557*$L1557*$M1557</f>
        <v/>
      </c>
      <c r="AC1557" s="13">
        <f>SUMPRODUCT(N1557:Y1557,$N$4:$Y$4)*$K1557*$L1557*$M1557</f>
        <v/>
      </c>
      <c r="AD1557" s="15" t="n">
        <v>6.6</v>
      </c>
      <c r="AE1557" s="11" t="n">
        <v>1.007530864197531</v>
      </c>
      <c r="AF1557" s="16">
        <f>SUMPRODUCT(N1557:Y1557,$N$5:$Y$5)*$K1557*$L1557*$M1557</f>
        <v/>
      </c>
      <c r="AG1557" s="16">
        <f>SUMPRODUCT(N1557:Y1557,$N$6:$Y$6)*$K1557*$L1557*$M1557</f>
        <v/>
      </c>
      <c r="AH1557" s="20" t="n"/>
    </row>
    <row r="1558">
      <c r="A1558" s="9" t="n">
        <v>687911</v>
      </c>
      <c r="B1558" s="9" t="inlineStr">
        <is>
          <t>Bryan King</t>
        </is>
      </c>
      <c r="C1558" s="9" t="inlineStr">
        <is>
          <t>HOU</t>
        </is>
      </c>
      <c r="D1558" s="9" t="n">
        <v>30</v>
      </c>
      <c r="E1558" s="18" t="inlineStr">
        <is>
          <t>L</t>
        </is>
      </c>
      <c r="F1558" s="18" t="n"/>
      <c r="G1558" s="9" t="n">
        <v>278</v>
      </c>
      <c r="H1558" s="9" t="n">
        <v>662</v>
      </c>
      <c r="I1558" s="9" t="inlineStr">
        <is>
          <t>Middle Relief</t>
        </is>
      </c>
      <c r="J1558" s="18" t="inlineStr">
        <is>
          <t>Opening Day</t>
        </is>
      </c>
      <c r="K1558" s="11">
        <f>IFERROR(INDEX(Roles!$B$17:$B$20,MATCH(J1558,Roles!$A$17:$A$20,0)),1)</f>
        <v/>
      </c>
      <c r="L1558" s="19" t="n">
        <v>1</v>
      </c>
      <c r="M1558" s="11" t="n">
        <v>1</v>
      </c>
      <c r="N1558" s="19" t="n"/>
      <c r="O1558" s="19" t="n"/>
      <c r="P1558" s="19" t="n"/>
      <c r="Q1558" s="19" t="n"/>
      <c r="R1558" s="19" t="n"/>
      <c r="S1558" s="19" t="n"/>
      <c r="T1558" s="19" t="n"/>
      <c r="U1558" s="19" t="n"/>
      <c r="V1558" s="19" t="n">
        <v>0.6</v>
      </c>
      <c r="W1558" s="19" t="n">
        <v>0.4</v>
      </c>
      <c r="X1558" s="19" t="n"/>
      <c r="Y1558" s="19" t="n"/>
      <c r="Z1558" s="13">
        <f>SUMPRODUCT(N1558:Y1558,$N$2:$Y$2)*$K1558*$L1558*$M1558</f>
        <v/>
      </c>
      <c r="AA1558" s="14">
        <f>SUM(N1558:Y1558)</f>
        <v/>
      </c>
      <c r="AB1558" s="13">
        <f>SUMPRODUCT(N1558:Y1558,$N$3:$Y$3)*$K1558*$L1558*$M1558</f>
        <v/>
      </c>
      <c r="AC1558" s="13">
        <f>SUMPRODUCT(N1558:Y1558,$N$4:$Y$4)*$K1558*$L1558*$M1558</f>
        <v/>
      </c>
      <c r="AD1558" s="15" t="n">
        <v>49.13333333333333</v>
      </c>
      <c r="AE1558" s="11" t="n">
        <v>1.022800095524768</v>
      </c>
      <c r="AF1558" s="16">
        <f>SUMPRODUCT(N1558:Y1558,$N$5:$Y$5)*$K1558*$L1558*$M1558</f>
        <v/>
      </c>
      <c r="AG1558" s="16">
        <f>SUMPRODUCT(N1558:Y1558,$N$6:$Y$6)*$K1558*$L1558*$M1558</f>
        <v/>
      </c>
      <c r="AH1558" s="20" t="n"/>
    </row>
    <row r="1559">
      <c r="A1559" s="9" t="n">
        <v>835627</v>
      </c>
      <c r="B1559" s="9" t="inlineStr">
        <is>
          <t>Grif Hughes</t>
        </is>
      </c>
      <c r="C1559" s="9" t="inlineStr">
        <is>
          <t>COL</t>
        </is>
      </c>
      <c r="D1559" s="9" t="n">
        <v>25</v>
      </c>
      <c r="E1559" s="18" t="inlineStr">
        <is>
          <t>L</t>
        </is>
      </c>
      <c r="F1559" s="18" t="n"/>
      <c r="G1559" s="9" t="n">
        <v>13.18666666666667</v>
      </c>
      <c r="H1559" s="9" t="n">
        <v>13.18666666666667</v>
      </c>
      <c r="I1559" s="9" t="inlineStr">
        <is>
          <t>Depth (no MLB IP)</t>
        </is>
      </c>
      <c r="J1559" s="18" t="inlineStr">
        <is>
          <t>Opening Day</t>
        </is>
      </c>
      <c r="K1559" s="11">
        <f>IFERROR(INDEX(Roles!$B$17:$B$20,MATCH(J1559,Roles!$A$17:$A$20,0)),1)</f>
        <v/>
      </c>
      <c r="L1559" s="19" t="n">
        <v>1</v>
      </c>
      <c r="M1559" s="11" t="n">
        <v>1</v>
      </c>
      <c r="N1559" s="19" t="n"/>
      <c r="O1559" s="19" t="n"/>
      <c r="P1559" s="19" t="n"/>
      <c r="Q1559" s="19" t="n"/>
      <c r="R1559" s="19" t="n"/>
      <c r="S1559" s="19" t="n"/>
      <c r="T1559" s="19" t="n"/>
      <c r="U1559" s="19" t="n"/>
      <c r="V1559" s="19" t="n"/>
      <c r="W1559" s="19" t="n"/>
      <c r="X1559" s="19" t="n"/>
      <c r="Y1559" s="19" t="n">
        <v>1</v>
      </c>
      <c r="Z1559" s="13">
        <f>SUMPRODUCT(N1559:Y1559,$N$2:$Y$2)*$K1559*$L1559*$M1559</f>
        <v/>
      </c>
      <c r="AA1559" s="14">
        <f>SUM(N1559:Y1559)</f>
        <v/>
      </c>
      <c r="AB1559" s="13">
        <f>SUMPRODUCT(N1559:Y1559,$N$3:$Y$3)*$K1559*$L1559*$M1559</f>
        <v/>
      </c>
      <c r="AC1559" s="13">
        <f>SUMPRODUCT(N1559:Y1559,$N$4:$Y$4)*$K1559*$L1559*$M1559</f>
        <v/>
      </c>
      <c r="AD1559" s="15" t="n">
        <v>3</v>
      </c>
      <c r="AE1559" s="11" t="n">
        <v>1.011296296296296</v>
      </c>
      <c r="AF1559" s="16">
        <f>SUMPRODUCT(N1559:Y1559,$N$5:$Y$5)*$K1559*$L1559*$M1559</f>
        <v/>
      </c>
      <c r="AG1559" s="16">
        <f>SUMPRODUCT(N1559:Y1559,$N$6:$Y$6)*$K1559*$L1559*$M1559</f>
        <v/>
      </c>
      <c r="AH1559" s="20" t="n"/>
    </row>
    <row r="1560">
      <c r="A1560" s="9" t="n">
        <v>804111</v>
      </c>
      <c r="B1560" s="9" t="inlineStr">
        <is>
          <t>Jordan Little</t>
        </is>
      </c>
      <c r="C1560" s="9" t="inlineStr">
        <is>
          <t>CIN</t>
        </is>
      </c>
      <c r="D1560" s="9" t="n">
        <v>25</v>
      </c>
      <c r="E1560" s="18" t="inlineStr">
        <is>
          <t>R</t>
        </is>
      </c>
      <c r="F1560" s="18" t="n"/>
      <c r="G1560" s="9" t="n">
        <v>13.18666666666667</v>
      </c>
      <c r="H1560" s="9" t="n">
        <v>13.18666666666667</v>
      </c>
      <c r="I1560" s="9" t="inlineStr">
        <is>
          <t>Depth (no MLB IP)</t>
        </is>
      </c>
      <c r="J1560" s="18" t="inlineStr">
        <is>
          <t>Opening Day</t>
        </is>
      </c>
      <c r="K1560" s="11">
        <f>IFERROR(INDEX(Roles!$B$17:$B$20,MATCH(J1560,Roles!$A$17:$A$20,0)),1)</f>
        <v/>
      </c>
      <c r="L1560" s="19" t="n">
        <v>1</v>
      </c>
      <c r="M1560" s="11" t="n">
        <v>1</v>
      </c>
      <c r="N1560" s="19" t="n"/>
      <c r="O1560" s="19" t="n"/>
      <c r="P1560" s="19" t="n"/>
      <c r="Q1560" s="19" t="n"/>
      <c r="R1560" s="19" t="n"/>
      <c r="S1560" s="19" t="n"/>
      <c r="T1560" s="19" t="n"/>
      <c r="U1560" s="19" t="n"/>
      <c r="V1560" s="19" t="n"/>
      <c r="W1560" s="19" t="n"/>
      <c r="X1560" s="19" t="n"/>
      <c r="Y1560" s="19" t="n">
        <v>1</v>
      </c>
      <c r="Z1560" s="13">
        <f>SUMPRODUCT(N1560:Y1560,$N$2:$Y$2)*$K1560*$L1560*$M1560</f>
        <v/>
      </c>
      <c r="AA1560" s="14">
        <f>SUM(N1560:Y1560)</f>
        <v/>
      </c>
      <c r="AB1560" s="13">
        <f>SUMPRODUCT(N1560:Y1560,$N$3:$Y$3)*$K1560*$L1560*$M1560</f>
        <v/>
      </c>
      <c r="AC1560" s="13">
        <f>SUMPRODUCT(N1560:Y1560,$N$4:$Y$4)*$K1560*$L1560*$M1560</f>
        <v/>
      </c>
      <c r="AD1560" s="15" t="n">
        <v>3</v>
      </c>
      <c r="AE1560" s="11" t="n">
        <v>1.011296296296296</v>
      </c>
      <c r="AF1560" s="16">
        <f>SUMPRODUCT(N1560:Y1560,$N$5:$Y$5)*$K1560*$L1560*$M1560</f>
        <v/>
      </c>
      <c r="AG1560" s="16">
        <f>SUMPRODUCT(N1560:Y1560,$N$6:$Y$6)*$K1560*$L1560*$M1560</f>
        <v/>
      </c>
      <c r="AH1560" s="20" t="n"/>
    </row>
    <row r="1561">
      <c r="A1561" s="9" t="n">
        <v>829338</v>
      </c>
      <c r="B1561" s="9" t="inlineStr">
        <is>
          <t>Dariel Fregio</t>
        </is>
      </c>
      <c r="C1561" s="9" t="inlineStr">
        <is>
          <t>DET</t>
        </is>
      </c>
      <c r="D1561" s="9" t="n">
        <v>25</v>
      </c>
      <c r="E1561" s="18" t="inlineStr">
        <is>
          <t>R</t>
        </is>
      </c>
      <c r="F1561" s="18" t="n"/>
      <c r="G1561" s="9" t="n">
        <v>13.40166666666667</v>
      </c>
      <c r="H1561" s="9" t="n">
        <v>13.40166666666667</v>
      </c>
      <c r="I1561" s="9" t="inlineStr">
        <is>
          <t>Depth (no MLB IP)</t>
        </is>
      </c>
      <c r="J1561" s="18" t="inlineStr">
        <is>
          <t>Opening Day</t>
        </is>
      </c>
      <c r="K1561" s="11">
        <f>IFERROR(INDEX(Roles!$B$17:$B$20,MATCH(J1561,Roles!$A$17:$A$20,0)),1)</f>
        <v/>
      </c>
      <c r="L1561" s="19" t="n">
        <v>1</v>
      </c>
      <c r="M1561" s="11" t="n">
        <v>1</v>
      </c>
      <c r="N1561" s="19" t="n"/>
      <c r="O1561" s="19" t="n"/>
      <c r="P1561" s="19" t="n"/>
      <c r="Q1561" s="19" t="n"/>
      <c r="R1561" s="19" t="n"/>
      <c r="S1561" s="19" t="n"/>
      <c r="T1561" s="19" t="n"/>
      <c r="U1561" s="19" t="n"/>
      <c r="V1561" s="19" t="n"/>
      <c r="W1561" s="19" t="n"/>
      <c r="X1561" s="19" t="n"/>
      <c r="Y1561" s="19" t="n">
        <v>1</v>
      </c>
      <c r="Z1561" s="13">
        <f>SUMPRODUCT(N1561:Y1561,$N$2:$Y$2)*$K1561*$L1561*$M1561</f>
        <v/>
      </c>
      <c r="AA1561" s="14">
        <f>SUM(N1561:Y1561)</f>
        <v/>
      </c>
      <c r="AB1561" s="13">
        <f>SUMPRODUCT(N1561:Y1561,$N$3:$Y$3)*$K1561*$L1561*$M1561</f>
        <v/>
      </c>
      <c r="AC1561" s="13">
        <f>SUMPRODUCT(N1561:Y1561,$N$4:$Y$4)*$K1561*$L1561*$M1561</f>
        <v/>
      </c>
      <c r="AD1561" s="15" t="n">
        <v>3</v>
      </c>
      <c r="AE1561" s="11" t="n">
        <v>1.011296296296296</v>
      </c>
      <c r="AF1561" s="16">
        <f>SUMPRODUCT(N1561:Y1561,$N$5:$Y$5)*$K1561*$L1561*$M1561</f>
        <v/>
      </c>
      <c r="AG1561" s="16">
        <f>SUMPRODUCT(N1561:Y1561,$N$6:$Y$6)*$K1561*$L1561*$M1561</f>
        <v/>
      </c>
      <c r="AH1561" s="20" t="n"/>
    </row>
    <row r="1562">
      <c r="A1562" s="9" t="n">
        <v>800469</v>
      </c>
      <c r="B1562" s="9" t="inlineStr">
        <is>
          <t>Bryan Rivera</t>
        </is>
      </c>
      <c r="C1562" s="9" t="inlineStr">
        <is>
          <t>MIL</t>
        </is>
      </c>
      <c r="D1562" s="9" t="n">
        <v>25</v>
      </c>
      <c r="E1562" s="18" t="inlineStr">
        <is>
          <t>R</t>
        </is>
      </c>
      <c r="F1562" s="18" t="n"/>
      <c r="G1562" s="9" t="n">
        <v>13.18666666666667</v>
      </c>
      <c r="H1562" s="9" t="n">
        <v>13.18666666666667</v>
      </c>
      <c r="I1562" s="9" t="inlineStr">
        <is>
          <t>Depth (no MLB IP)</t>
        </is>
      </c>
      <c r="J1562" s="18" t="inlineStr">
        <is>
          <t>Opening Day</t>
        </is>
      </c>
      <c r="K1562" s="11">
        <f>IFERROR(INDEX(Roles!$B$17:$B$20,MATCH(J1562,Roles!$A$17:$A$20,0)),1)</f>
        <v/>
      </c>
      <c r="L1562" s="19" t="n">
        <v>1</v>
      </c>
      <c r="M1562" s="11" t="n">
        <v>1</v>
      </c>
      <c r="N1562" s="19" t="n"/>
      <c r="O1562" s="19" t="n"/>
      <c r="P1562" s="19" t="n"/>
      <c r="Q1562" s="19" t="n"/>
      <c r="R1562" s="19" t="n"/>
      <c r="S1562" s="19" t="n"/>
      <c r="T1562" s="19" t="n"/>
      <c r="U1562" s="19" t="n"/>
      <c r="V1562" s="19" t="n"/>
      <c r="W1562" s="19" t="n"/>
      <c r="X1562" s="19" t="n"/>
      <c r="Y1562" s="19" t="n">
        <v>1</v>
      </c>
      <c r="Z1562" s="13">
        <f>SUMPRODUCT(N1562:Y1562,$N$2:$Y$2)*$K1562*$L1562*$M1562</f>
        <v/>
      </c>
      <c r="AA1562" s="14">
        <f>SUM(N1562:Y1562)</f>
        <v/>
      </c>
      <c r="AB1562" s="13">
        <f>SUMPRODUCT(N1562:Y1562,$N$3:$Y$3)*$K1562*$L1562*$M1562</f>
        <v/>
      </c>
      <c r="AC1562" s="13">
        <f>SUMPRODUCT(N1562:Y1562,$N$4:$Y$4)*$K1562*$L1562*$M1562</f>
        <v/>
      </c>
      <c r="AD1562" s="15" t="n">
        <v>3</v>
      </c>
      <c r="AE1562" s="11" t="n">
        <v>1.011296296296296</v>
      </c>
      <c r="AF1562" s="16">
        <f>SUMPRODUCT(N1562:Y1562,$N$5:$Y$5)*$K1562*$L1562*$M1562</f>
        <v/>
      </c>
      <c r="AG1562" s="16">
        <f>SUMPRODUCT(N1562:Y1562,$N$6:$Y$6)*$K1562*$L1562*$M1562</f>
        <v/>
      </c>
      <c r="AH1562" s="20" t="n"/>
    </row>
    <row r="1563">
      <c r="A1563" s="9" t="n">
        <v>816305</v>
      </c>
      <c r="B1563" s="9" t="inlineStr">
        <is>
          <t>Alistair Tanner</t>
        </is>
      </c>
      <c r="C1563" s="9" t="inlineStr">
        <is>
          <t>DET</t>
        </is>
      </c>
      <c r="D1563" s="9" t="n">
        <v>25</v>
      </c>
      <c r="E1563" s="18" t="inlineStr">
        <is>
          <t>R</t>
        </is>
      </c>
      <c r="F1563" s="18" t="n"/>
      <c r="G1563" s="9" t="n">
        <v>13.416</v>
      </c>
      <c r="H1563" s="9" t="n">
        <v>13.416</v>
      </c>
      <c r="I1563" s="9" t="inlineStr">
        <is>
          <t>Depth (no MLB IP)</t>
        </is>
      </c>
      <c r="J1563" s="18" t="inlineStr">
        <is>
          <t>Opening Day</t>
        </is>
      </c>
      <c r="K1563" s="11">
        <f>IFERROR(INDEX(Roles!$B$17:$B$20,MATCH(J1563,Roles!$A$17:$A$20,0)),1)</f>
        <v/>
      </c>
      <c r="L1563" s="19" t="n">
        <v>1</v>
      </c>
      <c r="M1563" s="11" t="n">
        <v>1</v>
      </c>
      <c r="N1563" s="19" t="n"/>
      <c r="O1563" s="19" t="n"/>
      <c r="P1563" s="19" t="n"/>
      <c r="Q1563" s="19" t="n"/>
      <c r="R1563" s="19" t="n"/>
      <c r="S1563" s="19" t="n"/>
      <c r="T1563" s="19" t="n"/>
      <c r="U1563" s="19" t="n"/>
      <c r="V1563" s="19" t="n"/>
      <c r="W1563" s="19" t="n"/>
      <c r="X1563" s="19" t="n"/>
      <c r="Y1563" s="19" t="n">
        <v>1</v>
      </c>
      <c r="Z1563" s="13">
        <f>SUMPRODUCT(N1563:Y1563,$N$2:$Y$2)*$K1563*$L1563*$M1563</f>
        <v/>
      </c>
      <c r="AA1563" s="14">
        <f>SUM(N1563:Y1563)</f>
        <v/>
      </c>
      <c r="AB1563" s="13">
        <f>SUMPRODUCT(N1563:Y1563,$N$3:$Y$3)*$K1563*$L1563*$M1563</f>
        <v/>
      </c>
      <c r="AC1563" s="13">
        <f>SUMPRODUCT(N1563:Y1563,$N$4:$Y$4)*$K1563*$L1563*$M1563</f>
        <v/>
      </c>
      <c r="AD1563" s="15" t="n">
        <v>3</v>
      </c>
      <c r="AE1563" s="11" t="n">
        <v>1.011296296296296</v>
      </c>
      <c r="AF1563" s="16">
        <f>SUMPRODUCT(N1563:Y1563,$N$5:$Y$5)*$K1563*$L1563*$M1563</f>
        <v/>
      </c>
      <c r="AG1563" s="16">
        <f>SUMPRODUCT(N1563:Y1563,$N$6:$Y$6)*$K1563*$L1563*$M1563</f>
        <v/>
      </c>
      <c r="AH1563" s="20" t="n"/>
    </row>
    <row r="1564">
      <c r="A1564" s="9" t="n">
        <v>700292</v>
      </c>
      <c r="B1564" s="9" t="inlineStr">
        <is>
          <t>Yondrei Rojas</t>
        </is>
      </c>
      <c r="C1564" s="9" t="inlineStr">
        <is>
          <t>TOR</t>
        </is>
      </c>
      <c r="D1564" s="9" t="n">
        <v>25</v>
      </c>
      <c r="E1564" s="18" t="inlineStr">
        <is>
          <t>R</t>
        </is>
      </c>
      <c r="F1564" s="18" t="n"/>
      <c r="G1564" s="9" t="n">
        <v>13.40166666666667</v>
      </c>
      <c r="H1564" s="9" t="n">
        <v>13.40166666666667</v>
      </c>
      <c r="I1564" s="9" t="inlineStr">
        <is>
          <t>Depth (no MLB IP)</t>
        </is>
      </c>
      <c r="J1564" s="18" t="inlineStr">
        <is>
          <t>Opening Day</t>
        </is>
      </c>
      <c r="K1564" s="11">
        <f>IFERROR(INDEX(Roles!$B$17:$B$20,MATCH(J1564,Roles!$A$17:$A$20,0)),1)</f>
        <v/>
      </c>
      <c r="L1564" s="19" t="n">
        <v>1</v>
      </c>
      <c r="M1564" s="11" t="n">
        <v>1</v>
      </c>
      <c r="N1564" s="19" t="n"/>
      <c r="O1564" s="19" t="n"/>
      <c r="P1564" s="19" t="n"/>
      <c r="Q1564" s="19" t="n"/>
      <c r="R1564" s="19" t="n"/>
      <c r="S1564" s="19" t="n"/>
      <c r="T1564" s="19" t="n"/>
      <c r="U1564" s="19" t="n"/>
      <c r="V1564" s="19" t="n"/>
      <c r="W1564" s="19" t="n"/>
      <c r="X1564" s="19" t="n"/>
      <c r="Y1564" s="19" t="n">
        <v>1</v>
      </c>
      <c r="Z1564" s="13">
        <f>SUMPRODUCT(N1564:Y1564,$N$2:$Y$2)*$K1564*$L1564*$M1564</f>
        <v/>
      </c>
      <c r="AA1564" s="14">
        <f>SUM(N1564:Y1564)</f>
        <v/>
      </c>
      <c r="AB1564" s="13">
        <f>SUMPRODUCT(N1564:Y1564,$N$3:$Y$3)*$K1564*$L1564*$M1564</f>
        <v/>
      </c>
      <c r="AC1564" s="13">
        <f>SUMPRODUCT(N1564:Y1564,$N$4:$Y$4)*$K1564*$L1564*$M1564</f>
        <v/>
      </c>
      <c r="AD1564" s="15" t="n">
        <v>3</v>
      </c>
      <c r="AE1564" s="11" t="n">
        <v>1.011296296296296</v>
      </c>
      <c r="AF1564" s="16">
        <f>SUMPRODUCT(N1564:Y1564,$N$5:$Y$5)*$K1564*$L1564*$M1564</f>
        <v/>
      </c>
      <c r="AG1564" s="16">
        <f>SUMPRODUCT(N1564:Y1564,$N$6:$Y$6)*$K1564*$L1564*$M1564</f>
        <v/>
      </c>
      <c r="AH1564" s="20" t="n"/>
    </row>
    <row r="1565">
      <c r="A1565" s="9" t="n">
        <v>800225</v>
      </c>
      <c r="B1565" s="9" t="inlineStr">
        <is>
          <t>Alexis Torres</t>
        </is>
      </c>
      <c r="C1565" s="9" t="inlineStr">
        <is>
          <t>PIT</t>
        </is>
      </c>
      <c r="D1565" s="9" t="n">
        <v>25</v>
      </c>
      <c r="E1565" s="18" t="inlineStr">
        <is>
          <t>R</t>
        </is>
      </c>
      <c r="F1565" s="18" t="n"/>
      <c r="G1565" s="9" t="n">
        <v>13.47333333333333</v>
      </c>
      <c r="H1565" s="9" t="n">
        <v>13.47333333333333</v>
      </c>
      <c r="I1565" s="9" t="inlineStr">
        <is>
          <t>Depth (no MLB IP)</t>
        </is>
      </c>
      <c r="J1565" s="18" t="inlineStr">
        <is>
          <t>Opening Day</t>
        </is>
      </c>
      <c r="K1565" s="11">
        <f>IFERROR(INDEX(Roles!$B$17:$B$20,MATCH(J1565,Roles!$A$17:$A$20,0)),1)</f>
        <v/>
      </c>
      <c r="L1565" s="19" t="n">
        <v>1</v>
      </c>
      <c r="M1565" s="11" t="n">
        <v>1</v>
      </c>
      <c r="N1565" s="19" t="n"/>
      <c r="O1565" s="19" t="n"/>
      <c r="P1565" s="19" t="n"/>
      <c r="Q1565" s="19" t="n"/>
      <c r="R1565" s="19" t="n"/>
      <c r="S1565" s="19" t="n"/>
      <c r="T1565" s="19" t="n"/>
      <c r="U1565" s="19" t="n"/>
      <c r="V1565" s="19" t="n"/>
      <c r="W1565" s="19" t="n"/>
      <c r="X1565" s="19" t="n"/>
      <c r="Y1565" s="19" t="n">
        <v>1</v>
      </c>
      <c r="Z1565" s="13">
        <f>SUMPRODUCT(N1565:Y1565,$N$2:$Y$2)*$K1565*$L1565*$M1565</f>
        <v/>
      </c>
      <c r="AA1565" s="14">
        <f>SUM(N1565:Y1565)</f>
        <v/>
      </c>
      <c r="AB1565" s="13">
        <f>SUMPRODUCT(N1565:Y1565,$N$3:$Y$3)*$K1565*$L1565*$M1565</f>
        <v/>
      </c>
      <c r="AC1565" s="13">
        <f>SUMPRODUCT(N1565:Y1565,$N$4:$Y$4)*$K1565*$L1565*$M1565</f>
        <v/>
      </c>
      <c r="AD1565" s="15" t="n">
        <v>3</v>
      </c>
      <c r="AE1565" s="11" t="n">
        <v>1.011296296296296</v>
      </c>
      <c r="AF1565" s="16">
        <f>SUMPRODUCT(N1565:Y1565,$N$5:$Y$5)*$K1565*$L1565*$M1565</f>
        <v/>
      </c>
      <c r="AG1565" s="16">
        <f>SUMPRODUCT(N1565:Y1565,$N$6:$Y$6)*$K1565*$L1565*$M1565</f>
        <v/>
      </c>
      <c r="AH1565" s="20" t="n"/>
    </row>
    <row r="1566">
      <c r="A1566" s="9" t="n">
        <v>800013</v>
      </c>
      <c r="B1566" s="9" t="inlineStr">
        <is>
          <t>Ramon Sanchez</t>
        </is>
      </c>
      <c r="C1566" s="9" t="inlineStr">
        <is>
          <t>MIA</t>
        </is>
      </c>
      <c r="D1566" s="9" t="n">
        <v>25</v>
      </c>
      <c r="E1566" s="18" t="inlineStr">
        <is>
          <t>R</t>
        </is>
      </c>
      <c r="F1566" s="18" t="n"/>
      <c r="G1566" s="9" t="n">
        <v>13.416</v>
      </c>
      <c r="H1566" s="9" t="n">
        <v>13.416</v>
      </c>
      <c r="I1566" s="9" t="inlineStr">
        <is>
          <t>Depth (no MLB IP)</t>
        </is>
      </c>
      <c r="J1566" s="18" t="inlineStr">
        <is>
          <t>Opening Day</t>
        </is>
      </c>
      <c r="K1566" s="11">
        <f>IFERROR(INDEX(Roles!$B$17:$B$20,MATCH(J1566,Roles!$A$17:$A$20,0)),1)</f>
        <v/>
      </c>
      <c r="L1566" s="19" t="n">
        <v>1</v>
      </c>
      <c r="M1566" s="11" t="n">
        <v>1</v>
      </c>
      <c r="N1566" s="19" t="n"/>
      <c r="O1566" s="19" t="n"/>
      <c r="P1566" s="19" t="n"/>
      <c r="Q1566" s="19" t="n"/>
      <c r="R1566" s="19" t="n"/>
      <c r="S1566" s="19" t="n"/>
      <c r="T1566" s="19" t="n"/>
      <c r="U1566" s="19" t="n"/>
      <c r="V1566" s="19" t="n"/>
      <c r="W1566" s="19" t="n"/>
      <c r="X1566" s="19" t="n"/>
      <c r="Y1566" s="19" t="n">
        <v>1</v>
      </c>
      <c r="Z1566" s="13">
        <f>SUMPRODUCT(N1566:Y1566,$N$2:$Y$2)*$K1566*$L1566*$M1566</f>
        <v/>
      </c>
      <c r="AA1566" s="14">
        <f>SUM(N1566:Y1566)</f>
        <v/>
      </c>
      <c r="AB1566" s="13">
        <f>SUMPRODUCT(N1566:Y1566,$N$3:$Y$3)*$K1566*$L1566*$M1566</f>
        <v/>
      </c>
      <c r="AC1566" s="13">
        <f>SUMPRODUCT(N1566:Y1566,$N$4:$Y$4)*$K1566*$L1566*$M1566</f>
        <v/>
      </c>
      <c r="AD1566" s="15" t="n">
        <v>3</v>
      </c>
      <c r="AE1566" s="11" t="n">
        <v>1.011296296296296</v>
      </c>
      <c r="AF1566" s="16">
        <f>SUMPRODUCT(N1566:Y1566,$N$5:$Y$5)*$K1566*$L1566*$M1566</f>
        <v/>
      </c>
      <c r="AG1566" s="16">
        <f>SUMPRODUCT(N1566:Y1566,$N$6:$Y$6)*$K1566*$L1566*$M1566</f>
        <v/>
      </c>
      <c r="AH1566" s="20" t="n"/>
    </row>
    <row r="1567">
      <c r="A1567" s="9" t="n">
        <v>691480</v>
      </c>
      <c r="B1567" s="9" t="inlineStr">
        <is>
          <t>Eurys Martich</t>
        </is>
      </c>
      <c r="C1567" s="9" t="inlineStr">
        <is>
          <t>HOU</t>
        </is>
      </c>
      <c r="D1567" s="9" t="n">
        <v>25</v>
      </c>
      <c r="E1567" s="18" t="inlineStr">
        <is>
          <t>R</t>
        </is>
      </c>
      <c r="F1567" s="18" t="n"/>
      <c r="G1567" s="9" t="n">
        <v>13.47333333333333</v>
      </c>
      <c r="H1567" s="9" t="n">
        <v>13.47333333333333</v>
      </c>
      <c r="I1567" s="9" t="inlineStr">
        <is>
          <t>Depth (no MLB IP)</t>
        </is>
      </c>
      <c r="J1567" s="18" t="inlineStr">
        <is>
          <t>Opening Day</t>
        </is>
      </c>
      <c r="K1567" s="11">
        <f>IFERROR(INDEX(Roles!$B$17:$B$20,MATCH(J1567,Roles!$A$17:$A$20,0)),1)</f>
        <v/>
      </c>
      <c r="L1567" s="19" t="n">
        <v>1</v>
      </c>
      <c r="M1567" s="11" t="n">
        <v>1</v>
      </c>
      <c r="N1567" s="19" t="n"/>
      <c r="O1567" s="19" t="n"/>
      <c r="P1567" s="19" t="n"/>
      <c r="Q1567" s="19" t="n"/>
      <c r="R1567" s="19" t="n"/>
      <c r="S1567" s="19" t="n"/>
      <c r="T1567" s="19" t="n"/>
      <c r="U1567" s="19" t="n"/>
      <c r="V1567" s="19" t="n"/>
      <c r="W1567" s="19" t="n"/>
      <c r="X1567" s="19" t="n"/>
      <c r="Y1567" s="19" t="n">
        <v>1</v>
      </c>
      <c r="Z1567" s="13">
        <f>SUMPRODUCT(N1567:Y1567,$N$2:$Y$2)*$K1567*$L1567*$M1567</f>
        <v/>
      </c>
      <c r="AA1567" s="14">
        <f>SUM(N1567:Y1567)</f>
        <v/>
      </c>
      <c r="AB1567" s="13">
        <f>SUMPRODUCT(N1567:Y1567,$N$3:$Y$3)*$K1567*$L1567*$M1567</f>
        <v/>
      </c>
      <c r="AC1567" s="13">
        <f>SUMPRODUCT(N1567:Y1567,$N$4:$Y$4)*$K1567*$L1567*$M1567</f>
        <v/>
      </c>
      <c r="AD1567" s="15" t="n">
        <v>3</v>
      </c>
      <c r="AE1567" s="11" t="n">
        <v>1.011296296296296</v>
      </c>
      <c r="AF1567" s="16">
        <f>SUMPRODUCT(N1567:Y1567,$N$5:$Y$5)*$K1567*$L1567*$M1567</f>
        <v/>
      </c>
      <c r="AG1567" s="16">
        <f>SUMPRODUCT(N1567:Y1567,$N$6:$Y$6)*$K1567*$L1567*$M1567</f>
        <v/>
      </c>
      <c r="AH1567" s="20" t="n"/>
    </row>
    <row r="1568">
      <c r="A1568" s="9" t="n">
        <v>685095</v>
      </c>
      <c r="B1568" s="9" t="inlineStr">
        <is>
          <t>Alaska Abney</t>
        </is>
      </c>
      <c r="C1568" s="9" t="inlineStr">
        <is>
          <t>CLE</t>
        </is>
      </c>
      <c r="D1568" s="9" t="n">
        <v>25</v>
      </c>
      <c r="E1568" s="18" t="inlineStr">
        <is>
          <t>R</t>
        </is>
      </c>
      <c r="F1568" s="18" t="n"/>
      <c r="G1568" s="9" t="n">
        <v>13.40166666666667</v>
      </c>
      <c r="H1568" s="9" t="n">
        <v>13.40166666666667</v>
      </c>
      <c r="I1568" s="9" t="inlineStr">
        <is>
          <t>Depth (no MLB IP)</t>
        </is>
      </c>
      <c r="J1568" s="18" t="inlineStr">
        <is>
          <t>Opening Day</t>
        </is>
      </c>
      <c r="K1568" s="11">
        <f>IFERROR(INDEX(Roles!$B$17:$B$20,MATCH(J1568,Roles!$A$17:$A$20,0)),1)</f>
        <v/>
      </c>
      <c r="L1568" s="19" t="n">
        <v>1</v>
      </c>
      <c r="M1568" s="11" t="n">
        <v>1</v>
      </c>
      <c r="N1568" s="19" t="n"/>
      <c r="O1568" s="19" t="n"/>
      <c r="P1568" s="19" t="n"/>
      <c r="Q1568" s="19" t="n"/>
      <c r="R1568" s="19" t="n"/>
      <c r="S1568" s="19" t="n"/>
      <c r="T1568" s="19" t="n"/>
      <c r="U1568" s="19" t="n"/>
      <c r="V1568" s="19" t="n"/>
      <c r="W1568" s="19" t="n"/>
      <c r="X1568" s="19" t="n"/>
      <c r="Y1568" s="19" t="n">
        <v>1</v>
      </c>
      <c r="Z1568" s="13">
        <f>SUMPRODUCT(N1568:Y1568,$N$2:$Y$2)*$K1568*$L1568*$M1568</f>
        <v/>
      </c>
      <c r="AA1568" s="14">
        <f>SUM(N1568:Y1568)</f>
        <v/>
      </c>
      <c r="AB1568" s="13">
        <f>SUMPRODUCT(N1568:Y1568,$N$3:$Y$3)*$K1568*$L1568*$M1568</f>
        <v/>
      </c>
      <c r="AC1568" s="13">
        <f>SUMPRODUCT(N1568:Y1568,$N$4:$Y$4)*$K1568*$L1568*$M1568</f>
        <v/>
      </c>
      <c r="AD1568" s="15" t="n">
        <v>3</v>
      </c>
      <c r="AE1568" s="11" t="n">
        <v>1.011296296296296</v>
      </c>
      <c r="AF1568" s="16">
        <f>SUMPRODUCT(N1568:Y1568,$N$5:$Y$5)*$K1568*$L1568*$M1568</f>
        <v/>
      </c>
      <c r="AG1568" s="16">
        <f>SUMPRODUCT(N1568:Y1568,$N$6:$Y$6)*$K1568*$L1568*$M1568</f>
        <v/>
      </c>
      <c r="AH1568" s="20" t="n"/>
    </row>
    <row r="1569">
      <c r="A1569" s="9" t="n">
        <v>830485</v>
      </c>
      <c r="B1569" s="9" t="inlineStr">
        <is>
          <t>Trent Buchanan</t>
        </is>
      </c>
      <c r="C1569" s="9" t="inlineStr">
        <is>
          <t>ATL</t>
        </is>
      </c>
      <c r="D1569" s="9" t="n">
        <v>25</v>
      </c>
      <c r="E1569" s="18" t="inlineStr">
        <is>
          <t>R</t>
        </is>
      </c>
      <c r="F1569" s="18" t="n"/>
      <c r="G1569" s="9" t="n">
        <v>13.47333333333333</v>
      </c>
      <c r="H1569" s="9" t="n">
        <v>13.47333333333333</v>
      </c>
      <c r="I1569" s="9" t="inlineStr">
        <is>
          <t>Depth (no MLB IP)</t>
        </is>
      </c>
      <c r="J1569" s="18" t="inlineStr">
        <is>
          <t>Opening Day</t>
        </is>
      </c>
      <c r="K1569" s="11">
        <f>IFERROR(INDEX(Roles!$B$17:$B$20,MATCH(J1569,Roles!$A$17:$A$20,0)),1)</f>
        <v/>
      </c>
      <c r="L1569" s="19" t="n">
        <v>1</v>
      </c>
      <c r="M1569" s="11" t="n">
        <v>1</v>
      </c>
      <c r="N1569" s="19" t="n"/>
      <c r="O1569" s="19" t="n"/>
      <c r="P1569" s="19" t="n"/>
      <c r="Q1569" s="19" t="n"/>
      <c r="R1569" s="19" t="n"/>
      <c r="S1569" s="19" t="n"/>
      <c r="T1569" s="19" t="n"/>
      <c r="U1569" s="19" t="n"/>
      <c r="V1569" s="19" t="n"/>
      <c r="W1569" s="19" t="n"/>
      <c r="X1569" s="19" t="n"/>
      <c r="Y1569" s="19" t="n">
        <v>1</v>
      </c>
      <c r="Z1569" s="13">
        <f>SUMPRODUCT(N1569:Y1569,$N$2:$Y$2)*$K1569*$L1569*$M1569</f>
        <v/>
      </c>
      <c r="AA1569" s="14">
        <f>SUM(N1569:Y1569)</f>
        <v/>
      </c>
      <c r="AB1569" s="13">
        <f>SUMPRODUCT(N1569:Y1569,$N$3:$Y$3)*$K1569*$L1569*$M1569</f>
        <v/>
      </c>
      <c r="AC1569" s="13">
        <f>SUMPRODUCT(N1569:Y1569,$N$4:$Y$4)*$K1569*$L1569*$M1569</f>
        <v/>
      </c>
      <c r="AD1569" s="15" t="n">
        <v>3</v>
      </c>
      <c r="AE1569" s="11" t="n">
        <v>1.011296296296296</v>
      </c>
      <c r="AF1569" s="16">
        <f>SUMPRODUCT(N1569:Y1569,$N$5:$Y$5)*$K1569*$L1569*$M1569</f>
        <v/>
      </c>
      <c r="AG1569" s="16">
        <f>SUMPRODUCT(N1569:Y1569,$N$6:$Y$6)*$K1569*$L1569*$M1569</f>
        <v/>
      </c>
      <c r="AH1569" s="20" t="n"/>
    </row>
    <row r="1570">
      <c r="A1570" s="9" t="n">
        <v>687259</v>
      </c>
      <c r="B1570" s="9" t="inlineStr">
        <is>
          <t>Luke Bell</t>
        </is>
      </c>
      <c r="C1570" s="9" t="inlineStr">
        <is>
          <t>CWS</t>
        </is>
      </c>
      <c r="D1570" s="9" t="n">
        <v>25</v>
      </c>
      <c r="E1570" s="18" t="inlineStr">
        <is>
          <t>R</t>
        </is>
      </c>
      <c r="F1570" s="18" t="n"/>
      <c r="G1570" s="9" t="n">
        <v>13.40166666666667</v>
      </c>
      <c r="H1570" s="9" t="n">
        <v>13.40166666666667</v>
      </c>
      <c r="I1570" s="9" t="inlineStr">
        <is>
          <t>Depth (no MLB IP)</t>
        </is>
      </c>
      <c r="J1570" s="18" t="inlineStr">
        <is>
          <t>Opening Day</t>
        </is>
      </c>
      <c r="K1570" s="11">
        <f>IFERROR(INDEX(Roles!$B$17:$B$20,MATCH(J1570,Roles!$A$17:$A$20,0)),1)</f>
        <v/>
      </c>
      <c r="L1570" s="19" t="n">
        <v>1</v>
      </c>
      <c r="M1570" s="11" t="n">
        <v>1</v>
      </c>
      <c r="N1570" s="19" t="n"/>
      <c r="O1570" s="19" t="n"/>
      <c r="P1570" s="19" t="n"/>
      <c r="Q1570" s="19" t="n"/>
      <c r="R1570" s="19" t="n"/>
      <c r="S1570" s="19" t="n"/>
      <c r="T1570" s="19" t="n"/>
      <c r="U1570" s="19" t="n"/>
      <c r="V1570" s="19" t="n"/>
      <c r="W1570" s="19" t="n"/>
      <c r="X1570" s="19" t="n"/>
      <c r="Y1570" s="19" t="n">
        <v>1</v>
      </c>
      <c r="Z1570" s="13">
        <f>SUMPRODUCT(N1570:Y1570,$N$2:$Y$2)*$K1570*$L1570*$M1570</f>
        <v/>
      </c>
      <c r="AA1570" s="14">
        <f>SUM(N1570:Y1570)</f>
        <v/>
      </c>
      <c r="AB1570" s="13">
        <f>SUMPRODUCT(N1570:Y1570,$N$3:$Y$3)*$K1570*$L1570*$M1570</f>
        <v/>
      </c>
      <c r="AC1570" s="13">
        <f>SUMPRODUCT(N1570:Y1570,$N$4:$Y$4)*$K1570*$L1570*$M1570</f>
        <v/>
      </c>
      <c r="AD1570" s="15" t="n">
        <v>3</v>
      </c>
      <c r="AE1570" s="11" t="n">
        <v>1.011296296296296</v>
      </c>
      <c r="AF1570" s="16">
        <f>SUMPRODUCT(N1570:Y1570,$N$5:$Y$5)*$K1570*$L1570*$M1570</f>
        <v/>
      </c>
      <c r="AG1570" s="16">
        <f>SUMPRODUCT(N1570:Y1570,$N$6:$Y$6)*$K1570*$L1570*$M1570</f>
        <v/>
      </c>
      <c r="AH1570" s="20" t="n"/>
    </row>
    <row r="1571">
      <c r="A1571" s="9" t="n">
        <v>828718</v>
      </c>
      <c r="B1571" s="9" t="inlineStr">
        <is>
          <t>Victor Diaz</t>
        </is>
      </c>
      <c r="C1571" s="9" t="inlineStr">
        <is>
          <t>CIN</t>
        </is>
      </c>
      <c r="D1571" s="9" t="n">
        <v>25</v>
      </c>
      <c r="E1571" s="18" t="inlineStr">
        <is>
          <t>R</t>
        </is>
      </c>
      <c r="F1571" s="18" t="n"/>
      <c r="G1571" s="9" t="n">
        <v>13.545</v>
      </c>
      <c r="H1571" s="9" t="n">
        <v>13.545</v>
      </c>
      <c r="I1571" s="9" t="inlineStr">
        <is>
          <t>Depth (no MLB IP)</t>
        </is>
      </c>
      <c r="J1571" s="18" t="inlineStr">
        <is>
          <t>Opening Day</t>
        </is>
      </c>
      <c r="K1571" s="11">
        <f>IFERROR(INDEX(Roles!$B$17:$B$20,MATCH(J1571,Roles!$A$17:$A$20,0)),1)</f>
        <v/>
      </c>
      <c r="L1571" s="19" t="n">
        <v>1</v>
      </c>
      <c r="M1571" s="11" t="n">
        <v>1</v>
      </c>
      <c r="N1571" s="19" t="n"/>
      <c r="O1571" s="19" t="n"/>
      <c r="P1571" s="19" t="n"/>
      <c r="Q1571" s="19" t="n"/>
      <c r="R1571" s="19" t="n"/>
      <c r="S1571" s="19" t="n"/>
      <c r="T1571" s="19" t="n"/>
      <c r="U1571" s="19" t="n"/>
      <c r="V1571" s="19" t="n"/>
      <c r="W1571" s="19" t="n"/>
      <c r="X1571" s="19" t="n"/>
      <c r="Y1571" s="19" t="n">
        <v>1</v>
      </c>
      <c r="Z1571" s="13">
        <f>SUMPRODUCT(N1571:Y1571,$N$2:$Y$2)*$K1571*$L1571*$M1571</f>
        <v/>
      </c>
      <c r="AA1571" s="14">
        <f>SUM(N1571:Y1571)</f>
        <v/>
      </c>
      <c r="AB1571" s="13">
        <f>SUMPRODUCT(N1571:Y1571,$N$3:$Y$3)*$K1571*$L1571*$M1571</f>
        <v/>
      </c>
      <c r="AC1571" s="13">
        <f>SUMPRODUCT(N1571:Y1571,$N$4:$Y$4)*$K1571*$L1571*$M1571</f>
        <v/>
      </c>
      <c r="AD1571" s="15" t="n">
        <v>3</v>
      </c>
      <c r="AE1571" s="11" t="n">
        <v>1.011296296296296</v>
      </c>
      <c r="AF1571" s="16">
        <f>SUMPRODUCT(N1571:Y1571,$N$5:$Y$5)*$K1571*$L1571*$M1571</f>
        <v/>
      </c>
      <c r="AG1571" s="16">
        <f>SUMPRODUCT(N1571:Y1571,$N$6:$Y$6)*$K1571*$L1571*$M1571</f>
        <v/>
      </c>
      <c r="AH1571" s="20" t="n"/>
    </row>
    <row r="1572">
      <c r="A1572" s="9" t="n">
        <v>670161</v>
      </c>
      <c r="B1572" s="9" t="inlineStr">
        <is>
          <t>Parker Dunshee</t>
        </is>
      </c>
      <c r="C1572" s="9" t="inlineStr">
        <is>
          <t>ATL</t>
        </is>
      </c>
      <c r="D1572" s="9" t="n">
        <v>32</v>
      </c>
      <c r="E1572" s="18" t="inlineStr">
        <is>
          <t>R</t>
        </is>
      </c>
      <c r="F1572" s="18" t="n"/>
      <c r="G1572" s="9" t="n">
        <v>14</v>
      </c>
      <c r="H1572" s="9" t="n">
        <v>14</v>
      </c>
      <c r="I1572" s="9" t="inlineStr">
        <is>
          <t>Depth (no MLB IP)</t>
        </is>
      </c>
      <c r="J1572" s="18" t="inlineStr">
        <is>
          <t>Opening Day</t>
        </is>
      </c>
      <c r="K1572" s="11">
        <f>IFERROR(INDEX(Roles!$B$17:$B$20,MATCH(J1572,Roles!$A$17:$A$20,0)),1)</f>
        <v/>
      </c>
      <c r="L1572" s="19" t="n">
        <v>1</v>
      </c>
      <c r="M1572" s="11" t="n">
        <v>1</v>
      </c>
      <c r="N1572" s="19" t="n"/>
      <c r="O1572" s="19" t="n"/>
      <c r="P1572" s="19" t="n"/>
      <c r="Q1572" s="19" t="n"/>
      <c r="R1572" s="19" t="n"/>
      <c r="S1572" s="19" t="n"/>
      <c r="T1572" s="19" t="n"/>
      <c r="U1572" s="19" t="n"/>
      <c r="V1572" s="19" t="n"/>
      <c r="W1572" s="19" t="n"/>
      <c r="X1572" s="19" t="n"/>
      <c r="Y1572" s="19" t="n">
        <v>1</v>
      </c>
      <c r="Z1572" s="13">
        <f>SUMPRODUCT(N1572:Y1572,$N$2:$Y$2)*$K1572*$L1572*$M1572</f>
        <v/>
      </c>
      <c r="AA1572" s="14">
        <f>SUM(N1572:Y1572)</f>
        <v/>
      </c>
      <c r="AB1572" s="13">
        <f>SUMPRODUCT(N1572:Y1572,$N$3:$Y$3)*$K1572*$L1572*$M1572</f>
        <v/>
      </c>
      <c r="AC1572" s="13">
        <f>SUMPRODUCT(N1572:Y1572,$N$4:$Y$4)*$K1572*$L1572*$M1572</f>
        <v/>
      </c>
      <c r="AD1572" s="15" t="n">
        <v>1.8</v>
      </c>
      <c r="AE1572" s="11" t="n">
        <v>1.451975308641975</v>
      </c>
      <c r="AF1572" s="16">
        <f>SUMPRODUCT(N1572:Y1572,$N$5:$Y$5)*$K1572*$L1572*$M1572</f>
        <v/>
      </c>
      <c r="AG1572" s="16">
        <f>SUMPRODUCT(N1572:Y1572,$N$6:$Y$6)*$K1572*$L1572*$M1572</f>
        <v/>
      </c>
      <c r="AH1572" s="20" t="n"/>
    </row>
    <row r="1573">
      <c r="A1573" s="9" t="n">
        <v>806224</v>
      </c>
      <c r="B1573" s="9" t="inlineStr">
        <is>
          <t>Brady Smith</t>
        </is>
      </c>
      <c r="C1573" s="9" t="inlineStr">
        <is>
          <t>DET</t>
        </is>
      </c>
      <c r="D1573" s="9" t="n">
        <v>25</v>
      </c>
      <c r="E1573" s="18" t="inlineStr">
        <is>
          <t>R</t>
        </is>
      </c>
      <c r="F1573" s="18" t="n"/>
      <c r="G1573" s="9" t="n">
        <v>13.47333333333333</v>
      </c>
      <c r="H1573" s="9" t="n">
        <v>13.47333333333333</v>
      </c>
      <c r="I1573" s="9" t="inlineStr">
        <is>
          <t>Depth (no MLB IP)</t>
        </is>
      </c>
      <c r="J1573" s="18" t="inlineStr">
        <is>
          <t>Opening Day</t>
        </is>
      </c>
      <c r="K1573" s="11">
        <f>IFERROR(INDEX(Roles!$B$17:$B$20,MATCH(J1573,Roles!$A$17:$A$20,0)),1)</f>
        <v/>
      </c>
      <c r="L1573" s="19" t="n">
        <v>1</v>
      </c>
      <c r="M1573" s="11" t="n">
        <v>1</v>
      </c>
      <c r="N1573" s="19" t="n"/>
      <c r="O1573" s="19" t="n"/>
      <c r="P1573" s="19" t="n"/>
      <c r="Q1573" s="19" t="n"/>
      <c r="R1573" s="19" t="n"/>
      <c r="S1573" s="19" t="n"/>
      <c r="T1573" s="19" t="n"/>
      <c r="U1573" s="19" t="n"/>
      <c r="V1573" s="19" t="n"/>
      <c r="W1573" s="19" t="n"/>
      <c r="X1573" s="19" t="n"/>
      <c r="Y1573" s="19" t="n">
        <v>1</v>
      </c>
      <c r="Z1573" s="13">
        <f>SUMPRODUCT(N1573:Y1573,$N$2:$Y$2)*$K1573*$L1573*$M1573</f>
        <v/>
      </c>
      <c r="AA1573" s="14">
        <f>SUM(N1573:Y1573)</f>
        <v/>
      </c>
      <c r="AB1573" s="13">
        <f>SUMPRODUCT(N1573:Y1573,$N$3:$Y$3)*$K1573*$L1573*$M1573</f>
        <v/>
      </c>
      <c r="AC1573" s="13">
        <f>SUMPRODUCT(N1573:Y1573,$N$4:$Y$4)*$K1573*$L1573*$M1573</f>
        <v/>
      </c>
      <c r="AD1573" s="15" t="n">
        <v>3</v>
      </c>
      <c r="AE1573" s="11" t="n">
        <v>1.011296296296296</v>
      </c>
      <c r="AF1573" s="16">
        <f>SUMPRODUCT(N1573:Y1573,$N$5:$Y$5)*$K1573*$L1573*$M1573</f>
        <v/>
      </c>
      <c r="AG1573" s="16">
        <f>SUMPRODUCT(N1573:Y1573,$N$6:$Y$6)*$K1573*$L1573*$M1573</f>
        <v/>
      </c>
      <c r="AH1573" s="20" t="n"/>
    </row>
    <row r="1574">
      <c r="A1574" s="9" t="n">
        <v>820941</v>
      </c>
      <c r="B1574" s="9" t="inlineStr">
        <is>
          <t>Stharlin Torres</t>
        </is>
      </c>
      <c r="C1574" s="9" t="inlineStr">
        <is>
          <t>CIN</t>
        </is>
      </c>
      <c r="D1574" s="9" t="n">
        <v>25</v>
      </c>
      <c r="E1574" s="18" t="inlineStr">
        <is>
          <t>R</t>
        </is>
      </c>
      <c r="F1574" s="18" t="n"/>
      <c r="G1574" s="9" t="n">
        <v>13.47333333333333</v>
      </c>
      <c r="H1574" s="9" t="n">
        <v>13.47333333333333</v>
      </c>
      <c r="I1574" s="9" t="inlineStr">
        <is>
          <t>Depth (no MLB IP)</t>
        </is>
      </c>
      <c r="J1574" s="18" t="inlineStr">
        <is>
          <t>Opening Day</t>
        </is>
      </c>
      <c r="K1574" s="11">
        <f>IFERROR(INDEX(Roles!$B$17:$B$20,MATCH(J1574,Roles!$A$17:$A$20,0)),1)</f>
        <v/>
      </c>
      <c r="L1574" s="19" t="n">
        <v>1</v>
      </c>
      <c r="M1574" s="11" t="n">
        <v>1</v>
      </c>
      <c r="N1574" s="19" t="n"/>
      <c r="O1574" s="19" t="n"/>
      <c r="P1574" s="19" t="n"/>
      <c r="Q1574" s="19" t="n"/>
      <c r="R1574" s="19" t="n"/>
      <c r="S1574" s="19" t="n"/>
      <c r="T1574" s="19" t="n"/>
      <c r="U1574" s="19" t="n"/>
      <c r="V1574" s="19" t="n"/>
      <c r="W1574" s="19" t="n"/>
      <c r="X1574" s="19" t="n"/>
      <c r="Y1574" s="19" t="n">
        <v>1</v>
      </c>
      <c r="Z1574" s="13">
        <f>SUMPRODUCT(N1574:Y1574,$N$2:$Y$2)*$K1574*$L1574*$M1574</f>
        <v/>
      </c>
      <c r="AA1574" s="14">
        <f>SUM(N1574:Y1574)</f>
        <v/>
      </c>
      <c r="AB1574" s="13">
        <f>SUMPRODUCT(N1574:Y1574,$N$3:$Y$3)*$K1574*$L1574*$M1574</f>
        <v/>
      </c>
      <c r="AC1574" s="13">
        <f>SUMPRODUCT(N1574:Y1574,$N$4:$Y$4)*$K1574*$L1574*$M1574</f>
        <v/>
      </c>
      <c r="AD1574" s="15" t="n">
        <v>3</v>
      </c>
      <c r="AE1574" s="11" t="n">
        <v>1.011296296296296</v>
      </c>
      <c r="AF1574" s="16">
        <f>SUMPRODUCT(N1574:Y1574,$N$5:$Y$5)*$K1574*$L1574*$M1574</f>
        <v/>
      </c>
      <c r="AG1574" s="16">
        <f>SUMPRODUCT(N1574:Y1574,$N$6:$Y$6)*$K1574*$L1574*$M1574</f>
        <v/>
      </c>
      <c r="AH1574" s="20" t="n"/>
    </row>
    <row r="1575">
      <c r="A1575" s="9" t="n">
        <v>813891</v>
      </c>
      <c r="B1575" s="9" t="inlineStr">
        <is>
          <t>Jatnk Diaz</t>
        </is>
      </c>
      <c r="C1575" s="9" t="inlineStr">
        <is>
          <t>DET</t>
        </is>
      </c>
      <c r="D1575" s="9" t="n">
        <v>25</v>
      </c>
      <c r="E1575" s="18" t="inlineStr">
        <is>
          <t>R</t>
        </is>
      </c>
      <c r="F1575" s="18" t="n"/>
      <c r="G1575" s="9" t="n">
        <v>13.588</v>
      </c>
      <c r="H1575" s="9" t="n">
        <v>13.588</v>
      </c>
      <c r="I1575" s="9" t="inlineStr">
        <is>
          <t>Depth (no MLB IP)</t>
        </is>
      </c>
      <c r="J1575" s="18" t="inlineStr">
        <is>
          <t>Opening Day</t>
        </is>
      </c>
      <c r="K1575" s="11">
        <f>IFERROR(INDEX(Roles!$B$17:$B$20,MATCH(J1575,Roles!$A$17:$A$20,0)),1)</f>
        <v/>
      </c>
      <c r="L1575" s="19" t="n">
        <v>1</v>
      </c>
      <c r="M1575" s="11" t="n">
        <v>1</v>
      </c>
      <c r="N1575" s="19" t="n"/>
      <c r="O1575" s="19" t="n"/>
      <c r="P1575" s="19" t="n"/>
      <c r="Q1575" s="19" t="n"/>
      <c r="R1575" s="19" t="n"/>
      <c r="S1575" s="19" t="n"/>
      <c r="T1575" s="19" t="n"/>
      <c r="U1575" s="19" t="n"/>
      <c r="V1575" s="19" t="n"/>
      <c r="W1575" s="19" t="n"/>
      <c r="X1575" s="19" t="n"/>
      <c r="Y1575" s="19" t="n">
        <v>1</v>
      </c>
      <c r="Z1575" s="13">
        <f>SUMPRODUCT(N1575:Y1575,$N$2:$Y$2)*$K1575*$L1575*$M1575</f>
        <v/>
      </c>
      <c r="AA1575" s="14">
        <f>SUM(N1575:Y1575)</f>
        <v/>
      </c>
      <c r="AB1575" s="13">
        <f>SUMPRODUCT(N1575:Y1575,$N$3:$Y$3)*$K1575*$L1575*$M1575</f>
        <v/>
      </c>
      <c r="AC1575" s="13">
        <f>SUMPRODUCT(N1575:Y1575,$N$4:$Y$4)*$K1575*$L1575*$M1575</f>
        <v/>
      </c>
      <c r="AD1575" s="15" t="n">
        <v>3</v>
      </c>
      <c r="AE1575" s="11" t="n">
        <v>1.011296296296296</v>
      </c>
      <c r="AF1575" s="16">
        <f>SUMPRODUCT(N1575:Y1575,$N$5:$Y$5)*$K1575*$L1575*$M1575</f>
        <v/>
      </c>
      <c r="AG1575" s="16">
        <f>SUMPRODUCT(N1575:Y1575,$N$6:$Y$6)*$K1575*$L1575*$M1575</f>
        <v/>
      </c>
      <c r="AH1575" s="20" t="n"/>
    </row>
    <row r="1576">
      <c r="A1576" s="9" t="n">
        <v>703683</v>
      </c>
      <c r="B1576" s="9" t="inlineStr">
        <is>
          <t>Luke Jackson</t>
        </is>
      </c>
      <c r="C1576" s="9" t="inlineStr">
        <is>
          <t>TB</t>
        </is>
      </c>
      <c r="D1576" s="9" t="n">
        <v>25</v>
      </c>
      <c r="E1576" s="18" t="inlineStr">
        <is>
          <t>R</t>
        </is>
      </c>
      <c r="F1576" s="18" t="n"/>
      <c r="G1576" s="9" t="n">
        <v>13.588</v>
      </c>
      <c r="H1576" s="9" t="n">
        <v>13.588</v>
      </c>
      <c r="I1576" s="9" t="inlineStr">
        <is>
          <t>Depth (no MLB IP)</t>
        </is>
      </c>
      <c r="J1576" s="18" t="inlineStr">
        <is>
          <t>Opening Day</t>
        </is>
      </c>
      <c r="K1576" s="11">
        <f>IFERROR(INDEX(Roles!$B$17:$B$20,MATCH(J1576,Roles!$A$17:$A$20,0)),1)</f>
        <v/>
      </c>
      <c r="L1576" s="19" t="n">
        <v>1</v>
      </c>
      <c r="M1576" s="11" t="n">
        <v>1</v>
      </c>
      <c r="N1576" s="19" t="n"/>
      <c r="O1576" s="19" t="n"/>
      <c r="P1576" s="19" t="n"/>
      <c r="Q1576" s="19" t="n"/>
      <c r="R1576" s="19" t="n"/>
      <c r="S1576" s="19" t="n"/>
      <c r="T1576" s="19" t="n"/>
      <c r="U1576" s="19" t="n"/>
      <c r="V1576" s="19" t="n"/>
      <c r="W1576" s="19" t="n"/>
      <c r="X1576" s="19" t="n"/>
      <c r="Y1576" s="19" t="n">
        <v>1</v>
      </c>
      <c r="Z1576" s="13">
        <f>SUMPRODUCT(N1576:Y1576,$N$2:$Y$2)*$K1576*$L1576*$M1576</f>
        <v/>
      </c>
      <c r="AA1576" s="14">
        <f>SUM(N1576:Y1576)</f>
        <v/>
      </c>
      <c r="AB1576" s="13">
        <f>SUMPRODUCT(N1576:Y1576,$N$3:$Y$3)*$K1576*$L1576*$M1576</f>
        <v/>
      </c>
      <c r="AC1576" s="13">
        <f>SUMPRODUCT(N1576:Y1576,$N$4:$Y$4)*$K1576*$L1576*$M1576</f>
        <v/>
      </c>
      <c r="AD1576" s="15" t="n">
        <v>3</v>
      </c>
      <c r="AE1576" s="11" t="n">
        <v>1.011296296296296</v>
      </c>
      <c r="AF1576" s="16">
        <f>SUMPRODUCT(N1576:Y1576,$N$5:$Y$5)*$K1576*$L1576*$M1576</f>
        <v/>
      </c>
      <c r="AG1576" s="16">
        <f>SUMPRODUCT(N1576:Y1576,$N$6:$Y$6)*$K1576*$L1576*$M1576</f>
        <v/>
      </c>
      <c r="AH1576" s="20" t="n"/>
    </row>
    <row r="1577">
      <c r="A1577" s="9" t="n">
        <v>823351</v>
      </c>
      <c r="B1577" s="9" t="inlineStr">
        <is>
          <t>Jhon Rosario</t>
        </is>
      </c>
      <c r="C1577" s="9" t="inlineStr">
        <is>
          <t>CHC</t>
        </is>
      </c>
      <c r="D1577" s="9" t="n">
        <v>25</v>
      </c>
      <c r="E1577" s="18" t="inlineStr">
        <is>
          <t>R</t>
        </is>
      </c>
      <c r="F1577" s="18" t="n"/>
      <c r="G1577" s="9" t="n">
        <v>13.588</v>
      </c>
      <c r="H1577" s="9" t="n">
        <v>13.588</v>
      </c>
      <c r="I1577" s="9" t="inlineStr">
        <is>
          <t>Depth (no MLB IP)</t>
        </is>
      </c>
      <c r="J1577" s="18" t="inlineStr">
        <is>
          <t>Opening Day</t>
        </is>
      </c>
      <c r="K1577" s="11">
        <f>IFERROR(INDEX(Roles!$B$17:$B$20,MATCH(J1577,Roles!$A$17:$A$20,0)),1)</f>
        <v/>
      </c>
      <c r="L1577" s="19" t="n">
        <v>1</v>
      </c>
      <c r="M1577" s="11" t="n">
        <v>1</v>
      </c>
      <c r="N1577" s="19" t="n"/>
      <c r="O1577" s="19" t="n"/>
      <c r="P1577" s="19" t="n"/>
      <c r="Q1577" s="19" t="n"/>
      <c r="R1577" s="19" t="n"/>
      <c r="S1577" s="19" t="n"/>
      <c r="T1577" s="19" t="n"/>
      <c r="U1577" s="19" t="n"/>
      <c r="V1577" s="19" t="n"/>
      <c r="W1577" s="19" t="n"/>
      <c r="X1577" s="19" t="n"/>
      <c r="Y1577" s="19" t="n">
        <v>1</v>
      </c>
      <c r="Z1577" s="13">
        <f>SUMPRODUCT(N1577:Y1577,$N$2:$Y$2)*$K1577*$L1577*$M1577</f>
        <v/>
      </c>
      <c r="AA1577" s="14">
        <f>SUM(N1577:Y1577)</f>
        <v/>
      </c>
      <c r="AB1577" s="13">
        <f>SUMPRODUCT(N1577:Y1577,$N$3:$Y$3)*$K1577*$L1577*$M1577</f>
        <v/>
      </c>
      <c r="AC1577" s="13">
        <f>SUMPRODUCT(N1577:Y1577,$N$4:$Y$4)*$K1577*$L1577*$M1577</f>
        <v/>
      </c>
      <c r="AD1577" s="15" t="n">
        <v>3</v>
      </c>
      <c r="AE1577" s="11" t="n">
        <v>1.011296296296296</v>
      </c>
      <c r="AF1577" s="16">
        <f>SUMPRODUCT(N1577:Y1577,$N$5:$Y$5)*$K1577*$L1577*$M1577</f>
        <v/>
      </c>
      <c r="AG1577" s="16">
        <f>SUMPRODUCT(N1577:Y1577,$N$6:$Y$6)*$K1577*$L1577*$M1577</f>
        <v/>
      </c>
      <c r="AH1577" s="20" t="n"/>
    </row>
    <row r="1578">
      <c r="A1578" s="9" t="n">
        <v>695789</v>
      </c>
      <c r="B1578" s="9" t="inlineStr">
        <is>
          <t>Niko Mazza</t>
        </is>
      </c>
      <c r="C1578" s="9" t="inlineStr">
        <is>
          <t>SF</t>
        </is>
      </c>
      <c r="D1578" s="9" t="n">
        <v>25</v>
      </c>
      <c r="E1578" s="18" t="inlineStr">
        <is>
          <t>R</t>
        </is>
      </c>
      <c r="F1578" s="18" t="n"/>
      <c r="G1578" s="9" t="n">
        <v>13.545</v>
      </c>
      <c r="H1578" s="9" t="n">
        <v>13.545</v>
      </c>
      <c r="I1578" s="9" t="inlineStr">
        <is>
          <t>Depth (no MLB IP)</t>
        </is>
      </c>
      <c r="J1578" s="18" t="inlineStr">
        <is>
          <t>Opening Day</t>
        </is>
      </c>
      <c r="K1578" s="11">
        <f>IFERROR(INDEX(Roles!$B$17:$B$20,MATCH(J1578,Roles!$A$17:$A$20,0)),1)</f>
        <v/>
      </c>
      <c r="L1578" s="19" t="n">
        <v>1</v>
      </c>
      <c r="M1578" s="11" t="n">
        <v>1</v>
      </c>
      <c r="N1578" s="19" t="n"/>
      <c r="O1578" s="19" t="n"/>
      <c r="P1578" s="19" t="n"/>
      <c r="Q1578" s="19" t="n"/>
      <c r="R1578" s="19" t="n"/>
      <c r="S1578" s="19" t="n"/>
      <c r="T1578" s="19" t="n"/>
      <c r="U1578" s="19" t="n"/>
      <c r="V1578" s="19" t="n"/>
      <c r="W1578" s="19" t="n"/>
      <c r="X1578" s="19" t="n"/>
      <c r="Y1578" s="19" t="n">
        <v>1</v>
      </c>
      <c r="Z1578" s="13">
        <f>SUMPRODUCT(N1578:Y1578,$N$2:$Y$2)*$K1578*$L1578*$M1578</f>
        <v/>
      </c>
      <c r="AA1578" s="14">
        <f>SUM(N1578:Y1578)</f>
        <v/>
      </c>
      <c r="AB1578" s="13">
        <f>SUMPRODUCT(N1578:Y1578,$N$3:$Y$3)*$K1578*$L1578*$M1578</f>
        <v/>
      </c>
      <c r="AC1578" s="13">
        <f>SUMPRODUCT(N1578:Y1578,$N$4:$Y$4)*$K1578*$L1578*$M1578</f>
        <v/>
      </c>
      <c r="AD1578" s="15" t="n">
        <v>3</v>
      </c>
      <c r="AE1578" s="11" t="n">
        <v>1.011296296296296</v>
      </c>
      <c r="AF1578" s="16">
        <f>SUMPRODUCT(N1578:Y1578,$N$5:$Y$5)*$K1578*$L1578*$M1578</f>
        <v/>
      </c>
      <c r="AG1578" s="16">
        <f>SUMPRODUCT(N1578:Y1578,$N$6:$Y$6)*$K1578*$L1578*$M1578</f>
        <v/>
      </c>
      <c r="AH1578" s="20" t="n"/>
    </row>
    <row r="1579">
      <c r="A1579" s="9" t="n">
        <v>676907</v>
      </c>
      <c r="B1579" s="9" t="inlineStr">
        <is>
          <t>Billy Sullivan</t>
        </is>
      </c>
      <c r="C1579" s="9" t="inlineStr">
        <is>
          <t>WSH</t>
        </is>
      </c>
      <c r="D1579" s="9" t="n">
        <v>25</v>
      </c>
      <c r="E1579" s="18" t="inlineStr">
        <is>
          <t>R</t>
        </is>
      </c>
      <c r="F1579" s="18" t="n"/>
      <c r="G1579" s="9" t="n">
        <v>13.545</v>
      </c>
      <c r="H1579" s="9" t="n">
        <v>13.545</v>
      </c>
      <c r="I1579" s="9" t="inlineStr">
        <is>
          <t>Depth (no MLB IP)</t>
        </is>
      </c>
      <c r="J1579" s="18" t="inlineStr">
        <is>
          <t>Opening Day</t>
        </is>
      </c>
      <c r="K1579" s="11">
        <f>IFERROR(INDEX(Roles!$B$17:$B$20,MATCH(J1579,Roles!$A$17:$A$20,0)),1)</f>
        <v/>
      </c>
      <c r="L1579" s="19" t="n">
        <v>1</v>
      </c>
      <c r="M1579" s="11" t="n">
        <v>1</v>
      </c>
      <c r="N1579" s="19" t="n"/>
      <c r="O1579" s="19" t="n"/>
      <c r="P1579" s="19" t="n"/>
      <c r="Q1579" s="19" t="n"/>
      <c r="R1579" s="19" t="n"/>
      <c r="S1579" s="19" t="n"/>
      <c r="T1579" s="19" t="n"/>
      <c r="U1579" s="19" t="n"/>
      <c r="V1579" s="19" t="n"/>
      <c r="W1579" s="19" t="n"/>
      <c r="X1579" s="19" t="n"/>
      <c r="Y1579" s="19" t="n">
        <v>1</v>
      </c>
      <c r="Z1579" s="13">
        <f>SUMPRODUCT(N1579:Y1579,$N$2:$Y$2)*$K1579*$L1579*$M1579</f>
        <v/>
      </c>
      <c r="AA1579" s="14">
        <f>SUM(N1579:Y1579)</f>
        <v/>
      </c>
      <c r="AB1579" s="13">
        <f>SUMPRODUCT(N1579:Y1579,$N$3:$Y$3)*$K1579*$L1579*$M1579</f>
        <v/>
      </c>
      <c r="AC1579" s="13">
        <f>SUMPRODUCT(N1579:Y1579,$N$4:$Y$4)*$K1579*$L1579*$M1579</f>
        <v/>
      </c>
      <c r="AD1579" s="15" t="n">
        <v>3</v>
      </c>
      <c r="AE1579" s="11" t="n">
        <v>1.011296296296296</v>
      </c>
      <c r="AF1579" s="16">
        <f>SUMPRODUCT(N1579:Y1579,$N$5:$Y$5)*$K1579*$L1579*$M1579</f>
        <v/>
      </c>
      <c r="AG1579" s="16">
        <f>SUMPRODUCT(N1579:Y1579,$N$6:$Y$6)*$K1579*$L1579*$M1579</f>
        <v/>
      </c>
      <c r="AH1579" s="20" t="n"/>
    </row>
    <row r="1580">
      <c r="A1580" s="9" t="n">
        <v>691938</v>
      </c>
      <c r="B1580" s="9" t="inlineStr">
        <is>
          <t>Willy Vasquez</t>
        </is>
      </c>
      <c r="C1580" s="9" t="inlineStr">
        <is>
          <t>BAL</t>
        </is>
      </c>
      <c r="D1580" s="9" t="n">
        <v>25</v>
      </c>
      <c r="E1580" s="18" t="inlineStr">
        <is>
          <t>R</t>
        </is>
      </c>
      <c r="F1580" s="18" t="n"/>
      <c r="G1580" s="9" t="n">
        <v>13.40166666666667</v>
      </c>
      <c r="H1580" s="9" t="n">
        <v>13.40166666666667</v>
      </c>
      <c r="I1580" s="9" t="inlineStr">
        <is>
          <t>Depth (no MLB IP)</t>
        </is>
      </c>
      <c r="J1580" s="18" t="inlineStr">
        <is>
          <t>Opening Day</t>
        </is>
      </c>
      <c r="K1580" s="11">
        <f>IFERROR(INDEX(Roles!$B$17:$B$20,MATCH(J1580,Roles!$A$17:$A$20,0)),1)</f>
        <v/>
      </c>
      <c r="L1580" s="19" t="n">
        <v>1</v>
      </c>
      <c r="M1580" s="11" t="n">
        <v>1</v>
      </c>
      <c r="N1580" s="19" t="n"/>
      <c r="O1580" s="19" t="n"/>
      <c r="P1580" s="19" t="n"/>
      <c r="Q1580" s="19" t="n"/>
      <c r="R1580" s="19" t="n"/>
      <c r="S1580" s="19" t="n"/>
      <c r="T1580" s="19" t="n"/>
      <c r="U1580" s="19" t="n"/>
      <c r="V1580" s="19" t="n"/>
      <c r="W1580" s="19" t="n"/>
      <c r="X1580" s="19" t="n"/>
      <c r="Y1580" s="19" t="n">
        <v>1</v>
      </c>
      <c r="Z1580" s="13">
        <f>SUMPRODUCT(N1580:Y1580,$N$2:$Y$2)*$K1580*$L1580*$M1580</f>
        <v/>
      </c>
      <c r="AA1580" s="14">
        <f>SUM(N1580:Y1580)</f>
        <v/>
      </c>
      <c r="AB1580" s="13">
        <f>SUMPRODUCT(N1580:Y1580,$N$3:$Y$3)*$K1580*$L1580*$M1580</f>
        <v/>
      </c>
      <c r="AC1580" s="13">
        <f>SUMPRODUCT(N1580:Y1580,$N$4:$Y$4)*$K1580*$L1580*$M1580</f>
        <v/>
      </c>
      <c r="AD1580" s="15" t="n">
        <v>3</v>
      </c>
      <c r="AE1580" s="11" t="n">
        <v>1.011296296296296</v>
      </c>
      <c r="AF1580" s="16">
        <f>SUMPRODUCT(N1580:Y1580,$N$5:$Y$5)*$K1580*$L1580*$M1580</f>
        <v/>
      </c>
      <c r="AG1580" s="16">
        <f>SUMPRODUCT(N1580:Y1580,$N$6:$Y$6)*$K1580*$L1580*$M1580</f>
        <v/>
      </c>
      <c r="AH1580" s="20" t="n"/>
    </row>
    <row r="1581">
      <c r="A1581" s="9" t="n">
        <v>691103</v>
      </c>
      <c r="B1581" s="9" t="inlineStr">
        <is>
          <t>Koen Moreno</t>
        </is>
      </c>
      <c r="C1581" s="9" t="inlineStr">
        <is>
          <t>CHC</t>
        </is>
      </c>
      <c r="D1581" s="9" t="n">
        <v>25</v>
      </c>
      <c r="E1581" s="18" t="inlineStr">
        <is>
          <t>R</t>
        </is>
      </c>
      <c r="F1581" s="18" t="n"/>
      <c r="G1581" s="9" t="n">
        <v>13.545</v>
      </c>
      <c r="H1581" s="9" t="n">
        <v>13.545</v>
      </c>
      <c r="I1581" s="9" t="inlineStr">
        <is>
          <t>Depth (no MLB IP)</t>
        </is>
      </c>
      <c r="J1581" s="18" t="inlineStr">
        <is>
          <t>Opening Day</t>
        </is>
      </c>
      <c r="K1581" s="11">
        <f>IFERROR(INDEX(Roles!$B$17:$B$20,MATCH(J1581,Roles!$A$17:$A$20,0)),1)</f>
        <v/>
      </c>
      <c r="L1581" s="19" t="n">
        <v>1</v>
      </c>
      <c r="M1581" s="11" t="n">
        <v>1</v>
      </c>
      <c r="N1581" s="19" t="n"/>
      <c r="O1581" s="19" t="n"/>
      <c r="P1581" s="19" t="n"/>
      <c r="Q1581" s="19" t="n"/>
      <c r="R1581" s="19" t="n"/>
      <c r="S1581" s="19" t="n"/>
      <c r="T1581" s="19" t="n"/>
      <c r="U1581" s="19" t="n"/>
      <c r="V1581" s="19" t="n"/>
      <c r="W1581" s="19" t="n"/>
      <c r="X1581" s="19" t="n"/>
      <c r="Y1581" s="19" t="n">
        <v>1</v>
      </c>
      <c r="Z1581" s="13">
        <f>SUMPRODUCT(N1581:Y1581,$N$2:$Y$2)*$K1581*$L1581*$M1581</f>
        <v/>
      </c>
      <c r="AA1581" s="14">
        <f>SUM(N1581:Y1581)</f>
        <v/>
      </c>
      <c r="AB1581" s="13">
        <f>SUMPRODUCT(N1581:Y1581,$N$3:$Y$3)*$K1581*$L1581*$M1581</f>
        <v/>
      </c>
      <c r="AC1581" s="13">
        <f>SUMPRODUCT(N1581:Y1581,$N$4:$Y$4)*$K1581*$L1581*$M1581</f>
        <v/>
      </c>
      <c r="AD1581" s="15" t="n">
        <v>3</v>
      </c>
      <c r="AE1581" s="11" t="n">
        <v>1.011296296296296</v>
      </c>
      <c r="AF1581" s="16">
        <f>SUMPRODUCT(N1581:Y1581,$N$5:$Y$5)*$K1581*$L1581*$M1581</f>
        <v/>
      </c>
      <c r="AG1581" s="16">
        <f>SUMPRODUCT(N1581:Y1581,$N$6:$Y$6)*$K1581*$L1581*$M1581</f>
        <v/>
      </c>
      <c r="AH1581" s="20" t="n"/>
    </row>
    <row r="1582">
      <c r="A1582" s="9" t="n">
        <v>800239</v>
      </c>
      <c r="B1582" s="9" t="inlineStr">
        <is>
          <t>Sabier Marte</t>
        </is>
      </c>
      <c r="C1582" s="9" t="inlineStr">
        <is>
          <t>NYY</t>
        </is>
      </c>
      <c r="D1582" s="9" t="n">
        <v>25</v>
      </c>
      <c r="E1582" s="18" t="inlineStr">
        <is>
          <t>R</t>
        </is>
      </c>
      <c r="F1582" s="18" t="n"/>
      <c r="G1582" s="9" t="n">
        <v>13.588</v>
      </c>
      <c r="H1582" s="9" t="n">
        <v>13.588</v>
      </c>
      <c r="I1582" s="9" t="inlineStr">
        <is>
          <t>Depth (no MLB IP)</t>
        </is>
      </c>
      <c r="J1582" s="18" t="inlineStr">
        <is>
          <t>Opening Day</t>
        </is>
      </c>
      <c r="K1582" s="11">
        <f>IFERROR(INDEX(Roles!$B$17:$B$20,MATCH(J1582,Roles!$A$17:$A$20,0)),1)</f>
        <v/>
      </c>
      <c r="L1582" s="19" t="n">
        <v>1</v>
      </c>
      <c r="M1582" s="11" t="n">
        <v>1</v>
      </c>
      <c r="N1582" s="19" t="n"/>
      <c r="O1582" s="19" t="n"/>
      <c r="P1582" s="19" t="n"/>
      <c r="Q1582" s="19" t="n"/>
      <c r="R1582" s="19" t="n"/>
      <c r="S1582" s="19" t="n"/>
      <c r="T1582" s="19" t="n"/>
      <c r="U1582" s="19" t="n"/>
      <c r="V1582" s="19" t="n"/>
      <c r="W1582" s="19" t="n"/>
      <c r="X1582" s="19" t="n"/>
      <c r="Y1582" s="19" t="n">
        <v>1</v>
      </c>
      <c r="Z1582" s="13">
        <f>SUMPRODUCT(N1582:Y1582,$N$2:$Y$2)*$K1582*$L1582*$M1582</f>
        <v/>
      </c>
      <c r="AA1582" s="14">
        <f>SUM(N1582:Y1582)</f>
        <v/>
      </c>
      <c r="AB1582" s="13">
        <f>SUMPRODUCT(N1582:Y1582,$N$3:$Y$3)*$K1582*$L1582*$M1582</f>
        <v/>
      </c>
      <c r="AC1582" s="13">
        <f>SUMPRODUCT(N1582:Y1582,$N$4:$Y$4)*$K1582*$L1582*$M1582</f>
        <v/>
      </c>
      <c r="AD1582" s="15" t="n">
        <v>3</v>
      </c>
      <c r="AE1582" s="11" t="n">
        <v>1.011296296296296</v>
      </c>
      <c r="AF1582" s="16">
        <f>SUMPRODUCT(N1582:Y1582,$N$5:$Y$5)*$K1582*$L1582*$M1582</f>
        <v/>
      </c>
      <c r="AG1582" s="16">
        <f>SUMPRODUCT(N1582:Y1582,$N$6:$Y$6)*$K1582*$L1582*$M1582</f>
        <v/>
      </c>
      <c r="AH1582" s="20" t="n"/>
    </row>
    <row r="1583">
      <c r="A1583" s="9" t="n">
        <v>702904</v>
      </c>
      <c r="B1583" s="9" t="inlineStr">
        <is>
          <t>Cesar De Jesus</t>
        </is>
      </c>
      <c r="C1583" s="9" t="inlineStr">
        <is>
          <t>TB</t>
        </is>
      </c>
      <c r="D1583" s="9" t="n">
        <v>25</v>
      </c>
      <c r="E1583" s="18" t="inlineStr">
        <is>
          <t>L</t>
        </is>
      </c>
      <c r="F1583" s="18" t="n"/>
      <c r="G1583" s="9" t="n">
        <v>13.76</v>
      </c>
      <c r="H1583" s="9" t="n">
        <v>13.76</v>
      </c>
      <c r="I1583" s="9" t="inlineStr">
        <is>
          <t>Depth (no MLB IP)</t>
        </is>
      </c>
      <c r="J1583" s="18" t="inlineStr">
        <is>
          <t>Opening Day</t>
        </is>
      </c>
      <c r="K1583" s="11">
        <f>IFERROR(INDEX(Roles!$B$17:$B$20,MATCH(J1583,Roles!$A$17:$A$20,0)),1)</f>
        <v/>
      </c>
      <c r="L1583" s="19" t="n">
        <v>1</v>
      </c>
      <c r="M1583" s="11" t="n">
        <v>1</v>
      </c>
      <c r="N1583" s="19" t="n"/>
      <c r="O1583" s="19" t="n"/>
      <c r="P1583" s="19" t="n"/>
      <c r="Q1583" s="19" t="n"/>
      <c r="R1583" s="19" t="n"/>
      <c r="S1583" s="19" t="n"/>
      <c r="T1583" s="19" t="n"/>
      <c r="U1583" s="19" t="n"/>
      <c r="V1583" s="19" t="n"/>
      <c r="W1583" s="19" t="n"/>
      <c r="X1583" s="19" t="n"/>
      <c r="Y1583" s="19" t="n">
        <v>1</v>
      </c>
      <c r="Z1583" s="13">
        <f>SUMPRODUCT(N1583:Y1583,$N$2:$Y$2)*$K1583*$L1583*$M1583</f>
        <v/>
      </c>
      <c r="AA1583" s="14">
        <f>SUM(N1583:Y1583)</f>
        <v/>
      </c>
      <c r="AB1583" s="13">
        <f>SUMPRODUCT(N1583:Y1583,$N$3:$Y$3)*$K1583*$L1583*$M1583</f>
        <v/>
      </c>
      <c r="AC1583" s="13">
        <f>SUMPRODUCT(N1583:Y1583,$N$4:$Y$4)*$K1583*$L1583*$M1583</f>
        <v/>
      </c>
      <c r="AD1583" s="15" t="n">
        <v>3</v>
      </c>
      <c r="AE1583" s="11" t="n">
        <v>1.011296296296296</v>
      </c>
      <c r="AF1583" s="16">
        <f>SUMPRODUCT(N1583:Y1583,$N$5:$Y$5)*$K1583*$L1583*$M1583</f>
        <v/>
      </c>
      <c r="AG1583" s="16">
        <f>SUMPRODUCT(N1583:Y1583,$N$6:$Y$6)*$K1583*$L1583*$M1583</f>
        <v/>
      </c>
      <c r="AH1583" s="20" t="n"/>
    </row>
    <row r="1584">
      <c r="A1584" s="9" t="n">
        <v>699060</v>
      </c>
      <c r="B1584" s="9" t="inlineStr">
        <is>
          <t>Dailoui Abad</t>
        </is>
      </c>
      <c r="C1584" s="9" t="inlineStr">
        <is>
          <t>LAD</t>
        </is>
      </c>
      <c r="D1584" s="9" t="n">
        <v>25</v>
      </c>
      <c r="E1584" s="18" t="inlineStr">
        <is>
          <t>R</t>
        </is>
      </c>
      <c r="F1584" s="18" t="n"/>
      <c r="G1584" s="9" t="n">
        <v>13.76</v>
      </c>
      <c r="H1584" s="9" t="n">
        <v>13.76</v>
      </c>
      <c r="I1584" s="9" t="inlineStr">
        <is>
          <t>Depth (no MLB IP)</t>
        </is>
      </c>
      <c r="J1584" s="18" t="inlineStr">
        <is>
          <t>Opening Day</t>
        </is>
      </c>
      <c r="K1584" s="11">
        <f>IFERROR(INDEX(Roles!$B$17:$B$20,MATCH(J1584,Roles!$A$17:$A$20,0)),1)</f>
        <v/>
      </c>
      <c r="L1584" s="19" t="n">
        <v>1</v>
      </c>
      <c r="M1584" s="11" t="n">
        <v>1</v>
      </c>
      <c r="N1584" s="19" t="n"/>
      <c r="O1584" s="19" t="n"/>
      <c r="P1584" s="19" t="n"/>
      <c r="Q1584" s="19" t="n"/>
      <c r="R1584" s="19" t="n"/>
      <c r="S1584" s="19" t="n"/>
      <c r="T1584" s="19" t="n"/>
      <c r="U1584" s="19" t="n"/>
      <c r="V1584" s="19" t="n"/>
      <c r="W1584" s="19" t="n"/>
      <c r="X1584" s="19" t="n"/>
      <c r="Y1584" s="19" t="n">
        <v>1</v>
      </c>
      <c r="Z1584" s="13">
        <f>SUMPRODUCT(N1584:Y1584,$N$2:$Y$2)*$K1584*$L1584*$M1584</f>
        <v/>
      </c>
      <c r="AA1584" s="14">
        <f>SUM(N1584:Y1584)</f>
        <v/>
      </c>
      <c r="AB1584" s="13">
        <f>SUMPRODUCT(N1584:Y1584,$N$3:$Y$3)*$K1584*$L1584*$M1584</f>
        <v/>
      </c>
      <c r="AC1584" s="13">
        <f>SUMPRODUCT(N1584:Y1584,$N$4:$Y$4)*$K1584*$L1584*$M1584</f>
        <v/>
      </c>
      <c r="AD1584" s="15" t="n">
        <v>3</v>
      </c>
      <c r="AE1584" s="11" t="n">
        <v>1.011296296296296</v>
      </c>
      <c r="AF1584" s="16">
        <f>SUMPRODUCT(N1584:Y1584,$N$5:$Y$5)*$K1584*$L1584*$M1584</f>
        <v/>
      </c>
      <c r="AG1584" s="16">
        <f>SUMPRODUCT(N1584:Y1584,$N$6:$Y$6)*$K1584*$L1584*$M1584</f>
        <v/>
      </c>
      <c r="AH1584" s="20" t="n"/>
    </row>
    <row r="1585">
      <c r="A1585" s="9" t="n">
        <v>694549</v>
      </c>
      <c r="B1585" s="9" t="inlineStr">
        <is>
          <t>Isaiah Coupet</t>
        </is>
      </c>
      <c r="C1585" s="9" t="inlineStr">
        <is>
          <t>COL</t>
        </is>
      </c>
      <c r="D1585" s="9" t="n">
        <v>25</v>
      </c>
      <c r="E1585" s="18" t="inlineStr">
        <is>
          <t>L</t>
        </is>
      </c>
      <c r="F1585" s="18" t="n"/>
      <c r="G1585" s="9" t="n">
        <v>13.76</v>
      </c>
      <c r="H1585" s="9" t="n">
        <v>13.76</v>
      </c>
      <c r="I1585" s="9" t="inlineStr">
        <is>
          <t>Depth (no MLB IP)</t>
        </is>
      </c>
      <c r="J1585" s="18" t="inlineStr">
        <is>
          <t>Opening Day</t>
        </is>
      </c>
      <c r="K1585" s="11">
        <f>IFERROR(INDEX(Roles!$B$17:$B$20,MATCH(J1585,Roles!$A$17:$A$20,0)),1)</f>
        <v/>
      </c>
      <c r="L1585" s="19" t="n">
        <v>1</v>
      </c>
      <c r="M1585" s="11" t="n">
        <v>1</v>
      </c>
      <c r="N1585" s="19" t="n"/>
      <c r="O1585" s="19" t="n"/>
      <c r="P1585" s="19" t="n"/>
      <c r="Q1585" s="19" t="n"/>
      <c r="R1585" s="19" t="n"/>
      <c r="S1585" s="19" t="n"/>
      <c r="T1585" s="19" t="n"/>
      <c r="U1585" s="19" t="n"/>
      <c r="V1585" s="19" t="n"/>
      <c r="W1585" s="19" t="n"/>
      <c r="X1585" s="19" t="n"/>
      <c r="Y1585" s="19" t="n">
        <v>1</v>
      </c>
      <c r="Z1585" s="13">
        <f>SUMPRODUCT(N1585:Y1585,$N$2:$Y$2)*$K1585*$L1585*$M1585</f>
        <v/>
      </c>
      <c r="AA1585" s="14">
        <f>SUM(N1585:Y1585)</f>
        <v/>
      </c>
      <c r="AB1585" s="13">
        <f>SUMPRODUCT(N1585:Y1585,$N$3:$Y$3)*$K1585*$L1585*$M1585</f>
        <v/>
      </c>
      <c r="AC1585" s="13">
        <f>SUMPRODUCT(N1585:Y1585,$N$4:$Y$4)*$K1585*$L1585*$M1585</f>
        <v/>
      </c>
      <c r="AD1585" s="15" t="n">
        <v>3</v>
      </c>
      <c r="AE1585" s="11" t="n">
        <v>1.011296296296296</v>
      </c>
      <c r="AF1585" s="16">
        <f>SUMPRODUCT(N1585:Y1585,$N$5:$Y$5)*$K1585*$L1585*$M1585</f>
        <v/>
      </c>
      <c r="AG1585" s="16">
        <f>SUMPRODUCT(N1585:Y1585,$N$6:$Y$6)*$K1585*$L1585*$M1585</f>
        <v/>
      </c>
      <c r="AH1585" s="20" t="n"/>
    </row>
    <row r="1586">
      <c r="A1586" s="9" t="n">
        <v>696281</v>
      </c>
      <c r="B1586" s="9" t="inlineStr">
        <is>
          <t>Wyatt Young</t>
        </is>
      </c>
      <c r="C1586" s="9" t="inlineStr">
        <is>
          <t>NYM</t>
        </is>
      </c>
      <c r="D1586" s="9" t="n">
        <v>25</v>
      </c>
      <c r="E1586" s="18" t="inlineStr">
        <is>
          <t>R</t>
        </is>
      </c>
      <c r="F1586" s="18" t="n"/>
      <c r="G1586" s="9" t="n">
        <v>13.545</v>
      </c>
      <c r="H1586" s="9" t="n">
        <v>13.545</v>
      </c>
      <c r="I1586" s="9" t="inlineStr">
        <is>
          <t>Depth (no MLB IP)</t>
        </is>
      </c>
      <c r="J1586" s="18" t="inlineStr">
        <is>
          <t>Opening Day</t>
        </is>
      </c>
      <c r="K1586" s="11">
        <f>IFERROR(INDEX(Roles!$B$17:$B$20,MATCH(J1586,Roles!$A$17:$A$20,0)),1)</f>
        <v/>
      </c>
      <c r="L1586" s="19" t="n">
        <v>1</v>
      </c>
      <c r="M1586" s="11" t="n">
        <v>1</v>
      </c>
      <c r="N1586" s="19" t="n"/>
      <c r="O1586" s="19" t="n"/>
      <c r="P1586" s="19" t="n"/>
      <c r="Q1586" s="19" t="n"/>
      <c r="R1586" s="19" t="n"/>
      <c r="S1586" s="19" t="n"/>
      <c r="T1586" s="19" t="n"/>
      <c r="U1586" s="19" t="n"/>
      <c r="V1586" s="19" t="n"/>
      <c r="W1586" s="19" t="n"/>
      <c r="X1586" s="19" t="n"/>
      <c r="Y1586" s="19" t="n">
        <v>1</v>
      </c>
      <c r="Z1586" s="13">
        <f>SUMPRODUCT(N1586:Y1586,$N$2:$Y$2)*$K1586*$L1586*$M1586</f>
        <v/>
      </c>
      <c r="AA1586" s="14">
        <f>SUM(N1586:Y1586)</f>
        <v/>
      </c>
      <c r="AB1586" s="13">
        <f>SUMPRODUCT(N1586:Y1586,$N$3:$Y$3)*$K1586*$L1586*$M1586</f>
        <v/>
      </c>
      <c r="AC1586" s="13">
        <f>SUMPRODUCT(N1586:Y1586,$N$4:$Y$4)*$K1586*$L1586*$M1586</f>
        <v/>
      </c>
      <c r="AD1586" s="15" t="n">
        <v>3</v>
      </c>
      <c r="AE1586" s="11" t="n">
        <v>1.011296296296296</v>
      </c>
      <c r="AF1586" s="16">
        <f>SUMPRODUCT(N1586:Y1586,$N$5:$Y$5)*$K1586*$L1586*$M1586</f>
        <v/>
      </c>
      <c r="AG1586" s="16">
        <f>SUMPRODUCT(N1586:Y1586,$N$6:$Y$6)*$K1586*$L1586*$M1586</f>
        <v/>
      </c>
      <c r="AH1586" s="20" t="n"/>
    </row>
    <row r="1587">
      <c r="A1587" s="9" t="n">
        <v>815278</v>
      </c>
      <c r="B1587" s="9" t="inlineStr">
        <is>
          <t>Jose M. Rodriguez</t>
        </is>
      </c>
      <c r="C1587" s="9" t="inlineStr">
        <is>
          <t>NYY</t>
        </is>
      </c>
      <c r="D1587" s="9" t="n">
        <v>25</v>
      </c>
      <c r="E1587" s="18" t="inlineStr">
        <is>
          <t>R</t>
        </is>
      </c>
      <c r="F1587" s="18" t="n"/>
      <c r="G1587" s="9" t="n">
        <v>13.76</v>
      </c>
      <c r="H1587" s="9" t="n">
        <v>13.76</v>
      </c>
      <c r="I1587" s="9" t="inlineStr">
        <is>
          <t>Depth (no MLB IP)</t>
        </is>
      </c>
      <c r="J1587" s="18" t="inlineStr">
        <is>
          <t>Opening Day</t>
        </is>
      </c>
      <c r="K1587" s="11">
        <f>IFERROR(INDEX(Roles!$B$17:$B$20,MATCH(J1587,Roles!$A$17:$A$20,0)),1)</f>
        <v/>
      </c>
      <c r="L1587" s="19" t="n">
        <v>1</v>
      </c>
      <c r="M1587" s="11" t="n">
        <v>1</v>
      </c>
      <c r="N1587" s="19" t="n"/>
      <c r="O1587" s="19" t="n"/>
      <c r="P1587" s="19" t="n"/>
      <c r="Q1587" s="19" t="n"/>
      <c r="R1587" s="19" t="n"/>
      <c r="S1587" s="19" t="n"/>
      <c r="T1587" s="19" t="n"/>
      <c r="U1587" s="19" t="n"/>
      <c r="V1587" s="19" t="n"/>
      <c r="W1587" s="19" t="n"/>
      <c r="X1587" s="19" t="n"/>
      <c r="Y1587" s="19" t="n">
        <v>1</v>
      </c>
      <c r="Z1587" s="13">
        <f>SUMPRODUCT(N1587:Y1587,$N$2:$Y$2)*$K1587*$L1587*$M1587</f>
        <v/>
      </c>
      <c r="AA1587" s="14">
        <f>SUM(N1587:Y1587)</f>
        <v/>
      </c>
      <c r="AB1587" s="13">
        <f>SUMPRODUCT(N1587:Y1587,$N$3:$Y$3)*$K1587*$L1587*$M1587</f>
        <v/>
      </c>
      <c r="AC1587" s="13">
        <f>SUMPRODUCT(N1587:Y1587,$N$4:$Y$4)*$K1587*$L1587*$M1587</f>
        <v/>
      </c>
      <c r="AD1587" s="15" t="n">
        <v>3</v>
      </c>
      <c r="AE1587" s="11" t="n">
        <v>1.011296296296296</v>
      </c>
      <c r="AF1587" s="16">
        <f>SUMPRODUCT(N1587:Y1587,$N$5:$Y$5)*$K1587*$L1587*$M1587</f>
        <v/>
      </c>
      <c r="AG1587" s="16">
        <f>SUMPRODUCT(N1587:Y1587,$N$6:$Y$6)*$K1587*$L1587*$M1587</f>
        <v/>
      </c>
      <c r="AH1587" s="20" t="n"/>
    </row>
    <row r="1588">
      <c r="A1588" s="9" t="n">
        <v>701509</v>
      </c>
      <c r="B1588" s="9" t="inlineStr">
        <is>
          <t>Brian Holiday</t>
        </is>
      </c>
      <c r="C1588" s="9" t="inlineStr">
        <is>
          <t>STL</t>
        </is>
      </c>
      <c r="D1588" s="9" t="n">
        <v>25</v>
      </c>
      <c r="E1588" s="18" t="inlineStr">
        <is>
          <t>R</t>
        </is>
      </c>
      <c r="F1588" s="18" t="n"/>
      <c r="G1588" s="9" t="n">
        <v>13.76</v>
      </c>
      <c r="H1588" s="9" t="n">
        <v>13.76</v>
      </c>
      <c r="I1588" s="9" t="inlineStr">
        <is>
          <t>Depth (no MLB IP)</t>
        </is>
      </c>
      <c r="J1588" s="18" t="inlineStr">
        <is>
          <t>Opening Day</t>
        </is>
      </c>
      <c r="K1588" s="11">
        <f>IFERROR(INDEX(Roles!$B$17:$B$20,MATCH(J1588,Roles!$A$17:$A$20,0)),1)</f>
        <v/>
      </c>
      <c r="L1588" s="19" t="n">
        <v>1</v>
      </c>
      <c r="M1588" s="11" t="n">
        <v>1</v>
      </c>
      <c r="N1588" s="19" t="n"/>
      <c r="O1588" s="19" t="n"/>
      <c r="P1588" s="19" t="n"/>
      <c r="Q1588" s="19" t="n"/>
      <c r="R1588" s="19" t="n"/>
      <c r="S1588" s="19" t="n"/>
      <c r="T1588" s="19" t="n"/>
      <c r="U1588" s="19" t="n"/>
      <c r="V1588" s="19" t="n"/>
      <c r="W1588" s="19" t="n"/>
      <c r="X1588" s="19" t="n"/>
      <c r="Y1588" s="19" t="n">
        <v>1</v>
      </c>
      <c r="Z1588" s="13">
        <f>SUMPRODUCT(N1588:Y1588,$N$2:$Y$2)*$K1588*$L1588*$M1588</f>
        <v/>
      </c>
      <c r="AA1588" s="14">
        <f>SUM(N1588:Y1588)</f>
        <v/>
      </c>
      <c r="AB1588" s="13">
        <f>SUMPRODUCT(N1588:Y1588,$N$3:$Y$3)*$K1588*$L1588*$M1588</f>
        <v/>
      </c>
      <c r="AC1588" s="13">
        <f>SUMPRODUCT(N1588:Y1588,$N$4:$Y$4)*$K1588*$L1588*$M1588</f>
        <v/>
      </c>
      <c r="AD1588" s="15" t="n">
        <v>3</v>
      </c>
      <c r="AE1588" s="11" t="n">
        <v>1.011296296296296</v>
      </c>
      <c r="AF1588" s="16">
        <f>SUMPRODUCT(N1588:Y1588,$N$5:$Y$5)*$K1588*$L1588*$M1588</f>
        <v/>
      </c>
      <c r="AG1588" s="16">
        <f>SUMPRODUCT(N1588:Y1588,$N$6:$Y$6)*$K1588*$L1588*$M1588</f>
        <v/>
      </c>
      <c r="AH1588" s="20" t="n"/>
    </row>
    <row r="1589">
      <c r="A1589" s="9" t="n">
        <v>840335</v>
      </c>
      <c r="B1589" s="9" t="inlineStr">
        <is>
          <t>Choyce Diffey</t>
        </is>
      </c>
      <c r="C1589" s="9" t="inlineStr">
        <is>
          <t>CWS</t>
        </is>
      </c>
      <c r="D1589" s="9" t="n">
        <v>25</v>
      </c>
      <c r="E1589" s="18" t="inlineStr">
        <is>
          <t>R</t>
        </is>
      </c>
      <c r="F1589" s="18" t="n"/>
      <c r="G1589" s="9" t="n">
        <v>13.932</v>
      </c>
      <c r="H1589" s="9" t="n">
        <v>13.932</v>
      </c>
      <c r="I1589" s="9" t="inlineStr">
        <is>
          <t>Depth (no MLB IP)</t>
        </is>
      </c>
      <c r="J1589" s="18" t="inlineStr">
        <is>
          <t>Opening Day</t>
        </is>
      </c>
      <c r="K1589" s="11">
        <f>IFERROR(INDEX(Roles!$B$17:$B$20,MATCH(J1589,Roles!$A$17:$A$20,0)),1)</f>
        <v/>
      </c>
      <c r="L1589" s="19" t="n">
        <v>1</v>
      </c>
      <c r="M1589" s="11" t="n">
        <v>1</v>
      </c>
      <c r="N1589" s="19" t="n"/>
      <c r="O1589" s="19" t="n"/>
      <c r="P1589" s="19" t="n"/>
      <c r="Q1589" s="19" t="n"/>
      <c r="R1589" s="19" t="n"/>
      <c r="S1589" s="19" t="n"/>
      <c r="T1589" s="19" t="n"/>
      <c r="U1589" s="19" t="n"/>
      <c r="V1589" s="19" t="n"/>
      <c r="W1589" s="19" t="n"/>
      <c r="X1589" s="19" t="n"/>
      <c r="Y1589" s="19" t="n">
        <v>1</v>
      </c>
      <c r="Z1589" s="13">
        <f>SUMPRODUCT(N1589:Y1589,$N$2:$Y$2)*$K1589*$L1589*$M1589</f>
        <v/>
      </c>
      <c r="AA1589" s="14">
        <f>SUM(N1589:Y1589)</f>
        <v/>
      </c>
      <c r="AB1589" s="13">
        <f>SUMPRODUCT(N1589:Y1589,$N$3:$Y$3)*$K1589*$L1589*$M1589</f>
        <v/>
      </c>
      <c r="AC1589" s="13">
        <f>SUMPRODUCT(N1589:Y1589,$N$4:$Y$4)*$K1589*$L1589*$M1589</f>
        <v/>
      </c>
      <c r="AD1589" s="15" t="n">
        <v>3</v>
      </c>
      <c r="AE1589" s="11" t="n">
        <v>1.011296296296296</v>
      </c>
      <c r="AF1589" s="16">
        <f>SUMPRODUCT(N1589:Y1589,$N$5:$Y$5)*$K1589*$L1589*$M1589</f>
        <v/>
      </c>
      <c r="AG1589" s="16">
        <f>SUMPRODUCT(N1589:Y1589,$N$6:$Y$6)*$K1589*$L1589*$M1589</f>
        <v/>
      </c>
      <c r="AH1589" s="20" t="n"/>
    </row>
    <row r="1590">
      <c r="A1590" s="9" t="n">
        <v>696488</v>
      </c>
      <c r="B1590" s="9" t="inlineStr">
        <is>
          <t>Caedmon Parker</t>
        </is>
      </c>
      <c r="C1590" s="9" t="inlineStr">
        <is>
          <t>CWS</t>
        </is>
      </c>
      <c r="D1590" s="9" t="n">
        <v>25</v>
      </c>
      <c r="E1590" s="18" t="inlineStr">
        <is>
          <t>R</t>
        </is>
      </c>
      <c r="F1590" s="18" t="n"/>
      <c r="G1590" s="9" t="n">
        <v>14.04666666666666</v>
      </c>
      <c r="H1590" s="9" t="n">
        <v>14.04666666666666</v>
      </c>
      <c r="I1590" s="9" t="inlineStr">
        <is>
          <t>Depth (no MLB IP)</t>
        </is>
      </c>
      <c r="J1590" s="18" t="inlineStr">
        <is>
          <t>Opening Day</t>
        </is>
      </c>
      <c r="K1590" s="11">
        <f>IFERROR(INDEX(Roles!$B$17:$B$20,MATCH(J1590,Roles!$A$17:$A$20,0)),1)</f>
        <v/>
      </c>
      <c r="L1590" s="19" t="n">
        <v>1</v>
      </c>
      <c r="M1590" s="11" t="n">
        <v>1</v>
      </c>
      <c r="N1590" s="19" t="n"/>
      <c r="O1590" s="19" t="n"/>
      <c r="P1590" s="19" t="n"/>
      <c r="Q1590" s="19" t="n"/>
      <c r="R1590" s="19" t="n"/>
      <c r="S1590" s="19" t="n"/>
      <c r="T1590" s="19" t="n"/>
      <c r="U1590" s="19" t="n"/>
      <c r="V1590" s="19" t="n"/>
      <c r="W1590" s="19" t="n"/>
      <c r="X1590" s="19" t="n"/>
      <c r="Y1590" s="19" t="n">
        <v>1</v>
      </c>
      <c r="Z1590" s="13">
        <f>SUMPRODUCT(N1590:Y1590,$N$2:$Y$2)*$K1590*$L1590*$M1590</f>
        <v/>
      </c>
      <c r="AA1590" s="14">
        <f>SUM(N1590:Y1590)</f>
        <v/>
      </c>
      <c r="AB1590" s="13">
        <f>SUMPRODUCT(N1590:Y1590,$N$3:$Y$3)*$K1590*$L1590*$M1590</f>
        <v/>
      </c>
      <c r="AC1590" s="13">
        <f>SUMPRODUCT(N1590:Y1590,$N$4:$Y$4)*$K1590*$L1590*$M1590</f>
        <v/>
      </c>
      <c r="AD1590" s="15" t="n">
        <v>3</v>
      </c>
      <c r="AE1590" s="11" t="n">
        <v>1.011296296296296</v>
      </c>
      <c r="AF1590" s="16">
        <f>SUMPRODUCT(N1590:Y1590,$N$5:$Y$5)*$K1590*$L1590*$M1590</f>
        <v/>
      </c>
      <c r="AG1590" s="16">
        <f>SUMPRODUCT(N1590:Y1590,$N$6:$Y$6)*$K1590*$L1590*$M1590</f>
        <v/>
      </c>
      <c r="AH1590" s="20" t="n"/>
    </row>
    <row r="1591">
      <c r="A1591" s="9" t="n">
        <v>807654</v>
      </c>
      <c r="B1591" s="9" t="inlineStr">
        <is>
          <t>Angel Cruz</t>
        </is>
      </c>
      <c r="C1591" s="9" t="inlineStr">
        <is>
          <t>LAD</t>
        </is>
      </c>
      <c r="D1591" s="9" t="n">
        <v>25</v>
      </c>
      <c r="E1591" s="18" t="inlineStr">
        <is>
          <t>R</t>
        </is>
      </c>
      <c r="F1591" s="18" t="n"/>
      <c r="G1591" s="9" t="n">
        <v>14.104</v>
      </c>
      <c r="H1591" s="9" t="n">
        <v>14.104</v>
      </c>
      <c r="I1591" s="9" t="inlineStr">
        <is>
          <t>Depth (no MLB IP)</t>
        </is>
      </c>
      <c r="J1591" s="18" t="inlineStr">
        <is>
          <t>Opening Day</t>
        </is>
      </c>
      <c r="K1591" s="11">
        <f>IFERROR(INDEX(Roles!$B$17:$B$20,MATCH(J1591,Roles!$A$17:$A$20,0)),1)</f>
        <v/>
      </c>
      <c r="L1591" s="19" t="n">
        <v>1</v>
      </c>
      <c r="M1591" s="11" t="n">
        <v>1</v>
      </c>
      <c r="N1591" s="19" t="n"/>
      <c r="O1591" s="19" t="n"/>
      <c r="P1591" s="19" t="n"/>
      <c r="Q1591" s="19" t="n"/>
      <c r="R1591" s="19" t="n"/>
      <c r="S1591" s="19" t="n"/>
      <c r="T1591" s="19" t="n"/>
      <c r="U1591" s="19" t="n"/>
      <c r="V1591" s="19" t="n"/>
      <c r="W1591" s="19" t="n"/>
      <c r="X1591" s="19" t="n"/>
      <c r="Y1591" s="19" t="n">
        <v>1</v>
      </c>
      <c r="Z1591" s="13">
        <f>SUMPRODUCT(N1591:Y1591,$N$2:$Y$2)*$K1591*$L1591*$M1591</f>
        <v/>
      </c>
      <c r="AA1591" s="14">
        <f>SUM(N1591:Y1591)</f>
        <v/>
      </c>
      <c r="AB1591" s="13">
        <f>SUMPRODUCT(N1591:Y1591,$N$3:$Y$3)*$K1591*$L1591*$M1591</f>
        <v/>
      </c>
      <c r="AC1591" s="13">
        <f>SUMPRODUCT(N1591:Y1591,$N$4:$Y$4)*$K1591*$L1591*$M1591</f>
        <v/>
      </c>
      <c r="AD1591" s="15" t="n">
        <v>3</v>
      </c>
      <c r="AE1591" s="11" t="n">
        <v>1.011296296296296</v>
      </c>
      <c r="AF1591" s="16">
        <f>SUMPRODUCT(N1591:Y1591,$N$5:$Y$5)*$K1591*$L1591*$M1591</f>
        <v/>
      </c>
      <c r="AG1591" s="16">
        <f>SUMPRODUCT(N1591:Y1591,$N$6:$Y$6)*$K1591*$L1591*$M1591</f>
        <v/>
      </c>
      <c r="AH1591" s="20" t="n"/>
    </row>
    <row r="1592">
      <c r="A1592" s="9" t="n">
        <v>696280</v>
      </c>
      <c r="B1592" s="9" t="inlineStr">
        <is>
          <t>Alonzo Tredwell</t>
        </is>
      </c>
      <c r="C1592" s="9" t="inlineStr">
        <is>
          <t>HOU</t>
        </is>
      </c>
      <c r="D1592" s="9" t="n">
        <v>25</v>
      </c>
      <c r="E1592" s="18" t="inlineStr">
        <is>
          <t>R</t>
        </is>
      </c>
      <c r="F1592" s="18" t="n"/>
      <c r="G1592" s="9" t="n">
        <v>14.04666666666666</v>
      </c>
      <c r="H1592" s="9" t="n">
        <v>14.04666666666666</v>
      </c>
      <c r="I1592" s="9" t="inlineStr">
        <is>
          <t>Depth (no MLB IP)</t>
        </is>
      </c>
      <c r="J1592" s="18" t="inlineStr">
        <is>
          <t>Opening Day</t>
        </is>
      </c>
      <c r="K1592" s="11">
        <f>IFERROR(INDEX(Roles!$B$17:$B$20,MATCH(J1592,Roles!$A$17:$A$20,0)),1)</f>
        <v/>
      </c>
      <c r="L1592" s="19" t="n">
        <v>1</v>
      </c>
      <c r="M1592" s="11" t="n">
        <v>1</v>
      </c>
      <c r="N1592" s="19" t="n"/>
      <c r="O1592" s="19" t="n"/>
      <c r="P1592" s="19" t="n"/>
      <c r="Q1592" s="19" t="n"/>
      <c r="R1592" s="19" t="n"/>
      <c r="S1592" s="19" t="n"/>
      <c r="T1592" s="19" t="n"/>
      <c r="U1592" s="19" t="n"/>
      <c r="V1592" s="19" t="n"/>
      <c r="W1592" s="19" t="n"/>
      <c r="X1592" s="19" t="n"/>
      <c r="Y1592" s="19" t="n">
        <v>1</v>
      </c>
      <c r="Z1592" s="13">
        <f>SUMPRODUCT(N1592:Y1592,$N$2:$Y$2)*$K1592*$L1592*$M1592</f>
        <v/>
      </c>
      <c r="AA1592" s="14">
        <f>SUM(N1592:Y1592)</f>
        <v/>
      </c>
      <c r="AB1592" s="13">
        <f>SUMPRODUCT(N1592:Y1592,$N$3:$Y$3)*$K1592*$L1592*$M1592</f>
        <v/>
      </c>
      <c r="AC1592" s="13">
        <f>SUMPRODUCT(N1592:Y1592,$N$4:$Y$4)*$K1592*$L1592*$M1592</f>
        <v/>
      </c>
      <c r="AD1592" s="15" t="n">
        <v>3</v>
      </c>
      <c r="AE1592" s="11" t="n">
        <v>1.011296296296296</v>
      </c>
      <c r="AF1592" s="16">
        <f>SUMPRODUCT(N1592:Y1592,$N$5:$Y$5)*$K1592*$L1592*$M1592</f>
        <v/>
      </c>
      <c r="AG1592" s="16">
        <f>SUMPRODUCT(N1592:Y1592,$N$6:$Y$6)*$K1592*$L1592*$M1592</f>
        <v/>
      </c>
      <c r="AH1592" s="20" t="n"/>
    </row>
    <row r="1593">
      <c r="A1593" s="9" t="n">
        <v>671093</v>
      </c>
      <c r="B1593" s="9" t="inlineStr">
        <is>
          <t>Kyle Whitten</t>
        </is>
      </c>
      <c r="C1593" s="9" t="inlineStr">
        <is>
          <t>TB</t>
        </is>
      </c>
      <c r="D1593" s="9" t="n">
        <v>25</v>
      </c>
      <c r="E1593" s="18" t="inlineStr">
        <is>
          <t>R</t>
        </is>
      </c>
      <c r="F1593" s="18" t="n"/>
      <c r="G1593" s="9" t="n">
        <v>14.04666666666666</v>
      </c>
      <c r="H1593" s="9" t="n">
        <v>14.04666666666666</v>
      </c>
      <c r="I1593" s="9" t="inlineStr">
        <is>
          <t>Depth (no MLB IP)</t>
        </is>
      </c>
      <c r="J1593" s="18" t="inlineStr">
        <is>
          <t>Opening Day</t>
        </is>
      </c>
      <c r="K1593" s="11">
        <f>IFERROR(INDEX(Roles!$B$17:$B$20,MATCH(J1593,Roles!$A$17:$A$20,0)),1)</f>
        <v/>
      </c>
      <c r="L1593" s="19" t="n">
        <v>1</v>
      </c>
      <c r="M1593" s="11" t="n">
        <v>1</v>
      </c>
      <c r="N1593" s="19" t="n"/>
      <c r="O1593" s="19" t="n"/>
      <c r="P1593" s="19" t="n"/>
      <c r="Q1593" s="19" t="n"/>
      <c r="R1593" s="19" t="n"/>
      <c r="S1593" s="19" t="n"/>
      <c r="T1593" s="19" t="n"/>
      <c r="U1593" s="19" t="n"/>
      <c r="V1593" s="19" t="n"/>
      <c r="W1593" s="19" t="n"/>
      <c r="X1593" s="19" t="n"/>
      <c r="Y1593" s="19" t="n">
        <v>1</v>
      </c>
      <c r="Z1593" s="13">
        <f>SUMPRODUCT(N1593:Y1593,$N$2:$Y$2)*$K1593*$L1593*$M1593</f>
        <v/>
      </c>
      <c r="AA1593" s="14">
        <f>SUM(N1593:Y1593)</f>
        <v/>
      </c>
      <c r="AB1593" s="13">
        <f>SUMPRODUCT(N1593:Y1593,$N$3:$Y$3)*$K1593*$L1593*$M1593</f>
        <v/>
      </c>
      <c r="AC1593" s="13">
        <f>SUMPRODUCT(N1593:Y1593,$N$4:$Y$4)*$K1593*$L1593*$M1593</f>
        <v/>
      </c>
      <c r="AD1593" s="15" t="n">
        <v>3</v>
      </c>
      <c r="AE1593" s="11" t="n">
        <v>1.011296296296296</v>
      </c>
      <c r="AF1593" s="16">
        <f>SUMPRODUCT(N1593:Y1593,$N$5:$Y$5)*$K1593*$L1593*$M1593</f>
        <v/>
      </c>
      <c r="AG1593" s="16">
        <f>SUMPRODUCT(N1593:Y1593,$N$6:$Y$6)*$K1593*$L1593*$M1593</f>
        <v/>
      </c>
      <c r="AH1593" s="20" t="n"/>
    </row>
    <row r="1594">
      <c r="A1594" s="9" t="n">
        <v>813768</v>
      </c>
      <c r="B1594" s="9" t="inlineStr">
        <is>
          <t>Blake Hammond</t>
        </is>
      </c>
      <c r="C1594" s="9" t="inlineStr">
        <is>
          <t>OAK</t>
        </is>
      </c>
      <c r="D1594" s="9" t="n">
        <v>25</v>
      </c>
      <c r="E1594" s="18" t="inlineStr">
        <is>
          <t>R</t>
        </is>
      </c>
      <c r="F1594" s="18" t="n"/>
      <c r="G1594" s="9" t="n">
        <v>13.932</v>
      </c>
      <c r="H1594" s="9" t="n">
        <v>13.932</v>
      </c>
      <c r="I1594" s="9" t="inlineStr">
        <is>
          <t>Depth (no MLB IP)</t>
        </is>
      </c>
      <c r="J1594" s="18" t="inlineStr">
        <is>
          <t>Opening Day</t>
        </is>
      </c>
      <c r="K1594" s="11">
        <f>IFERROR(INDEX(Roles!$B$17:$B$20,MATCH(J1594,Roles!$A$17:$A$20,0)),1)</f>
        <v/>
      </c>
      <c r="L1594" s="19" t="n">
        <v>1</v>
      </c>
      <c r="M1594" s="11" t="n">
        <v>1</v>
      </c>
      <c r="N1594" s="19" t="n"/>
      <c r="O1594" s="19" t="n"/>
      <c r="P1594" s="19" t="n"/>
      <c r="Q1594" s="19" t="n"/>
      <c r="R1594" s="19" t="n"/>
      <c r="S1594" s="19" t="n"/>
      <c r="T1594" s="19" t="n"/>
      <c r="U1594" s="19" t="n"/>
      <c r="V1594" s="19" t="n"/>
      <c r="W1594" s="19" t="n"/>
      <c r="X1594" s="19" t="n"/>
      <c r="Y1594" s="19" t="n">
        <v>1</v>
      </c>
      <c r="Z1594" s="13">
        <f>SUMPRODUCT(N1594:Y1594,$N$2:$Y$2)*$K1594*$L1594*$M1594</f>
        <v/>
      </c>
      <c r="AA1594" s="14">
        <f>SUM(N1594:Y1594)</f>
        <v/>
      </c>
      <c r="AB1594" s="13">
        <f>SUMPRODUCT(N1594:Y1594,$N$3:$Y$3)*$K1594*$L1594*$M1594</f>
        <v/>
      </c>
      <c r="AC1594" s="13">
        <f>SUMPRODUCT(N1594:Y1594,$N$4:$Y$4)*$K1594*$L1594*$M1594</f>
        <v/>
      </c>
      <c r="AD1594" s="15" t="n">
        <v>3</v>
      </c>
      <c r="AE1594" s="11" t="n">
        <v>1.011296296296296</v>
      </c>
      <c r="AF1594" s="16">
        <f>SUMPRODUCT(N1594:Y1594,$N$5:$Y$5)*$K1594*$L1594*$M1594</f>
        <v/>
      </c>
      <c r="AG1594" s="16">
        <f>SUMPRODUCT(N1594:Y1594,$N$6:$Y$6)*$K1594*$L1594*$M1594</f>
        <v/>
      </c>
      <c r="AH1594" s="20" t="n"/>
    </row>
    <row r="1595">
      <c r="A1595" s="9" t="n">
        <v>806672</v>
      </c>
      <c r="B1595" s="9" t="inlineStr">
        <is>
          <t>Alix Hernandez</t>
        </is>
      </c>
      <c r="C1595" s="9" t="inlineStr">
        <is>
          <t>SF</t>
        </is>
      </c>
      <c r="D1595" s="9" t="n">
        <v>25</v>
      </c>
      <c r="E1595" s="18" t="inlineStr">
        <is>
          <t>R</t>
        </is>
      </c>
      <c r="F1595" s="18" t="n"/>
      <c r="G1595" s="9" t="n">
        <v>14.04666666666666</v>
      </c>
      <c r="H1595" s="9" t="n">
        <v>14.04666666666666</v>
      </c>
      <c r="I1595" s="9" t="inlineStr">
        <is>
          <t>Depth (no MLB IP)</t>
        </is>
      </c>
      <c r="J1595" s="18" t="inlineStr">
        <is>
          <t>Opening Day</t>
        </is>
      </c>
      <c r="K1595" s="11">
        <f>IFERROR(INDEX(Roles!$B$17:$B$20,MATCH(J1595,Roles!$A$17:$A$20,0)),1)</f>
        <v/>
      </c>
      <c r="L1595" s="19" t="n">
        <v>1</v>
      </c>
      <c r="M1595" s="11" t="n">
        <v>1</v>
      </c>
      <c r="N1595" s="19" t="n"/>
      <c r="O1595" s="19" t="n"/>
      <c r="P1595" s="19" t="n"/>
      <c r="Q1595" s="19" t="n"/>
      <c r="R1595" s="19" t="n"/>
      <c r="S1595" s="19" t="n"/>
      <c r="T1595" s="19" t="n"/>
      <c r="U1595" s="19" t="n"/>
      <c r="V1595" s="19" t="n"/>
      <c r="W1595" s="19" t="n"/>
      <c r="X1595" s="19" t="n"/>
      <c r="Y1595" s="19" t="n">
        <v>1</v>
      </c>
      <c r="Z1595" s="13">
        <f>SUMPRODUCT(N1595:Y1595,$N$2:$Y$2)*$K1595*$L1595*$M1595</f>
        <v/>
      </c>
      <c r="AA1595" s="14">
        <f>SUM(N1595:Y1595)</f>
        <v/>
      </c>
      <c r="AB1595" s="13">
        <f>SUMPRODUCT(N1595:Y1595,$N$3:$Y$3)*$K1595*$L1595*$M1595</f>
        <v/>
      </c>
      <c r="AC1595" s="13">
        <f>SUMPRODUCT(N1595:Y1595,$N$4:$Y$4)*$K1595*$L1595*$M1595</f>
        <v/>
      </c>
      <c r="AD1595" s="15" t="n">
        <v>3</v>
      </c>
      <c r="AE1595" s="11" t="n">
        <v>1.011296296296296</v>
      </c>
      <c r="AF1595" s="16">
        <f>SUMPRODUCT(N1595:Y1595,$N$5:$Y$5)*$K1595*$L1595*$M1595</f>
        <v/>
      </c>
      <c r="AG1595" s="16">
        <f>SUMPRODUCT(N1595:Y1595,$N$6:$Y$6)*$K1595*$L1595*$M1595</f>
        <v/>
      </c>
      <c r="AH1595" s="20" t="n"/>
    </row>
    <row r="1596">
      <c r="A1596" s="9" t="n">
        <v>656120</v>
      </c>
      <c r="B1596" s="9" t="inlineStr">
        <is>
          <t>Jean Henriquez</t>
        </is>
      </c>
      <c r="C1596" s="9" t="inlineStr">
        <is>
          <t>BAL</t>
        </is>
      </c>
      <c r="D1596" s="9" t="n">
        <v>25</v>
      </c>
      <c r="E1596" s="18" t="inlineStr">
        <is>
          <t>R</t>
        </is>
      </c>
      <c r="F1596" s="18" t="n"/>
      <c r="G1596" s="9" t="n">
        <v>14.04666666666666</v>
      </c>
      <c r="H1596" s="9" t="n">
        <v>14.04666666666666</v>
      </c>
      <c r="I1596" s="9" t="inlineStr">
        <is>
          <t>Depth (no MLB IP)</t>
        </is>
      </c>
      <c r="J1596" s="18" t="inlineStr">
        <is>
          <t>Opening Day</t>
        </is>
      </c>
      <c r="K1596" s="11">
        <f>IFERROR(INDEX(Roles!$B$17:$B$20,MATCH(J1596,Roles!$A$17:$A$20,0)),1)</f>
        <v/>
      </c>
      <c r="L1596" s="19" t="n">
        <v>1</v>
      </c>
      <c r="M1596" s="11" t="n">
        <v>1</v>
      </c>
      <c r="N1596" s="19" t="n"/>
      <c r="O1596" s="19" t="n"/>
      <c r="P1596" s="19" t="n"/>
      <c r="Q1596" s="19" t="n"/>
      <c r="R1596" s="19" t="n"/>
      <c r="S1596" s="19" t="n"/>
      <c r="T1596" s="19" t="n"/>
      <c r="U1596" s="19" t="n"/>
      <c r="V1596" s="19" t="n"/>
      <c r="W1596" s="19" t="n"/>
      <c r="X1596" s="19" t="n"/>
      <c r="Y1596" s="19" t="n">
        <v>1</v>
      </c>
      <c r="Z1596" s="13">
        <f>SUMPRODUCT(N1596:Y1596,$N$2:$Y$2)*$K1596*$L1596*$M1596</f>
        <v/>
      </c>
      <c r="AA1596" s="14">
        <f>SUM(N1596:Y1596)</f>
        <v/>
      </c>
      <c r="AB1596" s="13">
        <f>SUMPRODUCT(N1596:Y1596,$N$3:$Y$3)*$K1596*$L1596*$M1596</f>
        <v/>
      </c>
      <c r="AC1596" s="13">
        <f>SUMPRODUCT(N1596:Y1596,$N$4:$Y$4)*$K1596*$L1596*$M1596</f>
        <v/>
      </c>
      <c r="AD1596" s="15" t="n">
        <v>3</v>
      </c>
      <c r="AE1596" s="11" t="n">
        <v>1.011296296296296</v>
      </c>
      <c r="AF1596" s="16">
        <f>SUMPRODUCT(N1596:Y1596,$N$5:$Y$5)*$K1596*$L1596*$M1596</f>
        <v/>
      </c>
      <c r="AG1596" s="16">
        <f>SUMPRODUCT(N1596:Y1596,$N$6:$Y$6)*$K1596*$L1596*$M1596</f>
        <v/>
      </c>
      <c r="AH1596" s="20" t="n"/>
    </row>
    <row r="1597">
      <c r="A1597" s="9" t="n">
        <v>805128</v>
      </c>
      <c r="B1597" s="9" t="inlineStr">
        <is>
          <t>Edinzo Marquez</t>
        </is>
      </c>
      <c r="C1597" s="9" t="inlineStr">
        <is>
          <t>NYY</t>
        </is>
      </c>
      <c r="D1597" s="9" t="n">
        <v>25</v>
      </c>
      <c r="E1597" s="18" t="inlineStr">
        <is>
          <t>R</t>
        </is>
      </c>
      <c r="F1597" s="18" t="n"/>
      <c r="G1597" s="9" t="n">
        <v>14.104</v>
      </c>
      <c r="H1597" s="9" t="n">
        <v>14.104</v>
      </c>
      <c r="I1597" s="9" t="inlineStr">
        <is>
          <t>Depth (no MLB IP)</t>
        </is>
      </c>
      <c r="J1597" s="18" t="inlineStr">
        <is>
          <t>Opening Day</t>
        </is>
      </c>
      <c r="K1597" s="11">
        <f>IFERROR(INDEX(Roles!$B$17:$B$20,MATCH(J1597,Roles!$A$17:$A$20,0)),1)</f>
        <v/>
      </c>
      <c r="L1597" s="19" t="n">
        <v>1</v>
      </c>
      <c r="M1597" s="11" t="n">
        <v>1</v>
      </c>
      <c r="N1597" s="19" t="n"/>
      <c r="O1597" s="19" t="n"/>
      <c r="P1597" s="19" t="n"/>
      <c r="Q1597" s="19" t="n"/>
      <c r="R1597" s="19" t="n"/>
      <c r="S1597" s="19" t="n"/>
      <c r="T1597" s="19" t="n"/>
      <c r="U1597" s="19" t="n"/>
      <c r="V1597" s="19" t="n"/>
      <c r="W1597" s="19" t="n"/>
      <c r="X1597" s="19" t="n"/>
      <c r="Y1597" s="19" t="n">
        <v>1</v>
      </c>
      <c r="Z1597" s="13">
        <f>SUMPRODUCT(N1597:Y1597,$N$2:$Y$2)*$K1597*$L1597*$M1597</f>
        <v/>
      </c>
      <c r="AA1597" s="14">
        <f>SUM(N1597:Y1597)</f>
        <v/>
      </c>
      <c r="AB1597" s="13">
        <f>SUMPRODUCT(N1597:Y1597,$N$3:$Y$3)*$K1597*$L1597*$M1597</f>
        <v/>
      </c>
      <c r="AC1597" s="13">
        <f>SUMPRODUCT(N1597:Y1597,$N$4:$Y$4)*$K1597*$L1597*$M1597</f>
        <v/>
      </c>
      <c r="AD1597" s="15" t="n">
        <v>3</v>
      </c>
      <c r="AE1597" s="11" t="n">
        <v>1.011296296296296</v>
      </c>
      <c r="AF1597" s="16">
        <f>SUMPRODUCT(N1597:Y1597,$N$5:$Y$5)*$K1597*$L1597*$M1597</f>
        <v/>
      </c>
      <c r="AG1597" s="16">
        <f>SUMPRODUCT(N1597:Y1597,$N$6:$Y$6)*$K1597*$L1597*$M1597</f>
        <v/>
      </c>
      <c r="AH1597" s="20" t="n"/>
    </row>
    <row r="1598">
      <c r="A1598" s="9" t="n">
        <v>805311</v>
      </c>
      <c r="B1598" s="9" t="inlineStr">
        <is>
          <t>Nick Sando</t>
        </is>
      </c>
      <c r="C1598" s="9" t="inlineStr">
        <is>
          <t>CIN</t>
        </is>
      </c>
      <c r="D1598" s="9" t="n">
        <v>25</v>
      </c>
      <c r="E1598" s="18" t="inlineStr">
        <is>
          <t>L</t>
        </is>
      </c>
      <c r="F1598" s="18" t="n"/>
      <c r="G1598" s="9" t="n">
        <v>14.19</v>
      </c>
      <c r="H1598" s="9" t="n">
        <v>14.19</v>
      </c>
      <c r="I1598" s="9" t="inlineStr">
        <is>
          <t>Depth (no MLB IP)</t>
        </is>
      </c>
      <c r="J1598" s="18" t="inlineStr">
        <is>
          <t>Opening Day</t>
        </is>
      </c>
      <c r="K1598" s="11">
        <f>IFERROR(INDEX(Roles!$B$17:$B$20,MATCH(J1598,Roles!$A$17:$A$20,0)),1)</f>
        <v/>
      </c>
      <c r="L1598" s="19" t="n">
        <v>1</v>
      </c>
      <c r="M1598" s="11" t="n">
        <v>1</v>
      </c>
      <c r="N1598" s="19" t="n"/>
      <c r="O1598" s="19" t="n"/>
      <c r="P1598" s="19" t="n"/>
      <c r="Q1598" s="19" t="n"/>
      <c r="R1598" s="19" t="n"/>
      <c r="S1598" s="19" t="n"/>
      <c r="T1598" s="19" t="n"/>
      <c r="U1598" s="19" t="n"/>
      <c r="V1598" s="19" t="n"/>
      <c r="W1598" s="19" t="n"/>
      <c r="X1598" s="19" t="n"/>
      <c r="Y1598" s="19" t="n">
        <v>1</v>
      </c>
      <c r="Z1598" s="13">
        <f>SUMPRODUCT(N1598:Y1598,$N$2:$Y$2)*$K1598*$L1598*$M1598</f>
        <v/>
      </c>
      <c r="AA1598" s="14">
        <f>SUM(N1598:Y1598)</f>
        <v/>
      </c>
      <c r="AB1598" s="13">
        <f>SUMPRODUCT(N1598:Y1598,$N$3:$Y$3)*$K1598*$L1598*$M1598</f>
        <v/>
      </c>
      <c r="AC1598" s="13">
        <f>SUMPRODUCT(N1598:Y1598,$N$4:$Y$4)*$K1598*$L1598*$M1598</f>
        <v/>
      </c>
      <c r="AD1598" s="15" t="n">
        <v>3</v>
      </c>
      <c r="AE1598" s="11" t="n">
        <v>1.011296296296296</v>
      </c>
      <c r="AF1598" s="16">
        <f>SUMPRODUCT(N1598:Y1598,$N$5:$Y$5)*$K1598*$L1598*$M1598</f>
        <v/>
      </c>
      <c r="AG1598" s="16">
        <f>SUMPRODUCT(N1598:Y1598,$N$6:$Y$6)*$K1598*$L1598*$M1598</f>
        <v/>
      </c>
      <c r="AH1598" s="20" t="n"/>
    </row>
    <row r="1599">
      <c r="A1599" s="9" t="n">
        <v>663782</v>
      </c>
      <c r="B1599" s="9" t="inlineStr">
        <is>
          <t>Joe Corbett</t>
        </is>
      </c>
      <c r="C1599" s="9" t="inlineStr">
        <is>
          <t>MIL</t>
        </is>
      </c>
      <c r="D1599" s="9" t="n">
        <v>25</v>
      </c>
      <c r="E1599" s="18" t="inlineStr">
        <is>
          <t>R</t>
        </is>
      </c>
      <c r="F1599" s="18" t="n"/>
      <c r="G1599" s="9" t="n">
        <v>14.19</v>
      </c>
      <c r="H1599" s="9" t="n">
        <v>14.19</v>
      </c>
      <c r="I1599" s="9" t="inlineStr">
        <is>
          <t>Depth (no MLB IP)</t>
        </is>
      </c>
      <c r="J1599" s="18" t="inlineStr">
        <is>
          <t>Opening Day</t>
        </is>
      </c>
      <c r="K1599" s="11">
        <f>IFERROR(INDEX(Roles!$B$17:$B$20,MATCH(J1599,Roles!$A$17:$A$20,0)),1)</f>
        <v/>
      </c>
      <c r="L1599" s="19" t="n">
        <v>1</v>
      </c>
      <c r="M1599" s="11" t="n">
        <v>1</v>
      </c>
      <c r="N1599" s="19" t="n"/>
      <c r="O1599" s="19" t="n"/>
      <c r="P1599" s="19" t="n"/>
      <c r="Q1599" s="19" t="n"/>
      <c r="R1599" s="19" t="n"/>
      <c r="S1599" s="19" t="n"/>
      <c r="T1599" s="19" t="n"/>
      <c r="U1599" s="19" t="n"/>
      <c r="V1599" s="19" t="n"/>
      <c r="W1599" s="19" t="n"/>
      <c r="X1599" s="19" t="n"/>
      <c r="Y1599" s="19" t="n">
        <v>1</v>
      </c>
      <c r="Z1599" s="13">
        <f>SUMPRODUCT(N1599:Y1599,$N$2:$Y$2)*$K1599*$L1599*$M1599</f>
        <v/>
      </c>
      <c r="AA1599" s="14">
        <f>SUM(N1599:Y1599)</f>
        <v/>
      </c>
      <c r="AB1599" s="13">
        <f>SUMPRODUCT(N1599:Y1599,$N$3:$Y$3)*$K1599*$L1599*$M1599</f>
        <v/>
      </c>
      <c r="AC1599" s="13">
        <f>SUMPRODUCT(N1599:Y1599,$N$4:$Y$4)*$K1599*$L1599*$M1599</f>
        <v/>
      </c>
      <c r="AD1599" s="15" t="n">
        <v>3</v>
      </c>
      <c r="AE1599" s="11" t="n">
        <v>1.011296296296296</v>
      </c>
      <c r="AF1599" s="16">
        <f>SUMPRODUCT(N1599:Y1599,$N$5:$Y$5)*$K1599*$L1599*$M1599</f>
        <v/>
      </c>
      <c r="AG1599" s="16">
        <f>SUMPRODUCT(N1599:Y1599,$N$6:$Y$6)*$K1599*$L1599*$M1599</f>
        <v/>
      </c>
      <c r="AH1599" s="20" t="n"/>
    </row>
    <row r="1600">
      <c r="A1600" s="9" t="n">
        <v>690162</v>
      </c>
      <c r="B1600" s="9" t="inlineStr">
        <is>
          <t>Kenny Serwa</t>
        </is>
      </c>
      <c r="C1600" s="9" t="inlineStr">
        <is>
          <t>DET</t>
        </is>
      </c>
      <c r="D1600" s="9" t="n">
        <v>25</v>
      </c>
      <c r="E1600" s="18" t="inlineStr">
        <is>
          <t>R</t>
        </is>
      </c>
      <c r="F1600" s="18" t="n"/>
      <c r="G1600" s="9" t="n">
        <v>14.19</v>
      </c>
      <c r="H1600" s="9" t="n">
        <v>14.19</v>
      </c>
      <c r="I1600" s="9" t="inlineStr">
        <is>
          <t>Depth (no MLB IP)</t>
        </is>
      </c>
      <c r="J1600" s="18" t="inlineStr">
        <is>
          <t>Opening Day</t>
        </is>
      </c>
      <c r="K1600" s="11">
        <f>IFERROR(INDEX(Roles!$B$17:$B$20,MATCH(J1600,Roles!$A$17:$A$20,0)),1)</f>
        <v/>
      </c>
      <c r="L1600" s="19" t="n">
        <v>1</v>
      </c>
      <c r="M1600" s="11" t="n">
        <v>1</v>
      </c>
      <c r="N1600" s="19" t="n"/>
      <c r="O1600" s="19" t="n"/>
      <c r="P1600" s="19" t="n"/>
      <c r="Q1600" s="19" t="n"/>
      <c r="R1600" s="19" t="n"/>
      <c r="S1600" s="19" t="n"/>
      <c r="T1600" s="19" t="n"/>
      <c r="U1600" s="19" t="n"/>
      <c r="V1600" s="19" t="n"/>
      <c r="W1600" s="19" t="n"/>
      <c r="X1600" s="19" t="n"/>
      <c r="Y1600" s="19" t="n">
        <v>1</v>
      </c>
      <c r="Z1600" s="13">
        <f>SUMPRODUCT(N1600:Y1600,$N$2:$Y$2)*$K1600*$L1600*$M1600</f>
        <v/>
      </c>
      <c r="AA1600" s="14">
        <f>SUM(N1600:Y1600)</f>
        <v/>
      </c>
      <c r="AB1600" s="13">
        <f>SUMPRODUCT(N1600:Y1600,$N$3:$Y$3)*$K1600*$L1600*$M1600</f>
        <v/>
      </c>
      <c r="AC1600" s="13">
        <f>SUMPRODUCT(N1600:Y1600,$N$4:$Y$4)*$K1600*$L1600*$M1600</f>
        <v/>
      </c>
      <c r="AD1600" s="15" t="n">
        <v>3</v>
      </c>
      <c r="AE1600" s="11" t="n">
        <v>1.011296296296296</v>
      </c>
      <c r="AF1600" s="16">
        <f>SUMPRODUCT(N1600:Y1600,$N$5:$Y$5)*$K1600*$L1600*$M1600</f>
        <v/>
      </c>
      <c r="AG1600" s="16">
        <f>SUMPRODUCT(N1600:Y1600,$N$6:$Y$6)*$K1600*$L1600*$M1600</f>
        <v/>
      </c>
      <c r="AH1600" s="20" t="n"/>
    </row>
    <row r="1601">
      <c r="A1601" s="9" t="n">
        <v>805175</v>
      </c>
      <c r="B1601" s="9" t="inlineStr">
        <is>
          <t>Davis Polo</t>
        </is>
      </c>
      <c r="C1601" s="9" t="inlineStr">
        <is>
          <t>ATL</t>
        </is>
      </c>
      <c r="D1601" s="9" t="n">
        <v>25</v>
      </c>
      <c r="E1601" s="18" t="inlineStr">
        <is>
          <t>R</t>
        </is>
      </c>
      <c r="F1601" s="18" t="n"/>
      <c r="G1601" s="9" t="n">
        <v>14.19</v>
      </c>
      <c r="H1601" s="9" t="n">
        <v>14.19</v>
      </c>
      <c r="I1601" s="9" t="inlineStr">
        <is>
          <t>Depth (no MLB IP)</t>
        </is>
      </c>
      <c r="J1601" s="18" t="inlineStr">
        <is>
          <t>Opening Day</t>
        </is>
      </c>
      <c r="K1601" s="11">
        <f>IFERROR(INDEX(Roles!$B$17:$B$20,MATCH(J1601,Roles!$A$17:$A$20,0)),1)</f>
        <v/>
      </c>
      <c r="L1601" s="19" t="n">
        <v>1</v>
      </c>
      <c r="M1601" s="11" t="n">
        <v>1</v>
      </c>
      <c r="N1601" s="19" t="n"/>
      <c r="O1601" s="19" t="n"/>
      <c r="P1601" s="19" t="n"/>
      <c r="Q1601" s="19" t="n"/>
      <c r="R1601" s="19" t="n"/>
      <c r="S1601" s="19" t="n"/>
      <c r="T1601" s="19" t="n"/>
      <c r="U1601" s="19" t="n"/>
      <c r="V1601" s="19" t="n"/>
      <c r="W1601" s="19" t="n"/>
      <c r="X1601" s="19" t="n"/>
      <c r="Y1601" s="19" t="n">
        <v>1</v>
      </c>
      <c r="Z1601" s="13">
        <f>SUMPRODUCT(N1601:Y1601,$N$2:$Y$2)*$K1601*$L1601*$M1601</f>
        <v/>
      </c>
      <c r="AA1601" s="14">
        <f>SUM(N1601:Y1601)</f>
        <v/>
      </c>
      <c r="AB1601" s="13">
        <f>SUMPRODUCT(N1601:Y1601,$N$3:$Y$3)*$K1601*$L1601*$M1601</f>
        <v/>
      </c>
      <c r="AC1601" s="13">
        <f>SUMPRODUCT(N1601:Y1601,$N$4:$Y$4)*$K1601*$L1601*$M1601</f>
        <v/>
      </c>
      <c r="AD1601" s="15" t="n">
        <v>3</v>
      </c>
      <c r="AE1601" s="11" t="n">
        <v>1.011296296296296</v>
      </c>
      <c r="AF1601" s="16">
        <f>SUMPRODUCT(N1601:Y1601,$N$5:$Y$5)*$K1601*$L1601*$M1601</f>
        <v/>
      </c>
      <c r="AG1601" s="16">
        <f>SUMPRODUCT(N1601:Y1601,$N$6:$Y$6)*$K1601*$L1601*$M1601</f>
        <v/>
      </c>
      <c r="AH1601" s="20" t="n"/>
    </row>
    <row r="1602">
      <c r="A1602" s="9" t="n">
        <v>666151</v>
      </c>
      <c r="B1602" s="9" t="inlineStr">
        <is>
          <t>Kevin Gowdy</t>
        </is>
      </c>
      <c r="C1602" s="9" t="inlineStr">
        <is>
          <t>NYM</t>
        </is>
      </c>
      <c r="D1602" s="9" t="n">
        <v>25</v>
      </c>
      <c r="E1602" s="18" t="inlineStr">
        <is>
          <t>R</t>
        </is>
      </c>
      <c r="F1602" s="18" t="n"/>
      <c r="G1602" s="9" t="n">
        <v>14.04666666666666</v>
      </c>
      <c r="H1602" s="9" t="n">
        <v>14.04666666666666</v>
      </c>
      <c r="I1602" s="9" t="inlineStr">
        <is>
          <t>Depth (no MLB IP)</t>
        </is>
      </c>
      <c r="J1602" s="18" t="inlineStr">
        <is>
          <t>Opening Day</t>
        </is>
      </c>
      <c r="K1602" s="11">
        <f>IFERROR(INDEX(Roles!$B$17:$B$20,MATCH(J1602,Roles!$A$17:$A$20,0)),1)</f>
        <v/>
      </c>
      <c r="L1602" s="19" t="n">
        <v>1</v>
      </c>
      <c r="M1602" s="11" t="n">
        <v>1</v>
      </c>
      <c r="N1602" s="19" t="n"/>
      <c r="O1602" s="19" t="n"/>
      <c r="P1602" s="19" t="n"/>
      <c r="Q1602" s="19" t="n"/>
      <c r="R1602" s="19" t="n"/>
      <c r="S1602" s="19" t="n"/>
      <c r="T1602" s="19" t="n"/>
      <c r="U1602" s="19" t="n"/>
      <c r="V1602" s="19" t="n"/>
      <c r="W1602" s="19" t="n"/>
      <c r="X1602" s="19" t="n"/>
      <c r="Y1602" s="19" t="n">
        <v>1</v>
      </c>
      <c r="Z1602" s="13">
        <f>SUMPRODUCT(N1602:Y1602,$N$2:$Y$2)*$K1602*$L1602*$M1602</f>
        <v/>
      </c>
      <c r="AA1602" s="14">
        <f>SUM(N1602:Y1602)</f>
        <v/>
      </c>
      <c r="AB1602" s="13">
        <f>SUMPRODUCT(N1602:Y1602,$N$3:$Y$3)*$K1602*$L1602*$M1602</f>
        <v/>
      </c>
      <c r="AC1602" s="13">
        <f>SUMPRODUCT(N1602:Y1602,$N$4:$Y$4)*$K1602*$L1602*$M1602</f>
        <v/>
      </c>
      <c r="AD1602" s="15" t="n">
        <v>3</v>
      </c>
      <c r="AE1602" s="11" t="n">
        <v>1.011296296296296</v>
      </c>
      <c r="AF1602" s="16">
        <f>SUMPRODUCT(N1602:Y1602,$N$5:$Y$5)*$K1602*$L1602*$M1602</f>
        <v/>
      </c>
      <c r="AG1602" s="16">
        <f>SUMPRODUCT(N1602:Y1602,$N$6:$Y$6)*$K1602*$L1602*$M1602</f>
        <v/>
      </c>
      <c r="AH1602" s="20" t="n"/>
    </row>
    <row r="1603">
      <c r="A1603" s="9" t="n">
        <v>802355</v>
      </c>
      <c r="B1603" s="9" t="inlineStr">
        <is>
          <t>Tanner Schobel</t>
        </is>
      </c>
      <c r="C1603" s="9" t="inlineStr">
        <is>
          <t>MIN</t>
        </is>
      </c>
      <c r="D1603" s="9" t="n">
        <v>25</v>
      </c>
      <c r="E1603" s="18" t="inlineStr">
        <is>
          <t>R</t>
        </is>
      </c>
      <c r="F1603" s="18" t="n"/>
      <c r="G1603" s="9" t="n">
        <v>14.19</v>
      </c>
      <c r="H1603" s="9" t="n">
        <v>14.19</v>
      </c>
      <c r="I1603" s="9" t="inlineStr">
        <is>
          <t>Depth (no MLB IP)</t>
        </is>
      </c>
      <c r="J1603" s="18" t="inlineStr">
        <is>
          <t>Opening Day</t>
        </is>
      </c>
      <c r="K1603" s="11">
        <f>IFERROR(INDEX(Roles!$B$17:$B$20,MATCH(J1603,Roles!$A$17:$A$20,0)),1)</f>
        <v/>
      </c>
      <c r="L1603" s="19" t="n">
        <v>1</v>
      </c>
      <c r="M1603" s="11" t="n">
        <v>1</v>
      </c>
      <c r="N1603" s="19" t="n"/>
      <c r="O1603" s="19" t="n"/>
      <c r="P1603" s="19" t="n"/>
      <c r="Q1603" s="19" t="n"/>
      <c r="R1603" s="19" t="n"/>
      <c r="S1603" s="19" t="n"/>
      <c r="T1603" s="19" t="n"/>
      <c r="U1603" s="19" t="n"/>
      <c r="V1603" s="19" t="n"/>
      <c r="W1603" s="19" t="n"/>
      <c r="X1603" s="19" t="n"/>
      <c r="Y1603" s="19" t="n">
        <v>1</v>
      </c>
      <c r="Z1603" s="13">
        <f>SUMPRODUCT(N1603:Y1603,$N$2:$Y$2)*$K1603*$L1603*$M1603</f>
        <v/>
      </c>
      <c r="AA1603" s="14">
        <f>SUM(N1603:Y1603)</f>
        <v/>
      </c>
      <c r="AB1603" s="13">
        <f>SUMPRODUCT(N1603:Y1603,$N$3:$Y$3)*$K1603*$L1603*$M1603</f>
        <v/>
      </c>
      <c r="AC1603" s="13">
        <f>SUMPRODUCT(N1603:Y1603,$N$4:$Y$4)*$K1603*$L1603*$M1603</f>
        <v/>
      </c>
      <c r="AD1603" s="15" t="n">
        <v>3</v>
      </c>
      <c r="AE1603" s="11" t="n">
        <v>1.011296296296296</v>
      </c>
      <c r="AF1603" s="16">
        <f>SUMPRODUCT(N1603:Y1603,$N$5:$Y$5)*$K1603*$L1603*$M1603</f>
        <v/>
      </c>
      <c r="AG1603" s="16">
        <f>SUMPRODUCT(N1603:Y1603,$N$6:$Y$6)*$K1603*$L1603*$M1603</f>
        <v/>
      </c>
      <c r="AH1603" s="20" t="n"/>
    </row>
    <row r="1604">
      <c r="A1604" s="9" t="n">
        <v>805958</v>
      </c>
      <c r="B1604" s="9" t="inlineStr">
        <is>
          <t>Jackson Kelley</t>
        </is>
      </c>
      <c r="C1604" s="9" t="inlineStr">
        <is>
          <t>CWS</t>
        </is>
      </c>
      <c r="D1604" s="9" t="n">
        <v>25</v>
      </c>
      <c r="E1604" s="18" t="inlineStr">
        <is>
          <t>R</t>
        </is>
      </c>
      <c r="F1604" s="18" t="n"/>
      <c r="G1604" s="9" t="n">
        <v>14.19</v>
      </c>
      <c r="H1604" s="9" t="n">
        <v>14.19</v>
      </c>
      <c r="I1604" s="9" t="inlineStr">
        <is>
          <t>Depth (no MLB IP)</t>
        </is>
      </c>
      <c r="J1604" s="18" t="inlineStr">
        <is>
          <t>Opening Day</t>
        </is>
      </c>
      <c r="K1604" s="11">
        <f>IFERROR(INDEX(Roles!$B$17:$B$20,MATCH(J1604,Roles!$A$17:$A$20,0)),1)</f>
        <v/>
      </c>
      <c r="L1604" s="19" t="n">
        <v>1</v>
      </c>
      <c r="M1604" s="11" t="n">
        <v>1</v>
      </c>
      <c r="N1604" s="19" t="n"/>
      <c r="O1604" s="19" t="n"/>
      <c r="P1604" s="19" t="n"/>
      <c r="Q1604" s="19" t="n"/>
      <c r="R1604" s="19" t="n"/>
      <c r="S1604" s="19" t="n"/>
      <c r="T1604" s="19" t="n"/>
      <c r="U1604" s="19" t="n"/>
      <c r="V1604" s="19" t="n"/>
      <c r="W1604" s="19" t="n"/>
      <c r="X1604" s="19" t="n"/>
      <c r="Y1604" s="19" t="n">
        <v>1</v>
      </c>
      <c r="Z1604" s="13">
        <f>SUMPRODUCT(N1604:Y1604,$N$2:$Y$2)*$K1604*$L1604*$M1604</f>
        <v/>
      </c>
      <c r="AA1604" s="14">
        <f>SUM(N1604:Y1604)</f>
        <v/>
      </c>
      <c r="AB1604" s="13">
        <f>SUMPRODUCT(N1604:Y1604,$N$3:$Y$3)*$K1604*$L1604*$M1604</f>
        <v/>
      </c>
      <c r="AC1604" s="13">
        <f>SUMPRODUCT(N1604:Y1604,$N$4:$Y$4)*$K1604*$L1604*$M1604</f>
        <v/>
      </c>
      <c r="AD1604" s="15" t="n">
        <v>3</v>
      </c>
      <c r="AE1604" s="11" t="n">
        <v>1.011296296296296</v>
      </c>
      <c r="AF1604" s="16">
        <f>SUMPRODUCT(N1604:Y1604,$N$5:$Y$5)*$K1604*$L1604*$M1604</f>
        <v/>
      </c>
      <c r="AG1604" s="16">
        <f>SUMPRODUCT(N1604:Y1604,$N$6:$Y$6)*$K1604*$L1604*$M1604</f>
        <v/>
      </c>
      <c r="AH1604" s="20" t="n"/>
    </row>
    <row r="1605">
      <c r="A1605" s="9" t="n">
        <v>691027</v>
      </c>
      <c r="B1605" s="9" t="inlineStr">
        <is>
          <t>Tanner Witt</t>
        </is>
      </c>
      <c r="C1605" s="9" t="inlineStr">
        <is>
          <t>NYM</t>
        </is>
      </c>
      <c r="D1605" s="9" t="n">
        <v>25</v>
      </c>
      <c r="E1605" s="18" t="inlineStr">
        <is>
          <t>R</t>
        </is>
      </c>
      <c r="F1605" s="18" t="n"/>
      <c r="G1605" s="9" t="n">
        <v>14.19</v>
      </c>
      <c r="H1605" s="9" t="n">
        <v>14.19</v>
      </c>
      <c r="I1605" s="9" t="inlineStr">
        <is>
          <t>Depth (no MLB IP)</t>
        </is>
      </c>
      <c r="J1605" s="18" t="inlineStr">
        <is>
          <t>Opening Day</t>
        </is>
      </c>
      <c r="K1605" s="11">
        <f>IFERROR(INDEX(Roles!$B$17:$B$20,MATCH(J1605,Roles!$A$17:$A$20,0)),1)</f>
        <v/>
      </c>
      <c r="L1605" s="19" t="n">
        <v>1</v>
      </c>
      <c r="M1605" s="11" t="n">
        <v>1</v>
      </c>
      <c r="N1605" s="19" t="n"/>
      <c r="O1605" s="19" t="n"/>
      <c r="P1605" s="19" t="n"/>
      <c r="Q1605" s="19" t="n"/>
      <c r="R1605" s="19" t="n"/>
      <c r="S1605" s="19" t="n"/>
      <c r="T1605" s="19" t="n"/>
      <c r="U1605" s="19" t="n"/>
      <c r="V1605" s="19" t="n"/>
      <c r="W1605" s="19" t="n"/>
      <c r="X1605" s="19" t="n"/>
      <c r="Y1605" s="19" t="n">
        <v>1</v>
      </c>
      <c r="Z1605" s="13">
        <f>SUMPRODUCT(N1605:Y1605,$N$2:$Y$2)*$K1605*$L1605*$M1605</f>
        <v/>
      </c>
      <c r="AA1605" s="14">
        <f>SUM(N1605:Y1605)</f>
        <v/>
      </c>
      <c r="AB1605" s="13">
        <f>SUMPRODUCT(N1605:Y1605,$N$3:$Y$3)*$K1605*$L1605*$M1605</f>
        <v/>
      </c>
      <c r="AC1605" s="13">
        <f>SUMPRODUCT(N1605:Y1605,$N$4:$Y$4)*$K1605*$L1605*$M1605</f>
        <v/>
      </c>
      <c r="AD1605" s="15" t="n">
        <v>3</v>
      </c>
      <c r="AE1605" s="11" t="n">
        <v>1.011296296296296</v>
      </c>
      <c r="AF1605" s="16">
        <f>SUMPRODUCT(N1605:Y1605,$N$5:$Y$5)*$K1605*$L1605*$M1605</f>
        <v/>
      </c>
      <c r="AG1605" s="16">
        <f>SUMPRODUCT(N1605:Y1605,$N$6:$Y$6)*$K1605*$L1605*$M1605</f>
        <v/>
      </c>
      <c r="AH1605" s="20" t="n"/>
    </row>
    <row r="1606">
      <c r="A1606" s="9" t="n">
        <v>686628</v>
      </c>
      <c r="B1606" s="9" t="inlineStr">
        <is>
          <t>Blake Burkhalter</t>
        </is>
      </c>
      <c r="C1606" s="9" t="inlineStr">
        <is>
          <t>ATL</t>
        </is>
      </c>
      <c r="D1606" s="9" t="n">
        <v>26</v>
      </c>
      <c r="E1606" s="18" t="inlineStr">
        <is>
          <t>R</t>
        </is>
      </c>
      <c r="F1606" s="18" t="n"/>
      <c r="G1606" s="9" t="n">
        <v>5</v>
      </c>
      <c r="H1606" s="9" t="n">
        <v>5</v>
      </c>
      <c r="I1606" s="9" t="inlineStr">
        <is>
          <t>Depth (no MLB IP)</t>
        </is>
      </c>
      <c r="J1606" s="18" t="inlineStr">
        <is>
          <t>Opening Day</t>
        </is>
      </c>
      <c r="K1606" s="11">
        <f>IFERROR(INDEX(Roles!$B$17:$B$20,MATCH(J1606,Roles!$A$17:$A$20,0)),1)</f>
        <v/>
      </c>
      <c r="L1606" s="19" t="n">
        <v>1</v>
      </c>
      <c r="M1606" s="11" t="n">
        <v>1</v>
      </c>
      <c r="N1606" s="19" t="n"/>
      <c r="O1606" s="19" t="n"/>
      <c r="P1606" s="19" t="n"/>
      <c r="Q1606" s="19" t="n"/>
      <c r="R1606" s="19" t="n"/>
      <c r="S1606" s="19" t="n"/>
      <c r="T1606" s="19" t="n"/>
      <c r="U1606" s="19" t="n"/>
      <c r="V1606" s="19" t="n"/>
      <c r="W1606" s="19" t="n"/>
      <c r="X1606" s="19" t="n"/>
      <c r="Y1606" s="19" t="n">
        <v>1</v>
      </c>
      <c r="Z1606" s="13">
        <f>SUMPRODUCT(N1606:Y1606,$N$2:$Y$2)*$K1606*$L1606*$M1606</f>
        <v/>
      </c>
      <c r="AA1606" s="14">
        <f>SUM(N1606:Y1606)</f>
        <v/>
      </c>
      <c r="AB1606" s="13">
        <f>SUMPRODUCT(N1606:Y1606,$N$3:$Y$3)*$K1606*$L1606*$M1606</f>
        <v/>
      </c>
      <c r="AC1606" s="13">
        <f>SUMPRODUCT(N1606:Y1606,$N$4:$Y$4)*$K1606*$L1606*$M1606</f>
        <v/>
      </c>
      <c r="AD1606" s="15" t="n">
        <v>1.8</v>
      </c>
      <c r="AE1606" s="11" t="n">
        <v>1.007530864197531</v>
      </c>
      <c r="AF1606" s="16">
        <f>SUMPRODUCT(N1606:Y1606,$N$5:$Y$5)*$K1606*$L1606*$M1606</f>
        <v/>
      </c>
      <c r="AG1606" s="16">
        <f>SUMPRODUCT(N1606:Y1606,$N$6:$Y$6)*$K1606*$L1606*$M1606</f>
        <v/>
      </c>
      <c r="AH1606" s="20" t="n"/>
    </row>
    <row r="1607">
      <c r="A1607" s="9" t="n">
        <v>642575</v>
      </c>
      <c r="B1607" s="9" t="inlineStr">
        <is>
          <t>Gerson Moreno</t>
        </is>
      </c>
      <c r="C1607" s="9" t="inlineStr">
        <is>
          <t>STL</t>
        </is>
      </c>
      <c r="D1607" s="9" t="n">
        <v>25</v>
      </c>
      <c r="E1607" s="18" t="inlineStr">
        <is>
          <t>R</t>
        </is>
      </c>
      <c r="F1607" s="18" t="n"/>
      <c r="G1607" s="9" t="n">
        <v>14.19</v>
      </c>
      <c r="H1607" s="9" t="n">
        <v>14.19</v>
      </c>
      <c r="I1607" s="9" t="inlineStr">
        <is>
          <t>Depth (no MLB IP)</t>
        </is>
      </c>
      <c r="J1607" s="18" t="inlineStr">
        <is>
          <t>Opening Day</t>
        </is>
      </c>
      <c r="K1607" s="11">
        <f>IFERROR(INDEX(Roles!$B$17:$B$20,MATCH(J1607,Roles!$A$17:$A$20,0)),1)</f>
        <v/>
      </c>
      <c r="L1607" s="19" t="n">
        <v>1</v>
      </c>
      <c r="M1607" s="11" t="n">
        <v>1</v>
      </c>
      <c r="N1607" s="19" t="n"/>
      <c r="O1607" s="19" t="n"/>
      <c r="P1607" s="19" t="n"/>
      <c r="Q1607" s="19" t="n"/>
      <c r="R1607" s="19" t="n"/>
      <c r="S1607" s="19" t="n"/>
      <c r="T1607" s="19" t="n"/>
      <c r="U1607" s="19" t="n"/>
      <c r="V1607" s="19" t="n"/>
      <c r="W1607" s="19" t="n"/>
      <c r="X1607" s="19" t="n"/>
      <c r="Y1607" s="19" t="n">
        <v>1</v>
      </c>
      <c r="Z1607" s="13">
        <f>SUMPRODUCT(N1607:Y1607,$N$2:$Y$2)*$K1607*$L1607*$M1607</f>
        <v/>
      </c>
      <c r="AA1607" s="14">
        <f>SUM(N1607:Y1607)</f>
        <v/>
      </c>
      <c r="AB1607" s="13">
        <f>SUMPRODUCT(N1607:Y1607,$N$3:$Y$3)*$K1607*$L1607*$M1607</f>
        <v/>
      </c>
      <c r="AC1607" s="13">
        <f>SUMPRODUCT(N1607:Y1607,$N$4:$Y$4)*$K1607*$L1607*$M1607</f>
        <v/>
      </c>
      <c r="AD1607" s="15" t="n">
        <v>3</v>
      </c>
      <c r="AE1607" s="11" t="n">
        <v>1.011296296296296</v>
      </c>
      <c r="AF1607" s="16">
        <f>SUMPRODUCT(N1607:Y1607,$N$5:$Y$5)*$K1607*$L1607*$M1607</f>
        <v/>
      </c>
      <c r="AG1607" s="16">
        <f>SUMPRODUCT(N1607:Y1607,$N$6:$Y$6)*$K1607*$L1607*$M1607</f>
        <v/>
      </c>
      <c r="AH1607" s="20" t="n"/>
    </row>
    <row r="1608">
      <c r="A1608" s="9" t="n">
        <v>694933</v>
      </c>
      <c r="B1608" s="9" t="inlineStr">
        <is>
          <t>Ross Dunn</t>
        </is>
      </c>
      <c r="C1608" s="9" t="inlineStr">
        <is>
          <t>MIN</t>
        </is>
      </c>
      <c r="D1608" s="9" t="n">
        <v>25</v>
      </c>
      <c r="E1608" s="18" t="inlineStr">
        <is>
          <t>L</t>
        </is>
      </c>
      <c r="F1608" s="18" t="n"/>
      <c r="G1608" s="9" t="n">
        <v>14.33333333333334</v>
      </c>
      <c r="H1608" s="9" t="n">
        <v>14.33333333333334</v>
      </c>
      <c r="I1608" s="9" t="inlineStr">
        <is>
          <t>Depth (no MLB IP)</t>
        </is>
      </c>
      <c r="J1608" s="18" t="inlineStr">
        <is>
          <t>Opening Day</t>
        </is>
      </c>
      <c r="K1608" s="11">
        <f>IFERROR(INDEX(Roles!$B$17:$B$20,MATCH(J1608,Roles!$A$17:$A$20,0)),1)</f>
        <v/>
      </c>
      <c r="L1608" s="19" t="n">
        <v>1</v>
      </c>
      <c r="M1608" s="11" t="n">
        <v>1</v>
      </c>
      <c r="N1608" s="19" t="n"/>
      <c r="O1608" s="19" t="n"/>
      <c r="P1608" s="19" t="n"/>
      <c r="Q1608" s="19" t="n"/>
      <c r="R1608" s="19" t="n"/>
      <c r="S1608" s="19" t="n"/>
      <c r="T1608" s="19" t="n"/>
      <c r="U1608" s="19" t="n"/>
      <c r="V1608" s="19" t="n"/>
      <c r="W1608" s="19" t="n"/>
      <c r="X1608" s="19" t="n"/>
      <c r="Y1608" s="19" t="n">
        <v>1</v>
      </c>
      <c r="Z1608" s="13">
        <f>SUMPRODUCT(N1608:Y1608,$N$2:$Y$2)*$K1608*$L1608*$M1608</f>
        <v/>
      </c>
      <c r="AA1608" s="14">
        <f>SUM(N1608:Y1608)</f>
        <v/>
      </c>
      <c r="AB1608" s="13">
        <f>SUMPRODUCT(N1608:Y1608,$N$3:$Y$3)*$K1608*$L1608*$M1608</f>
        <v/>
      </c>
      <c r="AC1608" s="13">
        <f>SUMPRODUCT(N1608:Y1608,$N$4:$Y$4)*$K1608*$L1608*$M1608</f>
        <v/>
      </c>
      <c r="AD1608" s="15" t="n">
        <v>3</v>
      </c>
      <c r="AE1608" s="11" t="n">
        <v>1.011296296296296</v>
      </c>
      <c r="AF1608" s="16">
        <f>SUMPRODUCT(N1608:Y1608,$N$5:$Y$5)*$K1608*$L1608*$M1608</f>
        <v/>
      </c>
      <c r="AG1608" s="16">
        <f>SUMPRODUCT(N1608:Y1608,$N$6:$Y$6)*$K1608*$L1608*$M1608</f>
        <v/>
      </c>
      <c r="AH1608" s="20" t="n"/>
    </row>
    <row r="1609">
      <c r="A1609" s="9" t="n">
        <v>805724</v>
      </c>
      <c r="B1609" s="9" t="inlineStr">
        <is>
          <t>Jared Beck</t>
        </is>
      </c>
      <c r="C1609" s="9" t="inlineStr">
        <is>
          <t>WSH</t>
        </is>
      </c>
      <c r="D1609" s="9" t="n">
        <v>25</v>
      </c>
      <c r="E1609" s="18" t="inlineStr">
        <is>
          <t>L</t>
        </is>
      </c>
      <c r="F1609" s="18" t="n"/>
      <c r="G1609" s="9" t="n">
        <v>14.276</v>
      </c>
      <c r="H1609" s="9" t="n">
        <v>14.276</v>
      </c>
      <c r="I1609" s="9" t="inlineStr">
        <is>
          <t>Depth (no MLB IP)</t>
        </is>
      </c>
      <c r="J1609" s="18" t="inlineStr">
        <is>
          <t>Opening Day</t>
        </is>
      </c>
      <c r="K1609" s="11">
        <f>IFERROR(INDEX(Roles!$B$17:$B$20,MATCH(J1609,Roles!$A$17:$A$20,0)),1)</f>
        <v/>
      </c>
      <c r="L1609" s="19" t="n">
        <v>1</v>
      </c>
      <c r="M1609" s="11" t="n">
        <v>1</v>
      </c>
      <c r="N1609" s="19" t="n"/>
      <c r="O1609" s="19" t="n"/>
      <c r="P1609" s="19" t="n"/>
      <c r="Q1609" s="19" t="n"/>
      <c r="R1609" s="19" t="n"/>
      <c r="S1609" s="19" t="n"/>
      <c r="T1609" s="19" t="n"/>
      <c r="U1609" s="19" t="n"/>
      <c r="V1609" s="19" t="n"/>
      <c r="W1609" s="19" t="n"/>
      <c r="X1609" s="19" t="n"/>
      <c r="Y1609" s="19" t="n">
        <v>1</v>
      </c>
      <c r="Z1609" s="13">
        <f>SUMPRODUCT(N1609:Y1609,$N$2:$Y$2)*$K1609*$L1609*$M1609</f>
        <v/>
      </c>
      <c r="AA1609" s="14">
        <f>SUM(N1609:Y1609)</f>
        <v/>
      </c>
      <c r="AB1609" s="13">
        <f>SUMPRODUCT(N1609:Y1609,$N$3:$Y$3)*$K1609*$L1609*$M1609</f>
        <v/>
      </c>
      <c r="AC1609" s="13">
        <f>SUMPRODUCT(N1609:Y1609,$N$4:$Y$4)*$K1609*$L1609*$M1609</f>
        <v/>
      </c>
      <c r="AD1609" s="15" t="n">
        <v>3</v>
      </c>
      <c r="AE1609" s="11" t="n">
        <v>1.011296296296296</v>
      </c>
      <c r="AF1609" s="16">
        <f>SUMPRODUCT(N1609:Y1609,$N$5:$Y$5)*$K1609*$L1609*$M1609</f>
        <v/>
      </c>
      <c r="AG1609" s="16">
        <f>SUMPRODUCT(N1609:Y1609,$N$6:$Y$6)*$K1609*$L1609*$M1609</f>
        <v/>
      </c>
      <c r="AH1609" s="20" t="n"/>
    </row>
    <row r="1610">
      <c r="A1610" s="9" t="n">
        <v>814227</v>
      </c>
      <c r="B1610" s="9" t="inlineStr">
        <is>
          <t>Jordan Valenzuela</t>
        </is>
      </c>
      <c r="C1610" s="9" t="inlineStr">
        <is>
          <t>SD</t>
        </is>
      </c>
      <c r="D1610" s="9" t="n">
        <v>25</v>
      </c>
      <c r="E1610" s="18" t="inlineStr">
        <is>
          <t>R</t>
        </is>
      </c>
      <c r="F1610" s="18" t="n"/>
      <c r="G1610" s="9" t="n">
        <v>14.276</v>
      </c>
      <c r="H1610" s="9" t="n">
        <v>14.276</v>
      </c>
      <c r="I1610" s="9" t="inlineStr">
        <is>
          <t>Depth (no MLB IP)</t>
        </is>
      </c>
      <c r="J1610" s="18" t="inlineStr">
        <is>
          <t>Opening Day</t>
        </is>
      </c>
      <c r="K1610" s="11">
        <f>IFERROR(INDEX(Roles!$B$17:$B$20,MATCH(J1610,Roles!$A$17:$A$20,0)),1)</f>
        <v/>
      </c>
      <c r="L1610" s="19" t="n">
        <v>1</v>
      </c>
      <c r="M1610" s="11" t="n">
        <v>1</v>
      </c>
      <c r="N1610" s="19" t="n"/>
      <c r="O1610" s="19" t="n"/>
      <c r="P1610" s="19" t="n"/>
      <c r="Q1610" s="19" t="n"/>
      <c r="R1610" s="19" t="n"/>
      <c r="S1610" s="19" t="n"/>
      <c r="T1610" s="19" t="n"/>
      <c r="U1610" s="19" t="n"/>
      <c r="V1610" s="19" t="n"/>
      <c r="W1610" s="19" t="n"/>
      <c r="X1610" s="19" t="n"/>
      <c r="Y1610" s="19" t="n">
        <v>1</v>
      </c>
      <c r="Z1610" s="13">
        <f>SUMPRODUCT(N1610:Y1610,$N$2:$Y$2)*$K1610*$L1610*$M1610</f>
        <v/>
      </c>
      <c r="AA1610" s="14">
        <f>SUM(N1610:Y1610)</f>
        <v/>
      </c>
      <c r="AB1610" s="13">
        <f>SUMPRODUCT(N1610:Y1610,$N$3:$Y$3)*$K1610*$L1610*$M1610</f>
        <v/>
      </c>
      <c r="AC1610" s="13">
        <f>SUMPRODUCT(N1610:Y1610,$N$4:$Y$4)*$K1610*$L1610*$M1610</f>
        <v/>
      </c>
      <c r="AD1610" s="15" t="n">
        <v>3</v>
      </c>
      <c r="AE1610" s="11" t="n">
        <v>1.011296296296296</v>
      </c>
      <c r="AF1610" s="16">
        <f>SUMPRODUCT(N1610:Y1610,$N$5:$Y$5)*$K1610*$L1610*$M1610</f>
        <v/>
      </c>
      <c r="AG1610" s="16">
        <f>SUMPRODUCT(N1610:Y1610,$N$6:$Y$6)*$K1610*$L1610*$M1610</f>
        <v/>
      </c>
      <c r="AH1610" s="20" t="n"/>
    </row>
    <row r="1611">
      <c r="A1611" s="9" t="n">
        <v>800484</v>
      </c>
      <c r="B1611" s="9" t="inlineStr">
        <is>
          <t>Eminen Flores</t>
        </is>
      </c>
      <c r="C1611" s="9" t="inlineStr">
        <is>
          <t>TOR</t>
        </is>
      </c>
      <c r="D1611" s="9" t="n">
        <v>25</v>
      </c>
      <c r="E1611" s="18" t="inlineStr">
        <is>
          <t>R</t>
        </is>
      </c>
      <c r="F1611" s="18" t="n"/>
      <c r="G1611" s="9" t="n">
        <v>14.33333333333334</v>
      </c>
      <c r="H1611" s="9" t="n">
        <v>14.33333333333334</v>
      </c>
      <c r="I1611" s="9" t="inlineStr">
        <is>
          <t>Depth (no MLB IP)</t>
        </is>
      </c>
      <c r="J1611" s="18" t="inlineStr">
        <is>
          <t>Opening Day</t>
        </is>
      </c>
      <c r="K1611" s="11">
        <f>IFERROR(INDEX(Roles!$B$17:$B$20,MATCH(J1611,Roles!$A$17:$A$20,0)),1)</f>
        <v/>
      </c>
      <c r="L1611" s="19" t="n">
        <v>1</v>
      </c>
      <c r="M1611" s="11" t="n">
        <v>1</v>
      </c>
      <c r="N1611" s="19" t="n"/>
      <c r="O1611" s="19" t="n"/>
      <c r="P1611" s="19" t="n"/>
      <c r="Q1611" s="19" t="n"/>
      <c r="R1611" s="19" t="n"/>
      <c r="S1611" s="19" t="n"/>
      <c r="T1611" s="19" t="n"/>
      <c r="U1611" s="19" t="n"/>
      <c r="V1611" s="19" t="n"/>
      <c r="W1611" s="19" t="n"/>
      <c r="X1611" s="19" t="n"/>
      <c r="Y1611" s="19" t="n">
        <v>1</v>
      </c>
      <c r="Z1611" s="13">
        <f>SUMPRODUCT(N1611:Y1611,$N$2:$Y$2)*$K1611*$L1611*$M1611</f>
        <v/>
      </c>
      <c r="AA1611" s="14">
        <f>SUM(N1611:Y1611)</f>
        <v/>
      </c>
      <c r="AB1611" s="13">
        <f>SUMPRODUCT(N1611:Y1611,$N$3:$Y$3)*$K1611*$L1611*$M1611</f>
        <v/>
      </c>
      <c r="AC1611" s="13">
        <f>SUMPRODUCT(N1611:Y1611,$N$4:$Y$4)*$K1611*$L1611*$M1611</f>
        <v/>
      </c>
      <c r="AD1611" s="15" t="n">
        <v>3</v>
      </c>
      <c r="AE1611" s="11" t="n">
        <v>1.011296296296296</v>
      </c>
      <c r="AF1611" s="16">
        <f>SUMPRODUCT(N1611:Y1611,$N$5:$Y$5)*$K1611*$L1611*$M1611</f>
        <v/>
      </c>
      <c r="AG1611" s="16">
        <f>SUMPRODUCT(N1611:Y1611,$N$6:$Y$6)*$K1611*$L1611*$M1611</f>
        <v/>
      </c>
      <c r="AH1611" s="20" t="n"/>
    </row>
    <row r="1612">
      <c r="A1612" s="9" t="n">
        <v>820976</v>
      </c>
      <c r="B1612" s="9" t="inlineStr">
        <is>
          <t>Gabriel Chinchilla</t>
        </is>
      </c>
      <c r="C1612" s="9" t="inlineStr">
        <is>
          <t>STL</t>
        </is>
      </c>
      <c r="D1612" s="9" t="n">
        <v>25</v>
      </c>
      <c r="E1612" s="18" t="inlineStr">
        <is>
          <t>R</t>
        </is>
      </c>
      <c r="F1612" s="18" t="n"/>
      <c r="G1612" s="9" t="n">
        <v>14.104</v>
      </c>
      <c r="H1612" s="9" t="n">
        <v>14.104</v>
      </c>
      <c r="I1612" s="9" t="inlineStr">
        <is>
          <t>Depth (no MLB IP)</t>
        </is>
      </c>
      <c r="J1612" s="18" t="inlineStr">
        <is>
          <t>Opening Day</t>
        </is>
      </c>
      <c r="K1612" s="11">
        <f>IFERROR(INDEX(Roles!$B$17:$B$20,MATCH(J1612,Roles!$A$17:$A$20,0)),1)</f>
        <v/>
      </c>
      <c r="L1612" s="19" t="n">
        <v>1</v>
      </c>
      <c r="M1612" s="11" t="n">
        <v>1</v>
      </c>
      <c r="N1612" s="19" t="n"/>
      <c r="O1612" s="19" t="n"/>
      <c r="P1612" s="19" t="n"/>
      <c r="Q1612" s="19" t="n"/>
      <c r="R1612" s="19" t="n"/>
      <c r="S1612" s="19" t="n"/>
      <c r="T1612" s="19" t="n"/>
      <c r="U1612" s="19" t="n"/>
      <c r="V1612" s="19" t="n"/>
      <c r="W1612" s="19" t="n"/>
      <c r="X1612" s="19" t="n"/>
      <c r="Y1612" s="19" t="n">
        <v>1</v>
      </c>
      <c r="Z1612" s="13">
        <f>SUMPRODUCT(N1612:Y1612,$N$2:$Y$2)*$K1612*$L1612*$M1612</f>
        <v/>
      </c>
      <c r="AA1612" s="14">
        <f>SUM(N1612:Y1612)</f>
        <v/>
      </c>
      <c r="AB1612" s="13">
        <f>SUMPRODUCT(N1612:Y1612,$N$3:$Y$3)*$K1612*$L1612*$M1612</f>
        <v/>
      </c>
      <c r="AC1612" s="13">
        <f>SUMPRODUCT(N1612:Y1612,$N$4:$Y$4)*$K1612*$L1612*$M1612</f>
        <v/>
      </c>
      <c r="AD1612" s="15" t="n">
        <v>3</v>
      </c>
      <c r="AE1612" s="11" t="n">
        <v>1.011296296296296</v>
      </c>
      <c r="AF1612" s="16">
        <f>SUMPRODUCT(N1612:Y1612,$N$5:$Y$5)*$K1612*$L1612*$M1612</f>
        <v/>
      </c>
      <c r="AG1612" s="16">
        <f>SUMPRODUCT(N1612:Y1612,$N$6:$Y$6)*$K1612*$L1612*$M1612</f>
        <v/>
      </c>
      <c r="AH1612" s="20" t="n"/>
    </row>
    <row r="1613">
      <c r="A1613" s="9" t="n">
        <v>702965</v>
      </c>
      <c r="B1613" s="9" t="inlineStr">
        <is>
          <t>Hiro Wyatt</t>
        </is>
      </c>
      <c r="C1613" s="9" t="inlineStr">
        <is>
          <t>KC</t>
        </is>
      </c>
      <c r="D1613" s="9" t="n">
        <v>25</v>
      </c>
      <c r="E1613" s="18" t="inlineStr">
        <is>
          <t>R</t>
        </is>
      </c>
      <c r="F1613" s="18" t="n"/>
      <c r="G1613" s="9" t="n">
        <v>14.448</v>
      </c>
      <c r="H1613" s="9" t="n">
        <v>14.448</v>
      </c>
      <c r="I1613" s="9" t="inlineStr">
        <is>
          <t>Depth (no MLB IP)</t>
        </is>
      </c>
      <c r="J1613" s="18" t="inlineStr">
        <is>
          <t>Opening Day</t>
        </is>
      </c>
      <c r="K1613" s="11">
        <f>IFERROR(INDEX(Roles!$B$17:$B$20,MATCH(J1613,Roles!$A$17:$A$20,0)),1)</f>
        <v/>
      </c>
      <c r="L1613" s="19" t="n">
        <v>1</v>
      </c>
      <c r="M1613" s="11" t="n">
        <v>1</v>
      </c>
      <c r="N1613" s="19" t="n"/>
      <c r="O1613" s="19" t="n"/>
      <c r="P1613" s="19" t="n"/>
      <c r="Q1613" s="19" t="n"/>
      <c r="R1613" s="19" t="n"/>
      <c r="S1613" s="19" t="n"/>
      <c r="T1613" s="19" t="n"/>
      <c r="U1613" s="19" t="n"/>
      <c r="V1613" s="19" t="n"/>
      <c r="W1613" s="19" t="n"/>
      <c r="X1613" s="19" t="n"/>
      <c r="Y1613" s="19" t="n">
        <v>1</v>
      </c>
      <c r="Z1613" s="13">
        <f>SUMPRODUCT(N1613:Y1613,$N$2:$Y$2)*$K1613*$L1613*$M1613</f>
        <v/>
      </c>
      <c r="AA1613" s="14">
        <f>SUM(N1613:Y1613)</f>
        <v/>
      </c>
      <c r="AB1613" s="13">
        <f>SUMPRODUCT(N1613:Y1613,$N$3:$Y$3)*$K1613*$L1613*$M1613</f>
        <v/>
      </c>
      <c r="AC1613" s="13">
        <f>SUMPRODUCT(N1613:Y1613,$N$4:$Y$4)*$K1613*$L1613*$M1613</f>
        <v/>
      </c>
      <c r="AD1613" s="15" t="n">
        <v>3</v>
      </c>
      <c r="AE1613" s="11" t="n">
        <v>1.011296296296296</v>
      </c>
      <c r="AF1613" s="16">
        <f>SUMPRODUCT(N1613:Y1613,$N$5:$Y$5)*$K1613*$L1613*$M1613</f>
        <v/>
      </c>
      <c r="AG1613" s="16">
        <f>SUMPRODUCT(N1613:Y1613,$N$6:$Y$6)*$K1613*$L1613*$M1613</f>
        <v/>
      </c>
      <c r="AH1613" s="20" t="n"/>
    </row>
    <row r="1614">
      <c r="A1614" s="9" t="n">
        <v>815501</v>
      </c>
      <c r="B1614" s="9" t="inlineStr">
        <is>
          <t>Bryce Meccage</t>
        </is>
      </c>
      <c r="C1614" s="9" t="inlineStr">
        <is>
          <t>MIL</t>
        </is>
      </c>
      <c r="D1614" s="9" t="n">
        <v>25</v>
      </c>
      <c r="E1614" s="18" t="inlineStr">
        <is>
          <t>R</t>
        </is>
      </c>
      <c r="F1614" s="18" t="n"/>
      <c r="G1614" s="9" t="n">
        <v>14.33333333333334</v>
      </c>
      <c r="H1614" s="9" t="n">
        <v>14.33333333333334</v>
      </c>
      <c r="I1614" s="9" t="inlineStr">
        <is>
          <t>Depth (no MLB IP)</t>
        </is>
      </c>
      <c r="J1614" s="18" t="inlineStr">
        <is>
          <t>Opening Day</t>
        </is>
      </c>
      <c r="K1614" s="11">
        <f>IFERROR(INDEX(Roles!$B$17:$B$20,MATCH(J1614,Roles!$A$17:$A$20,0)),1)</f>
        <v/>
      </c>
      <c r="L1614" s="19" t="n">
        <v>1</v>
      </c>
      <c r="M1614" s="11" t="n">
        <v>1</v>
      </c>
      <c r="N1614" s="19" t="n"/>
      <c r="O1614" s="19" t="n"/>
      <c r="P1614" s="19" t="n"/>
      <c r="Q1614" s="19" t="n"/>
      <c r="R1614" s="19" t="n"/>
      <c r="S1614" s="19" t="n"/>
      <c r="T1614" s="19" t="n"/>
      <c r="U1614" s="19" t="n"/>
      <c r="V1614" s="19" t="n"/>
      <c r="W1614" s="19" t="n"/>
      <c r="X1614" s="19" t="n"/>
      <c r="Y1614" s="19" t="n">
        <v>1</v>
      </c>
      <c r="Z1614" s="13">
        <f>SUMPRODUCT(N1614:Y1614,$N$2:$Y$2)*$K1614*$L1614*$M1614</f>
        <v/>
      </c>
      <c r="AA1614" s="14">
        <f>SUM(N1614:Y1614)</f>
        <v/>
      </c>
      <c r="AB1614" s="13">
        <f>SUMPRODUCT(N1614:Y1614,$N$3:$Y$3)*$K1614*$L1614*$M1614</f>
        <v/>
      </c>
      <c r="AC1614" s="13">
        <f>SUMPRODUCT(N1614:Y1614,$N$4:$Y$4)*$K1614*$L1614*$M1614</f>
        <v/>
      </c>
      <c r="AD1614" s="15" t="n">
        <v>3</v>
      </c>
      <c r="AE1614" s="11" t="n">
        <v>1.011296296296296</v>
      </c>
      <c r="AF1614" s="16">
        <f>SUMPRODUCT(N1614:Y1614,$N$5:$Y$5)*$K1614*$L1614*$M1614</f>
        <v/>
      </c>
      <c r="AG1614" s="16">
        <f>SUMPRODUCT(N1614:Y1614,$N$6:$Y$6)*$K1614*$L1614*$M1614</f>
        <v/>
      </c>
      <c r="AH1614" s="20" t="n"/>
    </row>
    <row r="1615">
      <c r="A1615" s="9" t="n">
        <v>696155</v>
      </c>
      <c r="B1615" s="9" t="inlineStr">
        <is>
          <t>Sean Sullivan</t>
        </is>
      </c>
      <c r="C1615" s="9" t="inlineStr">
        <is>
          <t>PIT</t>
        </is>
      </c>
      <c r="D1615" s="9" t="n">
        <v>25</v>
      </c>
      <c r="E1615" s="18" t="inlineStr">
        <is>
          <t>R</t>
        </is>
      </c>
      <c r="F1615" s="18" t="n"/>
      <c r="G1615" s="9" t="n">
        <v>14.54833333333333</v>
      </c>
      <c r="H1615" s="9" t="n">
        <v>14.54833333333333</v>
      </c>
      <c r="I1615" s="9" t="inlineStr">
        <is>
          <t>Depth (no MLB IP)</t>
        </is>
      </c>
      <c r="J1615" s="18" t="inlineStr">
        <is>
          <t>Opening Day</t>
        </is>
      </c>
      <c r="K1615" s="11">
        <f>IFERROR(INDEX(Roles!$B$17:$B$20,MATCH(J1615,Roles!$A$17:$A$20,0)),1)</f>
        <v/>
      </c>
      <c r="L1615" s="19" t="n">
        <v>1</v>
      </c>
      <c r="M1615" s="11" t="n">
        <v>1</v>
      </c>
      <c r="N1615" s="19" t="n"/>
      <c r="O1615" s="19" t="n"/>
      <c r="P1615" s="19" t="n"/>
      <c r="Q1615" s="19" t="n"/>
      <c r="R1615" s="19" t="n"/>
      <c r="S1615" s="19" t="n"/>
      <c r="T1615" s="19" t="n"/>
      <c r="U1615" s="19" t="n"/>
      <c r="V1615" s="19" t="n"/>
      <c r="W1615" s="19" t="n"/>
      <c r="X1615" s="19" t="n"/>
      <c r="Y1615" s="19" t="n">
        <v>1</v>
      </c>
      <c r="Z1615" s="13">
        <f>SUMPRODUCT(N1615:Y1615,$N$2:$Y$2)*$K1615*$L1615*$M1615</f>
        <v/>
      </c>
      <c r="AA1615" s="14">
        <f>SUM(N1615:Y1615)</f>
        <v/>
      </c>
      <c r="AB1615" s="13">
        <f>SUMPRODUCT(N1615:Y1615,$N$3:$Y$3)*$K1615*$L1615*$M1615</f>
        <v/>
      </c>
      <c r="AC1615" s="13">
        <f>SUMPRODUCT(N1615:Y1615,$N$4:$Y$4)*$K1615*$L1615*$M1615</f>
        <v/>
      </c>
      <c r="AD1615" s="15" t="n">
        <v>3</v>
      </c>
      <c r="AE1615" s="11" t="n">
        <v>1.011296296296296</v>
      </c>
      <c r="AF1615" s="16">
        <f>SUMPRODUCT(N1615:Y1615,$N$5:$Y$5)*$K1615*$L1615*$M1615</f>
        <v/>
      </c>
      <c r="AG1615" s="16">
        <f>SUMPRODUCT(N1615:Y1615,$N$6:$Y$6)*$K1615*$L1615*$M1615</f>
        <v/>
      </c>
      <c r="AH1615" s="20" t="n"/>
    </row>
    <row r="1616">
      <c r="A1616" s="9" t="n">
        <v>804522</v>
      </c>
      <c r="B1616" s="9" t="inlineStr">
        <is>
          <t>Wilmy Sanchez</t>
        </is>
      </c>
      <c r="C1616" s="9" t="inlineStr">
        <is>
          <t>NYY</t>
        </is>
      </c>
      <c r="D1616" s="9" t="n">
        <v>25</v>
      </c>
      <c r="E1616" s="18" t="inlineStr">
        <is>
          <t>R</t>
        </is>
      </c>
      <c r="F1616" s="18" t="n"/>
      <c r="G1616" s="9" t="n">
        <v>14.54833333333333</v>
      </c>
      <c r="H1616" s="9" t="n">
        <v>14.54833333333333</v>
      </c>
      <c r="I1616" s="9" t="inlineStr">
        <is>
          <t>Depth (no MLB IP)</t>
        </is>
      </c>
      <c r="J1616" s="18" t="inlineStr">
        <is>
          <t>Opening Day</t>
        </is>
      </c>
      <c r="K1616" s="11">
        <f>IFERROR(INDEX(Roles!$B$17:$B$20,MATCH(J1616,Roles!$A$17:$A$20,0)),1)</f>
        <v/>
      </c>
      <c r="L1616" s="19" t="n">
        <v>1</v>
      </c>
      <c r="M1616" s="11" t="n">
        <v>1</v>
      </c>
      <c r="N1616" s="19" t="n"/>
      <c r="O1616" s="19" t="n"/>
      <c r="P1616" s="19" t="n"/>
      <c r="Q1616" s="19" t="n"/>
      <c r="R1616" s="19" t="n"/>
      <c r="S1616" s="19" t="n"/>
      <c r="T1616" s="19" t="n"/>
      <c r="U1616" s="19" t="n"/>
      <c r="V1616" s="19" t="n"/>
      <c r="W1616" s="19" t="n"/>
      <c r="X1616" s="19" t="n"/>
      <c r="Y1616" s="19" t="n">
        <v>1</v>
      </c>
      <c r="Z1616" s="13">
        <f>SUMPRODUCT(N1616:Y1616,$N$2:$Y$2)*$K1616*$L1616*$M1616</f>
        <v/>
      </c>
      <c r="AA1616" s="14">
        <f>SUM(N1616:Y1616)</f>
        <v/>
      </c>
      <c r="AB1616" s="13">
        <f>SUMPRODUCT(N1616:Y1616,$N$3:$Y$3)*$K1616*$L1616*$M1616</f>
        <v/>
      </c>
      <c r="AC1616" s="13">
        <f>SUMPRODUCT(N1616:Y1616,$N$4:$Y$4)*$K1616*$L1616*$M1616</f>
        <v/>
      </c>
      <c r="AD1616" s="15" t="n">
        <v>3</v>
      </c>
      <c r="AE1616" s="11" t="n">
        <v>1.011296296296296</v>
      </c>
      <c r="AF1616" s="16">
        <f>SUMPRODUCT(N1616:Y1616,$N$5:$Y$5)*$K1616*$L1616*$M1616</f>
        <v/>
      </c>
      <c r="AG1616" s="16">
        <f>SUMPRODUCT(N1616:Y1616,$N$6:$Y$6)*$K1616*$L1616*$M1616</f>
        <v/>
      </c>
      <c r="AH1616" s="20" t="n"/>
    </row>
    <row r="1617">
      <c r="A1617" s="9" t="n">
        <v>695049</v>
      </c>
      <c r="B1617" s="9" t="inlineStr">
        <is>
          <t>Brett Kerry</t>
        </is>
      </c>
      <c r="C1617" s="9" t="inlineStr">
        <is>
          <t>LAA</t>
        </is>
      </c>
      <c r="D1617" s="9" t="n">
        <v>28</v>
      </c>
      <c r="E1617" s="18" t="inlineStr">
        <is>
          <t>R</t>
        </is>
      </c>
      <c r="F1617" s="18" t="n"/>
      <c r="G1617" s="9" t="n">
        <v>54</v>
      </c>
      <c r="H1617" s="9" t="n">
        <v>54</v>
      </c>
      <c r="I1617" s="9" t="inlineStr">
        <is>
          <t>End-of-Rotation Starter (SP4-5)</t>
        </is>
      </c>
      <c r="J1617" s="18" t="inlineStr">
        <is>
          <t>Opening Day</t>
        </is>
      </c>
      <c r="K1617" s="11">
        <f>IFERROR(INDEX(Roles!$B$17:$B$20,MATCH(J1617,Roles!$A$17:$A$20,0)),1)</f>
        <v/>
      </c>
      <c r="L1617" s="19" t="n">
        <v>1</v>
      </c>
      <c r="M1617" s="11" t="n">
        <v>1</v>
      </c>
      <c r="N1617" s="19" t="n"/>
      <c r="O1617" s="19" t="n"/>
      <c r="P1617" s="19" t="n">
        <v>1</v>
      </c>
      <c r="Q1617" s="19" t="n"/>
      <c r="R1617" s="19" t="n"/>
      <c r="S1617" s="19" t="n"/>
      <c r="T1617" s="19" t="n"/>
      <c r="U1617" s="19" t="n"/>
      <c r="V1617" s="19" t="n"/>
      <c r="W1617" s="19" t="n"/>
      <c r="X1617" s="19" t="n"/>
      <c r="Y1617" s="19" t="n"/>
      <c r="Z1617" s="13">
        <f>SUMPRODUCT(N1617:Y1617,$N$2:$Y$2)*$K1617*$L1617*$M1617</f>
        <v/>
      </c>
      <c r="AA1617" s="14">
        <f>SUM(N1617:Y1617)</f>
        <v/>
      </c>
      <c r="AB1617" s="13">
        <f>SUMPRODUCT(N1617:Y1617,$N$3:$Y$3)*$K1617*$L1617*$M1617</f>
        <v/>
      </c>
      <c r="AC1617" s="13">
        <f>SUMPRODUCT(N1617:Y1617,$N$4:$Y$4)*$K1617*$L1617*$M1617</f>
        <v/>
      </c>
      <c r="AD1617" s="15" t="n">
        <v>8.199999999999999</v>
      </c>
      <c r="AE1617" s="11" t="n">
        <v>4.555555555555555</v>
      </c>
      <c r="AF1617" s="16">
        <f>SUMPRODUCT(N1617:Y1617,$N$5:$Y$5)*$K1617*$L1617*$M1617</f>
        <v/>
      </c>
      <c r="AG1617" s="16">
        <f>SUMPRODUCT(N1617:Y1617,$N$6:$Y$6)*$K1617*$L1617*$M1617</f>
        <v/>
      </c>
      <c r="AH1617" s="20" t="n"/>
    </row>
    <row r="1618">
      <c r="A1618" s="9" t="n">
        <v>694496</v>
      </c>
      <c r="B1618" s="9" t="inlineStr">
        <is>
          <t>John Stankiewicz</t>
        </is>
      </c>
      <c r="C1618" s="9" t="inlineStr">
        <is>
          <t>DET</t>
        </is>
      </c>
      <c r="D1618" s="9" t="n">
        <v>25</v>
      </c>
      <c r="E1618" s="18" t="inlineStr">
        <is>
          <t>R</t>
        </is>
      </c>
      <c r="F1618" s="18" t="n"/>
      <c r="G1618" s="9" t="n">
        <v>14.54833333333333</v>
      </c>
      <c r="H1618" s="9" t="n">
        <v>14.54833333333333</v>
      </c>
      <c r="I1618" s="9" t="inlineStr">
        <is>
          <t>Depth (no MLB IP)</t>
        </is>
      </c>
      <c r="J1618" s="18" t="inlineStr">
        <is>
          <t>Opening Day</t>
        </is>
      </c>
      <c r="K1618" s="11">
        <f>IFERROR(INDEX(Roles!$B$17:$B$20,MATCH(J1618,Roles!$A$17:$A$20,0)),1)</f>
        <v/>
      </c>
      <c r="L1618" s="19" t="n">
        <v>1</v>
      </c>
      <c r="M1618" s="11" t="n">
        <v>1</v>
      </c>
      <c r="N1618" s="19" t="n"/>
      <c r="O1618" s="19" t="n"/>
      <c r="P1618" s="19" t="n"/>
      <c r="Q1618" s="19" t="n"/>
      <c r="R1618" s="19" t="n"/>
      <c r="S1618" s="19" t="n"/>
      <c r="T1618" s="19" t="n"/>
      <c r="U1618" s="19" t="n"/>
      <c r="V1618" s="19" t="n"/>
      <c r="W1618" s="19" t="n"/>
      <c r="X1618" s="19" t="n"/>
      <c r="Y1618" s="19" t="n">
        <v>1</v>
      </c>
      <c r="Z1618" s="13">
        <f>SUMPRODUCT(N1618:Y1618,$N$2:$Y$2)*$K1618*$L1618*$M1618</f>
        <v/>
      </c>
      <c r="AA1618" s="14">
        <f>SUM(N1618:Y1618)</f>
        <v/>
      </c>
      <c r="AB1618" s="13">
        <f>SUMPRODUCT(N1618:Y1618,$N$3:$Y$3)*$K1618*$L1618*$M1618</f>
        <v/>
      </c>
      <c r="AC1618" s="13">
        <f>SUMPRODUCT(N1618:Y1618,$N$4:$Y$4)*$K1618*$L1618*$M1618</f>
        <v/>
      </c>
      <c r="AD1618" s="15" t="n">
        <v>3</v>
      </c>
      <c r="AE1618" s="11" t="n">
        <v>1.011296296296296</v>
      </c>
      <c r="AF1618" s="16">
        <f>SUMPRODUCT(N1618:Y1618,$N$5:$Y$5)*$K1618*$L1618*$M1618</f>
        <v/>
      </c>
      <c r="AG1618" s="16">
        <f>SUMPRODUCT(N1618:Y1618,$N$6:$Y$6)*$K1618*$L1618*$M1618</f>
        <v/>
      </c>
      <c r="AH1618" s="20" t="n"/>
    </row>
    <row r="1619">
      <c r="A1619" s="9" t="n">
        <v>687006</v>
      </c>
      <c r="B1619" s="9" t="inlineStr">
        <is>
          <t>Will Armbruester</t>
        </is>
      </c>
      <c r="C1619" s="9" t="inlineStr">
        <is>
          <t>SEA</t>
        </is>
      </c>
      <c r="D1619" s="9" t="n">
        <v>25</v>
      </c>
      <c r="E1619" s="18" t="inlineStr">
        <is>
          <t>R</t>
        </is>
      </c>
      <c r="F1619" s="18" t="n"/>
      <c r="G1619" s="9" t="n">
        <v>14.54833333333333</v>
      </c>
      <c r="H1619" s="9" t="n">
        <v>14.54833333333333</v>
      </c>
      <c r="I1619" s="9" t="inlineStr">
        <is>
          <t>Depth (no MLB IP)</t>
        </is>
      </c>
      <c r="J1619" s="18" t="inlineStr">
        <is>
          <t>Opening Day</t>
        </is>
      </c>
      <c r="K1619" s="11">
        <f>IFERROR(INDEX(Roles!$B$17:$B$20,MATCH(J1619,Roles!$A$17:$A$20,0)),1)</f>
        <v/>
      </c>
      <c r="L1619" s="19" t="n">
        <v>1</v>
      </c>
      <c r="M1619" s="11" t="n">
        <v>1</v>
      </c>
      <c r="N1619" s="19" t="n"/>
      <c r="O1619" s="19" t="n"/>
      <c r="P1619" s="19" t="n"/>
      <c r="Q1619" s="19" t="n"/>
      <c r="R1619" s="19" t="n"/>
      <c r="S1619" s="19" t="n"/>
      <c r="T1619" s="19" t="n"/>
      <c r="U1619" s="19" t="n"/>
      <c r="V1619" s="19" t="n"/>
      <c r="W1619" s="19" t="n"/>
      <c r="X1619" s="19" t="n"/>
      <c r="Y1619" s="19" t="n">
        <v>1</v>
      </c>
      <c r="Z1619" s="13">
        <f>SUMPRODUCT(N1619:Y1619,$N$2:$Y$2)*$K1619*$L1619*$M1619</f>
        <v/>
      </c>
      <c r="AA1619" s="14">
        <f>SUM(N1619:Y1619)</f>
        <v/>
      </c>
      <c r="AB1619" s="13">
        <f>SUMPRODUCT(N1619:Y1619,$N$3:$Y$3)*$K1619*$L1619*$M1619</f>
        <v/>
      </c>
      <c r="AC1619" s="13">
        <f>SUMPRODUCT(N1619:Y1619,$N$4:$Y$4)*$K1619*$L1619*$M1619</f>
        <v/>
      </c>
      <c r="AD1619" s="15" t="n">
        <v>3</v>
      </c>
      <c r="AE1619" s="11" t="n">
        <v>1.011296296296296</v>
      </c>
      <c r="AF1619" s="16">
        <f>SUMPRODUCT(N1619:Y1619,$N$5:$Y$5)*$K1619*$L1619*$M1619</f>
        <v/>
      </c>
      <c r="AG1619" s="16">
        <f>SUMPRODUCT(N1619:Y1619,$N$6:$Y$6)*$K1619*$L1619*$M1619</f>
        <v/>
      </c>
      <c r="AH1619" s="20" t="n"/>
    </row>
    <row r="1620">
      <c r="A1620" s="9" t="n">
        <v>682944</v>
      </c>
      <c r="B1620" s="9" t="inlineStr">
        <is>
          <t>Tyrone Yulie</t>
        </is>
      </c>
      <c r="C1620" s="9" t="inlineStr">
        <is>
          <t>PIT</t>
        </is>
      </c>
      <c r="D1620" s="9" t="n">
        <v>25</v>
      </c>
      <c r="E1620" s="18" t="inlineStr">
        <is>
          <t>R</t>
        </is>
      </c>
      <c r="F1620" s="18" t="n"/>
      <c r="G1620" s="9" t="n">
        <v>14.54833333333333</v>
      </c>
      <c r="H1620" s="9" t="n">
        <v>14.54833333333333</v>
      </c>
      <c r="I1620" s="9" t="inlineStr">
        <is>
          <t>Depth (no MLB IP)</t>
        </is>
      </c>
      <c r="J1620" s="18" t="inlineStr">
        <is>
          <t>Opening Day</t>
        </is>
      </c>
      <c r="K1620" s="11">
        <f>IFERROR(INDEX(Roles!$B$17:$B$20,MATCH(J1620,Roles!$A$17:$A$20,0)),1)</f>
        <v/>
      </c>
      <c r="L1620" s="19" t="n">
        <v>1</v>
      </c>
      <c r="M1620" s="11" t="n">
        <v>1</v>
      </c>
      <c r="N1620" s="19" t="n"/>
      <c r="O1620" s="19" t="n"/>
      <c r="P1620" s="19" t="n"/>
      <c r="Q1620" s="19" t="n"/>
      <c r="R1620" s="19" t="n"/>
      <c r="S1620" s="19" t="n"/>
      <c r="T1620" s="19" t="n"/>
      <c r="U1620" s="19" t="n"/>
      <c r="V1620" s="19" t="n"/>
      <c r="W1620" s="19" t="n"/>
      <c r="X1620" s="19" t="n"/>
      <c r="Y1620" s="19" t="n">
        <v>1</v>
      </c>
      <c r="Z1620" s="13">
        <f>SUMPRODUCT(N1620:Y1620,$N$2:$Y$2)*$K1620*$L1620*$M1620</f>
        <v/>
      </c>
      <c r="AA1620" s="14">
        <f>SUM(N1620:Y1620)</f>
        <v/>
      </c>
      <c r="AB1620" s="13">
        <f>SUMPRODUCT(N1620:Y1620,$N$3:$Y$3)*$K1620*$L1620*$M1620</f>
        <v/>
      </c>
      <c r="AC1620" s="13">
        <f>SUMPRODUCT(N1620:Y1620,$N$4:$Y$4)*$K1620*$L1620*$M1620</f>
        <v/>
      </c>
      <c r="AD1620" s="15" t="n">
        <v>3</v>
      </c>
      <c r="AE1620" s="11" t="n">
        <v>1.011296296296296</v>
      </c>
      <c r="AF1620" s="16">
        <f>SUMPRODUCT(N1620:Y1620,$N$5:$Y$5)*$K1620*$L1620*$M1620</f>
        <v/>
      </c>
      <c r="AG1620" s="16">
        <f>SUMPRODUCT(N1620:Y1620,$N$6:$Y$6)*$K1620*$L1620*$M1620</f>
        <v/>
      </c>
      <c r="AH1620" s="20" t="n"/>
    </row>
    <row r="1621">
      <c r="A1621" s="9" t="n">
        <v>684169</v>
      </c>
      <c r="B1621" s="9" t="inlineStr">
        <is>
          <t>Joel Ibarra</t>
        </is>
      </c>
      <c r="C1621" s="9" t="inlineStr">
        <is>
          <t>LAD</t>
        </is>
      </c>
      <c r="D1621" s="9" t="n">
        <v>25</v>
      </c>
      <c r="E1621" s="18" t="inlineStr">
        <is>
          <t>R</t>
        </is>
      </c>
      <c r="F1621" s="18" t="n"/>
      <c r="G1621" s="9" t="n">
        <v>14.54833333333333</v>
      </c>
      <c r="H1621" s="9" t="n">
        <v>14.54833333333333</v>
      </c>
      <c r="I1621" s="9" t="inlineStr">
        <is>
          <t>Depth (no MLB IP)</t>
        </is>
      </c>
      <c r="J1621" s="18" t="inlineStr">
        <is>
          <t>Opening Day</t>
        </is>
      </c>
      <c r="K1621" s="11">
        <f>IFERROR(INDEX(Roles!$B$17:$B$20,MATCH(J1621,Roles!$A$17:$A$20,0)),1)</f>
        <v/>
      </c>
      <c r="L1621" s="19" t="n">
        <v>1</v>
      </c>
      <c r="M1621" s="11" t="n">
        <v>1</v>
      </c>
      <c r="N1621" s="19" t="n"/>
      <c r="O1621" s="19" t="n"/>
      <c r="P1621" s="19" t="n"/>
      <c r="Q1621" s="19" t="n"/>
      <c r="R1621" s="19" t="n"/>
      <c r="S1621" s="19" t="n"/>
      <c r="T1621" s="19" t="n"/>
      <c r="U1621" s="19" t="n"/>
      <c r="V1621" s="19" t="n"/>
      <c r="W1621" s="19" t="n"/>
      <c r="X1621" s="19" t="n"/>
      <c r="Y1621" s="19" t="n">
        <v>1</v>
      </c>
      <c r="Z1621" s="13">
        <f>SUMPRODUCT(N1621:Y1621,$N$2:$Y$2)*$K1621*$L1621*$M1621</f>
        <v/>
      </c>
      <c r="AA1621" s="14">
        <f>SUM(N1621:Y1621)</f>
        <v/>
      </c>
      <c r="AB1621" s="13">
        <f>SUMPRODUCT(N1621:Y1621,$N$3:$Y$3)*$K1621*$L1621*$M1621</f>
        <v/>
      </c>
      <c r="AC1621" s="13">
        <f>SUMPRODUCT(N1621:Y1621,$N$4:$Y$4)*$K1621*$L1621*$M1621</f>
        <v/>
      </c>
      <c r="AD1621" s="15" t="n">
        <v>3</v>
      </c>
      <c r="AE1621" s="11" t="n">
        <v>1.011296296296296</v>
      </c>
      <c r="AF1621" s="16">
        <f>SUMPRODUCT(N1621:Y1621,$N$5:$Y$5)*$K1621*$L1621*$M1621</f>
        <v/>
      </c>
      <c r="AG1621" s="16">
        <f>SUMPRODUCT(N1621:Y1621,$N$6:$Y$6)*$K1621*$L1621*$M1621</f>
        <v/>
      </c>
      <c r="AH1621" s="20" t="n"/>
    </row>
    <row r="1622">
      <c r="A1622" s="9" t="n">
        <v>843821</v>
      </c>
      <c r="B1622" s="9" t="inlineStr">
        <is>
          <t>Maddox Long</t>
        </is>
      </c>
      <c r="C1622" s="9" t="inlineStr">
        <is>
          <t>DET</t>
        </is>
      </c>
      <c r="D1622" s="9" t="n">
        <v>25</v>
      </c>
      <c r="E1622" s="18" t="inlineStr">
        <is>
          <t>R</t>
        </is>
      </c>
      <c r="F1622" s="18" t="n"/>
      <c r="G1622" s="9" t="n">
        <v>14.62</v>
      </c>
      <c r="H1622" s="9" t="n">
        <v>14.62</v>
      </c>
      <c r="I1622" s="9" t="inlineStr">
        <is>
          <t>Depth (no MLB IP)</t>
        </is>
      </c>
      <c r="J1622" s="18" t="inlineStr">
        <is>
          <t>Opening Day</t>
        </is>
      </c>
      <c r="K1622" s="11">
        <f>IFERROR(INDEX(Roles!$B$17:$B$20,MATCH(J1622,Roles!$A$17:$A$20,0)),1)</f>
        <v/>
      </c>
      <c r="L1622" s="19" t="n">
        <v>1</v>
      </c>
      <c r="M1622" s="11" t="n">
        <v>1</v>
      </c>
      <c r="N1622" s="19" t="n"/>
      <c r="O1622" s="19" t="n"/>
      <c r="P1622" s="19" t="n"/>
      <c r="Q1622" s="19" t="n"/>
      <c r="R1622" s="19" t="n"/>
      <c r="S1622" s="19" t="n"/>
      <c r="T1622" s="19" t="n"/>
      <c r="U1622" s="19" t="n"/>
      <c r="V1622" s="19" t="n"/>
      <c r="W1622" s="19" t="n"/>
      <c r="X1622" s="19" t="n"/>
      <c r="Y1622" s="19" t="n">
        <v>1</v>
      </c>
      <c r="Z1622" s="13">
        <f>SUMPRODUCT(N1622:Y1622,$N$2:$Y$2)*$K1622*$L1622*$M1622</f>
        <v/>
      </c>
      <c r="AA1622" s="14">
        <f>SUM(N1622:Y1622)</f>
        <v/>
      </c>
      <c r="AB1622" s="13">
        <f>SUMPRODUCT(N1622:Y1622,$N$3:$Y$3)*$K1622*$L1622*$M1622</f>
        <v/>
      </c>
      <c r="AC1622" s="13">
        <f>SUMPRODUCT(N1622:Y1622,$N$4:$Y$4)*$K1622*$L1622*$M1622</f>
        <v/>
      </c>
      <c r="AD1622" s="15" t="n">
        <v>3</v>
      </c>
      <c r="AE1622" s="11" t="n">
        <v>1.011296296296296</v>
      </c>
      <c r="AF1622" s="16">
        <f>SUMPRODUCT(N1622:Y1622,$N$5:$Y$5)*$K1622*$L1622*$M1622</f>
        <v/>
      </c>
      <c r="AG1622" s="16">
        <f>SUMPRODUCT(N1622:Y1622,$N$6:$Y$6)*$K1622*$L1622*$M1622</f>
        <v/>
      </c>
      <c r="AH1622" s="20" t="n"/>
    </row>
    <row r="1623">
      <c r="A1623" s="9" t="n">
        <v>815043</v>
      </c>
      <c r="B1623" s="9" t="inlineStr">
        <is>
          <t>Simon Miller</t>
        </is>
      </c>
      <c r="C1623" s="9" t="inlineStr">
        <is>
          <t>CIN</t>
        </is>
      </c>
      <c r="D1623" s="9" t="n">
        <v>25</v>
      </c>
      <c r="E1623" s="18" t="inlineStr">
        <is>
          <t>R</t>
        </is>
      </c>
      <c r="F1623" s="18" t="n"/>
      <c r="G1623" s="9" t="n">
        <v>14.54833333333333</v>
      </c>
      <c r="H1623" s="9" t="n">
        <v>14.54833333333333</v>
      </c>
      <c r="I1623" s="9" t="inlineStr">
        <is>
          <t>Depth (no MLB IP)</t>
        </is>
      </c>
      <c r="J1623" s="18" t="inlineStr">
        <is>
          <t>Opening Day</t>
        </is>
      </c>
      <c r="K1623" s="11">
        <f>IFERROR(INDEX(Roles!$B$17:$B$20,MATCH(J1623,Roles!$A$17:$A$20,0)),1)</f>
        <v/>
      </c>
      <c r="L1623" s="19" t="n">
        <v>1</v>
      </c>
      <c r="M1623" s="11" t="n">
        <v>1</v>
      </c>
      <c r="N1623" s="19" t="n"/>
      <c r="O1623" s="19" t="n"/>
      <c r="P1623" s="19" t="n"/>
      <c r="Q1623" s="19" t="n"/>
      <c r="R1623" s="19" t="n"/>
      <c r="S1623" s="19" t="n"/>
      <c r="T1623" s="19" t="n"/>
      <c r="U1623" s="19" t="n"/>
      <c r="V1623" s="19" t="n"/>
      <c r="W1623" s="19" t="n"/>
      <c r="X1623" s="19" t="n"/>
      <c r="Y1623" s="19" t="n">
        <v>1</v>
      </c>
      <c r="Z1623" s="13">
        <f>SUMPRODUCT(N1623:Y1623,$N$2:$Y$2)*$K1623*$L1623*$M1623</f>
        <v/>
      </c>
      <c r="AA1623" s="14">
        <f>SUM(N1623:Y1623)</f>
        <v/>
      </c>
      <c r="AB1623" s="13">
        <f>SUMPRODUCT(N1623:Y1623,$N$3:$Y$3)*$K1623*$L1623*$M1623</f>
        <v/>
      </c>
      <c r="AC1623" s="13">
        <f>SUMPRODUCT(N1623:Y1623,$N$4:$Y$4)*$K1623*$L1623*$M1623</f>
        <v/>
      </c>
      <c r="AD1623" s="15" t="n">
        <v>3</v>
      </c>
      <c r="AE1623" s="11" t="n">
        <v>1.011296296296296</v>
      </c>
      <c r="AF1623" s="16">
        <f>SUMPRODUCT(N1623:Y1623,$N$5:$Y$5)*$K1623*$L1623*$M1623</f>
        <v/>
      </c>
      <c r="AG1623" s="16">
        <f>SUMPRODUCT(N1623:Y1623,$N$6:$Y$6)*$K1623*$L1623*$M1623</f>
        <v/>
      </c>
      <c r="AH1623" s="20" t="n"/>
    </row>
    <row r="1624">
      <c r="A1624" s="9" t="n">
        <v>703633</v>
      </c>
      <c r="B1624" s="9" t="inlineStr">
        <is>
          <t>Alex Walsh</t>
        </is>
      </c>
      <c r="C1624" s="9" t="inlineStr">
        <is>
          <t>LAD</t>
        </is>
      </c>
      <c r="D1624" s="9" t="n">
        <v>25</v>
      </c>
      <c r="E1624" s="18" t="inlineStr">
        <is>
          <t>L</t>
        </is>
      </c>
      <c r="F1624" s="18" t="n"/>
      <c r="G1624" s="9" t="n">
        <v>14.54833333333333</v>
      </c>
      <c r="H1624" s="9" t="n">
        <v>14.54833333333333</v>
      </c>
      <c r="I1624" s="9" t="inlineStr">
        <is>
          <t>Depth (no MLB IP)</t>
        </is>
      </c>
      <c r="J1624" s="18" t="inlineStr">
        <is>
          <t>Opening Day</t>
        </is>
      </c>
      <c r="K1624" s="11">
        <f>IFERROR(INDEX(Roles!$B$17:$B$20,MATCH(J1624,Roles!$A$17:$A$20,0)),1)</f>
        <v/>
      </c>
      <c r="L1624" s="19" t="n">
        <v>1</v>
      </c>
      <c r="M1624" s="11" t="n">
        <v>1</v>
      </c>
      <c r="N1624" s="19" t="n"/>
      <c r="O1624" s="19" t="n"/>
      <c r="P1624" s="19" t="n"/>
      <c r="Q1624" s="19" t="n"/>
      <c r="R1624" s="19" t="n"/>
      <c r="S1624" s="19" t="n"/>
      <c r="T1624" s="19" t="n"/>
      <c r="U1624" s="19" t="n"/>
      <c r="V1624" s="19" t="n"/>
      <c r="W1624" s="19" t="n"/>
      <c r="X1624" s="19" t="n"/>
      <c r="Y1624" s="19" t="n">
        <v>1</v>
      </c>
      <c r="Z1624" s="13">
        <f>SUMPRODUCT(N1624:Y1624,$N$2:$Y$2)*$K1624*$L1624*$M1624</f>
        <v/>
      </c>
      <c r="AA1624" s="14">
        <f>SUM(N1624:Y1624)</f>
        <v/>
      </c>
      <c r="AB1624" s="13">
        <f>SUMPRODUCT(N1624:Y1624,$N$3:$Y$3)*$K1624*$L1624*$M1624</f>
        <v/>
      </c>
      <c r="AC1624" s="13">
        <f>SUMPRODUCT(N1624:Y1624,$N$4:$Y$4)*$K1624*$L1624*$M1624</f>
        <v/>
      </c>
      <c r="AD1624" s="15" t="n">
        <v>3</v>
      </c>
      <c r="AE1624" s="11" t="n">
        <v>1.011296296296296</v>
      </c>
      <c r="AF1624" s="16">
        <f>SUMPRODUCT(N1624:Y1624,$N$5:$Y$5)*$K1624*$L1624*$M1624</f>
        <v/>
      </c>
      <c r="AG1624" s="16">
        <f>SUMPRODUCT(N1624:Y1624,$N$6:$Y$6)*$K1624*$L1624*$M1624</f>
        <v/>
      </c>
      <c r="AH1624" s="20" t="n"/>
    </row>
    <row r="1625">
      <c r="A1625" s="9" t="n">
        <v>668470</v>
      </c>
      <c r="B1625" s="9" t="inlineStr">
        <is>
          <t>Hagen Danner</t>
        </is>
      </c>
      <c r="C1625" s="9" t="inlineStr">
        <is>
          <t>TOR</t>
        </is>
      </c>
      <c r="D1625" s="9" t="n">
        <v>28</v>
      </c>
      <c r="E1625" s="18" t="inlineStr">
        <is>
          <t>R</t>
        </is>
      </c>
      <c r="F1625" s="18" t="n"/>
      <c r="G1625" s="9" t="n">
        <v>1</v>
      </c>
      <c r="H1625" s="9" t="n">
        <v>1</v>
      </c>
      <c r="I1625" s="9" t="inlineStr">
        <is>
          <t>Depth (no MLB IP)</t>
        </is>
      </c>
      <c r="J1625" s="18" t="inlineStr">
        <is>
          <t>Opening Day</t>
        </is>
      </c>
      <c r="K1625" s="11">
        <f>IFERROR(INDEX(Roles!$B$17:$B$20,MATCH(J1625,Roles!$A$17:$A$20,0)),1)</f>
        <v/>
      </c>
      <c r="L1625" s="19" t="n">
        <v>1</v>
      </c>
      <c r="M1625" s="11" t="n">
        <v>1</v>
      </c>
      <c r="N1625" s="19" t="n"/>
      <c r="O1625" s="19" t="n"/>
      <c r="P1625" s="19" t="n"/>
      <c r="Q1625" s="19" t="n"/>
      <c r="R1625" s="19" t="n"/>
      <c r="S1625" s="19" t="n"/>
      <c r="T1625" s="19" t="n"/>
      <c r="U1625" s="19" t="n"/>
      <c r="V1625" s="19" t="n"/>
      <c r="W1625" s="19" t="n"/>
      <c r="X1625" s="19" t="n"/>
      <c r="Y1625" s="19" t="n">
        <v>1</v>
      </c>
      <c r="Z1625" s="13">
        <f>SUMPRODUCT(N1625:Y1625,$N$2:$Y$2)*$K1625*$L1625*$M1625</f>
        <v/>
      </c>
      <c r="AA1625" s="14">
        <f>SUM(N1625:Y1625)</f>
        <v/>
      </c>
      <c r="AB1625" s="13">
        <f>SUMPRODUCT(N1625:Y1625,$N$3:$Y$3)*$K1625*$L1625*$M1625</f>
        <v/>
      </c>
      <c r="AC1625" s="13">
        <f>SUMPRODUCT(N1625:Y1625,$N$4:$Y$4)*$K1625*$L1625*$M1625</f>
        <v/>
      </c>
      <c r="AD1625" s="15" t="n">
        <v>3</v>
      </c>
      <c r="AE1625" s="11" t="n">
        <v>1.011296296296296</v>
      </c>
      <c r="AF1625" s="16">
        <f>SUMPRODUCT(N1625:Y1625,$N$5:$Y$5)*$K1625*$L1625*$M1625</f>
        <v/>
      </c>
      <c r="AG1625" s="16">
        <f>SUMPRODUCT(N1625:Y1625,$N$6:$Y$6)*$K1625*$L1625*$M1625</f>
        <v/>
      </c>
      <c r="AH1625" s="20" t="n"/>
    </row>
    <row r="1626">
      <c r="A1626" s="9" t="n">
        <v>680864</v>
      </c>
      <c r="B1626" s="9" t="inlineStr">
        <is>
          <t>Bryce Collins</t>
        </is>
      </c>
      <c r="C1626" s="9" t="inlineStr">
        <is>
          <t>HOU</t>
        </is>
      </c>
      <c r="D1626" s="9" t="n">
        <v>25</v>
      </c>
      <c r="E1626" s="18" t="inlineStr">
        <is>
          <t>R</t>
        </is>
      </c>
      <c r="F1626" s="18" t="n"/>
      <c r="G1626" s="9" t="n">
        <v>14.62</v>
      </c>
      <c r="H1626" s="9" t="n">
        <v>14.62</v>
      </c>
      <c r="I1626" s="9" t="inlineStr">
        <is>
          <t>Depth (no MLB IP)</t>
        </is>
      </c>
      <c r="J1626" s="18" t="inlineStr">
        <is>
          <t>Opening Day</t>
        </is>
      </c>
      <c r="K1626" s="11">
        <f>IFERROR(INDEX(Roles!$B$17:$B$20,MATCH(J1626,Roles!$A$17:$A$20,0)),1)</f>
        <v/>
      </c>
      <c r="L1626" s="19" t="n">
        <v>1</v>
      </c>
      <c r="M1626" s="11" t="n">
        <v>1</v>
      </c>
      <c r="N1626" s="19" t="n"/>
      <c r="O1626" s="19" t="n"/>
      <c r="P1626" s="19" t="n"/>
      <c r="Q1626" s="19" t="n"/>
      <c r="R1626" s="19" t="n"/>
      <c r="S1626" s="19" t="n"/>
      <c r="T1626" s="19" t="n"/>
      <c r="U1626" s="19" t="n"/>
      <c r="V1626" s="19" t="n"/>
      <c r="W1626" s="19" t="n"/>
      <c r="X1626" s="19" t="n"/>
      <c r="Y1626" s="19" t="n">
        <v>1</v>
      </c>
      <c r="Z1626" s="13">
        <f>SUMPRODUCT(N1626:Y1626,$N$2:$Y$2)*$K1626*$L1626*$M1626</f>
        <v/>
      </c>
      <c r="AA1626" s="14">
        <f>SUM(N1626:Y1626)</f>
        <v/>
      </c>
      <c r="AB1626" s="13">
        <f>SUMPRODUCT(N1626:Y1626,$N$3:$Y$3)*$K1626*$L1626*$M1626</f>
        <v/>
      </c>
      <c r="AC1626" s="13">
        <f>SUMPRODUCT(N1626:Y1626,$N$4:$Y$4)*$K1626*$L1626*$M1626</f>
        <v/>
      </c>
      <c r="AD1626" s="15" t="n">
        <v>3</v>
      </c>
      <c r="AE1626" s="11" t="n">
        <v>1.011296296296296</v>
      </c>
      <c r="AF1626" s="16">
        <f>SUMPRODUCT(N1626:Y1626,$N$5:$Y$5)*$K1626*$L1626*$M1626</f>
        <v/>
      </c>
      <c r="AG1626" s="16">
        <f>SUMPRODUCT(N1626:Y1626,$N$6:$Y$6)*$K1626*$L1626*$M1626</f>
        <v/>
      </c>
      <c r="AH1626" s="20" t="n"/>
    </row>
    <row r="1627">
      <c r="A1627" s="9" t="n">
        <v>800061</v>
      </c>
      <c r="B1627" s="9" t="inlineStr">
        <is>
          <t>Caleb Franzen</t>
        </is>
      </c>
      <c r="C1627" s="9" t="inlineStr">
        <is>
          <t>SEA</t>
        </is>
      </c>
      <c r="D1627" s="9" t="n">
        <v>25</v>
      </c>
      <c r="E1627" s="18" t="inlineStr">
        <is>
          <t>L</t>
        </is>
      </c>
      <c r="F1627" s="18" t="n"/>
      <c r="G1627" s="9" t="n">
        <v>14.62</v>
      </c>
      <c r="H1627" s="9" t="n">
        <v>14.62</v>
      </c>
      <c r="I1627" s="9" t="inlineStr">
        <is>
          <t>Depth (no MLB IP)</t>
        </is>
      </c>
      <c r="J1627" s="18" t="inlineStr">
        <is>
          <t>Opening Day</t>
        </is>
      </c>
      <c r="K1627" s="11">
        <f>IFERROR(INDEX(Roles!$B$17:$B$20,MATCH(J1627,Roles!$A$17:$A$20,0)),1)</f>
        <v/>
      </c>
      <c r="L1627" s="19" t="n">
        <v>1</v>
      </c>
      <c r="M1627" s="11" t="n">
        <v>1</v>
      </c>
      <c r="N1627" s="19" t="n"/>
      <c r="O1627" s="19" t="n"/>
      <c r="P1627" s="19" t="n"/>
      <c r="Q1627" s="19" t="n"/>
      <c r="R1627" s="19" t="n"/>
      <c r="S1627" s="19" t="n"/>
      <c r="T1627" s="19" t="n"/>
      <c r="U1627" s="19" t="n"/>
      <c r="V1627" s="19" t="n"/>
      <c r="W1627" s="19" t="n"/>
      <c r="X1627" s="19" t="n"/>
      <c r="Y1627" s="19" t="n">
        <v>1</v>
      </c>
      <c r="Z1627" s="13">
        <f>SUMPRODUCT(N1627:Y1627,$N$2:$Y$2)*$K1627*$L1627*$M1627</f>
        <v/>
      </c>
      <c r="AA1627" s="14">
        <f>SUM(N1627:Y1627)</f>
        <v/>
      </c>
      <c r="AB1627" s="13">
        <f>SUMPRODUCT(N1627:Y1627,$N$3:$Y$3)*$K1627*$L1627*$M1627</f>
        <v/>
      </c>
      <c r="AC1627" s="13">
        <f>SUMPRODUCT(N1627:Y1627,$N$4:$Y$4)*$K1627*$L1627*$M1627</f>
        <v/>
      </c>
      <c r="AD1627" s="15" t="n">
        <v>3</v>
      </c>
      <c r="AE1627" s="11" t="n">
        <v>1.011296296296296</v>
      </c>
      <c r="AF1627" s="16">
        <f>SUMPRODUCT(N1627:Y1627,$N$5:$Y$5)*$K1627*$L1627*$M1627</f>
        <v/>
      </c>
      <c r="AG1627" s="16">
        <f>SUMPRODUCT(N1627:Y1627,$N$6:$Y$6)*$K1627*$L1627*$M1627</f>
        <v/>
      </c>
      <c r="AH1627" s="20" t="n"/>
    </row>
    <row r="1628">
      <c r="A1628" s="9" t="n">
        <v>821634</v>
      </c>
      <c r="B1628" s="9" t="inlineStr">
        <is>
          <t>Luis Maracara</t>
        </is>
      </c>
      <c r="C1628" s="9" t="inlineStr">
        <is>
          <t>SD</t>
        </is>
      </c>
      <c r="D1628" s="9" t="n">
        <v>25</v>
      </c>
      <c r="E1628" s="18" t="inlineStr">
        <is>
          <t>R</t>
        </is>
      </c>
      <c r="F1628" s="18" t="n"/>
      <c r="G1628" s="9" t="n">
        <v>14.792</v>
      </c>
      <c r="H1628" s="9" t="n">
        <v>14.792</v>
      </c>
      <c r="I1628" s="9" t="inlineStr">
        <is>
          <t>Depth (no MLB IP)</t>
        </is>
      </c>
      <c r="J1628" s="18" t="inlineStr">
        <is>
          <t>Opening Day</t>
        </is>
      </c>
      <c r="K1628" s="11">
        <f>IFERROR(INDEX(Roles!$B$17:$B$20,MATCH(J1628,Roles!$A$17:$A$20,0)),1)</f>
        <v/>
      </c>
      <c r="L1628" s="19" t="n">
        <v>1</v>
      </c>
      <c r="M1628" s="11" t="n">
        <v>1</v>
      </c>
      <c r="N1628" s="19" t="n"/>
      <c r="O1628" s="19" t="n"/>
      <c r="P1628" s="19" t="n"/>
      <c r="Q1628" s="19" t="n"/>
      <c r="R1628" s="19" t="n"/>
      <c r="S1628" s="19" t="n"/>
      <c r="T1628" s="19" t="n"/>
      <c r="U1628" s="19" t="n"/>
      <c r="V1628" s="19" t="n"/>
      <c r="W1628" s="19" t="n"/>
      <c r="X1628" s="19" t="n"/>
      <c r="Y1628" s="19" t="n">
        <v>1</v>
      </c>
      <c r="Z1628" s="13">
        <f>SUMPRODUCT(N1628:Y1628,$N$2:$Y$2)*$K1628*$L1628*$M1628</f>
        <v/>
      </c>
      <c r="AA1628" s="14">
        <f>SUM(N1628:Y1628)</f>
        <v/>
      </c>
      <c r="AB1628" s="13">
        <f>SUMPRODUCT(N1628:Y1628,$N$3:$Y$3)*$K1628*$L1628*$M1628</f>
        <v/>
      </c>
      <c r="AC1628" s="13">
        <f>SUMPRODUCT(N1628:Y1628,$N$4:$Y$4)*$K1628*$L1628*$M1628</f>
        <v/>
      </c>
      <c r="AD1628" s="15" t="n">
        <v>3</v>
      </c>
      <c r="AE1628" s="11" t="n">
        <v>1.011296296296296</v>
      </c>
      <c r="AF1628" s="16">
        <f>SUMPRODUCT(N1628:Y1628,$N$5:$Y$5)*$K1628*$L1628*$M1628</f>
        <v/>
      </c>
      <c r="AG1628" s="16">
        <f>SUMPRODUCT(N1628:Y1628,$N$6:$Y$6)*$K1628*$L1628*$M1628</f>
        <v/>
      </c>
      <c r="AH1628" s="20" t="n"/>
    </row>
    <row r="1629">
      <c r="A1629" s="9" t="n">
        <v>683314</v>
      </c>
      <c r="B1629" s="9" t="inlineStr">
        <is>
          <t>Matt Duffy</t>
        </is>
      </c>
      <c r="C1629" s="9" t="inlineStr">
        <is>
          <t>BOS</t>
        </is>
      </c>
      <c r="D1629" s="9" t="n">
        <v>25</v>
      </c>
      <c r="E1629" s="18" t="inlineStr">
        <is>
          <t>R</t>
        </is>
      </c>
      <c r="F1629" s="18" t="n"/>
      <c r="G1629" s="9" t="n">
        <v>14.62</v>
      </c>
      <c r="H1629" s="9" t="n">
        <v>14.62</v>
      </c>
      <c r="I1629" s="9" t="inlineStr">
        <is>
          <t>Depth (no MLB IP)</t>
        </is>
      </c>
      <c r="J1629" s="18" t="inlineStr">
        <is>
          <t>Opening Day</t>
        </is>
      </c>
      <c r="K1629" s="11">
        <f>IFERROR(INDEX(Roles!$B$17:$B$20,MATCH(J1629,Roles!$A$17:$A$20,0)),1)</f>
        <v/>
      </c>
      <c r="L1629" s="19" t="n">
        <v>1</v>
      </c>
      <c r="M1629" s="11" t="n">
        <v>1</v>
      </c>
      <c r="N1629" s="19" t="n"/>
      <c r="O1629" s="19" t="n"/>
      <c r="P1629" s="19" t="n"/>
      <c r="Q1629" s="19" t="n"/>
      <c r="R1629" s="19" t="n"/>
      <c r="S1629" s="19" t="n"/>
      <c r="T1629" s="19" t="n"/>
      <c r="U1629" s="19" t="n"/>
      <c r="V1629" s="19" t="n"/>
      <c r="W1629" s="19" t="n"/>
      <c r="X1629" s="19" t="n"/>
      <c r="Y1629" s="19" t="n">
        <v>1</v>
      </c>
      <c r="Z1629" s="13">
        <f>SUMPRODUCT(N1629:Y1629,$N$2:$Y$2)*$K1629*$L1629*$M1629</f>
        <v/>
      </c>
      <c r="AA1629" s="14">
        <f>SUM(N1629:Y1629)</f>
        <v/>
      </c>
      <c r="AB1629" s="13">
        <f>SUMPRODUCT(N1629:Y1629,$N$3:$Y$3)*$K1629*$L1629*$M1629</f>
        <v/>
      </c>
      <c r="AC1629" s="13">
        <f>SUMPRODUCT(N1629:Y1629,$N$4:$Y$4)*$K1629*$L1629*$M1629</f>
        <v/>
      </c>
      <c r="AD1629" s="15" t="n">
        <v>3</v>
      </c>
      <c r="AE1629" s="11" t="n">
        <v>1.011296296296296</v>
      </c>
      <c r="AF1629" s="16">
        <f>SUMPRODUCT(N1629:Y1629,$N$5:$Y$5)*$K1629*$L1629*$M1629</f>
        <v/>
      </c>
      <c r="AG1629" s="16">
        <f>SUMPRODUCT(N1629:Y1629,$N$6:$Y$6)*$K1629*$L1629*$M1629</f>
        <v/>
      </c>
      <c r="AH1629" s="20" t="n"/>
    </row>
    <row r="1630">
      <c r="A1630" s="9" t="n">
        <v>832318</v>
      </c>
      <c r="B1630" s="9" t="inlineStr">
        <is>
          <t>Leandro Rodriguez</t>
        </is>
      </c>
      <c r="C1630" s="9" t="inlineStr">
        <is>
          <t>SF</t>
        </is>
      </c>
      <c r="D1630" s="9" t="n">
        <v>25</v>
      </c>
      <c r="E1630" s="18" t="inlineStr">
        <is>
          <t>L</t>
        </is>
      </c>
      <c r="F1630" s="18" t="n"/>
      <c r="G1630" s="9" t="n">
        <v>14.964</v>
      </c>
      <c r="H1630" s="9" t="n">
        <v>14.964</v>
      </c>
      <c r="I1630" s="9" t="inlineStr">
        <is>
          <t>Depth (no MLB IP)</t>
        </is>
      </c>
      <c r="J1630" s="18" t="inlineStr">
        <is>
          <t>Opening Day</t>
        </is>
      </c>
      <c r="K1630" s="11">
        <f>IFERROR(INDEX(Roles!$B$17:$B$20,MATCH(J1630,Roles!$A$17:$A$20,0)),1)</f>
        <v/>
      </c>
      <c r="L1630" s="19" t="n">
        <v>1</v>
      </c>
      <c r="M1630" s="11" t="n">
        <v>1</v>
      </c>
      <c r="N1630" s="19" t="n"/>
      <c r="O1630" s="19" t="n"/>
      <c r="P1630" s="19" t="n"/>
      <c r="Q1630" s="19" t="n"/>
      <c r="R1630" s="19" t="n"/>
      <c r="S1630" s="19" t="n"/>
      <c r="T1630" s="19" t="n"/>
      <c r="U1630" s="19" t="n"/>
      <c r="V1630" s="19" t="n"/>
      <c r="W1630" s="19" t="n"/>
      <c r="X1630" s="19" t="n"/>
      <c r="Y1630" s="19" t="n">
        <v>1</v>
      </c>
      <c r="Z1630" s="13">
        <f>SUMPRODUCT(N1630:Y1630,$N$2:$Y$2)*$K1630*$L1630*$M1630</f>
        <v/>
      </c>
      <c r="AA1630" s="14">
        <f>SUM(N1630:Y1630)</f>
        <v/>
      </c>
      <c r="AB1630" s="13">
        <f>SUMPRODUCT(N1630:Y1630,$N$3:$Y$3)*$K1630*$L1630*$M1630</f>
        <v/>
      </c>
      <c r="AC1630" s="13">
        <f>SUMPRODUCT(N1630:Y1630,$N$4:$Y$4)*$K1630*$L1630*$M1630</f>
        <v/>
      </c>
      <c r="AD1630" s="15" t="n">
        <v>3</v>
      </c>
      <c r="AE1630" s="11" t="n">
        <v>1.011296296296296</v>
      </c>
      <c r="AF1630" s="16">
        <f>SUMPRODUCT(N1630:Y1630,$N$5:$Y$5)*$K1630*$L1630*$M1630</f>
        <v/>
      </c>
      <c r="AG1630" s="16">
        <f>SUMPRODUCT(N1630:Y1630,$N$6:$Y$6)*$K1630*$L1630*$M1630</f>
        <v/>
      </c>
      <c r="AH1630" s="20" t="n"/>
    </row>
    <row r="1631">
      <c r="A1631" s="9" t="n">
        <v>808891</v>
      </c>
      <c r="B1631" s="9" t="inlineStr">
        <is>
          <t>Luimy Munoz</t>
        </is>
      </c>
      <c r="C1631" s="9" t="inlineStr">
        <is>
          <t>TEX</t>
        </is>
      </c>
      <c r="D1631" s="9" t="n">
        <v>25</v>
      </c>
      <c r="E1631" s="18" t="inlineStr">
        <is>
          <t>R</t>
        </is>
      </c>
      <c r="F1631" s="18" t="n"/>
      <c r="G1631" s="9" t="n">
        <v>14.90666666666667</v>
      </c>
      <c r="H1631" s="9" t="n">
        <v>14.90666666666667</v>
      </c>
      <c r="I1631" s="9" t="inlineStr">
        <is>
          <t>Depth (no MLB IP)</t>
        </is>
      </c>
      <c r="J1631" s="18" t="inlineStr">
        <is>
          <t>Opening Day</t>
        </is>
      </c>
      <c r="K1631" s="11">
        <f>IFERROR(INDEX(Roles!$B$17:$B$20,MATCH(J1631,Roles!$A$17:$A$20,0)),1)</f>
        <v/>
      </c>
      <c r="L1631" s="19" t="n">
        <v>1</v>
      </c>
      <c r="M1631" s="11" t="n">
        <v>1</v>
      </c>
      <c r="N1631" s="19" t="n"/>
      <c r="O1631" s="19" t="n"/>
      <c r="P1631" s="19" t="n"/>
      <c r="Q1631" s="19" t="n"/>
      <c r="R1631" s="19" t="n"/>
      <c r="S1631" s="19" t="n"/>
      <c r="T1631" s="19" t="n"/>
      <c r="U1631" s="19" t="n"/>
      <c r="V1631" s="19" t="n"/>
      <c r="W1631" s="19" t="n"/>
      <c r="X1631" s="19" t="n"/>
      <c r="Y1631" s="19" t="n">
        <v>1</v>
      </c>
      <c r="Z1631" s="13">
        <f>SUMPRODUCT(N1631:Y1631,$N$2:$Y$2)*$K1631*$L1631*$M1631</f>
        <v/>
      </c>
      <c r="AA1631" s="14">
        <f>SUM(N1631:Y1631)</f>
        <v/>
      </c>
      <c r="AB1631" s="13">
        <f>SUMPRODUCT(N1631:Y1631,$N$3:$Y$3)*$K1631*$L1631*$M1631</f>
        <v/>
      </c>
      <c r="AC1631" s="13">
        <f>SUMPRODUCT(N1631:Y1631,$N$4:$Y$4)*$K1631*$L1631*$M1631</f>
        <v/>
      </c>
      <c r="AD1631" s="15" t="n">
        <v>3</v>
      </c>
      <c r="AE1631" s="11" t="n">
        <v>1.011296296296296</v>
      </c>
      <c r="AF1631" s="16">
        <f>SUMPRODUCT(N1631:Y1631,$N$5:$Y$5)*$K1631*$L1631*$M1631</f>
        <v/>
      </c>
      <c r="AG1631" s="16">
        <f>SUMPRODUCT(N1631:Y1631,$N$6:$Y$6)*$K1631*$L1631*$M1631</f>
        <v/>
      </c>
      <c r="AH1631" s="20" t="n"/>
    </row>
    <row r="1632">
      <c r="A1632" s="9" t="n">
        <v>806466</v>
      </c>
      <c r="B1632" s="9" t="inlineStr">
        <is>
          <t>Braulio Salas</t>
        </is>
      </c>
      <c r="C1632" s="9" t="inlineStr">
        <is>
          <t>MIA</t>
        </is>
      </c>
      <c r="D1632" s="9" t="n">
        <v>25</v>
      </c>
      <c r="E1632" s="18" t="inlineStr">
        <is>
          <t>R</t>
        </is>
      </c>
      <c r="F1632" s="18" t="n"/>
      <c r="G1632" s="9" t="n">
        <v>14.90666666666667</v>
      </c>
      <c r="H1632" s="9" t="n">
        <v>14.90666666666667</v>
      </c>
      <c r="I1632" s="9" t="inlineStr">
        <is>
          <t>Depth (no MLB IP)</t>
        </is>
      </c>
      <c r="J1632" s="18" t="inlineStr">
        <is>
          <t>Opening Day</t>
        </is>
      </c>
      <c r="K1632" s="11">
        <f>IFERROR(INDEX(Roles!$B$17:$B$20,MATCH(J1632,Roles!$A$17:$A$20,0)),1)</f>
        <v/>
      </c>
      <c r="L1632" s="19" t="n">
        <v>1</v>
      </c>
      <c r="M1632" s="11" t="n">
        <v>1</v>
      </c>
      <c r="N1632" s="19" t="n"/>
      <c r="O1632" s="19" t="n"/>
      <c r="P1632" s="19" t="n"/>
      <c r="Q1632" s="19" t="n"/>
      <c r="R1632" s="19" t="n"/>
      <c r="S1632" s="19" t="n"/>
      <c r="T1632" s="19" t="n"/>
      <c r="U1632" s="19" t="n"/>
      <c r="V1632" s="19" t="n"/>
      <c r="W1632" s="19" t="n"/>
      <c r="X1632" s="19" t="n"/>
      <c r="Y1632" s="19" t="n">
        <v>1</v>
      </c>
      <c r="Z1632" s="13">
        <f>SUMPRODUCT(N1632:Y1632,$N$2:$Y$2)*$K1632*$L1632*$M1632</f>
        <v/>
      </c>
      <c r="AA1632" s="14">
        <f>SUM(N1632:Y1632)</f>
        <v/>
      </c>
      <c r="AB1632" s="13">
        <f>SUMPRODUCT(N1632:Y1632,$N$3:$Y$3)*$K1632*$L1632*$M1632</f>
        <v/>
      </c>
      <c r="AC1632" s="13">
        <f>SUMPRODUCT(N1632:Y1632,$N$4:$Y$4)*$K1632*$L1632*$M1632</f>
        <v/>
      </c>
      <c r="AD1632" s="15" t="n">
        <v>3</v>
      </c>
      <c r="AE1632" s="11" t="n">
        <v>1.011296296296296</v>
      </c>
      <c r="AF1632" s="16">
        <f>SUMPRODUCT(N1632:Y1632,$N$5:$Y$5)*$K1632*$L1632*$M1632</f>
        <v/>
      </c>
      <c r="AG1632" s="16">
        <f>SUMPRODUCT(N1632:Y1632,$N$6:$Y$6)*$K1632*$L1632*$M1632</f>
        <v/>
      </c>
      <c r="AH1632" s="20" t="n"/>
    </row>
    <row r="1633">
      <c r="A1633" s="9" t="n">
        <v>803248</v>
      </c>
      <c r="B1633" s="9" t="inlineStr">
        <is>
          <t>Yoendris Gonzalez</t>
        </is>
      </c>
      <c r="C1633" s="9" t="inlineStr">
        <is>
          <t>CHC</t>
        </is>
      </c>
      <c r="D1633" s="9" t="n">
        <v>25</v>
      </c>
      <c r="E1633" s="18" t="inlineStr">
        <is>
          <t>R</t>
        </is>
      </c>
      <c r="F1633" s="18" t="n"/>
      <c r="G1633" s="9" t="n">
        <v>14.90666666666667</v>
      </c>
      <c r="H1633" s="9" t="n">
        <v>14.90666666666667</v>
      </c>
      <c r="I1633" s="9" t="inlineStr">
        <is>
          <t>Depth (no MLB IP)</t>
        </is>
      </c>
      <c r="J1633" s="18" t="inlineStr">
        <is>
          <t>Opening Day</t>
        </is>
      </c>
      <c r="K1633" s="11">
        <f>IFERROR(INDEX(Roles!$B$17:$B$20,MATCH(J1633,Roles!$A$17:$A$20,0)),1)</f>
        <v/>
      </c>
      <c r="L1633" s="19" t="n">
        <v>1</v>
      </c>
      <c r="M1633" s="11" t="n">
        <v>1</v>
      </c>
      <c r="N1633" s="19" t="n"/>
      <c r="O1633" s="19" t="n"/>
      <c r="P1633" s="19" t="n"/>
      <c r="Q1633" s="19" t="n"/>
      <c r="R1633" s="19" t="n"/>
      <c r="S1633" s="19" t="n"/>
      <c r="T1633" s="19" t="n"/>
      <c r="U1633" s="19" t="n"/>
      <c r="V1633" s="19" t="n"/>
      <c r="W1633" s="19" t="n"/>
      <c r="X1633" s="19" t="n"/>
      <c r="Y1633" s="19" t="n">
        <v>1</v>
      </c>
      <c r="Z1633" s="13">
        <f>SUMPRODUCT(N1633:Y1633,$N$2:$Y$2)*$K1633*$L1633*$M1633</f>
        <v/>
      </c>
      <c r="AA1633" s="14">
        <f>SUM(N1633:Y1633)</f>
        <v/>
      </c>
      <c r="AB1633" s="13">
        <f>SUMPRODUCT(N1633:Y1633,$N$3:$Y$3)*$K1633*$L1633*$M1633</f>
        <v/>
      </c>
      <c r="AC1633" s="13">
        <f>SUMPRODUCT(N1633:Y1633,$N$4:$Y$4)*$K1633*$L1633*$M1633</f>
        <v/>
      </c>
      <c r="AD1633" s="15" t="n">
        <v>3</v>
      </c>
      <c r="AE1633" s="11" t="n">
        <v>1.011296296296296</v>
      </c>
      <c r="AF1633" s="16">
        <f>SUMPRODUCT(N1633:Y1633,$N$5:$Y$5)*$K1633*$L1633*$M1633</f>
        <v/>
      </c>
      <c r="AG1633" s="16">
        <f>SUMPRODUCT(N1633:Y1633,$N$6:$Y$6)*$K1633*$L1633*$M1633</f>
        <v/>
      </c>
      <c r="AH1633" s="20" t="n"/>
    </row>
    <row r="1634">
      <c r="A1634" s="9" t="n">
        <v>830742</v>
      </c>
      <c r="B1634" s="9" t="inlineStr">
        <is>
          <t>Braylon Myers</t>
        </is>
      </c>
      <c r="C1634" s="9" t="inlineStr">
        <is>
          <t>CHC</t>
        </is>
      </c>
      <c r="D1634" s="9" t="n">
        <v>25</v>
      </c>
      <c r="E1634" s="18" t="inlineStr">
        <is>
          <t>R</t>
        </is>
      </c>
      <c r="F1634" s="18" t="n"/>
      <c r="G1634" s="9" t="n">
        <v>14.90666666666667</v>
      </c>
      <c r="H1634" s="9" t="n">
        <v>14.90666666666667</v>
      </c>
      <c r="I1634" s="9" t="inlineStr">
        <is>
          <t>Depth (no MLB IP)</t>
        </is>
      </c>
      <c r="J1634" s="18" t="inlineStr">
        <is>
          <t>Opening Day</t>
        </is>
      </c>
      <c r="K1634" s="11">
        <f>IFERROR(INDEX(Roles!$B$17:$B$20,MATCH(J1634,Roles!$A$17:$A$20,0)),1)</f>
        <v/>
      </c>
      <c r="L1634" s="19" t="n">
        <v>1</v>
      </c>
      <c r="M1634" s="11" t="n">
        <v>1</v>
      </c>
      <c r="N1634" s="19" t="n"/>
      <c r="O1634" s="19" t="n"/>
      <c r="P1634" s="19" t="n"/>
      <c r="Q1634" s="19" t="n"/>
      <c r="R1634" s="19" t="n"/>
      <c r="S1634" s="19" t="n"/>
      <c r="T1634" s="19" t="n"/>
      <c r="U1634" s="19" t="n"/>
      <c r="V1634" s="19" t="n"/>
      <c r="W1634" s="19" t="n"/>
      <c r="X1634" s="19" t="n"/>
      <c r="Y1634" s="19" t="n">
        <v>1</v>
      </c>
      <c r="Z1634" s="13">
        <f>SUMPRODUCT(N1634:Y1634,$N$2:$Y$2)*$K1634*$L1634*$M1634</f>
        <v/>
      </c>
      <c r="AA1634" s="14">
        <f>SUM(N1634:Y1634)</f>
        <v/>
      </c>
      <c r="AB1634" s="13">
        <f>SUMPRODUCT(N1634:Y1634,$N$3:$Y$3)*$K1634*$L1634*$M1634</f>
        <v/>
      </c>
      <c r="AC1634" s="13">
        <f>SUMPRODUCT(N1634:Y1634,$N$4:$Y$4)*$K1634*$L1634*$M1634</f>
        <v/>
      </c>
      <c r="AD1634" s="15" t="n">
        <v>3</v>
      </c>
      <c r="AE1634" s="11" t="n">
        <v>1.011296296296296</v>
      </c>
      <c r="AF1634" s="16">
        <f>SUMPRODUCT(N1634:Y1634,$N$5:$Y$5)*$K1634*$L1634*$M1634</f>
        <v/>
      </c>
      <c r="AG1634" s="16">
        <f>SUMPRODUCT(N1634:Y1634,$N$6:$Y$6)*$K1634*$L1634*$M1634</f>
        <v/>
      </c>
      <c r="AH1634" s="20" t="n"/>
    </row>
    <row r="1635">
      <c r="A1635" s="9" t="n">
        <v>682855</v>
      </c>
      <c r="B1635" s="9" t="inlineStr">
        <is>
          <t>Luis Vargas</t>
        </is>
      </c>
      <c r="C1635" s="9" t="inlineStr">
        <is>
          <t>ATL</t>
        </is>
      </c>
      <c r="D1635" s="9" t="n">
        <v>25</v>
      </c>
      <c r="E1635" s="18" t="inlineStr">
        <is>
          <t>R</t>
        </is>
      </c>
      <c r="F1635" s="18" t="n"/>
      <c r="G1635" s="9" t="n">
        <v>14.97833333333333</v>
      </c>
      <c r="H1635" s="9" t="n">
        <v>14.97833333333333</v>
      </c>
      <c r="I1635" s="9" t="inlineStr">
        <is>
          <t>Depth (no MLB IP)</t>
        </is>
      </c>
      <c r="J1635" s="18" t="inlineStr">
        <is>
          <t>Opening Day</t>
        </is>
      </c>
      <c r="K1635" s="11">
        <f>IFERROR(INDEX(Roles!$B$17:$B$20,MATCH(J1635,Roles!$A$17:$A$20,0)),1)</f>
        <v/>
      </c>
      <c r="L1635" s="19" t="n">
        <v>1</v>
      </c>
      <c r="M1635" s="11" t="n">
        <v>1</v>
      </c>
      <c r="N1635" s="19" t="n"/>
      <c r="O1635" s="19" t="n"/>
      <c r="P1635" s="19" t="n"/>
      <c r="Q1635" s="19" t="n"/>
      <c r="R1635" s="19" t="n"/>
      <c r="S1635" s="19" t="n"/>
      <c r="T1635" s="19" t="n"/>
      <c r="U1635" s="19" t="n"/>
      <c r="V1635" s="19" t="n"/>
      <c r="W1635" s="19" t="n"/>
      <c r="X1635" s="19" t="n"/>
      <c r="Y1635" s="19" t="n">
        <v>1</v>
      </c>
      <c r="Z1635" s="13">
        <f>SUMPRODUCT(N1635:Y1635,$N$2:$Y$2)*$K1635*$L1635*$M1635</f>
        <v/>
      </c>
      <c r="AA1635" s="14">
        <f>SUM(N1635:Y1635)</f>
        <v/>
      </c>
      <c r="AB1635" s="13">
        <f>SUMPRODUCT(N1635:Y1635,$N$3:$Y$3)*$K1635*$L1635*$M1635</f>
        <v/>
      </c>
      <c r="AC1635" s="13">
        <f>SUMPRODUCT(N1635:Y1635,$N$4:$Y$4)*$K1635*$L1635*$M1635</f>
        <v/>
      </c>
      <c r="AD1635" s="15" t="n">
        <v>3</v>
      </c>
      <c r="AE1635" s="11" t="n">
        <v>1.011296296296296</v>
      </c>
      <c r="AF1635" s="16">
        <f>SUMPRODUCT(N1635:Y1635,$N$5:$Y$5)*$K1635*$L1635*$M1635</f>
        <v/>
      </c>
      <c r="AG1635" s="16">
        <f>SUMPRODUCT(N1635:Y1635,$N$6:$Y$6)*$K1635*$L1635*$M1635</f>
        <v/>
      </c>
      <c r="AH1635" s="20" t="n"/>
    </row>
    <row r="1636">
      <c r="A1636" s="9" t="n">
        <v>802981</v>
      </c>
      <c r="B1636" s="9" t="inlineStr">
        <is>
          <t>Mason Olson</t>
        </is>
      </c>
      <c r="C1636" s="9" t="inlineStr">
        <is>
          <t>TOR</t>
        </is>
      </c>
      <c r="D1636" s="9" t="n">
        <v>25</v>
      </c>
      <c r="E1636" s="18" t="inlineStr">
        <is>
          <t>L</t>
        </is>
      </c>
      <c r="F1636" s="18" t="n"/>
      <c r="G1636" s="9" t="n">
        <v>14.97833333333333</v>
      </c>
      <c r="H1636" s="9" t="n">
        <v>14.97833333333333</v>
      </c>
      <c r="I1636" s="9" t="inlineStr">
        <is>
          <t>Depth (no MLB IP)</t>
        </is>
      </c>
      <c r="J1636" s="18" t="inlineStr">
        <is>
          <t>Opening Day</t>
        </is>
      </c>
      <c r="K1636" s="11">
        <f>IFERROR(INDEX(Roles!$B$17:$B$20,MATCH(J1636,Roles!$A$17:$A$20,0)),1)</f>
        <v/>
      </c>
      <c r="L1636" s="19" t="n">
        <v>1</v>
      </c>
      <c r="M1636" s="11" t="n">
        <v>1</v>
      </c>
      <c r="N1636" s="19" t="n"/>
      <c r="O1636" s="19" t="n"/>
      <c r="P1636" s="19" t="n"/>
      <c r="Q1636" s="19" t="n"/>
      <c r="R1636" s="19" t="n"/>
      <c r="S1636" s="19" t="n"/>
      <c r="T1636" s="19" t="n"/>
      <c r="U1636" s="19" t="n"/>
      <c r="V1636" s="19" t="n"/>
      <c r="W1636" s="19" t="n"/>
      <c r="X1636" s="19" t="n"/>
      <c r="Y1636" s="19" t="n">
        <v>1</v>
      </c>
      <c r="Z1636" s="13">
        <f>SUMPRODUCT(N1636:Y1636,$N$2:$Y$2)*$K1636*$L1636*$M1636</f>
        <v/>
      </c>
      <c r="AA1636" s="14">
        <f>SUM(N1636:Y1636)</f>
        <v/>
      </c>
      <c r="AB1636" s="13">
        <f>SUMPRODUCT(N1636:Y1636,$N$3:$Y$3)*$K1636*$L1636*$M1636</f>
        <v/>
      </c>
      <c r="AC1636" s="13">
        <f>SUMPRODUCT(N1636:Y1636,$N$4:$Y$4)*$K1636*$L1636*$M1636</f>
        <v/>
      </c>
      <c r="AD1636" s="15" t="n">
        <v>3</v>
      </c>
      <c r="AE1636" s="11" t="n">
        <v>1.011296296296296</v>
      </c>
      <c r="AF1636" s="16">
        <f>SUMPRODUCT(N1636:Y1636,$N$5:$Y$5)*$K1636*$L1636*$M1636</f>
        <v/>
      </c>
      <c r="AG1636" s="16">
        <f>SUMPRODUCT(N1636:Y1636,$N$6:$Y$6)*$K1636*$L1636*$M1636</f>
        <v/>
      </c>
      <c r="AH1636" s="20" t="n"/>
    </row>
    <row r="1637">
      <c r="A1637" s="9" t="n">
        <v>805329</v>
      </c>
      <c r="B1637" s="9" t="inlineStr">
        <is>
          <t>Sam Mettert</t>
        </is>
      </c>
      <c r="C1637" s="9" t="inlineStr">
        <is>
          <t>CHC</t>
        </is>
      </c>
      <c r="D1637" s="9" t="n">
        <v>25</v>
      </c>
      <c r="E1637" s="18" t="inlineStr">
        <is>
          <t>R</t>
        </is>
      </c>
      <c r="F1637" s="18" t="n"/>
      <c r="G1637" s="9" t="n">
        <v>15.136</v>
      </c>
      <c r="H1637" s="9" t="n">
        <v>15.136</v>
      </c>
      <c r="I1637" s="9" t="inlineStr">
        <is>
          <t>Depth (no MLB IP)</t>
        </is>
      </c>
      <c r="J1637" s="18" t="inlineStr">
        <is>
          <t>Opening Day</t>
        </is>
      </c>
      <c r="K1637" s="11">
        <f>IFERROR(INDEX(Roles!$B$17:$B$20,MATCH(J1637,Roles!$A$17:$A$20,0)),1)</f>
        <v/>
      </c>
      <c r="L1637" s="19" t="n">
        <v>1</v>
      </c>
      <c r="M1637" s="11" t="n">
        <v>1</v>
      </c>
      <c r="N1637" s="19" t="n"/>
      <c r="O1637" s="19" t="n"/>
      <c r="P1637" s="19" t="n"/>
      <c r="Q1637" s="19" t="n"/>
      <c r="R1637" s="19" t="n"/>
      <c r="S1637" s="19" t="n"/>
      <c r="T1637" s="19" t="n"/>
      <c r="U1637" s="19" t="n"/>
      <c r="V1637" s="19" t="n"/>
      <c r="W1637" s="19" t="n"/>
      <c r="X1637" s="19" t="n"/>
      <c r="Y1637" s="19" t="n">
        <v>1</v>
      </c>
      <c r="Z1637" s="13">
        <f>SUMPRODUCT(N1637:Y1637,$N$2:$Y$2)*$K1637*$L1637*$M1637</f>
        <v/>
      </c>
      <c r="AA1637" s="14">
        <f>SUM(N1637:Y1637)</f>
        <v/>
      </c>
      <c r="AB1637" s="13">
        <f>SUMPRODUCT(N1637:Y1637,$N$3:$Y$3)*$K1637*$L1637*$M1637</f>
        <v/>
      </c>
      <c r="AC1637" s="13">
        <f>SUMPRODUCT(N1637:Y1637,$N$4:$Y$4)*$K1637*$L1637*$M1637</f>
        <v/>
      </c>
      <c r="AD1637" s="15" t="n">
        <v>3</v>
      </c>
      <c r="AE1637" s="11" t="n">
        <v>1.011296296296296</v>
      </c>
      <c r="AF1637" s="16">
        <f>SUMPRODUCT(N1637:Y1637,$N$5:$Y$5)*$K1637*$L1637*$M1637</f>
        <v/>
      </c>
      <c r="AG1637" s="16">
        <f>SUMPRODUCT(N1637:Y1637,$N$6:$Y$6)*$K1637*$L1637*$M1637</f>
        <v/>
      </c>
      <c r="AH1637" s="20" t="n"/>
    </row>
    <row r="1638">
      <c r="A1638" s="9" t="n">
        <v>664687</v>
      </c>
      <c r="B1638" s="9" t="inlineStr">
        <is>
          <t>Durbin Feltman</t>
        </is>
      </c>
      <c r="C1638" s="9" t="inlineStr">
        <is>
          <t>STL</t>
        </is>
      </c>
      <c r="D1638" s="9" t="n">
        <v>25</v>
      </c>
      <c r="E1638" s="18" t="inlineStr">
        <is>
          <t>R</t>
        </is>
      </c>
      <c r="F1638" s="18" t="n"/>
      <c r="G1638" s="9" t="n">
        <v>14.97833333333333</v>
      </c>
      <c r="H1638" s="9" t="n">
        <v>14.97833333333333</v>
      </c>
      <c r="I1638" s="9" t="inlineStr">
        <is>
          <t>Depth (no MLB IP)</t>
        </is>
      </c>
      <c r="J1638" s="18" t="inlineStr">
        <is>
          <t>Opening Day</t>
        </is>
      </c>
      <c r="K1638" s="11">
        <f>IFERROR(INDEX(Roles!$B$17:$B$20,MATCH(J1638,Roles!$A$17:$A$20,0)),1)</f>
        <v/>
      </c>
      <c r="L1638" s="19" t="n">
        <v>1</v>
      </c>
      <c r="M1638" s="11" t="n">
        <v>1</v>
      </c>
      <c r="N1638" s="19" t="n"/>
      <c r="O1638" s="19" t="n"/>
      <c r="P1638" s="19" t="n"/>
      <c r="Q1638" s="19" t="n"/>
      <c r="R1638" s="19" t="n"/>
      <c r="S1638" s="19" t="n"/>
      <c r="T1638" s="19" t="n"/>
      <c r="U1638" s="19" t="n"/>
      <c r="V1638" s="19" t="n"/>
      <c r="W1638" s="19" t="n"/>
      <c r="X1638" s="19" t="n"/>
      <c r="Y1638" s="19" t="n">
        <v>1</v>
      </c>
      <c r="Z1638" s="13">
        <f>SUMPRODUCT(N1638:Y1638,$N$2:$Y$2)*$K1638*$L1638*$M1638</f>
        <v/>
      </c>
      <c r="AA1638" s="14">
        <f>SUM(N1638:Y1638)</f>
        <v/>
      </c>
      <c r="AB1638" s="13">
        <f>SUMPRODUCT(N1638:Y1638,$N$3:$Y$3)*$K1638*$L1638*$M1638</f>
        <v/>
      </c>
      <c r="AC1638" s="13">
        <f>SUMPRODUCT(N1638:Y1638,$N$4:$Y$4)*$K1638*$L1638*$M1638</f>
        <v/>
      </c>
      <c r="AD1638" s="15" t="n">
        <v>3</v>
      </c>
      <c r="AE1638" s="11" t="n">
        <v>1.011296296296296</v>
      </c>
      <c r="AF1638" s="16">
        <f>SUMPRODUCT(N1638:Y1638,$N$5:$Y$5)*$K1638*$L1638*$M1638</f>
        <v/>
      </c>
      <c r="AG1638" s="16">
        <f>SUMPRODUCT(N1638:Y1638,$N$6:$Y$6)*$K1638*$L1638*$M1638</f>
        <v/>
      </c>
      <c r="AH1638" s="20" t="n"/>
    </row>
    <row r="1639">
      <c r="A1639" s="9" t="n">
        <v>813335</v>
      </c>
      <c r="B1639" s="9" t="inlineStr">
        <is>
          <t>Dylan Jordan</t>
        </is>
      </c>
      <c r="C1639" s="9" t="inlineStr">
        <is>
          <t>LAA</t>
        </is>
      </c>
      <c r="D1639" s="9" t="n">
        <v>22</v>
      </c>
      <c r="E1639" s="18" t="inlineStr">
        <is>
          <t>R</t>
        </is>
      </c>
      <c r="F1639" s="18" t="n"/>
      <c r="G1639" s="9" t="n">
        <v>14.90666666666667</v>
      </c>
      <c r="H1639" s="9" t="n">
        <v>14.90666666666667</v>
      </c>
      <c r="I1639" s="9" t="inlineStr">
        <is>
          <t>Depth (no MLB IP)</t>
        </is>
      </c>
      <c r="J1639" s="18" t="inlineStr">
        <is>
          <t>Opening Day</t>
        </is>
      </c>
      <c r="K1639" s="11">
        <f>IFERROR(INDEX(Roles!$B$17:$B$20,MATCH(J1639,Roles!$A$17:$A$20,0)),1)</f>
        <v/>
      </c>
      <c r="L1639" s="19" t="n">
        <v>1</v>
      </c>
      <c r="M1639" s="11" t="n">
        <v>1</v>
      </c>
      <c r="N1639" s="19" t="n"/>
      <c r="O1639" s="19" t="n"/>
      <c r="P1639" s="19" t="n"/>
      <c r="Q1639" s="19" t="n"/>
      <c r="R1639" s="19" t="n"/>
      <c r="S1639" s="19" t="n"/>
      <c r="T1639" s="19" t="n"/>
      <c r="U1639" s="19" t="n"/>
      <c r="V1639" s="19" t="n"/>
      <c r="W1639" s="19" t="n"/>
      <c r="X1639" s="19" t="n"/>
      <c r="Y1639" s="19" t="n">
        <v>1</v>
      </c>
      <c r="Z1639" s="13">
        <f>SUMPRODUCT(N1639:Y1639,$N$2:$Y$2)*$K1639*$L1639*$M1639</f>
        <v/>
      </c>
      <c r="AA1639" s="14">
        <f>SUM(N1639:Y1639)</f>
        <v/>
      </c>
      <c r="AB1639" s="13">
        <f>SUMPRODUCT(N1639:Y1639,$N$3:$Y$3)*$K1639*$L1639*$M1639</f>
        <v/>
      </c>
      <c r="AC1639" s="13">
        <f>SUMPRODUCT(N1639:Y1639,$N$4:$Y$4)*$K1639*$L1639*$M1639</f>
        <v/>
      </c>
      <c r="AD1639" s="15" t="n">
        <v>3</v>
      </c>
      <c r="AE1639" s="11" t="n">
        <v>1.011296296296296</v>
      </c>
      <c r="AF1639" s="16">
        <f>SUMPRODUCT(N1639:Y1639,$N$5:$Y$5)*$K1639*$L1639*$M1639</f>
        <v/>
      </c>
      <c r="AG1639" s="16">
        <f>SUMPRODUCT(N1639:Y1639,$N$6:$Y$6)*$K1639*$L1639*$M1639</f>
        <v/>
      </c>
      <c r="AH1639" s="20" t="n"/>
    </row>
    <row r="1640">
      <c r="A1640" s="9" t="n">
        <v>829258</v>
      </c>
      <c r="B1640" s="9" t="inlineStr">
        <is>
          <t>Jose Gabriel Torres</t>
        </is>
      </c>
      <c r="C1640" s="9" t="inlineStr">
        <is>
          <t>SEA</t>
        </is>
      </c>
      <c r="D1640" s="9" t="n">
        <v>25</v>
      </c>
      <c r="E1640" s="18" t="inlineStr">
        <is>
          <t>R</t>
        </is>
      </c>
      <c r="F1640" s="18" t="n"/>
      <c r="G1640" s="9" t="n">
        <v>15.136</v>
      </c>
      <c r="H1640" s="9" t="n">
        <v>15.136</v>
      </c>
      <c r="I1640" s="9" t="inlineStr">
        <is>
          <t>Depth (no MLB IP)</t>
        </is>
      </c>
      <c r="J1640" s="18" t="inlineStr">
        <is>
          <t>Opening Day</t>
        </is>
      </c>
      <c r="K1640" s="11">
        <f>IFERROR(INDEX(Roles!$B$17:$B$20,MATCH(J1640,Roles!$A$17:$A$20,0)),1)</f>
        <v/>
      </c>
      <c r="L1640" s="19" t="n">
        <v>1</v>
      </c>
      <c r="M1640" s="11" t="n">
        <v>1</v>
      </c>
      <c r="N1640" s="19" t="n"/>
      <c r="O1640" s="19" t="n"/>
      <c r="P1640" s="19" t="n"/>
      <c r="Q1640" s="19" t="n"/>
      <c r="R1640" s="19" t="n"/>
      <c r="S1640" s="19" t="n"/>
      <c r="T1640" s="19" t="n"/>
      <c r="U1640" s="19" t="n"/>
      <c r="V1640" s="19" t="n"/>
      <c r="W1640" s="19" t="n"/>
      <c r="X1640" s="19" t="n"/>
      <c r="Y1640" s="19" t="n">
        <v>1</v>
      </c>
      <c r="Z1640" s="13">
        <f>SUMPRODUCT(N1640:Y1640,$N$2:$Y$2)*$K1640*$L1640*$M1640</f>
        <v/>
      </c>
      <c r="AA1640" s="14">
        <f>SUM(N1640:Y1640)</f>
        <v/>
      </c>
      <c r="AB1640" s="13">
        <f>SUMPRODUCT(N1640:Y1640,$N$3:$Y$3)*$K1640*$L1640*$M1640</f>
        <v/>
      </c>
      <c r="AC1640" s="13">
        <f>SUMPRODUCT(N1640:Y1640,$N$4:$Y$4)*$K1640*$L1640*$M1640</f>
        <v/>
      </c>
      <c r="AD1640" s="15" t="n">
        <v>3</v>
      </c>
      <c r="AE1640" s="11" t="n">
        <v>1.011296296296296</v>
      </c>
      <c r="AF1640" s="16">
        <f>SUMPRODUCT(N1640:Y1640,$N$5:$Y$5)*$K1640*$L1640*$M1640</f>
        <v/>
      </c>
      <c r="AG1640" s="16">
        <f>SUMPRODUCT(N1640:Y1640,$N$6:$Y$6)*$K1640*$L1640*$M1640</f>
        <v/>
      </c>
      <c r="AH1640" s="20" t="n"/>
    </row>
    <row r="1641">
      <c r="A1641" s="9" t="n">
        <v>802084</v>
      </c>
      <c r="B1641" s="9" t="inlineStr">
        <is>
          <t>Xiomer Guacache</t>
        </is>
      </c>
      <c r="C1641" s="9" t="inlineStr">
        <is>
          <t>DET</t>
        </is>
      </c>
      <c r="D1641" s="9" t="n">
        <v>25</v>
      </c>
      <c r="E1641" s="18" t="inlineStr">
        <is>
          <t>R</t>
        </is>
      </c>
      <c r="F1641" s="18" t="n"/>
      <c r="G1641" s="9" t="n">
        <v>15.136</v>
      </c>
      <c r="H1641" s="9" t="n">
        <v>15.136</v>
      </c>
      <c r="I1641" s="9" t="inlineStr">
        <is>
          <t>Depth (no MLB IP)</t>
        </is>
      </c>
      <c r="J1641" s="18" t="inlineStr">
        <is>
          <t>Opening Day</t>
        </is>
      </c>
      <c r="K1641" s="11">
        <f>IFERROR(INDEX(Roles!$B$17:$B$20,MATCH(J1641,Roles!$A$17:$A$20,0)),1)</f>
        <v/>
      </c>
      <c r="L1641" s="19" t="n">
        <v>1</v>
      </c>
      <c r="M1641" s="11" t="n">
        <v>1</v>
      </c>
      <c r="N1641" s="19" t="n"/>
      <c r="O1641" s="19" t="n"/>
      <c r="P1641" s="19" t="n"/>
      <c r="Q1641" s="19" t="n"/>
      <c r="R1641" s="19" t="n"/>
      <c r="S1641" s="19" t="n"/>
      <c r="T1641" s="19" t="n"/>
      <c r="U1641" s="19" t="n"/>
      <c r="V1641" s="19" t="n"/>
      <c r="W1641" s="19" t="n"/>
      <c r="X1641" s="19" t="n"/>
      <c r="Y1641" s="19" t="n">
        <v>1</v>
      </c>
      <c r="Z1641" s="13">
        <f>SUMPRODUCT(N1641:Y1641,$N$2:$Y$2)*$K1641*$L1641*$M1641</f>
        <v/>
      </c>
      <c r="AA1641" s="14">
        <f>SUM(N1641:Y1641)</f>
        <v/>
      </c>
      <c r="AB1641" s="13">
        <f>SUMPRODUCT(N1641:Y1641,$N$3:$Y$3)*$K1641*$L1641*$M1641</f>
        <v/>
      </c>
      <c r="AC1641" s="13">
        <f>SUMPRODUCT(N1641:Y1641,$N$4:$Y$4)*$K1641*$L1641*$M1641</f>
        <v/>
      </c>
      <c r="AD1641" s="15" t="n">
        <v>3</v>
      </c>
      <c r="AE1641" s="11" t="n">
        <v>1.011296296296296</v>
      </c>
      <c r="AF1641" s="16">
        <f>SUMPRODUCT(N1641:Y1641,$N$5:$Y$5)*$K1641*$L1641*$M1641</f>
        <v/>
      </c>
      <c r="AG1641" s="16">
        <f>SUMPRODUCT(N1641:Y1641,$N$6:$Y$6)*$K1641*$L1641*$M1641</f>
        <v/>
      </c>
      <c r="AH1641" s="20" t="n"/>
    </row>
    <row r="1642">
      <c r="A1642" s="9" t="n">
        <v>811668</v>
      </c>
      <c r="B1642" s="9" t="inlineStr">
        <is>
          <t>Will Gagnon</t>
        </is>
      </c>
      <c r="C1642" s="9" t="inlineStr">
        <is>
          <t>LAD</t>
        </is>
      </c>
      <c r="D1642" s="9" t="n">
        <v>25</v>
      </c>
      <c r="E1642" s="18" t="inlineStr">
        <is>
          <t>R</t>
        </is>
      </c>
      <c r="F1642" s="18" t="n"/>
      <c r="G1642" s="9" t="n">
        <v>15.19333333333334</v>
      </c>
      <c r="H1642" s="9" t="n">
        <v>15.19333333333334</v>
      </c>
      <c r="I1642" s="9" t="inlineStr">
        <is>
          <t>Depth (no MLB IP)</t>
        </is>
      </c>
      <c r="J1642" s="18" t="inlineStr">
        <is>
          <t>Opening Day</t>
        </is>
      </c>
      <c r="K1642" s="11">
        <f>IFERROR(INDEX(Roles!$B$17:$B$20,MATCH(J1642,Roles!$A$17:$A$20,0)),1)</f>
        <v/>
      </c>
      <c r="L1642" s="19" t="n">
        <v>1</v>
      </c>
      <c r="M1642" s="11" t="n">
        <v>1</v>
      </c>
      <c r="N1642" s="19" t="n"/>
      <c r="O1642" s="19" t="n"/>
      <c r="P1642" s="19" t="n"/>
      <c r="Q1642" s="19" t="n"/>
      <c r="R1642" s="19" t="n"/>
      <c r="S1642" s="19" t="n"/>
      <c r="T1642" s="19" t="n"/>
      <c r="U1642" s="19" t="n"/>
      <c r="V1642" s="19" t="n"/>
      <c r="W1642" s="19" t="n"/>
      <c r="X1642" s="19" t="n"/>
      <c r="Y1642" s="19" t="n">
        <v>1</v>
      </c>
      <c r="Z1642" s="13">
        <f>SUMPRODUCT(N1642:Y1642,$N$2:$Y$2)*$K1642*$L1642*$M1642</f>
        <v/>
      </c>
      <c r="AA1642" s="14">
        <f>SUM(N1642:Y1642)</f>
        <v/>
      </c>
      <c r="AB1642" s="13">
        <f>SUMPRODUCT(N1642:Y1642,$N$3:$Y$3)*$K1642*$L1642*$M1642</f>
        <v/>
      </c>
      <c r="AC1642" s="13">
        <f>SUMPRODUCT(N1642:Y1642,$N$4:$Y$4)*$K1642*$L1642*$M1642</f>
        <v/>
      </c>
      <c r="AD1642" s="15" t="n">
        <v>3</v>
      </c>
      <c r="AE1642" s="11" t="n">
        <v>1.011296296296296</v>
      </c>
      <c r="AF1642" s="16">
        <f>SUMPRODUCT(N1642:Y1642,$N$5:$Y$5)*$K1642*$L1642*$M1642</f>
        <v/>
      </c>
      <c r="AG1642" s="16">
        <f>SUMPRODUCT(N1642:Y1642,$N$6:$Y$6)*$K1642*$L1642*$M1642</f>
        <v/>
      </c>
      <c r="AH1642" s="20" t="n"/>
    </row>
    <row r="1643">
      <c r="A1643" s="9" t="n">
        <v>802450</v>
      </c>
      <c r="B1643" s="9" t="inlineStr">
        <is>
          <t>Grayson Saunier</t>
        </is>
      </c>
      <c r="C1643" s="9" t="inlineStr">
        <is>
          <t>HOU</t>
        </is>
      </c>
      <c r="D1643" s="9" t="n">
        <v>25</v>
      </c>
      <c r="E1643" s="18" t="inlineStr">
        <is>
          <t>R</t>
        </is>
      </c>
      <c r="F1643" s="18" t="n"/>
      <c r="G1643" s="9" t="n">
        <v>15.19333333333334</v>
      </c>
      <c r="H1643" s="9" t="n">
        <v>15.19333333333334</v>
      </c>
      <c r="I1643" s="9" t="inlineStr">
        <is>
          <t>Depth (no MLB IP)</t>
        </is>
      </c>
      <c r="J1643" s="18" t="inlineStr">
        <is>
          <t>Opening Day</t>
        </is>
      </c>
      <c r="K1643" s="11">
        <f>IFERROR(INDEX(Roles!$B$17:$B$20,MATCH(J1643,Roles!$A$17:$A$20,0)),1)</f>
        <v/>
      </c>
      <c r="L1643" s="19" t="n">
        <v>1</v>
      </c>
      <c r="M1643" s="11" t="n">
        <v>1</v>
      </c>
      <c r="N1643" s="19" t="n"/>
      <c r="O1643" s="19" t="n"/>
      <c r="P1643" s="19" t="n"/>
      <c r="Q1643" s="19" t="n"/>
      <c r="R1643" s="19" t="n"/>
      <c r="S1643" s="19" t="n"/>
      <c r="T1643" s="19" t="n"/>
      <c r="U1643" s="19" t="n"/>
      <c r="V1643" s="19" t="n"/>
      <c r="W1643" s="19" t="n"/>
      <c r="X1643" s="19" t="n"/>
      <c r="Y1643" s="19" t="n">
        <v>1</v>
      </c>
      <c r="Z1643" s="13">
        <f>SUMPRODUCT(N1643:Y1643,$N$2:$Y$2)*$K1643*$L1643*$M1643</f>
        <v/>
      </c>
      <c r="AA1643" s="14">
        <f>SUM(N1643:Y1643)</f>
        <v/>
      </c>
      <c r="AB1643" s="13">
        <f>SUMPRODUCT(N1643:Y1643,$N$3:$Y$3)*$K1643*$L1643*$M1643</f>
        <v/>
      </c>
      <c r="AC1643" s="13">
        <f>SUMPRODUCT(N1643:Y1643,$N$4:$Y$4)*$K1643*$L1643*$M1643</f>
        <v/>
      </c>
      <c r="AD1643" s="15" t="n">
        <v>3</v>
      </c>
      <c r="AE1643" s="11" t="n">
        <v>1.011296296296296</v>
      </c>
      <c r="AF1643" s="16">
        <f>SUMPRODUCT(N1643:Y1643,$N$5:$Y$5)*$K1643*$L1643*$M1643</f>
        <v/>
      </c>
      <c r="AG1643" s="16">
        <f>SUMPRODUCT(N1643:Y1643,$N$6:$Y$6)*$K1643*$L1643*$M1643</f>
        <v/>
      </c>
      <c r="AH1643" s="20" t="n"/>
    </row>
    <row r="1644">
      <c r="A1644" s="9" t="n">
        <v>802373</v>
      </c>
      <c r="B1644" s="9" t="inlineStr">
        <is>
          <t>Jonah Hurney</t>
        </is>
      </c>
      <c r="C1644" s="9" t="inlineStr">
        <is>
          <t>CIN</t>
        </is>
      </c>
      <c r="D1644" s="9" t="n">
        <v>25</v>
      </c>
      <c r="E1644" s="18" t="inlineStr">
        <is>
          <t>L</t>
        </is>
      </c>
      <c r="F1644" s="18" t="n"/>
      <c r="G1644" s="9" t="n">
        <v>15.19333333333334</v>
      </c>
      <c r="H1644" s="9" t="n">
        <v>15.19333333333334</v>
      </c>
      <c r="I1644" s="9" t="inlineStr">
        <is>
          <t>Depth (no MLB IP)</t>
        </is>
      </c>
      <c r="J1644" s="18" t="inlineStr">
        <is>
          <t>Opening Day</t>
        </is>
      </c>
      <c r="K1644" s="11">
        <f>IFERROR(INDEX(Roles!$B$17:$B$20,MATCH(J1644,Roles!$A$17:$A$20,0)),1)</f>
        <v/>
      </c>
      <c r="L1644" s="19" t="n">
        <v>1</v>
      </c>
      <c r="M1644" s="11" t="n">
        <v>1</v>
      </c>
      <c r="N1644" s="19" t="n"/>
      <c r="O1644" s="19" t="n"/>
      <c r="P1644" s="19" t="n"/>
      <c r="Q1644" s="19" t="n"/>
      <c r="R1644" s="19" t="n"/>
      <c r="S1644" s="19" t="n"/>
      <c r="T1644" s="19" t="n"/>
      <c r="U1644" s="19" t="n"/>
      <c r="V1644" s="19" t="n"/>
      <c r="W1644" s="19" t="n"/>
      <c r="X1644" s="19" t="n"/>
      <c r="Y1644" s="19" t="n">
        <v>1</v>
      </c>
      <c r="Z1644" s="13">
        <f>SUMPRODUCT(N1644:Y1644,$N$2:$Y$2)*$K1644*$L1644*$M1644</f>
        <v/>
      </c>
      <c r="AA1644" s="14">
        <f>SUM(N1644:Y1644)</f>
        <v/>
      </c>
      <c r="AB1644" s="13">
        <f>SUMPRODUCT(N1644:Y1644,$N$3:$Y$3)*$K1644*$L1644*$M1644</f>
        <v/>
      </c>
      <c r="AC1644" s="13">
        <f>SUMPRODUCT(N1644:Y1644,$N$4:$Y$4)*$K1644*$L1644*$M1644</f>
        <v/>
      </c>
      <c r="AD1644" s="15" t="n">
        <v>3</v>
      </c>
      <c r="AE1644" s="11" t="n">
        <v>1.011296296296296</v>
      </c>
      <c r="AF1644" s="16">
        <f>SUMPRODUCT(N1644:Y1644,$N$5:$Y$5)*$K1644*$L1644*$M1644</f>
        <v/>
      </c>
      <c r="AG1644" s="16">
        <f>SUMPRODUCT(N1644:Y1644,$N$6:$Y$6)*$K1644*$L1644*$M1644</f>
        <v/>
      </c>
      <c r="AH1644" s="20" t="n"/>
    </row>
    <row r="1645">
      <c r="A1645" s="9" t="n">
        <v>692646</v>
      </c>
      <c r="B1645" s="9" t="inlineStr">
        <is>
          <t>Pedro Rodriguez</t>
        </is>
      </c>
      <c r="C1645" s="9" t="inlineStr">
        <is>
          <t>NYY</t>
        </is>
      </c>
      <c r="D1645" s="9" t="n">
        <v>25</v>
      </c>
      <c r="E1645" s="18" t="inlineStr">
        <is>
          <t>L</t>
        </is>
      </c>
      <c r="F1645" s="18" t="n"/>
      <c r="G1645" s="9" t="n">
        <v>15.136</v>
      </c>
      <c r="H1645" s="9" t="n">
        <v>15.136</v>
      </c>
      <c r="I1645" s="9" t="inlineStr">
        <is>
          <t>Depth (no MLB IP)</t>
        </is>
      </c>
      <c r="J1645" s="18" t="inlineStr">
        <is>
          <t>Opening Day</t>
        </is>
      </c>
      <c r="K1645" s="11">
        <f>IFERROR(INDEX(Roles!$B$17:$B$20,MATCH(J1645,Roles!$A$17:$A$20,0)),1)</f>
        <v/>
      </c>
      <c r="L1645" s="19" t="n">
        <v>1</v>
      </c>
      <c r="M1645" s="11" t="n">
        <v>1</v>
      </c>
      <c r="N1645" s="19" t="n"/>
      <c r="O1645" s="19" t="n"/>
      <c r="P1645" s="19" t="n"/>
      <c r="Q1645" s="19" t="n"/>
      <c r="R1645" s="19" t="n"/>
      <c r="S1645" s="19" t="n"/>
      <c r="T1645" s="19" t="n"/>
      <c r="U1645" s="19" t="n"/>
      <c r="V1645" s="19" t="n"/>
      <c r="W1645" s="19" t="n"/>
      <c r="X1645" s="19" t="n"/>
      <c r="Y1645" s="19" t="n">
        <v>1</v>
      </c>
      <c r="Z1645" s="13">
        <f>SUMPRODUCT(N1645:Y1645,$N$2:$Y$2)*$K1645*$L1645*$M1645</f>
        <v/>
      </c>
      <c r="AA1645" s="14">
        <f>SUM(N1645:Y1645)</f>
        <v/>
      </c>
      <c r="AB1645" s="13">
        <f>SUMPRODUCT(N1645:Y1645,$N$3:$Y$3)*$K1645*$L1645*$M1645</f>
        <v/>
      </c>
      <c r="AC1645" s="13">
        <f>SUMPRODUCT(N1645:Y1645,$N$4:$Y$4)*$K1645*$L1645*$M1645</f>
        <v/>
      </c>
      <c r="AD1645" s="15" t="n">
        <v>3</v>
      </c>
      <c r="AE1645" s="11" t="n">
        <v>1.011296296296296</v>
      </c>
      <c r="AF1645" s="16">
        <f>SUMPRODUCT(N1645:Y1645,$N$5:$Y$5)*$K1645*$L1645*$M1645</f>
        <v/>
      </c>
      <c r="AG1645" s="16">
        <f>SUMPRODUCT(N1645:Y1645,$N$6:$Y$6)*$K1645*$L1645*$M1645</f>
        <v/>
      </c>
      <c r="AH1645" s="20" t="n"/>
    </row>
    <row r="1646">
      <c r="A1646" s="9" t="n">
        <v>702266</v>
      </c>
      <c r="B1646" s="9" t="inlineStr">
        <is>
          <t>Dylan Lesko</t>
        </is>
      </c>
      <c r="C1646" s="9" t="inlineStr">
        <is>
          <t>TB</t>
        </is>
      </c>
      <c r="D1646" s="9" t="n">
        <v>25</v>
      </c>
      <c r="E1646" s="18" t="inlineStr">
        <is>
          <t>R</t>
        </is>
      </c>
      <c r="F1646" s="18" t="n"/>
      <c r="G1646" s="9" t="n">
        <v>15.308</v>
      </c>
      <c r="H1646" s="9" t="n">
        <v>15.308</v>
      </c>
      <c r="I1646" s="9" t="inlineStr">
        <is>
          <t>Depth (no MLB IP)</t>
        </is>
      </c>
      <c r="J1646" s="18" t="inlineStr">
        <is>
          <t>Opening Day</t>
        </is>
      </c>
      <c r="K1646" s="11">
        <f>IFERROR(INDEX(Roles!$B$17:$B$20,MATCH(J1646,Roles!$A$17:$A$20,0)),1)</f>
        <v/>
      </c>
      <c r="L1646" s="19" t="n">
        <v>1</v>
      </c>
      <c r="M1646" s="11" t="n">
        <v>1</v>
      </c>
      <c r="N1646" s="19" t="n"/>
      <c r="O1646" s="19" t="n"/>
      <c r="P1646" s="19" t="n"/>
      <c r="Q1646" s="19" t="n"/>
      <c r="R1646" s="19" t="n"/>
      <c r="S1646" s="19" t="n"/>
      <c r="T1646" s="19" t="n"/>
      <c r="U1646" s="19" t="n"/>
      <c r="V1646" s="19" t="n"/>
      <c r="W1646" s="19" t="n"/>
      <c r="X1646" s="19" t="n"/>
      <c r="Y1646" s="19" t="n">
        <v>1</v>
      </c>
      <c r="Z1646" s="13">
        <f>SUMPRODUCT(N1646:Y1646,$N$2:$Y$2)*$K1646*$L1646*$M1646</f>
        <v/>
      </c>
      <c r="AA1646" s="14">
        <f>SUM(N1646:Y1646)</f>
        <v/>
      </c>
      <c r="AB1646" s="13">
        <f>SUMPRODUCT(N1646:Y1646,$N$3:$Y$3)*$K1646*$L1646*$M1646</f>
        <v/>
      </c>
      <c r="AC1646" s="13">
        <f>SUMPRODUCT(N1646:Y1646,$N$4:$Y$4)*$K1646*$L1646*$M1646</f>
        <v/>
      </c>
      <c r="AD1646" s="15" t="n">
        <v>3</v>
      </c>
      <c r="AE1646" s="11" t="n">
        <v>1.011296296296296</v>
      </c>
      <c r="AF1646" s="16">
        <f>SUMPRODUCT(N1646:Y1646,$N$5:$Y$5)*$K1646*$L1646*$M1646</f>
        <v/>
      </c>
      <c r="AG1646" s="16">
        <f>SUMPRODUCT(N1646:Y1646,$N$6:$Y$6)*$K1646*$L1646*$M1646</f>
        <v/>
      </c>
      <c r="AH1646" s="20" t="n"/>
    </row>
    <row r="1647">
      <c r="A1647" s="9" t="n">
        <v>813958</v>
      </c>
      <c r="B1647" s="9" t="inlineStr">
        <is>
          <t>Edgar Colon</t>
        </is>
      </c>
      <c r="C1647" s="9" t="inlineStr">
        <is>
          <t>CIN</t>
        </is>
      </c>
      <c r="D1647" s="9" t="n">
        <v>25</v>
      </c>
      <c r="E1647" s="18" t="inlineStr">
        <is>
          <t>R</t>
        </is>
      </c>
      <c r="F1647" s="18" t="n"/>
      <c r="G1647" s="9" t="n">
        <v>15.19333333333334</v>
      </c>
      <c r="H1647" s="9" t="n">
        <v>15.19333333333334</v>
      </c>
      <c r="I1647" s="9" t="inlineStr">
        <is>
          <t>Depth (no MLB IP)</t>
        </is>
      </c>
      <c r="J1647" s="18" t="inlineStr">
        <is>
          <t>Opening Day</t>
        </is>
      </c>
      <c r="K1647" s="11">
        <f>IFERROR(INDEX(Roles!$B$17:$B$20,MATCH(J1647,Roles!$A$17:$A$20,0)),1)</f>
        <v/>
      </c>
      <c r="L1647" s="19" t="n">
        <v>1</v>
      </c>
      <c r="M1647" s="11" t="n">
        <v>1</v>
      </c>
      <c r="N1647" s="19" t="n"/>
      <c r="O1647" s="19" t="n"/>
      <c r="P1647" s="19" t="n"/>
      <c r="Q1647" s="19" t="n"/>
      <c r="R1647" s="19" t="n"/>
      <c r="S1647" s="19" t="n"/>
      <c r="T1647" s="19" t="n"/>
      <c r="U1647" s="19" t="n"/>
      <c r="V1647" s="19" t="n"/>
      <c r="W1647" s="19" t="n"/>
      <c r="X1647" s="19" t="n"/>
      <c r="Y1647" s="19" t="n">
        <v>1</v>
      </c>
      <c r="Z1647" s="13">
        <f>SUMPRODUCT(N1647:Y1647,$N$2:$Y$2)*$K1647*$L1647*$M1647</f>
        <v/>
      </c>
      <c r="AA1647" s="14">
        <f>SUM(N1647:Y1647)</f>
        <v/>
      </c>
      <c r="AB1647" s="13">
        <f>SUMPRODUCT(N1647:Y1647,$N$3:$Y$3)*$K1647*$L1647*$M1647</f>
        <v/>
      </c>
      <c r="AC1647" s="13">
        <f>SUMPRODUCT(N1647:Y1647,$N$4:$Y$4)*$K1647*$L1647*$M1647</f>
        <v/>
      </c>
      <c r="AD1647" s="15" t="n">
        <v>3</v>
      </c>
      <c r="AE1647" s="11" t="n">
        <v>1.011296296296296</v>
      </c>
      <c r="AF1647" s="16">
        <f>SUMPRODUCT(N1647:Y1647,$N$5:$Y$5)*$K1647*$L1647*$M1647</f>
        <v/>
      </c>
      <c r="AG1647" s="16">
        <f>SUMPRODUCT(N1647:Y1647,$N$6:$Y$6)*$K1647*$L1647*$M1647</f>
        <v/>
      </c>
      <c r="AH1647" s="20" t="n"/>
    </row>
    <row r="1648">
      <c r="A1648" s="9" t="n">
        <v>804255</v>
      </c>
      <c r="B1648" s="9" t="inlineStr">
        <is>
          <t>Seamus Barrett</t>
        </is>
      </c>
      <c r="C1648" s="9" t="inlineStr">
        <is>
          <t>LAD</t>
        </is>
      </c>
      <c r="D1648" s="9" t="n">
        <v>25</v>
      </c>
      <c r="E1648" s="18" t="inlineStr">
        <is>
          <t>R</t>
        </is>
      </c>
      <c r="F1648" s="18" t="n"/>
      <c r="G1648" s="9" t="n">
        <v>15.19333333333334</v>
      </c>
      <c r="H1648" s="9" t="n">
        <v>15.19333333333334</v>
      </c>
      <c r="I1648" s="9" t="inlineStr">
        <is>
          <t>Depth (no MLB IP)</t>
        </is>
      </c>
      <c r="J1648" s="18" t="inlineStr">
        <is>
          <t>Opening Day</t>
        </is>
      </c>
      <c r="K1648" s="11">
        <f>IFERROR(INDEX(Roles!$B$17:$B$20,MATCH(J1648,Roles!$A$17:$A$20,0)),1)</f>
        <v/>
      </c>
      <c r="L1648" s="19" t="n">
        <v>1</v>
      </c>
      <c r="M1648" s="11" t="n">
        <v>1</v>
      </c>
      <c r="N1648" s="19" t="n"/>
      <c r="O1648" s="19" t="n"/>
      <c r="P1648" s="19" t="n"/>
      <c r="Q1648" s="19" t="n"/>
      <c r="R1648" s="19" t="n"/>
      <c r="S1648" s="19" t="n"/>
      <c r="T1648" s="19" t="n"/>
      <c r="U1648" s="19" t="n"/>
      <c r="V1648" s="19" t="n"/>
      <c r="W1648" s="19" t="n"/>
      <c r="X1648" s="19" t="n"/>
      <c r="Y1648" s="19" t="n">
        <v>1</v>
      </c>
      <c r="Z1648" s="13">
        <f>SUMPRODUCT(N1648:Y1648,$N$2:$Y$2)*$K1648*$L1648*$M1648</f>
        <v/>
      </c>
      <c r="AA1648" s="14">
        <f>SUM(N1648:Y1648)</f>
        <v/>
      </c>
      <c r="AB1648" s="13">
        <f>SUMPRODUCT(N1648:Y1648,$N$3:$Y$3)*$K1648*$L1648*$M1648</f>
        <v/>
      </c>
      <c r="AC1648" s="13">
        <f>SUMPRODUCT(N1648:Y1648,$N$4:$Y$4)*$K1648*$L1648*$M1648</f>
        <v/>
      </c>
      <c r="AD1648" s="15" t="n">
        <v>3</v>
      </c>
      <c r="AE1648" s="11" t="n">
        <v>1.011296296296296</v>
      </c>
      <c r="AF1648" s="16">
        <f>SUMPRODUCT(N1648:Y1648,$N$5:$Y$5)*$K1648*$L1648*$M1648</f>
        <v/>
      </c>
      <c r="AG1648" s="16">
        <f>SUMPRODUCT(N1648:Y1648,$N$6:$Y$6)*$K1648*$L1648*$M1648</f>
        <v/>
      </c>
      <c r="AH1648" s="20" t="n"/>
    </row>
    <row r="1649">
      <c r="A1649" s="9" t="n">
        <v>673111</v>
      </c>
      <c r="B1649" s="9" t="inlineStr">
        <is>
          <t>José Lopez</t>
        </is>
      </c>
      <c r="C1649" s="9" t="inlineStr">
        <is>
          <t>TB</t>
        </is>
      </c>
      <c r="D1649" s="9" t="n">
        <v>28</v>
      </c>
      <c r="E1649" s="18" t="inlineStr">
        <is>
          <t>L</t>
        </is>
      </c>
      <c r="F1649" s="18" t="n"/>
      <c r="G1649" s="9" t="n">
        <v>10</v>
      </c>
      <c r="H1649" s="9" t="n">
        <v>10</v>
      </c>
      <c r="I1649" s="9" t="inlineStr">
        <is>
          <t>Depth (no MLB IP)</t>
        </is>
      </c>
      <c r="J1649" s="18" t="inlineStr">
        <is>
          <t>Opening Day</t>
        </is>
      </c>
      <c r="K1649" s="11">
        <f>IFERROR(INDEX(Roles!$B$17:$B$20,MATCH(J1649,Roles!$A$17:$A$20,0)),1)</f>
        <v/>
      </c>
      <c r="L1649" s="19" t="n">
        <v>1</v>
      </c>
      <c r="M1649" s="11" t="n">
        <v>1</v>
      </c>
      <c r="N1649" s="19" t="n"/>
      <c r="O1649" s="19" t="n"/>
      <c r="P1649" s="19" t="n"/>
      <c r="Q1649" s="19" t="n"/>
      <c r="R1649" s="19" t="n"/>
      <c r="S1649" s="19" t="n"/>
      <c r="T1649" s="19" t="n"/>
      <c r="U1649" s="19" t="n"/>
      <c r="V1649" s="19" t="n"/>
      <c r="W1649" s="19" t="n"/>
      <c r="X1649" s="19" t="n"/>
      <c r="Y1649" s="19" t="n">
        <v>1</v>
      </c>
      <c r="Z1649" s="13">
        <f>SUMPRODUCT(N1649:Y1649,$N$2:$Y$2)*$K1649*$L1649*$M1649</f>
        <v/>
      </c>
      <c r="AA1649" s="14">
        <f>SUM(N1649:Y1649)</f>
        <v/>
      </c>
      <c r="AB1649" s="13">
        <f>SUMPRODUCT(N1649:Y1649,$N$3:$Y$3)*$K1649*$L1649*$M1649</f>
        <v/>
      </c>
      <c r="AC1649" s="13">
        <f>SUMPRODUCT(N1649:Y1649,$N$4:$Y$4)*$K1649*$L1649*$M1649</f>
        <v/>
      </c>
      <c r="AD1649" s="15" t="n">
        <v>3</v>
      </c>
      <c r="AE1649" s="11" t="n">
        <v>1.011296296296296</v>
      </c>
      <c r="AF1649" s="16">
        <f>SUMPRODUCT(N1649:Y1649,$N$5:$Y$5)*$K1649*$L1649*$M1649</f>
        <v/>
      </c>
      <c r="AG1649" s="16">
        <f>SUMPRODUCT(N1649:Y1649,$N$6:$Y$6)*$K1649*$L1649*$M1649</f>
        <v/>
      </c>
      <c r="AH1649" s="20" t="n"/>
    </row>
    <row r="1650">
      <c r="A1650" s="9" t="n">
        <v>806776</v>
      </c>
      <c r="B1650" s="9" t="inlineStr">
        <is>
          <t>Brandon Herbold</t>
        </is>
      </c>
      <c r="C1650" s="9" t="inlineStr">
        <is>
          <t>KC</t>
        </is>
      </c>
      <c r="D1650" s="9" t="n">
        <v>25</v>
      </c>
      <c r="E1650" s="18" t="inlineStr">
        <is>
          <t>L</t>
        </is>
      </c>
      <c r="F1650" s="18" t="n"/>
      <c r="G1650" s="9" t="n">
        <v>15.48</v>
      </c>
      <c r="H1650" s="9" t="n">
        <v>15.48</v>
      </c>
      <c r="I1650" s="9" t="inlineStr">
        <is>
          <t>Depth (no MLB IP)</t>
        </is>
      </c>
      <c r="J1650" s="18" t="inlineStr">
        <is>
          <t>Opening Day</t>
        </is>
      </c>
      <c r="K1650" s="11">
        <f>IFERROR(INDEX(Roles!$B$17:$B$20,MATCH(J1650,Roles!$A$17:$A$20,0)),1)</f>
        <v/>
      </c>
      <c r="L1650" s="19" t="n">
        <v>1</v>
      </c>
      <c r="M1650" s="11" t="n">
        <v>1</v>
      </c>
      <c r="N1650" s="19" t="n"/>
      <c r="O1650" s="19" t="n"/>
      <c r="P1650" s="19" t="n"/>
      <c r="Q1650" s="19" t="n"/>
      <c r="R1650" s="19" t="n"/>
      <c r="S1650" s="19" t="n"/>
      <c r="T1650" s="19" t="n"/>
      <c r="U1650" s="19" t="n"/>
      <c r="V1650" s="19" t="n"/>
      <c r="W1650" s="19" t="n"/>
      <c r="X1650" s="19" t="n"/>
      <c r="Y1650" s="19" t="n">
        <v>1</v>
      </c>
      <c r="Z1650" s="13">
        <f>SUMPRODUCT(N1650:Y1650,$N$2:$Y$2)*$K1650*$L1650*$M1650</f>
        <v/>
      </c>
      <c r="AA1650" s="14">
        <f>SUM(N1650:Y1650)</f>
        <v/>
      </c>
      <c r="AB1650" s="13">
        <f>SUMPRODUCT(N1650:Y1650,$N$3:$Y$3)*$K1650*$L1650*$M1650</f>
        <v/>
      </c>
      <c r="AC1650" s="13">
        <f>SUMPRODUCT(N1650:Y1650,$N$4:$Y$4)*$K1650*$L1650*$M1650</f>
        <v/>
      </c>
      <c r="AD1650" s="15" t="n">
        <v>3</v>
      </c>
      <c r="AE1650" s="11" t="n">
        <v>1.011296296296296</v>
      </c>
      <c r="AF1650" s="16">
        <f>SUMPRODUCT(N1650:Y1650,$N$5:$Y$5)*$K1650*$L1650*$M1650</f>
        <v/>
      </c>
      <c r="AG1650" s="16">
        <f>SUMPRODUCT(N1650:Y1650,$N$6:$Y$6)*$K1650*$L1650*$M1650</f>
        <v/>
      </c>
      <c r="AH1650" s="20" t="n"/>
    </row>
    <row r="1651">
      <c r="A1651" s="9" t="n">
        <v>810890</v>
      </c>
      <c r="B1651" s="9" t="inlineStr">
        <is>
          <t>James Tallon</t>
        </is>
      </c>
      <c r="C1651" s="9" t="inlineStr">
        <is>
          <t>PHI</t>
        </is>
      </c>
      <c r="D1651" s="9" t="n">
        <v>25</v>
      </c>
      <c r="E1651" s="18" t="inlineStr">
        <is>
          <t>L</t>
        </is>
      </c>
      <c r="F1651" s="18" t="n"/>
      <c r="G1651" s="9" t="n">
        <v>15.48</v>
      </c>
      <c r="H1651" s="9" t="n">
        <v>15.48</v>
      </c>
      <c r="I1651" s="9" t="inlineStr">
        <is>
          <t>Depth (no MLB IP)</t>
        </is>
      </c>
      <c r="J1651" s="18" t="inlineStr">
        <is>
          <t>Opening Day</t>
        </is>
      </c>
      <c r="K1651" s="11">
        <f>IFERROR(INDEX(Roles!$B$17:$B$20,MATCH(J1651,Roles!$A$17:$A$20,0)),1)</f>
        <v/>
      </c>
      <c r="L1651" s="19" t="n">
        <v>1</v>
      </c>
      <c r="M1651" s="11" t="n">
        <v>1</v>
      </c>
      <c r="N1651" s="19" t="n"/>
      <c r="O1651" s="19" t="n"/>
      <c r="P1651" s="19" t="n"/>
      <c r="Q1651" s="19" t="n"/>
      <c r="R1651" s="19" t="n"/>
      <c r="S1651" s="19" t="n"/>
      <c r="T1651" s="19" t="n"/>
      <c r="U1651" s="19" t="n"/>
      <c r="V1651" s="19" t="n"/>
      <c r="W1651" s="19" t="n"/>
      <c r="X1651" s="19" t="n"/>
      <c r="Y1651" s="19" t="n">
        <v>1</v>
      </c>
      <c r="Z1651" s="13">
        <f>SUMPRODUCT(N1651:Y1651,$N$2:$Y$2)*$K1651*$L1651*$M1651</f>
        <v/>
      </c>
      <c r="AA1651" s="14">
        <f>SUM(N1651:Y1651)</f>
        <v/>
      </c>
      <c r="AB1651" s="13">
        <f>SUMPRODUCT(N1651:Y1651,$N$3:$Y$3)*$K1651*$L1651*$M1651</f>
        <v/>
      </c>
      <c r="AC1651" s="13">
        <f>SUMPRODUCT(N1651:Y1651,$N$4:$Y$4)*$K1651*$L1651*$M1651</f>
        <v/>
      </c>
      <c r="AD1651" s="15" t="n">
        <v>3</v>
      </c>
      <c r="AE1651" s="11" t="n">
        <v>1.011296296296296</v>
      </c>
      <c r="AF1651" s="16">
        <f>SUMPRODUCT(N1651:Y1651,$N$5:$Y$5)*$K1651*$L1651*$M1651</f>
        <v/>
      </c>
      <c r="AG1651" s="16">
        <f>SUMPRODUCT(N1651:Y1651,$N$6:$Y$6)*$K1651*$L1651*$M1651</f>
        <v/>
      </c>
      <c r="AH1651" s="20" t="n"/>
    </row>
    <row r="1652">
      <c r="A1652" s="9" t="n">
        <v>813770</v>
      </c>
      <c r="B1652" s="9" t="inlineStr">
        <is>
          <t>Caden Wooster</t>
        </is>
      </c>
      <c r="C1652" s="9" t="inlineStr">
        <is>
          <t>NYM</t>
        </is>
      </c>
      <c r="D1652" s="9" t="n">
        <v>25</v>
      </c>
      <c r="E1652" s="18" t="inlineStr">
        <is>
          <t>R</t>
        </is>
      </c>
      <c r="F1652" s="18" t="n"/>
      <c r="G1652" s="9" t="n">
        <v>15.308</v>
      </c>
      <c r="H1652" s="9" t="n">
        <v>15.308</v>
      </c>
      <c r="I1652" s="9" t="inlineStr">
        <is>
          <t>Depth (no MLB IP)</t>
        </is>
      </c>
      <c r="J1652" s="18" t="inlineStr">
        <is>
          <t>Opening Day</t>
        </is>
      </c>
      <c r="K1652" s="11">
        <f>IFERROR(INDEX(Roles!$B$17:$B$20,MATCH(J1652,Roles!$A$17:$A$20,0)),1)</f>
        <v/>
      </c>
      <c r="L1652" s="19" t="n">
        <v>1</v>
      </c>
      <c r="M1652" s="11" t="n">
        <v>1</v>
      </c>
      <c r="N1652" s="19" t="n"/>
      <c r="O1652" s="19" t="n"/>
      <c r="P1652" s="19" t="n"/>
      <c r="Q1652" s="19" t="n"/>
      <c r="R1652" s="19" t="n"/>
      <c r="S1652" s="19" t="n"/>
      <c r="T1652" s="19" t="n"/>
      <c r="U1652" s="19" t="n"/>
      <c r="V1652" s="19" t="n"/>
      <c r="W1652" s="19" t="n"/>
      <c r="X1652" s="19" t="n"/>
      <c r="Y1652" s="19" t="n">
        <v>1</v>
      </c>
      <c r="Z1652" s="13">
        <f>SUMPRODUCT(N1652:Y1652,$N$2:$Y$2)*$K1652*$L1652*$M1652</f>
        <v/>
      </c>
      <c r="AA1652" s="14">
        <f>SUM(N1652:Y1652)</f>
        <v/>
      </c>
      <c r="AB1652" s="13">
        <f>SUMPRODUCT(N1652:Y1652,$N$3:$Y$3)*$K1652*$L1652*$M1652</f>
        <v/>
      </c>
      <c r="AC1652" s="13">
        <f>SUMPRODUCT(N1652:Y1652,$N$4:$Y$4)*$K1652*$L1652*$M1652</f>
        <v/>
      </c>
      <c r="AD1652" s="15" t="n">
        <v>3</v>
      </c>
      <c r="AE1652" s="11" t="n">
        <v>1.011296296296296</v>
      </c>
      <c r="AF1652" s="16">
        <f>SUMPRODUCT(N1652:Y1652,$N$5:$Y$5)*$K1652*$L1652*$M1652</f>
        <v/>
      </c>
      <c r="AG1652" s="16">
        <f>SUMPRODUCT(N1652:Y1652,$N$6:$Y$6)*$K1652*$L1652*$M1652</f>
        <v/>
      </c>
      <c r="AH1652" s="20" t="n"/>
    </row>
    <row r="1653">
      <c r="A1653" s="9" t="n">
        <v>806768</v>
      </c>
      <c r="B1653" s="9" t="inlineStr">
        <is>
          <t>Giacomo Taschin</t>
        </is>
      </c>
      <c r="C1653" s="9" t="inlineStr">
        <is>
          <t>TOR</t>
        </is>
      </c>
      <c r="D1653" s="9" t="n">
        <v>25</v>
      </c>
      <c r="E1653" s="18" t="inlineStr">
        <is>
          <t>L</t>
        </is>
      </c>
      <c r="F1653" s="18" t="n"/>
      <c r="G1653" s="9" t="n">
        <v>15.308</v>
      </c>
      <c r="H1653" s="9" t="n">
        <v>15.308</v>
      </c>
      <c r="I1653" s="9" t="inlineStr">
        <is>
          <t>Depth (no MLB IP)</t>
        </is>
      </c>
      <c r="J1653" s="18" t="inlineStr">
        <is>
          <t>Opening Day</t>
        </is>
      </c>
      <c r="K1653" s="11">
        <f>IFERROR(INDEX(Roles!$B$17:$B$20,MATCH(J1653,Roles!$A$17:$A$20,0)),1)</f>
        <v/>
      </c>
      <c r="L1653" s="19" t="n">
        <v>1</v>
      </c>
      <c r="M1653" s="11" t="n">
        <v>1</v>
      </c>
      <c r="N1653" s="19" t="n"/>
      <c r="O1653" s="19" t="n"/>
      <c r="P1653" s="19" t="n"/>
      <c r="Q1653" s="19" t="n"/>
      <c r="R1653" s="19" t="n"/>
      <c r="S1653" s="19" t="n"/>
      <c r="T1653" s="19" t="n"/>
      <c r="U1653" s="19" t="n"/>
      <c r="V1653" s="19" t="n"/>
      <c r="W1653" s="19" t="n"/>
      <c r="X1653" s="19" t="n"/>
      <c r="Y1653" s="19" t="n">
        <v>1</v>
      </c>
      <c r="Z1653" s="13">
        <f>SUMPRODUCT(N1653:Y1653,$N$2:$Y$2)*$K1653*$L1653*$M1653</f>
        <v/>
      </c>
      <c r="AA1653" s="14">
        <f>SUM(N1653:Y1653)</f>
        <v/>
      </c>
      <c r="AB1653" s="13">
        <f>SUMPRODUCT(N1653:Y1653,$N$3:$Y$3)*$K1653*$L1653*$M1653</f>
        <v/>
      </c>
      <c r="AC1653" s="13">
        <f>SUMPRODUCT(N1653:Y1653,$N$4:$Y$4)*$K1653*$L1653*$M1653</f>
        <v/>
      </c>
      <c r="AD1653" s="15" t="n">
        <v>3</v>
      </c>
      <c r="AE1653" s="11" t="n">
        <v>1.011296296296296</v>
      </c>
      <c r="AF1653" s="16">
        <f>SUMPRODUCT(N1653:Y1653,$N$5:$Y$5)*$K1653*$L1653*$M1653</f>
        <v/>
      </c>
      <c r="AG1653" s="16">
        <f>SUMPRODUCT(N1653:Y1653,$N$6:$Y$6)*$K1653*$L1653*$M1653</f>
        <v/>
      </c>
      <c r="AH1653" s="20" t="n"/>
    </row>
    <row r="1654">
      <c r="A1654" s="9" t="n">
        <v>820889</v>
      </c>
      <c r="B1654" s="9" t="inlineStr">
        <is>
          <t>Efrailin Ramos</t>
        </is>
      </c>
      <c r="C1654" s="9" t="inlineStr">
        <is>
          <t>TB</t>
        </is>
      </c>
      <c r="D1654" s="9" t="n">
        <v>25</v>
      </c>
      <c r="E1654" s="18" t="inlineStr">
        <is>
          <t>R</t>
        </is>
      </c>
      <c r="F1654" s="18" t="n"/>
      <c r="G1654" s="9" t="n">
        <v>15.48</v>
      </c>
      <c r="H1654" s="9" t="n">
        <v>15.48</v>
      </c>
      <c r="I1654" s="9" t="inlineStr">
        <is>
          <t>Depth (no MLB IP)</t>
        </is>
      </c>
      <c r="J1654" s="18" t="inlineStr">
        <is>
          <t>Opening Day</t>
        </is>
      </c>
      <c r="K1654" s="11">
        <f>IFERROR(INDEX(Roles!$B$17:$B$20,MATCH(J1654,Roles!$A$17:$A$20,0)),1)</f>
        <v/>
      </c>
      <c r="L1654" s="19" t="n">
        <v>1</v>
      </c>
      <c r="M1654" s="11" t="n">
        <v>1</v>
      </c>
      <c r="N1654" s="19" t="n"/>
      <c r="O1654" s="19" t="n"/>
      <c r="P1654" s="19" t="n"/>
      <c r="Q1654" s="19" t="n"/>
      <c r="R1654" s="19" t="n"/>
      <c r="S1654" s="19" t="n"/>
      <c r="T1654" s="19" t="n"/>
      <c r="U1654" s="19" t="n"/>
      <c r="V1654" s="19" t="n"/>
      <c r="W1654" s="19" t="n"/>
      <c r="X1654" s="19" t="n"/>
      <c r="Y1654" s="19" t="n">
        <v>1</v>
      </c>
      <c r="Z1654" s="13">
        <f>SUMPRODUCT(N1654:Y1654,$N$2:$Y$2)*$K1654*$L1654*$M1654</f>
        <v/>
      </c>
      <c r="AA1654" s="14">
        <f>SUM(N1654:Y1654)</f>
        <v/>
      </c>
      <c r="AB1654" s="13">
        <f>SUMPRODUCT(N1654:Y1654,$N$3:$Y$3)*$K1654*$L1654*$M1654</f>
        <v/>
      </c>
      <c r="AC1654" s="13">
        <f>SUMPRODUCT(N1654:Y1654,$N$4:$Y$4)*$K1654*$L1654*$M1654</f>
        <v/>
      </c>
      <c r="AD1654" s="15" t="n">
        <v>3</v>
      </c>
      <c r="AE1654" s="11" t="n">
        <v>1.011296296296296</v>
      </c>
      <c r="AF1654" s="16">
        <f>SUMPRODUCT(N1654:Y1654,$N$5:$Y$5)*$K1654*$L1654*$M1654</f>
        <v/>
      </c>
      <c r="AG1654" s="16">
        <f>SUMPRODUCT(N1654:Y1654,$N$6:$Y$6)*$K1654*$L1654*$M1654</f>
        <v/>
      </c>
      <c r="AH1654" s="20" t="n"/>
    </row>
    <row r="1655">
      <c r="A1655" s="9" t="n">
        <v>808515</v>
      </c>
      <c r="B1655" s="9" t="inlineStr">
        <is>
          <t>Cristobal Abreu</t>
        </is>
      </c>
      <c r="C1655" s="9" t="inlineStr">
        <is>
          <t>ATL</t>
        </is>
      </c>
      <c r="D1655" s="9" t="n">
        <v>25</v>
      </c>
      <c r="E1655" s="18" t="inlineStr">
        <is>
          <t>R</t>
        </is>
      </c>
      <c r="F1655" s="18" t="n"/>
      <c r="G1655" s="9" t="n">
        <v>15.48</v>
      </c>
      <c r="H1655" s="9" t="n">
        <v>15.48</v>
      </c>
      <c r="I1655" s="9" t="inlineStr">
        <is>
          <t>Depth (no MLB IP)</t>
        </is>
      </c>
      <c r="J1655" s="18" t="inlineStr">
        <is>
          <t>Opening Day</t>
        </is>
      </c>
      <c r="K1655" s="11">
        <f>IFERROR(INDEX(Roles!$B$17:$B$20,MATCH(J1655,Roles!$A$17:$A$20,0)),1)</f>
        <v/>
      </c>
      <c r="L1655" s="19" t="n">
        <v>1</v>
      </c>
      <c r="M1655" s="11" t="n">
        <v>1</v>
      </c>
      <c r="N1655" s="19" t="n"/>
      <c r="O1655" s="19" t="n"/>
      <c r="P1655" s="19" t="n"/>
      <c r="Q1655" s="19" t="n"/>
      <c r="R1655" s="19" t="n"/>
      <c r="S1655" s="19" t="n"/>
      <c r="T1655" s="19" t="n"/>
      <c r="U1655" s="19" t="n"/>
      <c r="V1655" s="19" t="n"/>
      <c r="W1655" s="19" t="n"/>
      <c r="X1655" s="19" t="n"/>
      <c r="Y1655" s="19" t="n">
        <v>1</v>
      </c>
      <c r="Z1655" s="13">
        <f>SUMPRODUCT(N1655:Y1655,$N$2:$Y$2)*$K1655*$L1655*$M1655</f>
        <v/>
      </c>
      <c r="AA1655" s="14">
        <f>SUM(N1655:Y1655)</f>
        <v/>
      </c>
      <c r="AB1655" s="13">
        <f>SUMPRODUCT(N1655:Y1655,$N$3:$Y$3)*$K1655*$L1655*$M1655</f>
        <v/>
      </c>
      <c r="AC1655" s="13">
        <f>SUMPRODUCT(N1655:Y1655,$N$4:$Y$4)*$K1655*$L1655*$M1655</f>
        <v/>
      </c>
      <c r="AD1655" s="15" t="n">
        <v>3</v>
      </c>
      <c r="AE1655" s="11" t="n">
        <v>1.011296296296296</v>
      </c>
      <c r="AF1655" s="16">
        <f>SUMPRODUCT(N1655:Y1655,$N$5:$Y$5)*$K1655*$L1655*$M1655</f>
        <v/>
      </c>
      <c r="AG1655" s="16">
        <f>SUMPRODUCT(N1655:Y1655,$N$6:$Y$6)*$K1655*$L1655*$M1655</f>
        <v/>
      </c>
      <c r="AH1655" s="20" t="n"/>
    </row>
    <row r="1656">
      <c r="A1656" s="9" t="n">
        <v>694408</v>
      </c>
      <c r="B1656" s="9" t="inlineStr">
        <is>
          <t>Riley Eikhoff</t>
        </is>
      </c>
      <c r="C1656" s="9" t="inlineStr">
        <is>
          <t>CWS</t>
        </is>
      </c>
      <c r="D1656" s="9" t="n">
        <v>25</v>
      </c>
      <c r="E1656" s="18" t="inlineStr">
        <is>
          <t>R</t>
        </is>
      </c>
      <c r="F1656" s="18" t="n"/>
      <c r="G1656" s="9" t="n">
        <v>15.48</v>
      </c>
      <c r="H1656" s="9" t="n">
        <v>15.48</v>
      </c>
      <c r="I1656" s="9" t="inlineStr">
        <is>
          <t>Depth (no MLB IP)</t>
        </is>
      </c>
      <c r="J1656" s="18" t="inlineStr">
        <is>
          <t>Opening Day</t>
        </is>
      </c>
      <c r="K1656" s="11">
        <f>IFERROR(INDEX(Roles!$B$17:$B$20,MATCH(J1656,Roles!$A$17:$A$20,0)),1)</f>
        <v/>
      </c>
      <c r="L1656" s="19" t="n">
        <v>1</v>
      </c>
      <c r="M1656" s="11" t="n">
        <v>1</v>
      </c>
      <c r="N1656" s="19" t="n"/>
      <c r="O1656" s="19" t="n"/>
      <c r="P1656" s="19" t="n"/>
      <c r="Q1656" s="19" t="n"/>
      <c r="R1656" s="19" t="n"/>
      <c r="S1656" s="19" t="n"/>
      <c r="T1656" s="19" t="n"/>
      <c r="U1656" s="19" t="n"/>
      <c r="V1656" s="19" t="n"/>
      <c r="W1656" s="19" t="n"/>
      <c r="X1656" s="19" t="n"/>
      <c r="Y1656" s="19" t="n">
        <v>1</v>
      </c>
      <c r="Z1656" s="13">
        <f>SUMPRODUCT(N1656:Y1656,$N$2:$Y$2)*$K1656*$L1656*$M1656</f>
        <v/>
      </c>
      <c r="AA1656" s="14">
        <f>SUM(N1656:Y1656)</f>
        <v/>
      </c>
      <c r="AB1656" s="13">
        <f>SUMPRODUCT(N1656:Y1656,$N$3:$Y$3)*$K1656*$L1656*$M1656</f>
        <v/>
      </c>
      <c r="AC1656" s="13">
        <f>SUMPRODUCT(N1656:Y1656,$N$4:$Y$4)*$K1656*$L1656*$M1656</f>
        <v/>
      </c>
      <c r="AD1656" s="15" t="n">
        <v>3</v>
      </c>
      <c r="AE1656" s="11" t="n">
        <v>1.011296296296296</v>
      </c>
      <c r="AF1656" s="16">
        <f>SUMPRODUCT(N1656:Y1656,$N$5:$Y$5)*$K1656*$L1656*$M1656</f>
        <v/>
      </c>
      <c r="AG1656" s="16">
        <f>SUMPRODUCT(N1656:Y1656,$N$6:$Y$6)*$K1656*$L1656*$M1656</f>
        <v/>
      </c>
      <c r="AH1656" s="20" t="n"/>
    </row>
    <row r="1657">
      <c r="A1657" s="9" t="n">
        <v>805243</v>
      </c>
      <c r="B1657" s="9" t="inlineStr">
        <is>
          <t>Zack Qin</t>
        </is>
      </c>
      <c r="C1657" s="9" t="inlineStr">
        <is>
          <t>SD</t>
        </is>
      </c>
      <c r="D1657" s="9" t="n">
        <v>25</v>
      </c>
      <c r="E1657" s="18" t="inlineStr">
        <is>
          <t>L</t>
        </is>
      </c>
      <c r="F1657" s="18" t="n"/>
      <c r="G1657" s="9" t="n">
        <v>15.48</v>
      </c>
      <c r="H1657" s="9" t="n">
        <v>15.48</v>
      </c>
      <c r="I1657" s="9" t="inlineStr">
        <is>
          <t>Depth (no MLB IP)</t>
        </is>
      </c>
      <c r="J1657" s="18" t="inlineStr">
        <is>
          <t>Opening Day</t>
        </is>
      </c>
      <c r="K1657" s="11">
        <f>IFERROR(INDEX(Roles!$B$17:$B$20,MATCH(J1657,Roles!$A$17:$A$20,0)),1)</f>
        <v/>
      </c>
      <c r="L1657" s="19" t="n">
        <v>1</v>
      </c>
      <c r="M1657" s="11" t="n">
        <v>1</v>
      </c>
      <c r="N1657" s="19" t="n"/>
      <c r="O1657" s="19" t="n"/>
      <c r="P1657" s="19" t="n"/>
      <c r="Q1657" s="19" t="n"/>
      <c r="R1657" s="19" t="n"/>
      <c r="S1657" s="19" t="n"/>
      <c r="T1657" s="19" t="n"/>
      <c r="U1657" s="19" t="n"/>
      <c r="V1657" s="19" t="n"/>
      <c r="W1657" s="19" t="n"/>
      <c r="X1657" s="19" t="n"/>
      <c r="Y1657" s="19" t="n">
        <v>1</v>
      </c>
      <c r="Z1657" s="13">
        <f>SUMPRODUCT(N1657:Y1657,$N$2:$Y$2)*$K1657*$L1657*$M1657</f>
        <v/>
      </c>
      <c r="AA1657" s="14">
        <f>SUM(N1657:Y1657)</f>
        <v/>
      </c>
      <c r="AB1657" s="13">
        <f>SUMPRODUCT(N1657:Y1657,$N$3:$Y$3)*$K1657*$L1657*$M1657</f>
        <v/>
      </c>
      <c r="AC1657" s="13">
        <f>SUMPRODUCT(N1657:Y1657,$N$4:$Y$4)*$K1657*$L1657*$M1657</f>
        <v/>
      </c>
      <c r="AD1657" s="15" t="n">
        <v>3</v>
      </c>
      <c r="AE1657" s="11" t="n">
        <v>1.011296296296296</v>
      </c>
      <c r="AF1657" s="16">
        <f>SUMPRODUCT(N1657:Y1657,$N$5:$Y$5)*$K1657*$L1657*$M1657</f>
        <v/>
      </c>
      <c r="AG1657" s="16">
        <f>SUMPRODUCT(N1657:Y1657,$N$6:$Y$6)*$K1657*$L1657*$M1657</f>
        <v/>
      </c>
      <c r="AH1657" s="20" t="n"/>
    </row>
    <row r="1658">
      <c r="A1658" s="9" t="n">
        <v>814346</v>
      </c>
      <c r="B1658" s="9" t="inlineStr">
        <is>
          <t>Dylan Watts</t>
        </is>
      </c>
      <c r="C1658" s="9" t="inlineStr">
        <is>
          <t>TOR</t>
        </is>
      </c>
      <c r="D1658" s="9" t="n">
        <v>25</v>
      </c>
      <c r="E1658" s="18" t="inlineStr">
        <is>
          <t>R</t>
        </is>
      </c>
      <c r="F1658" s="18" t="n"/>
      <c r="G1658" s="9" t="n">
        <v>15.48</v>
      </c>
      <c r="H1658" s="9" t="n">
        <v>15.48</v>
      </c>
      <c r="I1658" s="9" t="inlineStr">
        <is>
          <t>Depth (no MLB IP)</t>
        </is>
      </c>
      <c r="J1658" s="18" t="inlineStr">
        <is>
          <t>Opening Day</t>
        </is>
      </c>
      <c r="K1658" s="11">
        <f>IFERROR(INDEX(Roles!$B$17:$B$20,MATCH(J1658,Roles!$A$17:$A$20,0)),1)</f>
        <v/>
      </c>
      <c r="L1658" s="19" t="n">
        <v>1</v>
      </c>
      <c r="M1658" s="11" t="n">
        <v>1</v>
      </c>
      <c r="N1658" s="19" t="n"/>
      <c r="O1658" s="19" t="n"/>
      <c r="P1658" s="19" t="n"/>
      <c r="Q1658" s="19" t="n"/>
      <c r="R1658" s="19" t="n"/>
      <c r="S1658" s="19" t="n"/>
      <c r="T1658" s="19" t="n"/>
      <c r="U1658" s="19" t="n"/>
      <c r="V1658" s="19" t="n"/>
      <c r="W1658" s="19" t="n"/>
      <c r="X1658" s="19" t="n"/>
      <c r="Y1658" s="19" t="n">
        <v>1</v>
      </c>
      <c r="Z1658" s="13">
        <f>SUMPRODUCT(N1658:Y1658,$N$2:$Y$2)*$K1658*$L1658*$M1658</f>
        <v/>
      </c>
      <c r="AA1658" s="14">
        <f>SUM(N1658:Y1658)</f>
        <v/>
      </c>
      <c r="AB1658" s="13">
        <f>SUMPRODUCT(N1658:Y1658,$N$3:$Y$3)*$K1658*$L1658*$M1658</f>
        <v/>
      </c>
      <c r="AC1658" s="13">
        <f>SUMPRODUCT(N1658:Y1658,$N$4:$Y$4)*$K1658*$L1658*$M1658</f>
        <v/>
      </c>
      <c r="AD1658" s="15" t="n">
        <v>3</v>
      </c>
      <c r="AE1658" s="11" t="n">
        <v>1.011296296296296</v>
      </c>
      <c r="AF1658" s="16">
        <f>SUMPRODUCT(N1658:Y1658,$N$5:$Y$5)*$K1658*$L1658*$M1658</f>
        <v/>
      </c>
      <c r="AG1658" s="16">
        <f>SUMPRODUCT(N1658:Y1658,$N$6:$Y$6)*$K1658*$L1658*$M1658</f>
        <v/>
      </c>
      <c r="AH1658" s="20" t="n"/>
    </row>
    <row r="1659">
      <c r="A1659" s="9" t="n">
        <v>804728</v>
      </c>
      <c r="B1659" s="9" t="inlineStr">
        <is>
          <t>Jake Bockenstedt</t>
        </is>
      </c>
      <c r="C1659" s="9" t="inlineStr">
        <is>
          <t>CWS</t>
        </is>
      </c>
      <c r="D1659" s="9" t="n">
        <v>25</v>
      </c>
      <c r="E1659" s="18" t="inlineStr">
        <is>
          <t>R</t>
        </is>
      </c>
      <c r="F1659" s="18" t="n"/>
      <c r="G1659" s="9" t="n">
        <v>15.55166666666667</v>
      </c>
      <c r="H1659" s="9" t="n">
        <v>15.55166666666667</v>
      </c>
      <c r="I1659" s="9" t="inlineStr">
        <is>
          <t>Depth (no MLB IP)</t>
        </is>
      </c>
      <c r="J1659" s="18" t="inlineStr">
        <is>
          <t>Opening Day</t>
        </is>
      </c>
      <c r="K1659" s="11">
        <f>IFERROR(INDEX(Roles!$B$17:$B$20,MATCH(J1659,Roles!$A$17:$A$20,0)),1)</f>
        <v/>
      </c>
      <c r="L1659" s="19" t="n">
        <v>1</v>
      </c>
      <c r="M1659" s="11" t="n">
        <v>1</v>
      </c>
      <c r="N1659" s="19" t="n"/>
      <c r="O1659" s="19" t="n"/>
      <c r="P1659" s="19" t="n"/>
      <c r="Q1659" s="19" t="n"/>
      <c r="R1659" s="19" t="n"/>
      <c r="S1659" s="19" t="n"/>
      <c r="T1659" s="19" t="n"/>
      <c r="U1659" s="19" t="n"/>
      <c r="V1659" s="19" t="n"/>
      <c r="W1659" s="19" t="n"/>
      <c r="X1659" s="19" t="n"/>
      <c r="Y1659" s="19" t="n">
        <v>1</v>
      </c>
      <c r="Z1659" s="13">
        <f>SUMPRODUCT(N1659:Y1659,$N$2:$Y$2)*$K1659*$L1659*$M1659</f>
        <v/>
      </c>
      <c r="AA1659" s="14">
        <f>SUM(N1659:Y1659)</f>
        <v/>
      </c>
      <c r="AB1659" s="13">
        <f>SUMPRODUCT(N1659:Y1659,$N$3:$Y$3)*$K1659*$L1659*$M1659</f>
        <v/>
      </c>
      <c r="AC1659" s="13">
        <f>SUMPRODUCT(N1659:Y1659,$N$4:$Y$4)*$K1659*$L1659*$M1659</f>
        <v/>
      </c>
      <c r="AD1659" s="15" t="n">
        <v>3</v>
      </c>
      <c r="AE1659" s="11" t="n">
        <v>1.011296296296296</v>
      </c>
      <c r="AF1659" s="16">
        <f>SUMPRODUCT(N1659:Y1659,$N$5:$Y$5)*$K1659*$L1659*$M1659</f>
        <v/>
      </c>
      <c r="AG1659" s="16">
        <f>SUMPRODUCT(N1659:Y1659,$N$6:$Y$6)*$K1659*$L1659*$M1659</f>
        <v/>
      </c>
      <c r="AH1659" s="20" t="n"/>
    </row>
    <row r="1660">
      <c r="A1660" s="9" t="n">
        <v>802089</v>
      </c>
      <c r="B1660" s="9" t="inlineStr">
        <is>
          <t>Franklyn Moreta</t>
        </is>
      </c>
      <c r="C1660" s="9" t="inlineStr">
        <is>
          <t>MIA</t>
        </is>
      </c>
      <c r="D1660" s="9" t="n">
        <v>25</v>
      </c>
      <c r="E1660" s="18" t="inlineStr">
        <is>
          <t>R</t>
        </is>
      </c>
      <c r="F1660" s="18" t="n"/>
      <c r="G1660" s="9" t="n">
        <v>15.48</v>
      </c>
      <c r="H1660" s="9" t="n">
        <v>15.48</v>
      </c>
      <c r="I1660" s="9" t="inlineStr">
        <is>
          <t>Depth (no MLB IP)</t>
        </is>
      </c>
      <c r="J1660" s="18" t="inlineStr">
        <is>
          <t>Opening Day</t>
        </is>
      </c>
      <c r="K1660" s="11">
        <f>IFERROR(INDEX(Roles!$B$17:$B$20,MATCH(J1660,Roles!$A$17:$A$20,0)),1)</f>
        <v/>
      </c>
      <c r="L1660" s="19" t="n">
        <v>1</v>
      </c>
      <c r="M1660" s="11" t="n">
        <v>1</v>
      </c>
      <c r="N1660" s="19" t="n"/>
      <c r="O1660" s="19" t="n"/>
      <c r="P1660" s="19" t="n"/>
      <c r="Q1660" s="19" t="n"/>
      <c r="R1660" s="19" t="n"/>
      <c r="S1660" s="19" t="n"/>
      <c r="T1660" s="19" t="n"/>
      <c r="U1660" s="19" t="n"/>
      <c r="V1660" s="19" t="n"/>
      <c r="W1660" s="19" t="n"/>
      <c r="X1660" s="19" t="n"/>
      <c r="Y1660" s="19" t="n">
        <v>1</v>
      </c>
      <c r="Z1660" s="13">
        <f>SUMPRODUCT(N1660:Y1660,$N$2:$Y$2)*$K1660*$L1660*$M1660</f>
        <v/>
      </c>
      <c r="AA1660" s="14">
        <f>SUM(N1660:Y1660)</f>
        <v/>
      </c>
      <c r="AB1660" s="13">
        <f>SUMPRODUCT(N1660:Y1660,$N$3:$Y$3)*$K1660*$L1660*$M1660</f>
        <v/>
      </c>
      <c r="AC1660" s="13">
        <f>SUMPRODUCT(N1660:Y1660,$N$4:$Y$4)*$K1660*$L1660*$M1660</f>
        <v/>
      </c>
      <c r="AD1660" s="15" t="n">
        <v>3</v>
      </c>
      <c r="AE1660" s="11" t="n">
        <v>1.011296296296296</v>
      </c>
      <c r="AF1660" s="16">
        <f>SUMPRODUCT(N1660:Y1660,$N$5:$Y$5)*$K1660*$L1660*$M1660</f>
        <v/>
      </c>
      <c r="AG1660" s="16">
        <f>SUMPRODUCT(N1660:Y1660,$N$6:$Y$6)*$K1660*$L1660*$M1660</f>
        <v/>
      </c>
      <c r="AH1660" s="20" t="n"/>
    </row>
    <row r="1661">
      <c r="A1661" s="9" t="n">
        <v>834897</v>
      </c>
      <c r="B1661" s="9" t="inlineStr">
        <is>
          <t>Dylan Driessen</t>
        </is>
      </c>
      <c r="C1661" s="9" t="inlineStr">
        <is>
          <t>STL</t>
        </is>
      </c>
      <c r="D1661" s="9" t="n">
        <v>25</v>
      </c>
      <c r="E1661" s="18" t="inlineStr">
        <is>
          <t>R</t>
        </is>
      </c>
      <c r="F1661" s="18" t="n"/>
      <c r="G1661" s="9" t="n">
        <v>15.48</v>
      </c>
      <c r="H1661" s="9" t="n">
        <v>15.48</v>
      </c>
      <c r="I1661" s="9" t="inlineStr">
        <is>
          <t>Depth (no MLB IP)</t>
        </is>
      </c>
      <c r="J1661" s="18" t="inlineStr">
        <is>
          <t>Opening Day</t>
        </is>
      </c>
      <c r="K1661" s="11">
        <f>IFERROR(INDEX(Roles!$B$17:$B$20,MATCH(J1661,Roles!$A$17:$A$20,0)),1)</f>
        <v/>
      </c>
      <c r="L1661" s="19" t="n">
        <v>1</v>
      </c>
      <c r="M1661" s="11" t="n">
        <v>1</v>
      </c>
      <c r="N1661" s="19" t="n"/>
      <c r="O1661" s="19" t="n"/>
      <c r="P1661" s="19" t="n"/>
      <c r="Q1661" s="19" t="n"/>
      <c r="R1661" s="19" t="n"/>
      <c r="S1661" s="19" t="n"/>
      <c r="T1661" s="19" t="n"/>
      <c r="U1661" s="19" t="n"/>
      <c r="V1661" s="19" t="n"/>
      <c r="W1661" s="19" t="n"/>
      <c r="X1661" s="19" t="n"/>
      <c r="Y1661" s="19" t="n">
        <v>1</v>
      </c>
      <c r="Z1661" s="13">
        <f>SUMPRODUCT(N1661:Y1661,$N$2:$Y$2)*$K1661*$L1661*$M1661</f>
        <v/>
      </c>
      <c r="AA1661" s="14">
        <f>SUM(N1661:Y1661)</f>
        <v/>
      </c>
      <c r="AB1661" s="13">
        <f>SUMPRODUCT(N1661:Y1661,$N$3:$Y$3)*$K1661*$L1661*$M1661</f>
        <v/>
      </c>
      <c r="AC1661" s="13">
        <f>SUMPRODUCT(N1661:Y1661,$N$4:$Y$4)*$K1661*$L1661*$M1661</f>
        <v/>
      </c>
      <c r="AD1661" s="15" t="n">
        <v>3</v>
      </c>
      <c r="AE1661" s="11" t="n">
        <v>1.011296296296296</v>
      </c>
      <c r="AF1661" s="16">
        <f>SUMPRODUCT(N1661:Y1661,$N$5:$Y$5)*$K1661*$L1661*$M1661</f>
        <v/>
      </c>
      <c r="AG1661" s="16">
        <f>SUMPRODUCT(N1661:Y1661,$N$6:$Y$6)*$K1661*$L1661*$M1661</f>
        <v/>
      </c>
      <c r="AH1661" s="20" t="n"/>
    </row>
    <row r="1662">
      <c r="A1662" s="9" t="n">
        <v>810920</v>
      </c>
      <c r="B1662" s="9" t="inlineStr">
        <is>
          <t>Jake Murray</t>
        </is>
      </c>
      <c r="C1662" s="9" t="inlineStr">
        <is>
          <t>MIN</t>
        </is>
      </c>
      <c r="D1662" s="9" t="n">
        <v>25</v>
      </c>
      <c r="E1662" s="18" t="inlineStr">
        <is>
          <t>L</t>
        </is>
      </c>
      <c r="F1662" s="18" t="n"/>
      <c r="G1662" s="9" t="n">
        <v>15.652</v>
      </c>
      <c r="H1662" s="9" t="n">
        <v>15.652</v>
      </c>
      <c r="I1662" s="9" t="inlineStr">
        <is>
          <t>Depth (no MLB IP)</t>
        </is>
      </c>
      <c r="J1662" s="18" t="inlineStr">
        <is>
          <t>Opening Day</t>
        </is>
      </c>
      <c r="K1662" s="11">
        <f>IFERROR(INDEX(Roles!$B$17:$B$20,MATCH(J1662,Roles!$A$17:$A$20,0)),1)</f>
        <v/>
      </c>
      <c r="L1662" s="19" t="n">
        <v>1</v>
      </c>
      <c r="M1662" s="11" t="n">
        <v>1</v>
      </c>
      <c r="N1662" s="19" t="n"/>
      <c r="O1662" s="19" t="n"/>
      <c r="P1662" s="19" t="n"/>
      <c r="Q1662" s="19" t="n"/>
      <c r="R1662" s="19" t="n"/>
      <c r="S1662" s="19" t="n"/>
      <c r="T1662" s="19" t="n"/>
      <c r="U1662" s="19" t="n"/>
      <c r="V1662" s="19" t="n"/>
      <c r="W1662" s="19" t="n"/>
      <c r="X1662" s="19" t="n"/>
      <c r="Y1662" s="19" t="n">
        <v>1</v>
      </c>
      <c r="Z1662" s="13">
        <f>SUMPRODUCT(N1662:Y1662,$N$2:$Y$2)*$K1662*$L1662*$M1662</f>
        <v/>
      </c>
      <c r="AA1662" s="14">
        <f>SUM(N1662:Y1662)</f>
        <v/>
      </c>
      <c r="AB1662" s="13">
        <f>SUMPRODUCT(N1662:Y1662,$N$3:$Y$3)*$K1662*$L1662*$M1662</f>
        <v/>
      </c>
      <c r="AC1662" s="13">
        <f>SUMPRODUCT(N1662:Y1662,$N$4:$Y$4)*$K1662*$L1662*$M1662</f>
        <v/>
      </c>
      <c r="AD1662" s="15" t="n">
        <v>3</v>
      </c>
      <c r="AE1662" s="11" t="n">
        <v>1.011296296296296</v>
      </c>
      <c r="AF1662" s="16">
        <f>SUMPRODUCT(N1662:Y1662,$N$5:$Y$5)*$K1662*$L1662*$M1662</f>
        <v/>
      </c>
      <c r="AG1662" s="16">
        <f>SUMPRODUCT(N1662:Y1662,$N$6:$Y$6)*$K1662*$L1662*$M1662</f>
        <v/>
      </c>
      <c r="AH1662" s="20" t="n"/>
    </row>
    <row r="1663">
      <c r="A1663" s="9" t="n">
        <v>695066</v>
      </c>
      <c r="B1663" s="9" t="inlineStr">
        <is>
          <t>Ben Grable</t>
        </is>
      </c>
      <c r="C1663" s="9" t="inlineStr">
        <is>
          <t>WSH</t>
        </is>
      </c>
      <c r="D1663" s="9" t="n">
        <v>25</v>
      </c>
      <c r="E1663" s="18" t="inlineStr">
        <is>
          <t>R</t>
        </is>
      </c>
      <c r="F1663" s="18" t="n"/>
      <c r="G1663" s="9" t="n">
        <v>15.76666666666667</v>
      </c>
      <c r="H1663" s="9" t="n">
        <v>15.76666666666667</v>
      </c>
      <c r="I1663" s="9" t="inlineStr">
        <is>
          <t>Depth (no MLB IP)</t>
        </is>
      </c>
      <c r="J1663" s="18" t="inlineStr">
        <is>
          <t>Opening Day</t>
        </is>
      </c>
      <c r="K1663" s="11">
        <f>IFERROR(INDEX(Roles!$B$17:$B$20,MATCH(J1663,Roles!$A$17:$A$20,0)),1)</f>
        <v/>
      </c>
      <c r="L1663" s="19" t="n">
        <v>1</v>
      </c>
      <c r="M1663" s="11" t="n">
        <v>1</v>
      </c>
      <c r="N1663" s="19" t="n"/>
      <c r="O1663" s="19" t="n"/>
      <c r="P1663" s="19" t="n"/>
      <c r="Q1663" s="19" t="n"/>
      <c r="R1663" s="19" t="n"/>
      <c r="S1663" s="19" t="n"/>
      <c r="T1663" s="19" t="n"/>
      <c r="U1663" s="19" t="n"/>
      <c r="V1663" s="19" t="n"/>
      <c r="W1663" s="19" t="n"/>
      <c r="X1663" s="19" t="n"/>
      <c r="Y1663" s="19" t="n">
        <v>1</v>
      </c>
      <c r="Z1663" s="13">
        <f>SUMPRODUCT(N1663:Y1663,$N$2:$Y$2)*$K1663*$L1663*$M1663</f>
        <v/>
      </c>
      <c r="AA1663" s="14">
        <f>SUM(N1663:Y1663)</f>
        <v/>
      </c>
      <c r="AB1663" s="13">
        <f>SUMPRODUCT(N1663:Y1663,$N$3:$Y$3)*$K1663*$L1663*$M1663</f>
        <v/>
      </c>
      <c r="AC1663" s="13">
        <f>SUMPRODUCT(N1663:Y1663,$N$4:$Y$4)*$K1663*$L1663*$M1663</f>
        <v/>
      </c>
      <c r="AD1663" s="15" t="n">
        <v>3</v>
      </c>
      <c r="AE1663" s="11" t="n">
        <v>1.011296296296296</v>
      </c>
      <c r="AF1663" s="16">
        <f>SUMPRODUCT(N1663:Y1663,$N$5:$Y$5)*$K1663*$L1663*$M1663</f>
        <v/>
      </c>
      <c r="AG1663" s="16">
        <f>SUMPRODUCT(N1663:Y1663,$N$6:$Y$6)*$K1663*$L1663*$M1663</f>
        <v/>
      </c>
      <c r="AH1663" s="20" t="n"/>
    </row>
    <row r="1664">
      <c r="A1664" s="9" t="n">
        <v>828666</v>
      </c>
      <c r="B1664" s="9" t="inlineStr">
        <is>
          <t>Kenny Leiner</t>
        </is>
      </c>
      <c r="C1664" s="9" t="inlineStr">
        <is>
          <t>BAL</t>
        </is>
      </c>
      <c r="D1664" s="9" t="n">
        <v>25</v>
      </c>
      <c r="E1664" s="18" t="inlineStr">
        <is>
          <t>R</t>
        </is>
      </c>
      <c r="F1664" s="18" t="n"/>
      <c r="G1664" s="9" t="n">
        <v>15.652</v>
      </c>
      <c r="H1664" s="9" t="n">
        <v>15.652</v>
      </c>
      <c r="I1664" s="9" t="inlineStr">
        <is>
          <t>Depth (no MLB IP)</t>
        </is>
      </c>
      <c r="J1664" s="18" t="inlineStr">
        <is>
          <t>Opening Day</t>
        </is>
      </c>
      <c r="K1664" s="11">
        <f>IFERROR(INDEX(Roles!$B$17:$B$20,MATCH(J1664,Roles!$A$17:$A$20,0)),1)</f>
        <v/>
      </c>
      <c r="L1664" s="19" t="n">
        <v>1</v>
      </c>
      <c r="M1664" s="11" t="n">
        <v>1</v>
      </c>
      <c r="N1664" s="19" t="n"/>
      <c r="O1664" s="19" t="n"/>
      <c r="P1664" s="19" t="n"/>
      <c r="Q1664" s="19" t="n"/>
      <c r="R1664" s="19" t="n"/>
      <c r="S1664" s="19" t="n"/>
      <c r="T1664" s="19" t="n"/>
      <c r="U1664" s="19" t="n"/>
      <c r="V1664" s="19" t="n"/>
      <c r="W1664" s="19" t="n"/>
      <c r="X1664" s="19" t="n"/>
      <c r="Y1664" s="19" t="n">
        <v>1</v>
      </c>
      <c r="Z1664" s="13">
        <f>SUMPRODUCT(N1664:Y1664,$N$2:$Y$2)*$K1664*$L1664*$M1664</f>
        <v/>
      </c>
      <c r="AA1664" s="14">
        <f>SUM(N1664:Y1664)</f>
        <v/>
      </c>
      <c r="AB1664" s="13">
        <f>SUMPRODUCT(N1664:Y1664,$N$3:$Y$3)*$K1664*$L1664*$M1664</f>
        <v/>
      </c>
      <c r="AC1664" s="13">
        <f>SUMPRODUCT(N1664:Y1664,$N$4:$Y$4)*$K1664*$L1664*$M1664</f>
        <v/>
      </c>
      <c r="AD1664" s="15" t="n">
        <v>3</v>
      </c>
      <c r="AE1664" s="11" t="n">
        <v>1.011296296296296</v>
      </c>
      <c r="AF1664" s="16">
        <f>SUMPRODUCT(N1664:Y1664,$N$5:$Y$5)*$K1664*$L1664*$M1664</f>
        <v/>
      </c>
      <c r="AG1664" s="16">
        <f>SUMPRODUCT(N1664:Y1664,$N$6:$Y$6)*$K1664*$L1664*$M1664</f>
        <v/>
      </c>
      <c r="AH1664" s="20" t="n"/>
    </row>
    <row r="1665">
      <c r="A1665" s="9" t="n">
        <v>822410</v>
      </c>
      <c r="B1665" s="9" t="inlineStr">
        <is>
          <t>Bobby Olsen</t>
        </is>
      </c>
      <c r="C1665" s="9" t="inlineStr">
        <is>
          <t>STL</t>
        </is>
      </c>
      <c r="D1665" s="9" t="n">
        <v>25</v>
      </c>
      <c r="E1665" s="18" t="inlineStr">
        <is>
          <t>R</t>
        </is>
      </c>
      <c r="F1665" s="18" t="n"/>
      <c r="G1665" s="9" t="n">
        <v>15.76666666666667</v>
      </c>
      <c r="H1665" s="9" t="n">
        <v>15.76666666666667</v>
      </c>
      <c r="I1665" s="9" t="inlineStr">
        <is>
          <t>Depth (no MLB IP)</t>
        </is>
      </c>
      <c r="J1665" s="18" t="inlineStr">
        <is>
          <t>Opening Day</t>
        </is>
      </c>
      <c r="K1665" s="11">
        <f>IFERROR(INDEX(Roles!$B$17:$B$20,MATCH(J1665,Roles!$A$17:$A$20,0)),1)</f>
        <v/>
      </c>
      <c r="L1665" s="19" t="n">
        <v>1</v>
      </c>
      <c r="M1665" s="11" t="n">
        <v>1</v>
      </c>
      <c r="N1665" s="19" t="n"/>
      <c r="O1665" s="19" t="n"/>
      <c r="P1665" s="19" t="n"/>
      <c r="Q1665" s="19" t="n"/>
      <c r="R1665" s="19" t="n"/>
      <c r="S1665" s="19" t="n"/>
      <c r="T1665" s="19" t="n"/>
      <c r="U1665" s="19" t="n"/>
      <c r="V1665" s="19" t="n"/>
      <c r="W1665" s="19" t="n"/>
      <c r="X1665" s="19" t="n"/>
      <c r="Y1665" s="19" t="n">
        <v>1</v>
      </c>
      <c r="Z1665" s="13">
        <f>SUMPRODUCT(N1665:Y1665,$N$2:$Y$2)*$K1665*$L1665*$M1665</f>
        <v/>
      </c>
      <c r="AA1665" s="14">
        <f>SUM(N1665:Y1665)</f>
        <v/>
      </c>
      <c r="AB1665" s="13">
        <f>SUMPRODUCT(N1665:Y1665,$N$3:$Y$3)*$K1665*$L1665*$M1665</f>
        <v/>
      </c>
      <c r="AC1665" s="13">
        <f>SUMPRODUCT(N1665:Y1665,$N$4:$Y$4)*$K1665*$L1665*$M1665</f>
        <v/>
      </c>
      <c r="AD1665" s="15" t="n">
        <v>3</v>
      </c>
      <c r="AE1665" s="11" t="n">
        <v>1.011296296296296</v>
      </c>
      <c r="AF1665" s="16">
        <f>SUMPRODUCT(N1665:Y1665,$N$5:$Y$5)*$K1665*$L1665*$M1665</f>
        <v/>
      </c>
      <c r="AG1665" s="16">
        <f>SUMPRODUCT(N1665:Y1665,$N$6:$Y$6)*$K1665*$L1665*$M1665</f>
        <v/>
      </c>
      <c r="AH1665" s="20" t="n"/>
    </row>
    <row r="1666">
      <c r="A1666" s="9" t="n">
        <v>814525</v>
      </c>
      <c r="B1666" s="9" t="inlineStr">
        <is>
          <t>Mike Villani</t>
        </is>
      </c>
      <c r="C1666" s="9" t="inlineStr">
        <is>
          <t>CIN</t>
        </is>
      </c>
      <c r="D1666" s="9" t="n">
        <v>25</v>
      </c>
      <c r="E1666" s="18" t="inlineStr">
        <is>
          <t>R</t>
        </is>
      </c>
      <c r="F1666" s="18" t="n"/>
      <c r="G1666" s="9" t="n">
        <v>15.824</v>
      </c>
      <c r="H1666" s="9" t="n">
        <v>15.824</v>
      </c>
      <c r="I1666" s="9" t="inlineStr">
        <is>
          <t>Depth (no MLB IP)</t>
        </is>
      </c>
      <c r="J1666" s="18" t="inlineStr">
        <is>
          <t>Opening Day</t>
        </is>
      </c>
      <c r="K1666" s="11">
        <f>IFERROR(INDEX(Roles!$B$17:$B$20,MATCH(J1666,Roles!$A$17:$A$20,0)),1)</f>
        <v/>
      </c>
      <c r="L1666" s="19" t="n">
        <v>1</v>
      </c>
      <c r="M1666" s="11" t="n">
        <v>1</v>
      </c>
      <c r="N1666" s="19" t="n"/>
      <c r="O1666" s="19" t="n"/>
      <c r="P1666" s="19" t="n"/>
      <c r="Q1666" s="19" t="n"/>
      <c r="R1666" s="19" t="n"/>
      <c r="S1666" s="19" t="n"/>
      <c r="T1666" s="19" t="n"/>
      <c r="U1666" s="19" t="n"/>
      <c r="V1666" s="19" t="n"/>
      <c r="W1666" s="19" t="n"/>
      <c r="X1666" s="19" t="n"/>
      <c r="Y1666" s="19" t="n">
        <v>1</v>
      </c>
      <c r="Z1666" s="13">
        <f>SUMPRODUCT(N1666:Y1666,$N$2:$Y$2)*$K1666*$L1666*$M1666</f>
        <v/>
      </c>
      <c r="AA1666" s="14">
        <f>SUM(N1666:Y1666)</f>
        <v/>
      </c>
      <c r="AB1666" s="13">
        <f>SUMPRODUCT(N1666:Y1666,$N$3:$Y$3)*$K1666*$L1666*$M1666</f>
        <v/>
      </c>
      <c r="AC1666" s="13">
        <f>SUMPRODUCT(N1666:Y1666,$N$4:$Y$4)*$K1666*$L1666*$M1666</f>
        <v/>
      </c>
      <c r="AD1666" s="15" t="n">
        <v>3</v>
      </c>
      <c r="AE1666" s="11" t="n">
        <v>1.011296296296296</v>
      </c>
      <c r="AF1666" s="16">
        <f>SUMPRODUCT(N1666:Y1666,$N$5:$Y$5)*$K1666*$L1666*$M1666</f>
        <v/>
      </c>
      <c r="AG1666" s="16">
        <f>SUMPRODUCT(N1666:Y1666,$N$6:$Y$6)*$K1666*$L1666*$M1666</f>
        <v/>
      </c>
      <c r="AH1666" s="20" t="n"/>
    </row>
    <row r="1667">
      <c r="A1667" s="9" t="n">
        <v>831683</v>
      </c>
      <c r="B1667" s="9" t="inlineStr">
        <is>
          <t>Daichi Moriki</t>
        </is>
      </c>
      <c r="C1667" s="9" t="inlineStr">
        <is>
          <t>SD</t>
        </is>
      </c>
      <c r="D1667" s="9" t="n">
        <v>25</v>
      </c>
      <c r="E1667" s="18" t="inlineStr">
        <is>
          <t>R</t>
        </is>
      </c>
      <c r="F1667" s="18" t="n"/>
      <c r="G1667" s="9" t="n">
        <v>15.824</v>
      </c>
      <c r="H1667" s="9" t="n">
        <v>15.824</v>
      </c>
      <c r="I1667" s="9" t="inlineStr">
        <is>
          <t>Depth (no MLB IP)</t>
        </is>
      </c>
      <c r="J1667" s="18" t="inlineStr">
        <is>
          <t>Opening Day</t>
        </is>
      </c>
      <c r="K1667" s="11">
        <f>IFERROR(INDEX(Roles!$B$17:$B$20,MATCH(J1667,Roles!$A$17:$A$20,0)),1)</f>
        <v/>
      </c>
      <c r="L1667" s="19" t="n">
        <v>1</v>
      </c>
      <c r="M1667" s="11" t="n">
        <v>1</v>
      </c>
      <c r="N1667" s="19" t="n"/>
      <c r="O1667" s="19" t="n"/>
      <c r="P1667" s="19" t="n"/>
      <c r="Q1667" s="19" t="n"/>
      <c r="R1667" s="19" t="n"/>
      <c r="S1667" s="19" t="n"/>
      <c r="T1667" s="19" t="n"/>
      <c r="U1667" s="19" t="n"/>
      <c r="V1667" s="19" t="n"/>
      <c r="W1667" s="19" t="n"/>
      <c r="X1667" s="19" t="n"/>
      <c r="Y1667" s="19" t="n">
        <v>1</v>
      </c>
      <c r="Z1667" s="13">
        <f>SUMPRODUCT(N1667:Y1667,$N$2:$Y$2)*$K1667*$L1667*$M1667</f>
        <v/>
      </c>
      <c r="AA1667" s="14">
        <f>SUM(N1667:Y1667)</f>
        <v/>
      </c>
      <c r="AB1667" s="13">
        <f>SUMPRODUCT(N1667:Y1667,$N$3:$Y$3)*$K1667*$L1667*$M1667</f>
        <v/>
      </c>
      <c r="AC1667" s="13">
        <f>SUMPRODUCT(N1667:Y1667,$N$4:$Y$4)*$K1667*$L1667*$M1667</f>
        <v/>
      </c>
      <c r="AD1667" s="15" t="n">
        <v>3</v>
      </c>
      <c r="AE1667" s="11" t="n">
        <v>1.011296296296296</v>
      </c>
      <c r="AF1667" s="16">
        <f>SUMPRODUCT(N1667:Y1667,$N$5:$Y$5)*$K1667*$L1667*$M1667</f>
        <v/>
      </c>
      <c r="AG1667" s="16">
        <f>SUMPRODUCT(N1667:Y1667,$N$6:$Y$6)*$K1667*$L1667*$M1667</f>
        <v/>
      </c>
      <c r="AH1667" s="20" t="n"/>
    </row>
    <row r="1668">
      <c r="A1668" s="9" t="n">
        <v>823776</v>
      </c>
      <c r="B1668" s="9" t="inlineStr">
        <is>
          <t>Braden Osbolt</t>
        </is>
      </c>
      <c r="C1668" s="9" t="inlineStr">
        <is>
          <t>CIN</t>
        </is>
      </c>
      <c r="D1668" s="9" t="n">
        <v>25</v>
      </c>
      <c r="E1668" s="18" t="inlineStr">
        <is>
          <t>R</t>
        </is>
      </c>
      <c r="F1668" s="18" t="n"/>
      <c r="G1668" s="9" t="n">
        <v>15.824</v>
      </c>
      <c r="H1668" s="9" t="n">
        <v>15.824</v>
      </c>
      <c r="I1668" s="9" t="inlineStr">
        <is>
          <t>Depth (no MLB IP)</t>
        </is>
      </c>
      <c r="J1668" s="18" t="inlineStr">
        <is>
          <t>Opening Day</t>
        </is>
      </c>
      <c r="K1668" s="11">
        <f>IFERROR(INDEX(Roles!$B$17:$B$20,MATCH(J1668,Roles!$A$17:$A$20,0)),1)</f>
        <v/>
      </c>
      <c r="L1668" s="19" t="n">
        <v>1</v>
      </c>
      <c r="M1668" s="11" t="n">
        <v>1</v>
      </c>
      <c r="N1668" s="19" t="n"/>
      <c r="O1668" s="19" t="n"/>
      <c r="P1668" s="19" t="n"/>
      <c r="Q1668" s="19" t="n"/>
      <c r="R1668" s="19" t="n"/>
      <c r="S1668" s="19" t="n"/>
      <c r="T1668" s="19" t="n"/>
      <c r="U1668" s="19" t="n"/>
      <c r="V1668" s="19" t="n"/>
      <c r="W1668" s="19" t="n"/>
      <c r="X1668" s="19" t="n"/>
      <c r="Y1668" s="19" t="n">
        <v>1</v>
      </c>
      <c r="Z1668" s="13">
        <f>SUMPRODUCT(N1668:Y1668,$N$2:$Y$2)*$K1668*$L1668*$M1668</f>
        <v/>
      </c>
      <c r="AA1668" s="14">
        <f>SUM(N1668:Y1668)</f>
        <v/>
      </c>
      <c r="AB1668" s="13">
        <f>SUMPRODUCT(N1668:Y1668,$N$3:$Y$3)*$K1668*$L1668*$M1668</f>
        <v/>
      </c>
      <c r="AC1668" s="13">
        <f>SUMPRODUCT(N1668:Y1668,$N$4:$Y$4)*$K1668*$L1668*$M1668</f>
        <v/>
      </c>
      <c r="AD1668" s="15" t="n">
        <v>3</v>
      </c>
      <c r="AE1668" s="11" t="n">
        <v>1.011296296296296</v>
      </c>
      <c r="AF1668" s="16">
        <f>SUMPRODUCT(N1668:Y1668,$N$5:$Y$5)*$K1668*$L1668*$M1668</f>
        <v/>
      </c>
      <c r="AG1668" s="16">
        <f>SUMPRODUCT(N1668:Y1668,$N$6:$Y$6)*$K1668*$L1668*$M1668</f>
        <v/>
      </c>
      <c r="AH1668" s="20" t="n"/>
    </row>
    <row r="1669">
      <c r="A1669" s="9" t="n">
        <v>802418</v>
      </c>
      <c r="B1669" s="9" t="inlineStr">
        <is>
          <t>Colby Holcombe</t>
        </is>
      </c>
      <c r="C1669" s="9" t="inlineStr">
        <is>
          <t>TOR</t>
        </is>
      </c>
      <c r="D1669" s="9" t="n">
        <v>25</v>
      </c>
      <c r="E1669" s="18" t="inlineStr">
        <is>
          <t>R</t>
        </is>
      </c>
      <c r="F1669" s="18" t="n"/>
      <c r="G1669" s="9" t="n">
        <v>15.76666666666667</v>
      </c>
      <c r="H1669" s="9" t="n">
        <v>15.76666666666667</v>
      </c>
      <c r="I1669" s="9" t="inlineStr">
        <is>
          <t>Depth (no MLB IP)</t>
        </is>
      </c>
      <c r="J1669" s="18" t="inlineStr">
        <is>
          <t>Opening Day</t>
        </is>
      </c>
      <c r="K1669" s="11">
        <f>IFERROR(INDEX(Roles!$B$17:$B$20,MATCH(J1669,Roles!$A$17:$A$20,0)),1)</f>
        <v/>
      </c>
      <c r="L1669" s="19" t="n">
        <v>1</v>
      </c>
      <c r="M1669" s="11" t="n">
        <v>1</v>
      </c>
      <c r="N1669" s="19" t="n"/>
      <c r="O1669" s="19" t="n"/>
      <c r="P1669" s="19" t="n"/>
      <c r="Q1669" s="19" t="n"/>
      <c r="R1669" s="19" t="n"/>
      <c r="S1669" s="19" t="n"/>
      <c r="T1669" s="19" t="n"/>
      <c r="U1669" s="19" t="n"/>
      <c r="V1669" s="19" t="n"/>
      <c r="W1669" s="19" t="n"/>
      <c r="X1669" s="19" t="n"/>
      <c r="Y1669" s="19" t="n">
        <v>1</v>
      </c>
      <c r="Z1669" s="13">
        <f>SUMPRODUCT(N1669:Y1669,$N$2:$Y$2)*$K1669*$L1669*$M1669</f>
        <v/>
      </c>
      <c r="AA1669" s="14">
        <f>SUM(N1669:Y1669)</f>
        <v/>
      </c>
      <c r="AB1669" s="13">
        <f>SUMPRODUCT(N1669:Y1669,$N$3:$Y$3)*$K1669*$L1669*$M1669</f>
        <v/>
      </c>
      <c r="AC1669" s="13">
        <f>SUMPRODUCT(N1669:Y1669,$N$4:$Y$4)*$K1669*$L1669*$M1669</f>
        <v/>
      </c>
      <c r="AD1669" s="15" t="n">
        <v>3</v>
      </c>
      <c r="AE1669" s="11" t="n">
        <v>1.011296296296296</v>
      </c>
      <c r="AF1669" s="16">
        <f>SUMPRODUCT(N1669:Y1669,$N$5:$Y$5)*$K1669*$L1669*$M1669</f>
        <v/>
      </c>
      <c r="AG1669" s="16">
        <f>SUMPRODUCT(N1669:Y1669,$N$6:$Y$6)*$K1669*$L1669*$M1669</f>
        <v/>
      </c>
      <c r="AH1669" s="20" t="n"/>
    </row>
    <row r="1670">
      <c r="A1670" s="9" t="n">
        <v>701515</v>
      </c>
      <c r="B1670" s="9" t="inlineStr">
        <is>
          <t>Kade Woods</t>
        </is>
      </c>
      <c r="C1670" s="9" t="inlineStr">
        <is>
          <t>ATL</t>
        </is>
      </c>
      <c r="D1670" s="9" t="n">
        <v>25</v>
      </c>
      <c r="E1670" s="18" t="inlineStr">
        <is>
          <t>R</t>
        </is>
      </c>
      <c r="F1670" s="18" t="n"/>
      <c r="G1670" s="9" t="n">
        <v>15.824</v>
      </c>
      <c r="H1670" s="9" t="n">
        <v>15.824</v>
      </c>
      <c r="I1670" s="9" t="inlineStr">
        <is>
          <t>Depth (no MLB IP)</t>
        </is>
      </c>
      <c r="J1670" s="18" t="inlineStr">
        <is>
          <t>Opening Day</t>
        </is>
      </c>
      <c r="K1670" s="11">
        <f>IFERROR(INDEX(Roles!$B$17:$B$20,MATCH(J1670,Roles!$A$17:$A$20,0)),1)</f>
        <v/>
      </c>
      <c r="L1670" s="19" t="n">
        <v>1</v>
      </c>
      <c r="M1670" s="11" t="n">
        <v>1</v>
      </c>
      <c r="N1670" s="19" t="n"/>
      <c r="O1670" s="19" t="n"/>
      <c r="P1670" s="19" t="n"/>
      <c r="Q1670" s="19" t="n"/>
      <c r="R1670" s="19" t="n"/>
      <c r="S1670" s="19" t="n"/>
      <c r="T1670" s="19" t="n"/>
      <c r="U1670" s="19" t="n"/>
      <c r="V1670" s="19" t="n"/>
      <c r="W1670" s="19" t="n"/>
      <c r="X1670" s="19" t="n"/>
      <c r="Y1670" s="19" t="n">
        <v>1</v>
      </c>
      <c r="Z1670" s="13">
        <f>SUMPRODUCT(N1670:Y1670,$N$2:$Y$2)*$K1670*$L1670*$M1670</f>
        <v/>
      </c>
      <c r="AA1670" s="14">
        <f>SUM(N1670:Y1670)</f>
        <v/>
      </c>
      <c r="AB1670" s="13">
        <f>SUMPRODUCT(N1670:Y1670,$N$3:$Y$3)*$K1670*$L1670*$M1670</f>
        <v/>
      </c>
      <c r="AC1670" s="13">
        <f>SUMPRODUCT(N1670:Y1670,$N$4:$Y$4)*$K1670*$L1670*$M1670</f>
        <v/>
      </c>
      <c r="AD1670" s="15" t="n">
        <v>3</v>
      </c>
      <c r="AE1670" s="11" t="n">
        <v>1.011296296296296</v>
      </c>
      <c r="AF1670" s="16">
        <f>SUMPRODUCT(N1670:Y1670,$N$5:$Y$5)*$K1670*$L1670*$M1670</f>
        <v/>
      </c>
      <c r="AG1670" s="16">
        <f>SUMPRODUCT(N1670:Y1670,$N$6:$Y$6)*$K1670*$L1670*$M1670</f>
        <v/>
      </c>
      <c r="AH1670" s="20" t="n"/>
    </row>
    <row r="1671">
      <c r="A1671" s="9" t="n">
        <v>678013</v>
      </c>
      <c r="B1671" s="9" t="inlineStr">
        <is>
          <t>Lenny Torres Jr.</t>
        </is>
      </c>
      <c r="C1671" s="9" t="inlineStr">
        <is>
          <t>PHI</t>
        </is>
      </c>
      <c r="D1671" s="9" t="n">
        <v>25</v>
      </c>
      <c r="E1671" s="18" t="inlineStr">
        <is>
          <t>R</t>
        </is>
      </c>
      <c r="F1671" s="18" t="n"/>
      <c r="G1671" s="9" t="n">
        <v>15.76666666666667</v>
      </c>
      <c r="H1671" s="9" t="n">
        <v>15.76666666666667</v>
      </c>
      <c r="I1671" s="9" t="inlineStr">
        <is>
          <t>Depth (no MLB IP)</t>
        </is>
      </c>
      <c r="J1671" s="18" t="inlineStr">
        <is>
          <t>Opening Day</t>
        </is>
      </c>
      <c r="K1671" s="11">
        <f>IFERROR(INDEX(Roles!$B$17:$B$20,MATCH(J1671,Roles!$A$17:$A$20,0)),1)</f>
        <v/>
      </c>
      <c r="L1671" s="19" t="n">
        <v>1</v>
      </c>
      <c r="M1671" s="11" t="n">
        <v>1</v>
      </c>
      <c r="N1671" s="19" t="n"/>
      <c r="O1671" s="19" t="n"/>
      <c r="P1671" s="19" t="n"/>
      <c r="Q1671" s="19" t="n"/>
      <c r="R1671" s="19" t="n"/>
      <c r="S1671" s="19" t="n"/>
      <c r="T1671" s="19" t="n"/>
      <c r="U1671" s="19" t="n"/>
      <c r="V1671" s="19" t="n"/>
      <c r="W1671" s="19" t="n"/>
      <c r="X1671" s="19" t="n"/>
      <c r="Y1671" s="19" t="n">
        <v>1</v>
      </c>
      <c r="Z1671" s="13">
        <f>SUMPRODUCT(N1671:Y1671,$N$2:$Y$2)*$K1671*$L1671*$M1671</f>
        <v/>
      </c>
      <c r="AA1671" s="14">
        <f>SUM(N1671:Y1671)</f>
        <v/>
      </c>
      <c r="AB1671" s="13">
        <f>SUMPRODUCT(N1671:Y1671,$N$3:$Y$3)*$K1671*$L1671*$M1671</f>
        <v/>
      </c>
      <c r="AC1671" s="13">
        <f>SUMPRODUCT(N1671:Y1671,$N$4:$Y$4)*$K1671*$L1671*$M1671</f>
        <v/>
      </c>
      <c r="AD1671" s="15" t="n">
        <v>3</v>
      </c>
      <c r="AE1671" s="11" t="n">
        <v>1.011296296296296</v>
      </c>
      <c r="AF1671" s="16">
        <f>SUMPRODUCT(N1671:Y1671,$N$5:$Y$5)*$K1671*$L1671*$M1671</f>
        <v/>
      </c>
      <c r="AG1671" s="16">
        <f>SUMPRODUCT(N1671:Y1671,$N$6:$Y$6)*$K1671*$L1671*$M1671</f>
        <v/>
      </c>
      <c r="AH1671" s="20" t="n"/>
    </row>
    <row r="1672">
      <c r="A1672" s="9" t="n">
        <v>700169</v>
      </c>
      <c r="B1672" s="9" t="inlineStr">
        <is>
          <t>Bryan Perez</t>
        </is>
      </c>
      <c r="C1672" s="9" t="inlineStr">
        <is>
          <t>COL</t>
        </is>
      </c>
      <c r="D1672" s="9" t="n">
        <v>25</v>
      </c>
      <c r="E1672" s="18" t="inlineStr">
        <is>
          <t>R</t>
        </is>
      </c>
      <c r="F1672" s="18" t="n"/>
      <c r="G1672" s="9" t="n">
        <v>15.76666666666667</v>
      </c>
      <c r="H1672" s="9" t="n">
        <v>15.76666666666667</v>
      </c>
      <c r="I1672" s="9" t="inlineStr">
        <is>
          <t>Depth (no MLB IP)</t>
        </is>
      </c>
      <c r="J1672" s="18" t="inlineStr">
        <is>
          <t>Opening Day</t>
        </is>
      </c>
      <c r="K1672" s="11">
        <f>IFERROR(INDEX(Roles!$B$17:$B$20,MATCH(J1672,Roles!$A$17:$A$20,0)),1)</f>
        <v/>
      </c>
      <c r="L1672" s="19" t="n">
        <v>1</v>
      </c>
      <c r="M1672" s="11" t="n">
        <v>1</v>
      </c>
      <c r="N1672" s="19" t="n"/>
      <c r="O1672" s="19" t="n"/>
      <c r="P1672" s="19" t="n"/>
      <c r="Q1672" s="19" t="n"/>
      <c r="R1672" s="19" t="n"/>
      <c r="S1672" s="19" t="n"/>
      <c r="T1672" s="19" t="n"/>
      <c r="U1672" s="19" t="n"/>
      <c r="V1672" s="19" t="n"/>
      <c r="W1672" s="19" t="n"/>
      <c r="X1672" s="19" t="n"/>
      <c r="Y1672" s="19" t="n">
        <v>1</v>
      </c>
      <c r="Z1672" s="13">
        <f>SUMPRODUCT(N1672:Y1672,$N$2:$Y$2)*$K1672*$L1672*$M1672</f>
        <v/>
      </c>
      <c r="AA1672" s="14">
        <f>SUM(N1672:Y1672)</f>
        <v/>
      </c>
      <c r="AB1672" s="13">
        <f>SUMPRODUCT(N1672:Y1672,$N$3:$Y$3)*$K1672*$L1672*$M1672</f>
        <v/>
      </c>
      <c r="AC1672" s="13">
        <f>SUMPRODUCT(N1672:Y1672,$N$4:$Y$4)*$K1672*$L1672*$M1672</f>
        <v/>
      </c>
      <c r="AD1672" s="15" t="n">
        <v>3</v>
      </c>
      <c r="AE1672" s="11" t="n">
        <v>1.011296296296296</v>
      </c>
      <c r="AF1672" s="16">
        <f>SUMPRODUCT(N1672:Y1672,$N$5:$Y$5)*$K1672*$L1672*$M1672</f>
        <v/>
      </c>
      <c r="AG1672" s="16">
        <f>SUMPRODUCT(N1672:Y1672,$N$6:$Y$6)*$K1672*$L1672*$M1672</f>
        <v/>
      </c>
      <c r="AH1672" s="20" t="n"/>
    </row>
    <row r="1673">
      <c r="A1673" s="9" t="n">
        <v>684516</v>
      </c>
      <c r="B1673" s="9" t="inlineStr">
        <is>
          <t>Hancel Rincon</t>
        </is>
      </c>
      <c r="C1673" s="9" t="inlineStr">
        <is>
          <t>STL</t>
        </is>
      </c>
      <c r="D1673" s="9" t="n">
        <v>25</v>
      </c>
      <c r="E1673" s="18" t="inlineStr">
        <is>
          <t>R</t>
        </is>
      </c>
      <c r="F1673" s="18" t="n"/>
      <c r="G1673" s="9" t="n">
        <v>14</v>
      </c>
      <c r="H1673" s="9" t="n">
        <v>14</v>
      </c>
      <c r="I1673" s="9" t="inlineStr">
        <is>
          <t>Bullpen Depth Arm</t>
        </is>
      </c>
      <c r="J1673" s="18" t="inlineStr">
        <is>
          <t>Opening Day</t>
        </is>
      </c>
      <c r="K1673" s="11">
        <f>IFERROR(INDEX(Roles!$B$17:$B$20,MATCH(J1673,Roles!$A$17:$A$20,0)),1)</f>
        <v/>
      </c>
      <c r="L1673" s="19" t="n">
        <v>1</v>
      </c>
      <c r="M1673" s="11" t="n">
        <v>1</v>
      </c>
      <c r="N1673" s="19" t="n"/>
      <c r="O1673" s="19" t="n"/>
      <c r="P1673" s="19" t="n"/>
      <c r="Q1673" s="19" t="n"/>
      <c r="R1673" s="19" t="n"/>
      <c r="S1673" s="19" t="n"/>
      <c r="T1673" s="19" t="n"/>
      <c r="U1673" s="19" t="n"/>
      <c r="V1673" s="19" t="n"/>
      <c r="W1673" s="19" t="n">
        <v>0.5</v>
      </c>
      <c r="X1673" s="19" t="n"/>
      <c r="Y1673" s="19" t="n">
        <v>0.5</v>
      </c>
      <c r="Z1673" s="13">
        <f>SUMPRODUCT(N1673:Y1673,$N$2:$Y$2)*$K1673*$L1673*$M1673</f>
        <v/>
      </c>
      <c r="AA1673" s="14">
        <f>SUM(N1673:Y1673)</f>
        <v/>
      </c>
      <c r="AB1673" s="13">
        <f>SUMPRODUCT(N1673:Y1673,$N$3:$Y$3)*$K1673*$L1673*$M1673</f>
        <v/>
      </c>
      <c r="AC1673" s="13">
        <f>SUMPRODUCT(N1673:Y1673,$N$4:$Y$4)*$K1673*$L1673*$M1673</f>
        <v/>
      </c>
      <c r="AD1673" s="15" t="n">
        <v>7.466666666666666</v>
      </c>
      <c r="AE1673" s="11" t="n">
        <v>1.060766394099727</v>
      </c>
      <c r="AF1673" s="16">
        <f>SUMPRODUCT(N1673:Y1673,$N$5:$Y$5)*$K1673*$L1673*$M1673</f>
        <v/>
      </c>
      <c r="AG1673" s="16">
        <f>SUMPRODUCT(N1673:Y1673,$N$6:$Y$6)*$K1673*$L1673*$M1673</f>
        <v/>
      </c>
      <c r="AH1673" s="20" t="n"/>
    </row>
    <row r="1674">
      <c r="A1674" s="9" t="n">
        <v>702750</v>
      </c>
      <c r="B1674" s="9" t="inlineStr">
        <is>
          <t>Edinson Duran</t>
        </is>
      </c>
      <c r="C1674" s="9" t="inlineStr">
        <is>
          <t>NYY</t>
        </is>
      </c>
      <c r="D1674" s="9" t="n">
        <v>25</v>
      </c>
      <c r="E1674" s="18" t="inlineStr">
        <is>
          <t>R</t>
        </is>
      </c>
      <c r="F1674" s="18" t="n"/>
      <c r="G1674" s="9" t="n">
        <v>15.76666666666667</v>
      </c>
      <c r="H1674" s="9" t="n">
        <v>15.76666666666667</v>
      </c>
      <c r="I1674" s="9" t="inlineStr">
        <is>
          <t>Depth (no MLB IP)</t>
        </is>
      </c>
      <c r="J1674" s="18" t="inlineStr">
        <is>
          <t>Opening Day</t>
        </is>
      </c>
      <c r="K1674" s="11">
        <f>IFERROR(INDEX(Roles!$B$17:$B$20,MATCH(J1674,Roles!$A$17:$A$20,0)),1)</f>
        <v/>
      </c>
      <c r="L1674" s="19" t="n">
        <v>1</v>
      </c>
      <c r="M1674" s="11" t="n">
        <v>1</v>
      </c>
      <c r="N1674" s="19" t="n"/>
      <c r="O1674" s="19" t="n"/>
      <c r="P1674" s="19" t="n"/>
      <c r="Q1674" s="19" t="n"/>
      <c r="R1674" s="19" t="n"/>
      <c r="S1674" s="19" t="n"/>
      <c r="T1674" s="19" t="n"/>
      <c r="U1674" s="19" t="n"/>
      <c r="V1674" s="19" t="n"/>
      <c r="W1674" s="19" t="n"/>
      <c r="X1674" s="19" t="n"/>
      <c r="Y1674" s="19" t="n">
        <v>1</v>
      </c>
      <c r="Z1674" s="13">
        <f>SUMPRODUCT(N1674:Y1674,$N$2:$Y$2)*$K1674*$L1674*$M1674</f>
        <v/>
      </c>
      <c r="AA1674" s="14">
        <f>SUM(N1674:Y1674)</f>
        <v/>
      </c>
      <c r="AB1674" s="13">
        <f>SUMPRODUCT(N1674:Y1674,$N$3:$Y$3)*$K1674*$L1674*$M1674</f>
        <v/>
      </c>
      <c r="AC1674" s="13">
        <f>SUMPRODUCT(N1674:Y1674,$N$4:$Y$4)*$K1674*$L1674*$M1674</f>
        <v/>
      </c>
      <c r="AD1674" s="15" t="n">
        <v>3</v>
      </c>
      <c r="AE1674" s="11" t="n">
        <v>1.011296296296296</v>
      </c>
      <c r="AF1674" s="16">
        <f>SUMPRODUCT(N1674:Y1674,$N$5:$Y$5)*$K1674*$L1674*$M1674</f>
        <v/>
      </c>
      <c r="AG1674" s="16">
        <f>SUMPRODUCT(N1674:Y1674,$N$6:$Y$6)*$K1674*$L1674*$M1674</f>
        <v/>
      </c>
      <c r="AH1674" s="20" t="n"/>
    </row>
    <row r="1675">
      <c r="A1675" s="9" t="n">
        <v>814388</v>
      </c>
      <c r="B1675" s="9" t="inlineStr">
        <is>
          <t>Hayden Snelsire</t>
        </is>
      </c>
      <c r="C1675" s="9" t="inlineStr">
        <is>
          <t>TB</t>
        </is>
      </c>
      <c r="D1675" s="9" t="n">
        <v>25</v>
      </c>
      <c r="E1675" s="18" t="inlineStr">
        <is>
          <t>R</t>
        </is>
      </c>
      <c r="F1675" s="18" t="n"/>
      <c r="G1675" s="9" t="n">
        <v>15.76666666666667</v>
      </c>
      <c r="H1675" s="9" t="n">
        <v>15.76666666666667</v>
      </c>
      <c r="I1675" s="9" t="inlineStr">
        <is>
          <t>Depth (no MLB IP)</t>
        </is>
      </c>
      <c r="J1675" s="18" t="inlineStr">
        <is>
          <t>Opening Day</t>
        </is>
      </c>
      <c r="K1675" s="11">
        <f>IFERROR(INDEX(Roles!$B$17:$B$20,MATCH(J1675,Roles!$A$17:$A$20,0)),1)</f>
        <v/>
      </c>
      <c r="L1675" s="19" t="n">
        <v>1</v>
      </c>
      <c r="M1675" s="11" t="n">
        <v>1</v>
      </c>
      <c r="N1675" s="19" t="n"/>
      <c r="O1675" s="19" t="n"/>
      <c r="P1675" s="19" t="n"/>
      <c r="Q1675" s="19" t="n"/>
      <c r="R1675" s="19" t="n"/>
      <c r="S1675" s="19" t="n"/>
      <c r="T1675" s="19" t="n"/>
      <c r="U1675" s="19" t="n"/>
      <c r="V1675" s="19" t="n"/>
      <c r="W1675" s="19" t="n"/>
      <c r="X1675" s="19" t="n"/>
      <c r="Y1675" s="19" t="n">
        <v>1</v>
      </c>
      <c r="Z1675" s="13">
        <f>SUMPRODUCT(N1675:Y1675,$N$2:$Y$2)*$K1675*$L1675*$M1675</f>
        <v/>
      </c>
      <c r="AA1675" s="14">
        <f>SUM(N1675:Y1675)</f>
        <v/>
      </c>
      <c r="AB1675" s="13">
        <f>SUMPRODUCT(N1675:Y1675,$N$3:$Y$3)*$K1675*$L1675*$M1675</f>
        <v/>
      </c>
      <c r="AC1675" s="13">
        <f>SUMPRODUCT(N1675:Y1675,$N$4:$Y$4)*$K1675*$L1675*$M1675</f>
        <v/>
      </c>
      <c r="AD1675" s="15" t="n">
        <v>3</v>
      </c>
      <c r="AE1675" s="11" t="n">
        <v>1.011296296296296</v>
      </c>
      <c r="AF1675" s="16">
        <f>SUMPRODUCT(N1675:Y1675,$N$5:$Y$5)*$K1675*$L1675*$M1675</f>
        <v/>
      </c>
      <c r="AG1675" s="16">
        <f>SUMPRODUCT(N1675:Y1675,$N$6:$Y$6)*$K1675*$L1675*$M1675</f>
        <v/>
      </c>
      <c r="AH1675" s="20" t="n"/>
    </row>
    <row r="1676">
      <c r="A1676" s="9" t="n">
        <v>809826</v>
      </c>
      <c r="B1676" s="9" t="inlineStr">
        <is>
          <t>Merit Jones</t>
        </is>
      </c>
      <c r="C1676" s="9" t="inlineStr">
        <is>
          <t>MIN</t>
        </is>
      </c>
      <c r="D1676" s="9" t="n">
        <v>25</v>
      </c>
      <c r="E1676" s="18" t="inlineStr">
        <is>
          <t>R</t>
        </is>
      </c>
      <c r="F1676" s="18" t="n"/>
      <c r="G1676" s="9" t="n">
        <v>16.05333333333333</v>
      </c>
      <c r="H1676" s="9" t="n">
        <v>16.05333333333333</v>
      </c>
      <c r="I1676" s="9" t="inlineStr">
        <is>
          <t>Depth (no MLB IP)</t>
        </is>
      </c>
      <c r="J1676" s="18" t="inlineStr">
        <is>
          <t>Opening Day</t>
        </is>
      </c>
      <c r="K1676" s="11">
        <f>IFERROR(INDEX(Roles!$B$17:$B$20,MATCH(J1676,Roles!$A$17:$A$20,0)),1)</f>
        <v/>
      </c>
      <c r="L1676" s="19" t="n">
        <v>1</v>
      </c>
      <c r="M1676" s="11" t="n">
        <v>1</v>
      </c>
      <c r="N1676" s="19" t="n"/>
      <c r="O1676" s="19" t="n"/>
      <c r="P1676" s="19" t="n"/>
      <c r="Q1676" s="19" t="n"/>
      <c r="R1676" s="19" t="n"/>
      <c r="S1676" s="19" t="n"/>
      <c r="T1676" s="19" t="n"/>
      <c r="U1676" s="19" t="n"/>
      <c r="V1676" s="19" t="n"/>
      <c r="W1676" s="19" t="n"/>
      <c r="X1676" s="19" t="n"/>
      <c r="Y1676" s="19" t="n">
        <v>1</v>
      </c>
      <c r="Z1676" s="13">
        <f>SUMPRODUCT(N1676:Y1676,$N$2:$Y$2)*$K1676*$L1676*$M1676</f>
        <v/>
      </c>
      <c r="AA1676" s="14">
        <f>SUM(N1676:Y1676)</f>
        <v/>
      </c>
      <c r="AB1676" s="13">
        <f>SUMPRODUCT(N1676:Y1676,$N$3:$Y$3)*$K1676*$L1676*$M1676</f>
        <v/>
      </c>
      <c r="AC1676" s="13">
        <f>SUMPRODUCT(N1676:Y1676,$N$4:$Y$4)*$K1676*$L1676*$M1676</f>
        <v/>
      </c>
      <c r="AD1676" s="15" t="n">
        <v>3</v>
      </c>
      <c r="AE1676" s="11" t="n">
        <v>1.011296296296296</v>
      </c>
      <c r="AF1676" s="16">
        <f>SUMPRODUCT(N1676:Y1676,$N$5:$Y$5)*$K1676*$L1676*$M1676</f>
        <v/>
      </c>
      <c r="AG1676" s="16">
        <f>SUMPRODUCT(N1676:Y1676,$N$6:$Y$6)*$K1676*$L1676*$M1676</f>
        <v/>
      </c>
      <c r="AH1676" s="20" t="n"/>
    </row>
    <row r="1677">
      <c r="A1677" s="9" t="n">
        <v>800427</v>
      </c>
      <c r="B1677" s="9" t="inlineStr">
        <is>
          <t>Jose Meneses</t>
        </is>
      </c>
      <c r="C1677" s="9" t="inlineStr">
        <is>
          <t>MIL</t>
        </is>
      </c>
      <c r="D1677" s="9" t="n">
        <v>25</v>
      </c>
      <c r="E1677" s="18" t="inlineStr">
        <is>
          <t>L</t>
        </is>
      </c>
      <c r="F1677" s="18" t="n"/>
      <c r="G1677" s="9" t="n">
        <v>16.05333333333333</v>
      </c>
      <c r="H1677" s="9" t="n">
        <v>16.05333333333333</v>
      </c>
      <c r="I1677" s="9" t="inlineStr">
        <is>
          <t>Depth (no MLB IP)</t>
        </is>
      </c>
      <c r="J1677" s="18" t="inlineStr">
        <is>
          <t>Opening Day</t>
        </is>
      </c>
      <c r="K1677" s="11">
        <f>IFERROR(INDEX(Roles!$B$17:$B$20,MATCH(J1677,Roles!$A$17:$A$20,0)),1)</f>
        <v/>
      </c>
      <c r="L1677" s="19" t="n">
        <v>1</v>
      </c>
      <c r="M1677" s="11" t="n">
        <v>1</v>
      </c>
      <c r="N1677" s="19" t="n"/>
      <c r="O1677" s="19" t="n"/>
      <c r="P1677" s="19" t="n"/>
      <c r="Q1677" s="19" t="n"/>
      <c r="R1677" s="19" t="n"/>
      <c r="S1677" s="19" t="n"/>
      <c r="T1677" s="19" t="n"/>
      <c r="U1677" s="19" t="n"/>
      <c r="V1677" s="19" t="n"/>
      <c r="W1677" s="19" t="n"/>
      <c r="X1677" s="19" t="n"/>
      <c r="Y1677" s="19" t="n">
        <v>1</v>
      </c>
      <c r="Z1677" s="13">
        <f>SUMPRODUCT(N1677:Y1677,$N$2:$Y$2)*$K1677*$L1677*$M1677</f>
        <v/>
      </c>
      <c r="AA1677" s="14">
        <f>SUM(N1677:Y1677)</f>
        <v/>
      </c>
      <c r="AB1677" s="13">
        <f>SUMPRODUCT(N1677:Y1677,$N$3:$Y$3)*$K1677*$L1677*$M1677</f>
        <v/>
      </c>
      <c r="AC1677" s="13">
        <f>SUMPRODUCT(N1677:Y1677,$N$4:$Y$4)*$K1677*$L1677*$M1677</f>
        <v/>
      </c>
      <c r="AD1677" s="15" t="n">
        <v>3</v>
      </c>
      <c r="AE1677" s="11" t="n">
        <v>1.011296296296296</v>
      </c>
      <c r="AF1677" s="16">
        <f>SUMPRODUCT(N1677:Y1677,$N$5:$Y$5)*$K1677*$L1677*$M1677</f>
        <v/>
      </c>
      <c r="AG1677" s="16">
        <f>SUMPRODUCT(N1677:Y1677,$N$6:$Y$6)*$K1677*$L1677*$M1677</f>
        <v/>
      </c>
      <c r="AH1677" s="20" t="n"/>
    </row>
    <row r="1678">
      <c r="A1678" s="9" t="n">
        <v>831273</v>
      </c>
      <c r="B1678" s="9" t="inlineStr">
        <is>
          <t>Ethan Young</t>
        </is>
      </c>
      <c r="C1678" s="9" t="inlineStr">
        <is>
          <t>STL</t>
        </is>
      </c>
      <c r="D1678" s="9" t="n">
        <v>25</v>
      </c>
      <c r="E1678" s="18" t="inlineStr">
        <is>
          <t>R</t>
        </is>
      </c>
      <c r="F1678" s="18" t="n"/>
      <c r="G1678" s="9" t="n">
        <v>15.996</v>
      </c>
      <c r="H1678" s="9" t="n">
        <v>15.996</v>
      </c>
      <c r="I1678" s="9" t="inlineStr">
        <is>
          <t>Depth (no MLB IP)</t>
        </is>
      </c>
      <c r="J1678" s="18" t="inlineStr">
        <is>
          <t>Opening Day</t>
        </is>
      </c>
      <c r="K1678" s="11">
        <f>IFERROR(INDEX(Roles!$B$17:$B$20,MATCH(J1678,Roles!$A$17:$A$20,0)),1)</f>
        <v/>
      </c>
      <c r="L1678" s="19" t="n">
        <v>1</v>
      </c>
      <c r="M1678" s="11" t="n">
        <v>1</v>
      </c>
      <c r="N1678" s="19" t="n"/>
      <c r="O1678" s="19" t="n"/>
      <c r="P1678" s="19" t="n"/>
      <c r="Q1678" s="19" t="n"/>
      <c r="R1678" s="19" t="n"/>
      <c r="S1678" s="19" t="n"/>
      <c r="T1678" s="19" t="n"/>
      <c r="U1678" s="19" t="n"/>
      <c r="V1678" s="19" t="n"/>
      <c r="W1678" s="19" t="n"/>
      <c r="X1678" s="19" t="n"/>
      <c r="Y1678" s="19" t="n">
        <v>1</v>
      </c>
      <c r="Z1678" s="13">
        <f>SUMPRODUCT(N1678:Y1678,$N$2:$Y$2)*$K1678*$L1678*$M1678</f>
        <v/>
      </c>
      <c r="AA1678" s="14">
        <f>SUM(N1678:Y1678)</f>
        <v/>
      </c>
      <c r="AB1678" s="13">
        <f>SUMPRODUCT(N1678:Y1678,$N$3:$Y$3)*$K1678*$L1678*$M1678</f>
        <v/>
      </c>
      <c r="AC1678" s="13">
        <f>SUMPRODUCT(N1678:Y1678,$N$4:$Y$4)*$K1678*$L1678*$M1678</f>
        <v/>
      </c>
      <c r="AD1678" s="15" t="n">
        <v>3</v>
      </c>
      <c r="AE1678" s="11" t="n">
        <v>1.011296296296296</v>
      </c>
      <c r="AF1678" s="16">
        <f>SUMPRODUCT(N1678:Y1678,$N$5:$Y$5)*$K1678*$L1678*$M1678</f>
        <v/>
      </c>
      <c r="AG1678" s="16">
        <f>SUMPRODUCT(N1678:Y1678,$N$6:$Y$6)*$K1678*$L1678*$M1678</f>
        <v/>
      </c>
      <c r="AH1678" s="20" t="n"/>
    </row>
    <row r="1679">
      <c r="A1679" s="9" t="n">
        <v>804613</v>
      </c>
      <c r="B1679" s="9" t="inlineStr">
        <is>
          <t>Luis Victorino</t>
        </is>
      </c>
      <c r="C1679" s="9" t="inlineStr">
        <is>
          <t>TOR</t>
        </is>
      </c>
      <c r="D1679" s="9" t="n">
        <v>25</v>
      </c>
      <c r="E1679" s="18" t="inlineStr">
        <is>
          <t>R</t>
        </is>
      </c>
      <c r="F1679" s="18" t="n"/>
      <c r="G1679" s="9" t="n">
        <v>15.996</v>
      </c>
      <c r="H1679" s="9" t="n">
        <v>15.996</v>
      </c>
      <c r="I1679" s="9" t="inlineStr">
        <is>
          <t>Depth (no MLB IP)</t>
        </is>
      </c>
      <c r="J1679" s="18" t="inlineStr">
        <is>
          <t>Opening Day</t>
        </is>
      </c>
      <c r="K1679" s="11">
        <f>IFERROR(INDEX(Roles!$B$17:$B$20,MATCH(J1679,Roles!$A$17:$A$20,0)),1)</f>
        <v/>
      </c>
      <c r="L1679" s="19" t="n">
        <v>1</v>
      </c>
      <c r="M1679" s="11" t="n">
        <v>1</v>
      </c>
      <c r="N1679" s="19" t="n"/>
      <c r="O1679" s="19" t="n"/>
      <c r="P1679" s="19" t="n"/>
      <c r="Q1679" s="19" t="n"/>
      <c r="R1679" s="19" t="n"/>
      <c r="S1679" s="19" t="n"/>
      <c r="T1679" s="19" t="n"/>
      <c r="U1679" s="19" t="n"/>
      <c r="V1679" s="19" t="n"/>
      <c r="W1679" s="19" t="n"/>
      <c r="X1679" s="19" t="n"/>
      <c r="Y1679" s="19" t="n">
        <v>1</v>
      </c>
      <c r="Z1679" s="13">
        <f>SUMPRODUCT(N1679:Y1679,$N$2:$Y$2)*$K1679*$L1679*$M1679</f>
        <v/>
      </c>
      <c r="AA1679" s="14">
        <f>SUM(N1679:Y1679)</f>
        <v/>
      </c>
      <c r="AB1679" s="13">
        <f>SUMPRODUCT(N1679:Y1679,$N$3:$Y$3)*$K1679*$L1679*$M1679</f>
        <v/>
      </c>
      <c r="AC1679" s="13">
        <f>SUMPRODUCT(N1679:Y1679,$N$4:$Y$4)*$K1679*$L1679*$M1679</f>
        <v/>
      </c>
      <c r="AD1679" s="15" t="n">
        <v>3</v>
      </c>
      <c r="AE1679" s="11" t="n">
        <v>1.011296296296296</v>
      </c>
      <c r="AF1679" s="16">
        <f>SUMPRODUCT(N1679:Y1679,$N$5:$Y$5)*$K1679*$L1679*$M1679</f>
        <v/>
      </c>
      <c r="AG1679" s="16">
        <f>SUMPRODUCT(N1679:Y1679,$N$6:$Y$6)*$K1679*$L1679*$M1679</f>
        <v/>
      </c>
      <c r="AH1679" s="20" t="n"/>
    </row>
    <row r="1680">
      <c r="A1680" s="9" t="n">
        <v>593934</v>
      </c>
      <c r="B1680" s="9" t="inlineStr">
        <is>
          <t>Miguel Sanó</t>
        </is>
      </c>
      <c r="C1680" s="9" t="inlineStr">
        <is>
          <t>LAA</t>
        </is>
      </c>
      <c r="D1680" s="9" t="n">
        <v>34</v>
      </c>
      <c r="E1680" s="18" t="inlineStr">
        <is>
          <t>R</t>
        </is>
      </c>
      <c r="F1680" s="18" t="n"/>
      <c r="G1680" s="9" t="n">
        <v>1</v>
      </c>
      <c r="H1680" s="9" t="n">
        <v>1</v>
      </c>
      <c r="I1680" s="9" t="inlineStr">
        <is>
          <t>Depth (no MLB IP)</t>
        </is>
      </c>
      <c r="J1680" s="18" t="inlineStr">
        <is>
          <t>Opening Day</t>
        </is>
      </c>
      <c r="K1680" s="11">
        <f>IFERROR(INDEX(Roles!$B$17:$B$20,MATCH(J1680,Roles!$A$17:$A$20,0)),1)</f>
        <v/>
      </c>
      <c r="L1680" s="19" t="n">
        <v>1</v>
      </c>
      <c r="M1680" s="11" t="n">
        <v>1</v>
      </c>
      <c r="N1680" s="19" t="n"/>
      <c r="O1680" s="19" t="n"/>
      <c r="P1680" s="19" t="n"/>
      <c r="Q1680" s="19" t="n"/>
      <c r="R1680" s="19" t="n"/>
      <c r="S1680" s="19" t="n"/>
      <c r="T1680" s="19" t="n"/>
      <c r="U1680" s="19" t="n"/>
      <c r="V1680" s="19" t="n"/>
      <c r="W1680" s="19" t="n"/>
      <c r="X1680" s="19" t="n"/>
      <c r="Y1680" s="19" t="n">
        <v>1</v>
      </c>
      <c r="Z1680" s="13">
        <f>SUMPRODUCT(N1680:Y1680,$N$2:$Y$2)*$K1680*$L1680*$M1680</f>
        <v/>
      </c>
      <c r="AA1680" s="14">
        <f>SUM(N1680:Y1680)</f>
        <v/>
      </c>
      <c r="AB1680" s="13">
        <f>SUMPRODUCT(N1680:Y1680,$N$3:$Y$3)*$K1680*$L1680*$M1680</f>
        <v/>
      </c>
      <c r="AC1680" s="13">
        <f>SUMPRODUCT(N1680:Y1680,$N$4:$Y$4)*$K1680*$L1680*$M1680</f>
        <v/>
      </c>
      <c r="AD1680" s="15" t="n">
        <v>1.8</v>
      </c>
      <c r="AE1680" s="11" t="n">
        <v>0.7853086419753086</v>
      </c>
      <c r="AF1680" s="16">
        <f>SUMPRODUCT(N1680:Y1680,$N$5:$Y$5)*$K1680*$L1680*$M1680</f>
        <v/>
      </c>
      <c r="AG1680" s="16">
        <f>SUMPRODUCT(N1680:Y1680,$N$6:$Y$6)*$K1680*$L1680*$M1680</f>
        <v/>
      </c>
      <c r="AH1680" s="20" t="n"/>
    </row>
    <row r="1681">
      <c r="A1681" s="9" t="n">
        <v>803094</v>
      </c>
      <c r="B1681" s="9" t="inlineStr">
        <is>
          <t>Win Scott</t>
        </is>
      </c>
      <c r="C1681" s="9" t="inlineStr">
        <is>
          <t>DET</t>
        </is>
      </c>
      <c r="D1681" s="9" t="n">
        <v>25</v>
      </c>
      <c r="E1681" s="18" t="inlineStr">
        <is>
          <t>L</t>
        </is>
      </c>
      <c r="F1681" s="18" t="n"/>
      <c r="G1681" s="9" t="n">
        <v>16.05333333333333</v>
      </c>
      <c r="H1681" s="9" t="n">
        <v>16.05333333333333</v>
      </c>
      <c r="I1681" s="9" t="inlineStr">
        <is>
          <t>Depth (no MLB IP)</t>
        </is>
      </c>
      <c r="J1681" s="18" t="inlineStr">
        <is>
          <t>Opening Day</t>
        </is>
      </c>
      <c r="K1681" s="11">
        <f>IFERROR(INDEX(Roles!$B$17:$B$20,MATCH(J1681,Roles!$A$17:$A$20,0)),1)</f>
        <v/>
      </c>
      <c r="L1681" s="19" t="n">
        <v>1</v>
      </c>
      <c r="M1681" s="11" t="n">
        <v>1</v>
      </c>
      <c r="N1681" s="19" t="n"/>
      <c r="O1681" s="19" t="n"/>
      <c r="P1681" s="19" t="n"/>
      <c r="Q1681" s="19" t="n"/>
      <c r="R1681" s="19" t="n"/>
      <c r="S1681" s="19" t="n"/>
      <c r="T1681" s="19" t="n"/>
      <c r="U1681" s="19" t="n"/>
      <c r="V1681" s="19" t="n"/>
      <c r="W1681" s="19" t="n"/>
      <c r="X1681" s="19" t="n"/>
      <c r="Y1681" s="19" t="n">
        <v>1</v>
      </c>
      <c r="Z1681" s="13">
        <f>SUMPRODUCT(N1681:Y1681,$N$2:$Y$2)*$K1681*$L1681*$M1681</f>
        <v/>
      </c>
      <c r="AA1681" s="14">
        <f>SUM(N1681:Y1681)</f>
        <v/>
      </c>
      <c r="AB1681" s="13">
        <f>SUMPRODUCT(N1681:Y1681,$N$3:$Y$3)*$K1681*$L1681*$M1681</f>
        <v/>
      </c>
      <c r="AC1681" s="13">
        <f>SUMPRODUCT(N1681:Y1681,$N$4:$Y$4)*$K1681*$L1681*$M1681</f>
        <v/>
      </c>
      <c r="AD1681" s="15" t="n">
        <v>3</v>
      </c>
      <c r="AE1681" s="11" t="n">
        <v>1.011296296296296</v>
      </c>
      <c r="AF1681" s="16">
        <f>SUMPRODUCT(N1681:Y1681,$N$5:$Y$5)*$K1681*$L1681*$M1681</f>
        <v/>
      </c>
      <c r="AG1681" s="16">
        <f>SUMPRODUCT(N1681:Y1681,$N$6:$Y$6)*$K1681*$L1681*$M1681</f>
        <v/>
      </c>
      <c r="AH1681" s="20" t="n"/>
    </row>
    <row r="1682">
      <c r="A1682" s="9" t="n">
        <v>701059</v>
      </c>
      <c r="B1682" s="9" t="inlineStr">
        <is>
          <t>Nate Nabholz</t>
        </is>
      </c>
      <c r="C1682" s="9" t="inlineStr">
        <is>
          <t>SF</t>
        </is>
      </c>
      <c r="D1682" s="9" t="n">
        <v>25</v>
      </c>
      <c r="E1682" s="18" t="inlineStr">
        <is>
          <t>R</t>
        </is>
      </c>
      <c r="F1682" s="18" t="n"/>
      <c r="G1682" s="9" t="n">
        <v>16.05333333333333</v>
      </c>
      <c r="H1682" s="9" t="n">
        <v>16.05333333333333</v>
      </c>
      <c r="I1682" s="9" t="inlineStr">
        <is>
          <t>Depth (no MLB IP)</t>
        </is>
      </c>
      <c r="J1682" s="18" t="inlineStr">
        <is>
          <t>Opening Day</t>
        </is>
      </c>
      <c r="K1682" s="11">
        <f>IFERROR(INDEX(Roles!$B$17:$B$20,MATCH(J1682,Roles!$A$17:$A$20,0)),1)</f>
        <v/>
      </c>
      <c r="L1682" s="19" t="n">
        <v>1</v>
      </c>
      <c r="M1682" s="11" t="n">
        <v>1</v>
      </c>
      <c r="N1682" s="19" t="n"/>
      <c r="O1682" s="19" t="n"/>
      <c r="P1682" s="19" t="n"/>
      <c r="Q1682" s="19" t="n"/>
      <c r="R1682" s="19" t="n"/>
      <c r="S1682" s="19" t="n"/>
      <c r="T1682" s="19" t="n"/>
      <c r="U1682" s="19" t="n"/>
      <c r="V1682" s="19" t="n"/>
      <c r="W1682" s="19" t="n"/>
      <c r="X1682" s="19" t="n"/>
      <c r="Y1682" s="19" t="n">
        <v>1</v>
      </c>
      <c r="Z1682" s="13">
        <f>SUMPRODUCT(N1682:Y1682,$N$2:$Y$2)*$K1682*$L1682*$M1682</f>
        <v/>
      </c>
      <c r="AA1682" s="14">
        <f>SUM(N1682:Y1682)</f>
        <v/>
      </c>
      <c r="AB1682" s="13">
        <f>SUMPRODUCT(N1682:Y1682,$N$3:$Y$3)*$K1682*$L1682*$M1682</f>
        <v/>
      </c>
      <c r="AC1682" s="13">
        <f>SUMPRODUCT(N1682:Y1682,$N$4:$Y$4)*$K1682*$L1682*$M1682</f>
        <v/>
      </c>
      <c r="AD1682" s="15" t="n">
        <v>3</v>
      </c>
      <c r="AE1682" s="11" t="n">
        <v>1.011296296296296</v>
      </c>
      <c r="AF1682" s="16">
        <f>SUMPRODUCT(N1682:Y1682,$N$5:$Y$5)*$K1682*$L1682*$M1682</f>
        <v/>
      </c>
      <c r="AG1682" s="16">
        <f>SUMPRODUCT(N1682:Y1682,$N$6:$Y$6)*$K1682*$L1682*$M1682</f>
        <v/>
      </c>
      <c r="AH1682" s="20" t="n"/>
    </row>
    <row r="1683">
      <c r="A1683" s="9" t="n">
        <v>699223</v>
      </c>
      <c r="B1683" s="9" t="inlineStr">
        <is>
          <t>Patricio Aquino</t>
        </is>
      </c>
      <c r="C1683" s="9" t="inlineStr">
        <is>
          <t>MIL</t>
        </is>
      </c>
      <c r="D1683" s="9" t="n">
        <v>25</v>
      </c>
      <c r="E1683" s="18" t="inlineStr">
        <is>
          <t>R</t>
        </is>
      </c>
      <c r="F1683" s="18" t="n"/>
      <c r="G1683" s="9" t="n">
        <v>16.05333333333333</v>
      </c>
      <c r="H1683" s="9" t="n">
        <v>16.05333333333333</v>
      </c>
      <c r="I1683" s="9" t="inlineStr">
        <is>
          <t>Depth (no MLB IP)</t>
        </is>
      </c>
      <c r="J1683" s="18" t="inlineStr">
        <is>
          <t>Opening Day</t>
        </is>
      </c>
      <c r="K1683" s="11">
        <f>IFERROR(INDEX(Roles!$B$17:$B$20,MATCH(J1683,Roles!$A$17:$A$20,0)),1)</f>
        <v/>
      </c>
      <c r="L1683" s="19" t="n">
        <v>1</v>
      </c>
      <c r="M1683" s="11" t="n">
        <v>1</v>
      </c>
      <c r="N1683" s="19" t="n"/>
      <c r="O1683" s="19" t="n"/>
      <c r="P1683" s="19" t="n"/>
      <c r="Q1683" s="19" t="n"/>
      <c r="R1683" s="19" t="n"/>
      <c r="S1683" s="19" t="n"/>
      <c r="T1683" s="19" t="n"/>
      <c r="U1683" s="19" t="n"/>
      <c r="V1683" s="19" t="n"/>
      <c r="W1683" s="19" t="n"/>
      <c r="X1683" s="19" t="n"/>
      <c r="Y1683" s="19" t="n">
        <v>1</v>
      </c>
      <c r="Z1683" s="13">
        <f>SUMPRODUCT(N1683:Y1683,$N$2:$Y$2)*$K1683*$L1683*$M1683</f>
        <v/>
      </c>
      <c r="AA1683" s="14">
        <f>SUM(N1683:Y1683)</f>
        <v/>
      </c>
      <c r="AB1683" s="13">
        <f>SUMPRODUCT(N1683:Y1683,$N$3:$Y$3)*$K1683*$L1683*$M1683</f>
        <v/>
      </c>
      <c r="AC1683" s="13">
        <f>SUMPRODUCT(N1683:Y1683,$N$4:$Y$4)*$K1683*$L1683*$M1683</f>
        <v/>
      </c>
      <c r="AD1683" s="15" t="n">
        <v>3</v>
      </c>
      <c r="AE1683" s="11" t="n">
        <v>1.011296296296296</v>
      </c>
      <c r="AF1683" s="16">
        <f>SUMPRODUCT(N1683:Y1683,$N$5:$Y$5)*$K1683*$L1683*$M1683</f>
        <v/>
      </c>
      <c r="AG1683" s="16">
        <f>SUMPRODUCT(N1683:Y1683,$N$6:$Y$6)*$K1683*$L1683*$M1683</f>
        <v/>
      </c>
      <c r="AH1683" s="20" t="n"/>
    </row>
    <row r="1684">
      <c r="A1684" s="9" t="n">
        <v>823808</v>
      </c>
      <c r="B1684" s="9" t="inlineStr">
        <is>
          <t>Jacob Mayers</t>
        </is>
      </c>
      <c r="C1684" s="9" t="inlineStr">
        <is>
          <t>BOS</t>
        </is>
      </c>
      <c r="D1684" s="9" t="n">
        <v>25</v>
      </c>
      <c r="E1684" s="18" t="inlineStr">
        <is>
          <t>R</t>
        </is>
      </c>
      <c r="F1684" s="18" t="n"/>
      <c r="G1684" s="9" t="n">
        <v>16.05333333333333</v>
      </c>
      <c r="H1684" s="9" t="n">
        <v>16.05333333333333</v>
      </c>
      <c r="I1684" s="9" t="inlineStr">
        <is>
          <t>Depth (no MLB IP)</t>
        </is>
      </c>
      <c r="J1684" s="18" t="inlineStr">
        <is>
          <t>Opening Day</t>
        </is>
      </c>
      <c r="K1684" s="11">
        <f>IFERROR(INDEX(Roles!$B$17:$B$20,MATCH(J1684,Roles!$A$17:$A$20,0)),1)</f>
        <v/>
      </c>
      <c r="L1684" s="19" t="n">
        <v>1</v>
      </c>
      <c r="M1684" s="11" t="n">
        <v>1</v>
      </c>
      <c r="N1684" s="19" t="n"/>
      <c r="O1684" s="19" t="n"/>
      <c r="P1684" s="19" t="n"/>
      <c r="Q1684" s="19" t="n"/>
      <c r="R1684" s="19" t="n"/>
      <c r="S1684" s="19" t="n"/>
      <c r="T1684" s="19" t="n"/>
      <c r="U1684" s="19" t="n"/>
      <c r="V1684" s="19" t="n"/>
      <c r="W1684" s="19" t="n"/>
      <c r="X1684" s="19" t="n"/>
      <c r="Y1684" s="19" t="n">
        <v>1</v>
      </c>
      <c r="Z1684" s="13">
        <f>SUMPRODUCT(N1684:Y1684,$N$2:$Y$2)*$K1684*$L1684*$M1684</f>
        <v/>
      </c>
      <c r="AA1684" s="14">
        <f>SUM(N1684:Y1684)</f>
        <v/>
      </c>
      <c r="AB1684" s="13">
        <f>SUMPRODUCT(N1684:Y1684,$N$3:$Y$3)*$K1684*$L1684*$M1684</f>
        <v/>
      </c>
      <c r="AC1684" s="13">
        <f>SUMPRODUCT(N1684:Y1684,$N$4:$Y$4)*$K1684*$L1684*$M1684</f>
        <v/>
      </c>
      <c r="AD1684" s="15" t="n">
        <v>3</v>
      </c>
      <c r="AE1684" s="11" t="n">
        <v>1.011296296296296</v>
      </c>
      <c r="AF1684" s="16">
        <f>SUMPRODUCT(N1684:Y1684,$N$5:$Y$5)*$K1684*$L1684*$M1684</f>
        <v/>
      </c>
      <c r="AG1684" s="16">
        <f>SUMPRODUCT(N1684:Y1684,$N$6:$Y$6)*$K1684*$L1684*$M1684</f>
        <v/>
      </c>
      <c r="AH1684" s="20" t="n"/>
    </row>
    <row r="1685">
      <c r="A1685" s="9" t="n">
        <v>680102</v>
      </c>
      <c r="B1685" s="9" t="inlineStr">
        <is>
          <t>Cameron Pferrer</t>
        </is>
      </c>
      <c r="C1685" s="9" t="inlineStr">
        <is>
          <t>SF</t>
        </is>
      </c>
      <c r="D1685" s="9" t="n">
        <v>25</v>
      </c>
      <c r="E1685" s="18" t="inlineStr">
        <is>
          <t>R</t>
        </is>
      </c>
      <c r="F1685" s="18" t="n"/>
      <c r="G1685" s="9" t="n">
        <v>16.05333333333333</v>
      </c>
      <c r="H1685" s="9" t="n">
        <v>16.05333333333333</v>
      </c>
      <c r="I1685" s="9" t="inlineStr">
        <is>
          <t>Depth (no MLB IP)</t>
        </is>
      </c>
      <c r="J1685" s="18" t="inlineStr">
        <is>
          <t>Opening Day</t>
        </is>
      </c>
      <c r="K1685" s="11">
        <f>IFERROR(INDEX(Roles!$B$17:$B$20,MATCH(J1685,Roles!$A$17:$A$20,0)),1)</f>
        <v/>
      </c>
      <c r="L1685" s="19" t="n">
        <v>1</v>
      </c>
      <c r="M1685" s="11" t="n">
        <v>1</v>
      </c>
      <c r="N1685" s="19" t="n"/>
      <c r="O1685" s="19" t="n"/>
      <c r="P1685" s="19" t="n"/>
      <c r="Q1685" s="19" t="n"/>
      <c r="R1685" s="19" t="n"/>
      <c r="S1685" s="19" t="n"/>
      <c r="T1685" s="19" t="n"/>
      <c r="U1685" s="19" t="n"/>
      <c r="V1685" s="19" t="n"/>
      <c r="W1685" s="19" t="n"/>
      <c r="X1685" s="19" t="n"/>
      <c r="Y1685" s="19" t="n">
        <v>1</v>
      </c>
      <c r="Z1685" s="13">
        <f>SUMPRODUCT(N1685:Y1685,$N$2:$Y$2)*$K1685*$L1685*$M1685</f>
        <v/>
      </c>
      <c r="AA1685" s="14">
        <f>SUM(N1685:Y1685)</f>
        <v/>
      </c>
      <c r="AB1685" s="13">
        <f>SUMPRODUCT(N1685:Y1685,$N$3:$Y$3)*$K1685*$L1685*$M1685</f>
        <v/>
      </c>
      <c r="AC1685" s="13">
        <f>SUMPRODUCT(N1685:Y1685,$N$4:$Y$4)*$K1685*$L1685*$M1685</f>
        <v/>
      </c>
      <c r="AD1685" s="15" t="n">
        <v>3</v>
      </c>
      <c r="AE1685" s="11" t="n">
        <v>1.011296296296296</v>
      </c>
      <c r="AF1685" s="16">
        <f>SUMPRODUCT(N1685:Y1685,$N$5:$Y$5)*$K1685*$L1685*$M1685</f>
        <v/>
      </c>
      <c r="AG1685" s="16">
        <f>SUMPRODUCT(N1685:Y1685,$N$6:$Y$6)*$K1685*$L1685*$M1685</f>
        <v/>
      </c>
      <c r="AH1685" s="20" t="n"/>
    </row>
    <row r="1686">
      <c r="A1686" s="9" t="n">
        <v>703752</v>
      </c>
      <c r="B1686" s="9" t="inlineStr">
        <is>
          <t>Parker Seay</t>
        </is>
      </c>
      <c r="C1686" s="9" t="inlineStr">
        <is>
          <t>NYY</t>
        </is>
      </c>
      <c r="D1686" s="9" t="n">
        <v>25</v>
      </c>
      <c r="E1686" s="18" t="inlineStr">
        <is>
          <t>L</t>
        </is>
      </c>
      <c r="F1686" s="18" t="n"/>
      <c r="G1686" s="9" t="n">
        <v>16.168</v>
      </c>
      <c r="H1686" s="9" t="n">
        <v>16.168</v>
      </c>
      <c r="I1686" s="9" t="inlineStr">
        <is>
          <t>Depth (no MLB IP)</t>
        </is>
      </c>
      <c r="J1686" s="18" t="inlineStr">
        <is>
          <t>Opening Day</t>
        </is>
      </c>
      <c r="K1686" s="11">
        <f>IFERROR(INDEX(Roles!$B$17:$B$20,MATCH(J1686,Roles!$A$17:$A$20,0)),1)</f>
        <v/>
      </c>
      <c r="L1686" s="19" t="n">
        <v>1</v>
      </c>
      <c r="M1686" s="11" t="n">
        <v>1</v>
      </c>
      <c r="N1686" s="19" t="n"/>
      <c r="O1686" s="19" t="n"/>
      <c r="P1686" s="19" t="n"/>
      <c r="Q1686" s="19" t="n"/>
      <c r="R1686" s="19" t="n"/>
      <c r="S1686" s="19" t="n"/>
      <c r="T1686" s="19" t="n"/>
      <c r="U1686" s="19" t="n"/>
      <c r="V1686" s="19" t="n"/>
      <c r="W1686" s="19" t="n"/>
      <c r="X1686" s="19" t="n"/>
      <c r="Y1686" s="19" t="n">
        <v>1</v>
      </c>
      <c r="Z1686" s="13">
        <f>SUMPRODUCT(N1686:Y1686,$N$2:$Y$2)*$K1686*$L1686*$M1686</f>
        <v/>
      </c>
      <c r="AA1686" s="14">
        <f>SUM(N1686:Y1686)</f>
        <v/>
      </c>
      <c r="AB1686" s="13">
        <f>SUMPRODUCT(N1686:Y1686,$N$3:$Y$3)*$K1686*$L1686*$M1686</f>
        <v/>
      </c>
      <c r="AC1686" s="13">
        <f>SUMPRODUCT(N1686:Y1686,$N$4:$Y$4)*$K1686*$L1686*$M1686</f>
        <v/>
      </c>
      <c r="AD1686" s="15" t="n">
        <v>3</v>
      </c>
      <c r="AE1686" s="11" t="n">
        <v>1.011296296296296</v>
      </c>
      <c r="AF1686" s="16">
        <f>SUMPRODUCT(N1686:Y1686,$N$5:$Y$5)*$K1686*$L1686*$M1686</f>
        <v/>
      </c>
      <c r="AG1686" s="16">
        <f>SUMPRODUCT(N1686:Y1686,$N$6:$Y$6)*$K1686*$L1686*$M1686</f>
        <v/>
      </c>
      <c r="AH1686" s="20" t="n"/>
    </row>
    <row r="1687">
      <c r="A1687" s="9" t="n">
        <v>821052</v>
      </c>
      <c r="B1687" s="9" t="inlineStr">
        <is>
          <t>Madinson Frias</t>
        </is>
      </c>
      <c r="C1687" s="9" t="inlineStr">
        <is>
          <t>BOS</t>
        </is>
      </c>
      <c r="D1687" s="9" t="n">
        <v>25</v>
      </c>
      <c r="E1687" s="18" t="inlineStr">
        <is>
          <t>R</t>
        </is>
      </c>
      <c r="F1687" s="18" t="n"/>
      <c r="G1687" s="9" t="n">
        <v>15.996</v>
      </c>
      <c r="H1687" s="9" t="n">
        <v>15.996</v>
      </c>
      <c r="I1687" s="9" t="inlineStr">
        <is>
          <t>Depth (no MLB IP)</t>
        </is>
      </c>
      <c r="J1687" s="18" t="inlineStr">
        <is>
          <t>Opening Day</t>
        </is>
      </c>
      <c r="K1687" s="11">
        <f>IFERROR(INDEX(Roles!$B$17:$B$20,MATCH(J1687,Roles!$A$17:$A$20,0)),1)</f>
        <v/>
      </c>
      <c r="L1687" s="19" t="n">
        <v>1</v>
      </c>
      <c r="M1687" s="11" t="n">
        <v>1</v>
      </c>
      <c r="N1687" s="19" t="n"/>
      <c r="O1687" s="19" t="n"/>
      <c r="P1687" s="19" t="n"/>
      <c r="Q1687" s="19" t="n"/>
      <c r="R1687" s="19" t="n"/>
      <c r="S1687" s="19" t="n"/>
      <c r="T1687" s="19" t="n"/>
      <c r="U1687" s="19" t="n"/>
      <c r="V1687" s="19" t="n"/>
      <c r="W1687" s="19" t="n"/>
      <c r="X1687" s="19" t="n"/>
      <c r="Y1687" s="19" t="n">
        <v>1</v>
      </c>
      <c r="Z1687" s="13">
        <f>SUMPRODUCT(N1687:Y1687,$N$2:$Y$2)*$K1687*$L1687*$M1687</f>
        <v/>
      </c>
      <c r="AA1687" s="14">
        <f>SUM(N1687:Y1687)</f>
        <v/>
      </c>
      <c r="AB1687" s="13">
        <f>SUMPRODUCT(N1687:Y1687,$N$3:$Y$3)*$K1687*$L1687*$M1687</f>
        <v/>
      </c>
      <c r="AC1687" s="13">
        <f>SUMPRODUCT(N1687:Y1687,$N$4:$Y$4)*$K1687*$L1687*$M1687</f>
        <v/>
      </c>
      <c r="AD1687" s="15" t="n">
        <v>3</v>
      </c>
      <c r="AE1687" s="11" t="n">
        <v>1.011296296296296</v>
      </c>
      <c r="AF1687" s="16">
        <f>SUMPRODUCT(N1687:Y1687,$N$5:$Y$5)*$K1687*$L1687*$M1687</f>
        <v/>
      </c>
      <c r="AG1687" s="16">
        <f>SUMPRODUCT(N1687:Y1687,$N$6:$Y$6)*$K1687*$L1687*$M1687</f>
        <v/>
      </c>
      <c r="AH1687" s="20" t="n"/>
    </row>
    <row r="1688">
      <c r="A1688" s="9" t="n">
        <v>686700</v>
      </c>
      <c r="B1688" s="9" t="inlineStr">
        <is>
          <t>Madison Jeffrey</t>
        </is>
      </c>
      <c r="C1688" s="9" t="inlineStr">
        <is>
          <t>CWS</t>
        </is>
      </c>
      <c r="D1688" s="9" t="n">
        <v>25</v>
      </c>
      <c r="E1688" s="18" t="inlineStr">
        <is>
          <t>R</t>
        </is>
      </c>
      <c r="F1688" s="18" t="n"/>
      <c r="G1688" s="9" t="n">
        <v>16.05333333333333</v>
      </c>
      <c r="H1688" s="9" t="n">
        <v>16.05333333333333</v>
      </c>
      <c r="I1688" s="9" t="inlineStr">
        <is>
          <t>Depth (no MLB IP)</t>
        </is>
      </c>
      <c r="J1688" s="18" t="inlineStr">
        <is>
          <t>Opening Day</t>
        </is>
      </c>
      <c r="K1688" s="11">
        <f>IFERROR(INDEX(Roles!$B$17:$B$20,MATCH(J1688,Roles!$A$17:$A$20,0)),1)</f>
        <v/>
      </c>
      <c r="L1688" s="19" t="n">
        <v>1</v>
      </c>
      <c r="M1688" s="11" t="n">
        <v>1</v>
      </c>
      <c r="N1688" s="19" t="n"/>
      <c r="O1688" s="19" t="n"/>
      <c r="P1688" s="19" t="n"/>
      <c r="Q1688" s="19" t="n"/>
      <c r="R1688" s="19" t="n"/>
      <c r="S1688" s="19" t="n"/>
      <c r="T1688" s="19" t="n"/>
      <c r="U1688" s="19" t="n"/>
      <c r="V1688" s="19" t="n"/>
      <c r="W1688" s="19" t="n"/>
      <c r="X1688" s="19" t="n"/>
      <c r="Y1688" s="19" t="n">
        <v>1</v>
      </c>
      <c r="Z1688" s="13">
        <f>SUMPRODUCT(N1688:Y1688,$N$2:$Y$2)*$K1688*$L1688*$M1688</f>
        <v/>
      </c>
      <c r="AA1688" s="14">
        <f>SUM(N1688:Y1688)</f>
        <v/>
      </c>
      <c r="AB1688" s="13">
        <f>SUMPRODUCT(N1688:Y1688,$N$3:$Y$3)*$K1688*$L1688*$M1688</f>
        <v/>
      </c>
      <c r="AC1688" s="13">
        <f>SUMPRODUCT(N1688:Y1688,$N$4:$Y$4)*$K1688*$L1688*$M1688</f>
        <v/>
      </c>
      <c r="AD1688" s="15" t="n">
        <v>3</v>
      </c>
      <c r="AE1688" s="11" t="n">
        <v>1.011296296296296</v>
      </c>
      <c r="AF1688" s="16">
        <f>SUMPRODUCT(N1688:Y1688,$N$5:$Y$5)*$K1688*$L1688*$M1688</f>
        <v/>
      </c>
      <c r="AG1688" s="16">
        <f>SUMPRODUCT(N1688:Y1688,$N$6:$Y$6)*$K1688*$L1688*$M1688</f>
        <v/>
      </c>
      <c r="AH1688" s="20" t="n"/>
    </row>
    <row r="1689">
      <c r="A1689" s="9" t="n">
        <v>807791</v>
      </c>
      <c r="B1689" s="9" t="inlineStr">
        <is>
          <t>Erick Reynoso</t>
        </is>
      </c>
      <c r="C1689" s="9" t="inlineStr">
        <is>
          <t>ARI</t>
        </is>
      </c>
      <c r="D1689" s="9" t="n">
        <v>25</v>
      </c>
      <c r="E1689" s="18" t="inlineStr">
        <is>
          <t>R</t>
        </is>
      </c>
      <c r="F1689" s="18" t="n"/>
      <c r="G1689" s="9" t="n">
        <v>16.168</v>
      </c>
      <c r="H1689" s="9" t="n">
        <v>16.168</v>
      </c>
      <c r="I1689" s="9" t="inlineStr">
        <is>
          <t>Depth (no MLB IP)</t>
        </is>
      </c>
      <c r="J1689" s="18" t="inlineStr">
        <is>
          <t>Opening Day</t>
        </is>
      </c>
      <c r="K1689" s="11">
        <f>IFERROR(INDEX(Roles!$B$17:$B$20,MATCH(J1689,Roles!$A$17:$A$20,0)),1)</f>
        <v/>
      </c>
      <c r="L1689" s="19" t="n">
        <v>1</v>
      </c>
      <c r="M1689" s="11" t="n">
        <v>1</v>
      </c>
      <c r="N1689" s="19" t="n"/>
      <c r="O1689" s="19" t="n"/>
      <c r="P1689" s="19" t="n"/>
      <c r="Q1689" s="19" t="n"/>
      <c r="R1689" s="19" t="n"/>
      <c r="S1689" s="19" t="n"/>
      <c r="T1689" s="19" t="n"/>
      <c r="U1689" s="19" t="n"/>
      <c r="V1689" s="19" t="n"/>
      <c r="W1689" s="19" t="n"/>
      <c r="X1689" s="19" t="n"/>
      <c r="Y1689" s="19" t="n">
        <v>1</v>
      </c>
      <c r="Z1689" s="13">
        <f>SUMPRODUCT(N1689:Y1689,$N$2:$Y$2)*$K1689*$L1689*$M1689</f>
        <v/>
      </c>
      <c r="AA1689" s="14">
        <f>SUM(N1689:Y1689)</f>
        <v/>
      </c>
      <c r="AB1689" s="13">
        <f>SUMPRODUCT(N1689:Y1689,$N$3:$Y$3)*$K1689*$L1689*$M1689</f>
        <v/>
      </c>
      <c r="AC1689" s="13">
        <f>SUMPRODUCT(N1689:Y1689,$N$4:$Y$4)*$K1689*$L1689*$M1689</f>
        <v/>
      </c>
      <c r="AD1689" s="15" t="n">
        <v>3</v>
      </c>
      <c r="AE1689" s="11" t="n">
        <v>1.011296296296296</v>
      </c>
      <c r="AF1689" s="16">
        <f>SUMPRODUCT(N1689:Y1689,$N$5:$Y$5)*$K1689*$L1689*$M1689</f>
        <v/>
      </c>
      <c r="AG1689" s="16">
        <f>SUMPRODUCT(N1689:Y1689,$N$6:$Y$6)*$K1689*$L1689*$M1689</f>
        <v/>
      </c>
      <c r="AH1689" s="20" t="n"/>
    </row>
    <row r="1690">
      <c r="A1690" s="9" t="n">
        <v>830800</v>
      </c>
      <c r="B1690" s="9" t="inlineStr">
        <is>
          <t>Luis Gamez</t>
        </is>
      </c>
      <c r="C1690" s="9" t="inlineStr">
        <is>
          <t>LAD</t>
        </is>
      </c>
      <c r="D1690" s="9" t="n">
        <v>25</v>
      </c>
      <c r="E1690" s="18" t="inlineStr">
        <is>
          <t>R</t>
        </is>
      </c>
      <c r="F1690" s="18" t="n"/>
      <c r="G1690" s="9" t="n">
        <v>16.168</v>
      </c>
      <c r="H1690" s="9" t="n">
        <v>16.168</v>
      </c>
      <c r="I1690" s="9" t="inlineStr">
        <is>
          <t>Depth (no MLB IP)</t>
        </is>
      </c>
      <c r="J1690" s="18" t="inlineStr">
        <is>
          <t>Opening Day</t>
        </is>
      </c>
      <c r="K1690" s="11">
        <f>IFERROR(INDEX(Roles!$B$17:$B$20,MATCH(J1690,Roles!$A$17:$A$20,0)),1)</f>
        <v/>
      </c>
      <c r="L1690" s="19" t="n">
        <v>1</v>
      </c>
      <c r="M1690" s="11" t="n">
        <v>1</v>
      </c>
      <c r="N1690" s="19" t="n"/>
      <c r="O1690" s="19" t="n"/>
      <c r="P1690" s="19" t="n"/>
      <c r="Q1690" s="19" t="n"/>
      <c r="R1690" s="19" t="n"/>
      <c r="S1690" s="19" t="n"/>
      <c r="T1690" s="19" t="n"/>
      <c r="U1690" s="19" t="n"/>
      <c r="V1690" s="19" t="n"/>
      <c r="W1690" s="19" t="n"/>
      <c r="X1690" s="19" t="n"/>
      <c r="Y1690" s="19" t="n">
        <v>1</v>
      </c>
      <c r="Z1690" s="13">
        <f>SUMPRODUCT(N1690:Y1690,$N$2:$Y$2)*$K1690*$L1690*$M1690</f>
        <v/>
      </c>
      <c r="AA1690" s="14">
        <f>SUM(N1690:Y1690)</f>
        <v/>
      </c>
      <c r="AB1690" s="13">
        <f>SUMPRODUCT(N1690:Y1690,$N$3:$Y$3)*$K1690*$L1690*$M1690</f>
        <v/>
      </c>
      <c r="AC1690" s="13">
        <f>SUMPRODUCT(N1690:Y1690,$N$4:$Y$4)*$K1690*$L1690*$M1690</f>
        <v/>
      </c>
      <c r="AD1690" s="15" t="n">
        <v>3</v>
      </c>
      <c r="AE1690" s="11" t="n">
        <v>1.011296296296296</v>
      </c>
      <c r="AF1690" s="16">
        <f>SUMPRODUCT(N1690:Y1690,$N$5:$Y$5)*$K1690*$L1690*$M1690</f>
        <v/>
      </c>
      <c r="AG1690" s="16">
        <f>SUMPRODUCT(N1690:Y1690,$N$6:$Y$6)*$K1690*$L1690*$M1690</f>
        <v/>
      </c>
      <c r="AH1690" s="20" t="n"/>
    </row>
    <row r="1691">
      <c r="A1691" s="9" t="n">
        <v>701473</v>
      </c>
      <c r="B1691" s="9" t="inlineStr">
        <is>
          <t>Cole Cheatham</t>
        </is>
      </c>
      <c r="C1691" s="9" t="inlineStr">
        <is>
          <t>SEA</t>
        </is>
      </c>
      <c r="D1691" s="9" t="n">
        <v>25</v>
      </c>
      <c r="E1691" s="18" t="inlineStr">
        <is>
          <t>L</t>
        </is>
      </c>
      <c r="F1691" s="18" t="n"/>
      <c r="G1691" s="9" t="n">
        <v>16.34</v>
      </c>
      <c r="H1691" s="9" t="n">
        <v>16.34</v>
      </c>
      <c r="I1691" s="9" t="inlineStr">
        <is>
          <t>Depth (no MLB IP)</t>
        </is>
      </c>
      <c r="J1691" s="18" t="inlineStr">
        <is>
          <t>Opening Day</t>
        </is>
      </c>
      <c r="K1691" s="11">
        <f>IFERROR(INDEX(Roles!$B$17:$B$20,MATCH(J1691,Roles!$A$17:$A$20,0)),1)</f>
        <v/>
      </c>
      <c r="L1691" s="19" t="n">
        <v>1</v>
      </c>
      <c r="M1691" s="11" t="n">
        <v>1</v>
      </c>
      <c r="N1691" s="19" t="n"/>
      <c r="O1691" s="19" t="n"/>
      <c r="P1691" s="19" t="n"/>
      <c r="Q1691" s="19" t="n"/>
      <c r="R1691" s="19" t="n"/>
      <c r="S1691" s="19" t="n"/>
      <c r="T1691" s="19" t="n"/>
      <c r="U1691" s="19" t="n"/>
      <c r="V1691" s="19" t="n"/>
      <c r="W1691" s="19" t="n"/>
      <c r="X1691" s="19" t="n"/>
      <c r="Y1691" s="19" t="n">
        <v>1</v>
      </c>
      <c r="Z1691" s="13">
        <f>SUMPRODUCT(N1691:Y1691,$N$2:$Y$2)*$K1691*$L1691*$M1691</f>
        <v/>
      </c>
      <c r="AA1691" s="14">
        <f>SUM(N1691:Y1691)</f>
        <v/>
      </c>
      <c r="AB1691" s="13">
        <f>SUMPRODUCT(N1691:Y1691,$N$3:$Y$3)*$K1691*$L1691*$M1691</f>
        <v/>
      </c>
      <c r="AC1691" s="13">
        <f>SUMPRODUCT(N1691:Y1691,$N$4:$Y$4)*$K1691*$L1691*$M1691</f>
        <v/>
      </c>
      <c r="AD1691" s="15" t="n">
        <v>3</v>
      </c>
      <c r="AE1691" s="11" t="n">
        <v>1.011296296296296</v>
      </c>
      <c r="AF1691" s="16">
        <f>SUMPRODUCT(N1691:Y1691,$N$5:$Y$5)*$K1691*$L1691*$M1691</f>
        <v/>
      </c>
      <c r="AG1691" s="16">
        <f>SUMPRODUCT(N1691:Y1691,$N$6:$Y$6)*$K1691*$L1691*$M1691</f>
        <v/>
      </c>
      <c r="AH1691" s="20" t="n"/>
    </row>
    <row r="1692">
      <c r="A1692" s="9" t="n">
        <v>695765</v>
      </c>
      <c r="B1692" s="9" t="inlineStr">
        <is>
          <t>Thatcher Hurd</t>
        </is>
      </c>
      <c r="C1692" s="9" t="inlineStr">
        <is>
          <t>NYY</t>
        </is>
      </c>
      <c r="D1692" s="9" t="n">
        <v>25</v>
      </c>
      <c r="E1692" s="18" t="inlineStr">
        <is>
          <t>R</t>
        </is>
      </c>
      <c r="F1692" s="18" t="n"/>
      <c r="G1692" s="9" t="n">
        <v>16.34</v>
      </c>
      <c r="H1692" s="9" t="n">
        <v>16.34</v>
      </c>
      <c r="I1692" s="9" t="inlineStr">
        <is>
          <t>Depth (no MLB IP)</t>
        </is>
      </c>
      <c r="J1692" s="18" t="inlineStr">
        <is>
          <t>Opening Day</t>
        </is>
      </c>
      <c r="K1692" s="11">
        <f>IFERROR(INDEX(Roles!$B$17:$B$20,MATCH(J1692,Roles!$A$17:$A$20,0)),1)</f>
        <v/>
      </c>
      <c r="L1692" s="19" t="n">
        <v>1</v>
      </c>
      <c r="M1692" s="11" t="n">
        <v>1</v>
      </c>
      <c r="N1692" s="19" t="n"/>
      <c r="O1692" s="19" t="n"/>
      <c r="P1692" s="19" t="n"/>
      <c r="Q1692" s="19" t="n"/>
      <c r="R1692" s="19" t="n"/>
      <c r="S1692" s="19" t="n"/>
      <c r="T1692" s="19" t="n"/>
      <c r="U1692" s="19" t="n"/>
      <c r="V1692" s="19" t="n"/>
      <c r="W1692" s="19" t="n"/>
      <c r="X1692" s="19" t="n"/>
      <c r="Y1692" s="19" t="n">
        <v>1</v>
      </c>
      <c r="Z1692" s="13">
        <f>SUMPRODUCT(N1692:Y1692,$N$2:$Y$2)*$K1692*$L1692*$M1692</f>
        <v/>
      </c>
      <c r="AA1692" s="14">
        <f>SUM(N1692:Y1692)</f>
        <v/>
      </c>
      <c r="AB1692" s="13">
        <f>SUMPRODUCT(N1692:Y1692,$N$3:$Y$3)*$K1692*$L1692*$M1692</f>
        <v/>
      </c>
      <c r="AC1692" s="13">
        <f>SUMPRODUCT(N1692:Y1692,$N$4:$Y$4)*$K1692*$L1692*$M1692</f>
        <v/>
      </c>
      <c r="AD1692" s="15" t="n">
        <v>3</v>
      </c>
      <c r="AE1692" s="11" t="n">
        <v>1.011296296296296</v>
      </c>
      <c r="AF1692" s="16">
        <f>SUMPRODUCT(N1692:Y1692,$N$5:$Y$5)*$K1692*$L1692*$M1692</f>
        <v/>
      </c>
      <c r="AG1692" s="16">
        <f>SUMPRODUCT(N1692:Y1692,$N$6:$Y$6)*$K1692*$L1692*$M1692</f>
        <v/>
      </c>
      <c r="AH1692" s="20" t="n"/>
    </row>
    <row r="1693">
      <c r="A1693" s="9" t="n">
        <v>680893</v>
      </c>
      <c r="B1693" s="9" t="inlineStr">
        <is>
          <t>Hueston Morrill</t>
        </is>
      </c>
      <c r="C1693" s="9" t="inlineStr">
        <is>
          <t>NYY</t>
        </is>
      </c>
      <c r="D1693" s="9" t="n">
        <v>25</v>
      </c>
      <c r="E1693" s="18" t="inlineStr">
        <is>
          <t>R</t>
        </is>
      </c>
      <c r="F1693" s="18" t="n"/>
      <c r="G1693" s="9" t="n">
        <v>16.555</v>
      </c>
      <c r="H1693" s="9" t="n">
        <v>16.555</v>
      </c>
      <c r="I1693" s="9" t="inlineStr">
        <is>
          <t>Depth (no MLB IP)</t>
        </is>
      </c>
      <c r="J1693" s="18" t="inlineStr">
        <is>
          <t>Opening Day</t>
        </is>
      </c>
      <c r="K1693" s="11">
        <f>IFERROR(INDEX(Roles!$B$17:$B$20,MATCH(J1693,Roles!$A$17:$A$20,0)),1)</f>
        <v/>
      </c>
      <c r="L1693" s="19" t="n">
        <v>1</v>
      </c>
      <c r="M1693" s="11" t="n">
        <v>1</v>
      </c>
      <c r="N1693" s="19" t="n"/>
      <c r="O1693" s="19" t="n"/>
      <c r="P1693" s="19" t="n"/>
      <c r="Q1693" s="19" t="n"/>
      <c r="R1693" s="19" t="n"/>
      <c r="S1693" s="19" t="n"/>
      <c r="T1693" s="19" t="n"/>
      <c r="U1693" s="19" t="n"/>
      <c r="V1693" s="19" t="n"/>
      <c r="W1693" s="19" t="n"/>
      <c r="X1693" s="19" t="n"/>
      <c r="Y1693" s="19" t="n">
        <v>1</v>
      </c>
      <c r="Z1693" s="13">
        <f>SUMPRODUCT(N1693:Y1693,$N$2:$Y$2)*$K1693*$L1693*$M1693</f>
        <v/>
      </c>
      <c r="AA1693" s="14">
        <f>SUM(N1693:Y1693)</f>
        <v/>
      </c>
      <c r="AB1693" s="13">
        <f>SUMPRODUCT(N1693:Y1693,$N$3:$Y$3)*$K1693*$L1693*$M1693</f>
        <v/>
      </c>
      <c r="AC1693" s="13">
        <f>SUMPRODUCT(N1693:Y1693,$N$4:$Y$4)*$K1693*$L1693*$M1693</f>
        <v/>
      </c>
      <c r="AD1693" s="15" t="n">
        <v>3</v>
      </c>
      <c r="AE1693" s="11" t="n">
        <v>1.011296296296296</v>
      </c>
      <c r="AF1693" s="16">
        <f>SUMPRODUCT(N1693:Y1693,$N$5:$Y$5)*$K1693*$L1693*$M1693</f>
        <v/>
      </c>
      <c r="AG1693" s="16">
        <f>SUMPRODUCT(N1693:Y1693,$N$6:$Y$6)*$K1693*$L1693*$M1693</f>
        <v/>
      </c>
      <c r="AH1693" s="20" t="n"/>
    </row>
    <row r="1694">
      <c r="A1694" s="9" t="n">
        <v>829517</v>
      </c>
      <c r="B1694" s="9" t="inlineStr">
        <is>
          <t>Jake Dykhoff</t>
        </is>
      </c>
      <c r="C1694" s="9" t="inlineStr">
        <is>
          <t>BAL</t>
        </is>
      </c>
      <c r="D1694" s="9" t="n">
        <v>25</v>
      </c>
      <c r="E1694" s="18" t="inlineStr">
        <is>
          <t>R</t>
        </is>
      </c>
      <c r="F1694" s="18" t="n"/>
      <c r="G1694" s="9" t="n">
        <v>16.555</v>
      </c>
      <c r="H1694" s="9" t="n">
        <v>16.555</v>
      </c>
      <c r="I1694" s="9" t="inlineStr">
        <is>
          <t>Depth (no MLB IP)</t>
        </is>
      </c>
      <c r="J1694" s="18" t="inlineStr">
        <is>
          <t>Opening Day</t>
        </is>
      </c>
      <c r="K1694" s="11">
        <f>IFERROR(INDEX(Roles!$B$17:$B$20,MATCH(J1694,Roles!$A$17:$A$20,0)),1)</f>
        <v/>
      </c>
      <c r="L1694" s="19" t="n">
        <v>1</v>
      </c>
      <c r="M1694" s="11" t="n">
        <v>1</v>
      </c>
      <c r="N1694" s="19" t="n"/>
      <c r="O1694" s="19" t="n"/>
      <c r="P1694" s="19" t="n"/>
      <c r="Q1694" s="19" t="n"/>
      <c r="R1694" s="19" t="n"/>
      <c r="S1694" s="19" t="n"/>
      <c r="T1694" s="19" t="n"/>
      <c r="U1694" s="19" t="n"/>
      <c r="V1694" s="19" t="n"/>
      <c r="W1694" s="19" t="n"/>
      <c r="X1694" s="19" t="n"/>
      <c r="Y1694" s="19" t="n">
        <v>1</v>
      </c>
      <c r="Z1694" s="13">
        <f>SUMPRODUCT(N1694:Y1694,$N$2:$Y$2)*$K1694*$L1694*$M1694</f>
        <v/>
      </c>
      <c r="AA1694" s="14">
        <f>SUM(N1694:Y1694)</f>
        <v/>
      </c>
      <c r="AB1694" s="13">
        <f>SUMPRODUCT(N1694:Y1694,$N$3:$Y$3)*$K1694*$L1694*$M1694</f>
        <v/>
      </c>
      <c r="AC1694" s="13">
        <f>SUMPRODUCT(N1694:Y1694,$N$4:$Y$4)*$K1694*$L1694*$M1694</f>
        <v/>
      </c>
      <c r="AD1694" s="15" t="n">
        <v>3</v>
      </c>
      <c r="AE1694" s="11" t="n">
        <v>1.011296296296296</v>
      </c>
      <c r="AF1694" s="16">
        <f>SUMPRODUCT(N1694:Y1694,$N$5:$Y$5)*$K1694*$L1694*$M1694</f>
        <v/>
      </c>
      <c r="AG1694" s="16">
        <f>SUMPRODUCT(N1694:Y1694,$N$6:$Y$6)*$K1694*$L1694*$M1694</f>
        <v/>
      </c>
      <c r="AH1694" s="20" t="n"/>
    </row>
    <row r="1695">
      <c r="A1695" s="9" t="n">
        <v>683004</v>
      </c>
      <c r="B1695" s="9" t="inlineStr">
        <is>
          <t>Jack Leiter</t>
        </is>
      </c>
      <c r="C1695" s="9" t="inlineStr">
        <is>
          <t>TEX</t>
        </is>
      </c>
      <c r="D1695" s="9" t="n">
        <v>27</v>
      </c>
      <c r="E1695" s="18" t="inlineStr">
        <is>
          <t>R</t>
        </is>
      </c>
      <c r="F1695" s="18" t="n"/>
      <c r="G1695" s="9" t="n">
        <v>355</v>
      </c>
      <c r="H1695" s="9" t="n">
        <v>1174</v>
      </c>
      <c r="I1695" s="9" t="inlineStr">
        <is>
          <t>Swing Arm / Long Relief</t>
        </is>
      </c>
      <c r="J1695" s="18" t="inlineStr">
        <is>
          <t>Opening Day</t>
        </is>
      </c>
      <c r="K1695" s="11">
        <f>IFERROR(INDEX(Roles!$B$17:$B$20,MATCH(J1695,Roles!$A$17:$A$20,0)),1)</f>
        <v/>
      </c>
      <c r="L1695" s="19" t="n">
        <v>1</v>
      </c>
      <c r="M1695" s="11" t="n">
        <v>1</v>
      </c>
      <c r="N1695" s="19" t="n"/>
      <c r="O1695" s="19" t="n"/>
      <c r="P1695" s="19" t="n"/>
      <c r="Q1695" s="19" t="n"/>
      <c r="R1695" s="19" t="n">
        <v>0.5</v>
      </c>
      <c r="S1695" s="19" t="n"/>
      <c r="T1695" s="19" t="n"/>
      <c r="U1695" s="19" t="n"/>
      <c r="V1695" s="19" t="n">
        <v>0.5</v>
      </c>
      <c r="W1695" s="19" t="n"/>
      <c r="X1695" s="19" t="n"/>
      <c r="Y1695" s="19" t="n"/>
      <c r="Z1695" s="13">
        <f>SUMPRODUCT(N1695:Y1695,$N$2:$Y$2)*$K1695*$L1695*$M1695</f>
        <v/>
      </c>
      <c r="AA1695" s="14">
        <f>SUM(N1695:Y1695)</f>
        <v/>
      </c>
      <c r="AB1695" s="13">
        <f>SUMPRODUCT(N1695:Y1695,$N$3:$Y$3)*$K1695*$L1695*$M1695</f>
        <v/>
      </c>
      <c r="AC1695" s="13">
        <f>SUMPRODUCT(N1695:Y1695,$N$4:$Y$4)*$K1695*$L1695*$M1695</f>
        <v/>
      </c>
      <c r="AD1695" s="15" t="n">
        <v>19.33333333333333</v>
      </c>
      <c r="AE1695" s="11" t="n">
        <v>3.391702446005725</v>
      </c>
      <c r="AF1695" s="16">
        <f>SUMPRODUCT(N1695:Y1695,$N$5:$Y$5)*$K1695*$L1695*$M1695</f>
        <v/>
      </c>
      <c r="AG1695" s="16">
        <f>SUMPRODUCT(N1695:Y1695,$N$6:$Y$6)*$K1695*$L1695*$M1695</f>
        <v/>
      </c>
      <c r="AH1695" s="20" t="n"/>
    </row>
    <row r="1696">
      <c r="A1696" s="9" t="n">
        <v>802680</v>
      </c>
      <c r="B1696" s="9" t="inlineStr">
        <is>
          <t>Tyler Bradt</t>
        </is>
      </c>
      <c r="C1696" s="9" t="inlineStr">
        <is>
          <t>STL</t>
        </is>
      </c>
      <c r="D1696" s="9" t="n">
        <v>25</v>
      </c>
      <c r="E1696" s="18" t="inlineStr">
        <is>
          <t>R</t>
        </is>
      </c>
      <c r="F1696" s="18" t="n"/>
      <c r="G1696" s="9" t="n">
        <v>16.555</v>
      </c>
      <c r="H1696" s="9" t="n">
        <v>16.555</v>
      </c>
      <c r="I1696" s="9" t="inlineStr">
        <is>
          <t>Depth (no MLB IP)</t>
        </is>
      </c>
      <c r="J1696" s="18" t="inlineStr">
        <is>
          <t>Opening Day</t>
        </is>
      </c>
      <c r="K1696" s="11">
        <f>IFERROR(INDEX(Roles!$B$17:$B$20,MATCH(J1696,Roles!$A$17:$A$20,0)),1)</f>
        <v/>
      </c>
      <c r="L1696" s="19" t="n">
        <v>1</v>
      </c>
      <c r="M1696" s="11" t="n">
        <v>1</v>
      </c>
      <c r="N1696" s="19" t="n"/>
      <c r="O1696" s="19" t="n"/>
      <c r="P1696" s="19" t="n"/>
      <c r="Q1696" s="19" t="n"/>
      <c r="R1696" s="19" t="n"/>
      <c r="S1696" s="19" t="n"/>
      <c r="T1696" s="19" t="n"/>
      <c r="U1696" s="19" t="n"/>
      <c r="V1696" s="19" t="n"/>
      <c r="W1696" s="19" t="n"/>
      <c r="X1696" s="19" t="n"/>
      <c r="Y1696" s="19" t="n">
        <v>1</v>
      </c>
      <c r="Z1696" s="13">
        <f>SUMPRODUCT(N1696:Y1696,$N$2:$Y$2)*$K1696*$L1696*$M1696</f>
        <v/>
      </c>
      <c r="AA1696" s="14">
        <f>SUM(N1696:Y1696)</f>
        <v/>
      </c>
      <c r="AB1696" s="13">
        <f>SUMPRODUCT(N1696:Y1696,$N$3:$Y$3)*$K1696*$L1696*$M1696</f>
        <v/>
      </c>
      <c r="AC1696" s="13">
        <f>SUMPRODUCT(N1696:Y1696,$N$4:$Y$4)*$K1696*$L1696*$M1696</f>
        <v/>
      </c>
      <c r="AD1696" s="15" t="n">
        <v>3</v>
      </c>
      <c r="AE1696" s="11" t="n">
        <v>1.011296296296296</v>
      </c>
      <c r="AF1696" s="16">
        <f>SUMPRODUCT(N1696:Y1696,$N$5:$Y$5)*$K1696*$L1696*$M1696</f>
        <v/>
      </c>
      <c r="AG1696" s="16">
        <f>SUMPRODUCT(N1696:Y1696,$N$6:$Y$6)*$K1696*$L1696*$M1696</f>
        <v/>
      </c>
      <c r="AH1696" s="20" t="n"/>
    </row>
    <row r="1697">
      <c r="A1697" s="9" t="n">
        <v>625510</v>
      </c>
      <c r="B1697" s="9" t="inlineStr">
        <is>
          <t>Erick Mejia</t>
        </is>
      </c>
      <c r="C1697" s="9" t="inlineStr">
        <is>
          <t>WSH</t>
        </is>
      </c>
      <c r="D1697" s="9" t="n">
        <v>25</v>
      </c>
      <c r="E1697" s="18" t="inlineStr">
        <is>
          <t>R</t>
        </is>
      </c>
      <c r="F1697" s="18" t="n"/>
      <c r="G1697" s="9" t="n">
        <v>16.555</v>
      </c>
      <c r="H1697" s="9" t="n">
        <v>16.555</v>
      </c>
      <c r="I1697" s="9" t="inlineStr">
        <is>
          <t>Depth (no MLB IP)</t>
        </is>
      </c>
      <c r="J1697" s="18" t="inlineStr">
        <is>
          <t>Opening Day</t>
        </is>
      </c>
      <c r="K1697" s="11">
        <f>IFERROR(INDEX(Roles!$B$17:$B$20,MATCH(J1697,Roles!$A$17:$A$20,0)),1)</f>
        <v/>
      </c>
      <c r="L1697" s="19" t="n">
        <v>1</v>
      </c>
      <c r="M1697" s="11" t="n">
        <v>1</v>
      </c>
      <c r="N1697" s="19" t="n"/>
      <c r="O1697" s="19" t="n"/>
      <c r="P1697" s="19" t="n"/>
      <c r="Q1697" s="19" t="n"/>
      <c r="R1697" s="19" t="n"/>
      <c r="S1697" s="19" t="n"/>
      <c r="T1697" s="19" t="n"/>
      <c r="U1697" s="19" t="n"/>
      <c r="V1697" s="19" t="n"/>
      <c r="W1697" s="19" t="n"/>
      <c r="X1697" s="19" t="n"/>
      <c r="Y1697" s="19" t="n">
        <v>1</v>
      </c>
      <c r="Z1697" s="13">
        <f>SUMPRODUCT(N1697:Y1697,$N$2:$Y$2)*$K1697*$L1697*$M1697</f>
        <v/>
      </c>
      <c r="AA1697" s="14">
        <f>SUM(N1697:Y1697)</f>
        <v/>
      </c>
      <c r="AB1697" s="13">
        <f>SUMPRODUCT(N1697:Y1697,$N$3:$Y$3)*$K1697*$L1697*$M1697</f>
        <v/>
      </c>
      <c r="AC1697" s="13">
        <f>SUMPRODUCT(N1697:Y1697,$N$4:$Y$4)*$K1697*$L1697*$M1697</f>
        <v/>
      </c>
      <c r="AD1697" s="15" t="n">
        <v>3</v>
      </c>
      <c r="AE1697" s="11" t="n">
        <v>1.011296296296296</v>
      </c>
      <c r="AF1697" s="16">
        <f>SUMPRODUCT(N1697:Y1697,$N$5:$Y$5)*$K1697*$L1697*$M1697</f>
        <v/>
      </c>
      <c r="AG1697" s="16">
        <f>SUMPRODUCT(N1697:Y1697,$N$6:$Y$6)*$K1697*$L1697*$M1697</f>
        <v/>
      </c>
      <c r="AH1697" s="20" t="n"/>
    </row>
    <row r="1698">
      <c r="A1698" s="9" t="n">
        <v>813949</v>
      </c>
      <c r="B1698" s="9" t="inlineStr">
        <is>
          <t>Chase Mobley</t>
        </is>
      </c>
      <c r="C1698" s="9" t="inlineStr">
        <is>
          <t>CLE</t>
        </is>
      </c>
      <c r="D1698" s="9" t="n">
        <v>25</v>
      </c>
      <c r="E1698" s="18" t="inlineStr">
        <is>
          <t>R</t>
        </is>
      </c>
      <c r="F1698" s="18" t="n"/>
      <c r="G1698" s="9" t="n">
        <v>16.512</v>
      </c>
      <c r="H1698" s="9" t="n">
        <v>16.512</v>
      </c>
      <c r="I1698" s="9" t="inlineStr">
        <is>
          <t>Depth (no MLB IP)</t>
        </is>
      </c>
      <c r="J1698" s="18" t="inlineStr">
        <is>
          <t>Opening Day</t>
        </is>
      </c>
      <c r="K1698" s="11">
        <f>IFERROR(INDEX(Roles!$B$17:$B$20,MATCH(J1698,Roles!$A$17:$A$20,0)),1)</f>
        <v/>
      </c>
      <c r="L1698" s="19" t="n">
        <v>1</v>
      </c>
      <c r="M1698" s="11" t="n">
        <v>1</v>
      </c>
      <c r="N1698" s="19" t="n"/>
      <c r="O1698" s="19" t="n"/>
      <c r="P1698" s="19" t="n"/>
      <c r="Q1698" s="19" t="n"/>
      <c r="R1698" s="19" t="n"/>
      <c r="S1698" s="19" t="n"/>
      <c r="T1698" s="19" t="n"/>
      <c r="U1698" s="19" t="n"/>
      <c r="V1698" s="19" t="n"/>
      <c r="W1698" s="19" t="n"/>
      <c r="X1698" s="19" t="n"/>
      <c r="Y1698" s="19" t="n">
        <v>1</v>
      </c>
      <c r="Z1698" s="13">
        <f>SUMPRODUCT(N1698:Y1698,$N$2:$Y$2)*$K1698*$L1698*$M1698</f>
        <v/>
      </c>
      <c r="AA1698" s="14">
        <f>SUM(N1698:Y1698)</f>
        <v/>
      </c>
      <c r="AB1698" s="13">
        <f>SUMPRODUCT(N1698:Y1698,$N$3:$Y$3)*$K1698*$L1698*$M1698</f>
        <v/>
      </c>
      <c r="AC1698" s="13">
        <f>SUMPRODUCT(N1698:Y1698,$N$4:$Y$4)*$K1698*$L1698*$M1698</f>
        <v/>
      </c>
      <c r="AD1698" s="15" t="n">
        <v>3</v>
      </c>
      <c r="AE1698" s="11" t="n">
        <v>1.011296296296296</v>
      </c>
      <c r="AF1698" s="16">
        <f>SUMPRODUCT(N1698:Y1698,$N$5:$Y$5)*$K1698*$L1698*$M1698</f>
        <v/>
      </c>
      <c r="AG1698" s="16">
        <f>SUMPRODUCT(N1698:Y1698,$N$6:$Y$6)*$K1698*$L1698*$M1698</f>
        <v/>
      </c>
      <c r="AH1698" s="20" t="n"/>
    </row>
    <row r="1699">
      <c r="A1699" s="9" t="n">
        <v>811291</v>
      </c>
      <c r="B1699" s="9" t="inlineStr">
        <is>
          <t>Eriq Swan</t>
        </is>
      </c>
      <c r="C1699" s="9" t="inlineStr">
        <is>
          <t>WSH</t>
        </is>
      </c>
      <c r="D1699" s="9" t="n">
        <v>25</v>
      </c>
      <c r="E1699" s="18" t="inlineStr">
        <is>
          <t>R</t>
        </is>
      </c>
      <c r="F1699" s="18" t="n"/>
      <c r="G1699" s="9" t="n">
        <v>16.555</v>
      </c>
      <c r="H1699" s="9" t="n">
        <v>16.555</v>
      </c>
      <c r="I1699" s="9" t="inlineStr">
        <is>
          <t>Depth (no MLB IP)</t>
        </is>
      </c>
      <c r="J1699" s="18" t="inlineStr">
        <is>
          <t>Opening Day</t>
        </is>
      </c>
      <c r="K1699" s="11">
        <f>IFERROR(INDEX(Roles!$B$17:$B$20,MATCH(J1699,Roles!$A$17:$A$20,0)),1)</f>
        <v/>
      </c>
      <c r="L1699" s="19" t="n">
        <v>1</v>
      </c>
      <c r="M1699" s="11" t="n">
        <v>1</v>
      </c>
      <c r="N1699" s="19" t="n"/>
      <c r="O1699" s="19" t="n"/>
      <c r="P1699" s="19" t="n"/>
      <c r="Q1699" s="19" t="n"/>
      <c r="R1699" s="19" t="n"/>
      <c r="S1699" s="19" t="n"/>
      <c r="T1699" s="19" t="n"/>
      <c r="U1699" s="19" t="n"/>
      <c r="V1699" s="19" t="n"/>
      <c r="W1699" s="19" t="n"/>
      <c r="X1699" s="19" t="n"/>
      <c r="Y1699" s="19" t="n">
        <v>1</v>
      </c>
      <c r="Z1699" s="13">
        <f>SUMPRODUCT(N1699:Y1699,$N$2:$Y$2)*$K1699*$L1699*$M1699</f>
        <v/>
      </c>
      <c r="AA1699" s="14">
        <f>SUM(N1699:Y1699)</f>
        <v/>
      </c>
      <c r="AB1699" s="13">
        <f>SUMPRODUCT(N1699:Y1699,$N$3:$Y$3)*$K1699*$L1699*$M1699</f>
        <v/>
      </c>
      <c r="AC1699" s="13">
        <f>SUMPRODUCT(N1699:Y1699,$N$4:$Y$4)*$K1699*$L1699*$M1699</f>
        <v/>
      </c>
      <c r="AD1699" s="15" t="n">
        <v>3</v>
      </c>
      <c r="AE1699" s="11" t="n">
        <v>1.011296296296296</v>
      </c>
      <c r="AF1699" s="16">
        <f>SUMPRODUCT(N1699:Y1699,$N$5:$Y$5)*$K1699*$L1699*$M1699</f>
        <v/>
      </c>
      <c r="AG1699" s="16">
        <f>SUMPRODUCT(N1699:Y1699,$N$6:$Y$6)*$K1699*$L1699*$M1699</f>
        <v/>
      </c>
      <c r="AH1699" s="20" t="n"/>
    </row>
    <row r="1700">
      <c r="A1700" s="9" t="n">
        <v>676026</v>
      </c>
      <c r="B1700" s="9" t="inlineStr">
        <is>
          <t>Holden Powell</t>
        </is>
      </c>
      <c r="C1700" s="9" t="inlineStr">
        <is>
          <t>WSH</t>
        </is>
      </c>
      <c r="D1700" s="9" t="n">
        <v>25</v>
      </c>
      <c r="E1700" s="18" t="inlineStr">
        <is>
          <t>R</t>
        </is>
      </c>
      <c r="F1700" s="18" t="n"/>
      <c r="G1700" s="9" t="n">
        <v>16.555</v>
      </c>
      <c r="H1700" s="9" t="n">
        <v>16.555</v>
      </c>
      <c r="I1700" s="9" t="inlineStr">
        <is>
          <t>Depth (no MLB IP)</t>
        </is>
      </c>
      <c r="J1700" s="18" t="inlineStr">
        <is>
          <t>Opening Day</t>
        </is>
      </c>
      <c r="K1700" s="11">
        <f>IFERROR(INDEX(Roles!$B$17:$B$20,MATCH(J1700,Roles!$A$17:$A$20,0)),1)</f>
        <v/>
      </c>
      <c r="L1700" s="19" t="n">
        <v>1</v>
      </c>
      <c r="M1700" s="11" t="n">
        <v>1</v>
      </c>
      <c r="N1700" s="19" t="n"/>
      <c r="O1700" s="19" t="n"/>
      <c r="P1700" s="19" t="n"/>
      <c r="Q1700" s="19" t="n"/>
      <c r="R1700" s="19" t="n"/>
      <c r="S1700" s="19" t="n"/>
      <c r="T1700" s="19" t="n"/>
      <c r="U1700" s="19" t="n"/>
      <c r="V1700" s="19" t="n"/>
      <c r="W1700" s="19" t="n"/>
      <c r="X1700" s="19" t="n"/>
      <c r="Y1700" s="19" t="n">
        <v>1</v>
      </c>
      <c r="Z1700" s="13">
        <f>SUMPRODUCT(N1700:Y1700,$N$2:$Y$2)*$K1700*$L1700*$M1700</f>
        <v/>
      </c>
      <c r="AA1700" s="14">
        <f>SUM(N1700:Y1700)</f>
        <v/>
      </c>
      <c r="AB1700" s="13">
        <f>SUMPRODUCT(N1700:Y1700,$N$3:$Y$3)*$K1700*$L1700*$M1700</f>
        <v/>
      </c>
      <c r="AC1700" s="13">
        <f>SUMPRODUCT(N1700:Y1700,$N$4:$Y$4)*$K1700*$L1700*$M1700</f>
        <v/>
      </c>
      <c r="AD1700" s="15" t="n">
        <v>3</v>
      </c>
      <c r="AE1700" s="11" t="n">
        <v>1.011296296296296</v>
      </c>
      <c r="AF1700" s="16">
        <f>SUMPRODUCT(N1700:Y1700,$N$5:$Y$5)*$K1700*$L1700*$M1700</f>
        <v/>
      </c>
      <c r="AG1700" s="16">
        <f>SUMPRODUCT(N1700:Y1700,$N$6:$Y$6)*$K1700*$L1700*$M1700</f>
        <v/>
      </c>
      <c r="AH1700" s="20" t="n"/>
    </row>
    <row r="1701">
      <c r="A1701" s="9" t="n">
        <v>837088</v>
      </c>
      <c r="B1701" s="9" t="inlineStr">
        <is>
          <t>Lan-Hong Su</t>
        </is>
      </c>
      <c r="C1701" s="9" t="inlineStr">
        <is>
          <t>SD</t>
        </is>
      </c>
      <c r="D1701" s="9" t="n">
        <v>25</v>
      </c>
      <c r="E1701" s="18" t="inlineStr">
        <is>
          <t>R</t>
        </is>
      </c>
      <c r="F1701" s="18" t="n"/>
      <c r="G1701" s="9" t="n">
        <v>16.512</v>
      </c>
      <c r="H1701" s="9" t="n">
        <v>16.512</v>
      </c>
      <c r="I1701" s="9" t="inlineStr">
        <is>
          <t>Depth (no MLB IP)</t>
        </is>
      </c>
      <c r="J1701" s="18" t="inlineStr">
        <is>
          <t>Opening Day</t>
        </is>
      </c>
      <c r="K1701" s="11">
        <f>IFERROR(INDEX(Roles!$B$17:$B$20,MATCH(J1701,Roles!$A$17:$A$20,0)),1)</f>
        <v/>
      </c>
      <c r="L1701" s="19" t="n">
        <v>1</v>
      </c>
      <c r="M1701" s="11" t="n">
        <v>1</v>
      </c>
      <c r="N1701" s="19" t="n"/>
      <c r="O1701" s="19" t="n"/>
      <c r="P1701" s="19" t="n"/>
      <c r="Q1701" s="19" t="n"/>
      <c r="R1701" s="19" t="n"/>
      <c r="S1701" s="19" t="n"/>
      <c r="T1701" s="19" t="n"/>
      <c r="U1701" s="19" t="n"/>
      <c r="V1701" s="19" t="n"/>
      <c r="W1701" s="19" t="n"/>
      <c r="X1701" s="19" t="n"/>
      <c r="Y1701" s="19" t="n">
        <v>1</v>
      </c>
      <c r="Z1701" s="13">
        <f>SUMPRODUCT(N1701:Y1701,$N$2:$Y$2)*$K1701*$L1701*$M1701</f>
        <v/>
      </c>
      <c r="AA1701" s="14">
        <f>SUM(N1701:Y1701)</f>
        <v/>
      </c>
      <c r="AB1701" s="13">
        <f>SUMPRODUCT(N1701:Y1701,$N$3:$Y$3)*$K1701*$L1701*$M1701</f>
        <v/>
      </c>
      <c r="AC1701" s="13">
        <f>SUMPRODUCT(N1701:Y1701,$N$4:$Y$4)*$K1701*$L1701*$M1701</f>
        <v/>
      </c>
      <c r="AD1701" s="15" t="n">
        <v>3</v>
      </c>
      <c r="AE1701" s="11" t="n">
        <v>1.011296296296296</v>
      </c>
      <c r="AF1701" s="16">
        <f>SUMPRODUCT(N1701:Y1701,$N$5:$Y$5)*$K1701*$L1701*$M1701</f>
        <v/>
      </c>
      <c r="AG1701" s="16">
        <f>SUMPRODUCT(N1701:Y1701,$N$6:$Y$6)*$K1701*$L1701*$M1701</f>
        <v/>
      </c>
      <c r="AH1701" s="20" t="n"/>
    </row>
    <row r="1702">
      <c r="A1702" s="9" t="n">
        <v>809130</v>
      </c>
      <c r="B1702" s="9" t="inlineStr">
        <is>
          <t>Simon Gregersen</t>
        </is>
      </c>
      <c r="C1702" s="9" t="inlineStr">
        <is>
          <t>ARI</t>
        </is>
      </c>
      <c r="D1702" s="9" t="n">
        <v>25</v>
      </c>
      <c r="E1702" s="18" t="inlineStr">
        <is>
          <t>R</t>
        </is>
      </c>
      <c r="F1702" s="18" t="n"/>
      <c r="G1702" s="9" t="n">
        <v>16.512</v>
      </c>
      <c r="H1702" s="9" t="n">
        <v>16.512</v>
      </c>
      <c r="I1702" s="9" t="inlineStr">
        <is>
          <t>Depth (no MLB IP)</t>
        </is>
      </c>
      <c r="J1702" s="18" t="inlineStr">
        <is>
          <t>Opening Day</t>
        </is>
      </c>
      <c r="K1702" s="11">
        <f>IFERROR(INDEX(Roles!$B$17:$B$20,MATCH(J1702,Roles!$A$17:$A$20,0)),1)</f>
        <v/>
      </c>
      <c r="L1702" s="19" t="n">
        <v>1</v>
      </c>
      <c r="M1702" s="11" t="n">
        <v>1</v>
      </c>
      <c r="N1702" s="19" t="n"/>
      <c r="O1702" s="19" t="n"/>
      <c r="P1702" s="19" t="n"/>
      <c r="Q1702" s="19" t="n"/>
      <c r="R1702" s="19" t="n"/>
      <c r="S1702" s="19" t="n"/>
      <c r="T1702" s="19" t="n"/>
      <c r="U1702" s="19" t="n"/>
      <c r="V1702" s="19" t="n"/>
      <c r="W1702" s="19" t="n"/>
      <c r="X1702" s="19" t="n"/>
      <c r="Y1702" s="19" t="n">
        <v>1</v>
      </c>
      <c r="Z1702" s="13">
        <f>SUMPRODUCT(N1702:Y1702,$N$2:$Y$2)*$K1702*$L1702*$M1702</f>
        <v/>
      </c>
      <c r="AA1702" s="14">
        <f>SUM(N1702:Y1702)</f>
        <v/>
      </c>
      <c r="AB1702" s="13">
        <f>SUMPRODUCT(N1702:Y1702,$N$3:$Y$3)*$K1702*$L1702*$M1702</f>
        <v/>
      </c>
      <c r="AC1702" s="13">
        <f>SUMPRODUCT(N1702:Y1702,$N$4:$Y$4)*$K1702*$L1702*$M1702</f>
        <v/>
      </c>
      <c r="AD1702" s="15" t="n">
        <v>3</v>
      </c>
      <c r="AE1702" s="11" t="n">
        <v>1.011296296296296</v>
      </c>
      <c r="AF1702" s="16">
        <f>SUMPRODUCT(N1702:Y1702,$N$5:$Y$5)*$K1702*$L1702*$M1702</f>
        <v/>
      </c>
      <c r="AG1702" s="16">
        <f>SUMPRODUCT(N1702:Y1702,$N$6:$Y$6)*$K1702*$L1702*$M1702</f>
        <v/>
      </c>
      <c r="AH1702" s="20" t="n"/>
    </row>
    <row r="1703">
      <c r="A1703" s="9" t="n">
        <v>669445</v>
      </c>
      <c r="B1703" s="9" t="inlineStr">
        <is>
          <t>Adam Laskey</t>
        </is>
      </c>
      <c r="C1703" s="9" t="inlineStr">
        <is>
          <t>COL</t>
        </is>
      </c>
      <c r="D1703" s="9" t="n">
        <v>25</v>
      </c>
      <c r="E1703" s="18" t="inlineStr">
        <is>
          <t>L</t>
        </is>
      </c>
      <c r="F1703" s="18" t="n"/>
      <c r="G1703" s="9" t="n">
        <v>16.555</v>
      </c>
      <c r="H1703" s="9" t="n">
        <v>16.555</v>
      </c>
      <c r="I1703" s="9" t="inlineStr">
        <is>
          <t>Depth (no MLB IP)</t>
        </is>
      </c>
      <c r="J1703" s="18" t="inlineStr">
        <is>
          <t>Opening Day</t>
        </is>
      </c>
      <c r="K1703" s="11">
        <f>IFERROR(INDEX(Roles!$B$17:$B$20,MATCH(J1703,Roles!$A$17:$A$20,0)),1)</f>
        <v/>
      </c>
      <c r="L1703" s="19" t="n">
        <v>1</v>
      </c>
      <c r="M1703" s="11" t="n">
        <v>1</v>
      </c>
      <c r="N1703" s="19" t="n"/>
      <c r="O1703" s="19" t="n"/>
      <c r="P1703" s="19" t="n"/>
      <c r="Q1703" s="19" t="n"/>
      <c r="R1703" s="19" t="n"/>
      <c r="S1703" s="19" t="n"/>
      <c r="T1703" s="19" t="n"/>
      <c r="U1703" s="19" t="n"/>
      <c r="V1703" s="19" t="n"/>
      <c r="W1703" s="19" t="n"/>
      <c r="X1703" s="19" t="n"/>
      <c r="Y1703" s="19" t="n">
        <v>1</v>
      </c>
      <c r="Z1703" s="13">
        <f>SUMPRODUCT(N1703:Y1703,$N$2:$Y$2)*$K1703*$L1703*$M1703</f>
        <v/>
      </c>
      <c r="AA1703" s="14">
        <f>SUM(N1703:Y1703)</f>
        <v/>
      </c>
      <c r="AB1703" s="13">
        <f>SUMPRODUCT(N1703:Y1703,$N$3:$Y$3)*$K1703*$L1703*$M1703</f>
        <v/>
      </c>
      <c r="AC1703" s="13">
        <f>SUMPRODUCT(N1703:Y1703,$N$4:$Y$4)*$K1703*$L1703*$M1703</f>
        <v/>
      </c>
      <c r="AD1703" s="15" t="n">
        <v>3</v>
      </c>
      <c r="AE1703" s="11" t="n">
        <v>1.011296296296296</v>
      </c>
      <c r="AF1703" s="16">
        <f>SUMPRODUCT(N1703:Y1703,$N$5:$Y$5)*$K1703*$L1703*$M1703</f>
        <v/>
      </c>
      <c r="AG1703" s="16">
        <f>SUMPRODUCT(N1703:Y1703,$N$6:$Y$6)*$K1703*$L1703*$M1703</f>
        <v/>
      </c>
      <c r="AH1703" s="20" t="n"/>
    </row>
    <row r="1704">
      <c r="A1704" s="9" t="n">
        <v>803276</v>
      </c>
      <c r="B1704" s="9" t="inlineStr">
        <is>
          <t>Ruddy Gomez</t>
        </is>
      </c>
      <c r="C1704" s="9" t="inlineStr">
        <is>
          <t>MIN</t>
        </is>
      </c>
      <c r="D1704" s="9" t="n">
        <v>25</v>
      </c>
      <c r="E1704" s="18" t="inlineStr">
        <is>
          <t>R</t>
        </is>
      </c>
      <c r="F1704" s="18" t="n"/>
      <c r="G1704" s="9" t="n">
        <v>16.555</v>
      </c>
      <c r="H1704" s="9" t="n">
        <v>16.555</v>
      </c>
      <c r="I1704" s="9" t="inlineStr">
        <is>
          <t>Depth (no MLB IP)</t>
        </is>
      </c>
      <c r="J1704" s="18" t="inlineStr">
        <is>
          <t>Opening Day</t>
        </is>
      </c>
      <c r="K1704" s="11">
        <f>IFERROR(INDEX(Roles!$B$17:$B$20,MATCH(J1704,Roles!$A$17:$A$20,0)),1)</f>
        <v/>
      </c>
      <c r="L1704" s="19" t="n">
        <v>1</v>
      </c>
      <c r="M1704" s="11" t="n">
        <v>1</v>
      </c>
      <c r="N1704" s="19" t="n"/>
      <c r="O1704" s="19" t="n"/>
      <c r="P1704" s="19" t="n"/>
      <c r="Q1704" s="19" t="n"/>
      <c r="R1704" s="19" t="n"/>
      <c r="S1704" s="19" t="n"/>
      <c r="T1704" s="19" t="n"/>
      <c r="U1704" s="19" t="n"/>
      <c r="V1704" s="19" t="n"/>
      <c r="W1704" s="19" t="n"/>
      <c r="X1704" s="19" t="n"/>
      <c r="Y1704" s="19" t="n">
        <v>1</v>
      </c>
      <c r="Z1704" s="13">
        <f>SUMPRODUCT(N1704:Y1704,$N$2:$Y$2)*$K1704*$L1704*$M1704</f>
        <v/>
      </c>
      <c r="AA1704" s="14">
        <f>SUM(N1704:Y1704)</f>
        <v/>
      </c>
      <c r="AB1704" s="13">
        <f>SUMPRODUCT(N1704:Y1704,$N$3:$Y$3)*$K1704*$L1704*$M1704</f>
        <v/>
      </c>
      <c r="AC1704" s="13">
        <f>SUMPRODUCT(N1704:Y1704,$N$4:$Y$4)*$K1704*$L1704*$M1704</f>
        <v/>
      </c>
      <c r="AD1704" s="15" t="n">
        <v>3</v>
      </c>
      <c r="AE1704" s="11" t="n">
        <v>1.011296296296296</v>
      </c>
      <c r="AF1704" s="16">
        <f>SUMPRODUCT(N1704:Y1704,$N$5:$Y$5)*$K1704*$L1704*$M1704</f>
        <v/>
      </c>
      <c r="AG1704" s="16">
        <f>SUMPRODUCT(N1704:Y1704,$N$6:$Y$6)*$K1704*$L1704*$M1704</f>
        <v/>
      </c>
      <c r="AH1704" s="20" t="n"/>
    </row>
    <row r="1705">
      <c r="A1705" s="9" t="n">
        <v>692294</v>
      </c>
      <c r="B1705" s="9" t="inlineStr">
        <is>
          <t>Luis Gutierrez</t>
        </is>
      </c>
      <c r="C1705" s="9" t="inlineStr">
        <is>
          <t>SD</t>
        </is>
      </c>
      <c r="D1705" s="9" t="n">
        <v>25</v>
      </c>
      <c r="E1705" s="18" t="inlineStr">
        <is>
          <t>L</t>
        </is>
      </c>
      <c r="F1705" s="18" t="n"/>
      <c r="G1705" s="9" t="n">
        <v>16.555</v>
      </c>
      <c r="H1705" s="9" t="n">
        <v>16.555</v>
      </c>
      <c r="I1705" s="9" t="inlineStr">
        <is>
          <t>Depth (no MLB IP)</t>
        </is>
      </c>
      <c r="J1705" s="18" t="inlineStr">
        <is>
          <t>Opening Day</t>
        </is>
      </c>
      <c r="K1705" s="11">
        <f>IFERROR(INDEX(Roles!$B$17:$B$20,MATCH(J1705,Roles!$A$17:$A$20,0)),1)</f>
        <v/>
      </c>
      <c r="L1705" s="19" t="n">
        <v>1</v>
      </c>
      <c r="M1705" s="11" t="n">
        <v>1</v>
      </c>
      <c r="N1705" s="19" t="n"/>
      <c r="O1705" s="19" t="n"/>
      <c r="P1705" s="19" t="n"/>
      <c r="Q1705" s="19" t="n"/>
      <c r="R1705" s="19" t="n"/>
      <c r="S1705" s="19" t="n"/>
      <c r="T1705" s="19" t="n"/>
      <c r="U1705" s="19" t="n"/>
      <c r="V1705" s="19" t="n"/>
      <c r="W1705" s="19" t="n"/>
      <c r="X1705" s="19" t="n"/>
      <c r="Y1705" s="19" t="n">
        <v>1</v>
      </c>
      <c r="Z1705" s="13">
        <f>SUMPRODUCT(N1705:Y1705,$N$2:$Y$2)*$K1705*$L1705*$M1705</f>
        <v/>
      </c>
      <c r="AA1705" s="14">
        <f>SUM(N1705:Y1705)</f>
        <v/>
      </c>
      <c r="AB1705" s="13">
        <f>SUMPRODUCT(N1705:Y1705,$N$3:$Y$3)*$K1705*$L1705*$M1705</f>
        <v/>
      </c>
      <c r="AC1705" s="13">
        <f>SUMPRODUCT(N1705:Y1705,$N$4:$Y$4)*$K1705*$L1705*$M1705</f>
        <v/>
      </c>
      <c r="AD1705" s="15" t="n">
        <v>3</v>
      </c>
      <c r="AE1705" s="11" t="n">
        <v>1.011296296296296</v>
      </c>
      <c r="AF1705" s="16">
        <f>SUMPRODUCT(N1705:Y1705,$N$5:$Y$5)*$K1705*$L1705*$M1705</f>
        <v/>
      </c>
      <c r="AG1705" s="16">
        <f>SUMPRODUCT(N1705:Y1705,$N$6:$Y$6)*$K1705*$L1705*$M1705</f>
        <v/>
      </c>
      <c r="AH1705" s="20" t="n"/>
    </row>
    <row r="1706">
      <c r="A1706" s="9" t="n">
        <v>695057</v>
      </c>
      <c r="B1706" s="9" t="inlineStr">
        <is>
          <t>Garrett Wright</t>
        </is>
      </c>
      <c r="C1706" s="9" t="inlineStr">
        <is>
          <t>CWS</t>
        </is>
      </c>
      <c r="D1706" s="9" t="n">
        <v>25</v>
      </c>
      <c r="E1706" s="18" t="inlineStr">
        <is>
          <t>R</t>
        </is>
      </c>
      <c r="F1706" s="18" t="n"/>
      <c r="G1706" s="9" t="n">
        <v>16.555</v>
      </c>
      <c r="H1706" s="9" t="n">
        <v>16.555</v>
      </c>
      <c r="I1706" s="9" t="inlineStr">
        <is>
          <t>Depth (no MLB IP)</t>
        </is>
      </c>
      <c r="J1706" s="18" t="inlineStr">
        <is>
          <t>Opening Day</t>
        </is>
      </c>
      <c r="K1706" s="11">
        <f>IFERROR(INDEX(Roles!$B$17:$B$20,MATCH(J1706,Roles!$A$17:$A$20,0)),1)</f>
        <v/>
      </c>
      <c r="L1706" s="19" t="n">
        <v>1</v>
      </c>
      <c r="M1706" s="11" t="n">
        <v>1</v>
      </c>
      <c r="N1706" s="19" t="n"/>
      <c r="O1706" s="19" t="n"/>
      <c r="P1706" s="19" t="n"/>
      <c r="Q1706" s="19" t="n"/>
      <c r="R1706" s="19" t="n"/>
      <c r="S1706" s="19" t="n"/>
      <c r="T1706" s="19" t="n"/>
      <c r="U1706" s="19" t="n"/>
      <c r="V1706" s="19" t="n"/>
      <c r="W1706" s="19" t="n"/>
      <c r="X1706" s="19" t="n"/>
      <c r="Y1706" s="19" t="n">
        <v>1</v>
      </c>
      <c r="Z1706" s="13">
        <f>SUMPRODUCT(N1706:Y1706,$N$2:$Y$2)*$K1706*$L1706*$M1706</f>
        <v/>
      </c>
      <c r="AA1706" s="14">
        <f>SUM(N1706:Y1706)</f>
        <v/>
      </c>
      <c r="AB1706" s="13">
        <f>SUMPRODUCT(N1706:Y1706,$N$3:$Y$3)*$K1706*$L1706*$M1706</f>
        <v/>
      </c>
      <c r="AC1706" s="13">
        <f>SUMPRODUCT(N1706:Y1706,$N$4:$Y$4)*$K1706*$L1706*$M1706</f>
        <v/>
      </c>
      <c r="AD1706" s="15" t="n">
        <v>3</v>
      </c>
      <c r="AE1706" s="11" t="n">
        <v>1.011296296296296</v>
      </c>
      <c r="AF1706" s="16">
        <f>SUMPRODUCT(N1706:Y1706,$N$5:$Y$5)*$K1706*$L1706*$M1706</f>
        <v/>
      </c>
      <c r="AG1706" s="16">
        <f>SUMPRODUCT(N1706:Y1706,$N$6:$Y$6)*$K1706*$L1706*$M1706</f>
        <v/>
      </c>
      <c r="AH1706" s="20" t="n"/>
    </row>
    <row r="1707">
      <c r="A1707" s="9" t="n">
        <v>801555</v>
      </c>
      <c r="B1707" s="9" t="inlineStr">
        <is>
          <t>Izaak Martinez</t>
        </is>
      </c>
      <c r="C1707" s="9" t="inlineStr">
        <is>
          <t>CLE</t>
        </is>
      </c>
      <c r="D1707" s="9" t="n">
        <v>25</v>
      </c>
      <c r="E1707" s="18" t="inlineStr">
        <is>
          <t>L</t>
        </is>
      </c>
      <c r="F1707" s="18" t="n"/>
      <c r="G1707" s="9" t="n">
        <v>16.555</v>
      </c>
      <c r="H1707" s="9" t="n">
        <v>16.555</v>
      </c>
      <c r="I1707" s="9" t="inlineStr">
        <is>
          <t>Depth (no MLB IP)</t>
        </is>
      </c>
      <c r="J1707" s="18" t="inlineStr">
        <is>
          <t>Opening Day</t>
        </is>
      </c>
      <c r="K1707" s="11">
        <f>IFERROR(INDEX(Roles!$B$17:$B$20,MATCH(J1707,Roles!$A$17:$A$20,0)),1)</f>
        <v/>
      </c>
      <c r="L1707" s="19" t="n">
        <v>1</v>
      </c>
      <c r="M1707" s="11" t="n">
        <v>1</v>
      </c>
      <c r="N1707" s="19" t="n"/>
      <c r="O1707" s="19" t="n"/>
      <c r="P1707" s="19" t="n"/>
      <c r="Q1707" s="19" t="n"/>
      <c r="R1707" s="19" t="n"/>
      <c r="S1707" s="19" t="n"/>
      <c r="T1707" s="19" t="n"/>
      <c r="U1707" s="19" t="n"/>
      <c r="V1707" s="19" t="n"/>
      <c r="W1707" s="19" t="n"/>
      <c r="X1707" s="19" t="n"/>
      <c r="Y1707" s="19" t="n">
        <v>1</v>
      </c>
      <c r="Z1707" s="13">
        <f>SUMPRODUCT(N1707:Y1707,$N$2:$Y$2)*$K1707*$L1707*$M1707</f>
        <v/>
      </c>
      <c r="AA1707" s="14">
        <f>SUM(N1707:Y1707)</f>
        <v/>
      </c>
      <c r="AB1707" s="13">
        <f>SUMPRODUCT(N1707:Y1707,$N$3:$Y$3)*$K1707*$L1707*$M1707</f>
        <v/>
      </c>
      <c r="AC1707" s="13">
        <f>SUMPRODUCT(N1707:Y1707,$N$4:$Y$4)*$K1707*$L1707*$M1707</f>
        <v/>
      </c>
      <c r="AD1707" s="15" t="n">
        <v>3</v>
      </c>
      <c r="AE1707" s="11" t="n">
        <v>1.011296296296296</v>
      </c>
      <c r="AF1707" s="16">
        <f>SUMPRODUCT(N1707:Y1707,$N$5:$Y$5)*$K1707*$L1707*$M1707</f>
        <v/>
      </c>
      <c r="AG1707" s="16">
        <f>SUMPRODUCT(N1707:Y1707,$N$6:$Y$6)*$K1707*$L1707*$M1707</f>
        <v/>
      </c>
      <c r="AH1707" s="20" t="n"/>
    </row>
    <row r="1708">
      <c r="A1708" s="9" t="n">
        <v>686533</v>
      </c>
      <c r="B1708" s="9" t="inlineStr">
        <is>
          <t>Jackson Finley</t>
        </is>
      </c>
      <c r="C1708" s="9" t="inlineStr">
        <is>
          <t>OAK</t>
        </is>
      </c>
      <c r="D1708" s="9" t="n">
        <v>25</v>
      </c>
      <c r="E1708" s="18" t="inlineStr">
        <is>
          <t>R</t>
        </is>
      </c>
      <c r="F1708" s="18" t="n"/>
      <c r="G1708" s="9" t="n">
        <v>16.555</v>
      </c>
      <c r="H1708" s="9" t="n">
        <v>16.555</v>
      </c>
      <c r="I1708" s="9" t="inlineStr">
        <is>
          <t>Depth (no MLB IP)</t>
        </is>
      </c>
      <c r="J1708" s="18" t="inlineStr">
        <is>
          <t>Opening Day</t>
        </is>
      </c>
      <c r="K1708" s="11">
        <f>IFERROR(INDEX(Roles!$B$17:$B$20,MATCH(J1708,Roles!$A$17:$A$20,0)),1)</f>
        <v/>
      </c>
      <c r="L1708" s="19" t="n">
        <v>1</v>
      </c>
      <c r="M1708" s="11" t="n">
        <v>1</v>
      </c>
      <c r="N1708" s="19" t="n"/>
      <c r="O1708" s="19" t="n"/>
      <c r="P1708" s="19" t="n"/>
      <c r="Q1708" s="19" t="n"/>
      <c r="R1708" s="19" t="n"/>
      <c r="S1708" s="19" t="n"/>
      <c r="T1708" s="19" t="n"/>
      <c r="U1708" s="19" t="n"/>
      <c r="V1708" s="19" t="n"/>
      <c r="W1708" s="19" t="n"/>
      <c r="X1708" s="19" t="n"/>
      <c r="Y1708" s="19" t="n">
        <v>1</v>
      </c>
      <c r="Z1708" s="13">
        <f>SUMPRODUCT(N1708:Y1708,$N$2:$Y$2)*$K1708*$L1708*$M1708</f>
        <v/>
      </c>
      <c r="AA1708" s="14">
        <f>SUM(N1708:Y1708)</f>
        <v/>
      </c>
      <c r="AB1708" s="13">
        <f>SUMPRODUCT(N1708:Y1708,$N$3:$Y$3)*$K1708*$L1708*$M1708</f>
        <v/>
      </c>
      <c r="AC1708" s="13">
        <f>SUMPRODUCT(N1708:Y1708,$N$4:$Y$4)*$K1708*$L1708*$M1708</f>
        <v/>
      </c>
      <c r="AD1708" s="15" t="n">
        <v>3</v>
      </c>
      <c r="AE1708" s="11" t="n">
        <v>1.011296296296296</v>
      </c>
      <c r="AF1708" s="16">
        <f>SUMPRODUCT(N1708:Y1708,$N$5:$Y$5)*$K1708*$L1708*$M1708</f>
        <v/>
      </c>
      <c r="AG1708" s="16">
        <f>SUMPRODUCT(N1708:Y1708,$N$6:$Y$6)*$K1708*$L1708*$M1708</f>
        <v/>
      </c>
      <c r="AH1708" s="20" t="n"/>
    </row>
    <row r="1709">
      <c r="A1709" s="9" t="n">
        <v>688629</v>
      </c>
      <c r="B1709" s="9" t="inlineStr">
        <is>
          <t>Noah Dean</t>
        </is>
      </c>
      <c r="C1709" s="9" t="inlineStr">
        <is>
          <t>WSH</t>
        </is>
      </c>
      <c r="D1709" s="9" t="n">
        <v>25</v>
      </c>
      <c r="E1709" s="18" t="inlineStr">
        <is>
          <t>L</t>
        </is>
      </c>
      <c r="F1709" s="18" t="n"/>
      <c r="G1709" s="9" t="n">
        <v>16.555</v>
      </c>
      <c r="H1709" s="9" t="n">
        <v>16.555</v>
      </c>
      <c r="I1709" s="9" t="inlineStr">
        <is>
          <t>Depth (no MLB IP)</t>
        </is>
      </c>
      <c r="J1709" s="18" t="inlineStr">
        <is>
          <t>Opening Day</t>
        </is>
      </c>
      <c r="K1709" s="11">
        <f>IFERROR(INDEX(Roles!$B$17:$B$20,MATCH(J1709,Roles!$A$17:$A$20,0)),1)</f>
        <v/>
      </c>
      <c r="L1709" s="19" t="n">
        <v>1</v>
      </c>
      <c r="M1709" s="11" t="n">
        <v>1</v>
      </c>
      <c r="N1709" s="19" t="n"/>
      <c r="O1709" s="19" t="n"/>
      <c r="P1709" s="19" t="n"/>
      <c r="Q1709" s="19" t="n"/>
      <c r="R1709" s="19" t="n"/>
      <c r="S1709" s="19" t="n"/>
      <c r="T1709" s="19" t="n"/>
      <c r="U1709" s="19" t="n"/>
      <c r="V1709" s="19" t="n"/>
      <c r="W1709" s="19" t="n"/>
      <c r="X1709" s="19" t="n"/>
      <c r="Y1709" s="19" t="n">
        <v>1</v>
      </c>
      <c r="Z1709" s="13">
        <f>SUMPRODUCT(N1709:Y1709,$N$2:$Y$2)*$K1709*$L1709*$M1709</f>
        <v/>
      </c>
      <c r="AA1709" s="14">
        <f>SUM(N1709:Y1709)</f>
        <v/>
      </c>
      <c r="AB1709" s="13">
        <f>SUMPRODUCT(N1709:Y1709,$N$3:$Y$3)*$K1709*$L1709*$M1709</f>
        <v/>
      </c>
      <c r="AC1709" s="13">
        <f>SUMPRODUCT(N1709:Y1709,$N$4:$Y$4)*$K1709*$L1709*$M1709</f>
        <v/>
      </c>
      <c r="AD1709" s="15" t="n">
        <v>3</v>
      </c>
      <c r="AE1709" s="11" t="n">
        <v>1.011296296296296</v>
      </c>
      <c r="AF1709" s="16">
        <f>SUMPRODUCT(N1709:Y1709,$N$5:$Y$5)*$K1709*$L1709*$M1709</f>
        <v/>
      </c>
      <c r="AG1709" s="16">
        <f>SUMPRODUCT(N1709:Y1709,$N$6:$Y$6)*$K1709*$L1709*$M1709</f>
        <v/>
      </c>
      <c r="AH1709" s="20" t="n"/>
    </row>
    <row r="1710">
      <c r="A1710" s="9" t="n">
        <v>691669</v>
      </c>
      <c r="B1710" s="9" t="inlineStr">
        <is>
          <t>Gabriel Sosa</t>
        </is>
      </c>
      <c r="C1710" s="9" t="inlineStr">
        <is>
          <t>SEA</t>
        </is>
      </c>
      <c r="D1710" s="9" t="n">
        <v>25</v>
      </c>
      <c r="E1710" s="18" t="inlineStr">
        <is>
          <t>R</t>
        </is>
      </c>
      <c r="F1710" s="18" t="n"/>
      <c r="G1710" s="9" t="n">
        <v>16.62666666666667</v>
      </c>
      <c r="H1710" s="9" t="n">
        <v>16.62666666666667</v>
      </c>
      <c r="I1710" s="9" t="inlineStr">
        <is>
          <t>Depth (no MLB IP)</t>
        </is>
      </c>
      <c r="J1710" s="18" t="inlineStr">
        <is>
          <t>Opening Day</t>
        </is>
      </c>
      <c r="K1710" s="11">
        <f>IFERROR(INDEX(Roles!$B$17:$B$20,MATCH(J1710,Roles!$A$17:$A$20,0)),1)</f>
        <v/>
      </c>
      <c r="L1710" s="19" t="n">
        <v>1</v>
      </c>
      <c r="M1710" s="11" t="n">
        <v>1</v>
      </c>
      <c r="N1710" s="19" t="n"/>
      <c r="O1710" s="19" t="n"/>
      <c r="P1710" s="19" t="n"/>
      <c r="Q1710" s="19" t="n"/>
      <c r="R1710" s="19" t="n"/>
      <c r="S1710" s="19" t="n"/>
      <c r="T1710" s="19" t="n"/>
      <c r="U1710" s="19" t="n"/>
      <c r="V1710" s="19" t="n"/>
      <c r="W1710" s="19" t="n"/>
      <c r="X1710" s="19" t="n"/>
      <c r="Y1710" s="19" t="n">
        <v>1</v>
      </c>
      <c r="Z1710" s="13">
        <f>SUMPRODUCT(N1710:Y1710,$N$2:$Y$2)*$K1710*$L1710*$M1710</f>
        <v/>
      </c>
      <c r="AA1710" s="14">
        <f>SUM(N1710:Y1710)</f>
        <v/>
      </c>
      <c r="AB1710" s="13">
        <f>SUMPRODUCT(N1710:Y1710,$N$3:$Y$3)*$K1710*$L1710*$M1710</f>
        <v/>
      </c>
      <c r="AC1710" s="13">
        <f>SUMPRODUCT(N1710:Y1710,$N$4:$Y$4)*$K1710*$L1710*$M1710</f>
        <v/>
      </c>
      <c r="AD1710" s="15" t="n">
        <v>3</v>
      </c>
      <c r="AE1710" s="11" t="n">
        <v>1.011296296296296</v>
      </c>
      <c r="AF1710" s="16">
        <f>SUMPRODUCT(N1710:Y1710,$N$5:$Y$5)*$K1710*$L1710*$M1710</f>
        <v/>
      </c>
      <c r="AG1710" s="16">
        <f>SUMPRODUCT(N1710:Y1710,$N$6:$Y$6)*$K1710*$L1710*$M1710</f>
        <v/>
      </c>
      <c r="AH1710" s="20" t="n"/>
    </row>
    <row r="1711">
      <c r="A1711" s="9" t="n">
        <v>672550</v>
      </c>
      <c r="B1711" s="9" t="inlineStr">
        <is>
          <t>Danis Correa</t>
        </is>
      </c>
      <c r="C1711" s="9" t="inlineStr">
        <is>
          <t>NYM</t>
        </is>
      </c>
      <c r="D1711" s="9" t="n">
        <v>25</v>
      </c>
      <c r="E1711" s="18" t="inlineStr">
        <is>
          <t>R</t>
        </is>
      </c>
      <c r="F1711" s="18" t="n"/>
      <c r="G1711" s="9" t="n">
        <v>16.555</v>
      </c>
      <c r="H1711" s="9" t="n">
        <v>16.555</v>
      </c>
      <c r="I1711" s="9" t="inlineStr">
        <is>
          <t>Depth (no MLB IP)</t>
        </is>
      </c>
      <c r="J1711" s="18" t="inlineStr">
        <is>
          <t>Opening Day</t>
        </is>
      </c>
      <c r="K1711" s="11">
        <f>IFERROR(INDEX(Roles!$B$17:$B$20,MATCH(J1711,Roles!$A$17:$A$20,0)),1)</f>
        <v/>
      </c>
      <c r="L1711" s="19" t="n">
        <v>1</v>
      </c>
      <c r="M1711" s="11" t="n">
        <v>1</v>
      </c>
      <c r="N1711" s="19" t="n"/>
      <c r="O1711" s="19" t="n"/>
      <c r="P1711" s="19" t="n"/>
      <c r="Q1711" s="19" t="n"/>
      <c r="R1711" s="19" t="n"/>
      <c r="S1711" s="19" t="n"/>
      <c r="T1711" s="19" t="n"/>
      <c r="U1711" s="19" t="n"/>
      <c r="V1711" s="19" t="n"/>
      <c r="W1711" s="19" t="n"/>
      <c r="X1711" s="19" t="n"/>
      <c r="Y1711" s="19" t="n">
        <v>1</v>
      </c>
      <c r="Z1711" s="13">
        <f>SUMPRODUCT(N1711:Y1711,$N$2:$Y$2)*$K1711*$L1711*$M1711</f>
        <v/>
      </c>
      <c r="AA1711" s="14">
        <f>SUM(N1711:Y1711)</f>
        <v/>
      </c>
      <c r="AB1711" s="13">
        <f>SUMPRODUCT(N1711:Y1711,$N$3:$Y$3)*$K1711*$L1711*$M1711</f>
        <v/>
      </c>
      <c r="AC1711" s="13">
        <f>SUMPRODUCT(N1711:Y1711,$N$4:$Y$4)*$K1711*$L1711*$M1711</f>
        <v/>
      </c>
      <c r="AD1711" s="15" t="n">
        <v>3</v>
      </c>
      <c r="AE1711" s="11" t="n">
        <v>1.011296296296296</v>
      </c>
      <c r="AF1711" s="16">
        <f>SUMPRODUCT(N1711:Y1711,$N$5:$Y$5)*$K1711*$L1711*$M1711</f>
        <v/>
      </c>
      <c r="AG1711" s="16">
        <f>SUMPRODUCT(N1711:Y1711,$N$6:$Y$6)*$K1711*$L1711*$M1711</f>
        <v/>
      </c>
      <c r="AH1711" s="20" t="n"/>
    </row>
    <row r="1712">
      <c r="A1712" s="9" t="n">
        <v>808674</v>
      </c>
      <c r="B1712" s="9" t="inlineStr">
        <is>
          <t>Fabian Ysalla</t>
        </is>
      </c>
      <c r="C1712" s="9" t="inlineStr">
        <is>
          <t>CWS</t>
        </is>
      </c>
      <c r="D1712" s="9" t="n">
        <v>25</v>
      </c>
      <c r="E1712" s="18" t="inlineStr">
        <is>
          <t>R</t>
        </is>
      </c>
      <c r="F1712" s="18" t="n"/>
      <c r="G1712" s="9" t="n">
        <v>16.85599999999999</v>
      </c>
      <c r="H1712" s="9" t="n">
        <v>16.85599999999999</v>
      </c>
      <c r="I1712" s="9" t="inlineStr">
        <is>
          <t>Depth (no MLB IP)</t>
        </is>
      </c>
      <c r="J1712" s="18" t="inlineStr">
        <is>
          <t>Opening Day</t>
        </is>
      </c>
      <c r="K1712" s="11">
        <f>IFERROR(INDEX(Roles!$B$17:$B$20,MATCH(J1712,Roles!$A$17:$A$20,0)),1)</f>
        <v/>
      </c>
      <c r="L1712" s="19" t="n">
        <v>1</v>
      </c>
      <c r="M1712" s="11" t="n">
        <v>1</v>
      </c>
      <c r="N1712" s="19" t="n"/>
      <c r="O1712" s="19" t="n"/>
      <c r="P1712" s="19" t="n"/>
      <c r="Q1712" s="19" t="n"/>
      <c r="R1712" s="19" t="n"/>
      <c r="S1712" s="19" t="n"/>
      <c r="T1712" s="19" t="n"/>
      <c r="U1712" s="19" t="n"/>
      <c r="V1712" s="19" t="n"/>
      <c r="W1712" s="19" t="n"/>
      <c r="X1712" s="19" t="n"/>
      <c r="Y1712" s="19" t="n">
        <v>1</v>
      </c>
      <c r="Z1712" s="13">
        <f>SUMPRODUCT(N1712:Y1712,$N$2:$Y$2)*$K1712*$L1712*$M1712</f>
        <v/>
      </c>
      <c r="AA1712" s="14">
        <f>SUM(N1712:Y1712)</f>
        <v/>
      </c>
      <c r="AB1712" s="13">
        <f>SUMPRODUCT(N1712:Y1712,$N$3:$Y$3)*$K1712*$L1712*$M1712</f>
        <v/>
      </c>
      <c r="AC1712" s="13">
        <f>SUMPRODUCT(N1712:Y1712,$N$4:$Y$4)*$K1712*$L1712*$M1712</f>
        <v/>
      </c>
      <c r="AD1712" s="15" t="n">
        <v>3</v>
      </c>
      <c r="AE1712" s="11" t="n">
        <v>1.011296296296296</v>
      </c>
      <c r="AF1712" s="16">
        <f>SUMPRODUCT(N1712:Y1712,$N$5:$Y$5)*$K1712*$L1712*$M1712</f>
        <v/>
      </c>
      <c r="AG1712" s="16">
        <f>SUMPRODUCT(N1712:Y1712,$N$6:$Y$6)*$K1712*$L1712*$M1712</f>
        <v/>
      </c>
      <c r="AH1712" s="20" t="n"/>
    </row>
    <row r="1713">
      <c r="A1713" s="9" t="n">
        <v>805783</v>
      </c>
      <c r="B1713" s="9" t="inlineStr">
        <is>
          <t>Mason Nichols</t>
        </is>
      </c>
      <c r="C1713" s="9" t="inlineStr">
        <is>
          <t>TB</t>
        </is>
      </c>
      <c r="D1713" s="9" t="n">
        <v>25</v>
      </c>
      <c r="E1713" s="18" t="inlineStr">
        <is>
          <t>R</t>
        </is>
      </c>
      <c r="F1713" s="18" t="n"/>
      <c r="G1713" s="9" t="n">
        <v>16.62666666666667</v>
      </c>
      <c r="H1713" s="9" t="n">
        <v>16.62666666666667</v>
      </c>
      <c r="I1713" s="9" t="inlineStr">
        <is>
          <t>Depth (no MLB IP)</t>
        </is>
      </c>
      <c r="J1713" s="18" t="inlineStr">
        <is>
          <t>Opening Day</t>
        </is>
      </c>
      <c r="K1713" s="11">
        <f>IFERROR(INDEX(Roles!$B$17:$B$20,MATCH(J1713,Roles!$A$17:$A$20,0)),1)</f>
        <v/>
      </c>
      <c r="L1713" s="19" t="n">
        <v>1</v>
      </c>
      <c r="M1713" s="11" t="n">
        <v>1</v>
      </c>
      <c r="N1713" s="19" t="n"/>
      <c r="O1713" s="19" t="n"/>
      <c r="P1713" s="19" t="n"/>
      <c r="Q1713" s="19" t="n"/>
      <c r="R1713" s="19" t="n"/>
      <c r="S1713" s="19" t="n"/>
      <c r="T1713" s="19" t="n"/>
      <c r="U1713" s="19" t="n"/>
      <c r="V1713" s="19" t="n"/>
      <c r="W1713" s="19" t="n"/>
      <c r="X1713" s="19" t="n"/>
      <c r="Y1713" s="19" t="n">
        <v>1</v>
      </c>
      <c r="Z1713" s="13">
        <f>SUMPRODUCT(N1713:Y1713,$N$2:$Y$2)*$K1713*$L1713*$M1713</f>
        <v/>
      </c>
      <c r="AA1713" s="14">
        <f>SUM(N1713:Y1713)</f>
        <v/>
      </c>
      <c r="AB1713" s="13">
        <f>SUMPRODUCT(N1713:Y1713,$N$3:$Y$3)*$K1713*$L1713*$M1713</f>
        <v/>
      </c>
      <c r="AC1713" s="13">
        <f>SUMPRODUCT(N1713:Y1713,$N$4:$Y$4)*$K1713*$L1713*$M1713</f>
        <v/>
      </c>
      <c r="AD1713" s="15" t="n">
        <v>3</v>
      </c>
      <c r="AE1713" s="11" t="n">
        <v>1.011296296296296</v>
      </c>
      <c r="AF1713" s="16">
        <f>SUMPRODUCT(N1713:Y1713,$N$5:$Y$5)*$K1713*$L1713*$M1713</f>
        <v/>
      </c>
      <c r="AG1713" s="16">
        <f>SUMPRODUCT(N1713:Y1713,$N$6:$Y$6)*$K1713*$L1713*$M1713</f>
        <v/>
      </c>
      <c r="AH1713" s="20" t="n"/>
    </row>
    <row r="1714">
      <c r="A1714" s="9" t="n">
        <v>822490</v>
      </c>
      <c r="B1714" s="9" t="inlineStr">
        <is>
          <t>Ethan Lanthier</t>
        </is>
      </c>
      <c r="C1714" s="9" t="inlineStr">
        <is>
          <t>NYM</t>
        </is>
      </c>
      <c r="D1714" s="9" t="n">
        <v>25</v>
      </c>
      <c r="E1714" s="18" t="inlineStr">
        <is>
          <t>R</t>
        </is>
      </c>
      <c r="F1714" s="18" t="n"/>
      <c r="G1714" s="9" t="n">
        <v>16.85599999999999</v>
      </c>
      <c r="H1714" s="9" t="n">
        <v>16.85599999999999</v>
      </c>
      <c r="I1714" s="9" t="inlineStr">
        <is>
          <t>Depth (no MLB IP)</t>
        </is>
      </c>
      <c r="J1714" s="18" t="inlineStr">
        <is>
          <t>Opening Day</t>
        </is>
      </c>
      <c r="K1714" s="11">
        <f>IFERROR(INDEX(Roles!$B$17:$B$20,MATCH(J1714,Roles!$A$17:$A$20,0)),1)</f>
        <v/>
      </c>
      <c r="L1714" s="19" t="n">
        <v>1</v>
      </c>
      <c r="M1714" s="11" t="n">
        <v>1</v>
      </c>
      <c r="N1714" s="19" t="n"/>
      <c r="O1714" s="19" t="n"/>
      <c r="P1714" s="19" t="n"/>
      <c r="Q1714" s="19" t="n"/>
      <c r="R1714" s="19" t="n"/>
      <c r="S1714" s="19" t="n"/>
      <c r="T1714" s="19" t="n"/>
      <c r="U1714" s="19" t="n"/>
      <c r="V1714" s="19" t="n"/>
      <c r="W1714" s="19" t="n"/>
      <c r="X1714" s="19" t="n"/>
      <c r="Y1714" s="19" t="n">
        <v>1</v>
      </c>
      <c r="Z1714" s="13">
        <f>SUMPRODUCT(N1714:Y1714,$N$2:$Y$2)*$K1714*$L1714*$M1714</f>
        <v/>
      </c>
      <c r="AA1714" s="14">
        <f>SUM(N1714:Y1714)</f>
        <v/>
      </c>
      <c r="AB1714" s="13">
        <f>SUMPRODUCT(N1714:Y1714,$N$3:$Y$3)*$K1714*$L1714*$M1714</f>
        <v/>
      </c>
      <c r="AC1714" s="13">
        <f>SUMPRODUCT(N1714:Y1714,$N$4:$Y$4)*$K1714*$L1714*$M1714</f>
        <v/>
      </c>
      <c r="AD1714" s="15" t="n">
        <v>3</v>
      </c>
      <c r="AE1714" s="11" t="n">
        <v>1.011296296296296</v>
      </c>
      <c r="AF1714" s="16">
        <f>SUMPRODUCT(N1714:Y1714,$N$5:$Y$5)*$K1714*$L1714*$M1714</f>
        <v/>
      </c>
      <c r="AG1714" s="16">
        <f>SUMPRODUCT(N1714:Y1714,$N$6:$Y$6)*$K1714*$L1714*$M1714</f>
        <v/>
      </c>
      <c r="AH1714" s="20" t="n"/>
    </row>
    <row r="1715">
      <c r="A1715" s="9" t="n">
        <v>801387</v>
      </c>
      <c r="B1715" s="9" t="inlineStr">
        <is>
          <t>Jonas Uzcategui</t>
        </is>
      </c>
      <c r="C1715" s="9" t="inlineStr">
        <is>
          <t>MIA</t>
        </is>
      </c>
      <c r="D1715" s="9" t="n">
        <v>25</v>
      </c>
      <c r="E1715" s="18" t="inlineStr">
        <is>
          <t>L</t>
        </is>
      </c>
      <c r="F1715" s="18" t="n"/>
      <c r="G1715" s="9" t="n">
        <v>16.85599999999999</v>
      </c>
      <c r="H1715" s="9" t="n">
        <v>16.85599999999999</v>
      </c>
      <c r="I1715" s="9" t="inlineStr">
        <is>
          <t>Depth (no MLB IP)</t>
        </is>
      </c>
      <c r="J1715" s="18" t="inlineStr">
        <is>
          <t>Opening Day</t>
        </is>
      </c>
      <c r="K1715" s="11">
        <f>IFERROR(INDEX(Roles!$B$17:$B$20,MATCH(J1715,Roles!$A$17:$A$20,0)),1)</f>
        <v/>
      </c>
      <c r="L1715" s="19" t="n">
        <v>1</v>
      </c>
      <c r="M1715" s="11" t="n">
        <v>1</v>
      </c>
      <c r="N1715" s="19" t="n"/>
      <c r="O1715" s="19" t="n"/>
      <c r="P1715" s="19" t="n"/>
      <c r="Q1715" s="19" t="n"/>
      <c r="R1715" s="19" t="n"/>
      <c r="S1715" s="19" t="n"/>
      <c r="T1715" s="19" t="n"/>
      <c r="U1715" s="19" t="n"/>
      <c r="V1715" s="19" t="n"/>
      <c r="W1715" s="19" t="n"/>
      <c r="X1715" s="19" t="n"/>
      <c r="Y1715" s="19" t="n">
        <v>1</v>
      </c>
      <c r="Z1715" s="13">
        <f>SUMPRODUCT(N1715:Y1715,$N$2:$Y$2)*$K1715*$L1715*$M1715</f>
        <v/>
      </c>
      <c r="AA1715" s="14">
        <f>SUM(N1715:Y1715)</f>
        <v/>
      </c>
      <c r="AB1715" s="13">
        <f>SUMPRODUCT(N1715:Y1715,$N$3:$Y$3)*$K1715*$L1715*$M1715</f>
        <v/>
      </c>
      <c r="AC1715" s="13">
        <f>SUMPRODUCT(N1715:Y1715,$N$4:$Y$4)*$K1715*$L1715*$M1715</f>
        <v/>
      </c>
      <c r="AD1715" s="15" t="n">
        <v>3</v>
      </c>
      <c r="AE1715" s="11" t="n">
        <v>1.011296296296296</v>
      </c>
      <c r="AF1715" s="16">
        <f>SUMPRODUCT(N1715:Y1715,$N$5:$Y$5)*$K1715*$L1715*$M1715</f>
        <v/>
      </c>
      <c r="AG1715" s="16">
        <f>SUMPRODUCT(N1715:Y1715,$N$6:$Y$6)*$K1715*$L1715*$M1715</f>
        <v/>
      </c>
      <c r="AH1715" s="20" t="n"/>
    </row>
    <row r="1716">
      <c r="A1716" s="9" t="n">
        <v>823124</v>
      </c>
      <c r="B1716" s="9" t="inlineStr">
        <is>
          <t>Jackson Nove</t>
        </is>
      </c>
      <c r="C1716" s="9" t="inlineStr">
        <is>
          <t>OAK</t>
        </is>
      </c>
      <c r="D1716" s="9" t="n">
        <v>25</v>
      </c>
      <c r="E1716" s="18" t="inlineStr">
        <is>
          <t>L</t>
        </is>
      </c>
      <c r="F1716" s="18" t="n"/>
      <c r="G1716" s="9" t="n">
        <v>16.91333333333333</v>
      </c>
      <c r="H1716" s="9" t="n">
        <v>16.91333333333333</v>
      </c>
      <c r="I1716" s="9" t="inlineStr">
        <is>
          <t>Depth (no MLB IP)</t>
        </is>
      </c>
      <c r="J1716" s="18" t="inlineStr">
        <is>
          <t>Opening Day</t>
        </is>
      </c>
      <c r="K1716" s="11">
        <f>IFERROR(INDEX(Roles!$B$17:$B$20,MATCH(J1716,Roles!$A$17:$A$20,0)),1)</f>
        <v/>
      </c>
      <c r="L1716" s="19" t="n">
        <v>1</v>
      </c>
      <c r="M1716" s="11" t="n">
        <v>1</v>
      </c>
      <c r="N1716" s="19" t="n"/>
      <c r="O1716" s="19" t="n"/>
      <c r="P1716" s="19" t="n"/>
      <c r="Q1716" s="19" t="n"/>
      <c r="R1716" s="19" t="n"/>
      <c r="S1716" s="19" t="n"/>
      <c r="T1716" s="19" t="n"/>
      <c r="U1716" s="19" t="n"/>
      <c r="V1716" s="19" t="n"/>
      <c r="W1716" s="19" t="n"/>
      <c r="X1716" s="19" t="n"/>
      <c r="Y1716" s="19" t="n">
        <v>1</v>
      </c>
      <c r="Z1716" s="13">
        <f>SUMPRODUCT(N1716:Y1716,$N$2:$Y$2)*$K1716*$L1716*$M1716</f>
        <v/>
      </c>
      <c r="AA1716" s="14">
        <f>SUM(N1716:Y1716)</f>
        <v/>
      </c>
      <c r="AB1716" s="13">
        <f>SUMPRODUCT(N1716:Y1716,$N$3:$Y$3)*$K1716*$L1716*$M1716</f>
        <v/>
      </c>
      <c r="AC1716" s="13">
        <f>SUMPRODUCT(N1716:Y1716,$N$4:$Y$4)*$K1716*$L1716*$M1716</f>
        <v/>
      </c>
      <c r="AD1716" s="15" t="n">
        <v>3</v>
      </c>
      <c r="AE1716" s="11" t="n">
        <v>1.011296296296296</v>
      </c>
      <c r="AF1716" s="16">
        <f>SUMPRODUCT(N1716:Y1716,$N$5:$Y$5)*$K1716*$L1716*$M1716</f>
        <v/>
      </c>
      <c r="AG1716" s="16">
        <f>SUMPRODUCT(N1716:Y1716,$N$6:$Y$6)*$K1716*$L1716*$M1716</f>
        <v/>
      </c>
      <c r="AH1716" s="20" t="n"/>
    </row>
    <row r="1717">
      <c r="A1717" s="9" t="n">
        <v>809059</v>
      </c>
      <c r="B1717" s="9" t="inlineStr">
        <is>
          <t>Danny Macchiarola</t>
        </is>
      </c>
      <c r="C1717" s="9" t="inlineStr">
        <is>
          <t>SEA</t>
        </is>
      </c>
      <c r="D1717" s="9" t="n">
        <v>25</v>
      </c>
      <c r="E1717" s="18" t="inlineStr">
        <is>
          <t>R</t>
        </is>
      </c>
      <c r="F1717" s="18" t="n"/>
      <c r="G1717" s="9" t="n">
        <v>17.028</v>
      </c>
      <c r="H1717" s="9" t="n">
        <v>17.028</v>
      </c>
      <c r="I1717" s="9" t="inlineStr">
        <is>
          <t>Depth (no MLB IP)</t>
        </is>
      </c>
      <c r="J1717" s="18" t="inlineStr">
        <is>
          <t>Opening Day</t>
        </is>
      </c>
      <c r="K1717" s="11">
        <f>IFERROR(INDEX(Roles!$B$17:$B$20,MATCH(J1717,Roles!$A$17:$A$20,0)),1)</f>
        <v/>
      </c>
      <c r="L1717" s="19" t="n">
        <v>1</v>
      </c>
      <c r="M1717" s="11" t="n">
        <v>1</v>
      </c>
      <c r="N1717" s="19" t="n"/>
      <c r="O1717" s="19" t="n"/>
      <c r="P1717" s="19" t="n"/>
      <c r="Q1717" s="19" t="n"/>
      <c r="R1717" s="19" t="n"/>
      <c r="S1717" s="19" t="n"/>
      <c r="T1717" s="19" t="n"/>
      <c r="U1717" s="19" t="n"/>
      <c r="V1717" s="19" t="n"/>
      <c r="W1717" s="19" t="n"/>
      <c r="X1717" s="19" t="n"/>
      <c r="Y1717" s="19" t="n">
        <v>1</v>
      </c>
      <c r="Z1717" s="13">
        <f>SUMPRODUCT(N1717:Y1717,$N$2:$Y$2)*$K1717*$L1717*$M1717</f>
        <v/>
      </c>
      <c r="AA1717" s="14">
        <f>SUM(N1717:Y1717)</f>
        <v/>
      </c>
      <c r="AB1717" s="13">
        <f>SUMPRODUCT(N1717:Y1717,$N$3:$Y$3)*$K1717*$L1717*$M1717</f>
        <v/>
      </c>
      <c r="AC1717" s="13">
        <f>SUMPRODUCT(N1717:Y1717,$N$4:$Y$4)*$K1717*$L1717*$M1717</f>
        <v/>
      </c>
      <c r="AD1717" s="15" t="n">
        <v>3</v>
      </c>
      <c r="AE1717" s="11" t="n">
        <v>1.011296296296296</v>
      </c>
      <c r="AF1717" s="16">
        <f>SUMPRODUCT(N1717:Y1717,$N$5:$Y$5)*$K1717*$L1717*$M1717</f>
        <v/>
      </c>
      <c r="AG1717" s="16">
        <f>SUMPRODUCT(N1717:Y1717,$N$6:$Y$6)*$K1717*$L1717*$M1717</f>
        <v/>
      </c>
      <c r="AH1717" s="20" t="n"/>
    </row>
    <row r="1718">
      <c r="A1718" s="9" t="n">
        <v>828364</v>
      </c>
      <c r="B1718" s="9" t="inlineStr">
        <is>
          <t>Jake Jekielek</t>
        </is>
      </c>
      <c r="C1718" s="9" t="inlineStr">
        <is>
          <t>TEX</t>
        </is>
      </c>
      <c r="D1718" s="9" t="n">
        <v>25</v>
      </c>
      <c r="E1718" s="18" t="inlineStr">
        <is>
          <t>R</t>
        </is>
      </c>
      <c r="F1718" s="18" t="n"/>
      <c r="G1718" s="9" t="n">
        <v>17.028</v>
      </c>
      <c r="H1718" s="9" t="n">
        <v>17.028</v>
      </c>
      <c r="I1718" s="9" t="inlineStr">
        <is>
          <t>Depth (no MLB IP)</t>
        </is>
      </c>
      <c r="J1718" s="18" t="inlineStr">
        <is>
          <t>Opening Day</t>
        </is>
      </c>
      <c r="K1718" s="11">
        <f>IFERROR(INDEX(Roles!$B$17:$B$20,MATCH(J1718,Roles!$A$17:$A$20,0)),1)</f>
        <v/>
      </c>
      <c r="L1718" s="19" t="n">
        <v>1</v>
      </c>
      <c r="M1718" s="11" t="n">
        <v>1</v>
      </c>
      <c r="N1718" s="19" t="n"/>
      <c r="O1718" s="19" t="n"/>
      <c r="P1718" s="19" t="n"/>
      <c r="Q1718" s="19" t="n"/>
      <c r="R1718" s="19" t="n"/>
      <c r="S1718" s="19" t="n"/>
      <c r="T1718" s="19" t="n"/>
      <c r="U1718" s="19" t="n"/>
      <c r="V1718" s="19" t="n"/>
      <c r="W1718" s="19" t="n"/>
      <c r="X1718" s="19" t="n"/>
      <c r="Y1718" s="19" t="n">
        <v>1</v>
      </c>
      <c r="Z1718" s="13">
        <f>SUMPRODUCT(N1718:Y1718,$N$2:$Y$2)*$K1718*$L1718*$M1718</f>
        <v/>
      </c>
      <c r="AA1718" s="14">
        <f>SUM(N1718:Y1718)</f>
        <v/>
      </c>
      <c r="AB1718" s="13">
        <f>SUMPRODUCT(N1718:Y1718,$N$3:$Y$3)*$K1718*$L1718*$M1718</f>
        <v/>
      </c>
      <c r="AC1718" s="13">
        <f>SUMPRODUCT(N1718:Y1718,$N$4:$Y$4)*$K1718*$L1718*$M1718</f>
        <v/>
      </c>
      <c r="AD1718" s="15" t="n">
        <v>3</v>
      </c>
      <c r="AE1718" s="11" t="n">
        <v>1.011296296296296</v>
      </c>
      <c r="AF1718" s="16">
        <f>SUMPRODUCT(N1718:Y1718,$N$5:$Y$5)*$K1718*$L1718*$M1718</f>
        <v/>
      </c>
      <c r="AG1718" s="16">
        <f>SUMPRODUCT(N1718:Y1718,$N$6:$Y$6)*$K1718*$L1718*$M1718</f>
        <v/>
      </c>
      <c r="AH1718" s="20" t="n"/>
    </row>
    <row r="1719">
      <c r="A1719" s="9" t="n">
        <v>703610</v>
      </c>
      <c r="B1719" s="9" t="inlineStr">
        <is>
          <t>Justin Lamkin</t>
        </is>
      </c>
      <c r="C1719" s="9" t="inlineStr">
        <is>
          <t>KC</t>
        </is>
      </c>
      <c r="D1719" s="9" t="n">
        <v>25</v>
      </c>
      <c r="E1719" s="18" t="inlineStr">
        <is>
          <t>L</t>
        </is>
      </c>
      <c r="F1719" s="18" t="n"/>
      <c r="G1719" s="9" t="n">
        <v>17.05666666666666</v>
      </c>
      <c r="H1719" s="9" t="n">
        <v>17.05666666666666</v>
      </c>
      <c r="I1719" s="9" t="inlineStr">
        <is>
          <t>Depth (no MLB IP)</t>
        </is>
      </c>
      <c r="J1719" s="18" t="inlineStr">
        <is>
          <t>Opening Day</t>
        </is>
      </c>
      <c r="K1719" s="11">
        <f>IFERROR(INDEX(Roles!$B$17:$B$20,MATCH(J1719,Roles!$A$17:$A$20,0)),1)</f>
        <v/>
      </c>
      <c r="L1719" s="19" t="n">
        <v>1</v>
      </c>
      <c r="M1719" s="11" t="n">
        <v>1</v>
      </c>
      <c r="N1719" s="19" t="n"/>
      <c r="O1719" s="19" t="n"/>
      <c r="P1719" s="19" t="n"/>
      <c r="Q1719" s="19" t="n"/>
      <c r="R1719" s="19" t="n"/>
      <c r="S1719" s="19" t="n"/>
      <c r="T1719" s="19" t="n"/>
      <c r="U1719" s="19" t="n"/>
      <c r="V1719" s="19" t="n"/>
      <c r="W1719" s="19" t="n"/>
      <c r="X1719" s="19" t="n"/>
      <c r="Y1719" s="19" t="n">
        <v>1</v>
      </c>
      <c r="Z1719" s="13">
        <f>SUMPRODUCT(N1719:Y1719,$N$2:$Y$2)*$K1719*$L1719*$M1719</f>
        <v/>
      </c>
      <c r="AA1719" s="14">
        <f>SUM(N1719:Y1719)</f>
        <v/>
      </c>
      <c r="AB1719" s="13">
        <f>SUMPRODUCT(N1719:Y1719,$N$3:$Y$3)*$K1719*$L1719*$M1719</f>
        <v/>
      </c>
      <c r="AC1719" s="13">
        <f>SUMPRODUCT(N1719:Y1719,$N$4:$Y$4)*$K1719*$L1719*$M1719</f>
        <v/>
      </c>
      <c r="AD1719" s="15" t="n">
        <v>3</v>
      </c>
      <c r="AE1719" s="11" t="n">
        <v>1.011296296296296</v>
      </c>
      <c r="AF1719" s="16">
        <f>SUMPRODUCT(N1719:Y1719,$N$5:$Y$5)*$K1719*$L1719*$M1719</f>
        <v/>
      </c>
      <c r="AG1719" s="16">
        <f>SUMPRODUCT(N1719:Y1719,$N$6:$Y$6)*$K1719*$L1719*$M1719</f>
        <v/>
      </c>
      <c r="AH1719" s="20" t="n"/>
    </row>
    <row r="1720">
      <c r="A1720" s="9" t="n">
        <v>832455</v>
      </c>
      <c r="B1720" s="9" t="inlineStr">
        <is>
          <t>Matthew Fisher</t>
        </is>
      </c>
      <c r="C1720" s="9" t="inlineStr">
        <is>
          <t>PHI</t>
        </is>
      </c>
      <c r="D1720" s="9" t="n">
        <v>25</v>
      </c>
      <c r="E1720" s="18" t="inlineStr">
        <is>
          <t>R</t>
        </is>
      </c>
      <c r="F1720" s="18" t="n"/>
      <c r="G1720" s="9" t="n">
        <v>17.028</v>
      </c>
      <c r="H1720" s="9" t="n">
        <v>17.028</v>
      </c>
      <c r="I1720" s="9" t="inlineStr">
        <is>
          <t>Depth (no MLB IP)</t>
        </is>
      </c>
      <c r="J1720" s="18" t="inlineStr">
        <is>
          <t>Opening Day</t>
        </is>
      </c>
      <c r="K1720" s="11">
        <f>IFERROR(INDEX(Roles!$B$17:$B$20,MATCH(J1720,Roles!$A$17:$A$20,0)),1)</f>
        <v/>
      </c>
      <c r="L1720" s="19" t="n">
        <v>1</v>
      </c>
      <c r="M1720" s="11" t="n">
        <v>1</v>
      </c>
      <c r="N1720" s="19" t="n"/>
      <c r="O1720" s="19" t="n"/>
      <c r="P1720" s="19" t="n"/>
      <c r="Q1720" s="19" t="n"/>
      <c r="R1720" s="19" t="n"/>
      <c r="S1720" s="19" t="n"/>
      <c r="T1720" s="19" t="n"/>
      <c r="U1720" s="19" t="n"/>
      <c r="V1720" s="19" t="n"/>
      <c r="W1720" s="19" t="n"/>
      <c r="X1720" s="19" t="n"/>
      <c r="Y1720" s="19" t="n">
        <v>1</v>
      </c>
      <c r="Z1720" s="13">
        <f>SUMPRODUCT(N1720:Y1720,$N$2:$Y$2)*$K1720*$L1720*$M1720</f>
        <v/>
      </c>
      <c r="AA1720" s="14">
        <f>SUM(N1720:Y1720)</f>
        <v/>
      </c>
      <c r="AB1720" s="13">
        <f>SUMPRODUCT(N1720:Y1720,$N$3:$Y$3)*$K1720*$L1720*$M1720</f>
        <v/>
      </c>
      <c r="AC1720" s="13">
        <f>SUMPRODUCT(N1720:Y1720,$N$4:$Y$4)*$K1720*$L1720*$M1720</f>
        <v/>
      </c>
      <c r="AD1720" s="15" t="n">
        <v>3</v>
      </c>
      <c r="AE1720" s="11" t="n">
        <v>1.011296296296296</v>
      </c>
      <c r="AF1720" s="16">
        <f>SUMPRODUCT(N1720:Y1720,$N$5:$Y$5)*$K1720*$L1720*$M1720</f>
        <v/>
      </c>
      <c r="AG1720" s="16">
        <f>SUMPRODUCT(N1720:Y1720,$N$6:$Y$6)*$K1720*$L1720*$M1720</f>
        <v/>
      </c>
      <c r="AH1720" s="20" t="n"/>
    </row>
    <row r="1721">
      <c r="A1721" s="9" t="n">
        <v>688306</v>
      </c>
      <c r="B1721" s="9" t="inlineStr">
        <is>
          <t>Tristan Stevens</t>
        </is>
      </c>
      <c r="C1721" s="9" t="inlineStr">
        <is>
          <t>MIA</t>
        </is>
      </c>
      <c r="D1721" s="9" t="n">
        <v>25</v>
      </c>
      <c r="E1721" s="18" t="inlineStr">
        <is>
          <t>R</t>
        </is>
      </c>
      <c r="F1721" s="18" t="n"/>
      <c r="G1721" s="9" t="n">
        <v>17.05666666666666</v>
      </c>
      <c r="H1721" s="9" t="n">
        <v>17.05666666666666</v>
      </c>
      <c r="I1721" s="9" t="inlineStr">
        <is>
          <t>Depth (no MLB IP)</t>
        </is>
      </c>
      <c r="J1721" s="18" t="inlineStr">
        <is>
          <t>Opening Day</t>
        </is>
      </c>
      <c r="K1721" s="11">
        <f>IFERROR(INDEX(Roles!$B$17:$B$20,MATCH(J1721,Roles!$A$17:$A$20,0)),1)</f>
        <v/>
      </c>
      <c r="L1721" s="19" t="n">
        <v>1</v>
      </c>
      <c r="M1721" s="11" t="n">
        <v>1</v>
      </c>
      <c r="N1721" s="19" t="n"/>
      <c r="O1721" s="19" t="n"/>
      <c r="P1721" s="19" t="n"/>
      <c r="Q1721" s="19" t="n"/>
      <c r="R1721" s="19" t="n"/>
      <c r="S1721" s="19" t="n"/>
      <c r="T1721" s="19" t="n"/>
      <c r="U1721" s="19" t="n"/>
      <c r="V1721" s="19" t="n"/>
      <c r="W1721" s="19" t="n"/>
      <c r="X1721" s="19" t="n"/>
      <c r="Y1721" s="19" t="n">
        <v>1</v>
      </c>
      <c r="Z1721" s="13">
        <f>SUMPRODUCT(N1721:Y1721,$N$2:$Y$2)*$K1721*$L1721*$M1721</f>
        <v/>
      </c>
      <c r="AA1721" s="14">
        <f>SUM(N1721:Y1721)</f>
        <v/>
      </c>
      <c r="AB1721" s="13">
        <f>SUMPRODUCT(N1721:Y1721,$N$3:$Y$3)*$K1721*$L1721*$M1721</f>
        <v/>
      </c>
      <c r="AC1721" s="13">
        <f>SUMPRODUCT(N1721:Y1721,$N$4:$Y$4)*$K1721*$L1721*$M1721</f>
        <v/>
      </c>
      <c r="AD1721" s="15" t="n">
        <v>3</v>
      </c>
      <c r="AE1721" s="11" t="n">
        <v>1.011296296296296</v>
      </c>
      <c r="AF1721" s="16">
        <f>SUMPRODUCT(N1721:Y1721,$N$5:$Y$5)*$K1721*$L1721*$M1721</f>
        <v/>
      </c>
      <c r="AG1721" s="16">
        <f>SUMPRODUCT(N1721:Y1721,$N$6:$Y$6)*$K1721*$L1721*$M1721</f>
        <v/>
      </c>
      <c r="AH1721" s="20" t="n"/>
    </row>
    <row r="1722">
      <c r="A1722" s="9" t="n">
        <v>692391</v>
      </c>
      <c r="B1722" s="9" t="inlineStr">
        <is>
          <t>Antoni Cuello</t>
        </is>
      </c>
      <c r="C1722" s="9" t="inlineStr">
        <is>
          <t>STL</t>
        </is>
      </c>
      <c r="D1722" s="9" t="n">
        <v>25</v>
      </c>
      <c r="E1722" s="18" t="inlineStr">
        <is>
          <t>R</t>
        </is>
      </c>
      <c r="F1722" s="18" t="n"/>
      <c r="G1722" s="9" t="n">
        <v>17.028</v>
      </c>
      <c r="H1722" s="9" t="n">
        <v>17.028</v>
      </c>
      <c r="I1722" s="9" t="inlineStr">
        <is>
          <t>Depth (no MLB IP)</t>
        </is>
      </c>
      <c r="J1722" s="18" t="inlineStr">
        <is>
          <t>Opening Day</t>
        </is>
      </c>
      <c r="K1722" s="11">
        <f>IFERROR(INDEX(Roles!$B$17:$B$20,MATCH(J1722,Roles!$A$17:$A$20,0)),1)</f>
        <v/>
      </c>
      <c r="L1722" s="19" t="n">
        <v>1</v>
      </c>
      <c r="M1722" s="11" t="n">
        <v>1</v>
      </c>
      <c r="N1722" s="19" t="n"/>
      <c r="O1722" s="19" t="n"/>
      <c r="P1722" s="19" t="n"/>
      <c r="Q1722" s="19" t="n"/>
      <c r="R1722" s="19" t="n"/>
      <c r="S1722" s="19" t="n"/>
      <c r="T1722" s="19" t="n"/>
      <c r="U1722" s="19" t="n"/>
      <c r="V1722" s="19" t="n"/>
      <c r="W1722" s="19" t="n"/>
      <c r="X1722" s="19" t="n"/>
      <c r="Y1722" s="19" t="n">
        <v>1</v>
      </c>
      <c r="Z1722" s="13">
        <f>SUMPRODUCT(N1722:Y1722,$N$2:$Y$2)*$K1722*$L1722*$M1722</f>
        <v/>
      </c>
      <c r="AA1722" s="14">
        <f>SUM(N1722:Y1722)</f>
        <v/>
      </c>
      <c r="AB1722" s="13">
        <f>SUMPRODUCT(N1722:Y1722,$N$3:$Y$3)*$K1722*$L1722*$M1722</f>
        <v/>
      </c>
      <c r="AC1722" s="13">
        <f>SUMPRODUCT(N1722:Y1722,$N$4:$Y$4)*$K1722*$L1722*$M1722</f>
        <v/>
      </c>
      <c r="AD1722" s="15" t="n">
        <v>3</v>
      </c>
      <c r="AE1722" s="11" t="n">
        <v>1.011296296296296</v>
      </c>
      <c r="AF1722" s="16">
        <f>SUMPRODUCT(N1722:Y1722,$N$5:$Y$5)*$K1722*$L1722*$M1722</f>
        <v/>
      </c>
      <c r="AG1722" s="16">
        <f>SUMPRODUCT(N1722:Y1722,$N$6:$Y$6)*$K1722*$L1722*$M1722</f>
        <v/>
      </c>
      <c r="AH1722" s="20" t="n"/>
    </row>
    <row r="1723">
      <c r="A1723" s="9" t="n">
        <v>701400</v>
      </c>
      <c r="B1723" s="9" t="inlineStr">
        <is>
          <t>Gavin Adams</t>
        </is>
      </c>
      <c r="C1723" s="9" t="inlineStr">
        <is>
          <t>PIT</t>
        </is>
      </c>
      <c r="D1723" s="9" t="n">
        <v>25</v>
      </c>
      <c r="E1723" s="18" t="inlineStr">
        <is>
          <t>R</t>
        </is>
      </c>
      <c r="F1723" s="18" t="n"/>
      <c r="G1723" s="9" t="n">
        <v>17.2</v>
      </c>
      <c r="H1723" s="9" t="n">
        <v>17.2</v>
      </c>
      <c r="I1723" s="9" t="inlineStr">
        <is>
          <t>Depth (no MLB IP)</t>
        </is>
      </c>
      <c r="J1723" s="18" t="inlineStr">
        <is>
          <t>Opening Day</t>
        </is>
      </c>
      <c r="K1723" s="11">
        <f>IFERROR(INDEX(Roles!$B$17:$B$20,MATCH(J1723,Roles!$A$17:$A$20,0)),1)</f>
        <v/>
      </c>
      <c r="L1723" s="19" t="n">
        <v>1</v>
      </c>
      <c r="M1723" s="11" t="n">
        <v>1</v>
      </c>
      <c r="N1723" s="19" t="n"/>
      <c r="O1723" s="19" t="n"/>
      <c r="P1723" s="19" t="n"/>
      <c r="Q1723" s="19" t="n"/>
      <c r="R1723" s="19" t="n"/>
      <c r="S1723" s="19" t="n"/>
      <c r="T1723" s="19" t="n"/>
      <c r="U1723" s="19" t="n"/>
      <c r="V1723" s="19" t="n"/>
      <c r="W1723" s="19" t="n"/>
      <c r="X1723" s="19" t="n"/>
      <c r="Y1723" s="19" t="n">
        <v>1</v>
      </c>
      <c r="Z1723" s="13">
        <f>SUMPRODUCT(N1723:Y1723,$N$2:$Y$2)*$K1723*$L1723*$M1723</f>
        <v/>
      </c>
      <c r="AA1723" s="14">
        <f>SUM(N1723:Y1723)</f>
        <v/>
      </c>
      <c r="AB1723" s="13">
        <f>SUMPRODUCT(N1723:Y1723,$N$3:$Y$3)*$K1723*$L1723*$M1723</f>
        <v/>
      </c>
      <c r="AC1723" s="13">
        <f>SUMPRODUCT(N1723:Y1723,$N$4:$Y$4)*$K1723*$L1723*$M1723</f>
        <v/>
      </c>
      <c r="AD1723" s="15" t="n">
        <v>3</v>
      </c>
      <c r="AE1723" s="11" t="n">
        <v>1.011296296296296</v>
      </c>
      <c r="AF1723" s="16">
        <f>SUMPRODUCT(N1723:Y1723,$N$5:$Y$5)*$K1723*$L1723*$M1723</f>
        <v/>
      </c>
      <c r="AG1723" s="16">
        <f>SUMPRODUCT(N1723:Y1723,$N$6:$Y$6)*$K1723*$L1723*$M1723</f>
        <v/>
      </c>
      <c r="AH1723" s="20" t="n"/>
    </row>
    <row r="1724">
      <c r="A1724" s="9" t="n">
        <v>700582</v>
      </c>
      <c r="B1724" s="9" t="inlineStr">
        <is>
          <t>Gabe Craig</t>
        </is>
      </c>
      <c r="C1724" s="9" t="inlineStr">
        <is>
          <t>PHI</t>
        </is>
      </c>
      <c r="D1724" s="9" t="n">
        <v>25</v>
      </c>
      <c r="E1724" s="18" t="inlineStr">
        <is>
          <t>R</t>
        </is>
      </c>
      <c r="F1724" s="18" t="n"/>
      <c r="G1724" s="9" t="n">
        <v>17.2</v>
      </c>
      <c r="H1724" s="9" t="n">
        <v>17.2</v>
      </c>
      <c r="I1724" s="9" t="inlineStr">
        <is>
          <t>Depth (no MLB IP)</t>
        </is>
      </c>
      <c r="J1724" s="18" t="inlineStr">
        <is>
          <t>Opening Day</t>
        </is>
      </c>
      <c r="K1724" s="11">
        <f>IFERROR(INDEX(Roles!$B$17:$B$20,MATCH(J1724,Roles!$A$17:$A$20,0)),1)</f>
        <v/>
      </c>
      <c r="L1724" s="19" t="n">
        <v>1</v>
      </c>
      <c r="M1724" s="11" t="n">
        <v>1</v>
      </c>
      <c r="N1724" s="19" t="n"/>
      <c r="O1724" s="19" t="n"/>
      <c r="P1724" s="19" t="n"/>
      <c r="Q1724" s="19" t="n"/>
      <c r="R1724" s="19" t="n"/>
      <c r="S1724" s="19" t="n"/>
      <c r="T1724" s="19" t="n"/>
      <c r="U1724" s="19" t="n"/>
      <c r="V1724" s="19" t="n"/>
      <c r="W1724" s="19" t="n"/>
      <c r="X1724" s="19" t="n"/>
      <c r="Y1724" s="19" t="n">
        <v>1</v>
      </c>
      <c r="Z1724" s="13">
        <f>SUMPRODUCT(N1724:Y1724,$N$2:$Y$2)*$K1724*$L1724*$M1724</f>
        <v/>
      </c>
      <c r="AA1724" s="14">
        <f>SUM(N1724:Y1724)</f>
        <v/>
      </c>
      <c r="AB1724" s="13">
        <f>SUMPRODUCT(N1724:Y1724,$N$3:$Y$3)*$K1724*$L1724*$M1724</f>
        <v/>
      </c>
      <c r="AC1724" s="13">
        <f>SUMPRODUCT(N1724:Y1724,$N$4:$Y$4)*$K1724*$L1724*$M1724</f>
        <v/>
      </c>
      <c r="AD1724" s="15" t="n">
        <v>3</v>
      </c>
      <c r="AE1724" s="11" t="n">
        <v>1.011296296296296</v>
      </c>
      <c r="AF1724" s="16">
        <f>SUMPRODUCT(N1724:Y1724,$N$5:$Y$5)*$K1724*$L1724*$M1724</f>
        <v/>
      </c>
      <c r="AG1724" s="16">
        <f>SUMPRODUCT(N1724:Y1724,$N$6:$Y$6)*$K1724*$L1724*$M1724</f>
        <v/>
      </c>
      <c r="AH1724" s="20" t="n"/>
    </row>
    <row r="1725">
      <c r="A1725" s="9" t="n">
        <v>808986</v>
      </c>
      <c r="B1725" s="9" t="inlineStr">
        <is>
          <t>Duque Hebbert</t>
        </is>
      </c>
      <c r="C1725" s="9" t="inlineStr">
        <is>
          <t>DET</t>
        </is>
      </c>
      <c r="D1725" s="9" t="n">
        <v>25</v>
      </c>
      <c r="E1725" s="18" t="inlineStr">
        <is>
          <t>R</t>
        </is>
      </c>
      <c r="F1725" s="18" t="n"/>
      <c r="G1725" s="9" t="n">
        <v>17.05666666666666</v>
      </c>
      <c r="H1725" s="9" t="n">
        <v>17.05666666666666</v>
      </c>
      <c r="I1725" s="9" t="inlineStr">
        <is>
          <t>Depth (no MLB IP)</t>
        </is>
      </c>
      <c r="J1725" s="18" t="inlineStr">
        <is>
          <t>Opening Day</t>
        </is>
      </c>
      <c r="K1725" s="11">
        <f>IFERROR(INDEX(Roles!$B$17:$B$20,MATCH(J1725,Roles!$A$17:$A$20,0)),1)</f>
        <v/>
      </c>
      <c r="L1725" s="19" t="n">
        <v>1</v>
      </c>
      <c r="M1725" s="11" t="n">
        <v>1</v>
      </c>
      <c r="N1725" s="19" t="n"/>
      <c r="O1725" s="19" t="n"/>
      <c r="P1725" s="19" t="n"/>
      <c r="Q1725" s="19" t="n"/>
      <c r="R1725" s="19" t="n"/>
      <c r="S1725" s="19" t="n"/>
      <c r="T1725" s="19" t="n"/>
      <c r="U1725" s="19" t="n"/>
      <c r="V1725" s="19" t="n"/>
      <c r="W1725" s="19" t="n"/>
      <c r="X1725" s="19" t="n"/>
      <c r="Y1725" s="19" t="n">
        <v>1</v>
      </c>
      <c r="Z1725" s="13">
        <f>SUMPRODUCT(N1725:Y1725,$N$2:$Y$2)*$K1725*$L1725*$M1725</f>
        <v/>
      </c>
      <c r="AA1725" s="14">
        <f>SUM(N1725:Y1725)</f>
        <v/>
      </c>
      <c r="AB1725" s="13">
        <f>SUMPRODUCT(N1725:Y1725,$N$3:$Y$3)*$K1725*$L1725*$M1725</f>
        <v/>
      </c>
      <c r="AC1725" s="13">
        <f>SUMPRODUCT(N1725:Y1725,$N$4:$Y$4)*$K1725*$L1725*$M1725</f>
        <v/>
      </c>
      <c r="AD1725" s="15" t="n">
        <v>3</v>
      </c>
      <c r="AE1725" s="11" t="n">
        <v>1.011296296296296</v>
      </c>
      <c r="AF1725" s="16">
        <f>SUMPRODUCT(N1725:Y1725,$N$5:$Y$5)*$K1725*$L1725*$M1725</f>
        <v/>
      </c>
      <c r="AG1725" s="16">
        <f>SUMPRODUCT(N1725:Y1725,$N$6:$Y$6)*$K1725*$L1725*$M1725</f>
        <v/>
      </c>
      <c r="AH1725" s="20" t="n"/>
    </row>
    <row r="1726">
      <c r="A1726" s="9" t="n">
        <v>805800</v>
      </c>
      <c r="B1726" s="9" t="inlineStr">
        <is>
          <t>Zander Mueth</t>
        </is>
      </c>
      <c r="C1726" s="9" t="inlineStr">
        <is>
          <t>PIT</t>
        </is>
      </c>
      <c r="D1726" s="9" t="n">
        <v>25</v>
      </c>
      <c r="E1726" s="18" t="inlineStr">
        <is>
          <t>R</t>
        </is>
      </c>
      <c r="F1726" s="18" t="n"/>
      <c r="G1726" s="9" t="n">
        <v>17.2</v>
      </c>
      <c r="H1726" s="9" t="n">
        <v>17.2</v>
      </c>
      <c r="I1726" s="9" t="inlineStr">
        <is>
          <t>Depth (no MLB IP)</t>
        </is>
      </c>
      <c r="J1726" s="18" t="inlineStr">
        <is>
          <t>Opening Day</t>
        </is>
      </c>
      <c r="K1726" s="11">
        <f>IFERROR(INDEX(Roles!$B$17:$B$20,MATCH(J1726,Roles!$A$17:$A$20,0)),1)</f>
        <v/>
      </c>
      <c r="L1726" s="19" t="n">
        <v>1</v>
      </c>
      <c r="M1726" s="11" t="n">
        <v>1</v>
      </c>
      <c r="N1726" s="19" t="n"/>
      <c r="O1726" s="19" t="n"/>
      <c r="P1726" s="19" t="n"/>
      <c r="Q1726" s="19" t="n"/>
      <c r="R1726" s="19" t="n"/>
      <c r="S1726" s="19" t="n"/>
      <c r="T1726" s="19" t="n"/>
      <c r="U1726" s="19" t="n"/>
      <c r="V1726" s="19" t="n"/>
      <c r="W1726" s="19" t="n"/>
      <c r="X1726" s="19" t="n"/>
      <c r="Y1726" s="19" t="n">
        <v>1</v>
      </c>
      <c r="Z1726" s="13">
        <f>SUMPRODUCT(N1726:Y1726,$N$2:$Y$2)*$K1726*$L1726*$M1726</f>
        <v/>
      </c>
      <c r="AA1726" s="14">
        <f>SUM(N1726:Y1726)</f>
        <v/>
      </c>
      <c r="AB1726" s="13">
        <f>SUMPRODUCT(N1726:Y1726,$N$3:$Y$3)*$K1726*$L1726*$M1726</f>
        <v/>
      </c>
      <c r="AC1726" s="13">
        <f>SUMPRODUCT(N1726:Y1726,$N$4:$Y$4)*$K1726*$L1726*$M1726</f>
        <v/>
      </c>
      <c r="AD1726" s="15" t="n">
        <v>3</v>
      </c>
      <c r="AE1726" s="11" t="n">
        <v>1.011296296296296</v>
      </c>
      <c r="AF1726" s="16">
        <f>SUMPRODUCT(N1726:Y1726,$N$5:$Y$5)*$K1726*$L1726*$M1726</f>
        <v/>
      </c>
      <c r="AG1726" s="16">
        <f>SUMPRODUCT(N1726:Y1726,$N$6:$Y$6)*$K1726*$L1726*$M1726</f>
        <v/>
      </c>
      <c r="AH1726" s="20" t="n"/>
    </row>
    <row r="1727">
      <c r="A1727" s="9" t="n">
        <v>808952</v>
      </c>
      <c r="B1727" s="9" t="inlineStr">
        <is>
          <t>Jack Seppings</t>
        </is>
      </c>
      <c r="C1727" s="9" t="inlineStr">
        <is>
          <t>MIL</t>
        </is>
      </c>
      <c r="D1727" s="9" t="n">
        <v>25</v>
      </c>
      <c r="E1727" s="18" t="inlineStr">
        <is>
          <t>R</t>
        </is>
      </c>
      <c r="F1727" s="18" t="n"/>
      <c r="G1727" s="9" t="n">
        <v>17.34333333333333</v>
      </c>
      <c r="H1727" s="9" t="n">
        <v>17.34333333333333</v>
      </c>
      <c r="I1727" s="9" t="inlineStr">
        <is>
          <t>Depth (no MLB IP)</t>
        </is>
      </c>
      <c r="J1727" s="18" t="inlineStr">
        <is>
          <t>Opening Day</t>
        </is>
      </c>
      <c r="K1727" s="11">
        <f>IFERROR(INDEX(Roles!$B$17:$B$20,MATCH(J1727,Roles!$A$17:$A$20,0)),1)</f>
        <v/>
      </c>
      <c r="L1727" s="19" t="n">
        <v>1</v>
      </c>
      <c r="M1727" s="11" t="n">
        <v>1</v>
      </c>
      <c r="N1727" s="19" t="n"/>
      <c r="O1727" s="19" t="n"/>
      <c r="P1727" s="19" t="n"/>
      <c r="Q1727" s="19" t="n"/>
      <c r="R1727" s="19" t="n"/>
      <c r="S1727" s="19" t="n"/>
      <c r="T1727" s="19" t="n"/>
      <c r="U1727" s="19" t="n"/>
      <c r="V1727" s="19" t="n"/>
      <c r="W1727" s="19" t="n"/>
      <c r="X1727" s="19" t="n"/>
      <c r="Y1727" s="19" t="n">
        <v>1</v>
      </c>
      <c r="Z1727" s="13">
        <f>SUMPRODUCT(N1727:Y1727,$N$2:$Y$2)*$K1727*$L1727*$M1727</f>
        <v/>
      </c>
      <c r="AA1727" s="14">
        <f>SUM(N1727:Y1727)</f>
        <v/>
      </c>
      <c r="AB1727" s="13">
        <f>SUMPRODUCT(N1727:Y1727,$N$3:$Y$3)*$K1727*$L1727*$M1727</f>
        <v/>
      </c>
      <c r="AC1727" s="13">
        <f>SUMPRODUCT(N1727:Y1727,$N$4:$Y$4)*$K1727*$L1727*$M1727</f>
        <v/>
      </c>
      <c r="AD1727" s="15" t="n">
        <v>3</v>
      </c>
      <c r="AE1727" s="11" t="n">
        <v>1.011296296296296</v>
      </c>
      <c r="AF1727" s="16">
        <f>SUMPRODUCT(N1727:Y1727,$N$5:$Y$5)*$K1727*$L1727*$M1727</f>
        <v/>
      </c>
      <c r="AG1727" s="16">
        <f>SUMPRODUCT(N1727:Y1727,$N$6:$Y$6)*$K1727*$L1727*$M1727</f>
        <v/>
      </c>
      <c r="AH1727" s="20" t="n"/>
    </row>
    <row r="1728">
      <c r="A1728" s="9" t="n">
        <v>828372</v>
      </c>
      <c r="B1728" s="9" t="inlineStr">
        <is>
          <t>Jose Lopez</t>
        </is>
      </c>
      <c r="C1728" s="9" t="inlineStr">
        <is>
          <t>NYM</t>
        </is>
      </c>
      <c r="D1728" s="9" t="n">
        <v>25</v>
      </c>
      <c r="E1728" s="18" t="inlineStr">
        <is>
          <t>R</t>
        </is>
      </c>
      <c r="F1728" s="18" t="n"/>
      <c r="G1728" s="9" t="n">
        <v>17.2</v>
      </c>
      <c r="H1728" s="9" t="n">
        <v>17.2</v>
      </c>
      <c r="I1728" s="9" t="inlineStr">
        <is>
          <t>Depth (no MLB IP)</t>
        </is>
      </c>
      <c r="J1728" s="18" t="inlineStr">
        <is>
          <t>Opening Day</t>
        </is>
      </c>
      <c r="K1728" s="11">
        <f>IFERROR(INDEX(Roles!$B$17:$B$20,MATCH(J1728,Roles!$A$17:$A$20,0)),1)</f>
        <v/>
      </c>
      <c r="L1728" s="19" t="n">
        <v>1</v>
      </c>
      <c r="M1728" s="11" t="n">
        <v>1</v>
      </c>
      <c r="N1728" s="19" t="n"/>
      <c r="O1728" s="19" t="n"/>
      <c r="P1728" s="19" t="n"/>
      <c r="Q1728" s="19" t="n"/>
      <c r="R1728" s="19" t="n"/>
      <c r="S1728" s="19" t="n"/>
      <c r="T1728" s="19" t="n"/>
      <c r="U1728" s="19" t="n"/>
      <c r="V1728" s="19" t="n"/>
      <c r="W1728" s="19" t="n"/>
      <c r="X1728" s="19" t="n"/>
      <c r="Y1728" s="19" t="n">
        <v>1</v>
      </c>
      <c r="Z1728" s="13">
        <f>SUMPRODUCT(N1728:Y1728,$N$2:$Y$2)*$K1728*$L1728*$M1728</f>
        <v/>
      </c>
      <c r="AA1728" s="14">
        <f>SUM(N1728:Y1728)</f>
        <v/>
      </c>
      <c r="AB1728" s="13">
        <f>SUMPRODUCT(N1728:Y1728,$N$3:$Y$3)*$K1728*$L1728*$M1728</f>
        <v/>
      </c>
      <c r="AC1728" s="13">
        <f>SUMPRODUCT(N1728:Y1728,$N$4:$Y$4)*$K1728*$L1728*$M1728</f>
        <v/>
      </c>
      <c r="AD1728" s="15" t="n">
        <v>3</v>
      </c>
      <c r="AE1728" s="11" t="n">
        <v>1.011296296296296</v>
      </c>
      <c r="AF1728" s="16">
        <f>SUMPRODUCT(N1728:Y1728,$N$5:$Y$5)*$K1728*$L1728*$M1728</f>
        <v/>
      </c>
      <c r="AG1728" s="16">
        <f>SUMPRODUCT(N1728:Y1728,$N$6:$Y$6)*$K1728*$L1728*$M1728</f>
        <v/>
      </c>
      <c r="AH1728" s="20" t="n"/>
    </row>
    <row r="1729">
      <c r="A1729" s="9" t="n">
        <v>700356</v>
      </c>
      <c r="B1729" s="9" t="inlineStr">
        <is>
          <t>Greiber Mendez</t>
        </is>
      </c>
      <c r="C1729" s="9" t="inlineStr">
        <is>
          <t>PIT</t>
        </is>
      </c>
      <c r="D1729" s="9" t="n">
        <v>25</v>
      </c>
      <c r="E1729" s="18" t="inlineStr">
        <is>
          <t>R</t>
        </is>
      </c>
      <c r="F1729" s="18" t="n"/>
      <c r="G1729" s="9" t="n">
        <v>17.2</v>
      </c>
      <c r="H1729" s="9" t="n">
        <v>17.2</v>
      </c>
      <c r="I1729" s="9" t="inlineStr">
        <is>
          <t>Depth (no MLB IP)</t>
        </is>
      </c>
      <c r="J1729" s="18" t="inlineStr">
        <is>
          <t>Opening Day</t>
        </is>
      </c>
      <c r="K1729" s="11">
        <f>IFERROR(INDEX(Roles!$B$17:$B$20,MATCH(J1729,Roles!$A$17:$A$20,0)),1)</f>
        <v/>
      </c>
      <c r="L1729" s="19" t="n">
        <v>1</v>
      </c>
      <c r="M1729" s="11" t="n">
        <v>1</v>
      </c>
      <c r="N1729" s="19" t="n"/>
      <c r="O1729" s="19" t="n"/>
      <c r="P1729" s="19" t="n"/>
      <c r="Q1729" s="19" t="n"/>
      <c r="R1729" s="19" t="n"/>
      <c r="S1729" s="19" t="n"/>
      <c r="T1729" s="19" t="n"/>
      <c r="U1729" s="19" t="n"/>
      <c r="V1729" s="19" t="n"/>
      <c r="W1729" s="19" t="n"/>
      <c r="X1729" s="19" t="n"/>
      <c r="Y1729" s="19" t="n">
        <v>1</v>
      </c>
      <c r="Z1729" s="13">
        <f>SUMPRODUCT(N1729:Y1729,$N$2:$Y$2)*$K1729*$L1729*$M1729</f>
        <v/>
      </c>
      <c r="AA1729" s="14">
        <f>SUM(N1729:Y1729)</f>
        <v/>
      </c>
      <c r="AB1729" s="13">
        <f>SUMPRODUCT(N1729:Y1729,$N$3:$Y$3)*$K1729*$L1729*$M1729</f>
        <v/>
      </c>
      <c r="AC1729" s="13">
        <f>SUMPRODUCT(N1729:Y1729,$N$4:$Y$4)*$K1729*$L1729*$M1729</f>
        <v/>
      </c>
      <c r="AD1729" s="15" t="n">
        <v>3</v>
      </c>
      <c r="AE1729" s="11" t="n">
        <v>1.011296296296296</v>
      </c>
      <c r="AF1729" s="16">
        <f>SUMPRODUCT(N1729:Y1729,$N$5:$Y$5)*$K1729*$L1729*$M1729</f>
        <v/>
      </c>
      <c r="AG1729" s="16">
        <f>SUMPRODUCT(N1729:Y1729,$N$6:$Y$6)*$K1729*$L1729*$M1729</f>
        <v/>
      </c>
      <c r="AH1729" s="20" t="n"/>
    </row>
    <row r="1730">
      <c r="A1730" s="9" t="n">
        <v>832225</v>
      </c>
      <c r="B1730" s="9" t="inlineStr">
        <is>
          <t>Alex Breckheimer</t>
        </is>
      </c>
      <c r="C1730" s="9" t="inlineStr">
        <is>
          <t>STL</t>
        </is>
      </c>
      <c r="D1730" s="9" t="n">
        <v>25</v>
      </c>
      <c r="E1730" s="18" t="inlineStr">
        <is>
          <t>R</t>
        </is>
      </c>
      <c r="F1730" s="18" t="n"/>
      <c r="G1730" s="9" t="n">
        <v>17.2</v>
      </c>
      <c r="H1730" s="9" t="n">
        <v>17.2</v>
      </c>
      <c r="I1730" s="9" t="inlineStr">
        <is>
          <t>Depth (no MLB IP)</t>
        </is>
      </c>
      <c r="J1730" s="18" t="inlineStr">
        <is>
          <t>Opening Day</t>
        </is>
      </c>
      <c r="K1730" s="11">
        <f>IFERROR(INDEX(Roles!$B$17:$B$20,MATCH(J1730,Roles!$A$17:$A$20,0)),1)</f>
        <v/>
      </c>
      <c r="L1730" s="19" t="n">
        <v>1</v>
      </c>
      <c r="M1730" s="11" t="n">
        <v>1</v>
      </c>
      <c r="N1730" s="19" t="n"/>
      <c r="O1730" s="19" t="n"/>
      <c r="P1730" s="19" t="n"/>
      <c r="Q1730" s="19" t="n"/>
      <c r="R1730" s="19" t="n"/>
      <c r="S1730" s="19" t="n"/>
      <c r="T1730" s="19" t="n"/>
      <c r="U1730" s="19" t="n"/>
      <c r="V1730" s="19" t="n"/>
      <c r="W1730" s="19" t="n"/>
      <c r="X1730" s="19" t="n"/>
      <c r="Y1730" s="19" t="n">
        <v>1</v>
      </c>
      <c r="Z1730" s="13">
        <f>SUMPRODUCT(N1730:Y1730,$N$2:$Y$2)*$K1730*$L1730*$M1730</f>
        <v/>
      </c>
      <c r="AA1730" s="14">
        <f>SUM(N1730:Y1730)</f>
        <v/>
      </c>
      <c r="AB1730" s="13">
        <f>SUMPRODUCT(N1730:Y1730,$N$3:$Y$3)*$K1730*$L1730*$M1730</f>
        <v/>
      </c>
      <c r="AC1730" s="13">
        <f>SUMPRODUCT(N1730:Y1730,$N$4:$Y$4)*$K1730*$L1730*$M1730</f>
        <v/>
      </c>
      <c r="AD1730" s="15" t="n">
        <v>3</v>
      </c>
      <c r="AE1730" s="11" t="n">
        <v>1.011296296296296</v>
      </c>
      <c r="AF1730" s="16">
        <f>SUMPRODUCT(N1730:Y1730,$N$5:$Y$5)*$K1730*$L1730*$M1730</f>
        <v/>
      </c>
      <c r="AG1730" s="16">
        <f>SUMPRODUCT(N1730:Y1730,$N$6:$Y$6)*$K1730*$L1730*$M1730</f>
        <v/>
      </c>
      <c r="AH1730" s="20" t="n"/>
    </row>
    <row r="1731">
      <c r="A1731" s="9" t="n">
        <v>805982</v>
      </c>
      <c r="B1731" s="9" t="inlineStr">
        <is>
          <t>Daniel Nunez</t>
        </is>
      </c>
      <c r="C1731" s="9" t="inlineStr">
        <is>
          <t>ARI</t>
        </is>
      </c>
      <c r="D1731" s="9" t="n">
        <v>25</v>
      </c>
      <c r="E1731" s="18" t="inlineStr">
        <is>
          <t>R</t>
        </is>
      </c>
      <c r="F1731" s="18" t="n"/>
      <c r="G1731" s="9" t="n">
        <v>17.2</v>
      </c>
      <c r="H1731" s="9" t="n">
        <v>17.2</v>
      </c>
      <c r="I1731" s="9" t="inlineStr">
        <is>
          <t>Depth (no MLB IP)</t>
        </is>
      </c>
      <c r="J1731" s="18" t="inlineStr">
        <is>
          <t>Opening Day</t>
        </is>
      </c>
      <c r="K1731" s="11">
        <f>IFERROR(INDEX(Roles!$B$17:$B$20,MATCH(J1731,Roles!$A$17:$A$20,0)),1)</f>
        <v/>
      </c>
      <c r="L1731" s="19" t="n">
        <v>1</v>
      </c>
      <c r="M1731" s="11" t="n">
        <v>1</v>
      </c>
      <c r="N1731" s="19" t="n"/>
      <c r="O1731" s="19" t="n"/>
      <c r="P1731" s="19" t="n"/>
      <c r="Q1731" s="19" t="n"/>
      <c r="R1731" s="19" t="n"/>
      <c r="S1731" s="19" t="n"/>
      <c r="T1731" s="19" t="n"/>
      <c r="U1731" s="19" t="n"/>
      <c r="V1731" s="19" t="n"/>
      <c r="W1731" s="19" t="n"/>
      <c r="X1731" s="19" t="n"/>
      <c r="Y1731" s="19" t="n">
        <v>1</v>
      </c>
      <c r="Z1731" s="13">
        <f>SUMPRODUCT(N1731:Y1731,$N$2:$Y$2)*$K1731*$L1731*$M1731</f>
        <v/>
      </c>
      <c r="AA1731" s="14">
        <f>SUM(N1731:Y1731)</f>
        <v/>
      </c>
      <c r="AB1731" s="13">
        <f>SUMPRODUCT(N1731:Y1731,$N$3:$Y$3)*$K1731*$L1731*$M1731</f>
        <v/>
      </c>
      <c r="AC1731" s="13">
        <f>SUMPRODUCT(N1731:Y1731,$N$4:$Y$4)*$K1731*$L1731*$M1731</f>
        <v/>
      </c>
      <c r="AD1731" s="15" t="n">
        <v>3</v>
      </c>
      <c r="AE1731" s="11" t="n">
        <v>1.011296296296296</v>
      </c>
      <c r="AF1731" s="16">
        <f>SUMPRODUCT(N1731:Y1731,$N$5:$Y$5)*$K1731*$L1731*$M1731</f>
        <v/>
      </c>
      <c r="AG1731" s="16">
        <f>SUMPRODUCT(N1731:Y1731,$N$6:$Y$6)*$K1731*$L1731*$M1731</f>
        <v/>
      </c>
      <c r="AH1731" s="20" t="n"/>
    </row>
    <row r="1732">
      <c r="A1732" s="9" t="n">
        <v>805149</v>
      </c>
      <c r="B1732" s="9" t="inlineStr">
        <is>
          <t>Cody Delvecchio</t>
        </is>
      </c>
      <c r="C1732" s="9" t="inlineStr">
        <is>
          <t>SF</t>
        </is>
      </c>
      <c r="D1732" s="9" t="n">
        <v>25</v>
      </c>
      <c r="E1732" s="18" t="inlineStr">
        <is>
          <t>R</t>
        </is>
      </c>
      <c r="F1732" s="18" t="n"/>
      <c r="G1732" s="9" t="n">
        <v>17.372</v>
      </c>
      <c r="H1732" s="9" t="n">
        <v>17.372</v>
      </c>
      <c r="I1732" s="9" t="inlineStr">
        <is>
          <t>Depth (no MLB IP)</t>
        </is>
      </c>
      <c r="J1732" s="18" t="inlineStr">
        <is>
          <t>Opening Day</t>
        </is>
      </c>
      <c r="K1732" s="11">
        <f>IFERROR(INDEX(Roles!$B$17:$B$20,MATCH(J1732,Roles!$A$17:$A$20,0)),1)</f>
        <v/>
      </c>
      <c r="L1732" s="19" t="n">
        <v>1</v>
      </c>
      <c r="M1732" s="11" t="n">
        <v>1</v>
      </c>
      <c r="N1732" s="19" t="n"/>
      <c r="O1732" s="19" t="n"/>
      <c r="P1732" s="19" t="n"/>
      <c r="Q1732" s="19" t="n"/>
      <c r="R1732" s="19" t="n"/>
      <c r="S1732" s="19" t="n"/>
      <c r="T1732" s="19" t="n"/>
      <c r="U1732" s="19" t="n"/>
      <c r="V1732" s="19" t="n"/>
      <c r="W1732" s="19" t="n"/>
      <c r="X1732" s="19" t="n"/>
      <c r="Y1732" s="19" t="n">
        <v>1</v>
      </c>
      <c r="Z1732" s="13">
        <f>SUMPRODUCT(N1732:Y1732,$N$2:$Y$2)*$K1732*$L1732*$M1732</f>
        <v/>
      </c>
      <c r="AA1732" s="14">
        <f>SUM(N1732:Y1732)</f>
        <v/>
      </c>
      <c r="AB1732" s="13">
        <f>SUMPRODUCT(N1732:Y1732,$N$3:$Y$3)*$K1732*$L1732*$M1732</f>
        <v/>
      </c>
      <c r="AC1732" s="13">
        <f>SUMPRODUCT(N1732:Y1732,$N$4:$Y$4)*$K1732*$L1732*$M1732</f>
        <v/>
      </c>
      <c r="AD1732" s="15" t="n">
        <v>3</v>
      </c>
      <c r="AE1732" s="11" t="n">
        <v>1.011296296296296</v>
      </c>
      <c r="AF1732" s="16">
        <f>SUMPRODUCT(N1732:Y1732,$N$5:$Y$5)*$K1732*$L1732*$M1732</f>
        <v/>
      </c>
      <c r="AG1732" s="16">
        <f>SUMPRODUCT(N1732:Y1732,$N$6:$Y$6)*$K1732*$L1732*$M1732</f>
        <v/>
      </c>
      <c r="AH1732" s="20" t="n"/>
    </row>
    <row r="1733">
      <c r="A1733" s="9" t="n">
        <v>815679</v>
      </c>
      <c r="B1733" s="9" t="inlineStr">
        <is>
          <t>Javi Torres</t>
        </is>
      </c>
      <c r="C1733" s="9" t="inlineStr">
        <is>
          <t>CLE</t>
        </is>
      </c>
      <c r="D1733" s="9" t="n">
        <v>25</v>
      </c>
      <c r="E1733" s="18" t="inlineStr">
        <is>
          <t>R</t>
        </is>
      </c>
      <c r="F1733" s="18" t="n"/>
      <c r="G1733" s="9" t="n">
        <v>17.372</v>
      </c>
      <c r="H1733" s="9" t="n">
        <v>17.372</v>
      </c>
      <c r="I1733" s="9" t="inlineStr">
        <is>
          <t>Depth (no MLB IP)</t>
        </is>
      </c>
      <c r="J1733" s="18" t="inlineStr">
        <is>
          <t>Opening Day</t>
        </is>
      </c>
      <c r="K1733" s="11">
        <f>IFERROR(INDEX(Roles!$B$17:$B$20,MATCH(J1733,Roles!$A$17:$A$20,0)),1)</f>
        <v/>
      </c>
      <c r="L1733" s="19" t="n">
        <v>1</v>
      </c>
      <c r="M1733" s="11" t="n">
        <v>1</v>
      </c>
      <c r="N1733" s="19" t="n"/>
      <c r="O1733" s="19" t="n"/>
      <c r="P1733" s="19" t="n"/>
      <c r="Q1733" s="19" t="n"/>
      <c r="R1733" s="19" t="n"/>
      <c r="S1733" s="19" t="n"/>
      <c r="T1733" s="19" t="n"/>
      <c r="U1733" s="19" t="n"/>
      <c r="V1733" s="19" t="n"/>
      <c r="W1733" s="19" t="n"/>
      <c r="X1733" s="19" t="n"/>
      <c r="Y1733" s="19" t="n">
        <v>1</v>
      </c>
      <c r="Z1733" s="13">
        <f>SUMPRODUCT(N1733:Y1733,$N$2:$Y$2)*$K1733*$L1733*$M1733</f>
        <v/>
      </c>
      <c r="AA1733" s="14">
        <f>SUM(N1733:Y1733)</f>
        <v/>
      </c>
      <c r="AB1733" s="13">
        <f>SUMPRODUCT(N1733:Y1733,$N$3:$Y$3)*$K1733*$L1733*$M1733</f>
        <v/>
      </c>
      <c r="AC1733" s="13">
        <f>SUMPRODUCT(N1733:Y1733,$N$4:$Y$4)*$K1733*$L1733*$M1733</f>
        <v/>
      </c>
      <c r="AD1733" s="15" t="n">
        <v>3</v>
      </c>
      <c r="AE1733" s="11" t="n">
        <v>1.011296296296296</v>
      </c>
      <c r="AF1733" s="16">
        <f>SUMPRODUCT(N1733:Y1733,$N$5:$Y$5)*$K1733*$L1733*$M1733</f>
        <v/>
      </c>
      <c r="AG1733" s="16">
        <f>SUMPRODUCT(N1733:Y1733,$N$6:$Y$6)*$K1733*$L1733*$M1733</f>
        <v/>
      </c>
      <c r="AH1733" s="20" t="n"/>
    </row>
    <row r="1734">
      <c r="A1734" s="9" t="n">
        <v>700291</v>
      </c>
      <c r="B1734" s="9" t="inlineStr">
        <is>
          <t>Cesar Rojas</t>
        </is>
      </c>
      <c r="C1734" s="9" t="inlineStr">
        <is>
          <t>WSH</t>
        </is>
      </c>
      <c r="D1734" s="9" t="n">
        <v>25</v>
      </c>
      <c r="E1734" s="18" t="inlineStr">
        <is>
          <t>R</t>
        </is>
      </c>
      <c r="F1734" s="18" t="n"/>
      <c r="G1734" s="9" t="n">
        <v>17.372</v>
      </c>
      <c r="H1734" s="9" t="n">
        <v>17.372</v>
      </c>
      <c r="I1734" s="9" t="inlineStr">
        <is>
          <t>Depth (no MLB IP)</t>
        </is>
      </c>
      <c r="J1734" s="18" t="inlineStr">
        <is>
          <t>Opening Day</t>
        </is>
      </c>
      <c r="K1734" s="11">
        <f>IFERROR(INDEX(Roles!$B$17:$B$20,MATCH(J1734,Roles!$A$17:$A$20,0)),1)</f>
        <v/>
      </c>
      <c r="L1734" s="19" t="n">
        <v>1</v>
      </c>
      <c r="M1734" s="11" t="n">
        <v>1</v>
      </c>
      <c r="N1734" s="19" t="n"/>
      <c r="O1734" s="19" t="n"/>
      <c r="P1734" s="19" t="n"/>
      <c r="Q1734" s="19" t="n"/>
      <c r="R1734" s="19" t="n"/>
      <c r="S1734" s="19" t="n"/>
      <c r="T1734" s="19" t="n"/>
      <c r="U1734" s="19" t="n"/>
      <c r="V1734" s="19" t="n"/>
      <c r="W1734" s="19" t="n"/>
      <c r="X1734" s="19" t="n"/>
      <c r="Y1734" s="19" t="n">
        <v>1</v>
      </c>
      <c r="Z1734" s="13">
        <f>SUMPRODUCT(N1734:Y1734,$N$2:$Y$2)*$K1734*$L1734*$M1734</f>
        <v/>
      </c>
      <c r="AA1734" s="14">
        <f>SUM(N1734:Y1734)</f>
        <v/>
      </c>
      <c r="AB1734" s="13">
        <f>SUMPRODUCT(N1734:Y1734,$N$3:$Y$3)*$K1734*$L1734*$M1734</f>
        <v/>
      </c>
      <c r="AC1734" s="13">
        <f>SUMPRODUCT(N1734:Y1734,$N$4:$Y$4)*$K1734*$L1734*$M1734</f>
        <v/>
      </c>
      <c r="AD1734" s="15" t="n">
        <v>3</v>
      </c>
      <c r="AE1734" s="11" t="n">
        <v>1.011296296296296</v>
      </c>
      <c r="AF1734" s="16">
        <f>SUMPRODUCT(N1734:Y1734,$N$5:$Y$5)*$K1734*$L1734*$M1734</f>
        <v/>
      </c>
      <c r="AG1734" s="16">
        <f>SUMPRODUCT(N1734:Y1734,$N$6:$Y$6)*$K1734*$L1734*$M1734</f>
        <v/>
      </c>
      <c r="AH1734" s="20" t="n"/>
    </row>
    <row r="1735">
      <c r="A1735" s="9" t="n">
        <v>802243</v>
      </c>
      <c r="B1735" s="9" t="inlineStr">
        <is>
          <t>Jaiker Garcia</t>
        </is>
      </c>
      <c r="C1735" s="9" t="inlineStr">
        <is>
          <t>PIT</t>
        </is>
      </c>
      <c r="D1735" s="9" t="n">
        <v>25</v>
      </c>
      <c r="E1735" s="18" t="inlineStr">
        <is>
          <t>R</t>
        </is>
      </c>
      <c r="F1735" s="18" t="n"/>
      <c r="G1735" s="9" t="n">
        <v>17.372</v>
      </c>
      <c r="H1735" s="9" t="n">
        <v>17.372</v>
      </c>
      <c r="I1735" s="9" t="inlineStr">
        <is>
          <t>Depth (no MLB IP)</t>
        </is>
      </c>
      <c r="J1735" s="18" t="inlineStr">
        <is>
          <t>Opening Day</t>
        </is>
      </c>
      <c r="K1735" s="11">
        <f>IFERROR(INDEX(Roles!$B$17:$B$20,MATCH(J1735,Roles!$A$17:$A$20,0)),1)</f>
        <v/>
      </c>
      <c r="L1735" s="19" t="n">
        <v>1</v>
      </c>
      <c r="M1735" s="11" t="n">
        <v>1</v>
      </c>
      <c r="N1735" s="19" t="n"/>
      <c r="O1735" s="19" t="n"/>
      <c r="P1735" s="19" t="n"/>
      <c r="Q1735" s="19" t="n"/>
      <c r="R1735" s="19" t="n"/>
      <c r="S1735" s="19" t="n"/>
      <c r="T1735" s="19" t="n"/>
      <c r="U1735" s="19" t="n"/>
      <c r="V1735" s="19" t="n"/>
      <c r="W1735" s="19" t="n"/>
      <c r="X1735" s="19" t="n"/>
      <c r="Y1735" s="19" t="n">
        <v>1</v>
      </c>
      <c r="Z1735" s="13">
        <f>SUMPRODUCT(N1735:Y1735,$N$2:$Y$2)*$K1735*$L1735*$M1735</f>
        <v/>
      </c>
      <c r="AA1735" s="14">
        <f>SUM(N1735:Y1735)</f>
        <v/>
      </c>
      <c r="AB1735" s="13">
        <f>SUMPRODUCT(N1735:Y1735,$N$3:$Y$3)*$K1735*$L1735*$M1735</f>
        <v/>
      </c>
      <c r="AC1735" s="13">
        <f>SUMPRODUCT(N1735:Y1735,$N$4:$Y$4)*$K1735*$L1735*$M1735</f>
        <v/>
      </c>
      <c r="AD1735" s="15" t="n">
        <v>3</v>
      </c>
      <c r="AE1735" s="11" t="n">
        <v>1.011296296296296</v>
      </c>
      <c r="AF1735" s="16">
        <f>SUMPRODUCT(N1735:Y1735,$N$5:$Y$5)*$K1735*$L1735*$M1735</f>
        <v/>
      </c>
      <c r="AG1735" s="16">
        <f>SUMPRODUCT(N1735:Y1735,$N$6:$Y$6)*$K1735*$L1735*$M1735</f>
        <v/>
      </c>
      <c r="AH1735" s="20" t="n"/>
    </row>
    <row r="1736">
      <c r="A1736" s="9" t="n">
        <v>692290</v>
      </c>
      <c r="B1736" s="9" t="inlineStr">
        <is>
          <t>Carter Holton</t>
        </is>
      </c>
      <c r="C1736" s="9" t="inlineStr">
        <is>
          <t>ATL</t>
        </is>
      </c>
      <c r="D1736" s="9" t="n">
        <v>25</v>
      </c>
      <c r="E1736" s="18" t="inlineStr">
        <is>
          <t>L</t>
        </is>
      </c>
      <c r="F1736" s="18" t="n"/>
      <c r="G1736" s="9" t="n">
        <v>17.372</v>
      </c>
      <c r="H1736" s="9" t="n">
        <v>17.372</v>
      </c>
      <c r="I1736" s="9" t="inlineStr">
        <is>
          <t>Depth (no MLB IP)</t>
        </is>
      </c>
      <c r="J1736" s="18" t="inlineStr">
        <is>
          <t>Opening Day</t>
        </is>
      </c>
      <c r="K1736" s="11">
        <f>IFERROR(INDEX(Roles!$B$17:$B$20,MATCH(J1736,Roles!$A$17:$A$20,0)),1)</f>
        <v/>
      </c>
      <c r="L1736" s="19" t="n">
        <v>1</v>
      </c>
      <c r="M1736" s="11" t="n">
        <v>1</v>
      </c>
      <c r="N1736" s="19" t="n"/>
      <c r="O1736" s="19" t="n"/>
      <c r="P1736" s="19" t="n"/>
      <c r="Q1736" s="19" t="n"/>
      <c r="R1736" s="19" t="n"/>
      <c r="S1736" s="19" t="n"/>
      <c r="T1736" s="19" t="n"/>
      <c r="U1736" s="19" t="n"/>
      <c r="V1736" s="19" t="n"/>
      <c r="W1736" s="19" t="n"/>
      <c r="X1736" s="19" t="n"/>
      <c r="Y1736" s="19" t="n">
        <v>1</v>
      </c>
      <c r="Z1736" s="13">
        <f>SUMPRODUCT(N1736:Y1736,$N$2:$Y$2)*$K1736*$L1736*$M1736</f>
        <v/>
      </c>
      <c r="AA1736" s="14">
        <f>SUM(N1736:Y1736)</f>
        <v/>
      </c>
      <c r="AB1736" s="13">
        <f>SUMPRODUCT(N1736:Y1736,$N$3:$Y$3)*$K1736*$L1736*$M1736</f>
        <v/>
      </c>
      <c r="AC1736" s="13">
        <f>SUMPRODUCT(N1736:Y1736,$N$4:$Y$4)*$K1736*$L1736*$M1736</f>
        <v/>
      </c>
      <c r="AD1736" s="15" t="n">
        <v>3</v>
      </c>
      <c r="AE1736" s="11" t="n">
        <v>1.011296296296296</v>
      </c>
      <c r="AF1736" s="16">
        <f>SUMPRODUCT(N1736:Y1736,$N$5:$Y$5)*$K1736*$L1736*$M1736</f>
        <v/>
      </c>
      <c r="AG1736" s="16">
        <f>SUMPRODUCT(N1736:Y1736,$N$6:$Y$6)*$K1736*$L1736*$M1736</f>
        <v/>
      </c>
      <c r="AH1736" s="20" t="n"/>
    </row>
    <row r="1737">
      <c r="A1737" s="9" t="n">
        <v>808154</v>
      </c>
      <c r="B1737" s="9" t="inlineStr">
        <is>
          <t>Davidxon Lara</t>
        </is>
      </c>
      <c r="C1737" s="9" t="inlineStr">
        <is>
          <t>MIA</t>
        </is>
      </c>
      <c r="D1737" s="9" t="n">
        <v>25</v>
      </c>
      <c r="E1737" s="18" t="inlineStr">
        <is>
          <t>R</t>
        </is>
      </c>
      <c r="F1737" s="18" t="n"/>
      <c r="G1737" s="9" t="n">
        <v>17.372</v>
      </c>
      <c r="H1737" s="9" t="n">
        <v>17.372</v>
      </c>
      <c r="I1737" s="9" t="inlineStr">
        <is>
          <t>Depth (no MLB IP)</t>
        </is>
      </c>
      <c r="J1737" s="18" t="inlineStr">
        <is>
          <t>Opening Day</t>
        </is>
      </c>
      <c r="K1737" s="11">
        <f>IFERROR(INDEX(Roles!$B$17:$B$20,MATCH(J1737,Roles!$A$17:$A$20,0)),1)</f>
        <v/>
      </c>
      <c r="L1737" s="19" t="n">
        <v>1</v>
      </c>
      <c r="M1737" s="11" t="n">
        <v>1</v>
      </c>
      <c r="N1737" s="19" t="n"/>
      <c r="O1737" s="19" t="n"/>
      <c r="P1737" s="19" t="n"/>
      <c r="Q1737" s="19" t="n"/>
      <c r="R1737" s="19" t="n"/>
      <c r="S1737" s="19" t="n"/>
      <c r="T1737" s="19" t="n"/>
      <c r="U1737" s="19" t="n"/>
      <c r="V1737" s="19" t="n"/>
      <c r="W1737" s="19" t="n"/>
      <c r="X1737" s="19" t="n"/>
      <c r="Y1737" s="19" t="n">
        <v>1</v>
      </c>
      <c r="Z1737" s="13">
        <f>SUMPRODUCT(N1737:Y1737,$N$2:$Y$2)*$K1737*$L1737*$M1737</f>
        <v/>
      </c>
      <c r="AA1737" s="14">
        <f>SUM(N1737:Y1737)</f>
        <v/>
      </c>
      <c r="AB1737" s="13">
        <f>SUMPRODUCT(N1737:Y1737,$N$3:$Y$3)*$K1737*$L1737*$M1737</f>
        <v/>
      </c>
      <c r="AC1737" s="13">
        <f>SUMPRODUCT(N1737:Y1737,$N$4:$Y$4)*$K1737*$L1737*$M1737</f>
        <v/>
      </c>
      <c r="AD1737" s="15" t="n">
        <v>3</v>
      </c>
      <c r="AE1737" s="11" t="n">
        <v>1.011296296296296</v>
      </c>
      <c r="AF1737" s="16">
        <f>SUMPRODUCT(N1737:Y1737,$N$5:$Y$5)*$K1737*$L1737*$M1737</f>
        <v/>
      </c>
      <c r="AG1737" s="16">
        <f>SUMPRODUCT(N1737:Y1737,$N$6:$Y$6)*$K1737*$L1737*$M1737</f>
        <v/>
      </c>
      <c r="AH1737" s="20" t="n"/>
    </row>
    <row r="1738">
      <c r="A1738" s="9" t="n">
        <v>814803</v>
      </c>
      <c r="B1738" s="9" t="inlineStr">
        <is>
          <t>Logan Martin</t>
        </is>
      </c>
      <c r="C1738" s="9" t="inlineStr">
        <is>
          <t>SF</t>
        </is>
      </c>
      <c r="D1738" s="9" t="n">
        <v>25</v>
      </c>
      <c r="E1738" s="18" t="inlineStr">
        <is>
          <t>R</t>
        </is>
      </c>
      <c r="F1738" s="18" t="n"/>
      <c r="G1738" s="9" t="n">
        <v>17.34333333333333</v>
      </c>
      <c r="H1738" s="9" t="n">
        <v>17.34333333333333</v>
      </c>
      <c r="I1738" s="9" t="inlineStr">
        <is>
          <t>Depth (no MLB IP)</t>
        </is>
      </c>
      <c r="J1738" s="18" t="inlineStr">
        <is>
          <t>Opening Day</t>
        </is>
      </c>
      <c r="K1738" s="11">
        <f>IFERROR(INDEX(Roles!$B$17:$B$20,MATCH(J1738,Roles!$A$17:$A$20,0)),1)</f>
        <v/>
      </c>
      <c r="L1738" s="19" t="n">
        <v>1</v>
      </c>
      <c r="M1738" s="11" t="n">
        <v>1</v>
      </c>
      <c r="N1738" s="19" t="n"/>
      <c r="O1738" s="19" t="n"/>
      <c r="P1738" s="19" t="n"/>
      <c r="Q1738" s="19" t="n"/>
      <c r="R1738" s="19" t="n"/>
      <c r="S1738" s="19" t="n"/>
      <c r="T1738" s="19" t="n"/>
      <c r="U1738" s="19" t="n"/>
      <c r="V1738" s="19" t="n"/>
      <c r="W1738" s="19" t="n"/>
      <c r="X1738" s="19" t="n"/>
      <c r="Y1738" s="19" t="n">
        <v>1</v>
      </c>
      <c r="Z1738" s="13">
        <f>SUMPRODUCT(N1738:Y1738,$N$2:$Y$2)*$K1738*$L1738*$M1738</f>
        <v/>
      </c>
      <c r="AA1738" s="14">
        <f>SUM(N1738:Y1738)</f>
        <v/>
      </c>
      <c r="AB1738" s="13">
        <f>SUMPRODUCT(N1738:Y1738,$N$3:$Y$3)*$K1738*$L1738*$M1738</f>
        <v/>
      </c>
      <c r="AC1738" s="13">
        <f>SUMPRODUCT(N1738:Y1738,$N$4:$Y$4)*$K1738*$L1738*$M1738</f>
        <v/>
      </c>
      <c r="AD1738" s="15" t="n">
        <v>3</v>
      </c>
      <c r="AE1738" s="11" t="n">
        <v>1.011296296296296</v>
      </c>
      <c r="AF1738" s="16">
        <f>SUMPRODUCT(N1738:Y1738,$N$5:$Y$5)*$K1738*$L1738*$M1738</f>
        <v/>
      </c>
      <c r="AG1738" s="16">
        <f>SUMPRODUCT(N1738:Y1738,$N$6:$Y$6)*$K1738*$L1738*$M1738</f>
        <v/>
      </c>
      <c r="AH1738" s="20" t="n"/>
    </row>
    <row r="1739">
      <c r="A1739" s="9" t="n">
        <v>806998</v>
      </c>
      <c r="B1739" s="9" t="inlineStr">
        <is>
          <t>Hendry Chivilli</t>
        </is>
      </c>
      <c r="C1739" s="9" t="inlineStr">
        <is>
          <t>MIN</t>
        </is>
      </c>
      <c r="D1739" s="9" t="n">
        <v>25</v>
      </c>
      <c r="E1739" s="18" t="inlineStr">
        <is>
          <t>R</t>
        </is>
      </c>
      <c r="F1739" s="18" t="n"/>
      <c r="G1739" s="9" t="n">
        <v>17.372</v>
      </c>
      <c r="H1739" s="9" t="n">
        <v>17.372</v>
      </c>
      <c r="I1739" s="9" t="inlineStr">
        <is>
          <t>Depth (no MLB IP)</t>
        </is>
      </c>
      <c r="J1739" s="18" t="inlineStr">
        <is>
          <t>Opening Day</t>
        </is>
      </c>
      <c r="K1739" s="11">
        <f>IFERROR(INDEX(Roles!$B$17:$B$20,MATCH(J1739,Roles!$A$17:$A$20,0)),1)</f>
        <v/>
      </c>
      <c r="L1739" s="19" t="n">
        <v>1</v>
      </c>
      <c r="M1739" s="11" t="n">
        <v>1</v>
      </c>
      <c r="N1739" s="19" t="n"/>
      <c r="O1739" s="19" t="n"/>
      <c r="P1739" s="19" t="n"/>
      <c r="Q1739" s="19" t="n"/>
      <c r="R1739" s="19" t="n"/>
      <c r="S1739" s="19" t="n"/>
      <c r="T1739" s="19" t="n"/>
      <c r="U1739" s="19" t="n"/>
      <c r="V1739" s="19" t="n"/>
      <c r="W1739" s="19" t="n"/>
      <c r="X1739" s="19" t="n"/>
      <c r="Y1739" s="19" t="n">
        <v>1</v>
      </c>
      <c r="Z1739" s="13">
        <f>SUMPRODUCT(N1739:Y1739,$N$2:$Y$2)*$K1739*$L1739*$M1739</f>
        <v/>
      </c>
      <c r="AA1739" s="14">
        <f>SUM(N1739:Y1739)</f>
        <v/>
      </c>
      <c r="AB1739" s="13">
        <f>SUMPRODUCT(N1739:Y1739,$N$3:$Y$3)*$K1739*$L1739*$M1739</f>
        <v/>
      </c>
      <c r="AC1739" s="13">
        <f>SUMPRODUCT(N1739:Y1739,$N$4:$Y$4)*$K1739*$L1739*$M1739</f>
        <v/>
      </c>
      <c r="AD1739" s="15" t="n">
        <v>3</v>
      </c>
      <c r="AE1739" s="11" t="n">
        <v>1.011296296296296</v>
      </c>
      <c r="AF1739" s="16">
        <f>SUMPRODUCT(N1739:Y1739,$N$5:$Y$5)*$K1739*$L1739*$M1739</f>
        <v/>
      </c>
      <c r="AG1739" s="16">
        <f>SUMPRODUCT(N1739:Y1739,$N$6:$Y$6)*$K1739*$L1739*$M1739</f>
        <v/>
      </c>
      <c r="AH1739" s="20" t="n"/>
    </row>
    <row r="1740">
      <c r="A1740" s="9" t="n">
        <v>702279</v>
      </c>
      <c r="B1740" s="9" t="inlineStr">
        <is>
          <t>Riley Stanford</t>
        </is>
      </c>
      <c r="C1740" s="9" t="inlineStr">
        <is>
          <t>TB</t>
        </is>
      </c>
      <c r="D1740" s="9" t="n">
        <v>25</v>
      </c>
      <c r="E1740" s="18" t="inlineStr">
        <is>
          <t>R</t>
        </is>
      </c>
      <c r="F1740" s="18" t="n"/>
      <c r="G1740" s="9" t="n">
        <v>17.544</v>
      </c>
      <c r="H1740" s="9" t="n">
        <v>17.544</v>
      </c>
      <c r="I1740" s="9" t="inlineStr">
        <is>
          <t>Depth (no MLB IP)</t>
        </is>
      </c>
      <c r="J1740" s="18" t="inlineStr">
        <is>
          <t>Opening Day</t>
        </is>
      </c>
      <c r="K1740" s="11">
        <f>IFERROR(INDEX(Roles!$B$17:$B$20,MATCH(J1740,Roles!$A$17:$A$20,0)),1)</f>
        <v/>
      </c>
      <c r="L1740" s="19" t="n">
        <v>1</v>
      </c>
      <c r="M1740" s="11" t="n">
        <v>1</v>
      </c>
      <c r="N1740" s="19" t="n"/>
      <c r="O1740" s="19" t="n"/>
      <c r="P1740" s="19" t="n"/>
      <c r="Q1740" s="19" t="n"/>
      <c r="R1740" s="19" t="n"/>
      <c r="S1740" s="19" t="n"/>
      <c r="T1740" s="19" t="n"/>
      <c r="U1740" s="19" t="n"/>
      <c r="V1740" s="19" t="n"/>
      <c r="W1740" s="19" t="n"/>
      <c r="X1740" s="19" t="n"/>
      <c r="Y1740" s="19" t="n">
        <v>1</v>
      </c>
      <c r="Z1740" s="13">
        <f>SUMPRODUCT(N1740:Y1740,$N$2:$Y$2)*$K1740*$L1740*$M1740</f>
        <v/>
      </c>
      <c r="AA1740" s="14">
        <f>SUM(N1740:Y1740)</f>
        <v/>
      </c>
      <c r="AB1740" s="13">
        <f>SUMPRODUCT(N1740:Y1740,$N$3:$Y$3)*$K1740*$L1740*$M1740</f>
        <v/>
      </c>
      <c r="AC1740" s="13">
        <f>SUMPRODUCT(N1740:Y1740,$N$4:$Y$4)*$K1740*$L1740*$M1740</f>
        <v/>
      </c>
      <c r="AD1740" s="15" t="n">
        <v>3</v>
      </c>
      <c r="AE1740" s="11" t="n">
        <v>1.011296296296296</v>
      </c>
      <c r="AF1740" s="16">
        <f>SUMPRODUCT(N1740:Y1740,$N$5:$Y$5)*$K1740*$L1740*$M1740</f>
        <v/>
      </c>
      <c r="AG1740" s="16">
        <f>SUMPRODUCT(N1740:Y1740,$N$6:$Y$6)*$K1740*$L1740*$M1740</f>
        <v/>
      </c>
      <c r="AH1740" s="20" t="n"/>
    </row>
    <row r="1741">
      <c r="A1741" s="9" t="n">
        <v>835433</v>
      </c>
      <c r="B1741" s="9" t="inlineStr">
        <is>
          <t>Nathan Shinn</t>
        </is>
      </c>
      <c r="C1741" s="9" t="inlineStr">
        <is>
          <t>STL</t>
        </is>
      </c>
      <c r="D1741" s="9" t="n">
        <v>25</v>
      </c>
      <c r="E1741" s="18" t="inlineStr">
        <is>
          <t>L</t>
        </is>
      </c>
      <c r="F1741" s="18" t="n"/>
      <c r="G1741" s="9" t="n">
        <v>17.372</v>
      </c>
      <c r="H1741" s="9" t="n">
        <v>17.372</v>
      </c>
      <c r="I1741" s="9" t="inlineStr">
        <is>
          <t>Depth (no MLB IP)</t>
        </is>
      </c>
      <c r="J1741" s="18" t="inlineStr">
        <is>
          <t>Opening Day</t>
        </is>
      </c>
      <c r="K1741" s="11">
        <f>IFERROR(INDEX(Roles!$B$17:$B$20,MATCH(J1741,Roles!$A$17:$A$20,0)),1)</f>
        <v/>
      </c>
      <c r="L1741" s="19" t="n">
        <v>1</v>
      </c>
      <c r="M1741" s="11" t="n">
        <v>1</v>
      </c>
      <c r="N1741" s="19" t="n"/>
      <c r="O1741" s="19" t="n"/>
      <c r="P1741" s="19" t="n"/>
      <c r="Q1741" s="19" t="n"/>
      <c r="R1741" s="19" t="n"/>
      <c r="S1741" s="19" t="n"/>
      <c r="T1741" s="19" t="n"/>
      <c r="U1741" s="19" t="n"/>
      <c r="V1741" s="19" t="n"/>
      <c r="W1741" s="19" t="n"/>
      <c r="X1741" s="19" t="n"/>
      <c r="Y1741" s="19" t="n">
        <v>1</v>
      </c>
      <c r="Z1741" s="13">
        <f>SUMPRODUCT(N1741:Y1741,$N$2:$Y$2)*$K1741*$L1741*$M1741</f>
        <v/>
      </c>
      <c r="AA1741" s="14">
        <f>SUM(N1741:Y1741)</f>
        <v/>
      </c>
      <c r="AB1741" s="13">
        <f>SUMPRODUCT(N1741:Y1741,$N$3:$Y$3)*$K1741*$L1741*$M1741</f>
        <v/>
      </c>
      <c r="AC1741" s="13">
        <f>SUMPRODUCT(N1741:Y1741,$N$4:$Y$4)*$K1741*$L1741*$M1741</f>
        <v/>
      </c>
      <c r="AD1741" s="15" t="n">
        <v>3</v>
      </c>
      <c r="AE1741" s="11" t="n">
        <v>1.011296296296296</v>
      </c>
      <c r="AF1741" s="16">
        <f>SUMPRODUCT(N1741:Y1741,$N$5:$Y$5)*$K1741*$L1741*$M1741</f>
        <v/>
      </c>
      <c r="AG1741" s="16">
        <f>SUMPRODUCT(N1741:Y1741,$N$6:$Y$6)*$K1741*$L1741*$M1741</f>
        <v/>
      </c>
      <c r="AH1741" s="20" t="n"/>
    </row>
    <row r="1742">
      <c r="A1742" s="9" t="n">
        <v>614179</v>
      </c>
      <c r="B1742" s="9" t="inlineStr">
        <is>
          <t>José Ruiz</t>
        </is>
      </c>
      <c r="C1742" s="9" t="inlineStr">
        <is>
          <t>ATL</t>
        </is>
      </c>
      <c r="D1742" s="9" t="n">
        <v>32</v>
      </c>
      <c r="E1742" s="18" t="inlineStr">
        <is>
          <t>R</t>
        </is>
      </c>
      <c r="F1742" s="18" t="n"/>
      <c r="G1742" s="9" t="n">
        <v>79</v>
      </c>
      <c r="H1742" s="9" t="n">
        <v>768</v>
      </c>
      <c r="I1742" s="9" t="inlineStr">
        <is>
          <t>Bullpen Depth Arm</t>
        </is>
      </c>
      <c r="J1742" s="18" t="inlineStr">
        <is>
          <t>Opening Day</t>
        </is>
      </c>
      <c r="K1742" s="11">
        <f>IFERROR(INDEX(Roles!$B$17:$B$20,MATCH(J1742,Roles!$A$17:$A$20,0)),1)</f>
        <v/>
      </c>
      <c r="L1742" s="19" t="n">
        <v>1</v>
      </c>
      <c r="M1742" s="11" t="n">
        <v>1</v>
      </c>
      <c r="N1742" s="19" t="n"/>
      <c r="O1742" s="19" t="n"/>
      <c r="P1742" s="19" t="n"/>
      <c r="Q1742" s="19" t="n"/>
      <c r="R1742" s="19" t="n"/>
      <c r="S1742" s="19" t="n"/>
      <c r="T1742" s="19" t="n"/>
      <c r="U1742" s="19" t="n"/>
      <c r="V1742" s="19" t="n"/>
      <c r="W1742" s="19" t="n">
        <v>1</v>
      </c>
      <c r="X1742" s="19" t="n"/>
      <c r="Y1742" s="19" t="n"/>
      <c r="Z1742" s="13">
        <f>SUMPRODUCT(N1742:Y1742,$N$2:$Y$2)*$K1742*$L1742*$M1742</f>
        <v/>
      </c>
      <c r="AA1742" s="14">
        <f>SUM(N1742:Y1742)</f>
        <v/>
      </c>
      <c r="AB1742" s="13">
        <f>SUMPRODUCT(N1742:Y1742,$N$3:$Y$3)*$K1742*$L1742*$M1742</f>
        <v/>
      </c>
      <c r="AC1742" s="13">
        <f>SUMPRODUCT(N1742:Y1742,$N$4:$Y$4)*$K1742*$L1742*$M1742</f>
        <v/>
      </c>
      <c r="AD1742" s="15" t="n">
        <v>23.26666666666667</v>
      </c>
      <c r="AE1742" s="11" t="n">
        <v>1.11842632675966</v>
      </c>
      <c r="AF1742" s="16">
        <f>SUMPRODUCT(N1742:Y1742,$N$5:$Y$5)*$K1742*$L1742*$M1742</f>
        <v/>
      </c>
      <c r="AG1742" s="16">
        <f>SUMPRODUCT(N1742:Y1742,$N$6:$Y$6)*$K1742*$L1742*$M1742</f>
        <v/>
      </c>
      <c r="AH1742" s="20" t="n"/>
    </row>
    <row r="1743">
      <c r="A1743" s="9" t="n">
        <v>805279</v>
      </c>
      <c r="B1743" s="9" t="inlineStr">
        <is>
          <t>Jason Reitz</t>
        </is>
      </c>
      <c r="C1743" s="9" t="inlineStr">
        <is>
          <t>MIN</t>
        </is>
      </c>
      <c r="D1743" s="9" t="n">
        <v>25</v>
      </c>
      <c r="E1743" s="18" t="inlineStr">
        <is>
          <t>R</t>
        </is>
      </c>
      <c r="F1743" s="18" t="n"/>
      <c r="G1743" s="9" t="n">
        <v>17.544</v>
      </c>
      <c r="H1743" s="9" t="n">
        <v>17.544</v>
      </c>
      <c r="I1743" s="9" t="inlineStr">
        <is>
          <t>Depth (no MLB IP)</t>
        </is>
      </c>
      <c r="J1743" s="18" t="inlineStr">
        <is>
          <t>Opening Day</t>
        </is>
      </c>
      <c r="K1743" s="11">
        <f>IFERROR(INDEX(Roles!$B$17:$B$20,MATCH(J1743,Roles!$A$17:$A$20,0)),1)</f>
        <v/>
      </c>
      <c r="L1743" s="19" t="n">
        <v>1</v>
      </c>
      <c r="M1743" s="11" t="n">
        <v>1</v>
      </c>
      <c r="N1743" s="19" t="n"/>
      <c r="O1743" s="19" t="n"/>
      <c r="P1743" s="19" t="n"/>
      <c r="Q1743" s="19" t="n"/>
      <c r="R1743" s="19" t="n"/>
      <c r="S1743" s="19" t="n"/>
      <c r="T1743" s="19" t="n"/>
      <c r="U1743" s="19" t="n"/>
      <c r="V1743" s="19" t="n"/>
      <c r="W1743" s="19" t="n"/>
      <c r="X1743" s="19" t="n"/>
      <c r="Y1743" s="19" t="n">
        <v>1</v>
      </c>
      <c r="Z1743" s="13">
        <f>SUMPRODUCT(N1743:Y1743,$N$2:$Y$2)*$K1743*$L1743*$M1743</f>
        <v/>
      </c>
      <c r="AA1743" s="14">
        <f>SUM(N1743:Y1743)</f>
        <v/>
      </c>
      <c r="AB1743" s="13">
        <f>SUMPRODUCT(N1743:Y1743,$N$3:$Y$3)*$K1743*$L1743*$M1743</f>
        <v/>
      </c>
      <c r="AC1743" s="13">
        <f>SUMPRODUCT(N1743:Y1743,$N$4:$Y$4)*$K1743*$L1743*$M1743</f>
        <v/>
      </c>
      <c r="AD1743" s="15" t="n">
        <v>3</v>
      </c>
      <c r="AE1743" s="11" t="n">
        <v>1.011296296296296</v>
      </c>
      <c r="AF1743" s="16">
        <f>SUMPRODUCT(N1743:Y1743,$N$5:$Y$5)*$K1743*$L1743*$M1743</f>
        <v/>
      </c>
      <c r="AG1743" s="16">
        <f>SUMPRODUCT(N1743:Y1743,$N$6:$Y$6)*$K1743*$L1743*$M1743</f>
        <v/>
      </c>
      <c r="AH1743" s="20" t="n"/>
    </row>
    <row r="1744">
      <c r="A1744" s="9" t="n">
        <v>687817</v>
      </c>
      <c r="B1744" s="9" t="inlineStr">
        <is>
          <t>Andrew Marrero</t>
        </is>
      </c>
      <c r="C1744" s="9" t="inlineStr">
        <is>
          <t>HOU</t>
        </is>
      </c>
      <c r="D1744" s="9" t="n">
        <v>25</v>
      </c>
      <c r="E1744" s="18" t="inlineStr">
        <is>
          <t>R</t>
        </is>
      </c>
      <c r="F1744" s="18" t="n"/>
      <c r="G1744" s="9" t="n">
        <v>17.55833333333333</v>
      </c>
      <c r="H1744" s="9" t="n">
        <v>17.55833333333333</v>
      </c>
      <c r="I1744" s="9" t="inlineStr">
        <is>
          <t>Depth (no MLB IP)</t>
        </is>
      </c>
      <c r="J1744" s="18" t="inlineStr">
        <is>
          <t>Opening Day</t>
        </is>
      </c>
      <c r="K1744" s="11">
        <f>IFERROR(INDEX(Roles!$B$17:$B$20,MATCH(J1744,Roles!$A$17:$A$20,0)),1)</f>
        <v/>
      </c>
      <c r="L1744" s="19" t="n">
        <v>1</v>
      </c>
      <c r="M1744" s="11" t="n">
        <v>1</v>
      </c>
      <c r="N1744" s="19" t="n"/>
      <c r="O1744" s="19" t="n"/>
      <c r="P1744" s="19" t="n"/>
      <c r="Q1744" s="19" t="n"/>
      <c r="R1744" s="19" t="n"/>
      <c r="S1744" s="19" t="n"/>
      <c r="T1744" s="19" t="n"/>
      <c r="U1744" s="19" t="n"/>
      <c r="V1744" s="19" t="n"/>
      <c r="W1744" s="19" t="n"/>
      <c r="X1744" s="19" t="n"/>
      <c r="Y1744" s="19" t="n">
        <v>1</v>
      </c>
      <c r="Z1744" s="13">
        <f>SUMPRODUCT(N1744:Y1744,$N$2:$Y$2)*$K1744*$L1744*$M1744</f>
        <v/>
      </c>
      <c r="AA1744" s="14">
        <f>SUM(N1744:Y1744)</f>
        <v/>
      </c>
      <c r="AB1744" s="13">
        <f>SUMPRODUCT(N1744:Y1744,$N$3:$Y$3)*$K1744*$L1744*$M1744</f>
        <v/>
      </c>
      <c r="AC1744" s="13">
        <f>SUMPRODUCT(N1744:Y1744,$N$4:$Y$4)*$K1744*$L1744*$M1744</f>
        <v/>
      </c>
      <c r="AD1744" s="15" t="n">
        <v>3</v>
      </c>
      <c r="AE1744" s="11" t="n">
        <v>1.011296296296296</v>
      </c>
      <c r="AF1744" s="16">
        <f>SUMPRODUCT(N1744:Y1744,$N$5:$Y$5)*$K1744*$L1744*$M1744</f>
        <v/>
      </c>
      <c r="AG1744" s="16">
        <f>SUMPRODUCT(N1744:Y1744,$N$6:$Y$6)*$K1744*$L1744*$M1744</f>
        <v/>
      </c>
      <c r="AH1744" s="20" t="n"/>
    </row>
    <row r="1745">
      <c r="A1745" s="9" t="n">
        <v>822043</v>
      </c>
      <c r="B1745" s="9" t="inlineStr">
        <is>
          <t>Dylan Crooks</t>
        </is>
      </c>
      <c r="C1745" s="9" t="inlineStr">
        <is>
          <t>COL</t>
        </is>
      </c>
      <c r="D1745" s="9" t="n">
        <v>25</v>
      </c>
      <c r="E1745" s="18" t="inlineStr">
        <is>
          <t>R</t>
        </is>
      </c>
      <c r="F1745" s="18" t="n"/>
      <c r="G1745" s="9" t="n">
        <v>17.48666666666666</v>
      </c>
      <c r="H1745" s="9" t="n">
        <v>17.48666666666666</v>
      </c>
      <c r="I1745" s="9" t="inlineStr">
        <is>
          <t>Depth (no MLB IP)</t>
        </is>
      </c>
      <c r="J1745" s="18" t="inlineStr">
        <is>
          <t>Opening Day</t>
        </is>
      </c>
      <c r="K1745" s="11">
        <f>IFERROR(INDEX(Roles!$B$17:$B$20,MATCH(J1745,Roles!$A$17:$A$20,0)),1)</f>
        <v/>
      </c>
      <c r="L1745" s="19" t="n">
        <v>1</v>
      </c>
      <c r="M1745" s="11" t="n">
        <v>1</v>
      </c>
      <c r="N1745" s="19" t="n"/>
      <c r="O1745" s="19" t="n"/>
      <c r="P1745" s="19" t="n"/>
      <c r="Q1745" s="19" t="n"/>
      <c r="R1745" s="19" t="n"/>
      <c r="S1745" s="19" t="n"/>
      <c r="T1745" s="19" t="n"/>
      <c r="U1745" s="19" t="n"/>
      <c r="V1745" s="19" t="n"/>
      <c r="W1745" s="19" t="n"/>
      <c r="X1745" s="19" t="n"/>
      <c r="Y1745" s="19" t="n">
        <v>1</v>
      </c>
      <c r="Z1745" s="13">
        <f>SUMPRODUCT(N1745:Y1745,$N$2:$Y$2)*$K1745*$L1745*$M1745</f>
        <v/>
      </c>
      <c r="AA1745" s="14">
        <f>SUM(N1745:Y1745)</f>
        <v/>
      </c>
      <c r="AB1745" s="13">
        <f>SUMPRODUCT(N1745:Y1745,$N$3:$Y$3)*$K1745*$L1745*$M1745</f>
        <v/>
      </c>
      <c r="AC1745" s="13">
        <f>SUMPRODUCT(N1745:Y1745,$N$4:$Y$4)*$K1745*$L1745*$M1745</f>
        <v/>
      </c>
      <c r="AD1745" s="15" t="n">
        <v>3</v>
      </c>
      <c r="AE1745" s="11" t="n">
        <v>1.011296296296296</v>
      </c>
      <c r="AF1745" s="16">
        <f>SUMPRODUCT(N1745:Y1745,$N$5:$Y$5)*$K1745*$L1745*$M1745</f>
        <v/>
      </c>
      <c r="AG1745" s="16">
        <f>SUMPRODUCT(N1745:Y1745,$N$6:$Y$6)*$K1745*$L1745*$M1745</f>
        <v/>
      </c>
      <c r="AH1745" s="20" t="n"/>
    </row>
    <row r="1746">
      <c r="A1746" s="9" t="n">
        <v>701679</v>
      </c>
      <c r="B1746" s="9" t="inlineStr">
        <is>
          <t>Brody Brecht</t>
        </is>
      </c>
      <c r="C1746" s="9" t="inlineStr">
        <is>
          <t>COL</t>
        </is>
      </c>
      <c r="D1746" s="9" t="n">
        <v>25</v>
      </c>
      <c r="E1746" s="18" t="inlineStr">
        <is>
          <t>R</t>
        </is>
      </c>
      <c r="F1746" s="18" t="n"/>
      <c r="G1746" s="9" t="n">
        <v>17.77333333333334</v>
      </c>
      <c r="H1746" s="9" t="n">
        <v>17.77333333333334</v>
      </c>
      <c r="I1746" s="9" t="inlineStr">
        <is>
          <t>Depth (no MLB IP)</t>
        </is>
      </c>
      <c r="J1746" s="18" t="inlineStr">
        <is>
          <t>Opening Day</t>
        </is>
      </c>
      <c r="K1746" s="11">
        <f>IFERROR(INDEX(Roles!$B$17:$B$20,MATCH(J1746,Roles!$A$17:$A$20,0)),1)</f>
        <v/>
      </c>
      <c r="L1746" s="19" t="n">
        <v>1</v>
      </c>
      <c r="M1746" s="11" t="n">
        <v>1</v>
      </c>
      <c r="N1746" s="19" t="n"/>
      <c r="O1746" s="19" t="n"/>
      <c r="P1746" s="19" t="n"/>
      <c r="Q1746" s="19" t="n"/>
      <c r="R1746" s="19" t="n"/>
      <c r="S1746" s="19" t="n"/>
      <c r="T1746" s="19" t="n"/>
      <c r="U1746" s="19" t="n"/>
      <c r="V1746" s="19" t="n"/>
      <c r="W1746" s="19" t="n"/>
      <c r="X1746" s="19" t="n"/>
      <c r="Y1746" s="19" t="n">
        <v>1</v>
      </c>
      <c r="Z1746" s="13">
        <f>SUMPRODUCT(N1746:Y1746,$N$2:$Y$2)*$K1746*$L1746*$M1746</f>
        <v/>
      </c>
      <c r="AA1746" s="14">
        <f>SUM(N1746:Y1746)</f>
        <v/>
      </c>
      <c r="AB1746" s="13">
        <f>SUMPRODUCT(N1746:Y1746,$N$3:$Y$3)*$K1746*$L1746*$M1746</f>
        <v/>
      </c>
      <c r="AC1746" s="13">
        <f>SUMPRODUCT(N1746:Y1746,$N$4:$Y$4)*$K1746*$L1746*$M1746</f>
        <v/>
      </c>
      <c r="AD1746" s="15" t="n">
        <v>3</v>
      </c>
      <c r="AE1746" s="11" t="n">
        <v>1.011296296296296</v>
      </c>
      <c r="AF1746" s="16">
        <f>SUMPRODUCT(N1746:Y1746,$N$5:$Y$5)*$K1746*$L1746*$M1746</f>
        <v/>
      </c>
      <c r="AG1746" s="16">
        <f>SUMPRODUCT(N1746:Y1746,$N$6:$Y$6)*$K1746*$L1746*$M1746</f>
        <v/>
      </c>
      <c r="AH1746" s="20" t="n"/>
    </row>
    <row r="1747">
      <c r="A1747" s="9" t="n">
        <v>828419</v>
      </c>
      <c r="B1747" s="9" t="inlineStr">
        <is>
          <t>Brayden Heidel</t>
        </is>
      </c>
      <c r="C1747" s="9" t="inlineStr">
        <is>
          <t>TOR</t>
        </is>
      </c>
      <c r="D1747" s="9" t="n">
        <v>25</v>
      </c>
      <c r="E1747" s="18" t="inlineStr">
        <is>
          <t>R</t>
        </is>
      </c>
      <c r="F1747" s="18" t="n"/>
      <c r="G1747" s="9" t="n">
        <v>17.716</v>
      </c>
      <c r="H1747" s="9" t="n">
        <v>17.716</v>
      </c>
      <c r="I1747" s="9" t="inlineStr">
        <is>
          <t>Depth (no MLB IP)</t>
        </is>
      </c>
      <c r="J1747" s="18" t="inlineStr">
        <is>
          <t>Opening Day</t>
        </is>
      </c>
      <c r="K1747" s="11">
        <f>IFERROR(INDEX(Roles!$B$17:$B$20,MATCH(J1747,Roles!$A$17:$A$20,0)),1)</f>
        <v/>
      </c>
      <c r="L1747" s="19" t="n">
        <v>1</v>
      </c>
      <c r="M1747" s="11" t="n">
        <v>1</v>
      </c>
      <c r="N1747" s="19" t="n"/>
      <c r="O1747" s="19" t="n"/>
      <c r="P1747" s="19" t="n"/>
      <c r="Q1747" s="19" t="n"/>
      <c r="R1747" s="19" t="n"/>
      <c r="S1747" s="19" t="n"/>
      <c r="T1747" s="19" t="n"/>
      <c r="U1747" s="19" t="n"/>
      <c r="V1747" s="19" t="n"/>
      <c r="W1747" s="19" t="n"/>
      <c r="X1747" s="19" t="n"/>
      <c r="Y1747" s="19" t="n">
        <v>1</v>
      </c>
      <c r="Z1747" s="13">
        <f>SUMPRODUCT(N1747:Y1747,$N$2:$Y$2)*$K1747*$L1747*$M1747</f>
        <v/>
      </c>
      <c r="AA1747" s="14">
        <f>SUM(N1747:Y1747)</f>
        <v/>
      </c>
      <c r="AB1747" s="13">
        <f>SUMPRODUCT(N1747:Y1747,$N$3:$Y$3)*$K1747*$L1747*$M1747</f>
        <v/>
      </c>
      <c r="AC1747" s="13">
        <f>SUMPRODUCT(N1747:Y1747,$N$4:$Y$4)*$K1747*$L1747*$M1747</f>
        <v/>
      </c>
      <c r="AD1747" s="15" t="n">
        <v>3</v>
      </c>
      <c r="AE1747" s="11" t="n">
        <v>1.011296296296296</v>
      </c>
      <c r="AF1747" s="16">
        <f>SUMPRODUCT(N1747:Y1747,$N$5:$Y$5)*$K1747*$L1747*$M1747</f>
        <v/>
      </c>
      <c r="AG1747" s="16">
        <f>SUMPRODUCT(N1747:Y1747,$N$6:$Y$6)*$K1747*$L1747*$M1747</f>
        <v/>
      </c>
      <c r="AH1747" s="20" t="n"/>
    </row>
    <row r="1748">
      <c r="A1748" s="9" t="n">
        <v>823649</v>
      </c>
      <c r="B1748" s="9" t="inlineStr">
        <is>
          <t>Javier Perez</t>
        </is>
      </c>
      <c r="C1748" s="9" t="inlineStr">
        <is>
          <t>HOU</t>
        </is>
      </c>
      <c r="D1748" s="9" t="n">
        <v>25</v>
      </c>
      <c r="E1748" s="18" t="inlineStr">
        <is>
          <t>R</t>
        </is>
      </c>
      <c r="F1748" s="18" t="n"/>
      <c r="G1748" s="9" t="n">
        <v>17.77333333333334</v>
      </c>
      <c r="H1748" s="9" t="n">
        <v>17.77333333333334</v>
      </c>
      <c r="I1748" s="9" t="inlineStr">
        <is>
          <t>Depth (no MLB IP)</t>
        </is>
      </c>
      <c r="J1748" s="18" t="inlineStr">
        <is>
          <t>Opening Day</t>
        </is>
      </c>
      <c r="K1748" s="11">
        <f>IFERROR(INDEX(Roles!$B$17:$B$20,MATCH(J1748,Roles!$A$17:$A$20,0)),1)</f>
        <v/>
      </c>
      <c r="L1748" s="19" t="n">
        <v>1</v>
      </c>
      <c r="M1748" s="11" t="n">
        <v>1</v>
      </c>
      <c r="N1748" s="19" t="n"/>
      <c r="O1748" s="19" t="n"/>
      <c r="P1748" s="19" t="n"/>
      <c r="Q1748" s="19" t="n"/>
      <c r="R1748" s="19" t="n"/>
      <c r="S1748" s="19" t="n"/>
      <c r="T1748" s="19" t="n"/>
      <c r="U1748" s="19" t="n"/>
      <c r="V1748" s="19" t="n"/>
      <c r="W1748" s="19" t="n"/>
      <c r="X1748" s="19" t="n"/>
      <c r="Y1748" s="19" t="n">
        <v>1</v>
      </c>
      <c r="Z1748" s="13">
        <f>SUMPRODUCT(N1748:Y1748,$N$2:$Y$2)*$K1748*$L1748*$M1748</f>
        <v/>
      </c>
      <c r="AA1748" s="14">
        <f>SUM(N1748:Y1748)</f>
        <v/>
      </c>
      <c r="AB1748" s="13">
        <f>SUMPRODUCT(N1748:Y1748,$N$3:$Y$3)*$K1748*$L1748*$M1748</f>
        <v/>
      </c>
      <c r="AC1748" s="13">
        <f>SUMPRODUCT(N1748:Y1748,$N$4:$Y$4)*$K1748*$L1748*$M1748</f>
        <v/>
      </c>
      <c r="AD1748" s="15" t="n">
        <v>3</v>
      </c>
      <c r="AE1748" s="11" t="n">
        <v>1.011296296296296</v>
      </c>
      <c r="AF1748" s="16">
        <f>SUMPRODUCT(N1748:Y1748,$N$5:$Y$5)*$K1748*$L1748*$M1748</f>
        <v/>
      </c>
      <c r="AG1748" s="16">
        <f>SUMPRODUCT(N1748:Y1748,$N$6:$Y$6)*$K1748*$L1748*$M1748</f>
        <v/>
      </c>
      <c r="AH1748" s="20" t="n"/>
    </row>
    <row r="1749">
      <c r="A1749" s="9" t="n">
        <v>829944</v>
      </c>
      <c r="B1749" s="9" t="inlineStr">
        <is>
          <t>Diustin Mayorquin</t>
        </is>
      </c>
      <c r="C1749" s="9" t="inlineStr">
        <is>
          <t>MIL</t>
        </is>
      </c>
      <c r="D1749" s="9" t="n">
        <v>25</v>
      </c>
      <c r="E1749" s="18" t="inlineStr">
        <is>
          <t>R</t>
        </is>
      </c>
      <c r="F1749" s="18" t="n"/>
      <c r="G1749" s="9" t="n">
        <v>17.716</v>
      </c>
      <c r="H1749" s="9" t="n">
        <v>17.716</v>
      </c>
      <c r="I1749" s="9" t="inlineStr">
        <is>
          <t>Depth (no MLB IP)</t>
        </is>
      </c>
      <c r="J1749" s="18" t="inlineStr">
        <is>
          <t>Opening Day</t>
        </is>
      </c>
      <c r="K1749" s="11">
        <f>IFERROR(INDEX(Roles!$B$17:$B$20,MATCH(J1749,Roles!$A$17:$A$20,0)),1)</f>
        <v/>
      </c>
      <c r="L1749" s="19" t="n">
        <v>1</v>
      </c>
      <c r="M1749" s="11" t="n">
        <v>1</v>
      </c>
      <c r="N1749" s="19" t="n"/>
      <c r="O1749" s="19" t="n"/>
      <c r="P1749" s="19" t="n"/>
      <c r="Q1749" s="19" t="n"/>
      <c r="R1749" s="19" t="n"/>
      <c r="S1749" s="19" t="n"/>
      <c r="T1749" s="19" t="n"/>
      <c r="U1749" s="19" t="n"/>
      <c r="V1749" s="19" t="n"/>
      <c r="W1749" s="19" t="n"/>
      <c r="X1749" s="19" t="n"/>
      <c r="Y1749" s="19" t="n">
        <v>1</v>
      </c>
      <c r="Z1749" s="13">
        <f>SUMPRODUCT(N1749:Y1749,$N$2:$Y$2)*$K1749*$L1749*$M1749</f>
        <v/>
      </c>
      <c r="AA1749" s="14">
        <f>SUM(N1749:Y1749)</f>
        <v/>
      </c>
      <c r="AB1749" s="13">
        <f>SUMPRODUCT(N1749:Y1749,$N$3:$Y$3)*$K1749*$L1749*$M1749</f>
        <v/>
      </c>
      <c r="AC1749" s="13">
        <f>SUMPRODUCT(N1749:Y1749,$N$4:$Y$4)*$K1749*$L1749*$M1749</f>
        <v/>
      </c>
      <c r="AD1749" s="15" t="n">
        <v>3</v>
      </c>
      <c r="AE1749" s="11" t="n">
        <v>1.011296296296296</v>
      </c>
      <c r="AF1749" s="16">
        <f>SUMPRODUCT(N1749:Y1749,$N$5:$Y$5)*$K1749*$L1749*$M1749</f>
        <v/>
      </c>
      <c r="AG1749" s="16">
        <f>SUMPRODUCT(N1749:Y1749,$N$6:$Y$6)*$K1749*$L1749*$M1749</f>
        <v/>
      </c>
      <c r="AH1749" s="20" t="n"/>
    </row>
    <row r="1750">
      <c r="A1750" s="9" t="n">
        <v>689535</v>
      </c>
      <c r="B1750" s="9" t="inlineStr">
        <is>
          <t>Andrew Pogue</t>
        </is>
      </c>
      <c r="C1750" s="9" t="inlineStr">
        <is>
          <t>DET</t>
        </is>
      </c>
      <c r="D1750" s="9" t="n">
        <v>25</v>
      </c>
      <c r="E1750" s="18" t="inlineStr">
        <is>
          <t>R</t>
        </is>
      </c>
      <c r="F1750" s="18" t="n"/>
      <c r="G1750" s="9" t="n">
        <v>17.716</v>
      </c>
      <c r="H1750" s="9" t="n">
        <v>17.716</v>
      </c>
      <c r="I1750" s="9" t="inlineStr">
        <is>
          <t>Depth (no MLB IP)</t>
        </is>
      </c>
      <c r="J1750" s="18" t="inlineStr">
        <is>
          <t>Opening Day</t>
        </is>
      </c>
      <c r="K1750" s="11">
        <f>IFERROR(INDEX(Roles!$B$17:$B$20,MATCH(J1750,Roles!$A$17:$A$20,0)),1)</f>
        <v/>
      </c>
      <c r="L1750" s="19" t="n">
        <v>1</v>
      </c>
      <c r="M1750" s="11" t="n">
        <v>1</v>
      </c>
      <c r="N1750" s="19" t="n"/>
      <c r="O1750" s="19" t="n"/>
      <c r="P1750" s="19" t="n"/>
      <c r="Q1750" s="19" t="n"/>
      <c r="R1750" s="19" t="n"/>
      <c r="S1750" s="19" t="n"/>
      <c r="T1750" s="19" t="n"/>
      <c r="U1750" s="19" t="n"/>
      <c r="V1750" s="19" t="n"/>
      <c r="W1750" s="19" t="n"/>
      <c r="X1750" s="19" t="n"/>
      <c r="Y1750" s="19" t="n">
        <v>1</v>
      </c>
      <c r="Z1750" s="13">
        <f>SUMPRODUCT(N1750:Y1750,$N$2:$Y$2)*$K1750*$L1750*$M1750</f>
        <v/>
      </c>
      <c r="AA1750" s="14">
        <f>SUM(N1750:Y1750)</f>
        <v/>
      </c>
      <c r="AB1750" s="13">
        <f>SUMPRODUCT(N1750:Y1750,$N$3:$Y$3)*$K1750*$L1750*$M1750</f>
        <v/>
      </c>
      <c r="AC1750" s="13">
        <f>SUMPRODUCT(N1750:Y1750,$N$4:$Y$4)*$K1750*$L1750*$M1750</f>
        <v/>
      </c>
      <c r="AD1750" s="15" t="n">
        <v>3</v>
      </c>
      <c r="AE1750" s="11" t="n">
        <v>1.011296296296296</v>
      </c>
      <c r="AF1750" s="16">
        <f>SUMPRODUCT(N1750:Y1750,$N$5:$Y$5)*$K1750*$L1750*$M1750</f>
        <v/>
      </c>
      <c r="AG1750" s="16">
        <f>SUMPRODUCT(N1750:Y1750,$N$6:$Y$6)*$K1750*$L1750*$M1750</f>
        <v/>
      </c>
      <c r="AH1750" s="20" t="n"/>
    </row>
    <row r="1751">
      <c r="A1751" s="9" t="n">
        <v>679777</v>
      </c>
      <c r="B1751" s="9" t="inlineStr">
        <is>
          <t>Nick Mikolajchak</t>
        </is>
      </c>
      <c r="C1751" s="9" t="inlineStr">
        <is>
          <t>MIN</t>
        </is>
      </c>
      <c r="D1751" s="9" t="n">
        <v>25</v>
      </c>
      <c r="E1751" s="18" t="inlineStr">
        <is>
          <t>R</t>
        </is>
      </c>
      <c r="F1751" s="18" t="n"/>
      <c r="G1751" s="9" t="n">
        <v>17.55833333333333</v>
      </c>
      <c r="H1751" s="9" t="n">
        <v>17.55833333333333</v>
      </c>
      <c r="I1751" s="9" t="inlineStr">
        <is>
          <t>Depth (no MLB IP)</t>
        </is>
      </c>
      <c r="J1751" s="18" t="inlineStr">
        <is>
          <t>Opening Day</t>
        </is>
      </c>
      <c r="K1751" s="11">
        <f>IFERROR(INDEX(Roles!$B$17:$B$20,MATCH(J1751,Roles!$A$17:$A$20,0)),1)</f>
        <v/>
      </c>
      <c r="L1751" s="19" t="n">
        <v>1</v>
      </c>
      <c r="M1751" s="11" t="n">
        <v>1</v>
      </c>
      <c r="N1751" s="19" t="n"/>
      <c r="O1751" s="19" t="n"/>
      <c r="P1751" s="19" t="n"/>
      <c r="Q1751" s="19" t="n"/>
      <c r="R1751" s="19" t="n"/>
      <c r="S1751" s="19" t="n"/>
      <c r="T1751" s="19" t="n"/>
      <c r="U1751" s="19" t="n"/>
      <c r="V1751" s="19" t="n"/>
      <c r="W1751" s="19" t="n"/>
      <c r="X1751" s="19" t="n"/>
      <c r="Y1751" s="19" t="n">
        <v>1</v>
      </c>
      <c r="Z1751" s="13">
        <f>SUMPRODUCT(N1751:Y1751,$N$2:$Y$2)*$K1751*$L1751*$M1751</f>
        <v/>
      </c>
      <c r="AA1751" s="14">
        <f>SUM(N1751:Y1751)</f>
        <v/>
      </c>
      <c r="AB1751" s="13">
        <f>SUMPRODUCT(N1751:Y1751,$N$3:$Y$3)*$K1751*$L1751*$M1751</f>
        <v/>
      </c>
      <c r="AC1751" s="13">
        <f>SUMPRODUCT(N1751:Y1751,$N$4:$Y$4)*$K1751*$L1751*$M1751</f>
        <v/>
      </c>
      <c r="AD1751" s="15" t="n">
        <v>3</v>
      </c>
      <c r="AE1751" s="11" t="n">
        <v>1.011296296296296</v>
      </c>
      <c r="AF1751" s="16">
        <f>SUMPRODUCT(N1751:Y1751,$N$5:$Y$5)*$K1751*$L1751*$M1751</f>
        <v/>
      </c>
      <c r="AG1751" s="16">
        <f>SUMPRODUCT(N1751:Y1751,$N$6:$Y$6)*$K1751*$L1751*$M1751</f>
        <v/>
      </c>
      <c r="AH1751" s="20" t="n"/>
    </row>
    <row r="1752">
      <c r="A1752" s="9" t="n">
        <v>835657</v>
      </c>
      <c r="B1752" s="9" t="inlineStr">
        <is>
          <t>Jake Shelagowski</t>
        </is>
      </c>
      <c r="C1752" s="9" t="inlineStr">
        <is>
          <t>STL</t>
        </is>
      </c>
      <c r="D1752" s="9" t="n">
        <v>25</v>
      </c>
      <c r="E1752" s="18" t="inlineStr">
        <is>
          <t>R</t>
        </is>
      </c>
      <c r="F1752" s="18" t="n"/>
      <c r="G1752" s="9" t="n">
        <v>17.888</v>
      </c>
      <c r="H1752" s="9" t="n">
        <v>17.888</v>
      </c>
      <c r="I1752" s="9" t="inlineStr">
        <is>
          <t>Depth (no MLB IP)</t>
        </is>
      </c>
      <c r="J1752" s="18" t="inlineStr">
        <is>
          <t>Opening Day</t>
        </is>
      </c>
      <c r="K1752" s="11">
        <f>IFERROR(INDEX(Roles!$B$17:$B$20,MATCH(J1752,Roles!$A$17:$A$20,0)),1)</f>
        <v/>
      </c>
      <c r="L1752" s="19" t="n">
        <v>1</v>
      </c>
      <c r="M1752" s="11" t="n">
        <v>1</v>
      </c>
      <c r="N1752" s="19" t="n"/>
      <c r="O1752" s="19" t="n"/>
      <c r="P1752" s="19" t="n"/>
      <c r="Q1752" s="19" t="n"/>
      <c r="R1752" s="19" t="n"/>
      <c r="S1752" s="19" t="n"/>
      <c r="T1752" s="19" t="n"/>
      <c r="U1752" s="19" t="n"/>
      <c r="V1752" s="19" t="n"/>
      <c r="W1752" s="19" t="n"/>
      <c r="X1752" s="19" t="n"/>
      <c r="Y1752" s="19" t="n">
        <v>1</v>
      </c>
      <c r="Z1752" s="13">
        <f>SUMPRODUCT(N1752:Y1752,$N$2:$Y$2)*$K1752*$L1752*$M1752</f>
        <v/>
      </c>
      <c r="AA1752" s="14">
        <f>SUM(N1752:Y1752)</f>
        <v/>
      </c>
      <c r="AB1752" s="13">
        <f>SUMPRODUCT(N1752:Y1752,$N$3:$Y$3)*$K1752*$L1752*$M1752</f>
        <v/>
      </c>
      <c r="AC1752" s="13">
        <f>SUMPRODUCT(N1752:Y1752,$N$4:$Y$4)*$K1752*$L1752*$M1752</f>
        <v/>
      </c>
      <c r="AD1752" s="15" t="n">
        <v>3</v>
      </c>
      <c r="AE1752" s="11" t="n">
        <v>1.011296296296296</v>
      </c>
      <c r="AF1752" s="16">
        <f>SUMPRODUCT(N1752:Y1752,$N$5:$Y$5)*$K1752*$L1752*$M1752</f>
        <v/>
      </c>
      <c r="AG1752" s="16">
        <f>SUMPRODUCT(N1752:Y1752,$N$6:$Y$6)*$K1752*$L1752*$M1752</f>
        <v/>
      </c>
      <c r="AH1752" s="20" t="n"/>
    </row>
    <row r="1753">
      <c r="A1753" s="9" t="n">
        <v>804756</v>
      </c>
      <c r="B1753" s="9" t="inlineStr">
        <is>
          <t>Jacob Morrison</t>
        </is>
      </c>
      <c r="C1753" s="9" t="inlineStr">
        <is>
          <t>MIL</t>
        </is>
      </c>
      <c r="D1753" s="9" t="n">
        <v>25</v>
      </c>
      <c r="E1753" s="18" t="inlineStr">
        <is>
          <t>R</t>
        </is>
      </c>
      <c r="F1753" s="18" t="n"/>
      <c r="G1753" s="9" t="n">
        <v>17.77333333333334</v>
      </c>
      <c r="H1753" s="9" t="n">
        <v>17.77333333333334</v>
      </c>
      <c r="I1753" s="9" t="inlineStr">
        <is>
          <t>Depth (no MLB IP)</t>
        </is>
      </c>
      <c r="J1753" s="18" t="inlineStr">
        <is>
          <t>Opening Day</t>
        </is>
      </c>
      <c r="K1753" s="11">
        <f>IFERROR(INDEX(Roles!$B$17:$B$20,MATCH(J1753,Roles!$A$17:$A$20,0)),1)</f>
        <v/>
      </c>
      <c r="L1753" s="19" t="n">
        <v>1</v>
      </c>
      <c r="M1753" s="11" t="n">
        <v>1</v>
      </c>
      <c r="N1753" s="19" t="n"/>
      <c r="O1753" s="19" t="n"/>
      <c r="P1753" s="19" t="n"/>
      <c r="Q1753" s="19" t="n"/>
      <c r="R1753" s="19" t="n"/>
      <c r="S1753" s="19" t="n"/>
      <c r="T1753" s="19" t="n"/>
      <c r="U1753" s="19" t="n"/>
      <c r="V1753" s="19" t="n"/>
      <c r="W1753" s="19" t="n"/>
      <c r="X1753" s="19" t="n"/>
      <c r="Y1753" s="19" t="n">
        <v>1</v>
      </c>
      <c r="Z1753" s="13">
        <f>SUMPRODUCT(N1753:Y1753,$N$2:$Y$2)*$K1753*$L1753*$M1753</f>
        <v/>
      </c>
      <c r="AA1753" s="14">
        <f>SUM(N1753:Y1753)</f>
        <v/>
      </c>
      <c r="AB1753" s="13">
        <f>SUMPRODUCT(N1753:Y1753,$N$3:$Y$3)*$K1753*$L1753*$M1753</f>
        <v/>
      </c>
      <c r="AC1753" s="13">
        <f>SUMPRODUCT(N1753:Y1753,$N$4:$Y$4)*$K1753*$L1753*$M1753</f>
        <v/>
      </c>
      <c r="AD1753" s="15" t="n">
        <v>3</v>
      </c>
      <c r="AE1753" s="11" t="n">
        <v>1.011296296296296</v>
      </c>
      <c r="AF1753" s="16">
        <f>SUMPRODUCT(N1753:Y1753,$N$5:$Y$5)*$K1753*$L1753*$M1753</f>
        <v/>
      </c>
      <c r="AG1753" s="16">
        <f>SUMPRODUCT(N1753:Y1753,$N$6:$Y$6)*$K1753*$L1753*$M1753</f>
        <v/>
      </c>
      <c r="AH1753" s="20" t="n"/>
    </row>
    <row r="1754">
      <c r="A1754" s="9" t="n">
        <v>806094</v>
      </c>
      <c r="B1754" s="9" t="inlineStr">
        <is>
          <t>Izack Tiger</t>
        </is>
      </c>
      <c r="C1754" s="9" t="inlineStr">
        <is>
          <t>TEX</t>
        </is>
      </c>
      <c r="D1754" s="9" t="n">
        <v>25</v>
      </c>
      <c r="E1754" s="18" t="inlineStr">
        <is>
          <t>R</t>
        </is>
      </c>
      <c r="F1754" s="18" t="n"/>
      <c r="G1754" s="9" t="n">
        <v>17.77333333333334</v>
      </c>
      <c r="H1754" s="9" t="n">
        <v>17.77333333333334</v>
      </c>
      <c r="I1754" s="9" t="inlineStr">
        <is>
          <t>Depth (no MLB IP)</t>
        </is>
      </c>
      <c r="J1754" s="18" t="inlineStr">
        <is>
          <t>Opening Day</t>
        </is>
      </c>
      <c r="K1754" s="11">
        <f>IFERROR(INDEX(Roles!$B$17:$B$20,MATCH(J1754,Roles!$A$17:$A$20,0)),1)</f>
        <v/>
      </c>
      <c r="L1754" s="19" t="n">
        <v>1</v>
      </c>
      <c r="M1754" s="11" t="n">
        <v>1</v>
      </c>
      <c r="N1754" s="19" t="n"/>
      <c r="O1754" s="19" t="n"/>
      <c r="P1754" s="19" t="n"/>
      <c r="Q1754" s="19" t="n"/>
      <c r="R1754" s="19" t="n"/>
      <c r="S1754" s="19" t="n"/>
      <c r="T1754" s="19" t="n"/>
      <c r="U1754" s="19" t="n"/>
      <c r="V1754" s="19" t="n"/>
      <c r="W1754" s="19" t="n"/>
      <c r="X1754" s="19" t="n"/>
      <c r="Y1754" s="19" t="n">
        <v>1</v>
      </c>
      <c r="Z1754" s="13">
        <f>SUMPRODUCT(N1754:Y1754,$N$2:$Y$2)*$K1754*$L1754*$M1754</f>
        <v/>
      </c>
      <c r="AA1754" s="14">
        <f>SUM(N1754:Y1754)</f>
        <v/>
      </c>
      <c r="AB1754" s="13">
        <f>SUMPRODUCT(N1754:Y1754,$N$3:$Y$3)*$K1754*$L1754*$M1754</f>
        <v/>
      </c>
      <c r="AC1754" s="13">
        <f>SUMPRODUCT(N1754:Y1754,$N$4:$Y$4)*$K1754*$L1754*$M1754</f>
        <v/>
      </c>
      <c r="AD1754" s="15" t="n">
        <v>3</v>
      </c>
      <c r="AE1754" s="11" t="n">
        <v>1.011296296296296</v>
      </c>
      <c r="AF1754" s="16">
        <f>SUMPRODUCT(N1754:Y1754,$N$5:$Y$5)*$K1754*$L1754*$M1754</f>
        <v/>
      </c>
      <c r="AG1754" s="16">
        <f>SUMPRODUCT(N1754:Y1754,$N$6:$Y$6)*$K1754*$L1754*$M1754</f>
        <v/>
      </c>
      <c r="AH1754" s="20" t="n"/>
    </row>
    <row r="1755">
      <c r="A1755" s="9" t="n">
        <v>828671</v>
      </c>
      <c r="B1755" s="9" t="inlineStr">
        <is>
          <t>Brent Francisco</t>
        </is>
      </c>
      <c r="C1755" s="9" t="inlineStr">
        <is>
          <t>MIN</t>
        </is>
      </c>
      <c r="D1755" s="9" t="n">
        <v>25</v>
      </c>
      <c r="E1755" s="18" t="inlineStr">
        <is>
          <t>R</t>
        </is>
      </c>
      <c r="F1755" s="18" t="n"/>
      <c r="G1755" s="9" t="n">
        <v>17.77333333333334</v>
      </c>
      <c r="H1755" s="9" t="n">
        <v>17.77333333333334</v>
      </c>
      <c r="I1755" s="9" t="inlineStr">
        <is>
          <t>Depth (no MLB IP)</t>
        </is>
      </c>
      <c r="J1755" s="18" t="inlineStr">
        <is>
          <t>Opening Day</t>
        </is>
      </c>
      <c r="K1755" s="11">
        <f>IFERROR(INDEX(Roles!$B$17:$B$20,MATCH(J1755,Roles!$A$17:$A$20,0)),1)</f>
        <v/>
      </c>
      <c r="L1755" s="19" t="n">
        <v>1</v>
      </c>
      <c r="M1755" s="11" t="n">
        <v>1</v>
      </c>
      <c r="N1755" s="19" t="n"/>
      <c r="O1755" s="19" t="n"/>
      <c r="P1755" s="19" t="n"/>
      <c r="Q1755" s="19" t="n"/>
      <c r="R1755" s="19" t="n"/>
      <c r="S1755" s="19" t="n"/>
      <c r="T1755" s="19" t="n"/>
      <c r="U1755" s="19" t="n"/>
      <c r="V1755" s="19" t="n"/>
      <c r="W1755" s="19" t="n"/>
      <c r="X1755" s="19" t="n"/>
      <c r="Y1755" s="19" t="n">
        <v>1</v>
      </c>
      <c r="Z1755" s="13">
        <f>SUMPRODUCT(N1755:Y1755,$N$2:$Y$2)*$K1755*$L1755*$M1755</f>
        <v/>
      </c>
      <c r="AA1755" s="14">
        <f>SUM(N1755:Y1755)</f>
        <v/>
      </c>
      <c r="AB1755" s="13">
        <f>SUMPRODUCT(N1755:Y1755,$N$3:$Y$3)*$K1755*$L1755*$M1755</f>
        <v/>
      </c>
      <c r="AC1755" s="13">
        <f>SUMPRODUCT(N1755:Y1755,$N$4:$Y$4)*$K1755*$L1755*$M1755</f>
        <v/>
      </c>
      <c r="AD1755" s="15" t="n">
        <v>3</v>
      </c>
      <c r="AE1755" s="11" t="n">
        <v>1.011296296296296</v>
      </c>
      <c r="AF1755" s="16">
        <f>SUMPRODUCT(N1755:Y1755,$N$5:$Y$5)*$K1755*$L1755*$M1755</f>
        <v/>
      </c>
      <c r="AG1755" s="16">
        <f>SUMPRODUCT(N1755:Y1755,$N$6:$Y$6)*$K1755*$L1755*$M1755</f>
        <v/>
      </c>
      <c r="AH1755" s="20" t="n"/>
    </row>
    <row r="1756">
      <c r="A1756" s="9" t="n">
        <v>802996</v>
      </c>
      <c r="B1756" s="9" t="inlineStr">
        <is>
          <t>Rob Hensey</t>
        </is>
      </c>
      <c r="C1756" s="9" t="inlineStr">
        <is>
          <t>KC</t>
        </is>
      </c>
      <c r="D1756" s="9" t="n">
        <v>25</v>
      </c>
      <c r="E1756" s="18" t="inlineStr">
        <is>
          <t>L</t>
        </is>
      </c>
      <c r="F1756" s="18" t="n"/>
      <c r="G1756" s="9" t="n">
        <v>18.06</v>
      </c>
      <c r="H1756" s="9" t="n">
        <v>18.06</v>
      </c>
      <c r="I1756" s="9" t="inlineStr">
        <is>
          <t>Depth (no MLB IP)</t>
        </is>
      </c>
      <c r="J1756" s="18" t="inlineStr">
        <is>
          <t>Opening Day</t>
        </is>
      </c>
      <c r="K1756" s="11">
        <f>IFERROR(INDEX(Roles!$B$17:$B$20,MATCH(J1756,Roles!$A$17:$A$20,0)),1)</f>
        <v/>
      </c>
      <c r="L1756" s="19" t="n">
        <v>1</v>
      </c>
      <c r="M1756" s="11" t="n">
        <v>1</v>
      </c>
      <c r="N1756" s="19" t="n"/>
      <c r="O1756" s="19" t="n"/>
      <c r="P1756" s="19" t="n"/>
      <c r="Q1756" s="19" t="n"/>
      <c r="R1756" s="19" t="n"/>
      <c r="S1756" s="19" t="n"/>
      <c r="T1756" s="19" t="n"/>
      <c r="U1756" s="19" t="n"/>
      <c r="V1756" s="19" t="n"/>
      <c r="W1756" s="19" t="n"/>
      <c r="X1756" s="19" t="n"/>
      <c r="Y1756" s="19" t="n">
        <v>1</v>
      </c>
      <c r="Z1756" s="13">
        <f>SUMPRODUCT(N1756:Y1756,$N$2:$Y$2)*$K1756*$L1756*$M1756</f>
        <v/>
      </c>
      <c r="AA1756" s="14">
        <f>SUM(N1756:Y1756)</f>
        <v/>
      </c>
      <c r="AB1756" s="13">
        <f>SUMPRODUCT(N1756:Y1756,$N$3:$Y$3)*$K1756*$L1756*$M1756</f>
        <v/>
      </c>
      <c r="AC1756" s="13">
        <f>SUMPRODUCT(N1756:Y1756,$N$4:$Y$4)*$K1756*$L1756*$M1756</f>
        <v/>
      </c>
      <c r="AD1756" s="15" t="n">
        <v>3</v>
      </c>
      <c r="AE1756" s="11" t="n">
        <v>1.011296296296296</v>
      </c>
      <c r="AF1756" s="16">
        <f>SUMPRODUCT(N1756:Y1756,$N$5:$Y$5)*$K1756*$L1756*$M1756</f>
        <v/>
      </c>
      <c r="AG1756" s="16">
        <f>SUMPRODUCT(N1756:Y1756,$N$6:$Y$6)*$K1756*$L1756*$M1756</f>
        <v/>
      </c>
      <c r="AH1756" s="20" t="n"/>
    </row>
    <row r="1757">
      <c r="A1757" s="9" t="n">
        <v>700255</v>
      </c>
      <c r="B1757" s="9" t="inlineStr">
        <is>
          <t>Jacob Steinmetz</t>
        </is>
      </c>
      <c r="C1757" s="9" t="inlineStr">
        <is>
          <t>ARI</t>
        </is>
      </c>
      <c r="D1757" s="9" t="n">
        <v>25</v>
      </c>
      <c r="E1757" s="18" t="inlineStr">
        <is>
          <t>R</t>
        </is>
      </c>
      <c r="F1757" s="18" t="n"/>
      <c r="G1757" s="9" t="n">
        <v>18.06</v>
      </c>
      <c r="H1757" s="9" t="n">
        <v>18.06</v>
      </c>
      <c r="I1757" s="9" t="inlineStr">
        <is>
          <t>Depth (no MLB IP)</t>
        </is>
      </c>
      <c r="J1757" s="18" t="inlineStr">
        <is>
          <t>Opening Day</t>
        </is>
      </c>
      <c r="K1757" s="11">
        <f>IFERROR(INDEX(Roles!$B$17:$B$20,MATCH(J1757,Roles!$A$17:$A$20,0)),1)</f>
        <v/>
      </c>
      <c r="L1757" s="19" t="n">
        <v>1</v>
      </c>
      <c r="M1757" s="11" t="n">
        <v>1</v>
      </c>
      <c r="N1757" s="19" t="n"/>
      <c r="O1757" s="19" t="n"/>
      <c r="P1757" s="19" t="n"/>
      <c r="Q1757" s="19" t="n"/>
      <c r="R1757" s="19" t="n"/>
      <c r="S1757" s="19" t="n"/>
      <c r="T1757" s="19" t="n"/>
      <c r="U1757" s="19" t="n"/>
      <c r="V1757" s="19" t="n"/>
      <c r="W1757" s="19" t="n"/>
      <c r="X1757" s="19" t="n"/>
      <c r="Y1757" s="19" t="n">
        <v>1</v>
      </c>
      <c r="Z1757" s="13">
        <f>SUMPRODUCT(N1757:Y1757,$N$2:$Y$2)*$K1757*$L1757*$M1757</f>
        <v/>
      </c>
      <c r="AA1757" s="14">
        <f>SUM(N1757:Y1757)</f>
        <v/>
      </c>
      <c r="AB1757" s="13">
        <f>SUMPRODUCT(N1757:Y1757,$N$3:$Y$3)*$K1757*$L1757*$M1757</f>
        <v/>
      </c>
      <c r="AC1757" s="13">
        <f>SUMPRODUCT(N1757:Y1757,$N$4:$Y$4)*$K1757*$L1757*$M1757</f>
        <v/>
      </c>
      <c r="AD1757" s="15" t="n">
        <v>3</v>
      </c>
      <c r="AE1757" s="11" t="n">
        <v>1.011296296296296</v>
      </c>
      <c r="AF1757" s="16">
        <f>SUMPRODUCT(N1757:Y1757,$N$5:$Y$5)*$K1757*$L1757*$M1757</f>
        <v/>
      </c>
      <c r="AG1757" s="16">
        <f>SUMPRODUCT(N1757:Y1757,$N$6:$Y$6)*$K1757*$L1757*$M1757</f>
        <v/>
      </c>
      <c r="AH1757" s="20" t="n"/>
    </row>
    <row r="1758">
      <c r="A1758" s="9" t="n">
        <v>812521</v>
      </c>
      <c r="B1758" s="9" t="inlineStr">
        <is>
          <t>Joe Glassey</t>
        </is>
      </c>
      <c r="C1758" s="9" t="inlineStr">
        <is>
          <t>WSH</t>
        </is>
      </c>
      <c r="D1758" s="9" t="n">
        <v>25</v>
      </c>
      <c r="E1758" s="18" t="inlineStr">
        <is>
          <t>R</t>
        </is>
      </c>
      <c r="F1758" s="18" t="n"/>
      <c r="G1758" s="9" t="n">
        <v>18.13166666666667</v>
      </c>
      <c r="H1758" s="9" t="n">
        <v>18.13166666666667</v>
      </c>
      <c r="I1758" s="9" t="inlineStr">
        <is>
          <t>Depth (no MLB IP)</t>
        </is>
      </c>
      <c r="J1758" s="18" t="inlineStr">
        <is>
          <t>Opening Day</t>
        </is>
      </c>
      <c r="K1758" s="11">
        <f>IFERROR(INDEX(Roles!$B$17:$B$20,MATCH(J1758,Roles!$A$17:$A$20,0)),1)</f>
        <v/>
      </c>
      <c r="L1758" s="19" t="n">
        <v>1</v>
      </c>
      <c r="M1758" s="11" t="n">
        <v>1</v>
      </c>
      <c r="N1758" s="19" t="n"/>
      <c r="O1758" s="19" t="n"/>
      <c r="P1758" s="19" t="n"/>
      <c r="Q1758" s="19" t="n"/>
      <c r="R1758" s="19" t="n"/>
      <c r="S1758" s="19" t="n"/>
      <c r="T1758" s="19" t="n"/>
      <c r="U1758" s="19" t="n"/>
      <c r="V1758" s="19" t="n"/>
      <c r="W1758" s="19" t="n"/>
      <c r="X1758" s="19" t="n"/>
      <c r="Y1758" s="19" t="n">
        <v>1</v>
      </c>
      <c r="Z1758" s="13">
        <f>SUMPRODUCT(N1758:Y1758,$N$2:$Y$2)*$K1758*$L1758*$M1758</f>
        <v/>
      </c>
      <c r="AA1758" s="14">
        <f>SUM(N1758:Y1758)</f>
        <v/>
      </c>
      <c r="AB1758" s="13">
        <f>SUMPRODUCT(N1758:Y1758,$N$3:$Y$3)*$K1758*$L1758*$M1758</f>
        <v/>
      </c>
      <c r="AC1758" s="13">
        <f>SUMPRODUCT(N1758:Y1758,$N$4:$Y$4)*$K1758*$L1758*$M1758</f>
        <v/>
      </c>
      <c r="AD1758" s="15" t="n">
        <v>3</v>
      </c>
      <c r="AE1758" s="11" t="n">
        <v>1.011296296296296</v>
      </c>
      <c r="AF1758" s="16">
        <f>SUMPRODUCT(N1758:Y1758,$N$5:$Y$5)*$K1758*$L1758*$M1758</f>
        <v/>
      </c>
      <c r="AG1758" s="16">
        <f>SUMPRODUCT(N1758:Y1758,$N$6:$Y$6)*$K1758*$L1758*$M1758</f>
        <v/>
      </c>
      <c r="AH1758" s="20" t="n"/>
    </row>
    <row r="1759">
      <c r="A1759" s="9" t="n">
        <v>814291</v>
      </c>
      <c r="B1759" s="9" t="inlineStr">
        <is>
          <t>Jacob Wosinski</t>
        </is>
      </c>
      <c r="C1759" s="9" t="inlineStr">
        <is>
          <t>MIN</t>
        </is>
      </c>
      <c r="D1759" s="9" t="n">
        <v>25</v>
      </c>
      <c r="E1759" s="18" t="inlineStr">
        <is>
          <t>R</t>
        </is>
      </c>
      <c r="F1759" s="18" t="n"/>
      <c r="G1759" s="9" t="n">
        <v>18.06</v>
      </c>
      <c r="H1759" s="9" t="n">
        <v>18.06</v>
      </c>
      <c r="I1759" s="9" t="inlineStr">
        <is>
          <t>Depth (no MLB IP)</t>
        </is>
      </c>
      <c r="J1759" s="18" t="inlineStr">
        <is>
          <t>Opening Day</t>
        </is>
      </c>
      <c r="K1759" s="11">
        <f>IFERROR(INDEX(Roles!$B$17:$B$20,MATCH(J1759,Roles!$A$17:$A$20,0)),1)</f>
        <v/>
      </c>
      <c r="L1759" s="19" t="n">
        <v>1</v>
      </c>
      <c r="M1759" s="11" t="n">
        <v>1</v>
      </c>
      <c r="N1759" s="19" t="n"/>
      <c r="O1759" s="19" t="n"/>
      <c r="P1759" s="19" t="n"/>
      <c r="Q1759" s="19" t="n"/>
      <c r="R1759" s="19" t="n"/>
      <c r="S1759" s="19" t="n"/>
      <c r="T1759" s="19" t="n"/>
      <c r="U1759" s="19" t="n"/>
      <c r="V1759" s="19" t="n"/>
      <c r="W1759" s="19" t="n"/>
      <c r="X1759" s="19" t="n"/>
      <c r="Y1759" s="19" t="n">
        <v>1</v>
      </c>
      <c r="Z1759" s="13">
        <f>SUMPRODUCT(N1759:Y1759,$N$2:$Y$2)*$K1759*$L1759*$M1759</f>
        <v/>
      </c>
      <c r="AA1759" s="14">
        <f>SUM(N1759:Y1759)</f>
        <v/>
      </c>
      <c r="AB1759" s="13">
        <f>SUMPRODUCT(N1759:Y1759,$N$3:$Y$3)*$K1759*$L1759*$M1759</f>
        <v/>
      </c>
      <c r="AC1759" s="13">
        <f>SUMPRODUCT(N1759:Y1759,$N$4:$Y$4)*$K1759*$L1759*$M1759</f>
        <v/>
      </c>
      <c r="AD1759" s="15" t="n">
        <v>3</v>
      </c>
      <c r="AE1759" s="11" t="n">
        <v>1.011296296296296</v>
      </c>
      <c r="AF1759" s="16">
        <f>SUMPRODUCT(N1759:Y1759,$N$5:$Y$5)*$K1759*$L1759*$M1759</f>
        <v/>
      </c>
      <c r="AG1759" s="16">
        <f>SUMPRODUCT(N1759:Y1759,$N$6:$Y$6)*$K1759*$L1759*$M1759</f>
        <v/>
      </c>
      <c r="AH1759" s="20" t="n"/>
    </row>
    <row r="1760">
      <c r="A1760" s="9" t="n">
        <v>656368</v>
      </c>
      <c r="B1760" s="9" t="inlineStr">
        <is>
          <t>Brad Deppermann</t>
        </is>
      </c>
      <c r="C1760" s="9" t="inlineStr">
        <is>
          <t>SF</t>
        </is>
      </c>
      <c r="D1760" s="9" t="n">
        <v>25</v>
      </c>
      <c r="E1760" s="18" t="inlineStr">
        <is>
          <t>R</t>
        </is>
      </c>
      <c r="F1760" s="18" t="n"/>
      <c r="G1760" s="9" t="n">
        <v>18.06</v>
      </c>
      <c r="H1760" s="9" t="n">
        <v>18.06</v>
      </c>
      <c r="I1760" s="9" t="inlineStr">
        <is>
          <t>Depth (no MLB IP)</t>
        </is>
      </c>
      <c r="J1760" s="18" t="inlineStr">
        <is>
          <t>Opening Day</t>
        </is>
      </c>
      <c r="K1760" s="11">
        <f>IFERROR(INDEX(Roles!$B$17:$B$20,MATCH(J1760,Roles!$A$17:$A$20,0)),1)</f>
        <v/>
      </c>
      <c r="L1760" s="19" t="n">
        <v>1</v>
      </c>
      <c r="M1760" s="11" t="n">
        <v>1</v>
      </c>
      <c r="N1760" s="19" t="n"/>
      <c r="O1760" s="19" t="n"/>
      <c r="P1760" s="19" t="n"/>
      <c r="Q1760" s="19" t="n"/>
      <c r="R1760" s="19" t="n"/>
      <c r="S1760" s="19" t="n"/>
      <c r="T1760" s="19" t="n"/>
      <c r="U1760" s="19" t="n"/>
      <c r="V1760" s="19" t="n"/>
      <c r="W1760" s="19" t="n"/>
      <c r="X1760" s="19" t="n"/>
      <c r="Y1760" s="19" t="n">
        <v>1</v>
      </c>
      <c r="Z1760" s="13">
        <f>SUMPRODUCT(N1760:Y1760,$N$2:$Y$2)*$K1760*$L1760*$M1760</f>
        <v/>
      </c>
      <c r="AA1760" s="14">
        <f>SUM(N1760:Y1760)</f>
        <v/>
      </c>
      <c r="AB1760" s="13">
        <f>SUMPRODUCT(N1760:Y1760,$N$3:$Y$3)*$K1760*$L1760*$M1760</f>
        <v/>
      </c>
      <c r="AC1760" s="13">
        <f>SUMPRODUCT(N1760:Y1760,$N$4:$Y$4)*$K1760*$L1760*$M1760</f>
        <v/>
      </c>
      <c r="AD1760" s="15" t="n">
        <v>3</v>
      </c>
      <c r="AE1760" s="11" t="n">
        <v>1.011296296296296</v>
      </c>
      <c r="AF1760" s="16">
        <f>SUMPRODUCT(N1760:Y1760,$N$5:$Y$5)*$K1760*$L1760*$M1760</f>
        <v/>
      </c>
      <c r="AG1760" s="16">
        <f>SUMPRODUCT(N1760:Y1760,$N$6:$Y$6)*$K1760*$L1760*$M1760</f>
        <v/>
      </c>
      <c r="AH1760" s="20" t="n"/>
    </row>
    <row r="1761">
      <c r="A1761" s="9" t="n">
        <v>665878</v>
      </c>
      <c r="B1761" s="9" t="inlineStr">
        <is>
          <t>Janser Lara</t>
        </is>
      </c>
      <c r="C1761" s="9" t="inlineStr">
        <is>
          <t>TEX</t>
        </is>
      </c>
      <c r="D1761" s="9" t="n">
        <v>25</v>
      </c>
      <c r="E1761" s="18" t="inlineStr">
        <is>
          <t>R</t>
        </is>
      </c>
      <c r="F1761" s="18" t="n"/>
      <c r="G1761" s="9" t="n">
        <v>18.13166666666667</v>
      </c>
      <c r="H1761" s="9" t="n">
        <v>18.13166666666667</v>
      </c>
      <c r="I1761" s="9" t="inlineStr">
        <is>
          <t>Depth (no MLB IP)</t>
        </is>
      </c>
      <c r="J1761" s="18" t="inlineStr">
        <is>
          <t>Opening Day</t>
        </is>
      </c>
      <c r="K1761" s="11">
        <f>IFERROR(INDEX(Roles!$B$17:$B$20,MATCH(J1761,Roles!$A$17:$A$20,0)),1)</f>
        <v/>
      </c>
      <c r="L1761" s="19" t="n">
        <v>1</v>
      </c>
      <c r="M1761" s="11" t="n">
        <v>1</v>
      </c>
      <c r="N1761" s="19" t="n"/>
      <c r="O1761" s="19" t="n"/>
      <c r="P1761" s="19" t="n"/>
      <c r="Q1761" s="19" t="n"/>
      <c r="R1761" s="19" t="n"/>
      <c r="S1761" s="19" t="n"/>
      <c r="T1761" s="19" t="n"/>
      <c r="U1761" s="19" t="n"/>
      <c r="V1761" s="19" t="n"/>
      <c r="W1761" s="19" t="n"/>
      <c r="X1761" s="19" t="n"/>
      <c r="Y1761" s="19" t="n">
        <v>1</v>
      </c>
      <c r="Z1761" s="13">
        <f>SUMPRODUCT(N1761:Y1761,$N$2:$Y$2)*$K1761*$L1761*$M1761</f>
        <v/>
      </c>
      <c r="AA1761" s="14">
        <f>SUM(N1761:Y1761)</f>
        <v/>
      </c>
      <c r="AB1761" s="13">
        <f>SUMPRODUCT(N1761:Y1761,$N$3:$Y$3)*$K1761*$L1761*$M1761</f>
        <v/>
      </c>
      <c r="AC1761" s="13">
        <f>SUMPRODUCT(N1761:Y1761,$N$4:$Y$4)*$K1761*$L1761*$M1761</f>
        <v/>
      </c>
      <c r="AD1761" s="15" t="n">
        <v>3</v>
      </c>
      <c r="AE1761" s="11" t="n">
        <v>1.011296296296296</v>
      </c>
      <c r="AF1761" s="16">
        <f>SUMPRODUCT(N1761:Y1761,$N$5:$Y$5)*$K1761*$L1761*$M1761</f>
        <v/>
      </c>
      <c r="AG1761" s="16">
        <f>SUMPRODUCT(N1761:Y1761,$N$6:$Y$6)*$K1761*$L1761*$M1761</f>
        <v/>
      </c>
      <c r="AH1761" s="20" t="n"/>
    </row>
    <row r="1762">
      <c r="A1762" s="9" t="n">
        <v>690207</v>
      </c>
      <c r="B1762" s="9" t="inlineStr">
        <is>
          <t>Rafi Vazquez</t>
        </is>
      </c>
      <c r="C1762" s="9" t="inlineStr">
        <is>
          <t>NYM</t>
        </is>
      </c>
      <c r="D1762" s="9" t="n">
        <v>25</v>
      </c>
      <c r="E1762" s="18" t="inlineStr">
        <is>
          <t>R</t>
        </is>
      </c>
      <c r="F1762" s="18" t="n"/>
      <c r="G1762" s="9" t="n">
        <v>18.34666666666666</v>
      </c>
      <c r="H1762" s="9" t="n">
        <v>18.34666666666666</v>
      </c>
      <c r="I1762" s="9" t="inlineStr">
        <is>
          <t>Depth (no MLB IP)</t>
        </is>
      </c>
      <c r="J1762" s="18" t="inlineStr">
        <is>
          <t>Opening Day</t>
        </is>
      </c>
      <c r="K1762" s="11">
        <f>IFERROR(INDEX(Roles!$B$17:$B$20,MATCH(J1762,Roles!$A$17:$A$20,0)),1)</f>
        <v/>
      </c>
      <c r="L1762" s="19" t="n">
        <v>1</v>
      </c>
      <c r="M1762" s="11" t="n">
        <v>1</v>
      </c>
      <c r="N1762" s="19" t="n"/>
      <c r="O1762" s="19" t="n"/>
      <c r="P1762" s="19" t="n"/>
      <c r="Q1762" s="19" t="n"/>
      <c r="R1762" s="19" t="n"/>
      <c r="S1762" s="19" t="n"/>
      <c r="T1762" s="19" t="n"/>
      <c r="U1762" s="19" t="n"/>
      <c r="V1762" s="19" t="n"/>
      <c r="W1762" s="19" t="n"/>
      <c r="X1762" s="19" t="n"/>
      <c r="Y1762" s="19" t="n">
        <v>1</v>
      </c>
      <c r="Z1762" s="13">
        <f>SUMPRODUCT(N1762:Y1762,$N$2:$Y$2)*$K1762*$L1762*$M1762</f>
        <v/>
      </c>
      <c r="AA1762" s="14">
        <f>SUM(N1762:Y1762)</f>
        <v/>
      </c>
      <c r="AB1762" s="13">
        <f>SUMPRODUCT(N1762:Y1762,$N$3:$Y$3)*$K1762*$L1762*$M1762</f>
        <v/>
      </c>
      <c r="AC1762" s="13">
        <f>SUMPRODUCT(N1762:Y1762,$N$4:$Y$4)*$K1762*$L1762*$M1762</f>
        <v/>
      </c>
      <c r="AD1762" s="15" t="n">
        <v>3</v>
      </c>
      <c r="AE1762" s="11" t="n">
        <v>1.011296296296296</v>
      </c>
      <c r="AF1762" s="16">
        <f>SUMPRODUCT(N1762:Y1762,$N$5:$Y$5)*$K1762*$L1762*$M1762</f>
        <v/>
      </c>
      <c r="AG1762" s="16">
        <f>SUMPRODUCT(N1762:Y1762,$N$6:$Y$6)*$K1762*$L1762*$M1762</f>
        <v/>
      </c>
      <c r="AH1762" s="20" t="n"/>
    </row>
    <row r="1763">
      <c r="A1763" s="9" t="n">
        <v>701404</v>
      </c>
      <c r="B1763" s="9" t="inlineStr">
        <is>
          <t>Fisher Jameson</t>
        </is>
      </c>
      <c r="C1763" s="9" t="inlineStr">
        <is>
          <t>COL</t>
        </is>
      </c>
      <c r="D1763" s="9" t="n">
        <v>25</v>
      </c>
      <c r="E1763" s="18" t="inlineStr">
        <is>
          <t>R</t>
        </is>
      </c>
      <c r="F1763" s="18" t="n"/>
      <c r="G1763" s="9" t="n">
        <v>18.13166666666667</v>
      </c>
      <c r="H1763" s="9" t="n">
        <v>18.13166666666667</v>
      </c>
      <c r="I1763" s="9" t="inlineStr">
        <is>
          <t>Depth (no MLB IP)</t>
        </is>
      </c>
      <c r="J1763" s="18" t="inlineStr">
        <is>
          <t>Opening Day</t>
        </is>
      </c>
      <c r="K1763" s="11">
        <f>IFERROR(INDEX(Roles!$B$17:$B$20,MATCH(J1763,Roles!$A$17:$A$20,0)),1)</f>
        <v/>
      </c>
      <c r="L1763" s="19" t="n">
        <v>1</v>
      </c>
      <c r="M1763" s="11" t="n">
        <v>1</v>
      </c>
      <c r="N1763" s="19" t="n"/>
      <c r="O1763" s="19" t="n"/>
      <c r="P1763" s="19" t="n"/>
      <c r="Q1763" s="19" t="n"/>
      <c r="R1763" s="19" t="n"/>
      <c r="S1763" s="19" t="n"/>
      <c r="T1763" s="19" t="n"/>
      <c r="U1763" s="19" t="n"/>
      <c r="V1763" s="19" t="n"/>
      <c r="W1763" s="19" t="n"/>
      <c r="X1763" s="19" t="n"/>
      <c r="Y1763" s="19" t="n">
        <v>1</v>
      </c>
      <c r="Z1763" s="13">
        <f>SUMPRODUCT(N1763:Y1763,$N$2:$Y$2)*$K1763*$L1763*$M1763</f>
        <v/>
      </c>
      <c r="AA1763" s="14">
        <f>SUM(N1763:Y1763)</f>
        <v/>
      </c>
      <c r="AB1763" s="13">
        <f>SUMPRODUCT(N1763:Y1763,$N$3:$Y$3)*$K1763*$L1763*$M1763</f>
        <v/>
      </c>
      <c r="AC1763" s="13">
        <f>SUMPRODUCT(N1763:Y1763,$N$4:$Y$4)*$K1763*$L1763*$M1763</f>
        <v/>
      </c>
      <c r="AD1763" s="15" t="n">
        <v>3</v>
      </c>
      <c r="AE1763" s="11" t="n">
        <v>1.011296296296296</v>
      </c>
      <c r="AF1763" s="16">
        <f>SUMPRODUCT(N1763:Y1763,$N$5:$Y$5)*$K1763*$L1763*$M1763</f>
        <v/>
      </c>
      <c r="AG1763" s="16">
        <f>SUMPRODUCT(N1763:Y1763,$N$6:$Y$6)*$K1763*$L1763*$M1763</f>
        <v/>
      </c>
      <c r="AH1763" s="20" t="n"/>
    </row>
    <row r="1764">
      <c r="A1764" s="9" t="n">
        <v>804544</v>
      </c>
      <c r="B1764" s="9" t="inlineStr">
        <is>
          <t>Carson Pierce</t>
        </is>
      </c>
      <c r="C1764" s="9" t="inlineStr">
        <is>
          <t>TOR</t>
        </is>
      </c>
      <c r="D1764" s="9" t="n">
        <v>25</v>
      </c>
      <c r="E1764" s="18" t="inlineStr">
        <is>
          <t>R</t>
        </is>
      </c>
      <c r="F1764" s="18" t="n"/>
      <c r="G1764" s="9" t="n">
        <v>18.34666666666666</v>
      </c>
      <c r="H1764" s="9" t="n">
        <v>18.34666666666666</v>
      </c>
      <c r="I1764" s="9" t="inlineStr">
        <is>
          <t>Depth (no MLB IP)</t>
        </is>
      </c>
      <c r="J1764" s="18" t="inlineStr">
        <is>
          <t>Opening Day</t>
        </is>
      </c>
      <c r="K1764" s="11">
        <f>IFERROR(INDEX(Roles!$B$17:$B$20,MATCH(J1764,Roles!$A$17:$A$20,0)),1)</f>
        <v/>
      </c>
      <c r="L1764" s="19" t="n">
        <v>1</v>
      </c>
      <c r="M1764" s="11" t="n">
        <v>1</v>
      </c>
      <c r="N1764" s="19" t="n"/>
      <c r="O1764" s="19" t="n"/>
      <c r="P1764" s="19" t="n"/>
      <c r="Q1764" s="19" t="n"/>
      <c r="R1764" s="19" t="n"/>
      <c r="S1764" s="19" t="n"/>
      <c r="T1764" s="19" t="n"/>
      <c r="U1764" s="19" t="n"/>
      <c r="V1764" s="19" t="n"/>
      <c r="W1764" s="19" t="n"/>
      <c r="X1764" s="19" t="n"/>
      <c r="Y1764" s="19" t="n">
        <v>1</v>
      </c>
      <c r="Z1764" s="13">
        <f>SUMPRODUCT(N1764:Y1764,$N$2:$Y$2)*$K1764*$L1764*$M1764</f>
        <v/>
      </c>
      <c r="AA1764" s="14">
        <f>SUM(N1764:Y1764)</f>
        <v/>
      </c>
      <c r="AB1764" s="13">
        <f>SUMPRODUCT(N1764:Y1764,$N$3:$Y$3)*$K1764*$L1764*$M1764</f>
        <v/>
      </c>
      <c r="AC1764" s="13">
        <f>SUMPRODUCT(N1764:Y1764,$N$4:$Y$4)*$K1764*$L1764*$M1764</f>
        <v/>
      </c>
      <c r="AD1764" s="15" t="n">
        <v>3</v>
      </c>
      <c r="AE1764" s="11" t="n">
        <v>1.011296296296296</v>
      </c>
      <c r="AF1764" s="16">
        <f>SUMPRODUCT(N1764:Y1764,$N$5:$Y$5)*$K1764*$L1764*$M1764</f>
        <v/>
      </c>
      <c r="AG1764" s="16">
        <f>SUMPRODUCT(N1764:Y1764,$N$6:$Y$6)*$K1764*$L1764*$M1764</f>
        <v/>
      </c>
      <c r="AH1764" s="20" t="n"/>
    </row>
    <row r="1765">
      <c r="A1765" s="9" t="n">
        <v>691018</v>
      </c>
      <c r="B1765" s="9" t="inlineStr">
        <is>
          <t>Carson Swilling</t>
        </is>
      </c>
      <c r="C1765" s="9" t="inlineStr">
        <is>
          <t>SD</t>
        </is>
      </c>
      <c r="D1765" s="9" t="n">
        <v>25</v>
      </c>
      <c r="E1765" s="18" t="inlineStr">
        <is>
          <t>R</t>
        </is>
      </c>
      <c r="F1765" s="18" t="n"/>
      <c r="G1765" s="9" t="n">
        <v>18.404</v>
      </c>
      <c r="H1765" s="9" t="n">
        <v>18.404</v>
      </c>
      <c r="I1765" s="9" t="inlineStr">
        <is>
          <t>Depth (no MLB IP)</t>
        </is>
      </c>
      <c r="J1765" s="18" t="inlineStr">
        <is>
          <t>Opening Day</t>
        </is>
      </c>
      <c r="K1765" s="11">
        <f>IFERROR(INDEX(Roles!$B$17:$B$20,MATCH(J1765,Roles!$A$17:$A$20,0)),1)</f>
        <v/>
      </c>
      <c r="L1765" s="19" t="n">
        <v>1</v>
      </c>
      <c r="M1765" s="11" t="n">
        <v>1</v>
      </c>
      <c r="N1765" s="19" t="n"/>
      <c r="O1765" s="19" t="n"/>
      <c r="P1765" s="19" t="n"/>
      <c r="Q1765" s="19" t="n"/>
      <c r="R1765" s="19" t="n"/>
      <c r="S1765" s="19" t="n"/>
      <c r="T1765" s="19" t="n"/>
      <c r="U1765" s="19" t="n"/>
      <c r="V1765" s="19" t="n"/>
      <c r="W1765" s="19" t="n"/>
      <c r="X1765" s="19" t="n"/>
      <c r="Y1765" s="19" t="n">
        <v>1</v>
      </c>
      <c r="Z1765" s="13">
        <f>SUMPRODUCT(N1765:Y1765,$N$2:$Y$2)*$K1765*$L1765*$M1765</f>
        <v/>
      </c>
      <c r="AA1765" s="14">
        <f>SUM(N1765:Y1765)</f>
        <v/>
      </c>
      <c r="AB1765" s="13">
        <f>SUMPRODUCT(N1765:Y1765,$N$3:$Y$3)*$K1765*$L1765*$M1765</f>
        <v/>
      </c>
      <c r="AC1765" s="13">
        <f>SUMPRODUCT(N1765:Y1765,$N$4:$Y$4)*$K1765*$L1765*$M1765</f>
        <v/>
      </c>
      <c r="AD1765" s="15" t="n">
        <v>3</v>
      </c>
      <c r="AE1765" s="11" t="n">
        <v>1.011296296296296</v>
      </c>
      <c r="AF1765" s="16">
        <f>SUMPRODUCT(N1765:Y1765,$N$5:$Y$5)*$K1765*$L1765*$M1765</f>
        <v/>
      </c>
      <c r="AG1765" s="16">
        <f>SUMPRODUCT(N1765:Y1765,$N$6:$Y$6)*$K1765*$L1765*$M1765</f>
        <v/>
      </c>
      <c r="AH1765" s="20" t="n"/>
    </row>
    <row r="1766">
      <c r="A1766" s="9" t="n">
        <v>605218</v>
      </c>
      <c r="B1766" s="9" t="inlineStr">
        <is>
          <t>Carl Edwards Jr.</t>
        </is>
      </c>
      <c r="C1766" s="9" t="inlineStr">
        <is>
          <t>NYM</t>
        </is>
      </c>
      <c r="D1766" s="9" t="n">
        <v>35</v>
      </c>
      <c r="E1766" s="18" t="inlineStr">
        <is>
          <t>R</t>
        </is>
      </c>
      <c r="F1766" s="18" t="n"/>
      <c r="G1766" s="9" t="n">
        <v>25</v>
      </c>
      <c r="H1766" s="9" t="n">
        <v>450</v>
      </c>
      <c r="I1766" s="9" t="inlineStr">
        <is>
          <t>Bullpen Depth Arm</t>
        </is>
      </c>
      <c r="J1766" s="18" t="inlineStr">
        <is>
          <t>Opening Day</t>
        </is>
      </c>
      <c r="K1766" s="11">
        <f>IFERROR(INDEX(Roles!$B$17:$B$20,MATCH(J1766,Roles!$A$17:$A$20,0)),1)</f>
        <v/>
      </c>
      <c r="L1766" s="19" t="n">
        <v>1</v>
      </c>
      <c r="M1766" s="11" t="n">
        <v>1</v>
      </c>
      <c r="N1766" s="19" t="n"/>
      <c r="O1766" s="19" t="n"/>
      <c r="P1766" s="19" t="n"/>
      <c r="Q1766" s="19" t="n"/>
      <c r="R1766" s="19" t="n"/>
      <c r="S1766" s="19" t="n"/>
      <c r="T1766" s="19" t="n"/>
      <c r="U1766" s="19" t="n"/>
      <c r="V1766" s="19" t="n"/>
      <c r="W1766" s="19" t="n">
        <v>1</v>
      </c>
      <c r="X1766" s="19" t="n"/>
      <c r="Y1766" s="19" t="n"/>
      <c r="Z1766" s="13">
        <f>SUMPRODUCT(N1766:Y1766,$N$2:$Y$2)*$K1766*$L1766*$M1766</f>
        <v/>
      </c>
      <c r="AA1766" s="14">
        <f>SUM(N1766:Y1766)</f>
        <v/>
      </c>
      <c r="AB1766" s="13">
        <f>SUMPRODUCT(N1766:Y1766,$N$3:$Y$3)*$K1766*$L1766*$M1766</f>
        <v/>
      </c>
      <c r="AC1766" s="13">
        <f>SUMPRODUCT(N1766:Y1766,$N$4:$Y$4)*$K1766*$L1766*$M1766</f>
        <v/>
      </c>
      <c r="AD1766" s="15" t="n">
        <v>7.166666666666666</v>
      </c>
      <c r="AE1766" s="11" t="n">
        <v>1.468173801507135</v>
      </c>
      <c r="AF1766" s="16">
        <f>SUMPRODUCT(N1766:Y1766,$N$5:$Y$5)*$K1766*$L1766*$M1766</f>
        <v/>
      </c>
      <c r="AG1766" s="16">
        <f>SUMPRODUCT(N1766:Y1766,$N$6:$Y$6)*$K1766*$L1766*$M1766</f>
        <v/>
      </c>
      <c r="AH1766" s="20" t="n"/>
    </row>
    <row r="1767">
      <c r="A1767" s="9" t="n">
        <v>808383</v>
      </c>
      <c r="B1767" s="9" t="inlineStr">
        <is>
          <t>Kelvis Salcedo</t>
        </is>
      </c>
      <c r="C1767" s="9" t="inlineStr">
        <is>
          <t>DET</t>
        </is>
      </c>
      <c r="D1767" s="9" t="n">
        <v>25</v>
      </c>
      <c r="E1767" s="18" t="inlineStr">
        <is>
          <t>R</t>
        </is>
      </c>
      <c r="F1767" s="18" t="n"/>
      <c r="G1767" s="9" t="n">
        <v>18.404</v>
      </c>
      <c r="H1767" s="9" t="n">
        <v>18.404</v>
      </c>
      <c r="I1767" s="9" t="inlineStr">
        <is>
          <t>Depth (no MLB IP)</t>
        </is>
      </c>
      <c r="J1767" s="18" t="inlineStr">
        <is>
          <t>Opening Day</t>
        </is>
      </c>
      <c r="K1767" s="11">
        <f>IFERROR(INDEX(Roles!$B$17:$B$20,MATCH(J1767,Roles!$A$17:$A$20,0)),1)</f>
        <v/>
      </c>
      <c r="L1767" s="19" t="n">
        <v>1</v>
      </c>
      <c r="M1767" s="11" t="n">
        <v>1</v>
      </c>
      <c r="N1767" s="19" t="n"/>
      <c r="O1767" s="19" t="n"/>
      <c r="P1767" s="19" t="n"/>
      <c r="Q1767" s="19" t="n"/>
      <c r="R1767" s="19" t="n"/>
      <c r="S1767" s="19" t="n"/>
      <c r="T1767" s="19" t="n"/>
      <c r="U1767" s="19" t="n"/>
      <c r="V1767" s="19" t="n"/>
      <c r="W1767" s="19" t="n"/>
      <c r="X1767" s="19" t="n"/>
      <c r="Y1767" s="19" t="n">
        <v>1</v>
      </c>
      <c r="Z1767" s="13">
        <f>SUMPRODUCT(N1767:Y1767,$N$2:$Y$2)*$K1767*$L1767*$M1767</f>
        <v/>
      </c>
      <c r="AA1767" s="14">
        <f>SUM(N1767:Y1767)</f>
        <v/>
      </c>
      <c r="AB1767" s="13">
        <f>SUMPRODUCT(N1767:Y1767,$N$3:$Y$3)*$K1767*$L1767*$M1767</f>
        <v/>
      </c>
      <c r="AC1767" s="13">
        <f>SUMPRODUCT(N1767:Y1767,$N$4:$Y$4)*$K1767*$L1767*$M1767</f>
        <v/>
      </c>
      <c r="AD1767" s="15" t="n">
        <v>3</v>
      </c>
      <c r="AE1767" s="11" t="n">
        <v>1.011296296296296</v>
      </c>
      <c r="AF1767" s="16">
        <f>SUMPRODUCT(N1767:Y1767,$N$5:$Y$5)*$K1767*$L1767*$M1767</f>
        <v/>
      </c>
      <c r="AG1767" s="16">
        <f>SUMPRODUCT(N1767:Y1767,$N$6:$Y$6)*$K1767*$L1767*$M1767</f>
        <v/>
      </c>
      <c r="AH1767" s="20" t="n"/>
    </row>
    <row r="1768">
      <c r="A1768" s="9" t="n">
        <v>834581</v>
      </c>
      <c r="B1768" s="9" t="inlineStr">
        <is>
          <t>Blake Morgan</t>
        </is>
      </c>
      <c r="C1768" s="9" t="inlineStr">
        <is>
          <t>TB</t>
        </is>
      </c>
      <c r="D1768" s="9" t="n">
        <v>25</v>
      </c>
      <c r="E1768" s="18" t="inlineStr">
        <is>
          <t>L</t>
        </is>
      </c>
      <c r="F1768" s="18" t="n"/>
      <c r="G1768" s="9" t="n">
        <v>18.34666666666666</v>
      </c>
      <c r="H1768" s="9" t="n">
        <v>18.34666666666666</v>
      </c>
      <c r="I1768" s="9" t="inlineStr">
        <is>
          <t>Depth (no MLB IP)</t>
        </is>
      </c>
      <c r="J1768" s="18" t="inlineStr">
        <is>
          <t>Opening Day</t>
        </is>
      </c>
      <c r="K1768" s="11">
        <f>IFERROR(INDEX(Roles!$B$17:$B$20,MATCH(J1768,Roles!$A$17:$A$20,0)),1)</f>
        <v/>
      </c>
      <c r="L1768" s="19" t="n">
        <v>1</v>
      </c>
      <c r="M1768" s="11" t="n">
        <v>1</v>
      </c>
      <c r="N1768" s="19" t="n"/>
      <c r="O1768" s="19" t="n"/>
      <c r="P1768" s="19" t="n"/>
      <c r="Q1768" s="19" t="n"/>
      <c r="R1768" s="19" t="n"/>
      <c r="S1768" s="19" t="n"/>
      <c r="T1768" s="19" t="n"/>
      <c r="U1768" s="19" t="n"/>
      <c r="V1768" s="19" t="n"/>
      <c r="W1768" s="19" t="n"/>
      <c r="X1768" s="19" t="n"/>
      <c r="Y1768" s="19" t="n">
        <v>1</v>
      </c>
      <c r="Z1768" s="13">
        <f>SUMPRODUCT(N1768:Y1768,$N$2:$Y$2)*$K1768*$L1768*$M1768</f>
        <v/>
      </c>
      <c r="AA1768" s="14">
        <f>SUM(N1768:Y1768)</f>
        <v/>
      </c>
      <c r="AB1768" s="13">
        <f>SUMPRODUCT(N1768:Y1768,$N$3:$Y$3)*$K1768*$L1768*$M1768</f>
        <v/>
      </c>
      <c r="AC1768" s="13">
        <f>SUMPRODUCT(N1768:Y1768,$N$4:$Y$4)*$K1768*$L1768*$M1768</f>
        <v/>
      </c>
      <c r="AD1768" s="15" t="n">
        <v>3</v>
      </c>
      <c r="AE1768" s="11" t="n">
        <v>1.011296296296296</v>
      </c>
      <c r="AF1768" s="16">
        <f>SUMPRODUCT(N1768:Y1768,$N$5:$Y$5)*$K1768*$L1768*$M1768</f>
        <v/>
      </c>
      <c r="AG1768" s="16">
        <f>SUMPRODUCT(N1768:Y1768,$N$6:$Y$6)*$K1768*$L1768*$M1768</f>
        <v/>
      </c>
      <c r="AH1768" s="20" t="n"/>
    </row>
    <row r="1769">
      <c r="A1769" s="9" t="n">
        <v>804986</v>
      </c>
      <c r="B1769" s="9" t="inlineStr">
        <is>
          <t>Andrew Healy</t>
        </is>
      </c>
      <c r="C1769" s="9" t="inlineStr">
        <is>
          <t>MIL</t>
        </is>
      </c>
      <c r="D1769" s="9" t="n">
        <v>25</v>
      </c>
      <c r="E1769" s="18" t="inlineStr">
        <is>
          <t>L</t>
        </is>
      </c>
      <c r="F1769" s="18" t="n"/>
      <c r="G1769" s="9" t="n">
        <v>18.34666666666666</v>
      </c>
      <c r="H1769" s="9" t="n">
        <v>18.34666666666666</v>
      </c>
      <c r="I1769" s="9" t="inlineStr">
        <is>
          <t>Depth (no MLB IP)</t>
        </is>
      </c>
      <c r="J1769" s="18" t="inlineStr">
        <is>
          <t>Opening Day</t>
        </is>
      </c>
      <c r="K1769" s="11">
        <f>IFERROR(INDEX(Roles!$B$17:$B$20,MATCH(J1769,Roles!$A$17:$A$20,0)),1)</f>
        <v/>
      </c>
      <c r="L1769" s="19" t="n">
        <v>1</v>
      </c>
      <c r="M1769" s="11" t="n">
        <v>1</v>
      </c>
      <c r="N1769" s="19" t="n"/>
      <c r="O1769" s="19" t="n"/>
      <c r="P1769" s="19" t="n"/>
      <c r="Q1769" s="19" t="n"/>
      <c r="R1769" s="19" t="n"/>
      <c r="S1769" s="19" t="n"/>
      <c r="T1769" s="19" t="n"/>
      <c r="U1769" s="19" t="n"/>
      <c r="V1769" s="19" t="n"/>
      <c r="W1769" s="19" t="n"/>
      <c r="X1769" s="19" t="n"/>
      <c r="Y1769" s="19" t="n">
        <v>1</v>
      </c>
      <c r="Z1769" s="13">
        <f>SUMPRODUCT(N1769:Y1769,$N$2:$Y$2)*$K1769*$L1769*$M1769</f>
        <v/>
      </c>
      <c r="AA1769" s="14">
        <f>SUM(N1769:Y1769)</f>
        <v/>
      </c>
      <c r="AB1769" s="13">
        <f>SUMPRODUCT(N1769:Y1769,$N$3:$Y$3)*$K1769*$L1769*$M1769</f>
        <v/>
      </c>
      <c r="AC1769" s="13">
        <f>SUMPRODUCT(N1769:Y1769,$N$4:$Y$4)*$K1769*$L1769*$M1769</f>
        <v/>
      </c>
      <c r="AD1769" s="15" t="n">
        <v>3</v>
      </c>
      <c r="AE1769" s="11" t="n">
        <v>1.011296296296296</v>
      </c>
      <c r="AF1769" s="16">
        <f>SUMPRODUCT(N1769:Y1769,$N$5:$Y$5)*$K1769*$L1769*$M1769</f>
        <v/>
      </c>
      <c r="AG1769" s="16">
        <f>SUMPRODUCT(N1769:Y1769,$N$6:$Y$6)*$K1769*$L1769*$M1769</f>
        <v/>
      </c>
      <c r="AH1769" s="20" t="n"/>
    </row>
    <row r="1770">
      <c r="A1770" s="9" t="n">
        <v>691196</v>
      </c>
      <c r="B1770" s="9" t="inlineStr">
        <is>
          <t>Josh Hejka</t>
        </is>
      </c>
      <c r="C1770" s="9" t="inlineStr">
        <is>
          <t>MIA</t>
        </is>
      </c>
      <c r="D1770" s="9" t="n">
        <v>25</v>
      </c>
      <c r="E1770" s="18" t="inlineStr">
        <is>
          <t>R</t>
        </is>
      </c>
      <c r="F1770" s="18" t="n"/>
      <c r="G1770" s="9" t="n">
        <v>18.13166666666667</v>
      </c>
      <c r="H1770" s="9" t="n">
        <v>18.13166666666667</v>
      </c>
      <c r="I1770" s="9" t="inlineStr">
        <is>
          <t>Depth (no MLB IP)</t>
        </is>
      </c>
      <c r="J1770" s="18" t="inlineStr">
        <is>
          <t>Opening Day</t>
        </is>
      </c>
      <c r="K1770" s="11">
        <f>IFERROR(INDEX(Roles!$B$17:$B$20,MATCH(J1770,Roles!$A$17:$A$20,0)),1)</f>
        <v/>
      </c>
      <c r="L1770" s="19" t="n">
        <v>1</v>
      </c>
      <c r="M1770" s="11" t="n">
        <v>1</v>
      </c>
      <c r="N1770" s="19" t="n"/>
      <c r="O1770" s="19" t="n"/>
      <c r="P1770" s="19" t="n"/>
      <c r="Q1770" s="19" t="n"/>
      <c r="R1770" s="19" t="n"/>
      <c r="S1770" s="19" t="n"/>
      <c r="T1770" s="19" t="n"/>
      <c r="U1770" s="19" t="n"/>
      <c r="V1770" s="19" t="n"/>
      <c r="W1770" s="19" t="n"/>
      <c r="X1770" s="19" t="n"/>
      <c r="Y1770" s="19" t="n">
        <v>1</v>
      </c>
      <c r="Z1770" s="13">
        <f>SUMPRODUCT(N1770:Y1770,$N$2:$Y$2)*$K1770*$L1770*$M1770</f>
        <v/>
      </c>
      <c r="AA1770" s="14">
        <f>SUM(N1770:Y1770)</f>
        <v/>
      </c>
      <c r="AB1770" s="13">
        <f>SUMPRODUCT(N1770:Y1770,$N$3:$Y$3)*$K1770*$L1770*$M1770</f>
        <v/>
      </c>
      <c r="AC1770" s="13">
        <f>SUMPRODUCT(N1770:Y1770,$N$4:$Y$4)*$K1770*$L1770*$M1770</f>
        <v/>
      </c>
      <c r="AD1770" s="15" t="n">
        <v>3</v>
      </c>
      <c r="AE1770" s="11" t="n">
        <v>1.011296296296296</v>
      </c>
      <c r="AF1770" s="16">
        <f>SUMPRODUCT(N1770:Y1770,$N$5:$Y$5)*$K1770*$L1770*$M1770</f>
        <v/>
      </c>
      <c r="AG1770" s="16">
        <f>SUMPRODUCT(N1770:Y1770,$N$6:$Y$6)*$K1770*$L1770*$M1770</f>
        <v/>
      </c>
      <c r="AH1770" s="20" t="n"/>
    </row>
    <row r="1771">
      <c r="A1771" s="9" t="n">
        <v>800435</v>
      </c>
      <c r="B1771" s="9" t="inlineStr">
        <is>
          <t>Diego Dominguez</t>
        </is>
      </c>
      <c r="C1771" s="9" t="inlineStr">
        <is>
          <t>TOR</t>
        </is>
      </c>
      <c r="D1771" s="9" t="n">
        <v>25</v>
      </c>
      <c r="E1771" s="18" t="inlineStr">
        <is>
          <t>R</t>
        </is>
      </c>
      <c r="F1771" s="18" t="n"/>
      <c r="G1771" s="9" t="n">
        <v>18.404</v>
      </c>
      <c r="H1771" s="9" t="n">
        <v>18.404</v>
      </c>
      <c r="I1771" s="9" t="inlineStr">
        <is>
          <t>Depth (no MLB IP)</t>
        </is>
      </c>
      <c r="J1771" s="18" t="inlineStr">
        <is>
          <t>Opening Day</t>
        </is>
      </c>
      <c r="K1771" s="11">
        <f>IFERROR(INDEX(Roles!$B$17:$B$20,MATCH(J1771,Roles!$A$17:$A$20,0)),1)</f>
        <v/>
      </c>
      <c r="L1771" s="19" t="n">
        <v>1</v>
      </c>
      <c r="M1771" s="11" t="n">
        <v>1</v>
      </c>
      <c r="N1771" s="19" t="n"/>
      <c r="O1771" s="19" t="n"/>
      <c r="P1771" s="19" t="n"/>
      <c r="Q1771" s="19" t="n"/>
      <c r="R1771" s="19" t="n"/>
      <c r="S1771" s="19" t="n"/>
      <c r="T1771" s="19" t="n"/>
      <c r="U1771" s="19" t="n"/>
      <c r="V1771" s="19" t="n"/>
      <c r="W1771" s="19" t="n"/>
      <c r="X1771" s="19" t="n"/>
      <c r="Y1771" s="19" t="n">
        <v>1</v>
      </c>
      <c r="Z1771" s="13">
        <f>SUMPRODUCT(N1771:Y1771,$N$2:$Y$2)*$K1771*$L1771*$M1771</f>
        <v/>
      </c>
      <c r="AA1771" s="14">
        <f>SUM(N1771:Y1771)</f>
        <v/>
      </c>
      <c r="AB1771" s="13">
        <f>SUMPRODUCT(N1771:Y1771,$N$3:$Y$3)*$K1771*$L1771*$M1771</f>
        <v/>
      </c>
      <c r="AC1771" s="13">
        <f>SUMPRODUCT(N1771:Y1771,$N$4:$Y$4)*$K1771*$L1771*$M1771</f>
        <v/>
      </c>
      <c r="AD1771" s="15" t="n">
        <v>3</v>
      </c>
      <c r="AE1771" s="11" t="n">
        <v>1.011296296296296</v>
      </c>
      <c r="AF1771" s="16">
        <f>SUMPRODUCT(N1771:Y1771,$N$5:$Y$5)*$K1771*$L1771*$M1771</f>
        <v/>
      </c>
      <c r="AG1771" s="16">
        <f>SUMPRODUCT(N1771:Y1771,$N$6:$Y$6)*$K1771*$L1771*$M1771</f>
        <v/>
      </c>
      <c r="AH1771" s="20" t="n"/>
    </row>
    <row r="1772">
      <c r="A1772" s="9" t="n">
        <v>691028</v>
      </c>
      <c r="B1772" s="9" t="inlineStr">
        <is>
          <t>Nate Wohlgemuth</t>
        </is>
      </c>
      <c r="C1772" s="9" t="inlineStr">
        <is>
          <t>HOU</t>
        </is>
      </c>
      <c r="D1772" s="9" t="n">
        <v>25</v>
      </c>
      <c r="E1772" s="18" t="inlineStr">
        <is>
          <t>R</t>
        </is>
      </c>
      <c r="F1772" s="18" t="n"/>
      <c r="G1772" s="9" t="n">
        <v>18.34666666666666</v>
      </c>
      <c r="H1772" s="9" t="n">
        <v>18.34666666666666</v>
      </c>
      <c r="I1772" s="9" t="inlineStr">
        <is>
          <t>Depth (no MLB IP)</t>
        </is>
      </c>
      <c r="J1772" s="18" t="inlineStr">
        <is>
          <t>Opening Day</t>
        </is>
      </c>
      <c r="K1772" s="11">
        <f>IFERROR(INDEX(Roles!$B$17:$B$20,MATCH(J1772,Roles!$A$17:$A$20,0)),1)</f>
        <v/>
      </c>
      <c r="L1772" s="19" t="n">
        <v>1</v>
      </c>
      <c r="M1772" s="11" t="n">
        <v>1</v>
      </c>
      <c r="N1772" s="19" t="n"/>
      <c r="O1772" s="19" t="n"/>
      <c r="P1772" s="19" t="n"/>
      <c r="Q1772" s="19" t="n"/>
      <c r="R1772" s="19" t="n"/>
      <c r="S1772" s="19" t="n"/>
      <c r="T1772" s="19" t="n"/>
      <c r="U1772" s="19" t="n"/>
      <c r="V1772" s="19" t="n"/>
      <c r="W1772" s="19" t="n"/>
      <c r="X1772" s="19" t="n"/>
      <c r="Y1772" s="19" t="n">
        <v>1</v>
      </c>
      <c r="Z1772" s="13">
        <f>SUMPRODUCT(N1772:Y1772,$N$2:$Y$2)*$K1772*$L1772*$M1772</f>
        <v/>
      </c>
      <c r="AA1772" s="14">
        <f>SUM(N1772:Y1772)</f>
        <v/>
      </c>
      <c r="AB1772" s="13">
        <f>SUMPRODUCT(N1772:Y1772,$N$3:$Y$3)*$K1772*$L1772*$M1772</f>
        <v/>
      </c>
      <c r="AC1772" s="13">
        <f>SUMPRODUCT(N1772:Y1772,$N$4:$Y$4)*$K1772*$L1772*$M1772</f>
        <v/>
      </c>
      <c r="AD1772" s="15" t="n">
        <v>3</v>
      </c>
      <c r="AE1772" s="11" t="n">
        <v>1.011296296296296</v>
      </c>
      <c r="AF1772" s="16">
        <f>SUMPRODUCT(N1772:Y1772,$N$5:$Y$5)*$K1772*$L1772*$M1772</f>
        <v/>
      </c>
      <c r="AG1772" s="16">
        <f>SUMPRODUCT(N1772:Y1772,$N$6:$Y$6)*$K1772*$L1772*$M1772</f>
        <v/>
      </c>
      <c r="AH1772" s="20" t="n"/>
    </row>
    <row r="1773">
      <c r="A1773" s="9" t="n">
        <v>687209</v>
      </c>
      <c r="B1773" s="9" t="inlineStr">
        <is>
          <t>Zach Maxwell</t>
        </is>
      </c>
      <c r="C1773" s="9" t="inlineStr">
        <is>
          <t>CIN</t>
        </is>
      </c>
      <c r="D1773" s="9" t="n">
        <v>26</v>
      </c>
      <c r="E1773" s="18" t="inlineStr">
        <is>
          <t>R</t>
        </is>
      </c>
      <c r="F1773" s="18" t="n"/>
      <c r="G1773" s="9" t="n">
        <v>67</v>
      </c>
      <c r="H1773" s="9" t="n">
        <v>110</v>
      </c>
      <c r="I1773" s="9" t="inlineStr">
        <is>
          <t>Bullpen Depth Arm</t>
        </is>
      </c>
      <c r="J1773" s="18" t="inlineStr">
        <is>
          <t>Opening Day</t>
        </is>
      </c>
      <c r="K1773" s="11">
        <f>IFERROR(INDEX(Roles!$B$17:$B$20,MATCH(J1773,Roles!$A$17:$A$20,0)),1)</f>
        <v/>
      </c>
      <c r="L1773" s="19" t="n">
        <v>1</v>
      </c>
      <c r="M1773" s="11" t="n">
        <v>1</v>
      </c>
      <c r="N1773" s="19" t="n"/>
      <c r="O1773" s="19" t="n"/>
      <c r="P1773" s="19" t="n"/>
      <c r="Q1773" s="19" t="n"/>
      <c r="R1773" s="19" t="n"/>
      <c r="S1773" s="19" t="n"/>
      <c r="T1773" s="19" t="n"/>
      <c r="U1773" s="19" t="n"/>
      <c r="V1773" s="19" t="n"/>
      <c r="W1773" s="19" t="n">
        <v>1</v>
      </c>
      <c r="X1773" s="19" t="n"/>
      <c r="Y1773" s="19" t="n"/>
      <c r="Z1773" s="13">
        <f>SUMPRODUCT(N1773:Y1773,$N$2:$Y$2)*$K1773*$L1773*$M1773</f>
        <v/>
      </c>
      <c r="AA1773" s="14">
        <f>SUM(N1773:Y1773)</f>
        <v/>
      </c>
      <c r="AB1773" s="13">
        <f>SUMPRODUCT(N1773:Y1773,$N$3:$Y$3)*$K1773*$L1773*$M1773</f>
        <v/>
      </c>
      <c r="AC1773" s="13">
        <f>SUMPRODUCT(N1773:Y1773,$N$4:$Y$4)*$K1773*$L1773*$M1773</f>
        <v/>
      </c>
      <c r="AD1773" s="15" t="n">
        <v>11.90666666666667</v>
      </c>
      <c r="AE1773" s="11" t="n">
        <v>1.179712263045597</v>
      </c>
      <c r="AF1773" s="16">
        <f>SUMPRODUCT(N1773:Y1773,$N$5:$Y$5)*$K1773*$L1773*$M1773</f>
        <v/>
      </c>
      <c r="AG1773" s="16">
        <f>SUMPRODUCT(N1773:Y1773,$N$6:$Y$6)*$K1773*$L1773*$M1773</f>
        <v/>
      </c>
      <c r="AH1773" s="20" t="n"/>
    </row>
    <row r="1774">
      <c r="A1774" s="9" t="n">
        <v>813878</v>
      </c>
      <c r="B1774" s="9" t="inlineStr">
        <is>
          <t>Aric McAtee</t>
        </is>
      </c>
      <c r="C1774" s="9" t="inlineStr">
        <is>
          <t>CWS</t>
        </is>
      </c>
      <c r="D1774" s="9" t="n">
        <v>25</v>
      </c>
      <c r="E1774" s="18" t="inlineStr">
        <is>
          <t>R</t>
        </is>
      </c>
      <c r="F1774" s="18" t="n"/>
      <c r="G1774" s="9" t="n">
        <v>18.56166666666666</v>
      </c>
      <c r="H1774" s="9" t="n">
        <v>18.56166666666666</v>
      </c>
      <c r="I1774" s="9" t="inlineStr">
        <is>
          <t>Depth (no MLB IP)</t>
        </is>
      </c>
      <c r="J1774" s="18" t="inlineStr">
        <is>
          <t>Opening Day</t>
        </is>
      </c>
      <c r="K1774" s="11">
        <f>IFERROR(INDEX(Roles!$B$17:$B$20,MATCH(J1774,Roles!$A$17:$A$20,0)),1)</f>
        <v/>
      </c>
      <c r="L1774" s="19" t="n">
        <v>1</v>
      </c>
      <c r="M1774" s="11" t="n">
        <v>1</v>
      </c>
      <c r="N1774" s="19" t="n"/>
      <c r="O1774" s="19" t="n"/>
      <c r="P1774" s="19" t="n"/>
      <c r="Q1774" s="19" t="n"/>
      <c r="R1774" s="19" t="n"/>
      <c r="S1774" s="19" t="n"/>
      <c r="T1774" s="19" t="n"/>
      <c r="U1774" s="19" t="n"/>
      <c r="V1774" s="19" t="n"/>
      <c r="W1774" s="19" t="n"/>
      <c r="X1774" s="19" t="n"/>
      <c r="Y1774" s="19" t="n">
        <v>1</v>
      </c>
      <c r="Z1774" s="13">
        <f>SUMPRODUCT(N1774:Y1774,$N$2:$Y$2)*$K1774*$L1774*$M1774</f>
        <v/>
      </c>
      <c r="AA1774" s="14">
        <f>SUM(N1774:Y1774)</f>
        <v/>
      </c>
      <c r="AB1774" s="13">
        <f>SUMPRODUCT(N1774:Y1774,$N$3:$Y$3)*$K1774*$L1774*$M1774</f>
        <v/>
      </c>
      <c r="AC1774" s="13">
        <f>SUMPRODUCT(N1774:Y1774,$N$4:$Y$4)*$K1774*$L1774*$M1774</f>
        <v/>
      </c>
      <c r="AD1774" s="15" t="n">
        <v>3</v>
      </c>
      <c r="AE1774" s="11" t="n">
        <v>1.011296296296296</v>
      </c>
      <c r="AF1774" s="16">
        <f>SUMPRODUCT(N1774:Y1774,$N$5:$Y$5)*$K1774*$L1774*$M1774</f>
        <v/>
      </c>
      <c r="AG1774" s="16">
        <f>SUMPRODUCT(N1774:Y1774,$N$6:$Y$6)*$K1774*$L1774*$M1774</f>
        <v/>
      </c>
      <c r="AH1774" s="20" t="n"/>
    </row>
    <row r="1775">
      <c r="A1775" s="9" t="n">
        <v>815064</v>
      </c>
      <c r="B1775" s="9" t="inlineStr">
        <is>
          <t>Trennor O'Donnell</t>
        </is>
      </c>
      <c r="C1775" s="9" t="inlineStr">
        <is>
          <t>BOS</t>
        </is>
      </c>
      <c r="D1775" s="9" t="n">
        <v>25</v>
      </c>
      <c r="E1775" s="18" t="inlineStr">
        <is>
          <t>R</t>
        </is>
      </c>
      <c r="F1775" s="18" t="n"/>
      <c r="G1775" s="9" t="n">
        <v>18.34666666666666</v>
      </c>
      <c r="H1775" s="9" t="n">
        <v>18.34666666666666</v>
      </c>
      <c r="I1775" s="9" t="inlineStr">
        <is>
          <t>Depth (no MLB IP)</t>
        </is>
      </c>
      <c r="J1775" s="18" t="inlineStr">
        <is>
          <t>Opening Day</t>
        </is>
      </c>
      <c r="K1775" s="11">
        <f>IFERROR(INDEX(Roles!$B$17:$B$20,MATCH(J1775,Roles!$A$17:$A$20,0)),1)</f>
        <v/>
      </c>
      <c r="L1775" s="19" t="n">
        <v>1</v>
      </c>
      <c r="M1775" s="11" t="n">
        <v>1</v>
      </c>
      <c r="N1775" s="19" t="n"/>
      <c r="O1775" s="19" t="n"/>
      <c r="P1775" s="19" t="n"/>
      <c r="Q1775" s="19" t="n"/>
      <c r="R1775" s="19" t="n"/>
      <c r="S1775" s="19" t="n"/>
      <c r="T1775" s="19" t="n"/>
      <c r="U1775" s="19" t="n"/>
      <c r="V1775" s="19" t="n"/>
      <c r="W1775" s="19" t="n"/>
      <c r="X1775" s="19" t="n"/>
      <c r="Y1775" s="19" t="n">
        <v>1</v>
      </c>
      <c r="Z1775" s="13">
        <f>SUMPRODUCT(N1775:Y1775,$N$2:$Y$2)*$K1775*$L1775*$M1775</f>
        <v/>
      </c>
      <c r="AA1775" s="14">
        <f>SUM(N1775:Y1775)</f>
        <v/>
      </c>
      <c r="AB1775" s="13">
        <f>SUMPRODUCT(N1775:Y1775,$N$3:$Y$3)*$K1775*$L1775*$M1775</f>
        <v/>
      </c>
      <c r="AC1775" s="13">
        <f>SUMPRODUCT(N1775:Y1775,$N$4:$Y$4)*$K1775*$L1775*$M1775</f>
        <v/>
      </c>
      <c r="AD1775" s="15" t="n">
        <v>3</v>
      </c>
      <c r="AE1775" s="11" t="n">
        <v>1.011296296296296</v>
      </c>
      <c r="AF1775" s="16">
        <f>SUMPRODUCT(N1775:Y1775,$N$5:$Y$5)*$K1775*$L1775*$M1775</f>
        <v/>
      </c>
      <c r="AG1775" s="16">
        <f>SUMPRODUCT(N1775:Y1775,$N$6:$Y$6)*$K1775*$L1775*$M1775</f>
        <v/>
      </c>
      <c r="AH1775" s="20" t="n"/>
    </row>
    <row r="1776">
      <c r="A1776" s="9" t="n">
        <v>691439</v>
      </c>
      <c r="B1776" s="9" t="inlineStr">
        <is>
          <t>Angel Jimenez</t>
        </is>
      </c>
      <c r="C1776" s="9" t="inlineStr">
        <is>
          <t>COL</t>
        </is>
      </c>
      <c r="D1776" s="9" t="n">
        <v>25</v>
      </c>
      <c r="E1776" s="18" t="inlineStr">
        <is>
          <t>R</t>
        </is>
      </c>
      <c r="F1776" s="18" t="n"/>
      <c r="G1776" s="9" t="n">
        <v>18.34666666666666</v>
      </c>
      <c r="H1776" s="9" t="n">
        <v>18.34666666666666</v>
      </c>
      <c r="I1776" s="9" t="inlineStr">
        <is>
          <t>Depth (no MLB IP)</t>
        </is>
      </c>
      <c r="J1776" s="18" t="inlineStr">
        <is>
          <t>Opening Day</t>
        </is>
      </c>
      <c r="K1776" s="11">
        <f>IFERROR(INDEX(Roles!$B$17:$B$20,MATCH(J1776,Roles!$A$17:$A$20,0)),1)</f>
        <v/>
      </c>
      <c r="L1776" s="19" t="n">
        <v>1</v>
      </c>
      <c r="M1776" s="11" t="n">
        <v>1</v>
      </c>
      <c r="N1776" s="19" t="n"/>
      <c r="O1776" s="19" t="n"/>
      <c r="P1776" s="19" t="n"/>
      <c r="Q1776" s="19" t="n"/>
      <c r="R1776" s="19" t="n"/>
      <c r="S1776" s="19" t="n"/>
      <c r="T1776" s="19" t="n"/>
      <c r="U1776" s="19" t="n"/>
      <c r="V1776" s="19" t="n"/>
      <c r="W1776" s="19" t="n"/>
      <c r="X1776" s="19" t="n"/>
      <c r="Y1776" s="19" t="n">
        <v>1</v>
      </c>
      <c r="Z1776" s="13">
        <f>SUMPRODUCT(N1776:Y1776,$N$2:$Y$2)*$K1776*$L1776*$M1776</f>
        <v/>
      </c>
      <c r="AA1776" s="14">
        <f>SUM(N1776:Y1776)</f>
        <v/>
      </c>
      <c r="AB1776" s="13">
        <f>SUMPRODUCT(N1776:Y1776,$N$3:$Y$3)*$K1776*$L1776*$M1776</f>
        <v/>
      </c>
      <c r="AC1776" s="13">
        <f>SUMPRODUCT(N1776:Y1776,$N$4:$Y$4)*$K1776*$L1776*$M1776</f>
        <v/>
      </c>
      <c r="AD1776" s="15" t="n">
        <v>3</v>
      </c>
      <c r="AE1776" s="11" t="n">
        <v>1.011296296296296</v>
      </c>
      <c r="AF1776" s="16">
        <f>SUMPRODUCT(N1776:Y1776,$N$5:$Y$5)*$K1776*$L1776*$M1776</f>
        <v/>
      </c>
      <c r="AG1776" s="16">
        <f>SUMPRODUCT(N1776:Y1776,$N$6:$Y$6)*$K1776*$L1776*$M1776</f>
        <v/>
      </c>
      <c r="AH1776" s="20" t="n"/>
    </row>
    <row r="1777">
      <c r="A1777" s="9" t="n">
        <v>808846</v>
      </c>
      <c r="B1777" s="9" t="inlineStr">
        <is>
          <t>Devin Kirby-Williams</t>
        </is>
      </c>
      <c r="C1777" s="9" t="inlineStr">
        <is>
          <t>OAK</t>
        </is>
      </c>
      <c r="D1777" s="9" t="n">
        <v>25</v>
      </c>
      <c r="E1777" s="18" t="inlineStr">
        <is>
          <t>R</t>
        </is>
      </c>
      <c r="F1777" s="18" t="n"/>
      <c r="G1777" s="9" t="n">
        <v>18.34666666666666</v>
      </c>
      <c r="H1777" s="9" t="n">
        <v>18.34666666666666</v>
      </c>
      <c r="I1777" s="9" t="inlineStr">
        <is>
          <t>Depth (no MLB IP)</t>
        </is>
      </c>
      <c r="J1777" s="18" t="inlineStr">
        <is>
          <t>Opening Day</t>
        </is>
      </c>
      <c r="K1777" s="11">
        <f>IFERROR(INDEX(Roles!$B$17:$B$20,MATCH(J1777,Roles!$A$17:$A$20,0)),1)</f>
        <v/>
      </c>
      <c r="L1777" s="19" t="n">
        <v>1</v>
      </c>
      <c r="M1777" s="11" t="n">
        <v>1</v>
      </c>
      <c r="N1777" s="19" t="n"/>
      <c r="O1777" s="19" t="n"/>
      <c r="P1777" s="19" t="n"/>
      <c r="Q1777" s="19" t="n"/>
      <c r="R1777" s="19" t="n"/>
      <c r="S1777" s="19" t="n"/>
      <c r="T1777" s="19" t="n"/>
      <c r="U1777" s="19" t="n"/>
      <c r="V1777" s="19" t="n"/>
      <c r="W1777" s="19" t="n"/>
      <c r="X1777" s="19" t="n"/>
      <c r="Y1777" s="19" t="n">
        <v>1</v>
      </c>
      <c r="Z1777" s="13">
        <f>SUMPRODUCT(N1777:Y1777,$N$2:$Y$2)*$K1777*$L1777*$M1777</f>
        <v/>
      </c>
      <c r="AA1777" s="14">
        <f>SUM(N1777:Y1777)</f>
        <v/>
      </c>
      <c r="AB1777" s="13">
        <f>SUMPRODUCT(N1777:Y1777,$N$3:$Y$3)*$K1777*$L1777*$M1777</f>
        <v/>
      </c>
      <c r="AC1777" s="13">
        <f>SUMPRODUCT(N1777:Y1777,$N$4:$Y$4)*$K1777*$L1777*$M1777</f>
        <v/>
      </c>
      <c r="AD1777" s="15" t="n">
        <v>3</v>
      </c>
      <c r="AE1777" s="11" t="n">
        <v>1.011296296296296</v>
      </c>
      <c r="AF1777" s="16">
        <f>SUMPRODUCT(N1777:Y1777,$N$5:$Y$5)*$K1777*$L1777*$M1777</f>
        <v/>
      </c>
      <c r="AG1777" s="16">
        <f>SUMPRODUCT(N1777:Y1777,$N$6:$Y$6)*$K1777*$L1777*$M1777</f>
        <v/>
      </c>
      <c r="AH1777" s="20" t="n"/>
    </row>
    <row r="1778">
      <c r="A1778" s="9" t="n">
        <v>668822</v>
      </c>
      <c r="B1778" s="9" t="inlineStr">
        <is>
          <t>Blake Brown</t>
        </is>
      </c>
      <c r="C1778" s="9" t="inlineStr">
        <is>
          <t>WSH</t>
        </is>
      </c>
      <c r="D1778" s="9" t="n">
        <v>25</v>
      </c>
      <c r="E1778" s="18" t="inlineStr">
        <is>
          <t>R</t>
        </is>
      </c>
      <c r="F1778" s="18" t="n"/>
      <c r="G1778" s="9" t="n">
        <v>18.56166666666666</v>
      </c>
      <c r="H1778" s="9" t="n">
        <v>18.56166666666666</v>
      </c>
      <c r="I1778" s="9" t="inlineStr">
        <is>
          <t>Depth (no MLB IP)</t>
        </is>
      </c>
      <c r="J1778" s="18" t="inlineStr">
        <is>
          <t>Opening Day</t>
        </is>
      </c>
      <c r="K1778" s="11">
        <f>IFERROR(INDEX(Roles!$B$17:$B$20,MATCH(J1778,Roles!$A$17:$A$20,0)),1)</f>
        <v/>
      </c>
      <c r="L1778" s="19" t="n">
        <v>1</v>
      </c>
      <c r="M1778" s="11" t="n">
        <v>1</v>
      </c>
      <c r="N1778" s="19" t="n"/>
      <c r="O1778" s="19" t="n"/>
      <c r="P1778" s="19" t="n"/>
      <c r="Q1778" s="19" t="n"/>
      <c r="R1778" s="19" t="n"/>
      <c r="S1778" s="19" t="n"/>
      <c r="T1778" s="19" t="n"/>
      <c r="U1778" s="19" t="n"/>
      <c r="V1778" s="19" t="n"/>
      <c r="W1778" s="19" t="n"/>
      <c r="X1778" s="19" t="n"/>
      <c r="Y1778" s="19" t="n">
        <v>1</v>
      </c>
      <c r="Z1778" s="13">
        <f>SUMPRODUCT(N1778:Y1778,$N$2:$Y$2)*$K1778*$L1778*$M1778</f>
        <v/>
      </c>
      <c r="AA1778" s="14">
        <f>SUM(N1778:Y1778)</f>
        <v/>
      </c>
      <c r="AB1778" s="13">
        <f>SUMPRODUCT(N1778:Y1778,$N$3:$Y$3)*$K1778*$L1778*$M1778</f>
        <v/>
      </c>
      <c r="AC1778" s="13">
        <f>SUMPRODUCT(N1778:Y1778,$N$4:$Y$4)*$K1778*$L1778*$M1778</f>
        <v/>
      </c>
      <c r="AD1778" s="15" t="n">
        <v>3</v>
      </c>
      <c r="AE1778" s="11" t="n">
        <v>1.011296296296296</v>
      </c>
      <c r="AF1778" s="16">
        <f>SUMPRODUCT(N1778:Y1778,$N$5:$Y$5)*$K1778*$L1778*$M1778</f>
        <v/>
      </c>
      <c r="AG1778" s="16">
        <f>SUMPRODUCT(N1778:Y1778,$N$6:$Y$6)*$K1778*$L1778*$M1778</f>
        <v/>
      </c>
      <c r="AH1778" s="20" t="n"/>
    </row>
    <row r="1779">
      <c r="A1779" s="9" t="n">
        <v>689821</v>
      </c>
      <c r="B1779" s="9" t="inlineStr">
        <is>
          <t>Michael Cuevas</t>
        </is>
      </c>
      <c r="C1779" s="9" t="inlineStr">
        <is>
          <t>HOU</t>
        </is>
      </c>
      <c r="D1779" s="9" t="n">
        <v>25</v>
      </c>
      <c r="E1779" s="18" t="inlineStr">
        <is>
          <t>R</t>
        </is>
      </c>
      <c r="F1779" s="18" t="n"/>
      <c r="G1779" s="9" t="n">
        <v>18.56166666666666</v>
      </c>
      <c r="H1779" s="9" t="n">
        <v>18.56166666666666</v>
      </c>
      <c r="I1779" s="9" t="inlineStr">
        <is>
          <t>Depth (no MLB IP)</t>
        </is>
      </c>
      <c r="J1779" s="18" t="inlineStr">
        <is>
          <t>Opening Day</t>
        </is>
      </c>
      <c r="K1779" s="11">
        <f>IFERROR(INDEX(Roles!$B$17:$B$20,MATCH(J1779,Roles!$A$17:$A$20,0)),1)</f>
        <v/>
      </c>
      <c r="L1779" s="19" t="n">
        <v>1</v>
      </c>
      <c r="M1779" s="11" t="n">
        <v>1</v>
      </c>
      <c r="N1779" s="19" t="n"/>
      <c r="O1779" s="19" t="n"/>
      <c r="P1779" s="19" t="n"/>
      <c r="Q1779" s="19" t="n"/>
      <c r="R1779" s="19" t="n"/>
      <c r="S1779" s="19" t="n"/>
      <c r="T1779" s="19" t="n"/>
      <c r="U1779" s="19" t="n"/>
      <c r="V1779" s="19" t="n"/>
      <c r="W1779" s="19" t="n"/>
      <c r="X1779" s="19" t="n"/>
      <c r="Y1779" s="19" t="n">
        <v>1</v>
      </c>
      <c r="Z1779" s="13">
        <f>SUMPRODUCT(N1779:Y1779,$N$2:$Y$2)*$K1779*$L1779*$M1779</f>
        <v/>
      </c>
      <c r="AA1779" s="14">
        <f>SUM(N1779:Y1779)</f>
        <v/>
      </c>
      <c r="AB1779" s="13">
        <f>SUMPRODUCT(N1779:Y1779,$N$3:$Y$3)*$K1779*$L1779*$M1779</f>
        <v/>
      </c>
      <c r="AC1779" s="13">
        <f>SUMPRODUCT(N1779:Y1779,$N$4:$Y$4)*$K1779*$L1779*$M1779</f>
        <v/>
      </c>
      <c r="AD1779" s="15" t="n">
        <v>3</v>
      </c>
      <c r="AE1779" s="11" t="n">
        <v>1.011296296296296</v>
      </c>
      <c r="AF1779" s="16">
        <f>SUMPRODUCT(N1779:Y1779,$N$5:$Y$5)*$K1779*$L1779*$M1779</f>
        <v/>
      </c>
      <c r="AG1779" s="16">
        <f>SUMPRODUCT(N1779:Y1779,$N$6:$Y$6)*$K1779*$L1779*$M1779</f>
        <v/>
      </c>
      <c r="AH1779" s="20" t="n"/>
    </row>
    <row r="1780">
      <c r="A1780" s="9" t="n">
        <v>835610</v>
      </c>
      <c r="B1780" s="9" t="inlineStr">
        <is>
          <t>Jason Gilman</t>
        </is>
      </c>
      <c r="C1780" s="9" t="inlineStr">
        <is>
          <t>BOS</t>
        </is>
      </c>
      <c r="D1780" s="9" t="n">
        <v>25</v>
      </c>
      <c r="E1780" s="18" t="inlineStr">
        <is>
          <t>L</t>
        </is>
      </c>
      <c r="F1780" s="18" t="n"/>
      <c r="G1780" s="9" t="n">
        <v>18.63333333333334</v>
      </c>
      <c r="H1780" s="9" t="n">
        <v>18.63333333333334</v>
      </c>
      <c r="I1780" s="9" t="inlineStr">
        <is>
          <t>Depth (no MLB IP)</t>
        </is>
      </c>
      <c r="J1780" s="18" t="inlineStr">
        <is>
          <t>Opening Day</t>
        </is>
      </c>
      <c r="K1780" s="11">
        <f>IFERROR(INDEX(Roles!$B$17:$B$20,MATCH(J1780,Roles!$A$17:$A$20,0)),1)</f>
        <v/>
      </c>
      <c r="L1780" s="19" t="n">
        <v>1</v>
      </c>
      <c r="M1780" s="11" t="n">
        <v>1</v>
      </c>
      <c r="N1780" s="19" t="n"/>
      <c r="O1780" s="19" t="n"/>
      <c r="P1780" s="19" t="n"/>
      <c r="Q1780" s="19" t="n"/>
      <c r="R1780" s="19" t="n"/>
      <c r="S1780" s="19" t="n"/>
      <c r="T1780" s="19" t="n"/>
      <c r="U1780" s="19" t="n"/>
      <c r="V1780" s="19" t="n"/>
      <c r="W1780" s="19" t="n"/>
      <c r="X1780" s="19" t="n"/>
      <c r="Y1780" s="19" t="n">
        <v>1</v>
      </c>
      <c r="Z1780" s="13">
        <f>SUMPRODUCT(N1780:Y1780,$N$2:$Y$2)*$K1780*$L1780*$M1780</f>
        <v/>
      </c>
      <c r="AA1780" s="14">
        <f>SUM(N1780:Y1780)</f>
        <v/>
      </c>
      <c r="AB1780" s="13">
        <f>SUMPRODUCT(N1780:Y1780,$N$3:$Y$3)*$K1780*$L1780*$M1780</f>
        <v/>
      </c>
      <c r="AC1780" s="13">
        <f>SUMPRODUCT(N1780:Y1780,$N$4:$Y$4)*$K1780*$L1780*$M1780</f>
        <v/>
      </c>
      <c r="AD1780" s="15" t="n">
        <v>3</v>
      </c>
      <c r="AE1780" s="11" t="n">
        <v>1.011296296296296</v>
      </c>
      <c r="AF1780" s="16">
        <f>SUMPRODUCT(N1780:Y1780,$N$5:$Y$5)*$K1780*$L1780*$M1780</f>
        <v/>
      </c>
      <c r="AG1780" s="16">
        <f>SUMPRODUCT(N1780:Y1780,$N$6:$Y$6)*$K1780*$L1780*$M1780</f>
        <v/>
      </c>
      <c r="AH1780" s="20" t="n"/>
    </row>
    <row r="1781">
      <c r="A1781" s="9" t="n">
        <v>657041</v>
      </c>
      <c r="B1781" s="9" t="inlineStr">
        <is>
          <t>Lane Thomas</t>
        </is>
      </c>
      <c r="C1781" s="9" t="inlineStr">
        <is>
          <t>WSH</t>
        </is>
      </c>
      <c r="D1781" s="9" t="n">
        <v>31</v>
      </c>
      <c r="E1781" s="18" t="inlineStr">
        <is>
          <t>R</t>
        </is>
      </c>
      <c r="F1781" s="18" t="n"/>
      <c r="G1781" s="9" t="n">
        <v>6</v>
      </c>
      <c r="H1781" s="9" t="n">
        <v>6</v>
      </c>
      <c r="I1781" s="9" t="inlineStr">
        <is>
          <t>Depth (no MLB IP)</t>
        </is>
      </c>
      <c r="J1781" s="18" t="inlineStr">
        <is>
          <t>Opening Day</t>
        </is>
      </c>
      <c r="K1781" s="11">
        <f>IFERROR(INDEX(Roles!$B$17:$B$20,MATCH(J1781,Roles!$A$17:$A$20,0)),1)</f>
        <v/>
      </c>
      <c r="L1781" s="19" t="n">
        <v>1</v>
      </c>
      <c r="M1781" s="11" t="n">
        <v>1</v>
      </c>
      <c r="N1781" s="19" t="n"/>
      <c r="O1781" s="19" t="n"/>
      <c r="P1781" s="19" t="n"/>
      <c r="Q1781" s="19" t="n"/>
      <c r="R1781" s="19" t="n"/>
      <c r="S1781" s="19" t="n"/>
      <c r="T1781" s="19" t="n"/>
      <c r="U1781" s="19" t="n"/>
      <c r="V1781" s="19" t="n"/>
      <c r="W1781" s="19" t="n"/>
      <c r="X1781" s="19" t="n"/>
      <c r="Y1781" s="19" t="n">
        <v>1</v>
      </c>
      <c r="Z1781" s="13">
        <f>SUMPRODUCT(N1781:Y1781,$N$2:$Y$2)*$K1781*$L1781*$M1781</f>
        <v/>
      </c>
      <c r="AA1781" s="14">
        <f>SUM(N1781:Y1781)</f>
        <v/>
      </c>
      <c r="AB1781" s="13">
        <f>SUMPRODUCT(N1781:Y1781,$N$3:$Y$3)*$K1781*$L1781*$M1781</f>
        <v/>
      </c>
      <c r="AC1781" s="13">
        <f>SUMPRODUCT(N1781:Y1781,$N$4:$Y$4)*$K1781*$L1781*$M1781</f>
        <v/>
      </c>
      <c r="AD1781" s="15" t="n">
        <v>3</v>
      </c>
      <c r="AE1781" s="11" t="n">
        <v>1.011296296296296</v>
      </c>
      <c r="AF1781" s="16">
        <f>SUMPRODUCT(N1781:Y1781,$N$5:$Y$5)*$K1781*$L1781*$M1781</f>
        <v/>
      </c>
      <c r="AG1781" s="16">
        <f>SUMPRODUCT(N1781:Y1781,$N$6:$Y$6)*$K1781*$L1781*$M1781</f>
        <v/>
      </c>
      <c r="AH1781" s="20" t="n"/>
    </row>
    <row r="1782">
      <c r="A1782" s="9" t="n">
        <v>808191</v>
      </c>
      <c r="B1782" s="9" t="inlineStr">
        <is>
          <t>Reece Fields</t>
        </is>
      </c>
      <c r="C1782" s="9" t="inlineStr">
        <is>
          <t>TOR</t>
        </is>
      </c>
      <c r="D1782" s="9" t="n">
        <v>25</v>
      </c>
      <c r="E1782" s="18" t="inlineStr">
        <is>
          <t>R</t>
        </is>
      </c>
      <c r="F1782" s="18" t="n"/>
      <c r="G1782" s="9" t="n">
        <v>18.63333333333334</v>
      </c>
      <c r="H1782" s="9" t="n">
        <v>18.63333333333334</v>
      </c>
      <c r="I1782" s="9" t="inlineStr">
        <is>
          <t>Depth (no MLB IP)</t>
        </is>
      </c>
      <c r="J1782" s="18" t="inlineStr">
        <is>
          <t>Opening Day</t>
        </is>
      </c>
      <c r="K1782" s="11">
        <f>IFERROR(INDEX(Roles!$B$17:$B$20,MATCH(J1782,Roles!$A$17:$A$20,0)),1)</f>
        <v/>
      </c>
      <c r="L1782" s="19" t="n">
        <v>1</v>
      </c>
      <c r="M1782" s="11" t="n">
        <v>1</v>
      </c>
      <c r="N1782" s="19" t="n"/>
      <c r="O1782" s="19" t="n"/>
      <c r="P1782" s="19" t="n"/>
      <c r="Q1782" s="19" t="n"/>
      <c r="R1782" s="19" t="n"/>
      <c r="S1782" s="19" t="n"/>
      <c r="T1782" s="19" t="n"/>
      <c r="U1782" s="19" t="n"/>
      <c r="V1782" s="19" t="n"/>
      <c r="W1782" s="19" t="n"/>
      <c r="X1782" s="19" t="n"/>
      <c r="Y1782" s="19" t="n">
        <v>1</v>
      </c>
      <c r="Z1782" s="13">
        <f>SUMPRODUCT(N1782:Y1782,$N$2:$Y$2)*$K1782*$L1782*$M1782</f>
        <v/>
      </c>
      <c r="AA1782" s="14">
        <f>SUM(N1782:Y1782)</f>
        <v/>
      </c>
      <c r="AB1782" s="13">
        <f>SUMPRODUCT(N1782:Y1782,$N$3:$Y$3)*$K1782*$L1782*$M1782</f>
        <v/>
      </c>
      <c r="AC1782" s="13">
        <f>SUMPRODUCT(N1782:Y1782,$N$4:$Y$4)*$K1782*$L1782*$M1782</f>
        <v/>
      </c>
      <c r="AD1782" s="15" t="n">
        <v>3</v>
      </c>
      <c r="AE1782" s="11" t="n">
        <v>1.011296296296296</v>
      </c>
      <c r="AF1782" s="16">
        <f>SUMPRODUCT(N1782:Y1782,$N$5:$Y$5)*$K1782*$L1782*$M1782</f>
        <v/>
      </c>
      <c r="AG1782" s="16">
        <f>SUMPRODUCT(N1782:Y1782,$N$6:$Y$6)*$K1782*$L1782*$M1782</f>
        <v/>
      </c>
      <c r="AH1782" s="20" t="n"/>
    </row>
    <row r="1783">
      <c r="A1783" s="9" t="n">
        <v>695551</v>
      </c>
      <c r="B1783" s="9" t="inlineStr">
        <is>
          <t>Brady Tygart</t>
        </is>
      </c>
      <c r="C1783" s="9" t="inlineStr">
        <is>
          <t>BOS</t>
        </is>
      </c>
      <c r="D1783" s="9" t="n">
        <v>25</v>
      </c>
      <c r="E1783" s="18" t="inlineStr">
        <is>
          <t>R</t>
        </is>
      </c>
      <c r="F1783" s="18" t="n"/>
      <c r="G1783" s="9" t="n">
        <v>18.63333333333334</v>
      </c>
      <c r="H1783" s="9" t="n">
        <v>18.63333333333334</v>
      </c>
      <c r="I1783" s="9" t="inlineStr">
        <is>
          <t>Depth (no MLB IP)</t>
        </is>
      </c>
      <c r="J1783" s="18" t="inlineStr">
        <is>
          <t>Opening Day</t>
        </is>
      </c>
      <c r="K1783" s="11">
        <f>IFERROR(INDEX(Roles!$B$17:$B$20,MATCH(J1783,Roles!$A$17:$A$20,0)),1)</f>
        <v/>
      </c>
      <c r="L1783" s="19" t="n">
        <v>1</v>
      </c>
      <c r="M1783" s="11" t="n">
        <v>1</v>
      </c>
      <c r="N1783" s="19" t="n"/>
      <c r="O1783" s="19" t="n"/>
      <c r="P1783" s="19" t="n"/>
      <c r="Q1783" s="19" t="n"/>
      <c r="R1783" s="19" t="n"/>
      <c r="S1783" s="19" t="n"/>
      <c r="T1783" s="19" t="n"/>
      <c r="U1783" s="19" t="n"/>
      <c r="V1783" s="19" t="n"/>
      <c r="W1783" s="19" t="n"/>
      <c r="X1783" s="19" t="n"/>
      <c r="Y1783" s="19" t="n">
        <v>1</v>
      </c>
      <c r="Z1783" s="13">
        <f>SUMPRODUCT(N1783:Y1783,$N$2:$Y$2)*$K1783*$L1783*$M1783</f>
        <v/>
      </c>
      <c r="AA1783" s="14">
        <f>SUM(N1783:Y1783)</f>
        <v/>
      </c>
      <c r="AB1783" s="13">
        <f>SUMPRODUCT(N1783:Y1783,$N$3:$Y$3)*$K1783*$L1783*$M1783</f>
        <v/>
      </c>
      <c r="AC1783" s="13">
        <f>SUMPRODUCT(N1783:Y1783,$N$4:$Y$4)*$K1783*$L1783*$M1783</f>
        <v/>
      </c>
      <c r="AD1783" s="15" t="n">
        <v>3</v>
      </c>
      <c r="AE1783" s="11" t="n">
        <v>1.011296296296296</v>
      </c>
      <c r="AF1783" s="16">
        <f>SUMPRODUCT(N1783:Y1783,$N$5:$Y$5)*$K1783*$L1783*$M1783</f>
        <v/>
      </c>
      <c r="AG1783" s="16">
        <f>SUMPRODUCT(N1783:Y1783,$N$6:$Y$6)*$K1783*$L1783*$M1783</f>
        <v/>
      </c>
      <c r="AH1783" s="20" t="n"/>
    </row>
    <row r="1784">
      <c r="A1784" s="9" t="n">
        <v>805728</v>
      </c>
      <c r="B1784" s="9" t="inlineStr">
        <is>
          <t>Kevin Stevens</t>
        </is>
      </c>
      <c r="C1784" s="9" t="inlineStr">
        <is>
          <t>NYY</t>
        </is>
      </c>
      <c r="D1784" s="9" t="n">
        <v>25</v>
      </c>
      <c r="E1784" s="18" t="inlineStr">
        <is>
          <t>R</t>
        </is>
      </c>
      <c r="F1784" s="18" t="n"/>
      <c r="G1784" s="9" t="n">
        <v>18.56166666666666</v>
      </c>
      <c r="H1784" s="9" t="n">
        <v>18.56166666666666</v>
      </c>
      <c r="I1784" s="9" t="inlineStr">
        <is>
          <t>Depth (no MLB IP)</t>
        </is>
      </c>
      <c r="J1784" s="18" t="inlineStr">
        <is>
          <t>Opening Day</t>
        </is>
      </c>
      <c r="K1784" s="11">
        <f>IFERROR(INDEX(Roles!$B$17:$B$20,MATCH(J1784,Roles!$A$17:$A$20,0)),1)</f>
        <v/>
      </c>
      <c r="L1784" s="19" t="n">
        <v>1</v>
      </c>
      <c r="M1784" s="11" t="n">
        <v>1</v>
      </c>
      <c r="N1784" s="19" t="n"/>
      <c r="O1784" s="19" t="n"/>
      <c r="P1784" s="19" t="n"/>
      <c r="Q1784" s="19" t="n"/>
      <c r="R1784" s="19" t="n"/>
      <c r="S1784" s="19" t="n"/>
      <c r="T1784" s="19" t="n"/>
      <c r="U1784" s="19" t="n"/>
      <c r="V1784" s="19" t="n"/>
      <c r="W1784" s="19" t="n"/>
      <c r="X1784" s="19" t="n"/>
      <c r="Y1784" s="19" t="n">
        <v>1</v>
      </c>
      <c r="Z1784" s="13">
        <f>SUMPRODUCT(N1784:Y1784,$N$2:$Y$2)*$K1784*$L1784*$M1784</f>
        <v/>
      </c>
      <c r="AA1784" s="14">
        <f>SUM(N1784:Y1784)</f>
        <v/>
      </c>
      <c r="AB1784" s="13">
        <f>SUMPRODUCT(N1784:Y1784,$N$3:$Y$3)*$K1784*$L1784*$M1784</f>
        <v/>
      </c>
      <c r="AC1784" s="13">
        <f>SUMPRODUCT(N1784:Y1784,$N$4:$Y$4)*$K1784*$L1784*$M1784</f>
        <v/>
      </c>
      <c r="AD1784" s="15" t="n">
        <v>3</v>
      </c>
      <c r="AE1784" s="11" t="n">
        <v>1.011296296296296</v>
      </c>
      <c r="AF1784" s="16">
        <f>SUMPRODUCT(N1784:Y1784,$N$5:$Y$5)*$K1784*$L1784*$M1784</f>
        <v/>
      </c>
      <c r="AG1784" s="16">
        <f>SUMPRODUCT(N1784:Y1784,$N$6:$Y$6)*$K1784*$L1784*$M1784</f>
        <v/>
      </c>
      <c r="AH1784" s="20" t="n"/>
    </row>
    <row r="1785">
      <c r="A1785" s="9" t="n">
        <v>836164</v>
      </c>
      <c r="B1785" s="9" t="inlineStr">
        <is>
          <t>Brandon Cassedy</t>
        </is>
      </c>
      <c r="C1785" s="9" t="inlineStr">
        <is>
          <t>HOU</t>
        </is>
      </c>
      <c r="D1785" s="9" t="n">
        <v>25</v>
      </c>
      <c r="E1785" s="18" t="inlineStr">
        <is>
          <t>R</t>
        </is>
      </c>
      <c r="F1785" s="18" t="n"/>
      <c r="G1785" s="9" t="n">
        <v>18.576</v>
      </c>
      <c r="H1785" s="9" t="n">
        <v>18.576</v>
      </c>
      <c r="I1785" s="9" t="inlineStr">
        <is>
          <t>Depth (no MLB IP)</t>
        </is>
      </c>
      <c r="J1785" s="18" t="inlineStr">
        <is>
          <t>Opening Day</t>
        </is>
      </c>
      <c r="K1785" s="11">
        <f>IFERROR(INDEX(Roles!$B$17:$B$20,MATCH(J1785,Roles!$A$17:$A$20,0)),1)</f>
        <v/>
      </c>
      <c r="L1785" s="19" t="n">
        <v>1</v>
      </c>
      <c r="M1785" s="11" t="n">
        <v>1</v>
      </c>
      <c r="N1785" s="19" t="n"/>
      <c r="O1785" s="19" t="n"/>
      <c r="P1785" s="19" t="n"/>
      <c r="Q1785" s="19" t="n"/>
      <c r="R1785" s="19" t="n"/>
      <c r="S1785" s="19" t="n"/>
      <c r="T1785" s="19" t="n"/>
      <c r="U1785" s="19" t="n"/>
      <c r="V1785" s="19" t="n"/>
      <c r="W1785" s="19" t="n"/>
      <c r="X1785" s="19" t="n"/>
      <c r="Y1785" s="19" t="n">
        <v>1</v>
      </c>
      <c r="Z1785" s="13">
        <f>SUMPRODUCT(N1785:Y1785,$N$2:$Y$2)*$K1785*$L1785*$M1785</f>
        <v/>
      </c>
      <c r="AA1785" s="14">
        <f>SUM(N1785:Y1785)</f>
        <v/>
      </c>
      <c r="AB1785" s="13">
        <f>SUMPRODUCT(N1785:Y1785,$N$3:$Y$3)*$K1785*$L1785*$M1785</f>
        <v/>
      </c>
      <c r="AC1785" s="13">
        <f>SUMPRODUCT(N1785:Y1785,$N$4:$Y$4)*$K1785*$L1785*$M1785</f>
        <v/>
      </c>
      <c r="AD1785" s="15" t="n">
        <v>3</v>
      </c>
      <c r="AE1785" s="11" t="n">
        <v>1.011296296296296</v>
      </c>
      <c r="AF1785" s="16">
        <f>SUMPRODUCT(N1785:Y1785,$N$5:$Y$5)*$K1785*$L1785*$M1785</f>
        <v/>
      </c>
      <c r="AG1785" s="16">
        <f>SUMPRODUCT(N1785:Y1785,$N$6:$Y$6)*$K1785*$L1785*$M1785</f>
        <v/>
      </c>
      <c r="AH1785" s="20" t="n"/>
    </row>
    <row r="1786">
      <c r="A1786" s="9" t="n">
        <v>806625</v>
      </c>
      <c r="B1786" s="9" t="inlineStr">
        <is>
          <t>Victor Garcia</t>
        </is>
      </c>
      <c r="C1786" s="9" t="inlineStr">
        <is>
          <t>LAA</t>
        </is>
      </c>
      <c r="D1786" s="9" t="n">
        <v>25</v>
      </c>
      <c r="E1786" s="18" t="inlineStr">
        <is>
          <t>R</t>
        </is>
      </c>
      <c r="F1786" s="18" t="n"/>
      <c r="G1786" s="9" t="n">
        <v>18.576</v>
      </c>
      <c r="H1786" s="9" t="n">
        <v>18.576</v>
      </c>
      <c r="I1786" s="9" t="inlineStr">
        <is>
          <t>Depth (no MLB IP)</t>
        </is>
      </c>
      <c r="J1786" s="18" t="inlineStr">
        <is>
          <t>Opening Day</t>
        </is>
      </c>
      <c r="K1786" s="11">
        <f>IFERROR(INDEX(Roles!$B$17:$B$20,MATCH(J1786,Roles!$A$17:$A$20,0)),1)</f>
        <v/>
      </c>
      <c r="L1786" s="19" t="n">
        <v>1</v>
      </c>
      <c r="M1786" s="11" t="n">
        <v>1</v>
      </c>
      <c r="N1786" s="19" t="n"/>
      <c r="O1786" s="19" t="n"/>
      <c r="P1786" s="19" t="n"/>
      <c r="Q1786" s="19" t="n"/>
      <c r="R1786" s="19" t="n"/>
      <c r="S1786" s="19" t="n"/>
      <c r="T1786" s="19" t="n"/>
      <c r="U1786" s="19" t="n"/>
      <c r="V1786" s="19" t="n"/>
      <c r="W1786" s="19" t="n"/>
      <c r="X1786" s="19" t="n"/>
      <c r="Y1786" s="19" t="n">
        <v>1</v>
      </c>
      <c r="Z1786" s="13">
        <f>SUMPRODUCT(N1786:Y1786,$N$2:$Y$2)*$K1786*$L1786*$M1786</f>
        <v/>
      </c>
      <c r="AA1786" s="14">
        <f>SUM(N1786:Y1786)</f>
        <v/>
      </c>
      <c r="AB1786" s="13">
        <f>SUMPRODUCT(N1786:Y1786,$N$3:$Y$3)*$K1786*$L1786*$M1786</f>
        <v/>
      </c>
      <c r="AC1786" s="13">
        <f>SUMPRODUCT(N1786:Y1786,$N$4:$Y$4)*$K1786*$L1786*$M1786</f>
        <v/>
      </c>
      <c r="AD1786" s="15" t="n">
        <v>3</v>
      </c>
      <c r="AE1786" s="11" t="n">
        <v>1.011296296296296</v>
      </c>
      <c r="AF1786" s="16">
        <f>SUMPRODUCT(N1786:Y1786,$N$5:$Y$5)*$K1786*$L1786*$M1786</f>
        <v/>
      </c>
      <c r="AG1786" s="16">
        <f>SUMPRODUCT(N1786:Y1786,$N$6:$Y$6)*$K1786*$L1786*$M1786</f>
        <v/>
      </c>
      <c r="AH1786" s="20" t="n"/>
    </row>
    <row r="1787">
      <c r="A1787" s="9" t="n">
        <v>661383</v>
      </c>
      <c r="B1787" s="9" t="inlineStr">
        <is>
          <t>Oliver Ortega</t>
        </is>
      </c>
      <c r="C1787" s="9" t="inlineStr">
        <is>
          <t>MIN</t>
        </is>
      </c>
      <c r="D1787" s="9" t="n">
        <v>30</v>
      </c>
      <c r="E1787" s="18" t="inlineStr">
        <is>
          <t>R</t>
        </is>
      </c>
      <c r="F1787" s="18" t="n"/>
      <c r="G1787" s="9" t="n">
        <v>63</v>
      </c>
      <c r="H1787" s="9" t="n">
        <v>211</v>
      </c>
      <c r="I1787" s="9" t="inlineStr">
        <is>
          <t>Depth (no MLB IP)</t>
        </is>
      </c>
      <c r="J1787" s="18" t="inlineStr">
        <is>
          <t>Opening Day</t>
        </is>
      </c>
      <c r="K1787" s="11">
        <f>IFERROR(INDEX(Roles!$B$17:$B$20,MATCH(J1787,Roles!$A$17:$A$20,0)),1)</f>
        <v/>
      </c>
      <c r="L1787" s="19" t="n">
        <v>1</v>
      </c>
      <c r="M1787" s="11" t="n">
        <v>1</v>
      </c>
      <c r="N1787" s="19" t="n"/>
      <c r="O1787" s="19" t="n"/>
      <c r="P1787" s="19" t="n"/>
      <c r="Q1787" s="19" t="n"/>
      <c r="R1787" s="19" t="n"/>
      <c r="S1787" s="19" t="n"/>
      <c r="T1787" s="19" t="n"/>
      <c r="U1787" s="19" t="n"/>
      <c r="V1787" s="19" t="n"/>
      <c r="W1787" s="19" t="n"/>
      <c r="X1787" s="19" t="n"/>
      <c r="Y1787" s="19" t="n">
        <v>1</v>
      </c>
      <c r="Z1787" s="13">
        <f>SUMPRODUCT(N1787:Y1787,$N$2:$Y$2)*$K1787*$L1787*$M1787</f>
        <v/>
      </c>
      <c r="AA1787" s="14">
        <f>SUM(N1787:Y1787)</f>
        <v/>
      </c>
      <c r="AB1787" s="13">
        <f>SUMPRODUCT(N1787:Y1787,$N$3:$Y$3)*$K1787*$L1787*$M1787</f>
        <v/>
      </c>
      <c r="AC1787" s="13">
        <f>SUMPRODUCT(N1787:Y1787,$N$4:$Y$4)*$K1787*$L1787*$M1787</f>
        <v/>
      </c>
      <c r="AD1787" s="15" t="n">
        <v>3</v>
      </c>
      <c r="AE1787" s="11" t="n">
        <v>1.011296296296296</v>
      </c>
      <c r="AF1787" s="16">
        <f>SUMPRODUCT(N1787:Y1787,$N$5:$Y$5)*$K1787*$L1787*$M1787</f>
        <v/>
      </c>
      <c r="AG1787" s="16">
        <f>SUMPRODUCT(N1787:Y1787,$N$6:$Y$6)*$K1787*$L1787*$M1787</f>
        <v/>
      </c>
      <c r="AH1787" s="20" t="n"/>
    </row>
    <row r="1788">
      <c r="A1788" s="9" t="n">
        <v>807968</v>
      </c>
      <c r="B1788" s="9" t="inlineStr">
        <is>
          <t>David Matoma</t>
        </is>
      </c>
      <c r="C1788" s="9" t="inlineStr">
        <is>
          <t>PIT</t>
        </is>
      </c>
      <c r="D1788" s="9" t="n">
        <v>25</v>
      </c>
      <c r="E1788" s="18" t="inlineStr">
        <is>
          <t>R</t>
        </is>
      </c>
      <c r="F1788" s="18" t="n"/>
      <c r="G1788" s="9" t="n">
        <v>18.92</v>
      </c>
      <c r="H1788" s="9" t="n">
        <v>18.92</v>
      </c>
      <c r="I1788" s="9" t="inlineStr">
        <is>
          <t>Depth (no MLB IP)</t>
        </is>
      </c>
      <c r="J1788" s="18" t="inlineStr">
        <is>
          <t>Opening Day</t>
        </is>
      </c>
      <c r="K1788" s="11">
        <f>IFERROR(INDEX(Roles!$B$17:$B$20,MATCH(J1788,Roles!$A$17:$A$20,0)),1)</f>
        <v/>
      </c>
      <c r="L1788" s="19" t="n">
        <v>1</v>
      </c>
      <c r="M1788" s="11" t="n">
        <v>1</v>
      </c>
      <c r="N1788" s="19" t="n"/>
      <c r="O1788" s="19" t="n"/>
      <c r="P1788" s="19" t="n"/>
      <c r="Q1788" s="19" t="n"/>
      <c r="R1788" s="19" t="n"/>
      <c r="S1788" s="19" t="n"/>
      <c r="T1788" s="19" t="n"/>
      <c r="U1788" s="19" t="n"/>
      <c r="V1788" s="19" t="n"/>
      <c r="W1788" s="19" t="n"/>
      <c r="X1788" s="19" t="n"/>
      <c r="Y1788" s="19" t="n">
        <v>1</v>
      </c>
      <c r="Z1788" s="13">
        <f>SUMPRODUCT(N1788:Y1788,$N$2:$Y$2)*$K1788*$L1788*$M1788</f>
        <v/>
      </c>
      <c r="AA1788" s="14">
        <f>SUM(N1788:Y1788)</f>
        <v/>
      </c>
      <c r="AB1788" s="13">
        <f>SUMPRODUCT(N1788:Y1788,$N$3:$Y$3)*$K1788*$L1788*$M1788</f>
        <v/>
      </c>
      <c r="AC1788" s="13">
        <f>SUMPRODUCT(N1788:Y1788,$N$4:$Y$4)*$K1788*$L1788*$M1788</f>
        <v/>
      </c>
      <c r="AD1788" s="15" t="n">
        <v>3</v>
      </c>
      <c r="AE1788" s="11" t="n">
        <v>1.011296296296296</v>
      </c>
      <c r="AF1788" s="16">
        <f>SUMPRODUCT(N1788:Y1788,$N$5:$Y$5)*$K1788*$L1788*$M1788</f>
        <v/>
      </c>
      <c r="AG1788" s="16">
        <f>SUMPRODUCT(N1788:Y1788,$N$6:$Y$6)*$K1788*$L1788*$M1788</f>
        <v/>
      </c>
      <c r="AH1788" s="20" t="n"/>
    </row>
    <row r="1789">
      <c r="A1789" s="9" t="n">
        <v>702448</v>
      </c>
      <c r="B1789" s="9" t="inlineStr">
        <is>
          <t>C.J. Widger</t>
        </is>
      </c>
      <c r="C1789" s="9" t="inlineStr">
        <is>
          <t>SD</t>
        </is>
      </c>
      <c r="D1789" s="9" t="n">
        <v>25</v>
      </c>
      <c r="E1789" s="18" t="inlineStr">
        <is>
          <t>L</t>
        </is>
      </c>
      <c r="F1789" s="18" t="n"/>
      <c r="G1789" s="9" t="n">
        <v>18.92</v>
      </c>
      <c r="H1789" s="9" t="n">
        <v>18.92</v>
      </c>
      <c r="I1789" s="9" t="inlineStr">
        <is>
          <t>Depth (no MLB IP)</t>
        </is>
      </c>
      <c r="J1789" s="18" t="inlineStr">
        <is>
          <t>Opening Day</t>
        </is>
      </c>
      <c r="K1789" s="11">
        <f>IFERROR(INDEX(Roles!$B$17:$B$20,MATCH(J1789,Roles!$A$17:$A$20,0)),1)</f>
        <v/>
      </c>
      <c r="L1789" s="19" t="n">
        <v>1</v>
      </c>
      <c r="M1789" s="11" t="n">
        <v>1</v>
      </c>
      <c r="N1789" s="19" t="n"/>
      <c r="O1789" s="19" t="n"/>
      <c r="P1789" s="19" t="n"/>
      <c r="Q1789" s="19" t="n"/>
      <c r="R1789" s="19" t="n"/>
      <c r="S1789" s="19" t="n"/>
      <c r="T1789" s="19" t="n"/>
      <c r="U1789" s="19" t="n"/>
      <c r="V1789" s="19" t="n"/>
      <c r="W1789" s="19" t="n"/>
      <c r="X1789" s="19" t="n"/>
      <c r="Y1789" s="19" t="n">
        <v>1</v>
      </c>
      <c r="Z1789" s="13">
        <f>SUMPRODUCT(N1789:Y1789,$N$2:$Y$2)*$K1789*$L1789*$M1789</f>
        <v/>
      </c>
      <c r="AA1789" s="14">
        <f>SUM(N1789:Y1789)</f>
        <v/>
      </c>
      <c r="AB1789" s="13">
        <f>SUMPRODUCT(N1789:Y1789,$N$3:$Y$3)*$K1789*$L1789*$M1789</f>
        <v/>
      </c>
      <c r="AC1789" s="13">
        <f>SUMPRODUCT(N1789:Y1789,$N$4:$Y$4)*$K1789*$L1789*$M1789</f>
        <v/>
      </c>
      <c r="AD1789" s="15" t="n">
        <v>3</v>
      </c>
      <c r="AE1789" s="11" t="n">
        <v>1.011296296296296</v>
      </c>
      <c r="AF1789" s="16">
        <f>SUMPRODUCT(N1789:Y1789,$N$5:$Y$5)*$K1789*$L1789*$M1789</f>
        <v/>
      </c>
      <c r="AG1789" s="16">
        <f>SUMPRODUCT(N1789:Y1789,$N$6:$Y$6)*$K1789*$L1789*$M1789</f>
        <v/>
      </c>
      <c r="AH1789" s="20" t="n"/>
    </row>
    <row r="1790">
      <c r="A1790" s="9" t="n">
        <v>685121</v>
      </c>
      <c r="B1790" s="9" t="inlineStr">
        <is>
          <t>Beau Philip</t>
        </is>
      </c>
      <c r="C1790" s="9" t="inlineStr">
        <is>
          <t>TOR</t>
        </is>
      </c>
      <c r="D1790" s="9" t="n">
        <v>25</v>
      </c>
      <c r="E1790" s="18" t="inlineStr">
        <is>
          <t>R</t>
        </is>
      </c>
      <c r="F1790" s="18" t="n"/>
      <c r="G1790" s="9" t="n">
        <v>18.92</v>
      </c>
      <c r="H1790" s="9" t="n">
        <v>18.92</v>
      </c>
      <c r="I1790" s="9" t="inlineStr">
        <is>
          <t>Depth (no MLB IP)</t>
        </is>
      </c>
      <c r="J1790" s="18" t="inlineStr">
        <is>
          <t>Opening Day</t>
        </is>
      </c>
      <c r="K1790" s="11">
        <f>IFERROR(INDEX(Roles!$B$17:$B$20,MATCH(J1790,Roles!$A$17:$A$20,0)),1)</f>
        <v/>
      </c>
      <c r="L1790" s="19" t="n">
        <v>1</v>
      </c>
      <c r="M1790" s="11" t="n">
        <v>1</v>
      </c>
      <c r="N1790" s="19" t="n"/>
      <c r="O1790" s="19" t="n"/>
      <c r="P1790" s="19" t="n"/>
      <c r="Q1790" s="19" t="n"/>
      <c r="R1790" s="19" t="n"/>
      <c r="S1790" s="19" t="n"/>
      <c r="T1790" s="19" t="n"/>
      <c r="U1790" s="19" t="n"/>
      <c r="V1790" s="19" t="n"/>
      <c r="W1790" s="19" t="n"/>
      <c r="X1790" s="19" t="n"/>
      <c r="Y1790" s="19" t="n">
        <v>1</v>
      </c>
      <c r="Z1790" s="13">
        <f>SUMPRODUCT(N1790:Y1790,$N$2:$Y$2)*$K1790*$L1790*$M1790</f>
        <v/>
      </c>
      <c r="AA1790" s="14">
        <f>SUM(N1790:Y1790)</f>
        <v/>
      </c>
      <c r="AB1790" s="13">
        <f>SUMPRODUCT(N1790:Y1790,$N$3:$Y$3)*$K1790*$L1790*$M1790</f>
        <v/>
      </c>
      <c r="AC1790" s="13">
        <f>SUMPRODUCT(N1790:Y1790,$N$4:$Y$4)*$K1790*$L1790*$M1790</f>
        <v/>
      </c>
      <c r="AD1790" s="15" t="n">
        <v>3</v>
      </c>
      <c r="AE1790" s="11" t="n">
        <v>1.011296296296296</v>
      </c>
      <c r="AF1790" s="16">
        <f>SUMPRODUCT(N1790:Y1790,$N$5:$Y$5)*$K1790*$L1790*$M1790</f>
        <v/>
      </c>
      <c r="AG1790" s="16">
        <f>SUMPRODUCT(N1790:Y1790,$N$6:$Y$6)*$K1790*$L1790*$M1790</f>
        <v/>
      </c>
      <c r="AH1790" s="20" t="n"/>
    </row>
    <row r="1791">
      <c r="A1791" s="9" t="n">
        <v>809949</v>
      </c>
      <c r="B1791" s="9" t="inlineStr">
        <is>
          <t>Connor Wilford</t>
        </is>
      </c>
      <c r="C1791" s="9" t="inlineStr">
        <is>
          <t>SEA</t>
        </is>
      </c>
      <c r="D1791" s="9" t="n">
        <v>25</v>
      </c>
      <c r="E1791" s="18" t="inlineStr">
        <is>
          <t>R</t>
        </is>
      </c>
      <c r="F1791" s="18" t="n"/>
      <c r="G1791" s="9" t="n">
        <v>18.748</v>
      </c>
      <c r="H1791" s="9" t="n">
        <v>18.748</v>
      </c>
      <c r="I1791" s="9" t="inlineStr">
        <is>
          <t>Depth (no MLB IP)</t>
        </is>
      </c>
      <c r="J1791" s="18" t="inlineStr">
        <is>
          <t>Opening Day</t>
        </is>
      </c>
      <c r="K1791" s="11">
        <f>IFERROR(INDEX(Roles!$B$17:$B$20,MATCH(J1791,Roles!$A$17:$A$20,0)),1)</f>
        <v/>
      </c>
      <c r="L1791" s="19" t="n">
        <v>1</v>
      </c>
      <c r="M1791" s="11" t="n">
        <v>1</v>
      </c>
      <c r="N1791" s="19" t="n"/>
      <c r="O1791" s="19" t="n"/>
      <c r="P1791" s="19" t="n"/>
      <c r="Q1791" s="19" t="n"/>
      <c r="R1791" s="19" t="n"/>
      <c r="S1791" s="19" t="n"/>
      <c r="T1791" s="19" t="n"/>
      <c r="U1791" s="19" t="n"/>
      <c r="V1791" s="19" t="n"/>
      <c r="W1791" s="19" t="n"/>
      <c r="X1791" s="19" t="n"/>
      <c r="Y1791" s="19" t="n">
        <v>1</v>
      </c>
      <c r="Z1791" s="13">
        <f>SUMPRODUCT(N1791:Y1791,$N$2:$Y$2)*$K1791*$L1791*$M1791</f>
        <v/>
      </c>
      <c r="AA1791" s="14">
        <f>SUM(N1791:Y1791)</f>
        <v/>
      </c>
      <c r="AB1791" s="13">
        <f>SUMPRODUCT(N1791:Y1791,$N$3:$Y$3)*$K1791*$L1791*$M1791</f>
        <v/>
      </c>
      <c r="AC1791" s="13">
        <f>SUMPRODUCT(N1791:Y1791,$N$4:$Y$4)*$K1791*$L1791*$M1791</f>
        <v/>
      </c>
      <c r="AD1791" s="15" t="n">
        <v>3</v>
      </c>
      <c r="AE1791" s="11" t="n">
        <v>1.011296296296296</v>
      </c>
      <c r="AF1791" s="16">
        <f>SUMPRODUCT(N1791:Y1791,$N$5:$Y$5)*$K1791*$L1791*$M1791</f>
        <v/>
      </c>
      <c r="AG1791" s="16">
        <f>SUMPRODUCT(N1791:Y1791,$N$6:$Y$6)*$K1791*$L1791*$M1791</f>
        <v/>
      </c>
      <c r="AH1791" s="20" t="n"/>
    </row>
    <row r="1792">
      <c r="A1792" s="9" t="n">
        <v>686572</v>
      </c>
      <c r="B1792" s="9" t="inlineStr">
        <is>
          <t>Ryan Cabarcas</t>
        </is>
      </c>
      <c r="C1792" s="9" t="inlineStr">
        <is>
          <t>BAL</t>
        </is>
      </c>
      <c r="D1792" s="9" t="n">
        <v>25</v>
      </c>
      <c r="E1792" s="18" t="inlineStr">
        <is>
          <t>L</t>
        </is>
      </c>
      <c r="F1792" s="18" t="n"/>
      <c r="G1792" s="9" t="n">
        <v>18.92</v>
      </c>
      <c r="H1792" s="9" t="n">
        <v>18.92</v>
      </c>
      <c r="I1792" s="9" t="inlineStr">
        <is>
          <t>Depth (no MLB IP)</t>
        </is>
      </c>
      <c r="J1792" s="18" t="inlineStr">
        <is>
          <t>Opening Day</t>
        </is>
      </c>
      <c r="K1792" s="11">
        <f>IFERROR(INDEX(Roles!$B$17:$B$20,MATCH(J1792,Roles!$A$17:$A$20,0)),1)</f>
        <v/>
      </c>
      <c r="L1792" s="19" t="n">
        <v>1</v>
      </c>
      <c r="M1792" s="11" t="n">
        <v>1</v>
      </c>
      <c r="N1792" s="19" t="n"/>
      <c r="O1792" s="19" t="n"/>
      <c r="P1792" s="19" t="n"/>
      <c r="Q1792" s="19" t="n"/>
      <c r="R1792" s="19" t="n"/>
      <c r="S1792" s="19" t="n"/>
      <c r="T1792" s="19" t="n"/>
      <c r="U1792" s="19" t="n"/>
      <c r="V1792" s="19" t="n"/>
      <c r="W1792" s="19" t="n"/>
      <c r="X1792" s="19" t="n"/>
      <c r="Y1792" s="19" t="n">
        <v>1</v>
      </c>
      <c r="Z1792" s="13">
        <f>SUMPRODUCT(N1792:Y1792,$N$2:$Y$2)*$K1792*$L1792*$M1792</f>
        <v/>
      </c>
      <c r="AA1792" s="14">
        <f>SUM(N1792:Y1792)</f>
        <v/>
      </c>
      <c r="AB1792" s="13">
        <f>SUMPRODUCT(N1792:Y1792,$N$3:$Y$3)*$K1792*$L1792*$M1792</f>
        <v/>
      </c>
      <c r="AC1792" s="13">
        <f>SUMPRODUCT(N1792:Y1792,$N$4:$Y$4)*$K1792*$L1792*$M1792</f>
        <v/>
      </c>
      <c r="AD1792" s="15" t="n">
        <v>3</v>
      </c>
      <c r="AE1792" s="11" t="n">
        <v>1.011296296296296</v>
      </c>
      <c r="AF1792" s="16">
        <f>SUMPRODUCT(N1792:Y1792,$N$5:$Y$5)*$K1792*$L1792*$M1792</f>
        <v/>
      </c>
      <c r="AG1792" s="16">
        <f>SUMPRODUCT(N1792:Y1792,$N$6:$Y$6)*$K1792*$L1792*$M1792</f>
        <v/>
      </c>
      <c r="AH1792" s="20" t="n"/>
    </row>
    <row r="1793">
      <c r="A1793" s="9" t="n">
        <v>702260</v>
      </c>
      <c r="B1793" s="9" t="inlineStr">
        <is>
          <t>Eli Jerzembeck</t>
        </is>
      </c>
      <c r="C1793" s="9" t="inlineStr">
        <is>
          <t>CHC</t>
        </is>
      </c>
      <c r="D1793" s="9" t="n">
        <v>25</v>
      </c>
      <c r="E1793" s="18" t="inlineStr">
        <is>
          <t>R</t>
        </is>
      </c>
      <c r="F1793" s="18" t="n"/>
      <c r="G1793" s="9" t="n">
        <v>18.92</v>
      </c>
      <c r="H1793" s="9" t="n">
        <v>18.92</v>
      </c>
      <c r="I1793" s="9" t="inlineStr">
        <is>
          <t>Depth (no MLB IP)</t>
        </is>
      </c>
      <c r="J1793" s="18" t="inlineStr">
        <is>
          <t>Opening Day</t>
        </is>
      </c>
      <c r="K1793" s="11">
        <f>IFERROR(INDEX(Roles!$B$17:$B$20,MATCH(J1793,Roles!$A$17:$A$20,0)),1)</f>
        <v/>
      </c>
      <c r="L1793" s="19" t="n">
        <v>1</v>
      </c>
      <c r="M1793" s="11" t="n">
        <v>1</v>
      </c>
      <c r="N1793" s="19" t="n"/>
      <c r="O1793" s="19" t="n"/>
      <c r="P1793" s="19" t="n"/>
      <c r="Q1793" s="19" t="n"/>
      <c r="R1793" s="19" t="n"/>
      <c r="S1793" s="19" t="n"/>
      <c r="T1793" s="19" t="n"/>
      <c r="U1793" s="19" t="n"/>
      <c r="V1793" s="19" t="n"/>
      <c r="W1793" s="19" t="n"/>
      <c r="X1793" s="19" t="n"/>
      <c r="Y1793" s="19" t="n">
        <v>1</v>
      </c>
      <c r="Z1793" s="13">
        <f>SUMPRODUCT(N1793:Y1793,$N$2:$Y$2)*$K1793*$L1793*$M1793</f>
        <v/>
      </c>
      <c r="AA1793" s="14">
        <f>SUM(N1793:Y1793)</f>
        <v/>
      </c>
      <c r="AB1793" s="13">
        <f>SUMPRODUCT(N1793:Y1793,$N$3:$Y$3)*$K1793*$L1793*$M1793</f>
        <v/>
      </c>
      <c r="AC1793" s="13">
        <f>SUMPRODUCT(N1793:Y1793,$N$4:$Y$4)*$K1793*$L1793*$M1793</f>
        <v/>
      </c>
      <c r="AD1793" s="15" t="n">
        <v>3</v>
      </c>
      <c r="AE1793" s="11" t="n">
        <v>1.011296296296296</v>
      </c>
      <c r="AF1793" s="16">
        <f>SUMPRODUCT(N1793:Y1793,$N$5:$Y$5)*$K1793*$L1793*$M1793</f>
        <v/>
      </c>
      <c r="AG1793" s="16">
        <f>SUMPRODUCT(N1793:Y1793,$N$6:$Y$6)*$K1793*$L1793*$M1793</f>
        <v/>
      </c>
      <c r="AH1793" s="20" t="n"/>
    </row>
    <row r="1794">
      <c r="A1794" s="9" t="n">
        <v>685396</v>
      </c>
      <c r="B1794" s="9" t="inlineStr">
        <is>
          <t>Nate Peterson</t>
        </is>
      </c>
      <c r="C1794" s="9" t="inlineStr">
        <is>
          <t>CIN</t>
        </is>
      </c>
      <c r="D1794" s="9" t="n">
        <v>25</v>
      </c>
      <c r="E1794" s="18" t="inlineStr">
        <is>
          <t>L</t>
        </is>
      </c>
      <c r="F1794" s="18" t="n"/>
      <c r="G1794" s="9" t="n">
        <v>18.92</v>
      </c>
      <c r="H1794" s="9" t="n">
        <v>18.92</v>
      </c>
      <c r="I1794" s="9" t="inlineStr">
        <is>
          <t>Depth (no MLB IP)</t>
        </is>
      </c>
      <c r="J1794" s="18" t="inlineStr">
        <is>
          <t>Opening Day</t>
        </is>
      </c>
      <c r="K1794" s="11">
        <f>IFERROR(INDEX(Roles!$B$17:$B$20,MATCH(J1794,Roles!$A$17:$A$20,0)),1)</f>
        <v/>
      </c>
      <c r="L1794" s="19" t="n">
        <v>1</v>
      </c>
      <c r="M1794" s="11" t="n">
        <v>1</v>
      </c>
      <c r="N1794" s="19" t="n"/>
      <c r="O1794" s="19" t="n"/>
      <c r="P1794" s="19" t="n"/>
      <c r="Q1794" s="19" t="n"/>
      <c r="R1794" s="19" t="n"/>
      <c r="S1794" s="19" t="n"/>
      <c r="T1794" s="19" t="n"/>
      <c r="U1794" s="19" t="n"/>
      <c r="V1794" s="19" t="n"/>
      <c r="W1794" s="19" t="n"/>
      <c r="X1794" s="19" t="n"/>
      <c r="Y1794" s="19" t="n">
        <v>1</v>
      </c>
      <c r="Z1794" s="13">
        <f>SUMPRODUCT(N1794:Y1794,$N$2:$Y$2)*$K1794*$L1794*$M1794</f>
        <v/>
      </c>
      <c r="AA1794" s="14">
        <f>SUM(N1794:Y1794)</f>
        <v/>
      </c>
      <c r="AB1794" s="13">
        <f>SUMPRODUCT(N1794:Y1794,$N$3:$Y$3)*$K1794*$L1794*$M1794</f>
        <v/>
      </c>
      <c r="AC1794" s="13">
        <f>SUMPRODUCT(N1794:Y1794,$N$4:$Y$4)*$K1794*$L1794*$M1794</f>
        <v/>
      </c>
      <c r="AD1794" s="15" t="n">
        <v>3</v>
      </c>
      <c r="AE1794" s="11" t="n">
        <v>1.011296296296296</v>
      </c>
      <c r="AF1794" s="16">
        <f>SUMPRODUCT(N1794:Y1794,$N$5:$Y$5)*$K1794*$L1794*$M1794</f>
        <v/>
      </c>
      <c r="AG1794" s="16">
        <f>SUMPRODUCT(N1794:Y1794,$N$6:$Y$6)*$K1794*$L1794*$M1794</f>
        <v/>
      </c>
      <c r="AH1794" s="20" t="n"/>
    </row>
    <row r="1795">
      <c r="A1795" s="9" t="n">
        <v>823877</v>
      </c>
      <c r="B1795" s="9" t="inlineStr">
        <is>
          <t>Joseph Herrera</t>
        </is>
      </c>
      <c r="C1795" s="9" t="inlineStr">
        <is>
          <t>SD</t>
        </is>
      </c>
      <c r="D1795" s="9" t="n">
        <v>25</v>
      </c>
      <c r="E1795" s="18" t="inlineStr">
        <is>
          <t>L</t>
        </is>
      </c>
      <c r="F1795" s="18" t="n"/>
      <c r="G1795" s="9" t="n">
        <v>18.92</v>
      </c>
      <c r="H1795" s="9" t="n">
        <v>18.92</v>
      </c>
      <c r="I1795" s="9" t="inlineStr">
        <is>
          <t>Depth (no MLB IP)</t>
        </is>
      </c>
      <c r="J1795" s="18" t="inlineStr">
        <is>
          <t>Opening Day</t>
        </is>
      </c>
      <c r="K1795" s="11">
        <f>IFERROR(INDEX(Roles!$B$17:$B$20,MATCH(J1795,Roles!$A$17:$A$20,0)),1)</f>
        <v/>
      </c>
      <c r="L1795" s="19" t="n">
        <v>1</v>
      </c>
      <c r="M1795" s="11" t="n">
        <v>1</v>
      </c>
      <c r="N1795" s="19" t="n"/>
      <c r="O1795" s="19" t="n"/>
      <c r="P1795" s="19" t="n"/>
      <c r="Q1795" s="19" t="n"/>
      <c r="R1795" s="19" t="n"/>
      <c r="S1795" s="19" t="n"/>
      <c r="T1795" s="19" t="n"/>
      <c r="U1795" s="19" t="n"/>
      <c r="V1795" s="19" t="n"/>
      <c r="W1795" s="19" t="n"/>
      <c r="X1795" s="19" t="n"/>
      <c r="Y1795" s="19" t="n">
        <v>1</v>
      </c>
      <c r="Z1795" s="13">
        <f>SUMPRODUCT(N1795:Y1795,$N$2:$Y$2)*$K1795*$L1795*$M1795</f>
        <v/>
      </c>
      <c r="AA1795" s="14">
        <f>SUM(N1795:Y1795)</f>
        <v/>
      </c>
      <c r="AB1795" s="13">
        <f>SUMPRODUCT(N1795:Y1795,$N$3:$Y$3)*$K1795*$L1795*$M1795</f>
        <v/>
      </c>
      <c r="AC1795" s="13">
        <f>SUMPRODUCT(N1795:Y1795,$N$4:$Y$4)*$K1795*$L1795*$M1795</f>
        <v/>
      </c>
      <c r="AD1795" s="15" t="n">
        <v>3</v>
      </c>
      <c r="AE1795" s="11" t="n">
        <v>1.011296296296296</v>
      </c>
      <c r="AF1795" s="16">
        <f>SUMPRODUCT(N1795:Y1795,$N$5:$Y$5)*$K1795*$L1795*$M1795</f>
        <v/>
      </c>
      <c r="AG1795" s="16">
        <f>SUMPRODUCT(N1795:Y1795,$N$6:$Y$6)*$K1795*$L1795*$M1795</f>
        <v/>
      </c>
      <c r="AH1795" s="20" t="n"/>
    </row>
    <row r="1796">
      <c r="A1796" s="9" t="n">
        <v>690711</v>
      </c>
      <c r="B1796" s="9" t="inlineStr">
        <is>
          <t>Clark Candiotti</t>
        </is>
      </c>
      <c r="C1796" s="9" t="inlineStr">
        <is>
          <t>SD</t>
        </is>
      </c>
      <c r="D1796" s="9" t="n">
        <v>25</v>
      </c>
      <c r="E1796" s="18" t="inlineStr">
        <is>
          <t>R</t>
        </is>
      </c>
      <c r="F1796" s="18" t="n"/>
      <c r="G1796" s="9" t="n">
        <v>19.06333333333333</v>
      </c>
      <c r="H1796" s="9" t="n">
        <v>19.06333333333333</v>
      </c>
      <c r="I1796" s="9" t="inlineStr">
        <is>
          <t>Depth (no MLB IP)</t>
        </is>
      </c>
      <c r="J1796" s="18" t="inlineStr">
        <is>
          <t>Opening Day</t>
        </is>
      </c>
      <c r="K1796" s="11">
        <f>IFERROR(INDEX(Roles!$B$17:$B$20,MATCH(J1796,Roles!$A$17:$A$20,0)),1)</f>
        <v/>
      </c>
      <c r="L1796" s="19" t="n">
        <v>1</v>
      </c>
      <c r="M1796" s="11" t="n">
        <v>1</v>
      </c>
      <c r="N1796" s="19" t="n"/>
      <c r="O1796" s="19" t="n"/>
      <c r="P1796" s="19" t="n"/>
      <c r="Q1796" s="19" t="n"/>
      <c r="R1796" s="19" t="n"/>
      <c r="S1796" s="19" t="n"/>
      <c r="T1796" s="19" t="n"/>
      <c r="U1796" s="19" t="n"/>
      <c r="V1796" s="19" t="n"/>
      <c r="W1796" s="19" t="n"/>
      <c r="X1796" s="19" t="n"/>
      <c r="Y1796" s="19" t="n">
        <v>1</v>
      </c>
      <c r="Z1796" s="13">
        <f>SUMPRODUCT(N1796:Y1796,$N$2:$Y$2)*$K1796*$L1796*$M1796</f>
        <v/>
      </c>
      <c r="AA1796" s="14">
        <f>SUM(N1796:Y1796)</f>
        <v/>
      </c>
      <c r="AB1796" s="13">
        <f>SUMPRODUCT(N1796:Y1796,$N$3:$Y$3)*$K1796*$L1796*$M1796</f>
        <v/>
      </c>
      <c r="AC1796" s="13">
        <f>SUMPRODUCT(N1796:Y1796,$N$4:$Y$4)*$K1796*$L1796*$M1796</f>
        <v/>
      </c>
      <c r="AD1796" s="15" t="n">
        <v>3</v>
      </c>
      <c r="AE1796" s="11" t="n">
        <v>1.011296296296296</v>
      </c>
      <c r="AF1796" s="16">
        <f>SUMPRODUCT(N1796:Y1796,$N$5:$Y$5)*$K1796*$L1796*$M1796</f>
        <v/>
      </c>
      <c r="AG1796" s="16">
        <f>SUMPRODUCT(N1796:Y1796,$N$6:$Y$6)*$K1796*$L1796*$M1796</f>
        <v/>
      </c>
      <c r="AH1796" s="20" t="n"/>
    </row>
    <row r="1797">
      <c r="A1797" s="9" t="n">
        <v>836072</v>
      </c>
      <c r="B1797" s="9" t="inlineStr">
        <is>
          <t>Garrett Langrell</t>
        </is>
      </c>
      <c r="C1797" s="9" t="inlineStr">
        <is>
          <t>SF</t>
        </is>
      </c>
      <c r="D1797" s="9" t="n">
        <v>25</v>
      </c>
      <c r="E1797" s="18" t="inlineStr">
        <is>
          <t>R</t>
        </is>
      </c>
      <c r="F1797" s="18" t="n"/>
      <c r="G1797" s="9" t="n">
        <v>19.092</v>
      </c>
      <c r="H1797" s="9" t="n">
        <v>19.092</v>
      </c>
      <c r="I1797" s="9" t="inlineStr">
        <is>
          <t>Depth (no MLB IP)</t>
        </is>
      </c>
      <c r="J1797" s="18" t="inlineStr">
        <is>
          <t>Opening Day</t>
        </is>
      </c>
      <c r="K1797" s="11">
        <f>IFERROR(INDEX(Roles!$B$17:$B$20,MATCH(J1797,Roles!$A$17:$A$20,0)),1)</f>
        <v/>
      </c>
      <c r="L1797" s="19" t="n">
        <v>1</v>
      </c>
      <c r="M1797" s="11" t="n">
        <v>1</v>
      </c>
      <c r="N1797" s="19" t="n"/>
      <c r="O1797" s="19" t="n"/>
      <c r="P1797" s="19" t="n"/>
      <c r="Q1797" s="19" t="n"/>
      <c r="R1797" s="19" t="n"/>
      <c r="S1797" s="19" t="n"/>
      <c r="T1797" s="19" t="n"/>
      <c r="U1797" s="19" t="n"/>
      <c r="V1797" s="19" t="n"/>
      <c r="W1797" s="19" t="n"/>
      <c r="X1797" s="19" t="n"/>
      <c r="Y1797" s="19" t="n">
        <v>1</v>
      </c>
      <c r="Z1797" s="13">
        <f>SUMPRODUCT(N1797:Y1797,$N$2:$Y$2)*$K1797*$L1797*$M1797</f>
        <v/>
      </c>
      <c r="AA1797" s="14">
        <f>SUM(N1797:Y1797)</f>
        <v/>
      </c>
      <c r="AB1797" s="13">
        <f>SUMPRODUCT(N1797:Y1797,$N$3:$Y$3)*$K1797*$L1797*$M1797</f>
        <v/>
      </c>
      <c r="AC1797" s="13">
        <f>SUMPRODUCT(N1797:Y1797,$N$4:$Y$4)*$K1797*$L1797*$M1797</f>
        <v/>
      </c>
      <c r="AD1797" s="15" t="n">
        <v>3</v>
      </c>
      <c r="AE1797" s="11" t="n">
        <v>1.011296296296296</v>
      </c>
      <c r="AF1797" s="16">
        <f>SUMPRODUCT(N1797:Y1797,$N$5:$Y$5)*$K1797*$L1797*$M1797</f>
        <v/>
      </c>
      <c r="AG1797" s="16">
        <f>SUMPRODUCT(N1797:Y1797,$N$6:$Y$6)*$K1797*$L1797*$M1797</f>
        <v/>
      </c>
      <c r="AH1797" s="20" t="n"/>
    </row>
    <row r="1798">
      <c r="A1798" s="9" t="n">
        <v>696140</v>
      </c>
      <c r="B1798" s="9" t="inlineStr">
        <is>
          <t>Ethan Murray</t>
        </is>
      </c>
      <c r="C1798" s="9" t="inlineStr">
        <is>
          <t>MIL</t>
        </is>
      </c>
      <c r="D1798" s="9" t="n">
        <v>25</v>
      </c>
      <c r="E1798" s="18" t="inlineStr">
        <is>
          <t>R</t>
        </is>
      </c>
      <c r="F1798" s="18" t="n"/>
      <c r="G1798" s="9" t="n">
        <v>18.92</v>
      </c>
      <c r="H1798" s="9" t="n">
        <v>18.92</v>
      </c>
      <c r="I1798" s="9" t="inlineStr">
        <is>
          <t>Depth (no MLB IP)</t>
        </is>
      </c>
      <c r="J1798" s="18" t="inlineStr">
        <is>
          <t>Opening Day</t>
        </is>
      </c>
      <c r="K1798" s="11">
        <f>IFERROR(INDEX(Roles!$B$17:$B$20,MATCH(J1798,Roles!$A$17:$A$20,0)),1)</f>
        <v/>
      </c>
      <c r="L1798" s="19" t="n">
        <v>1</v>
      </c>
      <c r="M1798" s="11" t="n">
        <v>1</v>
      </c>
      <c r="N1798" s="19" t="n"/>
      <c r="O1798" s="19" t="n"/>
      <c r="P1798" s="19" t="n"/>
      <c r="Q1798" s="19" t="n"/>
      <c r="R1798" s="19" t="n"/>
      <c r="S1798" s="19" t="n"/>
      <c r="T1798" s="19" t="n"/>
      <c r="U1798" s="19" t="n"/>
      <c r="V1798" s="19" t="n"/>
      <c r="W1798" s="19" t="n"/>
      <c r="X1798" s="19" t="n"/>
      <c r="Y1798" s="19" t="n">
        <v>1</v>
      </c>
      <c r="Z1798" s="13">
        <f>SUMPRODUCT(N1798:Y1798,$N$2:$Y$2)*$K1798*$L1798*$M1798</f>
        <v/>
      </c>
      <c r="AA1798" s="14">
        <f>SUM(N1798:Y1798)</f>
        <v/>
      </c>
      <c r="AB1798" s="13">
        <f>SUMPRODUCT(N1798:Y1798,$N$3:$Y$3)*$K1798*$L1798*$M1798</f>
        <v/>
      </c>
      <c r="AC1798" s="13">
        <f>SUMPRODUCT(N1798:Y1798,$N$4:$Y$4)*$K1798*$L1798*$M1798</f>
        <v/>
      </c>
      <c r="AD1798" s="15" t="n">
        <v>3</v>
      </c>
      <c r="AE1798" s="11" t="n">
        <v>1.011296296296296</v>
      </c>
      <c r="AF1798" s="16">
        <f>SUMPRODUCT(N1798:Y1798,$N$5:$Y$5)*$K1798*$L1798*$M1798</f>
        <v/>
      </c>
      <c r="AG1798" s="16">
        <f>SUMPRODUCT(N1798:Y1798,$N$6:$Y$6)*$K1798*$L1798*$M1798</f>
        <v/>
      </c>
      <c r="AH1798" s="20" t="n"/>
    </row>
    <row r="1799">
      <c r="A1799" s="9" t="n">
        <v>687881</v>
      </c>
      <c r="B1799" s="9" t="inlineStr">
        <is>
          <t>Kenten Egbert</t>
        </is>
      </c>
      <c r="C1799" s="9" t="inlineStr">
        <is>
          <t>CHC</t>
        </is>
      </c>
      <c r="D1799" s="9" t="n">
        <v>25</v>
      </c>
      <c r="E1799" s="18" t="inlineStr">
        <is>
          <t>R</t>
        </is>
      </c>
      <c r="F1799" s="18" t="n"/>
      <c r="G1799" s="9" t="n">
        <v>18.92</v>
      </c>
      <c r="H1799" s="9" t="n">
        <v>18.92</v>
      </c>
      <c r="I1799" s="9" t="inlineStr">
        <is>
          <t>Depth (no MLB IP)</t>
        </is>
      </c>
      <c r="J1799" s="18" t="inlineStr">
        <is>
          <t>Opening Day</t>
        </is>
      </c>
      <c r="K1799" s="11">
        <f>IFERROR(INDEX(Roles!$B$17:$B$20,MATCH(J1799,Roles!$A$17:$A$20,0)),1)</f>
        <v/>
      </c>
      <c r="L1799" s="19" t="n">
        <v>1</v>
      </c>
      <c r="M1799" s="11" t="n">
        <v>1</v>
      </c>
      <c r="N1799" s="19" t="n"/>
      <c r="O1799" s="19" t="n"/>
      <c r="P1799" s="19" t="n"/>
      <c r="Q1799" s="19" t="n"/>
      <c r="R1799" s="19" t="n"/>
      <c r="S1799" s="19" t="n"/>
      <c r="T1799" s="19" t="n"/>
      <c r="U1799" s="19" t="n"/>
      <c r="V1799" s="19" t="n"/>
      <c r="W1799" s="19" t="n"/>
      <c r="X1799" s="19" t="n"/>
      <c r="Y1799" s="19" t="n">
        <v>1</v>
      </c>
      <c r="Z1799" s="13">
        <f>SUMPRODUCT(N1799:Y1799,$N$2:$Y$2)*$K1799*$L1799*$M1799</f>
        <v/>
      </c>
      <c r="AA1799" s="14">
        <f>SUM(N1799:Y1799)</f>
        <v/>
      </c>
      <c r="AB1799" s="13">
        <f>SUMPRODUCT(N1799:Y1799,$N$3:$Y$3)*$K1799*$L1799*$M1799</f>
        <v/>
      </c>
      <c r="AC1799" s="13">
        <f>SUMPRODUCT(N1799:Y1799,$N$4:$Y$4)*$K1799*$L1799*$M1799</f>
        <v/>
      </c>
      <c r="AD1799" s="15" t="n">
        <v>3</v>
      </c>
      <c r="AE1799" s="11" t="n">
        <v>1.011296296296296</v>
      </c>
      <c r="AF1799" s="16">
        <f>SUMPRODUCT(N1799:Y1799,$N$5:$Y$5)*$K1799*$L1799*$M1799</f>
        <v/>
      </c>
      <c r="AG1799" s="16">
        <f>SUMPRODUCT(N1799:Y1799,$N$6:$Y$6)*$K1799*$L1799*$M1799</f>
        <v/>
      </c>
      <c r="AH1799" s="20" t="n"/>
    </row>
    <row r="1800">
      <c r="A1800" s="9" t="n">
        <v>680749</v>
      </c>
      <c r="B1800" s="9" t="inlineStr">
        <is>
          <t>Joseph Menefee</t>
        </is>
      </c>
      <c r="C1800" s="9" t="inlineStr">
        <is>
          <t>CIN</t>
        </is>
      </c>
      <c r="D1800" s="9" t="n">
        <v>25</v>
      </c>
      <c r="E1800" s="18" t="inlineStr">
        <is>
          <t>L</t>
        </is>
      </c>
      <c r="F1800" s="18" t="n"/>
      <c r="G1800" s="9" t="n">
        <v>19.06333333333333</v>
      </c>
      <c r="H1800" s="9" t="n">
        <v>19.06333333333333</v>
      </c>
      <c r="I1800" s="9" t="inlineStr">
        <is>
          <t>Depth (no MLB IP)</t>
        </is>
      </c>
      <c r="J1800" s="18" t="inlineStr">
        <is>
          <t>Opening Day</t>
        </is>
      </c>
      <c r="K1800" s="11">
        <f>IFERROR(INDEX(Roles!$B$17:$B$20,MATCH(J1800,Roles!$A$17:$A$20,0)),1)</f>
        <v/>
      </c>
      <c r="L1800" s="19" t="n">
        <v>1</v>
      </c>
      <c r="M1800" s="11" t="n">
        <v>1</v>
      </c>
      <c r="N1800" s="19" t="n"/>
      <c r="O1800" s="19" t="n"/>
      <c r="P1800" s="19" t="n"/>
      <c r="Q1800" s="19" t="n"/>
      <c r="R1800" s="19" t="n"/>
      <c r="S1800" s="19" t="n"/>
      <c r="T1800" s="19" t="n"/>
      <c r="U1800" s="19" t="n"/>
      <c r="V1800" s="19" t="n"/>
      <c r="W1800" s="19" t="n"/>
      <c r="X1800" s="19" t="n"/>
      <c r="Y1800" s="19" t="n">
        <v>1</v>
      </c>
      <c r="Z1800" s="13">
        <f>SUMPRODUCT(N1800:Y1800,$N$2:$Y$2)*$K1800*$L1800*$M1800</f>
        <v/>
      </c>
      <c r="AA1800" s="14">
        <f>SUM(N1800:Y1800)</f>
        <v/>
      </c>
      <c r="AB1800" s="13">
        <f>SUMPRODUCT(N1800:Y1800,$N$3:$Y$3)*$K1800*$L1800*$M1800</f>
        <v/>
      </c>
      <c r="AC1800" s="13">
        <f>SUMPRODUCT(N1800:Y1800,$N$4:$Y$4)*$K1800*$L1800*$M1800</f>
        <v/>
      </c>
      <c r="AD1800" s="15" t="n">
        <v>3</v>
      </c>
      <c r="AE1800" s="11" t="n">
        <v>1.011296296296296</v>
      </c>
      <c r="AF1800" s="16">
        <f>SUMPRODUCT(N1800:Y1800,$N$5:$Y$5)*$K1800*$L1800*$M1800</f>
        <v/>
      </c>
      <c r="AG1800" s="16">
        <f>SUMPRODUCT(N1800:Y1800,$N$6:$Y$6)*$K1800*$L1800*$M1800</f>
        <v/>
      </c>
      <c r="AH1800" s="20" t="n"/>
    </row>
    <row r="1801">
      <c r="A1801" s="9" t="n">
        <v>807480</v>
      </c>
      <c r="B1801" s="9" t="inlineStr">
        <is>
          <t>Jacob Roberts</t>
        </is>
      </c>
      <c r="C1801" s="9" t="inlineStr">
        <is>
          <t>WSH</t>
        </is>
      </c>
      <c r="D1801" s="9" t="n">
        <v>25</v>
      </c>
      <c r="E1801" s="18" t="inlineStr">
        <is>
          <t>R</t>
        </is>
      </c>
      <c r="F1801" s="18" t="n"/>
      <c r="G1801" s="9" t="n">
        <v>19.20666666666666</v>
      </c>
      <c r="H1801" s="9" t="n">
        <v>19.20666666666666</v>
      </c>
      <c r="I1801" s="9" t="inlineStr">
        <is>
          <t>Depth (no MLB IP)</t>
        </is>
      </c>
      <c r="J1801" s="18" t="inlineStr">
        <is>
          <t>Opening Day</t>
        </is>
      </c>
      <c r="K1801" s="11">
        <f>IFERROR(INDEX(Roles!$B$17:$B$20,MATCH(J1801,Roles!$A$17:$A$20,0)),1)</f>
        <v/>
      </c>
      <c r="L1801" s="19" t="n">
        <v>1</v>
      </c>
      <c r="M1801" s="11" t="n">
        <v>1</v>
      </c>
      <c r="N1801" s="19" t="n"/>
      <c r="O1801" s="19" t="n"/>
      <c r="P1801" s="19" t="n"/>
      <c r="Q1801" s="19" t="n"/>
      <c r="R1801" s="19" t="n"/>
      <c r="S1801" s="19" t="n"/>
      <c r="T1801" s="19" t="n"/>
      <c r="U1801" s="19" t="n"/>
      <c r="V1801" s="19" t="n"/>
      <c r="W1801" s="19" t="n"/>
      <c r="X1801" s="19" t="n"/>
      <c r="Y1801" s="19" t="n">
        <v>1</v>
      </c>
      <c r="Z1801" s="13">
        <f>SUMPRODUCT(N1801:Y1801,$N$2:$Y$2)*$K1801*$L1801*$M1801</f>
        <v/>
      </c>
      <c r="AA1801" s="14">
        <f>SUM(N1801:Y1801)</f>
        <v/>
      </c>
      <c r="AB1801" s="13">
        <f>SUMPRODUCT(N1801:Y1801,$N$3:$Y$3)*$K1801*$L1801*$M1801</f>
        <v/>
      </c>
      <c r="AC1801" s="13">
        <f>SUMPRODUCT(N1801:Y1801,$N$4:$Y$4)*$K1801*$L1801*$M1801</f>
        <v/>
      </c>
      <c r="AD1801" s="15" t="n">
        <v>3</v>
      </c>
      <c r="AE1801" s="11" t="n">
        <v>1.011296296296296</v>
      </c>
      <c r="AF1801" s="16">
        <f>SUMPRODUCT(N1801:Y1801,$N$5:$Y$5)*$K1801*$L1801*$M1801</f>
        <v/>
      </c>
      <c r="AG1801" s="16">
        <f>SUMPRODUCT(N1801:Y1801,$N$6:$Y$6)*$K1801*$L1801*$M1801</f>
        <v/>
      </c>
      <c r="AH1801" s="20" t="n"/>
    </row>
    <row r="1802">
      <c r="A1802" s="9" t="n">
        <v>687916</v>
      </c>
      <c r="B1802" s="9" t="inlineStr">
        <is>
          <t>Jack Jasiak</t>
        </is>
      </c>
      <c r="C1802" s="9" t="inlineStr">
        <is>
          <t>CLE</t>
        </is>
      </c>
      <c r="D1802" s="9" t="n">
        <v>25</v>
      </c>
      <c r="E1802" s="18" t="inlineStr">
        <is>
          <t>R</t>
        </is>
      </c>
      <c r="F1802" s="18" t="n"/>
      <c r="G1802" s="9" t="n">
        <v>18.92</v>
      </c>
      <c r="H1802" s="9" t="n">
        <v>18.92</v>
      </c>
      <c r="I1802" s="9" t="inlineStr">
        <is>
          <t>Depth (no MLB IP)</t>
        </is>
      </c>
      <c r="J1802" s="18" t="inlineStr">
        <is>
          <t>Opening Day</t>
        </is>
      </c>
      <c r="K1802" s="11">
        <f>IFERROR(INDEX(Roles!$B$17:$B$20,MATCH(J1802,Roles!$A$17:$A$20,0)),1)</f>
        <v/>
      </c>
      <c r="L1802" s="19" t="n">
        <v>1</v>
      </c>
      <c r="M1802" s="11" t="n">
        <v>1</v>
      </c>
      <c r="N1802" s="19" t="n"/>
      <c r="O1802" s="19" t="n"/>
      <c r="P1802" s="19" t="n"/>
      <c r="Q1802" s="19" t="n"/>
      <c r="R1802" s="19" t="n"/>
      <c r="S1802" s="19" t="n"/>
      <c r="T1802" s="19" t="n"/>
      <c r="U1802" s="19" t="n"/>
      <c r="V1802" s="19" t="n"/>
      <c r="W1802" s="19" t="n"/>
      <c r="X1802" s="19" t="n"/>
      <c r="Y1802" s="19" t="n">
        <v>1</v>
      </c>
      <c r="Z1802" s="13">
        <f>SUMPRODUCT(N1802:Y1802,$N$2:$Y$2)*$K1802*$L1802*$M1802</f>
        <v/>
      </c>
      <c r="AA1802" s="14">
        <f>SUM(N1802:Y1802)</f>
        <v/>
      </c>
      <c r="AB1802" s="13">
        <f>SUMPRODUCT(N1802:Y1802,$N$3:$Y$3)*$K1802*$L1802*$M1802</f>
        <v/>
      </c>
      <c r="AC1802" s="13">
        <f>SUMPRODUCT(N1802:Y1802,$N$4:$Y$4)*$K1802*$L1802*$M1802</f>
        <v/>
      </c>
      <c r="AD1802" s="15" t="n">
        <v>3</v>
      </c>
      <c r="AE1802" s="11" t="n">
        <v>1.011296296296296</v>
      </c>
      <c r="AF1802" s="16">
        <f>SUMPRODUCT(N1802:Y1802,$N$5:$Y$5)*$K1802*$L1802*$M1802</f>
        <v/>
      </c>
      <c r="AG1802" s="16">
        <f>SUMPRODUCT(N1802:Y1802,$N$6:$Y$6)*$K1802*$L1802*$M1802</f>
        <v/>
      </c>
      <c r="AH1802" s="20" t="n"/>
    </row>
    <row r="1803">
      <c r="A1803" s="9" t="n">
        <v>695648</v>
      </c>
      <c r="B1803" s="9" t="inlineStr">
        <is>
          <t>Micah Ottenbreit</t>
        </is>
      </c>
      <c r="C1803" s="9" t="inlineStr">
        <is>
          <t>PHI</t>
        </is>
      </c>
      <c r="D1803" s="9" t="n">
        <v>25</v>
      </c>
      <c r="E1803" s="18" t="inlineStr">
        <is>
          <t>R</t>
        </is>
      </c>
      <c r="F1803" s="18" t="n"/>
      <c r="G1803" s="9" t="n">
        <v>19.20666666666666</v>
      </c>
      <c r="H1803" s="9" t="n">
        <v>19.20666666666666</v>
      </c>
      <c r="I1803" s="9" t="inlineStr">
        <is>
          <t>Depth (no MLB IP)</t>
        </is>
      </c>
      <c r="J1803" s="18" t="inlineStr">
        <is>
          <t>Opening Day</t>
        </is>
      </c>
      <c r="K1803" s="11">
        <f>IFERROR(INDEX(Roles!$B$17:$B$20,MATCH(J1803,Roles!$A$17:$A$20,0)),1)</f>
        <v/>
      </c>
      <c r="L1803" s="19" t="n">
        <v>1</v>
      </c>
      <c r="M1803" s="11" t="n">
        <v>1</v>
      </c>
      <c r="N1803" s="19" t="n"/>
      <c r="O1803" s="19" t="n"/>
      <c r="P1803" s="19" t="n"/>
      <c r="Q1803" s="19" t="n"/>
      <c r="R1803" s="19" t="n"/>
      <c r="S1803" s="19" t="n"/>
      <c r="T1803" s="19" t="n"/>
      <c r="U1803" s="19" t="n"/>
      <c r="V1803" s="19" t="n"/>
      <c r="W1803" s="19" t="n"/>
      <c r="X1803" s="19" t="n"/>
      <c r="Y1803" s="19" t="n">
        <v>1</v>
      </c>
      <c r="Z1803" s="13">
        <f>SUMPRODUCT(N1803:Y1803,$N$2:$Y$2)*$K1803*$L1803*$M1803</f>
        <v/>
      </c>
      <c r="AA1803" s="14">
        <f>SUM(N1803:Y1803)</f>
        <v/>
      </c>
      <c r="AB1803" s="13">
        <f>SUMPRODUCT(N1803:Y1803,$N$3:$Y$3)*$K1803*$L1803*$M1803</f>
        <v/>
      </c>
      <c r="AC1803" s="13">
        <f>SUMPRODUCT(N1803:Y1803,$N$4:$Y$4)*$K1803*$L1803*$M1803</f>
        <v/>
      </c>
      <c r="AD1803" s="15" t="n">
        <v>3</v>
      </c>
      <c r="AE1803" s="11" t="n">
        <v>1.011296296296296</v>
      </c>
      <c r="AF1803" s="16">
        <f>SUMPRODUCT(N1803:Y1803,$N$5:$Y$5)*$K1803*$L1803*$M1803</f>
        <v/>
      </c>
      <c r="AG1803" s="16">
        <f>SUMPRODUCT(N1803:Y1803,$N$6:$Y$6)*$K1803*$L1803*$M1803</f>
        <v/>
      </c>
      <c r="AH1803" s="20" t="n"/>
    </row>
    <row r="1804">
      <c r="A1804" s="9" t="n">
        <v>683354</v>
      </c>
      <c r="B1804" s="9" t="inlineStr">
        <is>
          <t>Connor O'Halloran</t>
        </is>
      </c>
      <c r="C1804" s="9" t="inlineStr">
        <is>
          <t>TOR</t>
        </is>
      </c>
      <c r="D1804" s="9" t="n">
        <v>25</v>
      </c>
      <c r="E1804" s="18" t="inlineStr">
        <is>
          <t>L</t>
        </is>
      </c>
      <c r="F1804" s="18" t="n"/>
      <c r="G1804" s="9" t="n">
        <v>19.20666666666666</v>
      </c>
      <c r="H1804" s="9" t="n">
        <v>19.20666666666666</v>
      </c>
      <c r="I1804" s="9" t="inlineStr">
        <is>
          <t>Depth (no MLB IP)</t>
        </is>
      </c>
      <c r="J1804" s="18" t="inlineStr">
        <is>
          <t>Opening Day</t>
        </is>
      </c>
      <c r="K1804" s="11">
        <f>IFERROR(INDEX(Roles!$B$17:$B$20,MATCH(J1804,Roles!$A$17:$A$20,0)),1)</f>
        <v/>
      </c>
      <c r="L1804" s="19" t="n">
        <v>1</v>
      </c>
      <c r="M1804" s="11" t="n">
        <v>1</v>
      </c>
      <c r="N1804" s="19" t="n"/>
      <c r="O1804" s="19" t="n"/>
      <c r="P1804" s="19" t="n"/>
      <c r="Q1804" s="19" t="n"/>
      <c r="R1804" s="19" t="n"/>
      <c r="S1804" s="19" t="n"/>
      <c r="T1804" s="19" t="n"/>
      <c r="U1804" s="19" t="n"/>
      <c r="V1804" s="19" t="n"/>
      <c r="W1804" s="19" t="n"/>
      <c r="X1804" s="19" t="n"/>
      <c r="Y1804" s="19" t="n">
        <v>1</v>
      </c>
      <c r="Z1804" s="13">
        <f>SUMPRODUCT(N1804:Y1804,$N$2:$Y$2)*$K1804*$L1804*$M1804</f>
        <v/>
      </c>
      <c r="AA1804" s="14">
        <f>SUM(N1804:Y1804)</f>
        <v/>
      </c>
      <c r="AB1804" s="13">
        <f>SUMPRODUCT(N1804:Y1804,$N$3:$Y$3)*$K1804*$L1804*$M1804</f>
        <v/>
      </c>
      <c r="AC1804" s="13">
        <f>SUMPRODUCT(N1804:Y1804,$N$4:$Y$4)*$K1804*$L1804*$M1804</f>
        <v/>
      </c>
      <c r="AD1804" s="15" t="n">
        <v>3</v>
      </c>
      <c r="AE1804" s="11" t="n">
        <v>1.011296296296296</v>
      </c>
      <c r="AF1804" s="16">
        <f>SUMPRODUCT(N1804:Y1804,$N$5:$Y$5)*$K1804*$L1804*$M1804</f>
        <v/>
      </c>
      <c r="AG1804" s="16">
        <f>SUMPRODUCT(N1804:Y1804,$N$6:$Y$6)*$K1804*$L1804*$M1804</f>
        <v/>
      </c>
      <c r="AH1804" s="20" t="n"/>
    </row>
    <row r="1805">
      <c r="A1805" s="9" t="n">
        <v>828514</v>
      </c>
      <c r="B1805" s="9" t="inlineStr">
        <is>
          <t>Ryan Minckler</t>
        </is>
      </c>
      <c r="C1805" s="9" t="inlineStr">
        <is>
          <t>WSH</t>
        </is>
      </c>
      <c r="D1805" s="9" t="n">
        <v>25</v>
      </c>
      <c r="E1805" s="18" t="inlineStr">
        <is>
          <t>R</t>
        </is>
      </c>
      <c r="F1805" s="18" t="n"/>
      <c r="G1805" s="9" t="n">
        <v>19.264</v>
      </c>
      <c r="H1805" s="9" t="n">
        <v>19.264</v>
      </c>
      <c r="I1805" s="9" t="inlineStr">
        <is>
          <t>Depth (no MLB IP)</t>
        </is>
      </c>
      <c r="J1805" s="18" t="inlineStr">
        <is>
          <t>Opening Day</t>
        </is>
      </c>
      <c r="K1805" s="11">
        <f>IFERROR(INDEX(Roles!$B$17:$B$20,MATCH(J1805,Roles!$A$17:$A$20,0)),1)</f>
        <v/>
      </c>
      <c r="L1805" s="19" t="n">
        <v>1</v>
      </c>
      <c r="M1805" s="11" t="n">
        <v>1</v>
      </c>
      <c r="N1805" s="19" t="n"/>
      <c r="O1805" s="19" t="n"/>
      <c r="P1805" s="19" t="n"/>
      <c r="Q1805" s="19" t="n"/>
      <c r="R1805" s="19" t="n"/>
      <c r="S1805" s="19" t="n"/>
      <c r="T1805" s="19" t="n"/>
      <c r="U1805" s="19" t="n"/>
      <c r="V1805" s="19" t="n"/>
      <c r="W1805" s="19" t="n"/>
      <c r="X1805" s="19" t="n"/>
      <c r="Y1805" s="19" t="n">
        <v>1</v>
      </c>
      <c r="Z1805" s="13">
        <f>SUMPRODUCT(N1805:Y1805,$N$2:$Y$2)*$K1805*$L1805*$M1805</f>
        <v/>
      </c>
      <c r="AA1805" s="14">
        <f>SUM(N1805:Y1805)</f>
        <v/>
      </c>
      <c r="AB1805" s="13">
        <f>SUMPRODUCT(N1805:Y1805,$N$3:$Y$3)*$K1805*$L1805*$M1805</f>
        <v/>
      </c>
      <c r="AC1805" s="13">
        <f>SUMPRODUCT(N1805:Y1805,$N$4:$Y$4)*$K1805*$L1805*$M1805</f>
        <v/>
      </c>
      <c r="AD1805" s="15" t="n">
        <v>3</v>
      </c>
      <c r="AE1805" s="11" t="n">
        <v>1.011296296296296</v>
      </c>
      <c r="AF1805" s="16">
        <f>SUMPRODUCT(N1805:Y1805,$N$5:$Y$5)*$K1805*$L1805*$M1805</f>
        <v/>
      </c>
      <c r="AG1805" s="16">
        <f>SUMPRODUCT(N1805:Y1805,$N$6:$Y$6)*$K1805*$L1805*$M1805</f>
        <v/>
      </c>
      <c r="AH1805" s="20" t="n"/>
    </row>
    <row r="1806">
      <c r="A1806" s="9" t="n">
        <v>805261</v>
      </c>
      <c r="B1806" s="9" t="inlineStr">
        <is>
          <t>Cade Obermueller</t>
        </is>
      </c>
      <c r="C1806" s="9" t="inlineStr">
        <is>
          <t>PHI</t>
        </is>
      </c>
      <c r="D1806" s="9" t="n">
        <v>25</v>
      </c>
      <c r="E1806" s="18" t="inlineStr">
        <is>
          <t>L</t>
        </is>
      </c>
      <c r="F1806" s="18" t="n"/>
      <c r="G1806" s="9" t="n">
        <v>19.20666666666666</v>
      </c>
      <c r="H1806" s="9" t="n">
        <v>19.20666666666666</v>
      </c>
      <c r="I1806" s="9" t="inlineStr">
        <is>
          <t>Depth (no MLB IP)</t>
        </is>
      </c>
      <c r="J1806" s="18" t="inlineStr">
        <is>
          <t>Opening Day</t>
        </is>
      </c>
      <c r="K1806" s="11">
        <f>IFERROR(INDEX(Roles!$B$17:$B$20,MATCH(J1806,Roles!$A$17:$A$20,0)),1)</f>
        <v/>
      </c>
      <c r="L1806" s="19" t="n">
        <v>1</v>
      </c>
      <c r="M1806" s="11" t="n">
        <v>1</v>
      </c>
      <c r="N1806" s="19" t="n"/>
      <c r="O1806" s="19" t="n"/>
      <c r="P1806" s="19" t="n"/>
      <c r="Q1806" s="19" t="n"/>
      <c r="R1806" s="19" t="n"/>
      <c r="S1806" s="19" t="n"/>
      <c r="T1806" s="19" t="n"/>
      <c r="U1806" s="19" t="n"/>
      <c r="V1806" s="19" t="n"/>
      <c r="W1806" s="19" t="n"/>
      <c r="X1806" s="19" t="n"/>
      <c r="Y1806" s="19" t="n">
        <v>1</v>
      </c>
      <c r="Z1806" s="13">
        <f>SUMPRODUCT(N1806:Y1806,$N$2:$Y$2)*$K1806*$L1806*$M1806</f>
        <v/>
      </c>
      <c r="AA1806" s="14">
        <f>SUM(N1806:Y1806)</f>
        <v/>
      </c>
      <c r="AB1806" s="13">
        <f>SUMPRODUCT(N1806:Y1806,$N$3:$Y$3)*$K1806*$L1806*$M1806</f>
        <v/>
      </c>
      <c r="AC1806" s="13">
        <f>SUMPRODUCT(N1806:Y1806,$N$4:$Y$4)*$K1806*$L1806*$M1806</f>
        <v/>
      </c>
      <c r="AD1806" s="15" t="n">
        <v>3</v>
      </c>
      <c r="AE1806" s="11" t="n">
        <v>1.011296296296296</v>
      </c>
      <c r="AF1806" s="16">
        <f>SUMPRODUCT(N1806:Y1806,$N$5:$Y$5)*$K1806*$L1806*$M1806</f>
        <v/>
      </c>
      <c r="AG1806" s="16">
        <f>SUMPRODUCT(N1806:Y1806,$N$6:$Y$6)*$K1806*$L1806*$M1806</f>
        <v/>
      </c>
      <c r="AH1806" s="20" t="n"/>
    </row>
    <row r="1807">
      <c r="A1807" s="9" t="n">
        <v>808308</v>
      </c>
      <c r="B1807" s="9" t="inlineStr">
        <is>
          <t>Enniel Cortez</t>
        </is>
      </c>
      <c r="C1807" s="9" t="inlineStr">
        <is>
          <t>MIL</t>
        </is>
      </c>
      <c r="D1807" s="9" t="n">
        <v>25</v>
      </c>
      <c r="E1807" s="18" t="inlineStr">
        <is>
          <t>R</t>
        </is>
      </c>
      <c r="F1807" s="18" t="n"/>
      <c r="G1807" s="9" t="n">
        <v>19.264</v>
      </c>
      <c r="H1807" s="9" t="n">
        <v>19.264</v>
      </c>
      <c r="I1807" s="9" t="inlineStr">
        <is>
          <t>Depth (no MLB IP)</t>
        </is>
      </c>
      <c r="J1807" s="18" t="inlineStr">
        <is>
          <t>Opening Day</t>
        </is>
      </c>
      <c r="K1807" s="11">
        <f>IFERROR(INDEX(Roles!$B$17:$B$20,MATCH(J1807,Roles!$A$17:$A$20,0)),1)</f>
        <v/>
      </c>
      <c r="L1807" s="19" t="n">
        <v>1</v>
      </c>
      <c r="M1807" s="11" t="n">
        <v>1</v>
      </c>
      <c r="N1807" s="19" t="n"/>
      <c r="O1807" s="19" t="n"/>
      <c r="P1807" s="19" t="n"/>
      <c r="Q1807" s="19" t="n"/>
      <c r="R1807" s="19" t="n"/>
      <c r="S1807" s="19" t="n"/>
      <c r="T1807" s="19" t="n"/>
      <c r="U1807" s="19" t="n"/>
      <c r="V1807" s="19" t="n"/>
      <c r="W1807" s="19" t="n"/>
      <c r="X1807" s="19" t="n"/>
      <c r="Y1807" s="19" t="n">
        <v>1</v>
      </c>
      <c r="Z1807" s="13">
        <f>SUMPRODUCT(N1807:Y1807,$N$2:$Y$2)*$K1807*$L1807*$M1807</f>
        <v/>
      </c>
      <c r="AA1807" s="14">
        <f>SUM(N1807:Y1807)</f>
        <v/>
      </c>
      <c r="AB1807" s="13">
        <f>SUMPRODUCT(N1807:Y1807,$N$3:$Y$3)*$K1807*$L1807*$M1807</f>
        <v/>
      </c>
      <c r="AC1807" s="13">
        <f>SUMPRODUCT(N1807:Y1807,$N$4:$Y$4)*$K1807*$L1807*$M1807</f>
        <v/>
      </c>
      <c r="AD1807" s="15" t="n">
        <v>3</v>
      </c>
      <c r="AE1807" s="11" t="n">
        <v>1.011296296296296</v>
      </c>
      <c r="AF1807" s="16">
        <f>SUMPRODUCT(N1807:Y1807,$N$5:$Y$5)*$K1807*$L1807*$M1807</f>
        <v/>
      </c>
      <c r="AG1807" s="16">
        <f>SUMPRODUCT(N1807:Y1807,$N$6:$Y$6)*$K1807*$L1807*$M1807</f>
        <v/>
      </c>
      <c r="AH1807" s="20" t="n"/>
    </row>
    <row r="1808">
      <c r="A1808" s="9" t="n">
        <v>693308</v>
      </c>
      <c r="B1808" s="9" t="inlineStr">
        <is>
          <t>Nick Frasso</t>
        </is>
      </c>
      <c r="C1808" s="9" t="inlineStr">
        <is>
          <t>COL</t>
        </is>
      </c>
      <c r="D1808" s="9" t="n">
        <v>28</v>
      </c>
      <c r="E1808" s="18" t="inlineStr">
        <is>
          <t>R</t>
        </is>
      </c>
      <c r="F1808" s="18" t="n"/>
      <c r="G1808" s="9" t="n">
        <v>99</v>
      </c>
      <c r="H1808" s="9" t="n">
        <v>99</v>
      </c>
      <c r="I1808" s="9" t="inlineStr">
        <is>
          <t>Middle Relief</t>
        </is>
      </c>
      <c r="J1808" s="18" t="inlineStr">
        <is>
          <t>Opening Day</t>
        </is>
      </c>
      <c r="K1808" s="11">
        <f>IFERROR(INDEX(Roles!$B$17:$B$20,MATCH(J1808,Roles!$A$17:$A$20,0)),1)</f>
        <v/>
      </c>
      <c r="L1808" s="19" t="n">
        <v>1</v>
      </c>
      <c r="M1808" s="11" t="n">
        <v>1</v>
      </c>
      <c r="N1808" s="19" t="n"/>
      <c r="O1808" s="19" t="n"/>
      <c r="P1808" s="19" t="n"/>
      <c r="Q1808" s="19" t="n"/>
      <c r="R1808" s="19" t="n"/>
      <c r="S1808" s="19" t="n"/>
      <c r="T1808" s="19" t="n"/>
      <c r="U1808" s="19" t="n"/>
      <c r="V1808" s="19" t="n">
        <v>0.85</v>
      </c>
      <c r="W1808" s="19" t="n">
        <v>0.15</v>
      </c>
      <c r="X1808" s="19" t="n"/>
      <c r="Y1808" s="19" t="n"/>
      <c r="Z1808" s="13">
        <f>SUMPRODUCT(N1808:Y1808,$N$2:$Y$2)*$K1808*$L1808*$M1808</f>
        <v/>
      </c>
      <c r="AA1808" s="14">
        <f>SUM(N1808:Y1808)</f>
        <v/>
      </c>
      <c r="AB1808" s="13">
        <f>SUMPRODUCT(N1808:Y1808,$N$3:$Y$3)*$K1808*$L1808*$M1808</f>
        <v/>
      </c>
      <c r="AC1808" s="13">
        <f>SUMPRODUCT(N1808:Y1808,$N$4:$Y$4)*$K1808*$L1808*$M1808</f>
        <v/>
      </c>
      <c r="AD1808" s="15" t="n">
        <v>26.73333333333333</v>
      </c>
      <c r="AE1808" s="11" t="n">
        <v>1.050254875886525</v>
      </c>
      <c r="AF1808" s="16">
        <f>SUMPRODUCT(N1808:Y1808,$N$5:$Y$5)*$K1808*$L1808*$M1808</f>
        <v/>
      </c>
      <c r="AG1808" s="16">
        <f>SUMPRODUCT(N1808:Y1808,$N$6:$Y$6)*$K1808*$L1808*$M1808</f>
        <v/>
      </c>
      <c r="AH1808" s="20" t="n"/>
    </row>
    <row r="1809">
      <c r="A1809" s="9" t="n">
        <v>806724</v>
      </c>
      <c r="B1809" s="9" t="inlineStr">
        <is>
          <t>Adam Bates</t>
        </is>
      </c>
      <c r="C1809" s="9" t="inlineStr">
        <is>
          <t>BOS</t>
        </is>
      </c>
      <c r="D1809" s="9" t="n">
        <v>25</v>
      </c>
      <c r="E1809" s="18" t="inlineStr">
        <is>
          <t>R</t>
        </is>
      </c>
      <c r="F1809" s="18" t="n"/>
      <c r="G1809" s="9" t="n">
        <v>19.20666666666666</v>
      </c>
      <c r="H1809" s="9" t="n">
        <v>19.20666666666666</v>
      </c>
      <c r="I1809" s="9" t="inlineStr">
        <is>
          <t>Depth (no MLB IP)</t>
        </is>
      </c>
      <c r="J1809" s="18" t="inlineStr">
        <is>
          <t>Opening Day</t>
        </is>
      </c>
      <c r="K1809" s="11">
        <f>IFERROR(INDEX(Roles!$B$17:$B$20,MATCH(J1809,Roles!$A$17:$A$20,0)),1)</f>
        <v/>
      </c>
      <c r="L1809" s="19" t="n">
        <v>1</v>
      </c>
      <c r="M1809" s="11" t="n">
        <v>1</v>
      </c>
      <c r="N1809" s="19" t="n"/>
      <c r="O1809" s="19" t="n"/>
      <c r="P1809" s="19" t="n"/>
      <c r="Q1809" s="19" t="n"/>
      <c r="R1809" s="19" t="n"/>
      <c r="S1809" s="19" t="n"/>
      <c r="T1809" s="19" t="n"/>
      <c r="U1809" s="19" t="n"/>
      <c r="V1809" s="19" t="n"/>
      <c r="W1809" s="19" t="n"/>
      <c r="X1809" s="19" t="n"/>
      <c r="Y1809" s="19" t="n">
        <v>1</v>
      </c>
      <c r="Z1809" s="13">
        <f>SUMPRODUCT(N1809:Y1809,$N$2:$Y$2)*$K1809*$L1809*$M1809</f>
        <v/>
      </c>
      <c r="AA1809" s="14">
        <f>SUM(N1809:Y1809)</f>
        <v/>
      </c>
      <c r="AB1809" s="13">
        <f>SUMPRODUCT(N1809:Y1809,$N$3:$Y$3)*$K1809*$L1809*$M1809</f>
        <v/>
      </c>
      <c r="AC1809" s="13">
        <f>SUMPRODUCT(N1809:Y1809,$N$4:$Y$4)*$K1809*$L1809*$M1809</f>
        <v/>
      </c>
      <c r="AD1809" s="15" t="n">
        <v>3</v>
      </c>
      <c r="AE1809" s="11" t="n">
        <v>1.011296296296296</v>
      </c>
      <c r="AF1809" s="16">
        <f>SUMPRODUCT(N1809:Y1809,$N$5:$Y$5)*$K1809*$L1809*$M1809</f>
        <v/>
      </c>
      <c r="AG1809" s="16">
        <f>SUMPRODUCT(N1809:Y1809,$N$6:$Y$6)*$K1809*$L1809*$M1809</f>
        <v/>
      </c>
      <c r="AH1809" s="20" t="n"/>
    </row>
    <row r="1810">
      <c r="A1810" s="9" t="n">
        <v>703900</v>
      </c>
      <c r="B1810" s="9" t="inlineStr">
        <is>
          <t>Alain Pena</t>
        </is>
      </c>
      <c r="C1810" s="9" t="inlineStr">
        <is>
          <t>HOU</t>
        </is>
      </c>
      <c r="D1810" s="9" t="n">
        <v>25</v>
      </c>
      <c r="E1810" s="18" t="inlineStr">
        <is>
          <t>R</t>
        </is>
      </c>
      <c r="F1810" s="18" t="n"/>
      <c r="G1810" s="9" t="n">
        <v>19.20666666666666</v>
      </c>
      <c r="H1810" s="9" t="n">
        <v>19.20666666666666</v>
      </c>
      <c r="I1810" s="9" t="inlineStr">
        <is>
          <t>Depth (no MLB IP)</t>
        </is>
      </c>
      <c r="J1810" s="18" t="inlineStr">
        <is>
          <t>Opening Day</t>
        </is>
      </c>
      <c r="K1810" s="11">
        <f>IFERROR(INDEX(Roles!$B$17:$B$20,MATCH(J1810,Roles!$A$17:$A$20,0)),1)</f>
        <v/>
      </c>
      <c r="L1810" s="19" t="n">
        <v>1</v>
      </c>
      <c r="M1810" s="11" t="n">
        <v>1</v>
      </c>
      <c r="N1810" s="19" t="n"/>
      <c r="O1810" s="19" t="n"/>
      <c r="P1810" s="19" t="n"/>
      <c r="Q1810" s="19" t="n"/>
      <c r="R1810" s="19" t="n"/>
      <c r="S1810" s="19" t="n"/>
      <c r="T1810" s="19" t="n"/>
      <c r="U1810" s="19" t="n"/>
      <c r="V1810" s="19" t="n"/>
      <c r="W1810" s="19" t="n"/>
      <c r="X1810" s="19" t="n"/>
      <c r="Y1810" s="19" t="n">
        <v>1</v>
      </c>
      <c r="Z1810" s="13">
        <f>SUMPRODUCT(N1810:Y1810,$N$2:$Y$2)*$K1810*$L1810*$M1810</f>
        <v/>
      </c>
      <c r="AA1810" s="14">
        <f>SUM(N1810:Y1810)</f>
        <v/>
      </c>
      <c r="AB1810" s="13">
        <f>SUMPRODUCT(N1810:Y1810,$N$3:$Y$3)*$K1810*$L1810*$M1810</f>
        <v/>
      </c>
      <c r="AC1810" s="13">
        <f>SUMPRODUCT(N1810:Y1810,$N$4:$Y$4)*$K1810*$L1810*$M1810</f>
        <v/>
      </c>
      <c r="AD1810" s="15" t="n">
        <v>3</v>
      </c>
      <c r="AE1810" s="11" t="n">
        <v>1.011296296296296</v>
      </c>
      <c r="AF1810" s="16">
        <f>SUMPRODUCT(N1810:Y1810,$N$5:$Y$5)*$K1810*$L1810*$M1810</f>
        <v/>
      </c>
      <c r="AG1810" s="16">
        <f>SUMPRODUCT(N1810:Y1810,$N$6:$Y$6)*$K1810*$L1810*$M1810</f>
        <v/>
      </c>
      <c r="AH1810" s="20" t="n"/>
    </row>
    <row r="1811">
      <c r="A1811" s="9" t="n">
        <v>681644</v>
      </c>
      <c r="B1811" s="9" t="inlineStr">
        <is>
          <t>Inohan Paniagua</t>
        </is>
      </c>
      <c r="C1811" s="9" t="inlineStr">
        <is>
          <t>DET</t>
        </is>
      </c>
      <c r="D1811" s="9" t="n">
        <v>25</v>
      </c>
      <c r="E1811" s="18" t="inlineStr">
        <is>
          <t>R</t>
        </is>
      </c>
      <c r="F1811" s="18" t="n"/>
      <c r="G1811" s="9" t="n">
        <v>19.49333333333334</v>
      </c>
      <c r="H1811" s="9" t="n">
        <v>19.49333333333334</v>
      </c>
      <c r="I1811" s="9" t="inlineStr">
        <is>
          <t>Depth (no MLB IP)</t>
        </is>
      </c>
      <c r="J1811" s="18" t="inlineStr">
        <is>
          <t>Opening Day</t>
        </is>
      </c>
      <c r="K1811" s="11">
        <f>IFERROR(INDEX(Roles!$B$17:$B$20,MATCH(J1811,Roles!$A$17:$A$20,0)),1)</f>
        <v/>
      </c>
      <c r="L1811" s="19" t="n">
        <v>1</v>
      </c>
      <c r="M1811" s="11" t="n">
        <v>1</v>
      </c>
      <c r="N1811" s="19" t="n"/>
      <c r="O1811" s="19" t="n"/>
      <c r="P1811" s="19" t="n"/>
      <c r="Q1811" s="19" t="n"/>
      <c r="R1811" s="19" t="n"/>
      <c r="S1811" s="19" t="n"/>
      <c r="T1811" s="19" t="n"/>
      <c r="U1811" s="19" t="n"/>
      <c r="V1811" s="19" t="n"/>
      <c r="W1811" s="19" t="n"/>
      <c r="X1811" s="19" t="n"/>
      <c r="Y1811" s="19" t="n">
        <v>1</v>
      </c>
      <c r="Z1811" s="13">
        <f>SUMPRODUCT(N1811:Y1811,$N$2:$Y$2)*$K1811*$L1811*$M1811</f>
        <v/>
      </c>
      <c r="AA1811" s="14">
        <f>SUM(N1811:Y1811)</f>
        <v/>
      </c>
      <c r="AB1811" s="13">
        <f>SUMPRODUCT(N1811:Y1811,$N$3:$Y$3)*$K1811*$L1811*$M1811</f>
        <v/>
      </c>
      <c r="AC1811" s="13">
        <f>SUMPRODUCT(N1811:Y1811,$N$4:$Y$4)*$K1811*$L1811*$M1811</f>
        <v/>
      </c>
      <c r="AD1811" s="15" t="n">
        <v>3</v>
      </c>
      <c r="AE1811" s="11" t="n">
        <v>1.011296296296296</v>
      </c>
      <c r="AF1811" s="16">
        <f>SUMPRODUCT(N1811:Y1811,$N$5:$Y$5)*$K1811*$L1811*$M1811</f>
        <v/>
      </c>
      <c r="AG1811" s="16">
        <f>SUMPRODUCT(N1811:Y1811,$N$6:$Y$6)*$K1811*$L1811*$M1811</f>
        <v/>
      </c>
      <c r="AH1811" s="20" t="n"/>
    </row>
    <row r="1812">
      <c r="A1812" s="9" t="n">
        <v>691263</v>
      </c>
      <c r="B1812" s="9" t="inlineStr">
        <is>
          <t>Esmerlin Vinicio</t>
        </is>
      </c>
      <c r="C1812" s="9" t="inlineStr">
        <is>
          <t>SF</t>
        </is>
      </c>
      <c r="D1812" s="9" t="n">
        <v>25</v>
      </c>
      <c r="E1812" s="18" t="inlineStr">
        <is>
          <t>L</t>
        </is>
      </c>
      <c r="F1812" s="18" t="n"/>
      <c r="G1812" s="9" t="n">
        <v>19.565</v>
      </c>
      <c r="H1812" s="9" t="n">
        <v>19.565</v>
      </c>
      <c r="I1812" s="9" t="inlineStr">
        <is>
          <t>Depth (no MLB IP)</t>
        </is>
      </c>
      <c r="J1812" s="18" t="inlineStr">
        <is>
          <t>Opening Day</t>
        </is>
      </c>
      <c r="K1812" s="11">
        <f>IFERROR(INDEX(Roles!$B$17:$B$20,MATCH(J1812,Roles!$A$17:$A$20,0)),1)</f>
        <v/>
      </c>
      <c r="L1812" s="19" t="n">
        <v>1</v>
      </c>
      <c r="M1812" s="11" t="n">
        <v>1</v>
      </c>
      <c r="N1812" s="19" t="n"/>
      <c r="O1812" s="19" t="n"/>
      <c r="P1812" s="19" t="n"/>
      <c r="Q1812" s="19" t="n"/>
      <c r="R1812" s="19" t="n"/>
      <c r="S1812" s="19" t="n"/>
      <c r="T1812" s="19" t="n"/>
      <c r="U1812" s="19" t="n"/>
      <c r="V1812" s="19" t="n"/>
      <c r="W1812" s="19" t="n"/>
      <c r="X1812" s="19" t="n"/>
      <c r="Y1812" s="19" t="n">
        <v>1</v>
      </c>
      <c r="Z1812" s="13">
        <f>SUMPRODUCT(N1812:Y1812,$N$2:$Y$2)*$K1812*$L1812*$M1812</f>
        <v/>
      </c>
      <c r="AA1812" s="14">
        <f>SUM(N1812:Y1812)</f>
        <v/>
      </c>
      <c r="AB1812" s="13">
        <f>SUMPRODUCT(N1812:Y1812,$N$3:$Y$3)*$K1812*$L1812*$M1812</f>
        <v/>
      </c>
      <c r="AC1812" s="13">
        <f>SUMPRODUCT(N1812:Y1812,$N$4:$Y$4)*$K1812*$L1812*$M1812</f>
        <v/>
      </c>
      <c r="AD1812" s="15" t="n">
        <v>3</v>
      </c>
      <c r="AE1812" s="11" t="n">
        <v>1.011296296296296</v>
      </c>
      <c r="AF1812" s="16">
        <f>SUMPRODUCT(N1812:Y1812,$N$5:$Y$5)*$K1812*$L1812*$M1812</f>
        <v/>
      </c>
      <c r="AG1812" s="16">
        <f>SUMPRODUCT(N1812:Y1812,$N$6:$Y$6)*$K1812*$L1812*$M1812</f>
        <v/>
      </c>
      <c r="AH1812" s="20" t="n"/>
    </row>
    <row r="1813">
      <c r="A1813" s="9" t="n">
        <v>695560</v>
      </c>
      <c r="B1813" s="9" t="inlineStr">
        <is>
          <t>Pico Kohn</t>
        </is>
      </c>
      <c r="C1813" s="9" t="inlineStr">
        <is>
          <t>NYY</t>
        </is>
      </c>
      <c r="D1813" s="9" t="n">
        <v>25</v>
      </c>
      <c r="E1813" s="18" t="inlineStr">
        <is>
          <t>L</t>
        </is>
      </c>
      <c r="F1813" s="18" t="n"/>
      <c r="G1813" s="9" t="n">
        <v>19.49333333333334</v>
      </c>
      <c r="H1813" s="9" t="n">
        <v>19.49333333333334</v>
      </c>
      <c r="I1813" s="9" t="inlineStr">
        <is>
          <t>Depth (no MLB IP)</t>
        </is>
      </c>
      <c r="J1813" s="18" t="inlineStr">
        <is>
          <t>Opening Day</t>
        </is>
      </c>
      <c r="K1813" s="11">
        <f>IFERROR(INDEX(Roles!$B$17:$B$20,MATCH(J1813,Roles!$A$17:$A$20,0)),1)</f>
        <v/>
      </c>
      <c r="L1813" s="19" t="n">
        <v>1</v>
      </c>
      <c r="M1813" s="11" t="n">
        <v>1</v>
      </c>
      <c r="N1813" s="19" t="n"/>
      <c r="O1813" s="19" t="n"/>
      <c r="P1813" s="19" t="n"/>
      <c r="Q1813" s="19" t="n"/>
      <c r="R1813" s="19" t="n"/>
      <c r="S1813" s="19" t="n"/>
      <c r="T1813" s="19" t="n"/>
      <c r="U1813" s="19" t="n"/>
      <c r="V1813" s="19" t="n"/>
      <c r="W1813" s="19" t="n"/>
      <c r="X1813" s="19" t="n"/>
      <c r="Y1813" s="19" t="n">
        <v>1</v>
      </c>
      <c r="Z1813" s="13">
        <f>SUMPRODUCT(N1813:Y1813,$N$2:$Y$2)*$K1813*$L1813*$M1813</f>
        <v/>
      </c>
      <c r="AA1813" s="14">
        <f>SUM(N1813:Y1813)</f>
        <v/>
      </c>
      <c r="AB1813" s="13">
        <f>SUMPRODUCT(N1813:Y1813,$N$3:$Y$3)*$K1813*$L1813*$M1813</f>
        <v/>
      </c>
      <c r="AC1813" s="13">
        <f>SUMPRODUCT(N1813:Y1813,$N$4:$Y$4)*$K1813*$L1813*$M1813</f>
        <v/>
      </c>
      <c r="AD1813" s="15" t="n">
        <v>3</v>
      </c>
      <c r="AE1813" s="11" t="n">
        <v>1.011296296296296</v>
      </c>
      <c r="AF1813" s="16">
        <f>SUMPRODUCT(N1813:Y1813,$N$5:$Y$5)*$K1813*$L1813*$M1813</f>
        <v/>
      </c>
      <c r="AG1813" s="16">
        <f>SUMPRODUCT(N1813:Y1813,$N$6:$Y$6)*$K1813*$L1813*$M1813</f>
        <v/>
      </c>
      <c r="AH1813" s="20" t="n"/>
    </row>
    <row r="1814">
      <c r="A1814" s="9" t="n">
        <v>695632</v>
      </c>
      <c r="B1814" s="9" t="inlineStr">
        <is>
          <t>Brandon Neely</t>
        </is>
      </c>
      <c r="C1814" s="9" t="inlineStr">
        <is>
          <t>BOS</t>
        </is>
      </c>
      <c r="D1814" s="9" t="n">
        <v>25</v>
      </c>
      <c r="E1814" s="18" t="inlineStr">
        <is>
          <t>R</t>
        </is>
      </c>
      <c r="F1814" s="18" t="n"/>
      <c r="G1814" s="9" t="n">
        <v>19.49333333333334</v>
      </c>
      <c r="H1814" s="9" t="n">
        <v>19.49333333333334</v>
      </c>
      <c r="I1814" s="9" t="inlineStr">
        <is>
          <t>Depth (no MLB IP)</t>
        </is>
      </c>
      <c r="J1814" s="18" t="inlineStr">
        <is>
          <t>Opening Day</t>
        </is>
      </c>
      <c r="K1814" s="11">
        <f>IFERROR(INDEX(Roles!$B$17:$B$20,MATCH(J1814,Roles!$A$17:$A$20,0)),1)</f>
        <v/>
      </c>
      <c r="L1814" s="19" t="n">
        <v>1</v>
      </c>
      <c r="M1814" s="11" t="n">
        <v>1</v>
      </c>
      <c r="N1814" s="19" t="n"/>
      <c r="O1814" s="19" t="n"/>
      <c r="P1814" s="19" t="n"/>
      <c r="Q1814" s="19" t="n"/>
      <c r="R1814" s="19" t="n"/>
      <c r="S1814" s="19" t="n"/>
      <c r="T1814" s="19" t="n"/>
      <c r="U1814" s="19" t="n"/>
      <c r="V1814" s="19" t="n"/>
      <c r="W1814" s="19" t="n"/>
      <c r="X1814" s="19" t="n"/>
      <c r="Y1814" s="19" t="n">
        <v>1</v>
      </c>
      <c r="Z1814" s="13">
        <f>SUMPRODUCT(N1814:Y1814,$N$2:$Y$2)*$K1814*$L1814*$M1814</f>
        <v/>
      </c>
      <c r="AA1814" s="14">
        <f>SUM(N1814:Y1814)</f>
        <v/>
      </c>
      <c r="AB1814" s="13">
        <f>SUMPRODUCT(N1814:Y1814,$N$3:$Y$3)*$K1814*$L1814*$M1814</f>
        <v/>
      </c>
      <c r="AC1814" s="13">
        <f>SUMPRODUCT(N1814:Y1814,$N$4:$Y$4)*$K1814*$L1814*$M1814</f>
        <v/>
      </c>
      <c r="AD1814" s="15" t="n">
        <v>3</v>
      </c>
      <c r="AE1814" s="11" t="n">
        <v>1.011296296296296</v>
      </c>
      <c r="AF1814" s="16">
        <f>SUMPRODUCT(N1814:Y1814,$N$5:$Y$5)*$K1814*$L1814*$M1814</f>
        <v/>
      </c>
      <c r="AG1814" s="16">
        <f>SUMPRODUCT(N1814:Y1814,$N$6:$Y$6)*$K1814*$L1814*$M1814</f>
        <v/>
      </c>
      <c r="AH1814" s="20" t="n"/>
    </row>
    <row r="1815">
      <c r="A1815" s="9" t="n">
        <v>703835</v>
      </c>
      <c r="B1815" s="9" t="inlineStr">
        <is>
          <t>Alejandro Manzano</t>
        </is>
      </c>
      <c r="C1815" s="9" t="inlineStr">
        <is>
          <t>OAK</t>
        </is>
      </c>
      <c r="D1815" s="9" t="n">
        <v>25</v>
      </c>
      <c r="E1815" s="18" t="inlineStr">
        <is>
          <t>R</t>
        </is>
      </c>
      <c r="F1815" s="18" t="n"/>
      <c r="G1815" s="9" t="n">
        <v>19.436</v>
      </c>
      <c r="H1815" s="9" t="n">
        <v>19.436</v>
      </c>
      <c r="I1815" s="9" t="inlineStr">
        <is>
          <t>Depth (no MLB IP)</t>
        </is>
      </c>
      <c r="J1815" s="18" t="inlineStr">
        <is>
          <t>Opening Day</t>
        </is>
      </c>
      <c r="K1815" s="11">
        <f>IFERROR(INDEX(Roles!$B$17:$B$20,MATCH(J1815,Roles!$A$17:$A$20,0)),1)</f>
        <v/>
      </c>
      <c r="L1815" s="19" t="n">
        <v>1</v>
      </c>
      <c r="M1815" s="11" t="n">
        <v>1</v>
      </c>
      <c r="N1815" s="19" t="n"/>
      <c r="O1815" s="19" t="n"/>
      <c r="P1815" s="19" t="n"/>
      <c r="Q1815" s="19" t="n"/>
      <c r="R1815" s="19" t="n"/>
      <c r="S1815" s="19" t="n"/>
      <c r="T1815" s="19" t="n"/>
      <c r="U1815" s="19" t="n"/>
      <c r="V1815" s="19" t="n"/>
      <c r="W1815" s="19" t="n"/>
      <c r="X1815" s="19" t="n"/>
      <c r="Y1815" s="19" t="n">
        <v>1</v>
      </c>
      <c r="Z1815" s="13">
        <f>SUMPRODUCT(N1815:Y1815,$N$2:$Y$2)*$K1815*$L1815*$M1815</f>
        <v/>
      </c>
      <c r="AA1815" s="14">
        <f>SUM(N1815:Y1815)</f>
        <v/>
      </c>
      <c r="AB1815" s="13">
        <f>SUMPRODUCT(N1815:Y1815,$N$3:$Y$3)*$K1815*$L1815*$M1815</f>
        <v/>
      </c>
      <c r="AC1815" s="13">
        <f>SUMPRODUCT(N1815:Y1815,$N$4:$Y$4)*$K1815*$L1815*$M1815</f>
        <v/>
      </c>
      <c r="AD1815" s="15" t="n">
        <v>3</v>
      </c>
      <c r="AE1815" s="11" t="n">
        <v>1.011296296296296</v>
      </c>
      <c r="AF1815" s="16">
        <f>SUMPRODUCT(N1815:Y1815,$N$5:$Y$5)*$K1815*$L1815*$M1815</f>
        <v/>
      </c>
      <c r="AG1815" s="16">
        <f>SUMPRODUCT(N1815:Y1815,$N$6:$Y$6)*$K1815*$L1815*$M1815</f>
        <v/>
      </c>
      <c r="AH1815" s="20" t="n"/>
    </row>
    <row r="1816">
      <c r="A1816" s="9" t="n">
        <v>805971</v>
      </c>
      <c r="B1816" s="9" t="inlineStr">
        <is>
          <t>Evan Chrest</t>
        </is>
      </c>
      <c r="C1816" s="9" t="inlineStr">
        <is>
          <t>CLE</t>
        </is>
      </c>
      <c r="D1816" s="9" t="n">
        <v>25</v>
      </c>
      <c r="E1816" s="18" t="inlineStr">
        <is>
          <t>R</t>
        </is>
      </c>
      <c r="F1816" s="18" t="n"/>
      <c r="G1816" s="9" t="n">
        <v>19.608</v>
      </c>
      <c r="H1816" s="9" t="n">
        <v>19.608</v>
      </c>
      <c r="I1816" s="9" t="inlineStr">
        <is>
          <t>Depth (no MLB IP)</t>
        </is>
      </c>
      <c r="J1816" s="18" t="inlineStr">
        <is>
          <t>Opening Day</t>
        </is>
      </c>
      <c r="K1816" s="11">
        <f>IFERROR(INDEX(Roles!$B$17:$B$20,MATCH(J1816,Roles!$A$17:$A$20,0)),1)</f>
        <v/>
      </c>
      <c r="L1816" s="19" t="n">
        <v>1</v>
      </c>
      <c r="M1816" s="11" t="n">
        <v>1</v>
      </c>
      <c r="N1816" s="19" t="n"/>
      <c r="O1816" s="19" t="n"/>
      <c r="P1816" s="19" t="n"/>
      <c r="Q1816" s="19" t="n"/>
      <c r="R1816" s="19" t="n"/>
      <c r="S1816" s="19" t="n"/>
      <c r="T1816" s="19" t="n"/>
      <c r="U1816" s="19" t="n"/>
      <c r="V1816" s="19" t="n"/>
      <c r="W1816" s="19" t="n"/>
      <c r="X1816" s="19" t="n"/>
      <c r="Y1816" s="19" t="n">
        <v>1</v>
      </c>
      <c r="Z1816" s="13">
        <f>SUMPRODUCT(N1816:Y1816,$N$2:$Y$2)*$K1816*$L1816*$M1816</f>
        <v/>
      </c>
      <c r="AA1816" s="14">
        <f>SUM(N1816:Y1816)</f>
        <v/>
      </c>
      <c r="AB1816" s="13">
        <f>SUMPRODUCT(N1816:Y1816,$N$3:$Y$3)*$K1816*$L1816*$M1816</f>
        <v/>
      </c>
      <c r="AC1816" s="13">
        <f>SUMPRODUCT(N1816:Y1816,$N$4:$Y$4)*$K1816*$L1816*$M1816</f>
        <v/>
      </c>
      <c r="AD1816" s="15" t="n">
        <v>3</v>
      </c>
      <c r="AE1816" s="11" t="n">
        <v>1.011296296296296</v>
      </c>
      <c r="AF1816" s="16">
        <f>SUMPRODUCT(N1816:Y1816,$N$5:$Y$5)*$K1816*$L1816*$M1816</f>
        <v/>
      </c>
      <c r="AG1816" s="16">
        <f>SUMPRODUCT(N1816:Y1816,$N$6:$Y$6)*$K1816*$L1816*$M1816</f>
        <v/>
      </c>
      <c r="AH1816" s="20" t="n"/>
    </row>
    <row r="1817">
      <c r="A1817" s="9" t="n">
        <v>823028</v>
      </c>
      <c r="B1817" s="9" t="inlineStr">
        <is>
          <t>Peyton Havard</t>
        </is>
      </c>
      <c r="C1817" s="9" t="inlineStr">
        <is>
          <t>PHI</t>
        </is>
      </c>
      <c r="D1817" s="9" t="n">
        <v>25</v>
      </c>
      <c r="E1817" s="18" t="inlineStr">
        <is>
          <t>R</t>
        </is>
      </c>
      <c r="F1817" s="18" t="n"/>
      <c r="G1817" s="9" t="n">
        <v>19.436</v>
      </c>
      <c r="H1817" s="9" t="n">
        <v>19.436</v>
      </c>
      <c r="I1817" s="9" t="inlineStr">
        <is>
          <t>Depth (no MLB IP)</t>
        </is>
      </c>
      <c r="J1817" s="18" t="inlineStr">
        <is>
          <t>Opening Day</t>
        </is>
      </c>
      <c r="K1817" s="11">
        <f>IFERROR(INDEX(Roles!$B$17:$B$20,MATCH(J1817,Roles!$A$17:$A$20,0)),1)</f>
        <v/>
      </c>
      <c r="L1817" s="19" t="n">
        <v>1</v>
      </c>
      <c r="M1817" s="11" t="n">
        <v>1</v>
      </c>
      <c r="N1817" s="19" t="n"/>
      <c r="O1817" s="19" t="n"/>
      <c r="P1817" s="19" t="n"/>
      <c r="Q1817" s="19" t="n"/>
      <c r="R1817" s="19" t="n"/>
      <c r="S1817" s="19" t="n"/>
      <c r="T1817" s="19" t="n"/>
      <c r="U1817" s="19" t="n"/>
      <c r="V1817" s="19" t="n"/>
      <c r="W1817" s="19" t="n"/>
      <c r="X1817" s="19" t="n"/>
      <c r="Y1817" s="19" t="n">
        <v>1</v>
      </c>
      <c r="Z1817" s="13">
        <f>SUMPRODUCT(N1817:Y1817,$N$2:$Y$2)*$K1817*$L1817*$M1817</f>
        <v/>
      </c>
      <c r="AA1817" s="14">
        <f>SUM(N1817:Y1817)</f>
        <v/>
      </c>
      <c r="AB1817" s="13">
        <f>SUMPRODUCT(N1817:Y1817,$N$3:$Y$3)*$K1817*$L1817*$M1817</f>
        <v/>
      </c>
      <c r="AC1817" s="13">
        <f>SUMPRODUCT(N1817:Y1817,$N$4:$Y$4)*$K1817*$L1817*$M1817</f>
        <v/>
      </c>
      <c r="AD1817" s="15" t="n">
        <v>3</v>
      </c>
      <c r="AE1817" s="11" t="n">
        <v>1.011296296296296</v>
      </c>
      <c r="AF1817" s="16">
        <f>SUMPRODUCT(N1817:Y1817,$N$5:$Y$5)*$K1817*$L1817*$M1817</f>
        <v/>
      </c>
      <c r="AG1817" s="16">
        <f>SUMPRODUCT(N1817:Y1817,$N$6:$Y$6)*$K1817*$L1817*$M1817</f>
        <v/>
      </c>
      <c r="AH1817" s="20" t="n"/>
    </row>
    <row r="1818">
      <c r="A1818" s="9" t="n">
        <v>820827</v>
      </c>
      <c r="B1818" s="9" t="inlineStr">
        <is>
          <t>Luke Sinnard</t>
        </is>
      </c>
      <c r="C1818" s="9" t="inlineStr">
        <is>
          <t>ATL</t>
        </is>
      </c>
      <c r="D1818" s="9" t="n">
        <v>25</v>
      </c>
      <c r="E1818" s="18" t="inlineStr">
        <is>
          <t>R</t>
        </is>
      </c>
      <c r="F1818" s="18" t="n"/>
      <c r="G1818" s="9" t="n">
        <v>19.565</v>
      </c>
      <c r="H1818" s="9" t="n">
        <v>19.565</v>
      </c>
      <c r="I1818" s="9" t="inlineStr">
        <is>
          <t>Depth (no MLB IP)</t>
        </is>
      </c>
      <c r="J1818" s="18" t="inlineStr">
        <is>
          <t>Opening Day</t>
        </is>
      </c>
      <c r="K1818" s="11">
        <f>IFERROR(INDEX(Roles!$B$17:$B$20,MATCH(J1818,Roles!$A$17:$A$20,0)),1)</f>
        <v/>
      </c>
      <c r="L1818" s="19" t="n">
        <v>1</v>
      </c>
      <c r="M1818" s="11" t="n">
        <v>1</v>
      </c>
      <c r="N1818" s="19" t="n"/>
      <c r="O1818" s="19" t="n"/>
      <c r="P1818" s="19" t="n"/>
      <c r="Q1818" s="19" t="n"/>
      <c r="R1818" s="19" t="n"/>
      <c r="S1818" s="19" t="n"/>
      <c r="T1818" s="19" t="n"/>
      <c r="U1818" s="19" t="n"/>
      <c r="V1818" s="19" t="n"/>
      <c r="W1818" s="19" t="n"/>
      <c r="X1818" s="19" t="n"/>
      <c r="Y1818" s="19" t="n">
        <v>1</v>
      </c>
      <c r="Z1818" s="13">
        <f>SUMPRODUCT(N1818:Y1818,$N$2:$Y$2)*$K1818*$L1818*$M1818</f>
        <v/>
      </c>
      <c r="AA1818" s="14">
        <f>SUM(N1818:Y1818)</f>
        <v/>
      </c>
      <c r="AB1818" s="13">
        <f>SUMPRODUCT(N1818:Y1818,$N$3:$Y$3)*$K1818*$L1818*$M1818</f>
        <v/>
      </c>
      <c r="AC1818" s="13">
        <f>SUMPRODUCT(N1818:Y1818,$N$4:$Y$4)*$K1818*$L1818*$M1818</f>
        <v/>
      </c>
      <c r="AD1818" s="15" t="n">
        <v>3</v>
      </c>
      <c r="AE1818" s="11" t="n">
        <v>1.011296296296296</v>
      </c>
      <c r="AF1818" s="16">
        <f>SUMPRODUCT(N1818:Y1818,$N$5:$Y$5)*$K1818*$L1818*$M1818</f>
        <v/>
      </c>
      <c r="AG1818" s="16">
        <f>SUMPRODUCT(N1818:Y1818,$N$6:$Y$6)*$K1818*$L1818*$M1818</f>
        <v/>
      </c>
      <c r="AH1818" s="20" t="n"/>
    </row>
    <row r="1819">
      <c r="A1819" s="9" t="n">
        <v>689223</v>
      </c>
      <c r="B1819" s="9" t="inlineStr">
        <is>
          <t>Derek True</t>
        </is>
      </c>
      <c r="C1819" s="9" t="inlineStr">
        <is>
          <t>HOU</t>
        </is>
      </c>
      <c r="D1819" s="9" t="n">
        <v>25</v>
      </c>
      <c r="E1819" s="18" t="inlineStr">
        <is>
          <t>R</t>
        </is>
      </c>
      <c r="F1819" s="18" t="n"/>
      <c r="G1819" s="9" t="n">
        <v>19.565</v>
      </c>
      <c r="H1819" s="9" t="n">
        <v>19.565</v>
      </c>
      <c r="I1819" s="9" t="inlineStr">
        <is>
          <t>Depth (no MLB IP)</t>
        </is>
      </c>
      <c r="J1819" s="18" t="inlineStr">
        <is>
          <t>Opening Day</t>
        </is>
      </c>
      <c r="K1819" s="11">
        <f>IFERROR(INDEX(Roles!$B$17:$B$20,MATCH(J1819,Roles!$A$17:$A$20,0)),1)</f>
        <v/>
      </c>
      <c r="L1819" s="19" t="n">
        <v>1</v>
      </c>
      <c r="M1819" s="11" t="n">
        <v>1</v>
      </c>
      <c r="N1819" s="19" t="n"/>
      <c r="O1819" s="19" t="n"/>
      <c r="P1819" s="19" t="n"/>
      <c r="Q1819" s="19" t="n"/>
      <c r="R1819" s="19" t="n"/>
      <c r="S1819" s="19" t="n"/>
      <c r="T1819" s="19" t="n"/>
      <c r="U1819" s="19" t="n"/>
      <c r="V1819" s="19" t="n"/>
      <c r="W1819" s="19" t="n"/>
      <c r="X1819" s="19" t="n"/>
      <c r="Y1819" s="19" t="n">
        <v>1</v>
      </c>
      <c r="Z1819" s="13">
        <f>SUMPRODUCT(N1819:Y1819,$N$2:$Y$2)*$K1819*$L1819*$M1819</f>
        <v/>
      </c>
      <c r="AA1819" s="14">
        <f>SUM(N1819:Y1819)</f>
        <v/>
      </c>
      <c r="AB1819" s="13">
        <f>SUMPRODUCT(N1819:Y1819,$N$3:$Y$3)*$K1819*$L1819*$M1819</f>
        <v/>
      </c>
      <c r="AC1819" s="13">
        <f>SUMPRODUCT(N1819:Y1819,$N$4:$Y$4)*$K1819*$L1819*$M1819</f>
        <v/>
      </c>
      <c r="AD1819" s="15" t="n">
        <v>3</v>
      </c>
      <c r="AE1819" s="11" t="n">
        <v>1.011296296296296</v>
      </c>
      <c r="AF1819" s="16">
        <f>SUMPRODUCT(N1819:Y1819,$N$5:$Y$5)*$K1819*$L1819*$M1819</f>
        <v/>
      </c>
      <c r="AG1819" s="16">
        <f>SUMPRODUCT(N1819:Y1819,$N$6:$Y$6)*$K1819*$L1819*$M1819</f>
        <v/>
      </c>
      <c r="AH1819" s="20" t="n"/>
    </row>
    <row r="1820">
      <c r="A1820" s="9" t="n">
        <v>815065</v>
      </c>
      <c r="B1820" s="9" t="inlineStr">
        <is>
          <t>Hunter Mann</t>
        </is>
      </c>
      <c r="C1820" s="9" t="inlineStr">
        <is>
          <t>COL</t>
        </is>
      </c>
      <c r="D1820" s="9" t="n">
        <v>25</v>
      </c>
      <c r="E1820" s="18" t="inlineStr">
        <is>
          <t>R</t>
        </is>
      </c>
      <c r="F1820" s="18" t="n"/>
      <c r="G1820" s="9" t="n">
        <v>19.565</v>
      </c>
      <c r="H1820" s="9" t="n">
        <v>19.565</v>
      </c>
      <c r="I1820" s="9" t="inlineStr">
        <is>
          <t>Depth (no MLB IP)</t>
        </is>
      </c>
      <c r="J1820" s="18" t="inlineStr">
        <is>
          <t>Opening Day</t>
        </is>
      </c>
      <c r="K1820" s="11">
        <f>IFERROR(INDEX(Roles!$B$17:$B$20,MATCH(J1820,Roles!$A$17:$A$20,0)),1)</f>
        <v/>
      </c>
      <c r="L1820" s="19" t="n">
        <v>1</v>
      </c>
      <c r="M1820" s="11" t="n">
        <v>1</v>
      </c>
      <c r="N1820" s="19" t="n"/>
      <c r="O1820" s="19" t="n"/>
      <c r="P1820" s="19" t="n"/>
      <c r="Q1820" s="19" t="n"/>
      <c r="R1820" s="19" t="n"/>
      <c r="S1820" s="19" t="n"/>
      <c r="T1820" s="19" t="n"/>
      <c r="U1820" s="19" t="n"/>
      <c r="V1820" s="19" t="n"/>
      <c r="W1820" s="19" t="n"/>
      <c r="X1820" s="19" t="n"/>
      <c r="Y1820" s="19" t="n">
        <v>1</v>
      </c>
      <c r="Z1820" s="13">
        <f>SUMPRODUCT(N1820:Y1820,$N$2:$Y$2)*$K1820*$L1820*$M1820</f>
        <v/>
      </c>
      <c r="AA1820" s="14">
        <f>SUM(N1820:Y1820)</f>
        <v/>
      </c>
      <c r="AB1820" s="13">
        <f>SUMPRODUCT(N1820:Y1820,$N$3:$Y$3)*$K1820*$L1820*$M1820</f>
        <v/>
      </c>
      <c r="AC1820" s="13">
        <f>SUMPRODUCT(N1820:Y1820,$N$4:$Y$4)*$K1820*$L1820*$M1820</f>
        <v/>
      </c>
      <c r="AD1820" s="15" t="n">
        <v>3</v>
      </c>
      <c r="AE1820" s="11" t="n">
        <v>1.011296296296296</v>
      </c>
      <c r="AF1820" s="16">
        <f>SUMPRODUCT(N1820:Y1820,$N$5:$Y$5)*$K1820*$L1820*$M1820</f>
        <v/>
      </c>
      <c r="AG1820" s="16">
        <f>SUMPRODUCT(N1820:Y1820,$N$6:$Y$6)*$K1820*$L1820*$M1820</f>
        <v/>
      </c>
      <c r="AH1820" s="20" t="n"/>
    </row>
    <row r="1821">
      <c r="A1821" s="9" t="n">
        <v>814342</v>
      </c>
      <c r="B1821" s="9" t="inlineStr">
        <is>
          <t>Jackson Kirkpatrick</t>
        </is>
      </c>
      <c r="C1821" s="9" t="inlineStr">
        <is>
          <t>CHC</t>
        </is>
      </c>
      <c r="D1821" s="9" t="n">
        <v>25</v>
      </c>
      <c r="E1821" s="18" t="inlineStr">
        <is>
          <t>R</t>
        </is>
      </c>
      <c r="F1821" s="18" t="n"/>
      <c r="G1821" s="9" t="n">
        <v>19.565</v>
      </c>
      <c r="H1821" s="9" t="n">
        <v>19.565</v>
      </c>
      <c r="I1821" s="9" t="inlineStr">
        <is>
          <t>Depth (no MLB IP)</t>
        </is>
      </c>
      <c r="J1821" s="18" t="inlineStr">
        <is>
          <t>Opening Day</t>
        </is>
      </c>
      <c r="K1821" s="11">
        <f>IFERROR(INDEX(Roles!$B$17:$B$20,MATCH(J1821,Roles!$A$17:$A$20,0)),1)</f>
        <v/>
      </c>
      <c r="L1821" s="19" t="n">
        <v>1</v>
      </c>
      <c r="M1821" s="11" t="n">
        <v>1</v>
      </c>
      <c r="N1821" s="19" t="n"/>
      <c r="O1821" s="19" t="n"/>
      <c r="P1821" s="19" t="n"/>
      <c r="Q1821" s="19" t="n"/>
      <c r="R1821" s="19" t="n"/>
      <c r="S1821" s="19" t="n"/>
      <c r="T1821" s="19" t="n"/>
      <c r="U1821" s="19" t="n"/>
      <c r="V1821" s="19" t="n"/>
      <c r="W1821" s="19" t="n"/>
      <c r="X1821" s="19" t="n"/>
      <c r="Y1821" s="19" t="n">
        <v>1</v>
      </c>
      <c r="Z1821" s="13">
        <f>SUMPRODUCT(N1821:Y1821,$N$2:$Y$2)*$K1821*$L1821*$M1821</f>
        <v/>
      </c>
      <c r="AA1821" s="14">
        <f>SUM(N1821:Y1821)</f>
        <v/>
      </c>
      <c r="AB1821" s="13">
        <f>SUMPRODUCT(N1821:Y1821,$N$3:$Y$3)*$K1821*$L1821*$M1821</f>
        <v/>
      </c>
      <c r="AC1821" s="13">
        <f>SUMPRODUCT(N1821:Y1821,$N$4:$Y$4)*$K1821*$L1821*$M1821</f>
        <v/>
      </c>
      <c r="AD1821" s="15" t="n">
        <v>3</v>
      </c>
      <c r="AE1821" s="11" t="n">
        <v>1.011296296296296</v>
      </c>
      <c r="AF1821" s="16">
        <f>SUMPRODUCT(N1821:Y1821,$N$5:$Y$5)*$K1821*$L1821*$M1821</f>
        <v/>
      </c>
      <c r="AG1821" s="16">
        <f>SUMPRODUCT(N1821:Y1821,$N$6:$Y$6)*$K1821*$L1821*$M1821</f>
        <v/>
      </c>
      <c r="AH1821" s="20" t="n"/>
    </row>
    <row r="1822">
      <c r="A1822" s="9" t="n">
        <v>592454</v>
      </c>
      <c r="B1822" s="9" t="inlineStr">
        <is>
          <t>Tommy Kahnle</t>
        </is>
      </c>
      <c r="C1822" s="9" t="inlineStr">
        <is>
          <t>BOS</t>
        </is>
      </c>
      <c r="D1822" s="9" t="n">
        <v>37</v>
      </c>
      <c r="E1822" s="18" t="inlineStr">
        <is>
          <t>R</t>
        </is>
      </c>
      <c r="F1822" s="18" t="n"/>
      <c r="G1822" s="9" t="n">
        <v>43</v>
      </c>
      <c r="H1822" s="9" t="n">
        <v>700</v>
      </c>
      <c r="I1822" s="9" t="inlineStr">
        <is>
          <t>Bullpen Depth Arm</t>
        </is>
      </c>
      <c r="J1822" s="18" t="inlineStr">
        <is>
          <t>Opening Day</t>
        </is>
      </c>
      <c r="K1822" s="11">
        <f>IFERROR(INDEX(Roles!$B$17:$B$20,MATCH(J1822,Roles!$A$17:$A$20,0)),1)</f>
        <v/>
      </c>
      <c r="L1822" s="19" t="n">
        <v>1</v>
      </c>
      <c r="M1822" s="11" t="n">
        <v>1</v>
      </c>
      <c r="N1822" s="19" t="n"/>
      <c r="O1822" s="19" t="n"/>
      <c r="P1822" s="19" t="n"/>
      <c r="Q1822" s="19" t="n"/>
      <c r="R1822" s="19" t="n"/>
      <c r="S1822" s="19" t="n"/>
      <c r="T1822" s="19" t="n"/>
      <c r="U1822" s="19" t="n"/>
      <c r="V1822" s="19" t="n"/>
      <c r="W1822" s="19" t="n">
        <v>1</v>
      </c>
      <c r="X1822" s="19" t="n"/>
      <c r="Y1822" s="19" t="n"/>
      <c r="Z1822" s="13">
        <f>SUMPRODUCT(N1822:Y1822,$N$2:$Y$2)*$K1822*$L1822*$M1822</f>
        <v/>
      </c>
      <c r="AA1822" s="14">
        <f>SUM(N1822:Y1822)</f>
        <v/>
      </c>
      <c r="AB1822" s="13">
        <f>SUMPRODUCT(N1822:Y1822,$N$3:$Y$3)*$K1822*$L1822*$M1822</f>
        <v/>
      </c>
      <c r="AC1822" s="13">
        <f>SUMPRODUCT(N1822:Y1822,$N$4:$Y$4)*$K1822*$L1822*$M1822</f>
        <v/>
      </c>
      <c r="AD1822" s="15" t="n">
        <v>26.26666666666667</v>
      </c>
      <c r="AE1822" s="11" t="n">
        <v>1.118119864074557</v>
      </c>
      <c r="AF1822" s="16">
        <f>SUMPRODUCT(N1822:Y1822,$N$5:$Y$5)*$K1822*$L1822*$M1822</f>
        <v/>
      </c>
      <c r="AG1822" s="16">
        <f>SUMPRODUCT(N1822:Y1822,$N$6:$Y$6)*$K1822*$L1822*$M1822</f>
        <v/>
      </c>
      <c r="AH1822" s="20" t="n"/>
    </row>
    <row r="1823">
      <c r="A1823" s="9" t="n">
        <v>805807</v>
      </c>
      <c r="B1823" s="9" t="inlineStr">
        <is>
          <t>Josh Knoth</t>
        </is>
      </c>
      <c r="C1823" s="9" t="inlineStr">
        <is>
          <t>MIL</t>
        </is>
      </c>
      <c r="D1823" s="9" t="n">
        <v>22</v>
      </c>
      <c r="E1823" s="18" t="inlineStr">
        <is>
          <t>R</t>
        </is>
      </c>
      <c r="F1823" s="18" t="n"/>
      <c r="G1823" s="9" t="n">
        <v>19.565</v>
      </c>
      <c r="H1823" s="9" t="n">
        <v>19.565</v>
      </c>
      <c r="I1823" s="9" t="inlineStr">
        <is>
          <t>Depth (no MLB IP)</t>
        </is>
      </c>
      <c r="J1823" s="18" t="inlineStr">
        <is>
          <t>Opening Day</t>
        </is>
      </c>
      <c r="K1823" s="11">
        <f>IFERROR(INDEX(Roles!$B$17:$B$20,MATCH(J1823,Roles!$A$17:$A$20,0)),1)</f>
        <v/>
      </c>
      <c r="L1823" s="19" t="n">
        <v>1</v>
      </c>
      <c r="M1823" s="11" t="n">
        <v>1</v>
      </c>
      <c r="N1823" s="19" t="n"/>
      <c r="O1823" s="19" t="n"/>
      <c r="P1823" s="19" t="n"/>
      <c r="Q1823" s="19" t="n"/>
      <c r="R1823" s="19" t="n"/>
      <c r="S1823" s="19" t="n"/>
      <c r="T1823" s="19" t="n"/>
      <c r="U1823" s="19" t="n"/>
      <c r="V1823" s="19" t="n"/>
      <c r="W1823" s="19" t="n"/>
      <c r="X1823" s="19" t="n"/>
      <c r="Y1823" s="19" t="n">
        <v>1</v>
      </c>
      <c r="Z1823" s="13">
        <f>SUMPRODUCT(N1823:Y1823,$N$2:$Y$2)*$K1823*$L1823*$M1823</f>
        <v/>
      </c>
      <c r="AA1823" s="14">
        <f>SUM(N1823:Y1823)</f>
        <v/>
      </c>
      <c r="AB1823" s="13">
        <f>SUMPRODUCT(N1823:Y1823,$N$3:$Y$3)*$K1823*$L1823*$M1823</f>
        <v/>
      </c>
      <c r="AC1823" s="13">
        <f>SUMPRODUCT(N1823:Y1823,$N$4:$Y$4)*$K1823*$L1823*$M1823</f>
        <v/>
      </c>
      <c r="AD1823" s="15" t="n">
        <v>3</v>
      </c>
      <c r="AE1823" s="11" t="n">
        <v>1.011296296296296</v>
      </c>
      <c r="AF1823" s="16">
        <f>SUMPRODUCT(N1823:Y1823,$N$5:$Y$5)*$K1823*$L1823*$M1823</f>
        <v/>
      </c>
      <c r="AG1823" s="16">
        <f>SUMPRODUCT(N1823:Y1823,$N$6:$Y$6)*$K1823*$L1823*$M1823</f>
        <v/>
      </c>
      <c r="AH1823" s="20" t="n"/>
    </row>
    <row r="1824">
      <c r="A1824" s="9" t="n">
        <v>666204</v>
      </c>
      <c r="B1824" s="9" t="inlineStr">
        <is>
          <t>Dany Jiménez</t>
        </is>
      </c>
      <c r="C1824" s="9" t="inlineStr">
        <is>
          <t>OAK</t>
        </is>
      </c>
      <c r="D1824" s="9" t="n">
        <v>33</v>
      </c>
      <c r="E1824" s="18" t="inlineStr">
        <is>
          <t>R</t>
        </is>
      </c>
      <c r="F1824" s="18" t="n"/>
      <c r="G1824" s="9" t="n">
        <v>117</v>
      </c>
      <c r="H1824" s="9" t="n">
        <v>356</v>
      </c>
      <c r="I1824" s="9" t="inlineStr">
        <is>
          <t>Depth (no MLB IP)</t>
        </is>
      </c>
      <c r="J1824" s="18" t="inlineStr">
        <is>
          <t>Opening Day</t>
        </is>
      </c>
      <c r="K1824" s="11">
        <f>IFERROR(INDEX(Roles!$B$17:$B$20,MATCH(J1824,Roles!$A$17:$A$20,0)),1)</f>
        <v/>
      </c>
      <c r="L1824" s="19" t="n">
        <v>1</v>
      </c>
      <c r="M1824" s="11" t="n">
        <v>1</v>
      </c>
      <c r="N1824" s="19" t="n"/>
      <c r="O1824" s="19" t="n"/>
      <c r="P1824" s="19" t="n"/>
      <c r="Q1824" s="19" t="n"/>
      <c r="R1824" s="19" t="n"/>
      <c r="S1824" s="19" t="n"/>
      <c r="T1824" s="19" t="n"/>
      <c r="U1824" s="19" t="n"/>
      <c r="V1824" s="19" t="n"/>
      <c r="W1824" s="19" t="n"/>
      <c r="X1824" s="19" t="n"/>
      <c r="Y1824" s="19" t="n">
        <v>1</v>
      </c>
      <c r="Z1824" s="13">
        <f>SUMPRODUCT(N1824:Y1824,$N$2:$Y$2)*$K1824*$L1824*$M1824</f>
        <v/>
      </c>
      <c r="AA1824" s="14">
        <f>SUM(N1824:Y1824)</f>
        <v/>
      </c>
      <c r="AB1824" s="13">
        <f>SUMPRODUCT(N1824:Y1824,$N$3:$Y$3)*$K1824*$L1824*$M1824</f>
        <v/>
      </c>
      <c r="AC1824" s="13">
        <f>SUMPRODUCT(N1824:Y1824,$N$4:$Y$4)*$K1824*$L1824*$M1824</f>
        <v/>
      </c>
      <c r="AD1824" s="15" t="n">
        <v>16.2</v>
      </c>
      <c r="AE1824" s="11" t="n">
        <v>1.01641975308642</v>
      </c>
      <c r="AF1824" s="16">
        <f>SUMPRODUCT(N1824:Y1824,$N$5:$Y$5)*$K1824*$L1824*$M1824</f>
        <v/>
      </c>
      <c r="AG1824" s="16">
        <f>SUMPRODUCT(N1824:Y1824,$N$6:$Y$6)*$K1824*$L1824*$M1824</f>
        <v/>
      </c>
      <c r="AH1824" s="20" t="n"/>
    </row>
    <row r="1825">
      <c r="A1825" s="9" t="n">
        <v>800295</v>
      </c>
      <c r="B1825" s="9" t="inlineStr">
        <is>
          <t>Nelfy Ynfante</t>
        </is>
      </c>
      <c r="C1825" s="9" t="inlineStr">
        <is>
          <t>STL</t>
        </is>
      </c>
      <c r="D1825" s="9" t="n">
        <v>25</v>
      </c>
      <c r="E1825" s="18" t="inlineStr">
        <is>
          <t>R</t>
        </is>
      </c>
      <c r="F1825" s="18" t="n"/>
      <c r="G1825" s="9" t="n">
        <v>19.565</v>
      </c>
      <c r="H1825" s="9" t="n">
        <v>19.565</v>
      </c>
      <c r="I1825" s="9" t="inlineStr">
        <is>
          <t>Depth (no MLB IP)</t>
        </is>
      </c>
      <c r="J1825" s="18" t="inlineStr">
        <is>
          <t>Opening Day</t>
        </is>
      </c>
      <c r="K1825" s="11">
        <f>IFERROR(INDEX(Roles!$B$17:$B$20,MATCH(J1825,Roles!$A$17:$A$20,0)),1)</f>
        <v/>
      </c>
      <c r="L1825" s="19" t="n">
        <v>1</v>
      </c>
      <c r="M1825" s="11" t="n">
        <v>1</v>
      </c>
      <c r="N1825" s="19" t="n"/>
      <c r="O1825" s="19" t="n"/>
      <c r="P1825" s="19" t="n"/>
      <c r="Q1825" s="19" t="n"/>
      <c r="R1825" s="19" t="n"/>
      <c r="S1825" s="19" t="n"/>
      <c r="T1825" s="19" t="n"/>
      <c r="U1825" s="19" t="n"/>
      <c r="V1825" s="19" t="n"/>
      <c r="W1825" s="19" t="n"/>
      <c r="X1825" s="19" t="n"/>
      <c r="Y1825" s="19" t="n">
        <v>1</v>
      </c>
      <c r="Z1825" s="13">
        <f>SUMPRODUCT(N1825:Y1825,$N$2:$Y$2)*$K1825*$L1825*$M1825</f>
        <v/>
      </c>
      <c r="AA1825" s="14">
        <f>SUM(N1825:Y1825)</f>
        <v/>
      </c>
      <c r="AB1825" s="13">
        <f>SUMPRODUCT(N1825:Y1825,$N$3:$Y$3)*$K1825*$L1825*$M1825</f>
        <v/>
      </c>
      <c r="AC1825" s="13">
        <f>SUMPRODUCT(N1825:Y1825,$N$4:$Y$4)*$K1825*$L1825*$M1825</f>
        <v/>
      </c>
      <c r="AD1825" s="15" t="n">
        <v>3</v>
      </c>
      <c r="AE1825" s="11" t="n">
        <v>1.011296296296296</v>
      </c>
      <c r="AF1825" s="16">
        <f>SUMPRODUCT(N1825:Y1825,$N$5:$Y$5)*$K1825*$L1825*$M1825</f>
        <v/>
      </c>
      <c r="AG1825" s="16">
        <f>SUMPRODUCT(N1825:Y1825,$N$6:$Y$6)*$K1825*$L1825*$M1825</f>
        <v/>
      </c>
      <c r="AH1825" s="20" t="n"/>
    </row>
    <row r="1826">
      <c r="A1826" s="9" t="n">
        <v>701829</v>
      </c>
      <c r="B1826" s="9" t="inlineStr">
        <is>
          <t>Trendan Parish</t>
        </is>
      </c>
      <c r="C1826" s="9" t="inlineStr">
        <is>
          <t>TB</t>
        </is>
      </c>
      <c r="D1826" s="9" t="n">
        <v>25</v>
      </c>
      <c r="E1826" s="18" t="inlineStr">
        <is>
          <t>R</t>
        </is>
      </c>
      <c r="F1826" s="18" t="n"/>
      <c r="G1826" s="9" t="n">
        <v>19.608</v>
      </c>
      <c r="H1826" s="9" t="n">
        <v>19.608</v>
      </c>
      <c r="I1826" s="9" t="inlineStr">
        <is>
          <t>Depth (no MLB IP)</t>
        </is>
      </c>
      <c r="J1826" s="18" t="inlineStr">
        <is>
          <t>Opening Day</t>
        </is>
      </c>
      <c r="K1826" s="11">
        <f>IFERROR(INDEX(Roles!$B$17:$B$20,MATCH(J1826,Roles!$A$17:$A$20,0)),1)</f>
        <v/>
      </c>
      <c r="L1826" s="19" t="n">
        <v>1</v>
      </c>
      <c r="M1826" s="11" t="n">
        <v>1</v>
      </c>
      <c r="N1826" s="19" t="n"/>
      <c r="O1826" s="19" t="n"/>
      <c r="P1826" s="19" t="n"/>
      <c r="Q1826" s="19" t="n"/>
      <c r="R1826" s="19" t="n"/>
      <c r="S1826" s="19" t="n"/>
      <c r="T1826" s="19" t="n"/>
      <c r="U1826" s="19" t="n"/>
      <c r="V1826" s="19" t="n"/>
      <c r="W1826" s="19" t="n"/>
      <c r="X1826" s="19" t="n"/>
      <c r="Y1826" s="19" t="n">
        <v>1</v>
      </c>
      <c r="Z1826" s="13">
        <f>SUMPRODUCT(N1826:Y1826,$N$2:$Y$2)*$K1826*$L1826*$M1826</f>
        <v/>
      </c>
      <c r="AA1826" s="14">
        <f>SUM(N1826:Y1826)</f>
        <v/>
      </c>
      <c r="AB1826" s="13">
        <f>SUMPRODUCT(N1826:Y1826,$N$3:$Y$3)*$K1826*$L1826*$M1826</f>
        <v/>
      </c>
      <c r="AC1826" s="13">
        <f>SUMPRODUCT(N1826:Y1826,$N$4:$Y$4)*$K1826*$L1826*$M1826</f>
        <v/>
      </c>
      <c r="AD1826" s="15" t="n">
        <v>3</v>
      </c>
      <c r="AE1826" s="11" t="n">
        <v>1.011296296296296</v>
      </c>
      <c r="AF1826" s="16">
        <f>SUMPRODUCT(N1826:Y1826,$N$5:$Y$5)*$K1826*$L1826*$M1826</f>
        <v/>
      </c>
      <c r="AG1826" s="16">
        <f>SUMPRODUCT(N1826:Y1826,$N$6:$Y$6)*$K1826*$L1826*$M1826</f>
        <v/>
      </c>
      <c r="AH1826" s="20" t="n"/>
    </row>
    <row r="1827">
      <c r="A1827" s="9" t="n">
        <v>702212</v>
      </c>
      <c r="B1827" s="9" t="inlineStr">
        <is>
          <t>Jordarlin Mendoza</t>
        </is>
      </c>
      <c r="C1827" s="9" t="inlineStr">
        <is>
          <t>NYY</t>
        </is>
      </c>
      <c r="D1827" s="9" t="n">
        <v>25</v>
      </c>
      <c r="E1827" s="18" t="inlineStr">
        <is>
          <t>R</t>
        </is>
      </c>
      <c r="F1827" s="18" t="n"/>
      <c r="G1827" s="9" t="n">
        <v>19.608</v>
      </c>
      <c r="H1827" s="9" t="n">
        <v>19.608</v>
      </c>
      <c r="I1827" s="9" t="inlineStr">
        <is>
          <t>Depth (no MLB IP)</t>
        </is>
      </c>
      <c r="J1827" s="18" t="inlineStr">
        <is>
          <t>Opening Day</t>
        </is>
      </c>
      <c r="K1827" s="11">
        <f>IFERROR(INDEX(Roles!$B$17:$B$20,MATCH(J1827,Roles!$A$17:$A$20,0)),1)</f>
        <v/>
      </c>
      <c r="L1827" s="19" t="n">
        <v>1</v>
      </c>
      <c r="M1827" s="11" t="n">
        <v>1</v>
      </c>
      <c r="N1827" s="19" t="n"/>
      <c r="O1827" s="19" t="n"/>
      <c r="P1827" s="19" t="n"/>
      <c r="Q1827" s="19" t="n"/>
      <c r="R1827" s="19" t="n"/>
      <c r="S1827" s="19" t="n"/>
      <c r="T1827" s="19" t="n"/>
      <c r="U1827" s="19" t="n"/>
      <c r="V1827" s="19" t="n"/>
      <c r="W1827" s="19" t="n"/>
      <c r="X1827" s="19" t="n"/>
      <c r="Y1827" s="19" t="n">
        <v>1</v>
      </c>
      <c r="Z1827" s="13">
        <f>SUMPRODUCT(N1827:Y1827,$N$2:$Y$2)*$K1827*$L1827*$M1827</f>
        <v/>
      </c>
      <c r="AA1827" s="14">
        <f>SUM(N1827:Y1827)</f>
        <v/>
      </c>
      <c r="AB1827" s="13">
        <f>SUMPRODUCT(N1827:Y1827,$N$3:$Y$3)*$K1827*$L1827*$M1827</f>
        <v/>
      </c>
      <c r="AC1827" s="13">
        <f>SUMPRODUCT(N1827:Y1827,$N$4:$Y$4)*$K1827*$L1827*$M1827</f>
        <v/>
      </c>
      <c r="AD1827" s="15" t="n">
        <v>3</v>
      </c>
      <c r="AE1827" s="11" t="n">
        <v>1.011296296296296</v>
      </c>
      <c r="AF1827" s="16">
        <f>SUMPRODUCT(N1827:Y1827,$N$5:$Y$5)*$K1827*$L1827*$M1827</f>
        <v/>
      </c>
      <c r="AG1827" s="16">
        <f>SUMPRODUCT(N1827:Y1827,$N$6:$Y$6)*$K1827*$L1827*$M1827</f>
        <v/>
      </c>
      <c r="AH1827" s="20" t="n"/>
    </row>
    <row r="1828">
      <c r="A1828" s="9" t="n">
        <v>702462</v>
      </c>
      <c r="B1828" s="9" t="inlineStr">
        <is>
          <t>Nic Swanson</t>
        </is>
      </c>
      <c r="C1828" s="9" t="inlineStr">
        <is>
          <t>HOU</t>
        </is>
      </c>
      <c r="D1828" s="9" t="n">
        <v>25</v>
      </c>
      <c r="E1828" s="18" t="inlineStr">
        <is>
          <t>R</t>
        </is>
      </c>
      <c r="F1828" s="18" t="n"/>
      <c r="G1828" s="9" t="n">
        <v>19.70833333333334</v>
      </c>
      <c r="H1828" s="9" t="n">
        <v>19.70833333333334</v>
      </c>
      <c r="I1828" s="9" t="inlineStr">
        <is>
          <t>Depth (no MLB IP)</t>
        </is>
      </c>
      <c r="J1828" s="18" t="inlineStr">
        <is>
          <t>Opening Day</t>
        </is>
      </c>
      <c r="K1828" s="11">
        <f>IFERROR(INDEX(Roles!$B$17:$B$20,MATCH(J1828,Roles!$A$17:$A$20,0)),1)</f>
        <v/>
      </c>
      <c r="L1828" s="19" t="n">
        <v>1</v>
      </c>
      <c r="M1828" s="11" t="n">
        <v>1</v>
      </c>
      <c r="N1828" s="19" t="n"/>
      <c r="O1828" s="19" t="n"/>
      <c r="P1828" s="19" t="n"/>
      <c r="Q1828" s="19" t="n"/>
      <c r="R1828" s="19" t="n"/>
      <c r="S1828" s="19" t="n"/>
      <c r="T1828" s="19" t="n"/>
      <c r="U1828" s="19" t="n"/>
      <c r="V1828" s="19" t="n"/>
      <c r="W1828" s="19" t="n"/>
      <c r="X1828" s="19" t="n"/>
      <c r="Y1828" s="19" t="n">
        <v>1</v>
      </c>
      <c r="Z1828" s="13">
        <f>SUMPRODUCT(N1828:Y1828,$N$2:$Y$2)*$K1828*$L1828*$M1828</f>
        <v/>
      </c>
      <c r="AA1828" s="14">
        <f>SUM(N1828:Y1828)</f>
        <v/>
      </c>
      <c r="AB1828" s="13">
        <f>SUMPRODUCT(N1828:Y1828,$N$3:$Y$3)*$K1828*$L1828*$M1828</f>
        <v/>
      </c>
      <c r="AC1828" s="13">
        <f>SUMPRODUCT(N1828:Y1828,$N$4:$Y$4)*$K1828*$L1828*$M1828</f>
        <v/>
      </c>
      <c r="AD1828" s="15" t="n">
        <v>3</v>
      </c>
      <c r="AE1828" s="11" t="n">
        <v>1.011296296296296</v>
      </c>
      <c r="AF1828" s="16">
        <f>SUMPRODUCT(N1828:Y1828,$N$5:$Y$5)*$K1828*$L1828*$M1828</f>
        <v/>
      </c>
      <c r="AG1828" s="16">
        <f>SUMPRODUCT(N1828:Y1828,$N$6:$Y$6)*$K1828*$L1828*$M1828</f>
        <v/>
      </c>
      <c r="AH1828" s="20" t="n"/>
    </row>
    <row r="1829">
      <c r="A1829" s="9" t="n">
        <v>699075</v>
      </c>
      <c r="B1829" s="9" t="inlineStr">
        <is>
          <t>Jhonny Jimenez</t>
        </is>
      </c>
      <c r="C1829" s="9" t="inlineStr">
        <is>
          <t>LAD</t>
        </is>
      </c>
      <c r="D1829" s="9" t="n">
        <v>25</v>
      </c>
      <c r="E1829" s="18" t="inlineStr">
        <is>
          <t>R</t>
        </is>
      </c>
      <c r="F1829" s="18" t="n"/>
      <c r="G1829" s="9" t="n">
        <v>19.78</v>
      </c>
      <c r="H1829" s="9" t="n">
        <v>19.78</v>
      </c>
      <c r="I1829" s="9" t="inlineStr">
        <is>
          <t>Depth (no MLB IP)</t>
        </is>
      </c>
      <c r="J1829" s="18" t="inlineStr">
        <is>
          <t>Opening Day</t>
        </is>
      </c>
      <c r="K1829" s="11">
        <f>IFERROR(INDEX(Roles!$B$17:$B$20,MATCH(J1829,Roles!$A$17:$A$20,0)),1)</f>
        <v/>
      </c>
      <c r="L1829" s="19" t="n">
        <v>1</v>
      </c>
      <c r="M1829" s="11" t="n">
        <v>1</v>
      </c>
      <c r="N1829" s="19" t="n"/>
      <c r="O1829" s="19" t="n"/>
      <c r="P1829" s="19" t="n"/>
      <c r="Q1829" s="19" t="n"/>
      <c r="R1829" s="19" t="n"/>
      <c r="S1829" s="19" t="n"/>
      <c r="T1829" s="19" t="n"/>
      <c r="U1829" s="19" t="n"/>
      <c r="V1829" s="19" t="n"/>
      <c r="W1829" s="19" t="n"/>
      <c r="X1829" s="19" t="n"/>
      <c r="Y1829" s="19" t="n">
        <v>1</v>
      </c>
      <c r="Z1829" s="13">
        <f>SUMPRODUCT(N1829:Y1829,$N$2:$Y$2)*$K1829*$L1829*$M1829</f>
        <v/>
      </c>
      <c r="AA1829" s="14">
        <f>SUM(N1829:Y1829)</f>
        <v/>
      </c>
      <c r="AB1829" s="13">
        <f>SUMPRODUCT(N1829:Y1829,$N$3:$Y$3)*$K1829*$L1829*$M1829</f>
        <v/>
      </c>
      <c r="AC1829" s="13">
        <f>SUMPRODUCT(N1829:Y1829,$N$4:$Y$4)*$K1829*$L1829*$M1829</f>
        <v/>
      </c>
      <c r="AD1829" s="15" t="n">
        <v>3</v>
      </c>
      <c r="AE1829" s="11" t="n">
        <v>1.011296296296296</v>
      </c>
      <c r="AF1829" s="16">
        <f>SUMPRODUCT(N1829:Y1829,$N$5:$Y$5)*$K1829*$L1829*$M1829</f>
        <v/>
      </c>
      <c r="AG1829" s="16">
        <f>SUMPRODUCT(N1829:Y1829,$N$6:$Y$6)*$K1829*$L1829*$M1829</f>
        <v/>
      </c>
      <c r="AH1829" s="20" t="n"/>
    </row>
    <row r="1830">
      <c r="A1830" s="9" t="n">
        <v>809109</v>
      </c>
      <c r="B1830" s="9" t="inlineStr">
        <is>
          <t>Roman Angelo</t>
        </is>
      </c>
      <c r="C1830" s="9" t="inlineStr">
        <is>
          <t>ARI</t>
        </is>
      </c>
      <c r="D1830" s="9" t="n">
        <v>25</v>
      </c>
      <c r="E1830" s="18" t="inlineStr">
        <is>
          <t>R</t>
        </is>
      </c>
      <c r="F1830" s="18" t="n"/>
      <c r="G1830" s="9" t="n">
        <v>19.70833333333334</v>
      </c>
      <c r="H1830" s="9" t="n">
        <v>19.70833333333334</v>
      </c>
      <c r="I1830" s="9" t="inlineStr">
        <is>
          <t>Depth (no MLB IP)</t>
        </is>
      </c>
      <c r="J1830" s="18" t="inlineStr">
        <is>
          <t>Opening Day</t>
        </is>
      </c>
      <c r="K1830" s="11">
        <f>IFERROR(INDEX(Roles!$B$17:$B$20,MATCH(J1830,Roles!$A$17:$A$20,0)),1)</f>
        <v/>
      </c>
      <c r="L1830" s="19" t="n">
        <v>1</v>
      </c>
      <c r="M1830" s="11" t="n">
        <v>1</v>
      </c>
      <c r="N1830" s="19" t="n"/>
      <c r="O1830" s="19" t="n"/>
      <c r="P1830" s="19" t="n"/>
      <c r="Q1830" s="19" t="n"/>
      <c r="R1830" s="19" t="n"/>
      <c r="S1830" s="19" t="n"/>
      <c r="T1830" s="19" t="n"/>
      <c r="U1830" s="19" t="n"/>
      <c r="V1830" s="19" t="n"/>
      <c r="W1830" s="19" t="n"/>
      <c r="X1830" s="19" t="n"/>
      <c r="Y1830" s="19" t="n">
        <v>1</v>
      </c>
      <c r="Z1830" s="13">
        <f>SUMPRODUCT(N1830:Y1830,$N$2:$Y$2)*$K1830*$L1830*$M1830</f>
        <v/>
      </c>
      <c r="AA1830" s="14">
        <f>SUM(N1830:Y1830)</f>
        <v/>
      </c>
      <c r="AB1830" s="13">
        <f>SUMPRODUCT(N1830:Y1830,$N$3:$Y$3)*$K1830*$L1830*$M1830</f>
        <v/>
      </c>
      <c r="AC1830" s="13">
        <f>SUMPRODUCT(N1830:Y1830,$N$4:$Y$4)*$K1830*$L1830*$M1830</f>
        <v/>
      </c>
      <c r="AD1830" s="15" t="n">
        <v>3</v>
      </c>
      <c r="AE1830" s="11" t="n">
        <v>1.011296296296296</v>
      </c>
      <c r="AF1830" s="16">
        <f>SUMPRODUCT(N1830:Y1830,$N$5:$Y$5)*$K1830*$L1830*$M1830</f>
        <v/>
      </c>
      <c r="AG1830" s="16">
        <f>SUMPRODUCT(N1830:Y1830,$N$6:$Y$6)*$K1830*$L1830*$M1830</f>
        <v/>
      </c>
      <c r="AH1830" s="20" t="n"/>
    </row>
    <row r="1831">
      <c r="A1831" s="9" t="n">
        <v>681924</v>
      </c>
      <c r="B1831" s="9" t="inlineStr">
        <is>
          <t>R.J. Dabovich</t>
        </is>
      </c>
      <c r="C1831" s="9" t="inlineStr">
        <is>
          <t>SF</t>
        </is>
      </c>
      <c r="D1831" s="9" t="n">
        <v>25</v>
      </c>
      <c r="E1831" s="18" t="inlineStr">
        <is>
          <t>R</t>
        </is>
      </c>
      <c r="F1831" s="18" t="n"/>
      <c r="G1831" s="9" t="n">
        <v>19.70833333333334</v>
      </c>
      <c r="H1831" s="9" t="n">
        <v>19.70833333333334</v>
      </c>
      <c r="I1831" s="9" t="inlineStr">
        <is>
          <t>Depth (no MLB IP)</t>
        </is>
      </c>
      <c r="J1831" s="18" t="inlineStr">
        <is>
          <t>Opening Day</t>
        </is>
      </c>
      <c r="K1831" s="11">
        <f>IFERROR(INDEX(Roles!$B$17:$B$20,MATCH(J1831,Roles!$A$17:$A$20,0)),1)</f>
        <v/>
      </c>
      <c r="L1831" s="19" t="n">
        <v>1</v>
      </c>
      <c r="M1831" s="11" t="n">
        <v>1</v>
      </c>
      <c r="N1831" s="19" t="n"/>
      <c r="O1831" s="19" t="n"/>
      <c r="P1831" s="19" t="n"/>
      <c r="Q1831" s="19" t="n"/>
      <c r="R1831" s="19" t="n"/>
      <c r="S1831" s="19" t="n"/>
      <c r="T1831" s="19" t="n"/>
      <c r="U1831" s="19" t="n"/>
      <c r="V1831" s="19" t="n"/>
      <c r="W1831" s="19" t="n"/>
      <c r="X1831" s="19" t="n"/>
      <c r="Y1831" s="19" t="n">
        <v>1</v>
      </c>
      <c r="Z1831" s="13">
        <f>SUMPRODUCT(N1831:Y1831,$N$2:$Y$2)*$K1831*$L1831*$M1831</f>
        <v/>
      </c>
      <c r="AA1831" s="14">
        <f>SUM(N1831:Y1831)</f>
        <v/>
      </c>
      <c r="AB1831" s="13">
        <f>SUMPRODUCT(N1831:Y1831,$N$3:$Y$3)*$K1831*$L1831*$M1831</f>
        <v/>
      </c>
      <c r="AC1831" s="13">
        <f>SUMPRODUCT(N1831:Y1831,$N$4:$Y$4)*$K1831*$L1831*$M1831</f>
        <v/>
      </c>
      <c r="AD1831" s="15" t="n">
        <v>3</v>
      </c>
      <c r="AE1831" s="11" t="n">
        <v>1.011296296296296</v>
      </c>
      <c r="AF1831" s="16">
        <f>SUMPRODUCT(N1831:Y1831,$N$5:$Y$5)*$K1831*$L1831*$M1831</f>
        <v/>
      </c>
      <c r="AG1831" s="16">
        <f>SUMPRODUCT(N1831:Y1831,$N$6:$Y$6)*$K1831*$L1831*$M1831</f>
        <v/>
      </c>
      <c r="AH1831" s="20" t="n"/>
    </row>
    <row r="1832">
      <c r="A1832" s="9" t="n">
        <v>800616</v>
      </c>
      <c r="B1832" s="9" t="inlineStr">
        <is>
          <t>Cole Schoenwetter</t>
        </is>
      </c>
      <c r="C1832" s="9" t="inlineStr">
        <is>
          <t>CIN</t>
        </is>
      </c>
      <c r="D1832" s="9" t="n">
        <v>25</v>
      </c>
      <c r="E1832" s="18" t="inlineStr">
        <is>
          <t>R</t>
        </is>
      </c>
      <c r="F1832" s="18" t="n"/>
      <c r="G1832" s="9" t="n">
        <v>19.78</v>
      </c>
      <c r="H1832" s="9" t="n">
        <v>19.78</v>
      </c>
      <c r="I1832" s="9" t="inlineStr">
        <is>
          <t>Depth (no MLB IP)</t>
        </is>
      </c>
      <c r="J1832" s="18" t="inlineStr">
        <is>
          <t>Opening Day</t>
        </is>
      </c>
      <c r="K1832" s="11">
        <f>IFERROR(INDEX(Roles!$B$17:$B$20,MATCH(J1832,Roles!$A$17:$A$20,0)),1)</f>
        <v/>
      </c>
      <c r="L1832" s="19" t="n">
        <v>1</v>
      </c>
      <c r="M1832" s="11" t="n">
        <v>1</v>
      </c>
      <c r="N1832" s="19" t="n"/>
      <c r="O1832" s="19" t="n"/>
      <c r="P1832" s="19" t="n"/>
      <c r="Q1832" s="19" t="n"/>
      <c r="R1832" s="19" t="n"/>
      <c r="S1832" s="19" t="n"/>
      <c r="T1832" s="19" t="n"/>
      <c r="U1832" s="19" t="n"/>
      <c r="V1832" s="19" t="n"/>
      <c r="W1832" s="19" t="n"/>
      <c r="X1832" s="19" t="n"/>
      <c r="Y1832" s="19" t="n">
        <v>1</v>
      </c>
      <c r="Z1832" s="13">
        <f>SUMPRODUCT(N1832:Y1832,$N$2:$Y$2)*$K1832*$L1832*$M1832</f>
        <v/>
      </c>
      <c r="AA1832" s="14">
        <f>SUM(N1832:Y1832)</f>
        <v/>
      </c>
      <c r="AB1832" s="13">
        <f>SUMPRODUCT(N1832:Y1832,$N$3:$Y$3)*$K1832*$L1832*$M1832</f>
        <v/>
      </c>
      <c r="AC1832" s="13">
        <f>SUMPRODUCT(N1832:Y1832,$N$4:$Y$4)*$K1832*$L1832*$M1832</f>
        <v/>
      </c>
      <c r="AD1832" s="15" t="n">
        <v>3</v>
      </c>
      <c r="AE1832" s="11" t="n">
        <v>1.011296296296296</v>
      </c>
      <c r="AF1832" s="16">
        <f>SUMPRODUCT(N1832:Y1832,$N$5:$Y$5)*$K1832*$L1832*$M1832</f>
        <v/>
      </c>
      <c r="AG1832" s="16">
        <f>SUMPRODUCT(N1832:Y1832,$N$6:$Y$6)*$K1832*$L1832*$M1832</f>
        <v/>
      </c>
      <c r="AH1832" s="20" t="n"/>
    </row>
    <row r="1833">
      <c r="A1833" s="9" t="n">
        <v>696150</v>
      </c>
      <c r="B1833" s="9" t="inlineStr">
        <is>
          <t>Eric Silva</t>
        </is>
      </c>
      <c r="C1833" s="9" t="inlineStr">
        <is>
          <t>DET</t>
        </is>
      </c>
      <c r="D1833" s="9" t="n">
        <v>25</v>
      </c>
      <c r="E1833" s="18" t="inlineStr">
        <is>
          <t>R</t>
        </is>
      </c>
      <c r="F1833" s="18" t="n"/>
      <c r="G1833" s="9" t="n">
        <v>19.70833333333334</v>
      </c>
      <c r="H1833" s="9" t="n">
        <v>19.70833333333334</v>
      </c>
      <c r="I1833" s="9" t="inlineStr">
        <is>
          <t>Depth (no MLB IP)</t>
        </is>
      </c>
      <c r="J1833" s="18" t="inlineStr">
        <is>
          <t>Opening Day</t>
        </is>
      </c>
      <c r="K1833" s="11">
        <f>IFERROR(INDEX(Roles!$B$17:$B$20,MATCH(J1833,Roles!$A$17:$A$20,0)),1)</f>
        <v/>
      </c>
      <c r="L1833" s="19" t="n">
        <v>1</v>
      </c>
      <c r="M1833" s="11" t="n">
        <v>1</v>
      </c>
      <c r="N1833" s="19" t="n"/>
      <c r="O1833" s="19" t="n"/>
      <c r="P1833" s="19" t="n"/>
      <c r="Q1833" s="19" t="n"/>
      <c r="R1833" s="19" t="n"/>
      <c r="S1833" s="19" t="n"/>
      <c r="T1833" s="19" t="n"/>
      <c r="U1833" s="19" t="n"/>
      <c r="V1833" s="19" t="n"/>
      <c r="W1833" s="19" t="n"/>
      <c r="X1833" s="19" t="n"/>
      <c r="Y1833" s="19" t="n">
        <v>1</v>
      </c>
      <c r="Z1833" s="13">
        <f>SUMPRODUCT(N1833:Y1833,$N$2:$Y$2)*$K1833*$L1833*$M1833</f>
        <v/>
      </c>
      <c r="AA1833" s="14">
        <f>SUM(N1833:Y1833)</f>
        <v/>
      </c>
      <c r="AB1833" s="13">
        <f>SUMPRODUCT(N1833:Y1833,$N$3:$Y$3)*$K1833*$L1833*$M1833</f>
        <v/>
      </c>
      <c r="AC1833" s="13">
        <f>SUMPRODUCT(N1833:Y1833,$N$4:$Y$4)*$K1833*$L1833*$M1833</f>
        <v/>
      </c>
      <c r="AD1833" s="15" t="n">
        <v>3</v>
      </c>
      <c r="AE1833" s="11" t="n">
        <v>1.011296296296296</v>
      </c>
      <c r="AF1833" s="16">
        <f>SUMPRODUCT(N1833:Y1833,$N$5:$Y$5)*$K1833*$L1833*$M1833</f>
        <v/>
      </c>
      <c r="AG1833" s="16">
        <f>SUMPRODUCT(N1833:Y1833,$N$6:$Y$6)*$K1833*$L1833*$M1833</f>
        <v/>
      </c>
      <c r="AH1833" s="20" t="n"/>
    </row>
    <row r="1834">
      <c r="A1834" s="9" t="n">
        <v>820905</v>
      </c>
      <c r="B1834" s="9" t="inlineStr">
        <is>
          <t>Roilan Portuondo</t>
        </is>
      </c>
      <c r="C1834" s="9" t="inlineStr">
        <is>
          <t>PIT</t>
        </is>
      </c>
      <c r="D1834" s="9" t="n">
        <v>25</v>
      </c>
      <c r="E1834" s="18" t="inlineStr">
        <is>
          <t>R</t>
        </is>
      </c>
      <c r="F1834" s="18" t="n"/>
      <c r="G1834" s="9" t="n">
        <v>19.78</v>
      </c>
      <c r="H1834" s="9" t="n">
        <v>19.78</v>
      </c>
      <c r="I1834" s="9" t="inlineStr">
        <is>
          <t>Depth (no MLB IP)</t>
        </is>
      </c>
      <c r="J1834" s="18" t="inlineStr">
        <is>
          <t>Opening Day</t>
        </is>
      </c>
      <c r="K1834" s="11">
        <f>IFERROR(INDEX(Roles!$B$17:$B$20,MATCH(J1834,Roles!$A$17:$A$20,0)),1)</f>
        <v/>
      </c>
      <c r="L1834" s="19" t="n">
        <v>1</v>
      </c>
      <c r="M1834" s="11" t="n">
        <v>1</v>
      </c>
      <c r="N1834" s="19" t="n"/>
      <c r="O1834" s="19" t="n"/>
      <c r="P1834" s="19" t="n"/>
      <c r="Q1834" s="19" t="n"/>
      <c r="R1834" s="19" t="n"/>
      <c r="S1834" s="19" t="n"/>
      <c r="T1834" s="19" t="n"/>
      <c r="U1834" s="19" t="n"/>
      <c r="V1834" s="19" t="n"/>
      <c r="W1834" s="19" t="n"/>
      <c r="X1834" s="19" t="n"/>
      <c r="Y1834" s="19" t="n">
        <v>1</v>
      </c>
      <c r="Z1834" s="13">
        <f>SUMPRODUCT(N1834:Y1834,$N$2:$Y$2)*$K1834*$L1834*$M1834</f>
        <v/>
      </c>
      <c r="AA1834" s="14">
        <f>SUM(N1834:Y1834)</f>
        <v/>
      </c>
      <c r="AB1834" s="13">
        <f>SUMPRODUCT(N1834:Y1834,$N$3:$Y$3)*$K1834*$L1834*$M1834</f>
        <v/>
      </c>
      <c r="AC1834" s="13">
        <f>SUMPRODUCT(N1834:Y1834,$N$4:$Y$4)*$K1834*$L1834*$M1834</f>
        <v/>
      </c>
      <c r="AD1834" s="15" t="n">
        <v>3</v>
      </c>
      <c r="AE1834" s="11" t="n">
        <v>1.011296296296296</v>
      </c>
      <c r="AF1834" s="16">
        <f>SUMPRODUCT(N1834:Y1834,$N$5:$Y$5)*$K1834*$L1834*$M1834</f>
        <v/>
      </c>
      <c r="AG1834" s="16">
        <f>SUMPRODUCT(N1834:Y1834,$N$6:$Y$6)*$K1834*$L1834*$M1834</f>
        <v/>
      </c>
      <c r="AH1834" s="20" t="n"/>
    </row>
    <row r="1835">
      <c r="A1835" s="9" t="n">
        <v>692038</v>
      </c>
      <c r="B1835" s="9" t="inlineStr">
        <is>
          <t>Pedro Da Costa Lemos</t>
        </is>
      </c>
      <c r="C1835" s="9" t="inlineStr">
        <is>
          <t>SEA</t>
        </is>
      </c>
      <c r="D1835" s="9" t="n">
        <v>25</v>
      </c>
      <c r="E1835" s="18" t="inlineStr">
        <is>
          <t>R</t>
        </is>
      </c>
      <c r="F1835" s="18" t="n"/>
      <c r="G1835" s="9" t="n">
        <v>19.78</v>
      </c>
      <c r="H1835" s="9" t="n">
        <v>19.78</v>
      </c>
      <c r="I1835" s="9" t="inlineStr">
        <is>
          <t>Depth (no MLB IP)</t>
        </is>
      </c>
      <c r="J1835" s="18" t="inlineStr">
        <is>
          <t>Opening Day</t>
        </is>
      </c>
      <c r="K1835" s="11">
        <f>IFERROR(INDEX(Roles!$B$17:$B$20,MATCH(J1835,Roles!$A$17:$A$20,0)),1)</f>
        <v/>
      </c>
      <c r="L1835" s="19" t="n">
        <v>1</v>
      </c>
      <c r="M1835" s="11" t="n">
        <v>1</v>
      </c>
      <c r="N1835" s="19" t="n"/>
      <c r="O1835" s="19" t="n"/>
      <c r="P1835" s="19" t="n"/>
      <c r="Q1835" s="19" t="n"/>
      <c r="R1835" s="19" t="n"/>
      <c r="S1835" s="19" t="n"/>
      <c r="T1835" s="19" t="n"/>
      <c r="U1835" s="19" t="n"/>
      <c r="V1835" s="19" t="n"/>
      <c r="W1835" s="19" t="n"/>
      <c r="X1835" s="19" t="n"/>
      <c r="Y1835" s="19" t="n">
        <v>1</v>
      </c>
      <c r="Z1835" s="13">
        <f>SUMPRODUCT(N1835:Y1835,$N$2:$Y$2)*$K1835*$L1835*$M1835</f>
        <v/>
      </c>
      <c r="AA1835" s="14">
        <f>SUM(N1835:Y1835)</f>
        <v/>
      </c>
      <c r="AB1835" s="13">
        <f>SUMPRODUCT(N1835:Y1835,$N$3:$Y$3)*$K1835*$L1835*$M1835</f>
        <v/>
      </c>
      <c r="AC1835" s="13">
        <f>SUMPRODUCT(N1835:Y1835,$N$4:$Y$4)*$K1835*$L1835*$M1835</f>
        <v/>
      </c>
      <c r="AD1835" s="15" t="n">
        <v>3</v>
      </c>
      <c r="AE1835" s="11" t="n">
        <v>1.011296296296296</v>
      </c>
      <c r="AF1835" s="16">
        <f>SUMPRODUCT(N1835:Y1835,$N$5:$Y$5)*$K1835*$L1835*$M1835</f>
        <v/>
      </c>
      <c r="AG1835" s="16">
        <f>SUMPRODUCT(N1835:Y1835,$N$6:$Y$6)*$K1835*$L1835*$M1835</f>
        <v/>
      </c>
      <c r="AH1835" s="20" t="n"/>
    </row>
    <row r="1836">
      <c r="A1836" s="9" t="n">
        <v>800798</v>
      </c>
      <c r="B1836" s="9" t="inlineStr">
        <is>
          <t>Thomas Bruss</t>
        </is>
      </c>
      <c r="C1836" s="9" t="inlineStr">
        <is>
          <t>DET</t>
        </is>
      </c>
      <c r="D1836" s="9" t="n">
        <v>25</v>
      </c>
      <c r="E1836" s="18" t="inlineStr">
        <is>
          <t>R</t>
        </is>
      </c>
      <c r="F1836" s="18" t="n"/>
      <c r="G1836" s="9" t="n">
        <v>19.78</v>
      </c>
      <c r="H1836" s="9" t="n">
        <v>19.78</v>
      </c>
      <c r="I1836" s="9" t="inlineStr">
        <is>
          <t>Depth (no MLB IP)</t>
        </is>
      </c>
      <c r="J1836" s="18" t="inlineStr">
        <is>
          <t>Opening Day</t>
        </is>
      </c>
      <c r="K1836" s="11">
        <f>IFERROR(INDEX(Roles!$B$17:$B$20,MATCH(J1836,Roles!$A$17:$A$20,0)),1)</f>
        <v/>
      </c>
      <c r="L1836" s="19" t="n">
        <v>1</v>
      </c>
      <c r="M1836" s="11" t="n">
        <v>1</v>
      </c>
      <c r="N1836" s="19" t="n"/>
      <c r="O1836" s="19" t="n"/>
      <c r="P1836" s="19" t="n"/>
      <c r="Q1836" s="19" t="n"/>
      <c r="R1836" s="19" t="n"/>
      <c r="S1836" s="19" t="n"/>
      <c r="T1836" s="19" t="n"/>
      <c r="U1836" s="19" t="n"/>
      <c r="V1836" s="19" t="n"/>
      <c r="W1836" s="19" t="n"/>
      <c r="X1836" s="19" t="n"/>
      <c r="Y1836" s="19" t="n">
        <v>1</v>
      </c>
      <c r="Z1836" s="13">
        <f>SUMPRODUCT(N1836:Y1836,$N$2:$Y$2)*$K1836*$L1836*$M1836</f>
        <v/>
      </c>
      <c r="AA1836" s="14">
        <f>SUM(N1836:Y1836)</f>
        <v/>
      </c>
      <c r="AB1836" s="13">
        <f>SUMPRODUCT(N1836:Y1836,$N$3:$Y$3)*$K1836*$L1836*$M1836</f>
        <v/>
      </c>
      <c r="AC1836" s="13">
        <f>SUMPRODUCT(N1836:Y1836,$N$4:$Y$4)*$K1836*$L1836*$M1836</f>
        <v/>
      </c>
      <c r="AD1836" s="15" t="n">
        <v>3</v>
      </c>
      <c r="AE1836" s="11" t="n">
        <v>1.011296296296296</v>
      </c>
      <c r="AF1836" s="16">
        <f>SUMPRODUCT(N1836:Y1836,$N$5:$Y$5)*$K1836*$L1836*$M1836</f>
        <v/>
      </c>
      <c r="AG1836" s="16">
        <f>SUMPRODUCT(N1836:Y1836,$N$6:$Y$6)*$K1836*$L1836*$M1836</f>
        <v/>
      </c>
      <c r="AH1836" s="20" t="n"/>
    </row>
    <row r="1837">
      <c r="A1837" s="9" t="n">
        <v>803252</v>
      </c>
      <c r="B1837" s="9" t="inlineStr">
        <is>
          <t>Eliseo Mota</t>
        </is>
      </c>
      <c r="C1837" s="9" t="inlineStr">
        <is>
          <t>DET</t>
        </is>
      </c>
      <c r="D1837" s="9" t="n">
        <v>25</v>
      </c>
      <c r="E1837" s="18" t="inlineStr">
        <is>
          <t>R</t>
        </is>
      </c>
      <c r="F1837" s="18" t="n"/>
      <c r="G1837" s="9" t="n">
        <v>19.78</v>
      </c>
      <c r="H1837" s="9" t="n">
        <v>19.78</v>
      </c>
      <c r="I1837" s="9" t="inlineStr">
        <is>
          <t>Depth (no MLB IP)</t>
        </is>
      </c>
      <c r="J1837" s="18" t="inlineStr">
        <is>
          <t>Opening Day</t>
        </is>
      </c>
      <c r="K1837" s="11">
        <f>IFERROR(INDEX(Roles!$B$17:$B$20,MATCH(J1837,Roles!$A$17:$A$20,0)),1)</f>
        <v/>
      </c>
      <c r="L1837" s="19" t="n">
        <v>1</v>
      </c>
      <c r="M1837" s="11" t="n">
        <v>1</v>
      </c>
      <c r="N1837" s="19" t="n"/>
      <c r="O1837" s="19" t="n"/>
      <c r="P1837" s="19" t="n"/>
      <c r="Q1837" s="19" t="n"/>
      <c r="R1837" s="19" t="n"/>
      <c r="S1837" s="19" t="n"/>
      <c r="T1837" s="19" t="n"/>
      <c r="U1837" s="19" t="n"/>
      <c r="V1837" s="19" t="n"/>
      <c r="W1837" s="19" t="n"/>
      <c r="X1837" s="19" t="n"/>
      <c r="Y1837" s="19" t="n">
        <v>1</v>
      </c>
      <c r="Z1837" s="13">
        <f>SUMPRODUCT(N1837:Y1837,$N$2:$Y$2)*$K1837*$L1837*$M1837</f>
        <v/>
      </c>
      <c r="AA1837" s="14">
        <f>SUM(N1837:Y1837)</f>
        <v/>
      </c>
      <c r="AB1837" s="13">
        <f>SUMPRODUCT(N1837:Y1837,$N$3:$Y$3)*$K1837*$L1837*$M1837</f>
        <v/>
      </c>
      <c r="AC1837" s="13">
        <f>SUMPRODUCT(N1837:Y1837,$N$4:$Y$4)*$K1837*$L1837*$M1837</f>
        <v/>
      </c>
      <c r="AD1837" s="15" t="n">
        <v>3</v>
      </c>
      <c r="AE1837" s="11" t="n">
        <v>1.011296296296296</v>
      </c>
      <c r="AF1837" s="16">
        <f>SUMPRODUCT(N1837:Y1837,$N$5:$Y$5)*$K1837*$L1837*$M1837</f>
        <v/>
      </c>
      <c r="AG1837" s="16">
        <f>SUMPRODUCT(N1837:Y1837,$N$6:$Y$6)*$K1837*$L1837*$M1837</f>
        <v/>
      </c>
      <c r="AH1837" s="20" t="n"/>
    </row>
    <row r="1838">
      <c r="A1838" s="9" t="n">
        <v>703360</v>
      </c>
      <c r="B1838" s="9" t="inlineStr">
        <is>
          <t>Jose Nova</t>
        </is>
      </c>
      <c r="C1838" s="9" t="inlineStr">
        <is>
          <t>MIL</t>
        </is>
      </c>
      <c r="D1838" s="9" t="n">
        <v>25</v>
      </c>
      <c r="E1838" s="18" t="inlineStr">
        <is>
          <t>R</t>
        </is>
      </c>
      <c r="F1838" s="18" t="n"/>
      <c r="G1838" s="9" t="n">
        <v>19.78</v>
      </c>
      <c r="H1838" s="9" t="n">
        <v>19.78</v>
      </c>
      <c r="I1838" s="9" t="inlineStr">
        <is>
          <t>Depth (no MLB IP)</t>
        </is>
      </c>
      <c r="J1838" s="18" t="inlineStr">
        <is>
          <t>Opening Day</t>
        </is>
      </c>
      <c r="K1838" s="11">
        <f>IFERROR(INDEX(Roles!$B$17:$B$20,MATCH(J1838,Roles!$A$17:$A$20,0)),1)</f>
        <v/>
      </c>
      <c r="L1838" s="19" t="n">
        <v>1</v>
      </c>
      <c r="M1838" s="11" t="n">
        <v>1</v>
      </c>
      <c r="N1838" s="19" t="n"/>
      <c r="O1838" s="19" t="n"/>
      <c r="P1838" s="19" t="n"/>
      <c r="Q1838" s="19" t="n"/>
      <c r="R1838" s="19" t="n"/>
      <c r="S1838" s="19" t="n"/>
      <c r="T1838" s="19" t="n"/>
      <c r="U1838" s="19" t="n"/>
      <c r="V1838" s="19" t="n"/>
      <c r="W1838" s="19" t="n"/>
      <c r="X1838" s="19" t="n"/>
      <c r="Y1838" s="19" t="n">
        <v>1</v>
      </c>
      <c r="Z1838" s="13">
        <f>SUMPRODUCT(N1838:Y1838,$N$2:$Y$2)*$K1838*$L1838*$M1838</f>
        <v/>
      </c>
      <c r="AA1838" s="14">
        <f>SUM(N1838:Y1838)</f>
        <v/>
      </c>
      <c r="AB1838" s="13">
        <f>SUMPRODUCT(N1838:Y1838,$N$3:$Y$3)*$K1838*$L1838*$M1838</f>
        <v/>
      </c>
      <c r="AC1838" s="13">
        <f>SUMPRODUCT(N1838:Y1838,$N$4:$Y$4)*$K1838*$L1838*$M1838</f>
        <v/>
      </c>
      <c r="AD1838" s="15" t="n">
        <v>3</v>
      </c>
      <c r="AE1838" s="11" t="n">
        <v>1.011296296296296</v>
      </c>
      <c r="AF1838" s="16">
        <f>SUMPRODUCT(N1838:Y1838,$N$5:$Y$5)*$K1838*$L1838*$M1838</f>
        <v/>
      </c>
      <c r="AG1838" s="16">
        <f>SUMPRODUCT(N1838:Y1838,$N$6:$Y$6)*$K1838*$L1838*$M1838</f>
        <v/>
      </c>
      <c r="AH1838" s="20" t="n"/>
    </row>
    <row r="1839">
      <c r="A1839" s="9" t="n">
        <v>700327</v>
      </c>
      <c r="B1839" s="9" t="inlineStr">
        <is>
          <t>Welinton Herrera</t>
        </is>
      </c>
      <c r="C1839" s="9" t="inlineStr">
        <is>
          <t>COL</t>
        </is>
      </c>
      <c r="D1839" s="9" t="n">
        <v>23</v>
      </c>
      <c r="E1839" s="18" t="inlineStr">
        <is>
          <t>L</t>
        </is>
      </c>
      <c r="F1839" s="18" t="n"/>
      <c r="G1839" s="9" t="n">
        <v>10</v>
      </c>
      <c r="H1839" s="9" t="n">
        <v>10</v>
      </c>
      <c r="I1839" s="9" t="inlineStr">
        <is>
          <t>Bullpen Depth Arm</t>
        </is>
      </c>
      <c r="J1839" s="18" t="inlineStr">
        <is>
          <t>Opening Day</t>
        </is>
      </c>
      <c r="K1839" s="11">
        <f>IFERROR(INDEX(Roles!$B$17:$B$20,MATCH(J1839,Roles!$A$17:$A$20,0)),1)</f>
        <v/>
      </c>
      <c r="L1839" s="19" t="n">
        <v>1</v>
      </c>
      <c r="M1839" s="11" t="n">
        <v>1</v>
      </c>
      <c r="N1839" s="19" t="n"/>
      <c r="O1839" s="19" t="n"/>
      <c r="P1839" s="19" t="n"/>
      <c r="Q1839" s="19" t="n"/>
      <c r="R1839" s="19" t="n"/>
      <c r="S1839" s="19" t="n"/>
      <c r="T1839" s="19" t="n"/>
      <c r="U1839" s="19" t="n"/>
      <c r="V1839" s="19" t="n"/>
      <c r="W1839" s="19" t="n">
        <v>0.5</v>
      </c>
      <c r="X1839" s="19" t="n"/>
      <c r="Y1839" s="19" t="n">
        <v>0.5</v>
      </c>
      <c r="Z1839" s="13">
        <f>SUMPRODUCT(N1839:Y1839,$N$2:$Y$2)*$K1839*$L1839*$M1839</f>
        <v/>
      </c>
      <c r="AA1839" s="14">
        <f>SUM(N1839:Y1839)</f>
        <v/>
      </c>
      <c r="AB1839" s="13">
        <f>SUMPRODUCT(N1839:Y1839,$N$3:$Y$3)*$K1839*$L1839*$M1839</f>
        <v/>
      </c>
      <c r="AC1839" s="13">
        <f>SUMPRODUCT(N1839:Y1839,$N$4:$Y$4)*$K1839*$L1839*$M1839</f>
        <v/>
      </c>
      <c r="AD1839" s="15" t="n">
        <v>7.466666666666666</v>
      </c>
      <c r="AE1839" s="11" t="n">
        <v>1.060766394099727</v>
      </c>
      <c r="AF1839" s="16">
        <f>SUMPRODUCT(N1839:Y1839,$N$5:$Y$5)*$K1839*$L1839*$M1839</f>
        <v/>
      </c>
      <c r="AG1839" s="16">
        <f>SUMPRODUCT(N1839:Y1839,$N$6:$Y$6)*$K1839*$L1839*$M1839</f>
        <v/>
      </c>
      <c r="AH1839" s="20" t="n"/>
    </row>
    <row r="1840">
      <c r="A1840" s="9" t="n">
        <v>686433</v>
      </c>
      <c r="B1840" s="9" t="inlineStr">
        <is>
          <t>Luis Velasquez</t>
        </is>
      </c>
      <c r="C1840" s="9" t="inlineStr">
        <is>
          <t>NYY</t>
        </is>
      </c>
      <c r="D1840" s="9" t="n">
        <v>25</v>
      </c>
      <c r="E1840" s="18" t="inlineStr">
        <is>
          <t>R</t>
        </is>
      </c>
      <c r="F1840" s="18" t="n"/>
      <c r="G1840" s="9" t="n">
        <v>20.06666666666666</v>
      </c>
      <c r="H1840" s="9" t="n">
        <v>20.06666666666666</v>
      </c>
      <c r="I1840" s="9" t="inlineStr">
        <is>
          <t>Depth (no MLB IP)</t>
        </is>
      </c>
      <c r="J1840" s="18" t="inlineStr">
        <is>
          <t>Opening Day</t>
        </is>
      </c>
      <c r="K1840" s="11">
        <f>IFERROR(INDEX(Roles!$B$17:$B$20,MATCH(J1840,Roles!$A$17:$A$20,0)),1)</f>
        <v/>
      </c>
      <c r="L1840" s="19" t="n">
        <v>1</v>
      </c>
      <c r="M1840" s="11" t="n">
        <v>1</v>
      </c>
      <c r="N1840" s="19" t="n"/>
      <c r="O1840" s="19" t="n"/>
      <c r="P1840" s="19" t="n"/>
      <c r="Q1840" s="19" t="n"/>
      <c r="R1840" s="19" t="n"/>
      <c r="S1840" s="19" t="n"/>
      <c r="T1840" s="19" t="n"/>
      <c r="U1840" s="19" t="n"/>
      <c r="V1840" s="19" t="n"/>
      <c r="W1840" s="19" t="n"/>
      <c r="X1840" s="19" t="n"/>
      <c r="Y1840" s="19" t="n">
        <v>1</v>
      </c>
      <c r="Z1840" s="13">
        <f>SUMPRODUCT(N1840:Y1840,$N$2:$Y$2)*$K1840*$L1840*$M1840</f>
        <v/>
      </c>
      <c r="AA1840" s="14">
        <f>SUM(N1840:Y1840)</f>
        <v/>
      </c>
      <c r="AB1840" s="13">
        <f>SUMPRODUCT(N1840:Y1840,$N$3:$Y$3)*$K1840*$L1840*$M1840</f>
        <v/>
      </c>
      <c r="AC1840" s="13">
        <f>SUMPRODUCT(N1840:Y1840,$N$4:$Y$4)*$K1840*$L1840*$M1840</f>
        <v/>
      </c>
      <c r="AD1840" s="15" t="n">
        <v>3</v>
      </c>
      <c r="AE1840" s="11" t="n">
        <v>1.011296296296296</v>
      </c>
      <c r="AF1840" s="16">
        <f>SUMPRODUCT(N1840:Y1840,$N$5:$Y$5)*$K1840*$L1840*$M1840</f>
        <v/>
      </c>
      <c r="AG1840" s="16">
        <f>SUMPRODUCT(N1840:Y1840,$N$6:$Y$6)*$K1840*$L1840*$M1840</f>
        <v/>
      </c>
      <c r="AH1840" s="20" t="n"/>
    </row>
    <row r="1841">
      <c r="A1841" s="9" t="n">
        <v>826183</v>
      </c>
      <c r="B1841" s="9" t="inlineStr">
        <is>
          <t>Ian Medina</t>
        </is>
      </c>
      <c r="C1841" s="9" t="inlineStr">
        <is>
          <t>MIA</t>
        </is>
      </c>
      <c r="D1841" s="9" t="n">
        <v>25</v>
      </c>
      <c r="E1841" s="18" t="inlineStr">
        <is>
          <t>L</t>
        </is>
      </c>
      <c r="F1841" s="18" t="n"/>
      <c r="G1841" s="9" t="n">
        <v>19.952</v>
      </c>
      <c r="H1841" s="9" t="n">
        <v>19.952</v>
      </c>
      <c r="I1841" s="9" t="inlineStr">
        <is>
          <t>Depth (no MLB IP)</t>
        </is>
      </c>
      <c r="J1841" s="18" t="inlineStr">
        <is>
          <t>Opening Day</t>
        </is>
      </c>
      <c r="K1841" s="11">
        <f>IFERROR(INDEX(Roles!$B$17:$B$20,MATCH(J1841,Roles!$A$17:$A$20,0)),1)</f>
        <v/>
      </c>
      <c r="L1841" s="19" t="n">
        <v>1</v>
      </c>
      <c r="M1841" s="11" t="n">
        <v>1</v>
      </c>
      <c r="N1841" s="19" t="n"/>
      <c r="O1841" s="19" t="n"/>
      <c r="P1841" s="19" t="n"/>
      <c r="Q1841" s="19" t="n"/>
      <c r="R1841" s="19" t="n"/>
      <c r="S1841" s="19" t="n"/>
      <c r="T1841" s="19" t="n"/>
      <c r="U1841" s="19" t="n"/>
      <c r="V1841" s="19" t="n"/>
      <c r="W1841" s="19" t="n"/>
      <c r="X1841" s="19" t="n"/>
      <c r="Y1841" s="19" t="n">
        <v>1</v>
      </c>
      <c r="Z1841" s="13">
        <f>SUMPRODUCT(N1841:Y1841,$N$2:$Y$2)*$K1841*$L1841*$M1841</f>
        <v/>
      </c>
      <c r="AA1841" s="14">
        <f>SUM(N1841:Y1841)</f>
        <v/>
      </c>
      <c r="AB1841" s="13">
        <f>SUMPRODUCT(N1841:Y1841,$N$3:$Y$3)*$K1841*$L1841*$M1841</f>
        <v/>
      </c>
      <c r="AC1841" s="13">
        <f>SUMPRODUCT(N1841:Y1841,$N$4:$Y$4)*$K1841*$L1841*$M1841</f>
        <v/>
      </c>
      <c r="AD1841" s="15" t="n">
        <v>3</v>
      </c>
      <c r="AE1841" s="11" t="n">
        <v>1.011296296296296</v>
      </c>
      <c r="AF1841" s="16">
        <f>SUMPRODUCT(N1841:Y1841,$N$5:$Y$5)*$K1841*$L1841*$M1841</f>
        <v/>
      </c>
      <c r="AG1841" s="16">
        <f>SUMPRODUCT(N1841:Y1841,$N$6:$Y$6)*$K1841*$L1841*$M1841</f>
        <v/>
      </c>
      <c r="AH1841" s="20" t="n"/>
    </row>
    <row r="1842">
      <c r="A1842" s="9" t="n">
        <v>692593</v>
      </c>
      <c r="B1842" s="9" t="inlineStr">
        <is>
          <t>Ismael Luciano</t>
        </is>
      </c>
      <c r="C1842" s="9" t="inlineStr">
        <is>
          <t>COL</t>
        </is>
      </c>
      <c r="D1842" s="9" t="n">
        <v>25</v>
      </c>
      <c r="E1842" s="18" t="inlineStr">
        <is>
          <t>R</t>
        </is>
      </c>
      <c r="F1842" s="18" t="n"/>
      <c r="G1842" s="9" t="n">
        <v>20.06666666666666</v>
      </c>
      <c r="H1842" s="9" t="n">
        <v>20.06666666666666</v>
      </c>
      <c r="I1842" s="9" t="inlineStr">
        <is>
          <t>Depth (no MLB IP)</t>
        </is>
      </c>
      <c r="J1842" s="18" t="inlineStr">
        <is>
          <t>Opening Day</t>
        </is>
      </c>
      <c r="K1842" s="11">
        <f>IFERROR(INDEX(Roles!$B$17:$B$20,MATCH(J1842,Roles!$A$17:$A$20,0)),1)</f>
        <v/>
      </c>
      <c r="L1842" s="19" t="n">
        <v>1</v>
      </c>
      <c r="M1842" s="11" t="n">
        <v>1</v>
      </c>
      <c r="N1842" s="19" t="n"/>
      <c r="O1842" s="19" t="n"/>
      <c r="P1842" s="19" t="n"/>
      <c r="Q1842" s="19" t="n"/>
      <c r="R1842" s="19" t="n"/>
      <c r="S1842" s="19" t="n"/>
      <c r="T1842" s="19" t="n"/>
      <c r="U1842" s="19" t="n"/>
      <c r="V1842" s="19" t="n"/>
      <c r="W1842" s="19" t="n"/>
      <c r="X1842" s="19" t="n"/>
      <c r="Y1842" s="19" t="n">
        <v>1</v>
      </c>
      <c r="Z1842" s="13">
        <f>SUMPRODUCT(N1842:Y1842,$N$2:$Y$2)*$K1842*$L1842*$M1842</f>
        <v/>
      </c>
      <c r="AA1842" s="14">
        <f>SUM(N1842:Y1842)</f>
        <v/>
      </c>
      <c r="AB1842" s="13">
        <f>SUMPRODUCT(N1842:Y1842,$N$3:$Y$3)*$K1842*$L1842*$M1842</f>
        <v/>
      </c>
      <c r="AC1842" s="13">
        <f>SUMPRODUCT(N1842:Y1842,$N$4:$Y$4)*$K1842*$L1842*$M1842</f>
        <v/>
      </c>
      <c r="AD1842" s="15" t="n">
        <v>3</v>
      </c>
      <c r="AE1842" s="11" t="n">
        <v>1.011296296296296</v>
      </c>
      <c r="AF1842" s="16">
        <f>SUMPRODUCT(N1842:Y1842,$N$5:$Y$5)*$K1842*$L1842*$M1842</f>
        <v/>
      </c>
      <c r="AG1842" s="16">
        <f>SUMPRODUCT(N1842:Y1842,$N$6:$Y$6)*$K1842*$L1842*$M1842</f>
        <v/>
      </c>
      <c r="AH1842" s="20" t="n"/>
    </row>
    <row r="1843">
      <c r="A1843" s="9" t="n">
        <v>805505</v>
      </c>
      <c r="B1843" s="9" t="inlineStr">
        <is>
          <t>Justin Militello</t>
        </is>
      </c>
      <c r="C1843" s="9" t="inlineStr">
        <is>
          <t>STL</t>
        </is>
      </c>
      <c r="D1843" s="9" t="n">
        <v>25</v>
      </c>
      <c r="E1843" s="18" t="inlineStr">
        <is>
          <t>R</t>
        </is>
      </c>
      <c r="F1843" s="18" t="n"/>
      <c r="G1843" s="9" t="n">
        <v>20.124</v>
      </c>
      <c r="H1843" s="9" t="n">
        <v>20.124</v>
      </c>
      <c r="I1843" s="9" t="inlineStr">
        <is>
          <t>Depth (no MLB IP)</t>
        </is>
      </c>
      <c r="J1843" s="18" t="inlineStr">
        <is>
          <t>Opening Day</t>
        </is>
      </c>
      <c r="K1843" s="11">
        <f>IFERROR(INDEX(Roles!$B$17:$B$20,MATCH(J1843,Roles!$A$17:$A$20,0)),1)</f>
        <v/>
      </c>
      <c r="L1843" s="19" t="n">
        <v>1</v>
      </c>
      <c r="M1843" s="11" t="n">
        <v>1</v>
      </c>
      <c r="N1843" s="19" t="n"/>
      <c r="O1843" s="19" t="n"/>
      <c r="P1843" s="19" t="n"/>
      <c r="Q1843" s="19" t="n"/>
      <c r="R1843" s="19" t="n"/>
      <c r="S1843" s="19" t="n"/>
      <c r="T1843" s="19" t="n"/>
      <c r="U1843" s="19" t="n"/>
      <c r="V1843" s="19" t="n"/>
      <c r="W1843" s="19" t="n"/>
      <c r="X1843" s="19" t="n"/>
      <c r="Y1843" s="19" t="n">
        <v>1</v>
      </c>
      <c r="Z1843" s="13">
        <f>SUMPRODUCT(N1843:Y1843,$N$2:$Y$2)*$K1843*$L1843*$M1843</f>
        <v/>
      </c>
      <c r="AA1843" s="14">
        <f>SUM(N1843:Y1843)</f>
        <v/>
      </c>
      <c r="AB1843" s="13">
        <f>SUMPRODUCT(N1843:Y1843,$N$3:$Y$3)*$K1843*$L1843*$M1843</f>
        <v/>
      </c>
      <c r="AC1843" s="13">
        <f>SUMPRODUCT(N1843:Y1843,$N$4:$Y$4)*$K1843*$L1843*$M1843</f>
        <v/>
      </c>
      <c r="AD1843" s="15" t="n">
        <v>3</v>
      </c>
      <c r="AE1843" s="11" t="n">
        <v>1.011296296296296</v>
      </c>
      <c r="AF1843" s="16">
        <f>SUMPRODUCT(N1843:Y1843,$N$5:$Y$5)*$K1843*$L1843*$M1843</f>
        <v/>
      </c>
      <c r="AG1843" s="16">
        <f>SUMPRODUCT(N1843:Y1843,$N$6:$Y$6)*$K1843*$L1843*$M1843</f>
        <v/>
      </c>
      <c r="AH1843" s="20" t="n"/>
    </row>
    <row r="1844">
      <c r="A1844" s="9" t="n">
        <v>813535</v>
      </c>
      <c r="B1844" s="9" t="inlineStr">
        <is>
          <t>Tayler Montiel</t>
        </is>
      </c>
      <c r="C1844" s="9" t="inlineStr">
        <is>
          <t>ARI</t>
        </is>
      </c>
      <c r="D1844" s="9" t="n">
        <v>25</v>
      </c>
      <c r="E1844" s="18" t="inlineStr">
        <is>
          <t>L</t>
        </is>
      </c>
      <c r="F1844" s="18" t="n"/>
      <c r="G1844" s="9" t="n">
        <v>20.06666666666666</v>
      </c>
      <c r="H1844" s="9" t="n">
        <v>20.06666666666666</v>
      </c>
      <c r="I1844" s="9" t="inlineStr">
        <is>
          <t>Depth (no MLB IP)</t>
        </is>
      </c>
      <c r="J1844" s="18" t="inlineStr">
        <is>
          <t>Opening Day</t>
        </is>
      </c>
      <c r="K1844" s="11">
        <f>IFERROR(INDEX(Roles!$B$17:$B$20,MATCH(J1844,Roles!$A$17:$A$20,0)),1)</f>
        <v/>
      </c>
      <c r="L1844" s="19" t="n">
        <v>1</v>
      </c>
      <c r="M1844" s="11" t="n">
        <v>1</v>
      </c>
      <c r="N1844" s="19" t="n"/>
      <c r="O1844" s="19" t="n"/>
      <c r="P1844" s="19" t="n"/>
      <c r="Q1844" s="19" t="n"/>
      <c r="R1844" s="19" t="n"/>
      <c r="S1844" s="19" t="n"/>
      <c r="T1844" s="19" t="n"/>
      <c r="U1844" s="19" t="n"/>
      <c r="V1844" s="19" t="n"/>
      <c r="W1844" s="19" t="n"/>
      <c r="X1844" s="19" t="n"/>
      <c r="Y1844" s="19" t="n">
        <v>1</v>
      </c>
      <c r="Z1844" s="13">
        <f>SUMPRODUCT(N1844:Y1844,$N$2:$Y$2)*$K1844*$L1844*$M1844</f>
        <v/>
      </c>
      <c r="AA1844" s="14">
        <f>SUM(N1844:Y1844)</f>
        <v/>
      </c>
      <c r="AB1844" s="13">
        <f>SUMPRODUCT(N1844:Y1844,$N$3:$Y$3)*$K1844*$L1844*$M1844</f>
        <v/>
      </c>
      <c r="AC1844" s="13">
        <f>SUMPRODUCT(N1844:Y1844,$N$4:$Y$4)*$K1844*$L1844*$M1844</f>
        <v/>
      </c>
      <c r="AD1844" s="15" t="n">
        <v>3</v>
      </c>
      <c r="AE1844" s="11" t="n">
        <v>1.011296296296296</v>
      </c>
      <c r="AF1844" s="16">
        <f>SUMPRODUCT(N1844:Y1844,$N$5:$Y$5)*$K1844*$L1844*$M1844</f>
        <v/>
      </c>
      <c r="AG1844" s="16">
        <f>SUMPRODUCT(N1844:Y1844,$N$6:$Y$6)*$K1844*$L1844*$M1844</f>
        <v/>
      </c>
      <c r="AH1844" s="20" t="n"/>
    </row>
    <row r="1845">
      <c r="A1845" s="9" t="n">
        <v>806927</v>
      </c>
      <c r="B1845" s="9" t="inlineStr">
        <is>
          <t>Luis De La Cruz</t>
        </is>
      </c>
      <c r="C1845" s="9" t="inlineStr">
        <is>
          <t>MIA</t>
        </is>
      </c>
      <c r="D1845" s="9" t="n">
        <v>25</v>
      </c>
      <c r="E1845" s="18" t="inlineStr">
        <is>
          <t>R</t>
        </is>
      </c>
      <c r="F1845" s="18" t="n"/>
      <c r="G1845" s="9" t="n">
        <v>20.06666666666666</v>
      </c>
      <c r="H1845" s="9" t="n">
        <v>20.06666666666666</v>
      </c>
      <c r="I1845" s="9" t="inlineStr">
        <is>
          <t>Depth (no MLB IP)</t>
        </is>
      </c>
      <c r="J1845" s="18" t="inlineStr">
        <is>
          <t>Opening Day</t>
        </is>
      </c>
      <c r="K1845" s="11">
        <f>IFERROR(INDEX(Roles!$B$17:$B$20,MATCH(J1845,Roles!$A$17:$A$20,0)),1)</f>
        <v/>
      </c>
      <c r="L1845" s="19" t="n">
        <v>1</v>
      </c>
      <c r="M1845" s="11" t="n">
        <v>1</v>
      </c>
      <c r="N1845" s="19" t="n"/>
      <c r="O1845" s="19" t="n"/>
      <c r="P1845" s="19" t="n"/>
      <c r="Q1845" s="19" t="n"/>
      <c r="R1845" s="19" t="n"/>
      <c r="S1845" s="19" t="n"/>
      <c r="T1845" s="19" t="n"/>
      <c r="U1845" s="19" t="n"/>
      <c r="V1845" s="19" t="n"/>
      <c r="W1845" s="19" t="n"/>
      <c r="X1845" s="19" t="n"/>
      <c r="Y1845" s="19" t="n">
        <v>1</v>
      </c>
      <c r="Z1845" s="13">
        <f>SUMPRODUCT(N1845:Y1845,$N$2:$Y$2)*$K1845*$L1845*$M1845</f>
        <v/>
      </c>
      <c r="AA1845" s="14">
        <f>SUM(N1845:Y1845)</f>
        <v/>
      </c>
      <c r="AB1845" s="13">
        <f>SUMPRODUCT(N1845:Y1845,$N$3:$Y$3)*$K1845*$L1845*$M1845</f>
        <v/>
      </c>
      <c r="AC1845" s="13">
        <f>SUMPRODUCT(N1845:Y1845,$N$4:$Y$4)*$K1845*$L1845*$M1845</f>
        <v/>
      </c>
      <c r="AD1845" s="15" t="n">
        <v>3</v>
      </c>
      <c r="AE1845" s="11" t="n">
        <v>1.011296296296296</v>
      </c>
      <c r="AF1845" s="16">
        <f>SUMPRODUCT(N1845:Y1845,$N$5:$Y$5)*$K1845*$L1845*$M1845</f>
        <v/>
      </c>
      <c r="AG1845" s="16">
        <f>SUMPRODUCT(N1845:Y1845,$N$6:$Y$6)*$K1845*$L1845*$M1845</f>
        <v/>
      </c>
      <c r="AH1845" s="20" t="n"/>
    </row>
    <row r="1846">
      <c r="A1846" s="9" t="n">
        <v>687535</v>
      </c>
      <c r="B1846" s="9" t="inlineStr">
        <is>
          <t>Dylan Simmons</t>
        </is>
      </c>
      <c r="C1846" s="9" t="inlineStr">
        <is>
          <t>CIN</t>
        </is>
      </c>
      <c r="D1846" s="9" t="n">
        <v>25</v>
      </c>
      <c r="E1846" s="18" t="inlineStr">
        <is>
          <t>R</t>
        </is>
      </c>
      <c r="F1846" s="18" t="n"/>
      <c r="G1846" s="9" t="n">
        <v>20.06666666666666</v>
      </c>
      <c r="H1846" s="9" t="n">
        <v>20.06666666666666</v>
      </c>
      <c r="I1846" s="9" t="inlineStr">
        <is>
          <t>Depth (no MLB IP)</t>
        </is>
      </c>
      <c r="J1846" s="18" t="inlineStr">
        <is>
          <t>Opening Day</t>
        </is>
      </c>
      <c r="K1846" s="11">
        <f>IFERROR(INDEX(Roles!$B$17:$B$20,MATCH(J1846,Roles!$A$17:$A$20,0)),1)</f>
        <v/>
      </c>
      <c r="L1846" s="19" t="n">
        <v>1</v>
      </c>
      <c r="M1846" s="11" t="n">
        <v>1</v>
      </c>
      <c r="N1846" s="19" t="n"/>
      <c r="O1846" s="19" t="n"/>
      <c r="P1846" s="19" t="n"/>
      <c r="Q1846" s="19" t="n"/>
      <c r="R1846" s="19" t="n"/>
      <c r="S1846" s="19" t="n"/>
      <c r="T1846" s="19" t="n"/>
      <c r="U1846" s="19" t="n"/>
      <c r="V1846" s="19" t="n"/>
      <c r="W1846" s="19" t="n"/>
      <c r="X1846" s="19" t="n"/>
      <c r="Y1846" s="19" t="n">
        <v>1</v>
      </c>
      <c r="Z1846" s="13">
        <f>SUMPRODUCT(N1846:Y1846,$N$2:$Y$2)*$K1846*$L1846*$M1846</f>
        <v/>
      </c>
      <c r="AA1846" s="14">
        <f>SUM(N1846:Y1846)</f>
        <v/>
      </c>
      <c r="AB1846" s="13">
        <f>SUMPRODUCT(N1846:Y1846,$N$3:$Y$3)*$K1846*$L1846*$M1846</f>
        <v/>
      </c>
      <c r="AC1846" s="13">
        <f>SUMPRODUCT(N1846:Y1846,$N$4:$Y$4)*$K1846*$L1846*$M1846</f>
        <v/>
      </c>
      <c r="AD1846" s="15" t="n">
        <v>3</v>
      </c>
      <c r="AE1846" s="11" t="n">
        <v>1.011296296296296</v>
      </c>
      <c r="AF1846" s="16">
        <f>SUMPRODUCT(N1846:Y1846,$N$5:$Y$5)*$K1846*$L1846*$M1846</f>
        <v/>
      </c>
      <c r="AG1846" s="16">
        <f>SUMPRODUCT(N1846:Y1846,$N$6:$Y$6)*$K1846*$L1846*$M1846</f>
        <v/>
      </c>
      <c r="AH1846" s="20" t="n"/>
    </row>
    <row r="1847">
      <c r="A1847" s="9" t="n">
        <v>608678</v>
      </c>
      <c r="B1847" s="9" t="inlineStr">
        <is>
          <t>Dominic Leone</t>
        </is>
      </c>
      <c r="C1847" s="9" t="inlineStr">
        <is>
          <t>CWS</t>
        </is>
      </c>
      <c r="D1847" s="9" t="n">
        <v>35</v>
      </c>
      <c r="E1847" s="18" t="inlineStr">
        <is>
          <t>R</t>
        </is>
      </c>
      <c r="F1847" s="18" t="n"/>
      <c r="G1847" s="9" t="n">
        <v>89</v>
      </c>
      <c r="H1847" s="9" t="n">
        <v>546</v>
      </c>
      <c r="I1847" s="9" t="inlineStr">
        <is>
          <t>Depth (no MLB IP)</t>
        </is>
      </c>
      <c r="J1847" s="18" t="inlineStr">
        <is>
          <t>Opening Day</t>
        </is>
      </c>
      <c r="K1847" s="11">
        <f>IFERROR(INDEX(Roles!$B$17:$B$20,MATCH(J1847,Roles!$A$17:$A$20,0)),1)</f>
        <v/>
      </c>
      <c r="L1847" s="19" t="n">
        <v>1</v>
      </c>
      <c r="M1847" s="11" t="n">
        <v>1</v>
      </c>
      <c r="N1847" s="19" t="n"/>
      <c r="O1847" s="19" t="n"/>
      <c r="P1847" s="19" t="n"/>
      <c r="Q1847" s="19" t="n"/>
      <c r="R1847" s="19" t="n"/>
      <c r="S1847" s="19" t="n"/>
      <c r="T1847" s="19" t="n"/>
      <c r="U1847" s="19" t="n"/>
      <c r="V1847" s="19" t="n"/>
      <c r="W1847" s="19" t="n"/>
      <c r="X1847" s="19" t="n"/>
      <c r="Y1847" s="19" t="n">
        <v>1</v>
      </c>
      <c r="Z1847" s="13">
        <f>SUMPRODUCT(N1847:Y1847,$N$2:$Y$2)*$K1847*$L1847*$M1847</f>
        <v/>
      </c>
      <c r="AA1847" s="14">
        <f>SUM(N1847:Y1847)</f>
        <v/>
      </c>
      <c r="AB1847" s="13">
        <f>SUMPRODUCT(N1847:Y1847,$N$3:$Y$3)*$K1847*$L1847*$M1847</f>
        <v/>
      </c>
      <c r="AC1847" s="13">
        <f>SUMPRODUCT(N1847:Y1847,$N$4:$Y$4)*$K1847*$L1847*$M1847</f>
        <v/>
      </c>
      <c r="AD1847" s="15" t="n">
        <v>15</v>
      </c>
      <c r="AE1847" s="11" t="n">
        <v>0.9495598497047772</v>
      </c>
      <c r="AF1847" s="16">
        <f>SUMPRODUCT(N1847:Y1847,$N$5:$Y$5)*$K1847*$L1847*$M1847</f>
        <v/>
      </c>
      <c r="AG1847" s="16">
        <f>SUMPRODUCT(N1847:Y1847,$N$6:$Y$6)*$K1847*$L1847*$M1847</f>
        <v/>
      </c>
      <c r="AH1847" s="20" t="n"/>
    </row>
    <row r="1848">
      <c r="A1848" s="9" t="n">
        <v>668716</v>
      </c>
      <c r="B1848" s="9" t="inlineStr">
        <is>
          <t>Noah Murdock</t>
        </is>
      </c>
      <c r="C1848" s="9" t="inlineStr">
        <is>
          <t>OAK</t>
        </is>
      </c>
      <c r="D1848" s="9" t="n">
        <v>28</v>
      </c>
      <c r="E1848" s="18" t="inlineStr">
        <is>
          <t>R</t>
        </is>
      </c>
      <c r="F1848" s="18" t="n"/>
      <c r="G1848" s="9" t="n">
        <v>15</v>
      </c>
      <c r="H1848" s="9" t="n">
        <v>113</v>
      </c>
      <c r="I1848" s="9" t="inlineStr">
        <is>
          <t>Bullpen Depth Arm</t>
        </is>
      </c>
      <c r="J1848" s="18" t="inlineStr">
        <is>
          <t>Opening Day</t>
        </is>
      </c>
      <c r="K1848" s="11">
        <f>IFERROR(INDEX(Roles!$B$17:$B$20,MATCH(J1848,Roles!$A$17:$A$20,0)),1)</f>
        <v/>
      </c>
      <c r="L1848" s="19" t="n">
        <v>1</v>
      </c>
      <c r="M1848" s="11" t="n">
        <v>1</v>
      </c>
      <c r="N1848" s="19" t="n"/>
      <c r="O1848" s="19" t="n"/>
      <c r="P1848" s="19" t="n"/>
      <c r="Q1848" s="19" t="n"/>
      <c r="R1848" s="19" t="n"/>
      <c r="S1848" s="19" t="n"/>
      <c r="T1848" s="19" t="n"/>
      <c r="U1848" s="19" t="n"/>
      <c r="V1848" s="19" t="n">
        <v>0.15</v>
      </c>
      <c r="W1848" s="19" t="n">
        <v>0.85</v>
      </c>
      <c r="X1848" s="19" t="n"/>
      <c r="Y1848" s="19" t="n"/>
      <c r="Z1848" s="13">
        <f>SUMPRODUCT(N1848:Y1848,$N$2:$Y$2)*$K1848*$L1848*$M1848</f>
        <v/>
      </c>
      <c r="AA1848" s="14">
        <f>SUM(N1848:Y1848)</f>
        <v/>
      </c>
      <c r="AB1848" s="13">
        <f>SUMPRODUCT(N1848:Y1848,$N$3:$Y$3)*$K1848*$L1848*$M1848</f>
        <v/>
      </c>
      <c r="AC1848" s="13">
        <f>SUMPRODUCT(N1848:Y1848,$N$4:$Y$4)*$K1848*$L1848*$M1848</f>
        <v/>
      </c>
      <c r="AD1848" s="15" t="n">
        <v>10.10666666666667</v>
      </c>
      <c r="AE1848" s="11" t="n">
        <v>1.197903531236864</v>
      </c>
      <c r="AF1848" s="16">
        <f>SUMPRODUCT(N1848:Y1848,$N$5:$Y$5)*$K1848*$L1848*$M1848</f>
        <v/>
      </c>
      <c r="AG1848" s="16">
        <f>SUMPRODUCT(N1848:Y1848,$N$6:$Y$6)*$K1848*$L1848*$M1848</f>
        <v/>
      </c>
      <c r="AH1848" s="20" t="n"/>
    </row>
    <row r="1849">
      <c r="A1849" s="9" t="n">
        <v>694383</v>
      </c>
      <c r="B1849" s="9" t="inlineStr">
        <is>
          <t>Grayson Moore</t>
        </is>
      </c>
      <c r="C1849" s="9" t="inlineStr">
        <is>
          <t>CHC</t>
        </is>
      </c>
      <c r="D1849" s="9" t="n">
        <v>25</v>
      </c>
      <c r="E1849" s="18" t="inlineStr">
        <is>
          <t>R</t>
        </is>
      </c>
      <c r="F1849" s="18" t="n"/>
      <c r="G1849" s="9" t="n">
        <v>20.06666666666666</v>
      </c>
      <c r="H1849" s="9" t="n">
        <v>20.06666666666666</v>
      </c>
      <c r="I1849" s="9" t="inlineStr">
        <is>
          <t>Depth (no MLB IP)</t>
        </is>
      </c>
      <c r="J1849" s="18" t="inlineStr">
        <is>
          <t>Opening Day</t>
        </is>
      </c>
      <c r="K1849" s="11">
        <f>IFERROR(INDEX(Roles!$B$17:$B$20,MATCH(J1849,Roles!$A$17:$A$20,0)),1)</f>
        <v/>
      </c>
      <c r="L1849" s="19" t="n">
        <v>1</v>
      </c>
      <c r="M1849" s="11" t="n">
        <v>1</v>
      </c>
      <c r="N1849" s="19" t="n"/>
      <c r="O1849" s="19" t="n"/>
      <c r="P1849" s="19" t="n"/>
      <c r="Q1849" s="19" t="n"/>
      <c r="R1849" s="19" t="n"/>
      <c r="S1849" s="19" t="n"/>
      <c r="T1849" s="19" t="n"/>
      <c r="U1849" s="19" t="n"/>
      <c r="V1849" s="19" t="n"/>
      <c r="W1849" s="19" t="n"/>
      <c r="X1849" s="19" t="n"/>
      <c r="Y1849" s="19" t="n">
        <v>1</v>
      </c>
      <c r="Z1849" s="13">
        <f>SUMPRODUCT(N1849:Y1849,$N$2:$Y$2)*$K1849*$L1849*$M1849</f>
        <v/>
      </c>
      <c r="AA1849" s="14">
        <f>SUM(N1849:Y1849)</f>
        <v/>
      </c>
      <c r="AB1849" s="13">
        <f>SUMPRODUCT(N1849:Y1849,$N$3:$Y$3)*$K1849*$L1849*$M1849</f>
        <v/>
      </c>
      <c r="AC1849" s="13">
        <f>SUMPRODUCT(N1849:Y1849,$N$4:$Y$4)*$K1849*$L1849*$M1849</f>
        <v/>
      </c>
      <c r="AD1849" s="15" t="n">
        <v>3</v>
      </c>
      <c r="AE1849" s="11" t="n">
        <v>1.011296296296296</v>
      </c>
      <c r="AF1849" s="16">
        <f>SUMPRODUCT(N1849:Y1849,$N$5:$Y$5)*$K1849*$L1849*$M1849</f>
        <v/>
      </c>
      <c r="AG1849" s="16">
        <f>SUMPRODUCT(N1849:Y1849,$N$6:$Y$6)*$K1849*$L1849*$M1849</f>
        <v/>
      </c>
      <c r="AH1849" s="20" t="n"/>
    </row>
    <row r="1850">
      <c r="A1850" s="9" t="n">
        <v>816102</v>
      </c>
      <c r="B1850" s="9" t="inlineStr">
        <is>
          <t>Landon Harmon</t>
        </is>
      </c>
      <c r="C1850" s="9" t="inlineStr">
        <is>
          <t>WSH</t>
        </is>
      </c>
      <c r="D1850" s="9" t="n">
        <v>21</v>
      </c>
      <c r="E1850" s="18" t="inlineStr">
        <is>
          <t>R</t>
        </is>
      </c>
      <c r="F1850" s="18" t="n"/>
      <c r="G1850" s="9" t="n">
        <v>20.296</v>
      </c>
      <c r="H1850" s="9" t="n">
        <v>20.296</v>
      </c>
      <c r="I1850" s="9" t="inlineStr">
        <is>
          <t>Depth (no MLB IP)</t>
        </is>
      </c>
      <c r="J1850" s="18" t="inlineStr">
        <is>
          <t>Opening Day</t>
        </is>
      </c>
      <c r="K1850" s="11">
        <f>IFERROR(INDEX(Roles!$B$17:$B$20,MATCH(J1850,Roles!$A$17:$A$20,0)),1)</f>
        <v/>
      </c>
      <c r="L1850" s="19" t="n">
        <v>1</v>
      </c>
      <c r="M1850" s="11" t="n">
        <v>1</v>
      </c>
      <c r="N1850" s="19" t="n"/>
      <c r="O1850" s="19" t="n"/>
      <c r="P1850" s="19" t="n"/>
      <c r="Q1850" s="19" t="n"/>
      <c r="R1850" s="19" t="n"/>
      <c r="S1850" s="19" t="n"/>
      <c r="T1850" s="19" t="n"/>
      <c r="U1850" s="19" t="n"/>
      <c r="V1850" s="19" t="n"/>
      <c r="W1850" s="19" t="n"/>
      <c r="X1850" s="19" t="n"/>
      <c r="Y1850" s="19" t="n">
        <v>1</v>
      </c>
      <c r="Z1850" s="13">
        <f>SUMPRODUCT(N1850:Y1850,$N$2:$Y$2)*$K1850*$L1850*$M1850</f>
        <v/>
      </c>
      <c r="AA1850" s="14">
        <f>SUM(N1850:Y1850)</f>
        <v/>
      </c>
      <c r="AB1850" s="13">
        <f>SUMPRODUCT(N1850:Y1850,$N$3:$Y$3)*$K1850*$L1850*$M1850</f>
        <v/>
      </c>
      <c r="AC1850" s="13">
        <f>SUMPRODUCT(N1850:Y1850,$N$4:$Y$4)*$K1850*$L1850*$M1850</f>
        <v/>
      </c>
      <c r="AD1850" s="15" t="n">
        <v>3</v>
      </c>
      <c r="AE1850" s="11" t="n">
        <v>1.011296296296296</v>
      </c>
      <c r="AF1850" s="16">
        <f>SUMPRODUCT(N1850:Y1850,$N$5:$Y$5)*$K1850*$L1850*$M1850</f>
        <v/>
      </c>
      <c r="AG1850" s="16">
        <f>SUMPRODUCT(N1850:Y1850,$N$6:$Y$6)*$K1850*$L1850*$M1850</f>
        <v/>
      </c>
      <c r="AH1850" s="20" t="n"/>
    </row>
    <row r="1851">
      <c r="A1851" s="9" t="n">
        <v>702023</v>
      </c>
      <c r="B1851" s="9" t="inlineStr">
        <is>
          <t>Sam Stuhr</t>
        </is>
      </c>
      <c r="C1851" s="9" t="inlineStr">
        <is>
          <t>OAK</t>
        </is>
      </c>
      <c r="D1851" s="9" t="n">
        <v>25</v>
      </c>
      <c r="E1851" s="18" t="inlineStr">
        <is>
          <t>R</t>
        </is>
      </c>
      <c r="F1851" s="18" t="n"/>
      <c r="G1851" s="9" t="n">
        <v>20.124</v>
      </c>
      <c r="H1851" s="9" t="n">
        <v>20.124</v>
      </c>
      <c r="I1851" s="9" t="inlineStr">
        <is>
          <t>Depth (no MLB IP)</t>
        </is>
      </c>
      <c r="J1851" s="18" t="inlineStr">
        <is>
          <t>Opening Day</t>
        </is>
      </c>
      <c r="K1851" s="11">
        <f>IFERROR(INDEX(Roles!$B$17:$B$20,MATCH(J1851,Roles!$A$17:$A$20,0)),1)</f>
        <v/>
      </c>
      <c r="L1851" s="19" t="n">
        <v>1</v>
      </c>
      <c r="M1851" s="11" t="n">
        <v>1</v>
      </c>
      <c r="N1851" s="19" t="n"/>
      <c r="O1851" s="19" t="n"/>
      <c r="P1851" s="19" t="n"/>
      <c r="Q1851" s="19" t="n"/>
      <c r="R1851" s="19" t="n"/>
      <c r="S1851" s="19" t="n"/>
      <c r="T1851" s="19" t="n"/>
      <c r="U1851" s="19" t="n"/>
      <c r="V1851" s="19" t="n"/>
      <c r="W1851" s="19" t="n"/>
      <c r="X1851" s="19" t="n"/>
      <c r="Y1851" s="19" t="n">
        <v>1</v>
      </c>
      <c r="Z1851" s="13">
        <f>SUMPRODUCT(N1851:Y1851,$N$2:$Y$2)*$K1851*$L1851*$M1851</f>
        <v/>
      </c>
      <c r="AA1851" s="14">
        <f>SUM(N1851:Y1851)</f>
        <v/>
      </c>
      <c r="AB1851" s="13">
        <f>SUMPRODUCT(N1851:Y1851,$N$3:$Y$3)*$K1851*$L1851*$M1851</f>
        <v/>
      </c>
      <c r="AC1851" s="13">
        <f>SUMPRODUCT(N1851:Y1851,$N$4:$Y$4)*$K1851*$L1851*$M1851</f>
        <v/>
      </c>
      <c r="AD1851" s="15" t="n">
        <v>3</v>
      </c>
      <c r="AE1851" s="11" t="n">
        <v>1.011296296296296</v>
      </c>
      <c r="AF1851" s="16">
        <f>SUMPRODUCT(N1851:Y1851,$N$5:$Y$5)*$K1851*$L1851*$M1851</f>
        <v/>
      </c>
      <c r="AG1851" s="16">
        <f>SUMPRODUCT(N1851:Y1851,$N$6:$Y$6)*$K1851*$L1851*$M1851</f>
        <v/>
      </c>
      <c r="AH1851" s="20" t="n"/>
    </row>
    <row r="1852">
      <c r="A1852" s="9" t="n">
        <v>832448</v>
      </c>
      <c r="B1852" s="9" t="inlineStr">
        <is>
          <t>Yeraldo Salcedo</t>
        </is>
      </c>
      <c r="C1852" s="9" t="inlineStr">
        <is>
          <t>PIT</t>
        </is>
      </c>
      <c r="D1852" s="9" t="n">
        <v>25</v>
      </c>
      <c r="E1852" s="18" t="inlineStr">
        <is>
          <t>L</t>
        </is>
      </c>
      <c r="F1852" s="18" t="n"/>
      <c r="G1852" s="9" t="n">
        <v>20.296</v>
      </c>
      <c r="H1852" s="9" t="n">
        <v>20.296</v>
      </c>
      <c r="I1852" s="9" t="inlineStr">
        <is>
          <t>Depth (no MLB IP)</t>
        </is>
      </c>
      <c r="J1852" s="18" t="inlineStr">
        <is>
          <t>Opening Day</t>
        </is>
      </c>
      <c r="K1852" s="11">
        <f>IFERROR(INDEX(Roles!$B$17:$B$20,MATCH(J1852,Roles!$A$17:$A$20,0)),1)</f>
        <v/>
      </c>
      <c r="L1852" s="19" t="n">
        <v>1</v>
      </c>
      <c r="M1852" s="11" t="n">
        <v>1</v>
      </c>
      <c r="N1852" s="19" t="n"/>
      <c r="O1852" s="19" t="n"/>
      <c r="P1852" s="19" t="n"/>
      <c r="Q1852" s="19" t="n"/>
      <c r="R1852" s="19" t="n"/>
      <c r="S1852" s="19" t="n"/>
      <c r="T1852" s="19" t="n"/>
      <c r="U1852" s="19" t="n"/>
      <c r="V1852" s="19" t="n"/>
      <c r="W1852" s="19" t="n"/>
      <c r="X1852" s="19" t="n"/>
      <c r="Y1852" s="19" t="n">
        <v>1</v>
      </c>
      <c r="Z1852" s="13">
        <f>SUMPRODUCT(N1852:Y1852,$N$2:$Y$2)*$K1852*$L1852*$M1852</f>
        <v/>
      </c>
      <c r="AA1852" s="14">
        <f>SUM(N1852:Y1852)</f>
        <v/>
      </c>
      <c r="AB1852" s="13">
        <f>SUMPRODUCT(N1852:Y1852,$N$3:$Y$3)*$K1852*$L1852*$M1852</f>
        <v/>
      </c>
      <c r="AC1852" s="13">
        <f>SUMPRODUCT(N1852:Y1852,$N$4:$Y$4)*$K1852*$L1852*$M1852</f>
        <v/>
      </c>
      <c r="AD1852" s="15" t="n">
        <v>3</v>
      </c>
      <c r="AE1852" s="11" t="n">
        <v>1.011296296296296</v>
      </c>
      <c r="AF1852" s="16">
        <f>SUMPRODUCT(N1852:Y1852,$N$5:$Y$5)*$K1852*$L1852*$M1852</f>
        <v/>
      </c>
      <c r="AG1852" s="16">
        <f>SUMPRODUCT(N1852:Y1852,$N$6:$Y$6)*$K1852*$L1852*$M1852</f>
        <v/>
      </c>
      <c r="AH1852" s="20" t="n"/>
    </row>
    <row r="1853">
      <c r="A1853" s="9" t="n">
        <v>685010</v>
      </c>
      <c r="B1853" s="9" t="inlineStr">
        <is>
          <t>Dustin Saenz</t>
        </is>
      </c>
      <c r="C1853" s="9" t="inlineStr">
        <is>
          <t>TEX</t>
        </is>
      </c>
      <c r="D1853" s="9" t="n">
        <v>25</v>
      </c>
      <c r="E1853" s="18" t="inlineStr">
        <is>
          <t>L</t>
        </is>
      </c>
      <c r="F1853" s="18" t="n"/>
      <c r="G1853" s="9" t="n">
        <v>20.49666666666666</v>
      </c>
      <c r="H1853" s="9" t="n">
        <v>20.49666666666666</v>
      </c>
      <c r="I1853" s="9" t="inlineStr">
        <is>
          <t>Depth (no MLB IP)</t>
        </is>
      </c>
      <c r="J1853" s="18" t="inlineStr">
        <is>
          <t>Opening Day</t>
        </is>
      </c>
      <c r="K1853" s="11">
        <f>IFERROR(INDEX(Roles!$B$17:$B$20,MATCH(J1853,Roles!$A$17:$A$20,0)),1)</f>
        <v/>
      </c>
      <c r="L1853" s="19" t="n">
        <v>1</v>
      </c>
      <c r="M1853" s="11" t="n">
        <v>1</v>
      </c>
      <c r="N1853" s="19" t="n"/>
      <c r="O1853" s="19" t="n"/>
      <c r="P1853" s="19" t="n"/>
      <c r="Q1853" s="19" t="n"/>
      <c r="R1853" s="19" t="n"/>
      <c r="S1853" s="19" t="n"/>
      <c r="T1853" s="19" t="n"/>
      <c r="U1853" s="19" t="n"/>
      <c r="V1853" s="19" t="n"/>
      <c r="W1853" s="19" t="n"/>
      <c r="X1853" s="19" t="n"/>
      <c r="Y1853" s="19" t="n">
        <v>1</v>
      </c>
      <c r="Z1853" s="13">
        <f>SUMPRODUCT(N1853:Y1853,$N$2:$Y$2)*$K1853*$L1853*$M1853</f>
        <v/>
      </c>
      <c r="AA1853" s="14">
        <f>SUM(N1853:Y1853)</f>
        <v/>
      </c>
      <c r="AB1853" s="13">
        <f>SUMPRODUCT(N1853:Y1853,$N$3:$Y$3)*$K1853*$L1853*$M1853</f>
        <v/>
      </c>
      <c r="AC1853" s="13">
        <f>SUMPRODUCT(N1853:Y1853,$N$4:$Y$4)*$K1853*$L1853*$M1853</f>
        <v/>
      </c>
      <c r="AD1853" s="15" t="n">
        <v>3</v>
      </c>
      <c r="AE1853" s="11" t="n">
        <v>1.011296296296296</v>
      </c>
      <c r="AF1853" s="16">
        <f>SUMPRODUCT(N1853:Y1853,$N$5:$Y$5)*$K1853*$L1853*$M1853</f>
        <v/>
      </c>
      <c r="AG1853" s="16">
        <f>SUMPRODUCT(N1853:Y1853,$N$6:$Y$6)*$K1853*$L1853*$M1853</f>
        <v/>
      </c>
      <c r="AH1853" s="20" t="n"/>
    </row>
    <row r="1854">
      <c r="A1854" s="9" t="n">
        <v>699489</v>
      </c>
      <c r="B1854" s="9" t="inlineStr">
        <is>
          <t>Brandon Johnson</t>
        </is>
      </c>
      <c r="C1854" s="9" t="inlineStr">
        <is>
          <t>KC</t>
        </is>
      </c>
      <c r="D1854" s="9" t="n">
        <v>25</v>
      </c>
      <c r="E1854" s="18" t="inlineStr">
        <is>
          <t>R</t>
        </is>
      </c>
      <c r="F1854" s="18" t="n"/>
      <c r="G1854" s="9" t="n">
        <v>20.49666666666666</v>
      </c>
      <c r="H1854" s="9" t="n">
        <v>20.49666666666666</v>
      </c>
      <c r="I1854" s="9" t="inlineStr">
        <is>
          <t>Depth (no MLB IP)</t>
        </is>
      </c>
      <c r="J1854" s="18" t="inlineStr">
        <is>
          <t>Opening Day</t>
        </is>
      </c>
      <c r="K1854" s="11">
        <f>IFERROR(INDEX(Roles!$B$17:$B$20,MATCH(J1854,Roles!$A$17:$A$20,0)),1)</f>
        <v/>
      </c>
      <c r="L1854" s="19" t="n">
        <v>1</v>
      </c>
      <c r="M1854" s="11" t="n">
        <v>1</v>
      </c>
      <c r="N1854" s="19" t="n"/>
      <c r="O1854" s="19" t="n"/>
      <c r="P1854" s="19" t="n"/>
      <c r="Q1854" s="19" t="n"/>
      <c r="R1854" s="19" t="n"/>
      <c r="S1854" s="19" t="n"/>
      <c r="T1854" s="19" t="n"/>
      <c r="U1854" s="19" t="n"/>
      <c r="V1854" s="19" t="n"/>
      <c r="W1854" s="19" t="n"/>
      <c r="X1854" s="19" t="n"/>
      <c r="Y1854" s="19" t="n">
        <v>1</v>
      </c>
      <c r="Z1854" s="13">
        <f>SUMPRODUCT(N1854:Y1854,$N$2:$Y$2)*$K1854*$L1854*$M1854</f>
        <v/>
      </c>
      <c r="AA1854" s="14">
        <f>SUM(N1854:Y1854)</f>
        <v/>
      </c>
      <c r="AB1854" s="13">
        <f>SUMPRODUCT(N1854:Y1854,$N$3:$Y$3)*$K1854*$L1854*$M1854</f>
        <v/>
      </c>
      <c r="AC1854" s="13">
        <f>SUMPRODUCT(N1854:Y1854,$N$4:$Y$4)*$K1854*$L1854*$M1854</f>
        <v/>
      </c>
      <c r="AD1854" s="15" t="n">
        <v>3</v>
      </c>
      <c r="AE1854" s="11" t="n">
        <v>1.011296296296296</v>
      </c>
      <c r="AF1854" s="16">
        <f>SUMPRODUCT(N1854:Y1854,$N$5:$Y$5)*$K1854*$L1854*$M1854</f>
        <v/>
      </c>
      <c r="AG1854" s="16">
        <f>SUMPRODUCT(N1854:Y1854,$N$6:$Y$6)*$K1854*$L1854*$M1854</f>
        <v/>
      </c>
      <c r="AH1854" s="20" t="n"/>
    </row>
    <row r="1855">
      <c r="A1855" s="9" t="n">
        <v>808743</v>
      </c>
      <c r="B1855" s="9" t="inlineStr">
        <is>
          <t>Bryce Jenkins</t>
        </is>
      </c>
      <c r="C1855" s="9" t="inlineStr">
        <is>
          <t>NYM</t>
        </is>
      </c>
      <c r="D1855" s="9" t="n">
        <v>25</v>
      </c>
      <c r="E1855" s="18" t="inlineStr">
        <is>
          <t>R</t>
        </is>
      </c>
      <c r="F1855" s="18" t="n"/>
      <c r="G1855" s="9" t="n">
        <v>20.56833333333333</v>
      </c>
      <c r="H1855" s="9" t="n">
        <v>20.56833333333333</v>
      </c>
      <c r="I1855" s="9" t="inlineStr">
        <is>
          <t>Depth (no MLB IP)</t>
        </is>
      </c>
      <c r="J1855" s="18" t="inlineStr">
        <is>
          <t>Opening Day</t>
        </is>
      </c>
      <c r="K1855" s="11">
        <f>IFERROR(INDEX(Roles!$B$17:$B$20,MATCH(J1855,Roles!$A$17:$A$20,0)),1)</f>
        <v/>
      </c>
      <c r="L1855" s="19" t="n">
        <v>1</v>
      </c>
      <c r="M1855" s="11" t="n">
        <v>1</v>
      </c>
      <c r="N1855" s="19" t="n"/>
      <c r="O1855" s="19" t="n"/>
      <c r="P1855" s="19" t="n"/>
      <c r="Q1855" s="19" t="n"/>
      <c r="R1855" s="19" t="n"/>
      <c r="S1855" s="19" t="n"/>
      <c r="T1855" s="19" t="n"/>
      <c r="U1855" s="19" t="n"/>
      <c r="V1855" s="19" t="n"/>
      <c r="W1855" s="19" t="n"/>
      <c r="X1855" s="19" t="n"/>
      <c r="Y1855" s="19" t="n">
        <v>1</v>
      </c>
      <c r="Z1855" s="13">
        <f>SUMPRODUCT(N1855:Y1855,$N$2:$Y$2)*$K1855*$L1855*$M1855</f>
        <v/>
      </c>
      <c r="AA1855" s="14">
        <f>SUM(N1855:Y1855)</f>
        <v/>
      </c>
      <c r="AB1855" s="13">
        <f>SUMPRODUCT(N1855:Y1855,$N$3:$Y$3)*$K1855*$L1855*$M1855</f>
        <v/>
      </c>
      <c r="AC1855" s="13">
        <f>SUMPRODUCT(N1855:Y1855,$N$4:$Y$4)*$K1855*$L1855*$M1855</f>
        <v/>
      </c>
      <c r="AD1855" s="15" t="n">
        <v>3</v>
      </c>
      <c r="AE1855" s="11" t="n">
        <v>1.011296296296296</v>
      </c>
      <c r="AF1855" s="16">
        <f>SUMPRODUCT(N1855:Y1855,$N$5:$Y$5)*$K1855*$L1855*$M1855</f>
        <v/>
      </c>
      <c r="AG1855" s="16">
        <f>SUMPRODUCT(N1855:Y1855,$N$6:$Y$6)*$K1855*$L1855*$M1855</f>
        <v/>
      </c>
      <c r="AH1855" s="20" t="n"/>
    </row>
    <row r="1856">
      <c r="A1856" s="9" t="n">
        <v>802482</v>
      </c>
      <c r="B1856" s="9" t="inlineStr">
        <is>
          <t>John West</t>
        </is>
      </c>
      <c r="C1856" s="9" t="inlineStr">
        <is>
          <t>ARI</t>
        </is>
      </c>
      <c r="D1856" s="9" t="n">
        <v>25</v>
      </c>
      <c r="E1856" s="18" t="inlineStr">
        <is>
          <t>R</t>
        </is>
      </c>
      <c r="F1856" s="18" t="n"/>
      <c r="G1856" s="9" t="n">
        <v>20.56833333333333</v>
      </c>
      <c r="H1856" s="9" t="n">
        <v>20.56833333333333</v>
      </c>
      <c r="I1856" s="9" t="inlineStr">
        <is>
          <t>Depth (no MLB IP)</t>
        </is>
      </c>
      <c r="J1856" s="18" t="inlineStr">
        <is>
          <t>Opening Day</t>
        </is>
      </c>
      <c r="K1856" s="11">
        <f>IFERROR(INDEX(Roles!$B$17:$B$20,MATCH(J1856,Roles!$A$17:$A$20,0)),1)</f>
        <v/>
      </c>
      <c r="L1856" s="19" t="n">
        <v>1</v>
      </c>
      <c r="M1856" s="11" t="n">
        <v>1</v>
      </c>
      <c r="N1856" s="19" t="n"/>
      <c r="O1856" s="19" t="n"/>
      <c r="P1856" s="19" t="n"/>
      <c r="Q1856" s="19" t="n"/>
      <c r="R1856" s="19" t="n"/>
      <c r="S1856" s="19" t="n"/>
      <c r="T1856" s="19" t="n"/>
      <c r="U1856" s="19" t="n"/>
      <c r="V1856" s="19" t="n"/>
      <c r="W1856" s="19" t="n"/>
      <c r="X1856" s="19" t="n"/>
      <c r="Y1856" s="19" t="n">
        <v>1</v>
      </c>
      <c r="Z1856" s="13">
        <f>SUMPRODUCT(N1856:Y1856,$N$2:$Y$2)*$K1856*$L1856*$M1856</f>
        <v/>
      </c>
      <c r="AA1856" s="14">
        <f>SUM(N1856:Y1856)</f>
        <v/>
      </c>
      <c r="AB1856" s="13">
        <f>SUMPRODUCT(N1856:Y1856,$N$3:$Y$3)*$K1856*$L1856*$M1856</f>
        <v/>
      </c>
      <c r="AC1856" s="13">
        <f>SUMPRODUCT(N1856:Y1856,$N$4:$Y$4)*$K1856*$L1856*$M1856</f>
        <v/>
      </c>
      <c r="AD1856" s="15" t="n">
        <v>3</v>
      </c>
      <c r="AE1856" s="11" t="n">
        <v>1.011296296296296</v>
      </c>
      <c r="AF1856" s="16">
        <f>SUMPRODUCT(N1856:Y1856,$N$5:$Y$5)*$K1856*$L1856*$M1856</f>
        <v/>
      </c>
      <c r="AG1856" s="16">
        <f>SUMPRODUCT(N1856:Y1856,$N$6:$Y$6)*$K1856*$L1856*$M1856</f>
        <v/>
      </c>
      <c r="AH1856" s="20" t="n"/>
    </row>
    <row r="1857">
      <c r="A1857" s="9" t="n">
        <v>834579</v>
      </c>
      <c r="B1857" s="9" t="inlineStr">
        <is>
          <t>Tyler Bowen</t>
        </is>
      </c>
      <c r="C1857" s="9" t="inlineStr">
        <is>
          <t>PHI</t>
        </is>
      </c>
      <c r="D1857" s="9" t="n">
        <v>25</v>
      </c>
      <c r="E1857" s="18" t="inlineStr">
        <is>
          <t>R</t>
        </is>
      </c>
      <c r="F1857" s="18" t="n"/>
      <c r="G1857" s="9" t="n">
        <v>20.468</v>
      </c>
      <c r="H1857" s="9" t="n">
        <v>20.468</v>
      </c>
      <c r="I1857" s="9" t="inlineStr">
        <is>
          <t>Depth (no MLB IP)</t>
        </is>
      </c>
      <c r="J1857" s="18" t="inlineStr">
        <is>
          <t>Opening Day</t>
        </is>
      </c>
      <c r="K1857" s="11">
        <f>IFERROR(INDEX(Roles!$B$17:$B$20,MATCH(J1857,Roles!$A$17:$A$20,0)),1)</f>
        <v/>
      </c>
      <c r="L1857" s="19" t="n">
        <v>1</v>
      </c>
      <c r="M1857" s="11" t="n">
        <v>1</v>
      </c>
      <c r="N1857" s="19" t="n"/>
      <c r="O1857" s="19" t="n"/>
      <c r="P1857" s="19" t="n"/>
      <c r="Q1857" s="19" t="n"/>
      <c r="R1857" s="19" t="n"/>
      <c r="S1857" s="19" t="n"/>
      <c r="T1857" s="19" t="n"/>
      <c r="U1857" s="19" t="n"/>
      <c r="V1857" s="19" t="n"/>
      <c r="W1857" s="19" t="n"/>
      <c r="X1857" s="19" t="n"/>
      <c r="Y1857" s="19" t="n">
        <v>1</v>
      </c>
      <c r="Z1857" s="13">
        <f>SUMPRODUCT(N1857:Y1857,$N$2:$Y$2)*$K1857*$L1857*$M1857</f>
        <v/>
      </c>
      <c r="AA1857" s="14">
        <f>SUM(N1857:Y1857)</f>
        <v/>
      </c>
      <c r="AB1857" s="13">
        <f>SUMPRODUCT(N1857:Y1857,$N$3:$Y$3)*$K1857*$L1857*$M1857</f>
        <v/>
      </c>
      <c r="AC1857" s="13">
        <f>SUMPRODUCT(N1857:Y1857,$N$4:$Y$4)*$K1857*$L1857*$M1857</f>
        <v/>
      </c>
      <c r="AD1857" s="15" t="n">
        <v>3</v>
      </c>
      <c r="AE1857" s="11" t="n">
        <v>1.011296296296296</v>
      </c>
      <c r="AF1857" s="16">
        <f>SUMPRODUCT(N1857:Y1857,$N$5:$Y$5)*$K1857*$L1857*$M1857</f>
        <v/>
      </c>
      <c r="AG1857" s="16">
        <f>SUMPRODUCT(N1857:Y1857,$N$6:$Y$6)*$K1857*$L1857*$M1857</f>
        <v/>
      </c>
      <c r="AH1857" s="20" t="n"/>
    </row>
    <row r="1858">
      <c r="A1858" s="9" t="n">
        <v>810102</v>
      </c>
      <c r="B1858" s="9" t="inlineStr">
        <is>
          <t>Chris Veach</t>
        </is>
      </c>
      <c r="C1858" s="9" t="inlineStr">
        <is>
          <t>NYY</t>
        </is>
      </c>
      <c r="D1858" s="9" t="n">
        <v>25</v>
      </c>
      <c r="E1858" s="18" t="inlineStr">
        <is>
          <t>R</t>
        </is>
      </c>
      <c r="F1858" s="18" t="n"/>
      <c r="G1858" s="9" t="n">
        <v>20.56833333333333</v>
      </c>
      <c r="H1858" s="9" t="n">
        <v>20.56833333333333</v>
      </c>
      <c r="I1858" s="9" t="inlineStr">
        <is>
          <t>Depth (no MLB IP)</t>
        </is>
      </c>
      <c r="J1858" s="18" t="inlineStr">
        <is>
          <t>Opening Day</t>
        </is>
      </c>
      <c r="K1858" s="11">
        <f>IFERROR(INDEX(Roles!$B$17:$B$20,MATCH(J1858,Roles!$A$17:$A$20,0)),1)</f>
        <v/>
      </c>
      <c r="L1858" s="19" t="n">
        <v>1</v>
      </c>
      <c r="M1858" s="11" t="n">
        <v>1</v>
      </c>
      <c r="N1858" s="19" t="n"/>
      <c r="O1858" s="19" t="n"/>
      <c r="P1858" s="19" t="n"/>
      <c r="Q1858" s="19" t="n"/>
      <c r="R1858" s="19" t="n"/>
      <c r="S1858" s="19" t="n"/>
      <c r="T1858" s="19" t="n"/>
      <c r="U1858" s="19" t="n"/>
      <c r="V1858" s="19" t="n"/>
      <c r="W1858" s="19" t="n"/>
      <c r="X1858" s="19" t="n"/>
      <c r="Y1858" s="19" t="n">
        <v>1</v>
      </c>
      <c r="Z1858" s="13">
        <f>SUMPRODUCT(N1858:Y1858,$N$2:$Y$2)*$K1858*$L1858*$M1858</f>
        <v/>
      </c>
      <c r="AA1858" s="14">
        <f>SUM(N1858:Y1858)</f>
        <v/>
      </c>
      <c r="AB1858" s="13">
        <f>SUMPRODUCT(N1858:Y1858,$N$3:$Y$3)*$K1858*$L1858*$M1858</f>
        <v/>
      </c>
      <c r="AC1858" s="13">
        <f>SUMPRODUCT(N1858:Y1858,$N$4:$Y$4)*$K1858*$L1858*$M1858</f>
        <v/>
      </c>
      <c r="AD1858" s="15" t="n">
        <v>3</v>
      </c>
      <c r="AE1858" s="11" t="n">
        <v>1.011296296296296</v>
      </c>
      <c r="AF1858" s="16">
        <f>SUMPRODUCT(N1858:Y1858,$N$5:$Y$5)*$K1858*$L1858*$M1858</f>
        <v/>
      </c>
      <c r="AG1858" s="16">
        <f>SUMPRODUCT(N1858:Y1858,$N$6:$Y$6)*$K1858*$L1858*$M1858</f>
        <v/>
      </c>
      <c r="AH1858" s="20" t="n"/>
    </row>
    <row r="1859">
      <c r="A1859" s="9" t="n">
        <v>679066</v>
      </c>
      <c r="B1859" s="9" t="inlineStr">
        <is>
          <t>Valentin Linarez</t>
        </is>
      </c>
      <c r="C1859" s="9" t="inlineStr">
        <is>
          <t>WSH</t>
        </is>
      </c>
      <c r="D1859" s="9" t="n">
        <v>25</v>
      </c>
      <c r="E1859" s="18" t="inlineStr">
        <is>
          <t>R</t>
        </is>
      </c>
      <c r="F1859" s="18" t="n"/>
      <c r="G1859" s="9" t="n">
        <v>20.56833333333333</v>
      </c>
      <c r="H1859" s="9" t="n">
        <v>20.56833333333333</v>
      </c>
      <c r="I1859" s="9" t="inlineStr">
        <is>
          <t>Depth (no MLB IP)</t>
        </is>
      </c>
      <c r="J1859" s="18" t="inlineStr">
        <is>
          <t>Opening Day</t>
        </is>
      </c>
      <c r="K1859" s="11">
        <f>IFERROR(INDEX(Roles!$B$17:$B$20,MATCH(J1859,Roles!$A$17:$A$20,0)),1)</f>
        <v/>
      </c>
      <c r="L1859" s="19" t="n">
        <v>1</v>
      </c>
      <c r="M1859" s="11" t="n">
        <v>1</v>
      </c>
      <c r="N1859" s="19" t="n"/>
      <c r="O1859" s="19" t="n"/>
      <c r="P1859" s="19" t="n"/>
      <c r="Q1859" s="19" t="n"/>
      <c r="R1859" s="19" t="n"/>
      <c r="S1859" s="19" t="n"/>
      <c r="T1859" s="19" t="n"/>
      <c r="U1859" s="19" t="n"/>
      <c r="V1859" s="19" t="n"/>
      <c r="W1859" s="19" t="n"/>
      <c r="X1859" s="19" t="n"/>
      <c r="Y1859" s="19" t="n">
        <v>1</v>
      </c>
      <c r="Z1859" s="13">
        <f>SUMPRODUCT(N1859:Y1859,$N$2:$Y$2)*$K1859*$L1859*$M1859</f>
        <v/>
      </c>
      <c r="AA1859" s="14">
        <f>SUM(N1859:Y1859)</f>
        <v/>
      </c>
      <c r="AB1859" s="13">
        <f>SUMPRODUCT(N1859:Y1859,$N$3:$Y$3)*$K1859*$L1859*$M1859</f>
        <v/>
      </c>
      <c r="AC1859" s="13">
        <f>SUMPRODUCT(N1859:Y1859,$N$4:$Y$4)*$K1859*$L1859*$M1859</f>
        <v/>
      </c>
      <c r="AD1859" s="15" t="n">
        <v>3</v>
      </c>
      <c r="AE1859" s="11" t="n">
        <v>1.011296296296296</v>
      </c>
      <c r="AF1859" s="16">
        <f>SUMPRODUCT(N1859:Y1859,$N$5:$Y$5)*$K1859*$L1859*$M1859</f>
        <v/>
      </c>
      <c r="AG1859" s="16">
        <f>SUMPRODUCT(N1859:Y1859,$N$6:$Y$6)*$K1859*$L1859*$M1859</f>
        <v/>
      </c>
      <c r="AH1859" s="20" t="n"/>
    </row>
    <row r="1860">
      <c r="A1860" s="9" t="n">
        <v>700429</v>
      </c>
      <c r="B1860" s="9" t="inlineStr">
        <is>
          <t>MT Morrissey</t>
        </is>
      </c>
      <c r="C1860" s="9" t="inlineStr">
        <is>
          <t>PHI</t>
        </is>
      </c>
      <c r="D1860" s="9" t="n">
        <v>25</v>
      </c>
      <c r="E1860" s="18" t="inlineStr">
        <is>
          <t>R</t>
        </is>
      </c>
      <c r="F1860" s="18" t="n"/>
      <c r="G1860" s="9" t="n">
        <v>20.64</v>
      </c>
      <c r="H1860" s="9" t="n">
        <v>20.64</v>
      </c>
      <c r="I1860" s="9" t="inlineStr">
        <is>
          <t>Depth (no MLB IP)</t>
        </is>
      </c>
      <c r="J1860" s="18" t="inlineStr">
        <is>
          <t>Opening Day</t>
        </is>
      </c>
      <c r="K1860" s="11">
        <f>IFERROR(INDEX(Roles!$B$17:$B$20,MATCH(J1860,Roles!$A$17:$A$20,0)),1)</f>
        <v/>
      </c>
      <c r="L1860" s="19" t="n">
        <v>1</v>
      </c>
      <c r="M1860" s="11" t="n">
        <v>1</v>
      </c>
      <c r="N1860" s="19" t="n"/>
      <c r="O1860" s="19" t="n"/>
      <c r="P1860" s="19" t="n"/>
      <c r="Q1860" s="19" t="n"/>
      <c r="R1860" s="19" t="n"/>
      <c r="S1860" s="19" t="n"/>
      <c r="T1860" s="19" t="n"/>
      <c r="U1860" s="19" t="n"/>
      <c r="V1860" s="19" t="n"/>
      <c r="W1860" s="19" t="n"/>
      <c r="X1860" s="19" t="n"/>
      <c r="Y1860" s="19" t="n">
        <v>1</v>
      </c>
      <c r="Z1860" s="13">
        <f>SUMPRODUCT(N1860:Y1860,$N$2:$Y$2)*$K1860*$L1860*$M1860</f>
        <v/>
      </c>
      <c r="AA1860" s="14">
        <f>SUM(N1860:Y1860)</f>
        <v/>
      </c>
      <c r="AB1860" s="13">
        <f>SUMPRODUCT(N1860:Y1860,$N$3:$Y$3)*$K1860*$L1860*$M1860</f>
        <v/>
      </c>
      <c r="AC1860" s="13">
        <f>SUMPRODUCT(N1860:Y1860,$N$4:$Y$4)*$K1860*$L1860*$M1860</f>
        <v/>
      </c>
      <c r="AD1860" s="15" t="n">
        <v>3</v>
      </c>
      <c r="AE1860" s="11" t="n">
        <v>1.011296296296296</v>
      </c>
      <c r="AF1860" s="16">
        <f>SUMPRODUCT(N1860:Y1860,$N$5:$Y$5)*$K1860*$L1860*$M1860</f>
        <v/>
      </c>
      <c r="AG1860" s="16">
        <f>SUMPRODUCT(N1860:Y1860,$N$6:$Y$6)*$K1860*$L1860*$M1860</f>
        <v/>
      </c>
      <c r="AH1860" s="20" t="n"/>
    </row>
    <row r="1861">
      <c r="A1861" s="9" t="n">
        <v>679857</v>
      </c>
      <c r="B1861" s="9" t="inlineStr">
        <is>
          <t>Carlos Tavera</t>
        </is>
      </c>
      <c r="C1861" s="9" t="inlineStr">
        <is>
          <t>BAL</t>
        </is>
      </c>
      <c r="D1861" s="9" t="n">
        <v>25</v>
      </c>
      <c r="E1861" s="18" t="inlineStr">
        <is>
          <t>R</t>
        </is>
      </c>
      <c r="F1861" s="18" t="n"/>
      <c r="G1861" s="9" t="n">
        <v>20.56833333333333</v>
      </c>
      <c r="H1861" s="9" t="n">
        <v>20.56833333333333</v>
      </c>
      <c r="I1861" s="9" t="inlineStr">
        <is>
          <t>Depth (no MLB IP)</t>
        </is>
      </c>
      <c r="J1861" s="18" t="inlineStr">
        <is>
          <t>Opening Day</t>
        </is>
      </c>
      <c r="K1861" s="11">
        <f>IFERROR(INDEX(Roles!$B$17:$B$20,MATCH(J1861,Roles!$A$17:$A$20,0)),1)</f>
        <v/>
      </c>
      <c r="L1861" s="19" t="n">
        <v>1</v>
      </c>
      <c r="M1861" s="11" t="n">
        <v>1</v>
      </c>
      <c r="N1861" s="19" t="n"/>
      <c r="O1861" s="19" t="n"/>
      <c r="P1861" s="19" t="n"/>
      <c r="Q1861" s="19" t="n"/>
      <c r="R1861" s="19" t="n"/>
      <c r="S1861" s="19" t="n"/>
      <c r="T1861" s="19" t="n"/>
      <c r="U1861" s="19" t="n"/>
      <c r="V1861" s="19" t="n"/>
      <c r="W1861" s="19" t="n"/>
      <c r="X1861" s="19" t="n"/>
      <c r="Y1861" s="19" t="n">
        <v>1</v>
      </c>
      <c r="Z1861" s="13">
        <f>SUMPRODUCT(N1861:Y1861,$N$2:$Y$2)*$K1861*$L1861*$M1861</f>
        <v/>
      </c>
      <c r="AA1861" s="14">
        <f>SUM(N1861:Y1861)</f>
        <v/>
      </c>
      <c r="AB1861" s="13">
        <f>SUMPRODUCT(N1861:Y1861,$N$3:$Y$3)*$K1861*$L1861*$M1861</f>
        <v/>
      </c>
      <c r="AC1861" s="13">
        <f>SUMPRODUCT(N1861:Y1861,$N$4:$Y$4)*$K1861*$L1861*$M1861</f>
        <v/>
      </c>
      <c r="AD1861" s="15" t="n">
        <v>3</v>
      </c>
      <c r="AE1861" s="11" t="n">
        <v>1.011296296296296</v>
      </c>
      <c r="AF1861" s="16">
        <f>SUMPRODUCT(N1861:Y1861,$N$5:$Y$5)*$K1861*$L1861*$M1861</f>
        <v/>
      </c>
      <c r="AG1861" s="16">
        <f>SUMPRODUCT(N1861:Y1861,$N$6:$Y$6)*$K1861*$L1861*$M1861</f>
        <v/>
      </c>
      <c r="AH1861" s="20" t="n"/>
    </row>
    <row r="1862">
      <c r="A1862" s="9" t="n">
        <v>680823</v>
      </c>
      <c r="B1862" s="9" t="inlineStr">
        <is>
          <t>Jack Mahoney</t>
        </is>
      </c>
      <c r="C1862" s="9" t="inlineStr">
        <is>
          <t>OAK</t>
        </is>
      </c>
      <c r="D1862" s="9" t="n">
        <v>25</v>
      </c>
      <c r="E1862" s="18" t="inlineStr">
        <is>
          <t>L</t>
        </is>
      </c>
      <c r="F1862" s="18" t="n"/>
      <c r="G1862" s="9" t="n">
        <v>20.64</v>
      </c>
      <c r="H1862" s="9" t="n">
        <v>20.64</v>
      </c>
      <c r="I1862" s="9" t="inlineStr">
        <is>
          <t>Depth (no MLB IP)</t>
        </is>
      </c>
      <c r="J1862" s="18" t="inlineStr">
        <is>
          <t>Opening Day</t>
        </is>
      </c>
      <c r="K1862" s="11">
        <f>IFERROR(INDEX(Roles!$B$17:$B$20,MATCH(J1862,Roles!$A$17:$A$20,0)),1)</f>
        <v/>
      </c>
      <c r="L1862" s="19" t="n">
        <v>1</v>
      </c>
      <c r="M1862" s="11" t="n">
        <v>1</v>
      </c>
      <c r="N1862" s="19" t="n"/>
      <c r="O1862" s="19" t="n"/>
      <c r="P1862" s="19" t="n"/>
      <c r="Q1862" s="19" t="n"/>
      <c r="R1862" s="19" t="n"/>
      <c r="S1862" s="19" t="n"/>
      <c r="T1862" s="19" t="n"/>
      <c r="U1862" s="19" t="n"/>
      <c r="V1862" s="19" t="n"/>
      <c r="W1862" s="19" t="n"/>
      <c r="X1862" s="19" t="n"/>
      <c r="Y1862" s="19" t="n">
        <v>1</v>
      </c>
      <c r="Z1862" s="13">
        <f>SUMPRODUCT(N1862:Y1862,$N$2:$Y$2)*$K1862*$L1862*$M1862</f>
        <v/>
      </c>
      <c r="AA1862" s="14">
        <f>SUM(N1862:Y1862)</f>
        <v/>
      </c>
      <c r="AB1862" s="13">
        <f>SUMPRODUCT(N1862:Y1862,$N$3:$Y$3)*$K1862*$L1862*$M1862</f>
        <v/>
      </c>
      <c r="AC1862" s="13">
        <f>SUMPRODUCT(N1862:Y1862,$N$4:$Y$4)*$K1862*$L1862*$M1862</f>
        <v/>
      </c>
      <c r="AD1862" s="15" t="n">
        <v>3</v>
      </c>
      <c r="AE1862" s="11" t="n">
        <v>1.011296296296296</v>
      </c>
      <c r="AF1862" s="16">
        <f>SUMPRODUCT(N1862:Y1862,$N$5:$Y$5)*$K1862*$L1862*$M1862</f>
        <v/>
      </c>
      <c r="AG1862" s="16">
        <f>SUMPRODUCT(N1862:Y1862,$N$6:$Y$6)*$K1862*$L1862*$M1862</f>
        <v/>
      </c>
      <c r="AH1862" s="20" t="n"/>
    </row>
    <row r="1863">
      <c r="A1863" s="9" t="n">
        <v>804571</v>
      </c>
      <c r="B1863" s="9" t="inlineStr">
        <is>
          <t>Dominic Fritton</t>
        </is>
      </c>
      <c r="C1863" s="9" t="inlineStr">
        <is>
          <t>TB</t>
        </is>
      </c>
      <c r="D1863" s="9" t="n">
        <v>25</v>
      </c>
      <c r="E1863" s="18" t="inlineStr">
        <is>
          <t>L</t>
        </is>
      </c>
      <c r="F1863" s="18" t="n"/>
      <c r="G1863" s="9" t="n">
        <v>20.64</v>
      </c>
      <c r="H1863" s="9" t="n">
        <v>20.64</v>
      </c>
      <c r="I1863" s="9" t="inlineStr">
        <is>
          <t>Depth (no MLB IP)</t>
        </is>
      </c>
      <c r="J1863" s="18" t="inlineStr">
        <is>
          <t>Opening Day</t>
        </is>
      </c>
      <c r="K1863" s="11">
        <f>IFERROR(INDEX(Roles!$B$17:$B$20,MATCH(J1863,Roles!$A$17:$A$20,0)),1)</f>
        <v/>
      </c>
      <c r="L1863" s="19" t="n">
        <v>1</v>
      </c>
      <c r="M1863" s="11" t="n">
        <v>1</v>
      </c>
      <c r="N1863" s="19" t="n"/>
      <c r="O1863" s="19" t="n"/>
      <c r="P1863" s="19" t="n"/>
      <c r="Q1863" s="19" t="n"/>
      <c r="R1863" s="19" t="n"/>
      <c r="S1863" s="19" t="n"/>
      <c r="T1863" s="19" t="n"/>
      <c r="U1863" s="19" t="n"/>
      <c r="V1863" s="19" t="n"/>
      <c r="W1863" s="19" t="n"/>
      <c r="X1863" s="19" t="n"/>
      <c r="Y1863" s="19" t="n">
        <v>1</v>
      </c>
      <c r="Z1863" s="13">
        <f>SUMPRODUCT(N1863:Y1863,$N$2:$Y$2)*$K1863*$L1863*$M1863</f>
        <v/>
      </c>
      <c r="AA1863" s="14">
        <f>SUM(N1863:Y1863)</f>
        <v/>
      </c>
      <c r="AB1863" s="13">
        <f>SUMPRODUCT(N1863:Y1863,$N$3:$Y$3)*$K1863*$L1863*$M1863</f>
        <v/>
      </c>
      <c r="AC1863" s="13">
        <f>SUMPRODUCT(N1863:Y1863,$N$4:$Y$4)*$K1863*$L1863*$M1863</f>
        <v/>
      </c>
      <c r="AD1863" s="15" t="n">
        <v>3</v>
      </c>
      <c r="AE1863" s="11" t="n">
        <v>1.011296296296296</v>
      </c>
      <c r="AF1863" s="16">
        <f>SUMPRODUCT(N1863:Y1863,$N$5:$Y$5)*$K1863*$L1863*$M1863</f>
        <v/>
      </c>
      <c r="AG1863" s="16">
        <f>SUMPRODUCT(N1863:Y1863,$N$6:$Y$6)*$K1863*$L1863*$M1863</f>
        <v/>
      </c>
      <c r="AH1863" s="20" t="n"/>
    </row>
    <row r="1864">
      <c r="A1864" s="9" t="n">
        <v>650496</v>
      </c>
      <c r="B1864" s="9" t="inlineStr">
        <is>
          <t>J.C. Mejía</t>
        </is>
      </c>
      <c r="C1864" s="9" t="inlineStr">
        <is>
          <t>MIL</t>
        </is>
      </c>
      <c r="D1864" s="9" t="n">
        <v>30</v>
      </c>
      <c r="E1864" s="18" t="inlineStr">
        <is>
          <t>R</t>
        </is>
      </c>
      <c r="F1864" s="18" t="n"/>
      <c r="G1864" s="9" t="n">
        <v>50</v>
      </c>
      <c r="H1864" s="9" t="n">
        <v>66</v>
      </c>
      <c r="I1864" s="9" t="inlineStr">
        <is>
          <t>Depth (no MLB IP)</t>
        </is>
      </c>
      <c r="J1864" s="18" t="inlineStr">
        <is>
          <t>Opening Day</t>
        </is>
      </c>
      <c r="K1864" s="11">
        <f>IFERROR(INDEX(Roles!$B$17:$B$20,MATCH(J1864,Roles!$A$17:$A$20,0)),1)</f>
        <v/>
      </c>
      <c r="L1864" s="19" t="n">
        <v>1</v>
      </c>
      <c r="M1864" s="11" t="n">
        <v>1</v>
      </c>
      <c r="N1864" s="19" t="n"/>
      <c r="O1864" s="19" t="n"/>
      <c r="P1864" s="19" t="n"/>
      <c r="Q1864" s="19" t="n"/>
      <c r="R1864" s="19" t="n"/>
      <c r="S1864" s="19" t="n"/>
      <c r="T1864" s="19" t="n"/>
      <c r="U1864" s="19" t="n"/>
      <c r="V1864" s="19" t="n"/>
      <c r="W1864" s="19" t="n"/>
      <c r="X1864" s="19" t="n"/>
      <c r="Y1864" s="19" t="n">
        <v>1</v>
      </c>
      <c r="Z1864" s="13">
        <f>SUMPRODUCT(N1864:Y1864,$N$2:$Y$2)*$K1864*$L1864*$M1864</f>
        <v/>
      </c>
      <c r="AA1864" s="14">
        <f>SUM(N1864:Y1864)</f>
        <v/>
      </c>
      <c r="AB1864" s="13">
        <f>SUMPRODUCT(N1864:Y1864,$N$3:$Y$3)*$K1864*$L1864*$M1864</f>
        <v/>
      </c>
      <c r="AC1864" s="13">
        <f>SUMPRODUCT(N1864:Y1864,$N$4:$Y$4)*$K1864*$L1864*$M1864</f>
        <v/>
      </c>
      <c r="AD1864" s="15" t="n">
        <v>3</v>
      </c>
      <c r="AE1864" s="11" t="n">
        <v>1.011296296296296</v>
      </c>
      <c r="AF1864" s="16">
        <f>SUMPRODUCT(N1864:Y1864,$N$5:$Y$5)*$K1864*$L1864*$M1864</f>
        <v/>
      </c>
      <c r="AG1864" s="16">
        <f>SUMPRODUCT(N1864:Y1864,$N$6:$Y$6)*$K1864*$L1864*$M1864</f>
        <v/>
      </c>
      <c r="AH1864" s="20" t="n"/>
    </row>
    <row r="1865">
      <c r="A1865" s="9" t="n">
        <v>805841</v>
      </c>
      <c r="B1865" s="9" t="inlineStr">
        <is>
          <t>Logan Tabeling</t>
        </is>
      </c>
      <c r="C1865" s="9" t="inlineStr">
        <is>
          <t>LAD</t>
        </is>
      </c>
      <c r="D1865" s="9" t="n">
        <v>25</v>
      </c>
      <c r="E1865" s="18" t="inlineStr">
        <is>
          <t>R</t>
        </is>
      </c>
      <c r="F1865" s="18" t="n"/>
      <c r="G1865" s="9" t="n">
        <v>20.92666666666666</v>
      </c>
      <c r="H1865" s="9" t="n">
        <v>20.92666666666666</v>
      </c>
      <c r="I1865" s="9" t="inlineStr">
        <is>
          <t>Depth (no MLB IP)</t>
        </is>
      </c>
      <c r="J1865" s="18" t="inlineStr">
        <is>
          <t>Opening Day</t>
        </is>
      </c>
      <c r="K1865" s="11">
        <f>IFERROR(INDEX(Roles!$B$17:$B$20,MATCH(J1865,Roles!$A$17:$A$20,0)),1)</f>
        <v/>
      </c>
      <c r="L1865" s="19" t="n">
        <v>1</v>
      </c>
      <c r="M1865" s="11" t="n">
        <v>1</v>
      </c>
      <c r="N1865" s="19" t="n"/>
      <c r="O1865" s="19" t="n"/>
      <c r="P1865" s="19" t="n"/>
      <c r="Q1865" s="19" t="n"/>
      <c r="R1865" s="19" t="n"/>
      <c r="S1865" s="19" t="n"/>
      <c r="T1865" s="19" t="n"/>
      <c r="U1865" s="19" t="n"/>
      <c r="V1865" s="19" t="n"/>
      <c r="W1865" s="19" t="n"/>
      <c r="X1865" s="19" t="n"/>
      <c r="Y1865" s="19" t="n">
        <v>1</v>
      </c>
      <c r="Z1865" s="13">
        <f>SUMPRODUCT(N1865:Y1865,$N$2:$Y$2)*$K1865*$L1865*$M1865</f>
        <v/>
      </c>
      <c r="AA1865" s="14">
        <f>SUM(N1865:Y1865)</f>
        <v/>
      </c>
      <c r="AB1865" s="13">
        <f>SUMPRODUCT(N1865:Y1865,$N$3:$Y$3)*$K1865*$L1865*$M1865</f>
        <v/>
      </c>
      <c r="AC1865" s="13">
        <f>SUMPRODUCT(N1865:Y1865,$N$4:$Y$4)*$K1865*$L1865*$M1865</f>
        <v/>
      </c>
      <c r="AD1865" s="15" t="n">
        <v>3</v>
      </c>
      <c r="AE1865" s="11" t="n">
        <v>1.011296296296296</v>
      </c>
      <c r="AF1865" s="16">
        <f>SUMPRODUCT(N1865:Y1865,$N$5:$Y$5)*$K1865*$L1865*$M1865</f>
        <v/>
      </c>
      <c r="AG1865" s="16">
        <f>SUMPRODUCT(N1865:Y1865,$N$6:$Y$6)*$K1865*$L1865*$M1865</f>
        <v/>
      </c>
      <c r="AH1865" s="20" t="n"/>
    </row>
    <row r="1866">
      <c r="A1866" s="9" t="n">
        <v>801434</v>
      </c>
      <c r="B1866" s="9" t="inlineStr">
        <is>
          <t>Paul Gervase</t>
        </is>
      </c>
      <c r="C1866" s="9" t="inlineStr">
        <is>
          <t>LAD</t>
        </is>
      </c>
      <c r="D1866" s="9" t="n">
        <v>27</v>
      </c>
      <c r="E1866" s="18" t="inlineStr">
        <is>
          <t>R</t>
        </is>
      </c>
      <c r="F1866" s="18" t="n"/>
      <c r="G1866" s="9" t="n">
        <v>34</v>
      </c>
      <c r="H1866" s="9" t="n">
        <v>73</v>
      </c>
      <c r="I1866" s="9" t="inlineStr">
        <is>
          <t>Bullpen Depth Arm</t>
        </is>
      </c>
      <c r="J1866" s="18" t="inlineStr">
        <is>
          <t>Opening Day</t>
        </is>
      </c>
      <c r="K1866" s="11">
        <f>IFERROR(INDEX(Roles!$B$17:$B$20,MATCH(J1866,Roles!$A$17:$A$20,0)),1)</f>
        <v/>
      </c>
      <c r="L1866" s="19" t="n">
        <v>1</v>
      </c>
      <c r="M1866" s="11" t="n">
        <v>1</v>
      </c>
      <c r="N1866" s="19" t="n"/>
      <c r="O1866" s="19" t="n"/>
      <c r="P1866" s="19" t="n"/>
      <c r="Q1866" s="19" t="n"/>
      <c r="R1866" s="19" t="n"/>
      <c r="S1866" s="19" t="n"/>
      <c r="T1866" s="19" t="n"/>
      <c r="U1866" s="19" t="n"/>
      <c r="V1866" s="19" t="n"/>
      <c r="W1866" s="19" t="n">
        <v>1</v>
      </c>
      <c r="X1866" s="19" t="n"/>
      <c r="Y1866" s="19" t="n"/>
      <c r="Z1866" s="13">
        <f>SUMPRODUCT(N1866:Y1866,$N$2:$Y$2)*$K1866*$L1866*$M1866</f>
        <v/>
      </c>
      <c r="AA1866" s="14">
        <f>SUM(N1866:Y1866)</f>
        <v/>
      </c>
      <c r="AB1866" s="13">
        <f>SUMPRODUCT(N1866:Y1866,$N$3:$Y$3)*$K1866*$L1866*$M1866</f>
        <v/>
      </c>
      <c r="AC1866" s="13">
        <f>SUMPRODUCT(N1866:Y1866,$N$4:$Y$4)*$K1866*$L1866*$M1866</f>
        <v/>
      </c>
      <c r="AD1866" s="15" t="n">
        <v>8.546666666666667</v>
      </c>
      <c r="AE1866" s="11" t="n">
        <v>1.352433060766394</v>
      </c>
      <c r="AF1866" s="16">
        <f>SUMPRODUCT(N1866:Y1866,$N$5:$Y$5)*$K1866*$L1866*$M1866</f>
        <v/>
      </c>
      <c r="AG1866" s="16">
        <f>SUMPRODUCT(N1866:Y1866,$N$6:$Y$6)*$K1866*$L1866*$M1866</f>
        <v/>
      </c>
      <c r="AH1866" s="20" t="n"/>
    </row>
    <row r="1867">
      <c r="A1867" s="9" t="n">
        <v>700247</v>
      </c>
      <c r="B1867" s="9" t="inlineStr">
        <is>
          <t>Jose Pena Jr.</t>
        </is>
      </c>
      <c r="C1867" s="9" t="inlineStr">
        <is>
          <t>PHI</t>
        </is>
      </c>
      <c r="D1867" s="9" t="n">
        <v>25</v>
      </c>
      <c r="E1867" s="18" t="inlineStr">
        <is>
          <t>R</t>
        </is>
      </c>
      <c r="F1867" s="18" t="n"/>
      <c r="G1867" s="9" t="n">
        <v>20.92666666666666</v>
      </c>
      <c r="H1867" s="9" t="n">
        <v>20.92666666666666</v>
      </c>
      <c r="I1867" s="9" t="inlineStr">
        <is>
          <t>Depth (no MLB IP)</t>
        </is>
      </c>
      <c r="J1867" s="18" t="inlineStr">
        <is>
          <t>Opening Day</t>
        </is>
      </c>
      <c r="K1867" s="11">
        <f>IFERROR(INDEX(Roles!$B$17:$B$20,MATCH(J1867,Roles!$A$17:$A$20,0)),1)</f>
        <v/>
      </c>
      <c r="L1867" s="19" t="n">
        <v>1</v>
      </c>
      <c r="M1867" s="11" t="n">
        <v>1</v>
      </c>
      <c r="N1867" s="19" t="n"/>
      <c r="O1867" s="19" t="n"/>
      <c r="P1867" s="19" t="n"/>
      <c r="Q1867" s="19" t="n"/>
      <c r="R1867" s="19" t="n"/>
      <c r="S1867" s="19" t="n"/>
      <c r="T1867" s="19" t="n"/>
      <c r="U1867" s="19" t="n"/>
      <c r="V1867" s="19" t="n"/>
      <c r="W1867" s="19" t="n"/>
      <c r="X1867" s="19" t="n"/>
      <c r="Y1867" s="19" t="n">
        <v>1</v>
      </c>
      <c r="Z1867" s="13">
        <f>SUMPRODUCT(N1867:Y1867,$N$2:$Y$2)*$K1867*$L1867*$M1867</f>
        <v/>
      </c>
      <c r="AA1867" s="14">
        <f>SUM(N1867:Y1867)</f>
        <v/>
      </c>
      <c r="AB1867" s="13">
        <f>SUMPRODUCT(N1867:Y1867,$N$3:$Y$3)*$K1867*$L1867*$M1867</f>
        <v/>
      </c>
      <c r="AC1867" s="13">
        <f>SUMPRODUCT(N1867:Y1867,$N$4:$Y$4)*$K1867*$L1867*$M1867</f>
        <v/>
      </c>
      <c r="AD1867" s="15" t="n">
        <v>3</v>
      </c>
      <c r="AE1867" s="11" t="n">
        <v>1.011296296296296</v>
      </c>
      <c r="AF1867" s="16">
        <f>SUMPRODUCT(N1867:Y1867,$N$5:$Y$5)*$K1867*$L1867*$M1867</f>
        <v/>
      </c>
      <c r="AG1867" s="16">
        <f>SUMPRODUCT(N1867:Y1867,$N$6:$Y$6)*$K1867*$L1867*$M1867</f>
        <v/>
      </c>
      <c r="AH1867" s="20" t="n"/>
    </row>
    <row r="1868">
      <c r="A1868" s="9" t="n">
        <v>834682</v>
      </c>
      <c r="B1868" s="9" t="inlineStr">
        <is>
          <t>Trey Seeley</t>
        </is>
      </c>
      <c r="C1868" s="9" t="inlineStr">
        <is>
          <t>SF</t>
        </is>
      </c>
      <c r="D1868" s="9" t="n">
        <v>25</v>
      </c>
      <c r="E1868" s="18" t="inlineStr">
        <is>
          <t>R</t>
        </is>
      </c>
      <c r="F1868" s="18" t="n"/>
      <c r="G1868" s="9" t="n">
        <v>20.812</v>
      </c>
      <c r="H1868" s="9" t="n">
        <v>20.812</v>
      </c>
      <c r="I1868" s="9" t="inlineStr">
        <is>
          <t>Depth (no MLB IP)</t>
        </is>
      </c>
      <c r="J1868" s="18" t="inlineStr">
        <is>
          <t>Opening Day</t>
        </is>
      </c>
      <c r="K1868" s="11">
        <f>IFERROR(INDEX(Roles!$B$17:$B$20,MATCH(J1868,Roles!$A$17:$A$20,0)),1)</f>
        <v/>
      </c>
      <c r="L1868" s="19" t="n">
        <v>1</v>
      </c>
      <c r="M1868" s="11" t="n">
        <v>1</v>
      </c>
      <c r="N1868" s="19" t="n"/>
      <c r="O1868" s="19" t="n"/>
      <c r="P1868" s="19" t="n"/>
      <c r="Q1868" s="19" t="n"/>
      <c r="R1868" s="19" t="n"/>
      <c r="S1868" s="19" t="n"/>
      <c r="T1868" s="19" t="n"/>
      <c r="U1868" s="19" t="n"/>
      <c r="V1868" s="19" t="n"/>
      <c r="W1868" s="19" t="n"/>
      <c r="X1868" s="19" t="n"/>
      <c r="Y1868" s="19" t="n">
        <v>1</v>
      </c>
      <c r="Z1868" s="13">
        <f>SUMPRODUCT(N1868:Y1868,$N$2:$Y$2)*$K1868*$L1868*$M1868</f>
        <v/>
      </c>
      <c r="AA1868" s="14">
        <f>SUM(N1868:Y1868)</f>
        <v/>
      </c>
      <c r="AB1868" s="13">
        <f>SUMPRODUCT(N1868:Y1868,$N$3:$Y$3)*$K1868*$L1868*$M1868</f>
        <v/>
      </c>
      <c r="AC1868" s="13">
        <f>SUMPRODUCT(N1868:Y1868,$N$4:$Y$4)*$K1868*$L1868*$M1868</f>
        <v/>
      </c>
      <c r="AD1868" s="15" t="n">
        <v>3</v>
      </c>
      <c r="AE1868" s="11" t="n">
        <v>1.011296296296296</v>
      </c>
      <c r="AF1868" s="16">
        <f>SUMPRODUCT(N1868:Y1868,$N$5:$Y$5)*$K1868*$L1868*$M1868</f>
        <v/>
      </c>
      <c r="AG1868" s="16">
        <f>SUMPRODUCT(N1868:Y1868,$N$6:$Y$6)*$K1868*$L1868*$M1868</f>
        <v/>
      </c>
      <c r="AH1868" s="20" t="n"/>
    </row>
    <row r="1869">
      <c r="A1869" s="9" t="n">
        <v>824044</v>
      </c>
      <c r="B1869" s="9" t="inlineStr">
        <is>
          <t>Kade Brown</t>
        </is>
      </c>
      <c r="C1869" s="9" t="inlineStr">
        <is>
          <t>OAK</t>
        </is>
      </c>
      <c r="D1869" s="9" t="n">
        <v>25</v>
      </c>
      <c r="E1869" s="18" t="inlineStr">
        <is>
          <t>R</t>
        </is>
      </c>
      <c r="F1869" s="18" t="n"/>
      <c r="G1869" s="9" t="n">
        <v>20.984</v>
      </c>
      <c r="H1869" s="9" t="n">
        <v>20.984</v>
      </c>
      <c r="I1869" s="9" t="inlineStr">
        <is>
          <t>Depth (no MLB IP)</t>
        </is>
      </c>
      <c r="J1869" s="18" t="inlineStr">
        <is>
          <t>Opening Day</t>
        </is>
      </c>
      <c r="K1869" s="11">
        <f>IFERROR(INDEX(Roles!$B$17:$B$20,MATCH(J1869,Roles!$A$17:$A$20,0)),1)</f>
        <v/>
      </c>
      <c r="L1869" s="19" t="n">
        <v>1</v>
      </c>
      <c r="M1869" s="11" t="n">
        <v>1</v>
      </c>
      <c r="N1869" s="19" t="n"/>
      <c r="O1869" s="19" t="n"/>
      <c r="P1869" s="19" t="n"/>
      <c r="Q1869" s="19" t="n"/>
      <c r="R1869" s="19" t="n"/>
      <c r="S1869" s="19" t="n"/>
      <c r="T1869" s="19" t="n"/>
      <c r="U1869" s="19" t="n"/>
      <c r="V1869" s="19" t="n"/>
      <c r="W1869" s="19" t="n"/>
      <c r="X1869" s="19" t="n"/>
      <c r="Y1869" s="19" t="n">
        <v>1</v>
      </c>
      <c r="Z1869" s="13">
        <f>SUMPRODUCT(N1869:Y1869,$N$2:$Y$2)*$K1869*$L1869*$M1869</f>
        <v/>
      </c>
      <c r="AA1869" s="14">
        <f>SUM(N1869:Y1869)</f>
        <v/>
      </c>
      <c r="AB1869" s="13">
        <f>SUMPRODUCT(N1869:Y1869,$N$3:$Y$3)*$K1869*$L1869*$M1869</f>
        <v/>
      </c>
      <c r="AC1869" s="13">
        <f>SUMPRODUCT(N1869:Y1869,$N$4:$Y$4)*$K1869*$L1869*$M1869</f>
        <v/>
      </c>
      <c r="AD1869" s="15" t="n">
        <v>3</v>
      </c>
      <c r="AE1869" s="11" t="n">
        <v>1.011296296296296</v>
      </c>
      <c r="AF1869" s="16">
        <f>SUMPRODUCT(N1869:Y1869,$N$5:$Y$5)*$K1869*$L1869*$M1869</f>
        <v/>
      </c>
      <c r="AG1869" s="16">
        <f>SUMPRODUCT(N1869:Y1869,$N$6:$Y$6)*$K1869*$L1869*$M1869</f>
        <v/>
      </c>
      <c r="AH1869" s="20" t="n"/>
    </row>
    <row r="1870">
      <c r="A1870" s="9" t="n">
        <v>692176</v>
      </c>
      <c r="B1870" s="9" t="inlineStr">
        <is>
          <t>Noah Takacs</t>
        </is>
      </c>
      <c r="C1870" s="9" t="inlineStr">
        <is>
          <t>PIT</t>
        </is>
      </c>
      <c r="D1870" s="9" t="n">
        <v>25</v>
      </c>
      <c r="E1870" s="18" t="inlineStr">
        <is>
          <t>R</t>
        </is>
      </c>
      <c r="F1870" s="18" t="n"/>
      <c r="G1870" s="9" t="n">
        <v>20.984</v>
      </c>
      <c r="H1870" s="9" t="n">
        <v>20.984</v>
      </c>
      <c r="I1870" s="9" t="inlineStr">
        <is>
          <t>Depth (no MLB IP)</t>
        </is>
      </c>
      <c r="J1870" s="18" t="inlineStr">
        <is>
          <t>Opening Day</t>
        </is>
      </c>
      <c r="K1870" s="11">
        <f>IFERROR(INDEX(Roles!$B$17:$B$20,MATCH(J1870,Roles!$A$17:$A$20,0)),1)</f>
        <v/>
      </c>
      <c r="L1870" s="19" t="n">
        <v>1</v>
      </c>
      <c r="M1870" s="11" t="n">
        <v>1</v>
      </c>
      <c r="N1870" s="19" t="n"/>
      <c r="O1870" s="19" t="n"/>
      <c r="P1870" s="19" t="n"/>
      <c r="Q1870" s="19" t="n"/>
      <c r="R1870" s="19" t="n"/>
      <c r="S1870" s="19" t="n"/>
      <c r="T1870" s="19" t="n"/>
      <c r="U1870" s="19" t="n"/>
      <c r="V1870" s="19" t="n"/>
      <c r="W1870" s="19" t="n"/>
      <c r="X1870" s="19" t="n"/>
      <c r="Y1870" s="19" t="n">
        <v>1</v>
      </c>
      <c r="Z1870" s="13">
        <f>SUMPRODUCT(N1870:Y1870,$N$2:$Y$2)*$K1870*$L1870*$M1870</f>
        <v/>
      </c>
      <c r="AA1870" s="14">
        <f>SUM(N1870:Y1870)</f>
        <v/>
      </c>
      <c r="AB1870" s="13">
        <f>SUMPRODUCT(N1870:Y1870,$N$3:$Y$3)*$K1870*$L1870*$M1870</f>
        <v/>
      </c>
      <c r="AC1870" s="13">
        <f>SUMPRODUCT(N1870:Y1870,$N$4:$Y$4)*$K1870*$L1870*$M1870</f>
        <v/>
      </c>
      <c r="AD1870" s="15" t="n">
        <v>3</v>
      </c>
      <c r="AE1870" s="11" t="n">
        <v>1.011296296296296</v>
      </c>
      <c r="AF1870" s="16">
        <f>SUMPRODUCT(N1870:Y1870,$N$5:$Y$5)*$K1870*$L1870*$M1870</f>
        <v/>
      </c>
      <c r="AG1870" s="16">
        <f>SUMPRODUCT(N1870:Y1870,$N$6:$Y$6)*$K1870*$L1870*$M1870</f>
        <v/>
      </c>
      <c r="AH1870" s="20" t="n"/>
    </row>
    <row r="1871">
      <c r="A1871" s="9" t="n">
        <v>702254</v>
      </c>
      <c r="B1871" s="9" t="inlineStr">
        <is>
          <t>Andrew Dutkanych IV</t>
        </is>
      </c>
      <c r="C1871" s="9" t="inlineStr">
        <is>
          <t>STL</t>
        </is>
      </c>
      <c r="D1871" s="9" t="n">
        <v>25</v>
      </c>
      <c r="E1871" s="18" t="inlineStr">
        <is>
          <t>R</t>
        </is>
      </c>
      <c r="F1871" s="18" t="n"/>
      <c r="G1871" s="9" t="n">
        <v>20.984</v>
      </c>
      <c r="H1871" s="9" t="n">
        <v>20.984</v>
      </c>
      <c r="I1871" s="9" t="inlineStr">
        <is>
          <t>Depth (no MLB IP)</t>
        </is>
      </c>
      <c r="J1871" s="18" t="inlineStr">
        <is>
          <t>Opening Day</t>
        </is>
      </c>
      <c r="K1871" s="11">
        <f>IFERROR(INDEX(Roles!$B$17:$B$20,MATCH(J1871,Roles!$A$17:$A$20,0)),1)</f>
        <v/>
      </c>
      <c r="L1871" s="19" t="n">
        <v>1</v>
      </c>
      <c r="M1871" s="11" t="n">
        <v>1</v>
      </c>
      <c r="N1871" s="19" t="n"/>
      <c r="O1871" s="19" t="n"/>
      <c r="P1871" s="19" t="n"/>
      <c r="Q1871" s="19" t="n"/>
      <c r="R1871" s="19" t="n"/>
      <c r="S1871" s="19" t="n"/>
      <c r="T1871" s="19" t="n"/>
      <c r="U1871" s="19" t="n"/>
      <c r="V1871" s="19" t="n"/>
      <c r="W1871" s="19" t="n"/>
      <c r="X1871" s="19" t="n"/>
      <c r="Y1871" s="19" t="n">
        <v>1</v>
      </c>
      <c r="Z1871" s="13">
        <f>SUMPRODUCT(N1871:Y1871,$N$2:$Y$2)*$K1871*$L1871*$M1871</f>
        <v/>
      </c>
      <c r="AA1871" s="14">
        <f>SUM(N1871:Y1871)</f>
        <v/>
      </c>
      <c r="AB1871" s="13">
        <f>SUMPRODUCT(N1871:Y1871,$N$3:$Y$3)*$K1871*$L1871*$M1871</f>
        <v/>
      </c>
      <c r="AC1871" s="13">
        <f>SUMPRODUCT(N1871:Y1871,$N$4:$Y$4)*$K1871*$L1871*$M1871</f>
        <v/>
      </c>
      <c r="AD1871" s="15" t="n">
        <v>3</v>
      </c>
      <c r="AE1871" s="11" t="n">
        <v>1.011296296296296</v>
      </c>
      <c r="AF1871" s="16">
        <f>SUMPRODUCT(N1871:Y1871,$N$5:$Y$5)*$K1871*$L1871*$M1871</f>
        <v/>
      </c>
      <c r="AG1871" s="16">
        <f>SUMPRODUCT(N1871:Y1871,$N$6:$Y$6)*$K1871*$L1871*$M1871</f>
        <v/>
      </c>
      <c r="AH1871" s="20" t="n"/>
    </row>
    <row r="1872">
      <c r="A1872" s="9" t="n">
        <v>607455</v>
      </c>
      <c r="B1872" s="9" t="inlineStr">
        <is>
          <t>Anthony Banda</t>
        </is>
      </c>
      <c r="C1872" s="9" t="inlineStr">
        <is>
          <t>MIN</t>
        </is>
      </c>
      <c r="D1872" s="9" t="n">
        <v>33</v>
      </c>
      <c r="E1872" s="18" t="inlineStr">
        <is>
          <t>L</t>
        </is>
      </c>
      <c r="F1872" s="18" t="n"/>
      <c r="G1872" s="9" t="n">
        <v>156</v>
      </c>
      <c r="H1872" s="9" t="n">
        <v>803</v>
      </c>
      <c r="I1872" s="9" t="inlineStr">
        <is>
          <t>Bullpen Depth Arm</t>
        </is>
      </c>
      <c r="J1872" s="18" t="inlineStr">
        <is>
          <t>Opening Day</t>
        </is>
      </c>
      <c r="K1872" s="11">
        <f>IFERROR(INDEX(Roles!$B$17:$B$20,MATCH(J1872,Roles!$A$17:$A$20,0)),1)</f>
        <v/>
      </c>
      <c r="L1872" s="19" t="n">
        <v>1</v>
      </c>
      <c r="M1872" s="11" t="n">
        <v>1</v>
      </c>
      <c r="N1872" s="19" t="n"/>
      <c r="O1872" s="19" t="n"/>
      <c r="P1872" s="19" t="n"/>
      <c r="Q1872" s="19" t="n"/>
      <c r="R1872" s="19" t="n"/>
      <c r="S1872" s="19" t="n"/>
      <c r="T1872" s="19" t="n"/>
      <c r="U1872" s="19" t="n"/>
      <c r="V1872" s="19" t="n">
        <v>0.15</v>
      </c>
      <c r="W1872" s="19" t="n">
        <v>0.85</v>
      </c>
      <c r="X1872" s="19" t="n"/>
      <c r="Y1872" s="19" t="n"/>
      <c r="Z1872" s="13">
        <f>SUMPRODUCT(N1872:Y1872,$N$2:$Y$2)*$K1872*$L1872*$M1872</f>
        <v/>
      </c>
      <c r="AA1872" s="14">
        <f>SUM(N1872:Y1872)</f>
        <v/>
      </c>
      <c r="AB1872" s="13">
        <f>SUMPRODUCT(N1872:Y1872,$N$3:$Y$3)*$K1872*$L1872*$M1872</f>
        <v/>
      </c>
      <c r="AC1872" s="13">
        <f>SUMPRODUCT(N1872:Y1872,$N$4:$Y$4)*$K1872*$L1872*$M1872</f>
        <v/>
      </c>
      <c r="AD1872" s="15" t="n">
        <v>36.36666666666667</v>
      </c>
      <c r="AE1872" s="11" t="n">
        <v>1.108419910808619</v>
      </c>
      <c r="AF1872" s="16">
        <f>SUMPRODUCT(N1872:Y1872,$N$5:$Y$5)*$K1872*$L1872*$M1872</f>
        <v/>
      </c>
      <c r="AG1872" s="16">
        <f>SUMPRODUCT(N1872:Y1872,$N$6:$Y$6)*$K1872*$L1872*$M1872</f>
        <v/>
      </c>
      <c r="AH1872" s="20" t="n"/>
    </row>
    <row r="1873">
      <c r="A1873" s="9" t="n">
        <v>801205</v>
      </c>
      <c r="B1873" s="9" t="inlineStr">
        <is>
          <t>Jackson Brockett</t>
        </is>
      </c>
      <c r="C1873" s="9" t="inlineStr">
        <is>
          <t>CHC</t>
        </is>
      </c>
      <c r="D1873" s="9" t="n">
        <v>25</v>
      </c>
      <c r="E1873" s="18" t="inlineStr">
        <is>
          <t>L</t>
        </is>
      </c>
      <c r="F1873" s="18" t="n"/>
      <c r="G1873" s="9" t="n">
        <v>21.07</v>
      </c>
      <c r="H1873" s="9" t="n">
        <v>21.07</v>
      </c>
      <c r="I1873" s="9" t="inlineStr">
        <is>
          <t>Depth (no MLB IP)</t>
        </is>
      </c>
      <c r="J1873" s="18" t="inlineStr">
        <is>
          <t>Opening Day</t>
        </is>
      </c>
      <c r="K1873" s="11">
        <f>IFERROR(INDEX(Roles!$B$17:$B$20,MATCH(J1873,Roles!$A$17:$A$20,0)),1)</f>
        <v/>
      </c>
      <c r="L1873" s="19" t="n">
        <v>1</v>
      </c>
      <c r="M1873" s="11" t="n">
        <v>1</v>
      </c>
      <c r="N1873" s="19" t="n"/>
      <c r="O1873" s="19" t="n"/>
      <c r="P1873" s="19" t="n"/>
      <c r="Q1873" s="19" t="n"/>
      <c r="R1873" s="19" t="n"/>
      <c r="S1873" s="19" t="n"/>
      <c r="T1873" s="19" t="n"/>
      <c r="U1873" s="19" t="n"/>
      <c r="V1873" s="19" t="n"/>
      <c r="W1873" s="19" t="n"/>
      <c r="X1873" s="19" t="n"/>
      <c r="Y1873" s="19" t="n">
        <v>1</v>
      </c>
      <c r="Z1873" s="13">
        <f>SUMPRODUCT(N1873:Y1873,$N$2:$Y$2)*$K1873*$L1873*$M1873</f>
        <v/>
      </c>
      <c r="AA1873" s="14">
        <f>SUM(N1873:Y1873)</f>
        <v/>
      </c>
      <c r="AB1873" s="13">
        <f>SUMPRODUCT(N1873:Y1873,$N$3:$Y$3)*$K1873*$L1873*$M1873</f>
        <v/>
      </c>
      <c r="AC1873" s="13">
        <f>SUMPRODUCT(N1873:Y1873,$N$4:$Y$4)*$K1873*$L1873*$M1873</f>
        <v/>
      </c>
      <c r="AD1873" s="15" t="n">
        <v>3</v>
      </c>
      <c r="AE1873" s="11" t="n">
        <v>1.011296296296296</v>
      </c>
      <c r="AF1873" s="16">
        <f>SUMPRODUCT(N1873:Y1873,$N$5:$Y$5)*$K1873*$L1873*$M1873</f>
        <v/>
      </c>
      <c r="AG1873" s="16">
        <f>SUMPRODUCT(N1873:Y1873,$N$6:$Y$6)*$K1873*$L1873*$M1873</f>
        <v/>
      </c>
      <c r="AH1873" s="20" t="n"/>
    </row>
    <row r="1874">
      <c r="A1874" s="9" t="n">
        <v>694492</v>
      </c>
      <c r="B1874" s="9" t="inlineStr">
        <is>
          <t>Hayden Durke</t>
        </is>
      </c>
      <c r="C1874" s="9" t="inlineStr">
        <is>
          <t>ARI</t>
        </is>
      </c>
      <c r="D1874" s="9" t="n">
        <v>25</v>
      </c>
      <c r="E1874" s="18" t="inlineStr">
        <is>
          <t>R</t>
        </is>
      </c>
      <c r="F1874" s="18" t="n"/>
      <c r="G1874" s="9" t="n">
        <v>21.07</v>
      </c>
      <c r="H1874" s="9" t="n">
        <v>21.07</v>
      </c>
      <c r="I1874" s="9" t="inlineStr">
        <is>
          <t>Depth (no MLB IP)</t>
        </is>
      </c>
      <c r="J1874" s="18" t="inlineStr">
        <is>
          <t>Opening Day</t>
        </is>
      </c>
      <c r="K1874" s="11">
        <f>IFERROR(INDEX(Roles!$B$17:$B$20,MATCH(J1874,Roles!$A$17:$A$20,0)),1)</f>
        <v/>
      </c>
      <c r="L1874" s="19" t="n">
        <v>1</v>
      </c>
      <c r="M1874" s="11" t="n">
        <v>1</v>
      </c>
      <c r="N1874" s="19" t="n"/>
      <c r="O1874" s="19" t="n"/>
      <c r="P1874" s="19" t="n"/>
      <c r="Q1874" s="19" t="n"/>
      <c r="R1874" s="19" t="n"/>
      <c r="S1874" s="19" t="n"/>
      <c r="T1874" s="19" t="n"/>
      <c r="U1874" s="19" t="n"/>
      <c r="V1874" s="19" t="n"/>
      <c r="W1874" s="19" t="n"/>
      <c r="X1874" s="19" t="n"/>
      <c r="Y1874" s="19" t="n">
        <v>1</v>
      </c>
      <c r="Z1874" s="13">
        <f>SUMPRODUCT(N1874:Y1874,$N$2:$Y$2)*$K1874*$L1874*$M1874</f>
        <v/>
      </c>
      <c r="AA1874" s="14">
        <f>SUM(N1874:Y1874)</f>
        <v/>
      </c>
      <c r="AB1874" s="13">
        <f>SUMPRODUCT(N1874:Y1874,$N$3:$Y$3)*$K1874*$L1874*$M1874</f>
        <v/>
      </c>
      <c r="AC1874" s="13">
        <f>SUMPRODUCT(N1874:Y1874,$N$4:$Y$4)*$K1874*$L1874*$M1874</f>
        <v/>
      </c>
      <c r="AD1874" s="15" t="n">
        <v>3</v>
      </c>
      <c r="AE1874" s="11" t="n">
        <v>1.011296296296296</v>
      </c>
      <c r="AF1874" s="16">
        <f>SUMPRODUCT(N1874:Y1874,$N$5:$Y$5)*$K1874*$L1874*$M1874</f>
        <v/>
      </c>
      <c r="AG1874" s="16">
        <f>SUMPRODUCT(N1874:Y1874,$N$6:$Y$6)*$K1874*$L1874*$M1874</f>
        <v/>
      </c>
      <c r="AH1874" s="20" t="n"/>
    </row>
    <row r="1875">
      <c r="A1875" s="9" t="n">
        <v>814230</v>
      </c>
      <c r="B1875" s="9" t="inlineStr">
        <is>
          <t>Styven Paez</t>
        </is>
      </c>
      <c r="C1875" s="9" t="inlineStr">
        <is>
          <t>ATL</t>
        </is>
      </c>
      <c r="D1875" s="9" t="n">
        <v>25</v>
      </c>
      <c r="E1875" s="18" t="inlineStr">
        <is>
          <t>R</t>
        </is>
      </c>
      <c r="F1875" s="18" t="n"/>
      <c r="G1875" s="9" t="n">
        <v>21.156</v>
      </c>
      <c r="H1875" s="9" t="n">
        <v>21.156</v>
      </c>
      <c r="I1875" s="9" t="inlineStr">
        <is>
          <t>Depth (no MLB IP)</t>
        </is>
      </c>
      <c r="J1875" s="18" t="inlineStr">
        <is>
          <t>Opening Day</t>
        </is>
      </c>
      <c r="K1875" s="11">
        <f>IFERROR(INDEX(Roles!$B$17:$B$20,MATCH(J1875,Roles!$A$17:$A$20,0)),1)</f>
        <v/>
      </c>
      <c r="L1875" s="19" t="n">
        <v>1</v>
      </c>
      <c r="M1875" s="11" t="n">
        <v>1</v>
      </c>
      <c r="N1875" s="19" t="n"/>
      <c r="O1875" s="19" t="n"/>
      <c r="P1875" s="19" t="n"/>
      <c r="Q1875" s="19" t="n"/>
      <c r="R1875" s="19" t="n"/>
      <c r="S1875" s="19" t="n"/>
      <c r="T1875" s="19" t="n"/>
      <c r="U1875" s="19" t="n"/>
      <c r="V1875" s="19" t="n"/>
      <c r="W1875" s="19" t="n"/>
      <c r="X1875" s="19" t="n"/>
      <c r="Y1875" s="19" t="n">
        <v>1</v>
      </c>
      <c r="Z1875" s="13">
        <f>SUMPRODUCT(N1875:Y1875,$N$2:$Y$2)*$K1875*$L1875*$M1875</f>
        <v/>
      </c>
      <c r="AA1875" s="14">
        <f>SUM(N1875:Y1875)</f>
        <v/>
      </c>
      <c r="AB1875" s="13">
        <f>SUMPRODUCT(N1875:Y1875,$N$3:$Y$3)*$K1875*$L1875*$M1875</f>
        <v/>
      </c>
      <c r="AC1875" s="13">
        <f>SUMPRODUCT(N1875:Y1875,$N$4:$Y$4)*$K1875*$L1875*$M1875</f>
        <v/>
      </c>
      <c r="AD1875" s="15" t="n">
        <v>3</v>
      </c>
      <c r="AE1875" s="11" t="n">
        <v>1.011296296296296</v>
      </c>
      <c r="AF1875" s="16">
        <f>SUMPRODUCT(N1875:Y1875,$N$5:$Y$5)*$K1875*$L1875*$M1875</f>
        <v/>
      </c>
      <c r="AG1875" s="16">
        <f>SUMPRODUCT(N1875:Y1875,$N$6:$Y$6)*$K1875*$L1875*$M1875</f>
        <v/>
      </c>
      <c r="AH1875" s="20" t="n"/>
    </row>
    <row r="1876">
      <c r="A1876" s="9" t="n">
        <v>806684</v>
      </c>
      <c r="B1876" s="9" t="inlineStr">
        <is>
          <t>Lluveres Severino</t>
        </is>
      </c>
      <c r="C1876" s="9" t="inlineStr">
        <is>
          <t>TOR</t>
        </is>
      </c>
      <c r="D1876" s="9" t="n">
        <v>25</v>
      </c>
      <c r="E1876" s="18" t="inlineStr">
        <is>
          <t>R</t>
        </is>
      </c>
      <c r="F1876" s="18" t="n"/>
      <c r="G1876" s="9" t="n">
        <v>21.156</v>
      </c>
      <c r="H1876" s="9" t="n">
        <v>21.156</v>
      </c>
      <c r="I1876" s="9" t="inlineStr">
        <is>
          <t>Depth (no MLB IP)</t>
        </is>
      </c>
      <c r="J1876" s="18" t="inlineStr">
        <is>
          <t>Opening Day</t>
        </is>
      </c>
      <c r="K1876" s="11">
        <f>IFERROR(INDEX(Roles!$B$17:$B$20,MATCH(J1876,Roles!$A$17:$A$20,0)),1)</f>
        <v/>
      </c>
      <c r="L1876" s="19" t="n">
        <v>1</v>
      </c>
      <c r="M1876" s="11" t="n">
        <v>1</v>
      </c>
      <c r="N1876" s="19" t="n"/>
      <c r="O1876" s="19" t="n"/>
      <c r="P1876" s="19" t="n"/>
      <c r="Q1876" s="19" t="n"/>
      <c r="R1876" s="19" t="n"/>
      <c r="S1876" s="19" t="n"/>
      <c r="T1876" s="19" t="n"/>
      <c r="U1876" s="19" t="n"/>
      <c r="V1876" s="19" t="n"/>
      <c r="W1876" s="19" t="n"/>
      <c r="X1876" s="19" t="n"/>
      <c r="Y1876" s="19" t="n">
        <v>1</v>
      </c>
      <c r="Z1876" s="13">
        <f>SUMPRODUCT(N1876:Y1876,$N$2:$Y$2)*$K1876*$L1876*$M1876</f>
        <v/>
      </c>
      <c r="AA1876" s="14">
        <f>SUM(N1876:Y1876)</f>
        <v/>
      </c>
      <c r="AB1876" s="13">
        <f>SUMPRODUCT(N1876:Y1876,$N$3:$Y$3)*$K1876*$L1876*$M1876</f>
        <v/>
      </c>
      <c r="AC1876" s="13">
        <f>SUMPRODUCT(N1876:Y1876,$N$4:$Y$4)*$K1876*$L1876*$M1876</f>
        <v/>
      </c>
      <c r="AD1876" s="15" t="n">
        <v>3</v>
      </c>
      <c r="AE1876" s="11" t="n">
        <v>1.011296296296296</v>
      </c>
      <c r="AF1876" s="16">
        <f>SUMPRODUCT(N1876:Y1876,$N$5:$Y$5)*$K1876*$L1876*$M1876</f>
        <v/>
      </c>
      <c r="AG1876" s="16">
        <f>SUMPRODUCT(N1876:Y1876,$N$6:$Y$6)*$K1876*$L1876*$M1876</f>
        <v/>
      </c>
      <c r="AH1876" s="20" t="n"/>
    </row>
    <row r="1877">
      <c r="A1877" s="9" t="n">
        <v>811139</v>
      </c>
      <c r="B1877" s="9" t="inlineStr">
        <is>
          <t>Sandro Santana</t>
        </is>
      </c>
      <c r="C1877" s="9" t="inlineStr">
        <is>
          <t>STL</t>
        </is>
      </c>
      <c r="D1877" s="9" t="n">
        <v>25</v>
      </c>
      <c r="E1877" s="18" t="inlineStr">
        <is>
          <t>L</t>
        </is>
      </c>
      <c r="F1877" s="18" t="n"/>
      <c r="G1877" s="9" t="n">
        <v>21.285</v>
      </c>
      <c r="H1877" s="9" t="n">
        <v>21.285</v>
      </c>
      <c r="I1877" s="9" t="inlineStr">
        <is>
          <t>Depth (no MLB IP)</t>
        </is>
      </c>
      <c r="J1877" s="18" t="inlineStr">
        <is>
          <t>Opening Day</t>
        </is>
      </c>
      <c r="K1877" s="11">
        <f>IFERROR(INDEX(Roles!$B$17:$B$20,MATCH(J1877,Roles!$A$17:$A$20,0)),1)</f>
        <v/>
      </c>
      <c r="L1877" s="19" t="n">
        <v>1</v>
      </c>
      <c r="M1877" s="11" t="n">
        <v>1</v>
      </c>
      <c r="N1877" s="19" t="n"/>
      <c r="O1877" s="19" t="n"/>
      <c r="P1877" s="19" t="n"/>
      <c r="Q1877" s="19" t="n"/>
      <c r="R1877" s="19" t="n"/>
      <c r="S1877" s="19" t="n"/>
      <c r="T1877" s="19" t="n"/>
      <c r="U1877" s="19" t="n"/>
      <c r="V1877" s="19" t="n"/>
      <c r="W1877" s="19" t="n"/>
      <c r="X1877" s="19" t="n"/>
      <c r="Y1877" s="19" t="n">
        <v>1</v>
      </c>
      <c r="Z1877" s="13">
        <f>SUMPRODUCT(N1877:Y1877,$N$2:$Y$2)*$K1877*$L1877*$M1877</f>
        <v/>
      </c>
      <c r="AA1877" s="14">
        <f>SUM(N1877:Y1877)</f>
        <v/>
      </c>
      <c r="AB1877" s="13">
        <f>SUMPRODUCT(N1877:Y1877,$N$3:$Y$3)*$K1877*$L1877*$M1877</f>
        <v/>
      </c>
      <c r="AC1877" s="13">
        <f>SUMPRODUCT(N1877:Y1877,$N$4:$Y$4)*$K1877*$L1877*$M1877</f>
        <v/>
      </c>
      <c r="AD1877" s="15" t="n">
        <v>3</v>
      </c>
      <c r="AE1877" s="11" t="n">
        <v>1.011296296296296</v>
      </c>
      <c r="AF1877" s="16">
        <f>SUMPRODUCT(N1877:Y1877,$N$5:$Y$5)*$K1877*$L1877*$M1877</f>
        <v/>
      </c>
      <c r="AG1877" s="16">
        <f>SUMPRODUCT(N1877:Y1877,$N$6:$Y$6)*$K1877*$L1877*$M1877</f>
        <v/>
      </c>
      <c r="AH1877" s="20" t="n"/>
    </row>
    <row r="1878">
      <c r="A1878" s="9" t="n">
        <v>680588</v>
      </c>
      <c r="B1878" s="9" t="inlineStr">
        <is>
          <t>Julio Rodriguez</t>
        </is>
      </c>
      <c r="C1878" s="9" t="inlineStr">
        <is>
          <t>HOU</t>
        </is>
      </c>
      <c r="D1878" s="9" t="n">
        <v>25</v>
      </c>
      <c r="E1878" s="18" t="inlineStr">
        <is>
          <t>R</t>
        </is>
      </c>
      <c r="F1878" s="18" t="n"/>
      <c r="G1878" s="9" t="n">
        <v>21.285</v>
      </c>
      <c r="H1878" s="9" t="n">
        <v>21.285</v>
      </c>
      <c r="I1878" s="9" t="inlineStr">
        <is>
          <t>Depth (no MLB IP)</t>
        </is>
      </c>
      <c r="J1878" s="18" t="inlineStr">
        <is>
          <t>Opening Day</t>
        </is>
      </c>
      <c r="K1878" s="11">
        <f>IFERROR(INDEX(Roles!$B$17:$B$20,MATCH(J1878,Roles!$A$17:$A$20,0)),1)</f>
        <v/>
      </c>
      <c r="L1878" s="19" t="n">
        <v>1</v>
      </c>
      <c r="M1878" s="11" t="n">
        <v>1</v>
      </c>
      <c r="N1878" s="19" t="n"/>
      <c r="O1878" s="19" t="n"/>
      <c r="P1878" s="19" t="n"/>
      <c r="Q1878" s="19" t="n"/>
      <c r="R1878" s="19" t="n"/>
      <c r="S1878" s="19" t="n"/>
      <c r="T1878" s="19" t="n"/>
      <c r="U1878" s="19" t="n"/>
      <c r="V1878" s="19" t="n"/>
      <c r="W1878" s="19" t="n"/>
      <c r="X1878" s="19" t="n"/>
      <c r="Y1878" s="19" t="n">
        <v>1</v>
      </c>
      <c r="Z1878" s="13">
        <f>SUMPRODUCT(N1878:Y1878,$N$2:$Y$2)*$K1878*$L1878*$M1878</f>
        <v/>
      </c>
      <c r="AA1878" s="14">
        <f>SUM(N1878:Y1878)</f>
        <v/>
      </c>
      <c r="AB1878" s="13">
        <f>SUMPRODUCT(N1878:Y1878,$N$3:$Y$3)*$K1878*$L1878*$M1878</f>
        <v/>
      </c>
      <c r="AC1878" s="13">
        <f>SUMPRODUCT(N1878:Y1878,$N$4:$Y$4)*$K1878*$L1878*$M1878</f>
        <v/>
      </c>
      <c r="AD1878" s="15" t="n">
        <v>3</v>
      </c>
      <c r="AE1878" s="11" t="n">
        <v>1.011296296296296</v>
      </c>
      <c r="AF1878" s="16">
        <f>SUMPRODUCT(N1878:Y1878,$N$5:$Y$5)*$K1878*$L1878*$M1878</f>
        <v/>
      </c>
      <c r="AG1878" s="16">
        <f>SUMPRODUCT(N1878:Y1878,$N$6:$Y$6)*$K1878*$L1878*$M1878</f>
        <v/>
      </c>
      <c r="AH1878" s="20" t="n"/>
    </row>
    <row r="1879">
      <c r="A1879" s="9" t="n">
        <v>804940</v>
      </c>
      <c r="B1879" s="9" t="inlineStr">
        <is>
          <t>Nelson Keljo</t>
        </is>
      </c>
      <c r="C1879" s="9" t="inlineStr">
        <is>
          <t>CLE</t>
        </is>
      </c>
      <c r="D1879" s="9" t="n">
        <v>25</v>
      </c>
      <c r="E1879" s="18" t="inlineStr">
        <is>
          <t>L</t>
        </is>
      </c>
      <c r="F1879" s="18" t="n"/>
      <c r="G1879" s="9" t="n">
        <v>21.21333333333333</v>
      </c>
      <c r="H1879" s="9" t="n">
        <v>21.21333333333333</v>
      </c>
      <c r="I1879" s="9" t="inlineStr">
        <is>
          <t>Depth (no MLB IP)</t>
        </is>
      </c>
      <c r="J1879" s="18" t="inlineStr">
        <is>
          <t>Opening Day</t>
        </is>
      </c>
      <c r="K1879" s="11">
        <f>IFERROR(INDEX(Roles!$B$17:$B$20,MATCH(J1879,Roles!$A$17:$A$20,0)),1)</f>
        <v/>
      </c>
      <c r="L1879" s="19" t="n">
        <v>1</v>
      </c>
      <c r="M1879" s="11" t="n">
        <v>1</v>
      </c>
      <c r="N1879" s="19" t="n"/>
      <c r="O1879" s="19" t="n"/>
      <c r="P1879" s="19" t="n"/>
      <c r="Q1879" s="19" t="n"/>
      <c r="R1879" s="19" t="n"/>
      <c r="S1879" s="19" t="n"/>
      <c r="T1879" s="19" t="n"/>
      <c r="U1879" s="19" t="n"/>
      <c r="V1879" s="19" t="n"/>
      <c r="W1879" s="19" t="n"/>
      <c r="X1879" s="19" t="n"/>
      <c r="Y1879" s="19" t="n">
        <v>1</v>
      </c>
      <c r="Z1879" s="13">
        <f>SUMPRODUCT(N1879:Y1879,$N$2:$Y$2)*$K1879*$L1879*$M1879</f>
        <v/>
      </c>
      <c r="AA1879" s="14">
        <f>SUM(N1879:Y1879)</f>
        <v/>
      </c>
      <c r="AB1879" s="13">
        <f>SUMPRODUCT(N1879:Y1879,$N$3:$Y$3)*$K1879*$L1879*$M1879</f>
        <v/>
      </c>
      <c r="AC1879" s="13">
        <f>SUMPRODUCT(N1879:Y1879,$N$4:$Y$4)*$K1879*$L1879*$M1879</f>
        <v/>
      </c>
      <c r="AD1879" s="15" t="n">
        <v>3</v>
      </c>
      <c r="AE1879" s="11" t="n">
        <v>1.011296296296296</v>
      </c>
      <c r="AF1879" s="16">
        <f>SUMPRODUCT(N1879:Y1879,$N$5:$Y$5)*$K1879*$L1879*$M1879</f>
        <v/>
      </c>
      <c r="AG1879" s="16">
        <f>SUMPRODUCT(N1879:Y1879,$N$6:$Y$6)*$K1879*$L1879*$M1879</f>
        <v/>
      </c>
      <c r="AH1879" s="20" t="n"/>
    </row>
    <row r="1880">
      <c r="A1880" s="9" t="n">
        <v>801858</v>
      </c>
      <c r="B1880" s="9" t="inlineStr">
        <is>
          <t>Trey Cooper</t>
        </is>
      </c>
      <c r="C1880" s="9" t="inlineStr">
        <is>
          <t>CWS</t>
        </is>
      </c>
      <c r="D1880" s="9" t="n">
        <v>25</v>
      </c>
      <c r="E1880" s="18" t="inlineStr">
        <is>
          <t>L</t>
        </is>
      </c>
      <c r="F1880" s="18" t="n"/>
      <c r="G1880" s="9" t="n">
        <v>21.21333333333333</v>
      </c>
      <c r="H1880" s="9" t="n">
        <v>21.21333333333333</v>
      </c>
      <c r="I1880" s="9" t="inlineStr">
        <is>
          <t>Depth (no MLB IP)</t>
        </is>
      </c>
      <c r="J1880" s="18" t="inlineStr">
        <is>
          <t>Opening Day</t>
        </is>
      </c>
      <c r="K1880" s="11">
        <f>IFERROR(INDEX(Roles!$B$17:$B$20,MATCH(J1880,Roles!$A$17:$A$20,0)),1)</f>
        <v/>
      </c>
      <c r="L1880" s="19" t="n">
        <v>1</v>
      </c>
      <c r="M1880" s="11" t="n">
        <v>1</v>
      </c>
      <c r="N1880" s="19" t="n"/>
      <c r="O1880" s="19" t="n"/>
      <c r="P1880" s="19" t="n"/>
      <c r="Q1880" s="19" t="n"/>
      <c r="R1880" s="19" t="n"/>
      <c r="S1880" s="19" t="n"/>
      <c r="T1880" s="19" t="n"/>
      <c r="U1880" s="19" t="n"/>
      <c r="V1880" s="19" t="n"/>
      <c r="W1880" s="19" t="n"/>
      <c r="X1880" s="19" t="n"/>
      <c r="Y1880" s="19" t="n">
        <v>1</v>
      </c>
      <c r="Z1880" s="13">
        <f>SUMPRODUCT(N1880:Y1880,$N$2:$Y$2)*$K1880*$L1880*$M1880</f>
        <v/>
      </c>
      <c r="AA1880" s="14">
        <f>SUM(N1880:Y1880)</f>
        <v/>
      </c>
      <c r="AB1880" s="13">
        <f>SUMPRODUCT(N1880:Y1880,$N$3:$Y$3)*$K1880*$L1880*$M1880</f>
        <v/>
      </c>
      <c r="AC1880" s="13">
        <f>SUMPRODUCT(N1880:Y1880,$N$4:$Y$4)*$K1880*$L1880*$M1880</f>
        <v/>
      </c>
      <c r="AD1880" s="15" t="n">
        <v>3</v>
      </c>
      <c r="AE1880" s="11" t="n">
        <v>1.011296296296296</v>
      </c>
      <c r="AF1880" s="16">
        <f>SUMPRODUCT(N1880:Y1880,$N$5:$Y$5)*$K1880*$L1880*$M1880</f>
        <v/>
      </c>
      <c r="AG1880" s="16">
        <f>SUMPRODUCT(N1880:Y1880,$N$6:$Y$6)*$K1880*$L1880*$M1880</f>
        <v/>
      </c>
      <c r="AH1880" s="20" t="n"/>
    </row>
    <row r="1881">
      <c r="A1881" s="9" t="n">
        <v>608337</v>
      </c>
      <c r="B1881" s="9" t="inlineStr">
        <is>
          <t>Lucas Giolito</t>
        </is>
      </c>
      <c r="C1881" s="9" t="inlineStr">
        <is>
          <t>SD</t>
        </is>
      </c>
      <c r="D1881" s="9" t="n">
        <v>32</v>
      </c>
      <c r="E1881" s="18" t="inlineStr">
        <is>
          <t>R</t>
        </is>
      </c>
      <c r="F1881" s="18" t="n"/>
      <c r="G1881" s="9" t="n">
        <v>138</v>
      </c>
      <c r="H1881" s="9" t="n">
        <v>2243</v>
      </c>
      <c r="I1881" s="9" t="inlineStr">
        <is>
          <t>Swing Arm / Long Relief</t>
        </is>
      </c>
      <c r="J1881" s="18" t="inlineStr">
        <is>
          <t>Opening Day</t>
        </is>
      </c>
      <c r="K1881" s="11">
        <f>IFERROR(INDEX(Roles!$B$17:$B$20,MATCH(J1881,Roles!$A$17:$A$20,0)),1)</f>
        <v/>
      </c>
      <c r="L1881" s="19" t="n">
        <v>1</v>
      </c>
      <c r="M1881" s="11" t="n">
        <v>1</v>
      </c>
      <c r="N1881" s="19" t="n"/>
      <c r="O1881" s="19" t="n"/>
      <c r="P1881" s="19" t="n"/>
      <c r="Q1881" s="19" t="n"/>
      <c r="R1881" s="19" t="n">
        <v>0.5</v>
      </c>
      <c r="S1881" s="19" t="n"/>
      <c r="T1881" s="19" t="n"/>
      <c r="U1881" s="19" t="n"/>
      <c r="V1881" s="19" t="n">
        <v>0.5</v>
      </c>
      <c r="W1881" s="19" t="n"/>
      <c r="X1881" s="19" t="n"/>
      <c r="Y1881" s="19" t="n"/>
      <c r="Z1881" s="13">
        <f>SUMPRODUCT(N1881:Y1881,$N$2:$Y$2)*$K1881*$L1881*$M1881</f>
        <v/>
      </c>
      <c r="AA1881" s="14">
        <f>SUM(N1881:Y1881)</f>
        <v/>
      </c>
      <c r="AB1881" s="13">
        <f>SUMPRODUCT(N1881:Y1881,$N$3:$Y$3)*$K1881*$L1881*$M1881</f>
        <v/>
      </c>
      <c r="AC1881" s="13">
        <f>SUMPRODUCT(N1881:Y1881,$N$4:$Y$4)*$K1881*$L1881*$M1881</f>
        <v/>
      </c>
      <c r="AD1881" s="15" t="n">
        <v>16.89333333333333</v>
      </c>
      <c r="AE1881" s="11" t="n">
        <v>3.399081767597375</v>
      </c>
      <c r="AF1881" s="16">
        <f>SUMPRODUCT(N1881:Y1881,$N$5:$Y$5)*$K1881*$L1881*$M1881</f>
        <v/>
      </c>
      <c r="AG1881" s="16">
        <f>SUMPRODUCT(N1881:Y1881,$N$6:$Y$6)*$K1881*$L1881*$M1881</f>
        <v/>
      </c>
      <c r="AH1881" s="20" t="n"/>
    </row>
    <row r="1882">
      <c r="A1882" s="9" t="n">
        <v>703566</v>
      </c>
      <c r="B1882" s="9" t="inlineStr">
        <is>
          <t>Carson Messina</t>
        </is>
      </c>
      <c r="C1882" s="9" t="inlineStr">
        <is>
          <t>TOR</t>
        </is>
      </c>
      <c r="D1882" s="9" t="n">
        <v>25</v>
      </c>
      <c r="E1882" s="18" t="inlineStr">
        <is>
          <t>R</t>
        </is>
      </c>
      <c r="F1882" s="18" t="n"/>
      <c r="G1882" s="9" t="n">
        <v>21.328</v>
      </c>
      <c r="H1882" s="9" t="n">
        <v>21.328</v>
      </c>
      <c r="I1882" s="9" t="inlineStr">
        <is>
          <t>Depth (no MLB IP)</t>
        </is>
      </c>
      <c r="J1882" s="18" t="inlineStr">
        <is>
          <t>Opening Day</t>
        </is>
      </c>
      <c r="K1882" s="11">
        <f>IFERROR(INDEX(Roles!$B$17:$B$20,MATCH(J1882,Roles!$A$17:$A$20,0)),1)</f>
        <v/>
      </c>
      <c r="L1882" s="19" t="n">
        <v>1</v>
      </c>
      <c r="M1882" s="11" t="n">
        <v>1</v>
      </c>
      <c r="N1882" s="19" t="n"/>
      <c r="O1882" s="19" t="n"/>
      <c r="P1882" s="19" t="n"/>
      <c r="Q1882" s="19" t="n"/>
      <c r="R1882" s="19" t="n"/>
      <c r="S1882" s="19" t="n"/>
      <c r="T1882" s="19" t="n"/>
      <c r="U1882" s="19" t="n"/>
      <c r="V1882" s="19" t="n"/>
      <c r="W1882" s="19" t="n"/>
      <c r="X1882" s="19" t="n"/>
      <c r="Y1882" s="19" t="n">
        <v>1</v>
      </c>
      <c r="Z1882" s="13">
        <f>SUMPRODUCT(N1882:Y1882,$N$2:$Y$2)*$K1882*$L1882*$M1882</f>
        <v/>
      </c>
      <c r="AA1882" s="14">
        <f>SUM(N1882:Y1882)</f>
        <v/>
      </c>
      <c r="AB1882" s="13">
        <f>SUMPRODUCT(N1882:Y1882,$N$3:$Y$3)*$K1882*$L1882*$M1882</f>
        <v/>
      </c>
      <c r="AC1882" s="13">
        <f>SUMPRODUCT(N1882:Y1882,$N$4:$Y$4)*$K1882*$L1882*$M1882</f>
        <v/>
      </c>
      <c r="AD1882" s="15" t="n">
        <v>3</v>
      </c>
      <c r="AE1882" s="11" t="n">
        <v>1.011296296296296</v>
      </c>
      <c r="AF1882" s="16">
        <f>SUMPRODUCT(N1882:Y1882,$N$5:$Y$5)*$K1882*$L1882*$M1882</f>
        <v/>
      </c>
      <c r="AG1882" s="16">
        <f>SUMPRODUCT(N1882:Y1882,$N$6:$Y$6)*$K1882*$L1882*$M1882</f>
        <v/>
      </c>
      <c r="AH1882" s="20" t="n"/>
    </row>
    <row r="1883">
      <c r="A1883" s="9" t="n">
        <v>821061</v>
      </c>
      <c r="B1883" s="9" t="inlineStr">
        <is>
          <t>Irwin Ramirez</t>
        </is>
      </c>
      <c r="C1883" s="9" t="inlineStr">
        <is>
          <t>PIT</t>
        </is>
      </c>
      <c r="D1883" s="9" t="n">
        <v>25</v>
      </c>
      <c r="E1883" s="18" t="inlineStr">
        <is>
          <t>R</t>
        </is>
      </c>
      <c r="F1883" s="18" t="n"/>
      <c r="G1883" s="9" t="n">
        <v>21.328</v>
      </c>
      <c r="H1883" s="9" t="n">
        <v>21.328</v>
      </c>
      <c r="I1883" s="9" t="inlineStr">
        <is>
          <t>Depth (no MLB IP)</t>
        </is>
      </c>
      <c r="J1883" s="18" t="inlineStr">
        <is>
          <t>Opening Day</t>
        </is>
      </c>
      <c r="K1883" s="11">
        <f>IFERROR(INDEX(Roles!$B$17:$B$20,MATCH(J1883,Roles!$A$17:$A$20,0)),1)</f>
        <v/>
      </c>
      <c r="L1883" s="19" t="n">
        <v>1</v>
      </c>
      <c r="M1883" s="11" t="n">
        <v>1</v>
      </c>
      <c r="N1883" s="19" t="n"/>
      <c r="O1883" s="19" t="n"/>
      <c r="P1883" s="19" t="n"/>
      <c r="Q1883" s="19" t="n"/>
      <c r="R1883" s="19" t="n"/>
      <c r="S1883" s="19" t="n"/>
      <c r="T1883" s="19" t="n"/>
      <c r="U1883" s="19" t="n"/>
      <c r="V1883" s="19" t="n"/>
      <c r="W1883" s="19" t="n"/>
      <c r="X1883" s="19" t="n"/>
      <c r="Y1883" s="19" t="n">
        <v>1</v>
      </c>
      <c r="Z1883" s="13">
        <f>SUMPRODUCT(N1883:Y1883,$N$2:$Y$2)*$K1883*$L1883*$M1883</f>
        <v/>
      </c>
      <c r="AA1883" s="14">
        <f>SUM(N1883:Y1883)</f>
        <v/>
      </c>
      <c r="AB1883" s="13">
        <f>SUMPRODUCT(N1883:Y1883,$N$3:$Y$3)*$K1883*$L1883*$M1883</f>
        <v/>
      </c>
      <c r="AC1883" s="13">
        <f>SUMPRODUCT(N1883:Y1883,$N$4:$Y$4)*$K1883*$L1883*$M1883</f>
        <v/>
      </c>
      <c r="AD1883" s="15" t="n">
        <v>3</v>
      </c>
      <c r="AE1883" s="11" t="n">
        <v>1.011296296296296</v>
      </c>
      <c r="AF1883" s="16">
        <f>SUMPRODUCT(N1883:Y1883,$N$5:$Y$5)*$K1883*$L1883*$M1883</f>
        <v/>
      </c>
      <c r="AG1883" s="16">
        <f>SUMPRODUCT(N1883:Y1883,$N$6:$Y$6)*$K1883*$L1883*$M1883</f>
        <v/>
      </c>
      <c r="AH1883" s="20" t="n"/>
    </row>
    <row r="1884">
      <c r="A1884" s="9" t="n">
        <v>688354</v>
      </c>
      <c r="B1884" s="9" t="inlineStr">
        <is>
          <t>Hayden Minton</t>
        </is>
      </c>
      <c r="C1884" s="9" t="inlineStr">
        <is>
          <t>DET</t>
        </is>
      </c>
      <c r="D1884" s="9" t="n">
        <v>25</v>
      </c>
      <c r="E1884" s="18" t="inlineStr">
        <is>
          <t>R</t>
        </is>
      </c>
      <c r="F1884" s="18" t="n"/>
      <c r="G1884" s="9" t="n">
        <v>21.285</v>
      </c>
      <c r="H1884" s="9" t="n">
        <v>21.285</v>
      </c>
      <c r="I1884" s="9" t="inlineStr">
        <is>
          <t>Depth (no MLB IP)</t>
        </is>
      </c>
      <c r="J1884" s="18" t="inlineStr">
        <is>
          <t>Opening Day</t>
        </is>
      </c>
      <c r="K1884" s="11">
        <f>IFERROR(INDEX(Roles!$B$17:$B$20,MATCH(J1884,Roles!$A$17:$A$20,0)),1)</f>
        <v/>
      </c>
      <c r="L1884" s="19" t="n">
        <v>1</v>
      </c>
      <c r="M1884" s="11" t="n">
        <v>1</v>
      </c>
      <c r="N1884" s="19" t="n"/>
      <c r="O1884" s="19" t="n"/>
      <c r="P1884" s="19" t="n"/>
      <c r="Q1884" s="19" t="n"/>
      <c r="R1884" s="19" t="n"/>
      <c r="S1884" s="19" t="n"/>
      <c r="T1884" s="19" t="n"/>
      <c r="U1884" s="19" t="n"/>
      <c r="V1884" s="19" t="n"/>
      <c r="W1884" s="19" t="n"/>
      <c r="X1884" s="19" t="n"/>
      <c r="Y1884" s="19" t="n">
        <v>1</v>
      </c>
      <c r="Z1884" s="13">
        <f>SUMPRODUCT(N1884:Y1884,$N$2:$Y$2)*$K1884*$L1884*$M1884</f>
        <v/>
      </c>
      <c r="AA1884" s="14">
        <f>SUM(N1884:Y1884)</f>
        <v/>
      </c>
      <c r="AB1884" s="13">
        <f>SUMPRODUCT(N1884:Y1884,$N$3:$Y$3)*$K1884*$L1884*$M1884</f>
        <v/>
      </c>
      <c r="AC1884" s="13">
        <f>SUMPRODUCT(N1884:Y1884,$N$4:$Y$4)*$K1884*$L1884*$M1884</f>
        <v/>
      </c>
      <c r="AD1884" s="15" t="n">
        <v>3</v>
      </c>
      <c r="AE1884" s="11" t="n">
        <v>1.011296296296296</v>
      </c>
      <c r="AF1884" s="16">
        <f>SUMPRODUCT(N1884:Y1884,$N$5:$Y$5)*$K1884*$L1884*$M1884</f>
        <v/>
      </c>
      <c r="AG1884" s="16">
        <f>SUMPRODUCT(N1884:Y1884,$N$6:$Y$6)*$K1884*$L1884*$M1884</f>
        <v/>
      </c>
      <c r="AH1884" s="20" t="n"/>
    </row>
    <row r="1885">
      <c r="A1885" s="9" t="n">
        <v>808052</v>
      </c>
      <c r="B1885" s="9" t="inlineStr">
        <is>
          <t>Johan Moreno</t>
        </is>
      </c>
      <c r="C1885" s="9" t="inlineStr">
        <is>
          <t>SD</t>
        </is>
      </c>
      <c r="D1885" s="9" t="n">
        <v>25</v>
      </c>
      <c r="E1885" s="18" t="inlineStr">
        <is>
          <t>R</t>
        </is>
      </c>
      <c r="F1885" s="18" t="n"/>
      <c r="G1885" s="9" t="n">
        <v>21.285</v>
      </c>
      <c r="H1885" s="9" t="n">
        <v>21.285</v>
      </c>
      <c r="I1885" s="9" t="inlineStr">
        <is>
          <t>Depth (no MLB IP)</t>
        </is>
      </c>
      <c r="J1885" s="18" t="inlineStr">
        <is>
          <t>Opening Day</t>
        </is>
      </c>
      <c r="K1885" s="11">
        <f>IFERROR(INDEX(Roles!$B$17:$B$20,MATCH(J1885,Roles!$A$17:$A$20,0)),1)</f>
        <v/>
      </c>
      <c r="L1885" s="19" t="n">
        <v>1</v>
      </c>
      <c r="M1885" s="11" t="n">
        <v>1</v>
      </c>
      <c r="N1885" s="19" t="n"/>
      <c r="O1885" s="19" t="n"/>
      <c r="P1885" s="19" t="n"/>
      <c r="Q1885" s="19" t="n"/>
      <c r="R1885" s="19" t="n"/>
      <c r="S1885" s="19" t="n"/>
      <c r="T1885" s="19" t="n"/>
      <c r="U1885" s="19" t="n"/>
      <c r="V1885" s="19" t="n"/>
      <c r="W1885" s="19" t="n"/>
      <c r="X1885" s="19" t="n"/>
      <c r="Y1885" s="19" t="n">
        <v>1</v>
      </c>
      <c r="Z1885" s="13">
        <f>SUMPRODUCT(N1885:Y1885,$N$2:$Y$2)*$K1885*$L1885*$M1885</f>
        <v/>
      </c>
      <c r="AA1885" s="14">
        <f>SUM(N1885:Y1885)</f>
        <v/>
      </c>
      <c r="AB1885" s="13">
        <f>SUMPRODUCT(N1885:Y1885,$N$3:$Y$3)*$K1885*$L1885*$M1885</f>
        <v/>
      </c>
      <c r="AC1885" s="13">
        <f>SUMPRODUCT(N1885:Y1885,$N$4:$Y$4)*$K1885*$L1885*$M1885</f>
        <v/>
      </c>
      <c r="AD1885" s="15" t="n">
        <v>3</v>
      </c>
      <c r="AE1885" s="11" t="n">
        <v>1.011296296296296</v>
      </c>
      <c r="AF1885" s="16">
        <f>SUMPRODUCT(N1885:Y1885,$N$5:$Y$5)*$K1885*$L1885*$M1885</f>
        <v/>
      </c>
      <c r="AG1885" s="16">
        <f>SUMPRODUCT(N1885:Y1885,$N$6:$Y$6)*$K1885*$L1885*$M1885</f>
        <v/>
      </c>
      <c r="AH1885" s="20" t="n"/>
    </row>
    <row r="1886">
      <c r="A1886" s="9" t="n">
        <v>680933</v>
      </c>
      <c r="B1886" s="9" t="inlineStr">
        <is>
          <t>Joander Suarez</t>
        </is>
      </c>
      <c r="C1886" s="9" t="inlineStr">
        <is>
          <t>NYM</t>
        </is>
      </c>
      <c r="D1886" s="9" t="n">
        <v>25</v>
      </c>
      <c r="E1886" s="18" t="inlineStr">
        <is>
          <t>R</t>
        </is>
      </c>
      <c r="F1886" s="18" t="n"/>
      <c r="G1886" s="9" t="n">
        <v>21.285</v>
      </c>
      <c r="H1886" s="9" t="n">
        <v>21.285</v>
      </c>
      <c r="I1886" s="9" t="inlineStr">
        <is>
          <t>Depth (no MLB IP)</t>
        </is>
      </c>
      <c r="J1886" s="18" t="inlineStr">
        <is>
          <t>Opening Day</t>
        </is>
      </c>
      <c r="K1886" s="11">
        <f>IFERROR(INDEX(Roles!$B$17:$B$20,MATCH(J1886,Roles!$A$17:$A$20,0)),1)</f>
        <v/>
      </c>
      <c r="L1886" s="19" t="n">
        <v>1</v>
      </c>
      <c r="M1886" s="11" t="n">
        <v>1</v>
      </c>
      <c r="N1886" s="19" t="n"/>
      <c r="O1886" s="19" t="n"/>
      <c r="P1886" s="19" t="n"/>
      <c r="Q1886" s="19" t="n"/>
      <c r="R1886" s="19" t="n"/>
      <c r="S1886" s="19" t="n"/>
      <c r="T1886" s="19" t="n"/>
      <c r="U1886" s="19" t="n"/>
      <c r="V1886" s="19" t="n"/>
      <c r="W1886" s="19" t="n"/>
      <c r="X1886" s="19" t="n"/>
      <c r="Y1886" s="19" t="n">
        <v>1</v>
      </c>
      <c r="Z1886" s="13">
        <f>SUMPRODUCT(N1886:Y1886,$N$2:$Y$2)*$K1886*$L1886*$M1886</f>
        <v/>
      </c>
      <c r="AA1886" s="14">
        <f>SUM(N1886:Y1886)</f>
        <v/>
      </c>
      <c r="AB1886" s="13">
        <f>SUMPRODUCT(N1886:Y1886,$N$3:$Y$3)*$K1886*$L1886*$M1886</f>
        <v/>
      </c>
      <c r="AC1886" s="13">
        <f>SUMPRODUCT(N1886:Y1886,$N$4:$Y$4)*$K1886*$L1886*$M1886</f>
        <v/>
      </c>
      <c r="AD1886" s="15" t="n">
        <v>3</v>
      </c>
      <c r="AE1886" s="11" t="n">
        <v>1.011296296296296</v>
      </c>
      <c r="AF1886" s="16">
        <f>SUMPRODUCT(N1886:Y1886,$N$5:$Y$5)*$K1886*$L1886*$M1886</f>
        <v/>
      </c>
      <c r="AG1886" s="16">
        <f>SUMPRODUCT(N1886:Y1886,$N$6:$Y$6)*$K1886*$L1886*$M1886</f>
        <v/>
      </c>
      <c r="AH1886" s="20" t="n"/>
    </row>
    <row r="1887">
      <c r="A1887" s="9" t="n">
        <v>692226</v>
      </c>
      <c r="B1887" s="9" t="inlineStr">
        <is>
          <t>Ty Floyd</t>
        </is>
      </c>
      <c r="C1887" s="9" t="inlineStr">
        <is>
          <t>CIN</t>
        </is>
      </c>
      <c r="D1887" s="9" t="n">
        <v>25</v>
      </c>
      <c r="E1887" s="18" t="inlineStr">
        <is>
          <t>R</t>
        </is>
      </c>
      <c r="F1887" s="18" t="n"/>
      <c r="G1887" s="9" t="n">
        <v>21.5</v>
      </c>
      <c r="H1887" s="9" t="n">
        <v>21.5</v>
      </c>
      <c r="I1887" s="9" t="inlineStr">
        <is>
          <t>Depth (no MLB IP)</t>
        </is>
      </c>
      <c r="J1887" s="18" t="inlineStr">
        <is>
          <t>Opening Day</t>
        </is>
      </c>
      <c r="K1887" s="11">
        <f>IFERROR(INDEX(Roles!$B$17:$B$20,MATCH(J1887,Roles!$A$17:$A$20,0)),1)</f>
        <v/>
      </c>
      <c r="L1887" s="19" t="n">
        <v>1</v>
      </c>
      <c r="M1887" s="11" t="n">
        <v>1</v>
      </c>
      <c r="N1887" s="19" t="n"/>
      <c r="O1887" s="19" t="n"/>
      <c r="P1887" s="19" t="n"/>
      <c r="Q1887" s="19" t="n"/>
      <c r="R1887" s="19" t="n"/>
      <c r="S1887" s="19" t="n"/>
      <c r="T1887" s="19" t="n"/>
      <c r="U1887" s="19" t="n"/>
      <c r="V1887" s="19" t="n"/>
      <c r="W1887" s="19" t="n"/>
      <c r="X1887" s="19" t="n"/>
      <c r="Y1887" s="19" t="n">
        <v>1</v>
      </c>
      <c r="Z1887" s="13">
        <f>SUMPRODUCT(N1887:Y1887,$N$2:$Y$2)*$K1887*$L1887*$M1887</f>
        <v/>
      </c>
      <c r="AA1887" s="14">
        <f>SUM(N1887:Y1887)</f>
        <v/>
      </c>
      <c r="AB1887" s="13">
        <f>SUMPRODUCT(N1887:Y1887,$N$3:$Y$3)*$K1887*$L1887*$M1887</f>
        <v/>
      </c>
      <c r="AC1887" s="13">
        <f>SUMPRODUCT(N1887:Y1887,$N$4:$Y$4)*$K1887*$L1887*$M1887</f>
        <v/>
      </c>
      <c r="AD1887" s="15" t="n">
        <v>3</v>
      </c>
      <c r="AE1887" s="11" t="n">
        <v>1.011296296296296</v>
      </c>
      <c r="AF1887" s="16">
        <f>SUMPRODUCT(N1887:Y1887,$N$5:$Y$5)*$K1887*$L1887*$M1887</f>
        <v/>
      </c>
      <c r="AG1887" s="16">
        <f>SUMPRODUCT(N1887:Y1887,$N$6:$Y$6)*$K1887*$L1887*$M1887</f>
        <v/>
      </c>
      <c r="AH1887" s="20" t="n"/>
    </row>
    <row r="1888">
      <c r="A1888" s="9" t="n">
        <v>800308</v>
      </c>
      <c r="B1888" s="9" t="inlineStr">
        <is>
          <t>Inmer Lobo</t>
        </is>
      </c>
      <c r="C1888" s="9" t="inlineStr">
        <is>
          <t>PIT</t>
        </is>
      </c>
      <c r="D1888" s="9" t="n">
        <v>25</v>
      </c>
      <c r="E1888" s="18" t="inlineStr">
        <is>
          <t>L</t>
        </is>
      </c>
      <c r="F1888" s="18" t="n"/>
      <c r="G1888" s="9" t="n">
        <v>21.5</v>
      </c>
      <c r="H1888" s="9" t="n">
        <v>21.5</v>
      </c>
      <c r="I1888" s="9" t="inlineStr">
        <is>
          <t>Depth (no MLB IP)</t>
        </is>
      </c>
      <c r="J1888" s="18" t="inlineStr">
        <is>
          <t>Opening Day</t>
        </is>
      </c>
      <c r="K1888" s="11">
        <f>IFERROR(INDEX(Roles!$B$17:$B$20,MATCH(J1888,Roles!$A$17:$A$20,0)),1)</f>
        <v/>
      </c>
      <c r="L1888" s="19" t="n">
        <v>1</v>
      </c>
      <c r="M1888" s="11" t="n">
        <v>1</v>
      </c>
      <c r="N1888" s="19" t="n"/>
      <c r="O1888" s="19" t="n"/>
      <c r="P1888" s="19" t="n"/>
      <c r="Q1888" s="19" t="n"/>
      <c r="R1888" s="19" t="n"/>
      <c r="S1888" s="19" t="n"/>
      <c r="T1888" s="19" t="n"/>
      <c r="U1888" s="19" t="n"/>
      <c r="V1888" s="19" t="n"/>
      <c r="W1888" s="19" t="n"/>
      <c r="X1888" s="19" t="n"/>
      <c r="Y1888" s="19" t="n">
        <v>1</v>
      </c>
      <c r="Z1888" s="13">
        <f>SUMPRODUCT(N1888:Y1888,$N$2:$Y$2)*$K1888*$L1888*$M1888</f>
        <v/>
      </c>
      <c r="AA1888" s="14">
        <f>SUM(N1888:Y1888)</f>
        <v/>
      </c>
      <c r="AB1888" s="13">
        <f>SUMPRODUCT(N1888:Y1888,$N$3:$Y$3)*$K1888*$L1888*$M1888</f>
        <v/>
      </c>
      <c r="AC1888" s="13">
        <f>SUMPRODUCT(N1888:Y1888,$N$4:$Y$4)*$K1888*$L1888*$M1888</f>
        <v/>
      </c>
      <c r="AD1888" s="15" t="n">
        <v>3</v>
      </c>
      <c r="AE1888" s="11" t="n">
        <v>1.011296296296296</v>
      </c>
      <c r="AF1888" s="16">
        <f>SUMPRODUCT(N1888:Y1888,$N$5:$Y$5)*$K1888*$L1888*$M1888</f>
        <v/>
      </c>
      <c r="AG1888" s="16">
        <f>SUMPRODUCT(N1888:Y1888,$N$6:$Y$6)*$K1888*$L1888*$M1888</f>
        <v/>
      </c>
      <c r="AH1888" s="20" t="n"/>
    </row>
    <row r="1889">
      <c r="A1889" s="9" t="n">
        <v>664874</v>
      </c>
      <c r="B1889" s="9" t="inlineStr">
        <is>
          <t>Seby Zavala</t>
        </is>
      </c>
      <c r="C1889" s="9" t="inlineStr">
        <is>
          <t>ARI</t>
        </is>
      </c>
      <c r="D1889" s="9" t="n">
        <v>33</v>
      </c>
      <c r="E1889" s="18" t="inlineStr">
        <is>
          <t>R</t>
        </is>
      </c>
      <c r="F1889" s="18" t="n"/>
      <c r="G1889" s="9" t="n">
        <v>2</v>
      </c>
      <c r="H1889" s="9" t="n">
        <v>2</v>
      </c>
      <c r="I1889" s="9" t="inlineStr">
        <is>
          <t>Depth (no MLB IP)</t>
        </is>
      </c>
      <c r="J1889" s="18" t="inlineStr">
        <is>
          <t>Opening Day</t>
        </is>
      </c>
      <c r="K1889" s="11">
        <f>IFERROR(INDEX(Roles!$B$17:$B$20,MATCH(J1889,Roles!$A$17:$A$20,0)),1)</f>
        <v/>
      </c>
      <c r="L1889" s="19" t="n">
        <v>1</v>
      </c>
      <c r="M1889" s="11" t="n">
        <v>1</v>
      </c>
      <c r="N1889" s="19" t="n"/>
      <c r="O1889" s="19" t="n"/>
      <c r="P1889" s="19" t="n"/>
      <c r="Q1889" s="19" t="n"/>
      <c r="R1889" s="19" t="n"/>
      <c r="S1889" s="19" t="n"/>
      <c r="T1889" s="19" t="n"/>
      <c r="U1889" s="19" t="n"/>
      <c r="V1889" s="19" t="n"/>
      <c r="W1889" s="19" t="n"/>
      <c r="X1889" s="19" t="n"/>
      <c r="Y1889" s="19" t="n">
        <v>1</v>
      </c>
      <c r="Z1889" s="13">
        <f>SUMPRODUCT(N1889:Y1889,$N$2:$Y$2)*$K1889*$L1889*$M1889</f>
        <v/>
      </c>
      <c r="AA1889" s="14">
        <f>SUM(N1889:Y1889)</f>
        <v/>
      </c>
      <c r="AB1889" s="13">
        <f>SUMPRODUCT(N1889:Y1889,$N$3:$Y$3)*$K1889*$L1889*$M1889</f>
        <v/>
      </c>
      <c r="AC1889" s="13">
        <f>SUMPRODUCT(N1889:Y1889,$N$4:$Y$4)*$K1889*$L1889*$M1889</f>
        <v/>
      </c>
      <c r="AD1889" s="15" t="n">
        <v>3</v>
      </c>
      <c r="AE1889" s="11" t="n">
        <v>1.011296296296296</v>
      </c>
      <c r="AF1889" s="16">
        <f>SUMPRODUCT(N1889:Y1889,$N$5:$Y$5)*$K1889*$L1889*$M1889</f>
        <v/>
      </c>
      <c r="AG1889" s="16">
        <f>SUMPRODUCT(N1889:Y1889,$N$6:$Y$6)*$K1889*$L1889*$M1889</f>
        <v/>
      </c>
      <c r="AH1889" s="20" t="n"/>
    </row>
    <row r="1890">
      <c r="A1890" s="9" t="n">
        <v>810896</v>
      </c>
      <c r="B1890" s="9" t="inlineStr">
        <is>
          <t>Owen Proksch</t>
        </is>
      </c>
      <c r="C1890" s="9" t="inlineStr">
        <is>
          <t>TEX</t>
        </is>
      </c>
      <c r="D1890" s="9" t="n">
        <v>25</v>
      </c>
      <c r="E1890" s="18" t="inlineStr">
        <is>
          <t>L</t>
        </is>
      </c>
      <c r="F1890" s="18" t="n"/>
      <c r="G1890" s="9" t="n">
        <v>21.5</v>
      </c>
      <c r="H1890" s="9" t="n">
        <v>21.5</v>
      </c>
      <c r="I1890" s="9" t="inlineStr">
        <is>
          <t>Depth (no MLB IP)</t>
        </is>
      </c>
      <c r="J1890" s="18" t="inlineStr">
        <is>
          <t>Opening Day</t>
        </is>
      </c>
      <c r="K1890" s="11">
        <f>IFERROR(INDEX(Roles!$B$17:$B$20,MATCH(J1890,Roles!$A$17:$A$20,0)),1)</f>
        <v/>
      </c>
      <c r="L1890" s="19" t="n">
        <v>1</v>
      </c>
      <c r="M1890" s="11" t="n">
        <v>1</v>
      </c>
      <c r="N1890" s="19" t="n"/>
      <c r="O1890" s="19" t="n"/>
      <c r="P1890" s="19" t="n"/>
      <c r="Q1890" s="19" t="n"/>
      <c r="R1890" s="19" t="n"/>
      <c r="S1890" s="19" t="n"/>
      <c r="T1890" s="19" t="n"/>
      <c r="U1890" s="19" t="n"/>
      <c r="V1890" s="19" t="n"/>
      <c r="W1890" s="19" t="n"/>
      <c r="X1890" s="19" t="n"/>
      <c r="Y1890" s="19" t="n">
        <v>1</v>
      </c>
      <c r="Z1890" s="13">
        <f>SUMPRODUCT(N1890:Y1890,$N$2:$Y$2)*$K1890*$L1890*$M1890</f>
        <v/>
      </c>
      <c r="AA1890" s="14">
        <f>SUM(N1890:Y1890)</f>
        <v/>
      </c>
      <c r="AB1890" s="13">
        <f>SUMPRODUCT(N1890:Y1890,$N$3:$Y$3)*$K1890*$L1890*$M1890</f>
        <v/>
      </c>
      <c r="AC1890" s="13">
        <f>SUMPRODUCT(N1890:Y1890,$N$4:$Y$4)*$K1890*$L1890*$M1890</f>
        <v/>
      </c>
      <c r="AD1890" s="15" t="n">
        <v>3</v>
      </c>
      <c r="AE1890" s="11" t="n">
        <v>1.011296296296296</v>
      </c>
      <c r="AF1890" s="16">
        <f>SUMPRODUCT(N1890:Y1890,$N$5:$Y$5)*$K1890*$L1890*$M1890</f>
        <v/>
      </c>
      <c r="AG1890" s="16">
        <f>SUMPRODUCT(N1890:Y1890,$N$6:$Y$6)*$K1890*$L1890*$M1890</f>
        <v/>
      </c>
      <c r="AH1890" s="20" t="n"/>
    </row>
    <row r="1891">
      <c r="A1891" s="9" t="n">
        <v>823765</v>
      </c>
      <c r="B1891" s="9" t="inlineStr">
        <is>
          <t>Callan Fang</t>
        </is>
      </c>
      <c r="C1891" s="9" t="inlineStr">
        <is>
          <t>MIN</t>
        </is>
      </c>
      <c r="D1891" s="9" t="n">
        <v>25</v>
      </c>
      <c r="E1891" s="18" t="inlineStr">
        <is>
          <t>R</t>
        </is>
      </c>
      <c r="F1891" s="18" t="n"/>
      <c r="G1891" s="9" t="n">
        <v>21.672</v>
      </c>
      <c r="H1891" s="9" t="n">
        <v>21.672</v>
      </c>
      <c r="I1891" s="9" t="inlineStr">
        <is>
          <t>Depth (no MLB IP)</t>
        </is>
      </c>
      <c r="J1891" s="18" t="inlineStr">
        <is>
          <t>Opening Day</t>
        </is>
      </c>
      <c r="K1891" s="11">
        <f>IFERROR(INDEX(Roles!$B$17:$B$20,MATCH(J1891,Roles!$A$17:$A$20,0)),1)</f>
        <v/>
      </c>
      <c r="L1891" s="19" t="n">
        <v>1</v>
      </c>
      <c r="M1891" s="11" t="n">
        <v>1</v>
      </c>
      <c r="N1891" s="19" t="n"/>
      <c r="O1891" s="19" t="n"/>
      <c r="P1891" s="19" t="n"/>
      <c r="Q1891" s="19" t="n"/>
      <c r="R1891" s="19" t="n"/>
      <c r="S1891" s="19" t="n"/>
      <c r="T1891" s="19" t="n"/>
      <c r="U1891" s="19" t="n"/>
      <c r="V1891" s="19" t="n"/>
      <c r="W1891" s="19" t="n"/>
      <c r="X1891" s="19" t="n"/>
      <c r="Y1891" s="19" t="n">
        <v>1</v>
      </c>
      <c r="Z1891" s="13">
        <f>SUMPRODUCT(N1891:Y1891,$N$2:$Y$2)*$K1891*$L1891*$M1891</f>
        <v/>
      </c>
      <c r="AA1891" s="14">
        <f>SUM(N1891:Y1891)</f>
        <v/>
      </c>
      <c r="AB1891" s="13">
        <f>SUMPRODUCT(N1891:Y1891,$N$3:$Y$3)*$K1891*$L1891*$M1891</f>
        <v/>
      </c>
      <c r="AC1891" s="13">
        <f>SUMPRODUCT(N1891:Y1891,$N$4:$Y$4)*$K1891*$L1891*$M1891</f>
        <v/>
      </c>
      <c r="AD1891" s="15" t="n">
        <v>3</v>
      </c>
      <c r="AE1891" s="11" t="n">
        <v>1.011296296296296</v>
      </c>
      <c r="AF1891" s="16">
        <f>SUMPRODUCT(N1891:Y1891,$N$5:$Y$5)*$K1891*$L1891*$M1891</f>
        <v/>
      </c>
      <c r="AG1891" s="16">
        <f>SUMPRODUCT(N1891:Y1891,$N$6:$Y$6)*$K1891*$L1891*$M1891</f>
        <v/>
      </c>
      <c r="AH1891" s="20" t="n"/>
    </row>
    <row r="1892">
      <c r="A1892" s="9" t="n">
        <v>815938</v>
      </c>
      <c r="B1892" s="9" t="inlineStr">
        <is>
          <t>Yermain Ruiz</t>
        </is>
      </c>
      <c r="C1892" s="9" t="inlineStr">
        <is>
          <t>BOS</t>
        </is>
      </c>
      <c r="D1892" s="9" t="n">
        <v>25</v>
      </c>
      <c r="E1892" s="18" t="inlineStr">
        <is>
          <t>R</t>
        </is>
      </c>
      <c r="F1892" s="18" t="n"/>
      <c r="G1892" s="9" t="n">
        <v>21.672</v>
      </c>
      <c r="H1892" s="9" t="n">
        <v>21.672</v>
      </c>
      <c r="I1892" s="9" t="inlineStr">
        <is>
          <t>Depth (no MLB IP)</t>
        </is>
      </c>
      <c r="J1892" s="18" t="inlineStr">
        <is>
          <t>Opening Day</t>
        </is>
      </c>
      <c r="K1892" s="11">
        <f>IFERROR(INDEX(Roles!$B$17:$B$20,MATCH(J1892,Roles!$A$17:$A$20,0)),1)</f>
        <v/>
      </c>
      <c r="L1892" s="19" t="n">
        <v>1</v>
      </c>
      <c r="M1892" s="11" t="n">
        <v>1</v>
      </c>
      <c r="N1892" s="19" t="n"/>
      <c r="O1892" s="19" t="n"/>
      <c r="P1892" s="19" t="n"/>
      <c r="Q1892" s="19" t="n"/>
      <c r="R1892" s="19" t="n"/>
      <c r="S1892" s="19" t="n"/>
      <c r="T1892" s="19" t="n"/>
      <c r="U1892" s="19" t="n"/>
      <c r="V1892" s="19" t="n"/>
      <c r="W1892" s="19" t="n"/>
      <c r="X1892" s="19" t="n"/>
      <c r="Y1892" s="19" t="n">
        <v>1</v>
      </c>
      <c r="Z1892" s="13">
        <f>SUMPRODUCT(N1892:Y1892,$N$2:$Y$2)*$K1892*$L1892*$M1892</f>
        <v/>
      </c>
      <c r="AA1892" s="14">
        <f>SUM(N1892:Y1892)</f>
        <v/>
      </c>
      <c r="AB1892" s="13">
        <f>SUMPRODUCT(N1892:Y1892,$N$3:$Y$3)*$K1892*$L1892*$M1892</f>
        <v/>
      </c>
      <c r="AC1892" s="13">
        <f>SUMPRODUCT(N1892:Y1892,$N$4:$Y$4)*$K1892*$L1892*$M1892</f>
        <v/>
      </c>
      <c r="AD1892" s="15" t="n">
        <v>3</v>
      </c>
      <c r="AE1892" s="11" t="n">
        <v>1.011296296296296</v>
      </c>
      <c r="AF1892" s="16">
        <f>SUMPRODUCT(N1892:Y1892,$N$5:$Y$5)*$K1892*$L1892*$M1892</f>
        <v/>
      </c>
      <c r="AG1892" s="16">
        <f>SUMPRODUCT(N1892:Y1892,$N$6:$Y$6)*$K1892*$L1892*$M1892</f>
        <v/>
      </c>
      <c r="AH1892" s="20" t="n"/>
    </row>
    <row r="1893">
      <c r="A1893" s="9" t="n">
        <v>827265</v>
      </c>
      <c r="B1893" s="9" t="inlineStr">
        <is>
          <t>Cade Crossland</t>
        </is>
      </c>
      <c r="C1893" s="9" t="inlineStr">
        <is>
          <t>STL</t>
        </is>
      </c>
      <c r="D1893" s="9" t="n">
        <v>25</v>
      </c>
      <c r="E1893" s="18" t="inlineStr">
        <is>
          <t>L</t>
        </is>
      </c>
      <c r="F1893" s="18" t="n"/>
      <c r="G1893" s="9" t="n">
        <v>21.78666666666667</v>
      </c>
      <c r="H1893" s="9" t="n">
        <v>21.78666666666667</v>
      </c>
      <c r="I1893" s="9" t="inlineStr">
        <is>
          <t>Depth (no MLB IP)</t>
        </is>
      </c>
      <c r="J1893" s="18" t="inlineStr">
        <is>
          <t>Opening Day</t>
        </is>
      </c>
      <c r="K1893" s="11">
        <f>IFERROR(INDEX(Roles!$B$17:$B$20,MATCH(J1893,Roles!$A$17:$A$20,0)),1)</f>
        <v/>
      </c>
      <c r="L1893" s="19" t="n">
        <v>1</v>
      </c>
      <c r="M1893" s="11" t="n">
        <v>1</v>
      </c>
      <c r="N1893" s="19" t="n"/>
      <c r="O1893" s="19" t="n"/>
      <c r="P1893" s="19" t="n"/>
      <c r="Q1893" s="19" t="n"/>
      <c r="R1893" s="19" t="n"/>
      <c r="S1893" s="19" t="n"/>
      <c r="T1893" s="19" t="n"/>
      <c r="U1893" s="19" t="n"/>
      <c r="V1893" s="19" t="n"/>
      <c r="W1893" s="19" t="n"/>
      <c r="X1893" s="19" t="n"/>
      <c r="Y1893" s="19" t="n">
        <v>1</v>
      </c>
      <c r="Z1893" s="13">
        <f>SUMPRODUCT(N1893:Y1893,$N$2:$Y$2)*$K1893*$L1893*$M1893</f>
        <v/>
      </c>
      <c r="AA1893" s="14">
        <f>SUM(N1893:Y1893)</f>
        <v/>
      </c>
      <c r="AB1893" s="13">
        <f>SUMPRODUCT(N1893:Y1893,$N$3:$Y$3)*$K1893*$L1893*$M1893</f>
        <v/>
      </c>
      <c r="AC1893" s="13">
        <f>SUMPRODUCT(N1893:Y1893,$N$4:$Y$4)*$K1893*$L1893*$M1893</f>
        <v/>
      </c>
      <c r="AD1893" s="15" t="n">
        <v>3</v>
      </c>
      <c r="AE1893" s="11" t="n">
        <v>1.011296296296296</v>
      </c>
      <c r="AF1893" s="16">
        <f>SUMPRODUCT(N1893:Y1893,$N$5:$Y$5)*$K1893*$L1893*$M1893</f>
        <v/>
      </c>
      <c r="AG1893" s="16">
        <f>SUMPRODUCT(N1893:Y1893,$N$6:$Y$6)*$K1893*$L1893*$M1893</f>
        <v/>
      </c>
      <c r="AH1893" s="20" t="n"/>
    </row>
    <row r="1894">
      <c r="A1894" s="9" t="n">
        <v>805273</v>
      </c>
      <c r="B1894" s="9" t="inlineStr">
        <is>
          <t>Frank Camarillo</t>
        </is>
      </c>
      <c r="C1894" s="9" t="inlineStr">
        <is>
          <t>NYM</t>
        </is>
      </c>
      <c r="D1894" s="9" t="n">
        <v>25</v>
      </c>
      <c r="E1894" s="18" t="inlineStr">
        <is>
          <t>R</t>
        </is>
      </c>
      <c r="F1894" s="18" t="n"/>
      <c r="G1894" s="9" t="n">
        <v>21.78666666666667</v>
      </c>
      <c r="H1894" s="9" t="n">
        <v>21.78666666666667</v>
      </c>
      <c r="I1894" s="9" t="inlineStr">
        <is>
          <t>Depth (no MLB IP)</t>
        </is>
      </c>
      <c r="J1894" s="18" t="inlineStr">
        <is>
          <t>Opening Day</t>
        </is>
      </c>
      <c r="K1894" s="11">
        <f>IFERROR(INDEX(Roles!$B$17:$B$20,MATCH(J1894,Roles!$A$17:$A$20,0)),1)</f>
        <v/>
      </c>
      <c r="L1894" s="19" t="n">
        <v>1</v>
      </c>
      <c r="M1894" s="11" t="n">
        <v>1</v>
      </c>
      <c r="N1894" s="19" t="n"/>
      <c r="O1894" s="19" t="n"/>
      <c r="P1894" s="19" t="n"/>
      <c r="Q1894" s="19" t="n"/>
      <c r="R1894" s="19" t="n"/>
      <c r="S1894" s="19" t="n"/>
      <c r="T1894" s="19" t="n"/>
      <c r="U1894" s="19" t="n"/>
      <c r="V1894" s="19" t="n"/>
      <c r="W1894" s="19" t="n"/>
      <c r="X1894" s="19" t="n"/>
      <c r="Y1894" s="19" t="n">
        <v>1</v>
      </c>
      <c r="Z1894" s="13">
        <f>SUMPRODUCT(N1894:Y1894,$N$2:$Y$2)*$K1894*$L1894*$M1894</f>
        <v/>
      </c>
      <c r="AA1894" s="14">
        <f>SUM(N1894:Y1894)</f>
        <v/>
      </c>
      <c r="AB1894" s="13">
        <f>SUMPRODUCT(N1894:Y1894,$N$3:$Y$3)*$K1894*$L1894*$M1894</f>
        <v/>
      </c>
      <c r="AC1894" s="13">
        <f>SUMPRODUCT(N1894:Y1894,$N$4:$Y$4)*$K1894*$L1894*$M1894</f>
        <v/>
      </c>
      <c r="AD1894" s="15" t="n">
        <v>3</v>
      </c>
      <c r="AE1894" s="11" t="n">
        <v>1.011296296296296</v>
      </c>
      <c r="AF1894" s="16">
        <f>SUMPRODUCT(N1894:Y1894,$N$5:$Y$5)*$K1894*$L1894*$M1894</f>
        <v/>
      </c>
      <c r="AG1894" s="16">
        <f>SUMPRODUCT(N1894:Y1894,$N$6:$Y$6)*$K1894*$L1894*$M1894</f>
        <v/>
      </c>
      <c r="AH1894" s="20" t="n"/>
    </row>
    <row r="1895">
      <c r="A1895" s="9" t="n">
        <v>833410</v>
      </c>
      <c r="B1895" s="9" t="inlineStr">
        <is>
          <t>Denton Biller</t>
        </is>
      </c>
      <c r="C1895" s="9" t="inlineStr">
        <is>
          <t>BAL</t>
        </is>
      </c>
      <c r="D1895" s="9" t="n">
        <v>25</v>
      </c>
      <c r="E1895" s="18" t="inlineStr">
        <is>
          <t>R</t>
        </is>
      </c>
      <c r="F1895" s="18" t="n"/>
      <c r="G1895" s="9" t="n">
        <v>21.672</v>
      </c>
      <c r="H1895" s="9" t="n">
        <v>21.672</v>
      </c>
      <c r="I1895" s="9" t="inlineStr">
        <is>
          <t>Depth (no MLB IP)</t>
        </is>
      </c>
      <c r="J1895" s="18" t="inlineStr">
        <is>
          <t>Opening Day</t>
        </is>
      </c>
      <c r="K1895" s="11">
        <f>IFERROR(INDEX(Roles!$B$17:$B$20,MATCH(J1895,Roles!$A$17:$A$20,0)),1)</f>
        <v/>
      </c>
      <c r="L1895" s="19" t="n">
        <v>1</v>
      </c>
      <c r="M1895" s="11" t="n">
        <v>1</v>
      </c>
      <c r="N1895" s="19" t="n"/>
      <c r="O1895" s="19" t="n"/>
      <c r="P1895" s="19" t="n"/>
      <c r="Q1895" s="19" t="n"/>
      <c r="R1895" s="19" t="n"/>
      <c r="S1895" s="19" t="n"/>
      <c r="T1895" s="19" t="n"/>
      <c r="U1895" s="19" t="n"/>
      <c r="V1895" s="19" t="n"/>
      <c r="W1895" s="19" t="n"/>
      <c r="X1895" s="19" t="n"/>
      <c r="Y1895" s="19" t="n">
        <v>1</v>
      </c>
      <c r="Z1895" s="13">
        <f>SUMPRODUCT(N1895:Y1895,$N$2:$Y$2)*$K1895*$L1895*$M1895</f>
        <v/>
      </c>
      <c r="AA1895" s="14">
        <f>SUM(N1895:Y1895)</f>
        <v/>
      </c>
      <c r="AB1895" s="13">
        <f>SUMPRODUCT(N1895:Y1895,$N$3:$Y$3)*$K1895*$L1895*$M1895</f>
        <v/>
      </c>
      <c r="AC1895" s="13">
        <f>SUMPRODUCT(N1895:Y1895,$N$4:$Y$4)*$K1895*$L1895*$M1895</f>
        <v/>
      </c>
      <c r="AD1895" s="15" t="n">
        <v>3</v>
      </c>
      <c r="AE1895" s="11" t="n">
        <v>1.011296296296296</v>
      </c>
      <c r="AF1895" s="16">
        <f>SUMPRODUCT(N1895:Y1895,$N$5:$Y$5)*$K1895*$L1895*$M1895</f>
        <v/>
      </c>
      <c r="AG1895" s="16">
        <f>SUMPRODUCT(N1895:Y1895,$N$6:$Y$6)*$K1895*$L1895*$M1895</f>
        <v/>
      </c>
      <c r="AH1895" s="20" t="n"/>
    </row>
    <row r="1896">
      <c r="A1896" s="9" t="n">
        <v>702445</v>
      </c>
      <c r="B1896" s="9" t="inlineStr">
        <is>
          <t>Luis Germán</t>
        </is>
      </c>
      <c r="C1896" s="9" t="inlineStr">
        <is>
          <t>SD</t>
        </is>
      </c>
      <c r="D1896" s="9" t="n">
        <v>25</v>
      </c>
      <c r="E1896" s="18" t="inlineStr">
        <is>
          <t>R</t>
        </is>
      </c>
      <c r="F1896" s="18" t="n"/>
      <c r="G1896" s="9" t="n">
        <v>21.78666666666667</v>
      </c>
      <c r="H1896" s="9" t="n">
        <v>21.78666666666667</v>
      </c>
      <c r="I1896" s="9" t="inlineStr">
        <is>
          <t>Depth (no MLB IP)</t>
        </is>
      </c>
      <c r="J1896" s="18" t="inlineStr">
        <is>
          <t>Opening Day</t>
        </is>
      </c>
      <c r="K1896" s="11">
        <f>IFERROR(INDEX(Roles!$B$17:$B$20,MATCH(J1896,Roles!$A$17:$A$20,0)),1)</f>
        <v/>
      </c>
      <c r="L1896" s="19" t="n">
        <v>1</v>
      </c>
      <c r="M1896" s="11" t="n">
        <v>1</v>
      </c>
      <c r="N1896" s="19" t="n"/>
      <c r="O1896" s="19" t="n"/>
      <c r="P1896" s="19" t="n"/>
      <c r="Q1896" s="19" t="n"/>
      <c r="R1896" s="19" t="n"/>
      <c r="S1896" s="19" t="n"/>
      <c r="T1896" s="19" t="n"/>
      <c r="U1896" s="19" t="n"/>
      <c r="V1896" s="19" t="n"/>
      <c r="W1896" s="19" t="n"/>
      <c r="X1896" s="19" t="n"/>
      <c r="Y1896" s="19" t="n">
        <v>1</v>
      </c>
      <c r="Z1896" s="13">
        <f>SUMPRODUCT(N1896:Y1896,$N$2:$Y$2)*$K1896*$L1896*$M1896</f>
        <v/>
      </c>
      <c r="AA1896" s="14">
        <f>SUM(N1896:Y1896)</f>
        <v/>
      </c>
      <c r="AB1896" s="13">
        <f>SUMPRODUCT(N1896:Y1896,$N$3:$Y$3)*$K1896*$L1896*$M1896</f>
        <v/>
      </c>
      <c r="AC1896" s="13">
        <f>SUMPRODUCT(N1896:Y1896,$N$4:$Y$4)*$K1896*$L1896*$M1896</f>
        <v/>
      </c>
      <c r="AD1896" s="15" t="n">
        <v>3</v>
      </c>
      <c r="AE1896" s="11" t="n">
        <v>1.011296296296296</v>
      </c>
      <c r="AF1896" s="16">
        <f>SUMPRODUCT(N1896:Y1896,$N$5:$Y$5)*$K1896*$L1896*$M1896</f>
        <v/>
      </c>
      <c r="AG1896" s="16">
        <f>SUMPRODUCT(N1896:Y1896,$N$6:$Y$6)*$K1896*$L1896*$M1896</f>
        <v/>
      </c>
      <c r="AH1896" s="20" t="n"/>
    </row>
    <row r="1897">
      <c r="A1897" s="9" t="n">
        <v>834232</v>
      </c>
      <c r="B1897" s="9" t="inlineStr">
        <is>
          <t>Jeferson Villabona</t>
        </is>
      </c>
      <c r="C1897" s="9" t="inlineStr">
        <is>
          <t>SD</t>
        </is>
      </c>
      <c r="D1897" s="9" t="n">
        <v>25</v>
      </c>
      <c r="E1897" s="18" t="inlineStr">
        <is>
          <t>R</t>
        </is>
      </c>
      <c r="F1897" s="18" t="n"/>
      <c r="G1897" s="9" t="n">
        <v>21.78666666666667</v>
      </c>
      <c r="H1897" s="9" t="n">
        <v>21.78666666666667</v>
      </c>
      <c r="I1897" s="9" t="inlineStr">
        <is>
          <t>Depth (no MLB IP)</t>
        </is>
      </c>
      <c r="J1897" s="18" t="inlineStr">
        <is>
          <t>Opening Day</t>
        </is>
      </c>
      <c r="K1897" s="11">
        <f>IFERROR(INDEX(Roles!$B$17:$B$20,MATCH(J1897,Roles!$A$17:$A$20,0)),1)</f>
        <v/>
      </c>
      <c r="L1897" s="19" t="n">
        <v>1</v>
      </c>
      <c r="M1897" s="11" t="n">
        <v>1</v>
      </c>
      <c r="N1897" s="19" t="n"/>
      <c r="O1897" s="19" t="n"/>
      <c r="P1897" s="19" t="n"/>
      <c r="Q1897" s="19" t="n"/>
      <c r="R1897" s="19" t="n"/>
      <c r="S1897" s="19" t="n"/>
      <c r="T1897" s="19" t="n"/>
      <c r="U1897" s="19" t="n"/>
      <c r="V1897" s="19" t="n"/>
      <c r="W1897" s="19" t="n"/>
      <c r="X1897" s="19" t="n"/>
      <c r="Y1897" s="19" t="n">
        <v>1</v>
      </c>
      <c r="Z1897" s="13">
        <f>SUMPRODUCT(N1897:Y1897,$N$2:$Y$2)*$K1897*$L1897*$M1897</f>
        <v/>
      </c>
      <c r="AA1897" s="14">
        <f>SUM(N1897:Y1897)</f>
        <v/>
      </c>
      <c r="AB1897" s="13">
        <f>SUMPRODUCT(N1897:Y1897,$N$3:$Y$3)*$K1897*$L1897*$M1897</f>
        <v/>
      </c>
      <c r="AC1897" s="13">
        <f>SUMPRODUCT(N1897:Y1897,$N$4:$Y$4)*$K1897*$L1897*$M1897</f>
        <v/>
      </c>
      <c r="AD1897" s="15" t="n">
        <v>3</v>
      </c>
      <c r="AE1897" s="11" t="n">
        <v>1.011296296296296</v>
      </c>
      <c r="AF1897" s="16">
        <f>SUMPRODUCT(N1897:Y1897,$N$5:$Y$5)*$K1897*$L1897*$M1897</f>
        <v/>
      </c>
      <c r="AG1897" s="16">
        <f>SUMPRODUCT(N1897:Y1897,$N$6:$Y$6)*$K1897*$L1897*$M1897</f>
        <v/>
      </c>
      <c r="AH1897" s="20" t="n"/>
    </row>
    <row r="1898">
      <c r="A1898" s="9" t="n">
        <v>814460</v>
      </c>
      <c r="B1898" s="9" t="inlineStr">
        <is>
          <t>Danny Kirwin</t>
        </is>
      </c>
      <c r="C1898" s="9" t="inlineStr">
        <is>
          <t>BOS</t>
        </is>
      </c>
      <c r="D1898" s="9" t="n">
        <v>25</v>
      </c>
      <c r="E1898" s="18" t="inlineStr">
        <is>
          <t>R</t>
        </is>
      </c>
      <c r="F1898" s="18" t="n"/>
      <c r="G1898" s="9" t="n">
        <v>21.78666666666667</v>
      </c>
      <c r="H1898" s="9" t="n">
        <v>21.78666666666667</v>
      </c>
      <c r="I1898" s="9" t="inlineStr">
        <is>
          <t>Depth (no MLB IP)</t>
        </is>
      </c>
      <c r="J1898" s="18" t="inlineStr">
        <is>
          <t>Opening Day</t>
        </is>
      </c>
      <c r="K1898" s="11">
        <f>IFERROR(INDEX(Roles!$B$17:$B$20,MATCH(J1898,Roles!$A$17:$A$20,0)),1)</f>
        <v/>
      </c>
      <c r="L1898" s="19" t="n">
        <v>1</v>
      </c>
      <c r="M1898" s="11" t="n">
        <v>1</v>
      </c>
      <c r="N1898" s="19" t="n"/>
      <c r="O1898" s="19" t="n"/>
      <c r="P1898" s="19" t="n"/>
      <c r="Q1898" s="19" t="n"/>
      <c r="R1898" s="19" t="n"/>
      <c r="S1898" s="19" t="n"/>
      <c r="T1898" s="19" t="n"/>
      <c r="U1898" s="19" t="n"/>
      <c r="V1898" s="19" t="n"/>
      <c r="W1898" s="19" t="n"/>
      <c r="X1898" s="19" t="n"/>
      <c r="Y1898" s="19" t="n">
        <v>1</v>
      </c>
      <c r="Z1898" s="13">
        <f>SUMPRODUCT(N1898:Y1898,$N$2:$Y$2)*$K1898*$L1898*$M1898</f>
        <v/>
      </c>
      <c r="AA1898" s="14">
        <f>SUM(N1898:Y1898)</f>
        <v/>
      </c>
      <c r="AB1898" s="13">
        <f>SUMPRODUCT(N1898:Y1898,$N$3:$Y$3)*$K1898*$L1898*$M1898</f>
        <v/>
      </c>
      <c r="AC1898" s="13">
        <f>SUMPRODUCT(N1898:Y1898,$N$4:$Y$4)*$K1898*$L1898*$M1898</f>
        <v/>
      </c>
      <c r="AD1898" s="15" t="n">
        <v>3</v>
      </c>
      <c r="AE1898" s="11" t="n">
        <v>1.011296296296296</v>
      </c>
      <c r="AF1898" s="16">
        <f>SUMPRODUCT(N1898:Y1898,$N$5:$Y$5)*$K1898*$L1898*$M1898</f>
        <v/>
      </c>
      <c r="AG1898" s="16">
        <f>SUMPRODUCT(N1898:Y1898,$N$6:$Y$6)*$K1898*$L1898*$M1898</f>
        <v/>
      </c>
      <c r="AH1898" s="20" t="n"/>
    </row>
    <row r="1899">
      <c r="A1899" s="9" t="n">
        <v>572888</v>
      </c>
      <c r="B1899" s="9" t="inlineStr">
        <is>
          <t>Shane Greene</t>
        </is>
      </c>
      <c r="C1899" s="9" t="inlineStr">
        <is>
          <t>CHC</t>
        </is>
      </c>
      <c r="D1899" s="9" t="n">
        <v>38</v>
      </c>
      <c r="E1899" s="18" t="inlineStr">
        <is>
          <t>R</t>
        </is>
      </c>
      <c r="F1899" s="18" t="n"/>
      <c r="G1899" s="9" t="n">
        <v>12</v>
      </c>
      <c r="H1899" s="9" t="n">
        <v>25</v>
      </c>
      <c r="I1899" s="9" t="inlineStr">
        <is>
          <t>Depth (no MLB IP)</t>
        </is>
      </c>
      <c r="J1899" s="18" t="inlineStr">
        <is>
          <t>Opening Day</t>
        </is>
      </c>
      <c r="K1899" s="11">
        <f>IFERROR(INDEX(Roles!$B$17:$B$20,MATCH(J1899,Roles!$A$17:$A$20,0)),1)</f>
        <v/>
      </c>
      <c r="L1899" s="19" t="n">
        <v>1</v>
      </c>
      <c r="M1899" s="11" t="n">
        <v>1</v>
      </c>
      <c r="N1899" s="19" t="n"/>
      <c r="O1899" s="19" t="n"/>
      <c r="P1899" s="19" t="n"/>
      <c r="Q1899" s="19" t="n"/>
      <c r="R1899" s="19" t="n"/>
      <c r="S1899" s="19" t="n"/>
      <c r="T1899" s="19" t="n"/>
      <c r="U1899" s="19" t="n"/>
      <c r="V1899" s="19" t="n"/>
      <c r="W1899" s="19" t="n"/>
      <c r="X1899" s="19" t="n"/>
      <c r="Y1899" s="19" t="n">
        <v>1</v>
      </c>
      <c r="Z1899" s="13">
        <f>SUMPRODUCT(N1899:Y1899,$N$2:$Y$2)*$K1899*$L1899*$M1899</f>
        <v/>
      </c>
      <c r="AA1899" s="14">
        <f>SUM(N1899:Y1899)</f>
        <v/>
      </c>
      <c r="AB1899" s="13">
        <f>SUMPRODUCT(N1899:Y1899,$N$3:$Y$3)*$K1899*$L1899*$M1899</f>
        <v/>
      </c>
      <c r="AC1899" s="13">
        <f>SUMPRODUCT(N1899:Y1899,$N$4:$Y$4)*$K1899*$L1899*$M1899</f>
        <v/>
      </c>
      <c r="AD1899" s="15" t="n">
        <v>3</v>
      </c>
      <c r="AE1899" s="11" t="n">
        <v>1.011296296296296</v>
      </c>
      <c r="AF1899" s="16">
        <f>SUMPRODUCT(N1899:Y1899,$N$5:$Y$5)*$K1899*$L1899*$M1899</f>
        <v/>
      </c>
      <c r="AG1899" s="16">
        <f>SUMPRODUCT(N1899:Y1899,$N$6:$Y$6)*$K1899*$L1899*$M1899</f>
        <v/>
      </c>
      <c r="AH1899" s="20" t="n"/>
    </row>
    <row r="1900">
      <c r="A1900" s="9" t="n">
        <v>680451</v>
      </c>
      <c r="B1900" s="9" t="inlineStr">
        <is>
          <t>Mason Erla</t>
        </is>
      </c>
      <c r="C1900" s="9" t="inlineStr">
        <is>
          <t>LAA</t>
        </is>
      </c>
      <c r="D1900" s="9" t="n">
        <v>25</v>
      </c>
      <c r="E1900" s="18" t="inlineStr">
        <is>
          <t>R</t>
        </is>
      </c>
      <c r="F1900" s="18" t="n"/>
      <c r="G1900" s="9" t="n">
        <v>22.07333333333333</v>
      </c>
      <c r="H1900" s="9" t="n">
        <v>22.07333333333333</v>
      </c>
      <c r="I1900" s="9" t="inlineStr">
        <is>
          <t>Depth (no MLB IP)</t>
        </is>
      </c>
      <c r="J1900" s="18" t="inlineStr">
        <is>
          <t>Opening Day</t>
        </is>
      </c>
      <c r="K1900" s="11">
        <f>IFERROR(INDEX(Roles!$B$17:$B$20,MATCH(J1900,Roles!$A$17:$A$20,0)),1)</f>
        <v/>
      </c>
      <c r="L1900" s="19" t="n">
        <v>1</v>
      </c>
      <c r="M1900" s="11" t="n">
        <v>1</v>
      </c>
      <c r="N1900" s="19" t="n"/>
      <c r="O1900" s="19" t="n"/>
      <c r="P1900" s="19" t="n"/>
      <c r="Q1900" s="19" t="n"/>
      <c r="R1900" s="19" t="n"/>
      <c r="S1900" s="19" t="n"/>
      <c r="T1900" s="19" t="n"/>
      <c r="U1900" s="19" t="n"/>
      <c r="V1900" s="19" t="n"/>
      <c r="W1900" s="19" t="n"/>
      <c r="X1900" s="19" t="n"/>
      <c r="Y1900" s="19" t="n">
        <v>1</v>
      </c>
      <c r="Z1900" s="13">
        <f>SUMPRODUCT(N1900:Y1900,$N$2:$Y$2)*$K1900*$L1900*$M1900</f>
        <v/>
      </c>
      <c r="AA1900" s="14">
        <f>SUM(N1900:Y1900)</f>
        <v/>
      </c>
      <c r="AB1900" s="13">
        <f>SUMPRODUCT(N1900:Y1900,$N$3:$Y$3)*$K1900*$L1900*$M1900</f>
        <v/>
      </c>
      <c r="AC1900" s="13">
        <f>SUMPRODUCT(N1900:Y1900,$N$4:$Y$4)*$K1900*$L1900*$M1900</f>
        <v/>
      </c>
      <c r="AD1900" s="15" t="n">
        <v>3</v>
      </c>
      <c r="AE1900" s="11" t="n">
        <v>1.011296296296296</v>
      </c>
      <c r="AF1900" s="16">
        <f>SUMPRODUCT(N1900:Y1900,$N$5:$Y$5)*$K1900*$L1900*$M1900</f>
        <v/>
      </c>
      <c r="AG1900" s="16">
        <f>SUMPRODUCT(N1900:Y1900,$N$6:$Y$6)*$K1900*$L1900*$M1900</f>
        <v/>
      </c>
      <c r="AH1900" s="20" t="n"/>
    </row>
    <row r="1901">
      <c r="A1901" s="9" t="n">
        <v>669697</v>
      </c>
      <c r="B1901" s="9" t="inlineStr">
        <is>
          <t>Andrew Schultz</t>
        </is>
      </c>
      <c r="C1901" s="9" t="inlineStr">
        <is>
          <t>STL</t>
        </is>
      </c>
      <c r="D1901" s="9" t="n">
        <v>25</v>
      </c>
      <c r="E1901" s="18" t="inlineStr">
        <is>
          <t>R</t>
        </is>
      </c>
      <c r="F1901" s="18" t="n"/>
      <c r="G1901" s="9" t="n">
        <v>22.07333333333333</v>
      </c>
      <c r="H1901" s="9" t="n">
        <v>22.07333333333333</v>
      </c>
      <c r="I1901" s="9" t="inlineStr">
        <is>
          <t>Depth (no MLB IP)</t>
        </is>
      </c>
      <c r="J1901" s="18" t="inlineStr">
        <is>
          <t>Opening Day</t>
        </is>
      </c>
      <c r="K1901" s="11">
        <f>IFERROR(INDEX(Roles!$B$17:$B$20,MATCH(J1901,Roles!$A$17:$A$20,0)),1)</f>
        <v/>
      </c>
      <c r="L1901" s="19" t="n">
        <v>1</v>
      </c>
      <c r="M1901" s="11" t="n">
        <v>1</v>
      </c>
      <c r="N1901" s="19" t="n"/>
      <c r="O1901" s="19" t="n"/>
      <c r="P1901" s="19" t="n"/>
      <c r="Q1901" s="19" t="n"/>
      <c r="R1901" s="19" t="n"/>
      <c r="S1901" s="19" t="n"/>
      <c r="T1901" s="19" t="n"/>
      <c r="U1901" s="19" t="n"/>
      <c r="V1901" s="19" t="n"/>
      <c r="W1901" s="19" t="n"/>
      <c r="X1901" s="19" t="n"/>
      <c r="Y1901" s="19" t="n">
        <v>1</v>
      </c>
      <c r="Z1901" s="13">
        <f>SUMPRODUCT(N1901:Y1901,$N$2:$Y$2)*$K1901*$L1901*$M1901</f>
        <v/>
      </c>
      <c r="AA1901" s="14">
        <f>SUM(N1901:Y1901)</f>
        <v/>
      </c>
      <c r="AB1901" s="13">
        <f>SUMPRODUCT(N1901:Y1901,$N$3:$Y$3)*$K1901*$L1901*$M1901</f>
        <v/>
      </c>
      <c r="AC1901" s="13">
        <f>SUMPRODUCT(N1901:Y1901,$N$4:$Y$4)*$K1901*$L1901*$M1901</f>
        <v/>
      </c>
      <c r="AD1901" s="15" t="n">
        <v>3</v>
      </c>
      <c r="AE1901" s="11" t="n">
        <v>1.011296296296296</v>
      </c>
      <c r="AF1901" s="16">
        <f>SUMPRODUCT(N1901:Y1901,$N$5:$Y$5)*$K1901*$L1901*$M1901</f>
        <v/>
      </c>
      <c r="AG1901" s="16">
        <f>SUMPRODUCT(N1901:Y1901,$N$6:$Y$6)*$K1901*$L1901*$M1901</f>
        <v/>
      </c>
      <c r="AH1901" s="20" t="n"/>
    </row>
    <row r="1902">
      <c r="A1902" s="9" t="n">
        <v>699560</v>
      </c>
      <c r="B1902" s="9" t="inlineStr">
        <is>
          <t>Josh Sanders</t>
        </is>
      </c>
      <c r="C1902" s="9" t="inlineStr">
        <is>
          <t>TEX</t>
        </is>
      </c>
      <c r="D1902" s="9" t="n">
        <v>25</v>
      </c>
      <c r="E1902" s="18" t="inlineStr">
        <is>
          <t>R</t>
        </is>
      </c>
      <c r="F1902" s="18" t="n"/>
      <c r="G1902" s="9" t="n">
        <v>21.78666666666667</v>
      </c>
      <c r="H1902" s="9" t="n">
        <v>21.78666666666667</v>
      </c>
      <c r="I1902" s="9" t="inlineStr">
        <is>
          <t>Depth (no MLB IP)</t>
        </is>
      </c>
      <c r="J1902" s="18" t="inlineStr">
        <is>
          <t>Opening Day</t>
        </is>
      </c>
      <c r="K1902" s="11">
        <f>IFERROR(INDEX(Roles!$B$17:$B$20,MATCH(J1902,Roles!$A$17:$A$20,0)),1)</f>
        <v/>
      </c>
      <c r="L1902" s="19" t="n">
        <v>1</v>
      </c>
      <c r="M1902" s="11" t="n">
        <v>1</v>
      </c>
      <c r="N1902" s="19" t="n"/>
      <c r="O1902" s="19" t="n"/>
      <c r="P1902" s="19" t="n"/>
      <c r="Q1902" s="19" t="n"/>
      <c r="R1902" s="19" t="n"/>
      <c r="S1902" s="19" t="n"/>
      <c r="T1902" s="19" t="n"/>
      <c r="U1902" s="19" t="n"/>
      <c r="V1902" s="19" t="n"/>
      <c r="W1902" s="19" t="n"/>
      <c r="X1902" s="19" t="n"/>
      <c r="Y1902" s="19" t="n">
        <v>1</v>
      </c>
      <c r="Z1902" s="13">
        <f>SUMPRODUCT(N1902:Y1902,$N$2:$Y$2)*$K1902*$L1902*$M1902</f>
        <v/>
      </c>
      <c r="AA1902" s="14">
        <f>SUM(N1902:Y1902)</f>
        <v/>
      </c>
      <c r="AB1902" s="13">
        <f>SUMPRODUCT(N1902:Y1902,$N$3:$Y$3)*$K1902*$L1902*$M1902</f>
        <v/>
      </c>
      <c r="AC1902" s="13">
        <f>SUMPRODUCT(N1902:Y1902,$N$4:$Y$4)*$K1902*$L1902*$M1902</f>
        <v/>
      </c>
      <c r="AD1902" s="15" t="n">
        <v>3</v>
      </c>
      <c r="AE1902" s="11" t="n">
        <v>1.011296296296296</v>
      </c>
      <c r="AF1902" s="16">
        <f>SUMPRODUCT(N1902:Y1902,$N$5:$Y$5)*$K1902*$L1902*$M1902</f>
        <v/>
      </c>
      <c r="AG1902" s="16">
        <f>SUMPRODUCT(N1902:Y1902,$N$6:$Y$6)*$K1902*$L1902*$M1902</f>
        <v/>
      </c>
      <c r="AH1902" s="20" t="n"/>
    </row>
    <row r="1903">
      <c r="A1903" s="9" t="n">
        <v>808508</v>
      </c>
      <c r="B1903" s="9" t="inlineStr">
        <is>
          <t>Lewis Sifontes</t>
        </is>
      </c>
      <c r="C1903" s="9" t="inlineStr">
        <is>
          <t>ATL</t>
        </is>
      </c>
      <c r="D1903" s="9" t="n">
        <v>25</v>
      </c>
      <c r="E1903" s="18" t="inlineStr">
        <is>
          <t>L</t>
        </is>
      </c>
      <c r="F1903" s="18" t="n"/>
      <c r="G1903" s="9" t="n">
        <v>22.01599999999999</v>
      </c>
      <c r="H1903" s="9" t="n">
        <v>22.01599999999999</v>
      </c>
      <c r="I1903" s="9" t="inlineStr">
        <is>
          <t>Depth (no MLB IP)</t>
        </is>
      </c>
      <c r="J1903" s="18" t="inlineStr">
        <is>
          <t>Opening Day</t>
        </is>
      </c>
      <c r="K1903" s="11">
        <f>IFERROR(INDEX(Roles!$B$17:$B$20,MATCH(J1903,Roles!$A$17:$A$20,0)),1)</f>
        <v/>
      </c>
      <c r="L1903" s="19" t="n">
        <v>1</v>
      </c>
      <c r="M1903" s="11" t="n">
        <v>1</v>
      </c>
      <c r="N1903" s="19" t="n"/>
      <c r="O1903" s="19" t="n"/>
      <c r="P1903" s="19" t="n"/>
      <c r="Q1903" s="19" t="n"/>
      <c r="R1903" s="19" t="n"/>
      <c r="S1903" s="19" t="n"/>
      <c r="T1903" s="19" t="n"/>
      <c r="U1903" s="19" t="n"/>
      <c r="V1903" s="19" t="n"/>
      <c r="W1903" s="19" t="n"/>
      <c r="X1903" s="19" t="n"/>
      <c r="Y1903" s="19" t="n">
        <v>1</v>
      </c>
      <c r="Z1903" s="13">
        <f>SUMPRODUCT(N1903:Y1903,$N$2:$Y$2)*$K1903*$L1903*$M1903</f>
        <v/>
      </c>
      <c r="AA1903" s="14">
        <f>SUM(N1903:Y1903)</f>
        <v/>
      </c>
      <c r="AB1903" s="13">
        <f>SUMPRODUCT(N1903:Y1903,$N$3:$Y$3)*$K1903*$L1903*$M1903</f>
        <v/>
      </c>
      <c r="AC1903" s="13">
        <f>SUMPRODUCT(N1903:Y1903,$N$4:$Y$4)*$K1903*$L1903*$M1903</f>
        <v/>
      </c>
      <c r="AD1903" s="15" t="n">
        <v>3</v>
      </c>
      <c r="AE1903" s="11" t="n">
        <v>1.011296296296296</v>
      </c>
      <c r="AF1903" s="16">
        <f>SUMPRODUCT(N1903:Y1903,$N$5:$Y$5)*$K1903*$L1903*$M1903</f>
        <v/>
      </c>
      <c r="AG1903" s="16">
        <f>SUMPRODUCT(N1903:Y1903,$N$6:$Y$6)*$K1903*$L1903*$M1903</f>
        <v/>
      </c>
      <c r="AH1903" s="20" t="n"/>
    </row>
    <row r="1904">
      <c r="A1904" s="9" t="n">
        <v>801275</v>
      </c>
      <c r="B1904" s="9" t="inlineStr">
        <is>
          <t>Juan De La Cruz</t>
        </is>
      </c>
      <c r="C1904" s="9" t="inlineStr">
        <is>
          <t>MIA</t>
        </is>
      </c>
      <c r="D1904" s="9" t="n">
        <v>25</v>
      </c>
      <c r="E1904" s="18" t="inlineStr">
        <is>
          <t>R</t>
        </is>
      </c>
      <c r="F1904" s="18" t="n"/>
      <c r="G1904" s="9" t="n">
        <v>22.07333333333334</v>
      </c>
      <c r="H1904" s="9" t="n">
        <v>22.07333333333334</v>
      </c>
      <c r="I1904" s="9" t="inlineStr">
        <is>
          <t>Depth (no MLB IP)</t>
        </is>
      </c>
      <c r="J1904" s="18" t="inlineStr">
        <is>
          <t>Opening Day</t>
        </is>
      </c>
      <c r="K1904" s="11">
        <f>IFERROR(INDEX(Roles!$B$17:$B$20,MATCH(J1904,Roles!$A$17:$A$20,0)),1)</f>
        <v/>
      </c>
      <c r="L1904" s="19" t="n">
        <v>1</v>
      </c>
      <c r="M1904" s="11" t="n">
        <v>1</v>
      </c>
      <c r="N1904" s="19" t="n"/>
      <c r="O1904" s="19" t="n"/>
      <c r="P1904" s="19" t="n"/>
      <c r="Q1904" s="19" t="n"/>
      <c r="R1904" s="19" t="n"/>
      <c r="S1904" s="19" t="n"/>
      <c r="T1904" s="19" t="n"/>
      <c r="U1904" s="19" t="n"/>
      <c r="V1904" s="19" t="n"/>
      <c r="W1904" s="19" t="n"/>
      <c r="X1904" s="19" t="n"/>
      <c r="Y1904" s="19" t="n">
        <v>1</v>
      </c>
      <c r="Z1904" s="13">
        <f>SUMPRODUCT(N1904:Y1904,$N$2:$Y$2)*$K1904*$L1904*$M1904</f>
        <v/>
      </c>
      <c r="AA1904" s="14">
        <f>SUM(N1904:Y1904)</f>
        <v/>
      </c>
      <c r="AB1904" s="13">
        <f>SUMPRODUCT(N1904:Y1904,$N$3:$Y$3)*$K1904*$L1904*$M1904</f>
        <v/>
      </c>
      <c r="AC1904" s="13">
        <f>SUMPRODUCT(N1904:Y1904,$N$4:$Y$4)*$K1904*$L1904*$M1904</f>
        <v/>
      </c>
      <c r="AD1904" s="15" t="n">
        <v>3</v>
      </c>
      <c r="AE1904" s="11" t="n">
        <v>1.011296296296296</v>
      </c>
      <c r="AF1904" s="16">
        <f>SUMPRODUCT(N1904:Y1904,$N$5:$Y$5)*$K1904*$L1904*$M1904</f>
        <v/>
      </c>
      <c r="AG1904" s="16">
        <f>SUMPRODUCT(N1904:Y1904,$N$6:$Y$6)*$K1904*$L1904*$M1904</f>
        <v/>
      </c>
      <c r="AH1904" s="20" t="n"/>
    </row>
    <row r="1905">
      <c r="A1905" s="9" t="n">
        <v>668678</v>
      </c>
      <c r="B1905" s="9" t="inlineStr">
        <is>
          <t>Zac Gallen</t>
        </is>
      </c>
      <c r="C1905" s="9" t="inlineStr">
        <is>
          <t>ARI</t>
        </is>
      </c>
      <c r="D1905" s="9" t="n">
        <v>31</v>
      </c>
      <c r="E1905" s="18" t="inlineStr">
        <is>
          <t>R</t>
        </is>
      </c>
      <c r="F1905" s="18" t="n"/>
      <c r="G1905" s="9" t="n">
        <v>472</v>
      </c>
      <c r="H1905" s="9" t="n">
        <v>3466</v>
      </c>
      <c r="I1905" s="9" t="inlineStr">
        <is>
          <t>Swing Arm / Long Relief</t>
        </is>
      </c>
      <c r="J1905" s="18" t="inlineStr">
        <is>
          <t>Opening Day</t>
        </is>
      </c>
      <c r="K1905" s="11">
        <f>IFERROR(INDEX(Roles!$B$17:$B$20,MATCH(J1905,Roles!$A$17:$A$20,0)),1)</f>
        <v/>
      </c>
      <c r="L1905" s="19" t="n">
        <v>1</v>
      </c>
      <c r="M1905" s="11" t="n">
        <v>1</v>
      </c>
      <c r="N1905" s="19" t="n"/>
      <c r="O1905" s="19" t="n"/>
      <c r="P1905" s="19" t="n"/>
      <c r="Q1905" s="19" t="n"/>
      <c r="R1905" s="19" t="n">
        <v>0.6</v>
      </c>
      <c r="S1905" s="19" t="n"/>
      <c r="T1905" s="19" t="n"/>
      <c r="U1905" s="19" t="n"/>
      <c r="V1905" s="19" t="n">
        <v>0.4</v>
      </c>
      <c r="W1905" s="19" t="n"/>
      <c r="X1905" s="19" t="n"/>
      <c r="Y1905" s="19" t="n"/>
      <c r="Z1905" s="13">
        <f>SUMPRODUCT(N1905:Y1905,$N$2:$Y$2)*$K1905*$L1905*$M1905</f>
        <v/>
      </c>
      <c r="AA1905" s="14">
        <f>SUM(N1905:Y1905)</f>
        <v/>
      </c>
      <c r="AB1905" s="13">
        <f>SUMPRODUCT(N1905:Y1905,$N$3:$Y$3)*$K1905*$L1905*$M1905</f>
        <v/>
      </c>
      <c r="AC1905" s="13">
        <f>SUMPRODUCT(N1905:Y1905,$N$4:$Y$4)*$K1905*$L1905*$M1905</f>
        <v/>
      </c>
      <c r="AD1905" s="15" t="n">
        <v>24.13333333333333</v>
      </c>
      <c r="AE1905" s="11" t="n">
        <v>3.435154826958106</v>
      </c>
      <c r="AF1905" s="16">
        <f>SUMPRODUCT(N1905:Y1905,$N$5:$Y$5)*$K1905*$L1905*$M1905</f>
        <v/>
      </c>
      <c r="AG1905" s="16">
        <f>SUMPRODUCT(N1905:Y1905,$N$6:$Y$6)*$K1905*$L1905*$M1905</f>
        <v/>
      </c>
      <c r="AH1905" s="20" t="n"/>
    </row>
    <row r="1906">
      <c r="A1906" s="9" t="n">
        <v>694887</v>
      </c>
      <c r="B1906" s="9" t="inlineStr">
        <is>
          <t>Tyler Schoff</t>
        </is>
      </c>
      <c r="C1906" s="9" t="inlineStr">
        <is>
          <t>ATL</t>
        </is>
      </c>
      <c r="D1906" s="9" t="n">
        <v>25</v>
      </c>
      <c r="E1906" s="18" t="inlineStr">
        <is>
          <t>R</t>
        </is>
      </c>
      <c r="F1906" s="18" t="n"/>
      <c r="G1906" s="9" t="n">
        <v>22.07333333333334</v>
      </c>
      <c r="H1906" s="9" t="n">
        <v>22.07333333333334</v>
      </c>
      <c r="I1906" s="9" t="inlineStr">
        <is>
          <t>Depth (no MLB IP)</t>
        </is>
      </c>
      <c r="J1906" s="18" t="inlineStr">
        <is>
          <t>Opening Day</t>
        </is>
      </c>
      <c r="K1906" s="11">
        <f>IFERROR(INDEX(Roles!$B$17:$B$20,MATCH(J1906,Roles!$A$17:$A$20,0)),1)</f>
        <v/>
      </c>
      <c r="L1906" s="19" t="n">
        <v>1</v>
      </c>
      <c r="M1906" s="11" t="n">
        <v>1</v>
      </c>
      <c r="N1906" s="19" t="n"/>
      <c r="O1906" s="19" t="n"/>
      <c r="P1906" s="19" t="n"/>
      <c r="Q1906" s="19" t="n"/>
      <c r="R1906" s="19" t="n"/>
      <c r="S1906" s="19" t="n"/>
      <c r="T1906" s="19" t="n"/>
      <c r="U1906" s="19" t="n"/>
      <c r="V1906" s="19" t="n"/>
      <c r="W1906" s="19" t="n"/>
      <c r="X1906" s="19" t="n"/>
      <c r="Y1906" s="19" t="n">
        <v>1</v>
      </c>
      <c r="Z1906" s="13">
        <f>SUMPRODUCT(N1906:Y1906,$N$2:$Y$2)*$K1906*$L1906*$M1906</f>
        <v/>
      </c>
      <c r="AA1906" s="14">
        <f>SUM(N1906:Y1906)</f>
        <v/>
      </c>
      <c r="AB1906" s="13">
        <f>SUMPRODUCT(N1906:Y1906,$N$3:$Y$3)*$K1906*$L1906*$M1906</f>
        <v/>
      </c>
      <c r="AC1906" s="13">
        <f>SUMPRODUCT(N1906:Y1906,$N$4:$Y$4)*$K1906*$L1906*$M1906</f>
        <v/>
      </c>
      <c r="AD1906" s="15" t="n">
        <v>3</v>
      </c>
      <c r="AE1906" s="11" t="n">
        <v>1.011296296296296</v>
      </c>
      <c r="AF1906" s="16">
        <f>SUMPRODUCT(N1906:Y1906,$N$5:$Y$5)*$K1906*$L1906*$M1906</f>
        <v/>
      </c>
      <c r="AG1906" s="16">
        <f>SUMPRODUCT(N1906:Y1906,$N$6:$Y$6)*$K1906*$L1906*$M1906</f>
        <v/>
      </c>
      <c r="AH1906" s="20" t="n"/>
    </row>
    <row r="1907">
      <c r="A1907" s="9" t="n">
        <v>821276</v>
      </c>
      <c r="B1907" s="9" t="inlineStr">
        <is>
          <t>Jesús García</t>
        </is>
      </c>
      <c r="C1907" s="9" t="inlineStr">
        <is>
          <t>STL</t>
        </is>
      </c>
      <c r="D1907" s="9" t="n">
        <v>25</v>
      </c>
      <c r="E1907" s="18" t="inlineStr">
        <is>
          <t>R</t>
        </is>
      </c>
      <c r="F1907" s="18" t="n"/>
      <c r="G1907" s="9" t="n">
        <v>22.01599999999999</v>
      </c>
      <c r="H1907" s="9" t="n">
        <v>22.01599999999999</v>
      </c>
      <c r="I1907" s="9" t="inlineStr">
        <is>
          <t>Depth (no MLB IP)</t>
        </is>
      </c>
      <c r="J1907" s="18" t="inlineStr">
        <is>
          <t>Opening Day</t>
        </is>
      </c>
      <c r="K1907" s="11">
        <f>IFERROR(INDEX(Roles!$B$17:$B$20,MATCH(J1907,Roles!$A$17:$A$20,0)),1)</f>
        <v/>
      </c>
      <c r="L1907" s="19" t="n">
        <v>1</v>
      </c>
      <c r="M1907" s="11" t="n">
        <v>1</v>
      </c>
      <c r="N1907" s="19" t="n"/>
      <c r="O1907" s="19" t="n"/>
      <c r="P1907" s="19" t="n"/>
      <c r="Q1907" s="19" t="n"/>
      <c r="R1907" s="19" t="n"/>
      <c r="S1907" s="19" t="n"/>
      <c r="T1907" s="19" t="n"/>
      <c r="U1907" s="19" t="n"/>
      <c r="V1907" s="19" t="n"/>
      <c r="W1907" s="19" t="n"/>
      <c r="X1907" s="19" t="n"/>
      <c r="Y1907" s="19" t="n">
        <v>1</v>
      </c>
      <c r="Z1907" s="13">
        <f>SUMPRODUCT(N1907:Y1907,$N$2:$Y$2)*$K1907*$L1907*$M1907</f>
        <v/>
      </c>
      <c r="AA1907" s="14">
        <f>SUM(N1907:Y1907)</f>
        <v/>
      </c>
      <c r="AB1907" s="13">
        <f>SUMPRODUCT(N1907:Y1907,$N$3:$Y$3)*$K1907*$L1907*$M1907</f>
        <v/>
      </c>
      <c r="AC1907" s="13">
        <f>SUMPRODUCT(N1907:Y1907,$N$4:$Y$4)*$K1907*$L1907*$M1907</f>
        <v/>
      </c>
      <c r="AD1907" s="15" t="n">
        <v>3</v>
      </c>
      <c r="AE1907" s="11" t="n">
        <v>1.011296296296296</v>
      </c>
      <c r="AF1907" s="16">
        <f>SUMPRODUCT(N1907:Y1907,$N$5:$Y$5)*$K1907*$L1907*$M1907</f>
        <v/>
      </c>
      <c r="AG1907" s="16">
        <f>SUMPRODUCT(N1907:Y1907,$N$6:$Y$6)*$K1907*$L1907*$M1907</f>
        <v/>
      </c>
      <c r="AH1907" s="20" t="n"/>
    </row>
    <row r="1908">
      <c r="A1908" s="9" t="n">
        <v>686762</v>
      </c>
      <c r="B1908" s="9" t="inlineStr">
        <is>
          <t>Austin Roberts</t>
        </is>
      </c>
      <c r="C1908" s="9" t="inlineStr">
        <is>
          <t>TEX</t>
        </is>
      </c>
      <c r="D1908" s="9" t="n">
        <v>25</v>
      </c>
      <c r="E1908" s="18" t="inlineStr">
        <is>
          <t>R</t>
        </is>
      </c>
      <c r="F1908" s="18" t="n"/>
      <c r="G1908" s="9" t="n">
        <v>22.07333333333333</v>
      </c>
      <c r="H1908" s="9" t="n">
        <v>22.07333333333333</v>
      </c>
      <c r="I1908" s="9" t="inlineStr">
        <is>
          <t>Depth (no MLB IP)</t>
        </is>
      </c>
      <c r="J1908" s="18" t="inlineStr">
        <is>
          <t>Opening Day</t>
        </is>
      </c>
      <c r="K1908" s="11">
        <f>IFERROR(INDEX(Roles!$B$17:$B$20,MATCH(J1908,Roles!$A$17:$A$20,0)),1)</f>
        <v/>
      </c>
      <c r="L1908" s="19" t="n">
        <v>1</v>
      </c>
      <c r="M1908" s="11" t="n">
        <v>1</v>
      </c>
      <c r="N1908" s="19" t="n"/>
      <c r="O1908" s="19" t="n"/>
      <c r="P1908" s="19" t="n"/>
      <c r="Q1908" s="19" t="n"/>
      <c r="R1908" s="19" t="n"/>
      <c r="S1908" s="19" t="n"/>
      <c r="T1908" s="19" t="n"/>
      <c r="U1908" s="19" t="n"/>
      <c r="V1908" s="19" t="n"/>
      <c r="W1908" s="19" t="n"/>
      <c r="X1908" s="19" t="n"/>
      <c r="Y1908" s="19" t="n">
        <v>1</v>
      </c>
      <c r="Z1908" s="13">
        <f>SUMPRODUCT(N1908:Y1908,$N$2:$Y$2)*$K1908*$L1908*$M1908</f>
        <v/>
      </c>
      <c r="AA1908" s="14">
        <f>SUM(N1908:Y1908)</f>
        <v/>
      </c>
      <c r="AB1908" s="13">
        <f>SUMPRODUCT(N1908:Y1908,$N$3:$Y$3)*$K1908*$L1908*$M1908</f>
        <v/>
      </c>
      <c r="AC1908" s="13">
        <f>SUMPRODUCT(N1908:Y1908,$N$4:$Y$4)*$K1908*$L1908*$M1908</f>
        <v/>
      </c>
      <c r="AD1908" s="15" t="n">
        <v>3</v>
      </c>
      <c r="AE1908" s="11" t="n">
        <v>1.011296296296296</v>
      </c>
      <c r="AF1908" s="16">
        <f>SUMPRODUCT(N1908:Y1908,$N$5:$Y$5)*$K1908*$L1908*$M1908</f>
        <v/>
      </c>
      <c r="AG1908" s="16">
        <f>SUMPRODUCT(N1908:Y1908,$N$6:$Y$6)*$K1908*$L1908*$M1908</f>
        <v/>
      </c>
      <c r="AH1908" s="20" t="n"/>
    </row>
    <row r="1909">
      <c r="A1909" s="9" t="n">
        <v>695572</v>
      </c>
      <c r="B1909" s="9" t="inlineStr">
        <is>
          <t>Will Koger</t>
        </is>
      </c>
      <c r="C1909" s="9" t="inlineStr">
        <is>
          <t>SD</t>
        </is>
      </c>
      <c r="D1909" s="9" t="n">
        <v>25</v>
      </c>
      <c r="E1909" s="18" t="inlineStr">
        <is>
          <t>R</t>
        </is>
      </c>
      <c r="F1909" s="18" t="n"/>
      <c r="G1909" s="9" t="n">
        <v>22.07333333333334</v>
      </c>
      <c r="H1909" s="9" t="n">
        <v>22.07333333333334</v>
      </c>
      <c r="I1909" s="9" t="inlineStr">
        <is>
          <t>Depth (no MLB IP)</t>
        </is>
      </c>
      <c r="J1909" s="18" t="inlineStr">
        <is>
          <t>Opening Day</t>
        </is>
      </c>
      <c r="K1909" s="11">
        <f>IFERROR(INDEX(Roles!$B$17:$B$20,MATCH(J1909,Roles!$A$17:$A$20,0)),1)</f>
        <v/>
      </c>
      <c r="L1909" s="19" t="n">
        <v>1</v>
      </c>
      <c r="M1909" s="11" t="n">
        <v>1</v>
      </c>
      <c r="N1909" s="19" t="n"/>
      <c r="O1909" s="19" t="n"/>
      <c r="P1909" s="19" t="n"/>
      <c r="Q1909" s="19" t="n"/>
      <c r="R1909" s="19" t="n"/>
      <c r="S1909" s="19" t="n"/>
      <c r="T1909" s="19" t="n"/>
      <c r="U1909" s="19" t="n"/>
      <c r="V1909" s="19" t="n"/>
      <c r="W1909" s="19" t="n"/>
      <c r="X1909" s="19" t="n"/>
      <c r="Y1909" s="19" t="n">
        <v>1</v>
      </c>
      <c r="Z1909" s="13">
        <f>SUMPRODUCT(N1909:Y1909,$N$2:$Y$2)*$K1909*$L1909*$M1909</f>
        <v/>
      </c>
      <c r="AA1909" s="14">
        <f>SUM(N1909:Y1909)</f>
        <v/>
      </c>
      <c r="AB1909" s="13">
        <f>SUMPRODUCT(N1909:Y1909,$N$3:$Y$3)*$K1909*$L1909*$M1909</f>
        <v/>
      </c>
      <c r="AC1909" s="13">
        <f>SUMPRODUCT(N1909:Y1909,$N$4:$Y$4)*$K1909*$L1909*$M1909</f>
        <v/>
      </c>
      <c r="AD1909" s="15" t="n">
        <v>3</v>
      </c>
      <c r="AE1909" s="11" t="n">
        <v>1.011296296296296</v>
      </c>
      <c r="AF1909" s="16">
        <f>SUMPRODUCT(N1909:Y1909,$N$5:$Y$5)*$K1909*$L1909*$M1909</f>
        <v/>
      </c>
      <c r="AG1909" s="16">
        <f>SUMPRODUCT(N1909:Y1909,$N$6:$Y$6)*$K1909*$L1909*$M1909</f>
        <v/>
      </c>
      <c r="AH1909" s="20" t="n"/>
    </row>
    <row r="1910">
      <c r="A1910" s="9" t="n">
        <v>692414</v>
      </c>
      <c r="B1910" s="9" t="inlineStr">
        <is>
          <t>Yoniel Curet</t>
        </is>
      </c>
      <c r="C1910" s="9" t="inlineStr">
        <is>
          <t>DET</t>
        </is>
      </c>
      <c r="D1910" s="9" t="n">
        <v>25</v>
      </c>
      <c r="E1910" s="18" t="inlineStr">
        <is>
          <t>R</t>
        </is>
      </c>
      <c r="F1910" s="18" t="n"/>
      <c r="G1910" s="9" t="n">
        <v>22.07333333333333</v>
      </c>
      <c r="H1910" s="9" t="n">
        <v>22.07333333333333</v>
      </c>
      <c r="I1910" s="9" t="inlineStr">
        <is>
          <t>Depth (no MLB IP)</t>
        </is>
      </c>
      <c r="J1910" s="18" t="inlineStr">
        <is>
          <t>Opening Day</t>
        </is>
      </c>
      <c r="K1910" s="11">
        <f>IFERROR(INDEX(Roles!$B$17:$B$20,MATCH(J1910,Roles!$A$17:$A$20,0)),1)</f>
        <v/>
      </c>
      <c r="L1910" s="19" t="n">
        <v>1</v>
      </c>
      <c r="M1910" s="11" t="n">
        <v>1</v>
      </c>
      <c r="N1910" s="19" t="n"/>
      <c r="O1910" s="19" t="n"/>
      <c r="P1910" s="19" t="n"/>
      <c r="Q1910" s="19" t="n"/>
      <c r="R1910" s="19" t="n"/>
      <c r="S1910" s="19" t="n"/>
      <c r="T1910" s="19" t="n"/>
      <c r="U1910" s="19" t="n"/>
      <c r="V1910" s="19" t="n"/>
      <c r="W1910" s="19" t="n"/>
      <c r="X1910" s="19" t="n"/>
      <c r="Y1910" s="19" t="n">
        <v>1</v>
      </c>
      <c r="Z1910" s="13">
        <f>SUMPRODUCT(N1910:Y1910,$N$2:$Y$2)*$K1910*$L1910*$M1910</f>
        <v/>
      </c>
      <c r="AA1910" s="14">
        <f>SUM(N1910:Y1910)</f>
        <v/>
      </c>
      <c r="AB1910" s="13">
        <f>SUMPRODUCT(N1910:Y1910,$N$3:$Y$3)*$K1910*$L1910*$M1910</f>
        <v/>
      </c>
      <c r="AC1910" s="13">
        <f>SUMPRODUCT(N1910:Y1910,$N$4:$Y$4)*$K1910*$L1910*$M1910</f>
        <v/>
      </c>
      <c r="AD1910" s="15" t="n">
        <v>3</v>
      </c>
      <c r="AE1910" s="11" t="n">
        <v>1.011296296296296</v>
      </c>
      <c r="AF1910" s="16">
        <f>SUMPRODUCT(N1910:Y1910,$N$5:$Y$5)*$K1910*$L1910*$M1910</f>
        <v/>
      </c>
      <c r="AG1910" s="16">
        <f>SUMPRODUCT(N1910:Y1910,$N$6:$Y$6)*$K1910*$L1910*$M1910</f>
        <v/>
      </c>
      <c r="AH1910" s="20" t="n"/>
    </row>
    <row r="1911">
      <c r="A1911" s="9" t="n">
        <v>664346</v>
      </c>
      <c r="B1911" s="9" t="inlineStr">
        <is>
          <t>Carlos Guzman</t>
        </is>
      </c>
      <c r="C1911" s="9" t="inlineStr">
        <is>
          <t>NYM</t>
        </is>
      </c>
      <c r="D1911" s="9" t="n">
        <v>25</v>
      </c>
      <c r="E1911" s="18" t="inlineStr">
        <is>
          <t>R</t>
        </is>
      </c>
      <c r="F1911" s="18" t="n"/>
      <c r="G1911" s="9" t="n">
        <v>22.07333333333333</v>
      </c>
      <c r="H1911" s="9" t="n">
        <v>22.07333333333333</v>
      </c>
      <c r="I1911" s="9" t="inlineStr">
        <is>
          <t>Depth (no MLB IP)</t>
        </is>
      </c>
      <c r="J1911" s="18" t="inlineStr">
        <is>
          <t>Opening Day</t>
        </is>
      </c>
      <c r="K1911" s="11">
        <f>IFERROR(INDEX(Roles!$B$17:$B$20,MATCH(J1911,Roles!$A$17:$A$20,0)),1)</f>
        <v/>
      </c>
      <c r="L1911" s="19" t="n">
        <v>1</v>
      </c>
      <c r="M1911" s="11" t="n">
        <v>1</v>
      </c>
      <c r="N1911" s="19" t="n"/>
      <c r="O1911" s="19" t="n"/>
      <c r="P1911" s="19" t="n"/>
      <c r="Q1911" s="19" t="n"/>
      <c r="R1911" s="19" t="n"/>
      <c r="S1911" s="19" t="n"/>
      <c r="T1911" s="19" t="n"/>
      <c r="U1911" s="19" t="n"/>
      <c r="V1911" s="19" t="n"/>
      <c r="W1911" s="19" t="n"/>
      <c r="X1911" s="19" t="n"/>
      <c r="Y1911" s="19" t="n">
        <v>1</v>
      </c>
      <c r="Z1911" s="13">
        <f>SUMPRODUCT(N1911:Y1911,$N$2:$Y$2)*$K1911*$L1911*$M1911</f>
        <v/>
      </c>
      <c r="AA1911" s="14">
        <f>SUM(N1911:Y1911)</f>
        <v/>
      </c>
      <c r="AB1911" s="13">
        <f>SUMPRODUCT(N1911:Y1911,$N$3:$Y$3)*$K1911*$L1911*$M1911</f>
        <v/>
      </c>
      <c r="AC1911" s="13">
        <f>SUMPRODUCT(N1911:Y1911,$N$4:$Y$4)*$K1911*$L1911*$M1911</f>
        <v/>
      </c>
      <c r="AD1911" s="15" t="n">
        <v>3</v>
      </c>
      <c r="AE1911" s="11" t="n">
        <v>1.011296296296296</v>
      </c>
      <c r="AF1911" s="16">
        <f>SUMPRODUCT(N1911:Y1911,$N$5:$Y$5)*$K1911*$L1911*$M1911</f>
        <v/>
      </c>
      <c r="AG1911" s="16">
        <f>SUMPRODUCT(N1911:Y1911,$N$6:$Y$6)*$K1911*$L1911*$M1911</f>
        <v/>
      </c>
      <c r="AH1911" s="20" t="n"/>
    </row>
    <row r="1912">
      <c r="A1912" s="9" t="n">
        <v>806413</v>
      </c>
      <c r="B1912" s="9" t="inlineStr">
        <is>
          <t>Daniel Guerra</t>
        </is>
      </c>
      <c r="C1912" s="9" t="inlineStr">
        <is>
          <t>TOR</t>
        </is>
      </c>
      <c r="D1912" s="9" t="n">
        <v>23</v>
      </c>
      <c r="E1912" s="18" t="inlineStr">
        <is>
          <t>R</t>
        </is>
      </c>
      <c r="F1912" s="18" t="n"/>
      <c r="G1912" s="9" t="n">
        <v>22.07333333333333</v>
      </c>
      <c r="H1912" s="9" t="n">
        <v>22.07333333333333</v>
      </c>
      <c r="I1912" s="9" t="inlineStr">
        <is>
          <t>Depth (no MLB IP)</t>
        </is>
      </c>
      <c r="J1912" s="18" t="inlineStr">
        <is>
          <t>Opening Day</t>
        </is>
      </c>
      <c r="K1912" s="11">
        <f>IFERROR(INDEX(Roles!$B$17:$B$20,MATCH(J1912,Roles!$A$17:$A$20,0)),1)</f>
        <v/>
      </c>
      <c r="L1912" s="19" t="n">
        <v>1</v>
      </c>
      <c r="M1912" s="11" t="n">
        <v>1</v>
      </c>
      <c r="N1912" s="19" t="n"/>
      <c r="O1912" s="19" t="n"/>
      <c r="P1912" s="19" t="n"/>
      <c r="Q1912" s="19" t="n"/>
      <c r="R1912" s="19" t="n"/>
      <c r="S1912" s="19" t="n"/>
      <c r="T1912" s="19" t="n"/>
      <c r="U1912" s="19" t="n"/>
      <c r="V1912" s="19" t="n"/>
      <c r="W1912" s="19" t="n"/>
      <c r="X1912" s="19" t="n"/>
      <c r="Y1912" s="19" t="n">
        <v>1</v>
      </c>
      <c r="Z1912" s="13">
        <f>SUMPRODUCT(N1912:Y1912,$N$2:$Y$2)*$K1912*$L1912*$M1912</f>
        <v/>
      </c>
      <c r="AA1912" s="14">
        <f>SUM(N1912:Y1912)</f>
        <v/>
      </c>
      <c r="AB1912" s="13">
        <f>SUMPRODUCT(N1912:Y1912,$N$3:$Y$3)*$K1912*$L1912*$M1912</f>
        <v/>
      </c>
      <c r="AC1912" s="13">
        <f>SUMPRODUCT(N1912:Y1912,$N$4:$Y$4)*$K1912*$L1912*$M1912</f>
        <v/>
      </c>
      <c r="AD1912" s="15" t="n">
        <v>3</v>
      </c>
      <c r="AE1912" s="11" t="n">
        <v>1.011296296296296</v>
      </c>
      <c r="AF1912" s="16">
        <f>SUMPRODUCT(N1912:Y1912,$N$5:$Y$5)*$K1912*$L1912*$M1912</f>
        <v/>
      </c>
      <c r="AG1912" s="16">
        <f>SUMPRODUCT(N1912:Y1912,$N$6:$Y$6)*$K1912*$L1912*$M1912</f>
        <v/>
      </c>
      <c r="AH1912" s="20" t="n"/>
    </row>
    <row r="1913">
      <c r="A1913" s="9" t="n">
        <v>689958</v>
      </c>
      <c r="B1913" s="9" t="inlineStr">
        <is>
          <t>Andrew Walters</t>
        </is>
      </c>
      <c r="C1913" s="9" t="inlineStr">
        <is>
          <t>CLE</t>
        </is>
      </c>
      <c r="D1913" s="9" t="n">
        <v>26</v>
      </c>
      <c r="E1913" s="18" t="inlineStr">
        <is>
          <t>R</t>
        </is>
      </c>
      <c r="F1913" s="18" t="n"/>
      <c r="G1913" s="9" t="n">
        <v>6</v>
      </c>
      <c r="H1913" s="9" t="n">
        <v>38</v>
      </c>
      <c r="I1913" s="9" t="inlineStr">
        <is>
          <t>Depth (no MLB IP)</t>
        </is>
      </c>
      <c r="J1913" s="18" t="inlineStr">
        <is>
          <t>Opening Day</t>
        </is>
      </c>
      <c r="K1913" s="11">
        <f>IFERROR(INDEX(Roles!$B$17:$B$20,MATCH(J1913,Roles!$A$17:$A$20,0)),1)</f>
        <v/>
      </c>
      <c r="L1913" s="19" t="n">
        <v>1</v>
      </c>
      <c r="M1913" s="11" t="n">
        <v>1</v>
      </c>
      <c r="N1913" s="19" t="n"/>
      <c r="O1913" s="19" t="n"/>
      <c r="P1913" s="19" t="n"/>
      <c r="Q1913" s="19" t="n"/>
      <c r="R1913" s="19" t="n"/>
      <c r="S1913" s="19" t="n"/>
      <c r="T1913" s="19" t="n"/>
      <c r="U1913" s="19" t="n"/>
      <c r="V1913" s="19" t="n"/>
      <c r="W1913" s="19" t="n"/>
      <c r="X1913" s="19" t="n"/>
      <c r="Y1913" s="19" t="n">
        <v>1</v>
      </c>
      <c r="Z1913" s="13">
        <f>SUMPRODUCT(N1913:Y1913,$N$2:$Y$2)*$K1913*$L1913*$M1913</f>
        <v/>
      </c>
      <c r="AA1913" s="14">
        <f>SUM(N1913:Y1913)</f>
        <v/>
      </c>
      <c r="AB1913" s="13">
        <f>SUMPRODUCT(N1913:Y1913,$N$3:$Y$3)*$K1913*$L1913*$M1913</f>
        <v/>
      </c>
      <c r="AC1913" s="13">
        <f>SUMPRODUCT(N1913:Y1913,$N$4:$Y$4)*$K1913*$L1913*$M1913</f>
        <v/>
      </c>
      <c r="AD1913" s="15" t="n">
        <v>3.8</v>
      </c>
      <c r="AE1913" s="11" t="n">
        <v>0.964795821462488</v>
      </c>
      <c r="AF1913" s="16">
        <f>SUMPRODUCT(N1913:Y1913,$N$5:$Y$5)*$K1913*$L1913*$M1913</f>
        <v/>
      </c>
      <c r="AG1913" s="16">
        <f>SUMPRODUCT(N1913:Y1913,$N$6:$Y$6)*$K1913*$L1913*$M1913</f>
        <v/>
      </c>
      <c r="AH1913" s="20" t="n"/>
    </row>
    <row r="1914">
      <c r="A1914" s="9" t="n">
        <v>645305</v>
      </c>
      <c r="B1914" s="9" t="inlineStr">
        <is>
          <t>Ali Sánchez</t>
        </is>
      </c>
      <c r="C1914" s="9" t="inlineStr">
        <is>
          <t>TOR</t>
        </is>
      </c>
      <c r="D1914" s="9" t="n">
        <v>30</v>
      </c>
      <c r="E1914" s="18" t="inlineStr">
        <is>
          <t>R</t>
        </is>
      </c>
      <c r="F1914" s="18" t="n"/>
      <c r="G1914" s="9" t="n">
        <v>6</v>
      </c>
      <c r="H1914" s="9" t="n">
        <v>6</v>
      </c>
      <c r="I1914" s="9" t="inlineStr">
        <is>
          <t>Depth (no MLB IP)</t>
        </is>
      </c>
      <c r="J1914" s="18" t="inlineStr">
        <is>
          <t>Opening Day</t>
        </is>
      </c>
      <c r="K1914" s="11">
        <f>IFERROR(INDEX(Roles!$B$17:$B$20,MATCH(J1914,Roles!$A$17:$A$20,0)),1)</f>
        <v/>
      </c>
      <c r="L1914" s="19" t="n">
        <v>1</v>
      </c>
      <c r="M1914" s="11" t="n">
        <v>1</v>
      </c>
      <c r="N1914" s="19" t="n"/>
      <c r="O1914" s="19" t="n"/>
      <c r="P1914" s="19" t="n"/>
      <c r="Q1914" s="19" t="n"/>
      <c r="R1914" s="19" t="n"/>
      <c r="S1914" s="19" t="n"/>
      <c r="T1914" s="19" t="n"/>
      <c r="U1914" s="19" t="n"/>
      <c r="V1914" s="19" t="n"/>
      <c r="W1914" s="19" t="n"/>
      <c r="X1914" s="19" t="n"/>
      <c r="Y1914" s="19" t="n">
        <v>1</v>
      </c>
      <c r="Z1914" s="13">
        <f>SUMPRODUCT(N1914:Y1914,$N$2:$Y$2)*$K1914*$L1914*$M1914</f>
        <v/>
      </c>
      <c r="AA1914" s="14">
        <f>SUM(N1914:Y1914)</f>
        <v/>
      </c>
      <c r="AB1914" s="13">
        <f>SUMPRODUCT(N1914:Y1914,$N$3:$Y$3)*$K1914*$L1914*$M1914</f>
        <v/>
      </c>
      <c r="AC1914" s="13">
        <f>SUMPRODUCT(N1914:Y1914,$N$4:$Y$4)*$K1914*$L1914*$M1914</f>
        <v/>
      </c>
      <c r="AD1914" s="15" t="n">
        <v>1.8</v>
      </c>
      <c r="AE1914" s="11" t="n">
        <v>1.007530864197531</v>
      </c>
      <c r="AF1914" s="16">
        <f>SUMPRODUCT(N1914:Y1914,$N$5:$Y$5)*$K1914*$L1914*$M1914</f>
        <v/>
      </c>
      <c r="AG1914" s="16">
        <f>SUMPRODUCT(N1914:Y1914,$N$6:$Y$6)*$K1914*$L1914*$M1914</f>
        <v/>
      </c>
      <c r="AH1914" s="20" t="n"/>
    </row>
    <row r="1915">
      <c r="A1915" s="9" t="n">
        <v>805517</v>
      </c>
      <c r="B1915" s="9" t="inlineStr">
        <is>
          <t>Jackson Steensma</t>
        </is>
      </c>
      <c r="C1915" s="9" t="inlineStr">
        <is>
          <t>SEA</t>
        </is>
      </c>
      <c r="D1915" s="9" t="n">
        <v>25</v>
      </c>
      <c r="E1915" s="18" t="inlineStr">
        <is>
          <t>R</t>
        </is>
      </c>
      <c r="F1915" s="18" t="n"/>
      <c r="G1915" s="9" t="n">
        <v>22.36</v>
      </c>
      <c r="H1915" s="9" t="n">
        <v>22.36</v>
      </c>
      <c r="I1915" s="9" t="inlineStr">
        <is>
          <t>Depth (no MLB IP)</t>
        </is>
      </c>
      <c r="J1915" s="18" t="inlineStr">
        <is>
          <t>Opening Day</t>
        </is>
      </c>
      <c r="K1915" s="11">
        <f>IFERROR(INDEX(Roles!$B$17:$B$20,MATCH(J1915,Roles!$A$17:$A$20,0)),1)</f>
        <v/>
      </c>
      <c r="L1915" s="19" t="n">
        <v>1</v>
      </c>
      <c r="M1915" s="11" t="n">
        <v>1</v>
      </c>
      <c r="N1915" s="19" t="n"/>
      <c r="O1915" s="19" t="n"/>
      <c r="P1915" s="19" t="n"/>
      <c r="Q1915" s="19" t="n"/>
      <c r="R1915" s="19" t="n"/>
      <c r="S1915" s="19" t="n"/>
      <c r="T1915" s="19" t="n"/>
      <c r="U1915" s="19" t="n"/>
      <c r="V1915" s="19" t="n"/>
      <c r="W1915" s="19" t="n"/>
      <c r="X1915" s="19" t="n"/>
      <c r="Y1915" s="19" t="n">
        <v>1</v>
      </c>
      <c r="Z1915" s="13">
        <f>SUMPRODUCT(N1915:Y1915,$N$2:$Y$2)*$K1915*$L1915*$M1915</f>
        <v/>
      </c>
      <c r="AA1915" s="14">
        <f>SUM(N1915:Y1915)</f>
        <v/>
      </c>
      <c r="AB1915" s="13">
        <f>SUMPRODUCT(N1915:Y1915,$N$3:$Y$3)*$K1915*$L1915*$M1915</f>
        <v/>
      </c>
      <c r="AC1915" s="13">
        <f>SUMPRODUCT(N1915:Y1915,$N$4:$Y$4)*$K1915*$L1915*$M1915</f>
        <v/>
      </c>
      <c r="AD1915" s="15" t="n">
        <v>3</v>
      </c>
      <c r="AE1915" s="11" t="n">
        <v>1.011296296296296</v>
      </c>
      <c r="AF1915" s="16">
        <f>SUMPRODUCT(N1915:Y1915,$N$5:$Y$5)*$K1915*$L1915*$M1915</f>
        <v/>
      </c>
      <c r="AG1915" s="16">
        <f>SUMPRODUCT(N1915:Y1915,$N$6:$Y$6)*$K1915*$L1915*$M1915</f>
        <v/>
      </c>
      <c r="AH1915" s="20" t="n"/>
    </row>
    <row r="1916">
      <c r="A1916" s="9" t="n">
        <v>806244</v>
      </c>
      <c r="B1916" s="9" t="inlineStr">
        <is>
          <t>Josh Tiedemann</t>
        </is>
      </c>
      <c r="C1916" s="9" t="inlineStr">
        <is>
          <t>NYY</t>
        </is>
      </c>
      <c r="D1916" s="9" t="n">
        <v>25</v>
      </c>
      <c r="E1916" s="18" t="inlineStr">
        <is>
          <t>R</t>
        </is>
      </c>
      <c r="F1916" s="18" t="n"/>
      <c r="G1916" s="9" t="n">
        <v>22.36</v>
      </c>
      <c r="H1916" s="9" t="n">
        <v>22.36</v>
      </c>
      <c r="I1916" s="9" t="inlineStr">
        <is>
          <t>Depth (no MLB IP)</t>
        </is>
      </c>
      <c r="J1916" s="18" t="inlineStr">
        <is>
          <t>Opening Day</t>
        </is>
      </c>
      <c r="K1916" s="11">
        <f>IFERROR(INDEX(Roles!$B$17:$B$20,MATCH(J1916,Roles!$A$17:$A$20,0)),1)</f>
        <v/>
      </c>
      <c r="L1916" s="19" t="n">
        <v>1</v>
      </c>
      <c r="M1916" s="11" t="n">
        <v>1</v>
      </c>
      <c r="N1916" s="19" t="n"/>
      <c r="O1916" s="19" t="n"/>
      <c r="P1916" s="19" t="n"/>
      <c r="Q1916" s="19" t="n"/>
      <c r="R1916" s="19" t="n"/>
      <c r="S1916" s="19" t="n"/>
      <c r="T1916" s="19" t="n"/>
      <c r="U1916" s="19" t="n"/>
      <c r="V1916" s="19" t="n"/>
      <c r="W1916" s="19" t="n"/>
      <c r="X1916" s="19" t="n"/>
      <c r="Y1916" s="19" t="n">
        <v>1</v>
      </c>
      <c r="Z1916" s="13">
        <f>SUMPRODUCT(N1916:Y1916,$N$2:$Y$2)*$K1916*$L1916*$M1916</f>
        <v/>
      </c>
      <c r="AA1916" s="14">
        <f>SUM(N1916:Y1916)</f>
        <v/>
      </c>
      <c r="AB1916" s="13">
        <f>SUMPRODUCT(N1916:Y1916,$N$3:$Y$3)*$K1916*$L1916*$M1916</f>
        <v/>
      </c>
      <c r="AC1916" s="13">
        <f>SUMPRODUCT(N1916:Y1916,$N$4:$Y$4)*$K1916*$L1916*$M1916</f>
        <v/>
      </c>
      <c r="AD1916" s="15" t="n">
        <v>3</v>
      </c>
      <c r="AE1916" s="11" t="n">
        <v>1.011296296296296</v>
      </c>
      <c r="AF1916" s="16">
        <f>SUMPRODUCT(N1916:Y1916,$N$5:$Y$5)*$K1916*$L1916*$M1916</f>
        <v/>
      </c>
      <c r="AG1916" s="16">
        <f>SUMPRODUCT(N1916:Y1916,$N$6:$Y$6)*$K1916*$L1916*$M1916</f>
        <v/>
      </c>
      <c r="AH1916" s="20" t="n"/>
    </row>
    <row r="1917">
      <c r="A1917" s="9" t="n">
        <v>805737</v>
      </c>
      <c r="B1917" s="9" t="inlineStr">
        <is>
          <t>Bjay Cooke</t>
        </is>
      </c>
      <c r="C1917" s="9" t="inlineStr">
        <is>
          <t>OAK</t>
        </is>
      </c>
      <c r="D1917" s="9" t="n">
        <v>25</v>
      </c>
      <c r="E1917" s="18" t="inlineStr">
        <is>
          <t>R</t>
        </is>
      </c>
      <c r="F1917" s="18" t="n"/>
      <c r="G1917" s="9" t="n">
        <v>22.36</v>
      </c>
      <c r="H1917" s="9" t="n">
        <v>22.36</v>
      </c>
      <c r="I1917" s="9" t="inlineStr">
        <is>
          <t>Depth (no MLB IP)</t>
        </is>
      </c>
      <c r="J1917" s="18" t="inlineStr">
        <is>
          <t>Opening Day</t>
        </is>
      </c>
      <c r="K1917" s="11">
        <f>IFERROR(INDEX(Roles!$B$17:$B$20,MATCH(J1917,Roles!$A$17:$A$20,0)),1)</f>
        <v/>
      </c>
      <c r="L1917" s="19" t="n">
        <v>1</v>
      </c>
      <c r="M1917" s="11" t="n">
        <v>1</v>
      </c>
      <c r="N1917" s="19" t="n"/>
      <c r="O1917" s="19" t="n"/>
      <c r="P1917" s="19" t="n"/>
      <c r="Q1917" s="19" t="n"/>
      <c r="R1917" s="19" t="n"/>
      <c r="S1917" s="19" t="n"/>
      <c r="T1917" s="19" t="n"/>
      <c r="U1917" s="19" t="n"/>
      <c r="V1917" s="19" t="n"/>
      <c r="W1917" s="19" t="n"/>
      <c r="X1917" s="19" t="n"/>
      <c r="Y1917" s="19" t="n">
        <v>1</v>
      </c>
      <c r="Z1917" s="13">
        <f>SUMPRODUCT(N1917:Y1917,$N$2:$Y$2)*$K1917*$L1917*$M1917</f>
        <v/>
      </c>
      <c r="AA1917" s="14">
        <f>SUM(N1917:Y1917)</f>
        <v/>
      </c>
      <c r="AB1917" s="13">
        <f>SUMPRODUCT(N1917:Y1917,$N$3:$Y$3)*$K1917*$L1917*$M1917</f>
        <v/>
      </c>
      <c r="AC1917" s="13">
        <f>SUMPRODUCT(N1917:Y1917,$N$4:$Y$4)*$K1917*$L1917*$M1917</f>
        <v/>
      </c>
      <c r="AD1917" s="15" t="n">
        <v>3</v>
      </c>
      <c r="AE1917" s="11" t="n">
        <v>1.011296296296296</v>
      </c>
      <c r="AF1917" s="16">
        <f>SUMPRODUCT(N1917:Y1917,$N$5:$Y$5)*$K1917*$L1917*$M1917</f>
        <v/>
      </c>
      <c r="AG1917" s="16">
        <f>SUMPRODUCT(N1917:Y1917,$N$6:$Y$6)*$K1917*$L1917*$M1917</f>
        <v/>
      </c>
      <c r="AH1917" s="20" t="n"/>
    </row>
    <row r="1918">
      <c r="A1918" s="9" t="n">
        <v>828393</v>
      </c>
      <c r="B1918" s="9" t="inlineStr">
        <is>
          <t>Victor Zarraga</t>
        </is>
      </c>
      <c r="C1918" s="9" t="inlineStr">
        <is>
          <t>CHC</t>
        </is>
      </c>
      <c r="D1918" s="9" t="n">
        <v>25</v>
      </c>
      <c r="E1918" s="18" t="inlineStr">
        <is>
          <t>L</t>
        </is>
      </c>
      <c r="F1918" s="18" t="n"/>
      <c r="G1918" s="9" t="n">
        <v>22.532</v>
      </c>
      <c r="H1918" s="9" t="n">
        <v>22.532</v>
      </c>
      <c r="I1918" s="9" t="inlineStr">
        <is>
          <t>Depth (no MLB IP)</t>
        </is>
      </c>
      <c r="J1918" s="18" t="inlineStr">
        <is>
          <t>Opening Day</t>
        </is>
      </c>
      <c r="K1918" s="11">
        <f>IFERROR(INDEX(Roles!$B$17:$B$20,MATCH(J1918,Roles!$A$17:$A$20,0)),1)</f>
        <v/>
      </c>
      <c r="L1918" s="19" t="n">
        <v>1</v>
      </c>
      <c r="M1918" s="11" t="n">
        <v>1</v>
      </c>
      <c r="N1918" s="19" t="n"/>
      <c r="O1918" s="19" t="n"/>
      <c r="P1918" s="19" t="n"/>
      <c r="Q1918" s="19" t="n"/>
      <c r="R1918" s="19" t="n"/>
      <c r="S1918" s="19" t="n"/>
      <c r="T1918" s="19" t="n"/>
      <c r="U1918" s="19" t="n"/>
      <c r="V1918" s="19" t="n"/>
      <c r="W1918" s="19" t="n"/>
      <c r="X1918" s="19" t="n"/>
      <c r="Y1918" s="19" t="n">
        <v>1</v>
      </c>
      <c r="Z1918" s="13">
        <f>SUMPRODUCT(N1918:Y1918,$N$2:$Y$2)*$K1918*$L1918*$M1918</f>
        <v/>
      </c>
      <c r="AA1918" s="14">
        <f>SUM(N1918:Y1918)</f>
        <v/>
      </c>
      <c r="AB1918" s="13">
        <f>SUMPRODUCT(N1918:Y1918,$N$3:$Y$3)*$K1918*$L1918*$M1918</f>
        <v/>
      </c>
      <c r="AC1918" s="13">
        <f>SUMPRODUCT(N1918:Y1918,$N$4:$Y$4)*$K1918*$L1918*$M1918</f>
        <v/>
      </c>
      <c r="AD1918" s="15" t="n">
        <v>3</v>
      </c>
      <c r="AE1918" s="11" t="n">
        <v>1.011296296296296</v>
      </c>
      <c r="AF1918" s="16">
        <f>SUMPRODUCT(N1918:Y1918,$N$5:$Y$5)*$K1918*$L1918*$M1918</f>
        <v/>
      </c>
      <c r="AG1918" s="16">
        <f>SUMPRODUCT(N1918:Y1918,$N$6:$Y$6)*$K1918*$L1918*$M1918</f>
        <v/>
      </c>
      <c r="AH1918" s="20" t="n"/>
    </row>
    <row r="1919">
      <c r="A1919" s="9" t="n">
        <v>808860</v>
      </c>
      <c r="B1919" s="9" t="inlineStr">
        <is>
          <t>Aaron Savary</t>
        </is>
      </c>
      <c r="C1919" s="9" t="inlineStr">
        <is>
          <t>CLE</t>
        </is>
      </c>
      <c r="D1919" s="9" t="n">
        <v>25</v>
      </c>
      <c r="E1919" s="18" t="inlineStr">
        <is>
          <t>R</t>
        </is>
      </c>
      <c r="F1919" s="18" t="n"/>
      <c r="G1919" s="9" t="n">
        <v>22.532</v>
      </c>
      <c r="H1919" s="9" t="n">
        <v>22.532</v>
      </c>
      <c r="I1919" s="9" t="inlineStr">
        <is>
          <t>Depth (no MLB IP)</t>
        </is>
      </c>
      <c r="J1919" s="18" t="inlineStr">
        <is>
          <t>Opening Day</t>
        </is>
      </c>
      <c r="K1919" s="11">
        <f>IFERROR(INDEX(Roles!$B$17:$B$20,MATCH(J1919,Roles!$A$17:$A$20,0)),1)</f>
        <v/>
      </c>
      <c r="L1919" s="19" t="n">
        <v>1</v>
      </c>
      <c r="M1919" s="11" t="n">
        <v>1</v>
      </c>
      <c r="N1919" s="19" t="n"/>
      <c r="O1919" s="19" t="n"/>
      <c r="P1919" s="19" t="n"/>
      <c r="Q1919" s="19" t="n"/>
      <c r="R1919" s="19" t="n"/>
      <c r="S1919" s="19" t="n"/>
      <c r="T1919" s="19" t="n"/>
      <c r="U1919" s="19" t="n"/>
      <c r="V1919" s="19" t="n"/>
      <c r="W1919" s="19" t="n"/>
      <c r="X1919" s="19" t="n"/>
      <c r="Y1919" s="19" t="n">
        <v>1</v>
      </c>
      <c r="Z1919" s="13">
        <f>SUMPRODUCT(N1919:Y1919,$N$2:$Y$2)*$K1919*$L1919*$M1919</f>
        <v/>
      </c>
      <c r="AA1919" s="14">
        <f>SUM(N1919:Y1919)</f>
        <v/>
      </c>
      <c r="AB1919" s="13">
        <f>SUMPRODUCT(N1919:Y1919,$N$3:$Y$3)*$K1919*$L1919*$M1919</f>
        <v/>
      </c>
      <c r="AC1919" s="13">
        <f>SUMPRODUCT(N1919:Y1919,$N$4:$Y$4)*$K1919*$L1919*$M1919</f>
        <v/>
      </c>
      <c r="AD1919" s="15" t="n">
        <v>3</v>
      </c>
      <c r="AE1919" s="11" t="n">
        <v>1.011296296296296</v>
      </c>
      <c r="AF1919" s="16">
        <f>SUMPRODUCT(N1919:Y1919,$N$5:$Y$5)*$K1919*$L1919*$M1919</f>
        <v/>
      </c>
      <c r="AG1919" s="16">
        <f>SUMPRODUCT(N1919:Y1919,$N$6:$Y$6)*$K1919*$L1919*$M1919</f>
        <v/>
      </c>
      <c r="AH1919" s="20" t="n"/>
    </row>
    <row r="1920">
      <c r="A1920" s="9" t="n">
        <v>809131</v>
      </c>
      <c r="B1920" s="9" t="inlineStr">
        <is>
          <t>Jacob Pruitt</t>
        </is>
      </c>
      <c r="C1920" s="9" t="inlineStr">
        <is>
          <t>PHI</t>
        </is>
      </c>
      <c r="D1920" s="9" t="n">
        <v>25</v>
      </c>
      <c r="E1920" s="18" t="inlineStr">
        <is>
          <t>R</t>
        </is>
      </c>
      <c r="F1920" s="18" t="n"/>
      <c r="G1920" s="9" t="n">
        <v>22.532</v>
      </c>
      <c r="H1920" s="9" t="n">
        <v>22.532</v>
      </c>
      <c r="I1920" s="9" t="inlineStr">
        <is>
          <t>Depth (no MLB IP)</t>
        </is>
      </c>
      <c r="J1920" s="18" t="inlineStr">
        <is>
          <t>Opening Day</t>
        </is>
      </c>
      <c r="K1920" s="11">
        <f>IFERROR(INDEX(Roles!$B$17:$B$20,MATCH(J1920,Roles!$A$17:$A$20,0)),1)</f>
        <v/>
      </c>
      <c r="L1920" s="19" t="n">
        <v>1</v>
      </c>
      <c r="M1920" s="11" t="n">
        <v>1</v>
      </c>
      <c r="N1920" s="19" t="n"/>
      <c r="O1920" s="19" t="n"/>
      <c r="P1920" s="19" t="n"/>
      <c r="Q1920" s="19" t="n"/>
      <c r="R1920" s="19" t="n"/>
      <c r="S1920" s="19" t="n"/>
      <c r="T1920" s="19" t="n"/>
      <c r="U1920" s="19" t="n"/>
      <c r="V1920" s="19" t="n"/>
      <c r="W1920" s="19" t="n"/>
      <c r="X1920" s="19" t="n"/>
      <c r="Y1920" s="19" t="n">
        <v>1</v>
      </c>
      <c r="Z1920" s="13">
        <f>SUMPRODUCT(N1920:Y1920,$N$2:$Y$2)*$K1920*$L1920*$M1920</f>
        <v/>
      </c>
      <c r="AA1920" s="14">
        <f>SUM(N1920:Y1920)</f>
        <v/>
      </c>
      <c r="AB1920" s="13">
        <f>SUMPRODUCT(N1920:Y1920,$N$3:$Y$3)*$K1920*$L1920*$M1920</f>
        <v/>
      </c>
      <c r="AC1920" s="13">
        <f>SUMPRODUCT(N1920:Y1920,$N$4:$Y$4)*$K1920*$L1920*$M1920</f>
        <v/>
      </c>
      <c r="AD1920" s="15" t="n">
        <v>3</v>
      </c>
      <c r="AE1920" s="11" t="n">
        <v>1.011296296296296</v>
      </c>
      <c r="AF1920" s="16">
        <f>SUMPRODUCT(N1920:Y1920,$N$5:$Y$5)*$K1920*$L1920*$M1920</f>
        <v/>
      </c>
      <c r="AG1920" s="16">
        <f>SUMPRODUCT(N1920:Y1920,$N$6:$Y$6)*$K1920*$L1920*$M1920</f>
        <v/>
      </c>
      <c r="AH1920" s="20" t="n"/>
    </row>
    <row r="1921">
      <c r="A1921" s="9" t="n">
        <v>801796</v>
      </c>
      <c r="B1921" s="9" t="inlineStr">
        <is>
          <t>Eli Jones</t>
        </is>
      </c>
      <c r="C1921" s="9" t="inlineStr">
        <is>
          <t>MIN</t>
        </is>
      </c>
      <c r="D1921" s="9" t="n">
        <v>25</v>
      </c>
      <c r="E1921" s="18" t="inlineStr">
        <is>
          <t>R</t>
        </is>
      </c>
      <c r="F1921" s="18" t="n"/>
      <c r="G1921" s="9" t="n">
        <v>22.575</v>
      </c>
      <c r="H1921" s="9" t="n">
        <v>22.575</v>
      </c>
      <c r="I1921" s="9" t="inlineStr">
        <is>
          <t>Depth (no MLB IP)</t>
        </is>
      </c>
      <c r="J1921" s="18" t="inlineStr">
        <is>
          <t>Opening Day</t>
        </is>
      </c>
      <c r="K1921" s="11">
        <f>IFERROR(INDEX(Roles!$B$17:$B$20,MATCH(J1921,Roles!$A$17:$A$20,0)),1)</f>
        <v/>
      </c>
      <c r="L1921" s="19" t="n">
        <v>1</v>
      </c>
      <c r="M1921" s="11" t="n">
        <v>1</v>
      </c>
      <c r="N1921" s="19" t="n"/>
      <c r="O1921" s="19" t="n"/>
      <c r="P1921" s="19" t="n"/>
      <c r="Q1921" s="19" t="n"/>
      <c r="R1921" s="19" t="n"/>
      <c r="S1921" s="19" t="n"/>
      <c r="T1921" s="19" t="n"/>
      <c r="U1921" s="19" t="n"/>
      <c r="V1921" s="19" t="n"/>
      <c r="W1921" s="19" t="n"/>
      <c r="X1921" s="19" t="n"/>
      <c r="Y1921" s="19" t="n">
        <v>1</v>
      </c>
      <c r="Z1921" s="13">
        <f>SUMPRODUCT(N1921:Y1921,$N$2:$Y$2)*$K1921*$L1921*$M1921</f>
        <v/>
      </c>
      <c r="AA1921" s="14">
        <f>SUM(N1921:Y1921)</f>
        <v/>
      </c>
      <c r="AB1921" s="13">
        <f>SUMPRODUCT(N1921:Y1921,$N$3:$Y$3)*$K1921*$L1921*$M1921</f>
        <v/>
      </c>
      <c r="AC1921" s="13">
        <f>SUMPRODUCT(N1921:Y1921,$N$4:$Y$4)*$K1921*$L1921*$M1921</f>
        <v/>
      </c>
      <c r="AD1921" s="15" t="n">
        <v>3</v>
      </c>
      <c r="AE1921" s="11" t="n">
        <v>1.011296296296296</v>
      </c>
      <c r="AF1921" s="16">
        <f>SUMPRODUCT(N1921:Y1921,$N$5:$Y$5)*$K1921*$L1921*$M1921</f>
        <v/>
      </c>
      <c r="AG1921" s="16">
        <f>SUMPRODUCT(N1921:Y1921,$N$6:$Y$6)*$K1921*$L1921*$M1921</f>
        <v/>
      </c>
      <c r="AH1921" s="20" t="n"/>
    </row>
    <row r="1922">
      <c r="A1922" s="9" t="n">
        <v>802136</v>
      </c>
      <c r="B1922" s="9" t="inlineStr">
        <is>
          <t>Nathan Blasick</t>
        </is>
      </c>
      <c r="C1922" s="9" t="inlineStr">
        <is>
          <t>COL</t>
        </is>
      </c>
      <c r="D1922" s="9" t="n">
        <v>25</v>
      </c>
      <c r="E1922" s="18" t="inlineStr">
        <is>
          <t>R</t>
        </is>
      </c>
      <c r="F1922" s="18" t="n"/>
      <c r="G1922" s="9" t="n">
        <v>22.575</v>
      </c>
      <c r="H1922" s="9" t="n">
        <v>22.575</v>
      </c>
      <c r="I1922" s="9" t="inlineStr">
        <is>
          <t>Depth (no MLB IP)</t>
        </is>
      </c>
      <c r="J1922" s="18" t="inlineStr">
        <is>
          <t>Opening Day</t>
        </is>
      </c>
      <c r="K1922" s="11">
        <f>IFERROR(INDEX(Roles!$B$17:$B$20,MATCH(J1922,Roles!$A$17:$A$20,0)),1)</f>
        <v/>
      </c>
      <c r="L1922" s="19" t="n">
        <v>1</v>
      </c>
      <c r="M1922" s="11" t="n">
        <v>1</v>
      </c>
      <c r="N1922" s="19" t="n"/>
      <c r="O1922" s="19" t="n"/>
      <c r="P1922" s="19" t="n"/>
      <c r="Q1922" s="19" t="n"/>
      <c r="R1922" s="19" t="n"/>
      <c r="S1922" s="19" t="n"/>
      <c r="T1922" s="19" t="n"/>
      <c r="U1922" s="19" t="n"/>
      <c r="V1922" s="19" t="n"/>
      <c r="W1922" s="19" t="n"/>
      <c r="X1922" s="19" t="n"/>
      <c r="Y1922" s="19" t="n">
        <v>1</v>
      </c>
      <c r="Z1922" s="13">
        <f>SUMPRODUCT(N1922:Y1922,$N$2:$Y$2)*$K1922*$L1922*$M1922</f>
        <v/>
      </c>
      <c r="AA1922" s="14">
        <f>SUM(N1922:Y1922)</f>
        <v/>
      </c>
      <c r="AB1922" s="13">
        <f>SUMPRODUCT(N1922:Y1922,$N$3:$Y$3)*$K1922*$L1922*$M1922</f>
        <v/>
      </c>
      <c r="AC1922" s="13">
        <f>SUMPRODUCT(N1922:Y1922,$N$4:$Y$4)*$K1922*$L1922*$M1922</f>
        <v/>
      </c>
      <c r="AD1922" s="15" t="n">
        <v>3</v>
      </c>
      <c r="AE1922" s="11" t="n">
        <v>1.011296296296296</v>
      </c>
      <c r="AF1922" s="16">
        <f>SUMPRODUCT(N1922:Y1922,$N$5:$Y$5)*$K1922*$L1922*$M1922</f>
        <v/>
      </c>
      <c r="AG1922" s="16">
        <f>SUMPRODUCT(N1922:Y1922,$N$6:$Y$6)*$K1922*$L1922*$M1922</f>
        <v/>
      </c>
      <c r="AH1922" s="20" t="n"/>
    </row>
    <row r="1923">
      <c r="A1923" s="9" t="n">
        <v>823994</v>
      </c>
      <c r="B1923" s="9" t="inlineStr">
        <is>
          <t>Trace Baker</t>
        </is>
      </c>
      <c r="C1923" s="9" t="inlineStr">
        <is>
          <t>TOR</t>
        </is>
      </c>
      <c r="D1923" s="9" t="n">
        <v>25</v>
      </c>
      <c r="E1923" s="18" t="inlineStr">
        <is>
          <t>R</t>
        </is>
      </c>
      <c r="F1923" s="18" t="n"/>
      <c r="G1923" s="9" t="n">
        <v>22.64666666666666</v>
      </c>
      <c r="H1923" s="9" t="n">
        <v>22.64666666666666</v>
      </c>
      <c r="I1923" s="9" t="inlineStr">
        <is>
          <t>Depth (no MLB IP)</t>
        </is>
      </c>
      <c r="J1923" s="18" t="inlineStr">
        <is>
          <t>Opening Day</t>
        </is>
      </c>
      <c r="K1923" s="11">
        <f>IFERROR(INDEX(Roles!$B$17:$B$20,MATCH(J1923,Roles!$A$17:$A$20,0)),1)</f>
        <v/>
      </c>
      <c r="L1923" s="19" t="n">
        <v>1</v>
      </c>
      <c r="M1923" s="11" t="n">
        <v>1</v>
      </c>
      <c r="N1923" s="19" t="n"/>
      <c r="O1923" s="19" t="n"/>
      <c r="P1923" s="19" t="n"/>
      <c r="Q1923" s="19" t="n"/>
      <c r="R1923" s="19" t="n"/>
      <c r="S1923" s="19" t="n"/>
      <c r="T1923" s="19" t="n"/>
      <c r="U1923" s="19" t="n"/>
      <c r="V1923" s="19" t="n"/>
      <c r="W1923" s="19" t="n"/>
      <c r="X1923" s="19" t="n"/>
      <c r="Y1923" s="19" t="n">
        <v>1</v>
      </c>
      <c r="Z1923" s="13">
        <f>SUMPRODUCT(N1923:Y1923,$N$2:$Y$2)*$K1923*$L1923*$M1923</f>
        <v/>
      </c>
      <c r="AA1923" s="14">
        <f>SUM(N1923:Y1923)</f>
        <v/>
      </c>
      <c r="AB1923" s="13">
        <f>SUMPRODUCT(N1923:Y1923,$N$3:$Y$3)*$K1923*$L1923*$M1923</f>
        <v/>
      </c>
      <c r="AC1923" s="13">
        <f>SUMPRODUCT(N1923:Y1923,$N$4:$Y$4)*$K1923*$L1923*$M1923</f>
        <v/>
      </c>
      <c r="AD1923" s="15" t="n">
        <v>3</v>
      </c>
      <c r="AE1923" s="11" t="n">
        <v>1.011296296296296</v>
      </c>
      <c r="AF1923" s="16">
        <f>SUMPRODUCT(N1923:Y1923,$N$5:$Y$5)*$K1923*$L1923*$M1923</f>
        <v/>
      </c>
      <c r="AG1923" s="16">
        <f>SUMPRODUCT(N1923:Y1923,$N$6:$Y$6)*$K1923*$L1923*$M1923</f>
        <v/>
      </c>
      <c r="AH1923" s="20" t="n"/>
    </row>
    <row r="1924">
      <c r="A1924" s="9" t="n">
        <v>701368</v>
      </c>
      <c r="B1924" s="9" t="inlineStr">
        <is>
          <t>Kolten Smith</t>
        </is>
      </c>
      <c r="C1924" s="9" t="inlineStr">
        <is>
          <t>MIN</t>
        </is>
      </c>
      <c r="D1924" s="9" t="n">
        <v>25</v>
      </c>
      <c r="E1924" s="18" t="inlineStr">
        <is>
          <t>R</t>
        </is>
      </c>
      <c r="F1924" s="18" t="n"/>
      <c r="G1924" s="9" t="n">
        <v>22.64666666666666</v>
      </c>
      <c r="H1924" s="9" t="n">
        <v>22.64666666666666</v>
      </c>
      <c r="I1924" s="9" t="inlineStr">
        <is>
          <t>Depth (no MLB IP)</t>
        </is>
      </c>
      <c r="J1924" s="18" t="inlineStr">
        <is>
          <t>Opening Day</t>
        </is>
      </c>
      <c r="K1924" s="11">
        <f>IFERROR(INDEX(Roles!$B$17:$B$20,MATCH(J1924,Roles!$A$17:$A$20,0)),1)</f>
        <v/>
      </c>
      <c r="L1924" s="19" t="n">
        <v>1</v>
      </c>
      <c r="M1924" s="11" t="n">
        <v>1</v>
      </c>
      <c r="N1924" s="19" t="n"/>
      <c r="O1924" s="19" t="n"/>
      <c r="P1924" s="19" t="n"/>
      <c r="Q1924" s="19" t="n"/>
      <c r="R1924" s="19" t="n"/>
      <c r="S1924" s="19" t="n"/>
      <c r="T1924" s="19" t="n"/>
      <c r="U1924" s="19" t="n"/>
      <c r="V1924" s="19" t="n"/>
      <c r="W1924" s="19" t="n"/>
      <c r="X1924" s="19" t="n"/>
      <c r="Y1924" s="19" t="n">
        <v>1</v>
      </c>
      <c r="Z1924" s="13">
        <f>SUMPRODUCT(N1924:Y1924,$N$2:$Y$2)*$K1924*$L1924*$M1924</f>
        <v/>
      </c>
      <c r="AA1924" s="14">
        <f>SUM(N1924:Y1924)</f>
        <v/>
      </c>
      <c r="AB1924" s="13">
        <f>SUMPRODUCT(N1924:Y1924,$N$3:$Y$3)*$K1924*$L1924*$M1924</f>
        <v/>
      </c>
      <c r="AC1924" s="13">
        <f>SUMPRODUCT(N1924:Y1924,$N$4:$Y$4)*$K1924*$L1924*$M1924</f>
        <v/>
      </c>
      <c r="AD1924" s="15" t="n">
        <v>3</v>
      </c>
      <c r="AE1924" s="11" t="n">
        <v>1.011296296296296</v>
      </c>
      <c r="AF1924" s="16">
        <f>SUMPRODUCT(N1924:Y1924,$N$5:$Y$5)*$K1924*$L1924*$M1924</f>
        <v/>
      </c>
      <c r="AG1924" s="16">
        <f>SUMPRODUCT(N1924:Y1924,$N$6:$Y$6)*$K1924*$L1924*$M1924</f>
        <v/>
      </c>
      <c r="AH1924" s="20" t="n"/>
    </row>
    <row r="1925">
      <c r="A1925" s="9" t="n">
        <v>835609</v>
      </c>
      <c r="B1925" s="9" t="inlineStr">
        <is>
          <t>Randy Ramnarace</t>
        </is>
      </c>
      <c r="C1925" s="9" t="inlineStr">
        <is>
          <t>KC</t>
        </is>
      </c>
      <c r="D1925" s="9" t="n">
        <v>25</v>
      </c>
      <c r="E1925" s="18" t="inlineStr">
        <is>
          <t>R</t>
        </is>
      </c>
      <c r="F1925" s="18" t="n"/>
      <c r="G1925" s="9" t="n">
        <v>22.704</v>
      </c>
      <c r="H1925" s="9" t="n">
        <v>22.704</v>
      </c>
      <c r="I1925" s="9" t="inlineStr">
        <is>
          <t>Depth (no MLB IP)</t>
        </is>
      </c>
      <c r="J1925" s="18" t="inlineStr">
        <is>
          <t>Opening Day</t>
        </is>
      </c>
      <c r="K1925" s="11">
        <f>IFERROR(INDEX(Roles!$B$17:$B$20,MATCH(J1925,Roles!$A$17:$A$20,0)),1)</f>
        <v/>
      </c>
      <c r="L1925" s="19" t="n">
        <v>1</v>
      </c>
      <c r="M1925" s="11" t="n">
        <v>1</v>
      </c>
      <c r="N1925" s="19" t="n"/>
      <c r="O1925" s="19" t="n"/>
      <c r="P1925" s="19" t="n"/>
      <c r="Q1925" s="19" t="n"/>
      <c r="R1925" s="19" t="n"/>
      <c r="S1925" s="19" t="n"/>
      <c r="T1925" s="19" t="n"/>
      <c r="U1925" s="19" t="n"/>
      <c r="V1925" s="19" t="n"/>
      <c r="W1925" s="19" t="n"/>
      <c r="X1925" s="19" t="n"/>
      <c r="Y1925" s="19" t="n">
        <v>1</v>
      </c>
      <c r="Z1925" s="13">
        <f>SUMPRODUCT(N1925:Y1925,$N$2:$Y$2)*$K1925*$L1925*$M1925</f>
        <v/>
      </c>
      <c r="AA1925" s="14">
        <f>SUM(N1925:Y1925)</f>
        <v/>
      </c>
      <c r="AB1925" s="13">
        <f>SUMPRODUCT(N1925:Y1925,$N$3:$Y$3)*$K1925*$L1925*$M1925</f>
        <v/>
      </c>
      <c r="AC1925" s="13">
        <f>SUMPRODUCT(N1925:Y1925,$N$4:$Y$4)*$K1925*$L1925*$M1925</f>
        <v/>
      </c>
      <c r="AD1925" s="15" t="n">
        <v>3</v>
      </c>
      <c r="AE1925" s="11" t="n">
        <v>1.011296296296296</v>
      </c>
      <c r="AF1925" s="16">
        <f>SUMPRODUCT(N1925:Y1925,$N$5:$Y$5)*$K1925*$L1925*$M1925</f>
        <v/>
      </c>
      <c r="AG1925" s="16">
        <f>SUMPRODUCT(N1925:Y1925,$N$6:$Y$6)*$K1925*$L1925*$M1925</f>
        <v/>
      </c>
      <c r="AH1925" s="20" t="n"/>
    </row>
    <row r="1926">
      <c r="A1926" s="9" t="n">
        <v>621016</v>
      </c>
      <c r="B1926" s="9" t="inlineStr">
        <is>
          <t>Jose Cuas</t>
        </is>
      </c>
      <c r="C1926" s="9" t="inlineStr">
        <is>
          <t>KC</t>
        </is>
      </c>
      <c r="D1926" s="9" t="n">
        <v>33</v>
      </c>
      <c r="E1926" s="18" t="inlineStr">
        <is>
          <t>R</t>
        </is>
      </c>
      <c r="F1926" s="18" t="n"/>
      <c r="G1926" s="9" t="n">
        <v>108</v>
      </c>
      <c r="H1926" s="9" t="n">
        <v>663</v>
      </c>
      <c r="I1926" s="9" t="inlineStr">
        <is>
          <t>Middle Relief</t>
        </is>
      </c>
      <c r="J1926" s="18" t="inlineStr">
        <is>
          <t>Opening Day</t>
        </is>
      </c>
      <c r="K1926" s="11">
        <f>IFERROR(INDEX(Roles!$B$17:$B$20,MATCH(J1926,Roles!$A$17:$A$20,0)),1)</f>
        <v/>
      </c>
      <c r="L1926" s="19" t="n">
        <v>1</v>
      </c>
      <c r="M1926" s="11" t="n">
        <v>1</v>
      </c>
      <c r="N1926" s="19" t="n"/>
      <c r="O1926" s="19" t="n"/>
      <c r="P1926" s="19" t="n"/>
      <c r="Q1926" s="19" t="n"/>
      <c r="R1926" s="19" t="n"/>
      <c r="S1926" s="19" t="n"/>
      <c r="T1926" s="19" t="n"/>
      <c r="U1926" s="19" t="n"/>
      <c r="V1926" s="19" t="n">
        <v>0.85</v>
      </c>
      <c r="W1926" s="19" t="n">
        <v>0.15</v>
      </c>
      <c r="X1926" s="19" t="n"/>
      <c r="Y1926" s="19" t="n"/>
      <c r="Z1926" s="13">
        <f>SUMPRODUCT(N1926:Y1926,$N$2:$Y$2)*$K1926*$L1926*$M1926</f>
        <v/>
      </c>
      <c r="AA1926" s="14">
        <f>SUM(N1926:Y1926)</f>
        <v/>
      </c>
      <c r="AB1926" s="13">
        <f>SUMPRODUCT(N1926:Y1926,$N$3:$Y$3)*$K1926*$L1926*$M1926</f>
        <v/>
      </c>
      <c r="AC1926" s="13">
        <f>SUMPRODUCT(N1926:Y1926,$N$4:$Y$4)*$K1926*$L1926*$M1926</f>
        <v/>
      </c>
      <c r="AD1926" s="15" t="n">
        <v>27.48333333333333</v>
      </c>
      <c r="AE1926" s="11" t="n">
        <v>1.027705856278682</v>
      </c>
      <c r="AF1926" s="16">
        <f>SUMPRODUCT(N1926:Y1926,$N$5:$Y$5)*$K1926*$L1926*$M1926</f>
        <v/>
      </c>
      <c r="AG1926" s="16">
        <f>SUMPRODUCT(N1926:Y1926,$N$6:$Y$6)*$K1926*$L1926*$M1926</f>
        <v/>
      </c>
      <c r="AH1926" s="20" t="n"/>
    </row>
    <row r="1927">
      <c r="A1927" s="9" t="n">
        <v>808833</v>
      </c>
      <c r="B1927" s="9" t="inlineStr">
        <is>
          <t>Brady Afthim</t>
        </is>
      </c>
      <c r="C1927" s="9" t="inlineStr">
        <is>
          <t>CIN</t>
        </is>
      </c>
      <c r="D1927" s="9" t="n">
        <v>25</v>
      </c>
      <c r="E1927" s="18" t="inlineStr">
        <is>
          <t>R</t>
        </is>
      </c>
      <c r="F1927" s="18" t="n"/>
      <c r="G1927" s="9" t="n">
        <v>22.64666666666666</v>
      </c>
      <c r="H1927" s="9" t="n">
        <v>22.64666666666666</v>
      </c>
      <c r="I1927" s="9" t="inlineStr">
        <is>
          <t>Depth (no MLB IP)</t>
        </is>
      </c>
      <c r="J1927" s="18" t="inlineStr">
        <is>
          <t>Opening Day</t>
        </is>
      </c>
      <c r="K1927" s="11">
        <f>IFERROR(INDEX(Roles!$B$17:$B$20,MATCH(J1927,Roles!$A$17:$A$20,0)),1)</f>
        <v/>
      </c>
      <c r="L1927" s="19" t="n">
        <v>1</v>
      </c>
      <c r="M1927" s="11" t="n">
        <v>1</v>
      </c>
      <c r="N1927" s="19" t="n"/>
      <c r="O1927" s="19" t="n"/>
      <c r="P1927" s="19" t="n"/>
      <c r="Q1927" s="19" t="n"/>
      <c r="R1927" s="19" t="n"/>
      <c r="S1927" s="19" t="n"/>
      <c r="T1927" s="19" t="n"/>
      <c r="U1927" s="19" t="n"/>
      <c r="V1927" s="19" t="n"/>
      <c r="W1927" s="19" t="n"/>
      <c r="X1927" s="19" t="n"/>
      <c r="Y1927" s="19" t="n">
        <v>1</v>
      </c>
      <c r="Z1927" s="13">
        <f>SUMPRODUCT(N1927:Y1927,$N$2:$Y$2)*$K1927*$L1927*$M1927</f>
        <v/>
      </c>
      <c r="AA1927" s="14">
        <f>SUM(N1927:Y1927)</f>
        <v/>
      </c>
      <c r="AB1927" s="13">
        <f>SUMPRODUCT(N1927:Y1927,$N$3:$Y$3)*$K1927*$L1927*$M1927</f>
        <v/>
      </c>
      <c r="AC1927" s="13">
        <f>SUMPRODUCT(N1927:Y1927,$N$4:$Y$4)*$K1927*$L1927*$M1927</f>
        <v/>
      </c>
      <c r="AD1927" s="15" t="n">
        <v>3</v>
      </c>
      <c r="AE1927" s="11" t="n">
        <v>1.011296296296296</v>
      </c>
      <c r="AF1927" s="16">
        <f>SUMPRODUCT(N1927:Y1927,$N$5:$Y$5)*$K1927*$L1927*$M1927</f>
        <v/>
      </c>
      <c r="AG1927" s="16">
        <f>SUMPRODUCT(N1927:Y1927,$N$6:$Y$6)*$K1927*$L1927*$M1927</f>
        <v/>
      </c>
      <c r="AH1927" s="20" t="n"/>
    </row>
    <row r="1928">
      <c r="A1928" s="9" t="n">
        <v>624133</v>
      </c>
      <c r="B1928" s="9" t="inlineStr">
        <is>
          <t>Ranger Suarez</t>
        </is>
      </c>
      <c r="C1928" s="9" t="inlineStr">
        <is>
          <t>BOS</t>
        </is>
      </c>
      <c r="D1928" s="9" t="n">
        <v>31</v>
      </c>
      <c r="E1928" s="18" t="inlineStr">
        <is>
          <t>L</t>
        </is>
      </c>
      <c r="F1928" s="18" t="n"/>
      <c r="G1928" s="9" t="n">
        <v>612</v>
      </c>
      <c r="H1928" s="9" t="n">
        <v>3091</v>
      </c>
      <c r="I1928" s="9" t="inlineStr">
        <is>
          <t>End-of-Rotation Starter (SP4-5)</t>
        </is>
      </c>
      <c r="J1928" s="18" t="inlineStr">
        <is>
          <t>Opening Day</t>
        </is>
      </c>
      <c r="K1928" s="11">
        <f>IFERROR(INDEX(Roles!$B$17:$B$20,MATCH(J1928,Roles!$A$17:$A$20,0)),1)</f>
        <v/>
      </c>
      <c r="L1928" s="19" t="n">
        <v>1</v>
      </c>
      <c r="M1928" s="11" t="n">
        <v>1</v>
      </c>
      <c r="N1928" s="19" t="n"/>
      <c r="O1928" s="19" t="n"/>
      <c r="P1928" s="19" t="n">
        <v>0.5</v>
      </c>
      <c r="Q1928" s="19" t="n"/>
      <c r="R1928" s="19" t="n">
        <v>0.5</v>
      </c>
      <c r="S1928" s="19" t="n"/>
      <c r="T1928" s="19" t="n"/>
      <c r="U1928" s="19" t="n"/>
      <c r="V1928" s="19" t="n"/>
      <c r="W1928" s="19" t="n"/>
      <c r="X1928" s="19" t="n"/>
      <c r="Y1928" s="19" t="n"/>
      <c r="Z1928" s="13">
        <f>SUMPRODUCT(N1928:Y1928,$N$2:$Y$2)*$K1928*$L1928*$M1928</f>
        <v/>
      </c>
      <c r="AA1928" s="14">
        <f>SUM(N1928:Y1928)</f>
        <v/>
      </c>
      <c r="AB1928" s="13">
        <f>SUMPRODUCT(N1928:Y1928,$N$3:$Y$3)*$K1928*$L1928*$M1928</f>
        <v/>
      </c>
      <c r="AC1928" s="13">
        <f>SUMPRODUCT(N1928:Y1928,$N$4:$Y$4)*$K1928*$L1928*$M1928</f>
        <v/>
      </c>
      <c r="AD1928" s="15" t="n">
        <v>22.7</v>
      </c>
      <c r="AE1928" s="11" t="n">
        <v>4.898659395591911</v>
      </c>
      <c r="AF1928" s="16">
        <f>SUMPRODUCT(N1928:Y1928,$N$5:$Y$5)*$K1928*$L1928*$M1928</f>
        <v/>
      </c>
      <c r="AG1928" s="16">
        <f>SUMPRODUCT(N1928:Y1928,$N$6:$Y$6)*$K1928*$L1928*$M1928</f>
        <v/>
      </c>
      <c r="AH1928" s="20" t="n"/>
    </row>
    <row r="1929">
      <c r="A1929" s="9" t="n">
        <v>703634</v>
      </c>
      <c r="B1929" s="9" t="inlineStr">
        <is>
          <t>Todd Kniebbe</t>
        </is>
      </c>
      <c r="C1929" s="9" t="inlineStr">
        <is>
          <t>BAL</t>
        </is>
      </c>
      <c r="D1929" s="9" t="n">
        <v>25</v>
      </c>
      <c r="E1929" s="18" t="inlineStr">
        <is>
          <t>R</t>
        </is>
      </c>
      <c r="F1929" s="18" t="n"/>
      <c r="G1929" s="9" t="n">
        <v>22.93333333333334</v>
      </c>
      <c r="H1929" s="9" t="n">
        <v>22.93333333333334</v>
      </c>
      <c r="I1929" s="9" t="inlineStr">
        <is>
          <t>Depth (no MLB IP)</t>
        </is>
      </c>
      <c r="J1929" s="18" t="inlineStr">
        <is>
          <t>Opening Day</t>
        </is>
      </c>
      <c r="K1929" s="11">
        <f>IFERROR(INDEX(Roles!$B$17:$B$20,MATCH(J1929,Roles!$A$17:$A$20,0)),1)</f>
        <v/>
      </c>
      <c r="L1929" s="19" t="n">
        <v>1</v>
      </c>
      <c r="M1929" s="11" t="n">
        <v>1</v>
      </c>
      <c r="N1929" s="19" t="n"/>
      <c r="O1929" s="19" t="n"/>
      <c r="P1929" s="19" t="n"/>
      <c r="Q1929" s="19" t="n"/>
      <c r="R1929" s="19" t="n"/>
      <c r="S1929" s="19" t="n"/>
      <c r="T1929" s="19" t="n"/>
      <c r="U1929" s="19" t="n"/>
      <c r="V1929" s="19" t="n"/>
      <c r="W1929" s="19" t="n"/>
      <c r="X1929" s="19" t="n"/>
      <c r="Y1929" s="19" t="n">
        <v>1</v>
      </c>
      <c r="Z1929" s="13">
        <f>SUMPRODUCT(N1929:Y1929,$N$2:$Y$2)*$K1929*$L1929*$M1929</f>
        <v/>
      </c>
      <c r="AA1929" s="14">
        <f>SUM(N1929:Y1929)</f>
        <v/>
      </c>
      <c r="AB1929" s="13">
        <f>SUMPRODUCT(N1929:Y1929,$N$3:$Y$3)*$K1929*$L1929*$M1929</f>
        <v/>
      </c>
      <c r="AC1929" s="13">
        <f>SUMPRODUCT(N1929:Y1929,$N$4:$Y$4)*$K1929*$L1929*$M1929</f>
        <v/>
      </c>
      <c r="AD1929" s="15" t="n">
        <v>3</v>
      </c>
      <c r="AE1929" s="11" t="n">
        <v>1.011296296296296</v>
      </c>
      <c r="AF1929" s="16">
        <f>SUMPRODUCT(N1929:Y1929,$N$5:$Y$5)*$K1929*$L1929*$M1929</f>
        <v/>
      </c>
      <c r="AG1929" s="16">
        <f>SUMPRODUCT(N1929:Y1929,$N$6:$Y$6)*$K1929*$L1929*$M1929</f>
        <v/>
      </c>
      <c r="AH1929" s="20" t="n"/>
    </row>
    <row r="1930">
      <c r="A1930" s="9" t="n">
        <v>703863</v>
      </c>
      <c r="B1930" s="9" t="inlineStr">
        <is>
          <t>Josbel Garcia</t>
        </is>
      </c>
      <c r="C1930" s="9" t="inlineStr">
        <is>
          <t>TOR</t>
        </is>
      </c>
      <c r="D1930" s="9" t="n">
        <v>25</v>
      </c>
      <c r="E1930" s="18" t="inlineStr">
        <is>
          <t>R</t>
        </is>
      </c>
      <c r="F1930" s="18" t="n"/>
      <c r="G1930" s="9" t="n">
        <v>22.876</v>
      </c>
      <c r="H1930" s="9" t="n">
        <v>22.876</v>
      </c>
      <c r="I1930" s="9" t="inlineStr">
        <is>
          <t>Depth (no MLB IP)</t>
        </is>
      </c>
      <c r="J1930" s="18" t="inlineStr">
        <is>
          <t>Opening Day</t>
        </is>
      </c>
      <c r="K1930" s="11">
        <f>IFERROR(INDEX(Roles!$B$17:$B$20,MATCH(J1930,Roles!$A$17:$A$20,0)),1)</f>
        <v/>
      </c>
      <c r="L1930" s="19" t="n">
        <v>1</v>
      </c>
      <c r="M1930" s="11" t="n">
        <v>1</v>
      </c>
      <c r="N1930" s="19" t="n"/>
      <c r="O1930" s="19" t="n"/>
      <c r="P1930" s="19" t="n"/>
      <c r="Q1930" s="19" t="n"/>
      <c r="R1930" s="19" t="n"/>
      <c r="S1930" s="19" t="n"/>
      <c r="T1930" s="19" t="n"/>
      <c r="U1930" s="19" t="n"/>
      <c r="V1930" s="19" t="n"/>
      <c r="W1930" s="19" t="n"/>
      <c r="X1930" s="19" t="n"/>
      <c r="Y1930" s="19" t="n">
        <v>1</v>
      </c>
      <c r="Z1930" s="13">
        <f>SUMPRODUCT(N1930:Y1930,$N$2:$Y$2)*$K1930*$L1930*$M1930</f>
        <v/>
      </c>
      <c r="AA1930" s="14">
        <f>SUM(N1930:Y1930)</f>
        <v/>
      </c>
      <c r="AB1930" s="13">
        <f>SUMPRODUCT(N1930:Y1930,$N$3:$Y$3)*$K1930*$L1930*$M1930</f>
        <v/>
      </c>
      <c r="AC1930" s="13">
        <f>SUMPRODUCT(N1930:Y1930,$N$4:$Y$4)*$K1930*$L1930*$M1930</f>
        <v/>
      </c>
      <c r="AD1930" s="15" t="n">
        <v>3</v>
      </c>
      <c r="AE1930" s="11" t="n">
        <v>1.011296296296296</v>
      </c>
      <c r="AF1930" s="16">
        <f>SUMPRODUCT(N1930:Y1930,$N$5:$Y$5)*$K1930*$L1930*$M1930</f>
        <v/>
      </c>
      <c r="AG1930" s="16">
        <f>SUMPRODUCT(N1930:Y1930,$N$6:$Y$6)*$K1930*$L1930*$M1930</f>
        <v/>
      </c>
      <c r="AH1930" s="20" t="n"/>
    </row>
    <row r="1931">
      <c r="A1931" s="9" t="n">
        <v>834575</v>
      </c>
      <c r="B1931" s="9" t="inlineStr">
        <is>
          <t>Eston Stull</t>
        </is>
      </c>
      <c r="C1931" s="9" t="inlineStr">
        <is>
          <t>MIN</t>
        </is>
      </c>
      <c r="D1931" s="9" t="n">
        <v>25</v>
      </c>
      <c r="E1931" s="18" t="inlineStr">
        <is>
          <t>R</t>
        </is>
      </c>
      <c r="F1931" s="18" t="n"/>
      <c r="G1931" s="9" t="n">
        <v>22.93333333333334</v>
      </c>
      <c r="H1931" s="9" t="n">
        <v>22.93333333333334</v>
      </c>
      <c r="I1931" s="9" t="inlineStr">
        <is>
          <t>Depth (no MLB IP)</t>
        </is>
      </c>
      <c r="J1931" s="18" t="inlineStr">
        <is>
          <t>Opening Day</t>
        </is>
      </c>
      <c r="K1931" s="11">
        <f>IFERROR(INDEX(Roles!$B$17:$B$20,MATCH(J1931,Roles!$A$17:$A$20,0)),1)</f>
        <v/>
      </c>
      <c r="L1931" s="19" t="n">
        <v>1</v>
      </c>
      <c r="M1931" s="11" t="n">
        <v>1</v>
      </c>
      <c r="N1931" s="19" t="n"/>
      <c r="O1931" s="19" t="n"/>
      <c r="P1931" s="19" t="n"/>
      <c r="Q1931" s="19" t="n"/>
      <c r="R1931" s="19" t="n"/>
      <c r="S1931" s="19" t="n"/>
      <c r="T1931" s="19" t="n"/>
      <c r="U1931" s="19" t="n"/>
      <c r="V1931" s="19" t="n"/>
      <c r="W1931" s="19" t="n"/>
      <c r="X1931" s="19" t="n"/>
      <c r="Y1931" s="19" t="n">
        <v>1</v>
      </c>
      <c r="Z1931" s="13">
        <f>SUMPRODUCT(N1931:Y1931,$N$2:$Y$2)*$K1931*$L1931*$M1931</f>
        <v/>
      </c>
      <c r="AA1931" s="14">
        <f>SUM(N1931:Y1931)</f>
        <v/>
      </c>
      <c r="AB1931" s="13">
        <f>SUMPRODUCT(N1931:Y1931,$N$3:$Y$3)*$K1931*$L1931*$M1931</f>
        <v/>
      </c>
      <c r="AC1931" s="13">
        <f>SUMPRODUCT(N1931:Y1931,$N$4:$Y$4)*$K1931*$L1931*$M1931</f>
        <v/>
      </c>
      <c r="AD1931" s="15" t="n">
        <v>3</v>
      </c>
      <c r="AE1931" s="11" t="n">
        <v>1.011296296296296</v>
      </c>
      <c r="AF1931" s="16">
        <f>SUMPRODUCT(N1931:Y1931,$N$5:$Y$5)*$K1931*$L1931*$M1931</f>
        <v/>
      </c>
      <c r="AG1931" s="16">
        <f>SUMPRODUCT(N1931:Y1931,$N$6:$Y$6)*$K1931*$L1931*$M1931</f>
        <v/>
      </c>
      <c r="AH1931" s="20" t="n"/>
    </row>
    <row r="1932">
      <c r="A1932" s="9" t="n">
        <v>811304</v>
      </c>
      <c r="B1932" s="9" t="inlineStr">
        <is>
          <t>Jake Peppers</t>
        </is>
      </c>
      <c r="C1932" s="9" t="inlineStr">
        <is>
          <t>CWS</t>
        </is>
      </c>
      <c r="D1932" s="9" t="n">
        <v>25</v>
      </c>
      <c r="E1932" s="18" t="inlineStr">
        <is>
          <t>R</t>
        </is>
      </c>
      <c r="F1932" s="18" t="n"/>
      <c r="G1932" s="9" t="n">
        <v>22.93333333333334</v>
      </c>
      <c r="H1932" s="9" t="n">
        <v>22.93333333333334</v>
      </c>
      <c r="I1932" s="9" t="inlineStr">
        <is>
          <t>Depth (no MLB IP)</t>
        </is>
      </c>
      <c r="J1932" s="18" t="inlineStr">
        <is>
          <t>Opening Day</t>
        </is>
      </c>
      <c r="K1932" s="11">
        <f>IFERROR(INDEX(Roles!$B$17:$B$20,MATCH(J1932,Roles!$A$17:$A$20,0)),1)</f>
        <v/>
      </c>
      <c r="L1932" s="19" t="n">
        <v>1</v>
      </c>
      <c r="M1932" s="11" t="n">
        <v>1</v>
      </c>
      <c r="N1932" s="19" t="n"/>
      <c r="O1932" s="19" t="n"/>
      <c r="P1932" s="19" t="n"/>
      <c r="Q1932" s="19" t="n"/>
      <c r="R1932" s="19" t="n"/>
      <c r="S1932" s="19" t="n"/>
      <c r="T1932" s="19" t="n"/>
      <c r="U1932" s="19" t="n"/>
      <c r="V1932" s="19" t="n"/>
      <c r="W1932" s="19" t="n"/>
      <c r="X1932" s="19" t="n"/>
      <c r="Y1932" s="19" t="n">
        <v>1</v>
      </c>
      <c r="Z1932" s="13">
        <f>SUMPRODUCT(N1932:Y1932,$N$2:$Y$2)*$K1932*$L1932*$M1932</f>
        <v/>
      </c>
      <c r="AA1932" s="14">
        <f>SUM(N1932:Y1932)</f>
        <v/>
      </c>
      <c r="AB1932" s="13">
        <f>SUMPRODUCT(N1932:Y1932,$N$3:$Y$3)*$K1932*$L1932*$M1932</f>
        <v/>
      </c>
      <c r="AC1932" s="13">
        <f>SUMPRODUCT(N1932:Y1932,$N$4:$Y$4)*$K1932*$L1932*$M1932</f>
        <v/>
      </c>
      <c r="AD1932" s="15" t="n">
        <v>3</v>
      </c>
      <c r="AE1932" s="11" t="n">
        <v>1.011296296296296</v>
      </c>
      <c r="AF1932" s="16">
        <f>SUMPRODUCT(N1932:Y1932,$N$5:$Y$5)*$K1932*$L1932*$M1932</f>
        <v/>
      </c>
      <c r="AG1932" s="16">
        <f>SUMPRODUCT(N1932:Y1932,$N$6:$Y$6)*$K1932*$L1932*$M1932</f>
        <v/>
      </c>
      <c r="AH1932" s="20" t="n"/>
    </row>
    <row r="1933">
      <c r="A1933" s="9" t="n">
        <v>683769</v>
      </c>
      <c r="B1933" s="9" t="inlineStr">
        <is>
          <t>Hunter Gaddis</t>
        </is>
      </c>
      <c r="C1933" s="9" t="inlineStr">
        <is>
          <t>CLE</t>
        </is>
      </c>
      <c r="D1933" s="9" t="n">
        <v>29</v>
      </c>
      <c r="E1933" s="18" t="inlineStr">
        <is>
          <t>R</t>
        </is>
      </c>
      <c r="F1933" s="18" t="n"/>
      <c r="G1933" s="9" t="n">
        <v>257</v>
      </c>
      <c r="H1933" s="9" t="n">
        <v>1031</v>
      </c>
      <c r="I1933" s="9" t="inlineStr">
        <is>
          <t>Late Inning RP (Setup)</t>
        </is>
      </c>
      <c r="J1933" s="18" t="inlineStr">
        <is>
          <t>Opening Day</t>
        </is>
      </c>
      <c r="K1933" s="11">
        <f>IFERROR(INDEX(Roles!$B$17:$B$20,MATCH(J1933,Roles!$A$17:$A$20,0)),1)</f>
        <v/>
      </c>
      <c r="L1933" s="19" t="n">
        <v>1</v>
      </c>
      <c r="M1933" s="11" t="n">
        <v>1</v>
      </c>
      <c r="N1933" s="19" t="n"/>
      <c r="O1933" s="19" t="n"/>
      <c r="P1933" s="19" t="n"/>
      <c r="Q1933" s="19" t="n"/>
      <c r="R1933" s="19" t="n"/>
      <c r="S1933" s="19" t="n"/>
      <c r="T1933" s="19" t="n"/>
      <c r="U1933" s="19" t="n">
        <v>0.85</v>
      </c>
      <c r="V1933" s="19" t="n">
        <v>0.15</v>
      </c>
      <c r="W1933" s="19" t="n"/>
      <c r="X1933" s="19" t="n"/>
      <c r="Y1933" s="19" t="n"/>
      <c r="Z1933" s="13">
        <f>SUMPRODUCT(N1933:Y1933,$N$2:$Y$2)*$K1933*$L1933*$M1933</f>
        <v/>
      </c>
      <c r="AA1933" s="14">
        <f>SUM(N1933:Y1933)</f>
        <v/>
      </c>
      <c r="AB1933" s="13">
        <f>SUMPRODUCT(N1933:Y1933,$N$3:$Y$3)*$K1933*$L1933*$M1933</f>
        <v/>
      </c>
      <c r="AC1933" s="13">
        <f>SUMPRODUCT(N1933:Y1933,$N$4:$Y$4)*$K1933*$L1933*$M1933</f>
        <v/>
      </c>
      <c r="AD1933" s="15" t="n">
        <v>62</v>
      </c>
      <c r="AE1933" s="11" t="n">
        <v>0.9626817237798548</v>
      </c>
      <c r="AF1933" s="16">
        <f>SUMPRODUCT(N1933:Y1933,$N$5:$Y$5)*$K1933*$L1933*$M1933</f>
        <v/>
      </c>
      <c r="AG1933" s="16">
        <f>SUMPRODUCT(N1933:Y1933,$N$6:$Y$6)*$K1933*$L1933*$M1933</f>
        <v/>
      </c>
      <c r="AH1933" s="20" t="n"/>
    </row>
    <row r="1934">
      <c r="A1934" s="9" t="n">
        <v>702396</v>
      </c>
      <c r="B1934" s="9" t="inlineStr">
        <is>
          <t>Junior William</t>
        </is>
      </c>
      <c r="C1934" s="9" t="inlineStr">
        <is>
          <t>TB</t>
        </is>
      </c>
      <c r="D1934" s="9" t="n">
        <v>25</v>
      </c>
      <c r="E1934" s="18" t="inlineStr">
        <is>
          <t>R</t>
        </is>
      </c>
      <c r="F1934" s="18" t="n"/>
      <c r="G1934" s="9" t="n">
        <v>23.07666666666667</v>
      </c>
      <c r="H1934" s="9" t="n">
        <v>23.07666666666667</v>
      </c>
      <c r="I1934" s="9" t="inlineStr">
        <is>
          <t>Depth (no MLB IP)</t>
        </is>
      </c>
      <c r="J1934" s="18" t="inlineStr">
        <is>
          <t>Opening Day</t>
        </is>
      </c>
      <c r="K1934" s="11">
        <f>IFERROR(INDEX(Roles!$B$17:$B$20,MATCH(J1934,Roles!$A$17:$A$20,0)),1)</f>
        <v/>
      </c>
      <c r="L1934" s="19" t="n">
        <v>1</v>
      </c>
      <c r="M1934" s="11" t="n">
        <v>1</v>
      </c>
      <c r="N1934" s="19" t="n"/>
      <c r="O1934" s="19" t="n"/>
      <c r="P1934" s="19" t="n"/>
      <c r="Q1934" s="19" t="n"/>
      <c r="R1934" s="19" t="n"/>
      <c r="S1934" s="19" t="n"/>
      <c r="T1934" s="19" t="n"/>
      <c r="U1934" s="19" t="n"/>
      <c r="V1934" s="19" t="n"/>
      <c r="W1934" s="19" t="n"/>
      <c r="X1934" s="19" t="n"/>
      <c r="Y1934" s="19" t="n">
        <v>1</v>
      </c>
      <c r="Z1934" s="13">
        <f>SUMPRODUCT(N1934:Y1934,$N$2:$Y$2)*$K1934*$L1934*$M1934</f>
        <v/>
      </c>
      <c r="AA1934" s="14">
        <f>SUM(N1934:Y1934)</f>
        <v/>
      </c>
      <c r="AB1934" s="13">
        <f>SUMPRODUCT(N1934:Y1934,$N$3:$Y$3)*$K1934*$L1934*$M1934</f>
        <v/>
      </c>
      <c r="AC1934" s="13">
        <f>SUMPRODUCT(N1934:Y1934,$N$4:$Y$4)*$K1934*$L1934*$M1934</f>
        <v/>
      </c>
      <c r="AD1934" s="15" t="n">
        <v>3</v>
      </c>
      <c r="AE1934" s="11" t="n">
        <v>1.011296296296296</v>
      </c>
      <c r="AF1934" s="16">
        <f>SUMPRODUCT(N1934:Y1934,$N$5:$Y$5)*$K1934*$L1934*$M1934</f>
        <v/>
      </c>
      <c r="AG1934" s="16">
        <f>SUMPRODUCT(N1934:Y1934,$N$6:$Y$6)*$K1934*$L1934*$M1934</f>
        <v/>
      </c>
      <c r="AH1934" s="20" t="n"/>
    </row>
    <row r="1935">
      <c r="A1935" s="9" t="n">
        <v>814491</v>
      </c>
      <c r="B1935" s="9" t="inlineStr">
        <is>
          <t>Tucker Musgrove</t>
        </is>
      </c>
      <c r="C1935" s="9" t="inlineStr">
        <is>
          <t>SD</t>
        </is>
      </c>
      <c r="D1935" s="9" t="n">
        <v>25</v>
      </c>
      <c r="E1935" s="18" t="inlineStr">
        <is>
          <t>R</t>
        </is>
      </c>
      <c r="F1935" s="18" t="n"/>
      <c r="G1935" s="9" t="n">
        <v>23.07666666666667</v>
      </c>
      <c r="H1935" s="9" t="n">
        <v>23.07666666666667</v>
      </c>
      <c r="I1935" s="9" t="inlineStr">
        <is>
          <t>Depth (no MLB IP)</t>
        </is>
      </c>
      <c r="J1935" s="18" t="inlineStr">
        <is>
          <t>Opening Day</t>
        </is>
      </c>
      <c r="K1935" s="11">
        <f>IFERROR(INDEX(Roles!$B$17:$B$20,MATCH(J1935,Roles!$A$17:$A$20,0)),1)</f>
        <v/>
      </c>
      <c r="L1935" s="19" t="n">
        <v>1</v>
      </c>
      <c r="M1935" s="11" t="n">
        <v>1</v>
      </c>
      <c r="N1935" s="19" t="n"/>
      <c r="O1935" s="19" t="n"/>
      <c r="P1935" s="19" t="n"/>
      <c r="Q1935" s="19" t="n"/>
      <c r="R1935" s="19" t="n"/>
      <c r="S1935" s="19" t="n"/>
      <c r="T1935" s="19" t="n"/>
      <c r="U1935" s="19" t="n"/>
      <c r="V1935" s="19" t="n"/>
      <c r="W1935" s="19" t="n"/>
      <c r="X1935" s="19" t="n"/>
      <c r="Y1935" s="19" t="n">
        <v>1</v>
      </c>
      <c r="Z1935" s="13">
        <f>SUMPRODUCT(N1935:Y1935,$N$2:$Y$2)*$K1935*$L1935*$M1935</f>
        <v/>
      </c>
      <c r="AA1935" s="14">
        <f>SUM(N1935:Y1935)</f>
        <v/>
      </c>
      <c r="AB1935" s="13">
        <f>SUMPRODUCT(N1935:Y1935,$N$3:$Y$3)*$K1935*$L1935*$M1935</f>
        <v/>
      </c>
      <c r="AC1935" s="13">
        <f>SUMPRODUCT(N1935:Y1935,$N$4:$Y$4)*$K1935*$L1935*$M1935</f>
        <v/>
      </c>
      <c r="AD1935" s="15" t="n">
        <v>3</v>
      </c>
      <c r="AE1935" s="11" t="n">
        <v>1.011296296296296</v>
      </c>
      <c r="AF1935" s="16">
        <f>SUMPRODUCT(N1935:Y1935,$N$5:$Y$5)*$K1935*$L1935*$M1935</f>
        <v/>
      </c>
      <c r="AG1935" s="16">
        <f>SUMPRODUCT(N1935:Y1935,$N$6:$Y$6)*$K1935*$L1935*$M1935</f>
        <v/>
      </c>
      <c r="AH1935" s="20" t="n"/>
    </row>
    <row r="1936">
      <c r="A1936" s="9" t="n">
        <v>701859</v>
      </c>
      <c r="B1936" s="9" t="inlineStr">
        <is>
          <t>Justin Armbruester</t>
        </is>
      </c>
      <c r="C1936" s="9" t="inlineStr">
        <is>
          <t>NYM</t>
        </is>
      </c>
      <c r="D1936" s="9" t="n">
        <v>25</v>
      </c>
      <c r="E1936" s="18" t="inlineStr">
        <is>
          <t>R</t>
        </is>
      </c>
      <c r="F1936" s="18" t="n"/>
      <c r="G1936" s="9" t="n">
        <v>23.07666666666667</v>
      </c>
      <c r="H1936" s="9" t="n">
        <v>23.07666666666667</v>
      </c>
      <c r="I1936" s="9" t="inlineStr">
        <is>
          <t>Depth (no MLB IP)</t>
        </is>
      </c>
      <c r="J1936" s="18" t="inlineStr">
        <is>
          <t>Opening Day</t>
        </is>
      </c>
      <c r="K1936" s="11">
        <f>IFERROR(INDEX(Roles!$B$17:$B$20,MATCH(J1936,Roles!$A$17:$A$20,0)),1)</f>
        <v/>
      </c>
      <c r="L1936" s="19" t="n">
        <v>1</v>
      </c>
      <c r="M1936" s="11" t="n">
        <v>1</v>
      </c>
      <c r="N1936" s="19" t="n"/>
      <c r="O1936" s="19" t="n"/>
      <c r="P1936" s="19" t="n"/>
      <c r="Q1936" s="19" t="n"/>
      <c r="R1936" s="19" t="n"/>
      <c r="S1936" s="19" t="n"/>
      <c r="T1936" s="19" t="n"/>
      <c r="U1936" s="19" t="n"/>
      <c r="V1936" s="19" t="n"/>
      <c r="W1936" s="19" t="n"/>
      <c r="X1936" s="19" t="n"/>
      <c r="Y1936" s="19" t="n">
        <v>1</v>
      </c>
      <c r="Z1936" s="13">
        <f>SUMPRODUCT(N1936:Y1936,$N$2:$Y$2)*$K1936*$L1936*$M1936</f>
        <v/>
      </c>
      <c r="AA1936" s="14">
        <f>SUM(N1936:Y1936)</f>
        <v/>
      </c>
      <c r="AB1936" s="13">
        <f>SUMPRODUCT(N1936:Y1936,$N$3:$Y$3)*$K1936*$L1936*$M1936</f>
        <v/>
      </c>
      <c r="AC1936" s="13">
        <f>SUMPRODUCT(N1936:Y1936,$N$4:$Y$4)*$K1936*$L1936*$M1936</f>
        <v/>
      </c>
      <c r="AD1936" s="15" t="n">
        <v>3</v>
      </c>
      <c r="AE1936" s="11" t="n">
        <v>1.011296296296296</v>
      </c>
      <c r="AF1936" s="16">
        <f>SUMPRODUCT(N1936:Y1936,$N$5:$Y$5)*$K1936*$L1936*$M1936</f>
        <v/>
      </c>
      <c r="AG1936" s="16">
        <f>SUMPRODUCT(N1936:Y1936,$N$6:$Y$6)*$K1936*$L1936*$M1936</f>
        <v/>
      </c>
      <c r="AH1936" s="20" t="n"/>
    </row>
    <row r="1937">
      <c r="A1937" s="9" t="n">
        <v>802068</v>
      </c>
      <c r="B1937" s="9" t="inlineStr">
        <is>
          <t>Kendeglys Virguez</t>
        </is>
      </c>
      <c r="C1937" s="9" t="inlineStr">
        <is>
          <t>WSH</t>
        </is>
      </c>
      <c r="D1937" s="9" t="n">
        <v>25</v>
      </c>
      <c r="E1937" s="18" t="inlineStr">
        <is>
          <t>R</t>
        </is>
      </c>
      <c r="F1937" s="18" t="n"/>
      <c r="G1937" s="9" t="n">
        <v>23.07666666666667</v>
      </c>
      <c r="H1937" s="9" t="n">
        <v>23.07666666666667</v>
      </c>
      <c r="I1937" s="9" t="inlineStr">
        <is>
          <t>Depth (no MLB IP)</t>
        </is>
      </c>
      <c r="J1937" s="18" t="inlineStr">
        <is>
          <t>Opening Day</t>
        </is>
      </c>
      <c r="K1937" s="11">
        <f>IFERROR(INDEX(Roles!$B$17:$B$20,MATCH(J1937,Roles!$A$17:$A$20,0)),1)</f>
        <v/>
      </c>
      <c r="L1937" s="19" t="n">
        <v>1</v>
      </c>
      <c r="M1937" s="11" t="n">
        <v>1</v>
      </c>
      <c r="N1937" s="19" t="n"/>
      <c r="O1937" s="19" t="n"/>
      <c r="P1937" s="19" t="n"/>
      <c r="Q1937" s="19" t="n"/>
      <c r="R1937" s="19" t="n"/>
      <c r="S1937" s="19" t="n"/>
      <c r="T1937" s="19" t="n"/>
      <c r="U1937" s="19" t="n"/>
      <c r="V1937" s="19" t="n"/>
      <c r="W1937" s="19" t="n"/>
      <c r="X1937" s="19" t="n"/>
      <c r="Y1937" s="19" t="n">
        <v>1</v>
      </c>
      <c r="Z1937" s="13">
        <f>SUMPRODUCT(N1937:Y1937,$N$2:$Y$2)*$K1937*$L1937*$M1937</f>
        <v/>
      </c>
      <c r="AA1937" s="14">
        <f>SUM(N1937:Y1937)</f>
        <v/>
      </c>
      <c r="AB1937" s="13">
        <f>SUMPRODUCT(N1937:Y1937,$N$3:$Y$3)*$K1937*$L1937*$M1937</f>
        <v/>
      </c>
      <c r="AC1937" s="13">
        <f>SUMPRODUCT(N1937:Y1937,$N$4:$Y$4)*$K1937*$L1937*$M1937</f>
        <v/>
      </c>
      <c r="AD1937" s="15" t="n">
        <v>3</v>
      </c>
      <c r="AE1937" s="11" t="n">
        <v>1.011296296296296</v>
      </c>
      <c r="AF1937" s="16">
        <f>SUMPRODUCT(N1937:Y1937,$N$5:$Y$5)*$K1937*$L1937*$M1937</f>
        <v/>
      </c>
      <c r="AG1937" s="16">
        <f>SUMPRODUCT(N1937:Y1937,$N$6:$Y$6)*$K1937*$L1937*$M1937</f>
        <v/>
      </c>
      <c r="AH1937" s="20" t="n"/>
    </row>
    <row r="1938">
      <c r="A1938" s="9" t="n">
        <v>827448</v>
      </c>
      <c r="B1938" s="9" t="inlineStr">
        <is>
          <t>Emilio Obispo</t>
        </is>
      </c>
      <c r="C1938" s="9" t="inlineStr">
        <is>
          <t>NYM</t>
        </is>
      </c>
      <c r="D1938" s="9" t="n">
        <v>25</v>
      </c>
      <c r="E1938" s="18" t="inlineStr">
        <is>
          <t>R</t>
        </is>
      </c>
      <c r="F1938" s="18" t="n"/>
      <c r="G1938" s="9" t="n">
        <v>23.22</v>
      </c>
      <c r="H1938" s="9" t="n">
        <v>23.22</v>
      </c>
      <c r="I1938" s="9" t="inlineStr">
        <is>
          <t>Depth (no MLB IP)</t>
        </is>
      </c>
      <c r="J1938" s="18" t="inlineStr">
        <is>
          <t>Opening Day</t>
        </is>
      </c>
      <c r="K1938" s="11">
        <f>IFERROR(INDEX(Roles!$B$17:$B$20,MATCH(J1938,Roles!$A$17:$A$20,0)),1)</f>
        <v/>
      </c>
      <c r="L1938" s="19" t="n">
        <v>1</v>
      </c>
      <c r="M1938" s="11" t="n">
        <v>1</v>
      </c>
      <c r="N1938" s="19" t="n"/>
      <c r="O1938" s="19" t="n"/>
      <c r="P1938" s="19" t="n"/>
      <c r="Q1938" s="19" t="n"/>
      <c r="R1938" s="19" t="n"/>
      <c r="S1938" s="19" t="n"/>
      <c r="T1938" s="19" t="n"/>
      <c r="U1938" s="19" t="n"/>
      <c r="V1938" s="19" t="n"/>
      <c r="W1938" s="19" t="n"/>
      <c r="X1938" s="19" t="n"/>
      <c r="Y1938" s="19" t="n">
        <v>1</v>
      </c>
      <c r="Z1938" s="13">
        <f>SUMPRODUCT(N1938:Y1938,$N$2:$Y$2)*$K1938*$L1938*$M1938</f>
        <v/>
      </c>
      <c r="AA1938" s="14">
        <f>SUM(N1938:Y1938)</f>
        <v/>
      </c>
      <c r="AB1938" s="13">
        <f>SUMPRODUCT(N1938:Y1938,$N$3:$Y$3)*$K1938*$L1938*$M1938</f>
        <v/>
      </c>
      <c r="AC1938" s="13">
        <f>SUMPRODUCT(N1938:Y1938,$N$4:$Y$4)*$K1938*$L1938*$M1938</f>
        <v/>
      </c>
      <c r="AD1938" s="15" t="n">
        <v>3</v>
      </c>
      <c r="AE1938" s="11" t="n">
        <v>1.011296296296296</v>
      </c>
      <c r="AF1938" s="16">
        <f>SUMPRODUCT(N1938:Y1938,$N$5:$Y$5)*$K1938*$L1938*$M1938</f>
        <v/>
      </c>
      <c r="AG1938" s="16">
        <f>SUMPRODUCT(N1938:Y1938,$N$6:$Y$6)*$K1938*$L1938*$M1938</f>
        <v/>
      </c>
      <c r="AH1938" s="20" t="n"/>
    </row>
    <row r="1939">
      <c r="A1939" s="9" t="n">
        <v>816212</v>
      </c>
      <c r="B1939" s="9" t="inlineStr">
        <is>
          <t>Angelo Smith</t>
        </is>
      </c>
      <c r="C1939" s="9" t="inlineStr">
        <is>
          <t>LAA</t>
        </is>
      </c>
      <c r="D1939" s="9" t="n">
        <v>25</v>
      </c>
      <c r="E1939" s="18" t="inlineStr">
        <is>
          <t>R</t>
        </is>
      </c>
      <c r="F1939" s="18" t="n"/>
      <c r="G1939" s="9" t="n">
        <v>23.22</v>
      </c>
      <c r="H1939" s="9" t="n">
        <v>23.22</v>
      </c>
      <c r="I1939" s="9" t="inlineStr">
        <is>
          <t>Depth (no MLB IP)</t>
        </is>
      </c>
      <c r="J1939" s="18" t="inlineStr">
        <is>
          <t>Opening Day</t>
        </is>
      </c>
      <c r="K1939" s="11">
        <f>IFERROR(INDEX(Roles!$B$17:$B$20,MATCH(J1939,Roles!$A$17:$A$20,0)),1)</f>
        <v/>
      </c>
      <c r="L1939" s="19" t="n">
        <v>1</v>
      </c>
      <c r="M1939" s="11" t="n">
        <v>1</v>
      </c>
      <c r="N1939" s="19" t="n"/>
      <c r="O1939" s="19" t="n"/>
      <c r="P1939" s="19" t="n"/>
      <c r="Q1939" s="19" t="n"/>
      <c r="R1939" s="19" t="n"/>
      <c r="S1939" s="19" t="n"/>
      <c r="T1939" s="19" t="n"/>
      <c r="U1939" s="19" t="n"/>
      <c r="V1939" s="19" t="n"/>
      <c r="W1939" s="19" t="n"/>
      <c r="X1939" s="19" t="n"/>
      <c r="Y1939" s="19" t="n">
        <v>1</v>
      </c>
      <c r="Z1939" s="13">
        <f>SUMPRODUCT(N1939:Y1939,$N$2:$Y$2)*$K1939*$L1939*$M1939</f>
        <v/>
      </c>
      <c r="AA1939" s="14">
        <f>SUM(N1939:Y1939)</f>
        <v/>
      </c>
      <c r="AB1939" s="13">
        <f>SUMPRODUCT(N1939:Y1939,$N$3:$Y$3)*$K1939*$L1939*$M1939</f>
        <v/>
      </c>
      <c r="AC1939" s="13">
        <f>SUMPRODUCT(N1939:Y1939,$N$4:$Y$4)*$K1939*$L1939*$M1939</f>
        <v/>
      </c>
      <c r="AD1939" s="15" t="n">
        <v>3</v>
      </c>
      <c r="AE1939" s="11" t="n">
        <v>1.011296296296296</v>
      </c>
      <c r="AF1939" s="16">
        <f>SUMPRODUCT(N1939:Y1939,$N$5:$Y$5)*$K1939*$L1939*$M1939</f>
        <v/>
      </c>
      <c r="AG1939" s="16">
        <f>SUMPRODUCT(N1939:Y1939,$N$6:$Y$6)*$K1939*$L1939*$M1939</f>
        <v/>
      </c>
      <c r="AH1939" s="20" t="n"/>
    </row>
    <row r="1940">
      <c r="A1940" s="9" t="n">
        <v>807962</v>
      </c>
      <c r="B1940" s="9" t="inlineStr">
        <is>
          <t>Carlos Castillo</t>
        </is>
      </c>
      <c r="C1940" s="9" t="inlineStr">
        <is>
          <t>PIT</t>
        </is>
      </c>
      <c r="D1940" s="9" t="n">
        <v>25</v>
      </c>
      <c r="E1940" s="18" t="inlineStr">
        <is>
          <t>R</t>
        </is>
      </c>
      <c r="F1940" s="18" t="n"/>
      <c r="G1940" s="9" t="n">
        <v>23.22</v>
      </c>
      <c r="H1940" s="9" t="n">
        <v>23.22</v>
      </c>
      <c r="I1940" s="9" t="inlineStr">
        <is>
          <t>Depth (no MLB IP)</t>
        </is>
      </c>
      <c r="J1940" s="18" t="inlineStr">
        <is>
          <t>Opening Day</t>
        </is>
      </c>
      <c r="K1940" s="11">
        <f>IFERROR(INDEX(Roles!$B$17:$B$20,MATCH(J1940,Roles!$A$17:$A$20,0)),1)</f>
        <v/>
      </c>
      <c r="L1940" s="19" t="n">
        <v>1</v>
      </c>
      <c r="M1940" s="11" t="n">
        <v>1</v>
      </c>
      <c r="N1940" s="19" t="n"/>
      <c r="O1940" s="19" t="n"/>
      <c r="P1940" s="19" t="n"/>
      <c r="Q1940" s="19" t="n"/>
      <c r="R1940" s="19" t="n"/>
      <c r="S1940" s="19" t="n"/>
      <c r="T1940" s="19" t="n"/>
      <c r="U1940" s="19" t="n"/>
      <c r="V1940" s="19" t="n"/>
      <c r="W1940" s="19" t="n"/>
      <c r="X1940" s="19" t="n"/>
      <c r="Y1940" s="19" t="n">
        <v>1</v>
      </c>
      <c r="Z1940" s="13">
        <f>SUMPRODUCT(N1940:Y1940,$N$2:$Y$2)*$K1940*$L1940*$M1940</f>
        <v/>
      </c>
      <c r="AA1940" s="14">
        <f>SUM(N1940:Y1940)</f>
        <v/>
      </c>
      <c r="AB1940" s="13">
        <f>SUMPRODUCT(N1940:Y1940,$N$3:$Y$3)*$K1940*$L1940*$M1940</f>
        <v/>
      </c>
      <c r="AC1940" s="13">
        <f>SUMPRODUCT(N1940:Y1940,$N$4:$Y$4)*$K1940*$L1940*$M1940</f>
        <v/>
      </c>
      <c r="AD1940" s="15" t="n">
        <v>3</v>
      </c>
      <c r="AE1940" s="11" t="n">
        <v>1.011296296296296</v>
      </c>
      <c r="AF1940" s="16">
        <f>SUMPRODUCT(N1940:Y1940,$N$5:$Y$5)*$K1940*$L1940*$M1940</f>
        <v/>
      </c>
      <c r="AG1940" s="16">
        <f>SUMPRODUCT(N1940:Y1940,$N$6:$Y$6)*$K1940*$L1940*$M1940</f>
        <v/>
      </c>
      <c r="AH1940" s="20" t="n"/>
    </row>
    <row r="1941">
      <c r="A1941" s="9" t="n">
        <v>701685</v>
      </c>
      <c r="B1941" s="9" t="inlineStr">
        <is>
          <t>Owen Kellington</t>
        </is>
      </c>
      <c r="C1941" s="9" t="inlineStr">
        <is>
          <t>PIT</t>
        </is>
      </c>
      <c r="D1941" s="9" t="n">
        <v>25</v>
      </c>
      <c r="E1941" s="18" t="inlineStr">
        <is>
          <t>R</t>
        </is>
      </c>
      <c r="F1941" s="18" t="n"/>
      <c r="G1941" s="9" t="n">
        <v>23.22</v>
      </c>
      <c r="H1941" s="9" t="n">
        <v>23.22</v>
      </c>
      <c r="I1941" s="9" t="inlineStr">
        <is>
          <t>Depth (no MLB IP)</t>
        </is>
      </c>
      <c r="J1941" s="18" t="inlineStr">
        <is>
          <t>Opening Day</t>
        </is>
      </c>
      <c r="K1941" s="11">
        <f>IFERROR(INDEX(Roles!$B$17:$B$20,MATCH(J1941,Roles!$A$17:$A$20,0)),1)</f>
        <v/>
      </c>
      <c r="L1941" s="19" t="n">
        <v>1</v>
      </c>
      <c r="M1941" s="11" t="n">
        <v>1</v>
      </c>
      <c r="N1941" s="19" t="n"/>
      <c r="O1941" s="19" t="n"/>
      <c r="P1941" s="19" t="n"/>
      <c r="Q1941" s="19" t="n"/>
      <c r="R1941" s="19" t="n"/>
      <c r="S1941" s="19" t="n"/>
      <c r="T1941" s="19" t="n"/>
      <c r="U1941" s="19" t="n"/>
      <c r="V1941" s="19" t="n"/>
      <c r="W1941" s="19" t="n"/>
      <c r="X1941" s="19" t="n"/>
      <c r="Y1941" s="19" t="n">
        <v>1</v>
      </c>
      <c r="Z1941" s="13">
        <f>SUMPRODUCT(N1941:Y1941,$N$2:$Y$2)*$K1941*$L1941*$M1941</f>
        <v/>
      </c>
      <c r="AA1941" s="14">
        <f>SUM(N1941:Y1941)</f>
        <v/>
      </c>
      <c r="AB1941" s="13">
        <f>SUMPRODUCT(N1941:Y1941,$N$3:$Y$3)*$K1941*$L1941*$M1941</f>
        <v/>
      </c>
      <c r="AC1941" s="13">
        <f>SUMPRODUCT(N1941:Y1941,$N$4:$Y$4)*$K1941*$L1941*$M1941</f>
        <v/>
      </c>
      <c r="AD1941" s="15" t="n">
        <v>3</v>
      </c>
      <c r="AE1941" s="11" t="n">
        <v>1.011296296296296</v>
      </c>
      <c r="AF1941" s="16">
        <f>SUMPRODUCT(N1941:Y1941,$N$5:$Y$5)*$K1941*$L1941*$M1941</f>
        <v/>
      </c>
      <c r="AG1941" s="16">
        <f>SUMPRODUCT(N1941:Y1941,$N$6:$Y$6)*$K1941*$L1941*$M1941</f>
        <v/>
      </c>
      <c r="AH1941" s="20" t="n"/>
    </row>
    <row r="1942">
      <c r="A1942" s="9" t="n">
        <v>834863</v>
      </c>
      <c r="B1942" s="9" t="inlineStr">
        <is>
          <t>Brennan Stuprich</t>
        </is>
      </c>
      <c r="C1942" s="9" t="inlineStr">
        <is>
          <t>NYY</t>
        </is>
      </c>
      <c r="D1942" s="9" t="n">
        <v>25</v>
      </c>
      <c r="E1942" s="18" t="inlineStr">
        <is>
          <t>R</t>
        </is>
      </c>
      <c r="F1942" s="18" t="n"/>
      <c r="G1942" s="9" t="n">
        <v>23.392</v>
      </c>
      <c r="H1942" s="9" t="n">
        <v>23.392</v>
      </c>
      <c r="I1942" s="9" t="inlineStr">
        <is>
          <t>Depth (no MLB IP)</t>
        </is>
      </c>
      <c r="J1942" s="18" t="inlineStr">
        <is>
          <t>Opening Day</t>
        </is>
      </c>
      <c r="K1942" s="11">
        <f>IFERROR(INDEX(Roles!$B$17:$B$20,MATCH(J1942,Roles!$A$17:$A$20,0)),1)</f>
        <v/>
      </c>
      <c r="L1942" s="19" t="n">
        <v>1</v>
      </c>
      <c r="M1942" s="11" t="n">
        <v>1</v>
      </c>
      <c r="N1942" s="19" t="n"/>
      <c r="O1942" s="19" t="n"/>
      <c r="P1942" s="19" t="n"/>
      <c r="Q1942" s="19" t="n"/>
      <c r="R1942" s="19" t="n"/>
      <c r="S1942" s="19" t="n"/>
      <c r="T1942" s="19" t="n"/>
      <c r="U1942" s="19" t="n"/>
      <c r="V1942" s="19" t="n"/>
      <c r="W1942" s="19" t="n"/>
      <c r="X1942" s="19" t="n"/>
      <c r="Y1942" s="19" t="n">
        <v>1</v>
      </c>
      <c r="Z1942" s="13">
        <f>SUMPRODUCT(N1942:Y1942,$N$2:$Y$2)*$K1942*$L1942*$M1942</f>
        <v/>
      </c>
      <c r="AA1942" s="14">
        <f>SUM(N1942:Y1942)</f>
        <v/>
      </c>
      <c r="AB1942" s="13">
        <f>SUMPRODUCT(N1942:Y1942,$N$3:$Y$3)*$K1942*$L1942*$M1942</f>
        <v/>
      </c>
      <c r="AC1942" s="13">
        <f>SUMPRODUCT(N1942:Y1942,$N$4:$Y$4)*$K1942*$L1942*$M1942</f>
        <v/>
      </c>
      <c r="AD1942" s="15" t="n">
        <v>3</v>
      </c>
      <c r="AE1942" s="11" t="n">
        <v>1.011296296296296</v>
      </c>
      <c r="AF1942" s="16">
        <f>SUMPRODUCT(N1942:Y1942,$N$5:$Y$5)*$K1942*$L1942*$M1942</f>
        <v/>
      </c>
      <c r="AG1942" s="16">
        <f>SUMPRODUCT(N1942:Y1942,$N$6:$Y$6)*$K1942*$L1942*$M1942</f>
        <v/>
      </c>
      <c r="AH1942" s="20" t="n"/>
    </row>
    <row r="1943">
      <c r="A1943" s="9" t="n">
        <v>800859</v>
      </c>
      <c r="B1943" s="9" t="inlineStr">
        <is>
          <t>J.D. McReynolds</t>
        </is>
      </c>
      <c r="C1943" s="9" t="inlineStr">
        <is>
          <t>TEX</t>
        </is>
      </c>
      <c r="D1943" s="9" t="n">
        <v>25</v>
      </c>
      <c r="E1943" s="18" t="inlineStr">
        <is>
          <t>R</t>
        </is>
      </c>
      <c r="F1943" s="18" t="n"/>
      <c r="G1943" s="9" t="n">
        <v>23.564</v>
      </c>
      <c r="H1943" s="9" t="n">
        <v>23.564</v>
      </c>
      <c r="I1943" s="9" t="inlineStr">
        <is>
          <t>Depth (no MLB IP)</t>
        </is>
      </c>
      <c r="J1943" s="18" t="inlineStr">
        <is>
          <t>Opening Day</t>
        </is>
      </c>
      <c r="K1943" s="11">
        <f>IFERROR(INDEX(Roles!$B$17:$B$20,MATCH(J1943,Roles!$A$17:$A$20,0)),1)</f>
        <v/>
      </c>
      <c r="L1943" s="19" t="n">
        <v>1</v>
      </c>
      <c r="M1943" s="11" t="n">
        <v>1</v>
      </c>
      <c r="N1943" s="19" t="n"/>
      <c r="O1943" s="19" t="n"/>
      <c r="P1943" s="19" t="n"/>
      <c r="Q1943" s="19" t="n"/>
      <c r="R1943" s="19" t="n"/>
      <c r="S1943" s="19" t="n"/>
      <c r="T1943" s="19" t="n"/>
      <c r="U1943" s="19" t="n"/>
      <c r="V1943" s="19" t="n"/>
      <c r="W1943" s="19" t="n"/>
      <c r="X1943" s="19" t="n"/>
      <c r="Y1943" s="19" t="n">
        <v>1</v>
      </c>
      <c r="Z1943" s="13">
        <f>SUMPRODUCT(N1943:Y1943,$N$2:$Y$2)*$K1943*$L1943*$M1943</f>
        <v/>
      </c>
      <c r="AA1943" s="14">
        <f>SUM(N1943:Y1943)</f>
        <v/>
      </c>
      <c r="AB1943" s="13">
        <f>SUMPRODUCT(N1943:Y1943,$N$3:$Y$3)*$K1943*$L1943*$M1943</f>
        <v/>
      </c>
      <c r="AC1943" s="13">
        <f>SUMPRODUCT(N1943:Y1943,$N$4:$Y$4)*$K1943*$L1943*$M1943</f>
        <v/>
      </c>
      <c r="AD1943" s="15" t="n">
        <v>3</v>
      </c>
      <c r="AE1943" s="11" t="n">
        <v>1.011296296296296</v>
      </c>
      <c r="AF1943" s="16">
        <f>SUMPRODUCT(N1943:Y1943,$N$5:$Y$5)*$K1943*$L1943*$M1943</f>
        <v/>
      </c>
      <c r="AG1943" s="16">
        <f>SUMPRODUCT(N1943:Y1943,$N$6:$Y$6)*$K1943*$L1943*$M1943</f>
        <v/>
      </c>
      <c r="AH1943" s="20" t="n"/>
    </row>
    <row r="1944">
      <c r="A1944" s="9" t="n">
        <v>692454</v>
      </c>
      <c r="B1944" s="9" t="inlineStr">
        <is>
          <t>Pablo Aldonis</t>
        </is>
      </c>
      <c r="C1944" s="9" t="inlineStr">
        <is>
          <t>WSH</t>
        </is>
      </c>
      <c r="D1944" s="9" t="n">
        <v>25</v>
      </c>
      <c r="E1944" s="18" t="inlineStr">
        <is>
          <t>L</t>
        </is>
      </c>
      <c r="F1944" s="18" t="n"/>
      <c r="G1944" s="9" t="n">
        <v>23.50666666666666</v>
      </c>
      <c r="H1944" s="9" t="n">
        <v>23.50666666666666</v>
      </c>
      <c r="I1944" s="9" t="inlineStr">
        <is>
          <t>Depth (no MLB IP)</t>
        </is>
      </c>
      <c r="J1944" s="18" t="inlineStr">
        <is>
          <t>Opening Day</t>
        </is>
      </c>
      <c r="K1944" s="11">
        <f>IFERROR(INDEX(Roles!$B$17:$B$20,MATCH(J1944,Roles!$A$17:$A$20,0)),1)</f>
        <v/>
      </c>
      <c r="L1944" s="19" t="n">
        <v>1</v>
      </c>
      <c r="M1944" s="11" t="n">
        <v>1</v>
      </c>
      <c r="N1944" s="19" t="n"/>
      <c r="O1944" s="19" t="n"/>
      <c r="P1944" s="19" t="n"/>
      <c r="Q1944" s="19" t="n"/>
      <c r="R1944" s="19" t="n"/>
      <c r="S1944" s="19" t="n"/>
      <c r="T1944" s="19" t="n"/>
      <c r="U1944" s="19" t="n"/>
      <c r="V1944" s="19" t="n"/>
      <c r="W1944" s="19" t="n"/>
      <c r="X1944" s="19" t="n"/>
      <c r="Y1944" s="19" t="n">
        <v>1</v>
      </c>
      <c r="Z1944" s="13">
        <f>SUMPRODUCT(N1944:Y1944,$N$2:$Y$2)*$K1944*$L1944*$M1944</f>
        <v/>
      </c>
      <c r="AA1944" s="14">
        <f>SUM(N1944:Y1944)</f>
        <v/>
      </c>
      <c r="AB1944" s="13">
        <f>SUMPRODUCT(N1944:Y1944,$N$3:$Y$3)*$K1944*$L1944*$M1944</f>
        <v/>
      </c>
      <c r="AC1944" s="13">
        <f>SUMPRODUCT(N1944:Y1944,$N$4:$Y$4)*$K1944*$L1944*$M1944</f>
        <v/>
      </c>
      <c r="AD1944" s="15" t="n">
        <v>3</v>
      </c>
      <c r="AE1944" s="11" t="n">
        <v>1.011296296296296</v>
      </c>
      <c r="AF1944" s="16">
        <f>SUMPRODUCT(N1944:Y1944,$N$5:$Y$5)*$K1944*$L1944*$M1944</f>
        <v/>
      </c>
      <c r="AG1944" s="16">
        <f>SUMPRODUCT(N1944:Y1944,$N$6:$Y$6)*$K1944*$L1944*$M1944</f>
        <v/>
      </c>
      <c r="AH1944" s="20" t="n"/>
    </row>
    <row r="1945">
      <c r="A1945" s="9" t="n">
        <v>691772</v>
      </c>
      <c r="B1945" s="9" t="inlineStr">
        <is>
          <t>Maddux Bruns</t>
        </is>
      </c>
      <c r="C1945" s="9" t="inlineStr">
        <is>
          <t>LAD</t>
        </is>
      </c>
      <c r="D1945" s="9" t="n">
        <v>25</v>
      </c>
      <c r="E1945" s="18" t="inlineStr">
        <is>
          <t>L</t>
        </is>
      </c>
      <c r="F1945" s="18" t="n"/>
      <c r="G1945" s="9" t="n">
        <v>23.57833333333333</v>
      </c>
      <c r="H1945" s="9" t="n">
        <v>23.57833333333333</v>
      </c>
      <c r="I1945" s="9" t="inlineStr">
        <is>
          <t>Depth (no MLB IP)</t>
        </is>
      </c>
      <c r="J1945" s="18" t="inlineStr">
        <is>
          <t>Opening Day</t>
        </is>
      </c>
      <c r="K1945" s="11">
        <f>IFERROR(INDEX(Roles!$B$17:$B$20,MATCH(J1945,Roles!$A$17:$A$20,0)),1)</f>
        <v/>
      </c>
      <c r="L1945" s="19" t="n">
        <v>1</v>
      </c>
      <c r="M1945" s="11" t="n">
        <v>1</v>
      </c>
      <c r="N1945" s="19" t="n"/>
      <c r="O1945" s="19" t="n"/>
      <c r="P1945" s="19" t="n"/>
      <c r="Q1945" s="19" t="n"/>
      <c r="R1945" s="19" t="n"/>
      <c r="S1945" s="19" t="n"/>
      <c r="T1945" s="19" t="n"/>
      <c r="U1945" s="19" t="n"/>
      <c r="V1945" s="19" t="n"/>
      <c r="W1945" s="19" t="n"/>
      <c r="X1945" s="19" t="n"/>
      <c r="Y1945" s="19" t="n">
        <v>1</v>
      </c>
      <c r="Z1945" s="13">
        <f>SUMPRODUCT(N1945:Y1945,$N$2:$Y$2)*$K1945*$L1945*$M1945</f>
        <v/>
      </c>
      <c r="AA1945" s="14">
        <f>SUM(N1945:Y1945)</f>
        <v/>
      </c>
      <c r="AB1945" s="13">
        <f>SUMPRODUCT(N1945:Y1945,$N$3:$Y$3)*$K1945*$L1945*$M1945</f>
        <v/>
      </c>
      <c r="AC1945" s="13">
        <f>SUMPRODUCT(N1945:Y1945,$N$4:$Y$4)*$K1945*$L1945*$M1945</f>
        <v/>
      </c>
      <c r="AD1945" s="15" t="n">
        <v>3</v>
      </c>
      <c r="AE1945" s="11" t="n">
        <v>1.011296296296296</v>
      </c>
      <c r="AF1945" s="16">
        <f>SUMPRODUCT(N1945:Y1945,$N$5:$Y$5)*$K1945*$L1945*$M1945</f>
        <v/>
      </c>
      <c r="AG1945" s="16">
        <f>SUMPRODUCT(N1945:Y1945,$N$6:$Y$6)*$K1945*$L1945*$M1945</f>
        <v/>
      </c>
      <c r="AH1945" s="20" t="n"/>
    </row>
    <row r="1946">
      <c r="A1946" s="9" t="n">
        <v>685329</v>
      </c>
      <c r="B1946" s="9" t="inlineStr">
        <is>
          <t>Carlos Peña</t>
        </is>
      </c>
      <c r="C1946" s="9" t="inlineStr">
        <is>
          <t>DET</t>
        </is>
      </c>
      <c r="D1946" s="9" t="n">
        <v>25</v>
      </c>
      <c r="E1946" s="18" t="inlineStr">
        <is>
          <t>L</t>
        </is>
      </c>
      <c r="F1946" s="18" t="n"/>
      <c r="G1946" s="9" t="n">
        <v>23.65</v>
      </c>
      <c r="H1946" s="9" t="n">
        <v>23.65</v>
      </c>
      <c r="I1946" s="9" t="inlineStr">
        <is>
          <t>Depth (no MLB IP)</t>
        </is>
      </c>
      <c r="J1946" s="18" t="inlineStr">
        <is>
          <t>Opening Day</t>
        </is>
      </c>
      <c r="K1946" s="11">
        <f>IFERROR(INDEX(Roles!$B$17:$B$20,MATCH(J1946,Roles!$A$17:$A$20,0)),1)</f>
        <v/>
      </c>
      <c r="L1946" s="19" t="n">
        <v>1</v>
      </c>
      <c r="M1946" s="11" t="n">
        <v>1</v>
      </c>
      <c r="N1946" s="19" t="n"/>
      <c r="O1946" s="19" t="n"/>
      <c r="P1946" s="19" t="n"/>
      <c r="Q1946" s="19" t="n"/>
      <c r="R1946" s="19" t="n"/>
      <c r="S1946" s="19" t="n"/>
      <c r="T1946" s="19" t="n"/>
      <c r="U1946" s="19" t="n"/>
      <c r="V1946" s="19" t="n"/>
      <c r="W1946" s="19" t="n"/>
      <c r="X1946" s="19" t="n"/>
      <c r="Y1946" s="19" t="n">
        <v>1</v>
      </c>
      <c r="Z1946" s="13">
        <f>SUMPRODUCT(N1946:Y1946,$N$2:$Y$2)*$K1946*$L1946*$M1946</f>
        <v/>
      </c>
      <c r="AA1946" s="14">
        <f>SUM(N1946:Y1946)</f>
        <v/>
      </c>
      <c r="AB1946" s="13">
        <f>SUMPRODUCT(N1946:Y1946,$N$3:$Y$3)*$K1946*$L1946*$M1946</f>
        <v/>
      </c>
      <c r="AC1946" s="13">
        <f>SUMPRODUCT(N1946:Y1946,$N$4:$Y$4)*$K1946*$L1946*$M1946</f>
        <v/>
      </c>
      <c r="AD1946" s="15" t="n">
        <v>3</v>
      </c>
      <c r="AE1946" s="11" t="n">
        <v>1.011296296296296</v>
      </c>
      <c r="AF1946" s="16">
        <f>SUMPRODUCT(N1946:Y1946,$N$5:$Y$5)*$K1946*$L1946*$M1946</f>
        <v/>
      </c>
      <c r="AG1946" s="16">
        <f>SUMPRODUCT(N1946:Y1946,$N$6:$Y$6)*$K1946*$L1946*$M1946</f>
        <v/>
      </c>
      <c r="AH1946" s="20" t="n"/>
    </row>
    <row r="1947">
      <c r="A1947" s="9" t="n">
        <v>814280</v>
      </c>
      <c r="B1947" s="9" t="inlineStr">
        <is>
          <t>Landon Tomkins</t>
        </is>
      </c>
      <c r="C1947" s="9" t="inlineStr">
        <is>
          <t>PIT</t>
        </is>
      </c>
      <c r="D1947" s="9" t="n">
        <v>25</v>
      </c>
      <c r="E1947" s="18" t="inlineStr">
        <is>
          <t>R</t>
        </is>
      </c>
      <c r="F1947" s="18" t="n"/>
      <c r="G1947" s="9" t="n">
        <v>23.65</v>
      </c>
      <c r="H1947" s="9" t="n">
        <v>23.65</v>
      </c>
      <c r="I1947" s="9" t="inlineStr">
        <is>
          <t>Depth (no MLB IP)</t>
        </is>
      </c>
      <c r="J1947" s="18" t="inlineStr">
        <is>
          <t>Opening Day</t>
        </is>
      </c>
      <c r="K1947" s="11">
        <f>IFERROR(INDEX(Roles!$B$17:$B$20,MATCH(J1947,Roles!$A$17:$A$20,0)),1)</f>
        <v/>
      </c>
      <c r="L1947" s="19" t="n">
        <v>1</v>
      </c>
      <c r="M1947" s="11" t="n">
        <v>1</v>
      </c>
      <c r="N1947" s="19" t="n"/>
      <c r="O1947" s="19" t="n"/>
      <c r="P1947" s="19" t="n"/>
      <c r="Q1947" s="19" t="n"/>
      <c r="R1947" s="19" t="n"/>
      <c r="S1947" s="19" t="n"/>
      <c r="T1947" s="19" t="n"/>
      <c r="U1947" s="19" t="n"/>
      <c r="V1947" s="19" t="n"/>
      <c r="W1947" s="19" t="n"/>
      <c r="X1947" s="19" t="n"/>
      <c r="Y1947" s="19" t="n">
        <v>1</v>
      </c>
      <c r="Z1947" s="13">
        <f>SUMPRODUCT(N1947:Y1947,$N$2:$Y$2)*$K1947*$L1947*$M1947</f>
        <v/>
      </c>
      <c r="AA1947" s="14">
        <f>SUM(N1947:Y1947)</f>
        <v/>
      </c>
      <c r="AB1947" s="13">
        <f>SUMPRODUCT(N1947:Y1947,$N$3:$Y$3)*$K1947*$L1947*$M1947</f>
        <v/>
      </c>
      <c r="AC1947" s="13">
        <f>SUMPRODUCT(N1947:Y1947,$N$4:$Y$4)*$K1947*$L1947*$M1947</f>
        <v/>
      </c>
      <c r="AD1947" s="15" t="n">
        <v>3</v>
      </c>
      <c r="AE1947" s="11" t="n">
        <v>1.011296296296296</v>
      </c>
      <c r="AF1947" s="16">
        <f>SUMPRODUCT(N1947:Y1947,$N$5:$Y$5)*$K1947*$L1947*$M1947</f>
        <v/>
      </c>
      <c r="AG1947" s="16">
        <f>SUMPRODUCT(N1947:Y1947,$N$6:$Y$6)*$K1947*$L1947*$M1947</f>
        <v/>
      </c>
      <c r="AH1947" s="20" t="n"/>
    </row>
    <row r="1948">
      <c r="A1948" s="9" t="n">
        <v>811721</v>
      </c>
      <c r="B1948" s="9" t="inlineStr">
        <is>
          <t>Nick Weyrich</t>
        </is>
      </c>
      <c r="C1948" s="9" t="inlineStr">
        <is>
          <t>CWS</t>
        </is>
      </c>
      <c r="D1948" s="9" t="n">
        <v>25</v>
      </c>
      <c r="E1948" s="18" t="inlineStr">
        <is>
          <t>R</t>
        </is>
      </c>
      <c r="F1948" s="18" t="n"/>
      <c r="G1948" s="9" t="n">
        <v>23.564</v>
      </c>
      <c r="H1948" s="9" t="n">
        <v>23.564</v>
      </c>
      <c r="I1948" s="9" t="inlineStr">
        <is>
          <t>Depth (no MLB IP)</t>
        </is>
      </c>
      <c r="J1948" s="18" t="inlineStr">
        <is>
          <t>Opening Day</t>
        </is>
      </c>
      <c r="K1948" s="11">
        <f>IFERROR(INDEX(Roles!$B$17:$B$20,MATCH(J1948,Roles!$A$17:$A$20,0)),1)</f>
        <v/>
      </c>
      <c r="L1948" s="19" t="n">
        <v>1</v>
      </c>
      <c r="M1948" s="11" t="n">
        <v>1</v>
      </c>
      <c r="N1948" s="19" t="n"/>
      <c r="O1948" s="19" t="n"/>
      <c r="P1948" s="19" t="n"/>
      <c r="Q1948" s="19" t="n"/>
      <c r="R1948" s="19" t="n"/>
      <c r="S1948" s="19" t="n"/>
      <c r="T1948" s="19" t="n"/>
      <c r="U1948" s="19" t="n"/>
      <c r="V1948" s="19" t="n"/>
      <c r="W1948" s="19" t="n"/>
      <c r="X1948" s="19" t="n"/>
      <c r="Y1948" s="19" t="n">
        <v>1</v>
      </c>
      <c r="Z1948" s="13">
        <f>SUMPRODUCT(N1948:Y1948,$N$2:$Y$2)*$K1948*$L1948*$M1948</f>
        <v/>
      </c>
      <c r="AA1948" s="14">
        <f>SUM(N1948:Y1948)</f>
        <v/>
      </c>
      <c r="AB1948" s="13">
        <f>SUMPRODUCT(N1948:Y1948,$N$3:$Y$3)*$K1948*$L1948*$M1948</f>
        <v/>
      </c>
      <c r="AC1948" s="13">
        <f>SUMPRODUCT(N1948:Y1948,$N$4:$Y$4)*$K1948*$L1948*$M1948</f>
        <v/>
      </c>
      <c r="AD1948" s="15" t="n">
        <v>3</v>
      </c>
      <c r="AE1948" s="11" t="n">
        <v>1.011296296296296</v>
      </c>
      <c r="AF1948" s="16">
        <f>SUMPRODUCT(N1948:Y1948,$N$5:$Y$5)*$K1948*$L1948*$M1948</f>
        <v/>
      </c>
      <c r="AG1948" s="16">
        <f>SUMPRODUCT(N1948:Y1948,$N$6:$Y$6)*$K1948*$L1948*$M1948</f>
        <v/>
      </c>
      <c r="AH1948" s="20" t="n"/>
    </row>
    <row r="1949">
      <c r="A1949" s="9" t="n">
        <v>833413</v>
      </c>
      <c r="B1949" s="9" t="inlineStr">
        <is>
          <t>Nick Falter</t>
        </is>
      </c>
      <c r="C1949" s="9" t="inlineStr">
        <is>
          <t>SD</t>
        </is>
      </c>
      <c r="D1949" s="9" t="n">
        <v>25</v>
      </c>
      <c r="E1949" s="18" t="inlineStr">
        <is>
          <t>R</t>
        </is>
      </c>
      <c r="F1949" s="18" t="n"/>
      <c r="G1949" s="9" t="n">
        <v>23.50666666666666</v>
      </c>
      <c r="H1949" s="9" t="n">
        <v>23.50666666666666</v>
      </c>
      <c r="I1949" s="9" t="inlineStr">
        <is>
          <t>Depth (no MLB IP)</t>
        </is>
      </c>
      <c r="J1949" s="18" t="inlineStr">
        <is>
          <t>Opening Day</t>
        </is>
      </c>
      <c r="K1949" s="11">
        <f>IFERROR(INDEX(Roles!$B$17:$B$20,MATCH(J1949,Roles!$A$17:$A$20,0)),1)</f>
        <v/>
      </c>
      <c r="L1949" s="19" t="n">
        <v>1</v>
      </c>
      <c r="M1949" s="11" t="n">
        <v>1</v>
      </c>
      <c r="N1949" s="19" t="n"/>
      <c r="O1949" s="19" t="n"/>
      <c r="P1949" s="19" t="n"/>
      <c r="Q1949" s="19" t="n"/>
      <c r="R1949" s="19" t="n"/>
      <c r="S1949" s="19" t="n"/>
      <c r="T1949" s="19" t="n"/>
      <c r="U1949" s="19" t="n"/>
      <c r="V1949" s="19" t="n"/>
      <c r="W1949" s="19" t="n"/>
      <c r="X1949" s="19" t="n"/>
      <c r="Y1949" s="19" t="n">
        <v>1</v>
      </c>
      <c r="Z1949" s="13">
        <f>SUMPRODUCT(N1949:Y1949,$N$2:$Y$2)*$K1949*$L1949*$M1949</f>
        <v/>
      </c>
      <c r="AA1949" s="14">
        <f>SUM(N1949:Y1949)</f>
        <v/>
      </c>
      <c r="AB1949" s="13">
        <f>SUMPRODUCT(N1949:Y1949,$N$3:$Y$3)*$K1949*$L1949*$M1949</f>
        <v/>
      </c>
      <c r="AC1949" s="13">
        <f>SUMPRODUCT(N1949:Y1949,$N$4:$Y$4)*$K1949*$L1949*$M1949</f>
        <v/>
      </c>
      <c r="AD1949" s="15" t="n">
        <v>3</v>
      </c>
      <c r="AE1949" s="11" t="n">
        <v>1.011296296296296</v>
      </c>
      <c r="AF1949" s="16">
        <f>SUMPRODUCT(N1949:Y1949,$N$5:$Y$5)*$K1949*$L1949*$M1949</f>
        <v/>
      </c>
      <c r="AG1949" s="16">
        <f>SUMPRODUCT(N1949:Y1949,$N$6:$Y$6)*$K1949*$L1949*$M1949</f>
        <v/>
      </c>
      <c r="AH1949" s="20" t="n"/>
    </row>
    <row r="1950">
      <c r="A1950" s="9" t="n">
        <v>820833</v>
      </c>
      <c r="B1950" s="9" t="inlineStr">
        <is>
          <t>Joey Broughton</t>
        </is>
      </c>
      <c r="C1950" s="9" t="inlineStr">
        <is>
          <t>MIL</t>
        </is>
      </c>
      <c r="D1950" s="9" t="n">
        <v>25</v>
      </c>
      <c r="E1950" s="18" t="inlineStr">
        <is>
          <t>L</t>
        </is>
      </c>
      <c r="F1950" s="18" t="n"/>
      <c r="G1950" s="9" t="n">
        <v>23.564</v>
      </c>
      <c r="H1950" s="9" t="n">
        <v>23.564</v>
      </c>
      <c r="I1950" s="9" t="inlineStr">
        <is>
          <t>Depth (no MLB IP)</t>
        </is>
      </c>
      <c r="J1950" s="18" t="inlineStr">
        <is>
          <t>Opening Day</t>
        </is>
      </c>
      <c r="K1950" s="11">
        <f>IFERROR(INDEX(Roles!$B$17:$B$20,MATCH(J1950,Roles!$A$17:$A$20,0)),1)</f>
        <v/>
      </c>
      <c r="L1950" s="19" t="n">
        <v>1</v>
      </c>
      <c r="M1950" s="11" t="n">
        <v>1</v>
      </c>
      <c r="N1950" s="19" t="n"/>
      <c r="O1950" s="19" t="n"/>
      <c r="P1950" s="19" t="n"/>
      <c r="Q1950" s="19" t="n"/>
      <c r="R1950" s="19" t="n"/>
      <c r="S1950" s="19" t="n"/>
      <c r="T1950" s="19" t="n"/>
      <c r="U1950" s="19" t="n"/>
      <c r="V1950" s="19" t="n"/>
      <c r="W1950" s="19" t="n"/>
      <c r="X1950" s="19" t="n"/>
      <c r="Y1950" s="19" t="n">
        <v>1</v>
      </c>
      <c r="Z1950" s="13">
        <f>SUMPRODUCT(N1950:Y1950,$N$2:$Y$2)*$K1950*$L1950*$M1950</f>
        <v/>
      </c>
      <c r="AA1950" s="14">
        <f>SUM(N1950:Y1950)</f>
        <v/>
      </c>
      <c r="AB1950" s="13">
        <f>SUMPRODUCT(N1950:Y1950,$N$3:$Y$3)*$K1950*$L1950*$M1950</f>
        <v/>
      </c>
      <c r="AC1950" s="13">
        <f>SUMPRODUCT(N1950:Y1950,$N$4:$Y$4)*$K1950*$L1950*$M1950</f>
        <v/>
      </c>
      <c r="AD1950" s="15" t="n">
        <v>3</v>
      </c>
      <c r="AE1950" s="11" t="n">
        <v>1.011296296296296</v>
      </c>
      <c r="AF1950" s="16">
        <f>SUMPRODUCT(N1950:Y1950,$N$5:$Y$5)*$K1950*$L1950*$M1950</f>
        <v/>
      </c>
      <c r="AG1950" s="16">
        <f>SUMPRODUCT(N1950:Y1950,$N$6:$Y$6)*$K1950*$L1950*$M1950</f>
        <v/>
      </c>
      <c r="AH1950" s="20" t="n"/>
    </row>
    <row r="1951">
      <c r="A1951" s="9" t="n">
        <v>667478</v>
      </c>
      <c r="B1951" s="9" t="inlineStr">
        <is>
          <t>Evan Kravetz</t>
        </is>
      </c>
      <c r="C1951" s="9" t="inlineStr">
        <is>
          <t>CIN</t>
        </is>
      </c>
      <c r="D1951" s="9" t="n">
        <v>30</v>
      </c>
      <c r="E1951" s="18" t="inlineStr">
        <is>
          <t>L</t>
        </is>
      </c>
      <c r="F1951" s="18" t="n"/>
      <c r="G1951" s="9" t="n">
        <v>2</v>
      </c>
      <c r="H1951" s="9" t="n">
        <v>2</v>
      </c>
      <c r="I1951" s="9" t="inlineStr">
        <is>
          <t>Depth (no MLB IP)</t>
        </is>
      </c>
      <c r="J1951" s="18" t="inlineStr">
        <is>
          <t>Opening Day</t>
        </is>
      </c>
      <c r="K1951" s="11">
        <f>IFERROR(INDEX(Roles!$B$17:$B$20,MATCH(J1951,Roles!$A$17:$A$20,0)),1)</f>
        <v/>
      </c>
      <c r="L1951" s="19" t="n">
        <v>1</v>
      </c>
      <c r="M1951" s="11" t="n">
        <v>1</v>
      </c>
      <c r="N1951" s="19" t="n"/>
      <c r="O1951" s="19" t="n"/>
      <c r="P1951" s="19" t="n"/>
      <c r="Q1951" s="19" t="n"/>
      <c r="R1951" s="19" t="n"/>
      <c r="S1951" s="19" t="n"/>
      <c r="T1951" s="19" t="n"/>
      <c r="U1951" s="19" t="n"/>
      <c r="V1951" s="19" t="n"/>
      <c r="W1951" s="19" t="n"/>
      <c r="X1951" s="19" t="n"/>
      <c r="Y1951" s="19" t="n">
        <v>1</v>
      </c>
      <c r="Z1951" s="13">
        <f>SUMPRODUCT(N1951:Y1951,$N$2:$Y$2)*$K1951*$L1951*$M1951</f>
        <v/>
      </c>
      <c r="AA1951" s="14">
        <f>SUM(N1951:Y1951)</f>
        <v/>
      </c>
      <c r="AB1951" s="13">
        <f>SUMPRODUCT(N1951:Y1951,$N$3:$Y$3)*$K1951*$L1951*$M1951</f>
        <v/>
      </c>
      <c r="AC1951" s="13">
        <f>SUMPRODUCT(N1951:Y1951,$N$4:$Y$4)*$K1951*$L1951*$M1951</f>
        <v/>
      </c>
      <c r="AD1951" s="15" t="n">
        <v>1.8</v>
      </c>
      <c r="AE1951" s="11" t="n">
        <v>0.8964197530864197</v>
      </c>
      <c r="AF1951" s="16">
        <f>SUMPRODUCT(N1951:Y1951,$N$5:$Y$5)*$K1951*$L1951*$M1951</f>
        <v/>
      </c>
      <c r="AG1951" s="16">
        <f>SUMPRODUCT(N1951:Y1951,$N$6:$Y$6)*$K1951*$L1951*$M1951</f>
        <v/>
      </c>
      <c r="AH1951" s="20" t="n"/>
    </row>
    <row r="1952">
      <c r="A1952" s="9" t="n">
        <v>808042</v>
      </c>
      <c r="B1952" s="9" t="inlineStr">
        <is>
          <t>Jhon Medina</t>
        </is>
      </c>
      <c r="C1952" s="9" t="inlineStr">
        <is>
          <t>COL</t>
        </is>
      </c>
      <c r="D1952" s="9" t="n">
        <v>25</v>
      </c>
      <c r="E1952" s="18" t="inlineStr">
        <is>
          <t>L</t>
        </is>
      </c>
      <c r="F1952" s="18" t="n"/>
      <c r="G1952" s="9" t="n">
        <v>23.564</v>
      </c>
      <c r="H1952" s="9" t="n">
        <v>23.564</v>
      </c>
      <c r="I1952" s="9" t="inlineStr">
        <is>
          <t>Depth (no MLB IP)</t>
        </is>
      </c>
      <c r="J1952" s="18" t="inlineStr">
        <is>
          <t>Opening Day</t>
        </is>
      </c>
      <c r="K1952" s="11">
        <f>IFERROR(INDEX(Roles!$B$17:$B$20,MATCH(J1952,Roles!$A$17:$A$20,0)),1)</f>
        <v/>
      </c>
      <c r="L1952" s="19" t="n">
        <v>1</v>
      </c>
      <c r="M1952" s="11" t="n">
        <v>1</v>
      </c>
      <c r="N1952" s="19" t="n"/>
      <c r="O1952" s="19" t="n"/>
      <c r="P1952" s="19" t="n"/>
      <c r="Q1952" s="19" t="n"/>
      <c r="R1952" s="19" t="n"/>
      <c r="S1952" s="19" t="n"/>
      <c r="T1952" s="19" t="n"/>
      <c r="U1952" s="19" t="n"/>
      <c r="V1952" s="19" t="n"/>
      <c r="W1952" s="19" t="n"/>
      <c r="X1952" s="19" t="n"/>
      <c r="Y1952" s="19" t="n">
        <v>1</v>
      </c>
      <c r="Z1952" s="13">
        <f>SUMPRODUCT(N1952:Y1952,$N$2:$Y$2)*$K1952*$L1952*$M1952</f>
        <v/>
      </c>
      <c r="AA1952" s="14">
        <f>SUM(N1952:Y1952)</f>
        <v/>
      </c>
      <c r="AB1952" s="13">
        <f>SUMPRODUCT(N1952:Y1952,$N$3:$Y$3)*$K1952*$L1952*$M1952</f>
        <v/>
      </c>
      <c r="AC1952" s="13">
        <f>SUMPRODUCT(N1952:Y1952,$N$4:$Y$4)*$K1952*$L1952*$M1952</f>
        <v/>
      </c>
      <c r="AD1952" s="15" t="n">
        <v>3</v>
      </c>
      <c r="AE1952" s="11" t="n">
        <v>1.011296296296296</v>
      </c>
      <c r="AF1952" s="16">
        <f>SUMPRODUCT(N1952:Y1952,$N$5:$Y$5)*$K1952*$L1952*$M1952</f>
        <v/>
      </c>
      <c r="AG1952" s="16">
        <f>SUMPRODUCT(N1952:Y1952,$N$6:$Y$6)*$K1952*$L1952*$M1952</f>
        <v/>
      </c>
      <c r="AH1952" s="20" t="n"/>
    </row>
    <row r="1953">
      <c r="A1953" s="9" t="n">
        <v>700895</v>
      </c>
      <c r="B1953" s="9" t="inlineStr">
        <is>
          <t>Sawyer Hawks</t>
        </is>
      </c>
      <c r="C1953" s="9" t="inlineStr">
        <is>
          <t>ARI</t>
        </is>
      </c>
      <c r="D1953" s="9" t="n">
        <v>25</v>
      </c>
      <c r="E1953" s="18" t="inlineStr">
        <is>
          <t>R</t>
        </is>
      </c>
      <c r="F1953" s="18" t="n"/>
      <c r="G1953" s="9" t="n">
        <v>23.57833333333333</v>
      </c>
      <c r="H1953" s="9" t="n">
        <v>23.57833333333333</v>
      </c>
      <c r="I1953" s="9" t="inlineStr">
        <is>
          <t>Depth (no MLB IP)</t>
        </is>
      </c>
      <c r="J1953" s="18" t="inlineStr">
        <is>
          <t>Opening Day</t>
        </is>
      </c>
      <c r="K1953" s="11">
        <f>IFERROR(INDEX(Roles!$B$17:$B$20,MATCH(J1953,Roles!$A$17:$A$20,0)),1)</f>
        <v/>
      </c>
      <c r="L1953" s="19" t="n">
        <v>1</v>
      </c>
      <c r="M1953" s="11" t="n">
        <v>1</v>
      </c>
      <c r="N1953" s="19" t="n"/>
      <c r="O1953" s="19" t="n"/>
      <c r="P1953" s="19" t="n"/>
      <c r="Q1953" s="19" t="n"/>
      <c r="R1953" s="19" t="n"/>
      <c r="S1953" s="19" t="n"/>
      <c r="T1953" s="19" t="n"/>
      <c r="U1953" s="19" t="n"/>
      <c r="V1953" s="19" t="n"/>
      <c r="W1953" s="19" t="n"/>
      <c r="X1953" s="19" t="n"/>
      <c r="Y1953" s="19" t="n">
        <v>1</v>
      </c>
      <c r="Z1953" s="13">
        <f>SUMPRODUCT(N1953:Y1953,$N$2:$Y$2)*$K1953*$L1953*$M1953</f>
        <v/>
      </c>
      <c r="AA1953" s="14">
        <f>SUM(N1953:Y1953)</f>
        <v/>
      </c>
      <c r="AB1953" s="13">
        <f>SUMPRODUCT(N1953:Y1953,$N$3:$Y$3)*$K1953*$L1953*$M1953</f>
        <v/>
      </c>
      <c r="AC1953" s="13">
        <f>SUMPRODUCT(N1953:Y1953,$N$4:$Y$4)*$K1953*$L1953*$M1953</f>
        <v/>
      </c>
      <c r="AD1953" s="15" t="n">
        <v>3</v>
      </c>
      <c r="AE1953" s="11" t="n">
        <v>1.011296296296296</v>
      </c>
      <c r="AF1953" s="16">
        <f>SUMPRODUCT(N1953:Y1953,$N$5:$Y$5)*$K1953*$L1953*$M1953</f>
        <v/>
      </c>
      <c r="AG1953" s="16">
        <f>SUMPRODUCT(N1953:Y1953,$N$6:$Y$6)*$K1953*$L1953*$M1953</f>
        <v/>
      </c>
      <c r="AH1953" s="20" t="n"/>
    </row>
    <row r="1954">
      <c r="A1954" s="9" t="n">
        <v>828496</v>
      </c>
      <c r="B1954" s="9" t="inlineStr">
        <is>
          <t>Jonathan Todd</t>
        </is>
      </c>
      <c r="C1954" s="9" t="inlineStr">
        <is>
          <t>TOR</t>
        </is>
      </c>
      <c r="D1954" s="9" t="n">
        <v>25</v>
      </c>
      <c r="E1954" s="18" t="inlineStr">
        <is>
          <t>R</t>
        </is>
      </c>
      <c r="F1954" s="18" t="n"/>
      <c r="G1954" s="9" t="n">
        <v>23.57833333333333</v>
      </c>
      <c r="H1954" s="9" t="n">
        <v>23.57833333333333</v>
      </c>
      <c r="I1954" s="9" t="inlineStr">
        <is>
          <t>Depth (no MLB IP)</t>
        </is>
      </c>
      <c r="J1954" s="18" t="inlineStr">
        <is>
          <t>Opening Day</t>
        </is>
      </c>
      <c r="K1954" s="11">
        <f>IFERROR(INDEX(Roles!$B$17:$B$20,MATCH(J1954,Roles!$A$17:$A$20,0)),1)</f>
        <v/>
      </c>
      <c r="L1954" s="19" t="n">
        <v>1</v>
      </c>
      <c r="M1954" s="11" t="n">
        <v>1</v>
      </c>
      <c r="N1954" s="19" t="n"/>
      <c r="O1954" s="19" t="n"/>
      <c r="P1954" s="19" t="n"/>
      <c r="Q1954" s="19" t="n"/>
      <c r="R1954" s="19" t="n"/>
      <c r="S1954" s="19" t="n"/>
      <c r="T1954" s="19" t="n"/>
      <c r="U1954" s="19" t="n"/>
      <c r="V1954" s="19" t="n"/>
      <c r="W1954" s="19" t="n"/>
      <c r="X1954" s="19" t="n"/>
      <c r="Y1954" s="19" t="n">
        <v>1</v>
      </c>
      <c r="Z1954" s="13">
        <f>SUMPRODUCT(N1954:Y1954,$N$2:$Y$2)*$K1954*$L1954*$M1954</f>
        <v/>
      </c>
      <c r="AA1954" s="14">
        <f>SUM(N1954:Y1954)</f>
        <v/>
      </c>
      <c r="AB1954" s="13">
        <f>SUMPRODUCT(N1954:Y1954,$N$3:$Y$3)*$K1954*$L1954*$M1954</f>
        <v/>
      </c>
      <c r="AC1954" s="13">
        <f>SUMPRODUCT(N1954:Y1954,$N$4:$Y$4)*$K1954*$L1954*$M1954</f>
        <v/>
      </c>
      <c r="AD1954" s="15" t="n">
        <v>3</v>
      </c>
      <c r="AE1954" s="11" t="n">
        <v>1.011296296296296</v>
      </c>
      <c r="AF1954" s="16">
        <f>SUMPRODUCT(N1954:Y1954,$N$5:$Y$5)*$K1954*$L1954*$M1954</f>
        <v/>
      </c>
      <c r="AG1954" s="16">
        <f>SUMPRODUCT(N1954:Y1954,$N$6:$Y$6)*$K1954*$L1954*$M1954</f>
        <v/>
      </c>
      <c r="AH1954" s="20" t="n"/>
    </row>
    <row r="1955">
      <c r="A1955" s="9" t="n">
        <v>827469</v>
      </c>
      <c r="B1955" s="9" t="inlineStr">
        <is>
          <t>Luis Burgos</t>
        </is>
      </c>
      <c r="C1955" s="9" t="inlineStr">
        <is>
          <t>OAK</t>
        </is>
      </c>
      <c r="D1955" s="9" t="n">
        <v>25</v>
      </c>
      <c r="E1955" s="18" t="inlineStr">
        <is>
          <t>R</t>
        </is>
      </c>
      <c r="F1955" s="18" t="n"/>
      <c r="G1955" s="9" t="n">
        <v>23.736</v>
      </c>
      <c r="H1955" s="9" t="n">
        <v>23.736</v>
      </c>
      <c r="I1955" s="9" t="inlineStr">
        <is>
          <t>Depth (no MLB IP)</t>
        </is>
      </c>
      <c r="J1955" s="18" t="inlineStr">
        <is>
          <t>Opening Day</t>
        </is>
      </c>
      <c r="K1955" s="11">
        <f>IFERROR(INDEX(Roles!$B$17:$B$20,MATCH(J1955,Roles!$A$17:$A$20,0)),1)</f>
        <v/>
      </c>
      <c r="L1955" s="19" t="n">
        <v>1</v>
      </c>
      <c r="M1955" s="11" t="n">
        <v>1</v>
      </c>
      <c r="N1955" s="19" t="n"/>
      <c r="O1955" s="19" t="n"/>
      <c r="P1955" s="19" t="n"/>
      <c r="Q1955" s="19" t="n"/>
      <c r="R1955" s="19" t="n"/>
      <c r="S1955" s="19" t="n"/>
      <c r="T1955" s="19" t="n"/>
      <c r="U1955" s="19" t="n"/>
      <c r="V1955" s="19" t="n"/>
      <c r="W1955" s="19" t="n"/>
      <c r="X1955" s="19" t="n"/>
      <c r="Y1955" s="19" t="n">
        <v>1</v>
      </c>
      <c r="Z1955" s="13">
        <f>SUMPRODUCT(N1955:Y1955,$N$2:$Y$2)*$K1955*$L1955*$M1955</f>
        <v/>
      </c>
      <c r="AA1955" s="14">
        <f>SUM(N1955:Y1955)</f>
        <v/>
      </c>
      <c r="AB1955" s="13">
        <f>SUMPRODUCT(N1955:Y1955,$N$3:$Y$3)*$K1955*$L1955*$M1955</f>
        <v/>
      </c>
      <c r="AC1955" s="13">
        <f>SUMPRODUCT(N1955:Y1955,$N$4:$Y$4)*$K1955*$L1955*$M1955</f>
        <v/>
      </c>
      <c r="AD1955" s="15" t="n">
        <v>3</v>
      </c>
      <c r="AE1955" s="11" t="n">
        <v>1.011296296296296</v>
      </c>
      <c r="AF1955" s="16">
        <f>SUMPRODUCT(N1955:Y1955,$N$5:$Y$5)*$K1955*$L1955*$M1955</f>
        <v/>
      </c>
      <c r="AG1955" s="16">
        <f>SUMPRODUCT(N1955:Y1955,$N$6:$Y$6)*$K1955*$L1955*$M1955</f>
        <v/>
      </c>
      <c r="AH1955" s="20" t="n"/>
    </row>
    <row r="1956">
      <c r="A1956" s="9" t="n">
        <v>676053</v>
      </c>
      <c r="B1956" s="9" t="inlineStr">
        <is>
          <t>Casey Opitz</t>
        </is>
      </c>
      <c r="C1956" s="9" t="inlineStr">
        <is>
          <t>CHC</t>
        </is>
      </c>
      <c r="D1956" s="9" t="n">
        <v>25</v>
      </c>
      <c r="E1956" s="18" t="inlineStr">
        <is>
          <t>R</t>
        </is>
      </c>
      <c r="F1956" s="18" t="n"/>
      <c r="G1956" s="9" t="n">
        <v>23.65</v>
      </c>
      <c r="H1956" s="9" t="n">
        <v>23.65</v>
      </c>
      <c r="I1956" s="9" t="inlineStr">
        <is>
          <t>Depth (no MLB IP)</t>
        </is>
      </c>
      <c r="J1956" s="18" t="inlineStr">
        <is>
          <t>Opening Day</t>
        </is>
      </c>
      <c r="K1956" s="11">
        <f>IFERROR(INDEX(Roles!$B$17:$B$20,MATCH(J1956,Roles!$A$17:$A$20,0)),1)</f>
        <v/>
      </c>
      <c r="L1956" s="19" t="n">
        <v>1</v>
      </c>
      <c r="M1956" s="11" t="n">
        <v>1</v>
      </c>
      <c r="N1956" s="19" t="n"/>
      <c r="O1956" s="19" t="n"/>
      <c r="P1956" s="19" t="n"/>
      <c r="Q1956" s="19" t="n"/>
      <c r="R1956" s="19" t="n"/>
      <c r="S1956" s="19" t="n"/>
      <c r="T1956" s="19" t="n"/>
      <c r="U1956" s="19" t="n"/>
      <c r="V1956" s="19" t="n"/>
      <c r="W1956" s="19" t="n"/>
      <c r="X1956" s="19" t="n"/>
      <c r="Y1956" s="19" t="n">
        <v>1</v>
      </c>
      <c r="Z1956" s="13">
        <f>SUMPRODUCT(N1956:Y1956,$N$2:$Y$2)*$K1956*$L1956*$M1956</f>
        <v/>
      </c>
      <c r="AA1956" s="14">
        <f>SUM(N1956:Y1956)</f>
        <v/>
      </c>
      <c r="AB1956" s="13">
        <f>SUMPRODUCT(N1956:Y1956,$N$3:$Y$3)*$K1956*$L1956*$M1956</f>
        <v/>
      </c>
      <c r="AC1956" s="13">
        <f>SUMPRODUCT(N1956:Y1956,$N$4:$Y$4)*$K1956*$L1956*$M1956</f>
        <v/>
      </c>
      <c r="AD1956" s="15" t="n">
        <v>3</v>
      </c>
      <c r="AE1956" s="11" t="n">
        <v>1.011296296296296</v>
      </c>
      <c r="AF1956" s="16">
        <f>SUMPRODUCT(N1956:Y1956,$N$5:$Y$5)*$K1956*$L1956*$M1956</f>
        <v/>
      </c>
      <c r="AG1956" s="16">
        <f>SUMPRODUCT(N1956:Y1956,$N$6:$Y$6)*$K1956*$L1956*$M1956</f>
        <v/>
      </c>
      <c r="AH1956" s="20" t="n"/>
    </row>
    <row r="1957">
      <c r="A1957" s="9" t="n">
        <v>698959</v>
      </c>
      <c r="B1957" s="9" t="inlineStr">
        <is>
          <t>Jan Caraballo</t>
        </is>
      </c>
      <c r="C1957" s="9" t="inlineStr">
        <is>
          <t>DET</t>
        </is>
      </c>
      <c r="D1957" s="9" t="n">
        <v>25</v>
      </c>
      <c r="E1957" s="18" t="inlineStr">
        <is>
          <t>R</t>
        </is>
      </c>
      <c r="F1957" s="18" t="n"/>
      <c r="G1957" s="9" t="n">
        <v>23.736</v>
      </c>
      <c r="H1957" s="9" t="n">
        <v>23.736</v>
      </c>
      <c r="I1957" s="9" t="inlineStr">
        <is>
          <t>Depth (no MLB IP)</t>
        </is>
      </c>
      <c r="J1957" s="18" t="inlineStr">
        <is>
          <t>Opening Day</t>
        </is>
      </c>
      <c r="K1957" s="11">
        <f>IFERROR(INDEX(Roles!$B$17:$B$20,MATCH(J1957,Roles!$A$17:$A$20,0)),1)</f>
        <v/>
      </c>
      <c r="L1957" s="19" t="n">
        <v>1</v>
      </c>
      <c r="M1957" s="11" t="n">
        <v>1</v>
      </c>
      <c r="N1957" s="19" t="n"/>
      <c r="O1957" s="19" t="n"/>
      <c r="P1957" s="19" t="n"/>
      <c r="Q1957" s="19" t="n"/>
      <c r="R1957" s="19" t="n"/>
      <c r="S1957" s="19" t="n"/>
      <c r="T1957" s="19" t="n"/>
      <c r="U1957" s="19" t="n"/>
      <c r="V1957" s="19" t="n"/>
      <c r="W1957" s="19" t="n"/>
      <c r="X1957" s="19" t="n"/>
      <c r="Y1957" s="19" t="n">
        <v>1</v>
      </c>
      <c r="Z1957" s="13">
        <f>SUMPRODUCT(N1957:Y1957,$N$2:$Y$2)*$K1957*$L1957*$M1957</f>
        <v/>
      </c>
      <c r="AA1957" s="14">
        <f>SUM(N1957:Y1957)</f>
        <v/>
      </c>
      <c r="AB1957" s="13">
        <f>SUMPRODUCT(N1957:Y1957,$N$3:$Y$3)*$K1957*$L1957*$M1957</f>
        <v/>
      </c>
      <c r="AC1957" s="13">
        <f>SUMPRODUCT(N1957:Y1957,$N$4:$Y$4)*$K1957*$L1957*$M1957</f>
        <v/>
      </c>
      <c r="AD1957" s="15" t="n">
        <v>3</v>
      </c>
      <c r="AE1957" s="11" t="n">
        <v>1.011296296296296</v>
      </c>
      <c r="AF1957" s="16">
        <f>SUMPRODUCT(N1957:Y1957,$N$5:$Y$5)*$K1957*$L1957*$M1957</f>
        <v/>
      </c>
      <c r="AG1957" s="16">
        <f>SUMPRODUCT(N1957:Y1957,$N$6:$Y$6)*$K1957*$L1957*$M1957</f>
        <v/>
      </c>
      <c r="AH1957" s="20" t="n"/>
    </row>
    <row r="1958">
      <c r="A1958" s="9" t="n">
        <v>571760</v>
      </c>
      <c r="B1958" s="9" t="inlineStr">
        <is>
          <t>Andrew Heaney</t>
        </is>
      </c>
      <c r="C1958" s="9" t="inlineStr">
        <is>
          <t>LAD</t>
        </is>
      </c>
      <c r="D1958" s="9" t="n">
        <v>36</v>
      </c>
      <c r="E1958" s="18" t="inlineStr">
        <is>
          <t>L</t>
        </is>
      </c>
      <c r="F1958" s="18" t="n"/>
      <c r="G1958" s="9" t="n">
        <v>536</v>
      </c>
      <c r="H1958" s="9" t="n">
        <v>2180</v>
      </c>
      <c r="I1958" s="9" t="inlineStr">
        <is>
          <t>End-of-Rotation Starter (SP4-5)</t>
        </is>
      </c>
      <c r="J1958" s="18" t="inlineStr">
        <is>
          <t>Opening Day</t>
        </is>
      </c>
      <c r="K1958" s="11">
        <f>IFERROR(INDEX(Roles!$B$17:$B$20,MATCH(J1958,Roles!$A$17:$A$20,0)),1)</f>
        <v/>
      </c>
      <c r="L1958" s="19" t="n">
        <v>1</v>
      </c>
      <c r="M1958" s="11" t="n">
        <v>1</v>
      </c>
      <c r="N1958" s="19" t="n"/>
      <c r="O1958" s="19" t="n"/>
      <c r="P1958" s="19" t="n">
        <v>1</v>
      </c>
      <c r="Q1958" s="19" t="n"/>
      <c r="R1958" s="19" t="n"/>
      <c r="S1958" s="19" t="n"/>
      <c r="T1958" s="19" t="n"/>
      <c r="U1958" s="19" t="n"/>
      <c r="V1958" s="19" t="n"/>
      <c r="W1958" s="19" t="n"/>
      <c r="X1958" s="19" t="n"/>
      <c r="Y1958" s="19" t="n"/>
      <c r="Z1958" s="13">
        <f>SUMPRODUCT(N1958:Y1958,$N$2:$Y$2)*$K1958*$L1958*$M1958</f>
        <v/>
      </c>
      <c r="AA1958" s="14">
        <f>SUM(N1958:Y1958)</f>
        <v/>
      </c>
      <c r="AB1958" s="13">
        <f>SUMPRODUCT(N1958:Y1958,$N$3:$Y$3)*$K1958*$L1958*$M1958</f>
        <v/>
      </c>
      <c r="AC1958" s="13">
        <f>SUMPRODUCT(N1958:Y1958,$N$4:$Y$4)*$K1958*$L1958*$M1958</f>
        <v/>
      </c>
      <c r="AD1958" s="15" t="n">
        <v>23.6</v>
      </c>
      <c r="AE1958" s="11" t="n">
        <v>4.605512489233419</v>
      </c>
      <c r="AF1958" s="16">
        <f>SUMPRODUCT(N1958:Y1958,$N$5:$Y$5)*$K1958*$L1958*$M1958</f>
        <v/>
      </c>
      <c r="AG1958" s="16">
        <f>SUMPRODUCT(N1958:Y1958,$N$6:$Y$6)*$K1958*$L1958*$M1958</f>
        <v/>
      </c>
      <c r="AH1958" s="20" t="n"/>
    </row>
    <row r="1959">
      <c r="A1959" s="9" t="n">
        <v>816014</v>
      </c>
      <c r="B1959" s="9" t="inlineStr">
        <is>
          <t>Ryan McDonagh</t>
        </is>
      </c>
      <c r="C1959" s="9" t="inlineStr">
        <is>
          <t>KC</t>
        </is>
      </c>
      <c r="D1959" s="9" t="n">
        <v>25</v>
      </c>
      <c r="E1959" s="18" t="inlineStr">
        <is>
          <t>R</t>
        </is>
      </c>
      <c r="F1959" s="18" t="n"/>
      <c r="G1959" s="9" t="n">
        <v>23.736</v>
      </c>
      <c r="H1959" s="9" t="n">
        <v>23.736</v>
      </c>
      <c r="I1959" s="9" t="inlineStr">
        <is>
          <t>Depth (no MLB IP)</t>
        </is>
      </c>
      <c r="J1959" s="18" t="inlineStr">
        <is>
          <t>Opening Day</t>
        </is>
      </c>
      <c r="K1959" s="11">
        <f>IFERROR(INDEX(Roles!$B$17:$B$20,MATCH(J1959,Roles!$A$17:$A$20,0)),1)</f>
        <v/>
      </c>
      <c r="L1959" s="19" t="n">
        <v>1</v>
      </c>
      <c r="M1959" s="11" t="n">
        <v>1</v>
      </c>
      <c r="N1959" s="19" t="n"/>
      <c r="O1959" s="19" t="n"/>
      <c r="P1959" s="19" t="n"/>
      <c r="Q1959" s="19" t="n"/>
      <c r="R1959" s="19" t="n"/>
      <c r="S1959" s="19" t="n"/>
      <c r="T1959" s="19" t="n"/>
      <c r="U1959" s="19" t="n"/>
      <c r="V1959" s="19" t="n"/>
      <c r="W1959" s="19" t="n"/>
      <c r="X1959" s="19" t="n"/>
      <c r="Y1959" s="19" t="n">
        <v>1</v>
      </c>
      <c r="Z1959" s="13">
        <f>SUMPRODUCT(N1959:Y1959,$N$2:$Y$2)*$K1959*$L1959*$M1959</f>
        <v/>
      </c>
      <c r="AA1959" s="14">
        <f>SUM(N1959:Y1959)</f>
        <v/>
      </c>
      <c r="AB1959" s="13">
        <f>SUMPRODUCT(N1959:Y1959,$N$3:$Y$3)*$K1959*$L1959*$M1959</f>
        <v/>
      </c>
      <c r="AC1959" s="13">
        <f>SUMPRODUCT(N1959:Y1959,$N$4:$Y$4)*$K1959*$L1959*$M1959</f>
        <v/>
      </c>
      <c r="AD1959" s="15" t="n">
        <v>3</v>
      </c>
      <c r="AE1959" s="11" t="n">
        <v>1.011296296296296</v>
      </c>
      <c r="AF1959" s="16">
        <f>SUMPRODUCT(N1959:Y1959,$N$5:$Y$5)*$K1959*$L1959*$M1959</f>
        <v/>
      </c>
      <c r="AG1959" s="16">
        <f>SUMPRODUCT(N1959:Y1959,$N$6:$Y$6)*$K1959*$L1959*$M1959</f>
        <v/>
      </c>
      <c r="AH1959" s="20" t="n"/>
    </row>
    <row r="1960">
      <c r="A1960" s="9" t="n">
        <v>804467</v>
      </c>
      <c r="B1960" s="9" t="inlineStr">
        <is>
          <t>Patrick Forbes</t>
        </is>
      </c>
      <c r="C1960" s="9" t="inlineStr">
        <is>
          <t>ARI</t>
        </is>
      </c>
      <c r="D1960" s="9" t="n">
        <v>23</v>
      </c>
      <c r="E1960" s="18" t="inlineStr">
        <is>
          <t>R</t>
        </is>
      </c>
      <c r="F1960" s="18" t="n"/>
      <c r="G1960" s="9" t="n">
        <v>23.79333333333334</v>
      </c>
      <c r="H1960" s="9" t="n">
        <v>23.79333333333334</v>
      </c>
      <c r="I1960" s="9" t="inlineStr">
        <is>
          <t>Depth (no MLB IP)</t>
        </is>
      </c>
      <c r="J1960" s="18" t="inlineStr">
        <is>
          <t>Opening Day</t>
        </is>
      </c>
      <c r="K1960" s="11">
        <f>IFERROR(INDEX(Roles!$B$17:$B$20,MATCH(J1960,Roles!$A$17:$A$20,0)),1)</f>
        <v/>
      </c>
      <c r="L1960" s="19" t="n">
        <v>1</v>
      </c>
      <c r="M1960" s="11" t="n">
        <v>1</v>
      </c>
      <c r="N1960" s="19" t="n"/>
      <c r="O1960" s="19" t="n"/>
      <c r="P1960" s="19" t="n"/>
      <c r="Q1960" s="19" t="n"/>
      <c r="R1960" s="19" t="n"/>
      <c r="S1960" s="19" t="n"/>
      <c r="T1960" s="19" t="n"/>
      <c r="U1960" s="19" t="n"/>
      <c r="V1960" s="19" t="n"/>
      <c r="W1960" s="19" t="n"/>
      <c r="X1960" s="19" t="n"/>
      <c r="Y1960" s="19" t="n">
        <v>1</v>
      </c>
      <c r="Z1960" s="13">
        <f>SUMPRODUCT(N1960:Y1960,$N$2:$Y$2)*$K1960*$L1960*$M1960</f>
        <v/>
      </c>
      <c r="AA1960" s="14">
        <f>SUM(N1960:Y1960)</f>
        <v/>
      </c>
      <c r="AB1960" s="13">
        <f>SUMPRODUCT(N1960:Y1960,$N$3:$Y$3)*$K1960*$L1960*$M1960</f>
        <v/>
      </c>
      <c r="AC1960" s="13">
        <f>SUMPRODUCT(N1960:Y1960,$N$4:$Y$4)*$K1960*$L1960*$M1960</f>
        <v/>
      </c>
      <c r="AD1960" s="15" t="n">
        <v>3</v>
      </c>
      <c r="AE1960" s="11" t="n">
        <v>1.011296296296296</v>
      </c>
      <c r="AF1960" s="16">
        <f>SUMPRODUCT(N1960:Y1960,$N$5:$Y$5)*$K1960*$L1960*$M1960</f>
        <v/>
      </c>
      <c r="AG1960" s="16">
        <f>SUMPRODUCT(N1960:Y1960,$N$6:$Y$6)*$K1960*$L1960*$M1960</f>
        <v/>
      </c>
      <c r="AH1960" s="20" t="n"/>
    </row>
    <row r="1961">
      <c r="A1961" s="9" t="n">
        <v>834961</v>
      </c>
      <c r="B1961" s="9" t="inlineStr">
        <is>
          <t>Dusty Revis</t>
        </is>
      </c>
      <c r="C1961" s="9" t="inlineStr">
        <is>
          <t>CIN</t>
        </is>
      </c>
      <c r="D1961" s="9" t="n">
        <v>25</v>
      </c>
      <c r="E1961" s="18" t="inlineStr">
        <is>
          <t>R</t>
        </is>
      </c>
      <c r="F1961" s="18" t="n"/>
      <c r="G1961" s="9" t="n">
        <v>23.908</v>
      </c>
      <c r="H1961" s="9" t="n">
        <v>23.908</v>
      </c>
      <c r="I1961" s="9" t="inlineStr">
        <is>
          <t>Depth (no MLB IP)</t>
        </is>
      </c>
      <c r="J1961" s="18" t="inlineStr">
        <is>
          <t>Opening Day</t>
        </is>
      </c>
      <c r="K1961" s="11">
        <f>IFERROR(INDEX(Roles!$B$17:$B$20,MATCH(J1961,Roles!$A$17:$A$20,0)),1)</f>
        <v/>
      </c>
      <c r="L1961" s="19" t="n">
        <v>1</v>
      </c>
      <c r="M1961" s="11" t="n">
        <v>1</v>
      </c>
      <c r="N1961" s="19" t="n"/>
      <c r="O1961" s="19" t="n"/>
      <c r="P1961" s="19" t="n"/>
      <c r="Q1961" s="19" t="n"/>
      <c r="R1961" s="19" t="n"/>
      <c r="S1961" s="19" t="n"/>
      <c r="T1961" s="19" t="n"/>
      <c r="U1961" s="19" t="n"/>
      <c r="V1961" s="19" t="n"/>
      <c r="W1961" s="19" t="n"/>
      <c r="X1961" s="19" t="n"/>
      <c r="Y1961" s="19" t="n">
        <v>1</v>
      </c>
      <c r="Z1961" s="13">
        <f>SUMPRODUCT(N1961:Y1961,$N$2:$Y$2)*$K1961*$L1961*$M1961</f>
        <v/>
      </c>
      <c r="AA1961" s="14">
        <f>SUM(N1961:Y1961)</f>
        <v/>
      </c>
      <c r="AB1961" s="13">
        <f>SUMPRODUCT(N1961:Y1961,$N$3:$Y$3)*$K1961*$L1961*$M1961</f>
        <v/>
      </c>
      <c r="AC1961" s="13">
        <f>SUMPRODUCT(N1961:Y1961,$N$4:$Y$4)*$K1961*$L1961*$M1961</f>
        <v/>
      </c>
      <c r="AD1961" s="15" t="n">
        <v>3</v>
      </c>
      <c r="AE1961" s="11" t="n">
        <v>1.011296296296296</v>
      </c>
      <c r="AF1961" s="16">
        <f>SUMPRODUCT(N1961:Y1961,$N$5:$Y$5)*$K1961*$L1961*$M1961</f>
        <v/>
      </c>
      <c r="AG1961" s="16">
        <f>SUMPRODUCT(N1961:Y1961,$N$6:$Y$6)*$K1961*$L1961*$M1961</f>
        <v/>
      </c>
      <c r="AH1961" s="20" t="n"/>
    </row>
    <row r="1962">
      <c r="A1962" s="9" t="n">
        <v>680744</v>
      </c>
      <c r="B1962" s="9" t="inlineStr">
        <is>
          <t>Ty Madden</t>
        </is>
      </c>
      <c r="C1962" s="9" t="inlineStr">
        <is>
          <t>DET</t>
        </is>
      </c>
      <c r="D1962" s="9" t="n">
        <v>27</v>
      </c>
      <c r="E1962" s="18" t="inlineStr">
        <is>
          <t>R</t>
        </is>
      </c>
      <c r="F1962" s="18" t="n"/>
      <c r="G1962" s="9" t="n">
        <v>189</v>
      </c>
      <c r="H1962" s="9" t="n">
        <v>290</v>
      </c>
      <c r="I1962" s="9" t="inlineStr">
        <is>
          <t>Bullpen Depth Arm</t>
        </is>
      </c>
      <c r="J1962" s="18" t="inlineStr">
        <is>
          <t>Opening Day</t>
        </is>
      </c>
      <c r="K1962" s="11">
        <f>IFERROR(INDEX(Roles!$B$17:$B$20,MATCH(J1962,Roles!$A$17:$A$20,0)),1)</f>
        <v/>
      </c>
      <c r="L1962" s="19" t="n">
        <v>1</v>
      </c>
      <c r="M1962" s="11" t="n">
        <v>1</v>
      </c>
      <c r="N1962" s="19" t="n"/>
      <c r="O1962" s="19" t="n"/>
      <c r="P1962" s="19" t="n"/>
      <c r="Q1962" s="19" t="n"/>
      <c r="R1962" s="19" t="n"/>
      <c r="S1962" s="19" t="n"/>
      <c r="T1962" s="19" t="n"/>
      <c r="U1962" s="19" t="n"/>
      <c r="V1962" s="19" t="n"/>
      <c r="W1962" s="19" t="n">
        <v>1</v>
      </c>
      <c r="X1962" s="19" t="n"/>
      <c r="Y1962" s="19" t="n"/>
      <c r="Z1962" s="13">
        <f>SUMPRODUCT(N1962:Y1962,$N$2:$Y$2)*$K1962*$L1962*$M1962</f>
        <v/>
      </c>
      <c r="AA1962" s="14">
        <f>SUM(N1962:Y1962)</f>
        <v/>
      </c>
      <c r="AB1962" s="13">
        <f>SUMPRODUCT(N1962:Y1962,$N$3:$Y$3)*$K1962*$L1962*$M1962</f>
        <v/>
      </c>
      <c r="AC1962" s="13">
        <f>SUMPRODUCT(N1962:Y1962,$N$4:$Y$4)*$K1962*$L1962*$M1962</f>
        <v/>
      </c>
      <c r="AD1962" s="15" t="n">
        <v>15.56666666666667</v>
      </c>
      <c r="AE1962" s="11" t="n">
        <v>1.629789963123296</v>
      </c>
      <c r="AF1962" s="16">
        <f>SUMPRODUCT(N1962:Y1962,$N$5:$Y$5)*$K1962*$L1962*$M1962</f>
        <v/>
      </c>
      <c r="AG1962" s="16">
        <f>SUMPRODUCT(N1962:Y1962,$N$6:$Y$6)*$K1962*$L1962*$M1962</f>
        <v/>
      </c>
      <c r="AH1962" s="20" t="n"/>
    </row>
    <row r="1963">
      <c r="A1963" s="9" t="n">
        <v>815298</v>
      </c>
      <c r="B1963" s="9" t="inlineStr">
        <is>
          <t>Jacob Bresnahan</t>
        </is>
      </c>
      <c r="C1963" s="9" t="inlineStr">
        <is>
          <t>SF</t>
        </is>
      </c>
      <c r="D1963" s="9" t="n">
        <v>22</v>
      </c>
      <c r="E1963" s="18" t="inlineStr">
        <is>
          <t>L</t>
        </is>
      </c>
      <c r="F1963" s="18" t="n"/>
      <c r="G1963" s="9" t="n">
        <v>24.08</v>
      </c>
      <c r="H1963" s="9" t="n">
        <v>24.08</v>
      </c>
      <c r="I1963" s="9" t="inlineStr">
        <is>
          <t>Depth (no MLB IP)</t>
        </is>
      </c>
      <c r="J1963" s="18" t="inlineStr">
        <is>
          <t>Opening Day</t>
        </is>
      </c>
      <c r="K1963" s="11">
        <f>IFERROR(INDEX(Roles!$B$17:$B$20,MATCH(J1963,Roles!$A$17:$A$20,0)),1)</f>
        <v/>
      </c>
      <c r="L1963" s="19" t="n">
        <v>1</v>
      </c>
      <c r="M1963" s="11" t="n">
        <v>1</v>
      </c>
      <c r="N1963" s="19" t="n"/>
      <c r="O1963" s="19" t="n"/>
      <c r="P1963" s="19" t="n"/>
      <c r="Q1963" s="19" t="n"/>
      <c r="R1963" s="19" t="n"/>
      <c r="S1963" s="19" t="n"/>
      <c r="T1963" s="19" t="n"/>
      <c r="U1963" s="19" t="n"/>
      <c r="V1963" s="19" t="n"/>
      <c r="W1963" s="19" t="n"/>
      <c r="X1963" s="19" t="n"/>
      <c r="Y1963" s="19" t="n">
        <v>1</v>
      </c>
      <c r="Z1963" s="13">
        <f>SUMPRODUCT(N1963:Y1963,$N$2:$Y$2)*$K1963*$L1963*$M1963</f>
        <v/>
      </c>
      <c r="AA1963" s="14">
        <f>SUM(N1963:Y1963)</f>
        <v/>
      </c>
      <c r="AB1963" s="13">
        <f>SUMPRODUCT(N1963:Y1963,$N$3:$Y$3)*$K1963*$L1963*$M1963</f>
        <v/>
      </c>
      <c r="AC1963" s="13">
        <f>SUMPRODUCT(N1963:Y1963,$N$4:$Y$4)*$K1963*$L1963*$M1963</f>
        <v/>
      </c>
      <c r="AD1963" s="15" t="n">
        <v>3</v>
      </c>
      <c r="AE1963" s="11" t="n">
        <v>1.011296296296296</v>
      </c>
      <c r="AF1963" s="16">
        <f>SUMPRODUCT(N1963:Y1963,$N$5:$Y$5)*$K1963*$L1963*$M1963</f>
        <v/>
      </c>
      <c r="AG1963" s="16">
        <f>SUMPRODUCT(N1963:Y1963,$N$6:$Y$6)*$K1963*$L1963*$M1963</f>
        <v/>
      </c>
      <c r="AH1963" s="20" t="n"/>
    </row>
    <row r="1964">
      <c r="A1964" s="9" t="n">
        <v>677076</v>
      </c>
      <c r="B1964" s="9" t="inlineStr">
        <is>
          <t>Clayton Andrews</t>
        </is>
      </c>
      <c r="C1964" s="9" t="inlineStr">
        <is>
          <t>NYY</t>
        </is>
      </c>
      <c r="D1964" s="9" t="n">
        <v>30</v>
      </c>
      <c r="E1964" s="18" t="inlineStr">
        <is>
          <t>L</t>
        </is>
      </c>
      <c r="F1964" s="18" t="n"/>
      <c r="G1964" s="9" t="n">
        <v>3</v>
      </c>
      <c r="H1964" s="9" t="n">
        <v>25</v>
      </c>
      <c r="I1964" s="9" t="inlineStr">
        <is>
          <t>Depth (no MLB IP)</t>
        </is>
      </c>
      <c r="J1964" s="18" t="inlineStr">
        <is>
          <t>Opening Day</t>
        </is>
      </c>
      <c r="K1964" s="11">
        <f>IFERROR(INDEX(Roles!$B$17:$B$20,MATCH(J1964,Roles!$A$17:$A$20,0)),1)</f>
        <v/>
      </c>
      <c r="L1964" s="19" t="n">
        <v>1</v>
      </c>
      <c r="M1964" s="11" t="n">
        <v>1</v>
      </c>
      <c r="N1964" s="19" t="n"/>
      <c r="O1964" s="19" t="n"/>
      <c r="P1964" s="19" t="n"/>
      <c r="Q1964" s="19" t="n"/>
      <c r="R1964" s="19" t="n"/>
      <c r="S1964" s="19" t="n"/>
      <c r="T1964" s="19" t="n"/>
      <c r="U1964" s="19" t="n"/>
      <c r="V1964" s="19" t="n"/>
      <c r="W1964" s="19" t="n"/>
      <c r="X1964" s="19" t="n"/>
      <c r="Y1964" s="19" t="n">
        <v>1</v>
      </c>
      <c r="Z1964" s="13">
        <f>SUMPRODUCT(N1964:Y1964,$N$2:$Y$2)*$K1964*$L1964*$M1964</f>
        <v/>
      </c>
      <c r="AA1964" s="14">
        <f>SUM(N1964:Y1964)</f>
        <v/>
      </c>
      <c r="AB1964" s="13">
        <f>SUMPRODUCT(N1964:Y1964,$N$3:$Y$3)*$K1964*$L1964*$M1964</f>
        <v/>
      </c>
      <c r="AC1964" s="13">
        <f>SUMPRODUCT(N1964:Y1964,$N$4:$Y$4)*$K1964*$L1964*$M1964</f>
        <v/>
      </c>
      <c r="AD1964" s="15" t="n">
        <v>1.8</v>
      </c>
      <c r="AE1964" s="11" t="n">
        <v>0.7853086419753086</v>
      </c>
      <c r="AF1964" s="16">
        <f>SUMPRODUCT(N1964:Y1964,$N$5:$Y$5)*$K1964*$L1964*$M1964</f>
        <v/>
      </c>
      <c r="AG1964" s="16">
        <f>SUMPRODUCT(N1964:Y1964,$N$6:$Y$6)*$K1964*$L1964*$M1964</f>
        <v/>
      </c>
      <c r="AH1964" s="20" t="n"/>
    </row>
    <row r="1965">
      <c r="A1965" s="9" t="n">
        <v>669684</v>
      </c>
      <c r="B1965" s="9" t="inlineStr">
        <is>
          <t>Chris Murphy</t>
        </is>
      </c>
      <c r="C1965" s="9" t="inlineStr">
        <is>
          <t>CWS</t>
        </is>
      </c>
      <c r="D1965" s="9" t="n">
        <v>29</v>
      </c>
      <c r="E1965" s="18" t="inlineStr">
        <is>
          <t>L</t>
        </is>
      </c>
      <c r="F1965" s="18" t="n"/>
      <c r="G1965" s="9" t="n">
        <v>150</v>
      </c>
      <c r="H1965" s="9" t="n">
        <v>510</v>
      </c>
      <c r="I1965" s="9" t="inlineStr">
        <is>
          <t>Swing Arm / Long Relief</t>
        </is>
      </c>
      <c r="J1965" s="18" t="inlineStr">
        <is>
          <t>Opening Day</t>
        </is>
      </c>
      <c r="K1965" s="11">
        <f>IFERROR(INDEX(Roles!$B$17:$B$20,MATCH(J1965,Roles!$A$17:$A$20,0)),1)</f>
        <v/>
      </c>
      <c r="L1965" s="19" t="n">
        <v>1</v>
      </c>
      <c r="M1965" s="11" t="n">
        <v>1</v>
      </c>
      <c r="N1965" s="19" t="n"/>
      <c r="O1965" s="19" t="n"/>
      <c r="P1965" s="19" t="n"/>
      <c r="Q1965" s="19" t="n"/>
      <c r="R1965" s="19" t="n">
        <v>0.55</v>
      </c>
      <c r="S1965" s="19" t="n"/>
      <c r="T1965" s="19" t="n"/>
      <c r="U1965" s="19" t="n"/>
      <c r="V1965" s="19" t="n">
        <v>0.45</v>
      </c>
      <c r="W1965" s="19" t="n"/>
      <c r="X1965" s="19" t="n"/>
      <c r="Y1965" s="19" t="n"/>
      <c r="Z1965" s="13">
        <f>SUMPRODUCT(N1965:Y1965,$N$2:$Y$2)*$K1965*$L1965*$M1965</f>
        <v/>
      </c>
      <c r="AA1965" s="14">
        <f>SUM(N1965:Y1965)</f>
        <v/>
      </c>
      <c r="AB1965" s="13">
        <f>SUMPRODUCT(N1965:Y1965,$N$3:$Y$3)*$K1965*$L1965*$M1965</f>
        <v/>
      </c>
      <c r="AC1965" s="13">
        <f>SUMPRODUCT(N1965:Y1965,$N$4:$Y$4)*$K1965*$L1965*$M1965</f>
        <v/>
      </c>
      <c r="AD1965" s="15" t="n">
        <v>25.53333333333333</v>
      </c>
      <c r="AE1965" s="11" t="n">
        <v>2.060059041517492</v>
      </c>
      <c r="AF1965" s="16">
        <f>SUMPRODUCT(N1965:Y1965,$N$5:$Y$5)*$K1965*$L1965*$M1965</f>
        <v/>
      </c>
      <c r="AG1965" s="16">
        <f>SUMPRODUCT(N1965:Y1965,$N$6:$Y$6)*$K1965*$L1965*$M1965</f>
        <v/>
      </c>
      <c r="AH1965" s="20" t="n"/>
    </row>
    <row r="1966">
      <c r="A1966" s="9" t="n">
        <v>834989</v>
      </c>
      <c r="B1966" s="9" t="inlineStr">
        <is>
          <t>Kaden Echeman</t>
        </is>
      </c>
      <c r="C1966" s="9" t="inlineStr">
        <is>
          <t>STL</t>
        </is>
      </c>
      <c r="D1966" s="9" t="n">
        <v>25</v>
      </c>
      <c r="E1966" s="18" t="inlineStr">
        <is>
          <t>R</t>
        </is>
      </c>
      <c r="F1966" s="18" t="n"/>
      <c r="G1966" s="9" t="n">
        <v>24.08</v>
      </c>
      <c r="H1966" s="9" t="n">
        <v>24.08</v>
      </c>
      <c r="I1966" s="9" t="inlineStr">
        <is>
          <t>Depth (no MLB IP)</t>
        </is>
      </c>
      <c r="J1966" s="18" t="inlineStr">
        <is>
          <t>Opening Day</t>
        </is>
      </c>
      <c r="K1966" s="11">
        <f>IFERROR(INDEX(Roles!$B$17:$B$20,MATCH(J1966,Roles!$A$17:$A$20,0)),1)</f>
        <v/>
      </c>
      <c r="L1966" s="19" t="n">
        <v>1</v>
      </c>
      <c r="M1966" s="11" t="n">
        <v>1</v>
      </c>
      <c r="N1966" s="19" t="n"/>
      <c r="O1966" s="19" t="n"/>
      <c r="P1966" s="19" t="n"/>
      <c r="Q1966" s="19" t="n"/>
      <c r="R1966" s="19" t="n"/>
      <c r="S1966" s="19" t="n"/>
      <c r="T1966" s="19" t="n"/>
      <c r="U1966" s="19" t="n"/>
      <c r="V1966" s="19" t="n"/>
      <c r="W1966" s="19" t="n"/>
      <c r="X1966" s="19" t="n"/>
      <c r="Y1966" s="19" t="n">
        <v>1</v>
      </c>
      <c r="Z1966" s="13">
        <f>SUMPRODUCT(N1966:Y1966,$N$2:$Y$2)*$K1966*$L1966*$M1966</f>
        <v/>
      </c>
      <c r="AA1966" s="14">
        <f>SUM(N1966:Y1966)</f>
        <v/>
      </c>
      <c r="AB1966" s="13">
        <f>SUMPRODUCT(N1966:Y1966,$N$3:$Y$3)*$K1966*$L1966*$M1966</f>
        <v/>
      </c>
      <c r="AC1966" s="13">
        <f>SUMPRODUCT(N1966:Y1966,$N$4:$Y$4)*$K1966*$L1966*$M1966</f>
        <v/>
      </c>
      <c r="AD1966" s="15" t="n">
        <v>3</v>
      </c>
      <c r="AE1966" s="11" t="n">
        <v>1.011296296296296</v>
      </c>
      <c r="AF1966" s="16">
        <f>SUMPRODUCT(N1966:Y1966,$N$5:$Y$5)*$K1966*$L1966*$M1966</f>
        <v/>
      </c>
      <c r="AG1966" s="16">
        <f>SUMPRODUCT(N1966:Y1966,$N$6:$Y$6)*$K1966*$L1966*$M1966</f>
        <v/>
      </c>
      <c r="AH1966" s="20" t="n"/>
    </row>
    <row r="1967">
      <c r="A1967" s="9" t="n">
        <v>678713</v>
      </c>
      <c r="B1967" s="9" t="inlineStr">
        <is>
          <t>Efrain Contreras</t>
        </is>
      </c>
      <c r="C1967" s="9" t="inlineStr">
        <is>
          <t>LAA</t>
        </is>
      </c>
      <c r="D1967" s="9" t="n">
        <v>25</v>
      </c>
      <c r="E1967" s="18" t="inlineStr">
        <is>
          <t>R</t>
        </is>
      </c>
      <c r="F1967" s="18" t="n"/>
      <c r="G1967" s="9" t="n">
        <v>24.08</v>
      </c>
      <c r="H1967" s="9" t="n">
        <v>24.08</v>
      </c>
      <c r="I1967" s="9" t="inlineStr">
        <is>
          <t>Depth (no MLB IP)</t>
        </is>
      </c>
      <c r="J1967" s="18" t="inlineStr">
        <is>
          <t>Opening Day</t>
        </is>
      </c>
      <c r="K1967" s="11">
        <f>IFERROR(INDEX(Roles!$B$17:$B$20,MATCH(J1967,Roles!$A$17:$A$20,0)),1)</f>
        <v/>
      </c>
      <c r="L1967" s="19" t="n">
        <v>1</v>
      </c>
      <c r="M1967" s="11" t="n">
        <v>1</v>
      </c>
      <c r="N1967" s="19" t="n"/>
      <c r="O1967" s="19" t="n"/>
      <c r="P1967" s="19" t="n"/>
      <c r="Q1967" s="19" t="n"/>
      <c r="R1967" s="19" t="n"/>
      <c r="S1967" s="19" t="n"/>
      <c r="T1967" s="19" t="n"/>
      <c r="U1967" s="19" t="n"/>
      <c r="V1967" s="19" t="n"/>
      <c r="W1967" s="19" t="n"/>
      <c r="X1967" s="19" t="n"/>
      <c r="Y1967" s="19" t="n">
        <v>1</v>
      </c>
      <c r="Z1967" s="13">
        <f>SUMPRODUCT(N1967:Y1967,$N$2:$Y$2)*$K1967*$L1967*$M1967</f>
        <v/>
      </c>
      <c r="AA1967" s="14">
        <f>SUM(N1967:Y1967)</f>
        <v/>
      </c>
      <c r="AB1967" s="13">
        <f>SUMPRODUCT(N1967:Y1967,$N$3:$Y$3)*$K1967*$L1967*$M1967</f>
        <v/>
      </c>
      <c r="AC1967" s="13">
        <f>SUMPRODUCT(N1967:Y1967,$N$4:$Y$4)*$K1967*$L1967*$M1967</f>
        <v/>
      </c>
      <c r="AD1967" s="15" t="n">
        <v>3</v>
      </c>
      <c r="AE1967" s="11" t="n">
        <v>1.011296296296296</v>
      </c>
      <c r="AF1967" s="16">
        <f>SUMPRODUCT(N1967:Y1967,$N$5:$Y$5)*$K1967*$L1967*$M1967</f>
        <v/>
      </c>
      <c r="AG1967" s="16">
        <f>SUMPRODUCT(N1967:Y1967,$N$6:$Y$6)*$K1967*$L1967*$M1967</f>
        <v/>
      </c>
      <c r="AH1967" s="20" t="n"/>
    </row>
    <row r="1968">
      <c r="A1968" s="9" t="n">
        <v>691014</v>
      </c>
      <c r="B1968" s="9" t="inlineStr">
        <is>
          <t>Nate Savino</t>
        </is>
      </c>
      <c r="C1968" s="9" t="inlineStr">
        <is>
          <t>ARI</t>
        </is>
      </c>
      <c r="D1968" s="9" t="n">
        <v>25</v>
      </c>
      <c r="E1968" s="18" t="inlineStr">
        <is>
          <t>L</t>
        </is>
      </c>
      <c r="F1968" s="18" t="n"/>
      <c r="G1968" s="9" t="n">
        <v>24.08</v>
      </c>
      <c r="H1968" s="9" t="n">
        <v>24.08</v>
      </c>
      <c r="I1968" s="9" t="inlineStr">
        <is>
          <t>Depth (no MLB IP)</t>
        </is>
      </c>
      <c r="J1968" s="18" t="inlineStr">
        <is>
          <t>Opening Day</t>
        </is>
      </c>
      <c r="K1968" s="11">
        <f>IFERROR(INDEX(Roles!$B$17:$B$20,MATCH(J1968,Roles!$A$17:$A$20,0)),1)</f>
        <v/>
      </c>
      <c r="L1968" s="19" t="n">
        <v>1</v>
      </c>
      <c r="M1968" s="11" t="n">
        <v>1</v>
      </c>
      <c r="N1968" s="19" t="n"/>
      <c r="O1968" s="19" t="n"/>
      <c r="P1968" s="19" t="n"/>
      <c r="Q1968" s="19" t="n"/>
      <c r="R1968" s="19" t="n"/>
      <c r="S1968" s="19" t="n"/>
      <c r="T1968" s="19" t="n"/>
      <c r="U1968" s="19" t="n"/>
      <c r="V1968" s="19" t="n"/>
      <c r="W1968" s="19" t="n"/>
      <c r="X1968" s="19" t="n"/>
      <c r="Y1968" s="19" t="n">
        <v>1</v>
      </c>
      <c r="Z1968" s="13">
        <f>SUMPRODUCT(N1968:Y1968,$N$2:$Y$2)*$K1968*$L1968*$M1968</f>
        <v/>
      </c>
      <c r="AA1968" s="14">
        <f>SUM(N1968:Y1968)</f>
        <v/>
      </c>
      <c r="AB1968" s="13">
        <f>SUMPRODUCT(N1968:Y1968,$N$3:$Y$3)*$K1968*$L1968*$M1968</f>
        <v/>
      </c>
      <c r="AC1968" s="13">
        <f>SUMPRODUCT(N1968:Y1968,$N$4:$Y$4)*$K1968*$L1968*$M1968</f>
        <v/>
      </c>
      <c r="AD1968" s="15" t="n">
        <v>3</v>
      </c>
      <c r="AE1968" s="11" t="n">
        <v>1.011296296296296</v>
      </c>
      <c r="AF1968" s="16">
        <f>SUMPRODUCT(N1968:Y1968,$N$5:$Y$5)*$K1968*$L1968*$M1968</f>
        <v/>
      </c>
      <c r="AG1968" s="16">
        <f>SUMPRODUCT(N1968:Y1968,$N$6:$Y$6)*$K1968*$L1968*$M1968</f>
        <v/>
      </c>
      <c r="AH1968" s="20" t="n"/>
    </row>
    <row r="1969">
      <c r="A1969" s="9" t="n">
        <v>822915</v>
      </c>
      <c r="B1969" s="9" t="inlineStr">
        <is>
          <t>Matthew Tippie</t>
        </is>
      </c>
      <c r="C1969" s="9" t="inlineStr">
        <is>
          <t>NYY</t>
        </is>
      </c>
      <c r="D1969" s="9" t="n">
        <v>25</v>
      </c>
      <c r="E1969" s="18" t="inlineStr">
        <is>
          <t>R</t>
        </is>
      </c>
      <c r="F1969" s="18" t="n"/>
      <c r="G1969" s="9" t="n">
        <v>24.252</v>
      </c>
      <c r="H1969" s="9" t="n">
        <v>24.252</v>
      </c>
      <c r="I1969" s="9" t="inlineStr">
        <is>
          <t>Depth (no MLB IP)</t>
        </is>
      </c>
      <c r="J1969" s="18" t="inlineStr">
        <is>
          <t>Opening Day</t>
        </is>
      </c>
      <c r="K1969" s="11">
        <f>IFERROR(INDEX(Roles!$B$17:$B$20,MATCH(J1969,Roles!$A$17:$A$20,0)),1)</f>
        <v/>
      </c>
      <c r="L1969" s="19" t="n">
        <v>1</v>
      </c>
      <c r="M1969" s="11" t="n">
        <v>1</v>
      </c>
      <c r="N1969" s="19" t="n"/>
      <c r="O1969" s="19" t="n"/>
      <c r="P1969" s="19" t="n"/>
      <c r="Q1969" s="19" t="n"/>
      <c r="R1969" s="19" t="n"/>
      <c r="S1969" s="19" t="n"/>
      <c r="T1969" s="19" t="n"/>
      <c r="U1969" s="19" t="n"/>
      <c r="V1969" s="19" t="n"/>
      <c r="W1969" s="19" t="n"/>
      <c r="X1969" s="19" t="n"/>
      <c r="Y1969" s="19" t="n">
        <v>1</v>
      </c>
      <c r="Z1969" s="13">
        <f>SUMPRODUCT(N1969:Y1969,$N$2:$Y$2)*$K1969*$L1969*$M1969</f>
        <v/>
      </c>
      <c r="AA1969" s="14">
        <f>SUM(N1969:Y1969)</f>
        <v/>
      </c>
      <c r="AB1969" s="13">
        <f>SUMPRODUCT(N1969:Y1969,$N$3:$Y$3)*$K1969*$L1969*$M1969</f>
        <v/>
      </c>
      <c r="AC1969" s="13">
        <f>SUMPRODUCT(N1969:Y1969,$N$4:$Y$4)*$K1969*$L1969*$M1969</f>
        <v/>
      </c>
      <c r="AD1969" s="15" t="n">
        <v>3</v>
      </c>
      <c r="AE1969" s="11" t="n">
        <v>1.011296296296296</v>
      </c>
      <c r="AF1969" s="16">
        <f>SUMPRODUCT(N1969:Y1969,$N$5:$Y$5)*$K1969*$L1969*$M1969</f>
        <v/>
      </c>
      <c r="AG1969" s="16">
        <f>SUMPRODUCT(N1969:Y1969,$N$6:$Y$6)*$K1969*$L1969*$M1969</f>
        <v/>
      </c>
      <c r="AH1969" s="20" t="n"/>
    </row>
    <row r="1970">
      <c r="A1970" s="9" t="n">
        <v>814384</v>
      </c>
      <c r="B1970" s="9" t="inlineStr">
        <is>
          <t>Alexander Meckley</t>
        </is>
      </c>
      <c r="C1970" s="9" t="inlineStr">
        <is>
          <t>WSH</t>
        </is>
      </c>
      <c r="D1970" s="9" t="n">
        <v>25</v>
      </c>
      <c r="E1970" s="18" t="inlineStr">
        <is>
          <t>R</t>
        </is>
      </c>
      <c r="F1970" s="18" t="n"/>
      <c r="G1970" s="9" t="n">
        <v>24.36666666666667</v>
      </c>
      <c r="H1970" s="9" t="n">
        <v>24.36666666666667</v>
      </c>
      <c r="I1970" s="9" t="inlineStr">
        <is>
          <t>Depth (no MLB IP)</t>
        </is>
      </c>
      <c r="J1970" s="18" t="inlineStr">
        <is>
          <t>Opening Day</t>
        </is>
      </c>
      <c r="K1970" s="11">
        <f>IFERROR(INDEX(Roles!$B$17:$B$20,MATCH(J1970,Roles!$A$17:$A$20,0)),1)</f>
        <v/>
      </c>
      <c r="L1970" s="19" t="n">
        <v>1</v>
      </c>
      <c r="M1970" s="11" t="n">
        <v>1</v>
      </c>
      <c r="N1970" s="19" t="n"/>
      <c r="O1970" s="19" t="n"/>
      <c r="P1970" s="19" t="n"/>
      <c r="Q1970" s="19" t="n"/>
      <c r="R1970" s="19" t="n"/>
      <c r="S1970" s="19" t="n"/>
      <c r="T1970" s="19" t="n"/>
      <c r="U1970" s="19" t="n"/>
      <c r="V1970" s="19" t="n"/>
      <c r="W1970" s="19" t="n"/>
      <c r="X1970" s="19" t="n"/>
      <c r="Y1970" s="19" t="n">
        <v>1</v>
      </c>
      <c r="Z1970" s="13">
        <f>SUMPRODUCT(N1970:Y1970,$N$2:$Y$2)*$K1970*$L1970*$M1970</f>
        <v/>
      </c>
      <c r="AA1970" s="14">
        <f>SUM(N1970:Y1970)</f>
        <v/>
      </c>
      <c r="AB1970" s="13">
        <f>SUMPRODUCT(N1970:Y1970,$N$3:$Y$3)*$K1970*$L1970*$M1970</f>
        <v/>
      </c>
      <c r="AC1970" s="13">
        <f>SUMPRODUCT(N1970:Y1970,$N$4:$Y$4)*$K1970*$L1970*$M1970</f>
        <v/>
      </c>
      <c r="AD1970" s="15" t="n">
        <v>3</v>
      </c>
      <c r="AE1970" s="11" t="n">
        <v>1.011296296296296</v>
      </c>
      <c r="AF1970" s="16">
        <f>SUMPRODUCT(N1970:Y1970,$N$5:$Y$5)*$K1970*$L1970*$M1970</f>
        <v/>
      </c>
      <c r="AG1970" s="16">
        <f>SUMPRODUCT(N1970:Y1970,$N$6:$Y$6)*$K1970*$L1970*$M1970</f>
        <v/>
      </c>
      <c r="AH1970" s="20" t="n"/>
    </row>
    <row r="1971">
      <c r="A1971" s="9" t="n">
        <v>670219</v>
      </c>
      <c r="B1971" s="9" t="inlineStr">
        <is>
          <t>Zac Kristofak</t>
        </is>
      </c>
      <c r="C1971" s="9" t="inlineStr">
        <is>
          <t>LAA</t>
        </is>
      </c>
      <c r="D1971" s="9" t="n">
        <v>29</v>
      </c>
      <c r="E1971" s="18" t="inlineStr">
        <is>
          <t>R</t>
        </is>
      </c>
      <c r="F1971" s="18" t="n"/>
      <c r="G1971" s="9" t="n">
        <v>11</v>
      </c>
      <c r="H1971" s="9" t="n">
        <v>11</v>
      </c>
      <c r="I1971" s="9" t="inlineStr">
        <is>
          <t>Depth (no MLB IP)</t>
        </is>
      </c>
      <c r="J1971" s="18" t="inlineStr">
        <is>
          <t>Opening Day</t>
        </is>
      </c>
      <c r="K1971" s="11">
        <f>IFERROR(INDEX(Roles!$B$17:$B$20,MATCH(J1971,Roles!$A$17:$A$20,0)),1)</f>
        <v/>
      </c>
      <c r="L1971" s="19" t="n">
        <v>1</v>
      </c>
      <c r="M1971" s="11" t="n">
        <v>1</v>
      </c>
      <c r="N1971" s="19" t="n"/>
      <c r="O1971" s="19" t="n"/>
      <c r="P1971" s="19" t="n"/>
      <c r="Q1971" s="19" t="n"/>
      <c r="R1971" s="19" t="n"/>
      <c r="S1971" s="19" t="n"/>
      <c r="T1971" s="19" t="n"/>
      <c r="U1971" s="19" t="n"/>
      <c r="V1971" s="19" t="n"/>
      <c r="W1971" s="19" t="n"/>
      <c r="X1971" s="19" t="n"/>
      <c r="Y1971" s="19" t="n">
        <v>1</v>
      </c>
      <c r="Z1971" s="13">
        <f>SUMPRODUCT(N1971:Y1971,$N$2:$Y$2)*$K1971*$L1971*$M1971</f>
        <v/>
      </c>
      <c r="AA1971" s="14">
        <f>SUM(N1971:Y1971)</f>
        <v/>
      </c>
      <c r="AB1971" s="13">
        <f>SUMPRODUCT(N1971:Y1971,$N$3:$Y$3)*$K1971*$L1971*$M1971</f>
        <v/>
      </c>
      <c r="AC1971" s="13">
        <f>SUMPRODUCT(N1971:Y1971,$N$4:$Y$4)*$K1971*$L1971*$M1971</f>
        <v/>
      </c>
      <c r="AD1971" s="15" t="n">
        <v>1.8</v>
      </c>
      <c r="AE1971" s="11" t="n">
        <v>1.340864197530864</v>
      </c>
      <c r="AF1971" s="16">
        <f>SUMPRODUCT(N1971:Y1971,$N$5:$Y$5)*$K1971*$L1971*$M1971</f>
        <v/>
      </c>
      <c r="AG1971" s="16">
        <f>SUMPRODUCT(N1971:Y1971,$N$6:$Y$6)*$K1971*$L1971*$M1971</f>
        <v/>
      </c>
      <c r="AH1971" s="20" t="n"/>
    </row>
    <row r="1972">
      <c r="A1972" s="9" t="n">
        <v>800442</v>
      </c>
      <c r="B1972" s="9" t="inlineStr">
        <is>
          <t>Mauricio Estrella</t>
        </is>
      </c>
      <c r="C1972" s="9" t="inlineStr">
        <is>
          <t>SF</t>
        </is>
      </c>
      <c r="D1972" s="9" t="n">
        <v>25</v>
      </c>
      <c r="E1972" s="18" t="inlineStr">
        <is>
          <t>R</t>
        </is>
      </c>
      <c r="F1972" s="18" t="n"/>
      <c r="G1972" s="9" t="n">
        <v>24.36666666666667</v>
      </c>
      <c r="H1972" s="9" t="n">
        <v>24.36666666666667</v>
      </c>
      <c r="I1972" s="9" t="inlineStr">
        <is>
          <t>Depth (no MLB IP)</t>
        </is>
      </c>
      <c r="J1972" s="18" t="inlineStr">
        <is>
          <t>Opening Day</t>
        </is>
      </c>
      <c r="K1972" s="11">
        <f>IFERROR(INDEX(Roles!$B$17:$B$20,MATCH(J1972,Roles!$A$17:$A$20,0)),1)</f>
        <v/>
      </c>
      <c r="L1972" s="19" t="n">
        <v>1</v>
      </c>
      <c r="M1972" s="11" t="n">
        <v>1</v>
      </c>
      <c r="N1972" s="19" t="n"/>
      <c r="O1972" s="19" t="n"/>
      <c r="P1972" s="19" t="n"/>
      <c r="Q1972" s="19" t="n"/>
      <c r="R1972" s="19" t="n"/>
      <c r="S1972" s="19" t="n"/>
      <c r="T1972" s="19" t="n"/>
      <c r="U1972" s="19" t="n"/>
      <c r="V1972" s="19" t="n"/>
      <c r="W1972" s="19" t="n"/>
      <c r="X1972" s="19" t="n"/>
      <c r="Y1972" s="19" t="n">
        <v>1</v>
      </c>
      <c r="Z1972" s="13">
        <f>SUMPRODUCT(N1972:Y1972,$N$2:$Y$2)*$K1972*$L1972*$M1972</f>
        <v/>
      </c>
      <c r="AA1972" s="14">
        <f>SUM(N1972:Y1972)</f>
        <v/>
      </c>
      <c r="AB1972" s="13">
        <f>SUMPRODUCT(N1972:Y1972,$N$3:$Y$3)*$K1972*$L1972*$M1972</f>
        <v/>
      </c>
      <c r="AC1972" s="13">
        <f>SUMPRODUCT(N1972:Y1972,$N$4:$Y$4)*$K1972*$L1972*$M1972</f>
        <v/>
      </c>
      <c r="AD1972" s="15" t="n">
        <v>3</v>
      </c>
      <c r="AE1972" s="11" t="n">
        <v>1.011296296296296</v>
      </c>
      <c r="AF1972" s="16">
        <f>SUMPRODUCT(N1972:Y1972,$N$5:$Y$5)*$K1972*$L1972*$M1972</f>
        <v/>
      </c>
      <c r="AG1972" s="16">
        <f>SUMPRODUCT(N1972:Y1972,$N$6:$Y$6)*$K1972*$L1972*$M1972</f>
        <v/>
      </c>
      <c r="AH1972" s="20" t="n"/>
    </row>
    <row r="1973">
      <c r="A1973" s="9" t="n">
        <v>684128</v>
      </c>
      <c r="B1973" s="9" t="inlineStr">
        <is>
          <t>Reidis Sena</t>
        </is>
      </c>
      <c r="C1973" s="9" t="inlineStr">
        <is>
          <t>BOS</t>
        </is>
      </c>
      <c r="D1973" s="9" t="n">
        <v>25</v>
      </c>
      <c r="E1973" s="18" t="inlineStr">
        <is>
          <t>R</t>
        </is>
      </c>
      <c r="F1973" s="18" t="n"/>
      <c r="G1973" s="9" t="n">
        <v>24.43833333333334</v>
      </c>
      <c r="H1973" s="9" t="n">
        <v>24.43833333333334</v>
      </c>
      <c r="I1973" s="9" t="inlineStr">
        <is>
          <t>Depth (no MLB IP)</t>
        </is>
      </c>
      <c r="J1973" s="18" t="inlineStr">
        <is>
          <t>Opening Day</t>
        </is>
      </c>
      <c r="K1973" s="11">
        <f>IFERROR(INDEX(Roles!$B$17:$B$20,MATCH(J1973,Roles!$A$17:$A$20,0)),1)</f>
        <v/>
      </c>
      <c r="L1973" s="19" t="n">
        <v>1</v>
      </c>
      <c r="M1973" s="11" t="n">
        <v>1</v>
      </c>
      <c r="N1973" s="19" t="n"/>
      <c r="O1973" s="19" t="n"/>
      <c r="P1973" s="19" t="n"/>
      <c r="Q1973" s="19" t="n"/>
      <c r="R1973" s="19" t="n"/>
      <c r="S1973" s="19" t="n"/>
      <c r="T1973" s="19" t="n"/>
      <c r="U1973" s="19" t="n"/>
      <c r="V1973" s="19" t="n"/>
      <c r="W1973" s="19" t="n"/>
      <c r="X1973" s="19" t="n"/>
      <c r="Y1973" s="19" t="n">
        <v>1</v>
      </c>
      <c r="Z1973" s="13">
        <f>SUMPRODUCT(N1973:Y1973,$N$2:$Y$2)*$K1973*$L1973*$M1973</f>
        <v/>
      </c>
      <c r="AA1973" s="14">
        <f>SUM(N1973:Y1973)</f>
        <v/>
      </c>
      <c r="AB1973" s="13">
        <f>SUMPRODUCT(N1973:Y1973,$N$3:$Y$3)*$K1973*$L1973*$M1973</f>
        <v/>
      </c>
      <c r="AC1973" s="13">
        <f>SUMPRODUCT(N1973:Y1973,$N$4:$Y$4)*$K1973*$L1973*$M1973</f>
        <v/>
      </c>
      <c r="AD1973" s="15" t="n">
        <v>3</v>
      </c>
      <c r="AE1973" s="11" t="n">
        <v>1.011296296296296</v>
      </c>
      <c r="AF1973" s="16">
        <f>SUMPRODUCT(N1973:Y1973,$N$5:$Y$5)*$K1973*$L1973*$M1973</f>
        <v/>
      </c>
      <c r="AG1973" s="16">
        <f>SUMPRODUCT(N1973:Y1973,$N$6:$Y$6)*$K1973*$L1973*$M1973</f>
        <v/>
      </c>
      <c r="AH1973" s="20" t="n"/>
    </row>
    <row r="1974">
      <c r="A1974" s="9" t="n">
        <v>807206</v>
      </c>
      <c r="B1974" s="9" t="inlineStr">
        <is>
          <t>Josnier Parra</t>
        </is>
      </c>
      <c r="C1974" s="9" t="inlineStr">
        <is>
          <t>OAK</t>
        </is>
      </c>
      <c r="D1974" s="9" t="n">
        <v>25</v>
      </c>
      <c r="E1974" s="18" t="inlineStr">
        <is>
          <t>R</t>
        </is>
      </c>
      <c r="F1974" s="18" t="n"/>
      <c r="G1974" s="9" t="n">
        <v>24.424</v>
      </c>
      <c r="H1974" s="9" t="n">
        <v>24.424</v>
      </c>
      <c r="I1974" s="9" t="inlineStr">
        <is>
          <t>Depth (no MLB IP)</t>
        </is>
      </c>
      <c r="J1974" s="18" t="inlineStr">
        <is>
          <t>Opening Day</t>
        </is>
      </c>
      <c r="K1974" s="11">
        <f>IFERROR(INDEX(Roles!$B$17:$B$20,MATCH(J1974,Roles!$A$17:$A$20,0)),1)</f>
        <v/>
      </c>
      <c r="L1974" s="19" t="n">
        <v>1</v>
      </c>
      <c r="M1974" s="11" t="n">
        <v>1</v>
      </c>
      <c r="N1974" s="19" t="n"/>
      <c r="O1974" s="19" t="n"/>
      <c r="P1974" s="19" t="n"/>
      <c r="Q1974" s="19" t="n"/>
      <c r="R1974" s="19" t="n"/>
      <c r="S1974" s="19" t="n"/>
      <c r="T1974" s="19" t="n"/>
      <c r="U1974" s="19" t="n"/>
      <c r="V1974" s="19" t="n"/>
      <c r="W1974" s="19" t="n"/>
      <c r="X1974" s="19" t="n"/>
      <c r="Y1974" s="19" t="n">
        <v>1</v>
      </c>
      <c r="Z1974" s="13">
        <f>SUMPRODUCT(N1974:Y1974,$N$2:$Y$2)*$K1974*$L1974*$M1974</f>
        <v/>
      </c>
      <c r="AA1974" s="14">
        <f>SUM(N1974:Y1974)</f>
        <v/>
      </c>
      <c r="AB1974" s="13">
        <f>SUMPRODUCT(N1974:Y1974,$N$3:$Y$3)*$K1974*$L1974*$M1974</f>
        <v/>
      </c>
      <c r="AC1974" s="13">
        <f>SUMPRODUCT(N1974:Y1974,$N$4:$Y$4)*$K1974*$L1974*$M1974</f>
        <v/>
      </c>
      <c r="AD1974" s="15" t="n">
        <v>3</v>
      </c>
      <c r="AE1974" s="11" t="n">
        <v>1.011296296296296</v>
      </c>
      <c r="AF1974" s="16">
        <f>SUMPRODUCT(N1974:Y1974,$N$5:$Y$5)*$K1974*$L1974*$M1974</f>
        <v/>
      </c>
      <c r="AG1974" s="16">
        <f>SUMPRODUCT(N1974:Y1974,$N$6:$Y$6)*$K1974*$L1974*$M1974</f>
        <v/>
      </c>
      <c r="AH1974" s="20" t="n"/>
    </row>
    <row r="1975">
      <c r="A1975" s="9" t="n">
        <v>681003</v>
      </c>
      <c r="B1975" s="9" t="inlineStr">
        <is>
          <t>Andrew Walling</t>
        </is>
      </c>
      <c r="C1975" s="9" t="inlineStr">
        <is>
          <t>PHI</t>
        </is>
      </c>
      <c r="D1975" s="9" t="n">
        <v>25</v>
      </c>
      <c r="E1975" s="18" t="inlineStr">
        <is>
          <t>L</t>
        </is>
      </c>
      <c r="F1975" s="18" t="n"/>
      <c r="G1975" s="9" t="n">
        <v>24.43833333333334</v>
      </c>
      <c r="H1975" s="9" t="n">
        <v>24.43833333333334</v>
      </c>
      <c r="I1975" s="9" t="inlineStr">
        <is>
          <t>Depth (no MLB IP)</t>
        </is>
      </c>
      <c r="J1975" s="18" t="inlineStr">
        <is>
          <t>Opening Day</t>
        </is>
      </c>
      <c r="K1975" s="11">
        <f>IFERROR(INDEX(Roles!$B$17:$B$20,MATCH(J1975,Roles!$A$17:$A$20,0)),1)</f>
        <v/>
      </c>
      <c r="L1975" s="19" t="n">
        <v>1</v>
      </c>
      <c r="M1975" s="11" t="n">
        <v>1</v>
      </c>
      <c r="N1975" s="19" t="n"/>
      <c r="O1975" s="19" t="n"/>
      <c r="P1975" s="19" t="n"/>
      <c r="Q1975" s="19" t="n"/>
      <c r="R1975" s="19" t="n"/>
      <c r="S1975" s="19" t="n"/>
      <c r="T1975" s="19" t="n"/>
      <c r="U1975" s="19" t="n"/>
      <c r="V1975" s="19" t="n"/>
      <c r="W1975" s="19" t="n"/>
      <c r="X1975" s="19" t="n"/>
      <c r="Y1975" s="19" t="n">
        <v>1</v>
      </c>
      <c r="Z1975" s="13">
        <f>SUMPRODUCT(N1975:Y1975,$N$2:$Y$2)*$K1975*$L1975*$M1975</f>
        <v/>
      </c>
      <c r="AA1975" s="14">
        <f>SUM(N1975:Y1975)</f>
        <v/>
      </c>
      <c r="AB1975" s="13">
        <f>SUMPRODUCT(N1975:Y1975,$N$3:$Y$3)*$K1975*$L1975*$M1975</f>
        <v/>
      </c>
      <c r="AC1975" s="13">
        <f>SUMPRODUCT(N1975:Y1975,$N$4:$Y$4)*$K1975*$L1975*$M1975</f>
        <v/>
      </c>
      <c r="AD1975" s="15" t="n">
        <v>3</v>
      </c>
      <c r="AE1975" s="11" t="n">
        <v>1.011296296296296</v>
      </c>
      <c r="AF1975" s="16">
        <f>SUMPRODUCT(N1975:Y1975,$N$5:$Y$5)*$K1975*$L1975*$M1975</f>
        <v/>
      </c>
      <c r="AG1975" s="16">
        <f>SUMPRODUCT(N1975:Y1975,$N$6:$Y$6)*$K1975*$L1975*$M1975</f>
        <v/>
      </c>
      <c r="AH1975" s="20" t="n"/>
    </row>
    <row r="1976">
      <c r="A1976" s="9" t="n">
        <v>607461</v>
      </c>
      <c r="B1976" s="9" t="inlineStr">
        <is>
          <t>Matt Beaty</t>
        </is>
      </c>
      <c r="C1976" s="9" t="inlineStr">
        <is>
          <t>SF</t>
        </is>
      </c>
      <c r="D1976" s="9" t="n">
        <v>34</v>
      </c>
      <c r="E1976" s="18" t="inlineStr">
        <is>
          <t>R</t>
        </is>
      </c>
      <c r="F1976" s="18" t="n"/>
      <c r="G1976" s="9" t="n">
        <v>7</v>
      </c>
      <c r="H1976" s="9" t="n">
        <v>7</v>
      </c>
      <c r="I1976" s="9" t="inlineStr">
        <is>
          <t>Depth (no MLB IP)</t>
        </is>
      </c>
      <c r="J1976" s="18" t="inlineStr">
        <is>
          <t>Opening Day</t>
        </is>
      </c>
      <c r="K1976" s="11">
        <f>IFERROR(INDEX(Roles!$B$17:$B$20,MATCH(J1976,Roles!$A$17:$A$20,0)),1)</f>
        <v/>
      </c>
      <c r="L1976" s="19" t="n">
        <v>1</v>
      </c>
      <c r="M1976" s="11" t="n">
        <v>1</v>
      </c>
      <c r="N1976" s="19" t="n"/>
      <c r="O1976" s="19" t="n"/>
      <c r="P1976" s="19" t="n"/>
      <c r="Q1976" s="19" t="n"/>
      <c r="R1976" s="19" t="n"/>
      <c r="S1976" s="19" t="n"/>
      <c r="T1976" s="19" t="n"/>
      <c r="U1976" s="19" t="n"/>
      <c r="V1976" s="19" t="n"/>
      <c r="W1976" s="19" t="n"/>
      <c r="X1976" s="19" t="n"/>
      <c r="Y1976" s="19" t="n">
        <v>1</v>
      </c>
      <c r="Z1976" s="13">
        <f>SUMPRODUCT(N1976:Y1976,$N$2:$Y$2)*$K1976*$L1976*$M1976</f>
        <v/>
      </c>
      <c r="AA1976" s="14">
        <f>SUM(N1976:Y1976)</f>
        <v/>
      </c>
      <c r="AB1976" s="13">
        <f>SUMPRODUCT(N1976:Y1976,$N$3:$Y$3)*$K1976*$L1976*$M1976</f>
        <v/>
      </c>
      <c r="AC1976" s="13">
        <f>SUMPRODUCT(N1976:Y1976,$N$4:$Y$4)*$K1976*$L1976*$M1976</f>
        <v/>
      </c>
      <c r="AD1976" s="15" t="n">
        <v>3</v>
      </c>
      <c r="AE1976" s="11" t="n">
        <v>1.011296296296296</v>
      </c>
      <c r="AF1976" s="16">
        <f>SUMPRODUCT(N1976:Y1976,$N$5:$Y$5)*$K1976*$L1976*$M1976</f>
        <v/>
      </c>
      <c r="AG1976" s="16">
        <f>SUMPRODUCT(N1976:Y1976,$N$6:$Y$6)*$K1976*$L1976*$M1976</f>
        <v/>
      </c>
      <c r="AH1976" s="20" t="n"/>
    </row>
    <row r="1977">
      <c r="A1977" s="9" t="n">
        <v>801412</v>
      </c>
      <c r="B1977" s="9" t="inlineStr">
        <is>
          <t>Will Mabrey</t>
        </is>
      </c>
      <c r="C1977" s="9" t="inlineStr">
        <is>
          <t>ARI</t>
        </is>
      </c>
      <c r="D1977" s="9" t="n">
        <v>25</v>
      </c>
      <c r="E1977" s="18" t="inlineStr">
        <is>
          <t>L</t>
        </is>
      </c>
      <c r="F1977" s="18" t="n"/>
      <c r="G1977" s="9" t="n">
        <v>24.58166666666666</v>
      </c>
      <c r="H1977" s="9" t="n">
        <v>24.58166666666666</v>
      </c>
      <c r="I1977" s="9" t="inlineStr">
        <is>
          <t>Depth (no MLB IP)</t>
        </is>
      </c>
      <c r="J1977" s="18" t="inlineStr">
        <is>
          <t>Opening Day</t>
        </is>
      </c>
      <c r="K1977" s="11">
        <f>IFERROR(INDEX(Roles!$B$17:$B$20,MATCH(J1977,Roles!$A$17:$A$20,0)),1)</f>
        <v/>
      </c>
      <c r="L1977" s="19" t="n">
        <v>1</v>
      </c>
      <c r="M1977" s="11" t="n">
        <v>1</v>
      </c>
      <c r="N1977" s="19" t="n"/>
      <c r="O1977" s="19" t="n"/>
      <c r="P1977" s="19" t="n"/>
      <c r="Q1977" s="19" t="n"/>
      <c r="R1977" s="19" t="n"/>
      <c r="S1977" s="19" t="n"/>
      <c r="T1977" s="19" t="n"/>
      <c r="U1977" s="19" t="n"/>
      <c r="V1977" s="19" t="n"/>
      <c r="W1977" s="19" t="n"/>
      <c r="X1977" s="19" t="n"/>
      <c r="Y1977" s="19" t="n">
        <v>1</v>
      </c>
      <c r="Z1977" s="13">
        <f>SUMPRODUCT(N1977:Y1977,$N$2:$Y$2)*$K1977*$L1977*$M1977</f>
        <v/>
      </c>
      <c r="AA1977" s="14">
        <f>SUM(N1977:Y1977)</f>
        <v/>
      </c>
      <c r="AB1977" s="13">
        <f>SUMPRODUCT(N1977:Y1977,$N$3:$Y$3)*$K1977*$L1977*$M1977</f>
        <v/>
      </c>
      <c r="AC1977" s="13">
        <f>SUMPRODUCT(N1977:Y1977,$N$4:$Y$4)*$K1977*$L1977*$M1977</f>
        <v/>
      </c>
      <c r="AD1977" s="15" t="n">
        <v>3</v>
      </c>
      <c r="AE1977" s="11" t="n">
        <v>1.011296296296296</v>
      </c>
      <c r="AF1977" s="16">
        <f>SUMPRODUCT(N1977:Y1977,$N$5:$Y$5)*$K1977*$L1977*$M1977</f>
        <v/>
      </c>
      <c r="AG1977" s="16">
        <f>SUMPRODUCT(N1977:Y1977,$N$6:$Y$6)*$K1977*$L1977*$M1977</f>
        <v/>
      </c>
      <c r="AH1977" s="20" t="n"/>
    </row>
    <row r="1978">
      <c r="A1978" s="9" t="n">
        <v>801920</v>
      </c>
      <c r="B1978" s="9" t="inlineStr">
        <is>
          <t>Jackson Holmes</t>
        </is>
      </c>
      <c r="C1978" s="9" t="inlineStr">
        <is>
          <t>OAK</t>
        </is>
      </c>
      <c r="D1978" s="9" t="n">
        <v>25</v>
      </c>
      <c r="E1978" s="18" t="inlineStr">
        <is>
          <t>R</t>
        </is>
      </c>
      <c r="F1978" s="18" t="n"/>
      <c r="G1978" s="9" t="n">
        <v>24.596</v>
      </c>
      <c r="H1978" s="9" t="n">
        <v>24.596</v>
      </c>
      <c r="I1978" s="9" t="inlineStr">
        <is>
          <t>Depth (no MLB IP)</t>
        </is>
      </c>
      <c r="J1978" s="18" t="inlineStr">
        <is>
          <t>Opening Day</t>
        </is>
      </c>
      <c r="K1978" s="11">
        <f>IFERROR(INDEX(Roles!$B$17:$B$20,MATCH(J1978,Roles!$A$17:$A$20,0)),1)</f>
        <v/>
      </c>
      <c r="L1978" s="19" t="n">
        <v>1</v>
      </c>
      <c r="M1978" s="11" t="n">
        <v>1</v>
      </c>
      <c r="N1978" s="19" t="n"/>
      <c r="O1978" s="19" t="n"/>
      <c r="P1978" s="19" t="n"/>
      <c r="Q1978" s="19" t="n"/>
      <c r="R1978" s="19" t="n"/>
      <c r="S1978" s="19" t="n"/>
      <c r="T1978" s="19" t="n"/>
      <c r="U1978" s="19" t="n"/>
      <c r="V1978" s="19" t="n"/>
      <c r="W1978" s="19" t="n"/>
      <c r="X1978" s="19" t="n"/>
      <c r="Y1978" s="19" t="n">
        <v>1</v>
      </c>
      <c r="Z1978" s="13">
        <f>SUMPRODUCT(N1978:Y1978,$N$2:$Y$2)*$K1978*$L1978*$M1978</f>
        <v/>
      </c>
      <c r="AA1978" s="14">
        <f>SUM(N1978:Y1978)</f>
        <v/>
      </c>
      <c r="AB1978" s="13">
        <f>SUMPRODUCT(N1978:Y1978,$N$3:$Y$3)*$K1978*$L1978*$M1978</f>
        <v/>
      </c>
      <c r="AC1978" s="13">
        <f>SUMPRODUCT(N1978:Y1978,$N$4:$Y$4)*$K1978*$L1978*$M1978</f>
        <v/>
      </c>
      <c r="AD1978" s="15" t="n">
        <v>3</v>
      </c>
      <c r="AE1978" s="11" t="n">
        <v>1.011296296296296</v>
      </c>
      <c r="AF1978" s="16">
        <f>SUMPRODUCT(N1978:Y1978,$N$5:$Y$5)*$K1978*$L1978*$M1978</f>
        <v/>
      </c>
      <c r="AG1978" s="16">
        <f>SUMPRODUCT(N1978:Y1978,$N$6:$Y$6)*$K1978*$L1978*$M1978</f>
        <v/>
      </c>
      <c r="AH1978" s="20" t="n"/>
    </row>
    <row r="1979">
      <c r="A1979" s="9" t="n">
        <v>671726</v>
      </c>
      <c r="B1979" s="9" t="inlineStr">
        <is>
          <t>Marquis Grissom Jr.</t>
        </is>
      </c>
      <c r="C1979" s="9" t="inlineStr">
        <is>
          <t>WSH</t>
        </is>
      </c>
      <c r="D1979" s="9" t="n">
        <v>25</v>
      </c>
      <c r="E1979" s="18" t="inlineStr">
        <is>
          <t>R</t>
        </is>
      </c>
      <c r="F1979" s="18" t="n"/>
      <c r="G1979" s="9" t="n">
        <v>24.58166666666666</v>
      </c>
      <c r="H1979" s="9" t="n">
        <v>24.58166666666666</v>
      </c>
      <c r="I1979" s="9" t="inlineStr">
        <is>
          <t>Depth (no MLB IP)</t>
        </is>
      </c>
      <c r="J1979" s="18" t="inlineStr">
        <is>
          <t>Opening Day</t>
        </is>
      </c>
      <c r="K1979" s="11">
        <f>IFERROR(INDEX(Roles!$B$17:$B$20,MATCH(J1979,Roles!$A$17:$A$20,0)),1)</f>
        <v/>
      </c>
      <c r="L1979" s="19" t="n">
        <v>1</v>
      </c>
      <c r="M1979" s="11" t="n">
        <v>1</v>
      </c>
      <c r="N1979" s="19" t="n"/>
      <c r="O1979" s="19" t="n"/>
      <c r="P1979" s="19" t="n"/>
      <c r="Q1979" s="19" t="n"/>
      <c r="R1979" s="19" t="n"/>
      <c r="S1979" s="19" t="n"/>
      <c r="T1979" s="19" t="n"/>
      <c r="U1979" s="19" t="n"/>
      <c r="V1979" s="19" t="n"/>
      <c r="W1979" s="19" t="n"/>
      <c r="X1979" s="19" t="n"/>
      <c r="Y1979" s="19" t="n">
        <v>1</v>
      </c>
      <c r="Z1979" s="13">
        <f>SUMPRODUCT(N1979:Y1979,$N$2:$Y$2)*$K1979*$L1979*$M1979</f>
        <v/>
      </c>
      <c r="AA1979" s="14">
        <f>SUM(N1979:Y1979)</f>
        <v/>
      </c>
      <c r="AB1979" s="13">
        <f>SUMPRODUCT(N1979:Y1979,$N$3:$Y$3)*$K1979*$L1979*$M1979</f>
        <v/>
      </c>
      <c r="AC1979" s="13">
        <f>SUMPRODUCT(N1979:Y1979,$N$4:$Y$4)*$K1979*$L1979*$M1979</f>
        <v/>
      </c>
      <c r="AD1979" s="15" t="n">
        <v>3</v>
      </c>
      <c r="AE1979" s="11" t="n">
        <v>1.011296296296296</v>
      </c>
      <c r="AF1979" s="16">
        <f>SUMPRODUCT(N1979:Y1979,$N$5:$Y$5)*$K1979*$L1979*$M1979</f>
        <v/>
      </c>
      <c r="AG1979" s="16">
        <f>SUMPRODUCT(N1979:Y1979,$N$6:$Y$6)*$K1979*$L1979*$M1979</f>
        <v/>
      </c>
      <c r="AH1979" s="20" t="n"/>
    </row>
    <row r="1980">
      <c r="A1980" s="9" t="n">
        <v>669711</v>
      </c>
      <c r="B1980" s="9" t="inlineStr">
        <is>
          <t>Greg Weissert</t>
        </is>
      </c>
      <c r="C1980" s="9" t="inlineStr">
        <is>
          <t>BOS</t>
        </is>
      </c>
      <c r="D1980" s="9" t="n">
        <v>32</v>
      </c>
      <c r="E1980" s="18" t="inlineStr">
        <is>
          <t>R</t>
        </is>
      </c>
      <c r="F1980" s="18" t="n"/>
      <c r="G1980" s="9" t="n">
        <v>255</v>
      </c>
      <c r="H1980" s="9" t="n">
        <v>931</v>
      </c>
      <c r="I1980" s="9" t="inlineStr">
        <is>
          <t>Middle Relief</t>
        </is>
      </c>
      <c r="J1980" s="18" t="inlineStr">
        <is>
          <t>Opening Day</t>
        </is>
      </c>
      <c r="K1980" s="11">
        <f>IFERROR(INDEX(Roles!$B$17:$B$20,MATCH(J1980,Roles!$A$17:$A$20,0)),1)</f>
        <v/>
      </c>
      <c r="L1980" s="19" t="n">
        <v>1</v>
      </c>
      <c r="M1980" s="11" t="n">
        <v>1</v>
      </c>
      <c r="N1980" s="19" t="n"/>
      <c r="O1980" s="19" t="n"/>
      <c r="P1980" s="19" t="n"/>
      <c r="Q1980" s="19" t="n"/>
      <c r="R1980" s="19" t="n"/>
      <c r="S1980" s="19" t="n"/>
      <c r="T1980" s="19" t="n"/>
      <c r="U1980" s="19" t="n"/>
      <c r="V1980" s="19" t="n">
        <v>0.85</v>
      </c>
      <c r="W1980" s="19" t="n">
        <v>0.15</v>
      </c>
      <c r="X1980" s="19" t="n"/>
      <c r="Y1980" s="19" t="n"/>
      <c r="Z1980" s="13">
        <f>SUMPRODUCT(N1980:Y1980,$N$2:$Y$2)*$K1980*$L1980*$M1980</f>
        <v/>
      </c>
      <c r="AA1980" s="14">
        <f>SUM(N1980:Y1980)</f>
        <v/>
      </c>
      <c r="AB1980" s="13">
        <f>SUMPRODUCT(N1980:Y1980,$N$3:$Y$3)*$K1980*$L1980*$M1980</f>
        <v/>
      </c>
      <c r="AC1980" s="13">
        <f>SUMPRODUCT(N1980:Y1980,$N$4:$Y$4)*$K1980*$L1980*$M1980</f>
        <v/>
      </c>
      <c r="AD1980" s="15" t="n">
        <v>54.23333333333333</v>
      </c>
      <c r="AE1980" s="11" t="n">
        <v>1.009256282356286</v>
      </c>
      <c r="AF1980" s="16">
        <f>SUMPRODUCT(N1980:Y1980,$N$5:$Y$5)*$K1980*$L1980*$M1980</f>
        <v/>
      </c>
      <c r="AG1980" s="16">
        <f>SUMPRODUCT(N1980:Y1980,$N$6:$Y$6)*$K1980*$L1980*$M1980</f>
        <v/>
      </c>
      <c r="AH1980" s="20" t="n"/>
    </row>
    <row r="1981">
      <c r="A1981" s="9" t="n">
        <v>702297</v>
      </c>
      <c r="B1981" s="9" t="inlineStr">
        <is>
          <t>Carson Skipper</t>
        </is>
      </c>
      <c r="C1981" s="9" t="inlineStr">
        <is>
          <t>COL</t>
        </is>
      </c>
      <c r="D1981" s="9" t="n">
        <v>25</v>
      </c>
      <c r="E1981" s="18" t="inlineStr">
        <is>
          <t>L</t>
        </is>
      </c>
      <c r="F1981" s="18" t="n"/>
      <c r="G1981" s="9" t="n">
        <v>24.43833333333334</v>
      </c>
      <c r="H1981" s="9" t="n">
        <v>24.43833333333334</v>
      </c>
      <c r="I1981" s="9" t="inlineStr">
        <is>
          <t>Depth (no MLB IP)</t>
        </is>
      </c>
      <c r="J1981" s="18" t="inlineStr">
        <is>
          <t>Opening Day</t>
        </is>
      </c>
      <c r="K1981" s="11">
        <f>IFERROR(INDEX(Roles!$B$17:$B$20,MATCH(J1981,Roles!$A$17:$A$20,0)),1)</f>
        <v/>
      </c>
      <c r="L1981" s="19" t="n">
        <v>1</v>
      </c>
      <c r="M1981" s="11" t="n">
        <v>1</v>
      </c>
      <c r="N1981" s="19" t="n"/>
      <c r="O1981" s="19" t="n"/>
      <c r="P1981" s="19" t="n"/>
      <c r="Q1981" s="19" t="n"/>
      <c r="R1981" s="19" t="n"/>
      <c r="S1981" s="19" t="n"/>
      <c r="T1981" s="19" t="n"/>
      <c r="U1981" s="19" t="n"/>
      <c r="V1981" s="19" t="n"/>
      <c r="W1981" s="19" t="n"/>
      <c r="X1981" s="19" t="n"/>
      <c r="Y1981" s="19" t="n">
        <v>1</v>
      </c>
      <c r="Z1981" s="13">
        <f>SUMPRODUCT(N1981:Y1981,$N$2:$Y$2)*$K1981*$L1981*$M1981</f>
        <v/>
      </c>
      <c r="AA1981" s="14">
        <f>SUM(N1981:Y1981)</f>
        <v/>
      </c>
      <c r="AB1981" s="13">
        <f>SUMPRODUCT(N1981:Y1981,$N$3:$Y$3)*$K1981*$L1981*$M1981</f>
        <v/>
      </c>
      <c r="AC1981" s="13">
        <f>SUMPRODUCT(N1981:Y1981,$N$4:$Y$4)*$K1981*$L1981*$M1981</f>
        <v/>
      </c>
      <c r="AD1981" s="15" t="n">
        <v>3</v>
      </c>
      <c r="AE1981" s="11" t="n">
        <v>1.011296296296296</v>
      </c>
      <c r="AF1981" s="16">
        <f>SUMPRODUCT(N1981:Y1981,$N$5:$Y$5)*$K1981*$L1981*$M1981</f>
        <v/>
      </c>
      <c r="AG1981" s="16">
        <f>SUMPRODUCT(N1981:Y1981,$N$6:$Y$6)*$K1981*$L1981*$M1981</f>
        <v/>
      </c>
      <c r="AH1981" s="20" t="n"/>
    </row>
    <row r="1982">
      <c r="A1982" s="9" t="n">
        <v>814255</v>
      </c>
      <c r="B1982" s="9" t="inlineStr">
        <is>
          <t>Miguel Mejias</t>
        </is>
      </c>
      <c r="C1982" s="9" t="inlineStr">
        <is>
          <t>NYM</t>
        </is>
      </c>
      <c r="D1982" s="9" t="n">
        <v>25</v>
      </c>
      <c r="E1982" s="18" t="inlineStr">
        <is>
          <t>R</t>
        </is>
      </c>
      <c r="F1982" s="18" t="n"/>
      <c r="G1982" s="9" t="n">
        <v>24.768</v>
      </c>
      <c r="H1982" s="9" t="n">
        <v>24.768</v>
      </c>
      <c r="I1982" s="9" t="inlineStr">
        <is>
          <t>Depth (no MLB IP)</t>
        </is>
      </c>
      <c r="J1982" s="18" t="inlineStr">
        <is>
          <t>Opening Day</t>
        </is>
      </c>
      <c r="K1982" s="11">
        <f>IFERROR(INDEX(Roles!$B$17:$B$20,MATCH(J1982,Roles!$A$17:$A$20,0)),1)</f>
        <v/>
      </c>
      <c r="L1982" s="19" t="n">
        <v>1</v>
      </c>
      <c r="M1982" s="11" t="n">
        <v>1</v>
      </c>
      <c r="N1982" s="19" t="n"/>
      <c r="O1982" s="19" t="n"/>
      <c r="P1982" s="19" t="n"/>
      <c r="Q1982" s="19" t="n"/>
      <c r="R1982" s="19" t="n"/>
      <c r="S1982" s="19" t="n"/>
      <c r="T1982" s="19" t="n"/>
      <c r="U1982" s="19" t="n"/>
      <c r="V1982" s="19" t="n"/>
      <c r="W1982" s="19" t="n"/>
      <c r="X1982" s="19" t="n"/>
      <c r="Y1982" s="19" t="n">
        <v>1</v>
      </c>
      <c r="Z1982" s="13">
        <f>SUMPRODUCT(N1982:Y1982,$N$2:$Y$2)*$K1982*$L1982*$M1982</f>
        <v/>
      </c>
      <c r="AA1982" s="14">
        <f>SUM(N1982:Y1982)</f>
        <v/>
      </c>
      <c r="AB1982" s="13">
        <f>SUMPRODUCT(N1982:Y1982,$N$3:$Y$3)*$K1982*$L1982*$M1982</f>
        <v/>
      </c>
      <c r="AC1982" s="13">
        <f>SUMPRODUCT(N1982:Y1982,$N$4:$Y$4)*$K1982*$L1982*$M1982</f>
        <v/>
      </c>
      <c r="AD1982" s="15" t="n">
        <v>3</v>
      </c>
      <c r="AE1982" s="11" t="n">
        <v>1.011296296296296</v>
      </c>
      <c r="AF1982" s="16">
        <f>SUMPRODUCT(N1982:Y1982,$N$5:$Y$5)*$K1982*$L1982*$M1982</f>
        <v/>
      </c>
      <c r="AG1982" s="16">
        <f>SUMPRODUCT(N1982:Y1982,$N$6:$Y$6)*$K1982*$L1982*$M1982</f>
        <v/>
      </c>
      <c r="AH1982" s="20" t="n"/>
    </row>
    <row r="1983">
      <c r="A1983" s="9" t="n">
        <v>808035</v>
      </c>
      <c r="B1983" s="9" t="inlineStr">
        <is>
          <t>Daury Vasquez</t>
        </is>
      </c>
      <c r="C1983" s="9" t="inlineStr">
        <is>
          <t>ARI</t>
        </is>
      </c>
      <c r="D1983" s="9" t="n">
        <v>25</v>
      </c>
      <c r="E1983" s="18" t="inlineStr">
        <is>
          <t>R</t>
        </is>
      </c>
      <c r="F1983" s="18" t="n"/>
      <c r="G1983" s="9" t="n">
        <v>24.596</v>
      </c>
      <c r="H1983" s="9" t="n">
        <v>24.596</v>
      </c>
      <c r="I1983" s="9" t="inlineStr">
        <is>
          <t>Depth (no MLB IP)</t>
        </is>
      </c>
      <c r="J1983" s="18" t="inlineStr">
        <is>
          <t>Opening Day</t>
        </is>
      </c>
      <c r="K1983" s="11">
        <f>IFERROR(INDEX(Roles!$B$17:$B$20,MATCH(J1983,Roles!$A$17:$A$20,0)),1)</f>
        <v/>
      </c>
      <c r="L1983" s="19" t="n">
        <v>1</v>
      </c>
      <c r="M1983" s="11" t="n">
        <v>1</v>
      </c>
      <c r="N1983" s="19" t="n"/>
      <c r="O1983" s="19" t="n"/>
      <c r="P1983" s="19" t="n"/>
      <c r="Q1983" s="19" t="n"/>
      <c r="R1983" s="19" t="n"/>
      <c r="S1983" s="19" t="n"/>
      <c r="T1983" s="19" t="n"/>
      <c r="U1983" s="19" t="n"/>
      <c r="V1983" s="19" t="n"/>
      <c r="W1983" s="19" t="n"/>
      <c r="X1983" s="19" t="n"/>
      <c r="Y1983" s="19" t="n">
        <v>1</v>
      </c>
      <c r="Z1983" s="13">
        <f>SUMPRODUCT(N1983:Y1983,$N$2:$Y$2)*$K1983*$L1983*$M1983</f>
        <v/>
      </c>
      <c r="AA1983" s="14">
        <f>SUM(N1983:Y1983)</f>
        <v/>
      </c>
      <c r="AB1983" s="13">
        <f>SUMPRODUCT(N1983:Y1983,$N$3:$Y$3)*$K1983*$L1983*$M1983</f>
        <v/>
      </c>
      <c r="AC1983" s="13">
        <f>SUMPRODUCT(N1983:Y1983,$N$4:$Y$4)*$K1983*$L1983*$M1983</f>
        <v/>
      </c>
      <c r="AD1983" s="15" t="n">
        <v>3</v>
      </c>
      <c r="AE1983" s="11" t="n">
        <v>1.011296296296296</v>
      </c>
      <c r="AF1983" s="16">
        <f>SUMPRODUCT(N1983:Y1983,$N$5:$Y$5)*$K1983*$L1983*$M1983</f>
        <v/>
      </c>
      <c r="AG1983" s="16">
        <f>SUMPRODUCT(N1983:Y1983,$N$6:$Y$6)*$K1983*$L1983*$M1983</f>
        <v/>
      </c>
      <c r="AH1983" s="20" t="n"/>
    </row>
    <row r="1984">
      <c r="A1984" s="9" t="n">
        <v>703855</v>
      </c>
      <c r="B1984" s="9" t="inlineStr">
        <is>
          <t>Leomar Rosario</t>
        </is>
      </c>
      <c r="C1984" s="9" t="inlineStr">
        <is>
          <t>HOU</t>
        </is>
      </c>
      <c r="D1984" s="9" t="n">
        <v>25</v>
      </c>
      <c r="E1984" s="18" t="inlineStr">
        <is>
          <t>R</t>
        </is>
      </c>
      <c r="F1984" s="18" t="n"/>
      <c r="G1984" s="9" t="n">
        <v>24.768</v>
      </c>
      <c r="H1984" s="9" t="n">
        <v>24.768</v>
      </c>
      <c r="I1984" s="9" t="inlineStr">
        <is>
          <t>Depth (no MLB IP)</t>
        </is>
      </c>
      <c r="J1984" s="18" t="inlineStr">
        <is>
          <t>Opening Day</t>
        </is>
      </c>
      <c r="K1984" s="11">
        <f>IFERROR(INDEX(Roles!$B$17:$B$20,MATCH(J1984,Roles!$A$17:$A$20,0)),1)</f>
        <v/>
      </c>
      <c r="L1984" s="19" t="n">
        <v>1</v>
      </c>
      <c r="M1984" s="11" t="n">
        <v>1</v>
      </c>
      <c r="N1984" s="19" t="n"/>
      <c r="O1984" s="19" t="n"/>
      <c r="P1984" s="19" t="n"/>
      <c r="Q1984" s="19" t="n"/>
      <c r="R1984" s="19" t="n"/>
      <c r="S1984" s="19" t="n"/>
      <c r="T1984" s="19" t="n"/>
      <c r="U1984" s="19" t="n"/>
      <c r="V1984" s="19" t="n"/>
      <c r="W1984" s="19" t="n"/>
      <c r="X1984" s="19" t="n"/>
      <c r="Y1984" s="19" t="n">
        <v>1</v>
      </c>
      <c r="Z1984" s="13">
        <f>SUMPRODUCT(N1984:Y1984,$N$2:$Y$2)*$K1984*$L1984*$M1984</f>
        <v/>
      </c>
      <c r="AA1984" s="14">
        <f>SUM(N1984:Y1984)</f>
        <v/>
      </c>
      <c r="AB1984" s="13">
        <f>SUMPRODUCT(N1984:Y1984,$N$3:$Y$3)*$K1984*$L1984*$M1984</f>
        <v/>
      </c>
      <c r="AC1984" s="13">
        <f>SUMPRODUCT(N1984:Y1984,$N$4:$Y$4)*$K1984*$L1984*$M1984</f>
        <v/>
      </c>
      <c r="AD1984" s="15" t="n">
        <v>3</v>
      </c>
      <c r="AE1984" s="11" t="n">
        <v>1.011296296296296</v>
      </c>
      <c r="AF1984" s="16">
        <f>SUMPRODUCT(N1984:Y1984,$N$5:$Y$5)*$K1984*$L1984*$M1984</f>
        <v/>
      </c>
      <c r="AG1984" s="16">
        <f>SUMPRODUCT(N1984:Y1984,$N$6:$Y$6)*$K1984*$L1984*$M1984</f>
        <v/>
      </c>
      <c r="AH1984" s="20" t="n"/>
    </row>
    <row r="1985">
      <c r="A1985" s="9" t="n">
        <v>826044</v>
      </c>
      <c r="B1985" s="9" t="inlineStr">
        <is>
          <t>Cory Ronan</t>
        </is>
      </c>
      <c r="C1985" s="9" t="inlineStr">
        <is>
          <t>KC</t>
        </is>
      </c>
      <c r="D1985" s="9" t="n">
        <v>25</v>
      </c>
      <c r="E1985" s="18" t="inlineStr">
        <is>
          <t>L</t>
        </is>
      </c>
      <c r="F1985" s="18" t="n"/>
      <c r="G1985" s="9" t="n">
        <v>24.65333333333334</v>
      </c>
      <c r="H1985" s="9" t="n">
        <v>24.65333333333334</v>
      </c>
      <c r="I1985" s="9" t="inlineStr">
        <is>
          <t>Depth (no MLB IP)</t>
        </is>
      </c>
      <c r="J1985" s="18" t="inlineStr">
        <is>
          <t>Opening Day</t>
        </is>
      </c>
      <c r="K1985" s="11">
        <f>IFERROR(INDEX(Roles!$B$17:$B$20,MATCH(J1985,Roles!$A$17:$A$20,0)),1)</f>
        <v/>
      </c>
      <c r="L1985" s="19" t="n">
        <v>1</v>
      </c>
      <c r="M1985" s="11" t="n">
        <v>1</v>
      </c>
      <c r="N1985" s="19" t="n"/>
      <c r="O1985" s="19" t="n"/>
      <c r="P1985" s="19" t="n"/>
      <c r="Q1985" s="19" t="n"/>
      <c r="R1985" s="19" t="n"/>
      <c r="S1985" s="19" t="n"/>
      <c r="T1985" s="19" t="n"/>
      <c r="U1985" s="19" t="n"/>
      <c r="V1985" s="19" t="n"/>
      <c r="W1985" s="19" t="n"/>
      <c r="X1985" s="19" t="n"/>
      <c r="Y1985" s="19" t="n">
        <v>1</v>
      </c>
      <c r="Z1985" s="13">
        <f>SUMPRODUCT(N1985:Y1985,$N$2:$Y$2)*$K1985*$L1985*$M1985</f>
        <v/>
      </c>
      <c r="AA1985" s="14">
        <f>SUM(N1985:Y1985)</f>
        <v/>
      </c>
      <c r="AB1985" s="13">
        <f>SUMPRODUCT(N1985:Y1985,$N$3:$Y$3)*$K1985*$L1985*$M1985</f>
        <v/>
      </c>
      <c r="AC1985" s="13">
        <f>SUMPRODUCT(N1985:Y1985,$N$4:$Y$4)*$K1985*$L1985*$M1985</f>
        <v/>
      </c>
      <c r="AD1985" s="15" t="n">
        <v>3</v>
      </c>
      <c r="AE1985" s="11" t="n">
        <v>1.011296296296296</v>
      </c>
      <c r="AF1985" s="16">
        <f>SUMPRODUCT(N1985:Y1985,$N$5:$Y$5)*$K1985*$L1985*$M1985</f>
        <v/>
      </c>
      <c r="AG1985" s="16">
        <f>SUMPRODUCT(N1985:Y1985,$N$6:$Y$6)*$K1985*$L1985*$M1985</f>
        <v/>
      </c>
      <c r="AH1985" s="20" t="n"/>
    </row>
    <row r="1986">
      <c r="A1986" s="9" t="n">
        <v>702539</v>
      </c>
      <c r="B1986" s="9" t="inlineStr">
        <is>
          <t>Zach Root</t>
        </is>
      </c>
      <c r="C1986" s="9" t="inlineStr">
        <is>
          <t>LAD</t>
        </is>
      </c>
      <c r="D1986" s="9" t="n">
        <v>25</v>
      </c>
      <c r="E1986" s="18" t="inlineStr">
        <is>
          <t>L</t>
        </is>
      </c>
      <c r="F1986" s="18" t="n"/>
      <c r="G1986" s="9" t="n">
        <v>24.58166666666666</v>
      </c>
      <c r="H1986" s="9" t="n">
        <v>24.58166666666666</v>
      </c>
      <c r="I1986" s="9" t="inlineStr">
        <is>
          <t>Depth (no MLB IP)</t>
        </is>
      </c>
      <c r="J1986" s="18" t="inlineStr">
        <is>
          <t>Opening Day</t>
        </is>
      </c>
      <c r="K1986" s="11">
        <f>IFERROR(INDEX(Roles!$B$17:$B$20,MATCH(J1986,Roles!$A$17:$A$20,0)),1)</f>
        <v/>
      </c>
      <c r="L1986" s="19" t="n">
        <v>1</v>
      </c>
      <c r="M1986" s="11" t="n">
        <v>1</v>
      </c>
      <c r="N1986" s="19" t="n"/>
      <c r="O1986" s="19" t="n"/>
      <c r="P1986" s="19" t="n"/>
      <c r="Q1986" s="19" t="n"/>
      <c r="R1986" s="19" t="n"/>
      <c r="S1986" s="19" t="n"/>
      <c r="T1986" s="19" t="n"/>
      <c r="U1986" s="19" t="n"/>
      <c r="V1986" s="19" t="n"/>
      <c r="W1986" s="19" t="n"/>
      <c r="X1986" s="19" t="n"/>
      <c r="Y1986" s="19" t="n">
        <v>1</v>
      </c>
      <c r="Z1986" s="13">
        <f>SUMPRODUCT(N1986:Y1986,$N$2:$Y$2)*$K1986*$L1986*$M1986</f>
        <v/>
      </c>
      <c r="AA1986" s="14">
        <f>SUM(N1986:Y1986)</f>
        <v/>
      </c>
      <c r="AB1986" s="13">
        <f>SUMPRODUCT(N1986:Y1986,$N$3:$Y$3)*$K1986*$L1986*$M1986</f>
        <v/>
      </c>
      <c r="AC1986" s="13">
        <f>SUMPRODUCT(N1986:Y1986,$N$4:$Y$4)*$K1986*$L1986*$M1986</f>
        <v/>
      </c>
      <c r="AD1986" s="15" t="n">
        <v>3</v>
      </c>
      <c r="AE1986" s="11" t="n">
        <v>1.011296296296296</v>
      </c>
      <c r="AF1986" s="16">
        <f>SUMPRODUCT(N1986:Y1986,$N$5:$Y$5)*$K1986*$L1986*$M1986</f>
        <v/>
      </c>
      <c r="AG1986" s="16">
        <f>SUMPRODUCT(N1986:Y1986,$N$6:$Y$6)*$K1986*$L1986*$M1986</f>
        <v/>
      </c>
      <c r="AH1986" s="20" t="n"/>
    </row>
    <row r="1987">
      <c r="A1987" s="9" t="n">
        <v>814102</v>
      </c>
      <c r="B1987" s="9" t="inlineStr">
        <is>
          <t>Drew Pestka</t>
        </is>
      </c>
      <c r="C1987" s="9" t="inlineStr">
        <is>
          <t>CIN</t>
        </is>
      </c>
      <c r="D1987" s="9" t="n">
        <v>25</v>
      </c>
      <c r="E1987" s="18" t="inlineStr">
        <is>
          <t>R</t>
        </is>
      </c>
      <c r="F1987" s="18" t="n"/>
      <c r="G1987" s="9" t="n">
        <v>24.65333333333334</v>
      </c>
      <c r="H1987" s="9" t="n">
        <v>24.65333333333334</v>
      </c>
      <c r="I1987" s="9" t="inlineStr">
        <is>
          <t>Depth (no MLB IP)</t>
        </is>
      </c>
      <c r="J1987" s="18" t="inlineStr">
        <is>
          <t>Opening Day</t>
        </is>
      </c>
      <c r="K1987" s="11">
        <f>IFERROR(INDEX(Roles!$B$17:$B$20,MATCH(J1987,Roles!$A$17:$A$20,0)),1)</f>
        <v/>
      </c>
      <c r="L1987" s="19" t="n">
        <v>1</v>
      </c>
      <c r="M1987" s="11" t="n">
        <v>1</v>
      </c>
      <c r="N1987" s="19" t="n"/>
      <c r="O1987" s="19" t="n"/>
      <c r="P1987" s="19" t="n"/>
      <c r="Q1987" s="19" t="n"/>
      <c r="R1987" s="19" t="n"/>
      <c r="S1987" s="19" t="n"/>
      <c r="T1987" s="19" t="n"/>
      <c r="U1987" s="19" t="n"/>
      <c r="V1987" s="19" t="n"/>
      <c r="W1987" s="19" t="n"/>
      <c r="X1987" s="19" t="n"/>
      <c r="Y1987" s="19" t="n">
        <v>1</v>
      </c>
      <c r="Z1987" s="13">
        <f>SUMPRODUCT(N1987:Y1987,$N$2:$Y$2)*$K1987*$L1987*$M1987</f>
        <v/>
      </c>
      <c r="AA1987" s="14">
        <f>SUM(N1987:Y1987)</f>
        <v/>
      </c>
      <c r="AB1987" s="13">
        <f>SUMPRODUCT(N1987:Y1987,$N$3:$Y$3)*$K1987*$L1987*$M1987</f>
        <v/>
      </c>
      <c r="AC1987" s="13">
        <f>SUMPRODUCT(N1987:Y1987,$N$4:$Y$4)*$K1987*$L1987*$M1987</f>
        <v/>
      </c>
      <c r="AD1987" s="15" t="n">
        <v>3</v>
      </c>
      <c r="AE1987" s="11" t="n">
        <v>1.011296296296296</v>
      </c>
      <c r="AF1987" s="16">
        <f>SUMPRODUCT(N1987:Y1987,$N$5:$Y$5)*$K1987*$L1987*$M1987</f>
        <v/>
      </c>
      <c r="AG1987" s="16">
        <f>SUMPRODUCT(N1987:Y1987,$N$6:$Y$6)*$K1987*$L1987*$M1987</f>
        <v/>
      </c>
      <c r="AH1987" s="20" t="n"/>
    </row>
    <row r="1988">
      <c r="A1988" s="9" t="n">
        <v>663884</v>
      </c>
      <c r="B1988" s="9" t="inlineStr">
        <is>
          <t>Nolan Kingham</t>
        </is>
      </c>
      <c r="C1988" s="9" t="inlineStr">
        <is>
          <t>TEX</t>
        </is>
      </c>
      <c r="D1988" s="9" t="n">
        <v>30</v>
      </c>
      <c r="E1988" s="18" t="inlineStr">
        <is>
          <t>R</t>
        </is>
      </c>
      <c r="F1988" s="18" t="n"/>
      <c r="G1988" s="9" t="n">
        <v>6</v>
      </c>
      <c r="H1988" s="9" t="n">
        <v>6</v>
      </c>
      <c r="I1988" s="9" t="inlineStr">
        <is>
          <t>Depth (no MLB IP)</t>
        </is>
      </c>
      <c r="J1988" s="18" t="inlineStr">
        <is>
          <t>Opening Day</t>
        </is>
      </c>
      <c r="K1988" s="11">
        <f>IFERROR(INDEX(Roles!$B$17:$B$20,MATCH(J1988,Roles!$A$17:$A$20,0)),1)</f>
        <v/>
      </c>
      <c r="L1988" s="19" t="n">
        <v>1</v>
      </c>
      <c r="M1988" s="11" t="n">
        <v>1</v>
      </c>
      <c r="N1988" s="19" t="n"/>
      <c r="O1988" s="19" t="n"/>
      <c r="P1988" s="19" t="n"/>
      <c r="Q1988" s="19" t="n"/>
      <c r="R1988" s="19" t="n"/>
      <c r="S1988" s="19" t="n"/>
      <c r="T1988" s="19" t="n"/>
      <c r="U1988" s="19" t="n"/>
      <c r="V1988" s="19" t="n"/>
      <c r="W1988" s="19" t="n"/>
      <c r="X1988" s="19" t="n"/>
      <c r="Y1988" s="19" t="n">
        <v>1</v>
      </c>
      <c r="Z1988" s="13">
        <f>SUMPRODUCT(N1988:Y1988,$N$2:$Y$2)*$K1988*$L1988*$M1988</f>
        <v/>
      </c>
      <c r="AA1988" s="14">
        <f>SUM(N1988:Y1988)</f>
        <v/>
      </c>
      <c r="AB1988" s="13">
        <f>SUMPRODUCT(N1988:Y1988,$N$3:$Y$3)*$K1988*$L1988*$M1988</f>
        <v/>
      </c>
      <c r="AC1988" s="13">
        <f>SUMPRODUCT(N1988:Y1988,$N$4:$Y$4)*$K1988*$L1988*$M1988</f>
        <v/>
      </c>
      <c r="AD1988" s="15" t="n">
        <v>1.8</v>
      </c>
      <c r="AE1988" s="11" t="n">
        <v>1.007530864197531</v>
      </c>
      <c r="AF1988" s="16">
        <f>SUMPRODUCT(N1988:Y1988,$N$5:$Y$5)*$K1988*$L1988*$M1988</f>
        <v/>
      </c>
      <c r="AG1988" s="16">
        <f>SUMPRODUCT(N1988:Y1988,$N$6:$Y$6)*$K1988*$L1988*$M1988</f>
        <v/>
      </c>
      <c r="AH1988" s="20" t="n"/>
    </row>
    <row r="1989">
      <c r="A1989" s="9" t="n">
        <v>802085</v>
      </c>
      <c r="B1989" s="9" t="inlineStr">
        <is>
          <t>Geury Rodriguez</t>
        </is>
      </c>
      <c r="C1989" s="9" t="inlineStr">
        <is>
          <t>TEX</t>
        </is>
      </c>
      <c r="D1989" s="9" t="n">
        <v>25</v>
      </c>
      <c r="E1989" s="18" t="inlineStr">
        <is>
          <t>L</t>
        </is>
      </c>
      <c r="F1989" s="18" t="n"/>
      <c r="G1989" s="9" t="n">
        <v>24.768</v>
      </c>
      <c r="H1989" s="9" t="n">
        <v>24.768</v>
      </c>
      <c r="I1989" s="9" t="inlineStr">
        <is>
          <t>Depth (no MLB IP)</t>
        </is>
      </c>
      <c r="J1989" s="18" t="inlineStr">
        <is>
          <t>Opening Day</t>
        </is>
      </c>
      <c r="K1989" s="11">
        <f>IFERROR(INDEX(Roles!$B$17:$B$20,MATCH(J1989,Roles!$A$17:$A$20,0)),1)</f>
        <v/>
      </c>
      <c r="L1989" s="19" t="n">
        <v>1</v>
      </c>
      <c r="M1989" s="11" t="n">
        <v>1</v>
      </c>
      <c r="N1989" s="19" t="n"/>
      <c r="O1989" s="19" t="n"/>
      <c r="P1989" s="19" t="n"/>
      <c r="Q1989" s="19" t="n"/>
      <c r="R1989" s="19" t="n"/>
      <c r="S1989" s="19" t="n"/>
      <c r="T1989" s="19" t="n"/>
      <c r="U1989" s="19" t="n"/>
      <c r="V1989" s="19" t="n"/>
      <c r="W1989" s="19" t="n"/>
      <c r="X1989" s="19" t="n"/>
      <c r="Y1989" s="19" t="n">
        <v>1</v>
      </c>
      <c r="Z1989" s="13">
        <f>SUMPRODUCT(N1989:Y1989,$N$2:$Y$2)*$K1989*$L1989*$M1989</f>
        <v/>
      </c>
      <c r="AA1989" s="14">
        <f>SUM(N1989:Y1989)</f>
        <v/>
      </c>
      <c r="AB1989" s="13">
        <f>SUMPRODUCT(N1989:Y1989,$N$3:$Y$3)*$K1989*$L1989*$M1989</f>
        <v/>
      </c>
      <c r="AC1989" s="13">
        <f>SUMPRODUCT(N1989:Y1989,$N$4:$Y$4)*$K1989*$L1989*$M1989</f>
        <v/>
      </c>
      <c r="AD1989" s="15" t="n">
        <v>3</v>
      </c>
      <c r="AE1989" s="11" t="n">
        <v>1.011296296296296</v>
      </c>
      <c r="AF1989" s="16">
        <f>SUMPRODUCT(N1989:Y1989,$N$5:$Y$5)*$K1989*$L1989*$M1989</f>
        <v/>
      </c>
      <c r="AG1989" s="16">
        <f>SUMPRODUCT(N1989:Y1989,$N$6:$Y$6)*$K1989*$L1989*$M1989</f>
        <v/>
      </c>
      <c r="AH1989" s="20" t="n"/>
    </row>
    <row r="1990">
      <c r="A1990" s="9" t="n">
        <v>808658</v>
      </c>
      <c r="B1990" s="9" t="inlineStr">
        <is>
          <t>Nicolas De La Cruz</t>
        </is>
      </c>
      <c r="C1990" s="9" t="inlineStr">
        <is>
          <t>BOS</t>
        </is>
      </c>
      <c r="D1990" s="9" t="n">
        <v>25</v>
      </c>
      <c r="E1990" s="18" t="inlineStr">
        <is>
          <t>L</t>
        </is>
      </c>
      <c r="F1990" s="18" t="n"/>
      <c r="G1990" s="9" t="n">
        <v>24.94</v>
      </c>
      <c r="H1990" s="9" t="n">
        <v>24.94</v>
      </c>
      <c r="I1990" s="9" t="inlineStr">
        <is>
          <t>Depth (no MLB IP)</t>
        </is>
      </c>
      <c r="J1990" s="18" t="inlineStr">
        <is>
          <t>Opening Day</t>
        </is>
      </c>
      <c r="K1990" s="11">
        <f>IFERROR(INDEX(Roles!$B$17:$B$20,MATCH(J1990,Roles!$A$17:$A$20,0)),1)</f>
        <v/>
      </c>
      <c r="L1990" s="19" t="n">
        <v>1</v>
      </c>
      <c r="M1990" s="11" t="n">
        <v>1</v>
      </c>
      <c r="N1990" s="19" t="n"/>
      <c r="O1990" s="19" t="n"/>
      <c r="P1990" s="19" t="n"/>
      <c r="Q1990" s="19" t="n"/>
      <c r="R1990" s="19" t="n"/>
      <c r="S1990" s="19" t="n"/>
      <c r="T1990" s="19" t="n"/>
      <c r="U1990" s="19" t="n"/>
      <c r="V1990" s="19" t="n"/>
      <c r="W1990" s="19" t="n"/>
      <c r="X1990" s="19" t="n"/>
      <c r="Y1990" s="19" t="n">
        <v>1</v>
      </c>
      <c r="Z1990" s="13">
        <f>SUMPRODUCT(N1990:Y1990,$N$2:$Y$2)*$K1990*$L1990*$M1990</f>
        <v/>
      </c>
      <c r="AA1990" s="14">
        <f>SUM(N1990:Y1990)</f>
        <v/>
      </c>
      <c r="AB1990" s="13">
        <f>SUMPRODUCT(N1990:Y1990,$N$3:$Y$3)*$K1990*$L1990*$M1990</f>
        <v/>
      </c>
      <c r="AC1990" s="13">
        <f>SUMPRODUCT(N1990:Y1990,$N$4:$Y$4)*$K1990*$L1990*$M1990</f>
        <v/>
      </c>
      <c r="AD1990" s="15" t="n">
        <v>3</v>
      </c>
      <c r="AE1990" s="11" t="n">
        <v>1.011296296296296</v>
      </c>
      <c r="AF1990" s="16">
        <f>SUMPRODUCT(N1990:Y1990,$N$5:$Y$5)*$K1990*$L1990*$M1990</f>
        <v/>
      </c>
      <c r="AG1990" s="16">
        <f>SUMPRODUCT(N1990:Y1990,$N$6:$Y$6)*$K1990*$L1990*$M1990</f>
        <v/>
      </c>
      <c r="AH1990" s="20" t="n"/>
    </row>
    <row r="1991">
      <c r="A1991" s="9" t="n">
        <v>690989</v>
      </c>
      <c r="B1991" s="9" t="inlineStr">
        <is>
          <t>Ben Hernandez</t>
        </is>
      </c>
      <c r="C1991" s="9" t="inlineStr">
        <is>
          <t>SEA</t>
        </is>
      </c>
      <c r="D1991" s="9" t="n">
        <v>25</v>
      </c>
      <c r="E1991" s="18" t="inlineStr">
        <is>
          <t>R</t>
        </is>
      </c>
      <c r="F1991" s="18" t="n"/>
      <c r="G1991" s="9" t="n">
        <v>24.94</v>
      </c>
      <c r="H1991" s="9" t="n">
        <v>24.94</v>
      </c>
      <c r="I1991" s="9" t="inlineStr">
        <is>
          <t>Depth (no MLB IP)</t>
        </is>
      </c>
      <c r="J1991" s="18" t="inlineStr">
        <is>
          <t>Opening Day</t>
        </is>
      </c>
      <c r="K1991" s="11">
        <f>IFERROR(INDEX(Roles!$B$17:$B$20,MATCH(J1991,Roles!$A$17:$A$20,0)),1)</f>
        <v/>
      </c>
      <c r="L1991" s="19" t="n">
        <v>1</v>
      </c>
      <c r="M1991" s="11" t="n">
        <v>1</v>
      </c>
      <c r="N1991" s="19" t="n"/>
      <c r="O1991" s="19" t="n"/>
      <c r="P1991" s="19" t="n"/>
      <c r="Q1991" s="19" t="n"/>
      <c r="R1991" s="19" t="n"/>
      <c r="S1991" s="19" t="n"/>
      <c r="T1991" s="19" t="n"/>
      <c r="U1991" s="19" t="n"/>
      <c r="V1991" s="19" t="n"/>
      <c r="W1991" s="19" t="n"/>
      <c r="X1991" s="19" t="n"/>
      <c r="Y1991" s="19" t="n">
        <v>1</v>
      </c>
      <c r="Z1991" s="13">
        <f>SUMPRODUCT(N1991:Y1991,$N$2:$Y$2)*$K1991*$L1991*$M1991</f>
        <v/>
      </c>
      <c r="AA1991" s="14">
        <f>SUM(N1991:Y1991)</f>
        <v/>
      </c>
      <c r="AB1991" s="13">
        <f>SUMPRODUCT(N1991:Y1991,$N$3:$Y$3)*$K1991*$L1991*$M1991</f>
        <v/>
      </c>
      <c r="AC1991" s="13">
        <f>SUMPRODUCT(N1991:Y1991,$N$4:$Y$4)*$K1991*$L1991*$M1991</f>
        <v/>
      </c>
      <c r="AD1991" s="15" t="n">
        <v>3</v>
      </c>
      <c r="AE1991" s="11" t="n">
        <v>1.011296296296296</v>
      </c>
      <c r="AF1991" s="16">
        <f>SUMPRODUCT(N1991:Y1991,$N$5:$Y$5)*$K1991*$L1991*$M1991</f>
        <v/>
      </c>
      <c r="AG1991" s="16">
        <f>SUMPRODUCT(N1991:Y1991,$N$6:$Y$6)*$K1991*$L1991*$M1991</f>
        <v/>
      </c>
      <c r="AH1991" s="20" t="n"/>
    </row>
    <row r="1992">
      <c r="A1992" s="9" t="n">
        <v>807636</v>
      </c>
      <c r="B1992" s="9" t="inlineStr">
        <is>
          <t>Dominic Scheffler</t>
        </is>
      </c>
      <c r="C1992" s="9" t="inlineStr">
        <is>
          <t>CIN</t>
        </is>
      </c>
      <c r="D1992" s="9" t="n">
        <v>25</v>
      </c>
      <c r="E1992" s="18" t="inlineStr">
        <is>
          <t>L</t>
        </is>
      </c>
      <c r="F1992" s="18" t="n"/>
      <c r="G1992" s="9" t="n">
        <v>24.94</v>
      </c>
      <c r="H1992" s="9" t="n">
        <v>24.94</v>
      </c>
      <c r="I1992" s="9" t="inlineStr">
        <is>
          <t>Depth (no MLB IP)</t>
        </is>
      </c>
      <c r="J1992" s="18" t="inlineStr">
        <is>
          <t>Opening Day</t>
        </is>
      </c>
      <c r="K1992" s="11">
        <f>IFERROR(INDEX(Roles!$B$17:$B$20,MATCH(J1992,Roles!$A$17:$A$20,0)),1)</f>
        <v/>
      </c>
      <c r="L1992" s="19" t="n">
        <v>1</v>
      </c>
      <c r="M1992" s="11" t="n">
        <v>1</v>
      </c>
      <c r="N1992" s="19" t="n"/>
      <c r="O1992" s="19" t="n"/>
      <c r="P1992" s="19" t="n"/>
      <c r="Q1992" s="19" t="n"/>
      <c r="R1992" s="19" t="n"/>
      <c r="S1992" s="19" t="n"/>
      <c r="T1992" s="19" t="n"/>
      <c r="U1992" s="19" t="n"/>
      <c r="V1992" s="19" t="n"/>
      <c r="W1992" s="19" t="n"/>
      <c r="X1992" s="19" t="n"/>
      <c r="Y1992" s="19" t="n">
        <v>1</v>
      </c>
      <c r="Z1992" s="13">
        <f>SUMPRODUCT(N1992:Y1992,$N$2:$Y$2)*$K1992*$L1992*$M1992</f>
        <v/>
      </c>
      <c r="AA1992" s="14">
        <f>SUM(N1992:Y1992)</f>
        <v/>
      </c>
      <c r="AB1992" s="13">
        <f>SUMPRODUCT(N1992:Y1992,$N$3:$Y$3)*$K1992*$L1992*$M1992</f>
        <v/>
      </c>
      <c r="AC1992" s="13">
        <f>SUMPRODUCT(N1992:Y1992,$N$4:$Y$4)*$K1992*$L1992*$M1992</f>
        <v/>
      </c>
      <c r="AD1992" s="15" t="n">
        <v>3</v>
      </c>
      <c r="AE1992" s="11" t="n">
        <v>1.011296296296296</v>
      </c>
      <c r="AF1992" s="16">
        <f>SUMPRODUCT(N1992:Y1992,$N$5:$Y$5)*$K1992*$L1992*$M1992</f>
        <v/>
      </c>
      <c r="AG1992" s="16">
        <f>SUMPRODUCT(N1992:Y1992,$N$6:$Y$6)*$K1992*$L1992*$M1992</f>
        <v/>
      </c>
      <c r="AH1992" s="20" t="n"/>
    </row>
    <row r="1993">
      <c r="A1993" s="9" t="n">
        <v>701808</v>
      </c>
      <c r="B1993" s="9" t="inlineStr">
        <is>
          <t>Cody Morse</t>
        </is>
      </c>
      <c r="C1993" s="9" t="inlineStr">
        <is>
          <t>LAD</t>
        </is>
      </c>
      <c r="D1993" s="9" t="n">
        <v>25</v>
      </c>
      <c r="E1993" s="18" t="inlineStr">
        <is>
          <t>L</t>
        </is>
      </c>
      <c r="F1993" s="18" t="n"/>
      <c r="G1993" s="9" t="n">
        <v>24.94</v>
      </c>
      <c r="H1993" s="9" t="n">
        <v>24.94</v>
      </c>
      <c r="I1993" s="9" t="inlineStr">
        <is>
          <t>Depth (no MLB IP)</t>
        </is>
      </c>
      <c r="J1993" s="18" t="inlineStr">
        <is>
          <t>Opening Day</t>
        </is>
      </c>
      <c r="K1993" s="11">
        <f>IFERROR(INDEX(Roles!$B$17:$B$20,MATCH(J1993,Roles!$A$17:$A$20,0)),1)</f>
        <v/>
      </c>
      <c r="L1993" s="19" t="n">
        <v>1</v>
      </c>
      <c r="M1993" s="11" t="n">
        <v>1</v>
      </c>
      <c r="N1993" s="19" t="n"/>
      <c r="O1993" s="19" t="n"/>
      <c r="P1993" s="19" t="n"/>
      <c r="Q1993" s="19" t="n"/>
      <c r="R1993" s="19" t="n"/>
      <c r="S1993" s="19" t="n"/>
      <c r="T1993" s="19" t="n"/>
      <c r="U1993" s="19" t="n"/>
      <c r="V1993" s="19" t="n"/>
      <c r="W1993" s="19" t="n"/>
      <c r="X1993" s="19" t="n"/>
      <c r="Y1993" s="19" t="n">
        <v>1</v>
      </c>
      <c r="Z1993" s="13">
        <f>SUMPRODUCT(N1993:Y1993,$N$2:$Y$2)*$K1993*$L1993*$M1993</f>
        <v/>
      </c>
      <c r="AA1993" s="14">
        <f>SUM(N1993:Y1993)</f>
        <v/>
      </c>
      <c r="AB1993" s="13">
        <f>SUMPRODUCT(N1993:Y1993,$N$3:$Y$3)*$K1993*$L1993*$M1993</f>
        <v/>
      </c>
      <c r="AC1993" s="13">
        <f>SUMPRODUCT(N1993:Y1993,$N$4:$Y$4)*$K1993*$L1993*$M1993</f>
        <v/>
      </c>
      <c r="AD1993" s="15" t="n">
        <v>3</v>
      </c>
      <c r="AE1993" s="11" t="n">
        <v>1.011296296296296</v>
      </c>
      <c r="AF1993" s="16">
        <f>SUMPRODUCT(N1993:Y1993,$N$5:$Y$5)*$K1993*$L1993*$M1993</f>
        <v/>
      </c>
      <c r="AG1993" s="16">
        <f>SUMPRODUCT(N1993:Y1993,$N$6:$Y$6)*$K1993*$L1993*$M1993</f>
        <v/>
      </c>
      <c r="AH1993" s="20" t="n"/>
    </row>
    <row r="1994">
      <c r="A1994" s="9" t="n">
        <v>838328</v>
      </c>
      <c r="B1994" s="9" t="inlineStr">
        <is>
          <t>Ray Cebulski</t>
        </is>
      </c>
      <c r="C1994" s="9" t="inlineStr">
        <is>
          <t>SEA</t>
        </is>
      </c>
      <c r="D1994" s="9" t="n">
        <v>25</v>
      </c>
      <c r="E1994" s="18" t="inlineStr">
        <is>
          <t>R</t>
        </is>
      </c>
      <c r="F1994" s="18" t="n"/>
      <c r="G1994" s="9" t="n">
        <v>24.94</v>
      </c>
      <c r="H1994" s="9" t="n">
        <v>24.94</v>
      </c>
      <c r="I1994" s="9" t="inlineStr">
        <is>
          <t>Depth (no MLB IP)</t>
        </is>
      </c>
      <c r="J1994" s="18" t="inlineStr">
        <is>
          <t>Opening Day</t>
        </is>
      </c>
      <c r="K1994" s="11">
        <f>IFERROR(INDEX(Roles!$B$17:$B$20,MATCH(J1994,Roles!$A$17:$A$20,0)),1)</f>
        <v/>
      </c>
      <c r="L1994" s="19" t="n">
        <v>1</v>
      </c>
      <c r="M1994" s="11" t="n">
        <v>1</v>
      </c>
      <c r="N1994" s="19" t="n"/>
      <c r="O1994" s="19" t="n"/>
      <c r="P1994" s="19" t="n"/>
      <c r="Q1994" s="19" t="n"/>
      <c r="R1994" s="19" t="n"/>
      <c r="S1994" s="19" t="n"/>
      <c r="T1994" s="19" t="n"/>
      <c r="U1994" s="19" t="n"/>
      <c r="V1994" s="19" t="n"/>
      <c r="W1994" s="19" t="n"/>
      <c r="X1994" s="19" t="n"/>
      <c r="Y1994" s="19" t="n">
        <v>1</v>
      </c>
      <c r="Z1994" s="13">
        <f>SUMPRODUCT(N1994:Y1994,$N$2:$Y$2)*$K1994*$L1994*$M1994</f>
        <v/>
      </c>
      <c r="AA1994" s="14">
        <f>SUM(N1994:Y1994)</f>
        <v/>
      </c>
      <c r="AB1994" s="13">
        <f>SUMPRODUCT(N1994:Y1994,$N$3:$Y$3)*$K1994*$L1994*$M1994</f>
        <v/>
      </c>
      <c r="AC1994" s="13">
        <f>SUMPRODUCT(N1994:Y1994,$N$4:$Y$4)*$K1994*$L1994*$M1994</f>
        <v/>
      </c>
      <c r="AD1994" s="15" t="n">
        <v>3</v>
      </c>
      <c r="AE1994" s="11" t="n">
        <v>1.011296296296296</v>
      </c>
      <c r="AF1994" s="16">
        <f>SUMPRODUCT(N1994:Y1994,$N$5:$Y$5)*$K1994*$L1994*$M1994</f>
        <v/>
      </c>
      <c r="AG1994" s="16">
        <f>SUMPRODUCT(N1994:Y1994,$N$6:$Y$6)*$K1994*$L1994*$M1994</f>
        <v/>
      </c>
      <c r="AH1994" s="20" t="n"/>
    </row>
    <row r="1995">
      <c r="A1995" s="9" t="n">
        <v>823810</v>
      </c>
      <c r="B1995" s="9" t="inlineStr">
        <is>
          <t>Reed Moring</t>
        </is>
      </c>
      <c r="C1995" s="9" t="inlineStr">
        <is>
          <t>MIN</t>
        </is>
      </c>
      <c r="D1995" s="9" t="n">
        <v>25</v>
      </c>
      <c r="E1995" s="18" t="inlineStr">
        <is>
          <t>R</t>
        </is>
      </c>
      <c r="F1995" s="18" t="n"/>
      <c r="G1995" s="9" t="n">
        <v>24.94</v>
      </c>
      <c r="H1995" s="9" t="n">
        <v>24.94</v>
      </c>
      <c r="I1995" s="9" t="inlineStr">
        <is>
          <t>Depth (no MLB IP)</t>
        </is>
      </c>
      <c r="J1995" s="18" t="inlineStr">
        <is>
          <t>Opening Day</t>
        </is>
      </c>
      <c r="K1995" s="11">
        <f>IFERROR(INDEX(Roles!$B$17:$B$20,MATCH(J1995,Roles!$A$17:$A$20,0)),1)</f>
        <v/>
      </c>
      <c r="L1995" s="19" t="n">
        <v>1</v>
      </c>
      <c r="M1995" s="11" t="n">
        <v>1</v>
      </c>
      <c r="N1995" s="19" t="n"/>
      <c r="O1995" s="19" t="n"/>
      <c r="P1995" s="19" t="n"/>
      <c r="Q1995" s="19" t="n"/>
      <c r="R1995" s="19" t="n"/>
      <c r="S1995" s="19" t="n"/>
      <c r="T1995" s="19" t="n"/>
      <c r="U1995" s="19" t="n"/>
      <c r="V1995" s="19" t="n"/>
      <c r="W1995" s="19" t="n"/>
      <c r="X1995" s="19" t="n"/>
      <c r="Y1995" s="19" t="n">
        <v>1</v>
      </c>
      <c r="Z1995" s="13">
        <f>SUMPRODUCT(N1995:Y1995,$N$2:$Y$2)*$K1995*$L1995*$M1995</f>
        <v/>
      </c>
      <c r="AA1995" s="14">
        <f>SUM(N1995:Y1995)</f>
        <v/>
      </c>
      <c r="AB1995" s="13">
        <f>SUMPRODUCT(N1995:Y1995,$N$3:$Y$3)*$K1995*$L1995*$M1995</f>
        <v/>
      </c>
      <c r="AC1995" s="13">
        <f>SUMPRODUCT(N1995:Y1995,$N$4:$Y$4)*$K1995*$L1995*$M1995</f>
        <v/>
      </c>
      <c r="AD1995" s="15" t="n">
        <v>3</v>
      </c>
      <c r="AE1995" s="11" t="n">
        <v>1.011296296296296</v>
      </c>
      <c r="AF1995" s="16">
        <f>SUMPRODUCT(N1995:Y1995,$N$5:$Y$5)*$K1995*$L1995*$M1995</f>
        <v/>
      </c>
      <c r="AG1995" s="16">
        <f>SUMPRODUCT(N1995:Y1995,$N$6:$Y$6)*$K1995*$L1995*$M1995</f>
        <v/>
      </c>
      <c r="AH1995" s="20" t="n"/>
    </row>
    <row r="1996">
      <c r="A1996" s="9" t="n">
        <v>681916</v>
      </c>
      <c r="B1996" s="9" t="inlineStr">
        <is>
          <t>Dylan Smith</t>
        </is>
      </c>
      <c r="C1996" s="9" t="inlineStr">
        <is>
          <t>SF</t>
        </is>
      </c>
      <c r="D1996" s="9" t="n">
        <v>27</v>
      </c>
      <c r="E1996" s="18" t="inlineStr">
        <is>
          <t>R</t>
        </is>
      </c>
      <c r="F1996" s="18" t="n"/>
      <c r="G1996" s="9" t="n">
        <v>177</v>
      </c>
      <c r="H1996" s="9" t="n">
        <v>225</v>
      </c>
      <c r="I1996" s="9" t="inlineStr">
        <is>
          <t>Closer</t>
        </is>
      </c>
      <c r="J1996" s="18" t="inlineStr">
        <is>
          <t>Opening Day</t>
        </is>
      </c>
      <c r="K1996" s="11">
        <f>IFERROR(INDEX(Roles!$B$17:$B$20,MATCH(J1996,Roles!$A$17:$A$20,0)),1)</f>
        <v/>
      </c>
      <c r="L1996" s="19" t="n">
        <v>1</v>
      </c>
      <c r="M1996" s="11" t="n">
        <v>1</v>
      </c>
      <c r="N1996" s="19" t="n"/>
      <c r="O1996" s="19" t="n"/>
      <c r="P1996" s="19" t="n"/>
      <c r="Q1996" s="19" t="n"/>
      <c r="R1996" s="19" t="n"/>
      <c r="S1996" s="19" t="n"/>
      <c r="T1996" s="19" t="n">
        <v>0.85</v>
      </c>
      <c r="U1996" s="19" t="n">
        <v>0.15</v>
      </c>
      <c r="V1996" s="19" t="n"/>
      <c r="W1996" s="19" t="n"/>
      <c r="X1996" s="19" t="n"/>
      <c r="Y1996" s="19" t="n"/>
      <c r="Z1996" s="13">
        <f>SUMPRODUCT(N1996:Y1996,$N$2:$Y$2)*$K1996*$L1996*$M1996</f>
        <v/>
      </c>
      <c r="AA1996" s="14">
        <f>SUM(N1996:Y1996)</f>
        <v/>
      </c>
      <c r="AB1996" s="13">
        <f>SUMPRODUCT(N1996:Y1996,$N$3:$Y$3)*$K1996*$L1996*$M1996</f>
        <v/>
      </c>
      <c r="AC1996" s="13">
        <f>SUMPRODUCT(N1996:Y1996,$N$4:$Y$4)*$K1996*$L1996*$M1996</f>
        <v/>
      </c>
      <c r="AD1996" s="15" t="n">
        <v>36.96</v>
      </c>
      <c r="AE1996" s="11" t="n">
        <v>1.014401640806135</v>
      </c>
      <c r="AF1996" s="16">
        <f>SUMPRODUCT(N1996:Y1996,$N$5:$Y$5)*$K1996*$L1996*$M1996</f>
        <v/>
      </c>
      <c r="AG1996" s="16">
        <f>SUMPRODUCT(N1996:Y1996,$N$6:$Y$6)*$K1996*$L1996*$M1996</f>
        <v/>
      </c>
      <c r="AH1996" s="20" t="n"/>
    </row>
    <row r="1997">
      <c r="A1997" s="9" t="n">
        <v>800338</v>
      </c>
      <c r="B1997" s="9" t="inlineStr">
        <is>
          <t>Franklin Gómez</t>
        </is>
      </c>
      <c r="C1997" s="9" t="inlineStr">
        <is>
          <t>CLE</t>
        </is>
      </c>
      <c r="D1997" s="9" t="n">
        <v>25</v>
      </c>
      <c r="E1997" s="18" t="inlineStr">
        <is>
          <t>L</t>
        </is>
      </c>
      <c r="F1997" s="18" t="n"/>
      <c r="G1997" s="9" t="n">
        <v>25.08333333333333</v>
      </c>
      <c r="H1997" s="9" t="n">
        <v>25.08333333333333</v>
      </c>
      <c r="I1997" s="9" t="inlineStr">
        <is>
          <t>Depth (no MLB IP)</t>
        </is>
      </c>
      <c r="J1997" s="18" t="inlineStr">
        <is>
          <t>Opening Day</t>
        </is>
      </c>
      <c r="K1997" s="11">
        <f>IFERROR(INDEX(Roles!$B$17:$B$20,MATCH(J1997,Roles!$A$17:$A$20,0)),1)</f>
        <v/>
      </c>
      <c r="L1997" s="19" t="n">
        <v>1</v>
      </c>
      <c r="M1997" s="11" t="n">
        <v>1</v>
      </c>
      <c r="N1997" s="19" t="n"/>
      <c r="O1997" s="19" t="n"/>
      <c r="P1997" s="19" t="n"/>
      <c r="Q1997" s="19" t="n"/>
      <c r="R1997" s="19" t="n"/>
      <c r="S1997" s="19" t="n"/>
      <c r="T1997" s="19" t="n"/>
      <c r="U1997" s="19" t="n"/>
      <c r="V1997" s="19" t="n"/>
      <c r="W1997" s="19" t="n"/>
      <c r="X1997" s="19" t="n"/>
      <c r="Y1997" s="19" t="n">
        <v>1</v>
      </c>
      <c r="Z1997" s="13">
        <f>SUMPRODUCT(N1997:Y1997,$N$2:$Y$2)*$K1997*$L1997*$M1997</f>
        <v/>
      </c>
      <c r="AA1997" s="14">
        <f>SUM(N1997:Y1997)</f>
        <v/>
      </c>
      <c r="AB1997" s="13">
        <f>SUMPRODUCT(N1997:Y1997,$N$3:$Y$3)*$K1997*$L1997*$M1997</f>
        <v/>
      </c>
      <c r="AC1997" s="13">
        <f>SUMPRODUCT(N1997:Y1997,$N$4:$Y$4)*$K1997*$L1997*$M1997</f>
        <v/>
      </c>
      <c r="AD1997" s="15" t="n">
        <v>3</v>
      </c>
      <c r="AE1997" s="11" t="n">
        <v>1.011296296296296</v>
      </c>
      <c r="AF1997" s="16">
        <f>SUMPRODUCT(N1997:Y1997,$N$5:$Y$5)*$K1997*$L1997*$M1997</f>
        <v/>
      </c>
      <c r="AG1997" s="16">
        <f>SUMPRODUCT(N1997:Y1997,$N$6:$Y$6)*$K1997*$L1997*$M1997</f>
        <v/>
      </c>
      <c r="AH1997" s="20" t="n"/>
    </row>
    <row r="1998">
      <c r="A1998" s="9" t="n">
        <v>691774</v>
      </c>
      <c r="B1998" s="9" t="inlineStr">
        <is>
          <t>Irv Carter</t>
        </is>
      </c>
      <c r="C1998" s="9" t="inlineStr">
        <is>
          <t>TOR</t>
        </is>
      </c>
      <c r="D1998" s="9" t="n">
        <v>25</v>
      </c>
      <c r="E1998" s="18" t="inlineStr">
        <is>
          <t>R</t>
        </is>
      </c>
      <c r="F1998" s="18" t="n"/>
      <c r="G1998" s="9" t="n">
        <v>25.08333333333333</v>
      </c>
      <c r="H1998" s="9" t="n">
        <v>25.08333333333333</v>
      </c>
      <c r="I1998" s="9" t="inlineStr">
        <is>
          <t>Depth (no MLB IP)</t>
        </is>
      </c>
      <c r="J1998" s="18" t="inlineStr">
        <is>
          <t>Opening Day</t>
        </is>
      </c>
      <c r="K1998" s="11">
        <f>IFERROR(INDEX(Roles!$B$17:$B$20,MATCH(J1998,Roles!$A$17:$A$20,0)),1)</f>
        <v/>
      </c>
      <c r="L1998" s="19" t="n">
        <v>1</v>
      </c>
      <c r="M1998" s="11" t="n">
        <v>1</v>
      </c>
      <c r="N1998" s="19" t="n"/>
      <c r="O1998" s="19" t="n"/>
      <c r="P1998" s="19" t="n"/>
      <c r="Q1998" s="19" t="n"/>
      <c r="R1998" s="19" t="n"/>
      <c r="S1998" s="19" t="n"/>
      <c r="T1998" s="19" t="n"/>
      <c r="U1998" s="19" t="n"/>
      <c r="V1998" s="19" t="n"/>
      <c r="W1998" s="19" t="n"/>
      <c r="X1998" s="19" t="n"/>
      <c r="Y1998" s="19" t="n">
        <v>1</v>
      </c>
      <c r="Z1998" s="13">
        <f>SUMPRODUCT(N1998:Y1998,$N$2:$Y$2)*$K1998*$L1998*$M1998</f>
        <v/>
      </c>
      <c r="AA1998" s="14">
        <f>SUM(N1998:Y1998)</f>
        <v/>
      </c>
      <c r="AB1998" s="13">
        <f>SUMPRODUCT(N1998:Y1998,$N$3:$Y$3)*$K1998*$L1998*$M1998</f>
        <v/>
      </c>
      <c r="AC1998" s="13">
        <f>SUMPRODUCT(N1998:Y1998,$N$4:$Y$4)*$K1998*$L1998*$M1998</f>
        <v/>
      </c>
      <c r="AD1998" s="15" t="n">
        <v>3</v>
      </c>
      <c r="AE1998" s="11" t="n">
        <v>1.011296296296296</v>
      </c>
      <c r="AF1998" s="16">
        <f>SUMPRODUCT(N1998:Y1998,$N$5:$Y$5)*$K1998*$L1998*$M1998</f>
        <v/>
      </c>
      <c r="AG1998" s="16">
        <f>SUMPRODUCT(N1998:Y1998,$N$6:$Y$6)*$K1998*$L1998*$M1998</f>
        <v/>
      </c>
      <c r="AH1998" s="20" t="n"/>
    </row>
    <row r="1999">
      <c r="A1999" s="9" t="n">
        <v>692663</v>
      </c>
      <c r="B1999" s="9" t="inlineStr">
        <is>
          <t>Jean Munoz</t>
        </is>
      </c>
      <c r="C1999" s="9" t="inlineStr">
        <is>
          <t>SEA</t>
        </is>
      </c>
      <c r="D1999" s="9" t="n">
        <v>25</v>
      </c>
      <c r="E1999" s="18" t="inlineStr">
        <is>
          <t>R</t>
        </is>
      </c>
      <c r="F1999" s="18" t="n"/>
      <c r="G1999" s="9" t="n">
        <v>25.112</v>
      </c>
      <c r="H1999" s="9" t="n">
        <v>25.112</v>
      </c>
      <c r="I1999" s="9" t="inlineStr">
        <is>
          <t>Depth (no MLB IP)</t>
        </is>
      </c>
      <c r="J1999" s="18" t="inlineStr">
        <is>
          <t>Opening Day</t>
        </is>
      </c>
      <c r="K1999" s="11">
        <f>IFERROR(INDEX(Roles!$B$17:$B$20,MATCH(J1999,Roles!$A$17:$A$20,0)),1)</f>
        <v/>
      </c>
      <c r="L1999" s="19" t="n">
        <v>1</v>
      </c>
      <c r="M1999" s="11" t="n">
        <v>1</v>
      </c>
      <c r="N1999" s="19" t="n"/>
      <c r="O1999" s="19" t="n"/>
      <c r="P1999" s="19" t="n"/>
      <c r="Q1999" s="19" t="n"/>
      <c r="R1999" s="19" t="n"/>
      <c r="S1999" s="19" t="n"/>
      <c r="T1999" s="19" t="n"/>
      <c r="U1999" s="19" t="n"/>
      <c r="V1999" s="19" t="n"/>
      <c r="W1999" s="19" t="n"/>
      <c r="X1999" s="19" t="n"/>
      <c r="Y1999" s="19" t="n">
        <v>1</v>
      </c>
      <c r="Z1999" s="13">
        <f>SUMPRODUCT(N1999:Y1999,$N$2:$Y$2)*$K1999*$L1999*$M1999</f>
        <v/>
      </c>
      <c r="AA1999" s="14">
        <f>SUM(N1999:Y1999)</f>
        <v/>
      </c>
      <c r="AB1999" s="13">
        <f>SUMPRODUCT(N1999:Y1999,$N$3:$Y$3)*$K1999*$L1999*$M1999</f>
        <v/>
      </c>
      <c r="AC1999" s="13">
        <f>SUMPRODUCT(N1999:Y1999,$N$4:$Y$4)*$K1999*$L1999*$M1999</f>
        <v/>
      </c>
      <c r="AD1999" s="15" t="n">
        <v>3</v>
      </c>
      <c r="AE1999" s="11" t="n">
        <v>1.011296296296296</v>
      </c>
      <c r="AF1999" s="16">
        <f>SUMPRODUCT(N1999:Y1999,$N$5:$Y$5)*$K1999*$L1999*$M1999</f>
        <v/>
      </c>
      <c r="AG1999" s="16">
        <f>SUMPRODUCT(N1999:Y1999,$N$6:$Y$6)*$K1999*$L1999*$M1999</f>
        <v/>
      </c>
      <c r="AH1999" s="20" t="n"/>
    </row>
    <row r="2000">
      <c r="A2000" s="9" t="n">
        <v>681324</v>
      </c>
      <c r="B2000" s="9" t="inlineStr">
        <is>
          <t>Chazz Martinez</t>
        </is>
      </c>
      <c r="C2000" s="9" t="inlineStr">
        <is>
          <t>KC</t>
        </is>
      </c>
      <c r="D2000" s="9" t="n">
        <v>25</v>
      </c>
      <c r="E2000" s="18" t="inlineStr">
        <is>
          <t>L</t>
        </is>
      </c>
      <c r="F2000" s="18" t="n"/>
      <c r="G2000" s="9" t="n">
        <v>25.22666666666667</v>
      </c>
      <c r="H2000" s="9" t="n">
        <v>25.22666666666667</v>
      </c>
      <c r="I2000" s="9" t="inlineStr">
        <is>
          <t>Depth (no MLB IP)</t>
        </is>
      </c>
      <c r="J2000" s="18" t="inlineStr">
        <is>
          <t>Opening Day</t>
        </is>
      </c>
      <c r="K2000" s="11">
        <f>IFERROR(INDEX(Roles!$B$17:$B$20,MATCH(J2000,Roles!$A$17:$A$20,0)),1)</f>
        <v/>
      </c>
      <c r="L2000" s="19" t="n">
        <v>1</v>
      </c>
      <c r="M2000" s="11" t="n">
        <v>1</v>
      </c>
      <c r="N2000" s="19" t="n"/>
      <c r="O2000" s="19" t="n"/>
      <c r="P2000" s="19" t="n"/>
      <c r="Q2000" s="19" t="n"/>
      <c r="R2000" s="19" t="n"/>
      <c r="S2000" s="19" t="n"/>
      <c r="T2000" s="19" t="n"/>
      <c r="U2000" s="19" t="n"/>
      <c r="V2000" s="19" t="n"/>
      <c r="W2000" s="19" t="n"/>
      <c r="X2000" s="19" t="n"/>
      <c r="Y2000" s="19" t="n">
        <v>1</v>
      </c>
      <c r="Z2000" s="13">
        <f>SUMPRODUCT(N2000:Y2000,$N$2:$Y$2)*$K2000*$L2000*$M2000</f>
        <v/>
      </c>
      <c r="AA2000" s="14">
        <f>SUM(N2000:Y2000)</f>
        <v/>
      </c>
      <c r="AB2000" s="13">
        <f>SUMPRODUCT(N2000:Y2000,$N$3:$Y$3)*$K2000*$L2000*$M2000</f>
        <v/>
      </c>
      <c r="AC2000" s="13">
        <f>SUMPRODUCT(N2000:Y2000,$N$4:$Y$4)*$K2000*$L2000*$M2000</f>
        <v/>
      </c>
      <c r="AD2000" s="15" t="n">
        <v>3</v>
      </c>
      <c r="AE2000" s="11" t="n">
        <v>1.011296296296296</v>
      </c>
      <c r="AF2000" s="16">
        <f>SUMPRODUCT(N2000:Y2000,$N$5:$Y$5)*$K2000*$L2000*$M2000</f>
        <v/>
      </c>
      <c r="AG2000" s="16">
        <f>SUMPRODUCT(N2000:Y2000,$N$6:$Y$6)*$K2000*$L2000*$M2000</f>
        <v/>
      </c>
      <c r="AH2000" s="20" t="n"/>
    </row>
    <row r="2001">
      <c r="A2001" s="9" t="n">
        <v>702047</v>
      </c>
      <c r="B2001" s="9" t="inlineStr">
        <is>
          <t>Alex Cook</t>
        </is>
      </c>
      <c r="C2001" s="9" t="inlineStr">
        <is>
          <t>TB</t>
        </is>
      </c>
      <c r="D2001" s="9" t="n">
        <v>26</v>
      </c>
      <c r="E2001" s="18" t="inlineStr">
        <is>
          <t>R</t>
        </is>
      </c>
      <c r="F2001" s="18" t="n"/>
      <c r="G2001" s="9" t="n">
        <v>24</v>
      </c>
      <c r="H2001" s="9" t="n">
        <v>24</v>
      </c>
      <c r="I2001" s="9" t="inlineStr">
        <is>
          <t>Depth (no MLB IP)</t>
        </is>
      </c>
      <c r="J2001" s="18" t="inlineStr">
        <is>
          <t>Opening Day</t>
        </is>
      </c>
      <c r="K2001" s="11">
        <f>IFERROR(INDEX(Roles!$B$17:$B$20,MATCH(J2001,Roles!$A$17:$A$20,0)),1)</f>
        <v/>
      </c>
      <c r="L2001" s="19" t="n">
        <v>1</v>
      </c>
      <c r="M2001" s="11" t="n">
        <v>1</v>
      </c>
      <c r="N2001" s="19" t="n"/>
      <c r="O2001" s="19" t="n"/>
      <c r="P2001" s="19" t="n"/>
      <c r="Q2001" s="19" t="n"/>
      <c r="R2001" s="19" t="n"/>
      <c r="S2001" s="19" t="n"/>
      <c r="T2001" s="19" t="n"/>
      <c r="U2001" s="19" t="n"/>
      <c r="V2001" s="19" t="n"/>
      <c r="W2001" s="19" t="n"/>
      <c r="X2001" s="19" t="n"/>
      <c r="Y2001" s="19" t="n">
        <v>1</v>
      </c>
      <c r="Z2001" s="13">
        <f>SUMPRODUCT(N2001:Y2001,$N$2:$Y$2)*$K2001*$L2001*$M2001</f>
        <v/>
      </c>
      <c r="AA2001" s="14">
        <f>SUM(N2001:Y2001)</f>
        <v/>
      </c>
      <c r="AB2001" s="13">
        <f>SUMPRODUCT(N2001:Y2001,$N$3:$Y$3)*$K2001*$L2001*$M2001</f>
        <v/>
      </c>
      <c r="AC2001" s="13">
        <f>SUMPRODUCT(N2001:Y2001,$N$4:$Y$4)*$K2001*$L2001*$M2001</f>
        <v/>
      </c>
      <c r="AD2001" s="15" t="n">
        <v>3.6</v>
      </c>
      <c r="AE2001" s="11" t="n">
        <v>1.14641975308642</v>
      </c>
      <c r="AF2001" s="16">
        <f>SUMPRODUCT(N2001:Y2001,$N$5:$Y$5)*$K2001*$L2001*$M2001</f>
        <v/>
      </c>
      <c r="AG2001" s="16">
        <f>SUMPRODUCT(N2001:Y2001,$N$6:$Y$6)*$K2001*$L2001*$M2001</f>
        <v/>
      </c>
      <c r="AH2001" s="20" t="n"/>
    </row>
    <row r="2002">
      <c r="A2002" s="9" t="n">
        <v>679702</v>
      </c>
      <c r="B2002" s="9" t="inlineStr">
        <is>
          <t>Daniel Harper</t>
        </is>
      </c>
      <c r="C2002" s="9" t="inlineStr">
        <is>
          <t>PHI</t>
        </is>
      </c>
      <c r="D2002" s="9" t="n">
        <v>25</v>
      </c>
      <c r="E2002" s="18" t="inlineStr">
        <is>
          <t>R</t>
        </is>
      </c>
      <c r="F2002" s="18" t="n"/>
      <c r="G2002" s="9" t="n">
        <v>25.22666666666667</v>
      </c>
      <c r="H2002" s="9" t="n">
        <v>25.22666666666667</v>
      </c>
      <c r="I2002" s="9" t="inlineStr">
        <is>
          <t>Depth (no MLB IP)</t>
        </is>
      </c>
      <c r="J2002" s="18" t="inlineStr">
        <is>
          <t>Opening Day</t>
        </is>
      </c>
      <c r="K2002" s="11">
        <f>IFERROR(INDEX(Roles!$B$17:$B$20,MATCH(J2002,Roles!$A$17:$A$20,0)),1)</f>
        <v/>
      </c>
      <c r="L2002" s="19" t="n">
        <v>1</v>
      </c>
      <c r="M2002" s="11" t="n">
        <v>1</v>
      </c>
      <c r="N2002" s="19" t="n"/>
      <c r="O2002" s="19" t="n"/>
      <c r="P2002" s="19" t="n"/>
      <c r="Q2002" s="19" t="n"/>
      <c r="R2002" s="19" t="n"/>
      <c r="S2002" s="19" t="n"/>
      <c r="T2002" s="19" t="n"/>
      <c r="U2002" s="19" t="n"/>
      <c r="V2002" s="19" t="n"/>
      <c r="W2002" s="19" t="n"/>
      <c r="X2002" s="19" t="n"/>
      <c r="Y2002" s="19" t="n">
        <v>1</v>
      </c>
      <c r="Z2002" s="13">
        <f>SUMPRODUCT(N2002:Y2002,$N$2:$Y$2)*$K2002*$L2002*$M2002</f>
        <v/>
      </c>
      <c r="AA2002" s="14">
        <f>SUM(N2002:Y2002)</f>
        <v/>
      </c>
      <c r="AB2002" s="13">
        <f>SUMPRODUCT(N2002:Y2002,$N$3:$Y$3)*$K2002*$L2002*$M2002</f>
        <v/>
      </c>
      <c r="AC2002" s="13">
        <f>SUMPRODUCT(N2002:Y2002,$N$4:$Y$4)*$K2002*$L2002*$M2002</f>
        <v/>
      </c>
      <c r="AD2002" s="15" t="n">
        <v>3</v>
      </c>
      <c r="AE2002" s="11" t="n">
        <v>1.011296296296296</v>
      </c>
      <c r="AF2002" s="16">
        <f>SUMPRODUCT(N2002:Y2002,$N$5:$Y$5)*$K2002*$L2002*$M2002</f>
        <v/>
      </c>
      <c r="AG2002" s="16">
        <f>SUMPRODUCT(N2002:Y2002,$N$6:$Y$6)*$K2002*$L2002*$M2002</f>
        <v/>
      </c>
      <c r="AH2002" s="20" t="n"/>
    </row>
    <row r="2003">
      <c r="A2003" s="9" t="n">
        <v>822836</v>
      </c>
      <c r="B2003" s="9" t="inlineStr">
        <is>
          <t>Dash Albus</t>
        </is>
      </c>
      <c r="C2003" s="9" t="inlineStr">
        <is>
          <t>KC</t>
        </is>
      </c>
      <c r="D2003" s="9" t="n">
        <v>25</v>
      </c>
      <c r="E2003" s="18" t="inlineStr">
        <is>
          <t>L</t>
        </is>
      </c>
      <c r="F2003" s="18" t="n"/>
      <c r="G2003" s="9" t="n">
        <v>25.22666666666667</v>
      </c>
      <c r="H2003" s="9" t="n">
        <v>25.22666666666667</v>
      </c>
      <c r="I2003" s="9" t="inlineStr">
        <is>
          <t>Depth (no MLB IP)</t>
        </is>
      </c>
      <c r="J2003" s="18" t="inlineStr">
        <is>
          <t>Opening Day</t>
        </is>
      </c>
      <c r="K2003" s="11">
        <f>IFERROR(INDEX(Roles!$B$17:$B$20,MATCH(J2003,Roles!$A$17:$A$20,0)),1)</f>
        <v/>
      </c>
      <c r="L2003" s="19" t="n">
        <v>1</v>
      </c>
      <c r="M2003" s="11" t="n">
        <v>1</v>
      </c>
      <c r="N2003" s="19" t="n"/>
      <c r="O2003" s="19" t="n"/>
      <c r="P2003" s="19" t="n"/>
      <c r="Q2003" s="19" t="n"/>
      <c r="R2003" s="19" t="n"/>
      <c r="S2003" s="19" t="n"/>
      <c r="T2003" s="19" t="n"/>
      <c r="U2003" s="19" t="n"/>
      <c r="V2003" s="19" t="n"/>
      <c r="W2003" s="19" t="n"/>
      <c r="X2003" s="19" t="n"/>
      <c r="Y2003" s="19" t="n">
        <v>1</v>
      </c>
      <c r="Z2003" s="13">
        <f>SUMPRODUCT(N2003:Y2003,$N$2:$Y$2)*$K2003*$L2003*$M2003</f>
        <v/>
      </c>
      <c r="AA2003" s="14">
        <f>SUM(N2003:Y2003)</f>
        <v/>
      </c>
      <c r="AB2003" s="13">
        <f>SUMPRODUCT(N2003:Y2003,$N$3:$Y$3)*$K2003*$L2003*$M2003</f>
        <v/>
      </c>
      <c r="AC2003" s="13">
        <f>SUMPRODUCT(N2003:Y2003,$N$4:$Y$4)*$K2003*$L2003*$M2003</f>
        <v/>
      </c>
      <c r="AD2003" s="15" t="n">
        <v>3</v>
      </c>
      <c r="AE2003" s="11" t="n">
        <v>1.011296296296296</v>
      </c>
      <c r="AF2003" s="16">
        <f>SUMPRODUCT(N2003:Y2003,$N$5:$Y$5)*$K2003*$L2003*$M2003</f>
        <v/>
      </c>
      <c r="AG2003" s="16">
        <f>SUMPRODUCT(N2003:Y2003,$N$6:$Y$6)*$K2003*$L2003*$M2003</f>
        <v/>
      </c>
      <c r="AH2003" s="20" t="n"/>
    </row>
    <row r="2004">
      <c r="A2004" s="9" t="n">
        <v>695308</v>
      </c>
      <c r="B2004" s="9" t="inlineStr">
        <is>
          <t>Paulshawn Pasqualotto</t>
        </is>
      </c>
      <c r="C2004" s="9" t="inlineStr">
        <is>
          <t>MIN</t>
        </is>
      </c>
      <c r="D2004" s="9" t="n">
        <v>25</v>
      </c>
      <c r="E2004" s="18" t="inlineStr">
        <is>
          <t>R</t>
        </is>
      </c>
      <c r="F2004" s="18" t="n"/>
      <c r="G2004" s="9" t="n">
        <v>25.22666666666667</v>
      </c>
      <c r="H2004" s="9" t="n">
        <v>25.22666666666667</v>
      </c>
      <c r="I2004" s="9" t="inlineStr">
        <is>
          <t>Depth (no MLB IP)</t>
        </is>
      </c>
      <c r="J2004" s="18" t="inlineStr">
        <is>
          <t>Opening Day</t>
        </is>
      </c>
      <c r="K2004" s="11">
        <f>IFERROR(INDEX(Roles!$B$17:$B$20,MATCH(J2004,Roles!$A$17:$A$20,0)),1)</f>
        <v/>
      </c>
      <c r="L2004" s="19" t="n">
        <v>1</v>
      </c>
      <c r="M2004" s="11" t="n">
        <v>1</v>
      </c>
      <c r="N2004" s="19" t="n"/>
      <c r="O2004" s="19" t="n"/>
      <c r="P2004" s="19" t="n"/>
      <c r="Q2004" s="19" t="n"/>
      <c r="R2004" s="19" t="n"/>
      <c r="S2004" s="19" t="n"/>
      <c r="T2004" s="19" t="n"/>
      <c r="U2004" s="19" t="n"/>
      <c r="V2004" s="19" t="n"/>
      <c r="W2004" s="19" t="n"/>
      <c r="X2004" s="19" t="n"/>
      <c r="Y2004" s="19" t="n">
        <v>1</v>
      </c>
      <c r="Z2004" s="13">
        <f>SUMPRODUCT(N2004:Y2004,$N$2:$Y$2)*$K2004*$L2004*$M2004</f>
        <v/>
      </c>
      <c r="AA2004" s="14">
        <f>SUM(N2004:Y2004)</f>
        <v/>
      </c>
      <c r="AB2004" s="13">
        <f>SUMPRODUCT(N2004:Y2004,$N$3:$Y$3)*$K2004*$L2004*$M2004</f>
        <v/>
      </c>
      <c r="AC2004" s="13">
        <f>SUMPRODUCT(N2004:Y2004,$N$4:$Y$4)*$K2004*$L2004*$M2004</f>
        <v/>
      </c>
      <c r="AD2004" s="15" t="n">
        <v>3</v>
      </c>
      <c r="AE2004" s="11" t="n">
        <v>1.011296296296296</v>
      </c>
      <c r="AF2004" s="16">
        <f>SUMPRODUCT(N2004:Y2004,$N$5:$Y$5)*$K2004*$L2004*$M2004</f>
        <v/>
      </c>
      <c r="AG2004" s="16">
        <f>SUMPRODUCT(N2004:Y2004,$N$6:$Y$6)*$K2004*$L2004*$M2004</f>
        <v/>
      </c>
      <c r="AH2004" s="20" t="n"/>
    </row>
    <row r="2005">
      <c r="A2005" s="9" t="n">
        <v>808260</v>
      </c>
      <c r="B2005" s="9" t="inlineStr">
        <is>
          <t>Eric Prado</t>
        </is>
      </c>
      <c r="C2005" s="9" t="inlineStr">
        <is>
          <t>MIL</t>
        </is>
      </c>
      <c r="D2005" s="9" t="n">
        <v>25</v>
      </c>
      <c r="E2005" s="18" t="inlineStr">
        <is>
          <t>R</t>
        </is>
      </c>
      <c r="F2005" s="18" t="n"/>
      <c r="G2005" s="9" t="n">
        <v>25.112</v>
      </c>
      <c r="H2005" s="9" t="n">
        <v>25.112</v>
      </c>
      <c r="I2005" s="9" t="inlineStr">
        <is>
          <t>Depth (no MLB IP)</t>
        </is>
      </c>
      <c r="J2005" s="18" t="inlineStr">
        <is>
          <t>Opening Day</t>
        </is>
      </c>
      <c r="K2005" s="11">
        <f>IFERROR(INDEX(Roles!$B$17:$B$20,MATCH(J2005,Roles!$A$17:$A$20,0)),1)</f>
        <v/>
      </c>
      <c r="L2005" s="19" t="n">
        <v>1</v>
      </c>
      <c r="M2005" s="11" t="n">
        <v>1</v>
      </c>
      <c r="N2005" s="19" t="n"/>
      <c r="O2005" s="19" t="n"/>
      <c r="P2005" s="19" t="n"/>
      <c r="Q2005" s="19" t="n"/>
      <c r="R2005" s="19" t="n"/>
      <c r="S2005" s="19" t="n"/>
      <c r="T2005" s="19" t="n"/>
      <c r="U2005" s="19" t="n"/>
      <c r="V2005" s="19" t="n"/>
      <c r="W2005" s="19" t="n"/>
      <c r="X2005" s="19" t="n"/>
      <c r="Y2005" s="19" t="n">
        <v>1</v>
      </c>
      <c r="Z2005" s="13">
        <f>SUMPRODUCT(N2005:Y2005,$N$2:$Y$2)*$K2005*$L2005*$M2005</f>
        <v/>
      </c>
      <c r="AA2005" s="14">
        <f>SUM(N2005:Y2005)</f>
        <v/>
      </c>
      <c r="AB2005" s="13">
        <f>SUMPRODUCT(N2005:Y2005,$N$3:$Y$3)*$K2005*$L2005*$M2005</f>
        <v/>
      </c>
      <c r="AC2005" s="13">
        <f>SUMPRODUCT(N2005:Y2005,$N$4:$Y$4)*$K2005*$L2005*$M2005</f>
        <v/>
      </c>
      <c r="AD2005" s="15" t="n">
        <v>3</v>
      </c>
      <c r="AE2005" s="11" t="n">
        <v>1.011296296296296</v>
      </c>
      <c r="AF2005" s="16">
        <f>SUMPRODUCT(N2005:Y2005,$N$5:$Y$5)*$K2005*$L2005*$M2005</f>
        <v/>
      </c>
      <c r="AG2005" s="16">
        <f>SUMPRODUCT(N2005:Y2005,$N$6:$Y$6)*$K2005*$L2005*$M2005</f>
        <v/>
      </c>
      <c r="AH2005" s="20" t="n"/>
    </row>
    <row r="2006">
      <c r="A2006" s="9" t="n">
        <v>623474</v>
      </c>
      <c r="B2006" s="9" t="inlineStr">
        <is>
          <t>Jimmy Herget</t>
        </is>
      </c>
      <c r="C2006" s="9" t="inlineStr">
        <is>
          <t>COL</t>
        </is>
      </c>
      <c r="D2006" s="9" t="n">
        <v>33</v>
      </c>
      <c r="E2006" s="18" t="inlineStr">
        <is>
          <t>R</t>
        </is>
      </c>
      <c r="F2006" s="18" t="n"/>
      <c r="G2006" s="9" t="n">
        <v>237</v>
      </c>
      <c r="H2006" s="9" t="n">
        <v>1029</v>
      </c>
      <c r="I2006" s="9" t="inlineStr">
        <is>
          <t>Late Inning RP (Setup)</t>
        </is>
      </c>
      <c r="J2006" s="18" t="inlineStr">
        <is>
          <t>Opening Day</t>
        </is>
      </c>
      <c r="K2006" s="11">
        <f>IFERROR(INDEX(Roles!$B$17:$B$20,MATCH(J2006,Roles!$A$17:$A$20,0)),1)</f>
        <v/>
      </c>
      <c r="L2006" s="19" t="n">
        <v>1</v>
      </c>
      <c r="M2006" s="11" t="n">
        <v>1</v>
      </c>
      <c r="N2006" s="19" t="n"/>
      <c r="O2006" s="19" t="n"/>
      <c r="P2006" s="19" t="n"/>
      <c r="Q2006" s="19" t="n"/>
      <c r="R2006" s="19" t="n"/>
      <c r="S2006" s="19" t="n"/>
      <c r="T2006" s="19" t="n"/>
      <c r="U2006" s="19" t="n">
        <v>0.6</v>
      </c>
      <c r="V2006" s="19" t="n">
        <v>0.4</v>
      </c>
      <c r="W2006" s="19" t="n"/>
      <c r="X2006" s="19" t="n"/>
      <c r="Y2006" s="19" t="n"/>
      <c r="Z2006" s="13">
        <f>SUMPRODUCT(N2006:Y2006,$N$2:$Y$2)*$K2006*$L2006*$M2006</f>
        <v/>
      </c>
      <c r="AA2006" s="14">
        <f>SUM(N2006:Y2006)</f>
        <v/>
      </c>
      <c r="AB2006" s="13">
        <f>SUMPRODUCT(N2006:Y2006,$N$3:$Y$3)*$K2006*$L2006*$M2006</f>
        <v/>
      </c>
      <c r="AC2006" s="13">
        <f>SUMPRODUCT(N2006:Y2006,$N$4:$Y$4)*$K2006*$L2006*$M2006</f>
        <v/>
      </c>
      <c r="AD2006" s="15" t="n">
        <v>47.1</v>
      </c>
      <c r="AE2006" s="11" t="n">
        <v>1.065934886499403</v>
      </c>
      <c r="AF2006" s="16">
        <f>SUMPRODUCT(N2006:Y2006,$N$5:$Y$5)*$K2006*$L2006*$M2006</f>
        <v/>
      </c>
      <c r="AG2006" s="16">
        <f>SUMPRODUCT(N2006:Y2006,$N$6:$Y$6)*$K2006*$L2006*$M2006</f>
        <v/>
      </c>
      <c r="AH2006" s="20" t="n"/>
    </row>
    <row r="2007">
      <c r="A2007" s="9" t="n">
        <v>811318</v>
      </c>
      <c r="B2007" s="9" t="inlineStr">
        <is>
          <t>Case Matter</t>
        </is>
      </c>
      <c r="C2007" s="9" t="inlineStr">
        <is>
          <t>TEX</t>
        </is>
      </c>
      <c r="D2007" s="9" t="n">
        <v>25</v>
      </c>
      <c r="E2007" s="18" t="inlineStr">
        <is>
          <t>R</t>
        </is>
      </c>
      <c r="F2007" s="18" t="n"/>
      <c r="G2007" s="9" t="n">
        <v>25.22666666666667</v>
      </c>
      <c r="H2007" s="9" t="n">
        <v>25.22666666666667</v>
      </c>
      <c r="I2007" s="9" t="inlineStr">
        <is>
          <t>Depth (no MLB IP)</t>
        </is>
      </c>
      <c r="J2007" s="18" t="inlineStr">
        <is>
          <t>Opening Day</t>
        </is>
      </c>
      <c r="K2007" s="11">
        <f>IFERROR(INDEX(Roles!$B$17:$B$20,MATCH(J2007,Roles!$A$17:$A$20,0)),1)</f>
        <v/>
      </c>
      <c r="L2007" s="19" t="n">
        <v>1</v>
      </c>
      <c r="M2007" s="11" t="n">
        <v>1</v>
      </c>
      <c r="N2007" s="19" t="n"/>
      <c r="O2007" s="19" t="n"/>
      <c r="P2007" s="19" t="n"/>
      <c r="Q2007" s="19" t="n"/>
      <c r="R2007" s="19" t="n"/>
      <c r="S2007" s="19" t="n"/>
      <c r="T2007" s="19" t="n"/>
      <c r="U2007" s="19" t="n"/>
      <c r="V2007" s="19" t="n"/>
      <c r="W2007" s="19" t="n"/>
      <c r="X2007" s="19" t="n"/>
      <c r="Y2007" s="19" t="n">
        <v>1</v>
      </c>
      <c r="Z2007" s="13">
        <f>SUMPRODUCT(N2007:Y2007,$N$2:$Y$2)*$K2007*$L2007*$M2007</f>
        <v/>
      </c>
      <c r="AA2007" s="14">
        <f>SUM(N2007:Y2007)</f>
        <v/>
      </c>
      <c r="AB2007" s="13">
        <f>SUMPRODUCT(N2007:Y2007,$N$3:$Y$3)*$K2007*$L2007*$M2007</f>
        <v/>
      </c>
      <c r="AC2007" s="13">
        <f>SUMPRODUCT(N2007:Y2007,$N$4:$Y$4)*$K2007*$L2007*$M2007</f>
        <v/>
      </c>
      <c r="AD2007" s="15" t="n">
        <v>3</v>
      </c>
      <c r="AE2007" s="11" t="n">
        <v>1.011296296296296</v>
      </c>
      <c r="AF2007" s="16">
        <f>SUMPRODUCT(N2007:Y2007,$N$5:$Y$5)*$K2007*$L2007*$M2007</f>
        <v/>
      </c>
      <c r="AG2007" s="16">
        <f>SUMPRODUCT(N2007:Y2007,$N$6:$Y$6)*$K2007*$L2007*$M2007</f>
        <v/>
      </c>
      <c r="AH2007" s="20" t="n"/>
    </row>
    <row r="2008">
      <c r="A2008" s="9" t="n">
        <v>805615</v>
      </c>
      <c r="B2008" s="9" t="inlineStr">
        <is>
          <t>Yeri Perez</t>
        </is>
      </c>
      <c r="C2008" s="9" t="inlineStr">
        <is>
          <t>KC</t>
        </is>
      </c>
      <c r="D2008" s="9" t="n">
        <v>25</v>
      </c>
      <c r="E2008" s="18" t="inlineStr">
        <is>
          <t>R</t>
        </is>
      </c>
      <c r="F2008" s="18" t="n"/>
      <c r="G2008" s="9" t="n">
        <v>25.284</v>
      </c>
      <c r="H2008" s="9" t="n">
        <v>25.284</v>
      </c>
      <c r="I2008" s="9" t="inlineStr">
        <is>
          <t>Depth (no MLB IP)</t>
        </is>
      </c>
      <c r="J2008" s="18" t="inlineStr">
        <is>
          <t>Opening Day</t>
        </is>
      </c>
      <c r="K2008" s="11">
        <f>IFERROR(INDEX(Roles!$B$17:$B$20,MATCH(J2008,Roles!$A$17:$A$20,0)),1)</f>
        <v/>
      </c>
      <c r="L2008" s="19" t="n">
        <v>1</v>
      </c>
      <c r="M2008" s="11" t="n">
        <v>1</v>
      </c>
      <c r="N2008" s="19" t="n"/>
      <c r="O2008" s="19" t="n"/>
      <c r="P2008" s="19" t="n"/>
      <c r="Q2008" s="19" t="n"/>
      <c r="R2008" s="19" t="n"/>
      <c r="S2008" s="19" t="n"/>
      <c r="T2008" s="19" t="n"/>
      <c r="U2008" s="19" t="n"/>
      <c r="V2008" s="19" t="n"/>
      <c r="W2008" s="19" t="n"/>
      <c r="X2008" s="19" t="n"/>
      <c r="Y2008" s="19" t="n">
        <v>1</v>
      </c>
      <c r="Z2008" s="13">
        <f>SUMPRODUCT(N2008:Y2008,$N$2:$Y$2)*$K2008*$L2008*$M2008</f>
        <v/>
      </c>
      <c r="AA2008" s="14">
        <f>SUM(N2008:Y2008)</f>
        <v/>
      </c>
      <c r="AB2008" s="13">
        <f>SUMPRODUCT(N2008:Y2008,$N$3:$Y$3)*$K2008*$L2008*$M2008</f>
        <v/>
      </c>
      <c r="AC2008" s="13">
        <f>SUMPRODUCT(N2008:Y2008,$N$4:$Y$4)*$K2008*$L2008*$M2008</f>
        <v/>
      </c>
      <c r="AD2008" s="15" t="n">
        <v>3</v>
      </c>
      <c r="AE2008" s="11" t="n">
        <v>1.011296296296296</v>
      </c>
      <c r="AF2008" s="16">
        <f>SUMPRODUCT(N2008:Y2008,$N$5:$Y$5)*$K2008*$L2008*$M2008</f>
        <v/>
      </c>
      <c r="AG2008" s="16">
        <f>SUMPRODUCT(N2008:Y2008,$N$6:$Y$6)*$K2008*$L2008*$M2008</f>
        <v/>
      </c>
      <c r="AH2008" s="20" t="n"/>
    </row>
    <row r="2009">
      <c r="A2009" s="9" t="n">
        <v>802709</v>
      </c>
      <c r="B2009" s="9" t="inlineStr">
        <is>
          <t>Adam Falinski</t>
        </is>
      </c>
      <c r="C2009" s="9" t="inlineStr">
        <is>
          <t>MIN</t>
        </is>
      </c>
      <c r="D2009" s="9" t="n">
        <v>25</v>
      </c>
      <c r="E2009" s="18" t="inlineStr">
        <is>
          <t>R</t>
        </is>
      </c>
      <c r="F2009" s="18" t="n"/>
      <c r="G2009" s="9" t="n">
        <v>25.22666666666667</v>
      </c>
      <c r="H2009" s="9" t="n">
        <v>25.22666666666667</v>
      </c>
      <c r="I2009" s="9" t="inlineStr">
        <is>
          <t>Depth (no MLB IP)</t>
        </is>
      </c>
      <c r="J2009" s="18" t="inlineStr">
        <is>
          <t>Opening Day</t>
        </is>
      </c>
      <c r="K2009" s="11">
        <f>IFERROR(INDEX(Roles!$B$17:$B$20,MATCH(J2009,Roles!$A$17:$A$20,0)),1)</f>
        <v/>
      </c>
      <c r="L2009" s="19" t="n">
        <v>1</v>
      </c>
      <c r="M2009" s="11" t="n">
        <v>1</v>
      </c>
      <c r="N2009" s="19" t="n"/>
      <c r="O2009" s="19" t="n"/>
      <c r="P2009" s="19" t="n"/>
      <c r="Q2009" s="19" t="n"/>
      <c r="R2009" s="19" t="n"/>
      <c r="S2009" s="19" t="n"/>
      <c r="T2009" s="19" t="n"/>
      <c r="U2009" s="19" t="n"/>
      <c r="V2009" s="19" t="n"/>
      <c r="W2009" s="19" t="n"/>
      <c r="X2009" s="19" t="n"/>
      <c r="Y2009" s="19" t="n">
        <v>1</v>
      </c>
      <c r="Z2009" s="13">
        <f>SUMPRODUCT(N2009:Y2009,$N$2:$Y$2)*$K2009*$L2009*$M2009</f>
        <v/>
      </c>
      <c r="AA2009" s="14">
        <f>SUM(N2009:Y2009)</f>
        <v/>
      </c>
      <c r="AB2009" s="13">
        <f>SUMPRODUCT(N2009:Y2009,$N$3:$Y$3)*$K2009*$L2009*$M2009</f>
        <v/>
      </c>
      <c r="AC2009" s="13">
        <f>SUMPRODUCT(N2009:Y2009,$N$4:$Y$4)*$K2009*$L2009*$M2009</f>
        <v/>
      </c>
      <c r="AD2009" s="15" t="n">
        <v>3</v>
      </c>
      <c r="AE2009" s="11" t="n">
        <v>1.011296296296296</v>
      </c>
      <c r="AF2009" s="16">
        <f>SUMPRODUCT(N2009:Y2009,$N$5:$Y$5)*$K2009*$L2009*$M2009</f>
        <v/>
      </c>
      <c r="AG2009" s="16">
        <f>SUMPRODUCT(N2009:Y2009,$N$6:$Y$6)*$K2009*$L2009*$M2009</f>
        <v/>
      </c>
      <c r="AH2009" s="20" t="n"/>
    </row>
    <row r="2010">
      <c r="A2010" s="9" t="n">
        <v>812745</v>
      </c>
      <c r="B2010" s="9" t="inlineStr">
        <is>
          <t>Javier Bartolozzi</t>
        </is>
      </c>
      <c r="C2010" s="9" t="inlineStr">
        <is>
          <t>LAD</t>
        </is>
      </c>
      <c r="D2010" s="9" t="n">
        <v>25</v>
      </c>
      <c r="E2010" s="18" t="inlineStr">
        <is>
          <t>R</t>
        </is>
      </c>
      <c r="F2010" s="18" t="n"/>
      <c r="G2010" s="9" t="n">
        <v>25.284</v>
      </c>
      <c r="H2010" s="9" t="n">
        <v>25.284</v>
      </c>
      <c r="I2010" s="9" t="inlineStr">
        <is>
          <t>Depth (no MLB IP)</t>
        </is>
      </c>
      <c r="J2010" s="18" t="inlineStr">
        <is>
          <t>Opening Day</t>
        </is>
      </c>
      <c r="K2010" s="11">
        <f>IFERROR(INDEX(Roles!$B$17:$B$20,MATCH(J2010,Roles!$A$17:$A$20,0)),1)</f>
        <v/>
      </c>
      <c r="L2010" s="19" t="n">
        <v>1</v>
      </c>
      <c r="M2010" s="11" t="n">
        <v>1</v>
      </c>
      <c r="N2010" s="19" t="n"/>
      <c r="O2010" s="19" t="n"/>
      <c r="P2010" s="19" t="n"/>
      <c r="Q2010" s="19" t="n"/>
      <c r="R2010" s="19" t="n"/>
      <c r="S2010" s="19" t="n"/>
      <c r="T2010" s="19" t="n"/>
      <c r="U2010" s="19" t="n"/>
      <c r="V2010" s="19" t="n"/>
      <c r="W2010" s="19" t="n"/>
      <c r="X2010" s="19" t="n"/>
      <c r="Y2010" s="19" t="n">
        <v>1</v>
      </c>
      <c r="Z2010" s="13">
        <f>SUMPRODUCT(N2010:Y2010,$N$2:$Y$2)*$K2010*$L2010*$M2010</f>
        <v/>
      </c>
      <c r="AA2010" s="14">
        <f>SUM(N2010:Y2010)</f>
        <v/>
      </c>
      <c r="AB2010" s="13">
        <f>SUMPRODUCT(N2010:Y2010,$N$3:$Y$3)*$K2010*$L2010*$M2010</f>
        <v/>
      </c>
      <c r="AC2010" s="13">
        <f>SUMPRODUCT(N2010:Y2010,$N$4:$Y$4)*$K2010*$L2010*$M2010</f>
        <v/>
      </c>
      <c r="AD2010" s="15" t="n">
        <v>3</v>
      </c>
      <c r="AE2010" s="11" t="n">
        <v>1.011296296296296</v>
      </c>
      <c r="AF2010" s="16">
        <f>SUMPRODUCT(N2010:Y2010,$N$5:$Y$5)*$K2010*$L2010*$M2010</f>
        <v/>
      </c>
      <c r="AG2010" s="16">
        <f>SUMPRODUCT(N2010:Y2010,$N$6:$Y$6)*$K2010*$L2010*$M2010</f>
        <v/>
      </c>
      <c r="AH2010" s="20" t="n"/>
    </row>
    <row r="2011">
      <c r="A2011" s="9" t="n">
        <v>702612</v>
      </c>
      <c r="B2011" s="9" t="inlineStr">
        <is>
          <t>Levi Huesman</t>
        </is>
      </c>
      <c r="C2011" s="9" t="inlineStr">
        <is>
          <t>WSH</t>
        </is>
      </c>
      <c r="D2011" s="9" t="n">
        <v>25</v>
      </c>
      <c r="E2011" s="18" t="inlineStr">
        <is>
          <t>L</t>
        </is>
      </c>
      <c r="F2011" s="18" t="n"/>
      <c r="G2011" s="9" t="n">
        <v>25.456</v>
      </c>
      <c r="H2011" s="9" t="n">
        <v>25.456</v>
      </c>
      <c r="I2011" s="9" t="inlineStr">
        <is>
          <t>Depth (no MLB IP)</t>
        </is>
      </c>
      <c r="J2011" s="18" t="inlineStr">
        <is>
          <t>Opening Day</t>
        </is>
      </c>
      <c r="K2011" s="11">
        <f>IFERROR(INDEX(Roles!$B$17:$B$20,MATCH(J2011,Roles!$A$17:$A$20,0)),1)</f>
        <v/>
      </c>
      <c r="L2011" s="19" t="n">
        <v>1</v>
      </c>
      <c r="M2011" s="11" t="n">
        <v>1</v>
      </c>
      <c r="N2011" s="19" t="n"/>
      <c r="O2011" s="19" t="n"/>
      <c r="P2011" s="19" t="n"/>
      <c r="Q2011" s="19" t="n"/>
      <c r="R2011" s="19" t="n"/>
      <c r="S2011" s="19" t="n"/>
      <c r="T2011" s="19" t="n"/>
      <c r="U2011" s="19" t="n"/>
      <c r="V2011" s="19" t="n"/>
      <c r="W2011" s="19" t="n"/>
      <c r="X2011" s="19" t="n"/>
      <c r="Y2011" s="19" t="n">
        <v>1</v>
      </c>
      <c r="Z2011" s="13">
        <f>SUMPRODUCT(N2011:Y2011,$N$2:$Y$2)*$K2011*$L2011*$M2011</f>
        <v/>
      </c>
      <c r="AA2011" s="14">
        <f>SUM(N2011:Y2011)</f>
        <v/>
      </c>
      <c r="AB2011" s="13">
        <f>SUMPRODUCT(N2011:Y2011,$N$3:$Y$3)*$K2011*$L2011*$M2011</f>
        <v/>
      </c>
      <c r="AC2011" s="13">
        <f>SUMPRODUCT(N2011:Y2011,$N$4:$Y$4)*$K2011*$L2011*$M2011</f>
        <v/>
      </c>
      <c r="AD2011" s="15" t="n">
        <v>3</v>
      </c>
      <c r="AE2011" s="11" t="n">
        <v>1.011296296296296</v>
      </c>
      <c r="AF2011" s="16">
        <f>SUMPRODUCT(N2011:Y2011,$N$5:$Y$5)*$K2011*$L2011*$M2011</f>
        <v/>
      </c>
      <c r="AG2011" s="16">
        <f>SUMPRODUCT(N2011:Y2011,$N$6:$Y$6)*$K2011*$L2011*$M2011</f>
        <v/>
      </c>
      <c r="AH2011" s="20" t="n"/>
    </row>
    <row r="2012">
      <c r="A2012" s="9" t="n">
        <v>815101</v>
      </c>
      <c r="B2012" s="9" t="inlineStr">
        <is>
          <t>Anthony Patterson III</t>
        </is>
      </c>
      <c r="C2012" s="9" t="inlineStr">
        <is>
          <t>CWS</t>
        </is>
      </c>
      <c r="D2012" s="9" t="n">
        <v>25</v>
      </c>
      <c r="E2012" s="18" t="inlineStr">
        <is>
          <t>R</t>
        </is>
      </c>
      <c r="F2012" s="18" t="n"/>
      <c r="G2012" s="9" t="n">
        <v>25.456</v>
      </c>
      <c r="H2012" s="9" t="n">
        <v>25.456</v>
      </c>
      <c r="I2012" s="9" t="inlineStr">
        <is>
          <t>Depth (no MLB IP)</t>
        </is>
      </c>
      <c r="J2012" s="18" t="inlineStr">
        <is>
          <t>Opening Day</t>
        </is>
      </c>
      <c r="K2012" s="11">
        <f>IFERROR(INDEX(Roles!$B$17:$B$20,MATCH(J2012,Roles!$A$17:$A$20,0)),1)</f>
        <v/>
      </c>
      <c r="L2012" s="19" t="n">
        <v>1</v>
      </c>
      <c r="M2012" s="11" t="n">
        <v>1</v>
      </c>
      <c r="N2012" s="19" t="n"/>
      <c r="O2012" s="19" t="n"/>
      <c r="P2012" s="19" t="n"/>
      <c r="Q2012" s="19" t="n"/>
      <c r="R2012" s="19" t="n"/>
      <c r="S2012" s="19" t="n"/>
      <c r="T2012" s="19" t="n"/>
      <c r="U2012" s="19" t="n"/>
      <c r="V2012" s="19" t="n"/>
      <c r="W2012" s="19" t="n"/>
      <c r="X2012" s="19" t="n"/>
      <c r="Y2012" s="19" t="n">
        <v>1</v>
      </c>
      <c r="Z2012" s="13">
        <f>SUMPRODUCT(N2012:Y2012,$N$2:$Y$2)*$K2012*$L2012*$M2012</f>
        <v/>
      </c>
      <c r="AA2012" s="14">
        <f>SUM(N2012:Y2012)</f>
        <v/>
      </c>
      <c r="AB2012" s="13">
        <f>SUMPRODUCT(N2012:Y2012,$N$3:$Y$3)*$K2012*$L2012*$M2012</f>
        <v/>
      </c>
      <c r="AC2012" s="13">
        <f>SUMPRODUCT(N2012:Y2012,$N$4:$Y$4)*$K2012*$L2012*$M2012</f>
        <v/>
      </c>
      <c r="AD2012" s="15" t="n">
        <v>3</v>
      </c>
      <c r="AE2012" s="11" t="n">
        <v>1.011296296296296</v>
      </c>
      <c r="AF2012" s="16">
        <f>SUMPRODUCT(N2012:Y2012,$N$5:$Y$5)*$K2012*$L2012*$M2012</f>
        <v/>
      </c>
      <c r="AG2012" s="16">
        <f>SUMPRODUCT(N2012:Y2012,$N$6:$Y$6)*$K2012*$L2012*$M2012</f>
        <v/>
      </c>
      <c r="AH2012" s="20" t="n"/>
    </row>
    <row r="2013">
      <c r="A2013" s="9" t="n">
        <v>681854</v>
      </c>
      <c r="B2013" s="9" t="inlineStr">
        <is>
          <t>Connor Van Scoyoc</t>
        </is>
      </c>
      <c r="C2013" s="9" t="inlineStr">
        <is>
          <t>WSH</t>
        </is>
      </c>
      <c r="D2013" s="9" t="n">
        <v>25</v>
      </c>
      <c r="E2013" s="18" t="inlineStr">
        <is>
          <t>R</t>
        </is>
      </c>
      <c r="F2013" s="18" t="n"/>
      <c r="G2013" s="9" t="n">
        <v>25.22666666666667</v>
      </c>
      <c r="H2013" s="9" t="n">
        <v>25.22666666666667</v>
      </c>
      <c r="I2013" s="9" t="inlineStr">
        <is>
          <t>Depth (no MLB IP)</t>
        </is>
      </c>
      <c r="J2013" s="18" t="inlineStr">
        <is>
          <t>Opening Day</t>
        </is>
      </c>
      <c r="K2013" s="11">
        <f>IFERROR(INDEX(Roles!$B$17:$B$20,MATCH(J2013,Roles!$A$17:$A$20,0)),1)</f>
        <v/>
      </c>
      <c r="L2013" s="19" t="n">
        <v>1</v>
      </c>
      <c r="M2013" s="11" t="n">
        <v>1</v>
      </c>
      <c r="N2013" s="19" t="n"/>
      <c r="O2013" s="19" t="n"/>
      <c r="P2013" s="19" t="n"/>
      <c r="Q2013" s="19" t="n"/>
      <c r="R2013" s="19" t="n"/>
      <c r="S2013" s="19" t="n"/>
      <c r="T2013" s="19" t="n"/>
      <c r="U2013" s="19" t="n"/>
      <c r="V2013" s="19" t="n"/>
      <c r="W2013" s="19" t="n"/>
      <c r="X2013" s="19" t="n"/>
      <c r="Y2013" s="19" t="n">
        <v>1</v>
      </c>
      <c r="Z2013" s="13">
        <f>SUMPRODUCT(N2013:Y2013,$N$2:$Y$2)*$K2013*$L2013*$M2013</f>
        <v/>
      </c>
      <c r="AA2013" s="14">
        <f>SUM(N2013:Y2013)</f>
        <v/>
      </c>
      <c r="AB2013" s="13">
        <f>SUMPRODUCT(N2013:Y2013,$N$3:$Y$3)*$K2013*$L2013*$M2013</f>
        <v/>
      </c>
      <c r="AC2013" s="13">
        <f>SUMPRODUCT(N2013:Y2013,$N$4:$Y$4)*$K2013*$L2013*$M2013</f>
        <v/>
      </c>
      <c r="AD2013" s="15" t="n">
        <v>3</v>
      </c>
      <c r="AE2013" s="11" t="n">
        <v>1.011296296296296</v>
      </c>
      <c r="AF2013" s="16">
        <f>SUMPRODUCT(N2013:Y2013,$N$5:$Y$5)*$K2013*$L2013*$M2013</f>
        <v/>
      </c>
      <c r="AG2013" s="16">
        <f>SUMPRODUCT(N2013:Y2013,$N$6:$Y$6)*$K2013*$L2013*$M2013</f>
        <v/>
      </c>
      <c r="AH2013" s="20" t="n"/>
    </row>
    <row r="2014">
      <c r="A2014" s="9" t="n">
        <v>807974</v>
      </c>
      <c r="B2014" s="9" t="inlineStr">
        <is>
          <t>Adrian Bohorquez</t>
        </is>
      </c>
      <c r="C2014" s="9" t="inlineStr">
        <is>
          <t>MIN</t>
        </is>
      </c>
      <c r="D2014" s="9" t="n">
        <v>25</v>
      </c>
      <c r="E2014" s="18" t="inlineStr">
        <is>
          <t>R</t>
        </is>
      </c>
      <c r="F2014" s="18" t="n"/>
      <c r="G2014" s="9" t="n">
        <v>25.585</v>
      </c>
      <c r="H2014" s="9" t="n">
        <v>25.585</v>
      </c>
      <c r="I2014" s="9" t="inlineStr">
        <is>
          <t>Depth (no MLB IP)</t>
        </is>
      </c>
      <c r="J2014" s="18" t="inlineStr">
        <is>
          <t>Opening Day</t>
        </is>
      </c>
      <c r="K2014" s="11">
        <f>IFERROR(INDEX(Roles!$B$17:$B$20,MATCH(J2014,Roles!$A$17:$A$20,0)),1)</f>
        <v/>
      </c>
      <c r="L2014" s="19" t="n">
        <v>1</v>
      </c>
      <c r="M2014" s="11" t="n">
        <v>1</v>
      </c>
      <c r="N2014" s="19" t="n"/>
      <c r="O2014" s="19" t="n"/>
      <c r="P2014" s="19" t="n"/>
      <c r="Q2014" s="19" t="n"/>
      <c r="R2014" s="19" t="n"/>
      <c r="S2014" s="19" t="n"/>
      <c r="T2014" s="19" t="n"/>
      <c r="U2014" s="19" t="n"/>
      <c r="V2014" s="19" t="n"/>
      <c r="W2014" s="19" t="n"/>
      <c r="X2014" s="19" t="n"/>
      <c r="Y2014" s="19" t="n">
        <v>1</v>
      </c>
      <c r="Z2014" s="13">
        <f>SUMPRODUCT(N2014:Y2014,$N$2:$Y$2)*$K2014*$L2014*$M2014</f>
        <v/>
      </c>
      <c r="AA2014" s="14">
        <f>SUM(N2014:Y2014)</f>
        <v/>
      </c>
      <c r="AB2014" s="13">
        <f>SUMPRODUCT(N2014:Y2014,$N$3:$Y$3)*$K2014*$L2014*$M2014</f>
        <v/>
      </c>
      <c r="AC2014" s="13">
        <f>SUMPRODUCT(N2014:Y2014,$N$4:$Y$4)*$K2014*$L2014*$M2014</f>
        <v/>
      </c>
      <c r="AD2014" s="15" t="n">
        <v>3</v>
      </c>
      <c r="AE2014" s="11" t="n">
        <v>1.011296296296296</v>
      </c>
      <c r="AF2014" s="16">
        <f>SUMPRODUCT(N2014:Y2014,$N$5:$Y$5)*$K2014*$L2014*$M2014</f>
        <v/>
      </c>
      <c r="AG2014" s="16">
        <f>SUMPRODUCT(N2014:Y2014,$N$6:$Y$6)*$K2014*$L2014*$M2014</f>
        <v/>
      </c>
      <c r="AH2014" s="20" t="n"/>
    </row>
    <row r="2015">
      <c r="A2015" s="9" t="n">
        <v>832307</v>
      </c>
      <c r="B2015" s="9" t="inlineStr">
        <is>
          <t>Jack Kartsonas</t>
        </is>
      </c>
      <c r="C2015" s="9" t="inlineStr">
        <is>
          <t>TB</t>
        </is>
      </c>
      <c r="D2015" s="9" t="n">
        <v>25</v>
      </c>
      <c r="E2015" s="18" t="inlineStr">
        <is>
          <t>R</t>
        </is>
      </c>
      <c r="F2015" s="18" t="n"/>
      <c r="G2015" s="9" t="n">
        <v>25.585</v>
      </c>
      <c r="H2015" s="9" t="n">
        <v>25.585</v>
      </c>
      <c r="I2015" s="9" t="inlineStr">
        <is>
          <t>Depth (no MLB IP)</t>
        </is>
      </c>
      <c r="J2015" s="18" t="inlineStr">
        <is>
          <t>Opening Day</t>
        </is>
      </c>
      <c r="K2015" s="11">
        <f>IFERROR(INDEX(Roles!$B$17:$B$20,MATCH(J2015,Roles!$A$17:$A$20,0)),1)</f>
        <v/>
      </c>
      <c r="L2015" s="19" t="n">
        <v>1</v>
      </c>
      <c r="M2015" s="11" t="n">
        <v>1</v>
      </c>
      <c r="N2015" s="19" t="n"/>
      <c r="O2015" s="19" t="n"/>
      <c r="P2015" s="19" t="n"/>
      <c r="Q2015" s="19" t="n"/>
      <c r="R2015" s="19" t="n"/>
      <c r="S2015" s="19" t="n"/>
      <c r="T2015" s="19" t="n"/>
      <c r="U2015" s="19" t="n"/>
      <c r="V2015" s="19" t="n"/>
      <c r="W2015" s="19" t="n"/>
      <c r="X2015" s="19" t="n"/>
      <c r="Y2015" s="19" t="n">
        <v>1</v>
      </c>
      <c r="Z2015" s="13">
        <f>SUMPRODUCT(N2015:Y2015,$N$2:$Y$2)*$K2015*$L2015*$M2015</f>
        <v/>
      </c>
      <c r="AA2015" s="14">
        <f>SUM(N2015:Y2015)</f>
        <v/>
      </c>
      <c r="AB2015" s="13">
        <f>SUMPRODUCT(N2015:Y2015,$N$3:$Y$3)*$K2015*$L2015*$M2015</f>
        <v/>
      </c>
      <c r="AC2015" s="13">
        <f>SUMPRODUCT(N2015:Y2015,$N$4:$Y$4)*$K2015*$L2015*$M2015</f>
        <v/>
      </c>
      <c r="AD2015" s="15" t="n">
        <v>3</v>
      </c>
      <c r="AE2015" s="11" t="n">
        <v>1.011296296296296</v>
      </c>
      <c r="AF2015" s="16">
        <f>SUMPRODUCT(N2015:Y2015,$N$5:$Y$5)*$K2015*$L2015*$M2015</f>
        <v/>
      </c>
      <c r="AG2015" s="16">
        <f>SUMPRODUCT(N2015:Y2015,$N$6:$Y$6)*$K2015*$L2015*$M2015</f>
        <v/>
      </c>
      <c r="AH2015" s="20" t="n"/>
    </row>
    <row r="2016">
      <c r="A2016" s="9" t="n">
        <v>692369</v>
      </c>
      <c r="B2016" s="9" t="inlineStr">
        <is>
          <t>José Davila</t>
        </is>
      </c>
      <c r="C2016" s="9" t="inlineStr">
        <is>
          <t>STL</t>
        </is>
      </c>
      <c r="D2016" s="9" t="n">
        <v>25</v>
      </c>
      <c r="E2016" s="18" t="inlineStr">
        <is>
          <t>R</t>
        </is>
      </c>
      <c r="F2016" s="18" t="n"/>
      <c r="G2016" s="9" t="n">
        <v>25.585</v>
      </c>
      <c r="H2016" s="9" t="n">
        <v>25.585</v>
      </c>
      <c r="I2016" s="9" t="inlineStr">
        <is>
          <t>Depth (no MLB IP)</t>
        </is>
      </c>
      <c r="J2016" s="18" t="inlineStr">
        <is>
          <t>Opening Day</t>
        </is>
      </c>
      <c r="K2016" s="11">
        <f>IFERROR(INDEX(Roles!$B$17:$B$20,MATCH(J2016,Roles!$A$17:$A$20,0)),1)</f>
        <v/>
      </c>
      <c r="L2016" s="19" t="n">
        <v>1</v>
      </c>
      <c r="M2016" s="11" t="n">
        <v>1</v>
      </c>
      <c r="N2016" s="19" t="n"/>
      <c r="O2016" s="19" t="n"/>
      <c r="P2016" s="19" t="n"/>
      <c r="Q2016" s="19" t="n"/>
      <c r="R2016" s="19" t="n"/>
      <c r="S2016" s="19" t="n"/>
      <c r="T2016" s="19" t="n"/>
      <c r="U2016" s="19" t="n"/>
      <c r="V2016" s="19" t="n"/>
      <c r="W2016" s="19" t="n"/>
      <c r="X2016" s="19" t="n"/>
      <c r="Y2016" s="19" t="n">
        <v>1</v>
      </c>
      <c r="Z2016" s="13">
        <f>SUMPRODUCT(N2016:Y2016,$N$2:$Y$2)*$K2016*$L2016*$M2016</f>
        <v/>
      </c>
      <c r="AA2016" s="14">
        <f>SUM(N2016:Y2016)</f>
        <v/>
      </c>
      <c r="AB2016" s="13">
        <f>SUMPRODUCT(N2016:Y2016,$N$3:$Y$3)*$K2016*$L2016*$M2016</f>
        <v/>
      </c>
      <c r="AC2016" s="13">
        <f>SUMPRODUCT(N2016:Y2016,$N$4:$Y$4)*$K2016*$L2016*$M2016</f>
        <v/>
      </c>
      <c r="AD2016" s="15" t="n">
        <v>3</v>
      </c>
      <c r="AE2016" s="11" t="n">
        <v>1.011296296296296</v>
      </c>
      <c r="AF2016" s="16">
        <f>SUMPRODUCT(N2016:Y2016,$N$5:$Y$5)*$K2016*$L2016*$M2016</f>
        <v/>
      </c>
      <c r="AG2016" s="16">
        <f>SUMPRODUCT(N2016:Y2016,$N$6:$Y$6)*$K2016*$L2016*$M2016</f>
        <v/>
      </c>
      <c r="AH2016" s="20" t="n"/>
    </row>
    <row r="2017">
      <c r="A2017" s="9" t="n">
        <v>823862</v>
      </c>
      <c r="B2017" s="9" t="inlineStr">
        <is>
          <t>Angel Perez</t>
        </is>
      </c>
      <c r="C2017" s="9" t="inlineStr">
        <is>
          <t>CLE</t>
        </is>
      </c>
      <c r="D2017" s="9" t="n">
        <v>25</v>
      </c>
      <c r="E2017" s="18" t="inlineStr">
        <is>
          <t>R</t>
        </is>
      </c>
      <c r="F2017" s="18" t="n"/>
      <c r="G2017" s="9" t="n">
        <v>25.628</v>
      </c>
      <c r="H2017" s="9" t="n">
        <v>25.628</v>
      </c>
      <c r="I2017" s="9" t="inlineStr">
        <is>
          <t>Depth (no MLB IP)</t>
        </is>
      </c>
      <c r="J2017" s="18" t="inlineStr">
        <is>
          <t>Opening Day</t>
        </is>
      </c>
      <c r="K2017" s="11">
        <f>IFERROR(INDEX(Roles!$B$17:$B$20,MATCH(J2017,Roles!$A$17:$A$20,0)),1)</f>
        <v/>
      </c>
      <c r="L2017" s="19" t="n">
        <v>1</v>
      </c>
      <c r="M2017" s="11" t="n">
        <v>1</v>
      </c>
      <c r="N2017" s="19" t="n"/>
      <c r="O2017" s="19" t="n"/>
      <c r="P2017" s="19" t="n"/>
      <c r="Q2017" s="19" t="n"/>
      <c r="R2017" s="19" t="n"/>
      <c r="S2017" s="19" t="n"/>
      <c r="T2017" s="19" t="n"/>
      <c r="U2017" s="19" t="n"/>
      <c r="V2017" s="19" t="n"/>
      <c r="W2017" s="19" t="n"/>
      <c r="X2017" s="19" t="n"/>
      <c r="Y2017" s="19" t="n">
        <v>1</v>
      </c>
      <c r="Z2017" s="13">
        <f>SUMPRODUCT(N2017:Y2017,$N$2:$Y$2)*$K2017*$L2017*$M2017</f>
        <v/>
      </c>
      <c r="AA2017" s="14">
        <f>SUM(N2017:Y2017)</f>
        <v/>
      </c>
      <c r="AB2017" s="13">
        <f>SUMPRODUCT(N2017:Y2017,$N$3:$Y$3)*$K2017*$L2017*$M2017</f>
        <v/>
      </c>
      <c r="AC2017" s="13">
        <f>SUMPRODUCT(N2017:Y2017,$N$4:$Y$4)*$K2017*$L2017*$M2017</f>
        <v/>
      </c>
      <c r="AD2017" s="15" t="n">
        <v>3</v>
      </c>
      <c r="AE2017" s="11" t="n">
        <v>1.011296296296296</v>
      </c>
      <c r="AF2017" s="16">
        <f>SUMPRODUCT(N2017:Y2017,$N$5:$Y$5)*$K2017*$L2017*$M2017</f>
        <v/>
      </c>
      <c r="AG2017" s="16">
        <f>SUMPRODUCT(N2017:Y2017,$N$6:$Y$6)*$K2017*$L2017*$M2017</f>
        <v/>
      </c>
      <c r="AH2017" s="20" t="n"/>
    </row>
    <row r="2018">
      <c r="A2018" s="9" t="n">
        <v>826939</v>
      </c>
      <c r="B2018" s="9" t="inlineStr">
        <is>
          <t>Luke Gabrysh</t>
        </is>
      </c>
      <c r="C2018" s="9" t="inlineStr">
        <is>
          <t>NYM</t>
        </is>
      </c>
      <c r="D2018" s="9" t="n">
        <v>25</v>
      </c>
      <c r="E2018" s="18" t="inlineStr">
        <is>
          <t>R</t>
        </is>
      </c>
      <c r="F2018" s="18" t="n"/>
      <c r="G2018" s="9" t="n">
        <v>25.585</v>
      </c>
      <c r="H2018" s="9" t="n">
        <v>25.585</v>
      </c>
      <c r="I2018" s="9" t="inlineStr">
        <is>
          <t>Depth (no MLB IP)</t>
        </is>
      </c>
      <c r="J2018" s="18" t="inlineStr">
        <is>
          <t>Opening Day</t>
        </is>
      </c>
      <c r="K2018" s="11">
        <f>IFERROR(INDEX(Roles!$B$17:$B$20,MATCH(J2018,Roles!$A$17:$A$20,0)),1)</f>
        <v/>
      </c>
      <c r="L2018" s="19" t="n">
        <v>1</v>
      </c>
      <c r="M2018" s="11" t="n">
        <v>1</v>
      </c>
      <c r="N2018" s="19" t="n"/>
      <c r="O2018" s="19" t="n"/>
      <c r="P2018" s="19" t="n"/>
      <c r="Q2018" s="19" t="n"/>
      <c r="R2018" s="19" t="n"/>
      <c r="S2018" s="19" t="n"/>
      <c r="T2018" s="19" t="n"/>
      <c r="U2018" s="19" t="n"/>
      <c r="V2018" s="19" t="n"/>
      <c r="W2018" s="19" t="n"/>
      <c r="X2018" s="19" t="n"/>
      <c r="Y2018" s="19" t="n">
        <v>1</v>
      </c>
      <c r="Z2018" s="13">
        <f>SUMPRODUCT(N2018:Y2018,$N$2:$Y$2)*$K2018*$L2018*$M2018</f>
        <v/>
      </c>
      <c r="AA2018" s="14">
        <f>SUM(N2018:Y2018)</f>
        <v/>
      </c>
      <c r="AB2018" s="13">
        <f>SUMPRODUCT(N2018:Y2018,$N$3:$Y$3)*$K2018*$L2018*$M2018</f>
        <v/>
      </c>
      <c r="AC2018" s="13">
        <f>SUMPRODUCT(N2018:Y2018,$N$4:$Y$4)*$K2018*$L2018*$M2018</f>
        <v/>
      </c>
      <c r="AD2018" s="15" t="n">
        <v>3</v>
      </c>
      <c r="AE2018" s="11" t="n">
        <v>1.011296296296296</v>
      </c>
      <c r="AF2018" s="16">
        <f>SUMPRODUCT(N2018:Y2018,$N$5:$Y$5)*$K2018*$L2018*$M2018</f>
        <v/>
      </c>
      <c r="AG2018" s="16">
        <f>SUMPRODUCT(N2018:Y2018,$N$6:$Y$6)*$K2018*$L2018*$M2018</f>
        <v/>
      </c>
      <c r="AH2018" s="20" t="n"/>
    </row>
    <row r="2019">
      <c r="A2019" s="9" t="n">
        <v>805684</v>
      </c>
      <c r="B2019" s="9" t="inlineStr">
        <is>
          <t>Cristofer Gomez</t>
        </is>
      </c>
      <c r="C2019" s="9" t="inlineStr">
        <is>
          <t>NYM</t>
        </is>
      </c>
      <c r="D2019" s="9" t="n">
        <v>25</v>
      </c>
      <c r="E2019" s="18" t="inlineStr">
        <is>
          <t>R</t>
        </is>
      </c>
      <c r="F2019" s="18" t="n"/>
      <c r="G2019" s="9" t="n">
        <v>25.585</v>
      </c>
      <c r="H2019" s="9" t="n">
        <v>25.585</v>
      </c>
      <c r="I2019" s="9" t="inlineStr">
        <is>
          <t>Depth (no MLB IP)</t>
        </is>
      </c>
      <c r="J2019" s="18" t="inlineStr">
        <is>
          <t>Opening Day</t>
        </is>
      </c>
      <c r="K2019" s="11">
        <f>IFERROR(INDEX(Roles!$B$17:$B$20,MATCH(J2019,Roles!$A$17:$A$20,0)),1)</f>
        <v/>
      </c>
      <c r="L2019" s="19" t="n">
        <v>1</v>
      </c>
      <c r="M2019" s="11" t="n">
        <v>1</v>
      </c>
      <c r="N2019" s="19" t="n"/>
      <c r="O2019" s="19" t="n"/>
      <c r="P2019" s="19" t="n"/>
      <c r="Q2019" s="19" t="n"/>
      <c r="R2019" s="19" t="n"/>
      <c r="S2019" s="19" t="n"/>
      <c r="T2019" s="19" t="n"/>
      <c r="U2019" s="19" t="n"/>
      <c r="V2019" s="19" t="n"/>
      <c r="W2019" s="19" t="n"/>
      <c r="X2019" s="19" t="n"/>
      <c r="Y2019" s="19" t="n">
        <v>1</v>
      </c>
      <c r="Z2019" s="13">
        <f>SUMPRODUCT(N2019:Y2019,$N$2:$Y$2)*$K2019*$L2019*$M2019</f>
        <v/>
      </c>
      <c r="AA2019" s="14">
        <f>SUM(N2019:Y2019)</f>
        <v/>
      </c>
      <c r="AB2019" s="13">
        <f>SUMPRODUCT(N2019:Y2019,$N$3:$Y$3)*$K2019*$L2019*$M2019</f>
        <v/>
      </c>
      <c r="AC2019" s="13">
        <f>SUMPRODUCT(N2019:Y2019,$N$4:$Y$4)*$K2019*$L2019*$M2019</f>
        <v/>
      </c>
      <c r="AD2019" s="15" t="n">
        <v>3</v>
      </c>
      <c r="AE2019" s="11" t="n">
        <v>1.011296296296296</v>
      </c>
      <c r="AF2019" s="16">
        <f>SUMPRODUCT(N2019:Y2019,$N$5:$Y$5)*$K2019*$L2019*$M2019</f>
        <v/>
      </c>
      <c r="AG2019" s="16">
        <f>SUMPRODUCT(N2019:Y2019,$N$6:$Y$6)*$K2019*$L2019*$M2019</f>
        <v/>
      </c>
      <c r="AH2019" s="20" t="n"/>
    </row>
    <row r="2020">
      <c r="A2020" s="9" t="n">
        <v>802180</v>
      </c>
      <c r="B2020" s="9" t="inlineStr">
        <is>
          <t>Ryan Bourassa</t>
        </is>
      </c>
      <c r="C2020" s="9" t="inlineStr">
        <is>
          <t>ATL</t>
        </is>
      </c>
      <c r="D2020" s="9" t="n">
        <v>25</v>
      </c>
      <c r="E2020" s="18" t="inlineStr">
        <is>
          <t>R</t>
        </is>
      </c>
      <c r="F2020" s="18" t="n"/>
      <c r="G2020" s="9" t="n">
        <v>25.585</v>
      </c>
      <c r="H2020" s="9" t="n">
        <v>25.585</v>
      </c>
      <c r="I2020" s="9" t="inlineStr">
        <is>
          <t>Depth (no MLB IP)</t>
        </is>
      </c>
      <c r="J2020" s="18" t="inlineStr">
        <is>
          <t>Opening Day</t>
        </is>
      </c>
      <c r="K2020" s="11">
        <f>IFERROR(INDEX(Roles!$B$17:$B$20,MATCH(J2020,Roles!$A$17:$A$20,0)),1)</f>
        <v/>
      </c>
      <c r="L2020" s="19" t="n">
        <v>1</v>
      </c>
      <c r="M2020" s="11" t="n">
        <v>1</v>
      </c>
      <c r="N2020" s="19" t="n"/>
      <c r="O2020" s="19" t="n"/>
      <c r="P2020" s="19" t="n"/>
      <c r="Q2020" s="19" t="n"/>
      <c r="R2020" s="19" t="n"/>
      <c r="S2020" s="19" t="n"/>
      <c r="T2020" s="19" t="n"/>
      <c r="U2020" s="19" t="n"/>
      <c r="V2020" s="19" t="n"/>
      <c r="W2020" s="19" t="n"/>
      <c r="X2020" s="19" t="n"/>
      <c r="Y2020" s="19" t="n">
        <v>1</v>
      </c>
      <c r="Z2020" s="13">
        <f>SUMPRODUCT(N2020:Y2020,$N$2:$Y$2)*$K2020*$L2020*$M2020</f>
        <v/>
      </c>
      <c r="AA2020" s="14">
        <f>SUM(N2020:Y2020)</f>
        <v/>
      </c>
      <c r="AB2020" s="13">
        <f>SUMPRODUCT(N2020:Y2020,$N$3:$Y$3)*$K2020*$L2020*$M2020</f>
        <v/>
      </c>
      <c r="AC2020" s="13">
        <f>SUMPRODUCT(N2020:Y2020,$N$4:$Y$4)*$K2020*$L2020*$M2020</f>
        <v/>
      </c>
      <c r="AD2020" s="15" t="n">
        <v>3</v>
      </c>
      <c r="AE2020" s="11" t="n">
        <v>1.011296296296296</v>
      </c>
      <c r="AF2020" s="16">
        <f>SUMPRODUCT(N2020:Y2020,$N$5:$Y$5)*$K2020*$L2020*$M2020</f>
        <v/>
      </c>
      <c r="AG2020" s="16">
        <f>SUMPRODUCT(N2020:Y2020,$N$6:$Y$6)*$K2020*$L2020*$M2020</f>
        <v/>
      </c>
      <c r="AH2020" s="20" t="n"/>
    </row>
    <row r="2021">
      <c r="A2021" s="9" t="n">
        <v>812363</v>
      </c>
      <c r="B2021" s="9" t="inlineStr">
        <is>
          <t>Marlon Nieves</t>
        </is>
      </c>
      <c r="C2021" s="9" t="inlineStr">
        <is>
          <t>LAD</t>
        </is>
      </c>
      <c r="D2021" s="9" t="n">
        <v>25</v>
      </c>
      <c r="E2021" s="18" t="inlineStr">
        <is>
          <t>R</t>
        </is>
      </c>
      <c r="F2021" s="18" t="n"/>
      <c r="G2021" s="9" t="n">
        <v>25.8</v>
      </c>
      <c r="H2021" s="9" t="n">
        <v>25.8</v>
      </c>
      <c r="I2021" s="9" t="inlineStr">
        <is>
          <t>Depth (no MLB IP)</t>
        </is>
      </c>
      <c r="J2021" s="18" t="inlineStr">
        <is>
          <t>Opening Day</t>
        </is>
      </c>
      <c r="K2021" s="11">
        <f>IFERROR(INDEX(Roles!$B$17:$B$20,MATCH(J2021,Roles!$A$17:$A$20,0)),1)</f>
        <v/>
      </c>
      <c r="L2021" s="19" t="n">
        <v>1</v>
      </c>
      <c r="M2021" s="11" t="n">
        <v>1</v>
      </c>
      <c r="N2021" s="19" t="n"/>
      <c r="O2021" s="19" t="n"/>
      <c r="P2021" s="19" t="n"/>
      <c r="Q2021" s="19" t="n"/>
      <c r="R2021" s="19" t="n"/>
      <c r="S2021" s="19" t="n"/>
      <c r="T2021" s="19" t="n"/>
      <c r="U2021" s="19" t="n"/>
      <c r="V2021" s="19" t="n"/>
      <c r="W2021" s="19" t="n"/>
      <c r="X2021" s="19" t="n"/>
      <c r="Y2021" s="19" t="n">
        <v>1</v>
      </c>
      <c r="Z2021" s="13">
        <f>SUMPRODUCT(N2021:Y2021,$N$2:$Y$2)*$K2021*$L2021*$M2021</f>
        <v/>
      </c>
      <c r="AA2021" s="14">
        <f>SUM(N2021:Y2021)</f>
        <v/>
      </c>
      <c r="AB2021" s="13">
        <f>SUMPRODUCT(N2021:Y2021,$N$3:$Y$3)*$K2021*$L2021*$M2021</f>
        <v/>
      </c>
      <c r="AC2021" s="13">
        <f>SUMPRODUCT(N2021:Y2021,$N$4:$Y$4)*$K2021*$L2021*$M2021</f>
        <v/>
      </c>
      <c r="AD2021" s="15" t="n">
        <v>3</v>
      </c>
      <c r="AE2021" s="11" t="n">
        <v>1.011296296296296</v>
      </c>
      <c r="AF2021" s="16">
        <f>SUMPRODUCT(N2021:Y2021,$N$5:$Y$5)*$K2021*$L2021*$M2021</f>
        <v/>
      </c>
      <c r="AG2021" s="16">
        <f>SUMPRODUCT(N2021:Y2021,$N$6:$Y$6)*$K2021*$L2021*$M2021</f>
        <v/>
      </c>
      <c r="AH2021" s="20" t="n"/>
    </row>
    <row r="2022">
      <c r="A2022" s="9" t="n">
        <v>690367</v>
      </c>
      <c r="B2022" s="9" t="inlineStr">
        <is>
          <t>Evan Gray</t>
        </is>
      </c>
      <c r="C2022" s="9" t="inlineStr">
        <is>
          <t>SF</t>
        </is>
      </c>
      <c r="D2022" s="9" t="n">
        <v>25</v>
      </c>
      <c r="E2022" s="18" t="inlineStr">
        <is>
          <t>R</t>
        </is>
      </c>
      <c r="F2022" s="18" t="n"/>
      <c r="G2022" s="9" t="n">
        <v>25.972</v>
      </c>
      <c r="H2022" s="9" t="n">
        <v>25.972</v>
      </c>
      <c r="I2022" s="9" t="inlineStr">
        <is>
          <t>Depth (no MLB IP)</t>
        </is>
      </c>
      <c r="J2022" s="18" t="inlineStr">
        <is>
          <t>Opening Day</t>
        </is>
      </c>
      <c r="K2022" s="11">
        <f>IFERROR(INDEX(Roles!$B$17:$B$20,MATCH(J2022,Roles!$A$17:$A$20,0)),1)</f>
        <v/>
      </c>
      <c r="L2022" s="19" t="n">
        <v>1</v>
      </c>
      <c r="M2022" s="11" t="n">
        <v>1</v>
      </c>
      <c r="N2022" s="19" t="n"/>
      <c r="O2022" s="19" t="n"/>
      <c r="P2022" s="19" t="n"/>
      <c r="Q2022" s="19" t="n"/>
      <c r="R2022" s="19" t="n"/>
      <c r="S2022" s="19" t="n"/>
      <c r="T2022" s="19" t="n"/>
      <c r="U2022" s="19" t="n"/>
      <c r="V2022" s="19" t="n"/>
      <c r="W2022" s="19" t="n"/>
      <c r="X2022" s="19" t="n"/>
      <c r="Y2022" s="19" t="n">
        <v>1</v>
      </c>
      <c r="Z2022" s="13">
        <f>SUMPRODUCT(N2022:Y2022,$N$2:$Y$2)*$K2022*$L2022*$M2022</f>
        <v/>
      </c>
      <c r="AA2022" s="14">
        <f>SUM(N2022:Y2022)</f>
        <v/>
      </c>
      <c r="AB2022" s="13">
        <f>SUMPRODUCT(N2022:Y2022,$N$3:$Y$3)*$K2022*$L2022*$M2022</f>
        <v/>
      </c>
      <c r="AC2022" s="13">
        <f>SUMPRODUCT(N2022:Y2022,$N$4:$Y$4)*$K2022*$L2022*$M2022</f>
        <v/>
      </c>
      <c r="AD2022" s="15" t="n">
        <v>3</v>
      </c>
      <c r="AE2022" s="11" t="n">
        <v>1.011296296296296</v>
      </c>
      <c r="AF2022" s="16">
        <f>SUMPRODUCT(N2022:Y2022,$N$5:$Y$5)*$K2022*$L2022*$M2022</f>
        <v/>
      </c>
      <c r="AG2022" s="16">
        <f>SUMPRODUCT(N2022:Y2022,$N$6:$Y$6)*$K2022*$L2022*$M2022</f>
        <v/>
      </c>
      <c r="AH2022" s="20" t="n"/>
    </row>
    <row r="2023">
      <c r="A2023" s="9" t="n">
        <v>702516</v>
      </c>
      <c r="B2023" s="9" t="inlineStr">
        <is>
          <t>JP Wheat</t>
        </is>
      </c>
      <c r="C2023" s="9" t="inlineStr">
        <is>
          <t>CHC</t>
        </is>
      </c>
      <c r="D2023" s="9" t="n">
        <v>25</v>
      </c>
      <c r="E2023" s="18" t="inlineStr">
        <is>
          <t>R</t>
        </is>
      </c>
      <c r="F2023" s="18" t="n"/>
      <c r="G2023" s="9" t="n">
        <v>26.08666666666666</v>
      </c>
      <c r="H2023" s="9" t="n">
        <v>26.08666666666666</v>
      </c>
      <c r="I2023" s="9" t="inlineStr">
        <is>
          <t>Depth (no MLB IP)</t>
        </is>
      </c>
      <c r="J2023" s="18" t="inlineStr">
        <is>
          <t>Opening Day</t>
        </is>
      </c>
      <c r="K2023" s="11">
        <f>IFERROR(INDEX(Roles!$B$17:$B$20,MATCH(J2023,Roles!$A$17:$A$20,0)),1)</f>
        <v/>
      </c>
      <c r="L2023" s="19" t="n">
        <v>1</v>
      </c>
      <c r="M2023" s="11" t="n">
        <v>1</v>
      </c>
      <c r="N2023" s="19" t="n"/>
      <c r="O2023" s="19" t="n"/>
      <c r="P2023" s="19" t="n"/>
      <c r="Q2023" s="19" t="n"/>
      <c r="R2023" s="19" t="n"/>
      <c r="S2023" s="19" t="n"/>
      <c r="T2023" s="19" t="n"/>
      <c r="U2023" s="19" t="n"/>
      <c r="V2023" s="19" t="n"/>
      <c r="W2023" s="19" t="n"/>
      <c r="X2023" s="19" t="n"/>
      <c r="Y2023" s="19" t="n">
        <v>1</v>
      </c>
      <c r="Z2023" s="13">
        <f>SUMPRODUCT(N2023:Y2023,$N$2:$Y$2)*$K2023*$L2023*$M2023</f>
        <v/>
      </c>
      <c r="AA2023" s="14">
        <f>SUM(N2023:Y2023)</f>
        <v/>
      </c>
      <c r="AB2023" s="13">
        <f>SUMPRODUCT(N2023:Y2023,$N$3:$Y$3)*$K2023*$L2023*$M2023</f>
        <v/>
      </c>
      <c r="AC2023" s="13">
        <f>SUMPRODUCT(N2023:Y2023,$N$4:$Y$4)*$K2023*$L2023*$M2023</f>
        <v/>
      </c>
      <c r="AD2023" s="15" t="n">
        <v>3</v>
      </c>
      <c r="AE2023" s="11" t="n">
        <v>1.011296296296296</v>
      </c>
      <c r="AF2023" s="16">
        <f>SUMPRODUCT(N2023:Y2023,$N$5:$Y$5)*$K2023*$L2023*$M2023</f>
        <v/>
      </c>
      <c r="AG2023" s="16">
        <f>SUMPRODUCT(N2023:Y2023,$N$6:$Y$6)*$K2023*$L2023*$M2023</f>
        <v/>
      </c>
      <c r="AH2023" s="20" t="n"/>
    </row>
    <row r="2024">
      <c r="A2024" s="9" t="n">
        <v>842192</v>
      </c>
      <c r="B2024" s="9" t="inlineStr">
        <is>
          <t>Stephen Still</t>
        </is>
      </c>
      <c r="C2024" s="9" t="inlineStr">
        <is>
          <t>BAL</t>
        </is>
      </c>
      <c r="D2024" s="9" t="n">
        <v>25</v>
      </c>
      <c r="E2024" s="18" t="inlineStr">
        <is>
          <t>L</t>
        </is>
      </c>
      <c r="F2024" s="18" t="n"/>
      <c r="G2024" s="9" t="n">
        <v>26.08666666666666</v>
      </c>
      <c r="H2024" s="9" t="n">
        <v>26.08666666666666</v>
      </c>
      <c r="I2024" s="9" t="inlineStr">
        <is>
          <t>Depth (no MLB IP)</t>
        </is>
      </c>
      <c r="J2024" s="18" t="inlineStr">
        <is>
          <t>Opening Day</t>
        </is>
      </c>
      <c r="K2024" s="11">
        <f>IFERROR(INDEX(Roles!$B$17:$B$20,MATCH(J2024,Roles!$A$17:$A$20,0)),1)</f>
        <v/>
      </c>
      <c r="L2024" s="19" t="n">
        <v>1</v>
      </c>
      <c r="M2024" s="11" t="n">
        <v>1</v>
      </c>
      <c r="N2024" s="19" t="n"/>
      <c r="O2024" s="19" t="n"/>
      <c r="P2024" s="19" t="n"/>
      <c r="Q2024" s="19" t="n"/>
      <c r="R2024" s="19" t="n"/>
      <c r="S2024" s="19" t="n"/>
      <c r="T2024" s="19" t="n"/>
      <c r="U2024" s="19" t="n"/>
      <c r="V2024" s="19" t="n"/>
      <c r="W2024" s="19" t="n"/>
      <c r="X2024" s="19" t="n"/>
      <c r="Y2024" s="19" t="n">
        <v>1</v>
      </c>
      <c r="Z2024" s="13">
        <f>SUMPRODUCT(N2024:Y2024,$N$2:$Y$2)*$K2024*$L2024*$M2024</f>
        <v/>
      </c>
      <c r="AA2024" s="14">
        <f>SUM(N2024:Y2024)</f>
        <v/>
      </c>
      <c r="AB2024" s="13">
        <f>SUMPRODUCT(N2024:Y2024,$N$3:$Y$3)*$K2024*$L2024*$M2024</f>
        <v/>
      </c>
      <c r="AC2024" s="13">
        <f>SUMPRODUCT(N2024:Y2024,$N$4:$Y$4)*$K2024*$L2024*$M2024</f>
        <v/>
      </c>
      <c r="AD2024" s="15" t="n">
        <v>3</v>
      </c>
      <c r="AE2024" s="11" t="n">
        <v>1.011296296296296</v>
      </c>
      <c r="AF2024" s="16">
        <f>SUMPRODUCT(N2024:Y2024,$N$5:$Y$5)*$K2024*$L2024*$M2024</f>
        <v/>
      </c>
      <c r="AG2024" s="16">
        <f>SUMPRODUCT(N2024:Y2024,$N$6:$Y$6)*$K2024*$L2024*$M2024</f>
        <v/>
      </c>
      <c r="AH2024" s="20" t="n"/>
    </row>
    <row r="2025">
      <c r="A2025" s="9" t="n">
        <v>702903</v>
      </c>
      <c r="B2025" s="9" t="inlineStr">
        <is>
          <t>Saul Garcia</t>
        </is>
      </c>
      <c r="C2025" s="9" t="inlineStr">
        <is>
          <t>NYM</t>
        </is>
      </c>
      <c r="D2025" s="9" t="n">
        <v>25</v>
      </c>
      <c r="E2025" s="18" t="inlineStr">
        <is>
          <t>R</t>
        </is>
      </c>
      <c r="F2025" s="18" t="n"/>
      <c r="G2025" s="9" t="n">
        <v>26.015</v>
      </c>
      <c r="H2025" s="9" t="n">
        <v>26.015</v>
      </c>
      <c r="I2025" s="9" t="inlineStr">
        <is>
          <t>Depth (no MLB IP)</t>
        </is>
      </c>
      <c r="J2025" s="18" t="inlineStr">
        <is>
          <t>Opening Day</t>
        </is>
      </c>
      <c r="K2025" s="11">
        <f>IFERROR(INDEX(Roles!$B$17:$B$20,MATCH(J2025,Roles!$A$17:$A$20,0)),1)</f>
        <v/>
      </c>
      <c r="L2025" s="19" t="n">
        <v>1</v>
      </c>
      <c r="M2025" s="11" t="n">
        <v>1</v>
      </c>
      <c r="N2025" s="19" t="n"/>
      <c r="O2025" s="19" t="n"/>
      <c r="P2025" s="19" t="n"/>
      <c r="Q2025" s="19" t="n"/>
      <c r="R2025" s="19" t="n"/>
      <c r="S2025" s="19" t="n"/>
      <c r="T2025" s="19" t="n"/>
      <c r="U2025" s="19" t="n"/>
      <c r="V2025" s="19" t="n"/>
      <c r="W2025" s="19" t="n"/>
      <c r="X2025" s="19" t="n"/>
      <c r="Y2025" s="19" t="n">
        <v>1</v>
      </c>
      <c r="Z2025" s="13">
        <f>SUMPRODUCT(N2025:Y2025,$N$2:$Y$2)*$K2025*$L2025*$M2025</f>
        <v/>
      </c>
      <c r="AA2025" s="14">
        <f>SUM(N2025:Y2025)</f>
        <v/>
      </c>
      <c r="AB2025" s="13">
        <f>SUMPRODUCT(N2025:Y2025,$N$3:$Y$3)*$K2025*$L2025*$M2025</f>
        <v/>
      </c>
      <c r="AC2025" s="13">
        <f>SUMPRODUCT(N2025:Y2025,$N$4:$Y$4)*$K2025*$L2025*$M2025</f>
        <v/>
      </c>
      <c r="AD2025" s="15" t="n">
        <v>3</v>
      </c>
      <c r="AE2025" s="11" t="n">
        <v>1.011296296296296</v>
      </c>
      <c r="AF2025" s="16">
        <f>SUMPRODUCT(N2025:Y2025,$N$5:$Y$5)*$K2025*$L2025*$M2025</f>
        <v/>
      </c>
      <c r="AG2025" s="16">
        <f>SUMPRODUCT(N2025:Y2025,$N$6:$Y$6)*$K2025*$L2025*$M2025</f>
        <v/>
      </c>
      <c r="AH2025" s="20" t="n"/>
    </row>
    <row r="2026">
      <c r="A2026" s="9" t="n">
        <v>694537</v>
      </c>
      <c r="B2026" s="9" t="inlineStr">
        <is>
          <t>Channing Austin</t>
        </is>
      </c>
      <c r="C2026" s="9" t="inlineStr">
        <is>
          <t>NYM</t>
        </is>
      </c>
      <c r="D2026" s="9" t="n">
        <v>25</v>
      </c>
      <c r="E2026" s="18" t="inlineStr">
        <is>
          <t>R</t>
        </is>
      </c>
      <c r="F2026" s="18" t="n"/>
      <c r="G2026" s="9" t="n">
        <v>26.08666666666666</v>
      </c>
      <c r="H2026" s="9" t="n">
        <v>26.08666666666666</v>
      </c>
      <c r="I2026" s="9" t="inlineStr">
        <is>
          <t>Depth (no MLB IP)</t>
        </is>
      </c>
      <c r="J2026" s="18" t="inlineStr">
        <is>
          <t>Opening Day</t>
        </is>
      </c>
      <c r="K2026" s="11">
        <f>IFERROR(INDEX(Roles!$B$17:$B$20,MATCH(J2026,Roles!$A$17:$A$20,0)),1)</f>
        <v/>
      </c>
      <c r="L2026" s="19" t="n">
        <v>1</v>
      </c>
      <c r="M2026" s="11" t="n">
        <v>1</v>
      </c>
      <c r="N2026" s="19" t="n"/>
      <c r="O2026" s="19" t="n"/>
      <c r="P2026" s="19" t="n"/>
      <c r="Q2026" s="19" t="n"/>
      <c r="R2026" s="19" t="n"/>
      <c r="S2026" s="19" t="n"/>
      <c r="T2026" s="19" t="n"/>
      <c r="U2026" s="19" t="n"/>
      <c r="V2026" s="19" t="n"/>
      <c r="W2026" s="19" t="n"/>
      <c r="X2026" s="19" t="n"/>
      <c r="Y2026" s="19" t="n">
        <v>1</v>
      </c>
      <c r="Z2026" s="13">
        <f>SUMPRODUCT(N2026:Y2026,$N$2:$Y$2)*$K2026*$L2026*$M2026</f>
        <v/>
      </c>
      <c r="AA2026" s="14">
        <f>SUM(N2026:Y2026)</f>
        <v/>
      </c>
      <c r="AB2026" s="13">
        <f>SUMPRODUCT(N2026:Y2026,$N$3:$Y$3)*$K2026*$L2026*$M2026</f>
        <v/>
      </c>
      <c r="AC2026" s="13">
        <f>SUMPRODUCT(N2026:Y2026,$N$4:$Y$4)*$K2026*$L2026*$M2026</f>
        <v/>
      </c>
      <c r="AD2026" s="15" t="n">
        <v>3</v>
      </c>
      <c r="AE2026" s="11" t="n">
        <v>1.011296296296296</v>
      </c>
      <c r="AF2026" s="16">
        <f>SUMPRODUCT(N2026:Y2026,$N$5:$Y$5)*$K2026*$L2026*$M2026</f>
        <v/>
      </c>
      <c r="AG2026" s="16">
        <f>SUMPRODUCT(N2026:Y2026,$N$6:$Y$6)*$K2026*$L2026*$M2026</f>
        <v/>
      </c>
      <c r="AH2026" s="20" t="n"/>
    </row>
    <row r="2027">
      <c r="A2027" s="9" t="n">
        <v>703142</v>
      </c>
      <c r="B2027" s="9" t="inlineStr">
        <is>
          <t>Andy Rodriguez</t>
        </is>
      </c>
      <c r="C2027" s="9" t="inlineStr">
        <is>
          <t>TB</t>
        </is>
      </c>
      <c r="D2027" s="9" t="n">
        <v>25</v>
      </c>
      <c r="E2027" s="18" t="inlineStr">
        <is>
          <t>R</t>
        </is>
      </c>
      <c r="F2027" s="18" t="n"/>
      <c r="G2027" s="9" t="n">
        <v>26.08666666666666</v>
      </c>
      <c r="H2027" s="9" t="n">
        <v>26.08666666666666</v>
      </c>
      <c r="I2027" s="9" t="inlineStr">
        <is>
          <t>Depth (no MLB IP)</t>
        </is>
      </c>
      <c r="J2027" s="18" t="inlineStr">
        <is>
          <t>Opening Day</t>
        </is>
      </c>
      <c r="K2027" s="11">
        <f>IFERROR(INDEX(Roles!$B$17:$B$20,MATCH(J2027,Roles!$A$17:$A$20,0)),1)</f>
        <v/>
      </c>
      <c r="L2027" s="19" t="n">
        <v>1</v>
      </c>
      <c r="M2027" s="11" t="n">
        <v>1</v>
      </c>
      <c r="N2027" s="19" t="n"/>
      <c r="O2027" s="19" t="n"/>
      <c r="P2027" s="19" t="n"/>
      <c r="Q2027" s="19" t="n"/>
      <c r="R2027" s="19" t="n"/>
      <c r="S2027" s="19" t="n"/>
      <c r="T2027" s="19" t="n"/>
      <c r="U2027" s="19" t="n"/>
      <c r="V2027" s="19" t="n"/>
      <c r="W2027" s="19" t="n"/>
      <c r="X2027" s="19" t="n"/>
      <c r="Y2027" s="19" t="n">
        <v>1</v>
      </c>
      <c r="Z2027" s="13">
        <f>SUMPRODUCT(N2027:Y2027,$N$2:$Y$2)*$K2027*$L2027*$M2027</f>
        <v/>
      </c>
      <c r="AA2027" s="14">
        <f>SUM(N2027:Y2027)</f>
        <v/>
      </c>
      <c r="AB2027" s="13">
        <f>SUMPRODUCT(N2027:Y2027,$N$3:$Y$3)*$K2027*$L2027*$M2027</f>
        <v/>
      </c>
      <c r="AC2027" s="13">
        <f>SUMPRODUCT(N2027:Y2027,$N$4:$Y$4)*$K2027*$L2027*$M2027</f>
        <v/>
      </c>
      <c r="AD2027" s="15" t="n">
        <v>3</v>
      </c>
      <c r="AE2027" s="11" t="n">
        <v>1.011296296296296</v>
      </c>
      <c r="AF2027" s="16">
        <f>SUMPRODUCT(N2027:Y2027,$N$5:$Y$5)*$K2027*$L2027*$M2027</f>
        <v/>
      </c>
      <c r="AG2027" s="16">
        <f>SUMPRODUCT(N2027:Y2027,$N$6:$Y$6)*$K2027*$L2027*$M2027</f>
        <v/>
      </c>
      <c r="AH2027" s="20" t="n"/>
    </row>
    <row r="2028">
      <c r="A2028" s="9" t="n">
        <v>691010</v>
      </c>
      <c r="B2028" s="9" t="inlineStr">
        <is>
          <t>Christian Rodriguez</t>
        </is>
      </c>
      <c r="C2028" s="9" t="inlineStr">
        <is>
          <t>BAL</t>
        </is>
      </c>
      <c r="D2028" s="9" t="n">
        <v>25</v>
      </c>
      <c r="E2028" s="18" t="inlineStr">
        <is>
          <t>R</t>
        </is>
      </c>
      <c r="F2028" s="18" t="n"/>
      <c r="G2028" s="9" t="n">
        <v>26.08666666666666</v>
      </c>
      <c r="H2028" s="9" t="n">
        <v>26.08666666666666</v>
      </c>
      <c r="I2028" s="9" t="inlineStr">
        <is>
          <t>Depth (no MLB IP)</t>
        </is>
      </c>
      <c r="J2028" s="18" t="inlineStr">
        <is>
          <t>Opening Day</t>
        </is>
      </c>
      <c r="K2028" s="11">
        <f>IFERROR(INDEX(Roles!$B$17:$B$20,MATCH(J2028,Roles!$A$17:$A$20,0)),1)</f>
        <v/>
      </c>
      <c r="L2028" s="19" t="n">
        <v>1</v>
      </c>
      <c r="M2028" s="11" t="n">
        <v>1</v>
      </c>
      <c r="N2028" s="19" t="n"/>
      <c r="O2028" s="19" t="n"/>
      <c r="P2028" s="19" t="n"/>
      <c r="Q2028" s="19" t="n"/>
      <c r="R2028" s="19" t="n"/>
      <c r="S2028" s="19" t="n"/>
      <c r="T2028" s="19" t="n"/>
      <c r="U2028" s="19" t="n"/>
      <c r="V2028" s="19" t="n"/>
      <c r="W2028" s="19" t="n"/>
      <c r="X2028" s="19" t="n"/>
      <c r="Y2028" s="19" t="n">
        <v>1</v>
      </c>
      <c r="Z2028" s="13">
        <f>SUMPRODUCT(N2028:Y2028,$N$2:$Y$2)*$K2028*$L2028*$M2028</f>
        <v/>
      </c>
      <c r="AA2028" s="14">
        <f>SUM(N2028:Y2028)</f>
        <v/>
      </c>
      <c r="AB2028" s="13">
        <f>SUMPRODUCT(N2028:Y2028,$N$3:$Y$3)*$K2028*$L2028*$M2028</f>
        <v/>
      </c>
      <c r="AC2028" s="13">
        <f>SUMPRODUCT(N2028:Y2028,$N$4:$Y$4)*$K2028*$L2028*$M2028</f>
        <v/>
      </c>
      <c r="AD2028" s="15" t="n">
        <v>3</v>
      </c>
      <c r="AE2028" s="11" t="n">
        <v>1.011296296296296</v>
      </c>
      <c r="AF2028" s="16">
        <f>SUMPRODUCT(N2028:Y2028,$N$5:$Y$5)*$K2028*$L2028*$M2028</f>
        <v/>
      </c>
      <c r="AG2028" s="16">
        <f>SUMPRODUCT(N2028:Y2028,$N$6:$Y$6)*$K2028*$L2028*$M2028</f>
        <v/>
      </c>
      <c r="AH2028" s="20" t="n"/>
    </row>
    <row r="2029">
      <c r="A2029" s="9" t="n">
        <v>702548</v>
      </c>
      <c r="B2029" s="9" t="inlineStr">
        <is>
          <t>Brock Porter</t>
        </is>
      </c>
      <c r="C2029" s="9" t="inlineStr">
        <is>
          <t>TEX</t>
        </is>
      </c>
      <c r="D2029" s="9" t="n">
        <v>25</v>
      </c>
      <c r="E2029" s="18" t="inlineStr">
        <is>
          <t>R</t>
        </is>
      </c>
      <c r="F2029" s="18" t="n"/>
      <c r="G2029" s="9" t="n">
        <v>26.08666666666666</v>
      </c>
      <c r="H2029" s="9" t="n">
        <v>26.08666666666666</v>
      </c>
      <c r="I2029" s="9" t="inlineStr">
        <is>
          <t>Depth (no MLB IP)</t>
        </is>
      </c>
      <c r="J2029" s="18" t="inlineStr">
        <is>
          <t>Opening Day</t>
        </is>
      </c>
      <c r="K2029" s="11">
        <f>IFERROR(INDEX(Roles!$B$17:$B$20,MATCH(J2029,Roles!$A$17:$A$20,0)),1)</f>
        <v/>
      </c>
      <c r="L2029" s="19" t="n">
        <v>1</v>
      </c>
      <c r="M2029" s="11" t="n">
        <v>1</v>
      </c>
      <c r="N2029" s="19" t="n"/>
      <c r="O2029" s="19" t="n"/>
      <c r="P2029" s="19" t="n"/>
      <c r="Q2029" s="19" t="n"/>
      <c r="R2029" s="19" t="n"/>
      <c r="S2029" s="19" t="n"/>
      <c r="T2029" s="19" t="n"/>
      <c r="U2029" s="19" t="n"/>
      <c r="V2029" s="19" t="n"/>
      <c r="W2029" s="19" t="n"/>
      <c r="X2029" s="19" t="n"/>
      <c r="Y2029" s="19" t="n">
        <v>1</v>
      </c>
      <c r="Z2029" s="13">
        <f>SUMPRODUCT(N2029:Y2029,$N$2:$Y$2)*$K2029*$L2029*$M2029</f>
        <v/>
      </c>
      <c r="AA2029" s="14">
        <f>SUM(N2029:Y2029)</f>
        <v/>
      </c>
      <c r="AB2029" s="13">
        <f>SUMPRODUCT(N2029:Y2029,$N$3:$Y$3)*$K2029*$L2029*$M2029</f>
        <v/>
      </c>
      <c r="AC2029" s="13">
        <f>SUMPRODUCT(N2029:Y2029,$N$4:$Y$4)*$K2029*$L2029*$M2029</f>
        <v/>
      </c>
      <c r="AD2029" s="15" t="n">
        <v>3</v>
      </c>
      <c r="AE2029" s="11" t="n">
        <v>1.011296296296296</v>
      </c>
      <c r="AF2029" s="16">
        <f>SUMPRODUCT(N2029:Y2029,$N$5:$Y$5)*$K2029*$L2029*$M2029</f>
        <v/>
      </c>
      <c r="AG2029" s="16">
        <f>SUMPRODUCT(N2029:Y2029,$N$6:$Y$6)*$K2029*$L2029*$M2029</f>
        <v/>
      </c>
      <c r="AH2029" s="20" t="n"/>
    </row>
    <row r="2030">
      <c r="A2030" s="9" t="n">
        <v>694793</v>
      </c>
      <c r="B2030" s="9" t="inlineStr">
        <is>
          <t>Jadon Bercovich</t>
        </is>
      </c>
      <c r="C2030" s="9" t="inlineStr">
        <is>
          <t>TB</t>
        </is>
      </c>
      <c r="D2030" s="9" t="n">
        <v>25</v>
      </c>
      <c r="E2030" s="18" t="inlineStr">
        <is>
          <t>R</t>
        </is>
      </c>
      <c r="F2030" s="18" t="n"/>
      <c r="G2030" s="9" t="n">
        <v>26.08666666666666</v>
      </c>
      <c r="H2030" s="9" t="n">
        <v>26.08666666666666</v>
      </c>
      <c r="I2030" s="9" t="inlineStr">
        <is>
          <t>Depth (no MLB IP)</t>
        </is>
      </c>
      <c r="J2030" s="18" t="inlineStr">
        <is>
          <t>Opening Day</t>
        </is>
      </c>
      <c r="K2030" s="11">
        <f>IFERROR(INDEX(Roles!$B$17:$B$20,MATCH(J2030,Roles!$A$17:$A$20,0)),1)</f>
        <v/>
      </c>
      <c r="L2030" s="19" t="n">
        <v>1</v>
      </c>
      <c r="M2030" s="11" t="n">
        <v>1</v>
      </c>
      <c r="N2030" s="19" t="n"/>
      <c r="O2030" s="19" t="n"/>
      <c r="P2030" s="19" t="n"/>
      <c r="Q2030" s="19" t="n"/>
      <c r="R2030" s="19" t="n"/>
      <c r="S2030" s="19" t="n"/>
      <c r="T2030" s="19" t="n"/>
      <c r="U2030" s="19" t="n"/>
      <c r="V2030" s="19" t="n"/>
      <c r="W2030" s="19" t="n"/>
      <c r="X2030" s="19" t="n"/>
      <c r="Y2030" s="19" t="n">
        <v>1</v>
      </c>
      <c r="Z2030" s="13">
        <f>SUMPRODUCT(N2030:Y2030,$N$2:$Y$2)*$K2030*$L2030*$M2030</f>
        <v/>
      </c>
      <c r="AA2030" s="14">
        <f>SUM(N2030:Y2030)</f>
        <v/>
      </c>
      <c r="AB2030" s="13">
        <f>SUMPRODUCT(N2030:Y2030,$N$3:$Y$3)*$K2030*$L2030*$M2030</f>
        <v/>
      </c>
      <c r="AC2030" s="13">
        <f>SUMPRODUCT(N2030:Y2030,$N$4:$Y$4)*$K2030*$L2030*$M2030</f>
        <v/>
      </c>
      <c r="AD2030" s="15" t="n">
        <v>3</v>
      </c>
      <c r="AE2030" s="11" t="n">
        <v>1.011296296296296</v>
      </c>
      <c r="AF2030" s="16">
        <f>SUMPRODUCT(N2030:Y2030,$N$5:$Y$5)*$K2030*$L2030*$M2030</f>
        <v/>
      </c>
      <c r="AG2030" s="16">
        <f>SUMPRODUCT(N2030:Y2030,$N$6:$Y$6)*$K2030*$L2030*$M2030</f>
        <v/>
      </c>
      <c r="AH2030" s="20" t="n"/>
    </row>
    <row r="2031">
      <c r="A2031" s="9" t="n">
        <v>836078</v>
      </c>
      <c r="B2031" s="9" t="inlineStr">
        <is>
          <t>Hayden Cuthbertson</t>
        </is>
      </c>
      <c r="C2031" s="9" t="inlineStr">
        <is>
          <t>MIA</t>
        </is>
      </c>
      <c r="D2031" s="9" t="n">
        <v>25</v>
      </c>
      <c r="E2031" s="18" t="inlineStr">
        <is>
          <t>L</t>
        </is>
      </c>
      <c r="F2031" s="18" t="n"/>
      <c r="G2031" s="9" t="n">
        <v>26.08666666666666</v>
      </c>
      <c r="H2031" s="9" t="n">
        <v>26.08666666666666</v>
      </c>
      <c r="I2031" s="9" t="inlineStr">
        <is>
          <t>Depth (no MLB IP)</t>
        </is>
      </c>
      <c r="J2031" s="18" t="inlineStr">
        <is>
          <t>Opening Day</t>
        </is>
      </c>
      <c r="K2031" s="11">
        <f>IFERROR(INDEX(Roles!$B$17:$B$20,MATCH(J2031,Roles!$A$17:$A$20,0)),1)</f>
        <v/>
      </c>
      <c r="L2031" s="19" t="n">
        <v>1</v>
      </c>
      <c r="M2031" s="11" t="n">
        <v>1</v>
      </c>
      <c r="N2031" s="19" t="n"/>
      <c r="O2031" s="19" t="n"/>
      <c r="P2031" s="19" t="n"/>
      <c r="Q2031" s="19" t="n"/>
      <c r="R2031" s="19" t="n"/>
      <c r="S2031" s="19" t="n"/>
      <c r="T2031" s="19" t="n"/>
      <c r="U2031" s="19" t="n"/>
      <c r="V2031" s="19" t="n"/>
      <c r="W2031" s="19" t="n"/>
      <c r="X2031" s="19" t="n"/>
      <c r="Y2031" s="19" t="n">
        <v>1</v>
      </c>
      <c r="Z2031" s="13">
        <f>SUMPRODUCT(N2031:Y2031,$N$2:$Y$2)*$K2031*$L2031*$M2031</f>
        <v/>
      </c>
      <c r="AA2031" s="14">
        <f>SUM(N2031:Y2031)</f>
        <v/>
      </c>
      <c r="AB2031" s="13">
        <f>SUMPRODUCT(N2031:Y2031,$N$3:$Y$3)*$K2031*$L2031*$M2031</f>
        <v/>
      </c>
      <c r="AC2031" s="13">
        <f>SUMPRODUCT(N2031:Y2031,$N$4:$Y$4)*$K2031*$L2031*$M2031</f>
        <v/>
      </c>
      <c r="AD2031" s="15" t="n">
        <v>3</v>
      </c>
      <c r="AE2031" s="11" t="n">
        <v>1.011296296296296</v>
      </c>
      <c r="AF2031" s="16">
        <f>SUMPRODUCT(N2031:Y2031,$N$5:$Y$5)*$K2031*$L2031*$M2031</f>
        <v/>
      </c>
      <c r="AG2031" s="16">
        <f>SUMPRODUCT(N2031:Y2031,$N$6:$Y$6)*$K2031*$L2031*$M2031</f>
        <v/>
      </c>
      <c r="AH2031" s="20" t="n"/>
    </row>
    <row r="2032">
      <c r="A2032" s="9" t="n">
        <v>696037</v>
      </c>
      <c r="B2032" s="9" t="inlineStr">
        <is>
          <t>Brayan Palencia</t>
        </is>
      </c>
      <c r="C2032" s="9" t="inlineStr">
        <is>
          <t>SF</t>
        </is>
      </c>
      <c r="D2032" s="9" t="n">
        <v>25</v>
      </c>
      <c r="E2032" s="18" t="inlineStr">
        <is>
          <t>R</t>
        </is>
      </c>
      <c r="F2032" s="18" t="n"/>
      <c r="G2032" s="9" t="n">
        <v>26.08666666666666</v>
      </c>
      <c r="H2032" s="9" t="n">
        <v>26.08666666666666</v>
      </c>
      <c r="I2032" s="9" t="inlineStr">
        <is>
          <t>Depth (no MLB IP)</t>
        </is>
      </c>
      <c r="J2032" s="18" t="inlineStr">
        <is>
          <t>Opening Day</t>
        </is>
      </c>
      <c r="K2032" s="11">
        <f>IFERROR(INDEX(Roles!$B$17:$B$20,MATCH(J2032,Roles!$A$17:$A$20,0)),1)</f>
        <v/>
      </c>
      <c r="L2032" s="19" t="n">
        <v>1</v>
      </c>
      <c r="M2032" s="11" t="n">
        <v>1</v>
      </c>
      <c r="N2032" s="19" t="n"/>
      <c r="O2032" s="19" t="n"/>
      <c r="P2032" s="19" t="n"/>
      <c r="Q2032" s="19" t="n"/>
      <c r="R2032" s="19" t="n"/>
      <c r="S2032" s="19" t="n"/>
      <c r="T2032" s="19" t="n"/>
      <c r="U2032" s="19" t="n"/>
      <c r="V2032" s="19" t="n"/>
      <c r="W2032" s="19" t="n"/>
      <c r="X2032" s="19" t="n"/>
      <c r="Y2032" s="19" t="n">
        <v>1</v>
      </c>
      <c r="Z2032" s="13">
        <f>SUMPRODUCT(N2032:Y2032,$N$2:$Y$2)*$K2032*$L2032*$M2032</f>
        <v/>
      </c>
      <c r="AA2032" s="14">
        <f>SUM(N2032:Y2032)</f>
        <v/>
      </c>
      <c r="AB2032" s="13">
        <f>SUMPRODUCT(N2032:Y2032,$N$3:$Y$3)*$K2032*$L2032*$M2032</f>
        <v/>
      </c>
      <c r="AC2032" s="13">
        <f>SUMPRODUCT(N2032:Y2032,$N$4:$Y$4)*$K2032*$L2032*$M2032</f>
        <v/>
      </c>
      <c r="AD2032" s="15" t="n">
        <v>3</v>
      </c>
      <c r="AE2032" s="11" t="n">
        <v>1.011296296296296</v>
      </c>
      <c r="AF2032" s="16">
        <f>SUMPRODUCT(N2032:Y2032,$N$5:$Y$5)*$K2032*$L2032*$M2032</f>
        <v/>
      </c>
      <c r="AG2032" s="16">
        <f>SUMPRODUCT(N2032:Y2032,$N$6:$Y$6)*$K2032*$L2032*$M2032</f>
        <v/>
      </c>
      <c r="AH2032" s="20" t="n"/>
    </row>
    <row r="2033">
      <c r="A2033" s="9" t="n">
        <v>805772</v>
      </c>
      <c r="B2033" s="9" t="inlineStr">
        <is>
          <t>Conor Steinbaugh</t>
        </is>
      </c>
      <c r="C2033" s="9" t="inlineStr">
        <is>
          <t>HOU</t>
        </is>
      </c>
      <c r="D2033" s="9" t="n">
        <v>25</v>
      </c>
      <c r="E2033" s="18" t="inlineStr">
        <is>
          <t>R</t>
        </is>
      </c>
      <c r="F2033" s="18" t="n"/>
      <c r="G2033" s="9" t="n">
        <v>26.08666666666666</v>
      </c>
      <c r="H2033" s="9" t="n">
        <v>26.08666666666666</v>
      </c>
      <c r="I2033" s="9" t="inlineStr">
        <is>
          <t>Depth (no MLB IP)</t>
        </is>
      </c>
      <c r="J2033" s="18" t="inlineStr">
        <is>
          <t>Opening Day</t>
        </is>
      </c>
      <c r="K2033" s="11">
        <f>IFERROR(INDEX(Roles!$B$17:$B$20,MATCH(J2033,Roles!$A$17:$A$20,0)),1)</f>
        <v/>
      </c>
      <c r="L2033" s="19" t="n">
        <v>1</v>
      </c>
      <c r="M2033" s="11" t="n">
        <v>1</v>
      </c>
      <c r="N2033" s="19" t="n"/>
      <c r="O2033" s="19" t="n"/>
      <c r="P2033" s="19" t="n"/>
      <c r="Q2033" s="19" t="n"/>
      <c r="R2033" s="19" t="n"/>
      <c r="S2033" s="19" t="n"/>
      <c r="T2033" s="19" t="n"/>
      <c r="U2033" s="19" t="n"/>
      <c r="V2033" s="19" t="n"/>
      <c r="W2033" s="19" t="n"/>
      <c r="X2033" s="19" t="n"/>
      <c r="Y2033" s="19" t="n">
        <v>1</v>
      </c>
      <c r="Z2033" s="13">
        <f>SUMPRODUCT(N2033:Y2033,$N$2:$Y$2)*$K2033*$L2033*$M2033</f>
        <v/>
      </c>
      <c r="AA2033" s="14">
        <f>SUM(N2033:Y2033)</f>
        <v/>
      </c>
      <c r="AB2033" s="13">
        <f>SUMPRODUCT(N2033:Y2033,$N$3:$Y$3)*$K2033*$L2033*$M2033</f>
        <v/>
      </c>
      <c r="AC2033" s="13">
        <f>SUMPRODUCT(N2033:Y2033,$N$4:$Y$4)*$K2033*$L2033*$M2033</f>
        <v/>
      </c>
      <c r="AD2033" s="15" t="n">
        <v>3</v>
      </c>
      <c r="AE2033" s="11" t="n">
        <v>1.011296296296296</v>
      </c>
      <c r="AF2033" s="16">
        <f>SUMPRODUCT(N2033:Y2033,$N$5:$Y$5)*$K2033*$L2033*$M2033</f>
        <v/>
      </c>
      <c r="AG2033" s="16">
        <f>SUMPRODUCT(N2033:Y2033,$N$6:$Y$6)*$K2033*$L2033*$M2033</f>
        <v/>
      </c>
      <c r="AH2033" s="20" t="n"/>
    </row>
    <row r="2034">
      <c r="A2034" s="9" t="n">
        <v>824613</v>
      </c>
      <c r="B2034" s="9" t="inlineStr">
        <is>
          <t>Cole Tolbert</t>
        </is>
      </c>
      <c r="C2034" s="9" t="inlineStr">
        <is>
          <t>BOS</t>
        </is>
      </c>
      <c r="D2034" s="9" t="n">
        <v>25</v>
      </c>
      <c r="E2034" s="18" t="inlineStr">
        <is>
          <t>R</t>
        </is>
      </c>
      <c r="F2034" s="18" t="n"/>
      <c r="G2034" s="9" t="n">
        <v>26.316</v>
      </c>
      <c r="H2034" s="9" t="n">
        <v>26.316</v>
      </c>
      <c r="I2034" s="9" t="inlineStr">
        <is>
          <t>Depth (no MLB IP)</t>
        </is>
      </c>
      <c r="J2034" s="18" t="inlineStr">
        <is>
          <t>Opening Day</t>
        </is>
      </c>
      <c r="K2034" s="11">
        <f>IFERROR(INDEX(Roles!$B$17:$B$20,MATCH(J2034,Roles!$A$17:$A$20,0)),1)</f>
        <v/>
      </c>
      <c r="L2034" s="19" t="n">
        <v>1</v>
      </c>
      <c r="M2034" s="11" t="n">
        <v>1</v>
      </c>
      <c r="N2034" s="19" t="n"/>
      <c r="O2034" s="19" t="n"/>
      <c r="P2034" s="19" t="n"/>
      <c r="Q2034" s="19" t="n"/>
      <c r="R2034" s="19" t="n"/>
      <c r="S2034" s="19" t="n"/>
      <c r="T2034" s="19" t="n"/>
      <c r="U2034" s="19" t="n"/>
      <c r="V2034" s="19" t="n"/>
      <c r="W2034" s="19" t="n"/>
      <c r="X2034" s="19" t="n"/>
      <c r="Y2034" s="19" t="n">
        <v>1</v>
      </c>
      <c r="Z2034" s="13">
        <f>SUMPRODUCT(N2034:Y2034,$N$2:$Y$2)*$K2034*$L2034*$M2034</f>
        <v/>
      </c>
      <c r="AA2034" s="14">
        <f>SUM(N2034:Y2034)</f>
        <v/>
      </c>
      <c r="AB2034" s="13">
        <f>SUMPRODUCT(N2034:Y2034,$N$3:$Y$3)*$K2034*$L2034*$M2034</f>
        <v/>
      </c>
      <c r="AC2034" s="13">
        <f>SUMPRODUCT(N2034:Y2034,$N$4:$Y$4)*$K2034*$L2034*$M2034</f>
        <v/>
      </c>
      <c r="AD2034" s="15" t="n">
        <v>3</v>
      </c>
      <c r="AE2034" s="11" t="n">
        <v>1.011296296296296</v>
      </c>
      <c r="AF2034" s="16">
        <f>SUMPRODUCT(N2034:Y2034,$N$5:$Y$5)*$K2034*$L2034*$M2034</f>
        <v/>
      </c>
      <c r="AG2034" s="16">
        <f>SUMPRODUCT(N2034:Y2034,$N$6:$Y$6)*$K2034*$L2034*$M2034</f>
        <v/>
      </c>
      <c r="AH2034" s="20" t="n"/>
    </row>
    <row r="2035">
      <c r="A2035" s="9" t="n">
        <v>833080</v>
      </c>
      <c r="B2035" s="9" t="inlineStr">
        <is>
          <t>Ethan Walker</t>
        </is>
      </c>
      <c r="C2035" s="9" t="inlineStr">
        <is>
          <t>BOS</t>
        </is>
      </c>
      <c r="D2035" s="9" t="n">
        <v>25</v>
      </c>
      <c r="E2035" s="18" t="inlineStr">
        <is>
          <t>L</t>
        </is>
      </c>
      <c r="F2035" s="18" t="n"/>
      <c r="G2035" s="9" t="n">
        <v>26.316</v>
      </c>
      <c r="H2035" s="9" t="n">
        <v>26.316</v>
      </c>
      <c r="I2035" s="9" t="inlineStr">
        <is>
          <t>Depth (no MLB IP)</t>
        </is>
      </c>
      <c r="J2035" s="18" t="inlineStr">
        <is>
          <t>Opening Day</t>
        </is>
      </c>
      <c r="K2035" s="11">
        <f>IFERROR(INDEX(Roles!$B$17:$B$20,MATCH(J2035,Roles!$A$17:$A$20,0)),1)</f>
        <v/>
      </c>
      <c r="L2035" s="19" t="n">
        <v>1</v>
      </c>
      <c r="M2035" s="11" t="n">
        <v>1</v>
      </c>
      <c r="N2035" s="19" t="n"/>
      <c r="O2035" s="19" t="n"/>
      <c r="P2035" s="19" t="n"/>
      <c r="Q2035" s="19" t="n"/>
      <c r="R2035" s="19" t="n"/>
      <c r="S2035" s="19" t="n"/>
      <c r="T2035" s="19" t="n"/>
      <c r="U2035" s="19" t="n"/>
      <c r="V2035" s="19" t="n"/>
      <c r="W2035" s="19" t="n"/>
      <c r="X2035" s="19" t="n"/>
      <c r="Y2035" s="19" t="n">
        <v>1</v>
      </c>
      <c r="Z2035" s="13">
        <f>SUMPRODUCT(N2035:Y2035,$N$2:$Y$2)*$K2035*$L2035*$M2035</f>
        <v/>
      </c>
      <c r="AA2035" s="14">
        <f>SUM(N2035:Y2035)</f>
        <v/>
      </c>
      <c r="AB2035" s="13">
        <f>SUMPRODUCT(N2035:Y2035,$N$3:$Y$3)*$K2035*$L2035*$M2035</f>
        <v/>
      </c>
      <c r="AC2035" s="13">
        <f>SUMPRODUCT(N2035:Y2035,$N$4:$Y$4)*$K2035*$L2035*$M2035</f>
        <v/>
      </c>
      <c r="AD2035" s="15" t="n">
        <v>3</v>
      </c>
      <c r="AE2035" s="11" t="n">
        <v>1.011296296296296</v>
      </c>
      <c r="AF2035" s="16">
        <f>SUMPRODUCT(N2035:Y2035,$N$5:$Y$5)*$K2035*$L2035*$M2035</f>
        <v/>
      </c>
      <c r="AG2035" s="16">
        <f>SUMPRODUCT(N2035:Y2035,$N$6:$Y$6)*$K2035*$L2035*$M2035</f>
        <v/>
      </c>
      <c r="AH2035" s="20" t="n"/>
    </row>
    <row r="2036">
      <c r="A2036" s="9" t="n">
        <v>821023</v>
      </c>
      <c r="B2036" s="9" t="inlineStr">
        <is>
          <t>Marlon De La Cruz</t>
        </is>
      </c>
      <c r="C2036" s="9" t="inlineStr">
        <is>
          <t>WSH</t>
        </is>
      </c>
      <c r="D2036" s="9" t="n">
        <v>25</v>
      </c>
      <c r="E2036" s="18" t="inlineStr">
        <is>
          <t>R</t>
        </is>
      </c>
      <c r="F2036" s="18" t="n"/>
      <c r="G2036" s="9" t="n">
        <v>26.316</v>
      </c>
      <c r="H2036" s="9" t="n">
        <v>26.316</v>
      </c>
      <c r="I2036" s="9" t="inlineStr">
        <is>
          <t>Depth (no MLB IP)</t>
        </is>
      </c>
      <c r="J2036" s="18" t="inlineStr">
        <is>
          <t>Opening Day</t>
        </is>
      </c>
      <c r="K2036" s="11">
        <f>IFERROR(INDEX(Roles!$B$17:$B$20,MATCH(J2036,Roles!$A$17:$A$20,0)),1)</f>
        <v/>
      </c>
      <c r="L2036" s="19" t="n">
        <v>1</v>
      </c>
      <c r="M2036" s="11" t="n">
        <v>1</v>
      </c>
      <c r="N2036" s="19" t="n"/>
      <c r="O2036" s="19" t="n"/>
      <c r="P2036" s="19" t="n"/>
      <c r="Q2036" s="19" t="n"/>
      <c r="R2036" s="19" t="n"/>
      <c r="S2036" s="19" t="n"/>
      <c r="T2036" s="19" t="n"/>
      <c r="U2036" s="19" t="n"/>
      <c r="V2036" s="19" t="n"/>
      <c r="W2036" s="19" t="n"/>
      <c r="X2036" s="19" t="n"/>
      <c r="Y2036" s="19" t="n">
        <v>1</v>
      </c>
      <c r="Z2036" s="13">
        <f>SUMPRODUCT(N2036:Y2036,$N$2:$Y$2)*$K2036*$L2036*$M2036</f>
        <v/>
      </c>
      <c r="AA2036" s="14">
        <f>SUM(N2036:Y2036)</f>
        <v/>
      </c>
      <c r="AB2036" s="13">
        <f>SUMPRODUCT(N2036:Y2036,$N$3:$Y$3)*$K2036*$L2036*$M2036</f>
        <v/>
      </c>
      <c r="AC2036" s="13">
        <f>SUMPRODUCT(N2036:Y2036,$N$4:$Y$4)*$K2036*$L2036*$M2036</f>
        <v/>
      </c>
      <c r="AD2036" s="15" t="n">
        <v>3</v>
      </c>
      <c r="AE2036" s="11" t="n">
        <v>1.011296296296296</v>
      </c>
      <c r="AF2036" s="16">
        <f>SUMPRODUCT(N2036:Y2036,$N$5:$Y$5)*$K2036*$L2036*$M2036</f>
        <v/>
      </c>
      <c r="AG2036" s="16">
        <f>SUMPRODUCT(N2036:Y2036,$N$6:$Y$6)*$K2036*$L2036*$M2036</f>
        <v/>
      </c>
      <c r="AH2036" s="20" t="n"/>
    </row>
    <row r="2037">
      <c r="A2037" s="9" t="n">
        <v>808671</v>
      </c>
      <c r="B2037" s="9" t="inlineStr">
        <is>
          <t>Jhon Reyes</t>
        </is>
      </c>
      <c r="C2037" s="9" t="inlineStr">
        <is>
          <t>KC</t>
        </is>
      </c>
      <c r="D2037" s="9" t="n">
        <v>25</v>
      </c>
      <c r="E2037" s="18" t="inlineStr">
        <is>
          <t>R</t>
        </is>
      </c>
      <c r="F2037" s="18" t="n"/>
      <c r="G2037" s="9" t="n">
        <v>26.316</v>
      </c>
      <c r="H2037" s="9" t="n">
        <v>26.316</v>
      </c>
      <c r="I2037" s="9" t="inlineStr">
        <is>
          <t>Depth (no MLB IP)</t>
        </is>
      </c>
      <c r="J2037" s="18" t="inlineStr">
        <is>
          <t>Opening Day</t>
        </is>
      </c>
      <c r="K2037" s="11">
        <f>IFERROR(INDEX(Roles!$B$17:$B$20,MATCH(J2037,Roles!$A$17:$A$20,0)),1)</f>
        <v/>
      </c>
      <c r="L2037" s="19" t="n">
        <v>1</v>
      </c>
      <c r="M2037" s="11" t="n">
        <v>1</v>
      </c>
      <c r="N2037" s="19" t="n"/>
      <c r="O2037" s="19" t="n"/>
      <c r="P2037" s="19" t="n"/>
      <c r="Q2037" s="19" t="n"/>
      <c r="R2037" s="19" t="n"/>
      <c r="S2037" s="19" t="n"/>
      <c r="T2037" s="19" t="n"/>
      <c r="U2037" s="19" t="n"/>
      <c r="V2037" s="19" t="n"/>
      <c r="W2037" s="19" t="n"/>
      <c r="X2037" s="19" t="n"/>
      <c r="Y2037" s="19" t="n">
        <v>1</v>
      </c>
      <c r="Z2037" s="13">
        <f>SUMPRODUCT(N2037:Y2037,$N$2:$Y$2)*$K2037*$L2037*$M2037</f>
        <v/>
      </c>
      <c r="AA2037" s="14">
        <f>SUM(N2037:Y2037)</f>
        <v/>
      </c>
      <c r="AB2037" s="13">
        <f>SUMPRODUCT(N2037:Y2037,$N$3:$Y$3)*$K2037*$L2037*$M2037</f>
        <v/>
      </c>
      <c r="AC2037" s="13">
        <f>SUMPRODUCT(N2037:Y2037,$N$4:$Y$4)*$K2037*$L2037*$M2037</f>
        <v/>
      </c>
      <c r="AD2037" s="15" t="n">
        <v>3</v>
      </c>
      <c r="AE2037" s="11" t="n">
        <v>1.011296296296296</v>
      </c>
      <c r="AF2037" s="16">
        <f>SUMPRODUCT(N2037:Y2037,$N$5:$Y$5)*$K2037*$L2037*$M2037</f>
        <v/>
      </c>
      <c r="AG2037" s="16">
        <f>SUMPRODUCT(N2037:Y2037,$N$6:$Y$6)*$K2037*$L2037*$M2037</f>
        <v/>
      </c>
      <c r="AH2037" s="20" t="n"/>
    </row>
    <row r="2038">
      <c r="A2038" s="9" t="n">
        <v>828492</v>
      </c>
      <c r="B2038" s="9" t="inlineStr">
        <is>
          <t>Xavier Kolhosser</t>
        </is>
      </c>
      <c r="C2038" s="9" t="inlineStr">
        <is>
          <t>MIN</t>
        </is>
      </c>
      <c r="D2038" s="9" t="n">
        <v>25</v>
      </c>
      <c r="E2038" s="18" t="inlineStr">
        <is>
          <t>R</t>
        </is>
      </c>
      <c r="F2038" s="18" t="n"/>
      <c r="G2038" s="9" t="n">
        <v>26.37333333333333</v>
      </c>
      <c r="H2038" s="9" t="n">
        <v>26.37333333333333</v>
      </c>
      <c r="I2038" s="9" t="inlineStr">
        <is>
          <t>Depth (no MLB IP)</t>
        </is>
      </c>
      <c r="J2038" s="18" t="inlineStr">
        <is>
          <t>Opening Day</t>
        </is>
      </c>
      <c r="K2038" s="11">
        <f>IFERROR(INDEX(Roles!$B$17:$B$20,MATCH(J2038,Roles!$A$17:$A$20,0)),1)</f>
        <v/>
      </c>
      <c r="L2038" s="19" t="n">
        <v>1</v>
      </c>
      <c r="M2038" s="11" t="n">
        <v>1</v>
      </c>
      <c r="N2038" s="19" t="n"/>
      <c r="O2038" s="19" t="n"/>
      <c r="P2038" s="19" t="n"/>
      <c r="Q2038" s="19" t="n"/>
      <c r="R2038" s="19" t="n"/>
      <c r="S2038" s="19" t="n"/>
      <c r="T2038" s="19" t="n"/>
      <c r="U2038" s="19" t="n"/>
      <c r="V2038" s="19" t="n"/>
      <c r="W2038" s="19" t="n"/>
      <c r="X2038" s="19" t="n"/>
      <c r="Y2038" s="19" t="n">
        <v>1</v>
      </c>
      <c r="Z2038" s="13">
        <f>SUMPRODUCT(N2038:Y2038,$N$2:$Y$2)*$K2038*$L2038*$M2038</f>
        <v/>
      </c>
      <c r="AA2038" s="14">
        <f>SUM(N2038:Y2038)</f>
        <v/>
      </c>
      <c r="AB2038" s="13">
        <f>SUMPRODUCT(N2038:Y2038,$N$3:$Y$3)*$K2038*$L2038*$M2038</f>
        <v/>
      </c>
      <c r="AC2038" s="13">
        <f>SUMPRODUCT(N2038:Y2038,$N$4:$Y$4)*$K2038*$L2038*$M2038</f>
        <v/>
      </c>
      <c r="AD2038" s="15" t="n">
        <v>3</v>
      </c>
      <c r="AE2038" s="11" t="n">
        <v>1.011296296296296</v>
      </c>
      <c r="AF2038" s="16">
        <f>SUMPRODUCT(N2038:Y2038,$N$5:$Y$5)*$K2038*$L2038*$M2038</f>
        <v/>
      </c>
      <c r="AG2038" s="16">
        <f>SUMPRODUCT(N2038:Y2038,$N$6:$Y$6)*$K2038*$L2038*$M2038</f>
        <v/>
      </c>
      <c r="AH2038" s="20" t="n"/>
    </row>
    <row r="2039">
      <c r="A2039" s="9" t="n">
        <v>808122</v>
      </c>
      <c r="B2039" s="9" t="inlineStr">
        <is>
          <t>Erigaldi Perez</t>
        </is>
      </c>
      <c r="C2039" s="9" t="inlineStr">
        <is>
          <t>CLE</t>
        </is>
      </c>
      <c r="D2039" s="9" t="n">
        <v>25</v>
      </c>
      <c r="E2039" s="18" t="inlineStr">
        <is>
          <t>R</t>
        </is>
      </c>
      <c r="F2039" s="18" t="n"/>
      <c r="G2039" s="9" t="n">
        <v>26.488</v>
      </c>
      <c r="H2039" s="9" t="n">
        <v>26.488</v>
      </c>
      <c r="I2039" s="9" t="inlineStr">
        <is>
          <t>Depth (no MLB IP)</t>
        </is>
      </c>
      <c r="J2039" s="18" t="inlineStr">
        <is>
          <t>Opening Day</t>
        </is>
      </c>
      <c r="K2039" s="11">
        <f>IFERROR(INDEX(Roles!$B$17:$B$20,MATCH(J2039,Roles!$A$17:$A$20,0)),1)</f>
        <v/>
      </c>
      <c r="L2039" s="19" t="n">
        <v>1</v>
      </c>
      <c r="M2039" s="11" t="n">
        <v>1</v>
      </c>
      <c r="N2039" s="19" t="n"/>
      <c r="O2039" s="19" t="n"/>
      <c r="P2039" s="19" t="n"/>
      <c r="Q2039" s="19" t="n"/>
      <c r="R2039" s="19" t="n"/>
      <c r="S2039" s="19" t="n"/>
      <c r="T2039" s="19" t="n"/>
      <c r="U2039" s="19" t="n"/>
      <c r="V2039" s="19" t="n"/>
      <c r="W2039" s="19" t="n"/>
      <c r="X2039" s="19" t="n"/>
      <c r="Y2039" s="19" t="n">
        <v>1</v>
      </c>
      <c r="Z2039" s="13">
        <f>SUMPRODUCT(N2039:Y2039,$N$2:$Y$2)*$K2039*$L2039*$M2039</f>
        <v/>
      </c>
      <c r="AA2039" s="14">
        <f>SUM(N2039:Y2039)</f>
        <v/>
      </c>
      <c r="AB2039" s="13">
        <f>SUMPRODUCT(N2039:Y2039,$N$3:$Y$3)*$K2039*$L2039*$M2039</f>
        <v/>
      </c>
      <c r="AC2039" s="13">
        <f>SUMPRODUCT(N2039:Y2039,$N$4:$Y$4)*$K2039*$L2039*$M2039</f>
        <v/>
      </c>
      <c r="AD2039" s="15" t="n">
        <v>3</v>
      </c>
      <c r="AE2039" s="11" t="n">
        <v>1.011296296296296</v>
      </c>
      <c r="AF2039" s="16">
        <f>SUMPRODUCT(N2039:Y2039,$N$5:$Y$5)*$K2039*$L2039*$M2039</f>
        <v/>
      </c>
      <c r="AG2039" s="16">
        <f>SUMPRODUCT(N2039:Y2039,$N$6:$Y$6)*$K2039*$L2039*$M2039</f>
        <v/>
      </c>
      <c r="AH2039" s="20" t="n"/>
    </row>
    <row r="2040">
      <c r="A2040" s="9" t="n">
        <v>693176</v>
      </c>
      <c r="B2040" s="9" t="inlineStr">
        <is>
          <t>Elison Joseph</t>
        </is>
      </c>
      <c r="C2040" s="9" t="inlineStr">
        <is>
          <t>ATL</t>
        </is>
      </c>
      <c r="D2040" s="9" t="n">
        <v>25</v>
      </c>
      <c r="E2040" s="18" t="inlineStr">
        <is>
          <t>R</t>
        </is>
      </c>
      <c r="F2040" s="18" t="n"/>
      <c r="G2040" s="9" t="n">
        <v>26.58833333333333</v>
      </c>
      <c r="H2040" s="9" t="n">
        <v>26.58833333333333</v>
      </c>
      <c r="I2040" s="9" t="inlineStr">
        <is>
          <t>Depth (no MLB IP)</t>
        </is>
      </c>
      <c r="J2040" s="18" t="inlineStr">
        <is>
          <t>Opening Day</t>
        </is>
      </c>
      <c r="K2040" s="11">
        <f>IFERROR(INDEX(Roles!$B$17:$B$20,MATCH(J2040,Roles!$A$17:$A$20,0)),1)</f>
        <v/>
      </c>
      <c r="L2040" s="19" t="n">
        <v>1</v>
      </c>
      <c r="M2040" s="11" t="n">
        <v>1</v>
      </c>
      <c r="N2040" s="19" t="n"/>
      <c r="O2040" s="19" t="n"/>
      <c r="P2040" s="19" t="n"/>
      <c r="Q2040" s="19" t="n"/>
      <c r="R2040" s="19" t="n"/>
      <c r="S2040" s="19" t="n"/>
      <c r="T2040" s="19" t="n"/>
      <c r="U2040" s="19" t="n"/>
      <c r="V2040" s="19" t="n"/>
      <c r="W2040" s="19" t="n"/>
      <c r="X2040" s="19" t="n"/>
      <c r="Y2040" s="19" t="n">
        <v>1</v>
      </c>
      <c r="Z2040" s="13">
        <f>SUMPRODUCT(N2040:Y2040,$N$2:$Y$2)*$K2040*$L2040*$M2040</f>
        <v/>
      </c>
      <c r="AA2040" s="14">
        <f>SUM(N2040:Y2040)</f>
        <v/>
      </c>
      <c r="AB2040" s="13">
        <f>SUMPRODUCT(N2040:Y2040,$N$3:$Y$3)*$K2040*$L2040*$M2040</f>
        <v/>
      </c>
      <c r="AC2040" s="13">
        <f>SUMPRODUCT(N2040:Y2040,$N$4:$Y$4)*$K2040*$L2040*$M2040</f>
        <v/>
      </c>
      <c r="AD2040" s="15" t="n">
        <v>3</v>
      </c>
      <c r="AE2040" s="11" t="n">
        <v>1.011296296296296</v>
      </c>
      <c r="AF2040" s="16">
        <f>SUMPRODUCT(N2040:Y2040,$N$5:$Y$5)*$K2040*$L2040*$M2040</f>
        <v/>
      </c>
      <c r="AG2040" s="16">
        <f>SUMPRODUCT(N2040:Y2040,$N$6:$Y$6)*$K2040*$L2040*$M2040</f>
        <v/>
      </c>
      <c r="AH2040" s="20" t="n"/>
    </row>
    <row r="2041">
      <c r="A2041" s="9" t="n">
        <v>823771</v>
      </c>
      <c r="B2041" s="9" t="inlineStr">
        <is>
          <t>Itsuki Takemoto</t>
        </is>
      </c>
      <c r="C2041" s="9" t="inlineStr">
        <is>
          <t>OAK</t>
        </is>
      </c>
      <c r="D2041" s="9" t="n">
        <v>25</v>
      </c>
      <c r="E2041" s="18" t="inlineStr">
        <is>
          <t>R</t>
        </is>
      </c>
      <c r="F2041" s="18" t="n"/>
      <c r="G2041" s="9" t="n">
        <v>26.66</v>
      </c>
      <c r="H2041" s="9" t="n">
        <v>26.66</v>
      </c>
      <c r="I2041" s="9" t="inlineStr">
        <is>
          <t>Depth (no MLB IP)</t>
        </is>
      </c>
      <c r="J2041" s="18" t="inlineStr">
        <is>
          <t>Opening Day</t>
        </is>
      </c>
      <c r="K2041" s="11">
        <f>IFERROR(INDEX(Roles!$B$17:$B$20,MATCH(J2041,Roles!$A$17:$A$20,0)),1)</f>
        <v/>
      </c>
      <c r="L2041" s="19" t="n">
        <v>1</v>
      </c>
      <c r="M2041" s="11" t="n">
        <v>1</v>
      </c>
      <c r="N2041" s="19" t="n"/>
      <c r="O2041" s="19" t="n"/>
      <c r="P2041" s="19" t="n"/>
      <c r="Q2041" s="19" t="n"/>
      <c r="R2041" s="19" t="n"/>
      <c r="S2041" s="19" t="n"/>
      <c r="T2041" s="19" t="n"/>
      <c r="U2041" s="19" t="n"/>
      <c r="V2041" s="19" t="n"/>
      <c r="W2041" s="19" t="n"/>
      <c r="X2041" s="19" t="n"/>
      <c r="Y2041" s="19" t="n">
        <v>1</v>
      </c>
      <c r="Z2041" s="13">
        <f>SUMPRODUCT(N2041:Y2041,$N$2:$Y$2)*$K2041*$L2041*$M2041</f>
        <v/>
      </c>
      <c r="AA2041" s="14">
        <f>SUM(N2041:Y2041)</f>
        <v/>
      </c>
      <c r="AB2041" s="13">
        <f>SUMPRODUCT(N2041:Y2041,$N$3:$Y$3)*$K2041*$L2041*$M2041</f>
        <v/>
      </c>
      <c r="AC2041" s="13">
        <f>SUMPRODUCT(N2041:Y2041,$N$4:$Y$4)*$K2041*$L2041*$M2041</f>
        <v/>
      </c>
      <c r="AD2041" s="15" t="n">
        <v>3</v>
      </c>
      <c r="AE2041" s="11" t="n">
        <v>1.011296296296296</v>
      </c>
      <c r="AF2041" s="16">
        <f>SUMPRODUCT(N2041:Y2041,$N$5:$Y$5)*$K2041*$L2041*$M2041</f>
        <v/>
      </c>
      <c r="AG2041" s="16">
        <f>SUMPRODUCT(N2041:Y2041,$N$6:$Y$6)*$K2041*$L2041*$M2041</f>
        <v/>
      </c>
      <c r="AH2041" s="20" t="n"/>
    </row>
    <row r="2042">
      <c r="A2042" s="9" t="n">
        <v>702604</v>
      </c>
      <c r="B2042" s="9" t="inlineStr">
        <is>
          <t>Michael Kennedy</t>
        </is>
      </c>
      <c r="C2042" s="9" t="inlineStr">
        <is>
          <t>CLE</t>
        </is>
      </c>
      <c r="D2042" s="9" t="n">
        <v>25</v>
      </c>
      <c r="E2042" s="18" t="inlineStr">
        <is>
          <t>L</t>
        </is>
      </c>
      <c r="F2042" s="18" t="n"/>
      <c r="G2042" s="9" t="n">
        <v>26.58833333333333</v>
      </c>
      <c r="H2042" s="9" t="n">
        <v>26.58833333333333</v>
      </c>
      <c r="I2042" s="9" t="inlineStr">
        <is>
          <t>Depth (no MLB IP)</t>
        </is>
      </c>
      <c r="J2042" s="18" t="inlineStr">
        <is>
          <t>Opening Day</t>
        </is>
      </c>
      <c r="K2042" s="11">
        <f>IFERROR(INDEX(Roles!$B$17:$B$20,MATCH(J2042,Roles!$A$17:$A$20,0)),1)</f>
        <v/>
      </c>
      <c r="L2042" s="19" t="n">
        <v>1</v>
      </c>
      <c r="M2042" s="11" t="n">
        <v>1</v>
      </c>
      <c r="N2042" s="19" t="n"/>
      <c r="O2042" s="19" t="n"/>
      <c r="P2042" s="19" t="n"/>
      <c r="Q2042" s="19" t="n"/>
      <c r="R2042" s="19" t="n"/>
      <c r="S2042" s="19" t="n"/>
      <c r="T2042" s="19" t="n"/>
      <c r="U2042" s="19" t="n"/>
      <c r="V2042" s="19" t="n"/>
      <c r="W2042" s="19" t="n"/>
      <c r="X2042" s="19" t="n"/>
      <c r="Y2042" s="19" t="n">
        <v>1</v>
      </c>
      <c r="Z2042" s="13">
        <f>SUMPRODUCT(N2042:Y2042,$N$2:$Y$2)*$K2042*$L2042*$M2042</f>
        <v/>
      </c>
      <c r="AA2042" s="14">
        <f>SUM(N2042:Y2042)</f>
        <v/>
      </c>
      <c r="AB2042" s="13">
        <f>SUMPRODUCT(N2042:Y2042,$N$3:$Y$3)*$K2042*$L2042*$M2042</f>
        <v/>
      </c>
      <c r="AC2042" s="13">
        <f>SUMPRODUCT(N2042:Y2042,$N$4:$Y$4)*$K2042*$L2042*$M2042</f>
        <v/>
      </c>
      <c r="AD2042" s="15" t="n">
        <v>3</v>
      </c>
      <c r="AE2042" s="11" t="n">
        <v>1.011296296296296</v>
      </c>
      <c r="AF2042" s="16">
        <f>SUMPRODUCT(N2042:Y2042,$N$5:$Y$5)*$K2042*$L2042*$M2042</f>
        <v/>
      </c>
      <c r="AG2042" s="16">
        <f>SUMPRODUCT(N2042:Y2042,$N$6:$Y$6)*$K2042*$L2042*$M2042</f>
        <v/>
      </c>
      <c r="AH2042" s="20" t="n"/>
    </row>
    <row r="2043">
      <c r="A2043" s="9" t="n">
        <v>827521</v>
      </c>
      <c r="B2043" s="9" t="inlineStr">
        <is>
          <t>Justin Mitrovich</t>
        </is>
      </c>
      <c r="C2043" s="9" t="inlineStr">
        <is>
          <t>MIN</t>
        </is>
      </c>
      <c r="D2043" s="9" t="n">
        <v>25</v>
      </c>
      <c r="E2043" s="18" t="inlineStr">
        <is>
          <t>R</t>
        </is>
      </c>
      <c r="F2043" s="18" t="n"/>
      <c r="G2043" s="9" t="n">
        <v>26.66</v>
      </c>
      <c r="H2043" s="9" t="n">
        <v>26.66</v>
      </c>
      <c r="I2043" s="9" t="inlineStr">
        <is>
          <t>Depth (no MLB IP)</t>
        </is>
      </c>
      <c r="J2043" s="18" t="inlineStr">
        <is>
          <t>Opening Day</t>
        </is>
      </c>
      <c r="K2043" s="11">
        <f>IFERROR(INDEX(Roles!$B$17:$B$20,MATCH(J2043,Roles!$A$17:$A$20,0)),1)</f>
        <v/>
      </c>
      <c r="L2043" s="19" t="n">
        <v>1</v>
      </c>
      <c r="M2043" s="11" t="n">
        <v>1</v>
      </c>
      <c r="N2043" s="19" t="n"/>
      <c r="O2043" s="19" t="n"/>
      <c r="P2043" s="19" t="n"/>
      <c r="Q2043" s="19" t="n"/>
      <c r="R2043" s="19" t="n"/>
      <c r="S2043" s="19" t="n"/>
      <c r="T2043" s="19" t="n"/>
      <c r="U2043" s="19" t="n"/>
      <c r="V2043" s="19" t="n"/>
      <c r="W2043" s="19" t="n"/>
      <c r="X2043" s="19" t="n"/>
      <c r="Y2043" s="19" t="n">
        <v>1</v>
      </c>
      <c r="Z2043" s="13">
        <f>SUMPRODUCT(N2043:Y2043,$N$2:$Y$2)*$K2043*$L2043*$M2043</f>
        <v/>
      </c>
      <c r="AA2043" s="14">
        <f>SUM(N2043:Y2043)</f>
        <v/>
      </c>
      <c r="AB2043" s="13">
        <f>SUMPRODUCT(N2043:Y2043,$N$3:$Y$3)*$K2043*$L2043*$M2043</f>
        <v/>
      </c>
      <c r="AC2043" s="13">
        <f>SUMPRODUCT(N2043:Y2043,$N$4:$Y$4)*$K2043*$L2043*$M2043</f>
        <v/>
      </c>
      <c r="AD2043" s="15" t="n">
        <v>3</v>
      </c>
      <c r="AE2043" s="11" t="n">
        <v>1.011296296296296</v>
      </c>
      <c r="AF2043" s="16">
        <f>SUMPRODUCT(N2043:Y2043,$N$5:$Y$5)*$K2043*$L2043*$M2043</f>
        <v/>
      </c>
      <c r="AG2043" s="16">
        <f>SUMPRODUCT(N2043:Y2043,$N$6:$Y$6)*$K2043*$L2043*$M2043</f>
        <v/>
      </c>
      <c r="AH2043" s="20" t="n"/>
    </row>
    <row r="2044">
      <c r="A2044" s="9" t="n">
        <v>827640</v>
      </c>
      <c r="B2044" s="9" t="inlineStr">
        <is>
          <t>Lucas Elissalt</t>
        </is>
      </c>
      <c r="C2044" s="9" t="inlineStr">
        <is>
          <t>DET</t>
        </is>
      </c>
      <c r="D2044" s="9" t="n">
        <v>23</v>
      </c>
      <c r="E2044" s="18" t="inlineStr">
        <is>
          <t>R</t>
        </is>
      </c>
      <c r="F2044" s="18" t="n"/>
      <c r="G2044" s="9" t="n">
        <v>26.58833333333333</v>
      </c>
      <c r="H2044" s="9" t="n">
        <v>26.58833333333333</v>
      </c>
      <c r="I2044" s="9" t="inlineStr">
        <is>
          <t>Depth (no MLB IP)</t>
        </is>
      </c>
      <c r="J2044" s="18" t="inlineStr">
        <is>
          <t>Opening Day</t>
        </is>
      </c>
      <c r="K2044" s="11">
        <f>IFERROR(INDEX(Roles!$B$17:$B$20,MATCH(J2044,Roles!$A$17:$A$20,0)),1)</f>
        <v/>
      </c>
      <c r="L2044" s="19" t="n">
        <v>1</v>
      </c>
      <c r="M2044" s="11" t="n">
        <v>1</v>
      </c>
      <c r="N2044" s="19" t="n"/>
      <c r="O2044" s="19" t="n"/>
      <c r="P2044" s="19" t="n"/>
      <c r="Q2044" s="19" t="n"/>
      <c r="R2044" s="19" t="n"/>
      <c r="S2044" s="19" t="n"/>
      <c r="T2044" s="19" t="n"/>
      <c r="U2044" s="19" t="n"/>
      <c r="V2044" s="19" t="n"/>
      <c r="W2044" s="19" t="n"/>
      <c r="X2044" s="19" t="n"/>
      <c r="Y2044" s="19" t="n">
        <v>1</v>
      </c>
      <c r="Z2044" s="13">
        <f>SUMPRODUCT(N2044:Y2044,$N$2:$Y$2)*$K2044*$L2044*$M2044</f>
        <v/>
      </c>
      <c r="AA2044" s="14">
        <f>SUM(N2044:Y2044)</f>
        <v/>
      </c>
      <c r="AB2044" s="13">
        <f>SUMPRODUCT(N2044:Y2044,$N$3:$Y$3)*$K2044*$L2044*$M2044</f>
        <v/>
      </c>
      <c r="AC2044" s="13">
        <f>SUMPRODUCT(N2044:Y2044,$N$4:$Y$4)*$K2044*$L2044*$M2044</f>
        <v/>
      </c>
      <c r="AD2044" s="15" t="n">
        <v>3</v>
      </c>
      <c r="AE2044" s="11" t="n">
        <v>1.011296296296296</v>
      </c>
      <c r="AF2044" s="16">
        <f>SUMPRODUCT(N2044:Y2044,$N$5:$Y$5)*$K2044*$L2044*$M2044</f>
        <v/>
      </c>
      <c r="AG2044" s="16">
        <f>SUMPRODUCT(N2044:Y2044,$N$6:$Y$6)*$K2044*$L2044*$M2044</f>
        <v/>
      </c>
      <c r="AH2044" s="20" t="n"/>
    </row>
    <row r="2045">
      <c r="A2045" s="9" t="n">
        <v>815144</v>
      </c>
      <c r="B2045" s="9" t="inlineStr">
        <is>
          <t>Bryce Shaffer</t>
        </is>
      </c>
      <c r="C2045" s="9" t="inlineStr">
        <is>
          <t>TB</t>
        </is>
      </c>
      <c r="D2045" s="9" t="n">
        <v>25</v>
      </c>
      <c r="E2045" s="18" t="inlineStr">
        <is>
          <t>L</t>
        </is>
      </c>
      <c r="F2045" s="18" t="n"/>
      <c r="G2045" s="9" t="n">
        <v>26.66</v>
      </c>
      <c r="H2045" s="9" t="n">
        <v>26.66</v>
      </c>
      <c r="I2045" s="9" t="inlineStr">
        <is>
          <t>Depth (no MLB IP)</t>
        </is>
      </c>
      <c r="J2045" s="18" t="inlineStr">
        <is>
          <t>Opening Day</t>
        </is>
      </c>
      <c r="K2045" s="11">
        <f>IFERROR(INDEX(Roles!$B$17:$B$20,MATCH(J2045,Roles!$A$17:$A$20,0)),1)</f>
        <v/>
      </c>
      <c r="L2045" s="19" t="n">
        <v>1</v>
      </c>
      <c r="M2045" s="11" t="n">
        <v>1</v>
      </c>
      <c r="N2045" s="19" t="n"/>
      <c r="O2045" s="19" t="n"/>
      <c r="P2045" s="19" t="n"/>
      <c r="Q2045" s="19" t="n"/>
      <c r="R2045" s="19" t="n"/>
      <c r="S2045" s="19" t="n"/>
      <c r="T2045" s="19" t="n"/>
      <c r="U2045" s="19" t="n"/>
      <c r="V2045" s="19" t="n"/>
      <c r="W2045" s="19" t="n"/>
      <c r="X2045" s="19" t="n"/>
      <c r="Y2045" s="19" t="n">
        <v>1</v>
      </c>
      <c r="Z2045" s="13">
        <f>SUMPRODUCT(N2045:Y2045,$N$2:$Y$2)*$K2045*$L2045*$M2045</f>
        <v/>
      </c>
      <c r="AA2045" s="14">
        <f>SUM(N2045:Y2045)</f>
        <v/>
      </c>
      <c r="AB2045" s="13">
        <f>SUMPRODUCT(N2045:Y2045,$N$3:$Y$3)*$K2045*$L2045*$M2045</f>
        <v/>
      </c>
      <c r="AC2045" s="13">
        <f>SUMPRODUCT(N2045:Y2045,$N$4:$Y$4)*$K2045*$L2045*$M2045</f>
        <v/>
      </c>
      <c r="AD2045" s="15" t="n">
        <v>3</v>
      </c>
      <c r="AE2045" s="11" t="n">
        <v>1.011296296296296</v>
      </c>
      <c r="AF2045" s="16">
        <f>SUMPRODUCT(N2045:Y2045,$N$5:$Y$5)*$K2045*$L2045*$M2045</f>
        <v/>
      </c>
      <c r="AG2045" s="16">
        <f>SUMPRODUCT(N2045:Y2045,$N$6:$Y$6)*$K2045*$L2045*$M2045</f>
        <v/>
      </c>
      <c r="AH2045" s="20" t="n"/>
    </row>
    <row r="2046">
      <c r="A2046" s="9" t="n">
        <v>701706</v>
      </c>
      <c r="B2046" s="9" t="inlineStr">
        <is>
          <t>Greysen Carter</t>
        </is>
      </c>
      <c r="C2046" s="9" t="inlineStr">
        <is>
          <t>NYY</t>
        </is>
      </c>
      <c r="D2046" s="9" t="n">
        <v>25</v>
      </c>
      <c r="E2046" s="18" t="inlineStr">
        <is>
          <t>R</t>
        </is>
      </c>
      <c r="F2046" s="18" t="n"/>
      <c r="G2046" s="9" t="n">
        <v>26.66</v>
      </c>
      <c r="H2046" s="9" t="n">
        <v>26.66</v>
      </c>
      <c r="I2046" s="9" t="inlineStr">
        <is>
          <t>Depth (no MLB IP)</t>
        </is>
      </c>
      <c r="J2046" s="18" t="inlineStr">
        <is>
          <t>Opening Day</t>
        </is>
      </c>
      <c r="K2046" s="11">
        <f>IFERROR(INDEX(Roles!$B$17:$B$20,MATCH(J2046,Roles!$A$17:$A$20,0)),1)</f>
        <v/>
      </c>
      <c r="L2046" s="19" t="n">
        <v>1</v>
      </c>
      <c r="M2046" s="11" t="n">
        <v>1</v>
      </c>
      <c r="N2046" s="19" t="n"/>
      <c r="O2046" s="19" t="n"/>
      <c r="P2046" s="19" t="n"/>
      <c r="Q2046" s="19" t="n"/>
      <c r="R2046" s="19" t="n"/>
      <c r="S2046" s="19" t="n"/>
      <c r="T2046" s="19" t="n"/>
      <c r="U2046" s="19" t="n"/>
      <c r="V2046" s="19" t="n"/>
      <c r="W2046" s="19" t="n"/>
      <c r="X2046" s="19" t="n"/>
      <c r="Y2046" s="19" t="n">
        <v>1</v>
      </c>
      <c r="Z2046" s="13">
        <f>SUMPRODUCT(N2046:Y2046,$N$2:$Y$2)*$K2046*$L2046*$M2046</f>
        <v/>
      </c>
      <c r="AA2046" s="14">
        <f>SUM(N2046:Y2046)</f>
        <v/>
      </c>
      <c r="AB2046" s="13">
        <f>SUMPRODUCT(N2046:Y2046,$N$3:$Y$3)*$K2046*$L2046*$M2046</f>
        <v/>
      </c>
      <c r="AC2046" s="13">
        <f>SUMPRODUCT(N2046:Y2046,$N$4:$Y$4)*$K2046*$L2046*$M2046</f>
        <v/>
      </c>
      <c r="AD2046" s="15" t="n">
        <v>3</v>
      </c>
      <c r="AE2046" s="11" t="n">
        <v>1.011296296296296</v>
      </c>
      <c r="AF2046" s="16">
        <f>SUMPRODUCT(N2046:Y2046,$N$5:$Y$5)*$K2046*$L2046*$M2046</f>
        <v/>
      </c>
      <c r="AG2046" s="16">
        <f>SUMPRODUCT(N2046:Y2046,$N$6:$Y$6)*$K2046*$L2046*$M2046</f>
        <v/>
      </c>
      <c r="AH2046" s="20" t="n"/>
    </row>
    <row r="2047">
      <c r="A2047" s="9" t="n">
        <v>823330</v>
      </c>
      <c r="B2047" s="9" t="inlineStr">
        <is>
          <t>Alejandro Chiquillo</t>
        </is>
      </c>
      <c r="C2047" s="9" t="inlineStr">
        <is>
          <t>TEX</t>
        </is>
      </c>
      <c r="D2047" s="9" t="n">
        <v>25</v>
      </c>
      <c r="E2047" s="18" t="inlineStr">
        <is>
          <t>R</t>
        </is>
      </c>
      <c r="F2047" s="18" t="n"/>
      <c r="G2047" s="9" t="n">
        <v>26.66</v>
      </c>
      <c r="H2047" s="9" t="n">
        <v>26.66</v>
      </c>
      <c r="I2047" s="9" t="inlineStr">
        <is>
          <t>Depth (no MLB IP)</t>
        </is>
      </c>
      <c r="J2047" s="18" t="inlineStr">
        <is>
          <t>Opening Day</t>
        </is>
      </c>
      <c r="K2047" s="11">
        <f>IFERROR(INDEX(Roles!$B$17:$B$20,MATCH(J2047,Roles!$A$17:$A$20,0)),1)</f>
        <v/>
      </c>
      <c r="L2047" s="19" t="n">
        <v>1</v>
      </c>
      <c r="M2047" s="11" t="n">
        <v>1</v>
      </c>
      <c r="N2047" s="19" t="n"/>
      <c r="O2047" s="19" t="n"/>
      <c r="P2047" s="19" t="n"/>
      <c r="Q2047" s="19" t="n"/>
      <c r="R2047" s="19" t="n"/>
      <c r="S2047" s="19" t="n"/>
      <c r="T2047" s="19" t="n"/>
      <c r="U2047" s="19" t="n"/>
      <c r="V2047" s="19" t="n"/>
      <c r="W2047" s="19" t="n"/>
      <c r="X2047" s="19" t="n"/>
      <c r="Y2047" s="19" t="n">
        <v>1</v>
      </c>
      <c r="Z2047" s="13">
        <f>SUMPRODUCT(N2047:Y2047,$N$2:$Y$2)*$K2047*$L2047*$M2047</f>
        <v/>
      </c>
      <c r="AA2047" s="14">
        <f>SUM(N2047:Y2047)</f>
        <v/>
      </c>
      <c r="AB2047" s="13">
        <f>SUMPRODUCT(N2047:Y2047,$N$3:$Y$3)*$K2047*$L2047*$M2047</f>
        <v/>
      </c>
      <c r="AC2047" s="13">
        <f>SUMPRODUCT(N2047:Y2047,$N$4:$Y$4)*$K2047*$L2047*$M2047</f>
        <v/>
      </c>
      <c r="AD2047" s="15" t="n">
        <v>3</v>
      </c>
      <c r="AE2047" s="11" t="n">
        <v>1.011296296296296</v>
      </c>
      <c r="AF2047" s="16">
        <f>SUMPRODUCT(N2047:Y2047,$N$5:$Y$5)*$K2047*$L2047*$M2047</f>
        <v/>
      </c>
      <c r="AG2047" s="16">
        <f>SUMPRODUCT(N2047:Y2047,$N$6:$Y$6)*$K2047*$L2047*$M2047</f>
        <v/>
      </c>
      <c r="AH2047" s="20" t="n"/>
    </row>
    <row r="2048">
      <c r="A2048" s="9" t="n">
        <v>824200</v>
      </c>
      <c r="B2048" s="9" t="inlineStr">
        <is>
          <t>Jakob Guardado</t>
        </is>
      </c>
      <c r="C2048" s="9" t="inlineStr">
        <is>
          <t>LAA</t>
        </is>
      </c>
      <c r="D2048" s="9" t="n">
        <v>25</v>
      </c>
      <c r="E2048" s="18" t="inlineStr">
        <is>
          <t>R</t>
        </is>
      </c>
      <c r="F2048" s="18" t="n"/>
      <c r="G2048" s="9" t="n">
        <v>26.66</v>
      </c>
      <c r="H2048" s="9" t="n">
        <v>26.66</v>
      </c>
      <c r="I2048" s="9" t="inlineStr">
        <is>
          <t>Depth (no MLB IP)</t>
        </is>
      </c>
      <c r="J2048" s="18" t="inlineStr">
        <is>
          <t>Opening Day</t>
        </is>
      </c>
      <c r="K2048" s="11">
        <f>IFERROR(INDEX(Roles!$B$17:$B$20,MATCH(J2048,Roles!$A$17:$A$20,0)),1)</f>
        <v/>
      </c>
      <c r="L2048" s="19" t="n">
        <v>1</v>
      </c>
      <c r="M2048" s="11" t="n">
        <v>1</v>
      </c>
      <c r="N2048" s="19" t="n"/>
      <c r="O2048" s="19" t="n"/>
      <c r="P2048" s="19" t="n"/>
      <c r="Q2048" s="19" t="n"/>
      <c r="R2048" s="19" t="n"/>
      <c r="S2048" s="19" t="n"/>
      <c r="T2048" s="19" t="n"/>
      <c r="U2048" s="19" t="n"/>
      <c r="V2048" s="19" t="n"/>
      <c r="W2048" s="19" t="n"/>
      <c r="X2048" s="19" t="n"/>
      <c r="Y2048" s="19" t="n">
        <v>1</v>
      </c>
      <c r="Z2048" s="13">
        <f>SUMPRODUCT(N2048:Y2048,$N$2:$Y$2)*$K2048*$L2048*$M2048</f>
        <v/>
      </c>
      <c r="AA2048" s="14">
        <f>SUM(N2048:Y2048)</f>
        <v/>
      </c>
      <c r="AB2048" s="13">
        <f>SUMPRODUCT(N2048:Y2048,$N$3:$Y$3)*$K2048*$L2048*$M2048</f>
        <v/>
      </c>
      <c r="AC2048" s="13">
        <f>SUMPRODUCT(N2048:Y2048,$N$4:$Y$4)*$K2048*$L2048*$M2048</f>
        <v/>
      </c>
      <c r="AD2048" s="15" t="n">
        <v>3</v>
      </c>
      <c r="AE2048" s="11" t="n">
        <v>1.011296296296296</v>
      </c>
      <c r="AF2048" s="16">
        <f>SUMPRODUCT(N2048:Y2048,$N$5:$Y$5)*$K2048*$L2048*$M2048</f>
        <v/>
      </c>
      <c r="AG2048" s="16">
        <f>SUMPRODUCT(N2048:Y2048,$N$6:$Y$6)*$K2048*$L2048*$M2048</f>
        <v/>
      </c>
      <c r="AH2048" s="20" t="n"/>
    </row>
    <row r="2049">
      <c r="A2049" s="9" t="n">
        <v>650960</v>
      </c>
      <c r="B2049" s="9" t="inlineStr">
        <is>
          <t>Daniel Duarte</t>
        </is>
      </c>
      <c r="C2049" s="9" t="inlineStr">
        <is>
          <t>NYM</t>
        </is>
      </c>
      <c r="D2049" s="9" t="n">
        <v>30</v>
      </c>
      <c r="E2049" s="18" t="inlineStr">
        <is>
          <t>R</t>
        </is>
      </c>
      <c r="F2049" s="18" t="n"/>
      <c r="G2049" s="9" t="n">
        <v>112</v>
      </c>
      <c r="H2049" s="9" t="n">
        <v>277</v>
      </c>
      <c r="I2049" s="9" t="inlineStr">
        <is>
          <t>Middle Relief</t>
        </is>
      </c>
      <c r="J2049" s="18" t="inlineStr">
        <is>
          <t>Opening Day</t>
        </is>
      </c>
      <c r="K2049" s="11">
        <f>IFERROR(INDEX(Roles!$B$17:$B$20,MATCH(J2049,Roles!$A$17:$A$20,0)),1)</f>
        <v/>
      </c>
      <c r="L2049" s="19" t="n">
        <v>1</v>
      </c>
      <c r="M2049" s="11" t="n">
        <v>1</v>
      </c>
      <c r="N2049" s="19" t="n"/>
      <c r="O2049" s="19" t="n"/>
      <c r="P2049" s="19" t="n"/>
      <c r="Q2049" s="19" t="n"/>
      <c r="R2049" s="19" t="n"/>
      <c r="S2049" s="19" t="n"/>
      <c r="T2049" s="19" t="n"/>
      <c r="U2049" s="19" t="n"/>
      <c r="V2049" s="19" t="n">
        <v>0.5</v>
      </c>
      <c r="W2049" s="19" t="n">
        <v>0.5</v>
      </c>
      <c r="X2049" s="19" t="n"/>
      <c r="Y2049" s="19" t="n"/>
      <c r="Z2049" s="13">
        <f>SUMPRODUCT(N2049:Y2049,$N$2:$Y$2)*$K2049*$L2049*$M2049</f>
        <v/>
      </c>
      <c r="AA2049" s="14">
        <f>SUM(N2049:Y2049)</f>
        <v/>
      </c>
      <c r="AB2049" s="13">
        <f>SUMPRODUCT(N2049:Y2049,$N$3:$Y$3)*$K2049*$L2049*$M2049</f>
        <v/>
      </c>
      <c r="AC2049" s="13">
        <f>SUMPRODUCT(N2049:Y2049,$N$4:$Y$4)*$K2049*$L2049*$M2049</f>
        <v/>
      </c>
      <c r="AD2049" s="15" t="n">
        <v>25.83333333333333</v>
      </c>
      <c r="AE2049" s="11" t="n">
        <v>1.108062683694333</v>
      </c>
      <c r="AF2049" s="16">
        <f>SUMPRODUCT(N2049:Y2049,$N$5:$Y$5)*$K2049*$L2049*$M2049</f>
        <v/>
      </c>
      <c r="AG2049" s="16">
        <f>SUMPRODUCT(N2049:Y2049,$N$6:$Y$6)*$K2049*$L2049*$M2049</f>
        <v/>
      </c>
      <c r="AH2049" s="20" t="n"/>
    </row>
    <row r="2050">
      <c r="A2050" s="9" t="n">
        <v>694495</v>
      </c>
      <c r="B2050" s="9" t="inlineStr">
        <is>
          <t>Javen Coleman</t>
        </is>
      </c>
      <c r="C2050" s="9" t="inlineStr">
        <is>
          <t>TOR</t>
        </is>
      </c>
      <c r="D2050" s="9" t="n">
        <v>25</v>
      </c>
      <c r="E2050" s="18" t="inlineStr">
        <is>
          <t>L</t>
        </is>
      </c>
      <c r="F2050" s="18" t="n"/>
      <c r="G2050" s="9" t="n">
        <v>26.80333333333333</v>
      </c>
      <c r="H2050" s="9" t="n">
        <v>26.80333333333333</v>
      </c>
      <c r="I2050" s="9" t="inlineStr">
        <is>
          <t>Depth (no MLB IP)</t>
        </is>
      </c>
      <c r="J2050" s="18" t="inlineStr">
        <is>
          <t>Opening Day</t>
        </is>
      </c>
      <c r="K2050" s="11">
        <f>IFERROR(INDEX(Roles!$B$17:$B$20,MATCH(J2050,Roles!$A$17:$A$20,0)),1)</f>
        <v/>
      </c>
      <c r="L2050" s="19" t="n">
        <v>1</v>
      </c>
      <c r="M2050" s="11" t="n">
        <v>1</v>
      </c>
      <c r="N2050" s="19" t="n"/>
      <c r="O2050" s="19" t="n"/>
      <c r="P2050" s="19" t="n"/>
      <c r="Q2050" s="19" t="n"/>
      <c r="R2050" s="19" t="n"/>
      <c r="S2050" s="19" t="n"/>
      <c r="T2050" s="19" t="n"/>
      <c r="U2050" s="19" t="n"/>
      <c r="V2050" s="19" t="n"/>
      <c r="W2050" s="19" t="n"/>
      <c r="X2050" s="19" t="n"/>
      <c r="Y2050" s="19" t="n">
        <v>1</v>
      </c>
      <c r="Z2050" s="13">
        <f>SUMPRODUCT(N2050:Y2050,$N$2:$Y$2)*$K2050*$L2050*$M2050</f>
        <v/>
      </c>
      <c r="AA2050" s="14">
        <f>SUM(N2050:Y2050)</f>
        <v/>
      </c>
      <c r="AB2050" s="13">
        <f>SUMPRODUCT(N2050:Y2050,$N$3:$Y$3)*$K2050*$L2050*$M2050</f>
        <v/>
      </c>
      <c r="AC2050" s="13">
        <f>SUMPRODUCT(N2050:Y2050,$N$4:$Y$4)*$K2050*$L2050*$M2050</f>
        <v/>
      </c>
      <c r="AD2050" s="15" t="n">
        <v>3</v>
      </c>
      <c r="AE2050" s="11" t="n">
        <v>1.011296296296296</v>
      </c>
      <c r="AF2050" s="16">
        <f>SUMPRODUCT(N2050:Y2050,$N$5:$Y$5)*$K2050*$L2050*$M2050</f>
        <v/>
      </c>
      <c r="AG2050" s="16">
        <f>SUMPRODUCT(N2050:Y2050,$N$6:$Y$6)*$K2050*$L2050*$M2050</f>
        <v/>
      </c>
      <c r="AH2050" s="20" t="n"/>
    </row>
    <row r="2051">
      <c r="A2051" s="9" t="n">
        <v>686662</v>
      </c>
      <c r="B2051" s="9" t="inlineStr">
        <is>
          <t>Jarrod Cande</t>
        </is>
      </c>
      <c r="C2051" s="9" t="inlineStr">
        <is>
          <t>COL</t>
        </is>
      </c>
      <c r="D2051" s="9" t="n">
        <v>25</v>
      </c>
      <c r="E2051" s="18" t="inlineStr">
        <is>
          <t>R</t>
        </is>
      </c>
      <c r="F2051" s="18" t="n"/>
      <c r="G2051" s="9" t="n">
        <v>26.80333333333333</v>
      </c>
      <c r="H2051" s="9" t="n">
        <v>26.80333333333333</v>
      </c>
      <c r="I2051" s="9" t="inlineStr">
        <is>
          <t>Depth (no MLB IP)</t>
        </is>
      </c>
      <c r="J2051" s="18" t="inlineStr">
        <is>
          <t>Opening Day</t>
        </is>
      </c>
      <c r="K2051" s="11">
        <f>IFERROR(INDEX(Roles!$B$17:$B$20,MATCH(J2051,Roles!$A$17:$A$20,0)),1)</f>
        <v/>
      </c>
      <c r="L2051" s="19" t="n">
        <v>1</v>
      </c>
      <c r="M2051" s="11" t="n">
        <v>1</v>
      </c>
      <c r="N2051" s="19" t="n"/>
      <c r="O2051" s="19" t="n"/>
      <c r="P2051" s="19" t="n"/>
      <c r="Q2051" s="19" t="n"/>
      <c r="R2051" s="19" t="n"/>
      <c r="S2051" s="19" t="n"/>
      <c r="T2051" s="19" t="n"/>
      <c r="U2051" s="19" t="n"/>
      <c r="V2051" s="19" t="n"/>
      <c r="W2051" s="19" t="n"/>
      <c r="X2051" s="19" t="n"/>
      <c r="Y2051" s="19" t="n">
        <v>1</v>
      </c>
      <c r="Z2051" s="13">
        <f>SUMPRODUCT(N2051:Y2051,$N$2:$Y$2)*$K2051*$L2051*$M2051</f>
        <v/>
      </c>
      <c r="AA2051" s="14">
        <f>SUM(N2051:Y2051)</f>
        <v/>
      </c>
      <c r="AB2051" s="13">
        <f>SUMPRODUCT(N2051:Y2051,$N$3:$Y$3)*$K2051*$L2051*$M2051</f>
        <v/>
      </c>
      <c r="AC2051" s="13">
        <f>SUMPRODUCT(N2051:Y2051,$N$4:$Y$4)*$K2051*$L2051*$M2051</f>
        <v/>
      </c>
      <c r="AD2051" s="15" t="n">
        <v>3</v>
      </c>
      <c r="AE2051" s="11" t="n">
        <v>1.011296296296296</v>
      </c>
      <c r="AF2051" s="16">
        <f>SUMPRODUCT(N2051:Y2051,$N$5:$Y$5)*$K2051*$L2051*$M2051</f>
        <v/>
      </c>
      <c r="AG2051" s="16">
        <f>SUMPRODUCT(N2051:Y2051,$N$6:$Y$6)*$K2051*$L2051*$M2051</f>
        <v/>
      </c>
      <c r="AH2051" s="20" t="n"/>
    </row>
    <row r="2052">
      <c r="A2052" s="9" t="n">
        <v>683008</v>
      </c>
      <c r="B2052" s="9" t="inlineStr">
        <is>
          <t>Avery Short</t>
        </is>
      </c>
      <c r="C2052" s="9" t="inlineStr">
        <is>
          <t>ARI</t>
        </is>
      </c>
      <c r="D2052" s="9" t="n">
        <v>25</v>
      </c>
      <c r="E2052" s="18" t="inlineStr">
        <is>
          <t>L</t>
        </is>
      </c>
      <c r="F2052" s="18" t="n"/>
      <c r="G2052" s="9" t="n">
        <v>26.80333333333333</v>
      </c>
      <c r="H2052" s="9" t="n">
        <v>26.80333333333333</v>
      </c>
      <c r="I2052" s="9" t="inlineStr">
        <is>
          <t>Depth (no MLB IP)</t>
        </is>
      </c>
      <c r="J2052" s="18" t="inlineStr">
        <is>
          <t>Opening Day</t>
        </is>
      </c>
      <c r="K2052" s="11">
        <f>IFERROR(INDEX(Roles!$B$17:$B$20,MATCH(J2052,Roles!$A$17:$A$20,0)),1)</f>
        <v/>
      </c>
      <c r="L2052" s="19" t="n">
        <v>1</v>
      </c>
      <c r="M2052" s="11" t="n">
        <v>1</v>
      </c>
      <c r="N2052" s="19" t="n"/>
      <c r="O2052" s="19" t="n"/>
      <c r="P2052" s="19" t="n"/>
      <c r="Q2052" s="19" t="n"/>
      <c r="R2052" s="19" t="n"/>
      <c r="S2052" s="19" t="n"/>
      <c r="T2052" s="19" t="n"/>
      <c r="U2052" s="19" t="n"/>
      <c r="V2052" s="19" t="n"/>
      <c r="W2052" s="19" t="n"/>
      <c r="X2052" s="19" t="n"/>
      <c r="Y2052" s="19" t="n">
        <v>1</v>
      </c>
      <c r="Z2052" s="13">
        <f>SUMPRODUCT(N2052:Y2052,$N$2:$Y$2)*$K2052*$L2052*$M2052</f>
        <v/>
      </c>
      <c r="AA2052" s="14">
        <f>SUM(N2052:Y2052)</f>
        <v/>
      </c>
      <c r="AB2052" s="13">
        <f>SUMPRODUCT(N2052:Y2052,$N$3:$Y$3)*$K2052*$L2052*$M2052</f>
        <v/>
      </c>
      <c r="AC2052" s="13">
        <f>SUMPRODUCT(N2052:Y2052,$N$4:$Y$4)*$K2052*$L2052*$M2052</f>
        <v/>
      </c>
      <c r="AD2052" s="15" t="n">
        <v>3</v>
      </c>
      <c r="AE2052" s="11" t="n">
        <v>1.011296296296296</v>
      </c>
      <c r="AF2052" s="16">
        <f>SUMPRODUCT(N2052:Y2052,$N$5:$Y$5)*$K2052*$L2052*$M2052</f>
        <v/>
      </c>
      <c r="AG2052" s="16">
        <f>SUMPRODUCT(N2052:Y2052,$N$6:$Y$6)*$K2052*$L2052*$M2052</f>
        <v/>
      </c>
      <c r="AH2052" s="20" t="n"/>
    </row>
    <row r="2053">
      <c r="A2053" s="9" t="n">
        <v>691436</v>
      </c>
      <c r="B2053" s="9" t="inlineStr">
        <is>
          <t>Alberto Pacheco</t>
        </is>
      </c>
      <c r="C2053" s="9" t="inlineStr">
        <is>
          <t>COL</t>
        </is>
      </c>
      <c r="D2053" s="9" t="n">
        <v>25</v>
      </c>
      <c r="E2053" s="18" t="inlineStr">
        <is>
          <t>L</t>
        </is>
      </c>
      <c r="F2053" s="18" t="n"/>
      <c r="G2053" s="9" t="n">
        <v>26.58833333333333</v>
      </c>
      <c r="H2053" s="9" t="n">
        <v>26.58833333333333</v>
      </c>
      <c r="I2053" s="9" t="inlineStr">
        <is>
          <t>Depth (no MLB IP)</t>
        </is>
      </c>
      <c r="J2053" s="18" t="inlineStr">
        <is>
          <t>Opening Day</t>
        </is>
      </c>
      <c r="K2053" s="11">
        <f>IFERROR(INDEX(Roles!$B$17:$B$20,MATCH(J2053,Roles!$A$17:$A$20,0)),1)</f>
        <v/>
      </c>
      <c r="L2053" s="19" t="n">
        <v>1</v>
      </c>
      <c r="M2053" s="11" t="n">
        <v>1</v>
      </c>
      <c r="N2053" s="19" t="n"/>
      <c r="O2053" s="19" t="n"/>
      <c r="P2053" s="19" t="n"/>
      <c r="Q2053" s="19" t="n"/>
      <c r="R2053" s="19" t="n"/>
      <c r="S2053" s="19" t="n"/>
      <c r="T2053" s="19" t="n"/>
      <c r="U2053" s="19" t="n"/>
      <c r="V2053" s="19" t="n"/>
      <c r="W2053" s="19" t="n"/>
      <c r="X2053" s="19" t="n"/>
      <c r="Y2053" s="19" t="n">
        <v>1</v>
      </c>
      <c r="Z2053" s="13">
        <f>SUMPRODUCT(N2053:Y2053,$N$2:$Y$2)*$K2053*$L2053*$M2053</f>
        <v/>
      </c>
      <c r="AA2053" s="14">
        <f>SUM(N2053:Y2053)</f>
        <v/>
      </c>
      <c r="AB2053" s="13">
        <f>SUMPRODUCT(N2053:Y2053,$N$3:$Y$3)*$K2053*$L2053*$M2053</f>
        <v/>
      </c>
      <c r="AC2053" s="13">
        <f>SUMPRODUCT(N2053:Y2053,$N$4:$Y$4)*$K2053*$L2053*$M2053</f>
        <v/>
      </c>
      <c r="AD2053" s="15" t="n">
        <v>3</v>
      </c>
      <c r="AE2053" s="11" t="n">
        <v>1.011296296296296</v>
      </c>
      <c r="AF2053" s="16">
        <f>SUMPRODUCT(N2053:Y2053,$N$5:$Y$5)*$K2053*$L2053*$M2053</f>
        <v/>
      </c>
      <c r="AG2053" s="16">
        <f>SUMPRODUCT(N2053:Y2053,$N$6:$Y$6)*$K2053*$L2053*$M2053</f>
        <v/>
      </c>
      <c r="AH2053" s="20" t="n"/>
    </row>
    <row r="2054">
      <c r="A2054" s="9" t="n">
        <v>823821</v>
      </c>
      <c r="B2054" s="9" t="inlineStr">
        <is>
          <t>Ramiro Villanueva</t>
        </is>
      </c>
      <c r="C2054" s="9" t="inlineStr">
        <is>
          <t>MIN</t>
        </is>
      </c>
      <c r="D2054" s="9" t="n">
        <v>25</v>
      </c>
      <c r="E2054" s="18" t="inlineStr">
        <is>
          <t>R</t>
        </is>
      </c>
      <c r="F2054" s="18" t="n"/>
      <c r="G2054" s="9" t="n">
        <v>26.832</v>
      </c>
      <c r="H2054" s="9" t="n">
        <v>26.832</v>
      </c>
      <c r="I2054" s="9" t="inlineStr">
        <is>
          <t>Depth (no MLB IP)</t>
        </is>
      </c>
      <c r="J2054" s="18" t="inlineStr">
        <is>
          <t>Opening Day</t>
        </is>
      </c>
      <c r="K2054" s="11">
        <f>IFERROR(INDEX(Roles!$B$17:$B$20,MATCH(J2054,Roles!$A$17:$A$20,0)),1)</f>
        <v/>
      </c>
      <c r="L2054" s="19" t="n">
        <v>1</v>
      </c>
      <c r="M2054" s="11" t="n">
        <v>1</v>
      </c>
      <c r="N2054" s="19" t="n"/>
      <c r="O2054" s="19" t="n"/>
      <c r="P2054" s="19" t="n"/>
      <c r="Q2054" s="19" t="n"/>
      <c r="R2054" s="19" t="n"/>
      <c r="S2054" s="19" t="n"/>
      <c r="T2054" s="19" t="n"/>
      <c r="U2054" s="19" t="n"/>
      <c r="V2054" s="19" t="n"/>
      <c r="W2054" s="19" t="n"/>
      <c r="X2054" s="19" t="n"/>
      <c r="Y2054" s="19" t="n">
        <v>1</v>
      </c>
      <c r="Z2054" s="13">
        <f>SUMPRODUCT(N2054:Y2054,$N$2:$Y$2)*$K2054*$L2054*$M2054</f>
        <v/>
      </c>
      <c r="AA2054" s="14">
        <f>SUM(N2054:Y2054)</f>
        <v/>
      </c>
      <c r="AB2054" s="13">
        <f>SUMPRODUCT(N2054:Y2054,$N$3:$Y$3)*$K2054*$L2054*$M2054</f>
        <v/>
      </c>
      <c r="AC2054" s="13">
        <f>SUMPRODUCT(N2054:Y2054,$N$4:$Y$4)*$K2054*$L2054*$M2054</f>
        <v/>
      </c>
      <c r="AD2054" s="15" t="n">
        <v>3</v>
      </c>
      <c r="AE2054" s="11" t="n">
        <v>1.011296296296296</v>
      </c>
      <c r="AF2054" s="16">
        <f>SUMPRODUCT(N2054:Y2054,$N$5:$Y$5)*$K2054*$L2054*$M2054</f>
        <v/>
      </c>
      <c r="AG2054" s="16">
        <f>SUMPRODUCT(N2054:Y2054,$N$6:$Y$6)*$K2054*$L2054*$M2054</f>
        <v/>
      </c>
      <c r="AH2054" s="20" t="n"/>
    </row>
    <row r="2055">
      <c r="A2055" s="9" t="n">
        <v>805758</v>
      </c>
      <c r="B2055" s="9" t="inlineStr">
        <is>
          <t>Brian Walters</t>
        </is>
      </c>
      <c r="C2055" s="9" t="inlineStr">
        <is>
          <t>PHI</t>
        </is>
      </c>
      <c r="D2055" s="9" t="n">
        <v>25</v>
      </c>
      <c r="E2055" s="18" t="inlineStr">
        <is>
          <t>R</t>
        </is>
      </c>
      <c r="F2055" s="18" t="n"/>
      <c r="G2055" s="9" t="n">
        <v>26.832</v>
      </c>
      <c r="H2055" s="9" t="n">
        <v>26.832</v>
      </c>
      <c r="I2055" s="9" t="inlineStr">
        <is>
          <t>Depth (no MLB IP)</t>
        </is>
      </c>
      <c r="J2055" s="18" t="inlineStr">
        <is>
          <t>Opening Day</t>
        </is>
      </c>
      <c r="K2055" s="11">
        <f>IFERROR(INDEX(Roles!$B$17:$B$20,MATCH(J2055,Roles!$A$17:$A$20,0)),1)</f>
        <v/>
      </c>
      <c r="L2055" s="19" t="n">
        <v>1</v>
      </c>
      <c r="M2055" s="11" t="n">
        <v>1</v>
      </c>
      <c r="N2055" s="19" t="n"/>
      <c r="O2055" s="19" t="n"/>
      <c r="P2055" s="19" t="n"/>
      <c r="Q2055" s="19" t="n"/>
      <c r="R2055" s="19" t="n"/>
      <c r="S2055" s="19" t="n"/>
      <c r="T2055" s="19" t="n"/>
      <c r="U2055" s="19" t="n"/>
      <c r="V2055" s="19" t="n"/>
      <c r="W2055" s="19" t="n"/>
      <c r="X2055" s="19" t="n"/>
      <c r="Y2055" s="19" t="n">
        <v>1</v>
      </c>
      <c r="Z2055" s="13">
        <f>SUMPRODUCT(N2055:Y2055,$N$2:$Y$2)*$K2055*$L2055*$M2055</f>
        <v/>
      </c>
      <c r="AA2055" s="14">
        <f>SUM(N2055:Y2055)</f>
        <v/>
      </c>
      <c r="AB2055" s="13">
        <f>SUMPRODUCT(N2055:Y2055,$N$3:$Y$3)*$K2055*$L2055*$M2055</f>
        <v/>
      </c>
      <c r="AC2055" s="13">
        <f>SUMPRODUCT(N2055:Y2055,$N$4:$Y$4)*$K2055*$L2055*$M2055</f>
        <v/>
      </c>
      <c r="AD2055" s="15" t="n">
        <v>3</v>
      </c>
      <c r="AE2055" s="11" t="n">
        <v>1.011296296296296</v>
      </c>
      <c r="AF2055" s="16">
        <f>SUMPRODUCT(N2055:Y2055,$N$5:$Y$5)*$K2055*$L2055*$M2055</f>
        <v/>
      </c>
      <c r="AG2055" s="16">
        <f>SUMPRODUCT(N2055:Y2055,$N$6:$Y$6)*$K2055*$L2055*$M2055</f>
        <v/>
      </c>
      <c r="AH2055" s="20" t="n"/>
    </row>
    <row r="2056">
      <c r="A2056" s="9" t="n">
        <v>699719</v>
      </c>
      <c r="B2056" s="9" t="inlineStr">
        <is>
          <t>Adiel Melendez</t>
        </is>
      </c>
      <c r="C2056" s="9" t="inlineStr">
        <is>
          <t>ATL</t>
        </is>
      </c>
      <c r="D2056" s="9" t="n">
        <v>25</v>
      </c>
      <c r="E2056" s="18" t="inlineStr">
        <is>
          <t>L</t>
        </is>
      </c>
      <c r="F2056" s="18" t="n"/>
      <c r="G2056" s="9" t="n">
        <v>26.832</v>
      </c>
      <c r="H2056" s="9" t="n">
        <v>26.832</v>
      </c>
      <c r="I2056" s="9" t="inlineStr">
        <is>
          <t>Depth (no MLB IP)</t>
        </is>
      </c>
      <c r="J2056" s="18" t="inlineStr">
        <is>
          <t>Opening Day</t>
        </is>
      </c>
      <c r="K2056" s="11">
        <f>IFERROR(INDEX(Roles!$B$17:$B$20,MATCH(J2056,Roles!$A$17:$A$20,0)),1)</f>
        <v/>
      </c>
      <c r="L2056" s="19" t="n">
        <v>1</v>
      </c>
      <c r="M2056" s="11" t="n">
        <v>1</v>
      </c>
      <c r="N2056" s="19" t="n"/>
      <c r="O2056" s="19" t="n"/>
      <c r="P2056" s="19" t="n"/>
      <c r="Q2056" s="19" t="n"/>
      <c r="R2056" s="19" t="n"/>
      <c r="S2056" s="19" t="n"/>
      <c r="T2056" s="19" t="n"/>
      <c r="U2056" s="19" t="n"/>
      <c r="V2056" s="19" t="n"/>
      <c r="W2056" s="19" t="n"/>
      <c r="X2056" s="19" t="n"/>
      <c r="Y2056" s="19" t="n">
        <v>1</v>
      </c>
      <c r="Z2056" s="13">
        <f>SUMPRODUCT(N2056:Y2056,$N$2:$Y$2)*$K2056*$L2056*$M2056</f>
        <v/>
      </c>
      <c r="AA2056" s="14">
        <f>SUM(N2056:Y2056)</f>
        <v/>
      </c>
      <c r="AB2056" s="13">
        <f>SUMPRODUCT(N2056:Y2056,$N$3:$Y$3)*$K2056*$L2056*$M2056</f>
        <v/>
      </c>
      <c r="AC2056" s="13">
        <f>SUMPRODUCT(N2056:Y2056,$N$4:$Y$4)*$K2056*$L2056*$M2056</f>
        <v/>
      </c>
      <c r="AD2056" s="15" t="n">
        <v>3</v>
      </c>
      <c r="AE2056" s="11" t="n">
        <v>1.011296296296296</v>
      </c>
      <c r="AF2056" s="16">
        <f>SUMPRODUCT(N2056:Y2056,$N$5:$Y$5)*$K2056*$L2056*$M2056</f>
        <v/>
      </c>
      <c r="AG2056" s="16">
        <f>SUMPRODUCT(N2056:Y2056,$N$6:$Y$6)*$K2056*$L2056*$M2056</f>
        <v/>
      </c>
      <c r="AH2056" s="20" t="n"/>
    </row>
    <row r="2057">
      <c r="A2057" s="9" t="n">
        <v>834954</v>
      </c>
      <c r="B2057" s="9" t="inlineStr">
        <is>
          <t>Cash Kuiper</t>
        </is>
      </c>
      <c r="C2057" s="9" t="inlineStr">
        <is>
          <t>DET</t>
        </is>
      </c>
      <c r="D2057" s="9" t="n">
        <v>25</v>
      </c>
      <c r="E2057" s="18" t="inlineStr">
        <is>
          <t>R</t>
        </is>
      </c>
      <c r="F2057" s="18" t="n"/>
      <c r="G2057" s="9" t="n">
        <v>26.832</v>
      </c>
      <c r="H2057" s="9" t="n">
        <v>26.832</v>
      </c>
      <c r="I2057" s="9" t="inlineStr">
        <is>
          <t>Depth (no MLB IP)</t>
        </is>
      </c>
      <c r="J2057" s="18" t="inlineStr">
        <is>
          <t>Opening Day</t>
        </is>
      </c>
      <c r="K2057" s="11">
        <f>IFERROR(INDEX(Roles!$B$17:$B$20,MATCH(J2057,Roles!$A$17:$A$20,0)),1)</f>
        <v/>
      </c>
      <c r="L2057" s="19" t="n">
        <v>1</v>
      </c>
      <c r="M2057" s="11" t="n">
        <v>1</v>
      </c>
      <c r="N2057" s="19" t="n"/>
      <c r="O2057" s="19" t="n"/>
      <c r="P2057" s="19" t="n"/>
      <c r="Q2057" s="19" t="n"/>
      <c r="R2057" s="19" t="n"/>
      <c r="S2057" s="19" t="n"/>
      <c r="T2057" s="19" t="n"/>
      <c r="U2057" s="19" t="n"/>
      <c r="V2057" s="19" t="n"/>
      <c r="W2057" s="19" t="n"/>
      <c r="X2057" s="19" t="n"/>
      <c r="Y2057" s="19" t="n">
        <v>1</v>
      </c>
      <c r="Z2057" s="13">
        <f>SUMPRODUCT(N2057:Y2057,$N$2:$Y$2)*$K2057*$L2057*$M2057</f>
        <v/>
      </c>
      <c r="AA2057" s="14">
        <f>SUM(N2057:Y2057)</f>
        <v/>
      </c>
      <c r="AB2057" s="13">
        <f>SUMPRODUCT(N2057:Y2057,$N$3:$Y$3)*$K2057*$L2057*$M2057</f>
        <v/>
      </c>
      <c r="AC2057" s="13">
        <f>SUMPRODUCT(N2057:Y2057,$N$4:$Y$4)*$K2057*$L2057*$M2057</f>
        <v/>
      </c>
      <c r="AD2057" s="15" t="n">
        <v>3</v>
      </c>
      <c r="AE2057" s="11" t="n">
        <v>1.011296296296296</v>
      </c>
      <c r="AF2057" s="16">
        <f>SUMPRODUCT(N2057:Y2057,$N$5:$Y$5)*$K2057*$L2057*$M2057</f>
        <v/>
      </c>
      <c r="AG2057" s="16">
        <f>SUMPRODUCT(N2057:Y2057,$N$6:$Y$6)*$K2057*$L2057*$M2057</f>
        <v/>
      </c>
      <c r="AH2057" s="20" t="n"/>
    </row>
    <row r="2058">
      <c r="A2058" s="9" t="n">
        <v>813609</v>
      </c>
      <c r="B2058" s="9" t="inlineStr">
        <is>
          <t>Reese Lumpkin</t>
        </is>
      </c>
      <c r="C2058" s="9" t="inlineStr">
        <is>
          <t>SEA</t>
        </is>
      </c>
      <c r="D2058" s="9" t="n">
        <v>25</v>
      </c>
      <c r="E2058" s="18" t="inlineStr">
        <is>
          <t>R</t>
        </is>
      </c>
      <c r="F2058" s="18" t="n"/>
      <c r="G2058" s="9" t="n">
        <v>27.004</v>
      </c>
      <c r="H2058" s="9" t="n">
        <v>27.004</v>
      </c>
      <c r="I2058" s="9" t="inlineStr">
        <is>
          <t>Depth (no MLB IP)</t>
        </is>
      </c>
      <c r="J2058" s="18" t="inlineStr">
        <is>
          <t>Opening Day</t>
        </is>
      </c>
      <c r="K2058" s="11">
        <f>IFERROR(INDEX(Roles!$B$17:$B$20,MATCH(J2058,Roles!$A$17:$A$20,0)),1)</f>
        <v/>
      </c>
      <c r="L2058" s="19" t="n">
        <v>1</v>
      </c>
      <c r="M2058" s="11" t="n">
        <v>1</v>
      </c>
      <c r="N2058" s="19" t="n"/>
      <c r="O2058" s="19" t="n"/>
      <c r="P2058" s="19" t="n"/>
      <c r="Q2058" s="19" t="n"/>
      <c r="R2058" s="19" t="n"/>
      <c r="S2058" s="19" t="n"/>
      <c r="T2058" s="19" t="n"/>
      <c r="U2058" s="19" t="n"/>
      <c r="V2058" s="19" t="n"/>
      <c r="W2058" s="19" t="n"/>
      <c r="X2058" s="19" t="n"/>
      <c r="Y2058" s="19" t="n">
        <v>1</v>
      </c>
      <c r="Z2058" s="13">
        <f>SUMPRODUCT(N2058:Y2058,$N$2:$Y$2)*$K2058*$L2058*$M2058</f>
        <v/>
      </c>
      <c r="AA2058" s="14">
        <f>SUM(N2058:Y2058)</f>
        <v/>
      </c>
      <c r="AB2058" s="13">
        <f>SUMPRODUCT(N2058:Y2058,$N$3:$Y$3)*$K2058*$L2058*$M2058</f>
        <v/>
      </c>
      <c r="AC2058" s="13">
        <f>SUMPRODUCT(N2058:Y2058,$N$4:$Y$4)*$K2058*$L2058*$M2058</f>
        <v/>
      </c>
      <c r="AD2058" s="15" t="n">
        <v>3</v>
      </c>
      <c r="AE2058" s="11" t="n">
        <v>1.011296296296296</v>
      </c>
      <c r="AF2058" s="16">
        <f>SUMPRODUCT(N2058:Y2058,$N$5:$Y$5)*$K2058*$L2058*$M2058</f>
        <v/>
      </c>
      <c r="AG2058" s="16">
        <f>SUMPRODUCT(N2058:Y2058,$N$6:$Y$6)*$K2058*$L2058*$M2058</f>
        <v/>
      </c>
      <c r="AH2058" s="20" t="n"/>
    </row>
    <row r="2059">
      <c r="A2059" s="9" t="n">
        <v>701214</v>
      </c>
      <c r="B2059" s="9" t="inlineStr">
        <is>
          <t>Dylan Carter</t>
        </is>
      </c>
      <c r="C2059" s="9" t="inlineStr">
        <is>
          <t>SF</t>
        </is>
      </c>
      <c r="D2059" s="9" t="n">
        <v>25</v>
      </c>
      <c r="E2059" s="18" t="inlineStr">
        <is>
          <t>R</t>
        </is>
      </c>
      <c r="F2059" s="18" t="n"/>
      <c r="G2059" s="9" t="n">
        <v>27.004</v>
      </c>
      <c r="H2059" s="9" t="n">
        <v>27.004</v>
      </c>
      <c r="I2059" s="9" t="inlineStr">
        <is>
          <t>Depth (no MLB IP)</t>
        </is>
      </c>
      <c r="J2059" s="18" t="inlineStr">
        <is>
          <t>Opening Day</t>
        </is>
      </c>
      <c r="K2059" s="11">
        <f>IFERROR(INDEX(Roles!$B$17:$B$20,MATCH(J2059,Roles!$A$17:$A$20,0)),1)</f>
        <v/>
      </c>
      <c r="L2059" s="19" t="n">
        <v>1</v>
      </c>
      <c r="M2059" s="11" t="n">
        <v>1</v>
      </c>
      <c r="N2059" s="19" t="n"/>
      <c r="O2059" s="19" t="n"/>
      <c r="P2059" s="19" t="n"/>
      <c r="Q2059" s="19" t="n"/>
      <c r="R2059" s="19" t="n"/>
      <c r="S2059" s="19" t="n"/>
      <c r="T2059" s="19" t="n"/>
      <c r="U2059" s="19" t="n"/>
      <c r="V2059" s="19" t="n"/>
      <c r="W2059" s="19" t="n"/>
      <c r="X2059" s="19" t="n"/>
      <c r="Y2059" s="19" t="n">
        <v>1</v>
      </c>
      <c r="Z2059" s="13">
        <f>SUMPRODUCT(N2059:Y2059,$N$2:$Y$2)*$K2059*$L2059*$M2059</f>
        <v/>
      </c>
      <c r="AA2059" s="14">
        <f>SUM(N2059:Y2059)</f>
        <v/>
      </c>
      <c r="AB2059" s="13">
        <f>SUMPRODUCT(N2059:Y2059,$N$3:$Y$3)*$K2059*$L2059*$M2059</f>
        <v/>
      </c>
      <c r="AC2059" s="13">
        <f>SUMPRODUCT(N2059:Y2059,$N$4:$Y$4)*$K2059*$L2059*$M2059</f>
        <v/>
      </c>
      <c r="AD2059" s="15" t="n">
        <v>3</v>
      </c>
      <c r="AE2059" s="11" t="n">
        <v>1.011296296296296</v>
      </c>
      <c r="AF2059" s="16">
        <f>SUMPRODUCT(N2059:Y2059,$N$5:$Y$5)*$K2059*$L2059*$M2059</f>
        <v/>
      </c>
      <c r="AG2059" s="16">
        <f>SUMPRODUCT(N2059:Y2059,$N$6:$Y$6)*$K2059*$L2059*$M2059</f>
        <v/>
      </c>
      <c r="AH2059" s="20" t="n"/>
    </row>
    <row r="2060">
      <c r="A2060" s="9" t="n">
        <v>815183</v>
      </c>
      <c r="B2060" s="9" t="inlineStr">
        <is>
          <t>Jonathan Jimenez</t>
        </is>
      </c>
      <c r="C2060" s="9" t="inlineStr">
        <is>
          <t>NYM</t>
        </is>
      </c>
      <c r="D2060" s="9" t="n">
        <v>25</v>
      </c>
      <c r="E2060" s="18" t="inlineStr">
        <is>
          <t>R</t>
        </is>
      </c>
      <c r="F2060" s="18" t="n"/>
      <c r="G2060" s="9" t="n">
        <v>26.94666666666667</v>
      </c>
      <c r="H2060" s="9" t="n">
        <v>26.94666666666667</v>
      </c>
      <c r="I2060" s="9" t="inlineStr">
        <is>
          <t>Depth (no MLB IP)</t>
        </is>
      </c>
      <c r="J2060" s="18" t="inlineStr">
        <is>
          <t>Opening Day</t>
        </is>
      </c>
      <c r="K2060" s="11">
        <f>IFERROR(INDEX(Roles!$B$17:$B$20,MATCH(J2060,Roles!$A$17:$A$20,0)),1)</f>
        <v/>
      </c>
      <c r="L2060" s="19" t="n">
        <v>1</v>
      </c>
      <c r="M2060" s="11" t="n">
        <v>1</v>
      </c>
      <c r="N2060" s="19" t="n"/>
      <c r="O2060" s="19" t="n"/>
      <c r="P2060" s="19" t="n"/>
      <c r="Q2060" s="19" t="n"/>
      <c r="R2060" s="19" t="n"/>
      <c r="S2060" s="19" t="n"/>
      <c r="T2060" s="19" t="n"/>
      <c r="U2060" s="19" t="n"/>
      <c r="V2060" s="19" t="n"/>
      <c r="W2060" s="19" t="n"/>
      <c r="X2060" s="19" t="n"/>
      <c r="Y2060" s="19" t="n">
        <v>1</v>
      </c>
      <c r="Z2060" s="13">
        <f>SUMPRODUCT(N2060:Y2060,$N$2:$Y$2)*$K2060*$L2060*$M2060</f>
        <v/>
      </c>
      <c r="AA2060" s="14">
        <f>SUM(N2060:Y2060)</f>
        <v/>
      </c>
      <c r="AB2060" s="13">
        <f>SUMPRODUCT(N2060:Y2060,$N$3:$Y$3)*$K2060*$L2060*$M2060</f>
        <v/>
      </c>
      <c r="AC2060" s="13">
        <f>SUMPRODUCT(N2060:Y2060,$N$4:$Y$4)*$K2060*$L2060*$M2060</f>
        <v/>
      </c>
      <c r="AD2060" s="15" t="n">
        <v>3</v>
      </c>
      <c r="AE2060" s="11" t="n">
        <v>1.011296296296296</v>
      </c>
      <c r="AF2060" s="16">
        <f>SUMPRODUCT(N2060:Y2060,$N$5:$Y$5)*$K2060*$L2060*$M2060</f>
        <v/>
      </c>
      <c r="AG2060" s="16">
        <f>SUMPRODUCT(N2060:Y2060,$N$6:$Y$6)*$K2060*$L2060*$M2060</f>
        <v/>
      </c>
      <c r="AH2060" s="20" t="n"/>
    </row>
    <row r="2061">
      <c r="A2061" s="9" t="n">
        <v>814715</v>
      </c>
      <c r="B2061" s="9" t="inlineStr">
        <is>
          <t>Jose Martinez</t>
        </is>
      </c>
      <c r="C2061" s="9" t="inlineStr">
        <is>
          <t>NYY</t>
        </is>
      </c>
      <c r="D2061" s="9" t="n">
        <v>25</v>
      </c>
      <c r="E2061" s="18" t="inlineStr">
        <is>
          <t>R</t>
        </is>
      </c>
      <c r="F2061" s="18" t="n"/>
      <c r="G2061" s="9" t="n">
        <v>27.004</v>
      </c>
      <c r="H2061" s="9" t="n">
        <v>27.004</v>
      </c>
      <c r="I2061" s="9" t="inlineStr">
        <is>
          <t>Depth (no MLB IP)</t>
        </is>
      </c>
      <c r="J2061" s="18" t="inlineStr">
        <is>
          <t>Opening Day</t>
        </is>
      </c>
      <c r="K2061" s="11">
        <f>IFERROR(INDEX(Roles!$B$17:$B$20,MATCH(J2061,Roles!$A$17:$A$20,0)),1)</f>
        <v/>
      </c>
      <c r="L2061" s="19" t="n">
        <v>1</v>
      </c>
      <c r="M2061" s="11" t="n">
        <v>1</v>
      </c>
      <c r="N2061" s="19" t="n"/>
      <c r="O2061" s="19" t="n"/>
      <c r="P2061" s="19" t="n"/>
      <c r="Q2061" s="19" t="n"/>
      <c r="R2061" s="19" t="n"/>
      <c r="S2061" s="19" t="n"/>
      <c r="T2061" s="19" t="n"/>
      <c r="U2061" s="19" t="n"/>
      <c r="V2061" s="19" t="n"/>
      <c r="W2061" s="19" t="n"/>
      <c r="X2061" s="19" t="n"/>
      <c r="Y2061" s="19" t="n">
        <v>1</v>
      </c>
      <c r="Z2061" s="13">
        <f>SUMPRODUCT(N2061:Y2061,$N$2:$Y$2)*$K2061*$L2061*$M2061</f>
        <v/>
      </c>
      <c r="AA2061" s="14">
        <f>SUM(N2061:Y2061)</f>
        <v/>
      </c>
      <c r="AB2061" s="13">
        <f>SUMPRODUCT(N2061:Y2061,$N$3:$Y$3)*$K2061*$L2061*$M2061</f>
        <v/>
      </c>
      <c r="AC2061" s="13">
        <f>SUMPRODUCT(N2061:Y2061,$N$4:$Y$4)*$K2061*$L2061*$M2061</f>
        <v/>
      </c>
      <c r="AD2061" s="15" t="n">
        <v>3</v>
      </c>
      <c r="AE2061" s="11" t="n">
        <v>1.011296296296296</v>
      </c>
      <c r="AF2061" s="16">
        <f>SUMPRODUCT(N2061:Y2061,$N$5:$Y$5)*$K2061*$L2061*$M2061</f>
        <v/>
      </c>
      <c r="AG2061" s="16">
        <f>SUMPRODUCT(N2061:Y2061,$N$6:$Y$6)*$K2061*$L2061*$M2061</f>
        <v/>
      </c>
      <c r="AH2061" s="20" t="n"/>
    </row>
    <row r="2062">
      <c r="A2062" s="9" t="n">
        <v>809933</v>
      </c>
      <c r="B2062" s="9" t="inlineStr">
        <is>
          <t>Steven Brooks</t>
        </is>
      </c>
      <c r="C2062" s="9" t="inlineStr">
        <is>
          <t>BOS</t>
        </is>
      </c>
      <c r="D2062" s="9" t="n">
        <v>25</v>
      </c>
      <c r="E2062" s="18" t="inlineStr">
        <is>
          <t>R</t>
        </is>
      </c>
      <c r="F2062" s="18" t="n"/>
      <c r="G2062" s="9" t="n">
        <v>27.09</v>
      </c>
      <c r="H2062" s="9" t="n">
        <v>27.09</v>
      </c>
      <c r="I2062" s="9" t="inlineStr">
        <is>
          <t>Depth (no MLB IP)</t>
        </is>
      </c>
      <c r="J2062" s="18" t="inlineStr">
        <is>
          <t>Opening Day</t>
        </is>
      </c>
      <c r="K2062" s="11">
        <f>IFERROR(INDEX(Roles!$B$17:$B$20,MATCH(J2062,Roles!$A$17:$A$20,0)),1)</f>
        <v/>
      </c>
      <c r="L2062" s="19" t="n">
        <v>1</v>
      </c>
      <c r="M2062" s="11" t="n">
        <v>1</v>
      </c>
      <c r="N2062" s="19" t="n"/>
      <c r="O2062" s="19" t="n"/>
      <c r="P2062" s="19" t="n"/>
      <c r="Q2062" s="19" t="n"/>
      <c r="R2062" s="19" t="n"/>
      <c r="S2062" s="19" t="n"/>
      <c r="T2062" s="19" t="n"/>
      <c r="U2062" s="19" t="n"/>
      <c r="V2062" s="19" t="n"/>
      <c r="W2062" s="19" t="n"/>
      <c r="X2062" s="19" t="n"/>
      <c r="Y2062" s="19" t="n">
        <v>1</v>
      </c>
      <c r="Z2062" s="13">
        <f>SUMPRODUCT(N2062:Y2062,$N$2:$Y$2)*$K2062*$L2062*$M2062</f>
        <v/>
      </c>
      <c r="AA2062" s="14">
        <f>SUM(N2062:Y2062)</f>
        <v/>
      </c>
      <c r="AB2062" s="13">
        <f>SUMPRODUCT(N2062:Y2062,$N$3:$Y$3)*$K2062*$L2062*$M2062</f>
        <v/>
      </c>
      <c r="AC2062" s="13">
        <f>SUMPRODUCT(N2062:Y2062,$N$4:$Y$4)*$K2062*$L2062*$M2062</f>
        <v/>
      </c>
      <c r="AD2062" s="15" t="n">
        <v>3</v>
      </c>
      <c r="AE2062" s="11" t="n">
        <v>1.011296296296296</v>
      </c>
      <c r="AF2062" s="16">
        <f>SUMPRODUCT(N2062:Y2062,$N$5:$Y$5)*$K2062*$L2062*$M2062</f>
        <v/>
      </c>
      <c r="AG2062" s="16">
        <f>SUMPRODUCT(N2062:Y2062,$N$6:$Y$6)*$K2062*$L2062*$M2062</f>
        <v/>
      </c>
      <c r="AH2062" s="20" t="n"/>
    </row>
    <row r="2063">
      <c r="A2063" s="9" t="n">
        <v>821757</v>
      </c>
      <c r="B2063" s="9" t="inlineStr">
        <is>
          <t>Esteban Mejia</t>
        </is>
      </c>
      <c r="C2063" s="9" t="inlineStr">
        <is>
          <t>BAL</t>
        </is>
      </c>
      <c r="D2063" s="9" t="n">
        <v>25</v>
      </c>
      <c r="E2063" s="18" t="inlineStr">
        <is>
          <t>R</t>
        </is>
      </c>
      <c r="F2063" s="18" t="n"/>
      <c r="G2063" s="9" t="n">
        <v>27.004</v>
      </c>
      <c r="H2063" s="9" t="n">
        <v>27.004</v>
      </c>
      <c r="I2063" s="9" t="inlineStr">
        <is>
          <t>Depth (no MLB IP)</t>
        </is>
      </c>
      <c r="J2063" s="18" t="inlineStr">
        <is>
          <t>Opening Day</t>
        </is>
      </c>
      <c r="K2063" s="11">
        <f>IFERROR(INDEX(Roles!$B$17:$B$20,MATCH(J2063,Roles!$A$17:$A$20,0)),1)</f>
        <v/>
      </c>
      <c r="L2063" s="19" t="n">
        <v>1</v>
      </c>
      <c r="M2063" s="11" t="n">
        <v>1</v>
      </c>
      <c r="N2063" s="19" t="n"/>
      <c r="O2063" s="19" t="n"/>
      <c r="P2063" s="19" t="n"/>
      <c r="Q2063" s="19" t="n"/>
      <c r="R2063" s="19" t="n"/>
      <c r="S2063" s="19" t="n"/>
      <c r="T2063" s="19" t="n"/>
      <c r="U2063" s="19" t="n"/>
      <c r="V2063" s="19" t="n"/>
      <c r="W2063" s="19" t="n"/>
      <c r="X2063" s="19" t="n"/>
      <c r="Y2063" s="19" t="n">
        <v>1</v>
      </c>
      <c r="Z2063" s="13">
        <f>SUMPRODUCT(N2063:Y2063,$N$2:$Y$2)*$K2063*$L2063*$M2063</f>
        <v/>
      </c>
      <c r="AA2063" s="14">
        <f>SUM(N2063:Y2063)</f>
        <v/>
      </c>
      <c r="AB2063" s="13">
        <f>SUMPRODUCT(N2063:Y2063,$N$3:$Y$3)*$K2063*$L2063*$M2063</f>
        <v/>
      </c>
      <c r="AC2063" s="13">
        <f>SUMPRODUCT(N2063:Y2063,$N$4:$Y$4)*$K2063*$L2063*$M2063</f>
        <v/>
      </c>
      <c r="AD2063" s="15" t="n">
        <v>3</v>
      </c>
      <c r="AE2063" s="11" t="n">
        <v>1.011296296296296</v>
      </c>
      <c r="AF2063" s="16">
        <f>SUMPRODUCT(N2063:Y2063,$N$5:$Y$5)*$K2063*$L2063*$M2063</f>
        <v/>
      </c>
      <c r="AG2063" s="16">
        <f>SUMPRODUCT(N2063:Y2063,$N$6:$Y$6)*$K2063*$L2063*$M2063</f>
        <v/>
      </c>
      <c r="AH2063" s="20" t="n"/>
    </row>
    <row r="2064">
      <c r="A2064" s="9" t="n">
        <v>683822</v>
      </c>
      <c r="B2064" s="9" t="inlineStr">
        <is>
          <t>Naoyuki Uwasawa</t>
        </is>
      </c>
      <c r="C2064" s="9" t="inlineStr">
        <is>
          <t>BOS</t>
        </is>
      </c>
      <c r="D2064" s="9" t="n">
        <v>33</v>
      </c>
      <c r="E2064" s="18" t="inlineStr">
        <is>
          <t>R</t>
        </is>
      </c>
      <c r="F2064" s="18" t="n"/>
      <c r="G2064" s="9" t="n">
        <v>16</v>
      </c>
      <c r="H2064" s="9" t="n">
        <v>16</v>
      </c>
      <c r="I2064" s="9" t="inlineStr">
        <is>
          <t>Depth (no MLB IP)</t>
        </is>
      </c>
      <c r="J2064" s="18" t="inlineStr">
        <is>
          <t>Opening Day</t>
        </is>
      </c>
      <c r="K2064" s="11">
        <f>IFERROR(INDEX(Roles!$B$17:$B$20,MATCH(J2064,Roles!$A$17:$A$20,0)),1)</f>
        <v/>
      </c>
      <c r="L2064" s="19" t="n">
        <v>1</v>
      </c>
      <c r="M2064" s="11" t="n">
        <v>1</v>
      </c>
      <c r="N2064" s="19" t="n"/>
      <c r="O2064" s="19" t="n"/>
      <c r="P2064" s="19" t="n"/>
      <c r="Q2064" s="19" t="n"/>
      <c r="R2064" s="19" t="n"/>
      <c r="S2064" s="19" t="n"/>
      <c r="T2064" s="19" t="n"/>
      <c r="U2064" s="19" t="n"/>
      <c r="V2064" s="19" t="n"/>
      <c r="W2064" s="19" t="n"/>
      <c r="X2064" s="19" t="n"/>
      <c r="Y2064" s="19" t="n">
        <v>1</v>
      </c>
      <c r="Z2064" s="13">
        <f>SUMPRODUCT(N2064:Y2064,$N$2:$Y$2)*$K2064*$L2064*$M2064</f>
        <v/>
      </c>
      <c r="AA2064" s="14">
        <f>SUM(N2064:Y2064)</f>
        <v/>
      </c>
      <c r="AB2064" s="13">
        <f>SUMPRODUCT(N2064:Y2064,$N$3:$Y$3)*$K2064*$L2064*$M2064</f>
        <v/>
      </c>
      <c r="AC2064" s="13">
        <f>SUMPRODUCT(N2064:Y2064,$N$4:$Y$4)*$K2064*$L2064*$M2064</f>
        <v/>
      </c>
      <c r="AD2064" s="15" t="n">
        <v>2.4</v>
      </c>
      <c r="AE2064" s="11" t="n">
        <v>1.340864197530864</v>
      </c>
      <c r="AF2064" s="16">
        <f>SUMPRODUCT(N2064:Y2064,$N$5:$Y$5)*$K2064*$L2064*$M2064</f>
        <v/>
      </c>
      <c r="AG2064" s="16">
        <f>SUMPRODUCT(N2064:Y2064,$N$6:$Y$6)*$K2064*$L2064*$M2064</f>
        <v/>
      </c>
      <c r="AH2064" s="20" t="n"/>
    </row>
    <row r="2065">
      <c r="A2065" s="9" t="n">
        <v>808963</v>
      </c>
      <c r="B2065" s="9" t="inlineStr">
        <is>
          <t>Roki Sasaki</t>
        </is>
      </c>
      <c r="C2065" s="9" t="inlineStr">
        <is>
          <t>LAD</t>
        </is>
      </c>
      <c r="D2065" s="9" t="n">
        <v>25</v>
      </c>
      <c r="E2065" s="18" t="inlineStr">
        <is>
          <t>R</t>
        </is>
      </c>
      <c r="F2065" s="18" t="n"/>
      <c r="G2065" s="9" t="n">
        <v>522</v>
      </c>
      <c r="H2065" s="9" t="n">
        <v>683</v>
      </c>
      <c r="I2065" s="9" t="inlineStr">
        <is>
          <t>Swing Arm / Long Relief</t>
        </is>
      </c>
      <c r="J2065" s="18" t="inlineStr">
        <is>
          <t>Opening Day</t>
        </is>
      </c>
      <c r="K2065" s="11">
        <f>IFERROR(INDEX(Roles!$B$17:$B$20,MATCH(J2065,Roles!$A$17:$A$20,0)),1)</f>
        <v/>
      </c>
      <c r="L2065" s="19" t="n">
        <v>1</v>
      </c>
      <c r="M2065" s="11" t="n">
        <v>1</v>
      </c>
      <c r="N2065" s="19" t="n"/>
      <c r="O2065" s="19" t="n"/>
      <c r="P2065" s="19" t="n"/>
      <c r="Q2065" s="19" t="n"/>
      <c r="R2065" s="19" t="n">
        <v>0.6</v>
      </c>
      <c r="S2065" s="19" t="n"/>
      <c r="T2065" s="19" t="n"/>
      <c r="U2065" s="19" t="n"/>
      <c r="V2065" s="19" t="n"/>
      <c r="W2065" s="19" t="n">
        <v>0.4</v>
      </c>
      <c r="X2065" s="19" t="n"/>
      <c r="Y2065" s="19" t="n"/>
      <c r="Z2065" s="13">
        <f>SUMPRODUCT(N2065:Y2065,$N$2:$Y$2)*$K2065*$L2065*$M2065</f>
        <v/>
      </c>
      <c r="AA2065" s="14">
        <f>SUM(N2065:Y2065)</f>
        <v/>
      </c>
      <c r="AB2065" s="13">
        <f>SUMPRODUCT(N2065:Y2065,$N$3:$Y$3)*$K2065*$L2065*$M2065</f>
        <v/>
      </c>
      <c r="AC2065" s="13">
        <f>SUMPRODUCT(N2065:Y2065,$N$4:$Y$4)*$K2065*$L2065*$M2065</f>
        <v/>
      </c>
      <c r="AD2065" s="15" t="n">
        <v>19.89333333333333</v>
      </c>
      <c r="AE2065" s="11" t="n">
        <v>3.163953012899149</v>
      </c>
      <c r="AF2065" s="16">
        <f>SUMPRODUCT(N2065:Y2065,$N$5:$Y$5)*$K2065*$L2065*$M2065</f>
        <v/>
      </c>
      <c r="AG2065" s="16">
        <f>SUMPRODUCT(N2065:Y2065,$N$6:$Y$6)*$K2065*$L2065*$M2065</f>
        <v/>
      </c>
      <c r="AH2065" s="20" t="n"/>
    </row>
    <row r="2066">
      <c r="A2066" s="9" t="n">
        <v>816256</v>
      </c>
      <c r="B2066" s="9" t="inlineStr">
        <is>
          <t>Marco Barrios</t>
        </is>
      </c>
      <c r="C2066" s="9" t="inlineStr">
        <is>
          <t>CWS</t>
        </is>
      </c>
      <c r="D2066" s="9" t="n">
        <v>25</v>
      </c>
      <c r="E2066" s="18" t="inlineStr">
        <is>
          <t>R</t>
        </is>
      </c>
      <c r="F2066" s="18" t="n"/>
      <c r="G2066" s="9" t="n">
        <v>27.004</v>
      </c>
      <c r="H2066" s="9" t="n">
        <v>27.004</v>
      </c>
      <c r="I2066" s="9" t="inlineStr">
        <is>
          <t>Depth (no MLB IP)</t>
        </is>
      </c>
      <c r="J2066" s="18" t="inlineStr">
        <is>
          <t>Opening Day</t>
        </is>
      </c>
      <c r="K2066" s="11">
        <f>IFERROR(INDEX(Roles!$B$17:$B$20,MATCH(J2066,Roles!$A$17:$A$20,0)),1)</f>
        <v/>
      </c>
      <c r="L2066" s="19" t="n">
        <v>1</v>
      </c>
      <c r="M2066" s="11" t="n">
        <v>1</v>
      </c>
      <c r="N2066" s="19" t="n"/>
      <c r="O2066" s="19" t="n"/>
      <c r="P2066" s="19" t="n"/>
      <c r="Q2066" s="19" t="n"/>
      <c r="R2066" s="19" t="n"/>
      <c r="S2066" s="19" t="n"/>
      <c r="T2066" s="19" t="n"/>
      <c r="U2066" s="19" t="n"/>
      <c r="V2066" s="19" t="n"/>
      <c r="W2066" s="19" t="n"/>
      <c r="X2066" s="19" t="n"/>
      <c r="Y2066" s="19" t="n">
        <v>1</v>
      </c>
      <c r="Z2066" s="13">
        <f>SUMPRODUCT(N2066:Y2066,$N$2:$Y$2)*$K2066*$L2066*$M2066</f>
        <v/>
      </c>
      <c r="AA2066" s="14">
        <f>SUM(N2066:Y2066)</f>
        <v/>
      </c>
      <c r="AB2066" s="13">
        <f>SUMPRODUCT(N2066:Y2066,$N$3:$Y$3)*$K2066*$L2066*$M2066</f>
        <v/>
      </c>
      <c r="AC2066" s="13">
        <f>SUMPRODUCT(N2066:Y2066,$N$4:$Y$4)*$K2066*$L2066*$M2066</f>
        <v/>
      </c>
      <c r="AD2066" s="15" t="n">
        <v>3</v>
      </c>
      <c r="AE2066" s="11" t="n">
        <v>1.011296296296296</v>
      </c>
      <c r="AF2066" s="16">
        <f>SUMPRODUCT(N2066:Y2066,$N$5:$Y$5)*$K2066*$L2066*$M2066</f>
        <v/>
      </c>
      <c r="AG2066" s="16">
        <f>SUMPRODUCT(N2066:Y2066,$N$6:$Y$6)*$K2066*$L2066*$M2066</f>
        <v/>
      </c>
      <c r="AH2066" s="20" t="n"/>
    </row>
    <row r="2067">
      <c r="A2067" s="9" t="n">
        <v>663971</v>
      </c>
      <c r="B2067" s="9" t="inlineStr">
        <is>
          <t>Blair Calvo</t>
        </is>
      </c>
      <c r="C2067" s="9" t="inlineStr">
        <is>
          <t>COL</t>
        </is>
      </c>
      <c r="D2067" s="9" t="n">
        <v>31</v>
      </c>
      <c r="E2067" s="18" t="inlineStr">
        <is>
          <t>R</t>
        </is>
      </c>
      <c r="F2067" s="18" t="n"/>
      <c r="G2067" s="9" t="n">
        <v>3</v>
      </c>
      <c r="H2067" s="9" t="n">
        <v>3</v>
      </c>
      <c r="I2067" s="9" t="inlineStr">
        <is>
          <t>Depth (no MLB IP)</t>
        </is>
      </c>
      <c r="J2067" s="18" t="inlineStr">
        <is>
          <t>Opening Day</t>
        </is>
      </c>
      <c r="K2067" s="11">
        <f>IFERROR(INDEX(Roles!$B$17:$B$20,MATCH(J2067,Roles!$A$17:$A$20,0)),1)</f>
        <v/>
      </c>
      <c r="L2067" s="19" t="n">
        <v>1</v>
      </c>
      <c r="M2067" s="11" t="n">
        <v>1</v>
      </c>
      <c r="N2067" s="19" t="n"/>
      <c r="O2067" s="19" t="n"/>
      <c r="P2067" s="19" t="n"/>
      <c r="Q2067" s="19" t="n"/>
      <c r="R2067" s="19" t="n"/>
      <c r="S2067" s="19" t="n"/>
      <c r="T2067" s="19" t="n"/>
      <c r="U2067" s="19" t="n"/>
      <c r="V2067" s="19" t="n"/>
      <c r="W2067" s="19" t="n"/>
      <c r="X2067" s="19" t="n"/>
      <c r="Y2067" s="19" t="n">
        <v>1</v>
      </c>
      <c r="Z2067" s="13">
        <f>SUMPRODUCT(N2067:Y2067,$N$2:$Y$2)*$K2067*$L2067*$M2067</f>
        <v/>
      </c>
      <c r="AA2067" s="14">
        <f>SUM(N2067:Y2067)</f>
        <v/>
      </c>
      <c r="AB2067" s="13">
        <f>SUMPRODUCT(N2067:Y2067,$N$3:$Y$3)*$K2067*$L2067*$M2067</f>
        <v/>
      </c>
      <c r="AC2067" s="13">
        <f>SUMPRODUCT(N2067:Y2067,$N$4:$Y$4)*$K2067*$L2067*$M2067</f>
        <v/>
      </c>
      <c r="AD2067" s="15" t="n">
        <v>3</v>
      </c>
      <c r="AE2067" s="11" t="n">
        <v>1.011296296296296</v>
      </c>
      <c r="AF2067" s="16">
        <f>SUMPRODUCT(N2067:Y2067,$N$5:$Y$5)*$K2067*$L2067*$M2067</f>
        <v/>
      </c>
      <c r="AG2067" s="16">
        <f>SUMPRODUCT(N2067:Y2067,$N$6:$Y$6)*$K2067*$L2067*$M2067</f>
        <v/>
      </c>
      <c r="AH2067" s="20" t="n"/>
    </row>
    <row r="2068">
      <c r="A2068" s="9" t="n">
        <v>641525</v>
      </c>
      <c r="B2068" s="9" t="inlineStr">
        <is>
          <t>Brandon Dixon</t>
        </is>
      </c>
      <c r="C2068" s="9" t="inlineStr">
        <is>
          <t>SD</t>
        </is>
      </c>
      <c r="D2068" s="9" t="n">
        <v>35</v>
      </c>
      <c r="E2068" s="18" t="inlineStr">
        <is>
          <t>R</t>
        </is>
      </c>
      <c r="F2068" s="18" t="n"/>
      <c r="G2068" s="9" t="n">
        <v>3</v>
      </c>
      <c r="H2068" s="9" t="n">
        <v>3</v>
      </c>
      <c r="I2068" s="9" t="inlineStr">
        <is>
          <t>Depth (no MLB IP)</t>
        </is>
      </c>
      <c r="J2068" s="18" t="inlineStr">
        <is>
          <t>Opening Day</t>
        </is>
      </c>
      <c r="K2068" s="11">
        <f>IFERROR(INDEX(Roles!$B$17:$B$20,MATCH(J2068,Roles!$A$17:$A$20,0)),1)</f>
        <v/>
      </c>
      <c r="L2068" s="19" t="n">
        <v>1</v>
      </c>
      <c r="M2068" s="11" t="n">
        <v>1</v>
      </c>
      <c r="N2068" s="19" t="n"/>
      <c r="O2068" s="19" t="n"/>
      <c r="P2068" s="19" t="n"/>
      <c r="Q2068" s="19" t="n"/>
      <c r="R2068" s="19" t="n"/>
      <c r="S2068" s="19" t="n"/>
      <c r="T2068" s="19" t="n"/>
      <c r="U2068" s="19" t="n"/>
      <c r="V2068" s="19" t="n"/>
      <c r="W2068" s="19" t="n"/>
      <c r="X2068" s="19" t="n"/>
      <c r="Y2068" s="19" t="n">
        <v>1</v>
      </c>
      <c r="Z2068" s="13">
        <f>SUMPRODUCT(N2068:Y2068,$N$2:$Y$2)*$K2068*$L2068*$M2068</f>
        <v/>
      </c>
      <c r="AA2068" s="14">
        <f>SUM(N2068:Y2068)</f>
        <v/>
      </c>
      <c r="AB2068" s="13">
        <f>SUMPRODUCT(N2068:Y2068,$N$3:$Y$3)*$K2068*$L2068*$M2068</f>
        <v/>
      </c>
      <c r="AC2068" s="13">
        <f>SUMPRODUCT(N2068:Y2068,$N$4:$Y$4)*$K2068*$L2068*$M2068</f>
        <v/>
      </c>
      <c r="AD2068" s="15" t="n">
        <v>3</v>
      </c>
      <c r="AE2068" s="11" t="n">
        <v>1.011296296296296</v>
      </c>
      <c r="AF2068" s="16">
        <f>SUMPRODUCT(N2068:Y2068,$N$5:$Y$5)*$K2068*$L2068*$M2068</f>
        <v/>
      </c>
      <c r="AG2068" s="16">
        <f>SUMPRODUCT(N2068:Y2068,$N$6:$Y$6)*$K2068*$L2068*$M2068</f>
        <v/>
      </c>
      <c r="AH2068" s="20" t="n"/>
    </row>
    <row r="2069">
      <c r="A2069" s="9" t="n">
        <v>518626</v>
      </c>
      <c r="B2069" s="9" t="inlineStr">
        <is>
          <t>Josh Donaldson</t>
        </is>
      </c>
      <c r="C2069" s="9" t="inlineStr">
        <is>
          <t>NYY</t>
        </is>
      </c>
      <c r="D2069" s="9" t="n">
        <v>41</v>
      </c>
      <c r="E2069" s="18" t="inlineStr">
        <is>
          <t>R</t>
        </is>
      </c>
      <c r="F2069" s="18" t="n"/>
      <c r="G2069" s="9" t="n">
        <v>3</v>
      </c>
      <c r="H2069" s="9" t="n">
        <v>3</v>
      </c>
      <c r="I2069" s="9" t="inlineStr">
        <is>
          <t>Depth (no MLB IP)</t>
        </is>
      </c>
      <c r="J2069" s="18" t="inlineStr">
        <is>
          <t>Opening Day</t>
        </is>
      </c>
      <c r="K2069" s="11">
        <f>IFERROR(INDEX(Roles!$B$17:$B$20,MATCH(J2069,Roles!$A$17:$A$20,0)),1)</f>
        <v/>
      </c>
      <c r="L2069" s="19" t="n">
        <v>1</v>
      </c>
      <c r="M2069" s="11" t="n">
        <v>1</v>
      </c>
      <c r="N2069" s="19" t="n"/>
      <c r="O2069" s="19" t="n"/>
      <c r="P2069" s="19" t="n"/>
      <c r="Q2069" s="19" t="n"/>
      <c r="R2069" s="19" t="n"/>
      <c r="S2069" s="19" t="n"/>
      <c r="T2069" s="19" t="n"/>
      <c r="U2069" s="19" t="n"/>
      <c r="V2069" s="19" t="n"/>
      <c r="W2069" s="19" t="n"/>
      <c r="X2069" s="19" t="n"/>
      <c r="Y2069" s="19" t="n">
        <v>1</v>
      </c>
      <c r="Z2069" s="13">
        <f>SUMPRODUCT(N2069:Y2069,$N$2:$Y$2)*$K2069*$L2069*$M2069</f>
        <v/>
      </c>
      <c r="AA2069" s="14">
        <f>SUM(N2069:Y2069)</f>
        <v/>
      </c>
      <c r="AB2069" s="13">
        <f>SUMPRODUCT(N2069:Y2069,$N$3:$Y$3)*$K2069*$L2069*$M2069</f>
        <v/>
      </c>
      <c r="AC2069" s="13">
        <f>SUMPRODUCT(N2069:Y2069,$N$4:$Y$4)*$K2069*$L2069*$M2069</f>
        <v/>
      </c>
      <c r="AD2069" s="15" t="n">
        <v>3</v>
      </c>
      <c r="AE2069" s="11" t="n">
        <v>1.011296296296296</v>
      </c>
      <c r="AF2069" s="16">
        <f>SUMPRODUCT(N2069:Y2069,$N$5:$Y$5)*$K2069*$L2069*$M2069</f>
        <v/>
      </c>
      <c r="AG2069" s="16">
        <f>SUMPRODUCT(N2069:Y2069,$N$6:$Y$6)*$K2069*$L2069*$M2069</f>
        <v/>
      </c>
      <c r="AH2069" s="20" t="n"/>
    </row>
    <row r="2070">
      <c r="A2070" s="9" t="n">
        <v>835516</v>
      </c>
      <c r="B2070" s="9" t="inlineStr">
        <is>
          <t>Louis Marinaro</t>
        </is>
      </c>
      <c r="C2070" s="9" t="inlineStr">
        <is>
          <t>TEX</t>
        </is>
      </c>
      <c r="D2070" s="9" t="n">
        <v>25</v>
      </c>
      <c r="E2070" s="18" t="inlineStr">
        <is>
          <t>L</t>
        </is>
      </c>
      <c r="F2070" s="18" t="n"/>
      <c r="G2070" s="9" t="n">
        <v>27.17599999999999</v>
      </c>
      <c r="H2070" s="9" t="n">
        <v>27.17599999999999</v>
      </c>
      <c r="I2070" s="9" t="inlineStr">
        <is>
          <t>Depth (no MLB IP)</t>
        </is>
      </c>
      <c r="J2070" s="18" t="inlineStr">
        <is>
          <t>Opening Day</t>
        </is>
      </c>
      <c r="K2070" s="11">
        <f>IFERROR(INDEX(Roles!$B$17:$B$20,MATCH(J2070,Roles!$A$17:$A$20,0)),1)</f>
        <v/>
      </c>
      <c r="L2070" s="19" t="n">
        <v>1</v>
      </c>
      <c r="M2070" s="11" t="n">
        <v>1</v>
      </c>
      <c r="N2070" s="19" t="n"/>
      <c r="O2070" s="19" t="n"/>
      <c r="P2070" s="19" t="n"/>
      <c r="Q2070" s="19" t="n"/>
      <c r="R2070" s="19" t="n"/>
      <c r="S2070" s="19" t="n"/>
      <c r="T2070" s="19" t="n"/>
      <c r="U2070" s="19" t="n"/>
      <c r="V2070" s="19" t="n"/>
      <c r="W2070" s="19" t="n"/>
      <c r="X2070" s="19" t="n"/>
      <c r="Y2070" s="19" t="n">
        <v>1</v>
      </c>
      <c r="Z2070" s="13">
        <f>SUMPRODUCT(N2070:Y2070,$N$2:$Y$2)*$K2070*$L2070*$M2070</f>
        <v/>
      </c>
      <c r="AA2070" s="14">
        <f>SUM(N2070:Y2070)</f>
        <v/>
      </c>
      <c r="AB2070" s="13">
        <f>SUMPRODUCT(N2070:Y2070,$N$3:$Y$3)*$K2070*$L2070*$M2070</f>
        <v/>
      </c>
      <c r="AC2070" s="13">
        <f>SUMPRODUCT(N2070:Y2070,$N$4:$Y$4)*$K2070*$L2070*$M2070</f>
        <v/>
      </c>
      <c r="AD2070" s="15" t="n">
        <v>3</v>
      </c>
      <c r="AE2070" s="11" t="n">
        <v>1.011296296296296</v>
      </c>
      <c r="AF2070" s="16">
        <f>SUMPRODUCT(N2070:Y2070,$N$5:$Y$5)*$K2070*$L2070*$M2070</f>
        <v/>
      </c>
      <c r="AG2070" s="16">
        <f>SUMPRODUCT(N2070:Y2070,$N$6:$Y$6)*$K2070*$L2070*$M2070</f>
        <v/>
      </c>
      <c r="AH2070" s="20" t="n"/>
    </row>
    <row r="2071">
      <c r="A2071" s="9" t="n">
        <v>828716</v>
      </c>
      <c r="B2071" s="9" t="inlineStr">
        <is>
          <t>Jonathan Stevens</t>
        </is>
      </c>
      <c r="C2071" s="9" t="inlineStr">
        <is>
          <t>MIN</t>
        </is>
      </c>
      <c r="D2071" s="9" t="n">
        <v>25</v>
      </c>
      <c r="E2071" s="18" t="inlineStr">
        <is>
          <t>R</t>
        </is>
      </c>
      <c r="F2071" s="18" t="n"/>
      <c r="G2071" s="9" t="n">
        <v>27.004</v>
      </c>
      <c r="H2071" s="9" t="n">
        <v>27.004</v>
      </c>
      <c r="I2071" s="9" t="inlineStr">
        <is>
          <t>Depth (no MLB IP)</t>
        </is>
      </c>
      <c r="J2071" s="18" t="inlineStr">
        <is>
          <t>Opening Day</t>
        </is>
      </c>
      <c r="K2071" s="11">
        <f>IFERROR(INDEX(Roles!$B$17:$B$20,MATCH(J2071,Roles!$A$17:$A$20,0)),1)</f>
        <v/>
      </c>
      <c r="L2071" s="19" t="n">
        <v>1</v>
      </c>
      <c r="M2071" s="11" t="n">
        <v>1</v>
      </c>
      <c r="N2071" s="19" t="n"/>
      <c r="O2071" s="19" t="n"/>
      <c r="P2071" s="19" t="n"/>
      <c r="Q2071" s="19" t="n"/>
      <c r="R2071" s="19" t="n"/>
      <c r="S2071" s="19" t="n"/>
      <c r="T2071" s="19" t="n"/>
      <c r="U2071" s="19" t="n"/>
      <c r="V2071" s="19" t="n"/>
      <c r="W2071" s="19" t="n"/>
      <c r="X2071" s="19" t="n"/>
      <c r="Y2071" s="19" t="n">
        <v>1</v>
      </c>
      <c r="Z2071" s="13">
        <f>SUMPRODUCT(N2071:Y2071,$N$2:$Y$2)*$K2071*$L2071*$M2071</f>
        <v/>
      </c>
      <c r="AA2071" s="14">
        <f>SUM(N2071:Y2071)</f>
        <v/>
      </c>
      <c r="AB2071" s="13">
        <f>SUMPRODUCT(N2071:Y2071,$N$3:$Y$3)*$K2071*$L2071*$M2071</f>
        <v/>
      </c>
      <c r="AC2071" s="13">
        <f>SUMPRODUCT(N2071:Y2071,$N$4:$Y$4)*$K2071*$L2071*$M2071</f>
        <v/>
      </c>
      <c r="AD2071" s="15" t="n">
        <v>3</v>
      </c>
      <c r="AE2071" s="11" t="n">
        <v>1.011296296296296</v>
      </c>
      <c r="AF2071" s="16">
        <f>SUMPRODUCT(N2071:Y2071,$N$5:$Y$5)*$K2071*$L2071*$M2071</f>
        <v/>
      </c>
      <c r="AG2071" s="16">
        <f>SUMPRODUCT(N2071:Y2071,$N$6:$Y$6)*$K2071*$L2071*$M2071</f>
        <v/>
      </c>
      <c r="AH2071" s="20" t="n"/>
    </row>
    <row r="2072">
      <c r="A2072" s="9" t="n">
        <v>807403</v>
      </c>
      <c r="B2072" s="9" t="inlineStr">
        <is>
          <t>Jecsua Liborius</t>
        </is>
      </c>
      <c r="C2072" s="9" t="inlineStr">
        <is>
          <t>LAD</t>
        </is>
      </c>
      <c r="D2072" s="9" t="n">
        <v>25</v>
      </c>
      <c r="E2072" s="18" t="inlineStr">
        <is>
          <t>R</t>
        </is>
      </c>
      <c r="F2072" s="18" t="n"/>
      <c r="G2072" s="9" t="n">
        <v>27.17599999999999</v>
      </c>
      <c r="H2072" s="9" t="n">
        <v>27.17599999999999</v>
      </c>
      <c r="I2072" s="9" t="inlineStr">
        <is>
          <t>Depth (no MLB IP)</t>
        </is>
      </c>
      <c r="J2072" s="18" t="inlineStr">
        <is>
          <t>Opening Day</t>
        </is>
      </c>
      <c r="K2072" s="11">
        <f>IFERROR(INDEX(Roles!$B$17:$B$20,MATCH(J2072,Roles!$A$17:$A$20,0)),1)</f>
        <v/>
      </c>
      <c r="L2072" s="19" t="n">
        <v>1</v>
      </c>
      <c r="M2072" s="11" t="n">
        <v>1</v>
      </c>
      <c r="N2072" s="19" t="n"/>
      <c r="O2072" s="19" t="n"/>
      <c r="P2072" s="19" t="n"/>
      <c r="Q2072" s="19" t="n"/>
      <c r="R2072" s="19" t="n"/>
      <c r="S2072" s="19" t="n"/>
      <c r="T2072" s="19" t="n"/>
      <c r="U2072" s="19" t="n"/>
      <c r="V2072" s="19" t="n"/>
      <c r="W2072" s="19" t="n"/>
      <c r="X2072" s="19" t="n"/>
      <c r="Y2072" s="19" t="n">
        <v>1</v>
      </c>
      <c r="Z2072" s="13">
        <f>SUMPRODUCT(N2072:Y2072,$N$2:$Y$2)*$K2072*$L2072*$M2072</f>
        <v/>
      </c>
      <c r="AA2072" s="14">
        <f>SUM(N2072:Y2072)</f>
        <v/>
      </c>
      <c r="AB2072" s="13">
        <f>SUMPRODUCT(N2072:Y2072,$N$3:$Y$3)*$K2072*$L2072*$M2072</f>
        <v/>
      </c>
      <c r="AC2072" s="13">
        <f>SUMPRODUCT(N2072:Y2072,$N$4:$Y$4)*$K2072*$L2072*$M2072</f>
        <v/>
      </c>
      <c r="AD2072" s="15" t="n">
        <v>3</v>
      </c>
      <c r="AE2072" s="11" t="n">
        <v>1.011296296296296</v>
      </c>
      <c r="AF2072" s="16">
        <f>SUMPRODUCT(N2072:Y2072,$N$5:$Y$5)*$K2072*$L2072*$M2072</f>
        <v/>
      </c>
      <c r="AG2072" s="16">
        <f>SUMPRODUCT(N2072:Y2072,$N$6:$Y$6)*$K2072*$L2072*$M2072</f>
        <v/>
      </c>
      <c r="AH2072" s="20" t="n"/>
    </row>
    <row r="2073">
      <c r="A2073" s="9" t="n">
        <v>681584</v>
      </c>
      <c r="B2073" s="9" t="inlineStr">
        <is>
          <t>David Villar</t>
        </is>
      </c>
      <c r="C2073" s="9" t="inlineStr">
        <is>
          <t>SF</t>
        </is>
      </c>
      <c r="D2073" s="9" t="n">
        <v>30</v>
      </c>
      <c r="E2073" s="18" t="inlineStr">
        <is>
          <t>R</t>
        </is>
      </c>
      <c r="F2073" s="18" t="n"/>
      <c r="G2073" s="9" t="n">
        <v>3</v>
      </c>
      <c r="H2073" s="9" t="n">
        <v>3</v>
      </c>
      <c r="I2073" s="9" t="inlineStr">
        <is>
          <t>Depth (no MLB IP)</t>
        </is>
      </c>
      <c r="J2073" s="18" t="inlineStr">
        <is>
          <t>Opening Day</t>
        </is>
      </c>
      <c r="K2073" s="11">
        <f>IFERROR(INDEX(Roles!$B$17:$B$20,MATCH(J2073,Roles!$A$17:$A$20,0)),1)</f>
        <v/>
      </c>
      <c r="L2073" s="19" t="n">
        <v>1</v>
      </c>
      <c r="M2073" s="11" t="n">
        <v>1</v>
      </c>
      <c r="N2073" s="19" t="n"/>
      <c r="O2073" s="19" t="n"/>
      <c r="P2073" s="19" t="n"/>
      <c r="Q2073" s="19" t="n"/>
      <c r="R2073" s="19" t="n"/>
      <c r="S2073" s="19" t="n"/>
      <c r="T2073" s="19" t="n"/>
      <c r="U2073" s="19" t="n"/>
      <c r="V2073" s="19" t="n"/>
      <c r="W2073" s="19" t="n"/>
      <c r="X2073" s="19" t="n"/>
      <c r="Y2073" s="19" t="n">
        <v>1</v>
      </c>
      <c r="Z2073" s="13">
        <f>SUMPRODUCT(N2073:Y2073,$N$2:$Y$2)*$K2073*$L2073*$M2073</f>
        <v/>
      </c>
      <c r="AA2073" s="14">
        <f>SUM(N2073:Y2073)</f>
        <v/>
      </c>
      <c r="AB2073" s="13">
        <f>SUMPRODUCT(N2073:Y2073,$N$3:$Y$3)*$K2073*$L2073*$M2073</f>
        <v/>
      </c>
      <c r="AC2073" s="13">
        <f>SUMPRODUCT(N2073:Y2073,$N$4:$Y$4)*$K2073*$L2073*$M2073</f>
        <v/>
      </c>
      <c r="AD2073" s="15" t="n">
        <v>3</v>
      </c>
      <c r="AE2073" s="11" t="n">
        <v>1.011296296296296</v>
      </c>
      <c r="AF2073" s="16">
        <f>SUMPRODUCT(N2073:Y2073,$N$5:$Y$5)*$K2073*$L2073*$M2073</f>
        <v/>
      </c>
      <c r="AG2073" s="16">
        <f>SUMPRODUCT(N2073:Y2073,$N$6:$Y$6)*$K2073*$L2073*$M2073</f>
        <v/>
      </c>
      <c r="AH2073" s="20" t="n"/>
    </row>
    <row r="2074">
      <c r="A2074" s="9" t="n">
        <v>671936</v>
      </c>
      <c r="B2074" s="9" t="inlineStr">
        <is>
          <t>Adam Macko</t>
        </is>
      </c>
      <c r="C2074" s="9" t="inlineStr">
        <is>
          <t>TEX</t>
        </is>
      </c>
      <c r="D2074" s="9" t="n">
        <v>26</v>
      </c>
      <c r="E2074" s="18" t="inlineStr">
        <is>
          <t>L</t>
        </is>
      </c>
      <c r="F2074" s="18" t="n"/>
      <c r="G2074" s="9" t="n">
        <v>145</v>
      </c>
      <c r="H2074" s="9" t="n">
        <v>145</v>
      </c>
      <c r="I2074" s="9" t="inlineStr">
        <is>
          <t>Swing Arm / Long Relief</t>
        </is>
      </c>
      <c r="J2074" s="18" t="inlineStr">
        <is>
          <t>Opening Day</t>
        </is>
      </c>
      <c r="K2074" s="11">
        <f>IFERROR(INDEX(Roles!$B$17:$B$20,MATCH(J2074,Roles!$A$17:$A$20,0)),1)</f>
        <v/>
      </c>
      <c r="L2074" s="19" t="n">
        <v>1</v>
      </c>
      <c r="M2074" s="11" t="n">
        <v>1</v>
      </c>
      <c r="N2074" s="19" t="n"/>
      <c r="O2074" s="19" t="n"/>
      <c r="P2074" s="19" t="n"/>
      <c r="Q2074" s="19" t="n"/>
      <c r="R2074" s="19" t="n">
        <v>0.55</v>
      </c>
      <c r="S2074" s="19" t="n"/>
      <c r="T2074" s="19" t="n"/>
      <c r="U2074" s="19" t="n"/>
      <c r="V2074" s="19" t="n">
        <v>0.45</v>
      </c>
      <c r="W2074" s="19" t="n"/>
      <c r="X2074" s="19" t="n"/>
      <c r="Y2074" s="19" t="n"/>
      <c r="Z2074" s="13">
        <f>SUMPRODUCT(N2074:Y2074,$N$2:$Y$2)*$K2074*$L2074*$M2074</f>
        <v/>
      </c>
      <c r="AA2074" s="14">
        <f>SUM(N2074:Y2074)</f>
        <v/>
      </c>
      <c r="AB2074" s="13">
        <f>SUMPRODUCT(N2074:Y2074,$N$3:$Y$3)*$K2074*$L2074*$M2074</f>
        <v/>
      </c>
      <c r="AC2074" s="13">
        <f>SUMPRODUCT(N2074:Y2074,$N$4:$Y$4)*$K2074*$L2074*$M2074</f>
        <v/>
      </c>
      <c r="AD2074" s="15" t="n">
        <v>26.13333333333333</v>
      </c>
      <c r="AE2074" s="11" t="n">
        <v>2.012932604735884</v>
      </c>
      <c r="AF2074" s="16">
        <f>SUMPRODUCT(N2074:Y2074,$N$5:$Y$5)*$K2074*$L2074*$M2074</f>
        <v/>
      </c>
      <c r="AG2074" s="16">
        <f>SUMPRODUCT(N2074:Y2074,$N$6:$Y$6)*$K2074*$L2074*$M2074</f>
        <v/>
      </c>
      <c r="AH2074" s="20" t="n"/>
    </row>
    <row r="2075">
      <c r="A2075" s="9" t="n">
        <v>660604</v>
      </c>
      <c r="B2075" s="9" t="inlineStr">
        <is>
          <t>Alan Rangel</t>
        </is>
      </c>
      <c r="C2075" s="9" t="inlineStr">
        <is>
          <t>PHI</t>
        </is>
      </c>
      <c r="D2075" s="9" t="n">
        <v>29</v>
      </c>
      <c r="E2075" s="18" t="inlineStr">
        <is>
          <t>R</t>
        </is>
      </c>
      <c r="F2075" s="18" t="n"/>
      <c r="G2075" s="9" t="n">
        <v>123</v>
      </c>
      <c r="H2075" s="9" t="n">
        <v>169</v>
      </c>
      <c r="I2075" s="9" t="inlineStr">
        <is>
          <t>Bullpen Depth Arm</t>
        </is>
      </c>
      <c r="J2075" s="18" t="inlineStr">
        <is>
          <t>Opening Day</t>
        </is>
      </c>
      <c r="K2075" s="11">
        <f>IFERROR(INDEX(Roles!$B$17:$B$20,MATCH(J2075,Roles!$A$17:$A$20,0)),1)</f>
        <v/>
      </c>
      <c r="L2075" s="19" t="n">
        <v>1</v>
      </c>
      <c r="M2075" s="11" t="n">
        <v>1</v>
      </c>
      <c r="N2075" s="19" t="n"/>
      <c r="O2075" s="19" t="n"/>
      <c r="P2075" s="19" t="n"/>
      <c r="Q2075" s="19" t="n"/>
      <c r="R2075" s="19" t="n"/>
      <c r="S2075" s="19" t="n"/>
      <c r="T2075" s="19" t="n"/>
      <c r="U2075" s="19" t="n"/>
      <c r="V2075" s="19" t="n"/>
      <c r="W2075" s="19" t="n">
        <v>1</v>
      </c>
      <c r="X2075" s="19" t="n"/>
      <c r="Y2075" s="19" t="n"/>
      <c r="Z2075" s="13">
        <f>SUMPRODUCT(N2075:Y2075,$N$2:$Y$2)*$K2075*$L2075*$M2075</f>
        <v/>
      </c>
      <c r="AA2075" s="14">
        <f>SUM(N2075:Y2075)</f>
        <v/>
      </c>
      <c r="AB2075" s="13">
        <f>SUMPRODUCT(N2075:Y2075,$N$3:$Y$3)*$K2075*$L2075*$M2075</f>
        <v/>
      </c>
      <c r="AC2075" s="13">
        <f>SUMPRODUCT(N2075:Y2075,$N$4:$Y$4)*$K2075*$L2075*$M2075</f>
        <v/>
      </c>
      <c r="AD2075" s="15" t="n">
        <v>9.386666666666668</v>
      </c>
      <c r="AE2075" s="11" t="n">
        <v>1.876775952044769</v>
      </c>
      <c r="AF2075" s="16">
        <f>SUMPRODUCT(N2075:Y2075,$N$5:$Y$5)*$K2075*$L2075*$M2075</f>
        <v/>
      </c>
      <c r="AG2075" s="16">
        <f>SUMPRODUCT(N2075:Y2075,$N$6:$Y$6)*$K2075*$L2075*$M2075</f>
        <v/>
      </c>
      <c r="AH2075" s="20" t="n"/>
    </row>
    <row r="2076">
      <c r="A2076" s="9" t="n">
        <v>800324</v>
      </c>
      <c r="B2076" s="9" t="inlineStr">
        <is>
          <t>Luis Cohen</t>
        </is>
      </c>
      <c r="C2076" s="9" t="inlineStr">
        <is>
          <t>BOS</t>
        </is>
      </c>
      <c r="D2076" s="9" t="n">
        <v>25</v>
      </c>
      <c r="E2076" s="18" t="inlineStr">
        <is>
          <t>R</t>
        </is>
      </c>
      <c r="F2076" s="18" t="n"/>
      <c r="G2076" s="9" t="n">
        <v>27.23333333333333</v>
      </c>
      <c r="H2076" s="9" t="n">
        <v>27.23333333333333</v>
      </c>
      <c r="I2076" s="9" t="inlineStr">
        <is>
          <t>Depth (no MLB IP)</t>
        </is>
      </c>
      <c r="J2076" s="18" t="inlineStr">
        <is>
          <t>Opening Day</t>
        </is>
      </c>
      <c r="K2076" s="11">
        <f>IFERROR(INDEX(Roles!$B$17:$B$20,MATCH(J2076,Roles!$A$17:$A$20,0)),1)</f>
        <v/>
      </c>
      <c r="L2076" s="19" t="n">
        <v>1</v>
      </c>
      <c r="M2076" s="11" t="n">
        <v>1</v>
      </c>
      <c r="N2076" s="19" t="n"/>
      <c r="O2076" s="19" t="n"/>
      <c r="P2076" s="19" t="n"/>
      <c r="Q2076" s="19" t="n"/>
      <c r="R2076" s="19" t="n"/>
      <c r="S2076" s="19" t="n"/>
      <c r="T2076" s="19" t="n"/>
      <c r="U2076" s="19" t="n"/>
      <c r="V2076" s="19" t="n"/>
      <c r="W2076" s="19" t="n"/>
      <c r="X2076" s="19" t="n"/>
      <c r="Y2076" s="19" t="n">
        <v>1</v>
      </c>
      <c r="Z2076" s="13">
        <f>SUMPRODUCT(N2076:Y2076,$N$2:$Y$2)*$K2076*$L2076*$M2076</f>
        <v/>
      </c>
      <c r="AA2076" s="14">
        <f>SUM(N2076:Y2076)</f>
        <v/>
      </c>
      <c r="AB2076" s="13">
        <f>SUMPRODUCT(N2076:Y2076,$N$3:$Y$3)*$K2076*$L2076*$M2076</f>
        <v/>
      </c>
      <c r="AC2076" s="13">
        <f>SUMPRODUCT(N2076:Y2076,$N$4:$Y$4)*$K2076*$L2076*$M2076</f>
        <v/>
      </c>
      <c r="AD2076" s="15" t="n">
        <v>3</v>
      </c>
      <c r="AE2076" s="11" t="n">
        <v>1.011296296296296</v>
      </c>
      <c r="AF2076" s="16">
        <f>SUMPRODUCT(N2076:Y2076,$N$5:$Y$5)*$K2076*$L2076*$M2076</f>
        <v/>
      </c>
      <c r="AG2076" s="16">
        <f>SUMPRODUCT(N2076:Y2076,$N$6:$Y$6)*$K2076*$L2076*$M2076</f>
        <v/>
      </c>
      <c r="AH2076" s="20" t="n"/>
    </row>
    <row r="2077">
      <c r="A2077" s="9" t="n">
        <v>700987</v>
      </c>
      <c r="B2077" s="9" t="inlineStr">
        <is>
          <t>Ryan Schiefer</t>
        </is>
      </c>
      <c r="C2077" s="9" t="inlineStr">
        <is>
          <t>CWS</t>
        </is>
      </c>
      <c r="D2077" s="9" t="n">
        <v>25</v>
      </c>
      <c r="E2077" s="18" t="inlineStr">
        <is>
          <t>R</t>
        </is>
      </c>
      <c r="F2077" s="18" t="n"/>
      <c r="G2077" s="9" t="n">
        <v>27.348</v>
      </c>
      <c r="H2077" s="9" t="n">
        <v>27.348</v>
      </c>
      <c r="I2077" s="9" t="inlineStr">
        <is>
          <t>Depth (no MLB IP)</t>
        </is>
      </c>
      <c r="J2077" s="18" t="inlineStr">
        <is>
          <t>Opening Day</t>
        </is>
      </c>
      <c r="K2077" s="11">
        <f>IFERROR(INDEX(Roles!$B$17:$B$20,MATCH(J2077,Roles!$A$17:$A$20,0)),1)</f>
        <v/>
      </c>
      <c r="L2077" s="19" t="n">
        <v>1</v>
      </c>
      <c r="M2077" s="11" t="n">
        <v>1</v>
      </c>
      <c r="N2077" s="19" t="n"/>
      <c r="O2077" s="19" t="n"/>
      <c r="P2077" s="19" t="n"/>
      <c r="Q2077" s="19" t="n"/>
      <c r="R2077" s="19" t="n"/>
      <c r="S2077" s="19" t="n"/>
      <c r="T2077" s="19" t="n"/>
      <c r="U2077" s="19" t="n"/>
      <c r="V2077" s="19" t="n"/>
      <c r="W2077" s="19" t="n"/>
      <c r="X2077" s="19" t="n"/>
      <c r="Y2077" s="19" t="n">
        <v>1</v>
      </c>
      <c r="Z2077" s="13">
        <f>SUMPRODUCT(N2077:Y2077,$N$2:$Y$2)*$K2077*$L2077*$M2077</f>
        <v/>
      </c>
      <c r="AA2077" s="14">
        <f>SUM(N2077:Y2077)</f>
        <v/>
      </c>
      <c r="AB2077" s="13">
        <f>SUMPRODUCT(N2077:Y2077,$N$3:$Y$3)*$K2077*$L2077*$M2077</f>
        <v/>
      </c>
      <c r="AC2077" s="13">
        <f>SUMPRODUCT(N2077:Y2077,$N$4:$Y$4)*$K2077*$L2077*$M2077</f>
        <v/>
      </c>
      <c r="AD2077" s="15" t="n">
        <v>3</v>
      </c>
      <c r="AE2077" s="11" t="n">
        <v>1.011296296296296</v>
      </c>
      <c r="AF2077" s="16">
        <f>SUMPRODUCT(N2077:Y2077,$N$5:$Y$5)*$K2077*$L2077*$M2077</f>
        <v/>
      </c>
      <c r="AG2077" s="16">
        <f>SUMPRODUCT(N2077:Y2077,$N$6:$Y$6)*$K2077*$L2077*$M2077</f>
        <v/>
      </c>
      <c r="AH2077" s="20" t="n"/>
    </row>
    <row r="2078">
      <c r="A2078" s="9" t="n">
        <v>691384</v>
      </c>
      <c r="B2078" s="9" t="inlineStr">
        <is>
          <t>Luis Perales</t>
        </is>
      </c>
      <c r="C2078" s="9" t="inlineStr">
        <is>
          <t>WSH</t>
        </is>
      </c>
      <c r="D2078" s="9" t="n">
        <v>24</v>
      </c>
      <c r="E2078" s="18" t="inlineStr">
        <is>
          <t>R</t>
        </is>
      </c>
      <c r="F2078" s="18" t="n"/>
      <c r="G2078" s="9" t="n">
        <v>60</v>
      </c>
      <c r="H2078" s="9" t="n">
        <v>60</v>
      </c>
      <c r="I2078" s="9" t="inlineStr">
        <is>
          <t>Swing Arm / Long Relief</t>
        </is>
      </c>
      <c r="J2078" s="18" t="inlineStr">
        <is>
          <t>Early Season (~May)</t>
        </is>
      </c>
      <c r="K2078" s="11">
        <f>IFERROR(INDEX(Roles!$B$17:$B$20,MATCH(J2078,Roles!$A$17:$A$20,0)),1)</f>
        <v/>
      </c>
      <c r="L2078" s="19" t="n">
        <v>1</v>
      </c>
      <c r="M2078" s="11" t="n">
        <v>1</v>
      </c>
      <c r="N2078" s="19" t="n"/>
      <c r="O2078" s="19" t="n"/>
      <c r="P2078" s="19" t="n"/>
      <c r="Q2078" s="19" t="n"/>
      <c r="R2078" s="19" t="n">
        <v>0.6</v>
      </c>
      <c r="S2078" s="19" t="n"/>
      <c r="T2078" s="19" t="n"/>
      <c r="U2078" s="19" t="n"/>
      <c r="V2078" s="19" t="n"/>
      <c r="W2078" s="19" t="n">
        <v>0.4</v>
      </c>
      <c r="X2078" s="19" t="n"/>
      <c r="Y2078" s="19" t="n"/>
      <c r="Z2078" s="13">
        <f>SUMPRODUCT(N2078:Y2078,$N$2:$Y$2)*$K2078*$L2078*$M2078</f>
        <v/>
      </c>
      <c r="AA2078" s="14">
        <f>SUM(N2078:Y2078)</f>
        <v/>
      </c>
      <c r="AB2078" s="13">
        <f>SUMPRODUCT(N2078:Y2078,$N$3:$Y$3)*$K2078*$L2078*$M2078</f>
        <v/>
      </c>
      <c r="AC2078" s="13">
        <f>SUMPRODUCT(N2078:Y2078,$N$4:$Y$4)*$K2078*$L2078*$M2078</f>
        <v/>
      </c>
      <c r="AD2078" s="15" t="n">
        <v>11.73333333333333</v>
      </c>
      <c r="AE2078" s="11" t="n">
        <v>2.27959927140255</v>
      </c>
      <c r="AF2078" s="16">
        <f>SUMPRODUCT(N2078:Y2078,$N$5:$Y$5)*$K2078*$L2078*$M2078</f>
        <v/>
      </c>
      <c r="AG2078" s="16">
        <f>SUMPRODUCT(N2078:Y2078,$N$6:$Y$6)*$K2078*$L2078*$M2078</f>
        <v/>
      </c>
      <c r="AH2078" s="20" t="n"/>
    </row>
    <row r="2079">
      <c r="A2079" s="9" t="n">
        <v>691012</v>
      </c>
      <c r="B2079" s="9" t="inlineStr">
        <is>
          <t>Alex Santos II</t>
        </is>
      </c>
      <c r="C2079" s="9" t="inlineStr">
        <is>
          <t>HOU</t>
        </is>
      </c>
      <c r="D2079" s="9" t="n">
        <v>25</v>
      </c>
      <c r="E2079" s="18" t="inlineStr">
        <is>
          <t>R</t>
        </is>
      </c>
      <c r="F2079" s="18" t="n"/>
      <c r="G2079" s="9" t="n">
        <v>27.59166666666667</v>
      </c>
      <c r="H2079" s="9" t="n">
        <v>27.59166666666667</v>
      </c>
      <c r="I2079" s="9" t="inlineStr">
        <is>
          <t>Depth (no MLB IP)</t>
        </is>
      </c>
      <c r="J2079" s="18" t="inlineStr">
        <is>
          <t>Opening Day</t>
        </is>
      </c>
      <c r="K2079" s="11">
        <f>IFERROR(INDEX(Roles!$B$17:$B$20,MATCH(J2079,Roles!$A$17:$A$20,0)),1)</f>
        <v/>
      </c>
      <c r="L2079" s="19" t="n">
        <v>1</v>
      </c>
      <c r="M2079" s="11" t="n">
        <v>1</v>
      </c>
      <c r="N2079" s="19" t="n"/>
      <c r="O2079" s="19" t="n"/>
      <c r="P2079" s="19" t="n"/>
      <c r="Q2079" s="19" t="n"/>
      <c r="R2079" s="19" t="n"/>
      <c r="S2079" s="19" t="n"/>
      <c r="T2079" s="19" t="n"/>
      <c r="U2079" s="19" t="n"/>
      <c r="V2079" s="19" t="n"/>
      <c r="W2079" s="19" t="n"/>
      <c r="X2079" s="19" t="n"/>
      <c r="Y2079" s="19" t="n">
        <v>1</v>
      </c>
      <c r="Z2079" s="13">
        <f>SUMPRODUCT(N2079:Y2079,$N$2:$Y$2)*$K2079*$L2079*$M2079</f>
        <v/>
      </c>
      <c r="AA2079" s="14">
        <f>SUM(N2079:Y2079)</f>
        <v/>
      </c>
      <c r="AB2079" s="13">
        <f>SUMPRODUCT(N2079:Y2079,$N$3:$Y$3)*$K2079*$L2079*$M2079</f>
        <v/>
      </c>
      <c r="AC2079" s="13">
        <f>SUMPRODUCT(N2079:Y2079,$N$4:$Y$4)*$K2079*$L2079*$M2079</f>
        <v/>
      </c>
      <c r="AD2079" s="15" t="n">
        <v>3</v>
      </c>
      <c r="AE2079" s="11" t="n">
        <v>1.011296296296296</v>
      </c>
      <c r="AF2079" s="16">
        <f>SUMPRODUCT(N2079:Y2079,$N$5:$Y$5)*$K2079*$L2079*$M2079</f>
        <v/>
      </c>
      <c r="AG2079" s="16">
        <f>SUMPRODUCT(N2079:Y2079,$N$6:$Y$6)*$K2079*$L2079*$M2079</f>
        <v/>
      </c>
      <c r="AH2079" s="20" t="n"/>
    </row>
    <row r="2080">
      <c r="A2080" s="9" t="n">
        <v>811598</v>
      </c>
      <c r="B2080" s="9" t="inlineStr">
        <is>
          <t>Kleiber Olmedo</t>
        </is>
      </c>
      <c r="C2080" s="9" t="inlineStr">
        <is>
          <t>SD</t>
        </is>
      </c>
      <c r="D2080" s="9" t="n">
        <v>25</v>
      </c>
      <c r="E2080" s="18" t="inlineStr">
        <is>
          <t>R</t>
        </is>
      </c>
      <c r="F2080" s="18" t="n"/>
      <c r="G2080" s="9" t="n">
        <v>27.52</v>
      </c>
      <c r="H2080" s="9" t="n">
        <v>27.52</v>
      </c>
      <c r="I2080" s="9" t="inlineStr">
        <is>
          <t>Depth (no MLB IP)</t>
        </is>
      </c>
      <c r="J2080" s="18" t="inlineStr">
        <is>
          <t>Opening Day</t>
        </is>
      </c>
      <c r="K2080" s="11">
        <f>IFERROR(INDEX(Roles!$B$17:$B$20,MATCH(J2080,Roles!$A$17:$A$20,0)),1)</f>
        <v/>
      </c>
      <c r="L2080" s="19" t="n">
        <v>1</v>
      </c>
      <c r="M2080" s="11" t="n">
        <v>1</v>
      </c>
      <c r="N2080" s="19" t="n"/>
      <c r="O2080" s="19" t="n"/>
      <c r="P2080" s="19" t="n"/>
      <c r="Q2080" s="19" t="n"/>
      <c r="R2080" s="19" t="n"/>
      <c r="S2080" s="19" t="n"/>
      <c r="T2080" s="19" t="n"/>
      <c r="U2080" s="19" t="n"/>
      <c r="V2080" s="19" t="n"/>
      <c r="W2080" s="19" t="n"/>
      <c r="X2080" s="19" t="n"/>
      <c r="Y2080" s="19" t="n">
        <v>1</v>
      </c>
      <c r="Z2080" s="13">
        <f>SUMPRODUCT(N2080:Y2080,$N$2:$Y$2)*$K2080*$L2080*$M2080</f>
        <v/>
      </c>
      <c r="AA2080" s="14">
        <f>SUM(N2080:Y2080)</f>
        <v/>
      </c>
      <c r="AB2080" s="13">
        <f>SUMPRODUCT(N2080:Y2080,$N$3:$Y$3)*$K2080*$L2080*$M2080</f>
        <v/>
      </c>
      <c r="AC2080" s="13">
        <f>SUMPRODUCT(N2080:Y2080,$N$4:$Y$4)*$K2080*$L2080*$M2080</f>
        <v/>
      </c>
      <c r="AD2080" s="15" t="n">
        <v>3</v>
      </c>
      <c r="AE2080" s="11" t="n">
        <v>1.011296296296296</v>
      </c>
      <c r="AF2080" s="16">
        <f>SUMPRODUCT(N2080:Y2080,$N$5:$Y$5)*$K2080*$L2080*$M2080</f>
        <v/>
      </c>
      <c r="AG2080" s="16">
        <f>SUMPRODUCT(N2080:Y2080,$N$6:$Y$6)*$K2080*$L2080*$M2080</f>
        <v/>
      </c>
      <c r="AH2080" s="20" t="n"/>
    </row>
    <row r="2081">
      <c r="A2081" s="9" t="n">
        <v>801128</v>
      </c>
      <c r="B2081" s="9" t="inlineStr">
        <is>
          <t>Robert Cranz</t>
        </is>
      </c>
      <c r="C2081" s="9" t="inlineStr">
        <is>
          <t>WSH</t>
        </is>
      </c>
      <c r="D2081" s="9" t="n">
        <v>25</v>
      </c>
      <c r="E2081" s="18" t="inlineStr">
        <is>
          <t>R</t>
        </is>
      </c>
      <c r="F2081" s="18" t="n"/>
      <c r="G2081" s="9" t="n">
        <v>27.59166666666667</v>
      </c>
      <c r="H2081" s="9" t="n">
        <v>27.59166666666667</v>
      </c>
      <c r="I2081" s="9" t="inlineStr">
        <is>
          <t>Depth (no MLB IP)</t>
        </is>
      </c>
      <c r="J2081" s="18" t="inlineStr">
        <is>
          <t>Opening Day</t>
        </is>
      </c>
      <c r="K2081" s="11">
        <f>IFERROR(INDEX(Roles!$B$17:$B$20,MATCH(J2081,Roles!$A$17:$A$20,0)),1)</f>
        <v/>
      </c>
      <c r="L2081" s="19" t="n">
        <v>1</v>
      </c>
      <c r="M2081" s="11" t="n">
        <v>1</v>
      </c>
      <c r="N2081" s="19" t="n"/>
      <c r="O2081" s="19" t="n"/>
      <c r="P2081" s="19" t="n"/>
      <c r="Q2081" s="19" t="n"/>
      <c r="R2081" s="19" t="n"/>
      <c r="S2081" s="19" t="n"/>
      <c r="T2081" s="19" t="n"/>
      <c r="U2081" s="19" t="n"/>
      <c r="V2081" s="19" t="n"/>
      <c r="W2081" s="19" t="n"/>
      <c r="X2081" s="19" t="n"/>
      <c r="Y2081" s="19" t="n">
        <v>1</v>
      </c>
      <c r="Z2081" s="13">
        <f>SUMPRODUCT(N2081:Y2081,$N$2:$Y$2)*$K2081*$L2081*$M2081</f>
        <v/>
      </c>
      <c r="AA2081" s="14">
        <f>SUM(N2081:Y2081)</f>
        <v/>
      </c>
      <c r="AB2081" s="13">
        <f>SUMPRODUCT(N2081:Y2081,$N$3:$Y$3)*$K2081*$L2081*$M2081</f>
        <v/>
      </c>
      <c r="AC2081" s="13">
        <f>SUMPRODUCT(N2081:Y2081,$N$4:$Y$4)*$K2081*$L2081*$M2081</f>
        <v/>
      </c>
      <c r="AD2081" s="15" t="n">
        <v>3</v>
      </c>
      <c r="AE2081" s="11" t="n">
        <v>1.011296296296296</v>
      </c>
      <c r="AF2081" s="16">
        <f>SUMPRODUCT(N2081:Y2081,$N$5:$Y$5)*$K2081*$L2081*$M2081</f>
        <v/>
      </c>
      <c r="AG2081" s="16">
        <f>SUMPRODUCT(N2081:Y2081,$N$6:$Y$6)*$K2081*$L2081*$M2081</f>
        <v/>
      </c>
      <c r="AH2081" s="20" t="n"/>
    </row>
    <row r="2082">
      <c r="A2082" s="9" t="n">
        <v>800012</v>
      </c>
      <c r="B2082" s="9" t="inlineStr">
        <is>
          <t>Adilson Peralta</t>
        </is>
      </c>
      <c r="C2082" s="9" t="inlineStr">
        <is>
          <t>PHI</t>
        </is>
      </c>
      <c r="D2082" s="9" t="n">
        <v>25</v>
      </c>
      <c r="E2082" s="18" t="inlineStr">
        <is>
          <t>R</t>
        </is>
      </c>
      <c r="F2082" s="18" t="n"/>
      <c r="G2082" s="9" t="n">
        <v>27.52</v>
      </c>
      <c r="H2082" s="9" t="n">
        <v>27.52</v>
      </c>
      <c r="I2082" s="9" t="inlineStr">
        <is>
          <t>Depth (no MLB IP)</t>
        </is>
      </c>
      <c r="J2082" s="18" t="inlineStr">
        <is>
          <t>Opening Day</t>
        </is>
      </c>
      <c r="K2082" s="11">
        <f>IFERROR(INDEX(Roles!$B$17:$B$20,MATCH(J2082,Roles!$A$17:$A$20,0)),1)</f>
        <v/>
      </c>
      <c r="L2082" s="19" t="n">
        <v>1</v>
      </c>
      <c r="M2082" s="11" t="n">
        <v>1</v>
      </c>
      <c r="N2082" s="19" t="n"/>
      <c r="O2082" s="19" t="n"/>
      <c r="P2082" s="19" t="n"/>
      <c r="Q2082" s="19" t="n"/>
      <c r="R2082" s="19" t="n"/>
      <c r="S2082" s="19" t="n"/>
      <c r="T2082" s="19" t="n"/>
      <c r="U2082" s="19" t="n"/>
      <c r="V2082" s="19" t="n"/>
      <c r="W2082" s="19" t="n"/>
      <c r="X2082" s="19" t="n"/>
      <c r="Y2082" s="19" t="n">
        <v>1</v>
      </c>
      <c r="Z2082" s="13">
        <f>SUMPRODUCT(N2082:Y2082,$N$2:$Y$2)*$K2082*$L2082*$M2082</f>
        <v/>
      </c>
      <c r="AA2082" s="14">
        <f>SUM(N2082:Y2082)</f>
        <v/>
      </c>
      <c r="AB2082" s="13">
        <f>SUMPRODUCT(N2082:Y2082,$N$3:$Y$3)*$K2082*$L2082*$M2082</f>
        <v/>
      </c>
      <c r="AC2082" s="13">
        <f>SUMPRODUCT(N2082:Y2082,$N$4:$Y$4)*$K2082*$L2082*$M2082</f>
        <v/>
      </c>
      <c r="AD2082" s="15" t="n">
        <v>3</v>
      </c>
      <c r="AE2082" s="11" t="n">
        <v>1.011296296296296</v>
      </c>
      <c r="AF2082" s="16">
        <f>SUMPRODUCT(N2082:Y2082,$N$5:$Y$5)*$K2082*$L2082*$M2082</f>
        <v/>
      </c>
      <c r="AG2082" s="16">
        <f>SUMPRODUCT(N2082:Y2082,$N$6:$Y$6)*$K2082*$L2082*$M2082</f>
        <v/>
      </c>
      <c r="AH2082" s="20" t="n"/>
    </row>
    <row r="2083">
      <c r="A2083" s="9" t="n">
        <v>702318</v>
      </c>
      <c r="B2083" s="9" t="inlineStr">
        <is>
          <t>Chris Campos</t>
        </is>
      </c>
      <c r="C2083" s="9" t="inlineStr">
        <is>
          <t>LAD</t>
        </is>
      </c>
      <c r="D2083" s="9" t="n">
        <v>25</v>
      </c>
      <c r="E2083" s="18" t="inlineStr">
        <is>
          <t>R</t>
        </is>
      </c>
      <c r="F2083" s="18" t="n"/>
      <c r="G2083" s="9" t="n">
        <v>27.59166666666667</v>
      </c>
      <c r="H2083" s="9" t="n">
        <v>27.59166666666667</v>
      </c>
      <c r="I2083" s="9" t="inlineStr">
        <is>
          <t>Depth (no MLB IP)</t>
        </is>
      </c>
      <c r="J2083" s="18" t="inlineStr">
        <is>
          <t>Opening Day</t>
        </is>
      </c>
      <c r="K2083" s="11">
        <f>IFERROR(INDEX(Roles!$B$17:$B$20,MATCH(J2083,Roles!$A$17:$A$20,0)),1)</f>
        <v/>
      </c>
      <c r="L2083" s="19" t="n">
        <v>1</v>
      </c>
      <c r="M2083" s="11" t="n">
        <v>1</v>
      </c>
      <c r="N2083" s="19" t="n"/>
      <c r="O2083" s="19" t="n"/>
      <c r="P2083" s="19" t="n"/>
      <c r="Q2083" s="19" t="n"/>
      <c r="R2083" s="19" t="n"/>
      <c r="S2083" s="19" t="n"/>
      <c r="T2083" s="19" t="n"/>
      <c r="U2083" s="19" t="n"/>
      <c r="V2083" s="19" t="n"/>
      <c r="W2083" s="19" t="n"/>
      <c r="X2083" s="19" t="n"/>
      <c r="Y2083" s="19" t="n">
        <v>1</v>
      </c>
      <c r="Z2083" s="13">
        <f>SUMPRODUCT(N2083:Y2083,$N$2:$Y$2)*$K2083*$L2083*$M2083</f>
        <v/>
      </c>
      <c r="AA2083" s="14">
        <f>SUM(N2083:Y2083)</f>
        <v/>
      </c>
      <c r="AB2083" s="13">
        <f>SUMPRODUCT(N2083:Y2083,$N$3:$Y$3)*$K2083*$L2083*$M2083</f>
        <v/>
      </c>
      <c r="AC2083" s="13">
        <f>SUMPRODUCT(N2083:Y2083,$N$4:$Y$4)*$K2083*$L2083*$M2083</f>
        <v/>
      </c>
      <c r="AD2083" s="15" t="n">
        <v>3</v>
      </c>
      <c r="AE2083" s="11" t="n">
        <v>1.011296296296296</v>
      </c>
      <c r="AF2083" s="16">
        <f>SUMPRODUCT(N2083:Y2083,$N$5:$Y$5)*$K2083*$L2083*$M2083</f>
        <v/>
      </c>
      <c r="AG2083" s="16">
        <f>SUMPRODUCT(N2083:Y2083,$N$6:$Y$6)*$K2083*$L2083*$M2083</f>
        <v/>
      </c>
      <c r="AH2083" s="20" t="n"/>
    </row>
    <row r="2084">
      <c r="A2084" s="9" t="n">
        <v>692624</v>
      </c>
      <c r="B2084" s="9" t="inlineStr">
        <is>
          <t>Alex Martinez</t>
        </is>
      </c>
      <c r="C2084" s="9" t="inlineStr">
        <is>
          <t>LAA</t>
        </is>
      </c>
      <c r="D2084" s="9" t="n">
        <v>25</v>
      </c>
      <c r="E2084" s="18" t="inlineStr">
        <is>
          <t>R</t>
        </is>
      </c>
      <c r="F2084" s="18" t="n"/>
      <c r="G2084" s="9" t="n">
        <v>27.52</v>
      </c>
      <c r="H2084" s="9" t="n">
        <v>27.52</v>
      </c>
      <c r="I2084" s="9" t="inlineStr">
        <is>
          <t>Depth (no MLB IP)</t>
        </is>
      </c>
      <c r="J2084" s="18" t="inlineStr">
        <is>
          <t>Opening Day</t>
        </is>
      </c>
      <c r="K2084" s="11">
        <f>IFERROR(INDEX(Roles!$B$17:$B$20,MATCH(J2084,Roles!$A$17:$A$20,0)),1)</f>
        <v/>
      </c>
      <c r="L2084" s="19" t="n">
        <v>1</v>
      </c>
      <c r="M2084" s="11" t="n">
        <v>1</v>
      </c>
      <c r="N2084" s="19" t="n"/>
      <c r="O2084" s="19" t="n"/>
      <c r="P2084" s="19" t="n"/>
      <c r="Q2084" s="19" t="n"/>
      <c r="R2084" s="19" t="n"/>
      <c r="S2084" s="19" t="n"/>
      <c r="T2084" s="19" t="n"/>
      <c r="U2084" s="19" t="n"/>
      <c r="V2084" s="19" t="n"/>
      <c r="W2084" s="19" t="n"/>
      <c r="X2084" s="19" t="n"/>
      <c r="Y2084" s="19" t="n">
        <v>1</v>
      </c>
      <c r="Z2084" s="13">
        <f>SUMPRODUCT(N2084:Y2084,$N$2:$Y$2)*$K2084*$L2084*$M2084</f>
        <v/>
      </c>
      <c r="AA2084" s="14">
        <f>SUM(N2084:Y2084)</f>
        <v/>
      </c>
      <c r="AB2084" s="13">
        <f>SUMPRODUCT(N2084:Y2084,$N$3:$Y$3)*$K2084*$L2084*$M2084</f>
        <v/>
      </c>
      <c r="AC2084" s="13">
        <f>SUMPRODUCT(N2084:Y2084,$N$4:$Y$4)*$K2084*$L2084*$M2084</f>
        <v/>
      </c>
      <c r="AD2084" s="15" t="n">
        <v>3</v>
      </c>
      <c r="AE2084" s="11" t="n">
        <v>1.011296296296296</v>
      </c>
      <c r="AF2084" s="16">
        <f>SUMPRODUCT(N2084:Y2084,$N$5:$Y$5)*$K2084*$L2084*$M2084</f>
        <v/>
      </c>
      <c r="AG2084" s="16">
        <f>SUMPRODUCT(N2084:Y2084,$N$6:$Y$6)*$K2084*$L2084*$M2084</f>
        <v/>
      </c>
      <c r="AH2084" s="20" t="n"/>
    </row>
    <row r="2085">
      <c r="A2085" s="9" t="n">
        <v>814354</v>
      </c>
      <c r="B2085" s="9" t="inlineStr">
        <is>
          <t>Yanzel Correa</t>
        </is>
      </c>
      <c r="C2085" s="9" t="inlineStr">
        <is>
          <t>COL</t>
        </is>
      </c>
      <c r="D2085" s="9" t="n">
        <v>25</v>
      </c>
      <c r="E2085" s="18" t="inlineStr">
        <is>
          <t>R</t>
        </is>
      </c>
      <c r="F2085" s="18" t="n"/>
      <c r="G2085" s="9" t="n">
        <v>27.692</v>
      </c>
      <c r="H2085" s="9" t="n">
        <v>27.692</v>
      </c>
      <c r="I2085" s="9" t="inlineStr">
        <is>
          <t>Depth (no MLB IP)</t>
        </is>
      </c>
      <c r="J2085" s="18" t="inlineStr">
        <is>
          <t>Opening Day</t>
        </is>
      </c>
      <c r="K2085" s="11">
        <f>IFERROR(INDEX(Roles!$B$17:$B$20,MATCH(J2085,Roles!$A$17:$A$20,0)),1)</f>
        <v/>
      </c>
      <c r="L2085" s="19" t="n">
        <v>1</v>
      </c>
      <c r="M2085" s="11" t="n">
        <v>1</v>
      </c>
      <c r="N2085" s="19" t="n"/>
      <c r="O2085" s="19" t="n"/>
      <c r="P2085" s="19" t="n"/>
      <c r="Q2085" s="19" t="n"/>
      <c r="R2085" s="19" t="n"/>
      <c r="S2085" s="19" t="n"/>
      <c r="T2085" s="19" t="n"/>
      <c r="U2085" s="19" t="n"/>
      <c r="V2085" s="19" t="n"/>
      <c r="W2085" s="19" t="n"/>
      <c r="X2085" s="19" t="n"/>
      <c r="Y2085" s="19" t="n">
        <v>1</v>
      </c>
      <c r="Z2085" s="13">
        <f>SUMPRODUCT(N2085:Y2085,$N$2:$Y$2)*$K2085*$L2085*$M2085</f>
        <v/>
      </c>
      <c r="AA2085" s="14">
        <f>SUM(N2085:Y2085)</f>
        <v/>
      </c>
      <c r="AB2085" s="13">
        <f>SUMPRODUCT(N2085:Y2085,$N$3:$Y$3)*$K2085*$L2085*$M2085</f>
        <v/>
      </c>
      <c r="AC2085" s="13">
        <f>SUMPRODUCT(N2085:Y2085,$N$4:$Y$4)*$K2085*$L2085*$M2085</f>
        <v/>
      </c>
      <c r="AD2085" s="15" t="n">
        <v>3</v>
      </c>
      <c r="AE2085" s="11" t="n">
        <v>1.011296296296296</v>
      </c>
      <c r="AF2085" s="16">
        <f>SUMPRODUCT(N2085:Y2085,$N$5:$Y$5)*$K2085*$L2085*$M2085</f>
        <v/>
      </c>
      <c r="AG2085" s="16">
        <f>SUMPRODUCT(N2085:Y2085,$N$6:$Y$6)*$K2085*$L2085*$M2085</f>
        <v/>
      </c>
      <c r="AH2085" s="20" t="n"/>
    </row>
    <row r="2086">
      <c r="A2086" s="9" t="n">
        <v>828416</v>
      </c>
      <c r="B2086" s="9" t="inlineStr">
        <is>
          <t>Samuel Gonzalez</t>
        </is>
      </c>
      <c r="C2086" s="9" t="inlineStr">
        <is>
          <t>ARI</t>
        </is>
      </c>
      <c r="D2086" s="9" t="n">
        <v>25</v>
      </c>
      <c r="E2086" s="18" t="inlineStr">
        <is>
          <t>R</t>
        </is>
      </c>
      <c r="F2086" s="18" t="n"/>
      <c r="G2086" s="9" t="n">
        <v>27.52</v>
      </c>
      <c r="H2086" s="9" t="n">
        <v>27.52</v>
      </c>
      <c r="I2086" s="9" t="inlineStr">
        <is>
          <t>Depth (no MLB IP)</t>
        </is>
      </c>
      <c r="J2086" s="18" t="inlineStr">
        <is>
          <t>Opening Day</t>
        </is>
      </c>
      <c r="K2086" s="11">
        <f>IFERROR(INDEX(Roles!$B$17:$B$20,MATCH(J2086,Roles!$A$17:$A$20,0)),1)</f>
        <v/>
      </c>
      <c r="L2086" s="19" t="n">
        <v>1</v>
      </c>
      <c r="M2086" s="11" t="n">
        <v>1</v>
      </c>
      <c r="N2086" s="19" t="n"/>
      <c r="O2086" s="19" t="n"/>
      <c r="P2086" s="19" t="n"/>
      <c r="Q2086" s="19" t="n"/>
      <c r="R2086" s="19" t="n"/>
      <c r="S2086" s="19" t="n"/>
      <c r="T2086" s="19" t="n"/>
      <c r="U2086" s="19" t="n"/>
      <c r="V2086" s="19" t="n"/>
      <c r="W2086" s="19" t="n"/>
      <c r="X2086" s="19" t="n"/>
      <c r="Y2086" s="19" t="n">
        <v>1</v>
      </c>
      <c r="Z2086" s="13">
        <f>SUMPRODUCT(N2086:Y2086,$N$2:$Y$2)*$K2086*$L2086*$M2086</f>
        <v/>
      </c>
      <c r="AA2086" s="14">
        <f>SUM(N2086:Y2086)</f>
        <v/>
      </c>
      <c r="AB2086" s="13">
        <f>SUMPRODUCT(N2086:Y2086,$N$3:$Y$3)*$K2086*$L2086*$M2086</f>
        <v/>
      </c>
      <c r="AC2086" s="13">
        <f>SUMPRODUCT(N2086:Y2086,$N$4:$Y$4)*$K2086*$L2086*$M2086</f>
        <v/>
      </c>
      <c r="AD2086" s="15" t="n">
        <v>3</v>
      </c>
      <c r="AE2086" s="11" t="n">
        <v>1.011296296296296</v>
      </c>
      <c r="AF2086" s="16">
        <f>SUMPRODUCT(N2086:Y2086,$N$5:$Y$5)*$K2086*$L2086*$M2086</f>
        <v/>
      </c>
      <c r="AG2086" s="16">
        <f>SUMPRODUCT(N2086:Y2086,$N$6:$Y$6)*$K2086*$L2086*$M2086</f>
        <v/>
      </c>
      <c r="AH2086" s="20" t="n"/>
    </row>
    <row r="2087">
      <c r="A2087" s="9" t="n">
        <v>656578</v>
      </c>
      <c r="B2087" s="9" t="inlineStr">
        <is>
          <t>Andre Jackson</t>
        </is>
      </c>
      <c r="C2087" s="9" t="inlineStr">
        <is>
          <t>PIT</t>
        </is>
      </c>
      <c r="D2087" s="9" t="n">
        <v>31</v>
      </c>
      <c r="E2087" s="18" t="inlineStr">
        <is>
          <t>R</t>
        </is>
      </c>
      <c r="F2087" s="18" t="n"/>
      <c r="G2087" s="9" t="n">
        <v>257</v>
      </c>
      <c r="H2087" s="9" t="n">
        <v>299</v>
      </c>
      <c r="I2087" s="9" t="inlineStr">
        <is>
          <t>Depth (no MLB IP)</t>
        </is>
      </c>
      <c r="J2087" s="18" t="inlineStr">
        <is>
          <t>Opening Day</t>
        </is>
      </c>
      <c r="K2087" s="11">
        <f>IFERROR(INDEX(Roles!$B$17:$B$20,MATCH(J2087,Roles!$A$17:$A$20,0)),1)</f>
        <v/>
      </c>
      <c r="L2087" s="19" t="n">
        <v>1</v>
      </c>
      <c r="M2087" s="11" t="n">
        <v>1</v>
      </c>
      <c r="N2087" s="19" t="n"/>
      <c r="O2087" s="19" t="n"/>
      <c r="P2087" s="19" t="n"/>
      <c r="Q2087" s="19" t="n"/>
      <c r="R2087" s="19" t="n"/>
      <c r="S2087" s="19" t="n"/>
      <c r="T2087" s="19" t="n"/>
      <c r="U2087" s="19" t="n"/>
      <c r="V2087" s="19" t="n"/>
      <c r="W2087" s="19" t="n"/>
      <c r="X2087" s="19" t="n"/>
      <c r="Y2087" s="19" t="n">
        <v>1</v>
      </c>
      <c r="Z2087" s="13">
        <f>SUMPRODUCT(N2087:Y2087,$N$2:$Y$2)*$K2087*$L2087*$M2087</f>
        <v/>
      </c>
      <c r="AA2087" s="14">
        <f>SUM(N2087:Y2087)</f>
        <v/>
      </c>
      <c r="AB2087" s="13">
        <f>SUMPRODUCT(N2087:Y2087,$N$3:$Y$3)*$K2087*$L2087*$M2087</f>
        <v/>
      </c>
      <c r="AC2087" s="13">
        <f>SUMPRODUCT(N2087:Y2087,$N$4:$Y$4)*$K2087*$L2087*$M2087</f>
        <v/>
      </c>
      <c r="AD2087" s="15" t="n">
        <v>3</v>
      </c>
      <c r="AE2087" s="11" t="n">
        <v>1.011296296296296</v>
      </c>
      <c r="AF2087" s="16">
        <f>SUMPRODUCT(N2087:Y2087,$N$5:$Y$5)*$K2087*$L2087*$M2087</f>
        <v/>
      </c>
      <c r="AG2087" s="16">
        <f>SUMPRODUCT(N2087:Y2087,$N$6:$Y$6)*$K2087*$L2087*$M2087</f>
        <v/>
      </c>
      <c r="AH2087" s="20" t="n"/>
    </row>
    <row r="2088">
      <c r="A2088" s="9" t="n">
        <v>811667</v>
      </c>
      <c r="B2088" s="9" t="inlineStr">
        <is>
          <t>Clay Edmondson</t>
        </is>
      </c>
      <c r="C2088" s="9" t="inlineStr">
        <is>
          <t>SD</t>
        </is>
      </c>
      <c r="D2088" s="9" t="n">
        <v>25</v>
      </c>
      <c r="E2088" s="18" t="inlineStr">
        <is>
          <t>R</t>
        </is>
      </c>
      <c r="F2088" s="18" t="n"/>
      <c r="G2088" s="9" t="n">
        <v>27.59166666666667</v>
      </c>
      <c r="H2088" s="9" t="n">
        <v>27.59166666666667</v>
      </c>
      <c r="I2088" s="9" t="inlineStr">
        <is>
          <t>Depth (no MLB IP)</t>
        </is>
      </c>
      <c r="J2088" s="18" t="inlineStr">
        <is>
          <t>Opening Day</t>
        </is>
      </c>
      <c r="K2088" s="11">
        <f>IFERROR(INDEX(Roles!$B$17:$B$20,MATCH(J2088,Roles!$A$17:$A$20,0)),1)</f>
        <v/>
      </c>
      <c r="L2088" s="19" t="n">
        <v>1</v>
      </c>
      <c r="M2088" s="11" t="n">
        <v>1</v>
      </c>
      <c r="N2088" s="19" t="n"/>
      <c r="O2088" s="19" t="n"/>
      <c r="P2088" s="19" t="n"/>
      <c r="Q2088" s="19" t="n"/>
      <c r="R2088" s="19" t="n"/>
      <c r="S2088" s="19" t="n"/>
      <c r="T2088" s="19" t="n"/>
      <c r="U2088" s="19" t="n"/>
      <c r="V2088" s="19" t="n"/>
      <c r="W2088" s="19" t="n"/>
      <c r="X2088" s="19" t="n"/>
      <c r="Y2088" s="19" t="n">
        <v>1</v>
      </c>
      <c r="Z2088" s="13">
        <f>SUMPRODUCT(N2088:Y2088,$N$2:$Y$2)*$K2088*$L2088*$M2088</f>
        <v/>
      </c>
      <c r="AA2088" s="14">
        <f>SUM(N2088:Y2088)</f>
        <v/>
      </c>
      <c r="AB2088" s="13">
        <f>SUMPRODUCT(N2088:Y2088,$N$3:$Y$3)*$K2088*$L2088*$M2088</f>
        <v/>
      </c>
      <c r="AC2088" s="13">
        <f>SUMPRODUCT(N2088:Y2088,$N$4:$Y$4)*$K2088*$L2088*$M2088</f>
        <v/>
      </c>
      <c r="AD2088" s="15" t="n">
        <v>3</v>
      </c>
      <c r="AE2088" s="11" t="n">
        <v>1.011296296296296</v>
      </c>
      <c r="AF2088" s="16">
        <f>SUMPRODUCT(N2088:Y2088,$N$5:$Y$5)*$K2088*$L2088*$M2088</f>
        <v/>
      </c>
      <c r="AG2088" s="16">
        <f>SUMPRODUCT(N2088:Y2088,$N$6:$Y$6)*$K2088*$L2088*$M2088</f>
        <v/>
      </c>
      <c r="AH2088" s="20" t="n"/>
    </row>
    <row r="2089">
      <c r="A2089" s="9" t="n">
        <v>822470</v>
      </c>
      <c r="B2089" s="9" t="inlineStr">
        <is>
          <t>Blake Purnell</t>
        </is>
      </c>
      <c r="C2089" s="9" t="inlineStr">
        <is>
          <t>TOR</t>
        </is>
      </c>
      <c r="D2089" s="9" t="n">
        <v>25</v>
      </c>
      <c r="E2089" s="18" t="inlineStr">
        <is>
          <t>R</t>
        </is>
      </c>
      <c r="F2089" s="18" t="n"/>
      <c r="G2089" s="9" t="n">
        <v>27.692</v>
      </c>
      <c r="H2089" s="9" t="n">
        <v>27.692</v>
      </c>
      <c r="I2089" s="9" t="inlineStr">
        <is>
          <t>Depth (no MLB IP)</t>
        </is>
      </c>
      <c r="J2089" s="18" t="inlineStr">
        <is>
          <t>Opening Day</t>
        </is>
      </c>
      <c r="K2089" s="11">
        <f>IFERROR(INDEX(Roles!$B$17:$B$20,MATCH(J2089,Roles!$A$17:$A$20,0)),1)</f>
        <v/>
      </c>
      <c r="L2089" s="19" t="n">
        <v>1</v>
      </c>
      <c r="M2089" s="11" t="n">
        <v>1</v>
      </c>
      <c r="N2089" s="19" t="n"/>
      <c r="O2089" s="19" t="n"/>
      <c r="P2089" s="19" t="n"/>
      <c r="Q2089" s="19" t="n"/>
      <c r="R2089" s="19" t="n"/>
      <c r="S2089" s="19" t="n"/>
      <c r="T2089" s="19" t="n"/>
      <c r="U2089" s="19" t="n"/>
      <c r="V2089" s="19" t="n"/>
      <c r="W2089" s="19" t="n"/>
      <c r="X2089" s="19" t="n"/>
      <c r="Y2089" s="19" t="n">
        <v>1</v>
      </c>
      <c r="Z2089" s="13">
        <f>SUMPRODUCT(N2089:Y2089,$N$2:$Y$2)*$K2089*$L2089*$M2089</f>
        <v/>
      </c>
      <c r="AA2089" s="14">
        <f>SUM(N2089:Y2089)</f>
        <v/>
      </c>
      <c r="AB2089" s="13">
        <f>SUMPRODUCT(N2089:Y2089,$N$3:$Y$3)*$K2089*$L2089*$M2089</f>
        <v/>
      </c>
      <c r="AC2089" s="13">
        <f>SUMPRODUCT(N2089:Y2089,$N$4:$Y$4)*$K2089*$L2089*$M2089</f>
        <v/>
      </c>
      <c r="AD2089" s="15" t="n">
        <v>3</v>
      </c>
      <c r="AE2089" s="11" t="n">
        <v>1.011296296296296</v>
      </c>
      <c r="AF2089" s="16">
        <f>SUMPRODUCT(N2089:Y2089,$N$5:$Y$5)*$K2089*$L2089*$M2089</f>
        <v/>
      </c>
      <c r="AG2089" s="16">
        <f>SUMPRODUCT(N2089:Y2089,$N$6:$Y$6)*$K2089*$L2089*$M2089</f>
        <v/>
      </c>
      <c r="AH2089" s="20" t="n"/>
    </row>
    <row r="2090">
      <c r="A2090" s="9" t="n">
        <v>804979</v>
      </c>
      <c r="B2090" s="9" t="inlineStr">
        <is>
          <t>Payton Graham</t>
        </is>
      </c>
      <c r="C2090" s="9" t="inlineStr">
        <is>
          <t>STL</t>
        </is>
      </c>
      <c r="D2090" s="9" t="n">
        <v>25</v>
      </c>
      <c r="E2090" s="18" t="inlineStr">
        <is>
          <t>R</t>
        </is>
      </c>
      <c r="F2090" s="18" t="n"/>
      <c r="G2090" s="9" t="n">
        <v>27.692</v>
      </c>
      <c r="H2090" s="9" t="n">
        <v>27.692</v>
      </c>
      <c r="I2090" s="9" t="inlineStr">
        <is>
          <t>Depth (no MLB IP)</t>
        </is>
      </c>
      <c r="J2090" s="18" t="inlineStr">
        <is>
          <t>Opening Day</t>
        </is>
      </c>
      <c r="K2090" s="11">
        <f>IFERROR(INDEX(Roles!$B$17:$B$20,MATCH(J2090,Roles!$A$17:$A$20,0)),1)</f>
        <v/>
      </c>
      <c r="L2090" s="19" t="n">
        <v>1</v>
      </c>
      <c r="M2090" s="11" t="n">
        <v>1</v>
      </c>
      <c r="N2090" s="19" t="n"/>
      <c r="O2090" s="19" t="n"/>
      <c r="P2090" s="19" t="n"/>
      <c r="Q2090" s="19" t="n"/>
      <c r="R2090" s="19" t="n"/>
      <c r="S2090" s="19" t="n"/>
      <c r="T2090" s="19" t="n"/>
      <c r="U2090" s="19" t="n"/>
      <c r="V2090" s="19" t="n"/>
      <c r="W2090" s="19" t="n"/>
      <c r="X2090" s="19" t="n"/>
      <c r="Y2090" s="19" t="n">
        <v>1</v>
      </c>
      <c r="Z2090" s="13">
        <f>SUMPRODUCT(N2090:Y2090,$N$2:$Y$2)*$K2090*$L2090*$M2090</f>
        <v/>
      </c>
      <c r="AA2090" s="14">
        <f>SUM(N2090:Y2090)</f>
        <v/>
      </c>
      <c r="AB2090" s="13">
        <f>SUMPRODUCT(N2090:Y2090,$N$3:$Y$3)*$K2090*$L2090*$M2090</f>
        <v/>
      </c>
      <c r="AC2090" s="13">
        <f>SUMPRODUCT(N2090:Y2090,$N$4:$Y$4)*$K2090*$L2090*$M2090</f>
        <v/>
      </c>
      <c r="AD2090" s="15" t="n">
        <v>3</v>
      </c>
      <c r="AE2090" s="11" t="n">
        <v>1.011296296296296</v>
      </c>
      <c r="AF2090" s="16">
        <f>SUMPRODUCT(N2090:Y2090,$N$5:$Y$5)*$K2090*$L2090*$M2090</f>
        <v/>
      </c>
      <c r="AG2090" s="16">
        <f>SUMPRODUCT(N2090:Y2090,$N$6:$Y$6)*$K2090*$L2090*$M2090</f>
        <v/>
      </c>
      <c r="AH2090" s="20" t="n"/>
    </row>
    <row r="2091">
      <c r="A2091" s="9" t="n">
        <v>543521</v>
      </c>
      <c r="B2091" s="9" t="inlineStr">
        <is>
          <t>Collin McHugh</t>
        </is>
      </c>
      <c r="C2091" s="9" t="inlineStr">
        <is>
          <t>ATL</t>
        </is>
      </c>
      <c r="D2091" s="9" t="n">
        <v>40</v>
      </c>
      <c r="E2091" s="18" t="inlineStr">
        <is>
          <t>R</t>
        </is>
      </c>
      <c r="F2091" s="18" t="n"/>
      <c r="G2091" s="9" t="n">
        <v>268</v>
      </c>
      <c r="H2091" s="9" t="n">
        <v>540</v>
      </c>
      <c r="I2091" s="9" t="inlineStr">
        <is>
          <t>Depth (no MLB IP)</t>
        </is>
      </c>
      <c r="J2091" s="18" t="inlineStr">
        <is>
          <t>Opening Day</t>
        </is>
      </c>
      <c r="K2091" s="11">
        <f>IFERROR(INDEX(Roles!$B$17:$B$20,MATCH(J2091,Roles!$A$17:$A$20,0)),1)</f>
        <v/>
      </c>
      <c r="L2091" s="19" t="n">
        <v>1</v>
      </c>
      <c r="M2091" s="11" t="n">
        <v>1</v>
      </c>
      <c r="N2091" s="19" t="n"/>
      <c r="O2091" s="19" t="n"/>
      <c r="P2091" s="19" t="n"/>
      <c r="Q2091" s="19" t="n"/>
      <c r="R2091" s="19" t="n"/>
      <c r="S2091" s="19" t="n"/>
      <c r="T2091" s="19" t="n"/>
      <c r="U2091" s="19" t="n"/>
      <c r="V2091" s="19" t="n"/>
      <c r="W2091" s="19" t="n"/>
      <c r="X2091" s="19" t="n"/>
      <c r="Y2091" s="19" t="n">
        <v>1</v>
      </c>
      <c r="Z2091" s="13">
        <f>SUMPRODUCT(N2091:Y2091,$N$2:$Y$2)*$K2091*$L2091*$M2091</f>
        <v/>
      </c>
      <c r="AA2091" s="14">
        <f>SUM(N2091:Y2091)</f>
        <v/>
      </c>
      <c r="AB2091" s="13">
        <f>SUMPRODUCT(N2091:Y2091,$N$3:$Y$3)*$K2091*$L2091*$M2091</f>
        <v/>
      </c>
      <c r="AC2091" s="13">
        <f>SUMPRODUCT(N2091:Y2091,$N$4:$Y$4)*$K2091*$L2091*$M2091</f>
        <v/>
      </c>
      <c r="AD2091" s="15" t="n">
        <v>3</v>
      </c>
      <c r="AE2091" s="11" t="n">
        <v>1.011296296296296</v>
      </c>
      <c r="AF2091" s="16">
        <f>SUMPRODUCT(N2091:Y2091,$N$5:$Y$5)*$K2091*$L2091*$M2091</f>
        <v/>
      </c>
      <c r="AG2091" s="16">
        <f>SUMPRODUCT(N2091:Y2091,$N$6:$Y$6)*$K2091*$L2091*$M2091</f>
        <v/>
      </c>
      <c r="AH2091" s="20" t="n"/>
    </row>
    <row r="2092">
      <c r="A2092" s="9" t="n">
        <v>698965</v>
      </c>
      <c r="B2092" s="9" t="inlineStr">
        <is>
          <t>Gerelmi Maldonado</t>
        </is>
      </c>
      <c r="C2092" s="9" t="inlineStr">
        <is>
          <t>SF</t>
        </is>
      </c>
      <c r="D2092" s="9" t="n">
        <v>25</v>
      </c>
      <c r="E2092" s="18" t="inlineStr">
        <is>
          <t>R</t>
        </is>
      </c>
      <c r="F2092" s="18" t="n"/>
      <c r="G2092" s="9" t="n">
        <v>27.80666666666667</v>
      </c>
      <c r="H2092" s="9" t="n">
        <v>27.80666666666667</v>
      </c>
      <c r="I2092" s="9" t="inlineStr">
        <is>
          <t>Depth (no MLB IP)</t>
        </is>
      </c>
      <c r="J2092" s="18" t="inlineStr">
        <is>
          <t>Opening Day</t>
        </is>
      </c>
      <c r="K2092" s="11">
        <f>IFERROR(INDEX(Roles!$B$17:$B$20,MATCH(J2092,Roles!$A$17:$A$20,0)),1)</f>
        <v/>
      </c>
      <c r="L2092" s="19" t="n">
        <v>1</v>
      </c>
      <c r="M2092" s="11" t="n">
        <v>1</v>
      </c>
      <c r="N2092" s="19" t="n"/>
      <c r="O2092" s="19" t="n"/>
      <c r="P2092" s="19" t="n"/>
      <c r="Q2092" s="19" t="n"/>
      <c r="R2092" s="19" t="n"/>
      <c r="S2092" s="19" t="n"/>
      <c r="T2092" s="19" t="n"/>
      <c r="U2092" s="19" t="n"/>
      <c r="V2092" s="19" t="n"/>
      <c r="W2092" s="19" t="n"/>
      <c r="X2092" s="19" t="n"/>
      <c r="Y2092" s="19" t="n">
        <v>1</v>
      </c>
      <c r="Z2092" s="13">
        <f>SUMPRODUCT(N2092:Y2092,$N$2:$Y$2)*$K2092*$L2092*$M2092</f>
        <v/>
      </c>
      <c r="AA2092" s="14">
        <f>SUM(N2092:Y2092)</f>
        <v/>
      </c>
      <c r="AB2092" s="13">
        <f>SUMPRODUCT(N2092:Y2092,$N$3:$Y$3)*$K2092*$L2092*$M2092</f>
        <v/>
      </c>
      <c r="AC2092" s="13">
        <f>SUMPRODUCT(N2092:Y2092,$N$4:$Y$4)*$K2092*$L2092*$M2092</f>
        <v/>
      </c>
      <c r="AD2092" s="15" t="n">
        <v>3</v>
      </c>
      <c r="AE2092" s="11" t="n">
        <v>1.011296296296296</v>
      </c>
      <c r="AF2092" s="16">
        <f>SUMPRODUCT(N2092:Y2092,$N$5:$Y$5)*$K2092*$L2092*$M2092</f>
        <v/>
      </c>
      <c r="AG2092" s="16">
        <f>SUMPRODUCT(N2092:Y2092,$N$6:$Y$6)*$K2092*$L2092*$M2092</f>
        <v/>
      </c>
      <c r="AH2092" s="20" t="n"/>
    </row>
    <row r="2093">
      <c r="A2093" s="9" t="n">
        <v>835882</v>
      </c>
      <c r="B2093" s="9" t="inlineStr">
        <is>
          <t>Matt Dunaway</t>
        </is>
      </c>
      <c r="C2093" s="9" t="inlineStr">
        <is>
          <t>SF</t>
        </is>
      </c>
      <c r="D2093" s="9" t="n">
        <v>25</v>
      </c>
      <c r="E2093" s="18" t="inlineStr">
        <is>
          <t>R</t>
        </is>
      </c>
      <c r="F2093" s="18" t="n"/>
      <c r="G2093" s="9" t="n">
        <v>27.80666666666667</v>
      </c>
      <c r="H2093" s="9" t="n">
        <v>27.80666666666667</v>
      </c>
      <c r="I2093" s="9" t="inlineStr">
        <is>
          <t>Depth (no MLB IP)</t>
        </is>
      </c>
      <c r="J2093" s="18" t="inlineStr">
        <is>
          <t>Opening Day</t>
        </is>
      </c>
      <c r="K2093" s="11">
        <f>IFERROR(INDEX(Roles!$B$17:$B$20,MATCH(J2093,Roles!$A$17:$A$20,0)),1)</f>
        <v/>
      </c>
      <c r="L2093" s="19" t="n">
        <v>1</v>
      </c>
      <c r="M2093" s="11" t="n">
        <v>1</v>
      </c>
      <c r="N2093" s="19" t="n"/>
      <c r="O2093" s="19" t="n"/>
      <c r="P2093" s="19" t="n"/>
      <c r="Q2093" s="19" t="n"/>
      <c r="R2093" s="19" t="n"/>
      <c r="S2093" s="19" t="n"/>
      <c r="T2093" s="19" t="n"/>
      <c r="U2093" s="19" t="n"/>
      <c r="V2093" s="19" t="n"/>
      <c r="W2093" s="19" t="n"/>
      <c r="X2093" s="19" t="n"/>
      <c r="Y2093" s="19" t="n">
        <v>1</v>
      </c>
      <c r="Z2093" s="13">
        <f>SUMPRODUCT(N2093:Y2093,$N$2:$Y$2)*$K2093*$L2093*$M2093</f>
        <v/>
      </c>
      <c r="AA2093" s="14">
        <f>SUM(N2093:Y2093)</f>
        <v/>
      </c>
      <c r="AB2093" s="13">
        <f>SUMPRODUCT(N2093:Y2093,$N$3:$Y$3)*$K2093*$L2093*$M2093</f>
        <v/>
      </c>
      <c r="AC2093" s="13">
        <f>SUMPRODUCT(N2093:Y2093,$N$4:$Y$4)*$K2093*$L2093*$M2093</f>
        <v/>
      </c>
      <c r="AD2093" s="15" t="n">
        <v>3</v>
      </c>
      <c r="AE2093" s="11" t="n">
        <v>1.011296296296296</v>
      </c>
      <c r="AF2093" s="16">
        <f>SUMPRODUCT(N2093:Y2093,$N$5:$Y$5)*$K2093*$L2093*$M2093</f>
        <v/>
      </c>
      <c r="AG2093" s="16">
        <f>SUMPRODUCT(N2093:Y2093,$N$6:$Y$6)*$K2093*$L2093*$M2093</f>
        <v/>
      </c>
      <c r="AH2093" s="20" t="n"/>
    </row>
    <row r="2094">
      <c r="A2094" s="9" t="n">
        <v>806060</v>
      </c>
      <c r="B2094" s="9" t="inlineStr">
        <is>
          <t>Luke Dotson</t>
        </is>
      </c>
      <c r="C2094" s="9" t="inlineStr">
        <is>
          <t>ARI</t>
        </is>
      </c>
      <c r="D2094" s="9" t="n">
        <v>25</v>
      </c>
      <c r="E2094" s="18" t="inlineStr">
        <is>
          <t>L</t>
        </is>
      </c>
      <c r="F2094" s="18" t="n"/>
      <c r="G2094" s="9" t="n">
        <v>27.80666666666667</v>
      </c>
      <c r="H2094" s="9" t="n">
        <v>27.80666666666667</v>
      </c>
      <c r="I2094" s="9" t="inlineStr">
        <is>
          <t>Depth (no MLB IP)</t>
        </is>
      </c>
      <c r="J2094" s="18" t="inlineStr">
        <is>
          <t>Opening Day</t>
        </is>
      </c>
      <c r="K2094" s="11">
        <f>IFERROR(INDEX(Roles!$B$17:$B$20,MATCH(J2094,Roles!$A$17:$A$20,0)),1)</f>
        <v/>
      </c>
      <c r="L2094" s="19" t="n">
        <v>1</v>
      </c>
      <c r="M2094" s="11" t="n">
        <v>1</v>
      </c>
      <c r="N2094" s="19" t="n"/>
      <c r="O2094" s="19" t="n"/>
      <c r="P2094" s="19" t="n"/>
      <c r="Q2094" s="19" t="n"/>
      <c r="R2094" s="19" t="n"/>
      <c r="S2094" s="19" t="n"/>
      <c r="T2094" s="19" t="n"/>
      <c r="U2094" s="19" t="n"/>
      <c r="V2094" s="19" t="n"/>
      <c r="W2094" s="19" t="n"/>
      <c r="X2094" s="19" t="n"/>
      <c r="Y2094" s="19" t="n">
        <v>1</v>
      </c>
      <c r="Z2094" s="13">
        <f>SUMPRODUCT(N2094:Y2094,$N$2:$Y$2)*$K2094*$L2094*$M2094</f>
        <v/>
      </c>
      <c r="AA2094" s="14">
        <f>SUM(N2094:Y2094)</f>
        <v/>
      </c>
      <c r="AB2094" s="13">
        <f>SUMPRODUCT(N2094:Y2094,$N$3:$Y$3)*$K2094*$L2094*$M2094</f>
        <v/>
      </c>
      <c r="AC2094" s="13">
        <f>SUMPRODUCT(N2094:Y2094,$N$4:$Y$4)*$K2094*$L2094*$M2094</f>
        <v/>
      </c>
      <c r="AD2094" s="15" t="n">
        <v>3</v>
      </c>
      <c r="AE2094" s="11" t="n">
        <v>1.011296296296296</v>
      </c>
      <c r="AF2094" s="16">
        <f>SUMPRODUCT(N2094:Y2094,$N$5:$Y$5)*$K2094*$L2094*$M2094</f>
        <v/>
      </c>
      <c r="AG2094" s="16">
        <f>SUMPRODUCT(N2094:Y2094,$N$6:$Y$6)*$K2094*$L2094*$M2094</f>
        <v/>
      </c>
      <c r="AH2094" s="20" t="n"/>
    </row>
    <row r="2095">
      <c r="A2095" s="9" t="n">
        <v>820901</v>
      </c>
      <c r="B2095" s="9" t="inlineStr">
        <is>
          <t>Anderson Brito</t>
        </is>
      </c>
      <c r="C2095" s="9" t="inlineStr">
        <is>
          <t>TB</t>
        </is>
      </c>
      <c r="D2095" s="9" t="n">
        <v>25</v>
      </c>
      <c r="E2095" s="18" t="inlineStr">
        <is>
          <t>R</t>
        </is>
      </c>
      <c r="F2095" s="18" t="n"/>
      <c r="G2095" s="9" t="n">
        <v>27.80666666666667</v>
      </c>
      <c r="H2095" s="9" t="n">
        <v>27.80666666666667</v>
      </c>
      <c r="I2095" s="9" t="inlineStr">
        <is>
          <t>Depth (no MLB IP)</t>
        </is>
      </c>
      <c r="J2095" s="18" t="inlineStr">
        <is>
          <t>Opening Day</t>
        </is>
      </c>
      <c r="K2095" s="11">
        <f>IFERROR(INDEX(Roles!$B$17:$B$20,MATCH(J2095,Roles!$A$17:$A$20,0)),1)</f>
        <v/>
      </c>
      <c r="L2095" s="19" t="n">
        <v>1</v>
      </c>
      <c r="M2095" s="11" t="n">
        <v>1</v>
      </c>
      <c r="N2095" s="19" t="n"/>
      <c r="O2095" s="19" t="n"/>
      <c r="P2095" s="19" t="n"/>
      <c r="Q2095" s="19" t="n"/>
      <c r="R2095" s="19" t="n"/>
      <c r="S2095" s="19" t="n"/>
      <c r="T2095" s="19" t="n"/>
      <c r="U2095" s="19" t="n"/>
      <c r="V2095" s="19" t="n"/>
      <c r="W2095" s="19" t="n"/>
      <c r="X2095" s="19" t="n"/>
      <c r="Y2095" s="19" t="n">
        <v>1</v>
      </c>
      <c r="Z2095" s="13">
        <f>SUMPRODUCT(N2095:Y2095,$N$2:$Y$2)*$K2095*$L2095*$M2095</f>
        <v/>
      </c>
      <c r="AA2095" s="14">
        <f>SUM(N2095:Y2095)</f>
        <v/>
      </c>
      <c r="AB2095" s="13">
        <f>SUMPRODUCT(N2095:Y2095,$N$3:$Y$3)*$K2095*$L2095*$M2095</f>
        <v/>
      </c>
      <c r="AC2095" s="13">
        <f>SUMPRODUCT(N2095:Y2095,$N$4:$Y$4)*$K2095*$L2095*$M2095</f>
        <v/>
      </c>
      <c r="AD2095" s="15" t="n">
        <v>3</v>
      </c>
      <c r="AE2095" s="11" t="n">
        <v>1.011296296296296</v>
      </c>
      <c r="AF2095" s="16">
        <f>SUMPRODUCT(N2095:Y2095,$N$5:$Y$5)*$K2095*$L2095*$M2095</f>
        <v/>
      </c>
      <c r="AG2095" s="16">
        <f>SUMPRODUCT(N2095:Y2095,$N$6:$Y$6)*$K2095*$L2095*$M2095</f>
        <v/>
      </c>
      <c r="AH2095" s="20" t="n"/>
    </row>
    <row r="2096">
      <c r="A2096" s="9" t="n">
        <v>702905</v>
      </c>
      <c r="B2096" s="9" t="inlineStr">
        <is>
          <t>Reynaldo Yean</t>
        </is>
      </c>
      <c r="C2096" s="9" t="inlineStr">
        <is>
          <t>LAD</t>
        </is>
      </c>
      <c r="D2096" s="9" t="n">
        <v>25</v>
      </c>
      <c r="E2096" s="18" t="inlineStr">
        <is>
          <t>R</t>
        </is>
      </c>
      <c r="F2096" s="18" t="n"/>
      <c r="G2096" s="9" t="n">
        <v>27.80666666666667</v>
      </c>
      <c r="H2096" s="9" t="n">
        <v>27.80666666666667</v>
      </c>
      <c r="I2096" s="9" t="inlineStr">
        <is>
          <t>Depth (no MLB IP)</t>
        </is>
      </c>
      <c r="J2096" s="18" t="inlineStr">
        <is>
          <t>Opening Day</t>
        </is>
      </c>
      <c r="K2096" s="11">
        <f>IFERROR(INDEX(Roles!$B$17:$B$20,MATCH(J2096,Roles!$A$17:$A$20,0)),1)</f>
        <v/>
      </c>
      <c r="L2096" s="19" t="n">
        <v>1</v>
      </c>
      <c r="M2096" s="11" t="n">
        <v>1</v>
      </c>
      <c r="N2096" s="19" t="n"/>
      <c r="O2096" s="19" t="n"/>
      <c r="P2096" s="19" t="n"/>
      <c r="Q2096" s="19" t="n"/>
      <c r="R2096" s="19" t="n"/>
      <c r="S2096" s="19" t="n"/>
      <c r="T2096" s="19" t="n"/>
      <c r="U2096" s="19" t="n"/>
      <c r="V2096" s="19" t="n"/>
      <c r="W2096" s="19" t="n"/>
      <c r="X2096" s="19" t="n"/>
      <c r="Y2096" s="19" t="n">
        <v>1</v>
      </c>
      <c r="Z2096" s="13">
        <f>SUMPRODUCT(N2096:Y2096,$N$2:$Y$2)*$K2096*$L2096*$M2096</f>
        <v/>
      </c>
      <c r="AA2096" s="14">
        <f>SUM(N2096:Y2096)</f>
        <v/>
      </c>
      <c r="AB2096" s="13">
        <f>SUMPRODUCT(N2096:Y2096,$N$3:$Y$3)*$K2096*$L2096*$M2096</f>
        <v/>
      </c>
      <c r="AC2096" s="13">
        <f>SUMPRODUCT(N2096:Y2096,$N$4:$Y$4)*$K2096*$L2096*$M2096</f>
        <v/>
      </c>
      <c r="AD2096" s="15" t="n">
        <v>3</v>
      </c>
      <c r="AE2096" s="11" t="n">
        <v>1.011296296296296</v>
      </c>
      <c r="AF2096" s="16">
        <f>SUMPRODUCT(N2096:Y2096,$N$5:$Y$5)*$K2096*$L2096*$M2096</f>
        <v/>
      </c>
      <c r="AG2096" s="16">
        <f>SUMPRODUCT(N2096:Y2096,$N$6:$Y$6)*$K2096*$L2096*$M2096</f>
        <v/>
      </c>
      <c r="AH2096" s="20" t="n"/>
    </row>
    <row r="2097">
      <c r="A2097" s="9" t="n">
        <v>806711</v>
      </c>
      <c r="B2097" s="9" t="inlineStr">
        <is>
          <t>Yereny Teus</t>
        </is>
      </c>
      <c r="C2097" s="9" t="inlineStr">
        <is>
          <t>TB</t>
        </is>
      </c>
      <c r="D2097" s="9" t="n">
        <v>25</v>
      </c>
      <c r="E2097" s="18" t="inlineStr">
        <is>
          <t>L</t>
        </is>
      </c>
      <c r="F2097" s="18" t="n"/>
      <c r="G2097" s="9" t="n">
        <v>27.864</v>
      </c>
      <c r="H2097" s="9" t="n">
        <v>27.864</v>
      </c>
      <c r="I2097" s="9" t="inlineStr">
        <is>
          <t>Depth (no MLB IP)</t>
        </is>
      </c>
      <c r="J2097" s="18" t="inlineStr">
        <is>
          <t>Opening Day</t>
        </is>
      </c>
      <c r="K2097" s="11">
        <f>IFERROR(INDEX(Roles!$B$17:$B$20,MATCH(J2097,Roles!$A$17:$A$20,0)),1)</f>
        <v/>
      </c>
      <c r="L2097" s="19" t="n">
        <v>1</v>
      </c>
      <c r="M2097" s="11" t="n">
        <v>1</v>
      </c>
      <c r="N2097" s="19" t="n"/>
      <c r="O2097" s="19" t="n"/>
      <c r="P2097" s="19" t="n"/>
      <c r="Q2097" s="19" t="n"/>
      <c r="R2097" s="19" t="n"/>
      <c r="S2097" s="19" t="n"/>
      <c r="T2097" s="19" t="n"/>
      <c r="U2097" s="19" t="n"/>
      <c r="V2097" s="19" t="n"/>
      <c r="W2097" s="19" t="n"/>
      <c r="X2097" s="19" t="n"/>
      <c r="Y2097" s="19" t="n">
        <v>1</v>
      </c>
      <c r="Z2097" s="13">
        <f>SUMPRODUCT(N2097:Y2097,$N$2:$Y$2)*$K2097*$L2097*$M2097</f>
        <v/>
      </c>
      <c r="AA2097" s="14">
        <f>SUM(N2097:Y2097)</f>
        <v/>
      </c>
      <c r="AB2097" s="13">
        <f>SUMPRODUCT(N2097:Y2097,$N$3:$Y$3)*$K2097*$L2097*$M2097</f>
        <v/>
      </c>
      <c r="AC2097" s="13">
        <f>SUMPRODUCT(N2097:Y2097,$N$4:$Y$4)*$K2097*$L2097*$M2097</f>
        <v/>
      </c>
      <c r="AD2097" s="15" t="n">
        <v>3</v>
      </c>
      <c r="AE2097" s="11" t="n">
        <v>1.011296296296296</v>
      </c>
      <c r="AF2097" s="16">
        <f>SUMPRODUCT(N2097:Y2097,$N$5:$Y$5)*$K2097*$L2097*$M2097</f>
        <v/>
      </c>
      <c r="AG2097" s="16">
        <f>SUMPRODUCT(N2097:Y2097,$N$6:$Y$6)*$K2097*$L2097*$M2097</f>
        <v/>
      </c>
      <c r="AH2097" s="20" t="n"/>
    </row>
    <row r="2098">
      <c r="A2098" s="9" t="n">
        <v>823227</v>
      </c>
      <c r="B2098" s="9" t="inlineStr">
        <is>
          <t>Brian Zeldin</t>
        </is>
      </c>
      <c r="C2098" s="9" t="inlineStr">
        <is>
          <t>MIN</t>
        </is>
      </c>
      <c r="D2098" s="9" t="n">
        <v>25</v>
      </c>
      <c r="E2098" s="18" t="inlineStr">
        <is>
          <t>R</t>
        </is>
      </c>
      <c r="F2098" s="18" t="n"/>
      <c r="G2098" s="9" t="n">
        <v>27.80666666666667</v>
      </c>
      <c r="H2098" s="9" t="n">
        <v>27.80666666666667</v>
      </c>
      <c r="I2098" s="9" t="inlineStr">
        <is>
          <t>Depth (no MLB IP)</t>
        </is>
      </c>
      <c r="J2098" s="18" t="inlineStr">
        <is>
          <t>Opening Day</t>
        </is>
      </c>
      <c r="K2098" s="11">
        <f>IFERROR(INDEX(Roles!$B$17:$B$20,MATCH(J2098,Roles!$A$17:$A$20,0)),1)</f>
        <v/>
      </c>
      <c r="L2098" s="19" t="n">
        <v>1</v>
      </c>
      <c r="M2098" s="11" t="n">
        <v>1</v>
      </c>
      <c r="N2098" s="19" t="n"/>
      <c r="O2098" s="19" t="n"/>
      <c r="P2098" s="19" t="n"/>
      <c r="Q2098" s="19" t="n"/>
      <c r="R2098" s="19" t="n"/>
      <c r="S2098" s="19" t="n"/>
      <c r="T2098" s="19" t="n"/>
      <c r="U2098" s="19" t="n"/>
      <c r="V2098" s="19" t="n"/>
      <c r="W2098" s="19" t="n"/>
      <c r="X2098" s="19" t="n"/>
      <c r="Y2098" s="19" t="n">
        <v>1</v>
      </c>
      <c r="Z2098" s="13">
        <f>SUMPRODUCT(N2098:Y2098,$N$2:$Y$2)*$K2098*$L2098*$M2098</f>
        <v/>
      </c>
      <c r="AA2098" s="14">
        <f>SUM(N2098:Y2098)</f>
        <v/>
      </c>
      <c r="AB2098" s="13">
        <f>SUMPRODUCT(N2098:Y2098,$N$3:$Y$3)*$K2098*$L2098*$M2098</f>
        <v/>
      </c>
      <c r="AC2098" s="13">
        <f>SUMPRODUCT(N2098:Y2098,$N$4:$Y$4)*$K2098*$L2098*$M2098</f>
        <v/>
      </c>
      <c r="AD2098" s="15" t="n">
        <v>3</v>
      </c>
      <c r="AE2098" s="11" t="n">
        <v>1.011296296296296</v>
      </c>
      <c r="AF2098" s="16">
        <f>SUMPRODUCT(N2098:Y2098,$N$5:$Y$5)*$K2098*$L2098*$M2098</f>
        <v/>
      </c>
      <c r="AG2098" s="16">
        <f>SUMPRODUCT(N2098:Y2098,$N$6:$Y$6)*$K2098*$L2098*$M2098</f>
        <v/>
      </c>
      <c r="AH2098" s="20" t="n"/>
    </row>
    <row r="2099">
      <c r="A2099" s="9" t="n">
        <v>674681</v>
      </c>
      <c r="B2099" s="9" t="inlineStr">
        <is>
          <t>Michael Plassmeyer</t>
        </is>
      </c>
      <c r="C2099" s="9" t="inlineStr">
        <is>
          <t>PHI</t>
        </is>
      </c>
      <c r="D2099" s="9" t="n">
        <v>30</v>
      </c>
      <c r="E2099" s="18" t="inlineStr">
        <is>
          <t>L</t>
        </is>
      </c>
      <c r="F2099" s="18" t="n"/>
      <c r="G2099" s="9" t="n">
        <v>23</v>
      </c>
      <c r="H2099" s="9" t="n">
        <v>52</v>
      </c>
      <c r="I2099" s="9" t="inlineStr">
        <is>
          <t>Depth (no MLB IP)</t>
        </is>
      </c>
      <c r="J2099" s="18" t="inlineStr">
        <is>
          <t>Opening Day</t>
        </is>
      </c>
      <c r="K2099" s="11">
        <f>IFERROR(INDEX(Roles!$B$17:$B$20,MATCH(J2099,Roles!$A$17:$A$20,0)),1)</f>
        <v/>
      </c>
      <c r="L2099" s="19" t="n">
        <v>1</v>
      </c>
      <c r="M2099" s="11" t="n">
        <v>1</v>
      </c>
      <c r="N2099" s="19" t="n"/>
      <c r="O2099" s="19" t="n"/>
      <c r="P2099" s="19" t="n"/>
      <c r="Q2099" s="19" t="n"/>
      <c r="R2099" s="19" t="n"/>
      <c r="S2099" s="19" t="n"/>
      <c r="T2099" s="19" t="n"/>
      <c r="U2099" s="19" t="n"/>
      <c r="V2099" s="19" t="n"/>
      <c r="W2099" s="19" t="n"/>
      <c r="X2099" s="19" t="n"/>
      <c r="Y2099" s="19" t="n">
        <v>1</v>
      </c>
      <c r="Z2099" s="13">
        <f>SUMPRODUCT(N2099:Y2099,$N$2:$Y$2)*$K2099*$L2099*$M2099</f>
        <v/>
      </c>
      <c r="AA2099" s="14">
        <f>SUM(N2099:Y2099)</f>
        <v/>
      </c>
      <c r="AB2099" s="13">
        <f>SUMPRODUCT(N2099:Y2099,$N$3:$Y$3)*$K2099*$L2099*$M2099</f>
        <v/>
      </c>
      <c r="AC2099" s="13">
        <f>SUMPRODUCT(N2099:Y2099,$N$4:$Y$4)*$K2099*$L2099*$M2099</f>
        <v/>
      </c>
      <c r="AD2099" s="15" t="n">
        <v>3</v>
      </c>
      <c r="AE2099" s="11" t="n">
        <v>1.011296296296296</v>
      </c>
      <c r="AF2099" s="16">
        <f>SUMPRODUCT(N2099:Y2099,$N$5:$Y$5)*$K2099*$L2099*$M2099</f>
        <v/>
      </c>
      <c r="AG2099" s="16">
        <f>SUMPRODUCT(N2099:Y2099,$N$6:$Y$6)*$K2099*$L2099*$M2099</f>
        <v/>
      </c>
      <c r="AH2099" s="20" t="n"/>
    </row>
    <row r="2100">
      <c r="A2100" s="9" t="n">
        <v>814837</v>
      </c>
      <c r="B2100" s="9" t="inlineStr">
        <is>
          <t>Jacob Cravey</t>
        </is>
      </c>
      <c r="C2100" s="9" t="inlineStr">
        <is>
          <t>BAL</t>
        </is>
      </c>
      <c r="D2100" s="9" t="n">
        <v>25</v>
      </c>
      <c r="E2100" s="18" t="inlineStr">
        <is>
          <t>R</t>
        </is>
      </c>
      <c r="F2100" s="18" t="n"/>
      <c r="G2100" s="9" t="n">
        <v>27.80666666666667</v>
      </c>
      <c r="H2100" s="9" t="n">
        <v>27.80666666666667</v>
      </c>
      <c r="I2100" s="9" t="inlineStr">
        <is>
          <t>Depth (no MLB IP)</t>
        </is>
      </c>
      <c r="J2100" s="18" t="inlineStr">
        <is>
          <t>Opening Day</t>
        </is>
      </c>
      <c r="K2100" s="11">
        <f>IFERROR(INDEX(Roles!$B$17:$B$20,MATCH(J2100,Roles!$A$17:$A$20,0)),1)</f>
        <v/>
      </c>
      <c r="L2100" s="19" t="n">
        <v>1</v>
      </c>
      <c r="M2100" s="11" t="n">
        <v>1</v>
      </c>
      <c r="N2100" s="19" t="n"/>
      <c r="O2100" s="19" t="n"/>
      <c r="P2100" s="19" t="n"/>
      <c r="Q2100" s="19" t="n"/>
      <c r="R2100" s="19" t="n"/>
      <c r="S2100" s="19" t="n"/>
      <c r="T2100" s="19" t="n"/>
      <c r="U2100" s="19" t="n"/>
      <c r="V2100" s="19" t="n"/>
      <c r="W2100" s="19" t="n"/>
      <c r="X2100" s="19" t="n"/>
      <c r="Y2100" s="19" t="n">
        <v>1</v>
      </c>
      <c r="Z2100" s="13">
        <f>SUMPRODUCT(N2100:Y2100,$N$2:$Y$2)*$K2100*$L2100*$M2100</f>
        <v/>
      </c>
      <c r="AA2100" s="14">
        <f>SUM(N2100:Y2100)</f>
        <v/>
      </c>
      <c r="AB2100" s="13">
        <f>SUMPRODUCT(N2100:Y2100,$N$3:$Y$3)*$K2100*$L2100*$M2100</f>
        <v/>
      </c>
      <c r="AC2100" s="13">
        <f>SUMPRODUCT(N2100:Y2100,$N$4:$Y$4)*$K2100*$L2100*$M2100</f>
        <v/>
      </c>
      <c r="AD2100" s="15" t="n">
        <v>3</v>
      </c>
      <c r="AE2100" s="11" t="n">
        <v>1.011296296296296</v>
      </c>
      <c r="AF2100" s="16">
        <f>SUMPRODUCT(N2100:Y2100,$N$5:$Y$5)*$K2100*$L2100*$M2100</f>
        <v/>
      </c>
      <c r="AG2100" s="16">
        <f>SUMPRODUCT(N2100:Y2100,$N$6:$Y$6)*$K2100*$L2100*$M2100</f>
        <v/>
      </c>
      <c r="AH2100" s="20" t="n"/>
    </row>
    <row r="2101">
      <c r="A2101" s="9" t="n">
        <v>703496</v>
      </c>
      <c r="B2101" s="9" t="inlineStr">
        <is>
          <t>Mavis Graves</t>
        </is>
      </c>
      <c r="C2101" s="9" t="inlineStr">
        <is>
          <t>PHI</t>
        </is>
      </c>
      <c r="D2101" s="9" t="n">
        <v>25</v>
      </c>
      <c r="E2101" s="18" t="inlineStr">
        <is>
          <t>L</t>
        </is>
      </c>
      <c r="F2101" s="18" t="n"/>
      <c r="G2101" s="9" t="n">
        <v>28.09333333333333</v>
      </c>
      <c r="H2101" s="9" t="n">
        <v>28.09333333333333</v>
      </c>
      <c r="I2101" s="9" t="inlineStr">
        <is>
          <t>Depth (no MLB IP)</t>
        </is>
      </c>
      <c r="J2101" s="18" t="inlineStr">
        <is>
          <t>Opening Day</t>
        </is>
      </c>
      <c r="K2101" s="11">
        <f>IFERROR(INDEX(Roles!$B$17:$B$20,MATCH(J2101,Roles!$A$17:$A$20,0)),1)</f>
        <v/>
      </c>
      <c r="L2101" s="19" t="n">
        <v>1</v>
      </c>
      <c r="M2101" s="11" t="n">
        <v>1</v>
      </c>
      <c r="N2101" s="19" t="n"/>
      <c r="O2101" s="19" t="n"/>
      <c r="P2101" s="19" t="n"/>
      <c r="Q2101" s="19" t="n"/>
      <c r="R2101" s="19" t="n"/>
      <c r="S2101" s="19" t="n"/>
      <c r="T2101" s="19" t="n"/>
      <c r="U2101" s="19" t="n"/>
      <c r="V2101" s="19" t="n"/>
      <c r="W2101" s="19" t="n"/>
      <c r="X2101" s="19" t="n"/>
      <c r="Y2101" s="19" t="n">
        <v>1</v>
      </c>
      <c r="Z2101" s="13">
        <f>SUMPRODUCT(N2101:Y2101,$N$2:$Y$2)*$K2101*$L2101*$M2101</f>
        <v/>
      </c>
      <c r="AA2101" s="14">
        <f>SUM(N2101:Y2101)</f>
        <v/>
      </c>
      <c r="AB2101" s="13">
        <f>SUMPRODUCT(N2101:Y2101,$N$3:$Y$3)*$K2101*$L2101*$M2101</f>
        <v/>
      </c>
      <c r="AC2101" s="13">
        <f>SUMPRODUCT(N2101:Y2101,$N$4:$Y$4)*$K2101*$L2101*$M2101</f>
        <v/>
      </c>
      <c r="AD2101" s="15" t="n">
        <v>3</v>
      </c>
      <c r="AE2101" s="11" t="n">
        <v>1.011296296296296</v>
      </c>
      <c r="AF2101" s="16">
        <f>SUMPRODUCT(N2101:Y2101,$N$5:$Y$5)*$K2101*$L2101*$M2101</f>
        <v/>
      </c>
      <c r="AG2101" s="16">
        <f>SUMPRODUCT(N2101:Y2101,$N$6:$Y$6)*$K2101*$L2101*$M2101</f>
        <v/>
      </c>
      <c r="AH2101" s="20" t="n"/>
    </row>
    <row r="2102">
      <c r="A2102" s="9" t="n">
        <v>695990</v>
      </c>
      <c r="B2102" s="9" t="inlineStr">
        <is>
          <t>Kenyi Perez</t>
        </is>
      </c>
      <c r="C2102" s="9" t="inlineStr">
        <is>
          <t>CHC</t>
        </is>
      </c>
      <c r="D2102" s="9" t="n">
        <v>25</v>
      </c>
      <c r="E2102" s="18" t="inlineStr">
        <is>
          <t>R</t>
        </is>
      </c>
      <c r="F2102" s="18" t="n"/>
      <c r="G2102" s="9" t="n">
        <v>28.09333333333333</v>
      </c>
      <c r="H2102" s="9" t="n">
        <v>28.09333333333333</v>
      </c>
      <c r="I2102" s="9" t="inlineStr">
        <is>
          <t>Depth (no MLB IP)</t>
        </is>
      </c>
      <c r="J2102" s="18" t="inlineStr">
        <is>
          <t>Opening Day</t>
        </is>
      </c>
      <c r="K2102" s="11">
        <f>IFERROR(INDEX(Roles!$B$17:$B$20,MATCH(J2102,Roles!$A$17:$A$20,0)),1)</f>
        <v/>
      </c>
      <c r="L2102" s="19" t="n">
        <v>1</v>
      </c>
      <c r="M2102" s="11" t="n">
        <v>1</v>
      </c>
      <c r="N2102" s="19" t="n"/>
      <c r="O2102" s="19" t="n"/>
      <c r="P2102" s="19" t="n"/>
      <c r="Q2102" s="19" t="n"/>
      <c r="R2102" s="19" t="n"/>
      <c r="S2102" s="19" t="n"/>
      <c r="T2102" s="19" t="n"/>
      <c r="U2102" s="19" t="n"/>
      <c r="V2102" s="19" t="n"/>
      <c r="W2102" s="19" t="n"/>
      <c r="X2102" s="19" t="n"/>
      <c r="Y2102" s="19" t="n">
        <v>1</v>
      </c>
      <c r="Z2102" s="13">
        <f>SUMPRODUCT(N2102:Y2102,$N$2:$Y$2)*$K2102*$L2102*$M2102</f>
        <v/>
      </c>
      <c r="AA2102" s="14">
        <f>SUM(N2102:Y2102)</f>
        <v/>
      </c>
      <c r="AB2102" s="13">
        <f>SUMPRODUCT(N2102:Y2102,$N$3:$Y$3)*$K2102*$L2102*$M2102</f>
        <v/>
      </c>
      <c r="AC2102" s="13">
        <f>SUMPRODUCT(N2102:Y2102,$N$4:$Y$4)*$K2102*$L2102*$M2102</f>
        <v/>
      </c>
      <c r="AD2102" s="15" t="n">
        <v>3</v>
      </c>
      <c r="AE2102" s="11" t="n">
        <v>1.011296296296296</v>
      </c>
      <c r="AF2102" s="16">
        <f>SUMPRODUCT(N2102:Y2102,$N$5:$Y$5)*$K2102*$L2102*$M2102</f>
        <v/>
      </c>
      <c r="AG2102" s="16">
        <f>SUMPRODUCT(N2102:Y2102,$N$6:$Y$6)*$K2102*$L2102*$M2102</f>
        <v/>
      </c>
      <c r="AH2102" s="20" t="n"/>
    </row>
    <row r="2103">
      <c r="A2103" s="9" t="n">
        <v>822488</v>
      </c>
      <c r="B2103" s="9" t="inlineStr">
        <is>
          <t>Griffin Kirn</t>
        </is>
      </c>
      <c r="C2103" s="9" t="inlineStr">
        <is>
          <t>OAK</t>
        </is>
      </c>
      <c r="D2103" s="9" t="n">
        <v>25</v>
      </c>
      <c r="E2103" s="18" t="inlineStr">
        <is>
          <t>L</t>
        </is>
      </c>
      <c r="F2103" s="18" t="n"/>
      <c r="G2103" s="9" t="n">
        <v>28.09333333333333</v>
      </c>
      <c r="H2103" s="9" t="n">
        <v>28.09333333333333</v>
      </c>
      <c r="I2103" s="9" t="inlineStr">
        <is>
          <t>Depth (no MLB IP)</t>
        </is>
      </c>
      <c r="J2103" s="18" t="inlineStr">
        <is>
          <t>Opening Day</t>
        </is>
      </c>
      <c r="K2103" s="11">
        <f>IFERROR(INDEX(Roles!$B$17:$B$20,MATCH(J2103,Roles!$A$17:$A$20,0)),1)</f>
        <v/>
      </c>
      <c r="L2103" s="19" t="n">
        <v>1</v>
      </c>
      <c r="M2103" s="11" t="n">
        <v>1</v>
      </c>
      <c r="N2103" s="19" t="n"/>
      <c r="O2103" s="19" t="n"/>
      <c r="P2103" s="19" t="n"/>
      <c r="Q2103" s="19" t="n"/>
      <c r="R2103" s="19" t="n"/>
      <c r="S2103" s="19" t="n"/>
      <c r="T2103" s="19" t="n"/>
      <c r="U2103" s="19" t="n"/>
      <c r="V2103" s="19" t="n"/>
      <c r="W2103" s="19" t="n"/>
      <c r="X2103" s="19" t="n"/>
      <c r="Y2103" s="19" t="n">
        <v>1</v>
      </c>
      <c r="Z2103" s="13">
        <f>SUMPRODUCT(N2103:Y2103,$N$2:$Y$2)*$K2103*$L2103*$M2103</f>
        <v/>
      </c>
      <c r="AA2103" s="14">
        <f>SUM(N2103:Y2103)</f>
        <v/>
      </c>
      <c r="AB2103" s="13">
        <f>SUMPRODUCT(N2103:Y2103,$N$3:$Y$3)*$K2103*$L2103*$M2103</f>
        <v/>
      </c>
      <c r="AC2103" s="13">
        <f>SUMPRODUCT(N2103:Y2103,$N$4:$Y$4)*$K2103*$L2103*$M2103</f>
        <v/>
      </c>
      <c r="AD2103" s="15" t="n">
        <v>3</v>
      </c>
      <c r="AE2103" s="11" t="n">
        <v>1.011296296296296</v>
      </c>
      <c r="AF2103" s="16">
        <f>SUMPRODUCT(N2103:Y2103,$N$5:$Y$5)*$K2103*$L2103*$M2103</f>
        <v/>
      </c>
      <c r="AG2103" s="16">
        <f>SUMPRODUCT(N2103:Y2103,$N$6:$Y$6)*$K2103*$L2103*$M2103</f>
        <v/>
      </c>
      <c r="AH2103" s="20" t="n"/>
    </row>
    <row r="2104">
      <c r="A2104" s="9" t="n">
        <v>806704</v>
      </c>
      <c r="B2104" s="9" t="inlineStr">
        <is>
          <t>Cam Tilly</t>
        </is>
      </c>
      <c r="C2104" s="9" t="inlineStr">
        <is>
          <t>NYM</t>
        </is>
      </c>
      <c r="D2104" s="9" t="n">
        <v>25</v>
      </c>
      <c r="E2104" s="18" t="inlineStr">
        <is>
          <t>R</t>
        </is>
      </c>
      <c r="F2104" s="18" t="n"/>
      <c r="G2104" s="9" t="n">
        <v>28.036</v>
      </c>
      <c r="H2104" s="9" t="n">
        <v>28.036</v>
      </c>
      <c r="I2104" s="9" t="inlineStr">
        <is>
          <t>Depth (no MLB IP)</t>
        </is>
      </c>
      <c r="J2104" s="18" t="inlineStr">
        <is>
          <t>Opening Day</t>
        </is>
      </c>
      <c r="K2104" s="11">
        <f>IFERROR(INDEX(Roles!$B$17:$B$20,MATCH(J2104,Roles!$A$17:$A$20,0)),1)</f>
        <v/>
      </c>
      <c r="L2104" s="19" t="n">
        <v>1</v>
      </c>
      <c r="M2104" s="11" t="n">
        <v>1</v>
      </c>
      <c r="N2104" s="19" t="n"/>
      <c r="O2104" s="19" t="n"/>
      <c r="P2104" s="19" t="n"/>
      <c r="Q2104" s="19" t="n"/>
      <c r="R2104" s="19" t="n"/>
      <c r="S2104" s="19" t="n"/>
      <c r="T2104" s="19" t="n"/>
      <c r="U2104" s="19" t="n"/>
      <c r="V2104" s="19" t="n"/>
      <c r="W2104" s="19" t="n"/>
      <c r="X2104" s="19" t="n"/>
      <c r="Y2104" s="19" t="n">
        <v>1</v>
      </c>
      <c r="Z2104" s="13">
        <f>SUMPRODUCT(N2104:Y2104,$N$2:$Y$2)*$K2104*$L2104*$M2104</f>
        <v/>
      </c>
      <c r="AA2104" s="14">
        <f>SUM(N2104:Y2104)</f>
        <v/>
      </c>
      <c r="AB2104" s="13">
        <f>SUMPRODUCT(N2104:Y2104,$N$3:$Y$3)*$K2104*$L2104*$M2104</f>
        <v/>
      </c>
      <c r="AC2104" s="13">
        <f>SUMPRODUCT(N2104:Y2104,$N$4:$Y$4)*$K2104*$L2104*$M2104</f>
        <v/>
      </c>
      <c r="AD2104" s="15" t="n">
        <v>3</v>
      </c>
      <c r="AE2104" s="11" t="n">
        <v>1.011296296296296</v>
      </c>
      <c r="AF2104" s="16">
        <f>SUMPRODUCT(N2104:Y2104,$N$5:$Y$5)*$K2104*$L2104*$M2104</f>
        <v/>
      </c>
      <c r="AG2104" s="16">
        <f>SUMPRODUCT(N2104:Y2104,$N$6:$Y$6)*$K2104*$L2104*$M2104</f>
        <v/>
      </c>
      <c r="AH2104" s="20" t="n"/>
    </row>
    <row r="2105">
      <c r="A2105" s="9" t="n">
        <v>811296</v>
      </c>
      <c r="B2105" s="9" t="inlineStr">
        <is>
          <t>Kiefer Lord</t>
        </is>
      </c>
      <c r="C2105" s="9" t="inlineStr">
        <is>
          <t>BAL</t>
        </is>
      </c>
      <c r="D2105" s="9" t="n">
        <v>25</v>
      </c>
      <c r="E2105" s="18" t="inlineStr">
        <is>
          <t>R</t>
        </is>
      </c>
      <c r="F2105" s="18" t="n"/>
      <c r="G2105" s="9" t="n">
        <v>28.09333333333333</v>
      </c>
      <c r="H2105" s="9" t="n">
        <v>28.09333333333333</v>
      </c>
      <c r="I2105" s="9" t="inlineStr">
        <is>
          <t>Depth (no MLB IP)</t>
        </is>
      </c>
      <c r="J2105" s="18" t="inlineStr">
        <is>
          <t>Opening Day</t>
        </is>
      </c>
      <c r="K2105" s="11">
        <f>IFERROR(INDEX(Roles!$B$17:$B$20,MATCH(J2105,Roles!$A$17:$A$20,0)),1)</f>
        <v/>
      </c>
      <c r="L2105" s="19" t="n">
        <v>1</v>
      </c>
      <c r="M2105" s="11" t="n">
        <v>1</v>
      </c>
      <c r="N2105" s="19" t="n"/>
      <c r="O2105" s="19" t="n"/>
      <c r="P2105" s="19" t="n"/>
      <c r="Q2105" s="19" t="n"/>
      <c r="R2105" s="19" t="n"/>
      <c r="S2105" s="19" t="n"/>
      <c r="T2105" s="19" t="n"/>
      <c r="U2105" s="19" t="n"/>
      <c r="V2105" s="19" t="n"/>
      <c r="W2105" s="19" t="n"/>
      <c r="X2105" s="19" t="n"/>
      <c r="Y2105" s="19" t="n">
        <v>1</v>
      </c>
      <c r="Z2105" s="13">
        <f>SUMPRODUCT(N2105:Y2105,$N$2:$Y$2)*$K2105*$L2105*$M2105</f>
        <v/>
      </c>
      <c r="AA2105" s="14">
        <f>SUM(N2105:Y2105)</f>
        <v/>
      </c>
      <c r="AB2105" s="13">
        <f>SUMPRODUCT(N2105:Y2105,$N$3:$Y$3)*$K2105*$L2105*$M2105</f>
        <v/>
      </c>
      <c r="AC2105" s="13">
        <f>SUMPRODUCT(N2105:Y2105,$N$4:$Y$4)*$K2105*$L2105*$M2105</f>
        <v/>
      </c>
      <c r="AD2105" s="15" t="n">
        <v>3</v>
      </c>
      <c r="AE2105" s="11" t="n">
        <v>1.011296296296296</v>
      </c>
      <c r="AF2105" s="16">
        <f>SUMPRODUCT(N2105:Y2105,$N$5:$Y$5)*$K2105*$L2105*$M2105</f>
        <v/>
      </c>
      <c r="AG2105" s="16">
        <f>SUMPRODUCT(N2105:Y2105,$N$6:$Y$6)*$K2105*$L2105*$M2105</f>
        <v/>
      </c>
      <c r="AH2105" s="20" t="n"/>
    </row>
    <row r="2106">
      <c r="A2106" s="9" t="n">
        <v>815795</v>
      </c>
      <c r="B2106" s="9" t="inlineStr">
        <is>
          <t>Junior Ciprian</t>
        </is>
      </c>
      <c r="C2106" s="9" t="inlineStr">
        <is>
          <t>ARI</t>
        </is>
      </c>
      <c r="D2106" s="9" t="n">
        <v>25</v>
      </c>
      <c r="E2106" s="18" t="inlineStr">
        <is>
          <t>R</t>
        </is>
      </c>
      <c r="F2106" s="18" t="n"/>
      <c r="G2106" s="9" t="n">
        <v>28.09333333333333</v>
      </c>
      <c r="H2106" s="9" t="n">
        <v>28.09333333333333</v>
      </c>
      <c r="I2106" s="9" t="inlineStr">
        <is>
          <t>Depth (no MLB IP)</t>
        </is>
      </c>
      <c r="J2106" s="18" t="inlineStr">
        <is>
          <t>Opening Day</t>
        </is>
      </c>
      <c r="K2106" s="11">
        <f>IFERROR(INDEX(Roles!$B$17:$B$20,MATCH(J2106,Roles!$A$17:$A$20,0)),1)</f>
        <v/>
      </c>
      <c r="L2106" s="19" t="n">
        <v>1</v>
      </c>
      <c r="M2106" s="11" t="n">
        <v>1</v>
      </c>
      <c r="N2106" s="19" t="n"/>
      <c r="O2106" s="19" t="n"/>
      <c r="P2106" s="19" t="n"/>
      <c r="Q2106" s="19" t="n"/>
      <c r="R2106" s="19" t="n"/>
      <c r="S2106" s="19" t="n"/>
      <c r="T2106" s="19" t="n"/>
      <c r="U2106" s="19" t="n"/>
      <c r="V2106" s="19" t="n"/>
      <c r="W2106" s="19" t="n"/>
      <c r="X2106" s="19" t="n"/>
      <c r="Y2106" s="19" t="n">
        <v>1</v>
      </c>
      <c r="Z2106" s="13">
        <f>SUMPRODUCT(N2106:Y2106,$N$2:$Y$2)*$K2106*$L2106*$M2106</f>
        <v/>
      </c>
      <c r="AA2106" s="14">
        <f>SUM(N2106:Y2106)</f>
        <v/>
      </c>
      <c r="AB2106" s="13">
        <f>SUMPRODUCT(N2106:Y2106,$N$3:$Y$3)*$K2106*$L2106*$M2106</f>
        <v/>
      </c>
      <c r="AC2106" s="13">
        <f>SUMPRODUCT(N2106:Y2106,$N$4:$Y$4)*$K2106*$L2106*$M2106</f>
        <v/>
      </c>
      <c r="AD2106" s="15" t="n">
        <v>3</v>
      </c>
      <c r="AE2106" s="11" t="n">
        <v>1.011296296296296</v>
      </c>
      <c r="AF2106" s="16">
        <f>SUMPRODUCT(N2106:Y2106,$N$5:$Y$5)*$K2106*$L2106*$M2106</f>
        <v/>
      </c>
      <c r="AG2106" s="16">
        <f>SUMPRODUCT(N2106:Y2106,$N$6:$Y$6)*$K2106*$L2106*$M2106</f>
        <v/>
      </c>
      <c r="AH2106" s="20" t="n"/>
    </row>
    <row r="2107">
      <c r="A2107" s="9" t="n">
        <v>800063</v>
      </c>
      <c r="B2107" s="9" t="inlineStr">
        <is>
          <t>Andrew Taylor</t>
        </is>
      </c>
      <c r="C2107" s="9" t="inlineStr">
        <is>
          <t>HOU</t>
        </is>
      </c>
      <c r="D2107" s="9" t="n">
        <v>25</v>
      </c>
      <c r="E2107" s="18" t="inlineStr">
        <is>
          <t>R</t>
        </is>
      </c>
      <c r="F2107" s="18" t="n"/>
      <c r="G2107" s="9" t="n">
        <v>28.09333333333333</v>
      </c>
      <c r="H2107" s="9" t="n">
        <v>28.09333333333333</v>
      </c>
      <c r="I2107" s="9" t="inlineStr">
        <is>
          <t>Depth (no MLB IP)</t>
        </is>
      </c>
      <c r="J2107" s="18" t="inlineStr">
        <is>
          <t>Opening Day</t>
        </is>
      </c>
      <c r="K2107" s="11">
        <f>IFERROR(INDEX(Roles!$B$17:$B$20,MATCH(J2107,Roles!$A$17:$A$20,0)),1)</f>
        <v/>
      </c>
      <c r="L2107" s="19" t="n">
        <v>1</v>
      </c>
      <c r="M2107" s="11" t="n">
        <v>1</v>
      </c>
      <c r="N2107" s="19" t="n"/>
      <c r="O2107" s="19" t="n"/>
      <c r="P2107" s="19" t="n"/>
      <c r="Q2107" s="19" t="n"/>
      <c r="R2107" s="19" t="n"/>
      <c r="S2107" s="19" t="n"/>
      <c r="T2107" s="19" t="n"/>
      <c r="U2107" s="19" t="n"/>
      <c r="V2107" s="19" t="n"/>
      <c r="W2107" s="19" t="n"/>
      <c r="X2107" s="19" t="n"/>
      <c r="Y2107" s="19" t="n">
        <v>1</v>
      </c>
      <c r="Z2107" s="13">
        <f>SUMPRODUCT(N2107:Y2107,$N$2:$Y$2)*$K2107*$L2107*$M2107</f>
        <v/>
      </c>
      <c r="AA2107" s="14">
        <f>SUM(N2107:Y2107)</f>
        <v/>
      </c>
      <c r="AB2107" s="13">
        <f>SUMPRODUCT(N2107:Y2107,$N$3:$Y$3)*$K2107*$L2107*$M2107</f>
        <v/>
      </c>
      <c r="AC2107" s="13">
        <f>SUMPRODUCT(N2107:Y2107,$N$4:$Y$4)*$K2107*$L2107*$M2107</f>
        <v/>
      </c>
      <c r="AD2107" s="15" t="n">
        <v>3</v>
      </c>
      <c r="AE2107" s="11" t="n">
        <v>1.011296296296296</v>
      </c>
      <c r="AF2107" s="16">
        <f>SUMPRODUCT(N2107:Y2107,$N$5:$Y$5)*$K2107*$L2107*$M2107</f>
        <v/>
      </c>
      <c r="AG2107" s="16">
        <f>SUMPRODUCT(N2107:Y2107,$N$6:$Y$6)*$K2107*$L2107*$M2107</f>
        <v/>
      </c>
      <c r="AH2107" s="20" t="n"/>
    </row>
    <row r="2108">
      <c r="A2108" s="9" t="n">
        <v>699695</v>
      </c>
      <c r="B2108" s="9" t="inlineStr">
        <is>
          <t>Gleiner Diaz</t>
        </is>
      </c>
      <c r="C2108" s="9" t="inlineStr">
        <is>
          <t>SEA</t>
        </is>
      </c>
      <c r="D2108" s="9" t="n">
        <v>25</v>
      </c>
      <c r="E2108" s="18" t="inlineStr">
        <is>
          <t>R</t>
        </is>
      </c>
      <c r="F2108" s="18" t="n"/>
      <c r="G2108" s="9" t="n">
        <v>28.20799999999999</v>
      </c>
      <c r="H2108" s="9" t="n">
        <v>28.20799999999999</v>
      </c>
      <c r="I2108" s="9" t="inlineStr">
        <is>
          <t>Depth (no MLB IP)</t>
        </is>
      </c>
      <c r="J2108" s="18" t="inlineStr">
        <is>
          <t>Opening Day</t>
        </is>
      </c>
      <c r="K2108" s="11">
        <f>IFERROR(INDEX(Roles!$B$17:$B$20,MATCH(J2108,Roles!$A$17:$A$20,0)),1)</f>
        <v/>
      </c>
      <c r="L2108" s="19" t="n">
        <v>1</v>
      </c>
      <c r="M2108" s="11" t="n">
        <v>1</v>
      </c>
      <c r="N2108" s="19" t="n"/>
      <c r="O2108" s="19" t="n"/>
      <c r="P2108" s="19" t="n"/>
      <c r="Q2108" s="19" t="n"/>
      <c r="R2108" s="19" t="n"/>
      <c r="S2108" s="19" t="n"/>
      <c r="T2108" s="19" t="n"/>
      <c r="U2108" s="19" t="n"/>
      <c r="V2108" s="19" t="n"/>
      <c r="W2108" s="19" t="n"/>
      <c r="X2108" s="19" t="n"/>
      <c r="Y2108" s="19" t="n">
        <v>1</v>
      </c>
      <c r="Z2108" s="13">
        <f>SUMPRODUCT(N2108:Y2108,$N$2:$Y$2)*$K2108*$L2108*$M2108</f>
        <v/>
      </c>
      <c r="AA2108" s="14">
        <f>SUM(N2108:Y2108)</f>
        <v/>
      </c>
      <c r="AB2108" s="13">
        <f>SUMPRODUCT(N2108:Y2108,$N$3:$Y$3)*$K2108*$L2108*$M2108</f>
        <v/>
      </c>
      <c r="AC2108" s="13">
        <f>SUMPRODUCT(N2108:Y2108,$N$4:$Y$4)*$K2108*$L2108*$M2108</f>
        <v/>
      </c>
      <c r="AD2108" s="15" t="n">
        <v>3</v>
      </c>
      <c r="AE2108" s="11" t="n">
        <v>1.011296296296296</v>
      </c>
      <c r="AF2108" s="16">
        <f>SUMPRODUCT(N2108:Y2108,$N$5:$Y$5)*$K2108*$L2108*$M2108</f>
        <v/>
      </c>
      <c r="AG2108" s="16">
        <f>SUMPRODUCT(N2108:Y2108,$N$6:$Y$6)*$K2108*$L2108*$M2108</f>
        <v/>
      </c>
      <c r="AH2108" s="20" t="n"/>
    </row>
    <row r="2109">
      <c r="A2109" s="9" t="n">
        <v>822824</v>
      </c>
      <c r="B2109" s="9" t="inlineStr">
        <is>
          <t>Cooper McGrath</t>
        </is>
      </c>
      <c r="C2109" s="9" t="inlineStr">
        <is>
          <t>SF</t>
        </is>
      </c>
      <c r="D2109" s="9" t="n">
        <v>25</v>
      </c>
      <c r="E2109" s="18" t="inlineStr">
        <is>
          <t>R</t>
        </is>
      </c>
      <c r="F2109" s="18" t="n"/>
      <c r="G2109" s="9" t="n">
        <v>28.20799999999999</v>
      </c>
      <c r="H2109" s="9" t="n">
        <v>28.20799999999999</v>
      </c>
      <c r="I2109" s="9" t="inlineStr">
        <is>
          <t>Depth (no MLB IP)</t>
        </is>
      </c>
      <c r="J2109" s="18" t="inlineStr">
        <is>
          <t>Opening Day</t>
        </is>
      </c>
      <c r="K2109" s="11">
        <f>IFERROR(INDEX(Roles!$B$17:$B$20,MATCH(J2109,Roles!$A$17:$A$20,0)),1)</f>
        <v/>
      </c>
      <c r="L2109" s="19" t="n">
        <v>1</v>
      </c>
      <c r="M2109" s="11" t="n">
        <v>1</v>
      </c>
      <c r="N2109" s="19" t="n"/>
      <c r="O2109" s="19" t="n"/>
      <c r="P2109" s="19" t="n"/>
      <c r="Q2109" s="19" t="n"/>
      <c r="R2109" s="19" t="n"/>
      <c r="S2109" s="19" t="n"/>
      <c r="T2109" s="19" t="n"/>
      <c r="U2109" s="19" t="n"/>
      <c r="V2109" s="19" t="n"/>
      <c r="W2109" s="19" t="n"/>
      <c r="X2109" s="19" t="n"/>
      <c r="Y2109" s="19" t="n">
        <v>1</v>
      </c>
      <c r="Z2109" s="13">
        <f>SUMPRODUCT(N2109:Y2109,$N$2:$Y$2)*$K2109*$L2109*$M2109</f>
        <v/>
      </c>
      <c r="AA2109" s="14">
        <f>SUM(N2109:Y2109)</f>
        <v/>
      </c>
      <c r="AB2109" s="13">
        <f>SUMPRODUCT(N2109:Y2109,$N$3:$Y$3)*$K2109*$L2109*$M2109</f>
        <v/>
      </c>
      <c r="AC2109" s="13">
        <f>SUMPRODUCT(N2109:Y2109,$N$4:$Y$4)*$K2109*$L2109*$M2109</f>
        <v/>
      </c>
      <c r="AD2109" s="15" t="n">
        <v>3</v>
      </c>
      <c r="AE2109" s="11" t="n">
        <v>1.011296296296296</v>
      </c>
      <c r="AF2109" s="16">
        <f>SUMPRODUCT(N2109:Y2109,$N$5:$Y$5)*$K2109*$L2109*$M2109</f>
        <v/>
      </c>
      <c r="AG2109" s="16">
        <f>SUMPRODUCT(N2109:Y2109,$N$6:$Y$6)*$K2109*$L2109*$M2109</f>
        <v/>
      </c>
      <c r="AH2109" s="20" t="n"/>
    </row>
    <row r="2110">
      <c r="A2110" s="9" t="n">
        <v>823748</v>
      </c>
      <c r="B2110" s="9" t="inlineStr">
        <is>
          <t>Garrett Hodges</t>
        </is>
      </c>
      <c r="C2110" s="9" t="inlineStr">
        <is>
          <t>MIL</t>
        </is>
      </c>
      <c r="D2110" s="9" t="n">
        <v>25</v>
      </c>
      <c r="E2110" s="18" t="inlineStr">
        <is>
          <t>R</t>
        </is>
      </c>
      <c r="F2110" s="18" t="n"/>
      <c r="G2110" s="9" t="n">
        <v>28.09333333333333</v>
      </c>
      <c r="H2110" s="9" t="n">
        <v>28.09333333333333</v>
      </c>
      <c r="I2110" s="9" t="inlineStr">
        <is>
          <t>Depth (no MLB IP)</t>
        </is>
      </c>
      <c r="J2110" s="18" t="inlineStr">
        <is>
          <t>Opening Day</t>
        </is>
      </c>
      <c r="K2110" s="11">
        <f>IFERROR(INDEX(Roles!$B$17:$B$20,MATCH(J2110,Roles!$A$17:$A$20,0)),1)</f>
        <v/>
      </c>
      <c r="L2110" s="19" t="n">
        <v>1</v>
      </c>
      <c r="M2110" s="11" t="n">
        <v>1</v>
      </c>
      <c r="N2110" s="19" t="n"/>
      <c r="O2110" s="19" t="n"/>
      <c r="P2110" s="19" t="n"/>
      <c r="Q2110" s="19" t="n"/>
      <c r="R2110" s="19" t="n"/>
      <c r="S2110" s="19" t="n"/>
      <c r="T2110" s="19" t="n"/>
      <c r="U2110" s="19" t="n"/>
      <c r="V2110" s="19" t="n"/>
      <c r="W2110" s="19" t="n"/>
      <c r="X2110" s="19" t="n"/>
      <c r="Y2110" s="19" t="n">
        <v>1</v>
      </c>
      <c r="Z2110" s="13">
        <f>SUMPRODUCT(N2110:Y2110,$N$2:$Y$2)*$K2110*$L2110*$M2110</f>
        <v/>
      </c>
      <c r="AA2110" s="14">
        <f>SUM(N2110:Y2110)</f>
        <v/>
      </c>
      <c r="AB2110" s="13">
        <f>SUMPRODUCT(N2110:Y2110,$N$3:$Y$3)*$K2110*$L2110*$M2110</f>
        <v/>
      </c>
      <c r="AC2110" s="13">
        <f>SUMPRODUCT(N2110:Y2110,$N$4:$Y$4)*$K2110*$L2110*$M2110</f>
        <v/>
      </c>
      <c r="AD2110" s="15" t="n">
        <v>3</v>
      </c>
      <c r="AE2110" s="11" t="n">
        <v>1.011296296296296</v>
      </c>
      <c r="AF2110" s="16">
        <f>SUMPRODUCT(N2110:Y2110,$N$5:$Y$5)*$K2110*$L2110*$M2110</f>
        <v/>
      </c>
      <c r="AG2110" s="16">
        <f>SUMPRODUCT(N2110:Y2110,$N$6:$Y$6)*$K2110*$L2110*$M2110</f>
        <v/>
      </c>
      <c r="AH2110" s="20" t="n"/>
    </row>
    <row r="2111">
      <c r="A2111" s="9" t="n">
        <v>676540</v>
      </c>
      <c r="B2111" s="9" t="inlineStr">
        <is>
          <t>Austin Marozas</t>
        </is>
      </c>
      <c r="C2111" s="9" t="inlineStr">
        <is>
          <t>TOR</t>
        </is>
      </c>
      <c r="D2111" s="9" t="n">
        <v>25</v>
      </c>
      <c r="E2111" s="18" t="inlineStr">
        <is>
          <t>R</t>
        </is>
      </c>
      <c r="F2111" s="18" t="n"/>
      <c r="G2111" s="9" t="n">
        <v>28.38</v>
      </c>
      <c r="H2111" s="9" t="n">
        <v>28.38</v>
      </c>
      <c r="I2111" s="9" t="inlineStr">
        <is>
          <t>Depth (no MLB IP)</t>
        </is>
      </c>
      <c r="J2111" s="18" t="inlineStr">
        <is>
          <t>Opening Day</t>
        </is>
      </c>
      <c r="K2111" s="11">
        <f>IFERROR(INDEX(Roles!$B$17:$B$20,MATCH(J2111,Roles!$A$17:$A$20,0)),1)</f>
        <v/>
      </c>
      <c r="L2111" s="19" t="n">
        <v>1</v>
      </c>
      <c r="M2111" s="11" t="n">
        <v>1</v>
      </c>
      <c r="N2111" s="19" t="n"/>
      <c r="O2111" s="19" t="n"/>
      <c r="P2111" s="19" t="n"/>
      <c r="Q2111" s="19" t="n"/>
      <c r="R2111" s="19" t="n"/>
      <c r="S2111" s="19" t="n"/>
      <c r="T2111" s="19" t="n"/>
      <c r="U2111" s="19" t="n"/>
      <c r="V2111" s="19" t="n"/>
      <c r="W2111" s="19" t="n"/>
      <c r="X2111" s="19" t="n"/>
      <c r="Y2111" s="19" t="n">
        <v>1</v>
      </c>
      <c r="Z2111" s="13">
        <f>SUMPRODUCT(N2111:Y2111,$N$2:$Y$2)*$K2111*$L2111*$M2111</f>
        <v/>
      </c>
      <c r="AA2111" s="14">
        <f>SUM(N2111:Y2111)</f>
        <v/>
      </c>
      <c r="AB2111" s="13">
        <f>SUMPRODUCT(N2111:Y2111,$N$3:$Y$3)*$K2111*$L2111*$M2111</f>
        <v/>
      </c>
      <c r="AC2111" s="13">
        <f>SUMPRODUCT(N2111:Y2111,$N$4:$Y$4)*$K2111*$L2111*$M2111</f>
        <v/>
      </c>
      <c r="AD2111" s="15" t="n">
        <v>3</v>
      </c>
      <c r="AE2111" s="11" t="n">
        <v>1.011296296296296</v>
      </c>
      <c r="AF2111" s="16">
        <f>SUMPRODUCT(N2111:Y2111,$N$5:$Y$5)*$K2111*$L2111*$M2111</f>
        <v/>
      </c>
      <c r="AG2111" s="16">
        <f>SUMPRODUCT(N2111:Y2111,$N$6:$Y$6)*$K2111*$L2111*$M2111</f>
        <v/>
      </c>
      <c r="AH2111" s="20" t="n"/>
    </row>
    <row r="2112">
      <c r="A2112" s="9" t="n">
        <v>812151</v>
      </c>
      <c r="B2112" s="9" t="inlineStr">
        <is>
          <t>Deivi Villafana</t>
        </is>
      </c>
      <c r="C2112" s="9" t="inlineStr">
        <is>
          <t>CIN</t>
        </is>
      </c>
      <c r="D2112" s="9" t="n">
        <v>25</v>
      </c>
      <c r="E2112" s="18" t="inlineStr">
        <is>
          <t>R</t>
        </is>
      </c>
      <c r="F2112" s="18" t="n"/>
      <c r="G2112" s="9" t="n">
        <v>28.38</v>
      </c>
      <c r="H2112" s="9" t="n">
        <v>28.38</v>
      </c>
      <c r="I2112" s="9" t="inlineStr">
        <is>
          <t>Depth (no MLB IP)</t>
        </is>
      </c>
      <c r="J2112" s="18" t="inlineStr">
        <is>
          <t>Opening Day</t>
        </is>
      </c>
      <c r="K2112" s="11">
        <f>IFERROR(INDEX(Roles!$B$17:$B$20,MATCH(J2112,Roles!$A$17:$A$20,0)),1)</f>
        <v/>
      </c>
      <c r="L2112" s="19" t="n">
        <v>1</v>
      </c>
      <c r="M2112" s="11" t="n">
        <v>1</v>
      </c>
      <c r="N2112" s="19" t="n"/>
      <c r="O2112" s="19" t="n"/>
      <c r="P2112" s="19" t="n"/>
      <c r="Q2112" s="19" t="n"/>
      <c r="R2112" s="19" t="n"/>
      <c r="S2112" s="19" t="n"/>
      <c r="T2112" s="19" t="n"/>
      <c r="U2112" s="19" t="n"/>
      <c r="V2112" s="19" t="n"/>
      <c r="W2112" s="19" t="n"/>
      <c r="X2112" s="19" t="n"/>
      <c r="Y2112" s="19" t="n">
        <v>1</v>
      </c>
      <c r="Z2112" s="13">
        <f>SUMPRODUCT(N2112:Y2112,$N$2:$Y$2)*$K2112*$L2112*$M2112</f>
        <v/>
      </c>
      <c r="AA2112" s="14">
        <f>SUM(N2112:Y2112)</f>
        <v/>
      </c>
      <c r="AB2112" s="13">
        <f>SUMPRODUCT(N2112:Y2112,$N$3:$Y$3)*$K2112*$L2112*$M2112</f>
        <v/>
      </c>
      <c r="AC2112" s="13">
        <f>SUMPRODUCT(N2112:Y2112,$N$4:$Y$4)*$K2112*$L2112*$M2112</f>
        <v/>
      </c>
      <c r="AD2112" s="15" t="n">
        <v>3</v>
      </c>
      <c r="AE2112" s="11" t="n">
        <v>1.011296296296296</v>
      </c>
      <c r="AF2112" s="16">
        <f>SUMPRODUCT(N2112:Y2112,$N$5:$Y$5)*$K2112*$L2112*$M2112</f>
        <v/>
      </c>
      <c r="AG2112" s="16">
        <f>SUMPRODUCT(N2112:Y2112,$N$6:$Y$6)*$K2112*$L2112*$M2112</f>
        <v/>
      </c>
      <c r="AH2112" s="20" t="n"/>
    </row>
    <row r="2113">
      <c r="A2113" s="9" t="n">
        <v>822956</v>
      </c>
      <c r="B2113" s="9" t="inlineStr">
        <is>
          <t>Jack Martinez</t>
        </is>
      </c>
      <c r="C2113" s="9" t="inlineStr">
        <is>
          <t>STL</t>
        </is>
      </c>
      <c r="D2113" s="9" t="n">
        <v>25</v>
      </c>
      <c r="E2113" s="18" t="inlineStr">
        <is>
          <t>R</t>
        </is>
      </c>
      <c r="F2113" s="18" t="n"/>
      <c r="G2113" s="9" t="n">
        <v>28.38</v>
      </c>
      <c r="H2113" s="9" t="n">
        <v>28.38</v>
      </c>
      <c r="I2113" s="9" t="inlineStr">
        <is>
          <t>Depth (no MLB IP)</t>
        </is>
      </c>
      <c r="J2113" s="18" t="inlineStr">
        <is>
          <t>Opening Day</t>
        </is>
      </c>
      <c r="K2113" s="11">
        <f>IFERROR(INDEX(Roles!$B$17:$B$20,MATCH(J2113,Roles!$A$17:$A$20,0)),1)</f>
        <v/>
      </c>
      <c r="L2113" s="19" t="n">
        <v>1</v>
      </c>
      <c r="M2113" s="11" t="n">
        <v>1</v>
      </c>
      <c r="N2113" s="19" t="n"/>
      <c r="O2113" s="19" t="n"/>
      <c r="P2113" s="19" t="n"/>
      <c r="Q2113" s="19" t="n"/>
      <c r="R2113" s="19" t="n"/>
      <c r="S2113" s="19" t="n"/>
      <c r="T2113" s="19" t="n"/>
      <c r="U2113" s="19" t="n"/>
      <c r="V2113" s="19" t="n"/>
      <c r="W2113" s="19" t="n"/>
      <c r="X2113" s="19" t="n"/>
      <c r="Y2113" s="19" t="n">
        <v>1</v>
      </c>
      <c r="Z2113" s="13">
        <f>SUMPRODUCT(N2113:Y2113,$N$2:$Y$2)*$K2113*$L2113*$M2113</f>
        <v/>
      </c>
      <c r="AA2113" s="14">
        <f>SUM(N2113:Y2113)</f>
        <v/>
      </c>
      <c r="AB2113" s="13">
        <f>SUMPRODUCT(N2113:Y2113,$N$3:$Y$3)*$K2113*$L2113*$M2113</f>
        <v/>
      </c>
      <c r="AC2113" s="13">
        <f>SUMPRODUCT(N2113:Y2113,$N$4:$Y$4)*$K2113*$L2113*$M2113</f>
        <v/>
      </c>
      <c r="AD2113" s="15" t="n">
        <v>3</v>
      </c>
      <c r="AE2113" s="11" t="n">
        <v>1.011296296296296</v>
      </c>
      <c r="AF2113" s="16">
        <f>SUMPRODUCT(N2113:Y2113,$N$5:$Y$5)*$K2113*$L2113*$M2113</f>
        <v/>
      </c>
      <c r="AG2113" s="16">
        <f>SUMPRODUCT(N2113:Y2113,$N$6:$Y$6)*$K2113*$L2113*$M2113</f>
        <v/>
      </c>
      <c r="AH2113" s="20" t="n"/>
    </row>
    <row r="2114">
      <c r="A2114" s="9" t="n">
        <v>687208</v>
      </c>
      <c r="B2114" s="9" t="inlineStr">
        <is>
          <t>Nathan Hickey</t>
        </is>
      </c>
      <c r="C2114" s="9" t="inlineStr">
        <is>
          <t>BOS</t>
        </is>
      </c>
      <c r="D2114" s="9" t="n">
        <v>25</v>
      </c>
      <c r="E2114" s="18" t="inlineStr">
        <is>
          <t>R</t>
        </is>
      </c>
      <c r="F2114" s="18" t="n"/>
      <c r="G2114" s="9" t="n">
        <v>28.38</v>
      </c>
      <c r="H2114" s="9" t="n">
        <v>28.38</v>
      </c>
      <c r="I2114" s="9" t="inlineStr">
        <is>
          <t>Depth (no MLB IP)</t>
        </is>
      </c>
      <c r="J2114" s="18" t="inlineStr">
        <is>
          <t>Opening Day</t>
        </is>
      </c>
      <c r="K2114" s="11">
        <f>IFERROR(INDEX(Roles!$B$17:$B$20,MATCH(J2114,Roles!$A$17:$A$20,0)),1)</f>
        <v/>
      </c>
      <c r="L2114" s="19" t="n">
        <v>1</v>
      </c>
      <c r="M2114" s="11" t="n">
        <v>1</v>
      </c>
      <c r="N2114" s="19" t="n"/>
      <c r="O2114" s="19" t="n"/>
      <c r="P2114" s="19" t="n"/>
      <c r="Q2114" s="19" t="n"/>
      <c r="R2114" s="19" t="n"/>
      <c r="S2114" s="19" t="n"/>
      <c r="T2114" s="19" t="n"/>
      <c r="U2114" s="19" t="n"/>
      <c r="V2114" s="19" t="n"/>
      <c r="W2114" s="19" t="n"/>
      <c r="X2114" s="19" t="n"/>
      <c r="Y2114" s="19" t="n">
        <v>1</v>
      </c>
      <c r="Z2114" s="13">
        <f>SUMPRODUCT(N2114:Y2114,$N$2:$Y$2)*$K2114*$L2114*$M2114</f>
        <v/>
      </c>
      <c r="AA2114" s="14">
        <f>SUM(N2114:Y2114)</f>
        <v/>
      </c>
      <c r="AB2114" s="13">
        <f>SUMPRODUCT(N2114:Y2114,$N$3:$Y$3)*$K2114*$L2114*$M2114</f>
        <v/>
      </c>
      <c r="AC2114" s="13">
        <f>SUMPRODUCT(N2114:Y2114,$N$4:$Y$4)*$K2114*$L2114*$M2114</f>
        <v/>
      </c>
      <c r="AD2114" s="15" t="n">
        <v>3</v>
      </c>
      <c r="AE2114" s="11" t="n">
        <v>1.011296296296296</v>
      </c>
      <c r="AF2114" s="16">
        <f>SUMPRODUCT(N2114:Y2114,$N$5:$Y$5)*$K2114*$L2114*$M2114</f>
        <v/>
      </c>
      <c r="AG2114" s="16">
        <f>SUMPRODUCT(N2114:Y2114,$N$6:$Y$6)*$K2114*$L2114*$M2114</f>
        <v/>
      </c>
      <c r="AH2114" s="20" t="n"/>
    </row>
    <row r="2115">
      <c r="A2115" s="9" t="n">
        <v>807748</v>
      </c>
      <c r="B2115" s="9" t="inlineStr">
        <is>
          <t>Kannon Kemp</t>
        </is>
      </c>
      <c r="C2115" s="9" t="inlineStr">
        <is>
          <t>SD</t>
        </is>
      </c>
      <c r="D2115" s="9" t="n">
        <v>25</v>
      </c>
      <c r="E2115" s="18" t="inlineStr">
        <is>
          <t>R</t>
        </is>
      </c>
      <c r="F2115" s="18" t="n"/>
      <c r="G2115" s="9" t="n">
        <v>28.38</v>
      </c>
      <c r="H2115" s="9" t="n">
        <v>28.38</v>
      </c>
      <c r="I2115" s="9" t="inlineStr">
        <is>
          <t>Depth (no MLB IP)</t>
        </is>
      </c>
      <c r="J2115" s="18" t="inlineStr">
        <is>
          <t>Opening Day</t>
        </is>
      </c>
      <c r="K2115" s="11">
        <f>IFERROR(INDEX(Roles!$B$17:$B$20,MATCH(J2115,Roles!$A$17:$A$20,0)),1)</f>
        <v/>
      </c>
      <c r="L2115" s="19" t="n">
        <v>1</v>
      </c>
      <c r="M2115" s="11" t="n">
        <v>1</v>
      </c>
      <c r="N2115" s="19" t="n"/>
      <c r="O2115" s="19" t="n"/>
      <c r="P2115" s="19" t="n"/>
      <c r="Q2115" s="19" t="n"/>
      <c r="R2115" s="19" t="n"/>
      <c r="S2115" s="19" t="n"/>
      <c r="T2115" s="19" t="n"/>
      <c r="U2115" s="19" t="n"/>
      <c r="V2115" s="19" t="n"/>
      <c r="W2115" s="19" t="n"/>
      <c r="X2115" s="19" t="n"/>
      <c r="Y2115" s="19" t="n">
        <v>1</v>
      </c>
      <c r="Z2115" s="13">
        <f>SUMPRODUCT(N2115:Y2115,$N$2:$Y$2)*$K2115*$L2115*$M2115</f>
        <v/>
      </c>
      <c r="AA2115" s="14">
        <f>SUM(N2115:Y2115)</f>
        <v/>
      </c>
      <c r="AB2115" s="13">
        <f>SUMPRODUCT(N2115:Y2115,$N$3:$Y$3)*$K2115*$L2115*$M2115</f>
        <v/>
      </c>
      <c r="AC2115" s="13">
        <f>SUMPRODUCT(N2115:Y2115,$N$4:$Y$4)*$K2115*$L2115*$M2115</f>
        <v/>
      </c>
      <c r="AD2115" s="15" t="n">
        <v>3</v>
      </c>
      <c r="AE2115" s="11" t="n">
        <v>1.011296296296296</v>
      </c>
      <c r="AF2115" s="16">
        <f>SUMPRODUCT(N2115:Y2115,$N$5:$Y$5)*$K2115*$L2115*$M2115</f>
        <v/>
      </c>
      <c r="AG2115" s="16">
        <f>SUMPRODUCT(N2115:Y2115,$N$6:$Y$6)*$K2115*$L2115*$M2115</f>
        <v/>
      </c>
      <c r="AH2115" s="20" t="n"/>
    </row>
    <row r="2116">
      <c r="A2116" s="9" t="n">
        <v>804546</v>
      </c>
      <c r="B2116" s="9" t="inlineStr">
        <is>
          <t>Hoss Brewer</t>
        </is>
      </c>
      <c r="C2116" s="9" t="inlineStr">
        <is>
          <t>NYM</t>
        </is>
      </c>
      <c r="D2116" s="9" t="n">
        <v>25</v>
      </c>
      <c r="E2116" s="18" t="inlineStr">
        <is>
          <t>R</t>
        </is>
      </c>
      <c r="F2116" s="18" t="n"/>
      <c r="G2116" s="9" t="n">
        <v>28.38</v>
      </c>
      <c r="H2116" s="9" t="n">
        <v>28.38</v>
      </c>
      <c r="I2116" s="9" t="inlineStr">
        <is>
          <t>Depth (no MLB IP)</t>
        </is>
      </c>
      <c r="J2116" s="18" t="inlineStr">
        <is>
          <t>Opening Day</t>
        </is>
      </c>
      <c r="K2116" s="11">
        <f>IFERROR(INDEX(Roles!$B$17:$B$20,MATCH(J2116,Roles!$A$17:$A$20,0)),1)</f>
        <v/>
      </c>
      <c r="L2116" s="19" t="n">
        <v>1</v>
      </c>
      <c r="M2116" s="11" t="n">
        <v>1</v>
      </c>
      <c r="N2116" s="19" t="n"/>
      <c r="O2116" s="19" t="n"/>
      <c r="P2116" s="19" t="n"/>
      <c r="Q2116" s="19" t="n"/>
      <c r="R2116" s="19" t="n"/>
      <c r="S2116" s="19" t="n"/>
      <c r="T2116" s="19" t="n"/>
      <c r="U2116" s="19" t="n"/>
      <c r="V2116" s="19" t="n"/>
      <c r="W2116" s="19" t="n"/>
      <c r="X2116" s="19" t="n"/>
      <c r="Y2116" s="19" t="n">
        <v>1</v>
      </c>
      <c r="Z2116" s="13">
        <f>SUMPRODUCT(N2116:Y2116,$N$2:$Y$2)*$K2116*$L2116*$M2116</f>
        <v/>
      </c>
      <c r="AA2116" s="14">
        <f>SUM(N2116:Y2116)</f>
        <v/>
      </c>
      <c r="AB2116" s="13">
        <f>SUMPRODUCT(N2116:Y2116,$N$3:$Y$3)*$K2116*$L2116*$M2116</f>
        <v/>
      </c>
      <c r="AC2116" s="13">
        <f>SUMPRODUCT(N2116:Y2116,$N$4:$Y$4)*$K2116*$L2116*$M2116</f>
        <v/>
      </c>
      <c r="AD2116" s="15" t="n">
        <v>3</v>
      </c>
      <c r="AE2116" s="11" t="n">
        <v>1.011296296296296</v>
      </c>
      <c r="AF2116" s="16">
        <f>SUMPRODUCT(N2116:Y2116,$N$5:$Y$5)*$K2116*$L2116*$M2116</f>
        <v/>
      </c>
      <c r="AG2116" s="16">
        <f>SUMPRODUCT(N2116:Y2116,$N$6:$Y$6)*$K2116*$L2116*$M2116</f>
        <v/>
      </c>
      <c r="AH2116" s="20" t="n"/>
    </row>
    <row r="2117">
      <c r="A2117" s="9" t="n">
        <v>694050</v>
      </c>
      <c r="B2117" s="9" t="inlineStr">
        <is>
          <t>Gabriel Reyes</t>
        </is>
      </c>
      <c r="C2117" s="9" t="inlineStr">
        <is>
          <t>DET</t>
        </is>
      </c>
      <c r="D2117" s="9" t="n">
        <v>25</v>
      </c>
      <c r="E2117" s="18" t="inlineStr">
        <is>
          <t>L</t>
        </is>
      </c>
      <c r="F2117" s="18" t="n"/>
      <c r="G2117" s="9" t="n">
        <v>28.38</v>
      </c>
      <c r="H2117" s="9" t="n">
        <v>28.38</v>
      </c>
      <c r="I2117" s="9" t="inlineStr">
        <is>
          <t>Depth (no MLB IP)</t>
        </is>
      </c>
      <c r="J2117" s="18" t="inlineStr">
        <is>
          <t>Opening Day</t>
        </is>
      </c>
      <c r="K2117" s="11">
        <f>IFERROR(INDEX(Roles!$B$17:$B$20,MATCH(J2117,Roles!$A$17:$A$20,0)),1)</f>
        <v/>
      </c>
      <c r="L2117" s="19" t="n">
        <v>1</v>
      </c>
      <c r="M2117" s="11" t="n">
        <v>1</v>
      </c>
      <c r="N2117" s="19" t="n"/>
      <c r="O2117" s="19" t="n"/>
      <c r="P2117" s="19" t="n"/>
      <c r="Q2117" s="19" t="n"/>
      <c r="R2117" s="19" t="n"/>
      <c r="S2117" s="19" t="n"/>
      <c r="T2117" s="19" t="n"/>
      <c r="U2117" s="19" t="n"/>
      <c r="V2117" s="19" t="n"/>
      <c r="W2117" s="19" t="n"/>
      <c r="X2117" s="19" t="n"/>
      <c r="Y2117" s="19" t="n">
        <v>1</v>
      </c>
      <c r="Z2117" s="13">
        <f>SUMPRODUCT(N2117:Y2117,$N$2:$Y$2)*$K2117*$L2117*$M2117</f>
        <v/>
      </c>
      <c r="AA2117" s="14">
        <f>SUM(N2117:Y2117)</f>
        <v/>
      </c>
      <c r="AB2117" s="13">
        <f>SUMPRODUCT(N2117:Y2117,$N$3:$Y$3)*$K2117*$L2117*$M2117</f>
        <v/>
      </c>
      <c r="AC2117" s="13">
        <f>SUMPRODUCT(N2117:Y2117,$N$4:$Y$4)*$K2117*$L2117*$M2117</f>
        <v/>
      </c>
      <c r="AD2117" s="15" t="n">
        <v>3</v>
      </c>
      <c r="AE2117" s="11" t="n">
        <v>1.011296296296296</v>
      </c>
      <c r="AF2117" s="16">
        <f>SUMPRODUCT(N2117:Y2117,$N$5:$Y$5)*$K2117*$L2117*$M2117</f>
        <v/>
      </c>
      <c r="AG2117" s="16">
        <f>SUMPRODUCT(N2117:Y2117,$N$6:$Y$6)*$K2117*$L2117*$M2117</f>
        <v/>
      </c>
      <c r="AH2117" s="20" t="n"/>
    </row>
    <row r="2118">
      <c r="A2118" s="9" t="n">
        <v>675296</v>
      </c>
      <c r="B2118" s="9" t="inlineStr">
        <is>
          <t>Hayden Merda</t>
        </is>
      </c>
      <c r="C2118" s="9" t="inlineStr">
        <is>
          <t>NYY</t>
        </is>
      </c>
      <c r="D2118" s="9" t="n">
        <v>25</v>
      </c>
      <c r="E2118" s="18" t="inlineStr">
        <is>
          <t>R</t>
        </is>
      </c>
      <c r="F2118" s="18" t="n"/>
      <c r="G2118" s="9" t="n">
        <v>28.38</v>
      </c>
      <c r="H2118" s="9" t="n">
        <v>28.38</v>
      </c>
      <c r="I2118" s="9" t="inlineStr">
        <is>
          <t>Depth (no MLB IP)</t>
        </is>
      </c>
      <c r="J2118" s="18" t="inlineStr">
        <is>
          <t>Opening Day</t>
        </is>
      </c>
      <c r="K2118" s="11">
        <f>IFERROR(INDEX(Roles!$B$17:$B$20,MATCH(J2118,Roles!$A$17:$A$20,0)),1)</f>
        <v/>
      </c>
      <c r="L2118" s="19" t="n">
        <v>1</v>
      </c>
      <c r="M2118" s="11" t="n">
        <v>1</v>
      </c>
      <c r="N2118" s="19" t="n"/>
      <c r="O2118" s="19" t="n"/>
      <c r="P2118" s="19" t="n"/>
      <c r="Q2118" s="19" t="n"/>
      <c r="R2118" s="19" t="n"/>
      <c r="S2118" s="19" t="n"/>
      <c r="T2118" s="19" t="n"/>
      <c r="U2118" s="19" t="n"/>
      <c r="V2118" s="19" t="n"/>
      <c r="W2118" s="19" t="n"/>
      <c r="X2118" s="19" t="n"/>
      <c r="Y2118" s="19" t="n">
        <v>1</v>
      </c>
      <c r="Z2118" s="13">
        <f>SUMPRODUCT(N2118:Y2118,$N$2:$Y$2)*$K2118*$L2118*$M2118</f>
        <v/>
      </c>
      <c r="AA2118" s="14">
        <f>SUM(N2118:Y2118)</f>
        <v/>
      </c>
      <c r="AB2118" s="13">
        <f>SUMPRODUCT(N2118:Y2118,$N$3:$Y$3)*$K2118*$L2118*$M2118</f>
        <v/>
      </c>
      <c r="AC2118" s="13">
        <f>SUMPRODUCT(N2118:Y2118,$N$4:$Y$4)*$K2118*$L2118*$M2118</f>
        <v/>
      </c>
      <c r="AD2118" s="15" t="n">
        <v>3</v>
      </c>
      <c r="AE2118" s="11" t="n">
        <v>1.011296296296296</v>
      </c>
      <c r="AF2118" s="16">
        <f>SUMPRODUCT(N2118:Y2118,$N$5:$Y$5)*$K2118*$L2118*$M2118</f>
        <v/>
      </c>
      <c r="AG2118" s="16">
        <f>SUMPRODUCT(N2118:Y2118,$N$6:$Y$6)*$K2118*$L2118*$M2118</f>
        <v/>
      </c>
      <c r="AH2118" s="20" t="n"/>
    </row>
    <row r="2119">
      <c r="A2119" s="9" t="n">
        <v>700413</v>
      </c>
      <c r="B2119" s="9" t="inlineStr">
        <is>
          <t>Tyler Uberstine</t>
        </is>
      </c>
      <c r="C2119" s="9" t="inlineStr">
        <is>
          <t>BOS</t>
        </is>
      </c>
      <c r="D2119" s="9" t="n">
        <v>28</v>
      </c>
      <c r="E2119" s="18" t="inlineStr">
        <is>
          <t>R</t>
        </is>
      </c>
      <c r="F2119" s="18" t="n"/>
      <c r="G2119" s="9" t="n">
        <v>11</v>
      </c>
      <c r="H2119" s="9" t="n">
        <v>11</v>
      </c>
      <c r="I2119" s="9" t="inlineStr">
        <is>
          <t>Depth (no MLB IP)</t>
        </is>
      </c>
      <c r="J2119" s="18" t="inlineStr">
        <is>
          <t>Opening Day</t>
        </is>
      </c>
      <c r="K2119" s="11">
        <f>IFERROR(INDEX(Roles!$B$17:$B$20,MATCH(J2119,Roles!$A$17:$A$20,0)),1)</f>
        <v/>
      </c>
      <c r="L2119" s="19" t="n">
        <v>1</v>
      </c>
      <c r="M2119" s="11" t="n">
        <v>1</v>
      </c>
      <c r="N2119" s="19" t="n"/>
      <c r="O2119" s="19" t="n"/>
      <c r="P2119" s="19" t="n"/>
      <c r="Q2119" s="19" t="n"/>
      <c r="R2119" s="19" t="n"/>
      <c r="S2119" s="19" t="n"/>
      <c r="T2119" s="19" t="n"/>
      <c r="U2119" s="19" t="n"/>
      <c r="V2119" s="19" t="n"/>
      <c r="W2119" s="19" t="n"/>
      <c r="X2119" s="19" t="n"/>
      <c r="Y2119" s="19" t="n">
        <v>1</v>
      </c>
      <c r="Z2119" s="13">
        <f>SUMPRODUCT(N2119:Y2119,$N$2:$Y$2)*$K2119*$L2119*$M2119</f>
        <v/>
      </c>
      <c r="AA2119" s="14">
        <f>SUM(N2119:Y2119)</f>
        <v/>
      </c>
      <c r="AB2119" s="13">
        <f>SUMPRODUCT(N2119:Y2119,$N$3:$Y$3)*$K2119*$L2119*$M2119</f>
        <v/>
      </c>
      <c r="AC2119" s="13">
        <f>SUMPRODUCT(N2119:Y2119,$N$4:$Y$4)*$K2119*$L2119*$M2119</f>
        <v/>
      </c>
      <c r="AD2119" s="15" t="n">
        <v>1.8</v>
      </c>
      <c r="AE2119" s="11" t="n">
        <v>1.563086419753086</v>
      </c>
      <c r="AF2119" s="16">
        <f>SUMPRODUCT(N2119:Y2119,$N$5:$Y$5)*$K2119*$L2119*$M2119</f>
        <v/>
      </c>
      <c r="AG2119" s="16">
        <f>SUMPRODUCT(N2119:Y2119,$N$6:$Y$6)*$K2119*$L2119*$M2119</f>
        <v/>
      </c>
      <c r="AH2119" s="20" t="n"/>
    </row>
    <row r="2120">
      <c r="A2120" s="9" t="n">
        <v>815322</v>
      </c>
      <c r="B2120" s="9" t="inlineStr">
        <is>
          <t>Kai Peterson</t>
        </is>
      </c>
      <c r="C2120" s="9" t="inlineStr">
        <is>
          <t>TOR</t>
        </is>
      </c>
      <c r="D2120" s="9" t="n">
        <v>25</v>
      </c>
      <c r="E2120" s="18" t="inlineStr">
        <is>
          <t>L</t>
        </is>
      </c>
      <c r="F2120" s="18" t="n"/>
      <c r="G2120" s="9" t="n">
        <v>28.595</v>
      </c>
      <c r="H2120" s="9" t="n">
        <v>28.595</v>
      </c>
      <c r="I2120" s="9" t="inlineStr">
        <is>
          <t>Depth (no MLB IP)</t>
        </is>
      </c>
      <c r="J2120" s="18" t="inlineStr">
        <is>
          <t>Opening Day</t>
        </is>
      </c>
      <c r="K2120" s="11">
        <f>IFERROR(INDEX(Roles!$B$17:$B$20,MATCH(J2120,Roles!$A$17:$A$20,0)),1)</f>
        <v/>
      </c>
      <c r="L2120" s="19" t="n">
        <v>1</v>
      </c>
      <c r="M2120" s="11" t="n">
        <v>1</v>
      </c>
      <c r="N2120" s="19" t="n"/>
      <c r="O2120" s="19" t="n"/>
      <c r="P2120" s="19" t="n"/>
      <c r="Q2120" s="19" t="n"/>
      <c r="R2120" s="19" t="n"/>
      <c r="S2120" s="19" t="n"/>
      <c r="T2120" s="19" t="n"/>
      <c r="U2120" s="19" t="n"/>
      <c r="V2120" s="19" t="n"/>
      <c r="W2120" s="19" t="n"/>
      <c r="X2120" s="19" t="n"/>
      <c r="Y2120" s="19" t="n">
        <v>1</v>
      </c>
      <c r="Z2120" s="13">
        <f>SUMPRODUCT(N2120:Y2120,$N$2:$Y$2)*$K2120*$L2120*$M2120</f>
        <v/>
      </c>
      <c r="AA2120" s="14">
        <f>SUM(N2120:Y2120)</f>
        <v/>
      </c>
      <c r="AB2120" s="13">
        <f>SUMPRODUCT(N2120:Y2120,$N$3:$Y$3)*$K2120*$L2120*$M2120</f>
        <v/>
      </c>
      <c r="AC2120" s="13">
        <f>SUMPRODUCT(N2120:Y2120,$N$4:$Y$4)*$K2120*$L2120*$M2120</f>
        <v/>
      </c>
      <c r="AD2120" s="15" t="n">
        <v>3</v>
      </c>
      <c r="AE2120" s="11" t="n">
        <v>1.011296296296296</v>
      </c>
      <c r="AF2120" s="16">
        <f>SUMPRODUCT(N2120:Y2120,$N$5:$Y$5)*$K2120*$L2120*$M2120</f>
        <v/>
      </c>
      <c r="AG2120" s="16">
        <f>SUMPRODUCT(N2120:Y2120,$N$6:$Y$6)*$K2120*$L2120*$M2120</f>
        <v/>
      </c>
      <c r="AH2120" s="20" t="n"/>
    </row>
    <row r="2121">
      <c r="A2121" s="9" t="n">
        <v>701793</v>
      </c>
      <c r="B2121" s="9" t="inlineStr">
        <is>
          <t>Rocco Reid</t>
        </is>
      </c>
      <c r="C2121" s="9" t="inlineStr">
        <is>
          <t>ARI</t>
        </is>
      </c>
      <c r="D2121" s="9" t="n">
        <v>25</v>
      </c>
      <c r="E2121" s="18" t="inlineStr">
        <is>
          <t>L</t>
        </is>
      </c>
      <c r="F2121" s="18" t="n"/>
      <c r="G2121" s="9" t="n">
        <v>28.66666666666667</v>
      </c>
      <c r="H2121" s="9" t="n">
        <v>28.66666666666667</v>
      </c>
      <c r="I2121" s="9" t="inlineStr">
        <is>
          <t>Depth (no MLB IP)</t>
        </is>
      </c>
      <c r="J2121" s="18" t="inlineStr">
        <is>
          <t>Opening Day</t>
        </is>
      </c>
      <c r="K2121" s="11">
        <f>IFERROR(INDEX(Roles!$B$17:$B$20,MATCH(J2121,Roles!$A$17:$A$20,0)),1)</f>
        <v/>
      </c>
      <c r="L2121" s="19" t="n">
        <v>1</v>
      </c>
      <c r="M2121" s="11" t="n">
        <v>1</v>
      </c>
      <c r="N2121" s="19" t="n"/>
      <c r="O2121" s="19" t="n"/>
      <c r="P2121" s="19" t="n"/>
      <c r="Q2121" s="19" t="n"/>
      <c r="R2121" s="19" t="n"/>
      <c r="S2121" s="19" t="n"/>
      <c r="T2121" s="19" t="n"/>
      <c r="U2121" s="19" t="n"/>
      <c r="V2121" s="19" t="n"/>
      <c r="W2121" s="19" t="n"/>
      <c r="X2121" s="19" t="n"/>
      <c r="Y2121" s="19" t="n">
        <v>1</v>
      </c>
      <c r="Z2121" s="13">
        <f>SUMPRODUCT(N2121:Y2121,$N$2:$Y$2)*$K2121*$L2121*$M2121</f>
        <v/>
      </c>
      <c r="AA2121" s="14">
        <f>SUM(N2121:Y2121)</f>
        <v/>
      </c>
      <c r="AB2121" s="13">
        <f>SUMPRODUCT(N2121:Y2121,$N$3:$Y$3)*$K2121*$L2121*$M2121</f>
        <v/>
      </c>
      <c r="AC2121" s="13">
        <f>SUMPRODUCT(N2121:Y2121,$N$4:$Y$4)*$K2121*$L2121*$M2121</f>
        <v/>
      </c>
      <c r="AD2121" s="15" t="n">
        <v>3</v>
      </c>
      <c r="AE2121" s="11" t="n">
        <v>1.011296296296296</v>
      </c>
      <c r="AF2121" s="16">
        <f>SUMPRODUCT(N2121:Y2121,$N$5:$Y$5)*$K2121*$L2121*$M2121</f>
        <v/>
      </c>
      <c r="AG2121" s="16">
        <f>SUMPRODUCT(N2121:Y2121,$N$6:$Y$6)*$K2121*$L2121*$M2121</f>
        <v/>
      </c>
      <c r="AH2121" s="20" t="n"/>
    </row>
    <row r="2122">
      <c r="A2122" s="9" t="n">
        <v>663977</v>
      </c>
      <c r="B2122" s="9" t="inlineStr">
        <is>
          <t>Jake Higginbotham</t>
        </is>
      </c>
      <c r="C2122" s="9" t="inlineStr">
        <is>
          <t>MIN</t>
        </is>
      </c>
      <c r="D2122" s="9" t="n">
        <v>25</v>
      </c>
      <c r="E2122" s="18" t="inlineStr">
        <is>
          <t>L</t>
        </is>
      </c>
      <c r="F2122" s="18" t="n"/>
      <c r="G2122" s="9" t="n">
        <v>28.38</v>
      </c>
      <c r="H2122" s="9" t="n">
        <v>28.38</v>
      </c>
      <c r="I2122" s="9" t="inlineStr">
        <is>
          <t>Depth (no MLB IP)</t>
        </is>
      </c>
      <c r="J2122" s="18" t="inlineStr">
        <is>
          <t>Opening Day</t>
        </is>
      </c>
      <c r="K2122" s="11">
        <f>IFERROR(INDEX(Roles!$B$17:$B$20,MATCH(J2122,Roles!$A$17:$A$20,0)),1)</f>
        <v/>
      </c>
      <c r="L2122" s="19" t="n">
        <v>1</v>
      </c>
      <c r="M2122" s="11" t="n">
        <v>1</v>
      </c>
      <c r="N2122" s="19" t="n"/>
      <c r="O2122" s="19" t="n"/>
      <c r="P2122" s="19" t="n"/>
      <c r="Q2122" s="19" t="n"/>
      <c r="R2122" s="19" t="n"/>
      <c r="S2122" s="19" t="n"/>
      <c r="T2122" s="19" t="n"/>
      <c r="U2122" s="19" t="n"/>
      <c r="V2122" s="19" t="n"/>
      <c r="W2122" s="19" t="n"/>
      <c r="X2122" s="19" t="n"/>
      <c r="Y2122" s="19" t="n">
        <v>1</v>
      </c>
      <c r="Z2122" s="13">
        <f>SUMPRODUCT(N2122:Y2122,$N$2:$Y$2)*$K2122*$L2122*$M2122</f>
        <v/>
      </c>
      <c r="AA2122" s="14">
        <f>SUM(N2122:Y2122)</f>
        <v/>
      </c>
      <c r="AB2122" s="13">
        <f>SUMPRODUCT(N2122:Y2122,$N$3:$Y$3)*$K2122*$L2122*$M2122</f>
        <v/>
      </c>
      <c r="AC2122" s="13">
        <f>SUMPRODUCT(N2122:Y2122,$N$4:$Y$4)*$K2122*$L2122*$M2122</f>
        <v/>
      </c>
      <c r="AD2122" s="15" t="n">
        <v>3</v>
      </c>
      <c r="AE2122" s="11" t="n">
        <v>1.011296296296296</v>
      </c>
      <c r="AF2122" s="16">
        <f>SUMPRODUCT(N2122:Y2122,$N$5:$Y$5)*$K2122*$L2122*$M2122</f>
        <v/>
      </c>
      <c r="AG2122" s="16">
        <f>SUMPRODUCT(N2122:Y2122,$N$6:$Y$6)*$K2122*$L2122*$M2122</f>
        <v/>
      </c>
      <c r="AH2122" s="20" t="n"/>
    </row>
    <row r="2123">
      <c r="A2123" s="9" t="n">
        <v>822459</v>
      </c>
      <c r="B2123" s="9" t="inlineStr">
        <is>
          <t>Matthew Watson</t>
        </is>
      </c>
      <c r="C2123" s="9" t="inlineStr">
        <is>
          <t>SD</t>
        </is>
      </c>
      <c r="D2123" s="9" t="n">
        <v>25</v>
      </c>
      <c r="E2123" s="18" t="inlineStr">
        <is>
          <t>R</t>
        </is>
      </c>
      <c r="F2123" s="18" t="n"/>
      <c r="G2123" s="9" t="n">
        <v>28.595</v>
      </c>
      <c r="H2123" s="9" t="n">
        <v>28.595</v>
      </c>
      <c r="I2123" s="9" t="inlineStr">
        <is>
          <t>Depth (no MLB IP)</t>
        </is>
      </c>
      <c r="J2123" s="18" t="inlineStr">
        <is>
          <t>Opening Day</t>
        </is>
      </c>
      <c r="K2123" s="11">
        <f>IFERROR(INDEX(Roles!$B$17:$B$20,MATCH(J2123,Roles!$A$17:$A$20,0)),1)</f>
        <v/>
      </c>
      <c r="L2123" s="19" t="n">
        <v>1</v>
      </c>
      <c r="M2123" s="11" t="n">
        <v>1</v>
      </c>
      <c r="N2123" s="19" t="n"/>
      <c r="O2123" s="19" t="n"/>
      <c r="P2123" s="19" t="n"/>
      <c r="Q2123" s="19" t="n"/>
      <c r="R2123" s="19" t="n"/>
      <c r="S2123" s="19" t="n"/>
      <c r="T2123" s="19" t="n"/>
      <c r="U2123" s="19" t="n"/>
      <c r="V2123" s="19" t="n"/>
      <c r="W2123" s="19" t="n"/>
      <c r="X2123" s="19" t="n"/>
      <c r="Y2123" s="19" t="n">
        <v>1</v>
      </c>
      <c r="Z2123" s="13">
        <f>SUMPRODUCT(N2123:Y2123,$N$2:$Y$2)*$K2123*$L2123*$M2123</f>
        <v/>
      </c>
      <c r="AA2123" s="14">
        <f>SUM(N2123:Y2123)</f>
        <v/>
      </c>
      <c r="AB2123" s="13">
        <f>SUMPRODUCT(N2123:Y2123,$N$3:$Y$3)*$K2123*$L2123*$M2123</f>
        <v/>
      </c>
      <c r="AC2123" s="13">
        <f>SUMPRODUCT(N2123:Y2123,$N$4:$Y$4)*$K2123*$L2123*$M2123</f>
        <v/>
      </c>
      <c r="AD2123" s="15" t="n">
        <v>3</v>
      </c>
      <c r="AE2123" s="11" t="n">
        <v>1.011296296296296</v>
      </c>
      <c r="AF2123" s="16">
        <f>SUMPRODUCT(N2123:Y2123,$N$5:$Y$5)*$K2123*$L2123*$M2123</f>
        <v/>
      </c>
      <c r="AG2123" s="16">
        <f>SUMPRODUCT(N2123:Y2123,$N$6:$Y$6)*$K2123*$L2123*$M2123</f>
        <v/>
      </c>
      <c r="AH2123" s="20" t="n"/>
    </row>
    <row r="2124">
      <c r="A2124" s="9" t="n">
        <v>677352</v>
      </c>
      <c r="B2124" s="9" t="inlineStr">
        <is>
          <t>Chase Watkins</t>
        </is>
      </c>
      <c r="C2124" s="9" t="inlineStr">
        <is>
          <t>CWS</t>
        </is>
      </c>
      <c r="D2124" s="9" t="n">
        <v>25</v>
      </c>
      <c r="E2124" s="18" t="inlineStr">
        <is>
          <t>L</t>
        </is>
      </c>
      <c r="F2124" s="18" t="n"/>
      <c r="G2124" s="9" t="n">
        <v>28.595</v>
      </c>
      <c r="H2124" s="9" t="n">
        <v>28.595</v>
      </c>
      <c r="I2124" s="9" t="inlineStr">
        <is>
          <t>Depth (no MLB IP)</t>
        </is>
      </c>
      <c r="J2124" s="18" t="inlineStr">
        <is>
          <t>Opening Day</t>
        </is>
      </c>
      <c r="K2124" s="11">
        <f>IFERROR(INDEX(Roles!$B$17:$B$20,MATCH(J2124,Roles!$A$17:$A$20,0)),1)</f>
        <v/>
      </c>
      <c r="L2124" s="19" t="n">
        <v>1</v>
      </c>
      <c r="M2124" s="11" t="n">
        <v>1</v>
      </c>
      <c r="N2124" s="19" t="n"/>
      <c r="O2124" s="19" t="n"/>
      <c r="P2124" s="19" t="n"/>
      <c r="Q2124" s="19" t="n"/>
      <c r="R2124" s="19" t="n"/>
      <c r="S2124" s="19" t="n"/>
      <c r="T2124" s="19" t="n"/>
      <c r="U2124" s="19" t="n"/>
      <c r="V2124" s="19" t="n"/>
      <c r="W2124" s="19" t="n"/>
      <c r="X2124" s="19" t="n"/>
      <c r="Y2124" s="19" t="n">
        <v>1</v>
      </c>
      <c r="Z2124" s="13">
        <f>SUMPRODUCT(N2124:Y2124,$N$2:$Y$2)*$K2124*$L2124*$M2124</f>
        <v/>
      </c>
      <c r="AA2124" s="14">
        <f>SUM(N2124:Y2124)</f>
        <v/>
      </c>
      <c r="AB2124" s="13">
        <f>SUMPRODUCT(N2124:Y2124,$N$3:$Y$3)*$K2124*$L2124*$M2124</f>
        <v/>
      </c>
      <c r="AC2124" s="13">
        <f>SUMPRODUCT(N2124:Y2124,$N$4:$Y$4)*$K2124*$L2124*$M2124</f>
        <v/>
      </c>
      <c r="AD2124" s="15" t="n">
        <v>3</v>
      </c>
      <c r="AE2124" s="11" t="n">
        <v>1.011296296296296</v>
      </c>
      <c r="AF2124" s="16">
        <f>SUMPRODUCT(N2124:Y2124,$N$5:$Y$5)*$K2124*$L2124*$M2124</f>
        <v/>
      </c>
      <c r="AG2124" s="16">
        <f>SUMPRODUCT(N2124:Y2124,$N$6:$Y$6)*$K2124*$L2124*$M2124</f>
        <v/>
      </c>
      <c r="AH2124" s="20" t="n"/>
    </row>
    <row r="2125">
      <c r="A2125" s="9" t="n">
        <v>805379</v>
      </c>
      <c r="B2125" s="9" t="inlineStr">
        <is>
          <t>Robby Porco</t>
        </is>
      </c>
      <c r="C2125" s="9" t="inlineStr">
        <is>
          <t>LAD</t>
        </is>
      </c>
      <c r="D2125" s="9" t="n">
        <v>25</v>
      </c>
      <c r="E2125" s="18" t="inlineStr">
        <is>
          <t>R</t>
        </is>
      </c>
      <c r="F2125" s="18" t="n"/>
      <c r="G2125" s="9" t="n">
        <v>28.95333333333333</v>
      </c>
      <c r="H2125" s="9" t="n">
        <v>28.95333333333333</v>
      </c>
      <c r="I2125" s="9" t="inlineStr">
        <is>
          <t>Depth (no MLB IP)</t>
        </is>
      </c>
      <c r="J2125" s="18" t="inlineStr">
        <is>
          <t>Opening Day</t>
        </is>
      </c>
      <c r="K2125" s="11">
        <f>IFERROR(INDEX(Roles!$B$17:$B$20,MATCH(J2125,Roles!$A$17:$A$20,0)),1)</f>
        <v/>
      </c>
      <c r="L2125" s="19" t="n">
        <v>1</v>
      </c>
      <c r="M2125" s="11" t="n">
        <v>1</v>
      </c>
      <c r="N2125" s="19" t="n"/>
      <c r="O2125" s="19" t="n"/>
      <c r="P2125" s="19" t="n"/>
      <c r="Q2125" s="19" t="n"/>
      <c r="R2125" s="19" t="n"/>
      <c r="S2125" s="19" t="n"/>
      <c r="T2125" s="19" t="n"/>
      <c r="U2125" s="19" t="n"/>
      <c r="V2125" s="19" t="n"/>
      <c r="W2125" s="19" t="n"/>
      <c r="X2125" s="19" t="n"/>
      <c r="Y2125" s="19" t="n">
        <v>1</v>
      </c>
      <c r="Z2125" s="13">
        <f>SUMPRODUCT(N2125:Y2125,$N$2:$Y$2)*$K2125*$L2125*$M2125</f>
        <v/>
      </c>
      <c r="AA2125" s="14">
        <f>SUM(N2125:Y2125)</f>
        <v/>
      </c>
      <c r="AB2125" s="13">
        <f>SUMPRODUCT(N2125:Y2125,$N$3:$Y$3)*$K2125*$L2125*$M2125</f>
        <v/>
      </c>
      <c r="AC2125" s="13">
        <f>SUMPRODUCT(N2125:Y2125,$N$4:$Y$4)*$K2125*$L2125*$M2125</f>
        <v/>
      </c>
      <c r="AD2125" s="15" t="n">
        <v>3</v>
      </c>
      <c r="AE2125" s="11" t="n">
        <v>1.011296296296296</v>
      </c>
      <c r="AF2125" s="16">
        <f>SUMPRODUCT(N2125:Y2125,$N$5:$Y$5)*$K2125*$L2125*$M2125</f>
        <v/>
      </c>
      <c r="AG2125" s="16">
        <f>SUMPRODUCT(N2125:Y2125,$N$6:$Y$6)*$K2125*$L2125*$M2125</f>
        <v/>
      </c>
      <c r="AH2125" s="20" t="n"/>
    </row>
    <row r="2126">
      <c r="A2126" s="9" t="n">
        <v>702649</v>
      </c>
      <c r="B2126" s="9" t="inlineStr">
        <is>
          <t>Logan Forsythe</t>
        </is>
      </c>
      <c r="C2126" s="9" t="inlineStr">
        <is>
          <t>ATL</t>
        </is>
      </c>
      <c r="D2126" s="9" t="n">
        <v>25</v>
      </c>
      <c r="E2126" s="18" t="inlineStr">
        <is>
          <t>R</t>
        </is>
      </c>
      <c r="F2126" s="18" t="n"/>
      <c r="G2126" s="9" t="n">
        <v>28.896</v>
      </c>
      <c r="H2126" s="9" t="n">
        <v>28.896</v>
      </c>
      <c r="I2126" s="9" t="inlineStr">
        <is>
          <t>Depth (no MLB IP)</t>
        </is>
      </c>
      <c r="J2126" s="18" t="inlineStr">
        <is>
          <t>Opening Day</t>
        </is>
      </c>
      <c r="K2126" s="11">
        <f>IFERROR(INDEX(Roles!$B$17:$B$20,MATCH(J2126,Roles!$A$17:$A$20,0)),1)</f>
        <v/>
      </c>
      <c r="L2126" s="19" t="n">
        <v>1</v>
      </c>
      <c r="M2126" s="11" t="n">
        <v>1</v>
      </c>
      <c r="N2126" s="19" t="n"/>
      <c r="O2126" s="19" t="n"/>
      <c r="P2126" s="19" t="n"/>
      <c r="Q2126" s="19" t="n"/>
      <c r="R2126" s="19" t="n"/>
      <c r="S2126" s="19" t="n"/>
      <c r="T2126" s="19" t="n"/>
      <c r="U2126" s="19" t="n"/>
      <c r="V2126" s="19" t="n"/>
      <c r="W2126" s="19" t="n"/>
      <c r="X2126" s="19" t="n"/>
      <c r="Y2126" s="19" t="n">
        <v>1</v>
      </c>
      <c r="Z2126" s="13">
        <f>SUMPRODUCT(N2126:Y2126,$N$2:$Y$2)*$K2126*$L2126*$M2126</f>
        <v/>
      </c>
      <c r="AA2126" s="14">
        <f>SUM(N2126:Y2126)</f>
        <v/>
      </c>
      <c r="AB2126" s="13">
        <f>SUMPRODUCT(N2126:Y2126,$N$3:$Y$3)*$K2126*$L2126*$M2126</f>
        <v/>
      </c>
      <c r="AC2126" s="13">
        <f>SUMPRODUCT(N2126:Y2126,$N$4:$Y$4)*$K2126*$L2126*$M2126</f>
        <v/>
      </c>
      <c r="AD2126" s="15" t="n">
        <v>3</v>
      </c>
      <c r="AE2126" s="11" t="n">
        <v>1.011296296296296</v>
      </c>
      <c r="AF2126" s="16">
        <f>SUMPRODUCT(N2126:Y2126,$N$5:$Y$5)*$K2126*$L2126*$M2126</f>
        <v/>
      </c>
      <c r="AG2126" s="16">
        <f>SUMPRODUCT(N2126:Y2126,$N$6:$Y$6)*$K2126*$L2126*$M2126</f>
        <v/>
      </c>
      <c r="AH2126" s="20" t="n"/>
    </row>
    <row r="2127">
      <c r="A2127" s="9" t="n">
        <v>825245</v>
      </c>
      <c r="B2127" s="9" t="inlineStr">
        <is>
          <t>Jose Guzman</t>
        </is>
      </c>
      <c r="C2127" s="9" t="inlineStr">
        <is>
          <t>DET</t>
        </is>
      </c>
      <c r="D2127" s="9" t="n">
        <v>25</v>
      </c>
      <c r="E2127" s="18" t="inlineStr">
        <is>
          <t>R</t>
        </is>
      </c>
      <c r="F2127" s="18" t="n"/>
      <c r="G2127" s="9" t="n">
        <v>28.896</v>
      </c>
      <c r="H2127" s="9" t="n">
        <v>28.896</v>
      </c>
      <c r="I2127" s="9" t="inlineStr">
        <is>
          <t>Depth (no MLB IP)</t>
        </is>
      </c>
      <c r="J2127" s="18" t="inlineStr">
        <is>
          <t>Opening Day</t>
        </is>
      </c>
      <c r="K2127" s="11">
        <f>IFERROR(INDEX(Roles!$B$17:$B$20,MATCH(J2127,Roles!$A$17:$A$20,0)),1)</f>
        <v/>
      </c>
      <c r="L2127" s="19" t="n">
        <v>1</v>
      </c>
      <c r="M2127" s="11" t="n">
        <v>1</v>
      </c>
      <c r="N2127" s="19" t="n"/>
      <c r="O2127" s="19" t="n"/>
      <c r="P2127" s="19" t="n"/>
      <c r="Q2127" s="19" t="n"/>
      <c r="R2127" s="19" t="n"/>
      <c r="S2127" s="19" t="n"/>
      <c r="T2127" s="19" t="n"/>
      <c r="U2127" s="19" t="n"/>
      <c r="V2127" s="19" t="n"/>
      <c r="W2127" s="19" t="n"/>
      <c r="X2127" s="19" t="n"/>
      <c r="Y2127" s="19" t="n">
        <v>1</v>
      </c>
      <c r="Z2127" s="13">
        <f>SUMPRODUCT(N2127:Y2127,$N$2:$Y$2)*$K2127*$L2127*$M2127</f>
        <v/>
      </c>
      <c r="AA2127" s="14">
        <f>SUM(N2127:Y2127)</f>
        <v/>
      </c>
      <c r="AB2127" s="13">
        <f>SUMPRODUCT(N2127:Y2127,$N$3:$Y$3)*$K2127*$L2127*$M2127</f>
        <v/>
      </c>
      <c r="AC2127" s="13">
        <f>SUMPRODUCT(N2127:Y2127,$N$4:$Y$4)*$K2127*$L2127*$M2127</f>
        <v/>
      </c>
      <c r="AD2127" s="15" t="n">
        <v>3</v>
      </c>
      <c r="AE2127" s="11" t="n">
        <v>1.011296296296296</v>
      </c>
      <c r="AF2127" s="16">
        <f>SUMPRODUCT(N2127:Y2127,$N$5:$Y$5)*$K2127*$L2127*$M2127</f>
        <v/>
      </c>
      <c r="AG2127" s="16">
        <f>SUMPRODUCT(N2127:Y2127,$N$6:$Y$6)*$K2127*$L2127*$M2127</f>
        <v/>
      </c>
      <c r="AH2127" s="20" t="n"/>
    </row>
    <row r="2128">
      <c r="A2128" s="9" t="n">
        <v>694780</v>
      </c>
      <c r="B2128" s="9" t="inlineStr">
        <is>
          <t>Adam Boucher</t>
        </is>
      </c>
      <c r="C2128" s="9" t="inlineStr">
        <is>
          <t>WSH</t>
        </is>
      </c>
      <c r="D2128" s="9" t="n">
        <v>25</v>
      </c>
      <c r="E2128" s="18" t="inlineStr">
        <is>
          <t>R</t>
        </is>
      </c>
      <c r="F2128" s="18" t="n"/>
      <c r="G2128" s="9" t="n">
        <v>28.95333333333333</v>
      </c>
      <c r="H2128" s="9" t="n">
        <v>28.95333333333333</v>
      </c>
      <c r="I2128" s="9" t="inlineStr">
        <is>
          <t>Depth (no MLB IP)</t>
        </is>
      </c>
      <c r="J2128" s="18" t="inlineStr">
        <is>
          <t>Opening Day</t>
        </is>
      </c>
      <c r="K2128" s="11">
        <f>IFERROR(INDEX(Roles!$B$17:$B$20,MATCH(J2128,Roles!$A$17:$A$20,0)),1)</f>
        <v/>
      </c>
      <c r="L2128" s="19" t="n">
        <v>1</v>
      </c>
      <c r="M2128" s="11" t="n">
        <v>1</v>
      </c>
      <c r="N2128" s="19" t="n"/>
      <c r="O2128" s="19" t="n"/>
      <c r="P2128" s="19" t="n"/>
      <c r="Q2128" s="19" t="n"/>
      <c r="R2128" s="19" t="n"/>
      <c r="S2128" s="19" t="n"/>
      <c r="T2128" s="19" t="n"/>
      <c r="U2128" s="19" t="n"/>
      <c r="V2128" s="19" t="n"/>
      <c r="W2128" s="19" t="n"/>
      <c r="X2128" s="19" t="n"/>
      <c r="Y2128" s="19" t="n">
        <v>1</v>
      </c>
      <c r="Z2128" s="13">
        <f>SUMPRODUCT(N2128:Y2128,$N$2:$Y$2)*$K2128*$L2128*$M2128</f>
        <v/>
      </c>
      <c r="AA2128" s="14">
        <f>SUM(N2128:Y2128)</f>
        <v/>
      </c>
      <c r="AB2128" s="13">
        <f>SUMPRODUCT(N2128:Y2128,$N$3:$Y$3)*$K2128*$L2128*$M2128</f>
        <v/>
      </c>
      <c r="AC2128" s="13">
        <f>SUMPRODUCT(N2128:Y2128,$N$4:$Y$4)*$K2128*$L2128*$M2128</f>
        <v/>
      </c>
      <c r="AD2128" s="15" t="n">
        <v>3</v>
      </c>
      <c r="AE2128" s="11" t="n">
        <v>1.011296296296296</v>
      </c>
      <c r="AF2128" s="16">
        <f>SUMPRODUCT(N2128:Y2128,$N$5:$Y$5)*$K2128*$L2128*$M2128</f>
        <v/>
      </c>
      <c r="AG2128" s="16">
        <f>SUMPRODUCT(N2128:Y2128,$N$6:$Y$6)*$K2128*$L2128*$M2128</f>
        <v/>
      </c>
      <c r="AH2128" s="20" t="n"/>
    </row>
    <row r="2129">
      <c r="A2129" s="9" t="n">
        <v>666277</v>
      </c>
      <c r="B2129" s="9" t="inlineStr">
        <is>
          <t>George Soriano</t>
        </is>
      </c>
      <c r="C2129" s="9" t="inlineStr">
        <is>
          <t>STL</t>
        </is>
      </c>
      <c r="D2129" s="9" t="n">
        <v>28</v>
      </c>
      <c r="E2129" s="18" t="inlineStr">
        <is>
          <t>R</t>
        </is>
      </c>
      <c r="F2129" s="18" t="n"/>
      <c r="G2129" s="9" t="n">
        <v>290</v>
      </c>
      <c r="H2129" s="9" t="n">
        <v>822</v>
      </c>
      <c r="I2129" s="9" t="inlineStr">
        <is>
          <t>Closer</t>
        </is>
      </c>
      <c r="J2129" s="18" t="inlineStr">
        <is>
          <t>Opening Day</t>
        </is>
      </c>
      <c r="K2129" s="11">
        <f>IFERROR(INDEX(Roles!$B$17:$B$20,MATCH(J2129,Roles!$A$17:$A$20,0)),1)</f>
        <v/>
      </c>
      <c r="L2129" s="19" t="n">
        <v>1</v>
      </c>
      <c r="M2129" s="11" t="n">
        <v>1</v>
      </c>
      <c r="N2129" s="19" t="n"/>
      <c r="O2129" s="19" t="n"/>
      <c r="P2129" s="19" t="n"/>
      <c r="Q2129" s="19" t="n"/>
      <c r="R2129" s="19" t="n"/>
      <c r="S2129" s="19" t="n"/>
      <c r="T2129" s="19" t="n">
        <v>0.85</v>
      </c>
      <c r="U2129" s="19" t="n">
        <v>0.15</v>
      </c>
      <c r="V2129" s="19" t="n"/>
      <c r="W2129" s="19" t="n"/>
      <c r="X2129" s="19" t="n"/>
      <c r="Y2129" s="19" t="n"/>
      <c r="Z2129" s="13">
        <f>SUMPRODUCT(N2129:Y2129,$N$2:$Y$2)*$K2129*$L2129*$M2129</f>
        <v/>
      </c>
      <c r="AA2129" s="14">
        <f>SUM(N2129:Y2129)</f>
        <v/>
      </c>
      <c r="AB2129" s="13">
        <f>SUMPRODUCT(N2129:Y2129,$N$3:$Y$3)*$K2129*$L2129*$M2129</f>
        <v/>
      </c>
      <c r="AC2129" s="13">
        <f>SUMPRODUCT(N2129:Y2129,$N$4:$Y$4)*$K2129*$L2129*$M2129</f>
        <v/>
      </c>
      <c r="AD2129" s="15" t="n">
        <v>48.16</v>
      </c>
      <c r="AE2129" s="11" t="n">
        <v>1.027100053504548</v>
      </c>
      <c r="AF2129" s="16">
        <f>SUMPRODUCT(N2129:Y2129,$N$5:$Y$5)*$K2129*$L2129*$M2129</f>
        <v/>
      </c>
      <c r="AG2129" s="16">
        <f>SUMPRODUCT(N2129:Y2129,$N$6:$Y$6)*$K2129*$L2129*$M2129</f>
        <v/>
      </c>
      <c r="AH2129" s="20" t="n"/>
    </row>
    <row r="2130">
      <c r="A2130" s="9" t="n">
        <v>801221</v>
      </c>
      <c r="B2130" s="9" t="inlineStr">
        <is>
          <t>Pedro Garcia</t>
        </is>
      </c>
      <c r="C2130" s="9" t="inlineStr">
        <is>
          <t>DET</t>
        </is>
      </c>
      <c r="D2130" s="9" t="n">
        <v>25</v>
      </c>
      <c r="E2130" s="18" t="inlineStr">
        <is>
          <t>R</t>
        </is>
      </c>
      <c r="F2130" s="18" t="n"/>
      <c r="G2130" s="9" t="n">
        <v>29.068</v>
      </c>
      <c r="H2130" s="9" t="n">
        <v>29.068</v>
      </c>
      <c r="I2130" s="9" t="inlineStr">
        <is>
          <t>Depth (no MLB IP)</t>
        </is>
      </c>
      <c r="J2130" s="18" t="inlineStr">
        <is>
          <t>Opening Day</t>
        </is>
      </c>
      <c r="K2130" s="11">
        <f>IFERROR(INDEX(Roles!$B$17:$B$20,MATCH(J2130,Roles!$A$17:$A$20,0)),1)</f>
        <v/>
      </c>
      <c r="L2130" s="19" t="n">
        <v>1</v>
      </c>
      <c r="M2130" s="11" t="n">
        <v>1</v>
      </c>
      <c r="N2130" s="19" t="n"/>
      <c r="O2130" s="19" t="n"/>
      <c r="P2130" s="19" t="n"/>
      <c r="Q2130" s="19" t="n"/>
      <c r="R2130" s="19" t="n"/>
      <c r="S2130" s="19" t="n"/>
      <c r="T2130" s="19" t="n"/>
      <c r="U2130" s="19" t="n"/>
      <c r="V2130" s="19" t="n"/>
      <c r="W2130" s="19" t="n"/>
      <c r="X2130" s="19" t="n"/>
      <c r="Y2130" s="19" t="n">
        <v>1</v>
      </c>
      <c r="Z2130" s="13">
        <f>SUMPRODUCT(N2130:Y2130,$N$2:$Y$2)*$K2130*$L2130*$M2130</f>
        <v/>
      </c>
      <c r="AA2130" s="14">
        <f>SUM(N2130:Y2130)</f>
        <v/>
      </c>
      <c r="AB2130" s="13">
        <f>SUMPRODUCT(N2130:Y2130,$N$3:$Y$3)*$K2130*$L2130*$M2130</f>
        <v/>
      </c>
      <c r="AC2130" s="13">
        <f>SUMPRODUCT(N2130:Y2130,$N$4:$Y$4)*$K2130*$L2130*$M2130</f>
        <v/>
      </c>
      <c r="AD2130" s="15" t="n">
        <v>3</v>
      </c>
      <c r="AE2130" s="11" t="n">
        <v>1.011296296296296</v>
      </c>
      <c r="AF2130" s="16">
        <f>SUMPRODUCT(N2130:Y2130,$N$5:$Y$5)*$K2130*$L2130*$M2130</f>
        <v/>
      </c>
      <c r="AG2130" s="16">
        <f>SUMPRODUCT(N2130:Y2130,$N$6:$Y$6)*$K2130*$L2130*$M2130</f>
        <v/>
      </c>
      <c r="AH2130" s="20" t="n"/>
    </row>
    <row r="2131">
      <c r="A2131" s="9" t="n">
        <v>822463</v>
      </c>
      <c r="B2131" s="9" t="inlineStr">
        <is>
          <t>Nolan Sparks</t>
        </is>
      </c>
      <c r="C2131" s="9" t="inlineStr">
        <is>
          <t>STL</t>
        </is>
      </c>
      <c r="D2131" s="9" t="n">
        <v>25</v>
      </c>
      <c r="E2131" s="18" t="inlineStr">
        <is>
          <t>R</t>
        </is>
      </c>
      <c r="F2131" s="18" t="n"/>
      <c r="G2131" s="9" t="n">
        <v>29.09666666666666</v>
      </c>
      <c r="H2131" s="9" t="n">
        <v>29.09666666666666</v>
      </c>
      <c r="I2131" s="9" t="inlineStr">
        <is>
          <t>Depth (no MLB IP)</t>
        </is>
      </c>
      <c r="J2131" s="18" t="inlineStr">
        <is>
          <t>Opening Day</t>
        </is>
      </c>
      <c r="K2131" s="11">
        <f>IFERROR(INDEX(Roles!$B$17:$B$20,MATCH(J2131,Roles!$A$17:$A$20,0)),1)</f>
        <v/>
      </c>
      <c r="L2131" s="19" t="n">
        <v>1</v>
      </c>
      <c r="M2131" s="11" t="n">
        <v>1</v>
      </c>
      <c r="N2131" s="19" t="n"/>
      <c r="O2131" s="19" t="n"/>
      <c r="P2131" s="19" t="n"/>
      <c r="Q2131" s="19" t="n"/>
      <c r="R2131" s="19" t="n"/>
      <c r="S2131" s="19" t="n"/>
      <c r="T2131" s="19" t="n"/>
      <c r="U2131" s="19" t="n"/>
      <c r="V2131" s="19" t="n"/>
      <c r="W2131" s="19" t="n"/>
      <c r="X2131" s="19" t="n"/>
      <c r="Y2131" s="19" t="n">
        <v>1</v>
      </c>
      <c r="Z2131" s="13">
        <f>SUMPRODUCT(N2131:Y2131,$N$2:$Y$2)*$K2131*$L2131*$M2131</f>
        <v/>
      </c>
      <c r="AA2131" s="14">
        <f>SUM(N2131:Y2131)</f>
        <v/>
      </c>
      <c r="AB2131" s="13">
        <f>SUMPRODUCT(N2131:Y2131,$N$3:$Y$3)*$K2131*$L2131*$M2131</f>
        <v/>
      </c>
      <c r="AC2131" s="13">
        <f>SUMPRODUCT(N2131:Y2131,$N$4:$Y$4)*$K2131*$L2131*$M2131</f>
        <v/>
      </c>
      <c r="AD2131" s="15" t="n">
        <v>3</v>
      </c>
      <c r="AE2131" s="11" t="n">
        <v>1.011296296296296</v>
      </c>
      <c r="AF2131" s="16">
        <f>SUMPRODUCT(N2131:Y2131,$N$5:$Y$5)*$K2131*$L2131*$M2131</f>
        <v/>
      </c>
      <c r="AG2131" s="16">
        <f>SUMPRODUCT(N2131:Y2131,$N$6:$Y$6)*$K2131*$L2131*$M2131</f>
        <v/>
      </c>
      <c r="AH2131" s="20" t="n"/>
    </row>
    <row r="2132">
      <c r="A2132" s="9" t="n">
        <v>694553</v>
      </c>
      <c r="B2132" s="9" t="inlineStr">
        <is>
          <t>Tyson Guerrero</t>
        </is>
      </c>
      <c r="C2132" s="9" t="inlineStr">
        <is>
          <t>KC</t>
        </is>
      </c>
      <c r="D2132" s="9" t="n">
        <v>25</v>
      </c>
      <c r="E2132" s="18" t="inlineStr">
        <is>
          <t>L</t>
        </is>
      </c>
      <c r="F2132" s="18" t="n"/>
      <c r="G2132" s="9" t="n">
        <v>29.09666666666666</v>
      </c>
      <c r="H2132" s="9" t="n">
        <v>29.09666666666666</v>
      </c>
      <c r="I2132" s="9" t="inlineStr">
        <is>
          <t>Depth (no MLB IP)</t>
        </is>
      </c>
      <c r="J2132" s="18" t="inlineStr">
        <is>
          <t>Opening Day</t>
        </is>
      </c>
      <c r="K2132" s="11">
        <f>IFERROR(INDEX(Roles!$B$17:$B$20,MATCH(J2132,Roles!$A$17:$A$20,0)),1)</f>
        <v/>
      </c>
      <c r="L2132" s="19" t="n">
        <v>1</v>
      </c>
      <c r="M2132" s="11" t="n">
        <v>1</v>
      </c>
      <c r="N2132" s="19" t="n"/>
      <c r="O2132" s="19" t="n"/>
      <c r="P2132" s="19" t="n"/>
      <c r="Q2132" s="19" t="n"/>
      <c r="R2132" s="19" t="n"/>
      <c r="S2132" s="19" t="n"/>
      <c r="T2132" s="19" t="n"/>
      <c r="U2132" s="19" t="n"/>
      <c r="V2132" s="19" t="n"/>
      <c r="W2132" s="19" t="n"/>
      <c r="X2132" s="19" t="n"/>
      <c r="Y2132" s="19" t="n">
        <v>1</v>
      </c>
      <c r="Z2132" s="13">
        <f>SUMPRODUCT(N2132:Y2132,$N$2:$Y$2)*$K2132*$L2132*$M2132</f>
        <v/>
      </c>
      <c r="AA2132" s="14">
        <f>SUM(N2132:Y2132)</f>
        <v/>
      </c>
      <c r="AB2132" s="13">
        <f>SUMPRODUCT(N2132:Y2132,$N$3:$Y$3)*$K2132*$L2132*$M2132</f>
        <v/>
      </c>
      <c r="AC2132" s="13">
        <f>SUMPRODUCT(N2132:Y2132,$N$4:$Y$4)*$K2132*$L2132*$M2132</f>
        <v/>
      </c>
      <c r="AD2132" s="15" t="n">
        <v>3</v>
      </c>
      <c r="AE2132" s="11" t="n">
        <v>1.011296296296296</v>
      </c>
      <c r="AF2132" s="16">
        <f>SUMPRODUCT(N2132:Y2132,$N$5:$Y$5)*$K2132*$L2132*$M2132</f>
        <v/>
      </c>
      <c r="AG2132" s="16">
        <f>SUMPRODUCT(N2132:Y2132,$N$6:$Y$6)*$K2132*$L2132*$M2132</f>
        <v/>
      </c>
      <c r="AH2132" s="20" t="n"/>
    </row>
    <row r="2133">
      <c r="A2133" s="9" t="n">
        <v>695425</v>
      </c>
      <c r="B2133" s="9" t="inlineStr">
        <is>
          <t>Bryce Warrecker</t>
        </is>
      </c>
      <c r="C2133" s="9" t="inlineStr">
        <is>
          <t>NYY</t>
        </is>
      </c>
      <c r="D2133" s="9" t="n">
        <v>25</v>
      </c>
      <c r="E2133" s="18" t="inlineStr">
        <is>
          <t>R</t>
        </is>
      </c>
      <c r="F2133" s="18" t="n"/>
      <c r="G2133" s="9" t="n">
        <v>29.24</v>
      </c>
      <c r="H2133" s="9" t="n">
        <v>29.24</v>
      </c>
      <c r="I2133" s="9" t="inlineStr">
        <is>
          <t>Depth (no MLB IP)</t>
        </is>
      </c>
      <c r="J2133" s="18" t="inlineStr">
        <is>
          <t>Opening Day</t>
        </is>
      </c>
      <c r="K2133" s="11">
        <f>IFERROR(INDEX(Roles!$B$17:$B$20,MATCH(J2133,Roles!$A$17:$A$20,0)),1)</f>
        <v/>
      </c>
      <c r="L2133" s="19" t="n">
        <v>1</v>
      </c>
      <c r="M2133" s="11" t="n">
        <v>1</v>
      </c>
      <c r="N2133" s="19" t="n"/>
      <c r="O2133" s="19" t="n"/>
      <c r="P2133" s="19" t="n"/>
      <c r="Q2133" s="19" t="n"/>
      <c r="R2133" s="19" t="n"/>
      <c r="S2133" s="19" t="n"/>
      <c r="T2133" s="19" t="n"/>
      <c r="U2133" s="19" t="n"/>
      <c r="V2133" s="19" t="n"/>
      <c r="W2133" s="19" t="n"/>
      <c r="X2133" s="19" t="n"/>
      <c r="Y2133" s="19" t="n">
        <v>1</v>
      </c>
      <c r="Z2133" s="13">
        <f>SUMPRODUCT(N2133:Y2133,$N$2:$Y$2)*$K2133*$L2133*$M2133</f>
        <v/>
      </c>
      <c r="AA2133" s="14">
        <f>SUM(N2133:Y2133)</f>
        <v/>
      </c>
      <c r="AB2133" s="13">
        <f>SUMPRODUCT(N2133:Y2133,$N$3:$Y$3)*$K2133*$L2133*$M2133</f>
        <v/>
      </c>
      <c r="AC2133" s="13">
        <f>SUMPRODUCT(N2133:Y2133,$N$4:$Y$4)*$K2133*$L2133*$M2133</f>
        <v/>
      </c>
      <c r="AD2133" s="15" t="n">
        <v>3</v>
      </c>
      <c r="AE2133" s="11" t="n">
        <v>1.011296296296296</v>
      </c>
      <c r="AF2133" s="16">
        <f>SUMPRODUCT(N2133:Y2133,$N$5:$Y$5)*$K2133*$L2133*$M2133</f>
        <v/>
      </c>
      <c r="AG2133" s="16">
        <f>SUMPRODUCT(N2133:Y2133,$N$6:$Y$6)*$K2133*$L2133*$M2133</f>
        <v/>
      </c>
      <c r="AH2133" s="20" t="n"/>
    </row>
    <row r="2134">
      <c r="A2134" s="9" t="n">
        <v>807697</v>
      </c>
      <c r="B2134" s="9" t="inlineStr">
        <is>
          <t>Jervis Alfaro</t>
        </is>
      </c>
      <c r="C2134" s="9" t="inlineStr">
        <is>
          <t>CLE</t>
        </is>
      </c>
      <c r="D2134" s="9" t="n">
        <v>25</v>
      </c>
      <c r="E2134" s="18" t="inlineStr">
        <is>
          <t>R</t>
        </is>
      </c>
      <c r="F2134" s="18" t="n"/>
      <c r="G2134" s="9" t="n">
        <v>29.24</v>
      </c>
      <c r="H2134" s="9" t="n">
        <v>29.24</v>
      </c>
      <c r="I2134" s="9" t="inlineStr">
        <is>
          <t>Depth (no MLB IP)</t>
        </is>
      </c>
      <c r="J2134" s="18" t="inlineStr">
        <is>
          <t>Opening Day</t>
        </is>
      </c>
      <c r="K2134" s="11">
        <f>IFERROR(INDEX(Roles!$B$17:$B$20,MATCH(J2134,Roles!$A$17:$A$20,0)),1)</f>
        <v/>
      </c>
      <c r="L2134" s="19" t="n">
        <v>1</v>
      </c>
      <c r="M2134" s="11" t="n">
        <v>1</v>
      </c>
      <c r="N2134" s="19" t="n"/>
      <c r="O2134" s="19" t="n"/>
      <c r="P2134" s="19" t="n"/>
      <c r="Q2134" s="19" t="n"/>
      <c r="R2134" s="19" t="n"/>
      <c r="S2134" s="19" t="n"/>
      <c r="T2134" s="19" t="n"/>
      <c r="U2134" s="19" t="n"/>
      <c r="V2134" s="19" t="n"/>
      <c r="W2134" s="19" t="n"/>
      <c r="X2134" s="19" t="n"/>
      <c r="Y2134" s="19" t="n">
        <v>1</v>
      </c>
      <c r="Z2134" s="13">
        <f>SUMPRODUCT(N2134:Y2134,$N$2:$Y$2)*$K2134*$L2134*$M2134</f>
        <v/>
      </c>
      <c r="AA2134" s="14">
        <f>SUM(N2134:Y2134)</f>
        <v/>
      </c>
      <c r="AB2134" s="13">
        <f>SUMPRODUCT(N2134:Y2134,$N$3:$Y$3)*$K2134*$L2134*$M2134</f>
        <v/>
      </c>
      <c r="AC2134" s="13">
        <f>SUMPRODUCT(N2134:Y2134,$N$4:$Y$4)*$K2134*$L2134*$M2134</f>
        <v/>
      </c>
      <c r="AD2134" s="15" t="n">
        <v>3</v>
      </c>
      <c r="AE2134" s="11" t="n">
        <v>1.011296296296296</v>
      </c>
      <c r="AF2134" s="16">
        <f>SUMPRODUCT(N2134:Y2134,$N$5:$Y$5)*$K2134*$L2134*$M2134</f>
        <v/>
      </c>
      <c r="AG2134" s="16">
        <f>SUMPRODUCT(N2134:Y2134,$N$6:$Y$6)*$K2134*$L2134*$M2134</f>
        <v/>
      </c>
      <c r="AH2134" s="20" t="n"/>
    </row>
    <row r="2135">
      <c r="A2135" s="9" t="n">
        <v>835380</v>
      </c>
      <c r="B2135" s="9" t="inlineStr">
        <is>
          <t>Sam Rochard</t>
        </is>
      </c>
      <c r="C2135" s="9" t="inlineStr">
        <is>
          <t>MIN</t>
        </is>
      </c>
      <c r="D2135" s="9" t="n">
        <v>25</v>
      </c>
      <c r="E2135" s="18" t="inlineStr">
        <is>
          <t>R</t>
        </is>
      </c>
      <c r="F2135" s="18" t="n"/>
      <c r="G2135" s="9" t="n">
        <v>29.24</v>
      </c>
      <c r="H2135" s="9" t="n">
        <v>29.24</v>
      </c>
      <c r="I2135" s="9" t="inlineStr">
        <is>
          <t>Depth (no MLB IP)</t>
        </is>
      </c>
      <c r="J2135" s="18" t="inlineStr">
        <is>
          <t>Opening Day</t>
        </is>
      </c>
      <c r="K2135" s="11">
        <f>IFERROR(INDEX(Roles!$B$17:$B$20,MATCH(J2135,Roles!$A$17:$A$20,0)),1)</f>
        <v/>
      </c>
      <c r="L2135" s="19" t="n">
        <v>1</v>
      </c>
      <c r="M2135" s="11" t="n">
        <v>1</v>
      </c>
      <c r="N2135" s="19" t="n"/>
      <c r="O2135" s="19" t="n"/>
      <c r="P2135" s="19" t="n"/>
      <c r="Q2135" s="19" t="n"/>
      <c r="R2135" s="19" t="n"/>
      <c r="S2135" s="19" t="n"/>
      <c r="T2135" s="19" t="n"/>
      <c r="U2135" s="19" t="n"/>
      <c r="V2135" s="19" t="n"/>
      <c r="W2135" s="19" t="n"/>
      <c r="X2135" s="19" t="n"/>
      <c r="Y2135" s="19" t="n">
        <v>1</v>
      </c>
      <c r="Z2135" s="13">
        <f>SUMPRODUCT(N2135:Y2135,$N$2:$Y$2)*$K2135*$L2135*$M2135</f>
        <v/>
      </c>
      <c r="AA2135" s="14">
        <f>SUM(N2135:Y2135)</f>
        <v/>
      </c>
      <c r="AB2135" s="13">
        <f>SUMPRODUCT(N2135:Y2135,$N$3:$Y$3)*$K2135*$L2135*$M2135</f>
        <v/>
      </c>
      <c r="AC2135" s="13">
        <f>SUMPRODUCT(N2135:Y2135,$N$4:$Y$4)*$K2135*$L2135*$M2135</f>
        <v/>
      </c>
      <c r="AD2135" s="15" t="n">
        <v>3</v>
      </c>
      <c r="AE2135" s="11" t="n">
        <v>1.011296296296296</v>
      </c>
      <c r="AF2135" s="16">
        <f>SUMPRODUCT(N2135:Y2135,$N$5:$Y$5)*$K2135*$L2135*$M2135</f>
        <v/>
      </c>
      <c r="AG2135" s="16">
        <f>SUMPRODUCT(N2135:Y2135,$N$6:$Y$6)*$K2135*$L2135*$M2135</f>
        <v/>
      </c>
      <c r="AH2135" s="20" t="n"/>
    </row>
    <row r="2136">
      <c r="A2136" s="9" t="n">
        <v>805706</v>
      </c>
      <c r="B2136" s="9" t="inlineStr">
        <is>
          <t>AJ Russell</t>
        </is>
      </c>
      <c r="C2136" s="9" t="inlineStr">
        <is>
          <t>TEX</t>
        </is>
      </c>
      <c r="D2136" s="9" t="n">
        <v>25</v>
      </c>
      <c r="E2136" s="18" t="inlineStr">
        <is>
          <t>R</t>
        </is>
      </c>
      <c r="F2136" s="18" t="n"/>
      <c r="G2136" s="9" t="n">
        <v>29.24</v>
      </c>
      <c r="H2136" s="9" t="n">
        <v>29.24</v>
      </c>
      <c r="I2136" s="9" t="inlineStr">
        <is>
          <t>Depth (no MLB IP)</t>
        </is>
      </c>
      <c r="J2136" s="18" t="inlineStr">
        <is>
          <t>Opening Day</t>
        </is>
      </c>
      <c r="K2136" s="11">
        <f>IFERROR(INDEX(Roles!$B$17:$B$20,MATCH(J2136,Roles!$A$17:$A$20,0)),1)</f>
        <v/>
      </c>
      <c r="L2136" s="19" t="n">
        <v>1</v>
      </c>
      <c r="M2136" s="11" t="n">
        <v>1</v>
      </c>
      <c r="N2136" s="19" t="n"/>
      <c r="O2136" s="19" t="n"/>
      <c r="P2136" s="19" t="n"/>
      <c r="Q2136" s="19" t="n"/>
      <c r="R2136" s="19" t="n"/>
      <c r="S2136" s="19" t="n"/>
      <c r="T2136" s="19" t="n"/>
      <c r="U2136" s="19" t="n"/>
      <c r="V2136" s="19" t="n"/>
      <c r="W2136" s="19" t="n"/>
      <c r="X2136" s="19" t="n"/>
      <c r="Y2136" s="19" t="n">
        <v>1</v>
      </c>
      <c r="Z2136" s="13">
        <f>SUMPRODUCT(N2136:Y2136,$N$2:$Y$2)*$K2136*$L2136*$M2136</f>
        <v/>
      </c>
      <c r="AA2136" s="14">
        <f>SUM(N2136:Y2136)</f>
        <v/>
      </c>
      <c r="AB2136" s="13">
        <f>SUMPRODUCT(N2136:Y2136,$N$3:$Y$3)*$K2136*$L2136*$M2136</f>
        <v/>
      </c>
      <c r="AC2136" s="13">
        <f>SUMPRODUCT(N2136:Y2136,$N$4:$Y$4)*$K2136*$L2136*$M2136</f>
        <v/>
      </c>
      <c r="AD2136" s="15" t="n">
        <v>3</v>
      </c>
      <c r="AE2136" s="11" t="n">
        <v>1.011296296296296</v>
      </c>
      <c r="AF2136" s="16">
        <f>SUMPRODUCT(N2136:Y2136,$N$5:$Y$5)*$K2136*$L2136*$M2136</f>
        <v/>
      </c>
      <c r="AG2136" s="16">
        <f>SUMPRODUCT(N2136:Y2136,$N$6:$Y$6)*$K2136*$L2136*$M2136</f>
        <v/>
      </c>
      <c r="AH2136" s="20" t="n"/>
    </row>
    <row r="2137">
      <c r="A2137" s="9" t="n">
        <v>801743</v>
      </c>
      <c r="B2137" s="9" t="inlineStr">
        <is>
          <t>Adolfo Oviedo</t>
        </is>
      </c>
      <c r="C2137" s="9" t="inlineStr">
        <is>
          <t>PIT</t>
        </is>
      </c>
      <c r="D2137" s="9" t="n">
        <v>25</v>
      </c>
      <c r="E2137" s="18" t="inlineStr">
        <is>
          <t>R</t>
        </is>
      </c>
      <c r="F2137" s="18" t="n"/>
      <c r="G2137" s="9" t="n">
        <v>29.24</v>
      </c>
      <c r="H2137" s="9" t="n">
        <v>29.24</v>
      </c>
      <c r="I2137" s="9" t="inlineStr">
        <is>
          <t>Depth (no MLB IP)</t>
        </is>
      </c>
      <c r="J2137" s="18" t="inlineStr">
        <is>
          <t>Opening Day</t>
        </is>
      </c>
      <c r="K2137" s="11">
        <f>IFERROR(INDEX(Roles!$B$17:$B$20,MATCH(J2137,Roles!$A$17:$A$20,0)),1)</f>
        <v/>
      </c>
      <c r="L2137" s="19" t="n">
        <v>1</v>
      </c>
      <c r="M2137" s="11" t="n">
        <v>1</v>
      </c>
      <c r="N2137" s="19" t="n"/>
      <c r="O2137" s="19" t="n"/>
      <c r="P2137" s="19" t="n"/>
      <c r="Q2137" s="19" t="n"/>
      <c r="R2137" s="19" t="n"/>
      <c r="S2137" s="19" t="n"/>
      <c r="T2137" s="19" t="n"/>
      <c r="U2137" s="19" t="n"/>
      <c r="V2137" s="19" t="n"/>
      <c r="W2137" s="19" t="n"/>
      <c r="X2137" s="19" t="n"/>
      <c r="Y2137" s="19" t="n">
        <v>1</v>
      </c>
      <c r="Z2137" s="13">
        <f>SUMPRODUCT(N2137:Y2137,$N$2:$Y$2)*$K2137*$L2137*$M2137</f>
        <v/>
      </c>
      <c r="AA2137" s="14">
        <f>SUM(N2137:Y2137)</f>
        <v/>
      </c>
      <c r="AB2137" s="13">
        <f>SUMPRODUCT(N2137:Y2137,$N$3:$Y$3)*$K2137*$L2137*$M2137</f>
        <v/>
      </c>
      <c r="AC2137" s="13">
        <f>SUMPRODUCT(N2137:Y2137,$N$4:$Y$4)*$K2137*$L2137*$M2137</f>
        <v/>
      </c>
      <c r="AD2137" s="15" t="n">
        <v>3</v>
      </c>
      <c r="AE2137" s="11" t="n">
        <v>1.011296296296296</v>
      </c>
      <c r="AF2137" s="16">
        <f>SUMPRODUCT(N2137:Y2137,$N$5:$Y$5)*$K2137*$L2137*$M2137</f>
        <v/>
      </c>
      <c r="AG2137" s="16">
        <f>SUMPRODUCT(N2137:Y2137,$N$6:$Y$6)*$K2137*$L2137*$M2137</f>
        <v/>
      </c>
      <c r="AH2137" s="20" t="n"/>
    </row>
    <row r="2138">
      <c r="A2138" s="9" t="n">
        <v>695646</v>
      </c>
      <c r="B2138" s="9" t="inlineStr">
        <is>
          <t>Peter Heubeck</t>
        </is>
      </c>
      <c r="C2138" s="9" t="inlineStr">
        <is>
          <t>LAD</t>
        </is>
      </c>
      <c r="D2138" s="9" t="n">
        <v>25</v>
      </c>
      <c r="E2138" s="18" t="inlineStr">
        <is>
          <t>R</t>
        </is>
      </c>
      <c r="F2138" s="18" t="n"/>
      <c r="G2138" s="9" t="n">
        <v>29.09666666666666</v>
      </c>
      <c r="H2138" s="9" t="n">
        <v>29.09666666666666</v>
      </c>
      <c r="I2138" s="9" t="inlineStr">
        <is>
          <t>Depth (no MLB IP)</t>
        </is>
      </c>
      <c r="J2138" s="18" t="inlineStr">
        <is>
          <t>Opening Day</t>
        </is>
      </c>
      <c r="K2138" s="11">
        <f>IFERROR(INDEX(Roles!$B$17:$B$20,MATCH(J2138,Roles!$A$17:$A$20,0)),1)</f>
        <v/>
      </c>
      <c r="L2138" s="19" t="n">
        <v>1</v>
      </c>
      <c r="M2138" s="11" t="n">
        <v>1</v>
      </c>
      <c r="N2138" s="19" t="n"/>
      <c r="O2138" s="19" t="n"/>
      <c r="P2138" s="19" t="n"/>
      <c r="Q2138" s="19" t="n"/>
      <c r="R2138" s="19" t="n"/>
      <c r="S2138" s="19" t="n"/>
      <c r="T2138" s="19" t="n"/>
      <c r="U2138" s="19" t="n"/>
      <c r="V2138" s="19" t="n"/>
      <c r="W2138" s="19" t="n"/>
      <c r="X2138" s="19" t="n"/>
      <c r="Y2138" s="19" t="n">
        <v>1</v>
      </c>
      <c r="Z2138" s="13">
        <f>SUMPRODUCT(N2138:Y2138,$N$2:$Y$2)*$K2138*$L2138*$M2138</f>
        <v/>
      </c>
      <c r="AA2138" s="14">
        <f>SUM(N2138:Y2138)</f>
        <v/>
      </c>
      <c r="AB2138" s="13">
        <f>SUMPRODUCT(N2138:Y2138,$N$3:$Y$3)*$K2138*$L2138*$M2138</f>
        <v/>
      </c>
      <c r="AC2138" s="13">
        <f>SUMPRODUCT(N2138:Y2138,$N$4:$Y$4)*$K2138*$L2138*$M2138</f>
        <v/>
      </c>
      <c r="AD2138" s="15" t="n">
        <v>3</v>
      </c>
      <c r="AE2138" s="11" t="n">
        <v>1.011296296296296</v>
      </c>
      <c r="AF2138" s="16">
        <f>SUMPRODUCT(N2138:Y2138,$N$5:$Y$5)*$K2138*$L2138*$M2138</f>
        <v/>
      </c>
      <c r="AG2138" s="16">
        <f>SUMPRODUCT(N2138:Y2138,$N$6:$Y$6)*$K2138*$L2138*$M2138</f>
        <v/>
      </c>
      <c r="AH2138" s="20" t="n"/>
    </row>
    <row r="2139">
      <c r="A2139" s="9" t="n">
        <v>685829</v>
      </c>
      <c r="B2139" s="9" t="inlineStr">
        <is>
          <t>Irvin Machuca</t>
        </is>
      </c>
      <c r="C2139" s="9" t="inlineStr">
        <is>
          <t>CIN</t>
        </is>
      </c>
      <c r="D2139" s="9" t="n">
        <v>25</v>
      </c>
      <c r="E2139" s="18" t="inlineStr">
        <is>
          <t>R</t>
        </is>
      </c>
      <c r="F2139" s="18" t="n"/>
      <c r="G2139" s="9" t="n">
        <v>29.09666666666666</v>
      </c>
      <c r="H2139" s="9" t="n">
        <v>29.09666666666666</v>
      </c>
      <c r="I2139" s="9" t="inlineStr">
        <is>
          <t>Depth (no MLB IP)</t>
        </is>
      </c>
      <c r="J2139" s="18" t="inlineStr">
        <is>
          <t>Opening Day</t>
        </is>
      </c>
      <c r="K2139" s="11">
        <f>IFERROR(INDEX(Roles!$B$17:$B$20,MATCH(J2139,Roles!$A$17:$A$20,0)),1)</f>
        <v/>
      </c>
      <c r="L2139" s="19" t="n">
        <v>1</v>
      </c>
      <c r="M2139" s="11" t="n">
        <v>1</v>
      </c>
      <c r="N2139" s="19" t="n"/>
      <c r="O2139" s="19" t="n"/>
      <c r="P2139" s="19" t="n"/>
      <c r="Q2139" s="19" t="n"/>
      <c r="R2139" s="19" t="n"/>
      <c r="S2139" s="19" t="n"/>
      <c r="T2139" s="19" t="n"/>
      <c r="U2139" s="19" t="n"/>
      <c r="V2139" s="19" t="n"/>
      <c r="W2139" s="19" t="n"/>
      <c r="X2139" s="19" t="n"/>
      <c r="Y2139" s="19" t="n">
        <v>1</v>
      </c>
      <c r="Z2139" s="13">
        <f>SUMPRODUCT(N2139:Y2139,$N$2:$Y$2)*$K2139*$L2139*$M2139</f>
        <v/>
      </c>
      <c r="AA2139" s="14">
        <f>SUM(N2139:Y2139)</f>
        <v/>
      </c>
      <c r="AB2139" s="13">
        <f>SUMPRODUCT(N2139:Y2139,$N$3:$Y$3)*$K2139*$L2139*$M2139</f>
        <v/>
      </c>
      <c r="AC2139" s="13">
        <f>SUMPRODUCT(N2139:Y2139,$N$4:$Y$4)*$K2139*$L2139*$M2139</f>
        <v/>
      </c>
      <c r="AD2139" s="15" t="n">
        <v>3</v>
      </c>
      <c r="AE2139" s="11" t="n">
        <v>1.011296296296296</v>
      </c>
      <c r="AF2139" s="16">
        <f>SUMPRODUCT(N2139:Y2139,$N$5:$Y$5)*$K2139*$L2139*$M2139</f>
        <v/>
      </c>
      <c r="AG2139" s="16">
        <f>SUMPRODUCT(N2139:Y2139,$N$6:$Y$6)*$K2139*$L2139*$M2139</f>
        <v/>
      </c>
      <c r="AH2139" s="20" t="n"/>
    </row>
    <row r="2140">
      <c r="A2140" s="9" t="n">
        <v>688692</v>
      </c>
      <c r="B2140" s="9" t="inlineStr">
        <is>
          <t>Jared Simpson</t>
        </is>
      </c>
      <c r="C2140" s="9" t="inlineStr">
        <is>
          <t>WSH</t>
        </is>
      </c>
      <c r="D2140" s="9" t="n">
        <v>27</v>
      </c>
      <c r="E2140" s="18" t="inlineStr">
        <is>
          <t>L</t>
        </is>
      </c>
      <c r="F2140" s="18" t="n"/>
      <c r="G2140" s="9" t="n">
        <v>20</v>
      </c>
      <c r="H2140" s="9" t="n">
        <v>20</v>
      </c>
      <c r="I2140" s="9" t="inlineStr">
        <is>
          <t>Depth (no MLB IP)</t>
        </is>
      </c>
      <c r="J2140" s="18" t="inlineStr">
        <is>
          <t>Opening Day</t>
        </is>
      </c>
      <c r="K2140" s="11">
        <f>IFERROR(INDEX(Roles!$B$17:$B$20,MATCH(J2140,Roles!$A$17:$A$20,0)),1)</f>
        <v/>
      </c>
      <c r="L2140" s="19" t="n">
        <v>1</v>
      </c>
      <c r="M2140" s="11" t="n">
        <v>1</v>
      </c>
      <c r="N2140" s="19" t="n"/>
      <c r="O2140" s="19" t="n"/>
      <c r="P2140" s="19" t="n"/>
      <c r="Q2140" s="19" t="n"/>
      <c r="R2140" s="19" t="n"/>
      <c r="S2140" s="19" t="n"/>
      <c r="T2140" s="19" t="n"/>
      <c r="U2140" s="19" t="n"/>
      <c r="V2140" s="19" t="n"/>
      <c r="W2140" s="19" t="n"/>
      <c r="X2140" s="19" t="n"/>
      <c r="Y2140" s="19" t="n">
        <v>1</v>
      </c>
      <c r="Z2140" s="13">
        <f>SUMPRODUCT(N2140:Y2140,$N$2:$Y$2)*$K2140*$L2140*$M2140</f>
        <v/>
      </c>
      <c r="AA2140" s="14">
        <f>SUM(N2140:Y2140)</f>
        <v/>
      </c>
      <c r="AB2140" s="13">
        <f>SUMPRODUCT(N2140:Y2140,$N$3:$Y$3)*$K2140*$L2140*$M2140</f>
        <v/>
      </c>
      <c r="AC2140" s="13">
        <f>SUMPRODUCT(N2140:Y2140,$N$4:$Y$4)*$K2140*$L2140*$M2140</f>
        <v/>
      </c>
      <c r="AD2140" s="15" t="n">
        <v>3.6</v>
      </c>
      <c r="AE2140" s="11" t="n">
        <v>1.035308641975309</v>
      </c>
      <c r="AF2140" s="16">
        <f>SUMPRODUCT(N2140:Y2140,$N$5:$Y$5)*$K2140*$L2140*$M2140</f>
        <v/>
      </c>
      <c r="AG2140" s="16">
        <f>SUMPRODUCT(N2140:Y2140,$N$6:$Y$6)*$K2140*$L2140*$M2140</f>
        <v/>
      </c>
      <c r="AH2140" s="20" t="n"/>
    </row>
    <row r="2141">
      <c r="A2141" s="9" t="n">
        <v>669372</v>
      </c>
      <c r="B2141" s="9" t="inlineStr">
        <is>
          <t>J.T. Ginn</t>
        </is>
      </c>
      <c r="C2141" s="9" t="inlineStr">
        <is>
          <t>OAK</t>
        </is>
      </c>
      <c r="D2141" s="9" t="n">
        <v>28</v>
      </c>
      <c r="E2141" s="18" t="inlineStr">
        <is>
          <t>R</t>
        </is>
      </c>
      <c r="F2141" s="18" t="n"/>
      <c r="G2141" s="9" t="n">
        <v>580</v>
      </c>
      <c r="H2141" s="9" t="n">
        <v>1114</v>
      </c>
      <c r="I2141" s="9" t="inlineStr">
        <is>
          <t>Swing Arm / Long Relief</t>
        </is>
      </c>
      <c r="J2141" s="18" t="inlineStr">
        <is>
          <t>Opening Day</t>
        </is>
      </c>
      <c r="K2141" s="11">
        <f>IFERROR(INDEX(Roles!$B$17:$B$20,MATCH(J2141,Roles!$A$17:$A$20,0)),1)</f>
        <v/>
      </c>
      <c r="L2141" s="19" t="n">
        <v>1</v>
      </c>
      <c r="M2141" s="11" t="n">
        <v>1</v>
      </c>
      <c r="N2141" s="19" t="n"/>
      <c r="O2141" s="19" t="n"/>
      <c r="P2141" s="19" t="n"/>
      <c r="Q2141" s="19" t="n"/>
      <c r="R2141" s="19" t="n">
        <v>0.5</v>
      </c>
      <c r="S2141" s="19" t="n"/>
      <c r="T2141" s="19" t="n"/>
      <c r="U2141" s="19" t="n"/>
      <c r="V2141" s="19" t="n">
        <v>0.5</v>
      </c>
      <c r="W2141" s="19" t="n"/>
      <c r="X2141" s="19" t="n"/>
      <c r="Y2141" s="19" t="n"/>
      <c r="Z2141" s="13">
        <f>SUMPRODUCT(N2141:Y2141,$N$2:$Y$2)*$K2141*$L2141*$M2141</f>
        <v/>
      </c>
      <c r="AA2141" s="14">
        <f>SUM(N2141:Y2141)</f>
        <v/>
      </c>
      <c r="AB2141" s="13">
        <f>SUMPRODUCT(N2141:Y2141,$N$3:$Y$3)*$K2141*$L2141*$M2141</f>
        <v/>
      </c>
      <c r="AC2141" s="13">
        <f>SUMPRODUCT(N2141:Y2141,$N$4:$Y$4)*$K2141*$L2141*$M2141</f>
        <v/>
      </c>
      <c r="AD2141" s="15" t="n">
        <v>21.63333333333333</v>
      </c>
      <c r="AE2141" s="11" t="n">
        <v>3.223220670579506</v>
      </c>
      <c r="AF2141" s="16">
        <f>SUMPRODUCT(N2141:Y2141,$N$5:$Y$5)*$K2141*$L2141*$M2141</f>
        <v/>
      </c>
      <c r="AG2141" s="16">
        <f>SUMPRODUCT(N2141:Y2141,$N$6:$Y$6)*$K2141*$L2141*$M2141</f>
        <v/>
      </c>
      <c r="AH2141" s="20" t="n"/>
    </row>
    <row r="2142">
      <c r="A2142" s="9" t="n">
        <v>695366</v>
      </c>
      <c r="B2142" s="9" t="inlineStr">
        <is>
          <t>Holt Jones</t>
        </is>
      </c>
      <c r="C2142" s="9" t="inlineStr">
        <is>
          <t>MIA</t>
        </is>
      </c>
      <c r="D2142" s="9" t="n">
        <v>25</v>
      </c>
      <c r="E2142" s="18" t="inlineStr">
        <is>
          <t>R</t>
        </is>
      </c>
      <c r="F2142" s="18" t="n"/>
      <c r="G2142" s="9" t="n">
        <v>29.16833333333333</v>
      </c>
      <c r="H2142" s="9" t="n">
        <v>29.16833333333333</v>
      </c>
      <c r="I2142" s="9" t="inlineStr">
        <is>
          <t>Depth (no MLB IP)</t>
        </is>
      </c>
      <c r="J2142" s="18" t="inlineStr">
        <is>
          <t>Opening Day</t>
        </is>
      </c>
      <c r="K2142" s="11">
        <f>IFERROR(INDEX(Roles!$B$17:$B$20,MATCH(J2142,Roles!$A$17:$A$20,0)),1)</f>
        <v/>
      </c>
      <c r="L2142" s="19" t="n">
        <v>1</v>
      </c>
      <c r="M2142" s="11" t="n">
        <v>1</v>
      </c>
      <c r="N2142" s="19" t="n"/>
      <c r="O2142" s="19" t="n"/>
      <c r="P2142" s="19" t="n"/>
      <c r="Q2142" s="19" t="n"/>
      <c r="R2142" s="19" t="n"/>
      <c r="S2142" s="19" t="n"/>
      <c r="T2142" s="19" t="n"/>
      <c r="U2142" s="19" t="n"/>
      <c r="V2142" s="19" t="n"/>
      <c r="W2142" s="19" t="n"/>
      <c r="X2142" s="19" t="n"/>
      <c r="Y2142" s="19" t="n">
        <v>1</v>
      </c>
      <c r="Z2142" s="13">
        <f>SUMPRODUCT(N2142:Y2142,$N$2:$Y$2)*$K2142*$L2142*$M2142</f>
        <v/>
      </c>
      <c r="AA2142" s="14">
        <f>SUM(N2142:Y2142)</f>
        <v/>
      </c>
      <c r="AB2142" s="13">
        <f>SUMPRODUCT(N2142:Y2142,$N$3:$Y$3)*$K2142*$L2142*$M2142</f>
        <v/>
      </c>
      <c r="AC2142" s="13">
        <f>SUMPRODUCT(N2142:Y2142,$N$4:$Y$4)*$K2142*$L2142*$M2142</f>
        <v/>
      </c>
      <c r="AD2142" s="15" t="n">
        <v>3</v>
      </c>
      <c r="AE2142" s="11" t="n">
        <v>1.011296296296296</v>
      </c>
      <c r="AF2142" s="16">
        <f>SUMPRODUCT(N2142:Y2142,$N$5:$Y$5)*$K2142*$L2142*$M2142</f>
        <v/>
      </c>
      <c r="AG2142" s="16">
        <f>SUMPRODUCT(N2142:Y2142,$N$6:$Y$6)*$K2142*$L2142*$M2142</f>
        <v/>
      </c>
      <c r="AH2142" s="20" t="n"/>
    </row>
    <row r="2143">
      <c r="A2143" s="9" t="n">
        <v>688664</v>
      </c>
      <c r="B2143" s="9" t="inlineStr">
        <is>
          <t>Ryan Brown</t>
        </is>
      </c>
      <c r="C2143" s="9" t="inlineStr">
        <is>
          <t>OAK</t>
        </is>
      </c>
      <c r="D2143" s="9" t="n">
        <v>25</v>
      </c>
      <c r="E2143" s="18" t="inlineStr">
        <is>
          <t>R</t>
        </is>
      </c>
      <c r="F2143" s="18" t="n"/>
      <c r="G2143" s="9" t="n">
        <v>29.24</v>
      </c>
      <c r="H2143" s="9" t="n">
        <v>29.24</v>
      </c>
      <c r="I2143" s="9" t="inlineStr">
        <is>
          <t>Depth (no MLB IP)</t>
        </is>
      </c>
      <c r="J2143" s="18" t="inlineStr">
        <is>
          <t>Opening Day</t>
        </is>
      </c>
      <c r="K2143" s="11">
        <f>IFERROR(INDEX(Roles!$B$17:$B$20,MATCH(J2143,Roles!$A$17:$A$20,0)),1)</f>
        <v/>
      </c>
      <c r="L2143" s="19" t="n">
        <v>1</v>
      </c>
      <c r="M2143" s="11" t="n">
        <v>1</v>
      </c>
      <c r="N2143" s="19" t="n"/>
      <c r="O2143" s="19" t="n"/>
      <c r="P2143" s="19" t="n"/>
      <c r="Q2143" s="19" t="n"/>
      <c r="R2143" s="19" t="n"/>
      <c r="S2143" s="19" t="n"/>
      <c r="T2143" s="19" t="n"/>
      <c r="U2143" s="19" t="n"/>
      <c r="V2143" s="19" t="n"/>
      <c r="W2143" s="19" t="n"/>
      <c r="X2143" s="19" t="n"/>
      <c r="Y2143" s="19" t="n">
        <v>1</v>
      </c>
      <c r="Z2143" s="13">
        <f>SUMPRODUCT(N2143:Y2143,$N$2:$Y$2)*$K2143*$L2143*$M2143</f>
        <v/>
      </c>
      <c r="AA2143" s="14">
        <f>SUM(N2143:Y2143)</f>
        <v/>
      </c>
      <c r="AB2143" s="13">
        <f>SUMPRODUCT(N2143:Y2143,$N$3:$Y$3)*$K2143*$L2143*$M2143</f>
        <v/>
      </c>
      <c r="AC2143" s="13">
        <f>SUMPRODUCT(N2143:Y2143,$N$4:$Y$4)*$K2143*$L2143*$M2143</f>
        <v/>
      </c>
      <c r="AD2143" s="15" t="n">
        <v>3</v>
      </c>
      <c r="AE2143" s="11" t="n">
        <v>1.011296296296296</v>
      </c>
      <c r="AF2143" s="16">
        <f>SUMPRODUCT(N2143:Y2143,$N$5:$Y$5)*$K2143*$L2143*$M2143</f>
        <v/>
      </c>
      <c r="AG2143" s="16">
        <f>SUMPRODUCT(N2143:Y2143,$N$6:$Y$6)*$K2143*$L2143*$M2143</f>
        <v/>
      </c>
      <c r="AH2143" s="20" t="n"/>
    </row>
    <row r="2144">
      <c r="A2144" s="9" t="n">
        <v>802088</v>
      </c>
      <c r="B2144" s="9" t="inlineStr">
        <is>
          <t>Henson Leal</t>
        </is>
      </c>
      <c r="C2144" s="9" t="inlineStr">
        <is>
          <t>KC</t>
        </is>
      </c>
      <c r="D2144" s="9" t="n">
        <v>25</v>
      </c>
      <c r="E2144" s="18" t="inlineStr">
        <is>
          <t>R</t>
        </is>
      </c>
      <c r="F2144" s="18" t="n"/>
      <c r="G2144" s="9" t="n">
        <v>29.412</v>
      </c>
      <c r="H2144" s="9" t="n">
        <v>29.412</v>
      </c>
      <c r="I2144" s="9" t="inlineStr">
        <is>
          <t>Depth (no MLB IP)</t>
        </is>
      </c>
      <c r="J2144" s="18" t="inlineStr">
        <is>
          <t>Opening Day</t>
        </is>
      </c>
      <c r="K2144" s="11">
        <f>IFERROR(INDEX(Roles!$B$17:$B$20,MATCH(J2144,Roles!$A$17:$A$20,0)),1)</f>
        <v/>
      </c>
      <c r="L2144" s="19" t="n">
        <v>1</v>
      </c>
      <c r="M2144" s="11" t="n">
        <v>1</v>
      </c>
      <c r="N2144" s="19" t="n"/>
      <c r="O2144" s="19" t="n"/>
      <c r="P2144" s="19" t="n"/>
      <c r="Q2144" s="19" t="n"/>
      <c r="R2144" s="19" t="n"/>
      <c r="S2144" s="19" t="n"/>
      <c r="T2144" s="19" t="n"/>
      <c r="U2144" s="19" t="n"/>
      <c r="V2144" s="19" t="n"/>
      <c r="W2144" s="19" t="n"/>
      <c r="X2144" s="19" t="n"/>
      <c r="Y2144" s="19" t="n">
        <v>1</v>
      </c>
      <c r="Z2144" s="13">
        <f>SUMPRODUCT(N2144:Y2144,$N$2:$Y$2)*$K2144*$L2144*$M2144</f>
        <v/>
      </c>
      <c r="AA2144" s="14">
        <f>SUM(N2144:Y2144)</f>
        <v/>
      </c>
      <c r="AB2144" s="13">
        <f>SUMPRODUCT(N2144:Y2144,$N$3:$Y$3)*$K2144*$L2144*$M2144</f>
        <v/>
      </c>
      <c r="AC2144" s="13">
        <f>SUMPRODUCT(N2144:Y2144,$N$4:$Y$4)*$K2144*$L2144*$M2144</f>
        <v/>
      </c>
      <c r="AD2144" s="15" t="n">
        <v>3</v>
      </c>
      <c r="AE2144" s="11" t="n">
        <v>1.011296296296296</v>
      </c>
      <c r="AF2144" s="16">
        <f>SUMPRODUCT(N2144:Y2144,$N$5:$Y$5)*$K2144*$L2144*$M2144</f>
        <v/>
      </c>
      <c r="AG2144" s="16">
        <f>SUMPRODUCT(N2144:Y2144,$N$6:$Y$6)*$K2144*$L2144*$M2144</f>
        <v/>
      </c>
      <c r="AH2144" s="20" t="n"/>
    </row>
    <row r="2145">
      <c r="A2145" s="9" t="n">
        <v>834673</v>
      </c>
      <c r="B2145" s="9" t="inlineStr">
        <is>
          <t>Jake Brink</t>
        </is>
      </c>
      <c r="C2145" s="9" t="inlineStr">
        <is>
          <t>CIN</t>
        </is>
      </c>
      <c r="D2145" s="9" t="n">
        <v>25</v>
      </c>
      <c r="E2145" s="18" t="inlineStr">
        <is>
          <t>R</t>
        </is>
      </c>
      <c r="F2145" s="18" t="n"/>
      <c r="G2145" s="9" t="n">
        <v>29.24</v>
      </c>
      <c r="H2145" s="9" t="n">
        <v>29.24</v>
      </c>
      <c r="I2145" s="9" t="inlineStr">
        <is>
          <t>Depth (no MLB IP)</t>
        </is>
      </c>
      <c r="J2145" s="18" t="inlineStr">
        <is>
          <t>Opening Day</t>
        </is>
      </c>
      <c r="K2145" s="11">
        <f>IFERROR(INDEX(Roles!$B$17:$B$20,MATCH(J2145,Roles!$A$17:$A$20,0)),1)</f>
        <v/>
      </c>
      <c r="L2145" s="19" t="n">
        <v>1</v>
      </c>
      <c r="M2145" s="11" t="n">
        <v>1</v>
      </c>
      <c r="N2145" s="19" t="n"/>
      <c r="O2145" s="19" t="n"/>
      <c r="P2145" s="19" t="n"/>
      <c r="Q2145" s="19" t="n"/>
      <c r="R2145" s="19" t="n"/>
      <c r="S2145" s="19" t="n"/>
      <c r="T2145" s="19" t="n"/>
      <c r="U2145" s="19" t="n"/>
      <c r="V2145" s="19" t="n"/>
      <c r="W2145" s="19" t="n"/>
      <c r="X2145" s="19" t="n"/>
      <c r="Y2145" s="19" t="n">
        <v>1</v>
      </c>
      <c r="Z2145" s="13">
        <f>SUMPRODUCT(N2145:Y2145,$N$2:$Y$2)*$K2145*$L2145*$M2145</f>
        <v/>
      </c>
      <c r="AA2145" s="14">
        <f>SUM(N2145:Y2145)</f>
        <v/>
      </c>
      <c r="AB2145" s="13">
        <f>SUMPRODUCT(N2145:Y2145,$N$3:$Y$3)*$K2145*$L2145*$M2145</f>
        <v/>
      </c>
      <c r="AC2145" s="13">
        <f>SUMPRODUCT(N2145:Y2145,$N$4:$Y$4)*$K2145*$L2145*$M2145</f>
        <v/>
      </c>
      <c r="AD2145" s="15" t="n">
        <v>3</v>
      </c>
      <c r="AE2145" s="11" t="n">
        <v>1.011296296296296</v>
      </c>
      <c r="AF2145" s="16">
        <f>SUMPRODUCT(N2145:Y2145,$N$5:$Y$5)*$K2145*$L2145*$M2145</f>
        <v/>
      </c>
      <c r="AG2145" s="16">
        <f>SUMPRODUCT(N2145:Y2145,$N$6:$Y$6)*$K2145*$L2145*$M2145</f>
        <v/>
      </c>
      <c r="AH2145" s="20" t="n"/>
    </row>
    <row r="2146">
      <c r="A2146" s="9" t="n">
        <v>673965</v>
      </c>
      <c r="B2146" s="9" t="inlineStr">
        <is>
          <t>Caleb Freeman</t>
        </is>
      </c>
      <c r="C2146" s="9" t="inlineStr">
        <is>
          <t>CWS</t>
        </is>
      </c>
      <c r="D2146" s="9" t="n">
        <v>29</v>
      </c>
      <c r="E2146" s="18" t="inlineStr">
        <is>
          <t>R</t>
        </is>
      </c>
      <c r="F2146" s="18" t="n"/>
      <c r="G2146" s="9" t="n">
        <v>16</v>
      </c>
      <c r="H2146" s="9" t="n">
        <v>16</v>
      </c>
      <c r="I2146" s="9" t="inlineStr">
        <is>
          <t>Depth (no MLB IP)</t>
        </is>
      </c>
      <c r="J2146" s="18" t="inlineStr">
        <is>
          <t>Opening Day</t>
        </is>
      </c>
      <c r="K2146" s="11">
        <f>IFERROR(INDEX(Roles!$B$17:$B$20,MATCH(J2146,Roles!$A$17:$A$20,0)),1)</f>
        <v/>
      </c>
      <c r="L2146" s="19" t="n">
        <v>1</v>
      </c>
      <c r="M2146" s="11" t="n">
        <v>1</v>
      </c>
      <c r="N2146" s="19" t="n"/>
      <c r="O2146" s="19" t="n"/>
      <c r="P2146" s="19" t="n"/>
      <c r="Q2146" s="19" t="n"/>
      <c r="R2146" s="19" t="n"/>
      <c r="S2146" s="19" t="n"/>
      <c r="T2146" s="19" t="n"/>
      <c r="U2146" s="19" t="n"/>
      <c r="V2146" s="19" t="n"/>
      <c r="W2146" s="19" t="n"/>
      <c r="X2146" s="19" t="n"/>
      <c r="Y2146" s="19" t="n">
        <v>1</v>
      </c>
      <c r="Z2146" s="13">
        <f>SUMPRODUCT(N2146:Y2146,$N$2:$Y$2)*$K2146*$L2146*$M2146</f>
        <v/>
      </c>
      <c r="AA2146" s="14">
        <f>SUM(N2146:Y2146)</f>
        <v/>
      </c>
      <c r="AB2146" s="13">
        <f>SUMPRODUCT(N2146:Y2146,$N$3:$Y$3)*$K2146*$L2146*$M2146</f>
        <v/>
      </c>
      <c r="AC2146" s="13">
        <f>SUMPRODUCT(N2146:Y2146,$N$4:$Y$4)*$K2146*$L2146*$M2146</f>
        <v/>
      </c>
      <c r="AD2146" s="15" t="n">
        <v>4.2</v>
      </c>
      <c r="AE2146" s="11" t="n">
        <v>0.8964197530864197</v>
      </c>
      <c r="AF2146" s="16">
        <f>SUMPRODUCT(N2146:Y2146,$N$5:$Y$5)*$K2146*$L2146*$M2146</f>
        <v/>
      </c>
      <c r="AG2146" s="16">
        <f>SUMPRODUCT(N2146:Y2146,$N$6:$Y$6)*$K2146*$L2146*$M2146</f>
        <v/>
      </c>
      <c r="AH2146" s="20" t="n"/>
    </row>
    <row r="2147">
      <c r="A2147" s="9" t="n">
        <v>686249</v>
      </c>
      <c r="B2147" s="9" t="inlineStr">
        <is>
          <t>Nathan Wiles</t>
        </is>
      </c>
      <c r="C2147" s="9" t="inlineStr">
        <is>
          <t>ATL</t>
        </is>
      </c>
      <c r="D2147" s="9" t="n">
        <v>28</v>
      </c>
      <c r="E2147" s="18" t="inlineStr">
        <is>
          <t>R</t>
        </is>
      </c>
      <c r="F2147" s="18" t="n"/>
      <c r="G2147" s="9" t="n">
        <v>7</v>
      </c>
      <c r="H2147" s="9" t="n">
        <v>7</v>
      </c>
      <c r="I2147" s="9" t="inlineStr">
        <is>
          <t>Depth (no MLB IP)</t>
        </is>
      </c>
      <c r="J2147" s="18" t="inlineStr">
        <is>
          <t>Opening Day</t>
        </is>
      </c>
      <c r="K2147" s="11">
        <f>IFERROR(INDEX(Roles!$B$17:$B$20,MATCH(J2147,Roles!$A$17:$A$20,0)),1)</f>
        <v/>
      </c>
      <c r="L2147" s="19" t="n">
        <v>1</v>
      </c>
      <c r="M2147" s="11" t="n">
        <v>1</v>
      </c>
      <c r="N2147" s="19" t="n"/>
      <c r="O2147" s="19" t="n"/>
      <c r="P2147" s="19" t="n"/>
      <c r="Q2147" s="19" t="n"/>
      <c r="R2147" s="19" t="n"/>
      <c r="S2147" s="19" t="n"/>
      <c r="T2147" s="19" t="n"/>
      <c r="U2147" s="19" t="n"/>
      <c r="V2147" s="19" t="n"/>
      <c r="W2147" s="19" t="n"/>
      <c r="X2147" s="19" t="n"/>
      <c r="Y2147" s="19" t="n">
        <v>1</v>
      </c>
      <c r="Z2147" s="13">
        <f>SUMPRODUCT(N2147:Y2147,$N$2:$Y$2)*$K2147*$L2147*$M2147</f>
        <v/>
      </c>
      <c r="AA2147" s="14">
        <f>SUM(N2147:Y2147)</f>
        <v/>
      </c>
      <c r="AB2147" s="13">
        <f>SUMPRODUCT(N2147:Y2147,$N$3:$Y$3)*$K2147*$L2147*$M2147</f>
        <v/>
      </c>
      <c r="AC2147" s="13">
        <f>SUMPRODUCT(N2147:Y2147,$N$4:$Y$4)*$K2147*$L2147*$M2147</f>
        <v/>
      </c>
      <c r="AD2147" s="15" t="n">
        <v>1.8</v>
      </c>
      <c r="AE2147" s="11" t="n">
        <v>1.007530864197531</v>
      </c>
      <c r="AF2147" s="16">
        <f>SUMPRODUCT(N2147:Y2147,$N$5:$Y$5)*$K2147*$L2147*$M2147</f>
        <v/>
      </c>
      <c r="AG2147" s="16">
        <f>SUMPRODUCT(N2147:Y2147,$N$6:$Y$6)*$K2147*$L2147*$M2147</f>
        <v/>
      </c>
      <c r="AH2147" s="20" t="n"/>
    </row>
    <row r="2148">
      <c r="A2148" s="9" t="n">
        <v>680572</v>
      </c>
      <c r="B2148" s="9" t="inlineStr">
        <is>
          <t>Adam Kloffenstein</t>
        </is>
      </c>
      <c r="C2148" s="9" t="inlineStr">
        <is>
          <t>STL</t>
        </is>
      </c>
      <c r="D2148" s="9" t="n">
        <v>26</v>
      </c>
      <c r="E2148" s="18" t="inlineStr">
        <is>
          <t>R</t>
        </is>
      </c>
      <c r="F2148" s="18" t="n"/>
      <c r="G2148" s="9" t="n">
        <v>3</v>
      </c>
      <c r="H2148" s="9" t="n">
        <v>3</v>
      </c>
      <c r="I2148" s="9" t="inlineStr">
        <is>
          <t>Depth (no MLB IP)</t>
        </is>
      </c>
      <c r="J2148" s="18" t="inlineStr">
        <is>
          <t>Opening Day</t>
        </is>
      </c>
      <c r="K2148" s="11">
        <f>IFERROR(INDEX(Roles!$B$17:$B$20,MATCH(J2148,Roles!$A$17:$A$20,0)),1)</f>
        <v/>
      </c>
      <c r="L2148" s="19" t="n">
        <v>1</v>
      </c>
      <c r="M2148" s="11" t="n">
        <v>1</v>
      </c>
      <c r="N2148" s="19" t="n"/>
      <c r="O2148" s="19" t="n"/>
      <c r="P2148" s="19" t="n"/>
      <c r="Q2148" s="19" t="n"/>
      <c r="R2148" s="19" t="n"/>
      <c r="S2148" s="19" t="n"/>
      <c r="T2148" s="19" t="n"/>
      <c r="U2148" s="19" t="n"/>
      <c r="V2148" s="19" t="n"/>
      <c r="W2148" s="19" t="n"/>
      <c r="X2148" s="19" t="n"/>
      <c r="Y2148" s="19" t="n">
        <v>1</v>
      </c>
      <c r="Z2148" s="13">
        <f>SUMPRODUCT(N2148:Y2148,$N$2:$Y$2)*$K2148*$L2148*$M2148</f>
        <v/>
      </c>
      <c r="AA2148" s="14">
        <f>SUM(N2148:Y2148)</f>
        <v/>
      </c>
      <c r="AB2148" s="13">
        <f>SUMPRODUCT(N2148:Y2148,$N$3:$Y$3)*$K2148*$L2148*$M2148</f>
        <v/>
      </c>
      <c r="AC2148" s="13">
        <f>SUMPRODUCT(N2148:Y2148,$N$4:$Y$4)*$K2148*$L2148*$M2148</f>
        <v/>
      </c>
      <c r="AD2148" s="15" t="n">
        <v>1.8</v>
      </c>
      <c r="AE2148" s="11" t="n">
        <v>1.007530864197531</v>
      </c>
      <c r="AF2148" s="16">
        <f>SUMPRODUCT(N2148:Y2148,$N$5:$Y$5)*$K2148*$L2148*$M2148</f>
        <v/>
      </c>
      <c r="AG2148" s="16">
        <f>SUMPRODUCT(N2148:Y2148,$N$6:$Y$6)*$K2148*$L2148*$M2148</f>
        <v/>
      </c>
      <c r="AH2148" s="20" t="n"/>
    </row>
    <row r="2149">
      <c r="A2149" s="9" t="n">
        <v>842303</v>
      </c>
      <c r="B2149" s="9" t="inlineStr">
        <is>
          <t>Luke Cooper</t>
        </is>
      </c>
      <c r="C2149" s="9" t="inlineStr">
        <is>
          <t>LAA</t>
        </is>
      </c>
      <c r="D2149" s="9" t="n">
        <v>25</v>
      </c>
      <c r="E2149" s="18" t="inlineStr">
        <is>
          <t>L</t>
        </is>
      </c>
      <c r="F2149" s="18" t="n"/>
      <c r="G2149" s="9" t="n">
        <v>29.52666666666667</v>
      </c>
      <c r="H2149" s="9" t="n">
        <v>29.52666666666667</v>
      </c>
      <c r="I2149" s="9" t="inlineStr">
        <is>
          <t>Depth (no MLB IP)</t>
        </is>
      </c>
      <c r="J2149" s="18" t="inlineStr">
        <is>
          <t>Opening Day</t>
        </is>
      </c>
      <c r="K2149" s="11">
        <f>IFERROR(INDEX(Roles!$B$17:$B$20,MATCH(J2149,Roles!$A$17:$A$20,0)),1)</f>
        <v/>
      </c>
      <c r="L2149" s="19" t="n">
        <v>1</v>
      </c>
      <c r="M2149" s="11" t="n">
        <v>1</v>
      </c>
      <c r="N2149" s="19" t="n"/>
      <c r="O2149" s="19" t="n"/>
      <c r="P2149" s="19" t="n"/>
      <c r="Q2149" s="19" t="n"/>
      <c r="R2149" s="19" t="n"/>
      <c r="S2149" s="19" t="n"/>
      <c r="T2149" s="19" t="n"/>
      <c r="U2149" s="19" t="n"/>
      <c r="V2149" s="19" t="n"/>
      <c r="W2149" s="19" t="n"/>
      <c r="X2149" s="19" t="n"/>
      <c r="Y2149" s="19" t="n">
        <v>1</v>
      </c>
      <c r="Z2149" s="13">
        <f>SUMPRODUCT(N2149:Y2149,$N$2:$Y$2)*$K2149*$L2149*$M2149</f>
        <v/>
      </c>
      <c r="AA2149" s="14">
        <f>SUM(N2149:Y2149)</f>
        <v/>
      </c>
      <c r="AB2149" s="13">
        <f>SUMPRODUCT(N2149:Y2149,$N$3:$Y$3)*$K2149*$L2149*$M2149</f>
        <v/>
      </c>
      <c r="AC2149" s="13">
        <f>SUMPRODUCT(N2149:Y2149,$N$4:$Y$4)*$K2149*$L2149*$M2149</f>
        <v/>
      </c>
      <c r="AD2149" s="15" t="n">
        <v>3</v>
      </c>
      <c r="AE2149" s="11" t="n">
        <v>1.011296296296296</v>
      </c>
      <c r="AF2149" s="16">
        <f>SUMPRODUCT(N2149:Y2149,$N$5:$Y$5)*$K2149*$L2149*$M2149</f>
        <v/>
      </c>
      <c r="AG2149" s="16">
        <f>SUMPRODUCT(N2149:Y2149,$N$6:$Y$6)*$K2149*$L2149*$M2149</f>
        <v/>
      </c>
      <c r="AH2149" s="20" t="n"/>
    </row>
    <row r="2150">
      <c r="A2150" s="9" t="n">
        <v>666197</v>
      </c>
      <c r="B2150" s="9" t="inlineStr">
        <is>
          <t>Grae Kessinger</t>
        </is>
      </c>
      <c r="C2150" s="9" t="inlineStr">
        <is>
          <t>HOU</t>
        </is>
      </c>
      <c r="D2150" s="9" t="n">
        <v>29</v>
      </c>
      <c r="E2150" s="18" t="inlineStr">
        <is>
          <t>R</t>
        </is>
      </c>
      <c r="F2150" s="18" t="n"/>
      <c r="G2150" s="9" t="n">
        <v>3</v>
      </c>
      <c r="H2150" s="9" t="n">
        <v>3</v>
      </c>
      <c r="I2150" s="9" t="inlineStr">
        <is>
          <t>Depth (no MLB IP)</t>
        </is>
      </c>
      <c r="J2150" s="18" t="inlineStr">
        <is>
          <t>Opening Day</t>
        </is>
      </c>
      <c r="K2150" s="11">
        <f>IFERROR(INDEX(Roles!$B$17:$B$20,MATCH(J2150,Roles!$A$17:$A$20,0)),1)</f>
        <v/>
      </c>
      <c r="L2150" s="19" t="n">
        <v>1</v>
      </c>
      <c r="M2150" s="11" t="n">
        <v>1</v>
      </c>
      <c r="N2150" s="19" t="n"/>
      <c r="O2150" s="19" t="n"/>
      <c r="P2150" s="19" t="n"/>
      <c r="Q2150" s="19" t="n"/>
      <c r="R2150" s="19" t="n"/>
      <c r="S2150" s="19" t="n"/>
      <c r="T2150" s="19" t="n"/>
      <c r="U2150" s="19" t="n"/>
      <c r="V2150" s="19" t="n"/>
      <c r="W2150" s="19" t="n"/>
      <c r="X2150" s="19" t="n"/>
      <c r="Y2150" s="19" t="n">
        <v>1</v>
      </c>
      <c r="Z2150" s="13">
        <f>SUMPRODUCT(N2150:Y2150,$N$2:$Y$2)*$K2150*$L2150*$M2150</f>
        <v/>
      </c>
      <c r="AA2150" s="14">
        <f>SUM(N2150:Y2150)</f>
        <v/>
      </c>
      <c r="AB2150" s="13">
        <f>SUMPRODUCT(N2150:Y2150,$N$3:$Y$3)*$K2150*$L2150*$M2150</f>
        <v/>
      </c>
      <c r="AC2150" s="13">
        <f>SUMPRODUCT(N2150:Y2150,$N$4:$Y$4)*$K2150*$L2150*$M2150</f>
        <v/>
      </c>
      <c r="AD2150" s="15" t="n">
        <v>1.8</v>
      </c>
      <c r="AE2150" s="11" t="n">
        <v>1.007530864197531</v>
      </c>
      <c r="AF2150" s="16">
        <f>SUMPRODUCT(N2150:Y2150,$N$5:$Y$5)*$K2150*$L2150*$M2150</f>
        <v/>
      </c>
      <c r="AG2150" s="16">
        <f>SUMPRODUCT(N2150:Y2150,$N$6:$Y$6)*$K2150*$L2150*$M2150</f>
        <v/>
      </c>
      <c r="AH2150" s="20" t="n"/>
    </row>
    <row r="2151">
      <c r="A2151" s="9" t="n">
        <v>814088</v>
      </c>
      <c r="B2151" s="9" t="inlineStr">
        <is>
          <t>Austin Strickland</t>
        </is>
      </c>
      <c r="C2151" s="9" t="inlineStr">
        <is>
          <t>SF</t>
        </is>
      </c>
      <c r="D2151" s="9" t="n">
        <v>25</v>
      </c>
      <c r="E2151" s="18" t="inlineStr">
        <is>
          <t>R</t>
        </is>
      </c>
      <c r="F2151" s="18" t="n"/>
      <c r="G2151" s="9" t="n">
        <v>29.52666666666667</v>
      </c>
      <c r="H2151" s="9" t="n">
        <v>29.52666666666667</v>
      </c>
      <c r="I2151" s="9" t="inlineStr">
        <is>
          <t>Depth (no MLB IP)</t>
        </is>
      </c>
      <c r="J2151" s="18" t="inlineStr">
        <is>
          <t>Opening Day</t>
        </is>
      </c>
      <c r="K2151" s="11">
        <f>IFERROR(INDEX(Roles!$B$17:$B$20,MATCH(J2151,Roles!$A$17:$A$20,0)),1)</f>
        <v/>
      </c>
      <c r="L2151" s="19" t="n">
        <v>1</v>
      </c>
      <c r="M2151" s="11" t="n">
        <v>1</v>
      </c>
      <c r="N2151" s="19" t="n"/>
      <c r="O2151" s="19" t="n"/>
      <c r="P2151" s="19" t="n"/>
      <c r="Q2151" s="19" t="n"/>
      <c r="R2151" s="19" t="n"/>
      <c r="S2151" s="19" t="n"/>
      <c r="T2151" s="19" t="n"/>
      <c r="U2151" s="19" t="n"/>
      <c r="V2151" s="19" t="n"/>
      <c r="W2151" s="19" t="n"/>
      <c r="X2151" s="19" t="n"/>
      <c r="Y2151" s="19" t="n">
        <v>1</v>
      </c>
      <c r="Z2151" s="13">
        <f>SUMPRODUCT(N2151:Y2151,$N$2:$Y$2)*$K2151*$L2151*$M2151</f>
        <v/>
      </c>
      <c r="AA2151" s="14">
        <f>SUM(N2151:Y2151)</f>
        <v/>
      </c>
      <c r="AB2151" s="13">
        <f>SUMPRODUCT(N2151:Y2151,$N$3:$Y$3)*$K2151*$L2151*$M2151</f>
        <v/>
      </c>
      <c r="AC2151" s="13">
        <f>SUMPRODUCT(N2151:Y2151,$N$4:$Y$4)*$K2151*$L2151*$M2151</f>
        <v/>
      </c>
      <c r="AD2151" s="15" t="n">
        <v>3</v>
      </c>
      <c r="AE2151" s="11" t="n">
        <v>1.011296296296296</v>
      </c>
      <c r="AF2151" s="16">
        <f>SUMPRODUCT(N2151:Y2151,$N$5:$Y$5)*$K2151*$L2151*$M2151</f>
        <v/>
      </c>
      <c r="AG2151" s="16">
        <f>SUMPRODUCT(N2151:Y2151,$N$6:$Y$6)*$K2151*$L2151*$M2151</f>
        <v/>
      </c>
      <c r="AH2151" s="20" t="n"/>
    </row>
    <row r="2152">
      <c r="A2152" s="9" t="n">
        <v>821783</v>
      </c>
      <c r="B2152" s="9" t="inlineStr">
        <is>
          <t>Argenis Cayama</t>
        </is>
      </c>
      <c r="C2152" s="9" t="inlineStr">
        <is>
          <t>SF</t>
        </is>
      </c>
      <c r="D2152" s="9" t="n">
        <v>21</v>
      </c>
      <c r="E2152" s="18" t="inlineStr">
        <is>
          <t>R</t>
        </is>
      </c>
      <c r="F2152" s="18" t="n"/>
      <c r="G2152" s="9" t="n">
        <v>29.584</v>
      </c>
      <c r="H2152" s="9" t="n">
        <v>29.584</v>
      </c>
      <c r="I2152" s="9" t="inlineStr">
        <is>
          <t>Depth (no MLB IP)</t>
        </is>
      </c>
      <c r="J2152" s="18" t="inlineStr">
        <is>
          <t>Opening Day</t>
        </is>
      </c>
      <c r="K2152" s="11">
        <f>IFERROR(INDEX(Roles!$B$17:$B$20,MATCH(J2152,Roles!$A$17:$A$20,0)),1)</f>
        <v/>
      </c>
      <c r="L2152" s="19" t="n">
        <v>1</v>
      </c>
      <c r="M2152" s="11" t="n">
        <v>1</v>
      </c>
      <c r="N2152" s="19" t="n"/>
      <c r="O2152" s="19" t="n"/>
      <c r="P2152" s="19" t="n"/>
      <c r="Q2152" s="19" t="n"/>
      <c r="R2152" s="19" t="n"/>
      <c r="S2152" s="19" t="n"/>
      <c r="T2152" s="19" t="n"/>
      <c r="U2152" s="19" t="n"/>
      <c r="V2152" s="19" t="n"/>
      <c r="W2152" s="19" t="n"/>
      <c r="X2152" s="19" t="n"/>
      <c r="Y2152" s="19" t="n">
        <v>1</v>
      </c>
      <c r="Z2152" s="13">
        <f>SUMPRODUCT(N2152:Y2152,$N$2:$Y$2)*$K2152*$L2152*$M2152</f>
        <v/>
      </c>
      <c r="AA2152" s="14">
        <f>SUM(N2152:Y2152)</f>
        <v/>
      </c>
      <c r="AB2152" s="13">
        <f>SUMPRODUCT(N2152:Y2152,$N$3:$Y$3)*$K2152*$L2152*$M2152</f>
        <v/>
      </c>
      <c r="AC2152" s="13">
        <f>SUMPRODUCT(N2152:Y2152,$N$4:$Y$4)*$K2152*$L2152*$M2152</f>
        <v/>
      </c>
      <c r="AD2152" s="15" t="n">
        <v>3</v>
      </c>
      <c r="AE2152" s="11" t="n">
        <v>1.011296296296296</v>
      </c>
      <c r="AF2152" s="16">
        <f>SUMPRODUCT(N2152:Y2152,$N$5:$Y$5)*$K2152*$L2152*$M2152</f>
        <v/>
      </c>
      <c r="AG2152" s="16">
        <f>SUMPRODUCT(N2152:Y2152,$N$6:$Y$6)*$K2152*$L2152*$M2152</f>
        <v/>
      </c>
      <c r="AH2152" s="20" t="n"/>
    </row>
    <row r="2153">
      <c r="A2153" s="9" t="n">
        <v>679845</v>
      </c>
      <c r="B2153" s="9" t="inlineStr">
        <is>
          <t>Nick Loftin</t>
        </is>
      </c>
      <c r="C2153" s="9" t="inlineStr">
        <is>
          <t>KC</t>
        </is>
      </c>
      <c r="D2153" s="9" t="n">
        <v>28</v>
      </c>
      <c r="E2153" s="18" t="inlineStr">
        <is>
          <t>R</t>
        </is>
      </c>
      <c r="F2153" s="18" t="n"/>
      <c r="G2153" s="9" t="n">
        <v>3</v>
      </c>
      <c r="H2153" s="9" t="n">
        <v>3</v>
      </c>
      <c r="I2153" s="9" t="inlineStr">
        <is>
          <t>Depth (no MLB IP)</t>
        </is>
      </c>
      <c r="J2153" s="18" t="inlineStr">
        <is>
          <t>Opening Day</t>
        </is>
      </c>
      <c r="K2153" s="11">
        <f>IFERROR(INDEX(Roles!$B$17:$B$20,MATCH(J2153,Roles!$A$17:$A$20,0)),1)</f>
        <v/>
      </c>
      <c r="L2153" s="19" t="n">
        <v>1</v>
      </c>
      <c r="M2153" s="11" t="n">
        <v>1</v>
      </c>
      <c r="N2153" s="19" t="n"/>
      <c r="O2153" s="19" t="n"/>
      <c r="P2153" s="19" t="n"/>
      <c r="Q2153" s="19" t="n"/>
      <c r="R2153" s="19" t="n"/>
      <c r="S2153" s="19" t="n"/>
      <c r="T2153" s="19" t="n"/>
      <c r="U2153" s="19" t="n"/>
      <c r="V2153" s="19" t="n"/>
      <c r="W2153" s="19" t="n"/>
      <c r="X2153" s="19" t="n"/>
      <c r="Y2153" s="19" t="n">
        <v>1</v>
      </c>
      <c r="Z2153" s="13">
        <f>SUMPRODUCT(N2153:Y2153,$N$2:$Y$2)*$K2153*$L2153*$M2153</f>
        <v/>
      </c>
      <c r="AA2153" s="14">
        <f>SUM(N2153:Y2153)</f>
        <v/>
      </c>
      <c r="AB2153" s="13">
        <f>SUMPRODUCT(N2153:Y2153,$N$3:$Y$3)*$K2153*$L2153*$M2153</f>
        <v/>
      </c>
      <c r="AC2153" s="13">
        <f>SUMPRODUCT(N2153:Y2153,$N$4:$Y$4)*$K2153*$L2153*$M2153</f>
        <v/>
      </c>
      <c r="AD2153" s="15" t="n">
        <v>1.8</v>
      </c>
      <c r="AE2153" s="11" t="n">
        <v>1.007530864197531</v>
      </c>
      <c r="AF2153" s="16">
        <f>SUMPRODUCT(N2153:Y2153,$N$5:$Y$5)*$K2153*$L2153*$M2153</f>
        <v/>
      </c>
      <c r="AG2153" s="16">
        <f>SUMPRODUCT(N2153:Y2153,$N$6:$Y$6)*$K2153*$L2153*$M2153</f>
        <v/>
      </c>
      <c r="AH2153" s="20" t="n"/>
    </row>
    <row r="2154">
      <c r="A2154" s="9" t="n">
        <v>680983</v>
      </c>
      <c r="B2154" s="9" t="inlineStr">
        <is>
          <t>Kelvin Cáceres</t>
        </is>
      </c>
      <c r="C2154" s="9" t="inlineStr">
        <is>
          <t>LAA</t>
        </is>
      </c>
      <c r="D2154" s="9" t="n">
        <v>27</v>
      </c>
      <c r="E2154" s="18" t="inlineStr">
        <is>
          <t>R</t>
        </is>
      </c>
      <c r="F2154" s="18" t="n"/>
      <c r="G2154" s="9" t="n">
        <v>8</v>
      </c>
      <c r="H2154" s="9" t="n">
        <v>8</v>
      </c>
      <c r="I2154" s="9" t="inlineStr">
        <is>
          <t>Depth (no MLB IP)</t>
        </is>
      </c>
      <c r="J2154" s="18" t="inlineStr">
        <is>
          <t>Opening Day</t>
        </is>
      </c>
      <c r="K2154" s="11">
        <f>IFERROR(INDEX(Roles!$B$17:$B$20,MATCH(J2154,Roles!$A$17:$A$20,0)),1)</f>
        <v/>
      </c>
      <c r="L2154" s="19" t="n">
        <v>1</v>
      </c>
      <c r="M2154" s="11" t="n">
        <v>1</v>
      </c>
      <c r="N2154" s="19" t="n"/>
      <c r="O2154" s="19" t="n"/>
      <c r="P2154" s="19" t="n"/>
      <c r="Q2154" s="19" t="n"/>
      <c r="R2154" s="19" t="n"/>
      <c r="S2154" s="19" t="n"/>
      <c r="T2154" s="19" t="n"/>
      <c r="U2154" s="19" t="n"/>
      <c r="V2154" s="19" t="n"/>
      <c r="W2154" s="19" t="n"/>
      <c r="X2154" s="19" t="n"/>
      <c r="Y2154" s="19" t="n">
        <v>1</v>
      </c>
      <c r="Z2154" s="13">
        <f>SUMPRODUCT(N2154:Y2154,$N$2:$Y$2)*$K2154*$L2154*$M2154</f>
        <v/>
      </c>
      <c r="AA2154" s="14">
        <f>SUM(N2154:Y2154)</f>
        <v/>
      </c>
      <c r="AB2154" s="13">
        <f>SUMPRODUCT(N2154:Y2154,$N$3:$Y$3)*$K2154*$L2154*$M2154</f>
        <v/>
      </c>
      <c r="AC2154" s="13">
        <f>SUMPRODUCT(N2154:Y2154,$N$4:$Y$4)*$K2154*$L2154*$M2154</f>
        <v/>
      </c>
      <c r="AD2154" s="15" t="n">
        <v>3</v>
      </c>
      <c r="AE2154" s="11" t="n">
        <v>1.011296296296296</v>
      </c>
      <c r="AF2154" s="16">
        <f>SUMPRODUCT(N2154:Y2154,$N$5:$Y$5)*$K2154*$L2154*$M2154</f>
        <v/>
      </c>
      <c r="AG2154" s="16">
        <f>SUMPRODUCT(N2154:Y2154,$N$6:$Y$6)*$K2154*$L2154*$M2154</f>
        <v/>
      </c>
      <c r="AH2154" s="20" t="n"/>
    </row>
    <row r="2155">
      <c r="A2155" s="9" t="n">
        <v>804528</v>
      </c>
      <c r="B2155" s="9" t="inlineStr">
        <is>
          <t>Hunter Omlid</t>
        </is>
      </c>
      <c r="C2155" s="9" t="inlineStr">
        <is>
          <t>COL</t>
        </is>
      </c>
      <c r="D2155" s="9" t="n">
        <v>25</v>
      </c>
      <c r="E2155" s="18" t="inlineStr">
        <is>
          <t>R</t>
        </is>
      </c>
      <c r="F2155" s="18" t="n"/>
      <c r="G2155" s="9" t="n">
        <v>29.52666666666667</v>
      </c>
      <c r="H2155" s="9" t="n">
        <v>29.52666666666667</v>
      </c>
      <c r="I2155" s="9" t="inlineStr">
        <is>
          <t>Depth (no MLB IP)</t>
        </is>
      </c>
      <c r="J2155" s="18" t="inlineStr">
        <is>
          <t>Opening Day</t>
        </is>
      </c>
      <c r="K2155" s="11">
        <f>IFERROR(INDEX(Roles!$B$17:$B$20,MATCH(J2155,Roles!$A$17:$A$20,0)),1)</f>
        <v/>
      </c>
      <c r="L2155" s="19" t="n">
        <v>1</v>
      </c>
      <c r="M2155" s="11" t="n">
        <v>1</v>
      </c>
      <c r="N2155" s="19" t="n"/>
      <c r="O2155" s="19" t="n"/>
      <c r="P2155" s="19" t="n"/>
      <c r="Q2155" s="19" t="n"/>
      <c r="R2155" s="19" t="n"/>
      <c r="S2155" s="19" t="n"/>
      <c r="T2155" s="19" t="n"/>
      <c r="U2155" s="19" t="n"/>
      <c r="V2155" s="19" t="n"/>
      <c r="W2155" s="19" t="n"/>
      <c r="X2155" s="19" t="n"/>
      <c r="Y2155" s="19" t="n">
        <v>1</v>
      </c>
      <c r="Z2155" s="13">
        <f>SUMPRODUCT(N2155:Y2155,$N$2:$Y$2)*$K2155*$L2155*$M2155</f>
        <v/>
      </c>
      <c r="AA2155" s="14">
        <f>SUM(N2155:Y2155)</f>
        <v/>
      </c>
      <c r="AB2155" s="13">
        <f>SUMPRODUCT(N2155:Y2155,$N$3:$Y$3)*$K2155*$L2155*$M2155</f>
        <v/>
      </c>
      <c r="AC2155" s="13">
        <f>SUMPRODUCT(N2155:Y2155,$N$4:$Y$4)*$K2155*$L2155*$M2155</f>
        <v/>
      </c>
      <c r="AD2155" s="15" t="n">
        <v>3</v>
      </c>
      <c r="AE2155" s="11" t="n">
        <v>1.011296296296296</v>
      </c>
      <c r="AF2155" s="16">
        <f>SUMPRODUCT(N2155:Y2155,$N$5:$Y$5)*$K2155*$L2155*$M2155</f>
        <v/>
      </c>
      <c r="AG2155" s="16">
        <f>SUMPRODUCT(N2155:Y2155,$N$6:$Y$6)*$K2155*$L2155*$M2155</f>
        <v/>
      </c>
      <c r="AH2155" s="20" t="n"/>
    </row>
    <row r="2156">
      <c r="A2156" s="9" t="n">
        <v>700365</v>
      </c>
      <c r="B2156" s="9" t="inlineStr">
        <is>
          <t>Yendy Gomez</t>
        </is>
      </c>
      <c r="C2156" s="9" t="inlineStr">
        <is>
          <t>DET</t>
        </is>
      </c>
      <c r="D2156" s="9" t="n">
        <v>25</v>
      </c>
      <c r="E2156" s="18" t="inlineStr">
        <is>
          <t>R</t>
        </is>
      </c>
      <c r="F2156" s="18" t="n"/>
      <c r="G2156" s="9" t="n">
        <v>29.756</v>
      </c>
      <c r="H2156" s="9" t="n">
        <v>29.756</v>
      </c>
      <c r="I2156" s="9" t="inlineStr">
        <is>
          <t>Depth (no MLB IP)</t>
        </is>
      </c>
      <c r="J2156" s="18" t="inlineStr">
        <is>
          <t>Opening Day</t>
        </is>
      </c>
      <c r="K2156" s="11">
        <f>IFERROR(INDEX(Roles!$B$17:$B$20,MATCH(J2156,Roles!$A$17:$A$20,0)),1)</f>
        <v/>
      </c>
      <c r="L2156" s="19" t="n">
        <v>1</v>
      </c>
      <c r="M2156" s="11" t="n">
        <v>1</v>
      </c>
      <c r="N2156" s="19" t="n"/>
      <c r="O2156" s="19" t="n"/>
      <c r="P2156" s="19" t="n"/>
      <c r="Q2156" s="19" t="n"/>
      <c r="R2156" s="19" t="n"/>
      <c r="S2156" s="19" t="n"/>
      <c r="T2156" s="19" t="n"/>
      <c r="U2156" s="19" t="n"/>
      <c r="V2156" s="19" t="n"/>
      <c r="W2156" s="19" t="n"/>
      <c r="X2156" s="19" t="n"/>
      <c r="Y2156" s="19" t="n">
        <v>1</v>
      </c>
      <c r="Z2156" s="13">
        <f>SUMPRODUCT(N2156:Y2156,$N$2:$Y$2)*$K2156*$L2156*$M2156</f>
        <v/>
      </c>
      <c r="AA2156" s="14">
        <f>SUM(N2156:Y2156)</f>
        <v/>
      </c>
      <c r="AB2156" s="13">
        <f>SUMPRODUCT(N2156:Y2156,$N$3:$Y$3)*$K2156*$L2156*$M2156</f>
        <v/>
      </c>
      <c r="AC2156" s="13">
        <f>SUMPRODUCT(N2156:Y2156,$N$4:$Y$4)*$K2156*$L2156*$M2156</f>
        <v/>
      </c>
      <c r="AD2156" s="15" t="n">
        <v>3</v>
      </c>
      <c r="AE2156" s="11" t="n">
        <v>1.011296296296296</v>
      </c>
      <c r="AF2156" s="16">
        <f>SUMPRODUCT(N2156:Y2156,$N$5:$Y$5)*$K2156*$L2156*$M2156</f>
        <v/>
      </c>
      <c r="AG2156" s="16">
        <f>SUMPRODUCT(N2156:Y2156,$N$6:$Y$6)*$K2156*$L2156*$M2156</f>
        <v/>
      </c>
      <c r="AH2156" s="20" t="n"/>
    </row>
    <row r="2157">
      <c r="A2157" s="9" t="n">
        <v>621550</v>
      </c>
      <c r="B2157" s="9" t="inlineStr">
        <is>
          <t>Patrick Wisdom</t>
        </is>
      </c>
      <c r="C2157" s="9" t="inlineStr">
        <is>
          <t>CHC</t>
        </is>
      </c>
      <c r="D2157" s="9" t="n">
        <v>35</v>
      </c>
      <c r="E2157" s="18" t="inlineStr">
        <is>
          <t>R</t>
        </is>
      </c>
      <c r="F2157" s="18" t="n"/>
      <c r="G2157" s="9" t="n">
        <v>3</v>
      </c>
      <c r="H2157" s="9" t="n">
        <v>3</v>
      </c>
      <c r="I2157" s="9" t="inlineStr">
        <is>
          <t>Depth (no MLB IP)</t>
        </is>
      </c>
      <c r="J2157" s="18" t="inlineStr">
        <is>
          <t>Opening Day</t>
        </is>
      </c>
      <c r="K2157" s="11">
        <f>IFERROR(INDEX(Roles!$B$17:$B$20,MATCH(J2157,Roles!$A$17:$A$20,0)),1)</f>
        <v/>
      </c>
      <c r="L2157" s="19" t="n">
        <v>1</v>
      </c>
      <c r="M2157" s="11" t="n">
        <v>1</v>
      </c>
      <c r="N2157" s="19" t="n"/>
      <c r="O2157" s="19" t="n"/>
      <c r="P2157" s="19" t="n"/>
      <c r="Q2157" s="19" t="n"/>
      <c r="R2157" s="19" t="n"/>
      <c r="S2157" s="19" t="n"/>
      <c r="T2157" s="19" t="n"/>
      <c r="U2157" s="19" t="n"/>
      <c r="V2157" s="19" t="n"/>
      <c r="W2157" s="19" t="n"/>
      <c r="X2157" s="19" t="n"/>
      <c r="Y2157" s="19" t="n">
        <v>1</v>
      </c>
      <c r="Z2157" s="13">
        <f>SUMPRODUCT(N2157:Y2157,$N$2:$Y$2)*$K2157*$L2157*$M2157</f>
        <v/>
      </c>
      <c r="AA2157" s="14">
        <f>SUM(N2157:Y2157)</f>
        <v/>
      </c>
      <c r="AB2157" s="13">
        <f>SUMPRODUCT(N2157:Y2157,$N$3:$Y$3)*$K2157*$L2157*$M2157</f>
        <v/>
      </c>
      <c r="AC2157" s="13">
        <f>SUMPRODUCT(N2157:Y2157,$N$4:$Y$4)*$K2157*$L2157*$M2157</f>
        <v/>
      </c>
      <c r="AD2157" s="15" t="n">
        <v>1.8</v>
      </c>
      <c r="AE2157" s="11" t="n">
        <v>0.7853086419753086</v>
      </c>
      <c r="AF2157" s="16">
        <f>SUMPRODUCT(N2157:Y2157,$N$5:$Y$5)*$K2157*$L2157*$M2157</f>
        <v/>
      </c>
      <c r="AG2157" s="16">
        <f>SUMPRODUCT(N2157:Y2157,$N$6:$Y$6)*$K2157*$L2157*$M2157</f>
        <v/>
      </c>
      <c r="AH2157" s="20" t="n"/>
    </row>
    <row r="2158">
      <c r="A2158" s="9" t="n">
        <v>815301</v>
      </c>
      <c r="B2158" s="9" t="inlineStr">
        <is>
          <t>Michael Trausch</t>
        </is>
      </c>
      <c r="C2158" s="9" t="inlineStr">
        <is>
          <t>TEX</t>
        </is>
      </c>
      <c r="D2158" s="9" t="n">
        <v>25</v>
      </c>
      <c r="E2158" s="18" t="inlineStr">
        <is>
          <t>L</t>
        </is>
      </c>
      <c r="F2158" s="18" t="n"/>
      <c r="G2158" s="9" t="n">
        <v>29.756</v>
      </c>
      <c r="H2158" s="9" t="n">
        <v>29.756</v>
      </c>
      <c r="I2158" s="9" t="inlineStr">
        <is>
          <t>Depth (no MLB IP)</t>
        </is>
      </c>
      <c r="J2158" s="18" t="inlineStr">
        <is>
          <t>Opening Day</t>
        </is>
      </c>
      <c r="K2158" s="11">
        <f>IFERROR(INDEX(Roles!$B$17:$B$20,MATCH(J2158,Roles!$A$17:$A$20,0)),1)</f>
        <v/>
      </c>
      <c r="L2158" s="19" t="n">
        <v>1</v>
      </c>
      <c r="M2158" s="11" t="n">
        <v>1</v>
      </c>
      <c r="N2158" s="19" t="n"/>
      <c r="O2158" s="19" t="n"/>
      <c r="P2158" s="19" t="n"/>
      <c r="Q2158" s="19" t="n"/>
      <c r="R2158" s="19" t="n"/>
      <c r="S2158" s="19" t="n"/>
      <c r="T2158" s="19" t="n"/>
      <c r="U2158" s="19" t="n"/>
      <c r="V2158" s="19" t="n"/>
      <c r="W2158" s="19" t="n"/>
      <c r="X2158" s="19" t="n"/>
      <c r="Y2158" s="19" t="n">
        <v>1</v>
      </c>
      <c r="Z2158" s="13">
        <f>SUMPRODUCT(N2158:Y2158,$N$2:$Y$2)*$K2158*$L2158*$M2158</f>
        <v/>
      </c>
      <c r="AA2158" s="14">
        <f>SUM(N2158:Y2158)</f>
        <v/>
      </c>
      <c r="AB2158" s="13">
        <f>SUMPRODUCT(N2158:Y2158,$N$3:$Y$3)*$K2158*$L2158*$M2158</f>
        <v/>
      </c>
      <c r="AC2158" s="13">
        <f>SUMPRODUCT(N2158:Y2158,$N$4:$Y$4)*$K2158*$L2158*$M2158</f>
        <v/>
      </c>
      <c r="AD2158" s="15" t="n">
        <v>3</v>
      </c>
      <c r="AE2158" s="11" t="n">
        <v>1.011296296296296</v>
      </c>
      <c r="AF2158" s="16">
        <f>SUMPRODUCT(N2158:Y2158,$N$5:$Y$5)*$K2158*$L2158*$M2158</f>
        <v/>
      </c>
      <c r="AG2158" s="16">
        <f>SUMPRODUCT(N2158:Y2158,$N$6:$Y$6)*$K2158*$L2158*$M2158</f>
        <v/>
      </c>
      <c r="AH2158" s="20" t="n"/>
    </row>
    <row r="2159">
      <c r="A2159" s="9" t="n">
        <v>821062</v>
      </c>
      <c r="B2159" s="9" t="inlineStr">
        <is>
          <t>Kendy Richard</t>
        </is>
      </c>
      <c r="C2159" s="9" t="inlineStr">
        <is>
          <t>ATL</t>
        </is>
      </c>
      <c r="D2159" s="9" t="n">
        <v>25</v>
      </c>
      <c r="E2159" s="18" t="inlineStr">
        <is>
          <t>R</t>
        </is>
      </c>
      <c r="F2159" s="18" t="n"/>
      <c r="G2159" s="9" t="n">
        <v>29.756</v>
      </c>
      <c r="H2159" s="9" t="n">
        <v>29.756</v>
      </c>
      <c r="I2159" s="9" t="inlineStr">
        <is>
          <t>Depth (no MLB IP)</t>
        </is>
      </c>
      <c r="J2159" s="18" t="inlineStr">
        <is>
          <t>Opening Day</t>
        </is>
      </c>
      <c r="K2159" s="11">
        <f>IFERROR(INDEX(Roles!$B$17:$B$20,MATCH(J2159,Roles!$A$17:$A$20,0)),1)</f>
        <v/>
      </c>
      <c r="L2159" s="19" t="n">
        <v>1</v>
      </c>
      <c r="M2159" s="11" t="n">
        <v>1</v>
      </c>
      <c r="N2159" s="19" t="n"/>
      <c r="O2159" s="19" t="n"/>
      <c r="P2159" s="19" t="n"/>
      <c r="Q2159" s="19" t="n"/>
      <c r="R2159" s="19" t="n"/>
      <c r="S2159" s="19" t="n"/>
      <c r="T2159" s="19" t="n"/>
      <c r="U2159" s="19" t="n"/>
      <c r="V2159" s="19" t="n"/>
      <c r="W2159" s="19" t="n"/>
      <c r="X2159" s="19" t="n"/>
      <c r="Y2159" s="19" t="n">
        <v>1</v>
      </c>
      <c r="Z2159" s="13">
        <f>SUMPRODUCT(N2159:Y2159,$N$2:$Y$2)*$K2159*$L2159*$M2159</f>
        <v/>
      </c>
      <c r="AA2159" s="14">
        <f>SUM(N2159:Y2159)</f>
        <v/>
      </c>
      <c r="AB2159" s="13">
        <f>SUMPRODUCT(N2159:Y2159,$N$3:$Y$3)*$K2159*$L2159*$M2159</f>
        <v/>
      </c>
      <c r="AC2159" s="13">
        <f>SUMPRODUCT(N2159:Y2159,$N$4:$Y$4)*$K2159*$L2159*$M2159</f>
        <v/>
      </c>
      <c r="AD2159" s="15" t="n">
        <v>3</v>
      </c>
      <c r="AE2159" s="11" t="n">
        <v>1.011296296296296</v>
      </c>
      <c r="AF2159" s="16">
        <f>SUMPRODUCT(N2159:Y2159,$N$5:$Y$5)*$K2159*$L2159*$M2159</f>
        <v/>
      </c>
      <c r="AG2159" s="16">
        <f>SUMPRODUCT(N2159:Y2159,$N$6:$Y$6)*$K2159*$L2159*$M2159</f>
        <v/>
      </c>
      <c r="AH2159" s="20" t="n"/>
    </row>
    <row r="2160">
      <c r="A2160" s="9" t="n">
        <v>665828</v>
      </c>
      <c r="B2160" s="9" t="inlineStr">
        <is>
          <t>Oswaldo Cabrera</t>
        </is>
      </c>
      <c r="C2160" s="9" t="inlineStr">
        <is>
          <t>NYY</t>
        </is>
      </c>
      <c r="D2160" s="9" t="n">
        <v>28</v>
      </c>
      <c r="E2160" s="18" t="inlineStr">
        <is>
          <t>R</t>
        </is>
      </c>
      <c r="F2160" s="18" t="n"/>
      <c r="G2160" s="9" t="n">
        <v>3</v>
      </c>
      <c r="H2160" s="9" t="n">
        <v>3</v>
      </c>
      <c r="I2160" s="9" t="inlineStr">
        <is>
          <t>Depth (no MLB IP)</t>
        </is>
      </c>
      <c r="J2160" s="18" t="inlineStr">
        <is>
          <t>Opening Day</t>
        </is>
      </c>
      <c r="K2160" s="11">
        <f>IFERROR(INDEX(Roles!$B$17:$B$20,MATCH(J2160,Roles!$A$17:$A$20,0)),1)</f>
        <v/>
      </c>
      <c r="L2160" s="19" t="n">
        <v>1</v>
      </c>
      <c r="M2160" s="11" t="n">
        <v>1</v>
      </c>
      <c r="N2160" s="19" t="n"/>
      <c r="O2160" s="19" t="n"/>
      <c r="P2160" s="19" t="n"/>
      <c r="Q2160" s="19" t="n"/>
      <c r="R2160" s="19" t="n"/>
      <c r="S2160" s="19" t="n"/>
      <c r="T2160" s="19" t="n"/>
      <c r="U2160" s="19" t="n"/>
      <c r="V2160" s="19" t="n"/>
      <c r="W2160" s="19" t="n"/>
      <c r="X2160" s="19" t="n"/>
      <c r="Y2160" s="19" t="n">
        <v>1</v>
      </c>
      <c r="Z2160" s="13">
        <f>SUMPRODUCT(N2160:Y2160,$N$2:$Y$2)*$K2160*$L2160*$M2160</f>
        <v/>
      </c>
      <c r="AA2160" s="14">
        <f>SUM(N2160:Y2160)</f>
        <v/>
      </c>
      <c r="AB2160" s="13">
        <f>SUMPRODUCT(N2160:Y2160,$N$3:$Y$3)*$K2160*$L2160*$M2160</f>
        <v/>
      </c>
      <c r="AC2160" s="13">
        <f>SUMPRODUCT(N2160:Y2160,$N$4:$Y$4)*$K2160*$L2160*$M2160</f>
        <v/>
      </c>
      <c r="AD2160" s="15" t="n">
        <v>1.8</v>
      </c>
      <c r="AE2160" s="11" t="n">
        <v>0.7853086419753086</v>
      </c>
      <c r="AF2160" s="16">
        <f>SUMPRODUCT(N2160:Y2160,$N$5:$Y$5)*$K2160*$L2160*$M2160</f>
        <v/>
      </c>
      <c r="AG2160" s="16">
        <f>SUMPRODUCT(N2160:Y2160,$N$6:$Y$6)*$K2160*$L2160*$M2160</f>
        <v/>
      </c>
      <c r="AH2160" s="20" t="n"/>
    </row>
    <row r="2161">
      <c r="A2161" s="9" t="n">
        <v>831560</v>
      </c>
      <c r="B2161" s="9" t="inlineStr">
        <is>
          <t>Easton Marks</t>
        </is>
      </c>
      <c r="C2161" s="9" t="inlineStr">
        <is>
          <t>COL</t>
        </is>
      </c>
      <c r="D2161" s="9" t="n">
        <v>25</v>
      </c>
      <c r="E2161" s="18" t="inlineStr">
        <is>
          <t>R</t>
        </is>
      </c>
      <c r="F2161" s="18" t="n"/>
      <c r="G2161" s="9" t="n">
        <v>29.756</v>
      </c>
      <c r="H2161" s="9" t="n">
        <v>29.756</v>
      </c>
      <c r="I2161" s="9" t="inlineStr">
        <is>
          <t>Depth (no MLB IP)</t>
        </is>
      </c>
      <c r="J2161" s="18" t="inlineStr">
        <is>
          <t>Opening Day</t>
        </is>
      </c>
      <c r="K2161" s="11">
        <f>IFERROR(INDEX(Roles!$B$17:$B$20,MATCH(J2161,Roles!$A$17:$A$20,0)),1)</f>
        <v/>
      </c>
      <c r="L2161" s="19" t="n">
        <v>1</v>
      </c>
      <c r="M2161" s="11" t="n">
        <v>1</v>
      </c>
      <c r="N2161" s="19" t="n"/>
      <c r="O2161" s="19" t="n"/>
      <c r="P2161" s="19" t="n"/>
      <c r="Q2161" s="19" t="n"/>
      <c r="R2161" s="19" t="n"/>
      <c r="S2161" s="19" t="n"/>
      <c r="T2161" s="19" t="n"/>
      <c r="U2161" s="19" t="n"/>
      <c r="V2161" s="19" t="n"/>
      <c r="W2161" s="19" t="n"/>
      <c r="X2161" s="19" t="n"/>
      <c r="Y2161" s="19" t="n">
        <v>1</v>
      </c>
      <c r="Z2161" s="13">
        <f>SUMPRODUCT(N2161:Y2161,$N$2:$Y$2)*$K2161*$L2161*$M2161</f>
        <v/>
      </c>
      <c r="AA2161" s="14">
        <f>SUM(N2161:Y2161)</f>
        <v/>
      </c>
      <c r="AB2161" s="13">
        <f>SUMPRODUCT(N2161:Y2161,$N$3:$Y$3)*$K2161*$L2161*$M2161</f>
        <v/>
      </c>
      <c r="AC2161" s="13">
        <f>SUMPRODUCT(N2161:Y2161,$N$4:$Y$4)*$K2161*$L2161*$M2161</f>
        <v/>
      </c>
      <c r="AD2161" s="15" t="n">
        <v>3</v>
      </c>
      <c r="AE2161" s="11" t="n">
        <v>1.011296296296296</v>
      </c>
      <c r="AF2161" s="16">
        <f>SUMPRODUCT(N2161:Y2161,$N$5:$Y$5)*$K2161*$L2161*$M2161</f>
        <v/>
      </c>
      <c r="AG2161" s="16">
        <f>SUMPRODUCT(N2161:Y2161,$N$6:$Y$6)*$K2161*$L2161*$M2161</f>
        <v/>
      </c>
      <c r="AH2161" s="20" t="n"/>
    </row>
    <row r="2162">
      <c r="A2162" s="9" t="n">
        <v>701703</v>
      </c>
      <c r="B2162" s="9" t="inlineStr">
        <is>
          <t>Quinton Low</t>
        </is>
      </c>
      <c r="C2162" s="9" t="inlineStr">
        <is>
          <t>MIL</t>
        </is>
      </c>
      <c r="D2162" s="9" t="n">
        <v>25</v>
      </c>
      <c r="E2162" s="18" t="inlineStr">
        <is>
          <t>R</t>
        </is>
      </c>
      <c r="F2162" s="18" t="n"/>
      <c r="G2162" s="9" t="n">
        <v>29.81333333333333</v>
      </c>
      <c r="H2162" s="9" t="n">
        <v>29.81333333333333</v>
      </c>
      <c r="I2162" s="9" t="inlineStr">
        <is>
          <t>Depth (no MLB IP)</t>
        </is>
      </c>
      <c r="J2162" s="18" t="inlineStr">
        <is>
          <t>Opening Day</t>
        </is>
      </c>
      <c r="K2162" s="11">
        <f>IFERROR(INDEX(Roles!$B$17:$B$20,MATCH(J2162,Roles!$A$17:$A$20,0)),1)</f>
        <v/>
      </c>
      <c r="L2162" s="19" t="n">
        <v>1</v>
      </c>
      <c r="M2162" s="11" t="n">
        <v>1</v>
      </c>
      <c r="N2162" s="19" t="n"/>
      <c r="O2162" s="19" t="n"/>
      <c r="P2162" s="19" t="n"/>
      <c r="Q2162" s="19" t="n"/>
      <c r="R2162" s="19" t="n"/>
      <c r="S2162" s="19" t="n"/>
      <c r="T2162" s="19" t="n"/>
      <c r="U2162" s="19" t="n"/>
      <c r="V2162" s="19" t="n"/>
      <c r="W2162" s="19" t="n"/>
      <c r="X2162" s="19" t="n"/>
      <c r="Y2162" s="19" t="n">
        <v>1</v>
      </c>
      <c r="Z2162" s="13">
        <f>SUMPRODUCT(N2162:Y2162,$N$2:$Y$2)*$K2162*$L2162*$M2162</f>
        <v/>
      </c>
      <c r="AA2162" s="14">
        <f>SUM(N2162:Y2162)</f>
        <v/>
      </c>
      <c r="AB2162" s="13">
        <f>SUMPRODUCT(N2162:Y2162,$N$3:$Y$3)*$K2162*$L2162*$M2162</f>
        <v/>
      </c>
      <c r="AC2162" s="13">
        <f>SUMPRODUCT(N2162:Y2162,$N$4:$Y$4)*$K2162*$L2162*$M2162</f>
        <v/>
      </c>
      <c r="AD2162" s="15" t="n">
        <v>3</v>
      </c>
      <c r="AE2162" s="11" t="n">
        <v>1.011296296296296</v>
      </c>
      <c r="AF2162" s="16">
        <f>SUMPRODUCT(N2162:Y2162,$N$5:$Y$5)*$K2162*$L2162*$M2162</f>
        <v/>
      </c>
      <c r="AG2162" s="16">
        <f>SUMPRODUCT(N2162:Y2162,$N$6:$Y$6)*$K2162*$L2162*$M2162</f>
        <v/>
      </c>
      <c r="AH2162" s="20" t="n"/>
    </row>
    <row r="2163">
      <c r="A2163" s="9" t="n">
        <v>813865</v>
      </c>
      <c r="B2163" s="9" t="inlineStr">
        <is>
          <t>Hudson Leach</t>
        </is>
      </c>
      <c r="C2163" s="9" t="inlineStr">
        <is>
          <t>HOU</t>
        </is>
      </c>
      <c r="D2163" s="9" t="n">
        <v>25</v>
      </c>
      <c r="E2163" s="18" t="inlineStr">
        <is>
          <t>R</t>
        </is>
      </c>
      <c r="F2163" s="18" t="n"/>
      <c r="G2163" s="9" t="n">
        <v>29.95666666666667</v>
      </c>
      <c r="H2163" s="9" t="n">
        <v>29.95666666666667</v>
      </c>
      <c r="I2163" s="9" t="inlineStr">
        <is>
          <t>Depth (no MLB IP)</t>
        </is>
      </c>
      <c r="J2163" s="18" t="inlineStr">
        <is>
          <t>Opening Day</t>
        </is>
      </c>
      <c r="K2163" s="11">
        <f>IFERROR(INDEX(Roles!$B$17:$B$20,MATCH(J2163,Roles!$A$17:$A$20,0)),1)</f>
        <v/>
      </c>
      <c r="L2163" s="19" t="n">
        <v>1</v>
      </c>
      <c r="M2163" s="11" t="n">
        <v>1</v>
      </c>
      <c r="N2163" s="19" t="n"/>
      <c r="O2163" s="19" t="n"/>
      <c r="P2163" s="19" t="n"/>
      <c r="Q2163" s="19" t="n"/>
      <c r="R2163" s="19" t="n"/>
      <c r="S2163" s="19" t="n"/>
      <c r="T2163" s="19" t="n"/>
      <c r="U2163" s="19" t="n"/>
      <c r="V2163" s="19" t="n"/>
      <c r="W2163" s="19" t="n"/>
      <c r="X2163" s="19" t="n"/>
      <c r="Y2163" s="19" t="n">
        <v>1</v>
      </c>
      <c r="Z2163" s="13">
        <f>SUMPRODUCT(N2163:Y2163,$N$2:$Y$2)*$K2163*$L2163*$M2163</f>
        <v/>
      </c>
      <c r="AA2163" s="14">
        <f>SUM(N2163:Y2163)</f>
        <v/>
      </c>
      <c r="AB2163" s="13">
        <f>SUMPRODUCT(N2163:Y2163,$N$3:$Y$3)*$K2163*$L2163*$M2163</f>
        <v/>
      </c>
      <c r="AC2163" s="13">
        <f>SUMPRODUCT(N2163:Y2163,$N$4:$Y$4)*$K2163*$L2163*$M2163</f>
        <v/>
      </c>
      <c r="AD2163" s="15" t="n">
        <v>3</v>
      </c>
      <c r="AE2163" s="11" t="n">
        <v>1.011296296296296</v>
      </c>
      <c r="AF2163" s="16">
        <f>SUMPRODUCT(N2163:Y2163,$N$5:$Y$5)*$K2163*$L2163*$M2163</f>
        <v/>
      </c>
      <c r="AG2163" s="16">
        <f>SUMPRODUCT(N2163:Y2163,$N$6:$Y$6)*$K2163*$L2163*$M2163</f>
        <v/>
      </c>
      <c r="AH2163" s="20" t="n"/>
    </row>
    <row r="2164">
      <c r="A2164" s="9" t="n">
        <v>681884</v>
      </c>
      <c r="B2164" s="9" t="inlineStr">
        <is>
          <t>D.J. Carpenter</t>
        </is>
      </c>
      <c r="C2164" s="9" t="inlineStr">
        <is>
          <t>STL</t>
        </is>
      </c>
      <c r="D2164" s="9" t="n">
        <v>25</v>
      </c>
      <c r="E2164" s="18" t="inlineStr">
        <is>
          <t>R</t>
        </is>
      </c>
      <c r="F2164" s="18" t="n"/>
      <c r="G2164" s="9" t="n">
        <v>29.59833333333333</v>
      </c>
      <c r="H2164" s="9" t="n">
        <v>29.59833333333333</v>
      </c>
      <c r="I2164" s="9" t="inlineStr">
        <is>
          <t>Depth (no MLB IP)</t>
        </is>
      </c>
      <c r="J2164" s="18" t="inlineStr">
        <is>
          <t>Opening Day</t>
        </is>
      </c>
      <c r="K2164" s="11">
        <f>IFERROR(INDEX(Roles!$B$17:$B$20,MATCH(J2164,Roles!$A$17:$A$20,0)),1)</f>
        <v/>
      </c>
      <c r="L2164" s="19" t="n">
        <v>1</v>
      </c>
      <c r="M2164" s="11" t="n">
        <v>1</v>
      </c>
      <c r="N2164" s="19" t="n"/>
      <c r="O2164" s="19" t="n"/>
      <c r="P2164" s="19" t="n"/>
      <c r="Q2164" s="19" t="n"/>
      <c r="R2164" s="19" t="n"/>
      <c r="S2164" s="19" t="n"/>
      <c r="T2164" s="19" t="n"/>
      <c r="U2164" s="19" t="n"/>
      <c r="V2164" s="19" t="n"/>
      <c r="W2164" s="19" t="n"/>
      <c r="X2164" s="19" t="n"/>
      <c r="Y2164" s="19" t="n">
        <v>1</v>
      </c>
      <c r="Z2164" s="13">
        <f>SUMPRODUCT(N2164:Y2164,$N$2:$Y$2)*$K2164*$L2164*$M2164</f>
        <v/>
      </c>
      <c r="AA2164" s="14">
        <f>SUM(N2164:Y2164)</f>
        <v/>
      </c>
      <c r="AB2164" s="13">
        <f>SUMPRODUCT(N2164:Y2164,$N$3:$Y$3)*$K2164*$L2164*$M2164</f>
        <v/>
      </c>
      <c r="AC2164" s="13">
        <f>SUMPRODUCT(N2164:Y2164,$N$4:$Y$4)*$K2164*$L2164*$M2164</f>
        <v/>
      </c>
      <c r="AD2164" s="15" t="n">
        <v>3</v>
      </c>
      <c r="AE2164" s="11" t="n">
        <v>1.011296296296296</v>
      </c>
      <c r="AF2164" s="16">
        <f>SUMPRODUCT(N2164:Y2164,$N$5:$Y$5)*$K2164*$L2164*$M2164</f>
        <v/>
      </c>
      <c r="AG2164" s="16">
        <f>SUMPRODUCT(N2164:Y2164,$N$6:$Y$6)*$K2164*$L2164*$M2164</f>
        <v/>
      </c>
      <c r="AH2164" s="20" t="n"/>
    </row>
    <row r="2165">
      <c r="A2165" s="9" t="n">
        <v>700322</v>
      </c>
      <c r="B2165" s="9" t="inlineStr">
        <is>
          <t>Keythel Key</t>
        </is>
      </c>
      <c r="C2165" s="9" t="inlineStr">
        <is>
          <t>LAA</t>
        </is>
      </c>
      <c r="D2165" s="9" t="n">
        <v>25</v>
      </c>
      <c r="E2165" s="18" t="inlineStr">
        <is>
          <t>R</t>
        </is>
      </c>
      <c r="F2165" s="18" t="n"/>
      <c r="G2165" s="9" t="n">
        <v>29.81333333333333</v>
      </c>
      <c r="H2165" s="9" t="n">
        <v>29.81333333333333</v>
      </c>
      <c r="I2165" s="9" t="inlineStr">
        <is>
          <t>Depth (no MLB IP)</t>
        </is>
      </c>
      <c r="J2165" s="18" t="inlineStr">
        <is>
          <t>Opening Day</t>
        </is>
      </c>
      <c r="K2165" s="11">
        <f>IFERROR(INDEX(Roles!$B$17:$B$20,MATCH(J2165,Roles!$A$17:$A$20,0)),1)</f>
        <v/>
      </c>
      <c r="L2165" s="19" t="n">
        <v>1</v>
      </c>
      <c r="M2165" s="11" t="n">
        <v>1</v>
      </c>
      <c r="N2165" s="19" t="n"/>
      <c r="O2165" s="19" t="n"/>
      <c r="P2165" s="19" t="n"/>
      <c r="Q2165" s="19" t="n"/>
      <c r="R2165" s="19" t="n"/>
      <c r="S2165" s="19" t="n"/>
      <c r="T2165" s="19" t="n"/>
      <c r="U2165" s="19" t="n"/>
      <c r="V2165" s="19" t="n"/>
      <c r="W2165" s="19" t="n"/>
      <c r="X2165" s="19" t="n"/>
      <c r="Y2165" s="19" t="n">
        <v>1</v>
      </c>
      <c r="Z2165" s="13">
        <f>SUMPRODUCT(N2165:Y2165,$N$2:$Y$2)*$K2165*$L2165*$M2165</f>
        <v/>
      </c>
      <c r="AA2165" s="14">
        <f>SUM(N2165:Y2165)</f>
        <v/>
      </c>
      <c r="AB2165" s="13">
        <f>SUMPRODUCT(N2165:Y2165,$N$3:$Y$3)*$K2165*$L2165*$M2165</f>
        <v/>
      </c>
      <c r="AC2165" s="13">
        <f>SUMPRODUCT(N2165:Y2165,$N$4:$Y$4)*$K2165*$L2165*$M2165</f>
        <v/>
      </c>
      <c r="AD2165" s="15" t="n">
        <v>3</v>
      </c>
      <c r="AE2165" s="11" t="n">
        <v>1.011296296296296</v>
      </c>
      <c r="AF2165" s="16">
        <f>SUMPRODUCT(N2165:Y2165,$N$5:$Y$5)*$K2165*$L2165*$M2165</f>
        <v/>
      </c>
      <c r="AG2165" s="16">
        <f>SUMPRODUCT(N2165:Y2165,$N$6:$Y$6)*$K2165*$L2165*$M2165</f>
        <v/>
      </c>
      <c r="AH2165" s="20" t="n"/>
    </row>
    <row r="2166">
      <c r="A2166" s="9" t="n">
        <v>808497</v>
      </c>
      <c r="B2166" s="9" t="inlineStr">
        <is>
          <t>Elier Morillo</t>
        </is>
      </c>
      <c r="C2166" s="9" t="inlineStr">
        <is>
          <t>MIA</t>
        </is>
      </c>
      <c r="D2166" s="9" t="n">
        <v>22</v>
      </c>
      <c r="E2166" s="18" t="inlineStr">
        <is>
          <t>L</t>
        </is>
      </c>
      <c r="F2166" s="18" t="n"/>
      <c r="G2166" s="9" t="n">
        <v>29.928</v>
      </c>
      <c r="H2166" s="9" t="n">
        <v>29.928</v>
      </c>
      <c r="I2166" s="9" t="inlineStr">
        <is>
          <t>Depth (no MLB IP)</t>
        </is>
      </c>
      <c r="J2166" s="18" t="inlineStr">
        <is>
          <t>Opening Day</t>
        </is>
      </c>
      <c r="K2166" s="11">
        <f>IFERROR(INDEX(Roles!$B$17:$B$20,MATCH(J2166,Roles!$A$17:$A$20,0)),1)</f>
        <v/>
      </c>
      <c r="L2166" s="19" t="n">
        <v>1</v>
      </c>
      <c r="M2166" s="11" t="n">
        <v>1</v>
      </c>
      <c r="N2166" s="19" t="n"/>
      <c r="O2166" s="19" t="n"/>
      <c r="P2166" s="19" t="n"/>
      <c r="Q2166" s="19" t="n"/>
      <c r="R2166" s="19" t="n"/>
      <c r="S2166" s="19" t="n"/>
      <c r="T2166" s="19" t="n"/>
      <c r="U2166" s="19" t="n"/>
      <c r="V2166" s="19" t="n"/>
      <c r="W2166" s="19" t="n"/>
      <c r="X2166" s="19" t="n"/>
      <c r="Y2166" s="19" t="n">
        <v>1</v>
      </c>
      <c r="Z2166" s="13">
        <f>SUMPRODUCT(N2166:Y2166,$N$2:$Y$2)*$K2166*$L2166*$M2166</f>
        <v/>
      </c>
      <c r="AA2166" s="14">
        <f>SUM(N2166:Y2166)</f>
        <v/>
      </c>
      <c r="AB2166" s="13">
        <f>SUMPRODUCT(N2166:Y2166,$N$3:$Y$3)*$K2166*$L2166*$M2166</f>
        <v/>
      </c>
      <c r="AC2166" s="13">
        <f>SUMPRODUCT(N2166:Y2166,$N$4:$Y$4)*$K2166*$L2166*$M2166</f>
        <v/>
      </c>
      <c r="AD2166" s="15" t="n">
        <v>3</v>
      </c>
      <c r="AE2166" s="11" t="n">
        <v>1.011296296296296</v>
      </c>
      <c r="AF2166" s="16">
        <f>SUMPRODUCT(N2166:Y2166,$N$5:$Y$5)*$K2166*$L2166*$M2166</f>
        <v/>
      </c>
      <c r="AG2166" s="16">
        <f>SUMPRODUCT(N2166:Y2166,$N$6:$Y$6)*$K2166*$L2166*$M2166</f>
        <v/>
      </c>
      <c r="AH2166" s="20" t="n"/>
    </row>
    <row r="2167">
      <c r="A2167" s="9" t="n">
        <v>815951</v>
      </c>
      <c r="B2167" s="9" t="inlineStr">
        <is>
          <t>Igor Gil</t>
        </is>
      </c>
      <c r="C2167" s="9" t="inlineStr">
        <is>
          <t>SD</t>
        </is>
      </c>
      <c r="D2167" s="9" t="n">
        <v>25</v>
      </c>
      <c r="E2167" s="18" t="inlineStr">
        <is>
          <t>L</t>
        </is>
      </c>
      <c r="F2167" s="18" t="n"/>
      <c r="G2167" s="9" t="n">
        <v>30.1</v>
      </c>
      <c r="H2167" s="9" t="n">
        <v>30.1</v>
      </c>
      <c r="I2167" s="9" t="inlineStr">
        <is>
          <t>Depth (no MLB IP)</t>
        </is>
      </c>
      <c r="J2167" s="18" t="inlineStr">
        <is>
          <t>Opening Day</t>
        </is>
      </c>
      <c r="K2167" s="11">
        <f>IFERROR(INDEX(Roles!$B$17:$B$20,MATCH(J2167,Roles!$A$17:$A$20,0)),1)</f>
        <v/>
      </c>
      <c r="L2167" s="19" t="n">
        <v>1</v>
      </c>
      <c r="M2167" s="11" t="n">
        <v>1</v>
      </c>
      <c r="N2167" s="19" t="n"/>
      <c r="O2167" s="19" t="n"/>
      <c r="P2167" s="19" t="n"/>
      <c r="Q2167" s="19" t="n"/>
      <c r="R2167" s="19" t="n"/>
      <c r="S2167" s="19" t="n"/>
      <c r="T2167" s="19" t="n"/>
      <c r="U2167" s="19" t="n"/>
      <c r="V2167" s="19" t="n"/>
      <c r="W2167" s="19" t="n"/>
      <c r="X2167" s="19" t="n"/>
      <c r="Y2167" s="19" t="n">
        <v>1</v>
      </c>
      <c r="Z2167" s="13">
        <f>SUMPRODUCT(N2167:Y2167,$N$2:$Y$2)*$K2167*$L2167*$M2167</f>
        <v/>
      </c>
      <c r="AA2167" s="14">
        <f>SUM(N2167:Y2167)</f>
        <v/>
      </c>
      <c r="AB2167" s="13">
        <f>SUMPRODUCT(N2167:Y2167,$N$3:$Y$3)*$K2167*$L2167*$M2167</f>
        <v/>
      </c>
      <c r="AC2167" s="13">
        <f>SUMPRODUCT(N2167:Y2167,$N$4:$Y$4)*$K2167*$L2167*$M2167</f>
        <v/>
      </c>
      <c r="AD2167" s="15" t="n">
        <v>3</v>
      </c>
      <c r="AE2167" s="11" t="n">
        <v>1.011296296296296</v>
      </c>
      <c r="AF2167" s="16">
        <f>SUMPRODUCT(N2167:Y2167,$N$5:$Y$5)*$K2167*$L2167*$M2167</f>
        <v/>
      </c>
      <c r="AG2167" s="16">
        <f>SUMPRODUCT(N2167:Y2167,$N$6:$Y$6)*$K2167*$L2167*$M2167</f>
        <v/>
      </c>
      <c r="AH2167" s="20" t="n"/>
    </row>
    <row r="2168">
      <c r="A2168" s="9" t="n">
        <v>592806</v>
      </c>
      <c r="B2168" s="9" t="inlineStr">
        <is>
          <t>Andrew Thurman</t>
        </is>
      </c>
      <c r="C2168" s="9" t="inlineStr">
        <is>
          <t>SD</t>
        </is>
      </c>
      <c r="D2168" s="9" t="n">
        <v>25</v>
      </c>
      <c r="E2168" s="18" t="inlineStr">
        <is>
          <t>R</t>
        </is>
      </c>
      <c r="F2168" s="18" t="n"/>
      <c r="G2168" s="9" t="n">
        <v>29.95666666666667</v>
      </c>
      <c r="H2168" s="9" t="n">
        <v>29.95666666666667</v>
      </c>
      <c r="I2168" s="9" t="inlineStr">
        <is>
          <t>Depth (no MLB IP)</t>
        </is>
      </c>
      <c r="J2168" s="18" t="inlineStr">
        <is>
          <t>Opening Day</t>
        </is>
      </c>
      <c r="K2168" s="11">
        <f>IFERROR(INDEX(Roles!$B$17:$B$20,MATCH(J2168,Roles!$A$17:$A$20,0)),1)</f>
        <v/>
      </c>
      <c r="L2168" s="19" t="n">
        <v>1</v>
      </c>
      <c r="M2168" s="11" t="n">
        <v>1</v>
      </c>
      <c r="N2168" s="19" t="n"/>
      <c r="O2168" s="19" t="n"/>
      <c r="P2168" s="19" t="n"/>
      <c r="Q2168" s="19" t="n"/>
      <c r="R2168" s="19" t="n"/>
      <c r="S2168" s="19" t="n"/>
      <c r="T2168" s="19" t="n"/>
      <c r="U2168" s="19" t="n"/>
      <c r="V2168" s="19" t="n"/>
      <c r="W2168" s="19" t="n"/>
      <c r="X2168" s="19" t="n"/>
      <c r="Y2168" s="19" t="n">
        <v>1</v>
      </c>
      <c r="Z2168" s="13">
        <f>SUMPRODUCT(N2168:Y2168,$N$2:$Y$2)*$K2168*$L2168*$M2168</f>
        <v/>
      </c>
      <c r="AA2168" s="14">
        <f>SUM(N2168:Y2168)</f>
        <v/>
      </c>
      <c r="AB2168" s="13">
        <f>SUMPRODUCT(N2168:Y2168,$N$3:$Y$3)*$K2168*$L2168*$M2168</f>
        <v/>
      </c>
      <c r="AC2168" s="13">
        <f>SUMPRODUCT(N2168:Y2168,$N$4:$Y$4)*$K2168*$L2168*$M2168</f>
        <v/>
      </c>
      <c r="AD2168" s="15" t="n">
        <v>3</v>
      </c>
      <c r="AE2168" s="11" t="n">
        <v>1.011296296296296</v>
      </c>
      <c r="AF2168" s="16">
        <f>SUMPRODUCT(N2168:Y2168,$N$5:$Y$5)*$K2168*$L2168*$M2168</f>
        <v/>
      </c>
      <c r="AG2168" s="16">
        <f>SUMPRODUCT(N2168:Y2168,$N$6:$Y$6)*$K2168*$L2168*$M2168</f>
        <v/>
      </c>
      <c r="AH2168" s="20" t="n"/>
    </row>
    <row r="2169">
      <c r="A2169" s="9" t="n">
        <v>823892</v>
      </c>
      <c r="B2169" s="9" t="inlineStr">
        <is>
          <t>Adrian Heredia</t>
        </is>
      </c>
      <c r="C2169" s="9" t="inlineStr">
        <is>
          <t>BAL</t>
        </is>
      </c>
      <c r="D2169" s="9" t="n">
        <v>25</v>
      </c>
      <c r="E2169" s="18" t="inlineStr">
        <is>
          <t>R</t>
        </is>
      </c>
      <c r="F2169" s="18" t="n"/>
      <c r="G2169" s="9" t="n">
        <v>29.928</v>
      </c>
      <c r="H2169" s="9" t="n">
        <v>29.928</v>
      </c>
      <c r="I2169" s="9" t="inlineStr">
        <is>
          <t>Depth (no MLB IP)</t>
        </is>
      </c>
      <c r="J2169" s="18" t="inlineStr">
        <is>
          <t>Opening Day</t>
        </is>
      </c>
      <c r="K2169" s="11">
        <f>IFERROR(INDEX(Roles!$B$17:$B$20,MATCH(J2169,Roles!$A$17:$A$20,0)),1)</f>
        <v/>
      </c>
      <c r="L2169" s="19" t="n">
        <v>1</v>
      </c>
      <c r="M2169" s="11" t="n">
        <v>1</v>
      </c>
      <c r="N2169" s="19" t="n"/>
      <c r="O2169" s="19" t="n"/>
      <c r="P2169" s="19" t="n"/>
      <c r="Q2169" s="19" t="n"/>
      <c r="R2169" s="19" t="n"/>
      <c r="S2169" s="19" t="n"/>
      <c r="T2169" s="19" t="n"/>
      <c r="U2169" s="19" t="n"/>
      <c r="V2169" s="19" t="n"/>
      <c r="W2169" s="19" t="n"/>
      <c r="X2169" s="19" t="n"/>
      <c r="Y2169" s="19" t="n">
        <v>1</v>
      </c>
      <c r="Z2169" s="13">
        <f>SUMPRODUCT(N2169:Y2169,$N$2:$Y$2)*$K2169*$L2169*$M2169</f>
        <v/>
      </c>
      <c r="AA2169" s="14">
        <f>SUM(N2169:Y2169)</f>
        <v/>
      </c>
      <c r="AB2169" s="13">
        <f>SUMPRODUCT(N2169:Y2169,$N$3:$Y$3)*$K2169*$L2169*$M2169</f>
        <v/>
      </c>
      <c r="AC2169" s="13">
        <f>SUMPRODUCT(N2169:Y2169,$N$4:$Y$4)*$K2169*$L2169*$M2169</f>
        <v/>
      </c>
      <c r="AD2169" s="15" t="n">
        <v>3</v>
      </c>
      <c r="AE2169" s="11" t="n">
        <v>1.011296296296296</v>
      </c>
      <c r="AF2169" s="16">
        <f>SUMPRODUCT(N2169:Y2169,$N$5:$Y$5)*$K2169*$L2169*$M2169</f>
        <v/>
      </c>
      <c r="AG2169" s="16">
        <f>SUMPRODUCT(N2169:Y2169,$N$6:$Y$6)*$K2169*$L2169*$M2169</f>
        <v/>
      </c>
      <c r="AH2169" s="20" t="n"/>
    </row>
    <row r="2170">
      <c r="A2170" s="9" t="n">
        <v>663681</v>
      </c>
      <c r="B2170" s="9" t="inlineStr">
        <is>
          <t>Jarod Bayless</t>
        </is>
      </c>
      <c r="C2170" s="9" t="inlineStr">
        <is>
          <t>PIT</t>
        </is>
      </c>
      <c r="D2170" s="9" t="n">
        <v>25</v>
      </c>
      <c r="E2170" s="18" t="inlineStr">
        <is>
          <t>R</t>
        </is>
      </c>
      <c r="F2170" s="18" t="n"/>
      <c r="G2170" s="9" t="n">
        <v>29.95666666666667</v>
      </c>
      <c r="H2170" s="9" t="n">
        <v>29.95666666666667</v>
      </c>
      <c r="I2170" s="9" t="inlineStr">
        <is>
          <t>Depth (no MLB IP)</t>
        </is>
      </c>
      <c r="J2170" s="18" t="inlineStr">
        <is>
          <t>Opening Day</t>
        </is>
      </c>
      <c r="K2170" s="11">
        <f>IFERROR(INDEX(Roles!$B$17:$B$20,MATCH(J2170,Roles!$A$17:$A$20,0)),1)</f>
        <v/>
      </c>
      <c r="L2170" s="19" t="n">
        <v>1</v>
      </c>
      <c r="M2170" s="11" t="n">
        <v>1</v>
      </c>
      <c r="N2170" s="19" t="n"/>
      <c r="O2170" s="19" t="n"/>
      <c r="P2170" s="19" t="n"/>
      <c r="Q2170" s="19" t="n"/>
      <c r="R2170" s="19" t="n"/>
      <c r="S2170" s="19" t="n"/>
      <c r="T2170" s="19" t="n"/>
      <c r="U2170" s="19" t="n"/>
      <c r="V2170" s="19" t="n"/>
      <c r="W2170" s="19" t="n"/>
      <c r="X2170" s="19" t="n"/>
      <c r="Y2170" s="19" t="n">
        <v>1</v>
      </c>
      <c r="Z2170" s="13">
        <f>SUMPRODUCT(N2170:Y2170,$N$2:$Y$2)*$K2170*$L2170*$M2170</f>
        <v/>
      </c>
      <c r="AA2170" s="14">
        <f>SUM(N2170:Y2170)</f>
        <v/>
      </c>
      <c r="AB2170" s="13">
        <f>SUMPRODUCT(N2170:Y2170,$N$3:$Y$3)*$K2170*$L2170*$M2170</f>
        <v/>
      </c>
      <c r="AC2170" s="13">
        <f>SUMPRODUCT(N2170:Y2170,$N$4:$Y$4)*$K2170*$L2170*$M2170</f>
        <v/>
      </c>
      <c r="AD2170" s="15" t="n">
        <v>3</v>
      </c>
      <c r="AE2170" s="11" t="n">
        <v>1.011296296296296</v>
      </c>
      <c r="AF2170" s="16">
        <f>SUMPRODUCT(N2170:Y2170,$N$5:$Y$5)*$K2170*$L2170*$M2170</f>
        <v/>
      </c>
      <c r="AG2170" s="16">
        <f>SUMPRODUCT(N2170:Y2170,$N$6:$Y$6)*$K2170*$L2170*$M2170</f>
        <v/>
      </c>
      <c r="AH2170" s="20" t="n"/>
    </row>
    <row r="2171">
      <c r="A2171" s="9" t="n">
        <v>687879</v>
      </c>
      <c r="B2171" s="9" t="inlineStr">
        <is>
          <t>Luis Quiñones</t>
        </is>
      </c>
      <c r="C2171" s="9" t="inlineStr">
        <is>
          <t>MIN</t>
        </is>
      </c>
      <c r="D2171" s="9" t="n">
        <v>25</v>
      </c>
      <c r="E2171" s="18" t="inlineStr">
        <is>
          <t>R</t>
        </is>
      </c>
      <c r="F2171" s="18" t="n"/>
      <c r="G2171" s="9" t="n">
        <v>30.1</v>
      </c>
      <c r="H2171" s="9" t="n">
        <v>30.1</v>
      </c>
      <c r="I2171" s="9" t="inlineStr">
        <is>
          <t>Depth (no MLB IP)</t>
        </is>
      </c>
      <c r="J2171" s="18" t="inlineStr">
        <is>
          <t>Opening Day</t>
        </is>
      </c>
      <c r="K2171" s="11">
        <f>IFERROR(INDEX(Roles!$B$17:$B$20,MATCH(J2171,Roles!$A$17:$A$20,0)),1)</f>
        <v/>
      </c>
      <c r="L2171" s="19" t="n">
        <v>1</v>
      </c>
      <c r="M2171" s="11" t="n">
        <v>1</v>
      </c>
      <c r="N2171" s="19" t="n"/>
      <c r="O2171" s="19" t="n"/>
      <c r="P2171" s="19" t="n"/>
      <c r="Q2171" s="19" t="n"/>
      <c r="R2171" s="19" t="n"/>
      <c r="S2171" s="19" t="n"/>
      <c r="T2171" s="19" t="n"/>
      <c r="U2171" s="19" t="n"/>
      <c r="V2171" s="19" t="n"/>
      <c r="W2171" s="19" t="n"/>
      <c r="X2171" s="19" t="n"/>
      <c r="Y2171" s="19" t="n">
        <v>1</v>
      </c>
      <c r="Z2171" s="13">
        <f>SUMPRODUCT(N2171:Y2171,$N$2:$Y$2)*$K2171*$L2171*$M2171</f>
        <v/>
      </c>
      <c r="AA2171" s="14">
        <f>SUM(N2171:Y2171)</f>
        <v/>
      </c>
      <c r="AB2171" s="13">
        <f>SUMPRODUCT(N2171:Y2171,$N$3:$Y$3)*$K2171*$L2171*$M2171</f>
        <v/>
      </c>
      <c r="AC2171" s="13">
        <f>SUMPRODUCT(N2171:Y2171,$N$4:$Y$4)*$K2171*$L2171*$M2171</f>
        <v/>
      </c>
      <c r="AD2171" s="15" t="n">
        <v>3</v>
      </c>
      <c r="AE2171" s="11" t="n">
        <v>1.011296296296296</v>
      </c>
      <c r="AF2171" s="16">
        <f>SUMPRODUCT(N2171:Y2171,$N$5:$Y$5)*$K2171*$L2171*$M2171</f>
        <v/>
      </c>
      <c r="AG2171" s="16">
        <f>SUMPRODUCT(N2171:Y2171,$N$6:$Y$6)*$K2171*$L2171*$M2171</f>
        <v/>
      </c>
      <c r="AH2171" s="20" t="n"/>
    </row>
    <row r="2172">
      <c r="A2172" s="9" t="n">
        <v>800125</v>
      </c>
      <c r="B2172" s="9" t="inlineStr">
        <is>
          <t>Fernando Perez</t>
        </is>
      </c>
      <c r="C2172" s="9" t="inlineStr">
        <is>
          <t>TOR</t>
        </is>
      </c>
      <c r="D2172" s="9" t="n">
        <v>25</v>
      </c>
      <c r="E2172" s="18" t="inlineStr">
        <is>
          <t>R</t>
        </is>
      </c>
      <c r="F2172" s="18" t="n"/>
      <c r="G2172" s="9" t="n">
        <v>30.1</v>
      </c>
      <c r="H2172" s="9" t="n">
        <v>30.1</v>
      </c>
      <c r="I2172" s="9" t="inlineStr">
        <is>
          <t>Depth (no MLB IP)</t>
        </is>
      </c>
      <c r="J2172" s="18" t="inlineStr">
        <is>
          <t>Opening Day</t>
        </is>
      </c>
      <c r="K2172" s="11">
        <f>IFERROR(INDEX(Roles!$B$17:$B$20,MATCH(J2172,Roles!$A$17:$A$20,0)),1)</f>
        <v/>
      </c>
      <c r="L2172" s="19" t="n">
        <v>1</v>
      </c>
      <c r="M2172" s="11" t="n">
        <v>1</v>
      </c>
      <c r="N2172" s="19" t="n"/>
      <c r="O2172" s="19" t="n"/>
      <c r="P2172" s="19" t="n"/>
      <c r="Q2172" s="19" t="n"/>
      <c r="R2172" s="19" t="n"/>
      <c r="S2172" s="19" t="n"/>
      <c r="T2172" s="19" t="n"/>
      <c r="U2172" s="19" t="n"/>
      <c r="V2172" s="19" t="n"/>
      <c r="W2172" s="19" t="n"/>
      <c r="X2172" s="19" t="n"/>
      <c r="Y2172" s="19" t="n">
        <v>1</v>
      </c>
      <c r="Z2172" s="13">
        <f>SUMPRODUCT(N2172:Y2172,$N$2:$Y$2)*$K2172*$L2172*$M2172</f>
        <v/>
      </c>
      <c r="AA2172" s="14">
        <f>SUM(N2172:Y2172)</f>
        <v/>
      </c>
      <c r="AB2172" s="13">
        <f>SUMPRODUCT(N2172:Y2172,$N$3:$Y$3)*$K2172*$L2172*$M2172</f>
        <v/>
      </c>
      <c r="AC2172" s="13">
        <f>SUMPRODUCT(N2172:Y2172,$N$4:$Y$4)*$K2172*$L2172*$M2172</f>
        <v/>
      </c>
      <c r="AD2172" s="15" t="n">
        <v>3</v>
      </c>
      <c r="AE2172" s="11" t="n">
        <v>1.011296296296296</v>
      </c>
      <c r="AF2172" s="16">
        <f>SUMPRODUCT(N2172:Y2172,$N$5:$Y$5)*$K2172*$L2172*$M2172</f>
        <v/>
      </c>
      <c r="AG2172" s="16">
        <f>SUMPRODUCT(N2172:Y2172,$N$6:$Y$6)*$K2172*$L2172*$M2172</f>
        <v/>
      </c>
      <c r="AH2172" s="20" t="n"/>
    </row>
    <row r="2173">
      <c r="A2173" s="9" t="n">
        <v>693647</v>
      </c>
      <c r="B2173" s="9" t="inlineStr">
        <is>
          <t>Thomas Balboni Jr.</t>
        </is>
      </c>
      <c r="C2173" s="9" t="inlineStr">
        <is>
          <t>NYY</t>
        </is>
      </c>
      <c r="D2173" s="9" t="n">
        <v>25</v>
      </c>
      <c r="E2173" s="18" t="inlineStr">
        <is>
          <t>R</t>
        </is>
      </c>
      <c r="F2173" s="18" t="n"/>
      <c r="G2173" s="9" t="n">
        <v>30.1</v>
      </c>
      <c r="H2173" s="9" t="n">
        <v>30.1</v>
      </c>
      <c r="I2173" s="9" t="inlineStr">
        <is>
          <t>Depth (no MLB IP)</t>
        </is>
      </c>
      <c r="J2173" s="18" t="inlineStr">
        <is>
          <t>Opening Day</t>
        </is>
      </c>
      <c r="K2173" s="11">
        <f>IFERROR(INDEX(Roles!$B$17:$B$20,MATCH(J2173,Roles!$A$17:$A$20,0)),1)</f>
        <v/>
      </c>
      <c r="L2173" s="19" t="n">
        <v>1</v>
      </c>
      <c r="M2173" s="11" t="n">
        <v>1</v>
      </c>
      <c r="N2173" s="19" t="n"/>
      <c r="O2173" s="19" t="n"/>
      <c r="P2173" s="19" t="n"/>
      <c r="Q2173" s="19" t="n"/>
      <c r="R2173" s="19" t="n"/>
      <c r="S2173" s="19" t="n"/>
      <c r="T2173" s="19" t="n"/>
      <c r="U2173" s="19" t="n"/>
      <c r="V2173" s="19" t="n"/>
      <c r="W2173" s="19" t="n"/>
      <c r="X2173" s="19" t="n"/>
      <c r="Y2173" s="19" t="n">
        <v>1</v>
      </c>
      <c r="Z2173" s="13">
        <f>SUMPRODUCT(N2173:Y2173,$N$2:$Y$2)*$K2173*$L2173*$M2173</f>
        <v/>
      </c>
      <c r="AA2173" s="14">
        <f>SUM(N2173:Y2173)</f>
        <v/>
      </c>
      <c r="AB2173" s="13">
        <f>SUMPRODUCT(N2173:Y2173,$N$3:$Y$3)*$K2173*$L2173*$M2173</f>
        <v/>
      </c>
      <c r="AC2173" s="13">
        <f>SUMPRODUCT(N2173:Y2173,$N$4:$Y$4)*$K2173*$L2173*$M2173</f>
        <v/>
      </c>
      <c r="AD2173" s="15" t="n">
        <v>3</v>
      </c>
      <c r="AE2173" s="11" t="n">
        <v>1.011296296296296</v>
      </c>
      <c r="AF2173" s="16">
        <f>SUMPRODUCT(N2173:Y2173,$N$5:$Y$5)*$K2173*$L2173*$M2173</f>
        <v/>
      </c>
      <c r="AG2173" s="16">
        <f>SUMPRODUCT(N2173:Y2173,$N$6:$Y$6)*$K2173*$L2173*$M2173</f>
        <v/>
      </c>
      <c r="AH2173" s="20" t="n"/>
    </row>
    <row r="2174">
      <c r="A2174" s="9" t="n">
        <v>815300</v>
      </c>
      <c r="B2174" s="9" t="inlineStr">
        <is>
          <t>Hayden Robinson</t>
        </is>
      </c>
      <c r="C2174" s="9" t="inlineStr">
        <is>
          <t>MIL</t>
        </is>
      </c>
      <c r="D2174" s="9" t="n">
        <v>25</v>
      </c>
      <c r="E2174" s="18" t="inlineStr">
        <is>
          <t>R</t>
        </is>
      </c>
      <c r="F2174" s="18" t="n"/>
      <c r="G2174" s="9" t="n">
        <v>30.1</v>
      </c>
      <c r="H2174" s="9" t="n">
        <v>30.1</v>
      </c>
      <c r="I2174" s="9" t="inlineStr">
        <is>
          <t>Depth (no MLB IP)</t>
        </is>
      </c>
      <c r="J2174" s="18" t="inlineStr">
        <is>
          <t>Opening Day</t>
        </is>
      </c>
      <c r="K2174" s="11">
        <f>IFERROR(INDEX(Roles!$B$17:$B$20,MATCH(J2174,Roles!$A$17:$A$20,0)),1)</f>
        <v/>
      </c>
      <c r="L2174" s="19" t="n">
        <v>1</v>
      </c>
      <c r="M2174" s="11" t="n">
        <v>1</v>
      </c>
      <c r="N2174" s="19" t="n"/>
      <c r="O2174" s="19" t="n"/>
      <c r="P2174" s="19" t="n"/>
      <c r="Q2174" s="19" t="n"/>
      <c r="R2174" s="19" t="n"/>
      <c r="S2174" s="19" t="n"/>
      <c r="T2174" s="19" t="n"/>
      <c r="U2174" s="19" t="n"/>
      <c r="V2174" s="19" t="n"/>
      <c r="W2174" s="19" t="n"/>
      <c r="X2174" s="19" t="n"/>
      <c r="Y2174" s="19" t="n">
        <v>1</v>
      </c>
      <c r="Z2174" s="13">
        <f>SUMPRODUCT(N2174:Y2174,$N$2:$Y$2)*$K2174*$L2174*$M2174</f>
        <v/>
      </c>
      <c r="AA2174" s="14">
        <f>SUM(N2174:Y2174)</f>
        <v/>
      </c>
      <c r="AB2174" s="13">
        <f>SUMPRODUCT(N2174:Y2174,$N$3:$Y$3)*$K2174*$L2174*$M2174</f>
        <v/>
      </c>
      <c r="AC2174" s="13">
        <f>SUMPRODUCT(N2174:Y2174,$N$4:$Y$4)*$K2174*$L2174*$M2174</f>
        <v/>
      </c>
      <c r="AD2174" s="15" t="n">
        <v>3</v>
      </c>
      <c r="AE2174" s="11" t="n">
        <v>1.011296296296296</v>
      </c>
      <c r="AF2174" s="16">
        <f>SUMPRODUCT(N2174:Y2174,$N$5:$Y$5)*$K2174*$L2174*$M2174</f>
        <v/>
      </c>
      <c r="AG2174" s="16">
        <f>SUMPRODUCT(N2174:Y2174,$N$6:$Y$6)*$K2174*$L2174*$M2174</f>
        <v/>
      </c>
      <c r="AH2174" s="20" t="n"/>
    </row>
    <row r="2175">
      <c r="A2175" s="9" t="n">
        <v>699699</v>
      </c>
      <c r="B2175" s="9" t="inlineStr">
        <is>
          <t>Aneury Lora</t>
        </is>
      </c>
      <c r="C2175" s="9" t="inlineStr">
        <is>
          <t>SEA</t>
        </is>
      </c>
      <c r="D2175" s="9" t="n">
        <v>25</v>
      </c>
      <c r="E2175" s="18" t="inlineStr">
        <is>
          <t>R</t>
        </is>
      </c>
      <c r="F2175" s="18" t="n"/>
      <c r="G2175" s="9" t="n">
        <v>30.1</v>
      </c>
      <c r="H2175" s="9" t="n">
        <v>30.1</v>
      </c>
      <c r="I2175" s="9" t="inlineStr">
        <is>
          <t>Depth (no MLB IP)</t>
        </is>
      </c>
      <c r="J2175" s="18" t="inlineStr">
        <is>
          <t>Opening Day</t>
        </is>
      </c>
      <c r="K2175" s="11">
        <f>IFERROR(INDEX(Roles!$B$17:$B$20,MATCH(J2175,Roles!$A$17:$A$20,0)),1)</f>
        <v/>
      </c>
      <c r="L2175" s="19" t="n">
        <v>1</v>
      </c>
      <c r="M2175" s="11" t="n">
        <v>1</v>
      </c>
      <c r="N2175" s="19" t="n"/>
      <c r="O2175" s="19" t="n"/>
      <c r="P2175" s="19" t="n"/>
      <c r="Q2175" s="19" t="n"/>
      <c r="R2175" s="19" t="n"/>
      <c r="S2175" s="19" t="n"/>
      <c r="T2175" s="19" t="n"/>
      <c r="U2175" s="19" t="n"/>
      <c r="V2175" s="19" t="n"/>
      <c r="W2175" s="19" t="n"/>
      <c r="X2175" s="19" t="n"/>
      <c r="Y2175" s="19" t="n">
        <v>1</v>
      </c>
      <c r="Z2175" s="13">
        <f>SUMPRODUCT(N2175:Y2175,$N$2:$Y$2)*$K2175*$L2175*$M2175</f>
        <v/>
      </c>
      <c r="AA2175" s="14">
        <f>SUM(N2175:Y2175)</f>
        <v/>
      </c>
      <c r="AB2175" s="13">
        <f>SUMPRODUCT(N2175:Y2175,$N$3:$Y$3)*$K2175*$L2175*$M2175</f>
        <v/>
      </c>
      <c r="AC2175" s="13">
        <f>SUMPRODUCT(N2175:Y2175,$N$4:$Y$4)*$K2175*$L2175*$M2175</f>
        <v/>
      </c>
      <c r="AD2175" s="15" t="n">
        <v>3</v>
      </c>
      <c r="AE2175" s="11" t="n">
        <v>1.011296296296296</v>
      </c>
      <c r="AF2175" s="16">
        <f>SUMPRODUCT(N2175:Y2175,$N$5:$Y$5)*$K2175*$L2175*$M2175</f>
        <v/>
      </c>
      <c r="AG2175" s="16">
        <f>SUMPRODUCT(N2175:Y2175,$N$6:$Y$6)*$K2175*$L2175*$M2175</f>
        <v/>
      </c>
      <c r="AH2175" s="20" t="n"/>
    </row>
    <row r="2176">
      <c r="A2176" s="9" t="n">
        <v>694291</v>
      </c>
      <c r="B2176" s="9" t="inlineStr">
        <is>
          <t>CJ Weins</t>
        </is>
      </c>
      <c r="C2176" s="9" t="inlineStr">
        <is>
          <t>DET</t>
        </is>
      </c>
      <c r="D2176" s="9" t="n">
        <v>25</v>
      </c>
      <c r="E2176" s="18" t="inlineStr">
        <is>
          <t>R</t>
        </is>
      </c>
      <c r="F2176" s="18" t="n"/>
      <c r="G2176" s="9" t="n">
        <v>30.1</v>
      </c>
      <c r="H2176" s="9" t="n">
        <v>30.1</v>
      </c>
      <c r="I2176" s="9" t="inlineStr">
        <is>
          <t>Depth (no MLB IP)</t>
        </is>
      </c>
      <c r="J2176" s="18" t="inlineStr">
        <is>
          <t>Opening Day</t>
        </is>
      </c>
      <c r="K2176" s="11">
        <f>IFERROR(INDEX(Roles!$B$17:$B$20,MATCH(J2176,Roles!$A$17:$A$20,0)),1)</f>
        <v/>
      </c>
      <c r="L2176" s="19" t="n">
        <v>1</v>
      </c>
      <c r="M2176" s="11" t="n">
        <v>1</v>
      </c>
      <c r="N2176" s="19" t="n"/>
      <c r="O2176" s="19" t="n"/>
      <c r="P2176" s="19" t="n"/>
      <c r="Q2176" s="19" t="n"/>
      <c r="R2176" s="19" t="n"/>
      <c r="S2176" s="19" t="n"/>
      <c r="T2176" s="19" t="n"/>
      <c r="U2176" s="19" t="n"/>
      <c r="V2176" s="19" t="n"/>
      <c r="W2176" s="19" t="n"/>
      <c r="X2176" s="19" t="n"/>
      <c r="Y2176" s="19" t="n">
        <v>1</v>
      </c>
      <c r="Z2176" s="13">
        <f>SUMPRODUCT(N2176:Y2176,$N$2:$Y$2)*$K2176*$L2176*$M2176</f>
        <v/>
      </c>
      <c r="AA2176" s="14">
        <f>SUM(N2176:Y2176)</f>
        <v/>
      </c>
      <c r="AB2176" s="13">
        <f>SUMPRODUCT(N2176:Y2176,$N$3:$Y$3)*$K2176*$L2176*$M2176</f>
        <v/>
      </c>
      <c r="AC2176" s="13">
        <f>SUMPRODUCT(N2176:Y2176,$N$4:$Y$4)*$K2176*$L2176*$M2176</f>
        <v/>
      </c>
      <c r="AD2176" s="15" t="n">
        <v>3</v>
      </c>
      <c r="AE2176" s="11" t="n">
        <v>1.011296296296296</v>
      </c>
      <c r="AF2176" s="16">
        <f>SUMPRODUCT(N2176:Y2176,$N$5:$Y$5)*$K2176*$L2176*$M2176</f>
        <v/>
      </c>
      <c r="AG2176" s="16">
        <f>SUMPRODUCT(N2176:Y2176,$N$6:$Y$6)*$K2176*$L2176*$M2176</f>
        <v/>
      </c>
      <c r="AH2176" s="20" t="n"/>
    </row>
    <row r="2177">
      <c r="A2177" s="9" t="n">
        <v>805790</v>
      </c>
      <c r="B2177" s="9" t="inlineStr">
        <is>
          <t>Cody Bowker</t>
        </is>
      </c>
      <c r="C2177" s="9" t="inlineStr">
        <is>
          <t>PHI</t>
        </is>
      </c>
      <c r="D2177" s="9" t="n">
        <v>24</v>
      </c>
      <c r="E2177" s="18" t="inlineStr">
        <is>
          <t>R</t>
        </is>
      </c>
      <c r="F2177" s="18" t="n"/>
      <c r="G2177" s="9" t="n">
        <v>30.1</v>
      </c>
      <c r="H2177" s="9" t="n">
        <v>30.1</v>
      </c>
      <c r="I2177" s="9" t="inlineStr">
        <is>
          <t>Depth (no MLB IP)</t>
        </is>
      </c>
      <c r="J2177" s="18" t="inlineStr">
        <is>
          <t>Opening Day</t>
        </is>
      </c>
      <c r="K2177" s="11">
        <f>IFERROR(INDEX(Roles!$B$17:$B$20,MATCH(J2177,Roles!$A$17:$A$20,0)),1)</f>
        <v/>
      </c>
      <c r="L2177" s="19" t="n">
        <v>1</v>
      </c>
      <c r="M2177" s="11" t="n">
        <v>1</v>
      </c>
      <c r="N2177" s="19" t="n"/>
      <c r="O2177" s="19" t="n"/>
      <c r="P2177" s="19" t="n"/>
      <c r="Q2177" s="19" t="n"/>
      <c r="R2177" s="19" t="n"/>
      <c r="S2177" s="19" t="n"/>
      <c r="T2177" s="19" t="n"/>
      <c r="U2177" s="19" t="n"/>
      <c r="V2177" s="19" t="n"/>
      <c r="W2177" s="19" t="n"/>
      <c r="X2177" s="19" t="n"/>
      <c r="Y2177" s="19" t="n">
        <v>1</v>
      </c>
      <c r="Z2177" s="13">
        <f>SUMPRODUCT(N2177:Y2177,$N$2:$Y$2)*$K2177*$L2177*$M2177</f>
        <v/>
      </c>
      <c r="AA2177" s="14">
        <f>SUM(N2177:Y2177)</f>
        <v/>
      </c>
      <c r="AB2177" s="13">
        <f>SUMPRODUCT(N2177:Y2177,$N$3:$Y$3)*$K2177*$L2177*$M2177</f>
        <v/>
      </c>
      <c r="AC2177" s="13">
        <f>SUMPRODUCT(N2177:Y2177,$N$4:$Y$4)*$K2177*$L2177*$M2177</f>
        <v/>
      </c>
      <c r="AD2177" s="15" t="n">
        <v>3</v>
      </c>
      <c r="AE2177" s="11" t="n">
        <v>1.011296296296296</v>
      </c>
      <c r="AF2177" s="16">
        <f>SUMPRODUCT(N2177:Y2177,$N$5:$Y$5)*$K2177*$L2177*$M2177</f>
        <v/>
      </c>
      <c r="AG2177" s="16">
        <f>SUMPRODUCT(N2177:Y2177,$N$6:$Y$6)*$K2177*$L2177*$M2177</f>
        <v/>
      </c>
      <c r="AH2177" s="20" t="n"/>
    </row>
    <row r="2178">
      <c r="A2178" s="9" t="n">
        <v>687482</v>
      </c>
      <c r="B2178" s="9" t="inlineStr">
        <is>
          <t>Keagan Gillies</t>
        </is>
      </c>
      <c r="C2178" s="9" t="inlineStr">
        <is>
          <t>BAL</t>
        </is>
      </c>
      <c r="D2178" s="9" t="n">
        <v>25</v>
      </c>
      <c r="E2178" s="18" t="inlineStr">
        <is>
          <t>R</t>
        </is>
      </c>
      <c r="F2178" s="18" t="n"/>
      <c r="G2178" s="9" t="n">
        <v>30.1</v>
      </c>
      <c r="H2178" s="9" t="n">
        <v>30.1</v>
      </c>
      <c r="I2178" s="9" t="inlineStr">
        <is>
          <t>Depth (no MLB IP)</t>
        </is>
      </c>
      <c r="J2178" s="18" t="inlineStr">
        <is>
          <t>Opening Day</t>
        </is>
      </c>
      <c r="K2178" s="11">
        <f>IFERROR(INDEX(Roles!$B$17:$B$20,MATCH(J2178,Roles!$A$17:$A$20,0)),1)</f>
        <v/>
      </c>
      <c r="L2178" s="19" t="n">
        <v>1</v>
      </c>
      <c r="M2178" s="11" t="n">
        <v>1</v>
      </c>
      <c r="N2178" s="19" t="n"/>
      <c r="O2178" s="19" t="n"/>
      <c r="P2178" s="19" t="n"/>
      <c r="Q2178" s="19" t="n"/>
      <c r="R2178" s="19" t="n"/>
      <c r="S2178" s="19" t="n"/>
      <c r="T2178" s="19" t="n"/>
      <c r="U2178" s="19" t="n"/>
      <c r="V2178" s="19" t="n"/>
      <c r="W2178" s="19" t="n"/>
      <c r="X2178" s="19" t="n"/>
      <c r="Y2178" s="19" t="n">
        <v>1</v>
      </c>
      <c r="Z2178" s="13">
        <f>SUMPRODUCT(N2178:Y2178,$N$2:$Y$2)*$K2178*$L2178*$M2178</f>
        <v/>
      </c>
      <c r="AA2178" s="14">
        <f>SUM(N2178:Y2178)</f>
        <v/>
      </c>
      <c r="AB2178" s="13">
        <f>SUMPRODUCT(N2178:Y2178,$N$3:$Y$3)*$K2178*$L2178*$M2178</f>
        <v/>
      </c>
      <c r="AC2178" s="13">
        <f>SUMPRODUCT(N2178:Y2178,$N$4:$Y$4)*$K2178*$L2178*$M2178</f>
        <v/>
      </c>
      <c r="AD2178" s="15" t="n">
        <v>3</v>
      </c>
      <c r="AE2178" s="11" t="n">
        <v>1.011296296296296</v>
      </c>
      <c r="AF2178" s="16">
        <f>SUMPRODUCT(N2178:Y2178,$N$5:$Y$5)*$K2178*$L2178*$M2178</f>
        <v/>
      </c>
      <c r="AG2178" s="16">
        <f>SUMPRODUCT(N2178:Y2178,$N$6:$Y$6)*$K2178*$L2178*$M2178</f>
        <v/>
      </c>
      <c r="AH2178" s="20" t="n"/>
    </row>
    <row r="2179">
      <c r="A2179" s="9" t="n">
        <v>681806</v>
      </c>
      <c r="B2179" s="9" t="inlineStr">
        <is>
          <t>Andrew Wantz</t>
        </is>
      </c>
      <c r="C2179" s="9" t="inlineStr">
        <is>
          <t>LAA</t>
        </is>
      </c>
      <c r="D2179" s="9" t="n">
        <v>31</v>
      </c>
      <c r="E2179" s="18" t="inlineStr">
        <is>
          <t>R</t>
        </is>
      </c>
      <c r="F2179" s="18" t="n"/>
      <c r="G2179" s="9" t="n">
        <v>20</v>
      </c>
      <c r="H2179" s="9" t="n">
        <v>390</v>
      </c>
      <c r="I2179" s="9" t="inlineStr">
        <is>
          <t>Depth (no MLB IP)</t>
        </is>
      </c>
      <c r="J2179" s="18" t="inlineStr">
        <is>
          <t>Opening Day</t>
        </is>
      </c>
      <c r="K2179" s="11">
        <f>IFERROR(INDEX(Roles!$B$17:$B$20,MATCH(J2179,Roles!$A$17:$A$20,0)),1)</f>
        <v/>
      </c>
      <c r="L2179" s="19" t="n">
        <v>1</v>
      </c>
      <c r="M2179" s="11" t="n">
        <v>1</v>
      </c>
      <c r="N2179" s="19" t="n"/>
      <c r="O2179" s="19" t="n"/>
      <c r="P2179" s="19" t="n"/>
      <c r="Q2179" s="19" t="n"/>
      <c r="R2179" s="19" t="n"/>
      <c r="S2179" s="19" t="n"/>
      <c r="T2179" s="19" t="n"/>
      <c r="U2179" s="19" t="n"/>
      <c r="V2179" s="19" t="n"/>
      <c r="W2179" s="19" t="n"/>
      <c r="X2179" s="19" t="n"/>
      <c r="Y2179" s="19" t="n">
        <v>1</v>
      </c>
      <c r="Z2179" s="13">
        <f>SUMPRODUCT(N2179:Y2179,$N$2:$Y$2)*$K2179*$L2179*$M2179</f>
        <v/>
      </c>
      <c r="AA2179" s="14">
        <f>SUM(N2179:Y2179)</f>
        <v/>
      </c>
      <c r="AB2179" s="13">
        <f>SUMPRODUCT(N2179:Y2179,$N$3:$Y$3)*$K2179*$L2179*$M2179</f>
        <v/>
      </c>
      <c r="AC2179" s="13">
        <f>SUMPRODUCT(N2179:Y2179,$N$4:$Y$4)*$K2179*$L2179*$M2179</f>
        <v/>
      </c>
      <c r="AD2179" s="15" t="n">
        <v>2.25</v>
      </c>
      <c r="AE2179" s="11" t="n">
        <v>1.261499118165785</v>
      </c>
      <c r="AF2179" s="16">
        <f>SUMPRODUCT(N2179:Y2179,$N$5:$Y$5)*$K2179*$L2179*$M2179</f>
        <v/>
      </c>
      <c r="AG2179" s="16">
        <f>SUMPRODUCT(N2179:Y2179,$N$6:$Y$6)*$K2179*$L2179*$M2179</f>
        <v/>
      </c>
      <c r="AH2179" s="20" t="n"/>
    </row>
    <row r="2180">
      <c r="A2180" s="9" t="n">
        <v>600986</v>
      </c>
      <c r="B2180" s="9" t="inlineStr">
        <is>
          <t>Thyago Vieira</t>
        </is>
      </c>
      <c r="C2180" s="9" t="inlineStr">
        <is>
          <t>ARI</t>
        </is>
      </c>
      <c r="D2180" s="9" t="n">
        <v>34</v>
      </c>
      <c r="E2180" s="18" t="inlineStr">
        <is>
          <t>R</t>
        </is>
      </c>
      <c r="F2180" s="18" t="n"/>
      <c r="G2180" s="9" t="n">
        <v>177</v>
      </c>
      <c r="H2180" s="9" t="n">
        <v>187</v>
      </c>
      <c r="I2180" s="9" t="inlineStr">
        <is>
          <t>Depth (no MLB IP)</t>
        </is>
      </c>
      <c r="J2180" s="18" t="inlineStr">
        <is>
          <t>Opening Day</t>
        </is>
      </c>
      <c r="K2180" s="11">
        <f>IFERROR(INDEX(Roles!$B$17:$B$20,MATCH(J2180,Roles!$A$17:$A$20,0)),1)</f>
        <v/>
      </c>
      <c r="L2180" s="19" t="n">
        <v>1</v>
      </c>
      <c r="M2180" s="11" t="n">
        <v>1</v>
      </c>
      <c r="N2180" s="19" t="n"/>
      <c r="O2180" s="19" t="n"/>
      <c r="P2180" s="19" t="n"/>
      <c r="Q2180" s="19" t="n"/>
      <c r="R2180" s="19" t="n"/>
      <c r="S2180" s="19" t="n"/>
      <c r="T2180" s="19" t="n"/>
      <c r="U2180" s="19" t="n"/>
      <c r="V2180" s="19" t="n"/>
      <c r="W2180" s="19" t="n"/>
      <c r="X2180" s="19" t="n"/>
      <c r="Y2180" s="19" t="n">
        <v>1</v>
      </c>
      <c r="Z2180" s="13">
        <f>SUMPRODUCT(N2180:Y2180,$N$2:$Y$2)*$K2180*$L2180*$M2180</f>
        <v/>
      </c>
      <c r="AA2180" s="14">
        <f>SUM(N2180:Y2180)</f>
        <v/>
      </c>
      <c r="AB2180" s="13">
        <f>SUMPRODUCT(N2180:Y2180,$N$3:$Y$3)*$K2180*$L2180*$M2180</f>
        <v/>
      </c>
      <c r="AC2180" s="13">
        <f>SUMPRODUCT(N2180:Y2180,$N$4:$Y$4)*$K2180*$L2180*$M2180</f>
        <v/>
      </c>
      <c r="AD2180" s="15" t="n">
        <v>18</v>
      </c>
      <c r="AE2180" s="11" t="n">
        <v>1.12657848324515</v>
      </c>
      <c r="AF2180" s="16">
        <f>SUMPRODUCT(N2180:Y2180,$N$5:$Y$5)*$K2180*$L2180*$M2180</f>
        <v/>
      </c>
      <c r="AG2180" s="16">
        <f>SUMPRODUCT(N2180:Y2180,$N$6:$Y$6)*$K2180*$L2180*$M2180</f>
        <v/>
      </c>
      <c r="AH2180" s="20" t="n"/>
    </row>
    <row r="2181">
      <c r="A2181" s="9" t="n">
        <v>701220</v>
      </c>
      <c r="B2181" s="9" t="inlineStr">
        <is>
          <t>Daniel Avitia</t>
        </is>
      </c>
      <c r="C2181" s="9" t="inlineStr">
        <is>
          <t>CHC</t>
        </is>
      </c>
      <c r="D2181" s="9" t="n">
        <v>25</v>
      </c>
      <c r="E2181" s="18" t="inlineStr">
        <is>
          <t>R</t>
        </is>
      </c>
      <c r="F2181" s="18" t="n"/>
      <c r="G2181" s="9" t="n">
        <v>30.444</v>
      </c>
      <c r="H2181" s="9" t="n">
        <v>30.444</v>
      </c>
      <c r="I2181" s="9" t="inlineStr">
        <is>
          <t>Depth (no MLB IP)</t>
        </is>
      </c>
      <c r="J2181" s="18" t="inlineStr">
        <is>
          <t>Opening Day</t>
        </is>
      </c>
      <c r="K2181" s="11">
        <f>IFERROR(INDEX(Roles!$B$17:$B$20,MATCH(J2181,Roles!$A$17:$A$20,0)),1)</f>
        <v/>
      </c>
      <c r="L2181" s="19" t="n">
        <v>1</v>
      </c>
      <c r="M2181" s="11" t="n">
        <v>1</v>
      </c>
      <c r="N2181" s="19" t="n"/>
      <c r="O2181" s="19" t="n"/>
      <c r="P2181" s="19" t="n"/>
      <c r="Q2181" s="19" t="n"/>
      <c r="R2181" s="19" t="n"/>
      <c r="S2181" s="19" t="n"/>
      <c r="T2181" s="19" t="n"/>
      <c r="U2181" s="19" t="n"/>
      <c r="V2181" s="19" t="n"/>
      <c r="W2181" s="19" t="n"/>
      <c r="X2181" s="19" t="n"/>
      <c r="Y2181" s="19" t="n">
        <v>1</v>
      </c>
      <c r="Z2181" s="13">
        <f>SUMPRODUCT(N2181:Y2181,$N$2:$Y$2)*$K2181*$L2181*$M2181</f>
        <v/>
      </c>
      <c r="AA2181" s="14">
        <f>SUM(N2181:Y2181)</f>
        <v/>
      </c>
      <c r="AB2181" s="13">
        <f>SUMPRODUCT(N2181:Y2181,$N$3:$Y$3)*$K2181*$L2181*$M2181</f>
        <v/>
      </c>
      <c r="AC2181" s="13">
        <f>SUMPRODUCT(N2181:Y2181,$N$4:$Y$4)*$K2181*$L2181*$M2181</f>
        <v/>
      </c>
      <c r="AD2181" s="15" t="n">
        <v>3</v>
      </c>
      <c r="AE2181" s="11" t="n">
        <v>1.011296296296296</v>
      </c>
      <c r="AF2181" s="16">
        <f>SUMPRODUCT(N2181:Y2181,$N$5:$Y$5)*$K2181*$L2181*$M2181</f>
        <v/>
      </c>
      <c r="AG2181" s="16">
        <f>SUMPRODUCT(N2181:Y2181,$N$6:$Y$6)*$K2181*$L2181*$M2181</f>
        <v/>
      </c>
      <c r="AH2181" s="20" t="n"/>
    </row>
    <row r="2182">
      <c r="A2182" s="9" t="n">
        <v>695518</v>
      </c>
      <c r="B2182" s="9" t="inlineStr">
        <is>
          <t>Pierce Coppola</t>
        </is>
      </c>
      <c r="C2182" s="9" t="inlineStr">
        <is>
          <t>CHC</t>
        </is>
      </c>
      <c r="D2182" s="9" t="n">
        <v>25</v>
      </c>
      <c r="E2182" s="18" t="inlineStr">
        <is>
          <t>L</t>
        </is>
      </c>
      <c r="F2182" s="18" t="n"/>
      <c r="G2182" s="9" t="n">
        <v>30.38666666666667</v>
      </c>
      <c r="H2182" s="9" t="n">
        <v>30.38666666666667</v>
      </c>
      <c r="I2182" s="9" t="inlineStr">
        <is>
          <t>Depth (no MLB IP)</t>
        </is>
      </c>
      <c r="J2182" s="18" t="inlineStr">
        <is>
          <t>Opening Day</t>
        </is>
      </c>
      <c r="K2182" s="11">
        <f>IFERROR(INDEX(Roles!$B$17:$B$20,MATCH(J2182,Roles!$A$17:$A$20,0)),1)</f>
        <v/>
      </c>
      <c r="L2182" s="19" t="n">
        <v>1</v>
      </c>
      <c r="M2182" s="11" t="n">
        <v>1</v>
      </c>
      <c r="N2182" s="19" t="n"/>
      <c r="O2182" s="19" t="n"/>
      <c r="P2182" s="19" t="n"/>
      <c r="Q2182" s="19" t="n"/>
      <c r="R2182" s="19" t="n"/>
      <c r="S2182" s="19" t="n"/>
      <c r="T2182" s="19" t="n"/>
      <c r="U2182" s="19" t="n"/>
      <c r="V2182" s="19" t="n"/>
      <c r="W2182" s="19" t="n"/>
      <c r="X2182" s="19" t="n"/>
      <c r="Y2182" s="19" t="n">
        <v>1</v>
      </c>
      <c r="Z2182" s="13">
        <f>SUMPRODUCT(N2182:Y2182,$N$2:$Y$2)*$K2182*$L2182*$M2182</f>
        <v/>
      </c>
      <c r="AA2182" s="14">
        <f>SUM(N2182:Y2182)</f>
        <v/>
      </c>
      <c r="AB2182" s="13">
        <f>SUMPRODUCT(N2182:Y2182,$N$3:$Y$3)*$K2182*$L2182*$M2182</f>
        <v/>
      </c>
      <c r="AC2182" s="13">
        <f>SUMPRODUCT(N2182:Y2182,$N$4:$Y$4)*$K2182*$L2182*$M2182</f>
        <v/>
      </c>
      <c r="AD2182" s="15" t="n">
        <v>3</v>
      </c>
      <c r="AE2182" s="11" t="n">
        <v>1.011296296296296</v>
      </c>
      <c r="AF2182" s="16">
        <f>SUMPRODUCT(N2182:Y2182,$N$5:$Y$5)*$K2182*$L2182*$M2182</f>
        <v/>
      </c>
      <c r="AG2182" s="16">
        <f>SUMPRODUCT(N2182:Y2182,$N$6:$Y$6)*$K2182*$L2182*$M2182</f>
        <v/>
      </c>
      <c r="AH2182" s="20" t="n"/>
    </row>
    <row r="2183">
      <c r="A2183" s="9" t="n">
        <v>800576</v>
      </c>
      <c r="B2183" s="9" t="inlineStr">
        <is>
          <t>Andy Basora</t>
        </is>
      </c>
      <c r="C2183" s="9" t="inlineStr">
        <is>
          <t>KC</t>
        </is>
      </c>
      <c r="D2183" s="9" t="n">
        <v>25</v>
      </c>
      <c r="E2183" s="18" t="inlineStr">
        <is>
          <t>R</t>
        </is>
      </c>
      <c r="F2183" s="18" t="n"/>
      <c r="G2183" s="9" t="n">
        <v>30.444</v>
      </c>
      <c r="H2183" s="9" t="n">
        <v>30.444</v>
      </c>
      <c r="I2183" s="9" t="inlineStr">
        <is>
          <t>Depth (no MLB IP)</t>
        </is>
      </c>
      <c r="J2183" s="18" t="inlineStr">
        <is>
          <t>Opening Day</t>
        </is>
      </c>
      <c r="K2183" s="11">
        <f>IFERROR(INDEX(Roles!$B$17:$B$20,MATCH(J2183,Roles!$A$17:$A$20,0)),1)</f>
        <v/>
      </c>
      <c r="L2183" s="19" t="n">
        <v>1</v>
      </c>
      <c r="M2183" s="11" t="n">
        <v>1</v>
      </c>
      <c r="N2183" s="19" t="n"/>
      <c r="O2183" s="19" t="n"/>
      <c r="P2183" s="19" t="n"/>
      <c r="Q2183" s="19" t="n"/>
      <c r="R2183" s="19" t="n"/>
      <c r="S2183" s="19" t="n"/>
      <c r="T2183" s="19" t="n"/>
      <c r="U2183" s="19" t="n"/>
      <c r="V2183" s="19" t="n"/>
      <c r="W2183" s="19" t="n"/>
      <c r="X2183" s="19" t="n"/>
      <c r="Y2183" s="19" t="n">
        <v>1</v>
      </c>
      <c r="Z2183" s="13">
        <f>SUMPRODUCT(N2183:Y2183,$N$2:$Y$2)*$K2183*$L2183*$M2183</f>
        <v/>
      </c>
      <c r="AA2183" s="14">
        <f>SUM(N2183:Y2183)</f>
        <v/>
      </c>
      <c r="AB2183" s="13">
        <f>SUMPRODUCT(N2183:Y2183,$N$3:$Y$3)*$K2183*$L2183*$M2183</f>
        <v/>
      </c>
      <c r="AC2183" s="13">
        <f>SUMPRODUCT(N2183:Y2183,$N$4:$Y$4)*$K2183*$L2183*$M2183</f>
        <v/>
      </c>
      <c r="AD2183" s="15" t="n">
        <v>3</v>
      </c>
      <c r="AE2183" s="11" t="n">
        <v>1.011296296296296</v>
      </c>
      <c r="AF2183" s="16">
        <f>SUMPRODUCT(N2183:Y2183,$N$5:$Y$5)*$K2183*$L2183*$M2183</f>
        <v/>
      </c>
      <c r="AG2183" s="16">
        <f>SUMPRODUCT(N2183:Y2183,$N$6:$Y$6)*$K2183*$L2183*$M2183</f>
        <v/>
      </c>
      <c r="AH2183" s="20" t="n"/>
    </row>
    <row r="2184">
      <c r="A2184" s="9" t="n">
        <v>802683</v>
      </c>
      <c r="B2184" s="9" t="inlineStr">
        <is>
          <t>Dominic Freeberger</t>
        </is>
      </c>
      <c r="C2184" s="9" t="inlineStr">
        <is>
          <t>STL</t>
        </is>
      </c>
      <c r="D2184" s="9" t="n">
        <v>25</v>
      </c>
      <c r="E2184" s="18" t="inlineStr">
        <is>
          <t>R</t>
        </is>
      </c>
      <c r="F2184" s="18" t="n"/>
      <c r="G2184" s="9" t="n">
        <v>30.38666666666667</v>
      </c>
      <c r="H2184" s="9" t="n">
        <v>30.38666666666667</v>
      </c>
      <c r="I2184" s="9" t="inlineStr">
        <is>
          <t>Depth (no MLB IP)</t>
        </is>
      </c>
      <c r="J2184" s="18" t="inlineStr">
        <is>
          <t>Opening Day</t>
        </is>
      </c>
      <c r="K2184" s="11">
        <f>IFERROR(INDEX(Roles!$B$17:$B$20,MATCH(J2184,Roles!$A$17:$A$20,0)),1)</f>
        <v/>
      </c>
      <c r="L2184" s="19" t="n">
        <v>1</v>
      </c>
      <c r="M2184" s="11" t="n">
        <v>1</v>
      </c>
      <c r="N2184" s="19" t="n"/>
      <c r="O2184" s="19" t="n"/>
      <c r="P2184" s="19" t="n"/>
      <c r="Q2184" s="19" t="n"/>
      <c r="R2184" s="19" t="n"/>
      <c r="S2184" s="19" t="n"/>
      <c r="T2184" s="19" t="n"/>
      <c r="U2184" s="19" t="n"/>
      <c r="V2184" s="19" t="n"/>
      <c r="W2184" s="19" t="n"/>
      <c r="X2184" s="19" t="n"/>
      <c r="Y2184" s="19" t="n">
        <v>1</v>
      </c>
      <c r="Z2184" s="13">
        <f>SUMPRODUCT(N2184:Y2184,$N$2:$Y$2)*$K2184*$L2184*$M2184</f>
        <v/>
      </c>
      <c r="AA2184" s="14">
        <f>SUM(N2184:Y2184)</f>
        <v/>
      </c>
      <c r="AB2184" s="13">
        <f>SUMPRODUCT(N2184:Y2184,$N$3:$Y$3)*$K2184*$L2184*$M2184</f>
        <v/>
      </c>
      <c r="AC2184" s="13">
        <f>SUMPRODUCT(N2184:Y2184,$N$4:$Y$4)*$K2184*$L2184*$M2184</f>
        <v/>
      </c>
      <c r="AD2184" s="15" t="n">
        <v>3</v>
      </c>
      <c r="AE2184" s="11" t="n">
        <v>1.011296296296296</v>
      </c>
      <c r="AF2184" s="16">
        <f>SUMPRODUCT(N2184:Y2184,$N$5:$Y$5)*$K2184*$L2184*$M2184</f>
        <v/>
      </c>
      <c r="AG2184" s="16">
        <f>SUMPRODUCT(N2184:Y2184,$N$6:$Y$6)*$K2184*$L2184*$M2184</f>
        <v/>
      </c>
      <c r="AH2184" s="20" t="n"/>
    </row>
    <row r="2185">
      <c r="A2185" s="9" t="n">
        <v>641816</v>
      </c>
      <c r="B2185" s="9" t="inlineStr">
        <is>
          <t>Tyler Mahle</t>
        </is>
      </c>
      <c r="C2185" s="9" t="inlineStr">
        <is>
          <t>ATL</t>
        </is>
      </c>
      <c r="D2185" s="9" t="n">
        <v>32</v>
      </c>
      <c r="E2185" s="18" t="inlineStr">
        <is>
          <t>R</t>
        </is>
      </c>
      <c r="F2185" s="18" t="n"/>
      <c r="G2185" s="9" t="n">
        <v>614</v>
      </c>
      <c r="H2185" s="9" t="n">
        <v>1621</v>
      </c>
      <c r="I2185" s="9" t="inlineStr">
        <is>
          <t>Mid-Rotation Starter (SP2-3)</t>
        </is>
      </c>
      <c r="J2185" s="18" t="inlineStr">
        <is>
          <t>Opening Day</t>
        </is>
      </c>
      <c r="K2185" s="11">
        <f>IFERROR(INDEX(Roles!$B$17:$B$20,MATCH(J2185,Roles!$A$17:$A$20,0)),1)</f>
        <v/>
      </c>
      <c r="L2185" s="19" t="n">
        <v>1</v>
      </c>
      <c r="M2185" s="11" t="n">
        <v>1</v>
      </c>
      <c r="N2185" s="19" t="n"/>
      <c r="O2185" s="19" t="n">
        <v>0.5</v>
      </c>
      <c r="P2185" s="19" t="n">
        <v>0.5</v>
      </c>
      <c r="Q2185" s="19" t="n"/>
      <c r="R2185" s="19" t="n"/>
      <c r="S2185" s="19" t="n"/>
      <c r="T2185" s="19" t="n"/>
      <c r="U2185" s="19" t="n"/>
      <c r="V2185" s="19" t="n"/>
      <c r="W2185" s="19" t="n"/>
      <c r="X2185" s="19" t="n"/>
      <c r="Y2185" s="19" t="n"/>
      <c r="Z2185" s="13">
        <f>SUMPRODUCT(N2185:Y2185,$N$2:$Y$2)*$K2185*$L2185*$M2185</f>
        <v/>
      </c>
      <c r="AA2185" s="14">
        <f>SUM(N2185:Y2185)</f>
        <v/>
      </c>
      <c r="AB2185" s="13">
        <f>SUMPRODUCT(N2185:Y2185,$N$3:$Y$3)*$K2185*$L2185*$M2185</f>
        <v/>
      </c>
      <c r="AC2185" s="13">
        <f>SUMPRODUCT(N2185:Y2185,$N$4:$Y$4)*$K2185*$L2185*$M2185</f>
        <v/>
      </c>
      <c r="AD2185" s="15" t="n">
        <v>22</v>
      </c>
      <c r="AE2185" s="11" t="n">
        <v>5.288499567420591</v>
      </c>
      <c r="AF2185" s="16">
        <f>SUMPRODUCT(N2185:Y2185,$N$5:$Y$5)*$K2185*$L2185*$M2185</f>
        <v/>
      </c>
      <c r="AG2185" s="16">
        <f>SUMPRODUCT(N2185:Y2185,$N$6:$Y$6)*$K2185*$L2185*$M2185</f>
        <v/>
      </c>
      <c r="AH2185" s="20" t="n"/>
    </row>
    <row r="2186">
      <c r="A2186" s="9" t="n">
        <v>683568</v>
      </c>
      <c r="B2186" s="9" t="inlineStr">
        <is>
          <t>Jairo Iriarte</t>
        </is>
      </c>
      <c r="C2186" s="9" t="inlineStr">
        <is>
          <t>CWS</t>
        </is>
      </c>
      <c r="D2186" s="9" t="n">
        <v>25</v>
      </c>
      <c r="E2186" s="18" t="inlineStr">
        <is>
          <t>R</t>
        </is>
      </c>
      <c r="F2186" s="18" t="n"/>
      <c r="G2186" s="9" t="n">
        <v>30</v>
      </c>
      <c r="H2186" s="9" t="n">
        <v>30</v>
      </c>
      <c r="I2186" s="9" t="inlineStr">
        <is>
          <t>Depth (no MLB IP)</t>
        </is>
      </c>
      <c r="J2186" s="18" t="inlineStr">
        <is>
          <t>Opening Day</t>
        </is>
      </c>
      <c r="K2186" s="11">
        <f>IFERROR(INDEX(Roles!$B$17:$B$20,MATCH(J2186,Roles!$A$17:$A$20,0)),1)</f>
        <v/>
      </c>
      <c r="L2186" s="19" t="n">
        <v>1</v>
      </c>
      <c r="M2186" s="11" t="n">
        <v>1</v>
      </c>
      <c r="N2186" s="19" t="n"/>
      <c r="O2186" s="19" t="n"/>
      <c r="P2186" s="19" t="n"/>
      <c r="Q2186" s="19" t="n"/>
      <c r="R2186" s="19" t="n"/>
      <c r="S2186" s="19" t="n"/>
      <c r="T2186" s="19" t="n"/>
      <c r="U2186" s="19" t="n"/>
      <c r="V2186" s="19" t="n"/>
      <c r="W2186" s="19" t="n"/>
      <c r="X2186" s="19" t="n"/>
      <c r="Y2186" s="19" t="n">
        <v>1</v>
      </c>
      <c r="Z2186" s="13">
        <f>SUMPRODUCT(N2186:Y2186,$N$2:$Y$2)*$K2186*$L2186*$M2186</f>
        <v/>
      </c>
      <c r="AA2186" s="14">
        <f>SUM(N2186:Y2186)</f>
        <v/>
      </c>
      <c r="AB2186" s="13">
        <f>SUMPRODUCT(N2186:Y2186,$N$3:$Y$3)*$K2186*$L2186*$M2186</f>
        <v/>
      </c>
      <c r="AC2186" s="13">
        <f>SUMPRODUCT(N2186:Y2186,$N$4:$Y$4)*$K2186*$L2186*$M2186</f>
        <v/>
      </c>
      <c r="AD2186" s="15" t="n">
        <v>4.8</v>
      </c>
      <c r="AE2186" s="11" t="n">
        <v>1.007530864197531</v>
      </c>
      <c r="AF2186" s="16">
        <f>SUMPRODUCT(N2186:Y2186,$N$5:$Y$5)*$K2186*$L2186*$M2186</f>
        <v/>
      </c>
      <c r="AG2186" s="16">
        <f>SUMPRODUCT(N2186:Y2186,$N$6:$Y$6)*$K2186*$L2186*$M2186</f>
        <v/>
      </c>
      <c r="AH2186" s="20" t="n"/>
    </row>
    <row r="2187">
      <c r="A2187" s="9" t="n">
        <v>692838</v>
      </c>
      <c r="B2187" s="9" t="inlineStr">
        <is>
          <t>Jaydenn Estanista</t>
        </is>
      </c>
      <c r="C2187" s="9" t="inlineStr">
        <is>
          <t>MIA</t>
        </is>
      </c>
      <c r="D2187" s="9" t="n">
        <v>25</v>
      </c>
      <c r="E2187" s="18" t="inlineStr">
        <is>
          <t>R</t>
        </is>
      </c>
      <c r="F2187" s="18" t="n"/>
      <c r="G2187" s="9" t="n">
        <v>30.60166666666666</v>
      </c>
      <c r="H2187" s="9" t="n">
        <v>30.60166666666666</v>
      </c>
      <c r="I2187" s="9" t="inlineStr">
        <is>
          <t>Depth (no MLB IP)</t>
        </is>
      </c>
      <c r="J2187" s="18" t="inlineStr">
        <is>
          <t>Opening Day</t>
        </is>
      </c>
      <c r="K2187" s="11">
        <f>IFERROR(INDEX(Roles!$B$17:$B$20,MATCH(J2187,Roles!$A$17:$A$20,0)),1)</f>
        <v/>
      </c>
      <c r="L2187" s="19" t="n">
        <v>1</v>
      </c>
      <c r="M2187" s="11" t="n">
        <v>1</v>
      </c>
      <c r="N2187" s="19" t="n"/>
      <c r="O2187" s="19" t="n"/>
      <c r="P2187" s="19" t="n"/>
      <c r="Q2187" s="19" t="n"/>
      <c r="R2187" s="19" t="n"/>
      <c r="S2187" s="19" t="n"/>
      <c r="T2187" s="19" t="n"/>
      <c r="U2187" s="19" t="n"/>
      <c r="V2187" s="19" t="n"/>
      <c r="W2187" s="19" t="n"/>
      <c r="X2187" s="19" t="n"/>
      <c r="Y2187" s="19" t="n">
        <v>1</v>
      </c>
      <c r="Z2187" s="13">
        <f>SUMPRODUCT(N2187:Y2187,$N$2:$Y$2)*$K2187*$L2187*$M2187</f>
        <v/>
      </c>
      <c r="AA2187" s="14">
        <f>SUM(N2187:Y2187)</f>
        <v/>
      </c>
      <c r="AB2187" s="13">
        <f>SUMPRODUCT(N2187:Y2187,$N$3:$Y$3)*$K2187*$L2187*$M2187</f>
        <v/>
      </c>
      <c r="AC2187" s="13">
        <f>SUMPRODUCT(N2187:Y2187,$N$4:$Y$4)*$K2187*$L2187*$M2187</f>
        <v/>
      </c>
      <c r="AD2187" s="15" t="n">
        <v>3</v>
      </c>
      <c r="AE2187" s="11" t="n">
        <v>1.011296296296296</v>
      </c>
      <c r="AF2187" s="16">
        <f>SUMPRODUCT(N2187:Y2187,$N$5:$Y$5)*$K2187*$L2187*$M2187</f>
        <v/>
      </c>
      <c r="AG2187" s="16">
        <f>SUMPRODUCT(N2187:Y2187,$N$6:$Y$6)*$K2187*$L2187*$M2187</f>
        <v/>
      </c>
      <c r="AH2187" s="20" t="n"/>
    </row>
    <row r="2188">
      <c r="A2188" s="9" t="n">
        <v>807715</v>
      </c>
      <c r="B2188" s="9" t="inlineStr">
        <is>
          <t>Liam Sullivan</t>
        </is>
      </c>
      <c r="C2188" s="9" t="inlineStr">
        <is>
          <t>WSH</t>
        </is>
      </c>
      <c r="D2188" s="9" t="n">
        <v>25</v>
      </c>
      <c r="E2188" s="18" t="inlineStr">
        <is>
          <t>L</t>
        </is>
      </c>
      <c r="F2188" s="18" t="n"/>
      <c r="G2188" s="9" t="n">
        <v>30.38666666666667</v>
      </c>
      <c r="H2188" s="9" t="n">
        <v>30.38666666666667</v>
      </c>
      <c r="I2188" s="9" t="inlineStr">
        <is>
          <t>Depth (no MLB IP)</t>
        </is>
      </c>
      <c r="J2188" s="18" t="inlineStr">
        <is>
          <t>Opening Day</t>
        </is>
      </c>
      <c r="K2188" s="11">
        <f>IFERROR(INDEX(Roles!$B$17:$B$20,MATCH(J2188,Roles!$A$17:$A$20,0)),1)</f>
        <v/>
      </c>
      <c r="L2188" s="19" t="n">
        <v>1</v>
      </c>
      <c r="M2188" s="11" t="n">
        <v>1</v>
      </c>
      <c r="N2188" s="19" t="n"/>
      <c r="O2188" s="19" t="n"/>
      <c r="P2188" s="19" t="n"/>
      <c r="Q2188" s="19" t="n"/>
      <c r="R2188" s="19" t="n"/>
      <c r="S2188" s="19" t="n"/>
      <c r="T2188" s="19" t="n"/>
      <c r="U2188" s="19" t="n"/>
      <c r="V2188" s="19" t="n"/>
      <c r="W2188" s="19" t="n"/>
      <c r="X2188" s="19" t="n"/>
      <c r="Y2188" s="19" t="n">
        <v>1</v>
      </c>
      <c r="Z2188" s="13">
        <f>SUMPRODUCT(N2188:Y2188,$N$2:$Y$2)*$K2188*$L2188*$M2188</f>
        <v/>
      </c>
      <c r="AA2188" s="14">
        <f>SUM(N2188:Y2188)</f>
        <v/>
      </c>
      <c r="AB2188" s="13">
        <f>SUMPRODUCT(N2188:Y2188,$N$3:$Y$3)*$K2188*$L2188*$M2188</f>
        <v/>
      </c>
      <c r="AC2188" s="13">
        <f>SUMPRODUCT(N2188:Y2188,$N$4:$Y$4)*$K2188*$L2188*$M2188</f>
        <v/>
      </c>
      <c r="AD2188" s="15" t="n">
        <v>3</v>
      </c>
      <c r="AE2188" s="11" t="n">
        <v>1.011296296296296</v>
      </c>
      <c r="AF2188" s="16">
        <f>SUMPRODUCT(N2188:Y2188,$N$5:$Y$5)*$K2188*$L2188*$M2188</f>
        <v/>
      </c>
      <c r="AG2188" s="16">
        <f>SUMPRODUCT(N2188:Y2188,$N$6:$Y$6)*$K2188*$L2188*$M2188</f>
        <v/>
      </c>
      <c r="AH2188" s="20" t="n"/>
    </row>
    <row r="2189">
      <c r="A2189" s="9" t="n">
        <v>807739</v>
      </c>
      <c r="B2189" s="9" t="inlineStr">
        <is>
          <t>Kade Anderson</t>
        </is>
      </c>
      <c r="C2189" s="9" t="inlineStr">
        <is>
          <t>SEA</t>
        </is>
      </c>
      <c r="D2189" s="9" t="n">
        <v>22</v>
      </c>
      <c r="E2189" s="18" t="inlineStr">
        <is>
          <t>L</t>
        </is>
      </c>
      <c r="F2189" s="18" t="n"/>
      <c r="G2189" s="9" t="n">
        <v>146</v>
      </c>
      <c r="H2189" s="9" t="n">
        <v>146</v>
      </c>
      <c r="I2189" s="9" t="inlineStr">
        <is>
          <t>End-of-Rotation Starter (SP4-5)</t>
        </is>
      </c>
      <c r="J2189" s="18" t="inlineStr">
        <is>
          <t>Opening Day</t>
        </is>
      </c>
      <c r="K2189" s="11">
        <f>IFERROR(INDEX(Roles!$B$17:$B$20,MATCH(J2189,Roles!$A$17:$A$20,0)),1)</f>
        <v/>
      </c>
      <c r="L2189" s="19" t="n">
        <v>1</v>
      </c>
      <c r="M2189" s="11" t="n">
        <v>1</v>
      </c>
      <c r="N2189" s="19" t="n"/>
      <c r="O2189" s="19" t="n"/>
      <c r="P2189" s="19" t="n">
        <v>0.5</v>
      </c>
      <c r="Q2189" s="19" t="n"/>
      <c r="R2189" s="19" t="n">
        <v>0.5</v>
      </c>
      <c r="S2189" s="19" t="n"/>
      <c r="T2189" s="19" t="n"/>
      <c r="U2189" s="19" t="n"/>
      <c r="V2189" s="19" t="n"/>
      <c r="W2189" s="19" t="n"/>
      <c r="X2189" s="19" t="n"/>
      <c r="Y2189" s="19" t="n"/>
      <c r="Z2189" s="13">
        <f>SUMPRODUCT(N2189:Y2189,$N$2:$Y$2)*$K2189*$L2189*$M2189</f>
        <v/>
      </c>
      <c r="AA2189" s="14">
        <f>SUM(N2189:Y2189)</f>
        <v/>
      </c>
      <c r="AB2189" s="13">
        <f>SUMPRODUCT(N2189:Y2189,$N$3:$Y$3)*$K2189*$L2189*$M2189</f>
        <v/>
      </c>
      <c r="AC2189" s="13">
        <f>SUMPRODUCT(N2189:Y2189,$N$4:$Y$4)*$K2189*$L2189*$M2189</f>
        <v/>
      </c>
      <c r="AD2189" s="15" t="n">
        <v>10.6</v>
      </c>
      <c r="AE2189" s="11" t="n">
        <v>4.735449735449736</v>
      </c>
      <c r="AF2189" s="16">
        <f>SUMPRODUCT(N2189:Y2189,$N$5:$Y$5)*$K2189*$L2189*$M2189</f>
        <v/>
      </c>
      <c r="AG2189" s="16">
        <f>SUMPRODUCT(N2189:Y2189,$N$6:$Y$6)*$K2189*$L2189*$M2189</f>
        <v/>
      </c>
      <c r="AH2189" s="20" t="n"/>
    </row>
    <row r="2190">
      <c r="A2190" s="9" t="n">
        <v>805120</v>
      </c>
      <c r="B2190" s="9" t="inlineStr">
        <is>
          <t>Joseilyn Gonzalez</t>
        </is>
      </c>
      <c r="C2190" s="9" t="inlineStr">
        <is>
          <t>LAD</t>
        </is>
      </c>
      <c r="D2190" s="9" t="n">
        <v>25</v>
      </c>
      <c r="E2190" s="18" t="inlineStr">
        <is>
          <t>R</t>
        </is>
      </c>
      <c r="F2190" s="18" t="n"/>
      <c r="G2190" s="9" t="n">
        <v>30.67333333333333</v>
      </c>
      <c r="H2190" s="9" t="n">
        <v>30.67333333333333</v>
      </c>
      <c r="I2190" s="9" t="inlineStr">
        <is>
          <t>Depth (no MLB IP)</t>
        </is>
      </c>
      <c r="J2190" s="18" t="inlineStr">
        <is>
          <t>Opening Day</t>
        </is>
      </c>
      <c r="K2190" s="11">
        <f>IFERROR(INDEX(Roles!$B$17:$B$20,MATCH(J2190,Roles!$A$17:$A$20,0)),1)</f>
        <v/>
      </c>
      <c r="L2190" s="19" t="n">
        <v>1</v>
      </c>
      <c r="M2190" s="11" t="n">
        <v>1</v>
      </c>
      <c r="N2190" s="19" t="n"/>
      <c r="O2190" s="19" t="n"/>
      <c r="P2190" s="19" t="n"/>
      <c r="Q2190" s="19" t="n"/>
      <c r="R2190" s="19" t="n"/>
      <c r="S2190" s="19" t="n"/>
      <c r="T2190" s="19" t="n"/>
      <c r="U2190" s="19" t="n"/>
      <c r="V2190" s="19" t="n"/>
      <c r="W2190" s="19" t="n"/>
      <c r="X2190" s="19" t="n"/>
      <c r="Y2190" s="19" t="n">
        <v>1</v>
      </c>
      <c r="Z2190" s="13">
        <f>SUMPRODUCT(N2190:Y2190,$N$2:$Y$2)*$K2190*$L2190*$M2190</f>
        <v/>
      </c>
      <c r="AA2190" s="14">
        <f>SUM(N2190:Y2190)</f>
        <v/>
      </c>
      <c r="AB2190" s="13">
        <f>SUMPRODUCT(N2190:Y2190,$N$3:$Y$3)*$K2190*$L2190*$M2190</f>
        <v/>
      </c>
      <c r="AC2190" s="13">
        <f>SUMPRODUCT(N2190:Y2190,$N$4:$Y$4)*$K2190*$L2190*$M2190</f>
        <v/>
      </c>
      <c r="AD2190" s="15" t="n">
        <v>3</v>
      </c>
      <c r="AE2190" s="11" t="n">
        <v>1.011296296296296</v>
      </c>
      <c r="AF2190" s="16">
        <f>SUMPRODUCT(N2190:Y2190,$N$5:$Y$5)*$K2190*$L2190*$M2190</f>
        <v/>
      </c>
      <c r="AG2190" s="16">
        <f>SUMPRODUCT(N2190:Y2190,$N$6:$Y$6)*$K2190*$L2190*$M2190</f>
        <v/>
      </c>
      <c r="AH2190" s="20" t="n"/>
    </row>
    <row r="2191">
      <c r="A2191" s="9" t="n">
        <v>807723</v>
      </c>
      <c r="B2191" s="9" t="inlineStr">
        <is>
          <t>Bjorn Johnson</t>
        </is>
      </c>
      <c r="C2191" s="9" t="inlineStr">
        <is>
          <t>MIL</t>
        </is>
      </c>
      <c r="D2191" s="9" t="n">
        <v>25</v>
      </c>
      <c r="E2191" s="18" t="inlineStr">
        <is>
          <t>L</t>
        </is>
      </c>
      <c r="F2191" s="18" t="n"/>
      <c r="G2191" s="9" t="n">
        <v>30.67333333333333</v>
      </c>
      <c r="H2191" s="9" t="n">
        <v>30.67333333333333</v>
      </c>
      <c r="I2191" s="9" t="inlineStr">
        <is>
          <t>Depth (no MLB IP)</t>
        </is>
      </c>
      <c r="J2191" s="18" t="inlineStr">
        <is>
          <t>Opening Day</t>
        </is>
      </c>
      <c r="K2191" s="11">
        <f>IFERROR(INDEX(Roles!$B$17:$B$20,MATCH(J2191,Roles!$A$17:$A$20,0)),1)</f>
        <v/>
      </c>
      <c r="L2191" s="19" t="n">
        <v>1</v>
      </c>
      <c r="M2191" s="11" t="n">
        <v>1</v>
      </c>
      <c r="N2191" s="19" t="n"/>
      <c r="O2191" s="19" t="n"/>
      <c r="P2191" s="19" t="n"/>
      <c r="Q2191" s="19" t="n"/>
      <c r="R2191" s="19" t="n"/>
      <c r="S2191" s="19" t="n"/>
      <c r="T2191" s="19" t="n"/>
      <c r="U2191" s="19" t="n"/>
      <c r="V2191" s="19" t="n"/>
      <c r="W2191" s="19" t="n"/>
      <c r="X2191" s="19" t="n"/>
      <c r="Y2191" s="19" t="n">
        <v>1</v>
      </c>
      <c r="Z2191" s="13">
        <f>SUMPRODUCT(N2191:Y2191,$N$2:$Y$2)*$K2191*$L2191*$M2191</f>
        <v/>
      </c>
      <c r="AA2191" s="14">
        <f>SUM(N2191:Y2191)</f>
        <v/>
      </c>
      <c r="AB2191" s="13">
        <f>SUMPRODUCT(N2191:Y2191,$N$3:$Y$3)*$K2191*$L2191*$M2191</f>
        <v/>
      </c>
      <c r="AC2191" s="13">
        <f>SUMPRODUCT(N2191:Y2191,$N$4:$Y$4)*$K2191*$L2191*$M2191</f>
        <v/>
      </c>
      <c r="AD2191" s="15" t="n">
        <v>3</v>
      </c>
      <c r="AE2191" s="11" t="n">
        <v>1.011296296296296</v>
      </c>
      <c r="AF2191" s="16">
        <f>SUMPRODUCT(N2191:Y2191,$N$5:$Y$5)*$K2191*$L2191*$M2191</f>
        <v/>
      </c>
      <c r="AG2191" s="16">
        <f>SUMPRODUCT(N2191:Y2191,$N$6:$Y$6)*$K2191*$L2191*$M2191</f>
        <v/>
      </c>
      <c r="AH2191" s="20" t="n"/>
    </row>
    <row r="2192">
      <c r="A2192" s="9" t="n">
        <v>687991</v>
      </c>
      <c r="B2192" s="9" t="inlineStr">
        <is>
          <t>Jared Johnson</t>
        </is>
      </c>
      <c r="C2192" s="9" t="inlineStr">
        <is>
          <t>OAK</t>
        </is>
      </c>
      <c r="D2192" s="9" t="n">
        <v>25</v>
      </c>
      <c r="E2192" s="18" t="inlineStr">
        <is>
          <t>R</t>
        </is>
      </c>
      <c r="F2192" s="18" t="n"/>
      <c r="G2192" s="9" t="n">
        <v>30.745</v>
      </c>
      <c r="H2192" s="9" t="n">
        <v>30.745</v>
      </c>
      <c r="I2192" s="9" t="inlineStr">
        <is>
          <t>Depth (no MLB IP)</t>
        </is>
      </c>
      <c r="J2192" s="18" t="inlineStr">
        <is>
          <t>Opening Day</t>
        </is>
      </c>
      <c r="K2192" s="11">
        <f>IFERROR(INDEX(Roles!$B$17:$B$20,MATCH(J2192,Roles!$A$17:$A$20,0)),1)</f>
        <v/>
      </c>
      <c r="L2192" s="19" t="n">
        <v>1</v>
      </c>
      <c r="M2192" s="11" t="n">
        <v>1</v>
      </c>
      <c r="N2192" s="19" t="n"/>
      <c r="O2192" s="19" t="n"/>
      <c r="P2192" s="19" t="n"/>
      <c r="Q2192" s="19" t="n"/>
      <c r="R2192" s="19" t="n"/>
      <c r="S2192" s="19" t="n"/>
      <c r="T2192" s="19" t="n"/>
      <c r="U2192" s="19" t="n"/>
      <c r="V2192" s="19" t="n"/>
      <c r="W2192" s="19" t="n"/>
      <c r="X2192" s="19" t="n"/>
      <c r="Y2192" s="19" t="n">
        <v>1</v>
      </c>
      <c r="Z2192" s="13">
        <f>SUMPRODUCT(N2192:Y2192,$N$2:$Y$2)*$K2192*$L2192*$M2192</f>
        <v/>
      </c>
      <c r="AA2192" s="14">
        <f>SUM(N2192:Y2192)</f>
        <v/>
      </c>
      <c r="AB2192" s="13">
        <f>SUMPRODUCT(N2192:Y2192,$N$3:$Y$3)*$K2192*$L2192*$M2192</f>
        <v/>
      </c>
      <c r="AC2192" s="13">
        <f>SUMPRODUCT(N2192:Y2192,$N$4:$Y$4)*$K2192*$L2192*$M2192</f>
        <v/>
      </c>
      <c r="AD2192" s="15" t="n">
        <v>3</v>
      </c>
      <c r="AE2192" s="11" t="n">
        <v>1.011296296296296</v>
      </c>
      <c r="AF2192" s="16">
        <f>SUMPRODUCT(N2192:Y2192,$N$5:$Y$5)*$K2192*$L2192*$M2192</f>
        <v/>
      </c>
      <c r="AG2192" s="16">
        <f>SUMPRODUCT(N2192:Y2192,$N$6:$Y$6)*$K2192*$L2192*$M2192</f>
        <v/>
      </c>
      <c r="AH2192" s="20" t="n"/>
    </row>
    <row r="2193">
      <c r="A2193" s="9" t="n">
        <v>681117</v>
      </c>
      <c r="B2193" s="9" t="inlineStr">
        <is>
          <t>Evan Taylor</t>
        </is>
      </c>
      <c r="C2193" s="9" t="inlineStr">
        <is>
          <t>CHC</t>
        </is>
      </c>
      <c r="D2193" s="9" t="n">
        <v>25</v>
      </c>
      <c r="E2193" s="18" t="inlineStr">
        <is>
          <t>L</t>
        </is>
      </c>
      <c r="F2193" s="18" t="n"/>
      <c r="G2193" s="9" t="n">
        <v>30.745</v>
      </c>
      <c r="H2193" s="9" t="n">
        <v>30.745</v>
      </c>
      <c r="I2193" s="9" t="inlineStr">
        <is>
          <t>Depth (no MLB IP)</t>
        </is>
      </c>
      <c r="J2193" s="18" t="inlineStr">
        <is>
          <t>Opening Day</t>
        </is>
      </c>
      <c r="K2193" s="11">
        <f>IFERROR(INDEX(Roles!$B$17:$B$20,MATCH(J2193,Roles!$A$17:$A$20,0)),1)</f>
        <v/>
      </c>
      <c r="L2193" s="19" t="n">
        <v>1</v>
      </c>
      <c r="M2193" s="11" t="n">
        <v>1</v>
      </c>
      <c r="N2193" s="19" t="n"/>
      <c r="O2193" s="19" t="n"/>
      <c r="P2193" s="19" t="n"/>
      <c r="Q2193" s="19" t="n"/>
      <c r="R2193" s="19" t="n"/>
      <c r="S2193" s="19" t="n"/>
      <c r="T2193" s="19" t="n"/>
      <c r="U2193" s="19" t="n"/>
      <c r="V2193" s="19" t="n"/>
      <c r="W2193" s="19" t="n"/>
      <c r="X2193" s="19" t="n"/>
      <c r="Y2193" s="19" t="n">
        <v>1</v>
      </c>
      <c r="Z2193" s="13">
        <f>SUMPRODUCT(N2193:Y2193,$N$2:$Y$2)*$K2193*$L2193*$M2193</f>
        <v/>
      </c>
      <c r="AA2193" s="14">
        <f>SUM(N2193:Y2193)</f>
        <v/>
      </c>
      <c r="AB2193" s="13">
        <f>SUMPRODUCT(N2193:Y2193,$N$3:$Y$3)*$K2193*$L2193*$M2193</f>
        <v/>
      </c>
      <c r="AC2193" s="13">
        <f>SUMPRODUCT(N2193:Y2193,$N$4:$Y$4)*$K2193*$L2193*$M2193</f>
        <v/>
      </c>
      <c r="AD2193" s="15" t="n">
        <v>3</v>
      </c>
      <c r="AE2193" s="11" t="n">
        <v>1.011296296296296</v>
      </c>
      <c r="AF2193" s="16">
        <f>SUMPRODUCT(N2193:Y2193,$N$5:$Y$5)*$K2193*$L2193*$M2193</f>
        <v/>
      </c>
      <c r="AG2193" s="16">
        <f>SUMPRODUCT(N2193:Y2193,$N$6:$Y$6)*$K2193*$L2193*$M2193</f>
        <v/>
      </c>
      <c r="AH2193" s="20" t="n"/>
    </row>
    <row r="2194">
      <c r="A2194" s="9" t="n">
        <v>664285</v>
      </c>
      <c r="B2194" s="9" t="inlineStr">
        <is>
          <t>Framber Valdez</t>
        </is>
      </c>
      <c r="C2194" s="9" t="inlineStr">
        <is>
          <t>DET</t>
        </is>
      </c>
      <c r="D2194" s="9" t="n">
        <v>33</v>
      </c>
      <c r="E2194" s="18" t="inlineStr">
        <is>
          <t>L</t>
        </is>
      </c>
      <c r="F2194" s="18" t="n"/>
      <c r="G2194" s="9" t="n">
        <v>758</v>
      </c>
      <c r="H2194" s="9" t="n">
        <v>3898</v>
      </c>
      <c r="I2194" s="9" t="inlineStr">
        <is>
          <t>Mid-Rotation Starter (SP2-3)</t>
        </is>
      </c>
      <c r="J2194" s="18" t="inlineStr">
        <is>
          <t>Opening Day</t>
        </is>
      </c>
      <c r="K2194" s="11">
        <f>IFERROR(INDEX(Roles!$B$17:$B$20,MATCH(J2194,Roles!$A$17:$A$20,0)),1)</f>
        <v/>
      </c>
      <c r="L2194" s="19" t="n">
        <v>1</v>
      </c>
      <c r="M2194" s="11" t="n">
        <v>1</v>
      </c>
      <c r="N2194" s="19" t="n"/>
      <c r="O2194" s="19" t="n">
        <v>0.5</v>
      </c>
      <c r="P2194" s="19" t="n">
        <v>0.5</v>
      </c>
      <c r="Q2194" s="19" t="n"/>
      <c r="R2194" s="19" t="n"/>
      <c r="S2194" s="19" t="n"/>
      <c r="T2194" s="19" t="n"/>
      <c r="U2194" s="19" t="n"/>
      <c r="V2194" s="19" t="n"/>
      <c r="W2194" s="19" t="n"/>
      <c r="X2194" s="19" t="n"/>
      <c r="Y2194" s="19" t="n"/>
      <c r="Z2194" s="13">
        <f>SUMPRODUCT(N2194:Y2194,$N$2:$Y$2)*$K2194*$L2194*$M2194</f>
        <v/>
      </c>
      <c r="AA2194" s="14">
        <f>SUM(N2194:Y2194)</f>
        <v/>
      </c>
      <c r="AB2194" s="13">
        <f>SUMPRODUCT(N2194:Y2194,$N$3:$Y$3)*$K2194*$L2194*$M2194</f>
        <v/>
      </c>
      <c r="AC2194" s="13">
        <f>SUMPRODUCT(N2194:Y2194,$N$4:$Y$4)*$K2194*$L2194*$M2194</f>
        <v/>
      </c>
      <c r="AD2194" s="15" t="n">
        <v>28.7</v>
      </c>
      <c r="AE2194" s="11" t="n">
        <v>5.440997316724446</v>
      </c>
      <c r="AF2194" s="16">
        <f>SUMPRODUCT(N2194:Y2194,$N$5:$Y$5)*$K2194*$L2194*$M2194</f>
        <v/>
      </c>
      <c r="AG2194" s="16">
        <f>SUMPRODUCT(N2194:Y2194,$N$6:$Y$6)*$K2194*$L2194*$M2194</f>
        <v/>
      </c>
      <c r="AH2194" s="20" t="n"/>
    </row>
    <row r="2195">
      <c r="A2195" s="9" t="n">
        <v>701488</v>
      </c>
      <c r="B2195" s="9" t="inlineStr">
        <is>
          <t>Dylan Phillips</t>
        </is>
      </c>
      <c r="C2195" s="9" t="inlineStr">
        <is>
          <t>LAA</t>
        </is>
      </c>
      <c r="D2195" s="9" t="n">
        <v>25</v>
      </c>
      <c r="E2195" s="18" t="inlineStr">
        <is>
          <t>L</t>
        </is>
      </c>
      <c r="F2195" s="18" t="n"/>
      <c r="G2195" s="9" t="n">
        <v>30.745</v>
      </c>
      <c r="H2195" s="9" t="n">
        <v>30.745</v>
      </c>
      <c r="I2195" s="9" t="inlineStr">
        <is>
          <t>Depth (no MLB IP)</t>
        </is>
      </c>
      <c r="J2195" s="18" t="inlineStr">
        <is>
          <t>Opening Day</t>
        </is>
      </c>
      <c r="K2195" s="11">
        <f>IFERROR(INDEX(Roles!$B$17:$B$20,MATCH(J2195,Roles!$A$17:$A$20,0)),1)</f>
        <v/>
      </c>
      <c r="L2195" s="19" t="n">
        <v>1</v>
      </c>
      <c r="M2195" s="11" t="n">
        <v>1</v>
      </c>
      <c r="N2195" s="19" t="n"/>
      <c r="O2195" s="19" t="n"/>
      <c r="P2195" s="19" t="n"/>
      <c r="Q2195" s="19" t="n"/>
      <c r="R2195" s="19" t="n"/>
      <c r="S2195" s="19" t="n"/>
      <c r="T2195" s="19" t="n"/>
      <c r="U2195" s="19" t="n"/>
      <c r="V2195" s="19" t="n"/>
      <c r="W2195" s="19" t="n"/>
      <c r="X2195" s="19" t="n"/>
      <c r="Y2195" s="19" t="n">
        <v>1</v>
      </c>
      <c r="Z2195" s="13">
        <f>SUMPRODUCT(N2195:Y2195,$N$2:$Y$2)*$K2195*$L2195*$M2195</f>
        <v/>
      </c>
      <c r="AA2195" s="14">
        <f>SUM(N2195:Y2195)</f>
        <v/>
      </c>
      <c r="AB2195" s="13">
        <f>SUMPRODUCT(N2195:Y2195,$N$3:$Y$3)*$K2195*$L2195*$M2195</f>
        <v/>
      </c>
      <c r="AC2195" s="13">
        <f>SUMPRODUCT(N2195:Y2195,$N$4:$Y$4)*$K2195*$L2195*$M2195</f>
        <v/>
      </c>
      <c r="AD2195" s="15" t="n">
        <v>3</v>
      </c>
      <c r="AE2195" s="11" t="n">
        <v>1.011296296296296</v>
      </c>
      <c r="AF2195" s="16">
        <f>SUMPRODUCT(N2195:Y2195,$N$5:$Y$5)*$K2195*$L2195*$M2195</f>
        <v/>
      </c>
      <c r="AG2195" s="16">
        <f>SUMPRODUCT(N2195:Y2195,$N$6:$Y$6)*$K2195*$L2195*$M2195</f>
        <v/>
      </c>
      <c r="AH2195" s="20" t="n"/>
    </row>
    <row r="2196">
      <c r="A2196" s="9" t="n">
        <v>822067</v>
      </c>
      <c r="B2196" s="9" t="inlineStr">
        <is>
          <t>A.J. Causey</t>
        </is>
      </c>
      <c r="C2196" s="9" t="inlineStr">
        <is>
          <t>OAK</t>
        </is>
      </c>
      <c r="D2196" s="9" t="n">
        <v>25</v>
      </c>
      <c r="E2196" s="18" t="inlineStr">
        <is>
          <t>R</t>
        </is>
      </c>
      <c r="F2196" s="18" t="n"/>
      <c r="G2196" s="9" t="n">
        <v>30.745</v>
      </c>
      <c r="H2196" s="9" t="n">
        <v>30.745</v>
      </c>
      <c r="I2196" s="9" t="inlineStr">
        <is>
          <t>Depth (no MLB IP)</t>
        </is>
      </c>
      <c r="J2196" s="18" t="inlineStr">
        <is>
          <t>Opening Day</t>
        </is>
      </c>
      <c r="K2196" s="11">
        <f>IFERROR(INDEX(Roles!$B$17:$B$20,MATCH(J2196,Roles!$A$17:$A$20,0)),1)</f>
        <v/>
      </c>
      <c r="L2196" s="19" t="n">
        <v>1</v>
      </c>
      <c r="M2196" s="11" t="n">
        <v>1</v>
      </c>
      <c r="N2196" s="19" t="n"/>
      <c r="O2196" s="19" t="n"/>
      <c r="P2196" s="19" t="n"/>
      <c r="Q2196" s="19" t="n"/>
      <c r="R2196" s="19" t="n"/>
      <c r="S2196" s="19" t="n"/>
      <c r="T2196" s="19" t="n"/>
      <c r="U2196" s="19" t="n"/>
      <c r="V2196" s="19" t="n"/>
      <c r="W2196" s="19" t="n"/>
      <c r="X2196" s="19" t="n"/>
      <c r="Y2196" s="19" t="n">
        <v>1</v>
      </c>
      <c r="Z2196" s="13">
        <f>SUMPRODUCT(N2196:Y2196,$N$2:$Y$2)*$K2196*$L2196*$M2196</f>
        <v/>
      </c>
      <c r="AA2196" s="14">
        <f>SUM(N2196:Y2196)</f>
        <v/>
      </c>
      <c r="AB2196" s="13">
        <f>SUMPRODUCT(N2196:Y2196,$N$3:$Y$3)*$K2196*$L2196*$M2196</f>
        <v/>
      </c>
      <c r="AC2196" s="13">
        <f>SUMPRODUCT(N2196:Y2196,$N$4:$Y$4)*$K2196*$L2196*$M2196</f>
        <v/>
      </c>
      <c r="AD2196" s="15" t="n">
        <v>3</v>
      </c>
      <c r="AE2196" s="11" t="n">
        <v>1.011296296296296</v>
      </c>
      <c r="AF2196" s="16">
        <f>SUMPRODUCT(N2196:Y2196,$N$5:$Y$5)*$K2196*$L2196*$M2196</f>
        <v/>
      </c>
      <c r="AG2196" s="16">
        <f>SUMPRODUCT(N2196:Y2196,$N$6:$Y$6)*$K2196*$L2196*$M2196</f>
        <v/>
      </c>
      <c r="AH2196" s="20" t="n"/>
    </row>
    <row r="2197">
      <c r="A2197" s="9" t="n">
        <v>685801</v>
      </c>
      <c r="B2197" s="9" t="inlineStr">
        <is>
          <t>Hunter Bigge</t>
        </is>
      </c>
      <c r="C2197" s="9" t="inlineStr">
        <is>
          <t>TB</t>
        </is>
      </c>
      <c r="D2197" s="9" t="n">
        <v>29</v>
      </c>
      <c r="E2197" s="18" t="inlineStr">
        <is>
          <t>R</t>
        </is>
      </c>
      <c r="F2197" s="18" t="n"/>
      <c r="G2197" s="9" t="n">
        <v>85</v>
      </c>
      <c r="H2197" s="9" t="n">
        <v>218</v>
      </c>
      <c r="I2197" s="9" t="inlineStr">
        <is>
          <t>Bullpen Depth Arm</t>
        </is>
      </c>
      <c r="J2197" s="18" t="inlineStr">
        <is>
          <t>Opening Day</t>
        </is>
      </c>
      <c r="K2197" s="11">
        <f>IFERROR(INDEX(Roles!$B$17:$B$20,MATCH(J2197,Roles!$A$17:$A$20,0)),1)</f>
        <v/>
      </c>
      <c r="L2197" s="19" t="n">
        <v>1</v>
      </c>
      <c r="M2197" s="11" t="n">
        <v>1</v>
      </c>
      <c r="N2197" s="19" t="n"/>
      <c r="O2197" s="19" t="n"/>
      <c r="P2197" s="19" t="n"/>
      <c r="Q2197" s="19" t="n"/>
      <c r="R2197" s="19" t="n"/>
      <c r="S2197" s="19" t="n"/>
      <c r="T2197" s="19" t="n"/>
      <c r="U2197" s="19" t="n"/>
      <c r="V2197" s="19" t="n"/>
      <c r="W2197" s="19" t="n">
        <v>1</v>
      </c>
      <c r="X2197" s="19" t="n"/>
      <c r="Y2197" s="19" t="n"/>
      <c r="Z2197" s="13">
        <f>SUMPRODUCT(N2197:Y2197,$N$2:$Y$2)*$K2197*$L2197*$M2197</f>
        <v/>
      </c>
      <c r="AA2197" s="14">
        <f>SUM(N2197:Y2197)</f>
        <v/>
      </c>
      <c r="AB2197" s="13">
        <f>SUMPRODUCT(N2197:Y2197,$N$3:$Y$3)*$K2197*$L2197*$M2197</f>
        <v/>
      </c>
      <c r="AC2197" s="13">
        <f>SUMPRODUCT(N2197:Y2197,$N$4:$Y$4)*$K2197*$L2197*$M2197</f>
        <v/>
      </c>
      <c r="AD2197" s="15" t="n">
        <v>15.56666666666667</v>
      </c>
      <c r="AE2197" s="11" t="n">
        <v>1.15616482283149</v>
      </c>
      <c r="AF2197" s="16">
        <f>SUMPRODUCT(N2197:Y2197,$N$5:$Y$5)*$K2197*$L2197*$M2197</f>
        <v/>
      </c>
      <c r="AG2197" s="16">
        <f>SUMPRODUCT(N2197:Y2197,$N$6:$Y$6)*$K2197*$L2197*$M2197</f>
        <v/>
      </c>
      <c r="AH2197" s="20" t="n"/>
    </row>
    <row r="2198">
      <c r="A2198" s="9" t="n">
        <v>700800</v>
      </c>
      <c r="B2198" s="9" t="inlineStr">
        <is>
          <t>Darien Smith</t>
        </is>
      </c>
      <c r="C2198" s="9" t="inlineStr">
        <is>
          <t>SF</t>
        </is>
      </c>
      <c r="D2198" s="9" t="n">
        <v>25</v>
      </c>
      <c r="E2198" s="18" t="inlineStr">
        <is>
          <t>R</t>
        </is>
      </c>
      <c r="F2198" s="18" t="n"/>
      <c r="G2198" s="9" t="n">
        <v>30.745</v>
      </c>
      <c r="H2198" s="9" t="n">
        <v>30.745</v>
      </c>
      <c r="I2198" s="9" t="inlineStr">
        <is>
          <t>Depth (no MLB IP)</t>
        </is>
      </c>
      <c r="J2198" s="18" t="inlineStr">
        <is>
          <t>Opening Day</t>
        </is>
      </c>
      <c r="K2198" s="11">
        <f>IFERROR(INDEX(Roles!$B$17:$B$20,MATCH(J2198,Roles!$A$17:$A$20,0)),1)</f>
        <v/>
      </c>
      <c r="L2198" s="19" t="n">
        <v>1</v>
      </c>
      <c r="M2198" s="11" t="n">
        <v>1</v>
      </c>
      <c r="N2198" s="19" t="n"/>
      <c r="O2198" s="19" t="n"/>
      <c r="P2198" s="19" t="n"/>
      <c r="Q2198" s="19" t="n"/>
      <c r="R2198" s="19" t="n"/>
      <c r="S2198" s="19" t="n"/>
      <c r="T2198" s="19" t="n"/>
      <c r="U2198" s="19" t="n"/>
      <c r="V2198" s="19" t="n"/>
      <c r="W2198" s="19" t="n"/>
      <c r="X2198" s="19" t="n"/>
      <c r="Y2198" s="19" t="n">
        <v>1</v>
      </c>
      <c r="Z2198" s="13">
        <f>SUMPRODUCT(N2198:Y2198,$N$2:$Y$2)*$K2198*$L2198*$M2198</f>
        <v/>
      </c>
      <c r="AA2198" s="14">
        <f>SUM(N2198:Y2198)</f>
        <v/>
      </c>
      <c r="AB2198" s="13">
        <f>SUMPRODUCT(N2198:Y2198,$N$3:$Y$3)*$K2198*$L2198*$M2198</f>
        <v/>
      </c>
      <c r="AC2198" s="13">
        <f>SUMPRODUCT(N2198:Y2198,$N$4:$Y$4)*$K2198*$L2198*$M2198</f>
        <v/>
      </c>
      <c r="AD2198" s="15" t="n">
        <v>3</v>
      </c>
      <c r="AE2198" s="11" t="n">
        <v>1.011296296296296</v>
      </c>
      <c r="AF2198" s="16">
        <f>SUMPRODUCT(N2198:Y2198,$N$5:$Y$5)*$K2198*$L2198*$M2198</f>
        <v/>
      </c>
      <c r="AG2198" s="16">
        <f>SUMPRODUCT(N2198:Y2198,$N$6:$Y$6)*$K2198*$L2198*$M2198</f>
        <v/>
      </c>
      <c r="AH2198" s="20" t="n"/>
    </row>
    <row r="2199">
      <c r="A2199" s="9" t="n">
        <v>694029</v>
      </c>
      <c r="B2199" s="9" t="inlineStr">
        <is>
          <t>Fernando Vasquez</t>
        </is>
      </c>
      <c r="C2199" s="9" t="inlineStr">
        <is>
          <t>SF</t>
        </is>
      </c>
      <c r="D2199" s="9" t="n">
        <v>25</v>
      </c>
      <c r="E2199" s="18" t="inlineStr">
        <is>
          <t>R</t>
        </is>
      </c>
      <c r="F2199" s="18" t="n"/>
      <c r="G2199" s="9" t="n">
        <v>30.96</v>
      </c>
      <c r="H2199" s="9" t="n">
        <v>30.96</v>
      </c>
      <c r="I2199" s="9" t="inlineStr">
        <is>
          <t>Depth (no MLB IP)</t>
        </is>
      </c>
      <c r="J2199" s="18" t="inlineStr">
        <is>
          <t>Opening Day</t>
        </is>
      </c>
      <c r="K2199" s="11">
        <f>IFERROR(INDEX(Roles!$B$17:$B$20,MATCH(J2199,Roles!$A$17:$A$20,0)),1)</f>
        <v/>
      </c>
      <c r="L2199" s="19" t="n">
        <v>1</v>
      </c>
      <c r="M2199" s="11" t="n">
        <v>1</v>
      </c>
      <c r="N2199" s="19" t="n"/>
      <c r="O2199" s="19" t="n"/>
      <c r="P2199" s="19" t="n"/>
      <c r="Q2199" s="19" t="n"/>
      <c r="R2199" s="19" t="n"/>
      <c r="S2199" s="19" t="n"/>
      <c r="T2199" s="19" t="n"/>
      <c r="U2199" s="19" t="n"/>
      <c r="V2199" s="19" t="n"/>
      <c r="W2199" s="19" t="n"/>
      <c r="X2199" s="19" t="n"/>
      <c r="Y2199" s="19" t="n">
        <v>1</v>
      </c>
      <c r="Z2199" s="13">
        <f>SUMPRODUCT(N2199:Y2199,$N$2:$Y$2)*$K2199*$L2199*$M2199</f>
        <v/>
      </c>
      <c r="AA2199" s="14">
        <f>SUM(N2199:Y2199)</f>
        <v/>
      </c>
      <c r="AB2199" s="13">
        <f>SUMPRODUCT(N2199:Y2199,$N$3:$Y$3)*$K2199*$L2199*$M2199</f>
        <v/>
      </c>
      <c r="AC2199" s="13">
        <f>SUMPRODUCT(N2199:Y2199,$N$4:$Y$4)*$K2199*$L2199*$M2199</f>
        <v/>
      </c>
      <c r="AD2199" s="15" t="n">
        <v>3</v>
      </c>
      <c r="AE2199" s="11" t="n">
        <v>1.011296296296296</v>
      </c>
      <c r="AF2199" s="16">
        <f>SUMPRODUCT(N2199:Y2199,$N$5:$Y$5)*$K2199*$L2199*$M2199</f>
        <v/>
      </c>
      <c r="AG2199" s="16">
        <f>SUMPRODUCT(N2199:Y2199,$N$6:$Y$6)*$K2199*$L2199*$M2199</f>
        <v/>
      </c>
      <c r="AH2199" s="20" t="n"/>
    </row>
    <row r="2200">
      <c r="A2200" s="9" t="n">
        <v>815704</v>
      </c>
      <c r="B2200" s="9" t="inlineStr">
        <is>
          <t>Samuel Carpio</t>
        </is>
      </c>
      <c r="C2200" s="9" t="inlineStr">
        <is>
          <t>MIA</t>
        </is>
      </c>
      <c r="D2200" s="9" t="n">
        <v>25</v>
      </c>
      <c r="E2200" s="18" t="inlineStr">
        <is>
          <t>R</t>
        </is>
      </c>
      <c r="F2200" s="18" t="n"/>
      <c r="G2200" s="9" t="n">
        <v>30.96</v>
      </c>
      <c r="H2200" s="9" t="n">
        <v>30.96</v>
      </c>
      <c r="I2200" s="9" t="inlineStr">
        <is>
          <t>Depth (no MLB IP)</t>
        </is>
      </c>
      <c r="J2200" s="18" t="inlineStr">
        <is>
          <t>Opening Day</t>
        </is>
      </c>
      <c r="K2200" s="11">
        <f>IFERROR(INDEX(Roles!$B$17:$B$20,MATCH(J2200,Roles!$A$17:$A$20,0)),1)</f>
        <v/>
      </c>
      <c r="L2200" s="19" t="n">
        <v>1</v>
      </c>
      <c r="M2200" s="11" t="n">
        <v>1</v>
      </c>
      <c r="N2200" s="19" t="n"/>
      <c r="O2200" s="19" t="n"/>
      <c r="P2200" s="19" t="n"/>
      <c r="Q2200" s="19" t="n"/>
      <c r="R2200" s="19" t="n"/>
      <c r="S2200" s="19" t="n"/>
      <c r="T2200" s="19" t="n"/>
      <c r="U2200" s="19" t="n"/>
      <c r="V2200" s="19" t="n"/>
      <c r="W2200" s="19" t="n"/>
      <c r="X2200" s="19" t="n"/>
      <c r="Y2200" s="19" t="n">
        <v>1</v>
      </c>
      <c r="Z2200" s="13">
        <f>SUMPRODUCT(N2200:Y2200,$N$2:$Y$2)*$K2200*$L2200*$M2200</f>
        <v/>
      </c>
      <c r="AA2200" s="14">
        <f>SUM(N2200:Y2200)</f>
        <v/>
      </c>
      <c r="AB2200" s="13">
        <f>SUMPRODUCT(N2200:Y2200,$N$3:$Y$3)*$K2200*$L2200*$M2200</f>
        <v/>
      </c>
      <c r="AC2200" s="13">
        <f>SUMPRODUCT(N2200:Y2200,$N$4:$Y$4)*$K2200*$L2200*$M2200</f>
        <v/>
      </c>
      <c r="AD2200" s="15" t="n">
        <v>3</v>
      </c>
      <c r="AE2200" s="11" t="n">
        <v>1.011296296296296</v>
      </c>
      <c r="AF2200" s="16">
        <f>SUMPRODUCT(N2200:Y2200,$N$5:$Y$5)*$K2200*$L2200*$M2200</f>
        <v/>
      </c>
      <c r="AG2200" s="16">
        <f>SUMPRODUCT(N2200:Y2200,$N$6:$Y$6)*$K2200*$L2200*$M2200</f>
        <v/>
      </c>
      <c r="AH2200" s="20" t="n"/>
    </row>
    <row r="2201">
      <c r="A2201" s="9" t="n">
        <v>815111</v>
      </c>
      <c r="B2201" s="9" t="inlineStr">
        <is>
          <t>Keegan Zinn</t>
        </is>
      </c>
      <c r="C2201" s="9" t="inlineStr">
        <is>
          <t>CLE</t>
        </is>
      </c>
      <c r="D2201" s="9" t="n">
        <v>25</v>
      </c>
      <c r="E2201" s="18" t="inlineStr">
        <is>
          <t>R</t>
        </is>
      </c>
      <c r="F2201" s="18" t="n"/>
      <c r="G2201" s="9" t="n">
        <v>30.96</v>
      </c>
      <c r="H2201" s="9" t="n">
        <v>30.96</v>
      </c>
      <c r="I2201" s="9" t="inlineStr">
        <is>
          <t>Depth (no MLB IP)</t>
        </is>
      </c>
      <c r="J2201" s="18" t="inlineStr">
        <is>
          <t>Opening Day</t>
        </is>
      </c>
      <c r="K2201" s="11">
        <f>IFERROR(INDEX(Roles!$B$17:$B$20,MATCH(J2201,Roles!$A$17:$A$20,0)),1)</f>
        <v/>
      </c>
      <c r="L2201" s="19" t="n">
        <v>1</v>
      </c>
      <c r="M2201" s="11" t="n">
        <v>1</v>
      </c>
      <c r="N2201" s="19" t="n"/>
      <c r="O2201" s="19" t="n"/>
      <c r="P2201" s="19" t="n"/>
      <c r="Q2201" s="19" t="n"/>
      <c r="R2201" s="19" t="n"/>
      <c r="S2201" s="19" t="n"/>
      <c r="T2201" s="19" t="n"/>
      <c r="U2201" s="19" t="n"/>
      <c r="V2201" s="19" t="n"/>
      <c r="W2201" s="19" t="n"/>
      <c r="X2201" s="19" t="n"/>
      <c r="Y2201" s="19" t="n">
        <v>1</v>
      </c>
      <c r="Z2201" s="13">
        <f>SUMPRODUCT(N2201:Y2201,$N$2:$Y$2)*$K2201*$L2201*$M2201</f>
        <v/>
      </c>
      <c r="AA2201" s="14">
        <f>SUM(N2201:Y2201)</f>
        <v/>
      </c>
      <c r="AB2201" s="13">
        <f>SUMPRODUCT(N2201:Y2201,$N$3:$Y$3)*$K2201*$L2201*$M2201</f>
        <v/>
      </c>
      <c r="AC2201" s="13">
        <f>SUMPRODUCT(N2201:Y2201,$N$4:$Y$4)*$K2201*$L2201*$M2201</f>
        <v/>
      </c>
      <c r="AD2201" s="15" t="n">
        <v>3</v>
      </c>
      <c r="AE2201" s="11" t="n">
        <v>1.011296296296296</v>
      </c>
      <c r="AF2201" s="16">
        <f>SUMPRODUCT(N2201:Y2201,$N$5:$Y$5)*$K2201*$L2201*$M2201</f>
        <v/>
      </c>
      <c r="AG2201" s="16">
        <f>SUMPRODUCT(N2201:Y2201,$N$6:$Y$6)*$K2201*$L2201*$M2201</f>
        <v/>
      </c>
      <c r="AH2201" s="20" t="n"/>
    </row>
    <row r="2202">
      <c r="A2202" s="9" t="n">
        <v>691711</v>
      </c>
      <c r="B2202" s="9" t="inlineStr">
        <is>
          <t>Jawilme Ramírez</t>
        </is>
      </c>
      <c r="C2202" s="9" t="inlineStr">
        <is>
          <t>STL</t>
        </is>
      </c>
      <c r="D2202" s="9" t="n">
        <v>25</v>
      </c>
      <c r="E2202" s="18" t="inlineStr">
        <is>
          <t>R</t>
        </is>
      </c>
      <c r="F2202" s="18" t="n"/>
      <c r="G2202" s="9" t="n">
        <v>30.96</v>
      </c>
      <c r="H2202" s="9" t="n">
        <v>30.96</v>
      </c>
      <c r="I2202" s="9" t="inlineStr">
        <is>
          <t>Depth (no MLB IP)</t>
        </is>
      </c>
      <c r="J2202" s="18" t="inlineStr">
        <is>
          <t>Opening Day</t>
        </is>
      </c>
      <c r="K2202" s="11">
        <f>IFERROR(INDEX(Roles!$B$17:$B$20,MATCH(J2202,Roles!$A$17:$A$20,0)),1)</f>
        <v/>
      </c>
      <c r="L2202" s="19" t="n">
        <v>1</v>
      </c>
      <c r="M2202" s="11" t="n">
        <v>1</v>
      </c>
      <c r="N2202" s="19" t="n"/>
      <c r="O2202" s="19" t="n"/>
      <c r="P2202" s="19" t="n"/>
      <c r="Q2202" s="19" t="n"/>
      <c r="R2202" s="19" t="n"/>
      <c r="S2202" s="19" t="n"/>
      <c r="T2202" s="19" t="n"/>
      <c r="U2202" s="19" t="n"/>
      <c r="V2202" s="19" t="n"/>
      <c r="W2202" s="19" t="n"/>
      <c r="X2202" s="19" t="n"/>
      <c r="Y2202" s="19" t="n">
        <v>1</v>
      </c>
      <c r="Z2202" s="13">
        <f>SUMPRODUCT(N2202:Y2202,$N$2:$Y$2)*$K2202*$L2202*$M2202</f>
        <v/>
      </c>
      <c r="AA2202" s="14">
        <f>SUM(N2202:Y2202)</f>
        <v/>
      </c>
      <c r="AB2202" s="13">
        <f>SUMPRODUCT(N2202:Y2202,$N$3:$Y$3)*$K2202*$L2202*$M2202</f>
        <v/>
      </c>
      <c r="AC2202" s="13">
        <f>SUMPRODUCT(N2202:Y2202,$N$4:$Y$4)*$K2202*$L2202*$M2202</f>
        <v/>
      </c>
      <c r="AD2202" s="15" t="n">
        <v>3</v>
      </c>
      <c r="AE2202" s="11" t="n">
        <v>1.011296296296296</v>
      </c>
      <c r="AF2202" s="16">
        <f>SUMPRODUCT(N2202:Y2202,$N$5:$Y$5)*$K2202*$L2202*$M2202</f>
        <v/>
      </c>
      <c r="AG2202" s="16">
        <f>SUMPRODUCT(N2202:Y2202,$N$6:$Y$6)*$K2202*$L2202*$M2202</f>
        <v/>
      </c>
      <c r="AH2202" s="20" t="n"/>
    </row>
    <row r="2203">
      <c r="A2203" s="9" t="n">
        <v>806675</v>
      </c>
      <c r="B2203" s="9" t="inlineStr">
        <is>
          <t>Abraham Gaitan</t>
        </is>
      </c>
      <c r="C2203" s="9" t="inlineStr">
        <is>
          <t>CIN</t>
        </is>
      </c>
      <c r="D2203" s="9" t="n">
        <v>25</v>
      </c>
      <c r="E2203" s="18" t="inlineStr">
        <is>
          <t>R</t>
        </is>
      </c>
      <c r="F2203" s="18" t="n"/>
      <c r="G2203" s="9" t="n">
        <v>31.132</v>
      </c>
      <c r="H2203" s="9" t="n">
        <v>31.132</v>
      </c>
      <c r="I2203" s="9" t="inlineStr">
        <is>
          <t>Depth (no MLB IP)</t>
        </is>
      </c>
      <c r="J2203" s="18" t="inlineStr">
        <is>
          <t>Opening Day</t>
        </is>
      </c>
      <c r="K2203" s="11">
        <f>IFERROR(INDEX(Roles!$B$17:$B$20,MATCH(J2203,Roles!$A$17:$A$20,0)),1)</f>
        <v/>
      </c>
      <c r="L2203" s="19" t="n">
        <v>1</v>
      </c>
      <c r="M2203" s="11" t="n">
        <v>1</v>
      </c>
      <c r="N2203" s="19" t="n"/>
      <c r="O2203" s="19" t="n"/>
      <c r="P2203" s="19" t="n"/>
      <c r="Q2203" s="19" t="n"/>
      <c r="R2203" s="19" t="n"/>
      <c r="S2203" s="19" t="n"/>
      <c r="T2203" s="19" t="n"/>
      <c r="U2203" s="19" t="n"/>
      <c r="V2203" s="19" t="n"/>
      <c r="W2203" s="19" t="n"/>
      <c r="X2203" s="19" t="n"/>
      <c r="Y2203" s="19" t="n">
        <v>1</v>
      </c>
      <c r="Z2203" s="13">
        <f>SUMPRODUCT(N2203:Y2203,$N$2:$Y$2)*$K2203*$L2203*$M2203</f>
        <v/>
      </c>
      <c r="AA2203" s="14">
        <f>SUM(N2203:Y2203)</f>
        <v/>
      </c>
      <c r="AB2203" s="13">
        <f>SUMPRODUCT(N2203:Y2203,$N$3:$Y$3)*$K2203*$L2203*$M2203</f>
        <v/>
      </c>
      <c r="AC2203" s="13">
        <f>SUMPRODUCT(N2203:Y2203,$N$4:$Y$4)*$K2203*$L2203*$M2203</f>
        <v/>
      </c>
      <c r="AD2203" s="15" t="n">
        <v>3</v>
      </c>
      <c r="AE2203" s="11" t="n">
        <v>1.011296296296296</v>
      </c>
      <c r="AF2203" s="16">
        <f>SUMPRODUCT(N2203:Y2203,$N$5:$Y$5)*$K2203*$L2203*$M2203</f>
        <v/>
      </c>
      <c r="AG2203" s="16">
        <f>SUMPRODUCT(N2203:Y2203,$N$6:$Y$6)*$K2203*$L2203*$M2203</f>
        <v/>
      </c>
      <c r="AH2203" s="20" t="n"/>
    </row>
    <row r="2204">
      <c r="A2204" s="9" t="n">
        <v>687087</v>
      </c>
      <c r="B2204" s="9" t="inlineStr">
        <is>
          <t>Michael Prosecky</t>
        </is>
      </c>
      <c r="C2204" s="9" t="inlineStr">
        <is>
          <t>COL</t>
        </is>
      </c>
      <c r="D2204" s="9" t="n">
        <v>25</v>
      </c>
      <c r="E2204" s="18" t="inlineStr">
        <is>
          <t>L</t>
        </is>
      </c>
      <c r="F2204" s="18" t="n"/>
      <c r="G2204" s="9" t="n">
        <v>31.10333333333333</v>
      </c>
      <c r="H2204" s="9" t="n">
        <v>31.10333333333333</v>
      </c>
      <c r="I2204" s="9" t="inlineStr">
        <is>
          <t>Depth (no MLB IP)</t>
        </is>
      </c>
      <c r="J2204" s="18" t="inlineStr">
        <is>
          <t>Opening Day</t>
        </is>
      </c>
      <c r="K2204" s="11">
        <f>IFERROR(INDEX(Roles!$B$17:$B$20,MATCH(J2204,Roles!$A$17:$A$20,0)),1)</f>
        <v/>
      </c>
      <c r="L2204" s="19" t="n">
        <v>1</v>
      </c>
      <c r="M2204" s="11" t="n">
        <v>1</v>
      </c>
      <c r="N2204" s="19" t="n"/>
      <c r="O2204" s="19" t="n"/>
      <c r="P2204" s="19" t="n"/>
      <c r="Q2204" s="19" t="n"/>
      <c r="R2204" s="19" t="n"/>
      <c r="S2204" s="19" t="n"/>
      <c r="T2204" s="19" t="n"/>
      <c r="U2204" s="19" t="n"/>
      <c r="V2204" s="19" t="n"/>
      <c r="W2204" s="19" t="n"/>
      <c r="X2204" s="19" t="n"/>
      <c r="Y2204" s="19" t="n">
        <v>1</v>
      </c>
      <c r="Z2204" s="13">
        <f>SUMPRODUCT(N2204:Y2204,$N$2:$Y$2)*$K2204*$L2204*$M2204</f>
        <v/>
      </c>
      <c r="AA2204" s="14">
        <f>SUM(N2204:Y2204)</f>
        <v/>
      </c>
      <c r="AB2204" s="13">
        <f>SUMPRODUCT(N2204:Y2204,$N$3:$Y$3)*$K2204*$L2204*$M2204</f>
        <v/>
      </c>
      <c r="AC2204" s="13">
        <f>SUMPRODUCT(N2204:Y2204,$N$4:$Y$4)*$K2204*$L2204*$M2204</f>
        <v/>
      </c>
      <c r="AD2204" s="15" t="n">
        <v>3</v>
      </c>
      <c r="AE2204" s="11" t="n">
        <v>1.011296296296296</v>
      </c>
      <c r="AF2204" s="16">
        <f>SUMPRODUCT(N2204:Y2204,$N$5:$Y$5)*$K2204*$L2204*$M2204</f>
        <v/>
      </c>
      <c r="AG2204" s="16">
        <f>SUMPRODUCT(N2204:Y2204,$N$6:$Y$6)*$K2204*$L2204*$M2204</f>
        <v/>
      </c>
      <c r="AH2204" s="20" t="n"/>
    </row>
    <row r="2205">
      <c r="A2205" s="9" t="n">
        <v>803292</v>
      </c>
      <c r="B2205" s="9" t="inlineStr">
        <is>
          <t>Ben Peterson</t>
        </is>
      </c>
      <c r="C2205" s="9" t="inlineStr">
        <is>
          <t>SF</t>
        </is>
      </c>
      <c r="D2205" s="9" t="n">
        <v>25</v>
      </c>
      <c r="E2205" s="18" t="inlineStr">
        <is>
          <t>R</t>
        </is>
      </c>
      <c r="F2205" s="18" t="n"/>
      <c r="G2205" s="9" t="n">
        <v>31.10333333333333</v>
      </c>
      <c r="H2205" s="9" t="n">
        <v>31.10333333333333</v>
      </c>
      <c r="I2205" s="9" t="inlineStr">
        <is>
          <t>Depth (no MLB IP)</t>
        </is>
      </c>
      <c r="J2205" s="18" t="inlineStr">
        <is>
          <t>Opening Day</t>
        </is>
      </c>
      <c r="K2205" s="11">
        <f>IFERROR(INDEX(Roles!$B$17:$B$20,MATCH(J2205,Roles!$A$17:$A$20,0)),1)</f>
        <v/>
      </c>
      <c r="L2205" s="19" t="n">
        <v>1</v>
      </c>
      <c r="M2205" s="11" t="n">
        <v>1</v>
      </c>
      <c r="N2205" s="19" t="n"/>
      <c r="O2205" s="19" t="n"/>
      <c r="P2205" s="19" t="n"/>
      <c r="Q2205" s="19" t="n"/>
      <c r="R2205" s="19" t="n"/>
      <c r="S2205" s="19" t="n"/>
      <c r="T2205" s="19" t="n"/>
      <c r="U2205" s="19" t="n"/>
      <c r="V2205" s="19" t="n"/>
      <c r="W2205" s="19" t="n"/>
      <c r="X2205" s="19" t="n"/>
      <c r="Y2205" s="19" t="n">
        <v>1</v>
      </c>
      <c r="Z2205" s="13">
        <f>SUMPRODUCT(N2205:Y2205,$N$2:$Y$2)*$K2205*$L2205*$M2205</f>
        <v/>
      </c>
      <c r="AA2205" s="14">
        <f>SUM(N2205:Y2205)</f>
        <v/>
      </c>
      <c r="AB2205" s="13">
        <f>SUMPRODUCT(N2205:Y2205,$N$3:$Y$3)*$K2205*$L2205*$M2205</f>
        <v/>
      </c>
      <c r="AC2205" s="13">
        <f>SUMPRODUCT(N2205:Y2205,$N$4:$Y$4)*$K2205*$L2205*$M2205</f>
        <v/>
      </c>
      <c r="AD2205" s="15" t="n">
        <v>3</v>
      </c>
      <c r="AE2205" s="11" t="n">
        <v>1.011296296296296</v>
      </c>
      <c r="AF2205" s="16">
        <f>SUMPRODUCT(N2205:Y2205,$N$5:$Y$5)*$K2205*$L2205*$M2205</f>
        <v/>
      </c>
      <c r="AG2205" s="16">
        <f>SUMPRODUCT(N2205:Y2205,$N$6:$Y$6)*$K2205*$L2205*$M2205</f>
        <v/>
      </c>
      <c r="AH2205" s="20" t="n"/>
    </row>
    <row r="2206">
      <c r="A2206" s="9" t="n">
        <v>700344</v>
      </c>
      <c r="B2206" s="9" t="inlineStr">
        <is>
          <t>Alessandro Ercolani</t>
        </is>
      </c>
      <c r="C2206" s="9" t="inlineStr">
        <is>
          <t>PIT</t>
        </is>
      </c>
      <c r="D2206" s="9" t="n">
        <v>25</v>
      </c>
      <c r="E2206" s="18" t="inlineStr">
        <is>
          <t>R</t>
        </is>
      </c>
      <c r="F2206" s="18" t="n"/>
      <c r="G2206" s="9" t="n">
        <v>31.10333333333333</v>
      </c>
      <c r="H2206" s="9" t="n">
        <v>31.10333333333333</v>
      </c>
      <c r="I2206" s="9" t="inlineStr">
        <is>
          <t>Depth (no MLB IP)</t>
        </is>
      </c>
      <c r="J2206" s="18" t="inlineStr">
        <is>
          <t>Opening Day</t>
        </is>
      </c>
      <c r="K2206" s="11">
        <f>IFERROR(INDEX(Roles!$B$17:$B$20,MATCH(J2206,Roles!$A$17:$A$20,0)),1)</f>
        <v/>
      </c>
      <c r="L2206" s="19" t="n">
        <v>1</v>
      </c>
      <c r="M2206" s="11" t="n">
        <v>1</v>
      </c>
      <c r="N2206" s="19" t="n"/>
      <c r="O2206" s="19" t="n"/>
      <c r="P2206" s="19" t="n"/>
      <c r="Q2206" s="19" t="n"/>
      <c r="R2206" s="19" t="n"/>
      <c r="S2206" s="19" t="n"/>
      <c r="T2206" s="19" t="n"/>
      <c r="U2206" s="19" t="n"/>
      <c r="V2206" s="19" t="n"/>
      <c r="W2206" s="19" t="n"/>
      <c r="X2206" s="19" t="n"/>
      <c r="Y2206" s="19" t="n">
        <v>1</v>
      </c>
      <c r="Z2206" s="13">
        <f>SUMPRODUCT(N2206:Y2206,$N$2:$Y$2)*$K2206*$L2206*$M2206</f>
        <v/>
      </c>
      <c r="AA2206" s="14">
        <f>SUM(N2206:Y2206)</f>
        <v/>
      </c>
      <c r="AB2206" s="13">
        <f>SUMPRODUCT(N2206:Y2206,$N$3:$Y$3)*$K2206*$L2206*$M2206</f>
        <v/>
      </c>
      <c r="AC2206" s="13">
        <f>SUMPRODUCT(N2206:Y2206,$N$4:$Y$4)*$K2206*$L2206*$M2206</f>
        <v/>
      </c>
      <c r="AD2206" s="15" t="n">
        <v>3</v>
      </c>
      <c r="AE2206" s="11" t="n">
        <v>1.011296296296296</v>
      </c>
      <c r="AF2206" s="16">
        <f>SUMPRODUCT(N2206:Y2206,$N$5:$Y$5)*$K2206*$L2206*$M2206</f>
        <v/>
      </c>
      <c r="AG2206" s="16">
        <f>SUMPRODUCT(N2206:Y2206,$N$6:$Y$6)*$K2206*$L2206*$M2206</f>
        <v/>
      </c>
      <c r="AH2206" s="20" t="n"/>
    </row>
    <row r="2207">
      <c r="A2207" s="9" t="n">
        <v>806823</v>
      </c>
      <c r="B2207" s="9" t="inlineStr">
        <is>
          <t>Sheng-En Lin</t>
        </is>
      </c>
      <c r="C2207" s="9" t="inlineStr">
        <is>
          <t>CIN</t>
        </is>
      </c>
      <c r="D2207" s="9" t="n">
        <v>25</v>
      </c>
      <c r="E2207" s="18" t="inlineStr">
        <is>
          <t>R</t>
        </is>
      </c>
      <c r="F2207" s="18" t="n"/>
      <c r="G2207" s="9" t="n">
        <v>31.476</v>
      </c>
      <c r="H2207" s="9" t="n">
        <v>31.476</v>
      </c>
      <c r="I2207" s="9" t="inlineStr">
        <is>
          <t>Depth (no MLB IP)</t>
        </is>
      </c>
      <c r="J2207" s="18" t="inlineStr">
        <is>
          <t>Opening Day</t>
        </is>
      </c>
      <c r="K2207" s="11">
        <f>IFERROR(INDEX(Roles!$B$17:$B$20,MATCH(J2207,Roles!$A$17:$A$20,0)),1)</f>
        <v/>
      </c>
      <c r="L2207" s="19" t="n">
        <v>1</v>
      </c>
      <c r="M2207" s="11" t="n">
        <v>1</v>
      </c>
      <c r="N2207" s="19" t="n"/>
      <c r="O2207" s="19" t="n"/>
      <c r="P2207" s="19" t="n"/>
      <c r="Q2207" s="19" t="n"/>
      <c r="R2207" s="19" t="n"/>
      <c r="S2207" s="19" t="n"/>
      <c r="T2207" s="19" t="n"/>
      <c r="U2207" s="19" t="n"/>
      <c r="V2207" s="19" t="n"/>
      <c r="W2207" s="19" t="n"/>
      <c r="X2207" s="19" t="n"/>
      <c r="Y2207" s="19" t="n">
        <v>1</v>
      </c>
      <c r="Z2207" s="13">
        <f>SUMPRODUCT(N2207:Y2207,$N$2:$Y$2)*$K2207*$L2207*$M2207</f>
        <v/>
      </c>
      <c r="AA2207" s="14">
        <f>SUM(N2207:Y2207)</f>
        <v/>
      </c>
      <c r="AB2207" s="13">
        <f>SUMPRODUCT(N2207:Y2207,$N$3:$Y$3)*$K2207*$L2207*$M2207</f>
        <v/>
      </c>
      <c r="AC2207" s="13">
        <f>SUMPRODUCT(N2207:Y2207,$N$4:$Y$4)*$K2207*$L2207*$M2207</f>
        <v/>
      </c>
      <c r="AD2207" s="15" t="n">
        <v>3</v>
      </c>
      <c r="AE2207" s="11" t="n">
        <v>1.011296296296296</v>
      </c>
      <c r="AF2207" s="16">
        <f>SUMPRODUCT(N2207:Y2207,$N$5:$Y$5)*$K2207*$L2207*$M2207</f>
        <v/>
      </c>
      <c r="AG2207" s="16">
        <f>SUMPRODUCT(N2207:Y2207,$N$6:$Y$6)*$K2207*$L2207*$M2207</f>
        <v/>
      </c>
      <c r="AH2207" s="20" t="n"/>
    </row>
    <row r="2208">
      <c r="A2208" s="9" t="n">
        <v>699325</v>
      </c>
      <c r="B2208" s="9" t="inlineStr">
        <is>
          <t>Oscar Rayo</t>
        </is>
      </c>
      <c r="C2208" s="9" t="inlineStr">
        <is>
          <t>KC</t>
        </is>
      </c>
      <c r="D2208" s="9" t="n">
        <v>25</v>
      </c>
      <c r="E2208" s="18" t="inlineStr">
        <is>
          <t>L</t>
        </is>
      </c>
      <c r="F2208" s="18" t="n"/>
      <c r="G2208" s="9" t="n">
        <v>31.53333333333334</v>
      </c>
      <c r="H2208" s="9" t="n">
        <v>31.53333333333334</v>
      </c>
      <c r="I2208" s="9" t="inlineStr">
        <is>
          <t>Depth (no MLB IP)</t>
        </is>
      </c>
      <c r="J2208" s="18" t="inlineStr">
        <is>
          <t>Opening Day</t>
        </is>
      </c>
      <c r="K2208" s="11">
        <f>IFERROR(INDEX(Roles!$B$17:$B$20,MATCH(J2208,Roles!$A$17:$A$20,0)),1)</f>
        <v/>
      </c>
      <c r="L2208" s="19" t="n">
        <v>1</v>
      </c>
      <c r="M2208" s="11" t="n">
        <v>1</v>
      </c>
      <c r="N2208" s="19" t="n"/>
      <c r="O2208" s="19" t="n"/>
      <c r="P2208" s="19" t="n"/>
      <c r="Q2208" s="19" t="n"/>
      <c r="R2208" s="19" t="n"/>
      <c r="S2208" s="19" t="n"/>
      <c r="T2208" s="19" t="n"/>
      <c r="U2208" s="19" t="n"/>
      <c r="V2208" s="19" t="n"/>
      <c r="W2208" s="19" t="n"/>
      <c r="X2208" s="19" t="n"/>
      <c r="Y2208" s="19" t="n">
        <v>1</v>
      </c>
      <c r="Z2208" s="13">
        <f>SUMPRODUCT(N2208:Y2208,$N$2:$Y$2)*$K2208*$L2208*$M2208</f>
        <v/>
      </c>
      <c r="AA2208" s="14">
        <f>SUM(N2208:Y2208)</f>
        <v/>
      </c>
      <c r="AB2208" s="13">
        <f>SUMPRODUCT(N2208:Y2208,$N$3:$Y$3)*$K2208*$L2208*$M2208</f>
        <v/>
      </c>
      <c r="AC2208" s="13">
        <f>SUMPRODUCT(N2208:Y2208,$N$4:$Y$4)*$K2208*$L2208*$M2208</f>
        <v/>
      </c>
      <c r="AD2208" s="15" t="n">
        <v>3</v>
      </c>
      <c r="AE2208" s="11" t="n">
        <v>1.011296296296296</v>
      </c>
      <c r="AF2208" s="16">
        <f>SUMPRODUCT(N2208:Y2208,$N$5:$Y$5)*$K2208*$L2208*$M2208</f>
        <v/>
      </c>
      <c r="AG2208" s="16">
        <f>SUMPRODUCT(N2208:Y2208,$N$6:$Y$6)*$K2208*$L2208*$M2208</f>
        <v/>
      </c>
      <c r="AH2208" s="20" t="n"/>
    </row>
    <row r="2209">
      <c r="A2209" s="9" t="n">
        <v>805418</v>
      </c>
      <c r="B2209" s="9" t="inlineStr">
        <is>
          <t>Drew Conover</t>
        </is>
      </c>
      <c r="C2209" s="9" t="inlineStr">
        <is>
          <t>CWS</t>
        </is>
      </c>
      <c r="D2209" s="9" t="n">
        <v>25</v>
      </c>
      <c r="E2209" s="18" t="inlineStr">
        <is>
          <t>R</t>
        </is>
      </c>
      <c r="F2209" s="18" t="n"/>
      <c r="G2209" s="9" t="n">
        <v>31.53333333333333</v>
      </c>
      <c r="H2209" s="9" t="n">
        <v>31.53333333333333</v>
      </c>
      <c r="I2209" s="9" t="inlineStr">
        <is>
          <t>Depth (no MLB IP)</t>
        </is>
      </c>
      <c r="J2209" s="18" t="inlineStr">
        <is>
          <t>Opening Day</t>
        </is>
      </c>
      <c r="K2209" s="11">
        <f>IFERROR(INDEX(Roles!$B$17:$B$20,MATCH(J2209,Roles!$A$17:$A$20,0)),1)</f>
        <v/>
      </c>
      <c r="L2209" s="19" t="n">
        <v>1</v>
      </c>
      <c r="M2209" s="11" t="n">
        <v>1</v>
      </c>
      <c r="N2209" s="19" t="n"/>
      <c r="O2209" s="19" t="n"/>
      <c r="P2209" s="19" t="n"/>
      <c r="Q2209" s="19" t="n"/>
      <c r="R2209" s="19" t="n"/>
      <c r="S2209" s="19" t="n"/>
      <c r="T2209" s="19" t="n"/>
      <c r="U2209" s="19" t="n"/>
      <c r="V2209" s="19" t="n"/>
      <c r="W2209" s="19" t="n"/>
      <c r="X2209" s="19" t="n"/>
      <c r="Y2209" s="19" t="n">
        <v>1</v>
      </c>
      <c r="Z2209" s="13">
        <f>SUMPRODUCT(N2209:Y2209,$N$2:$Y$2)*$K2209*$L2209*$M2209</f>
        <v/>
      </c>
      <c r="AA2209" s="14">
        <f>SUM(N2209:Y2209)</f>
        <v/>
      </c>
      <c r="AB2209" s="13">
        <f>SUMPRODUCT(N2209:Y2209,$N$3:$Y$3)*$K2209*$L2209*$M2209</f>
        <v/>
      </c>
      <c r="AC2209" s="13">
        <f>SUMPRODUCT(N2209:Y2209,$N$4:$Y$4)*$K2209*$L2209*$M2209</f>
        <v/>
      </c>
      <c r="AD2209" s="15" t="n">
        <v>3</v>
      </c>
      <c r="AE2209" s="11" t="n">
        <v>1.011296296296296</v>
      </c>
      <c r="AF2209" s="16">
        <f>SUMPRODUCT(N2209:Y2209,$N$5:$Y$5)*$K2209*$L2209*$M2209</f>
        <v/>
      </c>
      <c r="AG2209" s="16">
        <f>SUMPRODUCT(N2209:Y2209,$N$6:$Y$6)*$K2209*$L2209*$M2209</f>
        <v/>
      </c>
      <c r="AH2209" s="20" t="n"/>
    </row>
    <row r="2210">
      <c r="A2210" s="9" t="n">
        <v>701951</v>
      </c>
      <c r="B2210" s="9" t="inlineStr">
        <is>
          <t>Abel Mercedes</t>
        </is>
      </c>
      <c r="C2210" s="9" t="inlineStr">
        <is>
          <t>OAK</t>
        </is>
      </c>
      <c r="D2210" s="9" t="n">
        <v>25</v>
      </c>
      <c r="E2210" s="18" t="inlineStr">
        <is>
          <t>R</t>
        </is>
      </c>
      <c r="F2210" s="18" t="n"/>
      <c r="G2210" s="9" t="n">
        <v>31.53333333333333</v>
      </c>
      <c r="H2210" s="9" t="n">
        <v>31.53333333333333</v>
      </c>
      <c r="I2210" s="9" t="inlineStr">
        <is>
          <t>Depth (no MLB IP)</t>
        </is>
      </c>
      <c r="J2210" s="18" t="inlineStr">
        <is>
          <t>Opening Day</t>
        </is>
      </c>
      <c r="K2210" s="11">
        <f>IFERROR(INDEX(Roles!$B$17:$B$20,MATCH(J2210,Roles!$A$17:$A$20,0)),1)</f>
        <v/>
      </c>
      <c r="L2210" s="19" t="n">
        <v>1</v>
      </c>
      <c r="M2210" s="11" t="n">
        <v>1</v>
      </c>
      <c r="N2210" s="19" t="n"/>
      <c r="O2210" s="19" t="n"/>
      <c r="P2210" s="19" t="n"/>
      <c r="Q2210" s="19" t="n"/>
      <c r="R2210" s="19" t="n"/>
      <c r="S2210" s="19" t="n"/>
      <c r="T2210" s="19" t="n"/>
      <c r="U2210" s="19" t="n"/>
      <c r="V2210" s="19" t="n"/>
      <c r="W2210" s="19" t="n"/>
      <c r="X2210" s="19" t="n"/>
      <c r="Y2210" s="19" t="n">
        <v>1</v>
      </c>
      <c r="Z2210" s="13">
        <f>SUMPRODUCT(N2210:Y2210,$N$2:$Y$2)*$K2210*$L2210*$M2210</f>
        <v/>
      </c>
      <c r="AA2210" s="14">
        <f>SUM(N2210:Y2210)</f>
        <v/>
      </c>
      <c r="AB2210" s="13">
        <f>SUMPRODUCT(N2210:Y2210,$N$3:$Y$3)*$K2210*$L2210*$M2210</f>
        <v/>
      </c>
      <c r="AC2210" s="13">
        <f>SUMPRODUCT(N2210:Y2210,$N$4:$Y$4)*$K2210*$L2210*$M2210</f>
        <v/>
      </c>
      <c r="AD2210" s="15" t="n">
        <v>3</v>
      </c>
      <c r="AE2210" s="11" t="n">
        <v>1.011296296296296</v>
      </c>
      <c r="AF2210" s="16">
        <f>SUMPRODUCT(N2210:Y2210,$N$5:$Y$5)*$K2210*$L2210*$M2210</f>
        <v/>
      </c>
      <c r="AG2210" s="16">
        <f>SUMPRODUCT(N2210:Y2210,$N$6:$Y$6)*$K2210*$L2210*$M2210</f>
        <v/>
      </c>
      <c r="AH2210" s="20" t="n"/>
    </row>
    <row r="2211">
      <c r="A2211" s="9" t="n">
        <v>823129</v>
      </c>
      <c r="B2211" s="9" t="inlineStr">
        <is>
          <t>Trey Pooser</t>
        </is>
      </c>
      <c r="C2211" s="9" t="inlineStr">
        <is>
          <t>STL</t>
        </is>
      </c>
      <c r="D2211" s="9" t="n">
        <v>25</v>
      </c>
      <c r="E2211" s="18" t="inlineStr">
        <is>
          <t>R</t>
        </is>
      </c>
      <c r="F2211" s="18" t="n"/>
      <c r="G2211" s="9" t="n">
        <v>31.53333333333333</v>
      </c>
      <c r="H2211" s="9" t="n">
        <v>31.53333333333333</v>
      </c>
      <c r="I2211" s="9" t="inlineStr">
        <is>
          <t>Depth (no MLB IP)</t>
        </is>
      </c>
      <c r="J2211" s="18" t="inlineStr">
        <is>
          <t>Opening Day</t>
        </is>
      </c>
      <c r="K2211" s="11">
        <f>IFERROR(INDEX(Roles!$B$17:$B$20,MATCH(J2211,Roles!$A$17:$A$20,0)),1)</f>
        <v/>
      </c>
      <c r="L2211" s="19" t="n">
        <v>1</v>
      </c>
      <c r="M2211" s="11" t="n">
        <v>1</v>
      </c>
      <c r="N2211" s="19" t="n"/>
      <c r="O2211" s="19" t="n"/>
      <c r="P2211" s="19" t="n"/>
      <c r="Q2211" s="19" t="n"/>
      <c r="R2211" s="19" t="n"/>
      <c r="S2211" s="19" t="n"/>
      <c r="T2211" s="19" t="n"/>
      <c r="U2211" s="19" t="n"/>
      <c r="V2211" s="19" t="n"/>
      <c r="W2211" s="19" t="n"/>
      <c r="X2211" s="19" t="n"/>
      <c r="Y2211" s="19" t="n">
        <v>1</v>
      </c>
      <c r="Z2211" s="13">
        <f>SUMPRODUCT(N2211:Y2211,$N$2:$Y$2)*$K2211*$L2211*$M2211</f>
        <v/>
      </c>
      <c r="AA2211" s="14">
        <f>SUM(N2211:Y2211)</f>
        <v/>
      </c>
      <c r="AB2211" s="13">
        <f>SUMPRODUCT(N2211:Y2211,$N$3:$Y$3)*$K2211*$L2211*$M2211</f>
        <v/>
      </c>
      <c r="AC2211" s="13">
        <f>SUMPRODUCT(N2211:Y2211,$N$4:$Y$4)*$K2211*$L2211*$M2211</f>
        <v/>
      </c>
      <c r="AD2211" s="15" t="n">
        <v>3</v>
      </c>
      <c r="AE2211" s="11" t="n">
        <v>1.011296296296296</v>
      </c>
      <c r="AF2211" s="16">
        <f>SUMPRODUCT(N2211:Y2211,$N$5:$Y$5)*$K2211*$L2211*$M2211</f>
        <v/>
      </c>
      <c r="AG2211" s="16">
        <f>SUMPRODUCT(N2211:Y2211,$N$6:$Y$6)*$K2211*$L2211*$M2211</f>
        <v/>
      </c>
      <c r="AH2211" s="20" t="n"/>
    </row>
    <row r="2212">
      <c r="A2212" s="9" t="n">
        <v>836170</v>
      </c>
      <c r="B2212" s="9" t="inlineStr">
        <is>
          <t>Jackson Wells</t>
        </is>
      </c>
      <c r="C2212" s="9" t="inlineStr">
        <is>
          <t>HOU</t>
        </is>
      </c>
      <c r="D2212" s="9" t="n">
        <v>25</v>
      </c>
      <c r="E2212" s="18" t="inlineStr">
        <is>
          <t>R</t>
        </is>
      </c>
      <c r="F2212" s="18" t="n"/>
      <c r="G2212" s="9" t="n">
        <v>31.53333333333333</v>
      </c>
      <c r="H2212" s="9" t="n">
        <v>31.53333333333333</v>
      </c>
      <c r="I2212" s="9" t="inlineStr">
        <is>
          <t>Depth (no MLB IP)</t>
        </is>
      </c>
      <c r="J2212" s="18" t="inlineStr">
        <is>
          <t>Opening Day</t>
        </is>
      </c>
      <c r="K2212" s="11">
        <f>IFERROR(INDEX(Roles!$B$17:$B$20,MATCH(J2212,Roles!$A$17:$A$20,0)),1)</f>
        <v/>
      </c>
      <c r="L2212" s="19" t="n">
        <v>1</v>
      </c>
      <c r="M2212" s="11" t="n">
        <v>1</v>
      </c>
      <c r="N2212" s="19" t="n"/>
      <c r="O2212" s="19" t="n"/>
      <c r="P2212" s="19" t="n"/>
      <c r="Q2212" s="19" t="n"/>
      <c r="R2212" s="19" t="n"/>
      <c r="S2212" s="19" t="n"/>
      <c r="T2212" s="19" t="n"/>
      <c r="U2212" s="19" t="n"/>
      <c r="V2212" s="19" t="n"/>
      <c r="W2212" s="19" t="n"/>
      <c r="X2212" s="19" t="n"/>
      <c r="Y2212" s="19" t="n">
        <v>1</v>
      </c>
      <c r="Z2212" s="13">
        <f>SUMPRODUCT(N2212:Y2212,$N$2:$Y$2)*$K2212*$L2212*$M2212</f>
        <v/>
      </c>
      <c r="AA2212" s="14">
        <f>SUM(N2212:Y2212)</f>
        <v/>
      </c>
      <c r="AB2212" s="13">
        <f>SUMPRODUCT(N2212:Y2212,$N$3:$Y$3)*$K2212*$L2212*$M2212</f>
        <v/>
      </c>
      <c r="AC2212" s="13">
        <f>SUMPRODUCT(N2212:Y2212,$N$4:$Y$4)*$K2212*$L2212*$M2212</f>
        <v/>
      </c>
      <c r="AD2212" s="15" t="n">
        <v>3</v>
      </c>
      <c r="AE2212" s="11" t="n">
        <v>1.011296296296296</v>
      </c>
      <c r="AF2212" s="16">
        <f>SUMPRODUCT(N2212:Y2212,$N$5:$Y$5)*$K2212*$L2212*$M2212</f>
        <v/>
      </c>
      <c r="AG2212" s="16">
        <f>SUMPRODUCT(N2212:Y2212,$N$6:$Y$6)*$K2212*$L2212*$M2212</f>
        <v/>
      </c>
      <c r="AH2212" s="20" t="n"/>
    </row>
    <row r="2213">
      <c r="A2213" s="9" t="n">
        <v>813745</v>
      </c>
      <c r="B2213" s="9" t="inlineStr">
        <is>
          <t>Joey Gartrell</t>
        </is>
      </c>
      <c r="C2213" s="9" t="inlineStr">
        <is>
          <t>BOS</t>
        </is>
      </c>
      <c r="D2213" s="9" t="n">
        <v>25</v>
      </c>
      <c r="E2213" s="18" t="inlineStr">
        <is>
          <t>R</t>
        </is>
      </c>
      <c r="F2213" s="18" t="n"/>
      <c r="G2213" s="9" t="n">
        <v>31.53333333333333</v>
      </c>
      <c r="H2213" s="9" t="n">
        <v>31.53333333333333</v>
      </c>
      <c r="I2213" s="9" t="inlineStr">
        <is>
          <t>Depth (no MLB IP)</t>
        </is>
      </c>
      <c r="J2213" s="18" t="inlineStr">
        <is>
          <t>Opening Day</t>
        </is>
      </c>
      <c r="K2213" s="11">
        <f>IFERROR(INDEX(Roles!$B$17:$B$20,MATCH(J2213,Roles!$A$17:$A$20,0)),1)</f>
        <v/>
      </c>
      <c r="L2213" s="19" t="n">
        <v>1</v>
      </c>
      <c r="M2213" s="11" t="n">
        <v>1</v>
      </c>
      <c r="N2213" s="19" t="n"/>
      <c r="O2213" s="19" t="n"/>
      <c r="P2213" s="19" t="n"/>
      <c r="Q2213" s="19" t="n"/>
      <c r="R2213" s="19" t="n"/>
      <c r="S2213" s="19" t="n"/>
      <c r="T2213" s="19" t="n"/>
      <c r="U2213" s="19" t="n"/>
      <c r="V2213" s="19" t="n"/>
      <c r="W2213" s="19" t="n"/>
      <c r="X2213" s="19" t="n"/>
      <c r="Y2213" s="19" t="n">
        <v>1</v>
      </c>
      <c r="Z2213" s="13">
        <f>SUMPRODUCT(N2213:Y2213,$N$2:$Y$2)*$K2213*$L2213*$M2213</f>
        <v/>
      </c>
      <c r="AA2213" s="14">
        <f>SUM(N2213:Y2213)</f>
        <v/>
      </c>
      <c r="AB2213" s="13">
        <f>SUMPRODUCT(N2213:Y2213,$N$3:$Y$3)*$K2213*$L2213*$M2213</f>
        <v/>
      </c>
      <c r="AC2213" s="13">
        <f>SUMPRODUCT(N2213:Y2213,$N$4:$Y$4)*$K2213*$L2213*$M2213</f>
        <v/>
      </c>
      <c r="AD2213" s="15" t="n">
        <v>3</v>
      </c>
      <c r="AE2213" s="11" t="n">
        <v>1.011296296296296</v>
      </c>
      <c r="AF2213" s="16">
        <f>SUMPRODUCT(N2213:Y2213,$N$5:$Y$5)*$K2213*$L2213*$M2213</f>
        <v/>
      </c>
      <c r="AG2213" s="16">
        <f>SUMPRODUCT(N2213:Y2213,$N$6:$Y$6)*$K2213*$L2213*$M2213</f>
        <v/>
      </c>
      <c r="AH2213" s="20" t="n"/>
    </row>
    <row r="2214">
      <c r="A2214" s="9" t="n">
        <v>661563</v>
      </c>
      <c r="B2214" s="9" t="inlineStr">
        <is>
          <t>Luis Gil</t>
        </is>
      </c>
      <c r="C2214" s="9" t="inlineStr">
        <is>
          <t>NYY</t>
        </is>
      </c>
      <c r="D2214" s="9" t="n">
        <v>29</v>
      </c>
      <c r="E2214" s="18" t="inlineStr">
        <is>
          <t>R</t>
        </is>
      </c>
      <c r="F2214" s="18" t="n"/>
      <c r="G2214" s="9" t="n">
        <v>124</v>
      </c>
      <c r="H2214" s="9" t="n">
        <v>1024</v>
      </c>
      <c r="I2214" s="9" t="inlineStr">
        <is>
          <t>Swing Arm / Long Relief</t>
        </is>
      </c>
      <c r="J2214" s="18" t="inlineStr">
        <is>
          <t>Opening Day</t>
        </is>
      </c>
      <c r="K2214" s="11">
        <f>IFERROR(INDEX(Roles!$B$17:$B$20,MATCH(J2214,Roles!$A$17:$A$20,0)),1)</f>
        <v/>
      </c>
      <c r="L2214" s="19" t="n">
        <v>1</v>
      </c>
      <c r="M2214" s="11" t="n">
        <v>1</v>
      </c>
      <c r="N2214" s="19" t="n"/>
      <c r="O2214" s="19" t="n"/>
      <c r="P2214" s="19" t="n"/>
      <c r="Q2214" s="19" t="n"/>
      <c r="R2214" s="19" t="n">
        <v>0.55</v>
      </c>
      <c r="S2214" s="19" t="n"/>
      <c r="T2214" s="19" t="n"/>
      <c r="U2214" s="19" t="n"/>
      <c r="V2214" s="19" t="n">
        <v>0.45</v>
      </c>
      <c r="W2214" s="19" t="n"/>
      <c r="X2214" s="19" t="n"/>
      <c r="Y2214" s="19" t="n"/>
      <c r="Z2214" s="13">
        <f>SUMPRODUCT(N2214:Y2214,$N$2:$Y$2)*$K2214*$L2214*$M2214</f>
        <v/>
      </c>
      <c r="AA2214" s="14">
        <f>SUM(N2214:Y2214)</f>
        <v/>
      </c>
      <c r="AB2214" s="13">
        <f>SUMPRODUCT(N2214:Y2214,$N$3:$Y$3)*$K2214*$L2214*$M2214</f>
        <v/>
      </c>
      <c r="AC2214" s="13">
        <f>SUMPRODUCT(N2214:Y2214,$N$4:$Y$4)*$K2214*$L2214*$M2214</f>
        <v/>
      </c>
      <c r="AD2214" s="15" t="n">
        <v>15.93333333333333</v>
      </c>
      <c r="AE2214" s="11" t="n">
        <v>3.154243146046424</v>
      </c>
      <c r="AF2214" s="16">
        <f>SUMPRODUCT(N2214:Y2214,$N$5:$Y$5)*$K2214*$L2214*$M2214</f>
        <v/>
      </c>
      <c r="AG2214" s="16">
        <f>SUMPRODUCT(N2214:Y2214,$N$6:$Y$6)*$K2214*$L2214*$M2214</f>
        <v/>
      </c>
      <c r="AH2214" s="20" t="n"/>
    </row>
    <row r="2215">
      <c r="A2215" s="9" t="n">
        <v>686643</v>
      </c>
      <c r="B2215" s="9" t="inlineStr">
        <is>
          <t>Andrew Dalquist</t>
        </is>
      </c>
      <c r="C2215" s="9" t="inlineStr">
        <is>
          <t>SD</t>
        </is>
      </c>
      <c r="D2215" s="9" t="n">
        <v>25</v>
      </c>
      <c r="E2215" s="18" t="inlineStr">
        <is>
          <t>R</t>
        </is>
      </c>
      <c r="F2215" s="18" t="n"/>
      <c r="G2215" s="9" t="n">
        <v>31.605</v>
      </c>
      <c r="H2215" s="9" t="n">
        <v>31.605</v>
      </c>
      <c r="I2215" s="9" t="inlineStr">
        <is>
          <t>Depth (no MLB IP)</t>
        </is>
      </c>
      <c r="J2215" s="18" t="inlineStr">
        <is>
          <t>Opening Day</t>
        </is>
      </c>
      <c r="K2215" s="11">
        <f>IFERROR(INDEX(Roles!$B$17:$B$20,MATCH(J2215,Roles!$A$17:$A$20,0)),1)</f>
        <v/>
      </c>
      <c r="L2215" s="19" t="n">
        <v>1</v>
      </c>
      <c r="M2215" s="11" t="n">
        <v>1</v>
      </c>
      <c r="N2215" s="19" t="n"/>
      <c r="O2215" s="19" t="n"/>
      <c r="P2215" s="19" t="n"/>
      <c r="Q2215" s="19" t="n"/>
      <c r="R2215" s="19" t="n"/>
      <c r="S2215" s="19" t="n"/>
      <c r="T2215" s="19" t="n"/>
      <c r="U2215" s="19" t="n"/>
      <c r="V2215" s="19" t="n"/>
      <c r="W2215" s="19" t="n"/>
      <c r="X2215" s="19" t="n"/>
      <c r="Y2215" s="19" t="n">
        <v>1</v>
      </c>
      <c r="Z2215" s="13">
        <f>SUMPRODUCT(N2215:Y2215,$N$2:$Y$2)*$K2215*$L2215*$M2215</f>
        <v/>
      </c>
      <c r="AA2215" s="14">
        <f>SUM(N2215:Y2215)</f>
        <v/>
      </c>
      <c r="AB2215" s="13">
        <f>SUMPRODUCT(N2215:Y2215,$N$3:$Y$3)*$K2215*$L2215*$M2215</f>
        <v/>
      </c>
      <c r="AC2215" s="13">
        <f>SUMPRODUCT(N2215:Y2215,$N$4:$Y$4)*$K2215*$L2215*$M2215</f>
        <v/>
      </c>
      <c r="AD2215" s="15" t="n">
        <v>3</v>
      </c>
      <c r="AE2215" s="11" t="n">
        <v>1.011296296296296</v>
      </c>
      <c r="AF2215" s="16">
        <f>SUMPRODUCT(N2215:Y2215,$N$5:$Y$5)*$K2215*$L2215*$M2215</f>
        <v/>
      </c>
      <c r="AG2215" s="16">
        <f>SUMPRODUCT(N2215:Y2215,$N$6:$Y$6)*$K2215*$L2215*$M2215</f>
        <v/>
      </c>
      <c r="AH2215" s="20" t="n"/>
    </row>
    <row r="2216">
      <c r="A2216" s="9" t="n">
        <v>657277</v>
      </c>
      <c r="B2216" s="9" t="inlineStr">
        <is>
          <t>Logan Webb</t>
        </is>
      </c>
      <c r="C2216" s="9" t="inlineStr">
        <is>
          <t>SF</t>
        </is>
      </c>
      <c r="D2216" s="9" t="n">
        <v>30</v>
      </c>
      <c r="E2216" s="18" t="inlineStr">
        <is>
          <t>R</t>
        </is>
      </c>
      <c r="F2216" s="18" t="n"/>
      <c r="G2216" s="9" t="n">
        <v>668</v>
      </c>
      <c r="H2216" s="9" t="n">
        <v>4002</v>
      </c>
      <c r="I2216" s="9" t="inlineStr">
        <is>
          <t>Mid-Rotation Starter (SP2-3)</t>
        </is>
      </c>
      <c r="J2216" s="18" t="inlineStr">
        <is>
          <t>Opening Day</t>
        </is>
      </c>
      <c r="K2216" s="11">
        <f>IFERROR(INDEX(Roles!$B$17:$B$20,MATCH(J2216,Roles!$A$17:$A$20,0)),1)</f>
        <v/>
      </c>
      <c r="L2216" s="19" t="n">
        <v>1</v>
      </c>
      <c r="M2216" s="11" t="n">
        <v>1</v>
      </c>
      <c r="N2216" s="19" t="n"/>
      <c r="O2216" s="19" t="n">
        <v>0.5</v>
      </c>
      <c r="P2216" s="19" t="n">
        <v>0.5</v>
      </c>
      <c r="Q2216" s="19" t="n"/>
      <c r="R2216" s="19" t="n"/>
      <c r="S2216" s="19" t="n"/>
      <c r="T2216" s="19" t="n"/>
      <c r="U2216" s="19" t="n"/>
      <c r="V2216" s="19" t="n"/>
      <c r="W2216" s="19" t="n"/>
      <c r="X2216" s="19" t="n"/>
      <c r="Y2216" s="19" t="n"/>
      <c r="Z2216" s="13">
        <f>SUMPRODUCT(N2216:Y2216,$N$2:$Y$2)*$K2216*$L2216*$M2216</f>
        <v/>
      </c>
      <c r="AA2216" s="14">
        <f>SUM(N2216:Y2216)</f>
        <v/>
      </c>
      <c r="AB2216" s="13">
        <f>SUMPRODUCT(N2216:Y2216,$N$3:$Y$3)*$K2216*$L2216*$M2216</f>
        <v/>
      </c>
      <c r="AC2216" s="13">
        <f>SUMPRODUCT(N2216:Y2216,$N$4:$Y$4)*$K2216*$L2216*$M2216</f>
        <v/>
      </c>
      <c r="AD2216" s="15" t="n">
        <v>28.6</v>
      </c>
      <c r="AE2216" s="11" t="n">
        <v>5.485407066052228</v>
      </c>
      <c r="AF2216" s="16">
        <f>SUMPRODUCT(N2216:Y2216,$N$5:$Y$5)*$K2216*$L2216*$M2216</f>
        <v/>
      </c>
      <c r="AG2216" s="16">
        <f>SUMPRODUCT(N2216:Y2216,$N$6:$Y$6)*$K2216*$L2216*$M2216</f>
        <v/>
      </c>
      <c r="AH2216" s="20" t="n"/>
    </row>
    <row r="2217">
      <c r="A2217" s="9" t="n">
        <v>669434</v>
      </c>
      <c r="B2217" s="9" t="inlineStr">
        <is>
          <t>Stevie Emanuels</t>
        </is>
      </c>
      <c r="C2217" s="9" t="inlineStr">
        <is>
          <t>OAK</t>
        </is>
      </c>
      <c r="D2217" s="9" t="n">
        <v>25</v>
      </c>
      <c r="E2217" s="18" t="inlineStr">
        <is>
          <t>R</t>
        </is>
      </c>
      <c r="F2217" s="18" t="n"/>
      <c r="G2217" s="9" t="n">
        <v>31.53333333333334</v>
      </c>
      <c r="H2217" s="9" t="n">
        <v>31.53333333333334</v>
      </c>
      <c r="I2217" s="9" t="inlineStr">
        <is>
          <t>Depth (no MLB IP)</t>
        </is>
      </c>
      <c r="J2217" s="18" t="inlineStr">
        <is>
          <t>Opening Day</t>
        </is>
      </c>
      <c r="K2217" s="11">
        <f>IFERROR(INDEX(Roles!$B$17:$B$20,MATCH(J2217,Roles!$A$17:$A$20,0)),1)</f>
        <v/>
      </c>
      <c r="L2217" s="19" t="n">
        <v>1</v>
      </c>
      <c r="M2217" s="11" t="n">
        <v>1</v>
      </c>
      <c r="N2217" s="19" t="n"/>
      <c r="O2217" s="19" t="n"/>
      <c r="P2217" s="19" t="n"/>
      <c r="Q2217" s="19" t="n"/>
      <c r="R2217" s="19" t="n"/>
      <c r="S2217" s="19" t="n"/>
      <c r="T2217" s="19" t="n"/>
      <c r="U2217" s="19" t="n"/>
      <c r="V2217" s="19" t="n"/>
      <c r="W2217" s="19" t="n"/>
      <c r="X2217" s="19" t="n"/>
      <c r="Y2217" s="19" t="n">
        <v>1</v>
      </c>
      <c r="Z2217" s="13">
        <f>SUMPRODUCT(N2217:Y2217,$N$2:$Y$2)*$K2217*$L2217*$M2217</f>
        <v/>
      </c>
      <c r="AA2217" s="14">
        <f>SUM(N2217:Y2217)</f>
        <v/>
      </c>
      <c r="AB2217" s="13">
        <f>SUMPRODUCT(N2217:Y2217,$N$3:$Y$3)*$K2217*$L2217*$M2217</f>
        <v/>
      </c>
      <c r="AC2217" s="13">
        <f>SUMPRODUCT(N2217:Y2217,$N$4:$Y$4)*$K2217*$L2217*$M2217</f>
        <v/>
      </c>
      <c r="AD2217" s="15" t="n">
        <v>3</v>
      </c>
      <c r="AE2217" s="11" t="n">
        <v>1.011296296296296</v>
      </c>
      <c r="AF2217" s="16">
        <f>SUMPRODUCT(N2217:Y2217,$N$5:$Y$5)*$K2217*$L2217*$M2217</f>
        <v/>
      </c>
      <c r="AG2217" s="16">
        <f>SUMPRODUCT(N2217:Y2217,$N$6:$Y$6)*$K2217*$L2217*$M2217</f>
        <v/>
      </c>
      <c r="AH2217" s="20" t="n"/>
    </row>
    <row r="2218">
      <c r="A2218" s="9" t="n">
        <v>681869</v>
      </c>
      <c r="B2218" s="9" t="inlineStr">
        <is>
          <t>Shawn Dubin</t>
        </is>
      </c>
      <c r="C2218" s="9" t="inlineStr">
        <is>
          <t>BAL</t>
        </is>
      </c>
      <c r="D2218" s="9" t="n">
        <v>31</v>
      </c>
      <c r="E2218" s="18" t="inlineStr">
        <is>
          <t>R</t>
        </is>
      </c>
      <c r="F2218" s="18" t="n"/>
      <c r="G2218" s="9" t="n">
        <v>145</v>
      </c>
      <c r="H2218" s="9" t="n">
        <v>394</v>
      </c>
      <c r="I2218" s="9" t="inlineStr">
        <is>
          <t>Bullpen Depth Arm</t>
        </is>
      </c>
      <c r="J2218" s="18" t="inlineStr">
        <is>
          <t>Opening Day</t>
        </is>
      </c>
      <c r="K2218" s="11">
        <f>IFERROR(INDEX(Roles!$B$17:$B$20,MATCH(J2218,Roles!$A$17:$A$20,0)),1)</f>
        <v/>
      </c>
      <c r="L2218" s="19" t="n">
        <v>1</v>
      </c>
      <c r="M2218" s="11" t="n">
        <v>1</v>
      </c>
      <c r="N2218" s="19" t="n"/>
      <c r="O2218" s="19" t="n"/>
      <c r="P2218" s="19" t="n"/>
      <c r="Q2218" s="19" t="n"/>
      <c r="R2218" s="19" t="n"/>
      <c r="S2218" s="19" t="n"/>
      <c r="T2218" s="19" t="n"/>
      <c r="U2218" s="19" t="n"/>
      <c r="V2218" s="19" t="n"/>
      <c r="W2218" s="19" t="n">
        <v>1</v>
      </c>
      <c r="X2218" s="19" t="n"/>
      <c r="Y2218" s="19" t="n"/>
      <c r="Z2218" s="13">
        <f>SUMPRODUCT(N2218:Y2218,$N$2:$Y$2)*$K2218*$L2218*$M2218</f>
        <v/>
      </c>
      <c r="AA2218" s="14">
        <f>SUM(N2218:Y2218)</f>
        <v/>
      </c>
      <c r="AB2218" s="13">
        <f>SUMPRODUCT(N2218:Y2218,$N$3:$Y$3)*$K2218*$L2218*$M2218</f>
        <v/>
      </c>
      <c r="AC2218" s="13">
        <f>SUMPRODUCT(N2218:Y2218,$N$4:$Y$4)*$K2218*$L2218*$M2218</f>
        <v/>
      </c>
      <c r="AD2218" s="15" t="n">
        <v>23.86666666666667</v>
      </c>
      <c r="AE2218" s="11" t="n">
        <v>1.214205547538881</v>
      </c>
      <c r="AF2218" s="16">
        <f>SUMPRODUCT(N2218:Y2218,$N$5:$Y$5)*$K2218*$L2218*$M2218</f>
        <v/>
      </c>
      <c r="AG2218" s="16">
        <f>SUMPRODUCT(N2218:Y2218,$N$6:$Y$6)*$K2218*$L2218*$M2218</f>
        <v/>
      </c>
      <c r="AH2218" s="20" t="n"/>
    </row>
    <row r="2219">
      <c r="A2219" s="9" t="n">
        <v>642759</v>
      </c>
      <c r="B2219" s="9" t="inlineStr">
        <is>
          <t>Julian Fernández</t>
        </is>
      </c>
      <c r="C2219" s="9" t="inlineStr">
        <is>
          <t>WSH</t>
        </is>
      </c>
      <c r="D2219" s="9" t="n">
        <v>31</v>
      </c>
      <c r="E2219" s="18" t="inlineStr">
        <is>
          <t>R</t>
        </is>
      </c>
      <c r="F2219" s="18" t="n"/>
      <c r="G2219" s="9" t="n">
        <v>18</v>
      </c>
      <c r="H2219" s="9" t="n">
        <v>38</v>
      </c>
      <c r="I2219" s="9" t="inlineStr">
        <is>
          <t>Depth (no MLB IP)</t>
        </is>
      </c>
      <c r="J2219" s="18" t="inlineStr">
        <is>
          <t>Opening Day</t>
        </is>
      </c>
      <c r="K2219" s="11">
        <f>IFERROR(INDEX(Roles!$B$17:$B$20,MATCH(J2219,Roles!$A$17:$A$20,0)),1)</f>
        <v/>
      </c>
      <c r="L2219" s="19" t="n">
        <v>1</v>
      </c>
      <c r="M2219" s="11" t="n">
        <v>1</v>
      </c>
      <c r="N2219" s="19" t="n"/>
      <c r="O2219" s="19" t="n"/>
      <c r="P2219" s="19" t="n"/>
      <c r="Q2219" s="19" t="n"/>
      <c r="R2219" s="19" t="n"/>
      <c r="S2219" s="19" t="n"/>
      <c r="T2219" s="19" t="n"/>
      <c r="U2219" s="19" t="n"/>
      <c r="V2219" s="19" t="n"/>
      <c r="W2219" s="19" t="n"/>
      <c r="X2219" s="19" t="n"/>
      <c r="Y2219" s="19" t="n">
        <v>1</v>
      </c>
      <c r="Z2219" s="13">
        <f>SUMPRODUCT(N2219:Y2219,$N$2:$Y$2)*$K2219*$L2219*$M2219</f>
        <v/>
      </c>
      <c r="AA2219" s="14">
        <f>SUM(N2219:Y2219)</f>
        <v/>
      </c>
      <c r="AB2219" s="13">
        <f>SUMPRODUCT(N2219:Y2219,$N$3:$Y$3)*$K2219*$L2219*$M2219</f>
        <v/>
      </c>
      <c r="AC2219" s="13">
        <f>SUMPRODUCT(N2219:Y2219,$N$4:$Y$4)*$K2219*$L2219*$M2219</f>
        <v/>
      </c>
      <c r="AD2219" s="15" t="n">
        <v>3.24</v>
      </c>
      <c r="AE2219" s="11" t="n">
        <v>1.105570079883806</v>
      </c>
      <c r="AF2219" s="16">
        <f>SUMPRODUCT(N2219:Y2219,$N$5:$Y$5)*$K2219*$L2219*$M2219</f>
        <v/>
      </c>
      <c r="AG2219" s="16">
        <f>SUMPRODUCT(N2219:Y2219,$N$6:$Y$6)*$K2219*$L2219*$M2219</f>
        <v/>
      </c>
      <c r="AH2219" s="20" t="n"/>
    </row>
    <row r="2220">
      <c r="A2220" s="9" t="n">
        <v>811963</v>
      </c>
      <c r="B2220" s="9" t="inlineStr">
        <is>
          <t>Wyatt Parliament</t>
        </is>
      </c>
      <c r="C2220" s="9" t="inlineStr">
        <is>
          <t>NYY</t>
        </is>
      </c>
      <c r="D2220" s="9" t="n">
        <v>25</v>
      </c>
      <c r="E2220" s="18" t="inlineStr">
        <is>
          <t>R</t>
        </is>
      </c>
      <c r="F2220" s="18" t="n"/>
      <c r="G2220" s="9" t="n">
        <v>31.82</v>
      </c>
      <c r="H2220" s="9" t="n">
        <v>31.82</v>
      </c>
      <c r="I2220" s="9" t="inlineStr">
        <is>
          <t>Depth (no MLB IP)</t>
        </is>
      </c>
      <c r="J2220" s="18" t="inlineStr">
        <is>
          <t>Opening Day</t>
        </is>
      </c>
      <c r="K2220" s="11">
        <f>IFERROR(INDEX(Roles!$B$17:$B$20,MATCH(J2220,Roles!$A$17:$A$20,0)),1)</f>
        <v/>
      </c>
      <c r="L2220" s="19" t="n">
        <v>1</v>
      </c>
      <c r="M2220" s="11" t="n">
        <v>1</v>
      </c>
      <c r="N2220" s="19" t="n"/>
      <c r="O2220" s="19" t="n"/>
      <c r="P2220" s="19" t="n"/>
      <c r="Q2220" s="19" t="n"/>
      <c r="R2220" s="19" t="n"/>
      <c r="S2220" s="19" t="n"/>
      <c r="T2220" s="19" t="n"/>
      <c r="U2220" s="19" t="n"/>
      <c r="V2220" s="19" t="n"/>
      <c r="W2220" s="19" t="n"/>
      <c r="X2220" s="19" t="n"/>
      <c r="Y2220" s="19" t="n">
        <v>1</v>
      </c>
      <c r="Z2220" s="13">
        <f>SUMPRODUCT(N2220:Y2220,$N$2:$Y$2)*$K2220*$L2220*$M2220</f>
        <v/>
      </c>
      <c r="AA2220" s="14">
        <f>SUM(N2220:Y2220)</f>
        <v/>
      </c>
      <c r="AB2220" s="13">
        <f>SUMPRODUCT(N2220:Y2220,$N$3:$Y$3)*$K2220*$L2220*$M2220</f>
        <v/>
      </c>
      <c r="AC2220" s="13">
        <f>SUMPRODUCT(N2220:Y2220,$N$4:$Y$4)*$K2220*$L2220*$M2220</f>
        <v/>
      </c>
      <c r="AD2220" s="15" t="n">
        <v>3</v>
      </c>
      <c r="AE2220" s="11" t="n">
        <v>1.011296296296296</v>
      </c>
      <c r="AF2220" s="16">
        <f>SUMPRODUCT(N2220:Y2220,$N$5:$Y$5)*$K2220*$L2220*$M2220</f>
        <v/>
      </c>
      <c r="AG2220" s="16">
        <f>SUMPRODUCT(N2220:Y2220,$N$6:$Y$6)*$K2220*$L2220*$M2220</f>
        <v/>
      </c>
      <c r="AH2220" s="20" t="n"/>
    </row>
    <row r="2221">
      <c r="A2221" s="9" t="n">
        <v>689181</v>
      </c>
      <c r="B2221" s="9" t="inlineStr">
        <is>
          <t>Connor Fenlong</t>
        </is>
      </c>
      <c r="C2221" s="9" t="inlineStr">
        <is>
          <t>DET</t>
        </is>
      </c>
      <c r="D2221" s="9" t="n">
        <v>25</v>
      </c>
      <c r="E2221" s="18" t="inlineStr">
        <is>
          <t>R</t>
        </is>
      </c>
      <c r="F2221" s="18" t="n"/>
      <c r="G2221" s="9" t="n">
        <v>31.82</v>
      </c>
      <c r="H2221" s="9" t="n">
        <v>31.82</v>
      </c>
      <c r="I2221" s="9" t="inlineStr">
        <is>
          <t>Depth (no MLB IP)</t>
        </is>
      </c>
      <c r="J2221" s="18" t="inlineStr">
        <is>
          <t>Opening Day</t>
        </is>
      </c>
      <c r="K2221" s="11">
        <f>IFERROR(INDEX(Roles!$B$17:$B$20,MATCH(J2221,Roles!$A$17:$A$20,0)),1)</f>
        <v/>
      </c>
      <c r="L2221" s="19" t="n">
        <v>1</v>
      </c>
      <c r="M2221" s="11" t="n">
        <v>1</v>
      </c>
      <c r="N2221" s="19" t="n"/>
      <c r="O2221" s="19" t="n"/>
      <c r="P2221" s="19" t="n"/>
      <c r="Q2221" s="19" t="n"/>
      <c r="R2221" s="19" t="n"/>
      <c r="S2221" s="19" t="n"/>
      <c r="T2221" s="19" t="n"/>
      <c r="U2221" s="19" t="n"/>
      <c r="V2221" s="19" t="n"/>
      <c r="W2221" s="19" t="n"/>
      <c r="X2221" s="19" t="n"/>
      <c r="Y2221" s="19" t="n">
        <v>1</v>
      </c>
      <c r="Z2221" s="13">
        <f>SUMPRODUCT(N2221:Y2221,$N$2:$Y$2)*$K2221*$L2221*$M2221</f>
        <v/>
      </c>
      <c r="AA2221" s="14">
        <f>SUM(N2221:Y2221)</f>
        <v/>
      </c>
      <c r="AB2221" s="13">
        <f>SUMPRODUCT(N2221:Y2221,$N$3:$Y$3)*$K2221*$L2221*$M2221</f>
        <v/>
      </c>
      <c r="AC2221" s="13">
        <f>SUMPRODUCT(N2221:Y2221,$N$4:$Y$4)*$K2221*$L2221*$M2221</f>
        <v/>
      </c>
      <c r="AD2221" s="15" t="n">
        <v>3</v>
      </c>
      <c r="AE2221" s="11" t="n">
        <v>1.011296296296296</v>
      </c>
      <c r="AF2221" s="16">
        <f>SUMPRODUCT(N2221:Y2221,$N$5:$Y$5)*$K2221*$L2221*$M2221</f>
        <v/>
      </c>
      <c r="AG2221" s="16">
        <f>SUMPRODUCT(N2221:Y2221,$N$6:$Y$6)*$K2221*$L2221*$M2221</f>
        <v/>
      </c>
      <c r="AH2221" s="20" t="n"/>
    </row>
    <row r="2222">
      <c r="A2222" s="9" t="n">
        <v>689172</v>
      </c>
      <c r="B2222" s="9" t="inlineStr">
        <is>
          <t>Brett Wisely</t>
        </is>
      </c>
      <c r="C2222" s="9" t="inlineStr">
        <is>
          <t>SF</t>
        </is>
      </c>
      <c r="D2222" s="9" t="n">
        <v>28</v>
      </c>
      <c r="E2222" s="18" t="inlineStr">
        <is>
          <t>R</t>
        </is>
      </c>
      <c r="F2222" s="18" t="n"/>
      <c r="G2222" s="9" t="n">
        <v>4</v>
      </c>
      <c r="H2222" s="9" t="n">
        <v>4</v>
      </c>
      <c r="I2222" s="9" t="inlineStr">
        <is>
          <t>Depth (no MLB IP)</t>
        </is>
      </c>
      <c r="J2222" s="18" t="inlineStr">
        <is>
          <t>Opening Day</t>
        </is>
      </c>
      <c r="K2222" s="11">
        <f>IFERROR(INDEX(Roles!$B$17:$B$20,MATCH(J2222,Roles!$A$17:$A$20,0)),1)</f>
        <v/>
      </c>
      <c r="L2222" s="19" t="n">
        <v>1</v>
      </c>
      <c r="M2222" s="11" t="n">
        <v>1</v>
      </c>
      <c r="N2222" s="19" t="n"/>
      <c r="O2222" s="19" t="n"/>
      <c r="P2222" s="19" t="n"/>
      <c r="Q2222" s="19" t="n"/>
      <c r="R2222" s="19" t="n"/>
      <c r="S2222" s="19" t="n"/>
      <c r="T2222" s="19" t="n"/>
      <c r="U2222" s="19" t="n"/>
      <c r="V2222" s="19" t="n"/>
      <c r="W2222" s="19" t="n"/>
      <c r="X2222" s="19" t="n"/>
      <c r="Y2222" s="19" t="n">
        <v>1</v>
      </c>
      <c r="Z2222" s="13">
        <f>SUMPRODUCT(N2222:Y2222,$N$2:$Y$2)*$K2222*$L2222*$M2222</f>
        <v/>
      </c>
      <c r="AA2222" s="14">
        <f>SUM(N2222:Y2222)</f>
        <v/>
      </c>
      <c r="AB2222" s="13">
        <f>SUMPRODUCT(N2222:Y2222,$N$3:$Y$3)*$K2222*$L2222*$M2222</f>
        <v/>
      </c>
      <c r="AC2222" s="13">
        <f>SUMPRODUCT(N2222:Y2222,$N$4:$Y$4)*$K2222*$L2222*$M2222</f>
        <v/>
      </c>
      <c r="AD2222" s="15" t="n">
        <v>3</v>
      </c>
      <c r="AE2222" s="11" t="n">
        <v>1.011296296296296</v>
      </c>
      <c r="AF2222" s="16">
        <f>SUMPRODUCT(N2222:Y2222,$N$5:$Y$5)*$K2222*$L2222*$M2222</f>
        <v/>
      </c>
      <c r="AG2222" s="16">
        <f>SUMPRODUCT(N2222:Y2222,$N$6:$Y$6)*$K2222*$L2222*$M2222</f>
        <v/>
      </c>
      <c r="AH2222" s="20" t="n"/>
    </row>
    <row r="2223">
      <c r="A2223" s="9" t="n">
        <v>660634</v>
      </c>
      <c r="B2223" s="9" t="inlineStr">
        <is>
          <t>Yonny Hernández</t>
        </is>
      </c>
      <c r="C2223" s="9" t="inlineStr">
        <is>
          <t>LAD</t>
        </is>
      </c>
      <c r="D2223" s="9" t="n">
        <v>29</v>
      </c>
      <c r="E2223" s="18" t="inlineStr">
        <is>
          <t>R</t>
        </is>
      </c>
      <c r="F2223" s="18" t="n"/>
      <c r="G2223" s="9" t="n">
        <v>4</v>
      </c>
      <c r="H2223" s="9" t="n">
        <v>4</v>
      </c>
      <c r="I2223" s="9" t="inlineStr">
        <is>
          <t>Depth (no MLB IP)</t>
        </is>
      </c>
      <c r="J2223" s="18" t="inlineStr">
        <is>
          <t>Opening Day</t>
        </is>
      </c>
      <c r="K2223" s="11">
        <f>IFERROR(INDEX(Roles!$B$17:$B$20,MATCH(J2223,Roles!$A$17:$A$20,0)),1)</f>
        <v/>
      </c>
      <c r="L2223" s="19" t="n">
        <v>1</v>
      </c>
      <c r="M2223" s="11" t="n">
        <v>1</v>
      </c>
      <c r="N2223" s="19" t="n"/>
      <c r="O2223" s="19" t="n"/>
      <c r="P2223" s="19" t="n"/>
      <c r="Q2223" s="19" t="n"/>
      <c r="R2223" s="19" t="n"/>
      <c r="S2223" s="19" t="n"/>
      <c r="T2223" s="19" t="n"/>
      <c r="U2223" s="19" t="n"/>
      <c r="V2223" s="19" t="n"/>
      <c r="W2223" s="19" t="n"/>
      <c r="X2223" s="19" t="n"/>
      <c r="Y2223" s="19" t="n">
        <v>1</v>
      </c>
      <c r="Z2223" s="13">
        <f>SUMPRODUCT(N2223:Y2223,$N$2:$Y$2)*$K2223*$L2223*$M2223</f>
        <v/>
      </c>
      <c r="AA2223" s="14">
        <f>SUM(N2223:Y2223)</f>
        <v/>
      </c>
      <c r="AB2223" s="13">
        <f>SUMPRODUCT(N2223:Y2223,$N$3:$Y$3)*$K2223*$L2223*$M2223</f>
        <v/>
      </c>
      <c r="AC2223" s="13">
        <f>SUMPRODUCT(N2223:Y2223,$N$4:$Y$4)*$K2223*$L2223*$M2223</f>
        <v/>
      </c>
      <c r="AD2223" s="15" t="n">
        <v>3</v>
      </c>
      <c r="AE2223" s="11" t="n">
        <v>1.011296296296296</v>
      </c>
      <c r="AF2223" s="16">
        <f>SUMPRODUCT(N2223:Y2223,$N$5:$Y$5)*$K2223*$L2223*$M2223</f>
        <v/>
      </c>
      <c r="AG2223" s="16">
        <f>SUMPRODUCT(N2223:Y2223,$N$6:$Y$6)*$K2223*$L2223*$M2223</f>
        <v/>
      </c>
      <c r="AH2223" s="20" t="n"/>
    </row>
    <row r="2224">
      <c r="A2224" s="9" t="n">
        <v>687888</v>
      </c>
      <c r="B2224" s="9" t="inlineStr">
        <is>
          <t>Brandon Walter</t>
        </is>
      </c>
      <c r="C2224" s="9" t="inlineStr">
        <is>
          <t>HOU</t>
        </is>
      </c>
      <c r="D2224" s="9" t="n">
        <v>30</v>
      </c>
      <c r="E2224" s="18" t="inlineStr">
        <is>
          <t>L</t>
        </is>
      </c>
      <c r="F2224" s="18" t="n"/>
      <c r="G2224" s="9" t="n">
        <v>212</v>
      </c>
      <c r="H2224" s="9" t="n">
        <v>318</v>
      </c>
      <c r="I2224" s="9" t="inlineStr">
        <is>
          <t>Swing Arm / Long Relief</t>
        </is>
      </c>
      <c r="J2224" s="18" t="inlineStr">
        <is>
          <t>Opening Day</t>
        </is>
      </c>
      <c r="K2224" s="11">
        <f>IFERROR(INDEX(Roles!$B$17:$B$20,MATCH(J2224,Roles!$A$17:$A$20,0)),1)</f>
        <v/>
      </c>
      <c r="L2224" s="19" t="n">
        <v>1</v>
      </c>
      <c r="M2224" s="11" t="n">
        <v>1</v>
      </c>
      <c r="N2224" s="19" t="n"/>
      <c r="O2224" s="19" t="n"/>
      <c r="P2224" s="19" t="n"/>
      <c r="Q2224" s="19" t="n"/>
      <c r="R2224" s="19" t="n">
        <v>0.5</v>
      </c>
      <c r="S2224" s="19" t="n"/>
      <c r="T2224" s="19" t="n"/>
      <c r="U2224" s="19" t="n"/>
      <c r="V2224" s="19" t="n">
        <v>0.5</v>
      </c>
      <c r="W2224" s="19" t="n"/>
      <c r="X2224" s="19" t="n"/>
      <c r="Y2224" s="19" t="n"/>
      <c r="Z2224" s="13">
        <f>SUMPRODUCT(N2224:Y2224,$N$2:$Y$2)*$K2224*$L2224*$M2224</f>
        <v/>
      </c>
      <c r="AA2224" s="14">
        <f>SUM(N2224:Y2224)</f>
        <v/>
      </c>
      <c r="AB2224" s="13">
        <f>SUMPRODUCT(N2224:Y2224,$N$3:$Y$3)*$K2224*$L2224*$M2224</f>
        <v/>
      </c>
      <c r="AC2224" s="13">
        <f>SUMPRODUCT(N2224:Y2224,$N$4:$Y$4)*$K2224*$L2224*$M2224</f>
        <v/>
      </c>
      <c r="AD2224" s="15" t="n">
        <v>13.53333333333333</v>
      </c>
      <c r="AE2224" s="11" t="n">
        <v>3.656142481279093</v>
      </c>
      <c r="AF2224" s="16">
        <f>SUMPRODUCT(N2224:Y2224,$N$5:$Y$5)*$K2224*$L2224*$M2224</f>
        <v/>
      </c>
      <c r="AG2224" s="16">
        <f>SUMPRODUCT(N2224:Y2224,$N$6:$Y$6)*$K2224*$L2224*$M2224</f>
        <v/>
      </c>
      <c r="AH2224" s="20" t="n"/>
    </row>
    <row r="2225">
      <c r="A2225" s="9" t="n">
        <v>808010</v>
      </c>
      <c r="B2225" s="9" t="inlineStr">
        <is>
          <t>Joan Ogando</t>
        </is>
      </c>
      <c r="C2225" s="9" t="inlineStr">
        <is>
          <t>HOU</t>
        </is>
      </c>
      <c r="D2225" s="9" t="n">
        <v>25</v>
      </c>
      <c r="E2225" s="18" t="inlineStr">
        <is>
          <t>R</t>
        </is>
      </c>
      <c r="F2225" s="18" t="n"/>
      <c r="G2225" s="9" t="n">
        <v>31.82</v>
      </c>
      <c r="H2225" s="9" t="n">
        <v>31.82</v>
      </c>
      <c r="I2225" s="9" t="inlineStr">
        <is>
          <t>Depth (no MLB IP)</t>
        </is>
      </c>
      <c r="J2225" s="18" t="inlineStr">
        <is>
          <t>Opening Day</t>
        </is>
      </c>
      <c r="K2225" s="11">
        <f>IFERROR(INDEX(Roles!$B$17:$B$20,MATCH(J2225,Roles!$A$17:$A$20,0)),1)</f>
        <v/>
      </c>
      <c r="L2225" s="19" t="n">
        <v>1</v>
      </c>
      <c r="M2225" s="11" t="n">
        <v>1</v>
      </c>
      <c r="N2225" s="19" t="n"/>
      <c r="O2225" s="19" t="n"/>
      <c r="P2225" s="19" t="n"/>
      <c r="Q2225" s="19" t="n"/>
      <c r="R2225" s="19" t="n"/>
      <c r="S2225" s="19" t="n"/>
      <c r="T2225" s="19" t="n"/>
      <c r="U2225" s="19" t="n"/>
      <c r="V2225" s="19" t="n"/>
      <c r="W2225" s="19" t="n"/>
      <c r="X2225" s="19" t="n"/>
      <c r="Y2225" s="19" t="n">
        <v>1</v>
      </c>
      <c r="Z2225" s="13">
        <f>SUMPRODUCT(N2225:Y2225,$N$2:$Y$2)*$K2225*$L2225*$M2225</f>
        <v/>
      </c>
      <c r="AA2225" s="14">
        <f>SUM(N2225:Y2225)</f>
        <v/>
      </c>
      <c r="AB2225" s="13">
        <f>SUMPRODUCT(N2225:Y2225,$N$3:$Y$3)*$K2225*$L2225*$M2225</f>
        <v/>
      </c>
      <c r="AC2225" s="13">
        <f>SUMPRODUCT(N2225:Y2225,$N$4:$Y$4)*$K2225*$L2225*$M2225</f>
        <v/>
      </c>
      <c r="AD2225" s="15" t="n">
        <v>3</v>
      </c>
      <c r="AE2225" s="11" t="n">
        <v>1.011296296296296</v>
      </c>
      <c r="AF2225" s="16">
        <f>SUMPRODUCT(N2225:Y2225,$N$5:$Y$5)*$K2225*$L2225*$M2225</f>
        <v/>
      </c>
      <c r="AG2225" s="16">
        <f>SUMPRODUCT(N2225:Y2225,$N$6:$Y$6)*$K2225*$L2225*$M2225</f>
        <v/>
      </c>
      <c r="AH2225" s="20" t="n"/>
    </row>
    <row r="2226">
      <c r="A2226" s="9" t="n">
        <v>592527</v>
      </c>
      <c r="B2226" s="9" t="inlineStr">
        <is>
          <t>Michael Mariot</t>
        </is>
      </c>
      <c r="C2226" s="9" t="inlineStr">
        <is>
          <t>CIN</t>
        </is>
      </c>
      <c r="D2226" s="9" t="n">
        <v>38</v>
      </c>
      <c r="E2226" s="18" t="inlineStr">
        <is>
          <t>R</t>
        </is>
      </c>
      <c r="F2226" s="18" t="n"/>
      <c r="G2226" s="9" t="n">
        <v>13</v>
      </c>
      <c r="H2226" s="9" t="n">
        <v>13</v>
      </c>
      <c r="I2226" s="9" t="inlineStr">
        <is>
          <t>Depth (no MLB IP)</t>
        </is>
      </c>
      <c r="J2226" s="18" t="inlineStr">
        <is>
          <t>Opening Day</t>
        </is>
      </c>
      <c r="K2226" s="11">
        <f>IFERROR(INDEX(Roles!$B$17:$B$20,MATCH(J2226,Roles!$A$17:$A$20,0)),1)</f>
        <v/>
      </c>
      <c r="L2226" s="19" t="n">
        <v>1</v>
      </c>
      <c r="M2226" s="11" t="n">
        <v>1</v>
      </c>
      <c r="N2226" s="19" t="n"/>
      <c r="O2226" s="19" t="n"/>
      <c r="P2226" s="19" t="n"/>
      <c r="Q2226" s="19" t="n"/>
      <c r="R2226" s="19" t="n"/>
      <c r="S2226" s="19" t="n"/>
      <c r="T2226" s="19" t="n"/>
      <c r="U2226" s="19" t="n"/>
      <c r="V2226" s="19" t="n"/>
      <c r="W2226" s="19" t="n"/>
      <c r="X2226" s="19" t="n"/>
      <c r="Y2226" s="19" t="n">
        <v>1</v>
      </c>
      <c r="Z2226" s="13">
        <f>SUMPRODUCT(N2226:Y2226,$N$2:$Y$2)*$K2226*$L2226*$M2226</f>
        <v/>
      </c>
      <c r="AA2226" s="14">
        <f>SUM(N2226:Y2226)</f>
        <v/>
      </c>
      <c r="AB2226" s="13">
        <f>SUMPRODUCT(N2226:Y2226,$N$3:$Y$3)*$K2226*$L2226*$M2226</f>
        <v/>
      </c>
      <c r="AC2226" s="13">
        <f>SUMPRODUCT(N2226:Y2226,$N$4:$Y$4)*$K2226*$L2226*$M2226</f>
        <v/>
      </c>
      <c r="AD2226" s="15" t="n">
        <v>3</v>
      </c>
      <c r="AE2226" s="11" t="n">
        <v>1.011296296296296</v>
      </c>
      <c r="AF2226" s="16">
        <f>SUMPRODUCT(N2226:Y2226,$N$5:$Y$5)*$K2226*$L2226*$M2226</f>
        <v/>
      </c>
      <c r="AG2226" s="16">
        <f>SUMPRODUCT(N2226:Y2226,$N$6:$Y$6)*$K2226*$L2226*$M2226</f>
        <v/>
      </c>
      <c r="AH2226" s="20" t="n"/>
    </row>
    <row r="2227">
      <c r="A2227" s="9" t="n">
        <v>571875</v>
      </c>
      <c r="B2227" s="9" t="inlineStr">
        <is>
          <t>Jake Lamb</t>
        </is>
      </c>
      <c r="C2227" s="9" t="inlineStr">
        <is>
          <t>LAA</t>
        </is>
      </c>
      <c r="D2227" s="9" t="n">
        <v>36</v>
      </c>
      <c r="E2227" s="18" t="inlineStr">
        <is>
          <t>R</t>
        </is>
      </c>
      <c r="F2227" s="18" t="n"/>
      <c r="G2227" s="9" t="n">
        <v>4</v>
      </c>
      <c r="H2227" s="9" t="n">
        <v>4</v>
      </c>
      <c r="I2227" s="9" t="inlineStr">
        <is>
          <t>Depth (no MLB IP)</t>
        </is>
      </c>
      <c r="J2227" s="18" t="inlineStr">
        <is>
          <t>Opening Day</t>
        </is>
      </c>
      <c r="K2227" s="11">
        <f>IFERROR(INDEX(Roles!$B$17:$B$20,MATCH(J2227,Roles!$A$17:$A$20,0)),1)</f>
        <v/>
      </c>
      <c r="L2227" s="19" t="n">
        <v>1</v>
      </c>
      <c r="M2227" s="11" t="n">
        <v>1</v>
      </c>
      <c r="N2227" s="19" t="n"/>
      <c r="O2227" s="19" t="n"/>
      <c r="P2227" s="19" t="n"/>
      <c r="Q2227" s="19" t="n"/>
      <c r="R2227" s="19" t="n"/>
      <c r="S2227" s="19" t="n"/>
      <c r="T2227" s="19" t="n"/>
      <c r="U2227" s="19" t="n"/>
      <c r="V2227" s="19" t="n"/>
      <c r="W2227" s="19" t="n"/>
      <c r="X2227" s="19" t="n"/>
      <c r="Y2227" s="19" t="n">
        <v>1</v>
      </c>
      <c r="Z2227" s="13">
        <f>SUMPRODUCT(N2227:Y2227,$N$2:$Y$2)*$K2227*$L2227*$M2227</f>
        <v/>
      </c>
      <c r="AA2227" s="14">
        <f>SUM(N2227:Y2227)</f>
        <v/>
      </c>
      <c r="AB2227" s="13">
        <f>SUMPRODUCT(N2227:Y2227,$N$3:$Y$3)*$K2227*$L2227*$M2227</f>
        <v/>
      </c>
      <c r="AC2227" s="13">
        <f>SUMPRODUCT(N2227:Y2227,$N$4:$Y$4)*$K2227*$L2227*$M2227</f>
        <v/>
      </c>
      <c r="AD2227" s="15" t="n">
        <v>3</v>
      </c>
      <c r="AE2227" s="11" t="n">
        <v>1.011296296296296</v>
      </c>
      <c r="AF2227" s="16">
        <f>SUMPRODUCT(N2227:Y2227,$N$5:$Y$5)*$K2227*$L2227*$M2227</f>
        <v/>
      </c>
      <c r="AG2227" s="16">
        <f>SUMPRODUCT(N2227:Y2227,$N$6:$Y$6)*$K2227*$L2227*$M2227</f>
        <v/>
      </c>
      <c r="AH2227" s="20" t="n"/>
    </row>
    <row r="2228">
      <c r="A2228" s="9" t="n">
        <v>676689</v>
      </c>
      <c r="B2228" s="9" t="inlineStr">
        <is>
          <t>Ricky Karcher</t>
        </is>
      </c>
      <c r="C2228" s="9" t="inlineStr">
        <is>
          <t>CIN</t>
        </is>
      </c>
      <c r="D2228" s="9" t="n">
        <v>29</v>
      </c>
      <c r="E2228" s="18" t="inlineStr">
        <is>
          <t>R</t>
        </is>
      </c>
      <c r="F2228" s="18" t="n"/>
      <c r="G2228" s="9" t="n">
        <v>4</v>
      </c>
      <c r="H2228" s="9" t="n">
        <v>4</v>
      </c>
      <c r="I2228" s="9" t="inlineStr">
        <is>
          <t>Depth (no MLB IP)</t>
        </is>
      </c>
      <c r="J2228" s="18" t="inlineStr">
        <is>
          <t>Opening Day</t>
        </is>
      </c>
      <c r="K2228" s="11">
        <f>IFERROR(INDEX(Roles!$B$17:$B$20,MATCH(J2228,Roles!$A$17:$A$20,0)),1)</f>
        <v/>
      </c>
      <c r="L2228" s="19" t="n">
        <v>1</v>
      </c>
      <c r="M2228" s="11" t="n">
        <v>1</v>
      </c>
      <c r="N2228" s="19" t="n"/>
      <c r="O2228" s="19" t="n"/>
      <c r="P2228" s="19" t="n"/>
      <c r="Q2228" s="19" t="n"/>
      <c r="R2228" s="19" t="n"/>
      <c r="S2228" s="19" t="n"/>
      <c r="T2228" s="19" t="n"/>
      <c r="U2228" s="19" t="n"/>
      <c r="V2228" s="19" t="n"/>
      <c r="W2228" s="19" t="n"/>
      <c r="X2228" s="19" t="n"/>
      <c r="Y2228" s="19" t="n">
        <v>1</v>
      </c>
      <c r="Z2228" s="13">
        <f>SUMPRODUCT(N2228:Y2228,$N$2:$Y$2)*$K2228*$L2228*$M2228</f>
        <v/>
      </c>
      <c r="AA2228" s="14">
        <f>SUM(N2228:Y2228)</f>
        <v/>
      </c>
      <c r="AB2228" s="13">
        <f>SUMPRODUCT(N2228:Y2228,$N$3:$Y$3)*$K2228*$L2228*$M2228</f>
        <v/>
      </c>
      <c r="AC2228" s="13">
        <f>SUMPRODUCT(N2228:Y2228,$N$4:$Y$4)*$K2228*$L2228*$M2228</f>
        <v/>
      </c>
      <c r="AD2228" s="15" t="n">
        <v>3</v>
      </c>
      <c r="AE2228" s="11" t="n">
        <v>1.011296296296296</v>
      </c>
      <c r="AF2228" s="16">
        <f>SUMPRODUCT(N2228:Y2228,$N$5:$Y$5)*$K2228*$L2228*$M2228</f>
        <v/>
      </c>
      <c r="AG2228" s="16">
        <f>SUMPRODUCT(N2228:Y2228,$N$6:$Y$6)*$K2228*$L2228*$M2228</f>
        <v/>
      </c>
      <c r="AH2228" s="20" t="n"/>
    </row>
    <row r="2229">
      <c r="A2229" s="9" t="n">
        <v>676632</v>
      </c>
      <c r="B2229" s="9" t="inlineStr">
        <is>
          <t>Bligh Madris</t>
        </is>
      </c>
      <c r="C2229" s="9" t="inlineStr">
        <is>
          <t>HOU</t>
        </is>
      </c>
      <c r="D2229" s="9" t="n">
        <v>31</v>
      </c>
      <c r="E2229" s="18" t="inlineStr">
        <is>
          <t>R</t>
        </is>
      </c>
      <c r="F2229" s="18" t="n"/>
      <c r="G2229" s="9" t="n">
        <v>4</v>
      </c>
      <c r="H2229" s="9" t="n">
        <v>4</v>
      </c>
      <c r="I2229" s="9" t="inlineStr">
        <is>
          <t>Depth (no MLB IP)</t>
        </is>
      </c>
      <c r="J2229" s="18" t="inlineStr">
        <is>
          <t>Opening Day</t>
        </is>
      </c>
      <c r="K2229" s="11">
        <f>IFERROR(INDEX(Roles!$B$17:$B$20,MATCH(J2229,Roles!$A$17:$A$20,0)),1)</f>
        <v/>
      </c>
      <c r="L2229" s="19" t="n">
        <v>1</v>
      </c>
      <c r="M2229" s="11" t="n">
        <v>1</v>
      </c>
      <c r="N2229" s="19" t="n"/>
      <c r="O2229" s="19" t="n"/>
      <c r="P2229" s="19" t="n"/>
      <c r="Q2229" s="19" t="n"/>
      <c r="R2229" s="19" t="n"/>
      <c r="S2229" s="19" t="n"/>
      <c r="T2229" s="19" t="n"/>
      <c r="U2229" s="19" t="n"/>
      <c r="V2229" s="19" t="n"/>
      <c r="W2229" s="19" t="n"/>
      <c r="X2229" s="19" t="n"/>
      <c r="Y2229" s="19" t="n">
        <v>1</v>
      </c>
      <c r="Z2229" s="13">
        <f>SUMPRODUCT(N2229:Y2229,$N$2:$Y$2)*$K2229*$L2229*$M2229</f>
        <v/>
      </c>
      <c r="AA2229" s="14">
        <f>SUM(N2229:Y2229)</f>
        <v/>
      </c>
      <c r="AB2229" s="13">
        <f>SUMPRODUCT(N2229:Y2229,$N$3:$Y$3)*$K2229*$L2229*$M2229</f>
        <v/>
      </c>
      <c r="AC2229" s="13">
        <f>SUMPRODUCT(N2229:Y2229,$N$4:$Y$4)*$K2229*$L2229*$M2229</f>
        <v/>
      </c>
      <c r="AD2229" s="15" t="n">
        <v>3</v>
      </c>
      <c r="AE2229" s="11" t="n">
        <v>1.011296296296296</v>
      </c>
      <c r="AF2229" s="16">
        <f>SUMPRODUCT(N2229:Y2229,$N$5:$Y$5)*$K2229*$L2229*$M2229</f>
        <v/>
      </c>
      <c r="AG2229" s="16">
        <f>SUMPRODUCT(N2229:Y2229,$N$6:$Y$6)*$K2229*$L2229*$M2229</f>
        <v/>
      </c>
      <c r="AH2229" s="20" t="n"/>
    </row>
    <row r="2230">
      <c r="A2230" s="9" t="n">
        <v>803516</v>
      </c>
      <c r="B2230" s="9" t="inlineStr">
        <is>
          <t>Johnny King</t>
        </is>
      </c>
      <c r="C2230" s="9" t="inlineStr">
        <is>
          <t>TOR</t>
        </is>
      </c>
      <c r="D2230" s="9" t="n">
        <v>21</v>
      </c>
      <c r="E2230" s="18" t="inlineStr">
        <is>
          <t>L</t>
        </is>
      </c>
      <c r="F2230" s="18" t="n"/>
      <c r="G2230" s="9" t="n">
        <v>32.10666666666666</v>
      </c>
      <c r="H2230" s="9" t="n">
        <v>32.10666666666666</v>
      </c>
      <c r="I2230" s="9" t="inlineStr">
        <is>
          <t>Innings-Limited Starter</t>
        </is>
      </c>
      <c r="J2230" s="18" t="inlineStr">
        <is>
          <t>Mid Season (~July)</t>
        </is>
      </c>
      <c r="K2230" s="11">
        <f>IFERROR(INDEX(Roles!$B$17:$B$20,MATCH(J2230,Roles!$A$17:$A$20,0)),1)</f>
        <v/>
      </c>
      <c r="L2230" s="19" t="n">
        <v>1</v>
      </c>
      <c r="M2230" s="11" t="n">
        <v>1</v>
      </c>
      <c r="N2230" s="19" t="n"/>
      <c r="O2230" s="19" t="n"/>
      <c r="P2230" s="19" t="n"/>
      <c r="Q2230" s="19" t="n">
        <v>0.46</v>
      </c>
      <c r="R2230" s="19" t="n">
        <v>0.3</v>
      </c>
      <c r="S2230" s="19" t="n"/>
      <c r="T2230" s="19" t="n"/>
      <c r="U2230" s="19" t="n"/>
      <c r="V2230" s="19" t="n"/>
      <c r="W2230" s="19" t="n">
        <v>0.24</v>
      </c>
      <c r="X2230" s="19" t="n"/>
      <c r="Y2230" s="19" t="n"/>
      <c r="Z2230" s="13">
        <f>SUMPRODUCT(N2230:Y2230,$N$2:$Y$2)*$K2230*$L2230*$M2230</f>
        <v/>
      </c>
      <c r="AA2230" s="14">
        <f>SUM(N2230:Y2230)</f>
        <v/>
      </c>
      <c r="AB2230" s="13">
        <f>SUMPRODUCT(N2230:Y2230,$N$3:$Y$3)*$K2230*$L2230*$M2230</f>
        <v/>
      </c>
      <c r="AC2230" s="13">
        <f>SUMPRODUCT(N2230:Y2230,$N$4:$Y$4)*$K2230*$L2230*$M2230</f>
        <v/>
      </c>
      <c r="AD2230" s="15" t="n">
        <v>27.52</v>
      </c>
      <c r="AE2230" s="11" t="n">
        <v>3.223110465116278</v>
      </c>
      <c r="AF2230" s="16">
        <f>SUMPRODUCT(N2230:Y2230,$N$5:$Y$5)*$K2230*$L2230*$M2230</f>
        <v/>
      </c>
      <c r="AG2230" s="16">
        <f>SUMPRODUCT(N2230:Y2230,$N$6:$Y$6)*$K2230*$L2230*$M2230</f>
        <v/>
      </c>
      <c r="AH2230" s="20" t="n"/>
    </row>
    <row r="2231">
      <c r="A2231" s="9" t="n">
        <v>686608</v>
      </c>
      <c r="B2231" s="9" t="inlineStr">
        <is>
          <t>Jacob Wallace</t>
        </is>
      </c>
      <c r="C2231" s="9" t="inlineStr">
        <is>
          <t>CHC</t>
        </is>
      </c>
      <c r="D2231" s="9" t="n">
        <v>25</v>
      </c>
      <c r="E2231" s="18" t="inlineStr">
        <is>
          <t>R</t>
        </is>
      </c>
      <c r="F2231" s="18" t="n"/>
      <c r="G2231" s="9" t="n">
        <v>32.10666666666666</v>
      </c>
      <c r="H2231" s="9" t="n">
        <v>32.10666666666666</v>
      </c>
      <c r="I2231" s="9" t="inlineStr">
        <is>
          <t>Depth (no MLB IP)</t>
        </is>
      </c>
      <c r="J2231" s="18" t="inlineStr">
        <is>
          <t>Opening Day</t>
        </is>
      </c>
      <c r="K2231" s="11">
        <f>IFERROR(INDEX(Roles!$B$17:$B$20,MATCH(J2231,Roles!$A$17:$A$20,0)),1)</f>
        <v/>
      </c>
      <c r="L2231" s="19" t="n">
        <v>1</v>
      </c>
      <c r="M2231" s="11" t="n">
        <v>1</v>
      </c>
      <c r="N2231" s="19" t="n"/>
      <c r="O2231" s="19" t="n"/>
      <c r="P2231" s="19" t="n"/>
      <c r="Q2231" s="19" t="n"/>
      <c r="R2231" s="19" t="n"/>
      <c r="S2231" s="19" t="n"/>
      <c r="T2231" s="19" t="n"/>
      <c r="U2231" s="19" t="n"/>
      <c r="V2231" s="19" t="n"/>
      <c r="W2231" s="19" t="n"/>
      <c r="X2231" s="19" t="n"/>
      <c r="Y2231" s="19" t="n">
        <v>1</v>
      </c>
      <c r="Z2231" s="13">
        <f>SUMPRODUCT(N2231:Y2231,$N$2:$Y$2)*$K2231*$L2231*$M2231</f>
        <v/>
      </c>
      <c r="AA2231" s="14">
        <f>SUM(N2231:Y2231)</f>
        <v/>
      </c>
      <c r="AB2231" s="13">
        <f>SUMPRODUCT(N2231:Y2231,$N$3:$Y$3)*$K2231*$L2231*$M2231</f>
        <v/>
      </c>
      <c r="AC2231" s="13">
        <f>SUMPRODUCT(N2231:Y2231,$N$4:$Y$4)*$K2231*$L2231*$M2231</f>
        <v/>
      </c>
      <c r="AD2231" s="15" t="n">
        <v>3</v>
      </c>
      <c r="AE2231" s="11" t="n">
        <v>1.011296296296296</v>
      </c>
      <c r="AF2231" s="16">
        <f>SUMPRODUCT(N2231:Y2231,$N$5:$Y$5)*$K2231*$L2231*$M2231</f>
        <v/>
      </c>
      <c r="AG2231" s="16">
        <f>SUMPRODUCT(N2231:Y2231,$N$6:$Y$6)*$K2231*$L2231*$M2231</f>
        <v/>
      </c>
      <c r="AH2231" s="20" t="n"/>
    </row>
    <row r="2232">
      <c r="A2232" s="9" t="n">
        <v>808244</v>
      </c>
      <c r="B2232" s="9" t="inlineStr">
        <is>
          <t>Luis Arestigueta</t>
        </is>
      </c>
      <c r="C2232" s="9" t="inlineStr">
        <is>
          <t>ATL</t>
        </is>
      </c>
      <c r="D2232" s="9" t="n">
        <v>25</v>
      </c>
      <c r="E2232" s="18" t="inlineStr">
        <is>
          <t>R</t>
        </is>
      </c>
      <c r="F2232" s="18" t="n"/>
      <c r="G2232" s="9" t="n">
        <v>32.164</v>
      </c>
      <c r="H2232" s="9" t="n">
        <v>32.164</v>
      </c>
      <c r="I2232" s="9" t="inlineStr">
        <is>
          <t>Depth (no MLB IP)</t>
        </is>
      </c>
      <c r="J2232" s="18" t="inlineStr">
        <is>
          <t>Opening Day</t>
        </is>
      </c>
      <c r="K2232" s="11">
        <f>IFERROR(INDEX(Roles!$B$17:$B$20,MATCH(J2232,Roles!$A$17:$A$20,0)),1)</f>
        <v/>
      </c>
      <c r="L2232" s="19" t="n">
        <v>1</v>
      </c>
      <c r="M2232" s="11" t="n">
        <v>1</v>
      </c>
      <c r="N2232" s="19" t="n"/>
      <c r="O2232" s="19" t="n"/>
      <c r="P2232" s="19" t="n"/>
      <c r="Q2232" s="19" t="n"/>
      <c r="R2232" s="19" t="n"/>
      <c r="S2232" s="19" t="n"/>
      <c r="T2232" s="19" t="n"/>
      <c r="U2232" s="19" t="n"/>
      <c r="V2232" s="19" t="n"/>
      <c r="W2232" s="19" t="n"/>
      <c r="X2232" s="19" t="n"/>
      <c r="Y2232" s="19" t="n">
        <v>1</v>
      </c>
      <c r="Z2232" s="13">
        <f>SUMPRODUCT(N2232:Y2232,$N$2:$Y$2)*$K2232*$L2232*$M2232</f>
        <v/>
      </c>
      <c r="AA2232" s="14">
        <f>SUM(N2232:Y2232)</f>
        <v/>
      </c>
      <c r="AB2232" s="13">
        <f>SUMPRODUCT(N2232:Y2232,$N$3:$Y$3)*$K2232*$L2232*$M2232</f>
        <v/>
      </c>
      <c r="AC2232" s="13">
        <f>SUMPRODUCT(N2232:Y2232,$N$4:$Y$4)*$K2232*$L2232*$M2232</f>
        <v/>
      </c>
      <c r="AD2232" s="15" t="n">
        <v>3</v>
      </c>
      <c r="AE2232" s="11" t="n">
        <v>1.011296296296296</v>
      </c>
      <c r="AF2232" s="16">
        <f>SUMPRODUCT(N2232:Y2232,$N$5:$Y$5)*$K2232*$L2232*$M2232</f>
        <v/>
      </c>
      <c r="AG2232" s="16">
        <f>SUMPRODUCT(N2232:Y2232,$N$6:$Y$6)*$K2232*$L2232*$M2232</f>
        <v/>
      </c>
      <c r="AH2232" s="20" t="n"/>
    </row>
    <row r="2233">
      <c r="A2233" s="9" t="n">
        <v>694725</v>
      </c>
      <c r="B2233" s="9" t="inlineStr">
        <is>
          <t>Michael Fowler</t>
        </is>
      </c>
      <c r="C2233" s="9" t="inlineStr">
        <is>
          <t>MIL</t>
        </is>
      </c>
      <c r="D2233" s="9" t="n">
        <v>25</v>
      </c>
      <c r="E2233" s="18" t="inlineStr">
        <is>
          <t>R</t>
        </is>
      </c>
      <c r="F2233" s="18" t="n"/>
      <c r="G2233" s="9" t="n">
        <v>32.10666666666667</v>
      </c>
      <c r="H2233" s="9" t="n">
        <v>32.10666666666667</v>
      </c>
      <c r="I2233" s="9" t="inlineStr">
        <is>
          <t>Depth (no MLB IP)</t>
        </is>
      </c>
      <c r="J2233" s="18" t="inlineStr">
        <is>
          <t>Opening Day</t>
        </is>
      </c>
      <c r="K2233" s="11">
        <f>IFERROR(INDEX(Roles!$B$17:$B$20,MATCH(J2233,Roles!$A$17:$A$20,0)),1)</f>
        <v/>
      </c>
      <c r="L2233" s="19" t="n">
        <v>1</v>
      </c>
      <c r="M2233" s="11" t="n">
        <v>1</v>
      </c>
      <c r="N2233" s="19" t="n"/>
      <c r="O2233" s="19" t="n"/>
      <c r="P2233" s="19" t="n"/>
      <c r="Q2233" s="19" t="n"/>
      <c r="R2233" s="19" t="n"/>
      <c r="S2233" s="19" t="n"/>
      <c r="T2233" s="19" t="n"/>
      <c r="U2233" s="19" t="n"/>
      <c r="V2233" s="19" t="n"/>
      <c r="W2233" s="19" t="n"/>
      <c r="X2233" s="19" t="n"/>
      <c r="Y2233" s="19" t="n">
        <v>1</v>
      </c>
      <c r="Z2233" s="13">
        <f>SUMPRODUCT(N2233:Y2233,$N$2:$Y$2)*$K2233*$L2233*$M2233</f>
        <v/>
      </c>
      <c r="AA2233" s="14">
        <f>SUM(N2233:Y2233)</f>
        <v/>
      </c>
      <c r="AB2233" s="13">
        <f>SUMPRODUCT(N2233:Y2233,$N$3:$Y$3)*$K2233*$L2233*$M2233</f>
        <v/>
      </c>
      <c r="AC2233" s="13">
        <f>SUMPRODUCT(N2233:Y2233,$N$4:$Y$4)*$K2233*$L2233*$M2233</f>
        <v/>
      </c>
      <c r="AD2233" s="15" t="n">
        <v>3</v>
      </c>
      <c r="AE2233" s="11" t="n">
        <v>1.011296296296296</v>
      </c>
      <c r="AF2233" s="16">
        <f>SUMPRODUCT(N2233:Y2233,$N$5:$Y$5)*$K2233*$L2233*$M2233</f>
        <v/>
      </c>
      <c r="AG2233" s="16">
        <f>SUMPRODUCT(N2233:Y2233,$N$6:$Y$6)*$K2233*$L2233*$M2233</f>
        <v/>
      </c>
      <c r="AH2233" s="20" t="n"/>
    </row>
    <row r="2234">
      <c r="A2234" s="9" t="n">
        <v>806288</v>
      </c>
      <c r="B2234" s="9" t="inlineStr">
        <is>
          <t>Stefan Raeth</t>
        </is>
      </c>
      <c r="C2234" s="9" t="inlineStr">
        <is>
          <t>SEA</t>
        </is>
      </c>
      <c r="D2234" s="9" t="n">
        <v>25</v>
      </c>
      <c r="E2234" s="18" t="inlineStr">
        <is>
          <t>R</t>
        </is>
      </c>
      <c r="F2234" s="18" t="n"/>
      <c r="G2234" s="9" t="n">
        <v>32.10666666666666</v>
      </c>
      <c r="H2234" s="9" t="n">
        <v>32.10666666666666</v>
      </c>
      <c r="I2234" s="9" t="inlineStr">
        <is>
          <t>Depth (no MLB IP)</t>
        </is>
      </c>
      <c r="J2234" s="18" t="inlineStr">
        <is>
          <t>Opening Day</t>
        </is>
      </c>
      <c r="K2234" s="11">
        <f>IFERROR(INDEX(Roles!$B$17:$B$20,MATCH(J2234,Roles!$A$17:$A$20,0)),1)</f>
        <v/>
      </c>
      <c r="L2234" s="19" t="n">
        <v>1</v>
      </c>
      <c r="M2234" s="11" t="n">
        <v>1</v>
      </c>
      <c r="N2234" s="19" t="n"/>
      <c r="O2234" s="19" t="n"/>
      <c r="P2234" s="19" t="n"/>
      <c r="Q2234" s="19" t="n"/>
      <c r="R2234" s="19" t="n"/>
      <c r="S2234" s="19" t="n"/>
      <c r="T2234" s="19" t="n"/>
      <c r="U2234" s="19" t="n"/>
      <c r="V2234" s="19" t="n"/>
      <c r="W2234" s="19" t="n"/>
      <c r="X2234" s="19" t="n"/>
      <c r="Y2234" s="19" t="n">
        <v>1</v>
      </c>
      <c r="Z2234" s="13">
        <f>SUMPRODUCT(N2234:Y2234,$N$2:$Y$2)*$K2234*$L2234*$M2234</f>
        <v/>
      </c>
      <c r="AA2234" s="14">
        <f>SUM(N2234:Y2234)</f>
        <v/>
      </c>
      <c r="AB2234" s="13">
        <f>SUMPRODUCT(N2234:Y2234,$N$3:$Y$3)*$K2234*$L2234*$M2234</f>
        <v/>
      </c>
      <c r="AC2234" s="13">
        <f>SUMPRODUCT(N2234:Y2234,$N$4:$Y$4)*$K2234*$L2234*$M2234</f>
        <v/>
      </c>
      <c r="AD2234" s="15" t="n">
        <v>3</v>
      </c>
      <c r="AE2234" s="11" t="n">
        <v>1.011296296296296</v>
      </c>
      <c r="AF2234" s="16">
        <f>SUMPRODUCT(N2234:Y2234,$N$5:$Y$5)*$K2234*$L2234*$M2234</f>
        <v/>
      </c>
      <c r="AG2234" s="16">
        <f>SUMPRODUCT(N2234:Y2234,$N$6:$Y$6)*$K2234*$L2234*$M2234</f>
        <v/>
      </c>
      <c r="AH2234" s="20" t="n"/>
    </row>
    <row r="2235">
      <c r="A2235" s="9" t="n">
        <v>700649</v>
      </c>
      <c r="B2235" s="9" t="inlineStr">
        <is>
          <t>Henry Lalane</t>
        </is>
      </c>
      <c r="C2235" s="9" t="inlineStr">
        <is>
          <t>SF</t>
        </is>
      </c>
      <c r="D2235" s="9" t="n">
        <v>23</v>
      </c>
      <c r="E2235" s="18" t="inlineStr">
        <is>
          <t>L</t>
        </is>
      </c>
      <c r="F2235" s="18" t="n"/>
      <c r="G2235" s="9" t="n">
        <v>32.10666666666667</v>
      </c>
      <c r="H2235" s="9" t="n">
        <v>32.10666666666667</v>
      </c>
      <c r="I2235" s="9" t="inlineStr">
        <is>
          <t>Depth (no MLB IP)</t>
        </is>
      </c>
      <c r="J2235" s="18" t="inlineStr">
        <is>
          <t>Opening Day</t>
        </is>
      </c>
      <c r="K2235" s="11">
        <f>IFERROR(INDEX(Roles!$B$17:$B$20,MATCH(J2235,Roles!$A$17:$A$20,0)),1)</f>
        <v/>
      </c>
      <c r="L2235" s="19" t="n">
        <v>1</v>
      </c>
      <c r="M2235" s="11" t="n">
        <v>1</v>
      </c>
      <c r="N2235" s="19" t="n"/>
      <c r="O2235" s="19" t="n"/>
      <c r="P2235" s="19" t="n"/>
      <c r="Q2235" s="19" t="n"/>
      <c r="R2235" s="19" t="n"/>
      <c r="S2235" s="19" t="n"/>
      <c r="T2235" s="19" t="n"/>
      <c r="U2235" s="19" t="n"/>
      <c r="V2235" s="19" t="n"/>
      <c r="W2235" s="19" t="n"/>
      <c r="X2235" s="19" t="n"/>
      <c r="Y2235" s="19" t="n">
        <v>1</v>
      </c>
      <c r="Z2235" s="13">
        <f>SUMPRODUCT(N2235:Y2235,$N$2:$Y$2)*$K2235*$L2235*$M2235</f>
        <v/>
      </c>
      <c r="AA2235" s="14">
        <f>SUM(N2235:Y2235)</f>
        <v/>
      </c>
      <c r="AB2235" s="13">
        <f>SUMPRODUCT(N2235:Y2235,$N$3:$Y$3)*$K2235*$L2235*$M2235</f>
        <v/>
      </c>
      <c r="AC2235" s="13">
        <f>SUMPRODUCT(N2235:Y2235,$N$4:$Y$4)*$K2235*$L2235*$M2235</f>
        <v/>
      </c>
      <c r="AD2235" s="15" t="n">
        <v>3</v>
      </c>
      <c r="AE2235" s="11" t="n">
        <v>1.011296296296296</v>
      </c>
      <c r="AF2235" s="16">
        <f>SUMPRODUCT(N2235:Y2235,$N$5:$Y$5)*$K2235*$L2235*$M2235</f>
        <v/>
      </c>
      <c r="AG2235" s="16">
        <f>SUMPRODUCT(N2235:Y2235,$N$6:$Y$6)*$K2235*$L2235*$M2235</f>
        <v/>
      </c>
      <c r="AH2235" s="20" t="n"/>
    </row>
    <row r="2236">
      <c r="A2236" s="9" t="n">
        <v>701539</v>
      </c>
      <c r="B2236" s="9" t="inlineStr">
        <is>
          <t>Eric Torres</t>
        </is>
      </c>
      <c r="C2236" s="9" t="inlineStr">
        <is>
          <t>BAL</t>
        </is>
      </c>
      <c r="D2236" s="9" t="n">
        <v>25</v>
      </c>
      <c r="E2236" s="18" t="inlineStr">
        <is>
          <t>L</t>
        </is>
      </c>
      <c r="F2236" s="18" t="n"/>
      <c r="G2236" s="9" t="n">
        <v>32.10666666666666</v>
      </c>
      <c r="H2236" s="9" t="n">
        <v>32.10666666666666</v>
      </c>
      <c r="I2236" s="9" t="inlineStr">
        <is>
          <t>Depth (no MLB IP)</t>
        </is>
      </c>
      <c r="J2236" s="18" t="inlineStr">
        <is>
          <t>Opening Day</t>
        </is>
      </c>
      <c r="K2236" s="11">
        <f>IFERROR(INDEX(Roles!$B$17:$B$20,MATCH(J2236,Roles!$A$17:$A$20,0)),1)</f>
        <v/>
      </c>
      <c r="L2236" s="19" t="n">
        <v>1</v>
      </c>
      <c r="M2236" s="11" t="n">
        <v>1</v>
      </c>
      <c r="N2236" s="19" t="n"/>
      <c r="O2236" s="19" t="n"/>
      <c r="P2236" s="19" t="n"/>
      <c r="Q2236" s="19" t="n"/>
      <c r="R2236" s="19" t="n"/>
      <c r="S2236" s="19" t="n"/>
      <c r="T2236" s="19" t="n"/>
      <c r="U2236" s="19" t="n"/>
      <c r="V2236" s="19" t="n"/>
      <c r="W2236" s="19" t="n"/>
      <c r="X2236" s="19" t="n"/>
      <c r="Y2236" s="19" t="n">
        <v>1</v>
      </c>
      <c r="Z2236" s="13">
        <f>SUMPRODUCT(N2236:Y2236,$N$2:$Y$2)*$K2236*$L2236*$M2236</f>
        <v/>
      </c>
      <c r="AA2236" s="14">
        <f>SUM(N2236:Y2236)</f>
        <v/>
      </c>
      <c r="AB2236" s="13">
        <f>SUMPRODUCT(N2236:Y2236,$N$3:$Y$3)*$K2236*$L2236*$M2236</f>
        <v/>
      </c>
      <c r="AC2236" s="13">
        <f>SUMPRODUCT(N2236:Y2236,$N$4:$Y$4)*$K2236*$L2236*$M2236</f>
        <v/>
      </c>
      <c r="AD2236" s="15" t="n">
        <v>3</v>
      </c>
      <c r="AE2236" s="11" t="n">
        <v>1.011296296296296</v>
      </c>
      <c r="AF2236" s="16">
        <f>SUMPRODUCT(N2236:Y2236,$N$5:$Y$5)*$K2236*$L2236*$M2236</f>
        <v/>
      </c>
      <c r="AG2236" s="16">
        <f>SUMPRODUCT(N2236:Y2236,$N$6:$Y$6)*$K2236*$L2236*$M2236</f>
        <v/>
      </c>
      <c r="AH2236" s="20" t="n"/>
    </row>
    <row r="2237">
      <c r="A2237" s="9" t="n">
        <v>830004</v>
      </c>
      <c r="B2237" s="9" t="inlineStr">
        <is>
          <t>Juan Fraide</t>
        </is>
      </c>
      <c r="C2237" s="9" t="inlineStr">
        <is>
          <t>HOU</t>
        </is>
      </c>
      <c r="D2237" s="9" t="n">
        <v>25</v>
      </c>
      <c r="E2237" s="18" t="inlineStr">
        <is>
          <t>R</t>
        </is>
      </c>
      <c r="F2237" s="18" t="n"/>
      <c r="G2237" s="9" t="n">
        <v>32.164</v>
      </c>
      <c r="H2237" s="9" t="n">
        <v>32.164</v>
      </c>
      <c r="I2237" s="9" t="inlineStr">
        <is>
          <t>Depth (no MLB IP)</t>
        </is>
      </c>
      <c r="J2237" s="18" t="inlineStr">
        <is>
          <t>Opening Day</t>
        </is>
      </c>
      <c r="K2237" s="11">
        <f>IFERROR(INDEX(Roles!$B$17:$B$20,MATCH(J2237,Roles!$A$17:$A$20,0)),1)</f>
        <v/>
      </c>
      <c r="L2237" s="19" t="n">
        <v>1</v>
      </c>
      <c r="M2237" s="11" t="n">
        <v>1</v>
      </c>
      <c r="N2237" s="19" t="n"/>
      <c r="O2237" s="19" t="n"/>
      <c r="P2237" s="19" t="n"/>
      <c r="Q2237" s="19" t="n"/>
      <c r="R2237" s="19" t="n"/>
      <c r="S2237" s="19" t="n"/>
      <c r="T2237" s="19" t="n"/>
      <c r="U2237" s="19" t="n"/>
      <c r="V2237" s="19" t="n"/>
      <c r="W2237" s="19" t="n"/>
      <c r="X2237" s="19" t="n"/>
      <c r="Y2237" s="19" t="n">
        <v>1</v>
      </c>
      <c r="Z2237" s="13">
        <f>SUMPRODUCT(N2237:Y2237,$N$2:$Y$2)*$K2237*$L2237*$M2237</f>
        <v/>
      </c>
      <c r="AA2237" s="14">
        <f>SUM(N2237:Y2237)</f>
        <v/>
      </c>
      <c r="AB2237" s="13">
        <f>SUMPRODUCT(N2237:Y2237,$N$3:$Y$3)*$K2237*$L2237*$M2237</f>
        <v/>
      </c>
      <c r="AC2237" s="13">
        <f>SUMPRODUCT(N2237:Y2237,$N$4:$Y$4)*$K2237*$L2237*$M2237</f>
        <v/>
      </c>
      <c r="AD2237" s="15" t="n">
        <v>3</v>
      </c>
      <c r="AE2237" s="11" t="n">
        <v>1.011296296296296</v>
      </c>
      <c r="AF2237" s="16">
        <f>SUMPRODUCT(N2237:Y2237,$N$5:$Y$5)*$K2237*$L2237*$M2237</f>
        <v/>
      </c>
      <c r="AG2237" s="16">
        <f>SUMPRODUCT(N2237:Y2237,$N$6:$Y$6)*$K2237*$L2237*$M2237</f>
        <v/>
      </c>
      <c r="AH2237" s="20" t="n"/>
    </row>
    <row r="2238">
      <c r="A2238" s="9" t="n">
        <v>828781</v>
      </c>
      <c r="B2238" s="9" t="inlineStr">
        <is>
          <t>Alex Barr</t>
        </is>
      </c>
      <c r="C2238" s="9" t="inlineStr">
        <is>
          <t>OAK</t>
        </is>
      </c>
      <c r="D2238" s="9" t="n">
        <v>25</v>
      </c>
      <c r="E2238" s="18" t="inlineStr">
        <is>
          <t>L</t>
        </is>
      </c>
      <c r="F2238" s="18" t="n"/>
      <c r="G2238" s="9" t="n">
        <v>32.164</v>
      </c>
      <c r="H2238" s="9" t="n">
        <v>32.164</v>
      </c>
      <c r="I2238" s="9" t="inlineStr">
        <is>
          <t>Depth (no MLB IP)</t>
        </is>
      </c>
      <c r="J2238" s="18" t="inlineStr">
        <is>
          <t>Opening Day</t>
        </is>
      </c>
      <c r="K2238" s="11">
        <f>IFERROR(INDEX(Roles!$B$17:$B$20,MATCH(J2238,Roles!$A$17:$A$20,0)),1)</f>
        <v/>
      </c>
      <c r="L2238" s="19" t="n">
        <v>1</v>
      </c>
      <c r="M2238" s="11" t="n">
        <v>1</v>
      </c>
      <c r="N2238" s="19" t="n"/>
      <c r="O2238" s="19" t="n"/>
      <c r="P2238" s="19" t="n"/>
      <c r="Q2238" s="19" t="n"/>
      <c r="R2238" s="19" t="n"/>
      <c r="S2238" s="19" t="n"/>
      <c r="T2238" s="19" t="n"/>
      <c r="U2238" s="19" t="n"/>
      <c r="V2238" s="19" t="n"/>
      <c r="W2238" s="19" t="n"/>
      <c r="X2238" s="19" t="n"/>
      <c r="Y2238" s="19" t="n">
        <v>1</v>
      </c>
      <c r="Z2238" s="13">
        <f>SUMPRODUCT(N2238:Y2238,$N$2:$Y$2)*$K2238*$L2238*$M2238</f>
        <v/>
      </c>
      <c r="AA2238" s="14">
        <f>SUM(N2238:Y2238)</f>
        <v/>
      </c>
      <c r="AB2238" s="13">
        <f>SUMPRODUCT(N2238:Y2238,$N$3:$Y$3)*$K2238*$L2238*$M2238</f>
        <v/>
      </c>
      <c r="AC2238" s="13">
        <f>SUMPRODUCT(N2238:Y2238,$N$4:$Y$4)*$K2238*$L2238*$M2238</f>
        <v/>
      </c>
      <c r="AD2238" s="15" t="n">
        <v>3</v>
      </c>
      <c r="AE2238" s="11" t="n">
        <v>1.011296296296296</v>
      </c>
      <c r="AF2238" s="16">
        <f>SUMPRODUCT(N2238:Y2238,$N$5:$Y$5)*$K2238*$L2238*$M2238</f>
        <v/>
      </c>
      <c r="AG2238" s="16">
        <f>SUMPRODUCT(N2238:Y2238,$N$6:$Y$6)*$K2238*$L2238*$M2238</f>
        <v/>
      </c>
      <c r="AH2238" s="20" t="n"/>
    </row>
    <row r="2239">
      <c r="A2239" s="9" t="n">
        <v>820882</v>
      </c>
      <c r="B2239" s="9" t="inlineStr">
        <is>
          <t>Rordy Mejia</t>
        </is>
      </c>
      <c r="C2239" s="9" t="inlineStr">
        <is>
          <t>SD</t>
        </is>
      </c>
      <c r="D2239" s="9" t="n">
        <v>25</v>
      </c>
      <c r="E2239" s="18" t="inlineStr">
        <is>
          <t>R</t>
        </is>
      </c>
      <c r="F2239" s="18" t="n"/>
      <c r="G2239" s="9" t="n">
        <v>32.164</v>
      </c>
      <c r="H2239" s="9" t="n">
        <v>32.164</v>
      </c>
      <c r="I2239" s="9" t="inlineStr">
        <is>
          <t>Depth (no MLB IP)</t>
        </is>
      </c>
      <c r="J2239" s="18" t="inlineStr">
        <is>
          <t>Opening Day</t>
        </is>
      </c>
      <c r="K2239" s="11">
        <f>IFERROR(INDEX(Roles!$B$17:$B$20,MATCH(J2239,Roles!$A$17:$A$20,0)),1)</f>
        <v/>
      </c>
      <c r="L2239" s="19" t="n">
        <v>1</v>
      </c>
      <c r="M2239" s="11" t="n">
        <v>1</v>
      </c>
      <c r="N2239" s="19" t="n"/>
      <c r="O2239" s="19" t="n"/>
      <c r="P2239" s="19" t="n"/>
      <c r="Q2239" s="19" t="n"/>
      <c r="R2239" s="19" t="n"/>
      <c r="S2239" s="19" t="n"/>
      <c r="T2239" s="19" t="n"/>
      <c r="U2239" s="19" t="n"/>
      <c r="V2239" s="19" t="n"/>
      <c r="W2239" s="19" t="n"/>
      <c r="X2239" s="19" t="n"/>
      <c r="Y2239" s="19" t="n">
        <v>1</v>
      </c>
      <c r="Z2239" s="13">
        <f>SUMPRODUCT(N2239:Y2239,$N$2:$Y$2)*$K2239*$L2239*$M2239</f>
        <v/>
      </c>
      <c r="AA2239" s="14">
        <f>SUM(N2239:Y2239)</f>
        <v/>
      </c>
      <c r="AB2239" s="13">
        <f>SUMPRODUCT(N2239:Y2239,$N$3:$Y$3)*$K2239*$L2239*$M2239</f>
        <v/>
      </c>
      <c r="AC2239" s="13">
        <f>SUMPRODUCT(N2239:Y2239,$N$4:$Y$4)*$K2239*$L2239*$M2239</f>
        <v/>
      </c>
      <c r="AD2239" s="15" t="n">
        <v>3</v>
      </c>
      <c r="AE2239" s="11" t="n">
        <v>1.011296296296296</v>
      </c>
      <c r="AF2239" s="16">
        <f>SUMPRODUCT(N2239:Y2239,$N$5:$Y$5)*$K2239*$L2239*$M2239</f>
        <v/>
      </c>
      <c r="AG2239" s="16">
        <f>SUMPRODUCT(N2239:Y2239,$N$6:$Y$6)*$K2239*$L2239*$M2239</f>
        <v/>
      </c>
      <c r="AH2239" s="20" t="n"/>
    </row>
    <row r="2240">
      <c r="A2240" s="9" t="n">
        <v>690440</v>
      </c>
      <c r="B2240" s="9" t="inlineStr">
        <is>
          <t>Bradley Hanner</t>
        </is>
      </c>
      <c r="C2240" s="9" t="inlineStr">
        <is>
          <t>NYY</t>
        </is>
      </c>
      <c r="D2240" s="9" t="n">
        <v>28</v>
      </c>
      <c r="E2240" s="18" t="inlineStr">
        <is>
          <t>R</t>
        </is>
      </c>
      <c r="F2240" s="18" t="n"/>
      <c r="G2240" s="9" t="n">
        <v>34</v>
      </c>
      <c r="H2240" s="9" t="n">
        <v>34</v>
      </c>
      <c r="I2240" s="9" t="inlineStr">
        <is>
          <t>Bullpen Depth Arm</t>
        </is>
      </c>
      <c r="J2240" s="18" t="inlineStr">
        <is>
          <t>Opening Day</t>
        </is>
      </c>
      <c r="K2240" s="11">
        <f>IFERROR(INDEX(Roles!$B$17:$B$20,MATCH(J2240,Roles!$A$17:$A$20,0)),1)</f>
        <v/>
      </c>
      <c r="L2240" s="19" t="n">
        <v>1</v>
      </c>
      <c r="M2240" s="11" t="n">
        <v>1</v>
      </c>
      <c r="N2240" s="19" t="n"/>
      <c r="O2240" s="19" t="n"/>
      <c r="P2240" s="19" t="n"/>
      <c r="Q2240" s="19" t="n"/>
      <c r="R2240" s="19" t="n"/>
      <c r="S2240" s="19" t="n"/>
      <c r="T2240" s="19" t="n"/>
      <c r="U2240" s="19" t="n"/>
      <c r="V2240" s="19" t="n"/>
      <c r="W2240" s="19" t="n">
        <v>1</v>
      </c>
      <c r="X2240" s="19" t="n"/>
      <c r="Y2240" s="19" t="n"/>
      <c r="Z2240" s="13">
        <f>SUMPRODUCT(N2240:Y2240,$N$2:$Y$2)*$K2240*$L2240*$M2240</f>
        <v/>
      </c>
      <c r="AA2240" s="14">
        <f>SUM(N2240:Y2240)</f>
        <v/>
      </c>
      <c r="AB2240" s="13">
        <f>SUMPRODUCT(N2240:Y2240,$N$3:$Y$3)*$K2240*$L2240*$M2240</f>
        <v/>
      </c>
      <c r="AC2240" s="13">
        <f>SUMPRODUCT(N2240:Y2240,$N$4:$Y$4)*$K2240*$L2240*$M2240</f>
        <v/>
      </c>
      <c r="AD2240" s="15" t="n">
        <v>8.666666666666666</v>
      </c>
      <c r="AE2240" s="11" t="n">
        <v>1.290396023729357</v>
      </c>
      <c r="AF2240" s="16">
        <f>SUMPRODUCT(N2240:Y2240,$N$5:$Y$5)*$K2240*$L2240*$M2240</f>
        <v/>
      </c>
      <c r="AG2240" s="16">
        <f>SUMPRODUCT(N2240:Y2240,$N$6:$Y$6)*$K2240*$L2240*$M2240</f>
        <v/>
      </c>
      <c r="AH2240" s="20" t="n"/>
    </row>
    <row r="2241">
      <c r="A2241" s="9" t="n">
        <v>611093</v>
      </c>
      <c r="B2241" s="9" t="inlineStr">
        <is>
          <t>Silvino Bracho</t>
        </is>
      </c>
      <c r="C2241" s="9" t="inlineStr">
        <is>
          <t>CIN</t>
        </is>
      </c>
      <c r="D2241" s="9" t="n">
        <v>34</v>
      </c>
      <c r="E2241" s="18" t="inlineStr">
        <is>
          <t>R</t>
        </is>
      </c>
      <c r="F2241" s="18" t="n"/>
      <c r="G2241" s="9" t="n">
        <v>31</v>
      </c>
      <c r="H2241" s="9" t="n">
        <v>49</v>
      </c>
      <c r="I2241" s="9" t="inlineStr">
        <is>
          <t>Depth (no MLB IP)</t>
        </is>
      </c>
      <c r="J2241" s="18" t="inlineStr">
        <is>
          <t>Opening Day</t>
        </is>
      </c>
      <c r="K2241" s="11">
        <f>IFERROR(INDEX(Roles!$B$17:$B$20,MATCH(J2241,Roles!$A$17:$A$20,0)),1)</f>
        <v/>
      </c>
      <c r="L2241" s="19" t="n">
        <v>1</v>
      </c>
      <c r="M2241" s="11" t="n">
        <v>1</v>
      </c>
      <c r="N2241" s="19" t="n"/>
      <c r="O2241" s="19" t="n"/>
      <c r="P2241" s="19" t="n"/>
      <c r="Q2241" s="19" t="n"/>
      <c r="R2241" s="19" t="n"/>
      <c r="S2241" s="19" t="n"/>
      <c r="T2241" s="19" t="n"/>
      <c r="U2241" s="19" t="n"/>
      <c r="V2241" s="19" t="n"/>
      <c r="W2241" s="19" t="n"/>
      <c r="X2241" s="19" t="n"/>
      <c r="Y2241" s="19" t="n">
        <v>1</v>
      </c>
      <c r="Z2241" s="13">
        <f>SUMPRODUCT(N2241:Y2241,$N$2:$Y$2)*$K2241*$L2241*$M2241</f>
        <v/>
      </c>
      <c r="AA2241" s="14">
        <f>SUM(N2241:Y2241)</f>
        <v/>
      </c>
      <c r="AB2241" s="13">
        <f>SUMPRODUCT(N2241:Y2241,$N$3:$Y$3)*$K2241*$L2241*$M2241</f>
        <v/>
      </c>
      <c r="AC2241" s="13">
        <f>SUMPRODUCT(N2241:Y2241,$N$4:$Y$4)*$K2241*$L2241*$M2241</f>
        <v/>
      </c>
      <c r="AD2241" s="15" t="n">
        <v>3</v>
      </c>
      <c r="AE2241" s="11" t="n">
        <v>1.011296296296296</v>
      </c>
      <c r="AF2241" s="16">
        <f>SUMPRODUCT(N2241:Y2241,$N$5:$Y$5)*$K2241*$L2241*$M2241</f>
        <v/>
      </c>
      <c r="AG2241" s="16">
        <f>SUMPRODUCT(N2241:Y2241,$N$6:$Y$6)*$K2241*$L2241*$M2241</f>
        <v/>
      </c>
      <c r="AH2241" s="20" t="n"/>
    </row>
    <row r="2242">
      <c r="A2242" s="9" t="n">
        <v>800544</v>
      </c>
      <c r="B2242" s="9" t="inlineStr">
        <is>
          <t>Cesar Lares</t>
        </is>
      </c>
      <c r="C2242" s="9" t="inlineStr">
        <is>
          <t>MIN</t>
        </is>
      </c>
      <c r="D2242" s="9" t="n">
        <v>25</v>
      </c>
      <c r="E2242" s="18" t="inlineStr">
        <is>
          <t>L</t>
        </is>
      </c>
      <c r="F2242" s="18" t="n"/>
      <c r="G2242" s="9" t="n">
        <v>32.39333333333333</v>
      </c>
      <c r="H2242" s="9" t="n">
        <v>32.39333333333333</v>
      </c>
      <c r="I2242" s="9" t="inlineStr">
        <is>
          <t>Depth (no MLB IP)</t>
        </is>
      </c>
      <c r="J2242" s="18" t="inlineStr">
        <is>
          <t>Opening Day</t>
        </is>
      </c>
      <c r="K2242" s="11">
        <f>IFERROR(INDEX(Roles!$B$17:$B$20,MATCH(J2242,Roles!$A$17:$A$20,0)),1)</f>
        <v/>
      </c>
      <c r="L2242" s="19" t="n">
        <v>1</v>
      </c>
      <c r="M2242" s="11" t="n">
        <v>1</v>
      </c>
      <c r="N2242" s="19" t="n"/>
      <c r="O2242" s="19" t="n"/>
      <c r="P2242" s="19" t="n"/>
      <c r="Q2242" s="19" t="n"/>
      <c r="R2242" s="19" t="n"/>
      <c r="S2242" s="19" t="n"/>
      <c r="T2242" s="19" t="n"/>
      <c r="U2242" s="19" t="n"/>
      <c r="V2242" s="19" t="n"/>
      <c r="W2242" s="19" t="n"/>
      <c r="X2242" s="19" t="n"/>
      <c r="Y2242" s="19" t="n">
        <v>1</v>
      </c>
      <c r="Z2242" s="13">
        <f>SUMPRODUCT(N2242:Y2242,$N$2:$Y$2)*$K2242*$L2242*$M2242</f>
        <v/>
      </c>
      <c r="AA2242" s="14">
        <f>SUM(N2242:Y2242)</f>
        <v/>
      </c>
      <c r="AB2242" s="13">
        <f>SUMPRODUCT(N2242:Y2242,$N$3:$Y$3)*$K2242*$L2242*$M2242</f>
        <v/>
      </c>
      <c r="AC2242" s="13">
        <f>SUMPRODUCT(N2242:Y2242,$N$4:$Y$4)*$K2242*$L2242*$M2242</f>
        <v/>
      </c>
      <c r="AD2242" s="15" t="n">
        <v>3</v>
      </c>
      <c r="AE2242" s="11" t="n">
        <v>1.011296296296296</v>
      </c>
      <c r="AF2242" s="16">
        <f>SUMPRODUCT(N2242:Y2242,$N$5:$Y$5)*$K2242*$L2242*$M2242</f>
        <v/>
      </c>
      <c r="AG2242" s="16">
        <f>SUMPRODUCT(N2242:Y2242,$N$6:$Y$6)*$K2242*$L2242*$M2242</f>
        <v/>
      </c>
      <c r="AH2242" s="20" t="n"/>
    </row>
    <row r="2243">
      <c r="A2243" s="9" t="n">
        <v>596103</v>
      </c>
      <c r="B2243" s="9" t="inlineStr">
        <is>
          <t>Austin Slater</t>
        </is>
      </c>
      <c r="C2243" s="9" t="inlineStr">
        <is>
          <t>NYY</t>
        </is>
      </c>
      <c r="D2243" s="9" t="n">
        <v>34</v>
      </c>
      <c r="E2243" s="18" t="inlineStr">
        <is>
          <t>R</t>
        </is>
      </c>
      <c r="F2243" s="18" t="n"/>
      <c r="G2243" s="9" t="n">
        <v>3</v>
      </c>
      <c r="H2243" s="9" t="n">
        <v>3</v>
      </c>
      <c r="I2243" s="9" t="inlineStr">
        <is>
          <t>Depth (no MLB IP)</t>
        </is>
      </c>
      <c r="J2243" s="18" t="inlineStr">
        <is>
          <t>Opening Day</t>
        </is>
      </c>
      <c r="K2243" s="11">
        <f>IFERROR(INDEX(Roles!$B$17:$B$20,MATCH(J2243,Roles!$A$17:$A$20,0)),1)</f>
        <v/>
      </c>
      <c r="L2243" s="19" t="n">
        <v>1</v>
      </c>
      <c r="M2243" s="11" t="n">
        <v>1</v>
      </c>
      <c r="N2243" s="19" t="n"/>
      <c r="O2243" s="19" t="n"/>
      <c r="P2243" s="19" t="n"/>
      <c r="Q2243" s="19" t="n"/>
      <c r="R2243" s="19" t="n"/>
      <c r="S2243" s="19" t="n"/>
      <c r="T2243" s="19" t="n"/>
      <c r="U2243" s="19" t="n"/>
      <c r="V2243" s="19" t="n"/>
      <c r="W2243" s="19" t="n"/>
      <c r="X2243" s="19" t="n"/>
      <c r="Y2243" s="19" t="n">
        <v>1</v>
      </c>
      <c r="Z2243" s="13">
        <f>SUMPRODUCT(N2243:Y2243,$N$2:$Y$2)*$K2243*$L2243*$M2243</f>
        <v/>
      </c>
      <c r="AA2243" s="14">
        <f>SUM(N2243:Y2243)</f>
        <v/>
      </c>
      <c r="AB2243" s="13">
        <f>SUMPRODUCT(N2243:Y2243,$N$3:$Y$3)*$K2243*$L2243*$M2243</f>
        <v/>
      </c>
      <c r="AC2243" s="13">
        <f>SUMPRODUCT(N2243:Y2243,$N$4:$Y$4)*$K2243*$L2243*$M2243</f>
        <v/>
      </c>
      <c r="AD2243" s="15" t="n">
        <v>1.8</v>
      </c>
      <c r="AE2243" s="11" t="n">
        <v>0.8964197530864197</v>
      </c>
      <c r="AF2243" s="16">
        <f>SUMPRODUCT(N2243:Y2243,$N$5:$Y$5)*$K2243*$L2243*$M2243</f>
        <v/>
      </c>
      <c r="AG2243" s="16">
        <f>SUMPRODUCT(N2243:Y2243,$N$6:$Y$6)*$K2243*$L2243*$M2243</f>
        <v/>
      </c>
      <c r="AH2243" s="20" t="n"/>
    </row>
    <row r="2244">
      <c r="A2244" s="9" t="n">
        <v>664062</v>
      </c>
      <c r="B2244" s="9" t="inlineStr">
        <is>
          <t>Tony Gonsolin</t>
        </is>
      </c>
      <c r="C2244" s="9" t="inlineStr">
        <is>
          <t>LAD</t>
        </is>
      </c>
      <c r="D2244" s="9" t="n">
        <v>33</v>
      </c>
      <c r="E2244" s="18" t="inlineStr">
        <is>
          <t>R</t>
        </is>
      </c>
      <c r="F2244" s="18" t="n"/>
      <c r="G2244" s="9" t="n">
        <v>15</v>
      </c>
      <c r="H2244" s="9" t="n">
        <v>1105</v>
      </c>
      <c r="I2244" s="9" t="inlineStr">
        <is>
          <t>Bullpen Depth Arm</t>
        </is>
      </c>
      <c r="J2244" s="18" t="inlineStr">
        <is>
          <t>Opening Day</t>
        </is>
      </c>
      <c r="K2244" s="11">
        <f>IFERROR(INDEX(Roles!$B$17:$B$20,MATCH(J2244,Roles!$A$17:$A$20,0)),1)</f>
        <v/>
      </c>
      <c r="L2244" s="19" t="n">
        <v>1</v>
      </c>
      <c r="M2244" s="11" t="n">
        <v>1</v>
      </c>
      <c r="N2244" s="19" t="n"/>
      <c r="O2244" s="19" t="n"/>
      <c r="P2244" s="19" t="n"/>
      <c r="Q2244" s="19" t="n"/>
      <c r="R2244" s="19" t="n"/>
      <c r="S2244" s="19" t="n"/>
      <c r="T2244" s="19" t="n"/>
      <c r="U2244" s="19" t="n"/>
      <c r="V2244" s="19" t="n">
        <v>0.15</v>
      </c>
      <c r="W2244" s="19" t="n">
        <v>0.85</v>
      </c>
      <c r="X2244" s="19" t="n"/>
      <c r="Y2244" s="19" t="n"/>
      <c r="Z2244" s="13">
        <f>SUMPRODUCT(N2244:Y2244,$N$2:$Y$2)*$K2244*$L2244*$M2244</f>
        <v/>
      </c>
      <c r="AA2244" s="14">
        <f>SUM(N2244:Y2244)</f>
        <v/>
      </c>
      <c r="AB2244" s="13">
        <f>SUMPRODUCT(N2244:Y2244,$N$3:$Y$3)*$K2244*$L2244*$M2244</f>
        <v/>
      </c>
      <c r="AC2244" s="13">
        <f>SUMPRODUCT(N2244:Y2244,$N$4:$Y$4)*$K2244*$L2244*$M2244</f>
        <v/>
      </c>
      <c r="AD2244" s="15" t="n">
        <v>7.706666666666666</v>
      </c>
      <c r="AE2244" s="11" t="n">
        <v>2.37013458582086</v>
      </c>
      <c r="AF2244" s="16">
        <f>SUMPRODUCT(N2244:Y2244,$N$5:$Y$5)*$K2244*$L2244*$M2244</f>
        <v/>
      </c>
      <c r="AG2244" s="16">
        <f>SUMPRODUCT(N2244:Y2244,$N$6:$Y$6)*$K2244*$L2244*$M2244</f>
        <v/>
      </c>
      <c r="AH2244" s="20" t="n"/>
    </row>
    <row r="2245">
      <c r="A2245" s="9" t="n">
        <v>834393</v>
      </c>
      <c r="B2245" s="9" t="inlineStr">
        <is>
          <t>Caleb Leys</t>
        </is>
      </c>
      <c r="C2245" s="9" t="inlineStr">
        <is>
          <t>DET</t>
        </is>
      </c>
      <c r="D2245" s="9" t="n">
        <v>25</v>
      </c>
      <c r="E2245" s="18" t="inlineStr">
        <is>
          <t>L</t>
        </is>
      </c>
      <c r="F2245" s="18" t="n"/>
      <c r="G2245" s="9" t="n">
        <v>32.508</v>
      </c>
      <c r="H2245" s="9" t="n">
        <v>32.508</v>
      </c>
      <c r="I2245" s="9" t="inlineStr">
        <is>
          <t>Depth (no MLB IP)</t>
        </is>
      </c>
      <c r="J2245" s="18" t="inlineStr">
        <is>
          <t>Opening Day</t>
        </is>
      </c>
      <c r="K2245" s="11">
        <f>IFERROR(INDEX(Roles!$B$17:$B$20,MATCH(J2245,Roles!$A$17:$A$20,0)),1)</f>
        <v/>
      </c>
      <c r="L2245" s="19" t="n">
        <v>1</v>
      </c>
      <c r="M2245" s="11" t="n">
        <v>1</v>
      </c>
      <c r="N2245" s="19" t="n"/>
      <c r="O2245" s="19" t="n"/>
      <c r="P2245" s="19" t="n"/>
      <c r="Q2245" s="19" t="n"/>
      <c r="R2245" s="19" t="n"/>
      <c r="S2245" s="19" t="n"/>
      <c r="T2245" s="19" t="n"/>
      <c r="U2245" s="19" t="n"/>
      <c r="V2245" s="19" t="n"/>
      <c r="W2245" s="19" t="n"/>
      <c r="X2245" s="19" t="n"/>
      <c r="Y2245" s="19" t="n">
        <v>1</v>
      </c>
      <c r="Z2245" s="13">
        <f>SUMPRODUCT(N2245:Y2245,$N$2:$Y$2)*$K2245*$L2245*$M2245</f>
        <v/>
      </c>
      <c r="AA2245" s="14">
        <f>SUM(N2245:Y2245)</f>
        <v/>
      </c>
      <c r="AB2245" s="13">
        <f>SUMPRODUCT(N2245:Y2245,$N$3:$Y$3)*$K2245*$L2245*$M2245</f>
        <v/>
      </c>
      <c r="AC2245" s="13">
        <f>SUMPRODUCT(N2245:Y2245,$N$4:$Y$4)*$K2245*$L2245*$M2245</f>
        <v/>
      </c>
      <c r="AD2245" s="15" t="n">
        <v>3</v>
      </c>
      <c r="AE2245" s="11" t="n">
        <v>1.011296296296296</v>
      </c>
      <c r="AF2245" s="16">
        <f>SUMPRODUCT(N2245:Y2245,$N$5:$Y$5)*$K2245*$L2245*$M2245</f>
        <v/>
      </c>
      <c r="AG2245" s="16">
        <f>SUMPRODUCT(N2245:Y2245,$N$6:$Y$6)*$K2245*$L2245*$M2245</f>
        <v/>
      </c>
      <c r="AH2245" s="20" t="n"/>
    </row>
    <row r="2246">
      <c r="A2246" s="9" t="n">
        <v>687202</v>
      </c>
      <c r="B2246" s="9" t="inlineStr">
        <is>
          <t>Mark McLaughlin</t>
        </is>
      </c>
      <c r="C2246" s="9" t="inlineStr">
        <is>
          <t>CWS</t>
        </is>
      </c>
      <c r="D2246" s="9" t="n">
        <v>25</v>
      </c>
      <c r="E2246" s="18" t="inlineStr">
        <is>
          <t>R</t>
        </is>
      </c>
      <c r="F2246" s="18" t="n"/>
      <c r="G2246" s="9" t="n">
        <v>32.60833333333333</v>
      </c>
      <c r="H2246" s="9" t="n">
        <v>32.60833333333333</v>
      </c>
      <c r="I2246" s="9" t="inlineStr">
        <is>
          <t>Depth (no MLB IP)</t>
        </is>
      </c>
      <c r="J2246" s="18" t="inlineStr">
        <is>
          <t>Opening Day</t>
        </is>
      </c>
      <c r="K2246" s="11">
        <f>IFERROR(INDEX(Roles!$B$17:$B$20,MATCH(J2246,Roles!$A$17:$A$20,0)),1)</f>
        <v/>
      </c>
      <c r="L2246" s="19" t="n">
        <v>1</v>
      </c>
      <c r="M2246" s="11" t="n">
        <v>1</v>
      </c>
      <c r="N2246" s="19" t="n"/>
      <c r="O2246" s="19" t="n"/>
      <c r="P2246" s="19" t="n"/>
      <c r="Q2246" s="19" t="n"/>
      <c r="R2246" s="19" t="n"/>
      <c r="S2246" s="19" t="n"/>
      <c r="T2246" s="19" t="n"/>
      <c r="U2246" s="19" t="n"/>
      <c r="V2246" s="19" t="n"/>
      <c r="W2246" s="19" t="n"/>
      <c r="X2246" s="19" t="n"/>
      <c r="Y2246" s="19" t="n">
        <v>1</v>
      </c>
      <c r="Z2246" s="13">
        <f>SUMPRODUCT(N2246:Y2246,$N$2:$Y$2)*$K2246*$L2246*$M2246</f>
        <v/>
      </c>
      <c r="AA2246" s="14">
        <f>SUM(N2246:Y2246)</f>
        <v/>
      </c>
      <c r="AB2246" s="13">
        <f>SUMPRODUCT(N2246:Y2246,$N$3:$Y$3)*$K2246*$L2246*$M2246</f>
        <v/>
      </c>
      <c r="AC2246" s="13">
        <f>SUMPRODUCT(N2246:Y2246,$N$4:$Y$4)*$K2246*$L2246*$M2246</f>
        <v/>
      </c>
      <c r="AD2246" s="15" t="n">
        <v>3</v>
      </c>
      <c r="AE2246" s="11" t="n">
        <v>1.011296296296296</v>
      </c>
      <c r="AF2246" s="16">
        <f>SUMPRODUCT(N2246:Y2246,$N$5:$Y$5)*$K2246*$L2246*$M2246</f>
        <v/>
      </c>
      <c r="AG2246" s="16">
        <f>SUMPRODUCT(N2246:Y2246,$N$6:$Y$6)*$K2246*$L2246*$M2246</f>
        <v/>
      </c>
      <c r="AH2246" s="20" t="n"/>
    </row>
    <row r="2247">
      <c r="A2247" s="9" t="n">
        <v>826314</v>
      </c>
      <c r="B2247" s="9" t="inlineStr">
        <is>
          <t>Mason Burns</t>
        </is>
      </c>
      <c r="C2247" s="9" t="inlineStr">
        <is>
          <t>STL</t>
        </is>
      </c>
      <c r="D2247" s="9" t="n">
        <v>25</v>
      </c>
      <c r="E2247" s="18" t="inlineStr">
        <is>
          <t>R</t>
        </is>
      </c>
      <c r="F2247" s="18" t="n"/>
      <c r="G2247" s="9" t="n">
        <v>32.60833333333333</v>
      </c>
      <c r="H2247" s="9" t="n">
        <v>32.60833333333333</v>
      </c>
      <c r="I2247" s="9" t="inlineStr">
        <is>
          <t>Depth (no MLB IP)</t>
        </is>
      </c>
      <c r="J2247" s="18" t="inlineStr">
        <is>
          <t>Opening Day</t>
        </is>
      </c>
      <c r="K2247" s="11">
        <f>IFERROR(INDEX(Roles!$B$17:$B$20,MATCH(J2247,Roles!$A$17:$A$20,0)),1)</f>
        <v/>
      </c>
      <c r="L2247" s="19" t="n">
        <v>1</v>
      </c>
      <c r="M2247" s="11" t="n">
        <v>1</v>
      </c>
      <c r="N2247" s="19" t="n"/>
      <c r="O2247" s="19" t="n"/>
      <c r="P2247" s="19" t="n"/>
      <c r="Q2247" s="19" t="n"/>
      <c r="R2247" s="19" t="n"/>
      <c r="S2247" s="19" t="n"/>
      <c r="T2247" s="19" t="n"/>
      <c r="U2247" s="19" t="n"/>
      <c r="V2247" s="19" t="n"/>
      <c r="W2247" s="19" t="n"/>
      <c r="X2247" s="19" t="n"/>
      <c r="Y2247" s="19" t="n">
        <v>1</v>
      </c>
      <c r="Z2247" s="13">
        <f>SUMPRODUCT(N2247:Y2247,$N$2:$Y$2)*$K2247*$L2247*$M2247</f>
        <v/>
      </c>
      <c r="AA2247" s="14">
        <f>SUM(N2247:Y2247)</f>
        <v/>
      </c>
      <c r="AB2247" s="13">
        <f>SUMPRODUCT(N2247:Y2247,$N$3:$Y$3)*$K2247*$L2247*$M2247</f>
        <v/>
      </c>
      <c r="AC2247" s="13">
        <f>SUMPRODUCT(N2247:Y2247,$N$4:$Y$4)*$K2247*$L2247*$M2247</f>
        <v/>
      </c>
      <c r="AD2247" s="15" t="n">
        <v>3</v>
      </c>
      <c r="AE2247" s="11" t="n">
        <v>1.011296296296296</v>
      </c>
      <c r="AF2247" s="16">
        <f>SUMPRODUCT(N2247:Y2247,$N$5:$Y$5)*$K2247*$L2247*$M2247</f>
        <v/>
      </c>
      <c r="AG2247" s="16">
        <f>SUMPRODUCT(N2247:Y2247,$N$6:$Y$6)*$K2247*$L2247*$M2247</f>
        <v/>
      </c>
      <c r="AH2247" s="20" t="n"/>
    </row>
    <row r="2248">
      <c r="A2248" s="9" t="n">
        <v>676724</v>
      </c>
      <c r="B2248" s="9" t="inlineStr">
        <is>
          <t>Jared Young</t>
        </is>
      </c>
      <c r="C2248" s="9" t="inlineStr">
        <is>
          <t>NYM</t>
        </is>
      </c>
      <c r="D2248" s="9" t="n">
        <v>31</v>
      </c>
      <c r="E2248" s="18" t="inlineStr">
        <is>
          <t>R</t>
        </is>
      </c>
      <c r="F2248" s="18" t="n"/>
      <c r="G2248" s="9" t="n">
        <v>3</v>
      </c>
      <c r="H2248" s="9" t="n">
        <v>3</v>
      </c>
      <c r="I2248" s="9" t="inlineStr">
        <is>
          <t>Depth (no MLB IP)</t>
        </is>
      </c>
      <c r="J2248" s="18" t="inlineStr">
        <is>
          <t>Opening Day</t>
        </is>
      </c>
      <c r="K2248" s="11">
        <f>IFERROR(INDEX(Roles!$B$17:$B$20,MATCH(J2248,Roles!$A$17:$A$20,0)),1)</f>
        <v/>
      </c>
      <c r="L2248" s="19" t="n">
        <v>1</v>
      </c>
      <c r="M2248" s="11" t="n">
        <v>1</v>
      </c>
      <c r="N2248" s="19" t="n"/>
      <c r="O2248" s="19" t="n"/>
      <c r="P2248" s="19" t="n"/>
      <c r="Q2248" s="19" t="n"/>
      <c r="R2248" s="19" t="n"/>
      <c r="S2248" s="19" t="n"/>
      <c r="T2248" s="19" t="n"/>
      <c r="U2248" s="19" t="n"/>
      <c r="V2248" s="19" t="n"/>
      <c r="W2248" s="19" t="n"/>
      <c r="X2248" s="19" t="n"/>
      <c r="Y2248" s="19" t="n">
        <v>1</v>
      </c>
      <c r="Z2248" s="13">
        <f>SUMPRODUCT(N2248:Y2248,$N$2:$Y$2)*$K2248*$L2248*$M2248</f>
        <v/>
      </c>
      <c r="AA2248" s="14">
        <f>SUM(N2248:Y2248)</f>
        <v/>
      </c>
      <c r="AB2248" s="13">
        <f>SUMPRODUCT(N2248:Y2248,$N$3:$Y$3)*$K2248*$L2248*$M2248</f>
        <v/>
      </c>
      <c r="AC2248" s="13">
        <f>SUMPRODUCT(N2248:Y2248,$N$4:$Y$4)*$K2248*$L2248*$M2248</f>
        <v/>
      </c>
      <c r="AD2248" s="15" t="n">
        <v>1.8</v>
      </c>
      <c r="AE2248" s="11" t="n">
        <v>0.7853086419753086</v>
      </c>
      <c r="AF2248" s="16">
        <f>SUMPRODUCT(N2248:Y2248,$N$5:$Y$5)*$K2248*$L2248*$M2248</f>
        <v/>
      </c>
      <c r="AG2248" s="16">
        <f>SUMPRODUCT(N2248:Y2248,$N$6:$Y$6)*$K2248*$L2248*$M2248</f>
        <v/>
      </c>
      <c r="AH2248" s="20" t="n"/>
    </row>
    <row r="2249">
      <c r="A2249" s="9" t="n">
        <v>663385</v>
      </c>
      <c r="B2249" s="9" t="inlineStr">
        <is>
          <t>Chad Smith</t>
        </is>
      </c>
      <c r="C2249" s="9" t="inlineStr">
        <is>
          <t>OAK</t>
        </is>
      </c>
      <c r="D2249" s="9" t="n">
        <v>32</v>
      </c>
      <c r="E2249" s="18" t="inlineStr">
        <is>
          <t>R</t>
        </is>
      </c>
      <c r="F2249" s="18" t="n"/>
      <c r="G2249" s="9" t="n">
        <v>60</v>
      </c>
      <c r="H2249" s="9" t="n">
        <v>145</v>
      </c>
      <c r="I2249" s="9" t="inlineStr">
        <is>
          <t>Depth (no MLB IP)</t>
        </is>
      </c>
      <c r="J2249" s="18" t="inlineStr">
        <is>
          <t>Opening Day</t>
        </is>
      </c>
      <c r="K2249" s="11">
        <f>IFERROR(INDEX(Roles!$B$17:$B$20,MATCH(J2249,Roles!$A$17:$A$20,0)),1)</f>
        <v/>
      </c>
      <c r="L2249" s="19" t="n">
        <v>1</v>
      </c>
      <c r="M2249" s="11" t="n">
        <v>1</v>
      </c>
      <c r="N2249" s="19" t="n"/>
      <c r="O2249" s="19" t="n"/>
      <c r="P2249" s="19" t="n"/>
      <c r="Q2249" s="19" t="n"/>
      <c r="R2249" s="19" t="n"/>
      <c r="S2249" s="19" t="n"/>
      <c r="T2249" s="19" t="n"/>
      <c r="U2249" s="19" t="n"/>
      <c r="V2249" s="19" t="n"/>
      <c r="W2249" s="19" t="n"/>
      <c r="X2249" s="19" t="n"/>
      <c r="Y2249" s="19" t="n">
        <v>1</v>
      </c>
      <c r="Z2249" s="13">
        <f>SUMPRODUCT(N2249:Y2249,$N$2:$Y$2)*$K2249*$L2249*$M2249</f>
        <v/>
      </c>
      <c r="AA2249" s="14">
        <f>SUM(N2249:Y2249)</f>
        <v/>
      </c>
      <c r="AB2249" s="13">
        <f>SUMPRODUCT(N2249:Y2249,$N$3:$Y$3)*$K2249*$L2249*$M2249</f>
        <v/>
      </c>
      <c r="AC2249" s="13">
        <f>SUMPRODUCT(N2249:Y2249,$N$4:$Y$4)*$K2249*$L2249*$M2249</f>
        <v/>
      </c>
      <c r="AD2249" s="15" t="n">
        <v>3</v>
      </c>
      <c r="AE2249" s="11" t="n">
        <v>1.011296296296296</v>
      </c>
      <c r="AF2249" s="16">
        <f>SUMPRODUCT(N2249:Y2249,$N$5:$Y$5)*$K2249*$L2249*$M2249</f>
        <v/>
      </c>
      <c r="AG2249" s="16">
        <f>SUMPRODUCT(N2249:Y2249,$N$6:$Y$6)*$K2249*$L2249*$M2249</f>
        <v/>
      </c>
      <c r="AH2249" s="20" t="n"/>
    </row>
    <row r="2250">
      <c r="A2250" s="9" t="n">
        <v>693750</v>
      </c>
      <c r="B2250" s="9" t="inlineStr">
        <is>
          <t>Yerlin Rodriguez</t>
        </is>
      </c>
      <c r="C2250" s="9" t="inlineStr">
        <is>
          <t>MIL</t>
        </is>
      </c>
      <c r="D2250" s="9" t="n">
        <v>25</v>
      </c>
      <c r="E2250" s="18" t="inlineStr">
        <is>
          <t>R</t>
        </is>
      </c>
      <c r="F2250" s="18" t="n"/>
      <c r="G2250" s="9" t="n">
        <v>32.68</v>
      </c>
      <c r="H2250" s="9" t="n">
        <v>32.68</v>
      </c>
      <c r="I2250" s="9" t="inlineStr">
        <is>
          <t>Depth (no MLB IP)</t>
        </is>
      </c>
      <c r="J2250" s="18" t="inlineStr">
        <is>
          <t>Opening Day</t>
        </is>
      </c>
      <c r="K2250" s="11">
        <f>IFERROR(INDEX(Roles!$B$17:$B$20,MATCH(J2250,Roles!$A$17:$A$20,0)),1)</f>
        <v/>
      </c>
      <c r="L2250" s="19" t="n">
        <v>1</v>
      </c>
      <c r="M2250" s="11" t="n">
        <v>1</v>
      </c>
      <c r="N2250" s="19" t="n"/>
      <c r="O2250" s="19" t="n"/>
      <c r="P2250" s="19" t="n"/>
      <c r="Q2250" s="19" t="n"/>
      <c r="R2250" s="19" t="n"/>
      <c r="S2250" s="19" t="n"/>
      <c r="T2250" s="19" t="n"/>
      <c r="U2250" s="19" t="n"/>
      <c r="V2250" s="19" t="n"/>
      <c r="W2250" s="19" t="n"/>
      <c r="X2250" s="19" t="n"/>
      <c r="Y2250" s="19" t="n">
        <v>1</v>
      </c>
      <c r="Z2250" s="13">
        <f>SUMPRODUCT(N2250:Y2250,$N$2:$Y$2)*$K2250*$L2250*$M2250</f>
        <v/>
      </c>
      <c r="AA2250" s="14">
        <f>SUM(N2250:Y2250)</f>
        <v/>
      </c>
      <c r="AB2250" s="13">
        <f>SUMPRODUCT(N2250:Y2250,$N$3:$Y$3)*$K2250*$L2250*$M2250</f>
        <v/>
      </c>
      <c r="AC2250" s="13">
        <f>SUMPRODUCT(N2250:Y2250,$N$4:$Y$4)*$K2250*$L2250*$M2250</f>
        <v/>
      </c>
      <c r="AD2250" s="15" t="n">
        <v>3</v>
      </c>
      <c r="AE2250" s="11" t="n">
        <v>1.011296296296296</v>
      </c>
      <c r="AF2250" s="16">
        <f>SUMPRODUCT(N2250:Y2250,$N$5:$Y$5)*$K2250*$L2250*$M2250</f>
        <v/>
      </c>
      <c r="AG2250" s="16">
        <f>SUMPRODUCT(N2250:Y2250,$N$6:$Y$6)*$K2250*$L2250*$M2250</f>
        <v/>
      </c>
      <c r="AH2250" s="20" t="n"/>
    </row>
    <row r="2251">
      <c r="A2251" s="9" t="n">
        <v>623381</v>
      </c>
      <c r="B2251" s="9" t="inlineStr">
        <is>
          <t>Thomas Pannone</t>
        </is>
      </c>
      <c r="C2251" s="9" t="inlineStr">
        <is>
          <t>MIL</t>
        </is>
      </c>
      <c r="D2251" s="9" t="n">
        <v>33</v>
      </c>
      <c r="E2251" s="18" t="inlineStr">
        <is>
          <t>L</t>
        </is>
      </c>
      <c r="F2251" s="18" t="n"/>
      <c r="G2251" s="9" t="n">
        <v>14</v>
      </c>
      <c r="H2251" s="9" t="n">
        <v>28</v>
      </c>
      <c r="I2251" s="9" t="inlineStr">
        <is>
          <t>Depth (no MLB IP)</t>
        </is>
      </c>
      <c r="J2251" s="18" t="inlineStr">
        <is>
          <t>Opening Day</t>
        </is>
      </c>
      <c r="K2251" s="11">
        <f>IFERROR(INDEX(Roles!$B$17:$B$20,MATCH(J2251,Roles!$A$17:$A$20,0)),1)</f>
        <v/>
      </c>
      <c r="L2251" s="19" t="n">
        <v>1</v>
      </c>
      <c r="M2251" s="11" t="n">
        <v>1</v>
      </c>
      <c r="N2251" s="19" t="n"/>
      <c r="O2251" s="19" t="n"/>
      <c r="P2251" s="19" t="n"/>
      <c r="Q2251" s="19" t="n"/>
      <c r="R2251" s="19" t="n"/>
      <c r="S2251" s="19" t="n"/>
      <c r="T2251" s="19" t="n"/>
      <c r="U2251" s="19" t="n"/>
      <c r="V2251" s="19" t="n"/>
      <c r="W2251" s="19" t="n"/>
      <c r="X2251" s="19" t="n"/>
      <c r="Y2251" s="19" t="n">
        <v>1</v>
      </c>
      <c r="Z2251" s="13">
        <f>SUMPRODUCT(N2251:Y2251,$N$2:$Y$2)*$K2251*$L2251*$M2251</f>
        <v/>
      </c>
      <c r="AA2251" s="14">
        <f>SUM(N2251:Y2251)</f>
        <v/>
      </c>
      <c r="AB2251" s="13">
        <f>SUMPRODUCT(N2251:Y2251,$N$3:$Y$3)*$K2251*$L2251*$M2251</f>
        <v/>
      </c>
      <c r="AC2251" s="13">
        <f>SUMPRODUCT(N2251:Y2251,$N$4:$Y$4)*$K2251*$L2251*$M2251</f>
        <v/>
      </c>
      <c r="AD2251" s="15" t="n">
        <v>1.8</v>
      </c>
      <c r="AE2251" s="11" t="n">
        <v>1.674197530864197</v>
      </c>
      <c r="AF2251" s="16">
        <f>SUMPRODUCT(N2251:Y2251,$N$5:$Y$5)*$K2251*$L2251*$M2251</f>
        <v/>
      </c>
      <c r="AG2251" s="16">
        <f>SUMPRODUCT(N2251:Y2251,$N$6:$Y$6)*$K2251*$L2251*$M2251</f>
        <v/>
      </c>
      <c r="AH2251" s="20" t="n"/>
    </row>
    <row r="2252">
      <c r="A2252" s="9" t="n">
        <v>699707</v>
      </c>
      <c r="B2252" s="9" t="inlineStr">
        <is>
          <t>Danyony Pulido</t>
        </is>
      </c>
      <c r="C2252" s="9" t="inlineStr">
        <is>
          <t>PHI</t>
        </is>
      </c>
      <c r="D2252" s="9" t="n">
        <v>25</v>
      </c>
      <c r="E2252" s="18" t="inlineStr">
        <is>
          <t>R</t>
        </is>
      </c>
      <c r="F2252" s="18" t="n"/>
      <c r="G2252" s="9" t="n">
        <v>32.68</v>
      </c>
      <c r="H2252" s="9" t="n">
        <v>32.68</v>
      </c>
      <c r="I2252" s="9" t="inlineStr">
        <is>
          <t>Depth (no MLB IP)</t>
        </is>
      </c>
      <c r="J2252" s="18" t="inlineStr">
        <is>
          <t>Opening Day</t>
        </is>
      </c>
      <c r="K2252" s="11">
        <f>IFERROR(INDEX(Roles!$B$17:$B$20,MATCH(J2252,Roles!$A$17:$A$20,0)),1)</f>
        <v/>
      </c>
      <c r="L2252" s="19" t="n">
        <v>1</v>
      </c>
      <c r="M2252" s="11" t="n">
        <v>1</v>
      </c>
      <c r="N2252" s="19" t="n"/>
      <c r="O2252" s="19" t="n"/>
      <c r="P2252" s="19" t="n"/>
      <c r="Q2252" s="19" t="n"/>
      <c r="R2252" s="19" t="n"/>
      <c r="S2252" s="19" t="n"/>
      <c r="T2252" s="19" t="n"/>
      <c r="U2252" s="19" t="n"/>
      <c r="V2252" s="19" t="n"/>
      <c r="W2252" s="19" t="n"/>
      <c r="X2252" s="19" t="n"/>
      <c r="Y2252" s="19" t="n">
        <v>1</v>
      </c>
      <c r="Z2252" s="13">
        <f>SUMPRODUCT(N2252:Y2252,$N$2:$Y$2)*$K2252*$L2252*$M2252</f>
        <v/>
      </c>
      <c r="AA2252" s="14">
        <f>SUM(N2252:Y2252)</f>
        <v/>
      </c>
      <c r="AB2252" s="13">
        <f>SUMPRODUCT(N2252:Y2252,$N$3:$Y$3)*$K2252*$L2252*$M2252</f>
        <v/>
      </c>
      <c r="AC2252" s="13">
        <f>SUMPRODUCT(N2252:Y2252,$N$4:$Y$4)*$K2252*$L2252*$M2252</f>
        <v/>
      </c>
      <c r="AD2252" s="15" t="n">
        <v>3</v>
      </c>
      <c r="AE2252" s="11" t="n">
        <v>1.011296296296296</v>
      </c>
      <c r="AF2252" s="16">
        <f>SUMPRODUCT(N2252:Y2252,$N$5:$Y$5)*$K2252*$L2252*$M2252</f>
        <v/>
      </c>
      <c r="AG2252" s="16">
        <f>SUMPRODUCT(N2252:Y2252,$N$6:$Y$6)*$K2252*$L2252*$M2252</f>
        <v/>
      </c>
      <c r="AH2252" s="20" t="n"/>
    </row>
    <row r="2253">
      <c r="A2253" s="9" t="n">
        <v>676070</v>
      </c>
      <c r="B2253" s="9" t="inlineStr">
        <is>
          <t>Jacob Amaya</t>
        </is>
      </c>
      <c r="C2253" s="9" t="inlineStr">
        <is>
          <t>CWS</t>
        </is>
      </c>
      <c r="D2253" s="9" t="n">
        <v>28</v>
      </c>
      <c r="E2253" s="18" t="inlineStr">
        <is>
          <t>R</t>
        </is>
      </c>
      <c r="F2253" s="18" t="n"/>
      <c r="G2253" s="9" t="n">
        <v>3</v>
      </c>
      <c r="H2253" s="9" t="n">
        <v>3</v>
      </c>
      <c r="I2253" s="9" t="inlineStr">
        <is>
          <t>Depth (no MLB IP)</t>
        </is>
      </c>
      <c r="J2253" s="18" t="inlineStr">
        <is>
          <t>Opening Day</t>
        </is>
      </c>
      <c r="K2253" s="11">
        <f>IFERROR(INDEX(Roles!$B$17:$B$20,MATCH(J2253,Roles!$A$17:$A$20,0)),1)</f>
        <v/>
      </c>
      <c r="L2253" s="19" t="n">
        <v>1</v>
      </c>
      <c r="M2253" s="11" t="n">
        <v>1</v>
      </c>
      <c r="N2253" s="19" t="n"/>
      <c r="O2253" s="19" t="n"/>
      <c r="P2253" s="19" t="n"/>
      <c r="Q2253" s="19" t="n"/>
      <c r="R2253" s="19" t="n"/>
      <c r="S2253" s="19" t="n"/>
      <c r="T2253" s="19" t="n"/>
      <c r="U2253" s="19" t="n"/>
      <c r="V2253" s="19" t="n"/>
      <c r="W2253" s="19" t="n"/>
      <c r="X2253" s="19" t="n"/>
      <c r="Y2253" s="19" t="n">
        <v>1</v>
      </c>
      <c r="Z2253" s="13">
        <f>SUMPRODUCT(N2253:Y2253,$N$2:$Y$2)*$K2253*$L2253*$M2253</f>
        <v/>
      </c>
      <c r="AA2253" s="14">
        <f>SUM(N2253:Y2253)</f>
        <v/>
      </c>
      <c r="AB2253" s="13">
        <f>SUMPRODUCT(N2253:Y2253,$N$3:$Y$3)*$K2253*$L2253*$M2253</f>
        <v/>
      </c>
      <c r="AC2253" s="13">
        <f>SUMPRODUCT(N2253:Y2253,$N$4:$Y$4)*$K2253*$L2253*$M2253</f>
        <v/>
      </c>
      <c r="AD2253" s="15" t="n">
        <v>1.8</v>
      </c>
      <c r="AE2253" s="11" t="n">
        <v>1.007530864197531</v>
      </c>
      <c r="AF2253" s="16">
        <f>SUMPRODUCT(N2253:Y2253,$N$5:$Y$5)*$K2253*$L2253*$M2253</f>
        <v/>
      </c>
      <c r="AG2253" s="16">
        <f>SUMPRODUCT(N2253:Y2253,$N$6:$Y$6)*$K2253*$L2253*$M2253</f>
        <v/>
      </c>
      <c r="AH2253" s="20" t="n"/>
    </row>
    <row r="2254">
      <c r="A2254" s="9" t="n">
        <v>688474</v>
      </c>
      <c r="B2254" s="9" t="inlineStr">
        <is>
          <t>Andrew Morones</t>
        </is>
      </c>
      <c r="C2254" s="9" t="inlineStr">
        <is>
          <t>KC</t>
        </is>
      </c>
      <c r="D2254" s="9" t="n">
        <v>25</v>
      </c>
      <c r="E2254" s="18" t="inlineStr">
        <is>
          <t>R</t>
        </is>
      </c>
      <c r="F2254" s="18" t="n"/>
      <c r="G2254" s="9" t="n">
        <v>32.60833333333333</v>
      </c>
      <c r="H2254" s="9" t="n">
        <v>32.60833333333333</v>
      </c>
      <c r="I2254" s="9" t="inlineStr">
        <is>
          <t>Depth (no MLB IP)</t>
        </is>
      </c>
      <c r="J2254" s="18" t="inlineStr">
        <is>
          <t>Opening Day</t>
        </is>
      </c>
      <c r="K2254" s="11">
        <f>IFERROR(INDEX(Roles!$B$17:$B$20,MATCH(J2254,Roles!$A$17:$A$20,0)),1)</f>
        <v/>
      </c>
      <c r="L2254" s="19" t="n">
        <v>1</v>
      </c>
      <c r="M2254" s="11" t="n">
        <v>1</v>
      </c>
      <c r="N2254" s="19" t="n"/>
      <c r="O2254" s="19" t="n"/>
      <c r="P2254" s="19" t="n"/>
      <c r="Q2254" s="19" t="n"/>
      <c r="R2254" s="19" t="n"/>
      <c r="S2254" s="19" t="n"/>
      <c r="T2254" s="19" t="n"/>
      <c r="U2254" s="19" t="n"/>
      <c r="V2254" s="19" t="n"/>
      <c r="W2254" s="19" t="n"/>
      <c r="X2254" s="19" t="n"/>
      <c r="Y2254" s="19" t="n">
        <v>1</v>
      </c>
      <c r="Z2254" s="13">
        <f>SUMPRODUCT(N2254:Y2254,$N$2:$Y$2)*$K2254*$L2254*$M2254</f>
        <v/>
      </c>
      <c r="AA2254" s="14">
        <f>SUM(N2254:Y2254)</f>
        <v/>
      </c>
      <c r="AB2254" s="13">
        <f>SUMPRODUCT(N2254:Y2254,$N$3:$Y$3)*$K2254*$L2254*$M2254</f>
        <v/>
      </c>
      <c r="AC2254" s="13">
        <f>SUMPRODUCT(N2254:Y2254,$N$4:$Y$4)*$K2254*$L2254*$M2254</f>
        <v/>
      </c>
      <c r="AD2254" s="15" t="n">
        <v>3</v>
      </c>
      <c r="AE2254" s="11" t="n">
        <v>1.011296296296296</v>
      </c>
      <c r="AF2254" s="16">
        <f>SUMPRODUCT(N2254:Y2254,$N$5:$Y$5)*$K2254*$L2254*$M2254</f>
        <v/>
      </c>
      <c r="AG2254" s="16">
        <f>SUMPRODUCT(N2254:Y2254,$N$6:$Y$6)*$K2254*$L2254*$M2254</f>
        <v/>
      </c>
      <c r="AH2254" s="20" t="n"/>
    </row>
    <row r="2255">
      <c r="A2255" s="9" t="n">
        <v>695513</v>
      </c>
      <c r="B2255" s="9" t="inlineStr">
        <is>
          <t>Drew Christo</t>
        </is>
      </c>
      <c r="C2255" s="9" t="inlineStr">
        <is>
          <t>ATL</t>
        </is>
      </c>
      <c r="D2255" s="9" t="n">
        <v>25</v>
      </c>
      <c r="E2255" s="18" t="inlineStr">
        <is>
          <t>R</t>
        </is>
      </c>
      <c r="F2255" s="18" t="n"/>
      <c r="G2255" s="9" t="n">
        <v>32.68</v>
      </c>
      <c r="H2255" s="9" t="n">
        <v>32.68</v>
      </c>
      <c r="I2255" s="9" t="inlineStr">
        <is>
          <t>Depth (no MLB IP)</t>
        </is>
      </c>
      <c r="J2255" s="18" t="inlineStr">
        <is>
          <t>Opening Day</t>
        </is>
      </c>
      <c r="K2255" s="11">
        <f>IFERROR(INDEX(Roles!$B$17:$B$20,MATCH(J2255,Roles!$A$17:$A$20,0)),1)</f>
        <v/>
      </c>
      <c r="L2255" s="19" t="n">
        <v>1</v>
      </c>
      <c r="M2255" s="11" t="n">
        <v>1</v>
      </c>
      <c r="N2255" s="19" t="n"/>
      <c r="O2255" s="19" t="n"/>
      <c r="P2255" s="19" t="n"/>
      <c r="Q2255" s="19" t="n"/>
      <c r="R2255" s="19" t="n"/>
      <c r="S2255" s="19" t="n"/>
      <c r="T2255" s="19" t="n"/>
      <c r="U2255" s="19" t="n"/>
      <c r="V2255" s="19" t="n"/>
      <c r="W2255" s="19" t="n"/>
      <c r="X2255" s="19" t="n"/>
      <c r="Y2255" s="19" t="n">
        <v>1</v>
      </c>
      <c r="Z2255" s="13">
        <f>SUMPRODUCT(N2255:Y2255,$N$2:$Y$2)*$K2255*$L2255*$M2255</f>
        <v/>
      </c>
      <c r="AA2255" s="14">
        <f>SUM(N2255:Y2255)</f>
        <v/>
      </c>
      <c r="AB2255" s="13">
        <f>SUMPRODUCT(N2255:Y2255,$N$3:$Y$3)*$K2255*$L2255*$M2255</f>
        <v/>
      </c>
      <c r="AC2255" s="13">
        <f>SUMPRODUCT(N2255:Y2255,$N$4:$Y$4)*$K2255*$L2255*$M2255</f>
        <v/>
      </c>
      <c r="AD2255" s="15" t="n">
        <v>3</v>
      </c>
      <c r="AE2255" s="11" t="n">
        <v>1.011296296296296</v>
      </c>
      <c r="AF2255" s="16">
        <f>SUMPRODUCT(N2255:Y2255,$N$5:$Y$5)*$K2255*$L2255*$M2255</f>
        <v/>
      </c>
      <c r="AG2255" s="16">
        <f>SUMPRODUCT(N2255:Y2255,$N$6:$Y$6)*$K2255*$L2255*$M2255</f>
        <v/>
      </c>
      <c r="AH2255" s="20" t="n"/>
    </row>
    <row r="2256">
      <c r="A2256" s="9" t="n">
        <v>822503</v>
      </c>
      <c r="B2256" s="9" t="inlineStr">
        <is>
          <t>Jason Doktorczyk</t>
        </is>
      </c>
      <c r="C2256" s="9" t="inlineStr">
        <is>
          <t>MIN</t>
        </is>
      </c>
      <c r="D2256" s="9" t="n">
        <v>25</v>
      </c>
      <c r="E2256" s="18" t="inlineStr">
        <is>
          <t>R</t>
        </is>
      </c>
      <c r="F2256" s="18" t="n"/>
      <c r="G2256" s="9" t="n">
        <v>32.68</v>
      </c>
      <c r="H2256" s="9" t="n">
        <v>32.68</v>
      </c>
      <c r="I2256" s="9" t="inlineStr">
        <is>
          <t>Depth (no MLB IP)</t>
        </is>
      </c>
      <c r="J2256" s="18" t="inlineStr">
        <is>
          <t>Opening Day</t>
        </is>
      </c>
      <c r="K2256" s="11">
        <f>IFERROR(INDEX(Roles!$B$17:$B$20,MATCH(J2256,Roles!$A$17:$A$20,0)),1)</f>
        <v/>
      </c>
      <c r="L2256" s="19" t="n">
        <v>1</v>
      </c>
      <c r="M2256" s="11" t="n">
        <v>1</v>
      </c>
      <c r="N2256" s="19" t="n"/>
      <c r="O2256" s="19" t="n"/>
      <c r="P2256" s="19" t="n"/>
      <c r="Q2256" s="19" t="n"/>
      <c r="R2256" s="19" t="n"/>
      <c r="S2256" s="19" t="n"/>
      <c r="T2256" s="19" t="n"/>
      <c r="U2256" s="19" t="n"/>
      <c r="V2256" s="19" t="n"/>
      <c r="W2256" s="19" t="n"/>
      <c r="X2256" s="19" t="n"/>
      <c r="Y2256" s="19" t="n">
        <v>1</v>
      </c>
      <c r="Z2256" s="13">
        <f>SUMPRODUCT(N2256:Y2256,$N$2:$Y$2)*$K2256*$L2256*$M2256</f>
        <v/>
      </c>
      <c r="AA2256" s="14">
        <f>SUM(N2256:Y2256)</f>
        <v/>
      </c>
      <c r="AB2256" s="13">
        <f>SUMPRODUCT(N2256:Y2256,$N$3:$Y$3)*$K2256*$L2256*$M2256</f>
        <v/>
      </c>
      <c r="AC2256" s="13">
        <f>SUMPRODUCT(N2256:Y2256,$N$4:$Y$4)*$K2256*$L2256*$M2256</f>
        <v/>
      </c>
      <c r="AD2256" s="15" t="n">
        <v>3</v>
      </c>
      <c r="AE2256" s="11" t="n">
        <v>1.011296296296296</v>
      </c>
      <c r="AF2256" s="16">
        <f>SUMPRODUCT(N2256:Y2256,$N$5:$Y$5)*$K2256*$L2256*$M2256</f>
        <v/>
      </c>
      <c r="AG2256" s="16">
        <f>SUMPRODUCT(N2256:Y2256,$N$6:$Y$6)*$K2256*$L2256*$M2256</f>
        <v/>
      </c>
      <c r="AH2256" s="20" t="n"/>
    </row>
    <row r="2257">
      <c r="A2257" s="9" t="n">
        <v>667755</v>
      </c>
      <c r="B2257" s="9" t="inlineStr">
        <is>
          <t>José Soriano</t>
        </is>
      </c>
      <c r="C2257" s="9" t="inlineStr">
        <is>
          <t>TOR</t>
        </is>
      </c>
      <c r="D2257" s="9" t="n">
        <v>28</v>
      </c>
      <c r="E2257" s="18" t="inlineStr">
        <is>
          <t>R</t>
        </is>
      </c>
      <c r="F2257" s="18" t="n"/>
      <c r="G2257" s="9" t="n">
        <v>745</v>
      </c>
      <c r="H2257" s="9" t="n">
        <v>2122</v>
      </c>
      <c r="I2257" s="9" t="inlineStr">
        <is>
          <t>Mid-Rotation Starter (SP2-3)</t>
        </is>
      </c>
      <c r="J2257" s="18" t="inlineStr">
        <is>
          <t>Opening Day</t>
        </is>
      </c>
      <c r="K2257" s="11">
        <f>IFERROR(INDEX(Roles!$B$17:$B$20,MATCH(J2257,Roles!$A$17:$A$20,0)),1)</f>
        <v/>
      </c>
      <c r="L2257" s="19" t="n">
        <v>1</v>
      </c>
      <c r="M2257" s="11" t="n">
        <v>1</v>
      </c>
      <c r="N2257" s="19" t="n"/>
      <c r="O2257" s="19" t="n">
        <v>0.5</v>
      </c>
      <c r="P2257" s="19" t="n">
        <v>0.5</v>
      </c>
      <c r="Q2257" s="19" t="n"/>
      <c r="R2257" s="19" t="n"/>
      <c r="S2257" s="19" t="n"/>
      <c r="T2257" s="19" t="n"/>
      <c r="U2257" s="19" t="n"/>
      <c r="V2257" s="19" t="n"/>
      <c r="W2257" s="19" t="n"/>
      <c r="X2257" s="19" t="n"/>
      <c r="Y2257" s="19" t="n"/>
      <c r="Z2257" s="13">
        <f>SUMPRODUCT(N2257:Y2257,$N$2:$Y$2)*$K2257*$L2257*$M2257</f>
        <v/>
      </c>
      <c r="AA2257" s="14">
        <f>SUM(N2257:Y2257)</f>
        <v/>
      </c>
      <c r="AB2257" s="13">
        <f>SUMPRODUCT(N2257:Y2257,$N$3:$Y$3)*$K2257*$L2257*$M2257</f>
        <v/>
      </c>
      <c r="AC2257" s="13">
        <f>SUMPRODUCT(N2257:Y2257,$N$4:$Y$4)*$K2257*$L2257*$M2257</f>
        <v/>
      </c>
      <c r="AD2257" s="15" t="n">
        <v>28.4</v>
      </c>
      <c r="AE2257" s="11" t="n">
        <v>5.289904420549583</v>
      </c>
      <c r="AF2257" s="16">
        <f>SUMPRODUCT(N2257:Y2257,$N$5:$Y$5)*$K2257*$L2257*$M2257</f>
        <v/>
      </c>
      <c r="AG2257" s="16">
        <f>SUMPRODUCT(N2257:Y2257,$N$6:$Y$6)*$K2257*$L2257*$M2257</f>
        <v/>
      </c>
      <c r="AH2257" s="20" t="n"/>
    </row>
    <row r="2258">
      <c r="A2258" s="9" t="n">
        <v>808893</v>
      </c>
      <c r="B2258" s="9" t="inlineStr">
        <is>
          <t>Bryan Balzer</t>
        </is>
      </c>
      <c r="C2258" s="9" t="inlineStr">
        <is>
          <t>SD</t>
        </is>
      </c>
      <c r="D2258" s="9" t="n">
        <v>25</v>
      </c>
      <c r="E2258" s="18" t="inlineStr">
        <is>
          <t>R</t>
        </is>
      </c>
      <c r="F2258" s="18" t="n"/>
      <c r="G2258" s="9" t="n">
        <v>32.96666666666667</v>
      </c>
      <c r="H2258" s="9" t="n">
        <v>32.96666666666667</v>
      </c>
      <c r="I2258" s="9" t="inlineStr">
        <is>
          <t>Depth (no MLB IP)</t>
        </is>
      </c>
      <c r="J2258" s="18" t="inlineStr">
        <is>
          <t>Opening Day</t>
        </is>
      </c>
      <c r="K2258" s="11">
        <f>IFERROR(INDEX(Roles!$B$17:$B$20,MATCH(J2258,Roles!$A$17:$A$20,0)),1)</f>
        <v/>
      </c>
      <c r="L2258" s="19" t="n">
        <v>1</v>
      </c>
      <c r="M2258" s="11" t="n">
        <v>1</v>
      </c>
      <c r="N2258" s="19" t="n"/>
      <c r="O2258" s="19" t="n"/>
      <c r="P2258" s="19" t="n"/>
      <c r="Q2258" s="19" t="n"/>
      <c r="R2258" s="19" t="n"/>
      <c r="S2258" s="19" t="n"/>
      <c r="T2258" s="19" t="n"/>
      <c r="U2258" s="19" t="n"/>
      <c r="V2258" s="19" t="n"/>
      <c r="W2258" s="19" t="n"/>
      <c r="X2258" s="19" t="n"/>
      <c r="Y2258" s="19" t="n">
        <v>1</v>
      </c>
      <c r="Z2258" s="13">
        <f>SUMPRODUCT(N2258:Y2258,$N$2:$Y$2)*$K2258*$L2258*$M2258</f>
        <v/>
      </c>
      <c r="AA2258" s="14">
        <f>SUM(N2258:Y2258)</f>
        <v/>
      </c>
      <c r="AB2258" s="13">
        <f>SUMPRODUCT(N2258:Y2258,$N$3:$Y$3)*$K2258*$L2258*$M2258</f>
        <v/>
      </c>
      <c r="AC2258" s="13">
        <f>SUMPRODUCT(N2258:Y2258,$N$4:$Y$4)*$K2258*$L2258*$M2258</f>
        <v/>
      </c>
      <c r="AD2258" s="15" t="n">
        <v>3</v>
      </c>
      <c r="AE2258" s="11" t="n">
        <v>1.011296296296296</v>
      </c>
      <c r="AF2258" s="16">
        <f>SUMPRODUCT(N2258:Y2258,$N$5:$Y$5)*$K2258*$L2258*$M2258</f>
        <v/>
      </c>
      <c r="AG2258" s="16">
        <f>SUMPRODUCT(N2258:Y2258,$N$6:$Y$6)*$K2258*$L2258*$M2258</f>
        <v/>
      </c>
      <c r="AH2258" s="20" t="n"/>
    </row>
    <row r="2259">
      <c r="A2259" s="9" t="n">
        <v>800058</v>
      </c>
      <c r="B2259" s="9" t="inlineStr">
        <is>
          <t>Luis Flores</t>
        </is>
      </c>
      <c r="C2259" s="9" t="inlineStr">
        <is>
          <t>CLE</t>
        </is>
      </c>
      <c r="D2259" s="9" t="n">
        <v>25</v>
      </c>
      <c r="E2259" s="18" t="inlineStr">
        <is>
          <t>L</t>
        </is>
      </c>
      <c r="F2259" s="18" t="n"/>
      <c r="G2259" s="9" t="n">
        <v>32.96666666666667</v>
      </c>
      <c r="H2259" s="9" t="n">
        <v>32.96666666666667</v>
      </c>
      <c r="I2259" s="9" t="inlineStr">
        <is>
          <t>Depth (no MLB IP)</t>
        </is>
      </c>
      <c r="J2259" s="18" t="inlineStr">
        <is>
          <t>Opening Day</t>
        </is>
      </c>
      <c r="K2259" s="11">
        <f>IFERROR(INDEX(Roles!$B$17:$B$20,MATCH(J2259,Roles!$A$17:$A$20,0)),1)</f>
        <v/>
      </c>
      <c r="L2259" s="19" t="n">
        <v>1</v>
      </c>
      <c r="M2259" s="11" t="n">
        <v>1</v>
      </c>
      <c r="N2259" s="19" t="n"/>
      <c r="O2259" s="19" t="n"/>
      <c r="P2259" s="19" t="n"/>
      <c r="Q2259" s="19" t="n"/>
      <c r="R2259" s="19" t="n"/>
      <c r="S2259" s="19" t="n"/>
      <c r="T2259" s="19" t="n"/>
      <c r="U2259" s="19" t="n"/>
      <c r="V2259" s="19" t="n"/>
      <c r="W2259" s="19" t="n"/>
      <c r="X2259" s="19" t="n"/>
      <c r="Y2259" s="19" t="n">
        <v>1</v>
      </c>
      <c r="Z2259" s="13">
        <f>SUMPRODUCT(N2259:Y2259,$N$2:$Y$2)*$K2259*$L2259*$M2259</f>
        <v/>
      </c>
      <c r="AA2259" s="14">
        <f>SUM(N2259:Y2259)</f>
        <v/>
      </c>
      <c r="AB2259" s="13">
        <f>SUMPRODUCT(N2259:Y2259,$N$3:$Y$3)*$K2259*$L2259*$M2259</f>
        <v/>
      </c>
      <c r="AC2259" s="13">
        <f>SUMPRODUCT(N2259:Y2259,$N$4:$Y$4)*$K2259*$L2259*$M2259</f>
        <v/>
      </c>
      <c r="AD2259" s="15" t="n">
        <v>3</v>
      </c>
      <c r="AE2259" s="11" t="n">
        <v>1.011296296296296</v>
      </c>
      <c r="AF2259" s="16">
        <f>SUMPRODUCT(N2259:Y2259,$N$5:$Y$5)*$K2259*$L2259*$M2259</f>
        <v/>
      </c>
      <c r="AG2259" s="16">
        <f>SUMPRODUCT(N2259:Y2259,$N$6:$Y$6)*$K2259*$L2259*$M2259</f>
        <v/>
      </c>
      <c r="AH2259" s="20" t="n"/>
    </row>
    <row r="2260">
      <c r="A2260" s="9" t="n">
        <v>801249</v>
      </c>
      <c r="B2260" s="9" t="inlineStr">
        <is>
          <t>Julio Mendez</t>
        </is>
      </c>
      <c r="C2260" s="9" t="inlineStr">
        <is>
          <t>MIA</t>
        </is>
      </c>
      <c r="D2260" s="9" t="n">
        <v>25</v>
      </c>
      <c r="E2260" s="18" t="inlineStr">
        <is>
          <t>L</t>
        </is>
      </c>
      <c r="F2260" s="18" t="n"/>
      <c r="G2260" s="9" t="n">
        <v>32.96666666666667</v>
      </c>
      <c r="H2260" s="9" t="n">
        <v>32.96666666666667</v>
      </c>
      <c r="I2260" s="9" t="inlineStr">
        <is>
          <t>Depth (no MLB IP)</t>
        </is>
      </c>
      <c r="J2260" s="18" t="inlineStr">
        <is>
          <t>Opening Day</t>
        </is>
      </c>
      <c r="K2260" s="11">
        <f>IFERROR(INDEX(Roles!$B$17:$B$20,MATCH(J2260,Roles!$A$17:$A$20,0)),1)</f>
        <v/>
      </c>
      <c r="L2260" s="19" t="n">
        <v>1</v>
      </c>
      <c r="M2260" s="11" t="n">
        <v>1</v>
      </c>
      <c r="N2260" s="19" t="n"/>
      <c r="O2260" s="19" t="n"/>
      <c r="P2260" s="19" t="n"/>
      <c r="Q2260" s="19" t="n"/>
      <c r="R2260" s="19" t="n"/>
      <c r="S2260" s="19" t="n"/>
      <c r="T2260" s="19" t="n"/>
      <c r="U2260" s="19" t="n"/>
      <c r="V2260" s="19" t="n"/>
      <c r="W2260" s="19" t="n"/>
      <c r="X2260" s="19" t="n"/>
      <c r="Y2260" s="19" t="n">
        <v>1</v>
      </c>
      <c r="Z2260" s="13">
        <f>SUMPRODUCT(N2260:Y2260,$N$2:$Y$2)*$K2260*$L2260*$M2260</f>
        <v/>
      </c>
      <c r="AA2260" s="14">
        <f>SUM(N2260:Y2260)</f>
        <v/>
      </c>
      <c r="AB2260" s="13">
        <f>SUMPRODUCT(N2260:Y2260,$N$3:$Y$3)*$K2260*$L2260*$M2260</f>
        <v/>
      </c>
      <c r="AC2260" s="13">
        <f>SUMPRODUCT(N2260:Y2260,$N$4:$Y$4)*$K2260*$L2260*$M2260</f>
        <v/>
      </c>
      <c r="AD2260" s="15" t="n">
        <v>3</v>
      </c>
      <c r="AE2260" s="11" t="n">
        <v>1.011296296296296</v>
      </c>
      <c r="AF2260" s="16">
        <f>SUMPRODUCT(N2260:Y2260,$N$5:$Y$5)*$K2260*$L2260*$M2260</f>
        <v/>
      </c>
      <c r="AG2260" s="16">
        <f>SUMPRODUCT(N2260:Y2260,$N$6:$Y$6)*$K2260*$L2260*$M2260</f>
        <v/>
      </c>
      <c r="AH2260" s="20" t="n"/>
    </row>
    <row r="2261">
      <c r="A2261" s="9" t="n">
        <v>800408</v>
      </c>
      <c r="B2261" s="9" t="inlineStr">
        <is>
          <t>Jholbran Herder</t>
        </is>
      </c>
      <c r="C2261" s="9" t="inlineStr">
        <is>
          <t>LAD</t>
        </is>
      </c>
      <c r="D2261" s="9" t="n">
        <v>25</v>
      </c>
      <c r="E2261" s="18" t="inlineStr">
        <is>
          <t>R</t>
        </is>
      </c>
      <c r="F2261" s="18" t="n"/>
      <c r="G2261" s="9" t="n">
        <v>33.024</v>
      </c>
      <c r="H2261" s="9" t="n">
        <v>33.024</v>
      </c>
      <c r="I2261" s="9" t="inlineStr">
        <is>
          <t>Depth (no MLB IP)</t>
        </is>
      </c>
      <c r="J2261" s="18" t="inlineStr">
        <is>
          <t>Opening Day</t>
        </is>
      </c>
      <c r="K2261" s="11">
        <f>IFERROR(INDEX(Roles!$B$17:$B$20,MATCH(J2261,Roles!$A$17:$A$20,0)),1)</f>
        <v/>
      </c>
      <c r="L2261" s="19" t="n">
        <v>1</v>
      </c>
      <c r="M2261" s="11" t="n">
        <v>1</v>
      </c>
      <c r="N2261" s="19" t="n"/>
      <c r="O2261" s="19" t="n"/>
      <c r="P2261" s="19" t="n"/>
      <c r="Q2261" s="19" t="n"/>
      <c r="R2261" s="19" t="n"/>
      <c r="S2261" s="19" t="n"/>
      <c r="T2261" s="19" t="n"/>
      <c r="U2261" s="19" t="n"/>
      <c r="V2261" s="19" t="n"/>
      <c r="W2261" s="19" t="n"/>
      <c r="X2261" s="19" t="n"/>
      <c r="Y2261" s="19" t="n">
        <v>1</v>
      </c>
      <c r="Z2261" s="13">
        <f>SUMPRODUCT(N2261:Y2261,$N$2:$Y$2)*$K2261*$L2261*$M2261</f>
        <v/>
      </c>
      <c r="AA2261" s="14">
        <f>SUM(N2261:Y2261)</f>
        <v/>
      </c>
      <c r="AB2261" s="13">
        <f>SUMPRODUCT(N2261:Y2261,$N$3:$Y$3)*$K2261*$L2261*$M2261</f>
        <v/>
      </c>
      <c r="AC2261" s="13">
        <f>SUMPRODUCT(N2261:Y2261,$N$4:$Y$4)*$K2261*$L2261*$M2261</f>
        <v/>
      </c>
      <c r="AD2261" s="15" t="n">
        <v>3</v>
      </c>
      <c r="AE2261" s="11" t="n">
        <v>1.011296296296296</v>
      </c>
      <c r="AF2261" s="16">
        <f>SUMPRODUCT(N2261:Y2261,$N$5:$Y$5)*$K2261*$L2261*$M2261</f>
        <v/>
      </c>
      <c r="AG2261" s="16">
        <f>SUMPRODUCT(N2261:Y2261,$N$6:$Y$6)*$K2261*$L2261*$M2261</f>
        <v/>
      </c>
      <c r="AH2261" s="20" t="n"/>
    </row>
    <row r="2262">
      <c r="A2262" s="9" t="n">
        <v>687377</v>
      </c>
      <c r="B2262" s="9" t="inlineStr">
        <is>
          <t>Orlando Ribalta</t>
        </is>
      </c>
      <c r="C2262" s="9" t="inlineStr">
        <is>
          <t>WSH</t>
        </is>
      </c>
      <c r="D2262" s="9" t="n">
        <v>29</v>
      </c>
      <c r="E2262" s="18" t="inlineStr">
        <is>
          <t>R</t>
        </is>
      </c>
      <c r="F2262" s="18" t="n"/>
      <c r="G2262" s="9" t="n">
        <v>178</v>
      </c>
      <c r="H2262" s="9" t="n">
        <v>321</v>
      </c>
      <c r="I2262" s="9" t="inlineStr">
        <is>
          <t>Late Inning RP (Setup)</t>
        </is>
      </c>
      <c r="J2262" s="18" t="inlineStr">
        <is>
          <t>Opening Day</t>
        </is>
      </c>
      <c r="K2262" s="11">
        <f>IFERROR(INDEX(Roles!$B$17:$B$20,MATCH(J2262,Roles!$A$17:$A$20,0)),1)</f>
        <v/>
      </c>
      <c r="L2262" s="19" t="n">
        <v>1</v>
      </c>
      <c r="M2262" s="11" t="n">
        <v>1</v>
      </c>
      <c r="N2262" s="19" t="n"/>
      <c r="O2262" s="19" t="n"/>
      <c r="P2262" s="19" t="n"/>
      <c r="Q2262" s="19" t="n"/>
      <c r="R2262" s="19" t="n"/>
      <c r="S2262" s="19" t="n"/>
      <c r="T2262" s="19" t="n"/>
      <c r="U2262" s="19" t="n">
        <v>0.5</v>
      </c>
      <c r="V2262" s="19" t="n">
        <v>0.5</v>
      </c>
      <c r="W2262" s="19" t="n"/>
      <c r="X2262" s="19" t="n"/>
      <c r="Y2262" s="19" t="n"/>
      <c r="Z2262" s="13">
        <f>SUMPRODUCT(N2262:Y2262,$N$2:$Y$2)*$K2262*$L2262*$M2262</f>
        <v/>
      </c>
      <c r="AA2262" s="14">
        <f>SUM(N2262:Y2262)</f>
        <v/>
      </c>
      <c r="AB2262" s="13">
        <f>SUMPRODUCT(N2262:Y2262,$N$3:$Y$3)*$K2262*$L2262*$M2262</f>
        <v/>
      </c>
      <c r="AC2262" s="13">
        <f>SUMPRODUCT(N2262:Y2262,$N$4:$Y$4)*$K2262*$L2262*$M2262</f>
        <v/>
      </c>
      <c r="AD2262" s="15" t="n">
        <v>37.5</v>
      </c>
      <c r="AE2262" s="11" t="n">
        <v>0.989412568306011</v>
      </c>
      <c r="AF2262" s="16">
        <f>SUMPRODUCT(N2262:Y2262,$N$5:$Y$5)*$K2262*$L2262*$M2262</f>
        <v/>
      </c>
      <c r="AG2262" s="16">
        <f>SUMPRODUCT(N2262:Y2262,$N$6:$Y$6)*$K2262*$L2262*$M2262</f>
        <v/>
      </c>
      <c r="AH2262" s="20" t="n"/>
    </row>
    <row r="2263">
      <c r="A2263" s="9" t="n">
        <v>672442</v>
      </c>
      <c r="B2263" s="9" t="inlineStr">
        <is>
          <t>Yovanny Cruz</t>
        </is>
      </c>
      <c r="C2263" s="9" t="inlineStr">
        <is>
          <t>WSH</t>
        </is>
      </c>
      <c r="D2263" s="9" t="n">
        <v>27</v>
      </c>
      <c r="E2263" s="18" t="inlineStr">
        <is>
          <t>R</t>
        </is>
      </c>
      <c r="F2263" s="18" t="n"/>
      <c r="G2263" s="9" t="n">
        <v>70</v>
      </c>
      <c r="H2263" s="9" t="n">
        <v>70</v>
      </c>
      <c r="I2263" s="9" t="inlineStr">
        <is>
          <t>Middle Relief</t>
        </is>
      </c>
      <c r="J2263" s="18" t="inlineStr">
        <is>
          <t>Opening Day</t>
        </is>
      </c>
      <c r="K2263" s="11">
        <f>IFERROR(INDEX(Roles!$B$17:$B$20,MATCH(J2263,Roles!$A$17:$A$20,0)),1)</f>
        <v/>
      </c>
      <c r="L2263" s="19" t="n">
        <v>1</v>
      </c>
      <c r="M2263" s="11" t="n">
        <v>1</v>
      </c>
      <c r="N2263" s="19" t="n"/>
      <c r="O2263" s="19" t="n"/>
      <c r="P2263" s="19" t="n"/>
      <c r="Q2263" s="19" t="n"/>
      <c r="R2263" s="19" t="n"/>
      <c r="S2263" s="19" t="n"/>
      <c r="T2263" s="19" t="n">
        <v>0.4</v>
      </c>
      <c r="U2263" s="19" t="n"/>
      <c r="V2263" s="19" t="n">
        <v>0.6</v>
      </c>
      <c r="W2263" s="19" t="n"/>
      <c r="X2263" s="19" t="n"/>
      <c r="Y2263" s="19" t="n"/>
      <c r="Z2263" s="13">
        <f>SUMPRODUCT(N2263:Y2263,$N$2:$Y$2)*$K2263*$L2263*$M2263</f>
        <v/>
      </c>
      <c r="AA2263" s="14">
        <f>SUM(N2263:Y2263)</f>
        <v/>
      </c>
      <c r="AB2263" s="13">
        <f>SUMPRODUCT(N2263:Y2263,$N$3:$Y$3)*$K2263*$L2263*$M2263</f>
        <v/>
      </c>
      <c r="AC2263" s="13">
        <f>SUMPRODUCT(N2263:Y2263,$N$4:$Y$4)*$K2263*$L2263*$M2263</f>
        <v/>
      </c>
      <c r="AD2263" s="15" t="n">
        <v>24.93333333333333</v>
      </c>
      <c r="AE2263" s="11" t="n">
        <v>1.002869254971492</v>
      </c>
      <c r="AF2263" s="16">
        <f>SUMPRODUCT(N2263:Y2263,$N$5:$Y$5)*$K2263*$L2263*$M2263</f>
        <v/>
      </c>
      <c r="AG2263" s="16">
        <f>SUMPRODUCT(N2263:Y2263,$N$6:$Y$6)*$K2263*$L2263*$M2263</f>
        <v/>
      </c>
      <c r="AH2263" s="20" t="n"/>
    </row>
    <row r="2264">
      <c r="A2264" s="9" t="n">
        <v>801317</v>
      </c>
      <c r="B2264" s="9" t="inlineStr">
        <is>
          <t>Alex Makarewich</t>
        </is>
      </c>
      <c r="C2264" s="9" t="inlineStr">
        <is>
          <t>LAD</t>
        </is>
      </c>
      <c r="D2264" s="9" t="n">
        <v>25</v>
      </c>
      <c r="E2264" s="18" t="inlineStr">
        <is>
          <t>R</t>
        </is>
      </c>
      <c r="F2264" s="18" t="n"/>
      <c r="G2264" s="9" t="n">
        <v>33.25333333333333</v>
      </c>
      <c r="H2264" s="9" t="n">
        <v>33.25333333333333</v>
      </c>
      <c r="I2264" s="9" t="inlineStr">
        <is>
          <t>Depth (no MLB IP)</t>
        </is>
      </c>
      <c r="J2264" s="18" t="inlineStr">
        <is>
          <t>Opening Day</t>
        </is>
      </c>
      <c r="K2264" s="11">
        <f>IFERROR(INDEX(Roles!$B$17:$B$20,MATCH(J2264,Roles!$A$17:$A$20,0)),1)</f>
        <v/>
      </c>
      <c r="L2264" s="19" t="n">
        <v>1</v>
      </c>
      <c r="M2264" s="11" t="n">
        <v>1</v>
      </c>
      <c r="N2264" s="19" t="n"/>
      <c r="O2264" s="19" t="n"/>
      <c r="P2264" s="19" t="n"/>
      <c r="Q2264" s="19" t="n"/>
      <c r="R2264" s="19" t="n"/>
      <c r="S2264" s="19" t="n"/>
      <c r="T2264" s="19" t="n"/>
      <c r="U2264" s="19" t="n"/>
      <c r="V2264" s="19" t="n"/>
      <c r="W2264" s="19" t="n"/>
      <c r="X2264" s="19" t="n"/>
      <c r="Y2264" s="19" t="n">
        <v>1</v>
      </c>
      <c r="Z2264" s="13">
        <f>SUMPRODUCT(N2264:Y2264,$N$2:$Y$2)*$K2264*$L2264*$M2264</f>
        <v/>
      </c>
      <c r="AA2264" s="14">
        <f>SUM(N2264:Y2264)</f>
        <v/>
      </c>
      <c r="AB2264" s="13">
        <f>SUMPRODUCT(N2264:Y2264,$N$3:$Y$3)*$K2264*$L2264*$M2264</f>
        <v/>
      </c>
      <c r="AC2264" s="13">
        <f>SUMPRODUCT(N2264:Y2264,$N$4:$Y$4)*$K2264*$L2264*$M2264</f>
        <v/>
      </c>
      <c r="AD2264" s="15" t="n">
        <v>3</v>
      </c>
      <c r="AE2264" s="11" t="n">
        <v>1.011296296296296</v>
      </c>
      <c r="AF2264" s="16">
        <f>SUMPRODUCT(N2264:Y2264,$N$5:$Y$5)*$K2264*$L2264*$M2264</f>
        <v/>
      </c>
      <c r="AG2264" s="16">
        <f>SUMPRODUCT(N2264:Y2264,$N$6:$Y$6)*$K2264*$L2264*$M2264</f>
        <v/>
      </c>
      <c r="AH2264" s="20" t="n"/>
    </row>
    <row r="2265">
      <c r="A2265" s="9" t="n">
        <v>807002</v>
      </c>
      <c r="B2265" s="9" t="inlineStr">
        <is>
          <t>Jeter Martinez</t>
        </is>
      </c>
      <c r="C2265" s="9" t="inlineStr">
        <is>
          <t>PIT</t>
        </is>
      </c>
      <c r="D2265" s="9" t="n">
        <v>25</v>
      </c>
      <c r="E2265" s="18" t="inlineStr">
        <is>
          <t>R</t>
        </is>
      </c>
      <c r="F2265" s="18" t="n"/>
      <c r="G2265" s="9" t="n">
        <v>33.196</v>
      </c>
      <c r="H2265" s="9" t="n">
        <v>33.196</v>
      </c>
      <c r="I2265" s="9" t="inlineStr">
        <is>
          <t>Depth (no MLB IP)</t>
        </is>
      </c>
      <c r="J2265" s="18" t="inlineStr">
        <is>
          <t>Opening Day</t>
        </is>
      </c>
      <c r="K2265" s="11">
        <f>IFERROR(INDEX(Roles!$B$17:$B$20,MATCH(J2265,Roles!$A$17:$A$20,0)),1)</f>
        <v/>
      </c>
      <c r="L2265" s="19" t="n">
        <v>1</v>
      </c>
      <c r="M2265" s="11" t="n">
        <v>1</v>
      </c>
      <c r="N2265" s="19" t="n"/>
      <c r="O2265" s="19" t="n"/>
      <c r="P2265" s="19" t="n"/>
      <c r="Q2265" s="19" t="n"/>
      <c r="R2265" s="19" t="n"/>
      <c r="S2265" s="19" t="n"/>
      <c r="T2265" s="19" t="n"/>
      <c r="U2265" s="19" t="n"/>
      <c r="V2265" s="19" t="n"/>
      <c r="W2265" s="19" t="n"/>
      <c r="X2265" s="19" t="n"/>
      <c r="Y2265" s="19" t="n">
        <v>1</v>
      </c>
      <c r="Z2265" s="13">
        <f>SUMPRODUCT(N2265:Y2265,$N$2:$Y$2)*$K2265*$L2265*$M2265</f>
        <v/>
      </c>
      <c r="AA2265" s="14">
        <f>SUM(N2265:Y2265)</f>
        <v/>
      </c>
      <c r="AB2265" s="13">
        <f>SUMPRODUCT(N2265:Y2265,$N$3:$Y$3)*$K2265*$L2265*$M2265</f>
        <v/>
      </c>
      <c r="AC2265" s="13">
        <f>SUMPRODUCT(N2265:Y2265,$N$4:$Y$4)*$K2265*$L2265*$M2265</f>
        <v/>
      </c>
      <c r="AD2265" s="15" t="n">
        <v>3</v>
      </c>
      <c r="AE2265" s="11" t="n">
        <v>1.011296296296296</v>
      </c>
      <c r="AF2265" s="16">
        <f>SUMPRODUCT(N2265:Y2265,$N$5:$Y$5)*$K2265*$L2265*$M2265</f>
        <v/>
      </c>
      <c r="AG2265" s="16">
        <f>SUMPRODUCT(N2265:Y2265,$N$6:$Y$6)*$K2265*$L2265*$M2265</f>
        <v/>
      </c>
      <c r="AH2265" s="20" t="n"/>
    </row>
    <row r="2266">
      <c r="A2266" s="9" t="n">
        <v>686745</v>
      </c>
      <c r="B2266" s="9" t="inlineStr">
        <is>
          <t>Zach Peek</t>
        </is>
      </c>
      <c r="C2266" s="9" t="inlineStr">
        <is>
          <t>NYM</t>
        </is>
      </c>
      <c r="D2266" s="9" t="n">
        <v>25</v>
      </c>
      <c r="E2266" s="18" t="inlineStr">
        <is>
          <t>R</t>
        </is>
      </c>
      <c r="F2266" s="18" t="n"/>
      <c r="G2266" s="9" t="n">
        <v>33.11</v>
      </c>
      <c r="H2266" s="9" t="n">
        <v>33.11</v>
      </c>
      <c r="I2266" s="9" t="inlineStr">
        <is>
          <t>Depth (no MLB IP)</t>
        </is>
      </c>
      <c r="J2266" s="18" t="inlineStr">
        <is>
          <t>Opening Day</t>
        </is>
      </c>
      <c r="K2266" s="11">
        <f>IFERROR(INDEX(Roles!$B$17:$B$20,MATCH(J2266,Roles!$A$17:$A$20,0)),1)</f>
        <v/>
      </c>
      <c r="L2266" s="19" t="n">
        <v>1</v>
      </c>
      <c r="M2266" s="11" t="n">
        <v>1</v>
      </c>
      <c r="N2266" s="19" t="n"/>
      <c r="O2266" s="19" t="n"/>
      <c r="P2266" s="19" t="n"/>
      <c r="Q2266" s="19" t="n"/>
      <c r="R2266" s="19" t="n"/>
      <c r="S2266" s="19" t="n"/>
      <c r="T2266" s="19" t="n"/>
      <c r="U2266" s="19" t="n"/>
      <c r="V2266" s="19" t="n"/>
      <c r="W2266" s="19" t="n"/>
      <c r="X2266" s="19" t="n"/>
      <c r="Y2266" s="19" t="n">
        <v>1</v>
      </c>
      <c r="Z2266" s="13">
        <f>SUMPRODUCT(N2266:Y2266,$N$2:$Y$2)*$K2266*$L2266*$M2266</f>
        <v/>
      </c>
      <c r="AA2266" s="14">
        <f>SUM(N2266:Y2266)</f>
        <v/>
      </c>
      <c r="AB2266" s="13">
        <f>SUMPRODUCT(N2266:Y2266,$N$3:$Y$3)*$K2266*$L2266*$M2266</f>
        <v/>
      </c>
      <c r="AC2266" s="13">
        <f>SUMPRODUCT(N2266:Y2266,$N$4:$Y$4)*$K2266*$L2266*$M2266</f>
        <v/>
      </c>
      <c r="AD2266" s="15" t="n">
        <v>3</v>
      </c>
      <c r="AE2266" s="11" t="n">
        <v>1.011296296296296</v>
      </c>
      <c r="AF2266" s="16">
        <f>SUMPRODUCT(N2266:Y2266,$N$5:$Y$5)*$K2266*$L2266*$M2266</f>
        <v/>
      </c>
      <c r="AG2266" s="16">
        <f>SUMPRODUCT(N2266:Y2266,$N$6:$Y$6)*$K2266*$L2266*$M2266</f>
        <v/>
      </c>
      <c r="AH2266" s="20" t="n"/>
    </row>
    <row r="2267">
      <c r="A2267" s="9" t="n">
        <v>808224</v>
      </c>
      <c r="B2267" s="9" t="inlineStr">
        <is>
          <t>Leuris Portorreal</t>
        </is>
      </c>
      <c r="C2267" s="9" t="inlineStr">
        <is>
          <t>WSH</t>
        </is>
      </c>
      <c r="D2267" s="9" t="n">
        <v>25</v>
      </c>
      <c r="E2267" s="18" t="inlineStr">
        <is>
          <t>R</t>
        </is>
      </c>
      <c r="F2267" s="18" t="n"/>
      <c r="G2267" s="9" t="n">
        <v>33.36799999999999</v>
      </c>
      <c r="H2267" s="9" t="n">
        <v>33.36799999999999</v>
      </c>
      <c r="I2267" s="9" t="inlineStr">
        <is>
          <t>Depth (no MLB IP)</t>
        </is>
      </c>
      <c r="J2267" s="18" t="inlineStr">
        <is>
          <t>Opening Day</t>
        </is>
      </c>
      <c r="K2267" s="11">
        <f>IFERROR(INDEX(Roles!$B$17:$B$20,MATCH(J2267,Roles!$A$17:$A$20,0)),1)</f>
        <v/>
      </c>
      <c r="L2267" s="19" t="n">
        <v>1</v>
      </c>
      <c r="M2267" s="11" t="n">
        <v>1</v>
      </c>
      <c r="N2267" s="19" t="n"/>
      <c r="O2267" s="19" t="n"/>
      <c r="P2267" s="19" t="n"/>
      <c r="Q2267" s="19" t="n"/>
      <c r="R2267" s="19" t="n"/>
      <c r="S2267" s="19" t="n"/>
      <c r="T2267" s="19" t="n"/>
      <c r="U2267" s="19" t="n"/>
      <c r="V2267" s="19" t="n"/>
      <c r="W2267" s="19" t="n"/>
      <c r="X2267" s="19" t="n"/>
      <c r="Y2267" s="19" t="n">
        <v>1</v>
      </c>
      <c r="Z2267" s="13">
        <f>SUMPRODUCT(N2267:Y2267,$N$2:$Y$2)*$K2267*$L2267*$M2267</f>
        <v/>
      </c>
      <c r="AA2267" s="14">
        <f>SUM(N2267:Y2267)</f>
        <v/>
      </c>
      <c r="AB2267" s="13">
        <f>SUMPRODUCT(N2267:Y2267,$N$3:$Y$3)*$K2267*$L2267*$M2267</f>
        <v/>
      </c>
      <c r="AC2267" s="13">
        <f>SUMPRODUCT(N2267:Y2267,$N$4:$Y$4)*$K2267*$L2267*$M2267</f>
        <v/>
      </c>
      <c r="AD2267" s="15" t="n">
        <v>3</v>
      </c>
      <c r="AE2267" s="11" t="n">
        <v>1.011296296296296</v>
      </c>
      <c r="AF2267" s="16">
        <f>SUMPRODUCT(N2267:Y2267,$N$5:$Y$5)*$K2267*$L2267*$M2267</f>
        <v/>
      </c>
      <c r="AG2267" s="16">
        <f>SUMPRODUCT(N2267:Y2267,$N$6:$Y$6)*$K2267*$L2267*$M2267</f>
        <v/>
      </c>
      <c r="AH2267" s="20" t="n"/>
    </row>
    <row r="2268">
      <c r="A2268" s="9" t="n">
        <v>696491</v>
      </c>
      <c r="B2268" s="9" t="inlineStr">
        <is>
          <t>Gavin Bruni</t>
        </is>
      </c>
      <c r="C2268" s="9" t="inlineStr">
        <is>
          <t>WSH</t>
        </is>
      </c>
      <c r="D2268" s="9" t="n">
        <v>25</v>
      </c>
      <c r="E2268" s="18" t="inlineStr">
        <is>
          <t>L</t>
        </is>
      </c>
      <c r="F2268" s="18" t="n"/>
      <c r="G2268" s="9" t="n">
        <v>33.54</v>
      </c>
      <c r="H2268" s="9" t="n">
        <v>33.54</v>
      </c>
      <c r="I2268" s="9" t="inlineStr">
        <is>
          <t>Depth (no MLB IP)</t>
        </is>
      </c>
      <c r="J2268" s="18" t="inlineStr">
        <is>
          <t>Opening Day</t>
        </is>
      </c>
      <c r="K2268" s="11">
        <f>IFERROR(INDEX(Roles!$B$17:$B$20,MATCH(J2268,Roles!$A$17:$A$20,0)),1)</f>
        <v/>
      </c>
      <c r="L2268" s="19" t="n">
        <v>1</v>
      </c>
      <c r="M2268" s="11" t="n">
        <v>1</v>
      </c>
      <c r="N2268" s="19" t="n"/>
      <c r="O2268" s="19" t="n"/>
      <c r="P2268" s="19" t="n"/>
      <c r="Q2268" s="19" t="n"/>
      <c r="R2268" s="19" t="n"/>
      <c r="S2268" s="19" t="n"/>
      <c r="T2268" s="19" t="n"/>
      <c r="U2268" s="19" t="n"/>
      <c r="V2268" s="19" t="n"/>
      <c r="W2268" s="19" t="n"/>
      <c r="X2268" s="19" t="n"/>
      <c r="Y2268" s="19" t="n">
        <v>1</v>
      </c>
      <c r="Z2268" s="13">
        <f>SUMPRODUCT(N2268:Y2268,$N$2:$Y$2)*$K2268*$L2268*$M2268</f>
        <v/>
      </c>
      <c r="AA2268" s="14">
        <f>SUM(N2268:Y2268)</f>
        <v/>
      </c>
      <c r="AB2268" s="13">
        <f>SUMPRODUCT(N2268:Y2268,$N$3:$Y$3)*$K2268*$L2268*$M2268</f>
        <v/>
      </c>
      <c r="AC2268" s="13">
        <f>SUMPRODUCT(N2268:Y2268,$N$4:$Y$4)*$K2268*$L2268*$M2268</f>
        <v/>
      </c>
      <c r="AD2268" s="15" t="n">
        <v>3</v>
      </c>
      <c r="AE2268" s="11" t="n">
        <v>1.011296296296296</v>
      </c>
      <c r="AF2268" s="16">
        <f>SUMPRODUCT(N2268:Y2268,$N$5:$Y$5)*$K2268*$L2268*$M2268</f>
        <v/>
      </c>
      <c r="AG2268" s="16">
        <f>SUMPRODUCT(N2268:Y2268,$N$6:$Y$6)*$K2268*$L2268*$M2268</f>
        <v/>
      </c>
      <c r="AH2268" s="20" t="n"/>
    </row>
    <row r="2269">
      <c r="A2269" s="9" t="n">
        <v>692329</v>
      </c>
      <c r="B2269" s="9" t="inlineStr">
        <is>
          <t>Darlin Pinales</t>
        </is>
      </c>
      <c r="C2269" s="9" t="inlineStr">
        <is>
          <t>OAK</t>
        </is>
      </c>
      <c r="D2269" s="9" t="n">
        <v>25</v>
      </c>
      <c r="E2269" s="18" t="inlineStr">
        <is>
          <t>R</t>
        </is>
      </c>
      <c r="F2269" s="18" t="n"/>
      <c r="G2269" s="9" t="n">
        <v>33.54</v>
      </c>
      <c r="H2269" s="9" t="n">
        <v>33.54</v>
      </c>
      <c r="I2269" s="9" t="inlineStr">
        <is>
          <t>Depth (no MLB IP)</t>
        </is>
      </c>
      <c r="J2269" s="18" t="inlineStr">
        <is>
          <t>Opening Day</t>
        </is>
      </c>
      <c r="K2269" s="11">
        <f>IFERROR(INDEX(Roles!$B$17:$B$20,MATCH(J2269,Roles!$A$17:$A$20,0)),1)</f>
        <v/>
      </c>
      <c r="L2269" s="19" t="n">
        <v>1</v>
      </c>
      <c r="M2269" s="11" t="n">
        <v>1</v>
      </c>
      <c r="N2269" s="19" t="n"/>
      <c r="O2269" s="19" t="n"/>
      <c r="P2269" s="19" t="n"/>
      <c r="Q2269" s="19" t="n"/>
      <c r="R2269" s="19" t="n"/>
      <c r="S2269" s="19" t="n"/>
      <c r="T2269" s="19" t="n"/>
      <c r="U2269" s="19" t="n"/>
      <c r="V2269" s="19" t="n"/>
      <c r="W2269" s="19" t="n"/>
      <c r="X2269" s="19" t="n"/>
      <c r="Y2269" s="19" t="n">
        <v>1</v>
      </c>
      <c r="Z2269" s="13">
        <f>SUMPRODUCT(N2269:Y2269,$N$2:$Y$2)*$K2269*$L2269*$M2269</f>
        <v/>
      </c>
      <c r="AA2269" s="14">
        <f>SUM(N2269:Y2269)</f>
        <v/>
      </c>
      <c r="AB2269" s="13">
        <f>SUMPRODUCT(N2269:Y2269,$N$3:$Y$3)*$K2269*$L2269*$M2269</f>
        <v/>
      </c>
      <c r="AC2269" s="13">
        <f>SUMPRODUCT(N2269:Y2269,$N$4:$Y$4)*$K2269*$L2269*$M2269</f>
        <v/>
      </c>
      <c r="AD2269" s="15" t="n">
        <v>3</v>
      </c>
      <c r="AE2269" s="11" t="n">
        <v>1.011296296296296</v>
      </c>
      <c r="AF2269" s="16">
        <f>SUMPRODUCT(N2269:Y2269,$N$5:$Y$5)*$K2269*$L2269*$M2269</f>
        <v/>
      </c>
      <c r="AG2269" s="16">
        <f>SUMPRODUCT(N2269:Y2269,$N$6:$Y$6)*$K2269*$L2269*$M2269</f>
        <v/>
      </c>
      <c r="AH2269" s="20" t="n"/>
    </row>
    <row r="2270">
      <c r="A2270" s="9" t="n">
        <v>813555</v>
      </c>
      <c r="B2270" s="9" t="inlineStr">
        <is>
          <t>Mathieu Curtis</t>
        </is>
      </c>
      <c r="C2270" s="9" t="inlineStr">
        <is>
          <t>ATL</t>
        </is>
      </c>
      <c r="D2270" s="9" t="n">
        <v>25</v>
      </c>
      <c r="E2270" s="18" t="inlineStr">
        <is>
          <t>R</t>
        </is>
      </c>
      <c r="F2270" s="18" t="n"/>
      <c r="G2270" s="9" t="n">
        <v>33.54</v>
      </c>
      <c r="H2270" s="9" t="n">
        <v>33.54</v>
      </c>
      <c r="I2270" s="9" t="inlineStr">
        <is>
          <t>Depth (no MLB IP)</t>
        </is>
      </c>
      <c r="J2270" s="18" t="inlineStr">
        <is>
          <t>Opening Day</t>
        </is>
      </c>
      <c r="K2270" s="11">
        <f>IFERROR(INDEX(Roles!$B$17:$B$20,MATCH(J2270,Roles!$A$17:$A$20,0)),1)</f>
        <v/>
      </c>
      <c r="L2270" s="19" t="n">
        <v>1</v>
      </c>
      <c r="M2270" s="11" t="n">
        <v>1</v>
      </c>
      <c r="N2270" s="19" t="n"/>
      <c r="O2270" s="19" t="n"/>
      <c r="P2270" s="19" t="n"/>
      <c r="Q2270" s="19" t="n"/>
      <c r="R2270" s="19" t="n"/>
      <c r="S2270" s="19" t="n"/>
      <c r="T2270" s="19" t="n"/>
      <c r="U2270" s="19" t="n"/>
      <c r="V2270" s="19" t="n"/>
      <c r="W2270" s="19" t="n"/>
      <c r="X2270" s="19" t="n"/>
      <c r="Y2270" s="19" t="n">
        <v>1</v>
      </c>
      <c r="Z2270" s="13">
        <f>SUMPRODUCT(N2270:Y2270,$N$2:$Y$2)*$K2270*$L2270*$M2270</f>
        <v/>
      </c>
      <c r="AA2270" s="14">
        <f>SUM(N2270:Y2270)</f>
        <v/>
      </c>
      <c r="AB2270" s="13">
        <f>SUMPRODUCT(N2270:Y2270,$N$3:$Y$3)*$K2270*$L2270*$M2270</f>
        <v/>
      </c>
      <c r="AC2270" s="13">
        <f>SUMPRODUCT(N2270:Y2270,$N$4:$Y$4)*$K2270*$L2270*$M2270</f>
        <v/>
      </c>
      <c r="AD2270" s="15" t="n">
        <v>3</v>
      </c>
      <c r="AE2270" s="11" t="n">
        <v>1.011296296296296</v>
      </c>
      <c r="AF2270" s="16">
        <f>SUMPRODUCT(N2270:Y2270,$N$5:$Y$5)*$K2270*$L2270*$M2270</f>
        <v/>
      </c>
      <c r="AG2270" s="16">
        <f>SUMPRODUCT(N2270:Y2270,$N$6:$Y$6)*$K2270*$L2270*$M2270</f>
        <v/>
      </c>
      <c r="AH2270" s="20" t="n"/>
    </row>
    <row r="2271">
      <c r="A2271" s="9" t="n">
        <v>681315</v>
      </c>
      <c r="B2271" s="9" t="inlineStr">
        <is>
          <t>Logan Whitaker</t>
        </is>
      </c>
      <c r="C2271" s="9" t="inlineStr">
        <is>
          <t>MIA</t>
        </is>
      </c>
      <c r="D2271" s="9" t="n">
        <v>25</v>
      </c>
      <c r="E2271" s="18" t="inlineStr">
        <is>
          <t>R</t>
        </is>
      </c>
      <c r="F2271" s="18" t="n"/>
      <c r="G2271" s="9" t="n">
        <v>33.61166666666666</v>
      </c>
      <c r="H2271" s="9" t="n">
        <v>33.61166666666666</v>
      </c>
      <c r="I2271" s="9" t="inlineStr">
        <is>
          <t>Depth (no MLB IP)</t>
        </is>
      </c>
      <c r="J2271" s="18" t="inlineStr">
        <is>
          <t>Opening Day</t>
        </is>
      </c>
      <c r="K2271" s="11">
        <f>IFERROR(INDEX(Roles!$B$17:$B$20,MATCH(J2271,Roles!$A$17:$A$20,0)),1)</f>
        <v/>
      </c>
      <c r="L2271" s="19" t="n">
        <v>1</v>
      </c>
      <c r="M2271" s="11" t="n">
        <v>1</v>
      </c>
      <c r="N2271" s="19" t="n"/>
      <c r="O2271" s="19" t="n"/>
      <c r="P2271" s="19" t="n"/>
      <c r="Q2271" s="19" t="n"/>
      <c r="R2271" s="19" t="n"/>
      <c r="S2271" s="19" t="n"/>
      <c r="T2271" s="19" t="n"/>
      <c r="U2271" s="19" t="n"/>
      <c r="V2271" s="19" t="n"/>
      <c r="W2271" s="19" t="n"/>
      <c r="X2271" s="19" t="n"/>
      <c r="Y2271" s="19" t="n">
        <v>1</v>
      </c>
      <c r="Z2271" s="13">
        <f>SUMPRODUCT(N2271:Y2271,$N$2:$Y$2)*$K2271*$L2271*$M2271</f>
        <v/>
      </c>
      <c r="AA2271" s="14">
        <f>SUM(N2271:Y2271)</f>
        <v/>
      </c>
      <c r="AB2271" s="13">
        <f>SUMPRODUCT(N2271:Y2271,$N$3:$Y$3)*$K2271*$L2271*$M2271</f>
        <v/>
      </c>
      <c r="AC2271" s="13">
        <f>SUMPRODUCT(N2271:Y2271,$N$4:$Y$4)*$K2271*$L2271*$M2271</f>
        <v/>
      </c>
      <c r="AD2271" s="15" t="n">
        <v>3</v>
      </c>
      <c r="AE2271" s="11" t="n">
        <v>1.011296296296296</v>
      </c>
      <c r="AF2271" s="16">
        <f>SUMPRODUCT(N2271:Y2271,$N$5:$Y$5)*$K2271*$L2271*$M2271</f>
        <v/>
      </c>
      <c r="AG2271" s="16">
        <f>SUMPRODUCT(N2271:Y2271,$N$6:$Y$6)*$K2271*$L2271*$M2271</f>
        <v/>
      </c>
      <c r="AH2271" s="20" t="n"/>
    </row>
    <row r="2272">
      <c r="A2272" s="9" t="n">
        <v>810098</v>
      </c>
      <c r="B2272" s="9" t="inlineStr">
        <is>
          <t>Yadiel Batista</t>
        </is>
      </c>
      <c r="C2272" s="9" t="inlineStr">
        <is>
          <t>STL</t>
        </is>
      </c>
      <c r="D2272" s="9" t="n">
        <v>25</v>
      </c>
      <c r="E2272" s="18" t="inlineStr">
        <is>
          <t>L</t>
        </is>
      </c>
      <c r="F2272" s="18" t="n"/>
      <c r="G2272" s="9" t="n">
        <v>33.54</v>
      </c>
      <c r="H2272" s="9" t="n">
        <v>33.54</v>
      </c>
      <c r="I2272" s="9" t="inlineStr">
        <is>
          <t>Depth (no MLB IP)</t>
        </is>
      </c>
      <c r="J2272" s="18" t="inlineStr">
        <is>
          <t>Opening Day</t>
        </is>
      </c>
      <c r="K2272" s="11">
        <f>IFERROR(INDEX(Roles!$B$17:$B$20,MATCH(J2272,Roles!$A$17:$A$20,0)),1)</f>
        <v/>
      </c>
      <c r="L2272" s="19" t="n">
        <v>1</v>
      </c>
      <c r="M2272" s="11" t="n">
        <v>1</v>
      </c>
      <c r="N2272" s="19" t="n"/>
      <c r="O2272" s="19" t="n"/>
      <c r="P2272" s="19" t="n"/>
      <c r="Q2272" s="19" t="n"/>
      <c r="R2272" s="19" t="n"/>
      <c r="S2272" s="19" t="n"/>
      <c r="T2272" s="19" t="n"/>
      <c r="U2272" s="19" t="n"/>
      <c r="V2272" s="19" t="n"/>
      <c r="W2272" s="19" t="n"/>
      <c r="X2272" s="19" t="n"/>
      <c r="Y2272" s="19" t="n">
        <v>1</v>
      </c>
      <c r="Z2272" s="13">
        <f>SUMPRODUCT(N2272:Y2272,$N$2:$Y$2)*$K2272*$L2272*$M2272</f>
        <v/>
      </c>
      <c r="AA2272" s="14">
        <f>SUM(N2272:Y2272)</f>
        <v/>
      </c>
      <c r="AB2272" s="13">
        <f>SUMPRODUCT(N2272:Y2272,$N$3:$Y$3)*$K2272*$L2272*$M2272</f>
        <v/>
      </c>
      <c r="AC2272" s="13">
        <f>SUMPRODUCT(N2272:Y2272,$N$4:$Y$4)*$K2272*$L2272*$M2272</f>
        <v/>
      </c>
      <c r="AD2272" s="15" t="n">
        <v>3</v>
      </c>
      <c r="AE2272" s="11" t="n">
        <v>1.011296296296296</v>
      </c>
      <c r="AF2272" s="16">
        <f>SUMPRODUCT(N2272:Y2272,$N$5:$Y$5)*$K2272*$L2272*$M2272</f>
        <v/>
      </c>
      <c r="AG2272" s="16">
        <f>SUMPRODUCT(N2272:Y2272,$N$6:$Y$6)*$K2272*$L2272*$M2272</f>
        <v/>
      </c>
      <c r="AH2272" s="20" t="n"/>
    </row>
    <row r="2273">
      <c r="A2273" s="9" t="n">
        <v>702314</v>
      </c>
      <c r="B2273" s="9" t="inlineStr">
        <is>
          <t>Sean Hermann</t>
        </is>
      </c>
      <c r="C2273" s="9" t="inlineStr">
        <is>
          <t>SEA</t>
        </is>
      </c>
      <c r="D2273" s="9" t="n">
        <v>25</v>
      </c>
      <c r="E2273" s="18" t="inlineStr">
        <is>
          <t>R</t>
        </is>
      </c>
      <c r="F2273" s="18" t="n"/>
      <c r="G2273" s="9" t="n">
        <v>33.54</v>
      </c>
      <c r="H2273" s="9" t="n">
        <v>33.54</v>
      </c>
      <c r="I2273" s="9" t="inlineStr">
        <is>
          <t>Depth (no MLB IP)</t>
        </is>
      </c>
      <c r="J2273" s="18" t="inlineStr">
        <is>
          <t>Opening Day</t>
        </is>
      </c>
      <c r="K2273" s="11">
        <f>IFERROR(INDEX(Roles!$B$17:$B$20,MATCH(J2273,Roles!$A$17:$A$20,0)),1)</f>
        <v/>
      </c>
      <c r="L2273" s="19" t="n">
        <v>1</v>
      </c>
      <c r="M2273" s="11" t="n">
        <v>1</v>
      </c>
      <c r="N2273" s="19" t="n"/>
      <c r="O2273" s="19" t="n"/>
      <c r="P2273" s="19" t="n"/>
      <c r="Q2273" s="19" t="n"/>
      <c r="R2273" s="19" t="n"/>
      <c r="S2273" s="19" t="n"/>
      <c r="T2273" s="19" t="n"/>
      <c r="U2273" s="19" t="n"/>
      <c r="V2273" s="19" t="n"/>
      <c r="W2273" s="19" t="n"/>
      <c r="X2273" s="19" t="n"/>
      <c r="Y2273" s="19" t="n">
        <v>1</v>
      </c>
      <c r="Z2273" s="13">
        <f>SUMPRODUCT(N2273:Y2273,$N$2:$Y$2)*$K2273*$L2273*$M2273</f>
        <v/>
      </c>
      <c r="AA2273" s="14">
        <f>SUM(N2273:Y2273)</f>
        <v/>
      </c>
      <c r="AB2273" s="13">
        <f>SUMPRODUCT(N2273:Y2273,$N$3:$Y$3)*$K2273*$L2273*$M2273</f>
        <v/>
      </c>
      <c r="AC2273" s="13">
        <f>SUMPRODUCT(N2273:Y2273,$N$4:$Y$4)*$K2273*$L2273*$M2273</f>
        <v/>
      </c>
      <c r="AD2273" s="15" t="n">
        <v>3</v>
      </c>
      <c r="AE2273" s="11" t="n">
        <v>1.011296296296296</v>
      </c>
      <c r="AF2273" s="16">
        <f>SUMPRODUCT(N2273:Y2273,$N$5:$Y$5)*$K2273*$L2273*$M2273</f>
        <v/>
      </c>
      <c r="AG2273" s="16">
        <f>SUMPRODUCT(N2273:Y2273,$N$6:$Y$6)*$K2273*$L2273*$M2273</f>
        <v/>
      </c>
      <c r="AH2273" s="20" t="n"/>
    </row>
    <row r="2274">
      <c r="A2274" s="9" t="n">
        <v>804465</v>
      </c>
      <c r="B2274" s="9" t="inlineStr">
        <is>
          <t>Riley Kelly</t>
        </is>
      </c>
      <c r="C2274" s="9" t="inlineStr">
        <is>
          <t>COL</t>
        </is>
      </c>
      <c r="D2274" s="9" t="n">
        <v>25</v>
      </c>
      <c r="E2274" s="18" t="inlineStr">
        <is>
          <t>R</t>
        </is>
      </c>
      <c r="F2274" s="18" t="n"/>
      <c r="G2274" s="9" t="n">
        <v>33.54</v>
      </c>
      <c r="H2274" s="9" t="n">
        <v>33.54</v>
      </c>
      <c r="I2274" s="9" t="inlineStr">
        <is>
          <t>Depth (no MLB IP)</t>
        </is>
      </c>
      <c r="J2274" s="18" t="inlineStr">
        <is>
          <t>Opening Day</t>
        </is>
      </c>
      <c r="K2274" s="11">
        <f>IFERROR(INDEX(Roles!$B$17:$B$20,MATCH(J2274,Roles!$A$17:$A$20,0)),1)</f>
        <v/>
      </c>
      <c r="L2274" s="19" t="n">
        <v>1</v>
      </c>
      <c r="M2274" s="11" t="n">
        <v>1</v>
      </c>
      <c r="N2274" s="19" t="n"/>
      <c r="O2274" s="19" t="n"/>
      <c r="P2274" s="19" t="n"/>
      <c r="Q2274" s="19" t="n"/>
      <c r="R2274" s="19" t="n"/>
      <c r="S2274" s="19" t="n"/>
      <c r="T2274" s="19" t="n"/>
      <c r="U2274" s="19" t="n"/>
      <c r="V2274" s="19" t="n"/>
      <c r="W2274" s="19" t="n"/>
      <c r="X2274" s="19" t="n"/>
      <c r="Y2274" s="19" t="n">
        <v>1</v>
      </c>
      <c r="Z2274" s="13">
        <f>SUMPRODUCT(N2274:Y2274,$N$2:$Y$2)*$K2274*$L2274*$M2274</f>
        <v/>
      </c>
      <c r="AA2274" s="14">
        <f>SUM(N2274:Y2274)</f>
        <v/>
      </c>
      <c r="AB2274" s="13">
        <f>SUMPRODUCT(N2274:Y2274,$N$3:$Y$3)*$K2274*$L2274*$M2274</f>
        <v/>
      </c>
      <c r="AC2274" s="13">
        <f>SUMPRODUCT(N2274:Y2274,$N$4:$Y$4)*$K2274*$L2274*$M2274</f>
        <v/>
      </c>
      <c r="AD2274" s="15" t="n">
        <v>3</v>
      </c>
      <c r="AE2274" s="11" t="n">
        <v>1.011296296296296</v>
      </c>
      <c r="AF2274" s="16">
        <f>SUMPRODUCT(N2274:Y2274,$N$5:$Y$5)*$K2274*$L2274*$M2274</f>
        <v/>
      </c>
      <c r="AG2274" s="16">
        <f>SUMPRODUCT(N2274:Y2274,$N$6:$Y$6)*$K2274*$L2274*$M2274</f>
        <v/>
      </c>
      <c r="AH2274" s="20" t="n"/>
    </row>
    <row r="2275">
      <c r="A2275" s="9" t="n">
        <v>686544</v>
      </c>
      <c r="B2275" s="9" t="inlineStr">
        <is>
          <t>Nestor Lorant</t>
        </is>
      </c>
      <c r="C2275" s="9" t="inlineStr">
        <is>
          <t>CIN</t>
        </is>
      </c>
      <c r="D2275" s="9" t="n">
        <v>25</v>
      </c>
      <c r="E2275" s="18" t="inlineStr">
        <is>
          <t>R</t>
        </is>
      </c>
      <c r="F2275" s="18" t="n"/>
      <c r="G2275" s="9" t="n">
        <v>33.61166666666666</v>
      </c>
      <c r="H2275" s="9" t="n">
        <v>33.61166666666666</v>
      </c>
      <c r="I2275" s="9" t="inlineStr">
        <is>
          <t>Depth (no MLB IP)</t>
        </is>
      </c>
      <c r="J2275" s="18" t="inlineStr">
        <is>
          <t>Opening Day</t>
        </is>
      </c>
      <c r="K2275" s="11">
        <f>IFERROR(INDEX(Roles!$B$17:$B$20,MATCH(J2275,Roles!$A$17:$A$20,0)),1)</f>
        <v/>
      </c>
      <c r="L2275" s="19" t="n">
        <v>1</v>
      </c>
      <c r="M2275" s="11" t="n">
        <v>1</v>
      </c>
      <c r="N2275" s="19" t="n"/>
      <c r="O2275" s="19" t="n"/>
      <c r="P2275" s="19" t="n"/>
      <c r="Q2275" s="19" t="n"/>
      <c r="R2275" s="19" t="n"/>
      <c r="S2275" s="19" t="n"/>
      <c r="T2275" s="19" t="n"/>
      <c r="U2275" s="19" t="n"/>
      <c r="V2275" s="19" t="n"/>
      <c r="W2275" s="19" t="n"/>
      <c r="X2275" s="19" t="n"/>
      <c r="Y2275" s="19" t="n">
        <v>1</v>
      </c>
      <c r="Z2275" s="13">
        <f>SUMPRODUCT(N2275:Y2275,$N$2:$Y$2)*$K2275*$L2275*$M2275</f>
        <v/>
      </c>
      <c r="AA2275" s="14">
        <f>SUM(N2275:Y2275)</f>
        <v/>
      </c>
      <c r="AB2275" s="13">
        <f>SUMPRODUCT(N2275:Y2275,$N$3:$Y$3)*$K2275*$L2275*$M2275</f>
        <v/>
      </c>
      <c r="AC2275" s="13">
        <f>SUMPRODUCT(N2275:Y2275,$N$4:$Y$4)*$K2275*$L2275*$M2275</f>
        <v/>
      </c>
      <c r="AD2275" s="15" t="n">
        <v>3</v>
      </c>
      <c r="AE2275" s="11" t="n">
        <v>1.011296296296296</v>
      </c>
      <c r="AF2275" s="16">
        <f>SUMPRODUCT(N2275:Y2275,$N$5:$Y$5)*$K2275*$L2275*$M2275</f>
        <v/>
      </c>
      <c r="AG2275" s="16">
        <f>SUMPRODUCT(N2275:Y2275,$N$6:$Y$6)*$K2275*$L2275*$M2275</f>
        <v/>
      </c>
      <c r="AH2275" s="20" t="n"/>
    </row>
    <row r="2276">
      <c r="A2276" s="9" t="n">
        <v>823671</v>
      </c>
      <c r="B2276" s="9" t="inlineStr">
        <is>
          <t>Mitch Mueller</t>
        </is>
      </c>
      <c r="C2276" s="9" t="inlineStr">
        <is>
          <t>MIN</t>
        </is>
      </c>
      <c r="D2276" s="9" t="n">
        <v>25</v>
      </c>
      <c r="E2276" s="18" t="inlineStr">
        <is>
          <t>R</t>
        </is>
      </c>
      <c r="F2276" s="18" t="n"/>
      <c r="G2276" s="9" t="n">
        <v>33.61166666666666</v>
      </c>
      <c r="H2276" s="9" t="n">
        <v>33.61166666666666</v>
      </c>
      <c r="I2276" s="9" t="inlineStr">
        <is>
          <t>Depth (no MLB IP)</t>
        </is>
      </c>
      <c r="J2276" s="18" t="inlineStr">
        <is>
          <t>Opening Day</t>
        </is>
      </c>
      <c r="K2276" s="11">
        <f>IFERROR(INDEX(Roles!$B$17:$B$20,MATCH(J2276,Roles!$A$17:$A$20,0)),1)</f>
        <v/>
      </c>
      <c r="L2276" s="19" t="n">
        <v>1</v>
      </c>
      <c r="M2276" s="11" t="n">
        <v>1</v>
      </c>
      <c r="N2276" s="19" t="n"/>
      <c r="O2276" s="19" t="n"/>
      <c r="P2276" s="19" t="n"/>
      <c r="Q2276" s="19" t="n"/>
      <c r="R2276" s="19" t="n"/>
      <c r="S2276" s="19" t="n"/>
      <c r="T2276" s="19" t="n"/>
      <c r="U2276" s="19" t="n"/>
      <c r="V2276" s="19" t="n"/>
      <c r="W2276" s="19" t="n"/>
      <c r="X2276" s="19" t="n"/>
      <c r="Y2276" s="19" t="n">
        <v>1</v>
      </c>
      <c r="Z2276" s="13">
        <f>SUMPRODUCT(N2276:Y2276,$N$2:$Y$2)*$K2276*$L2276*$M2276</f>
        <v/>
      </c>
      <c r="AA2276" s="14">
        <f>SUM(N2276:Y2276)</f>
        <v/>
      </c>
      <c r="AB2276" s="13">
        <f>SUMPRODUCT(N2276:Y2276,$N$3:$Y$3)*$K2276*$L2276*$M2276</f>
        <v/>
      </c>
      <c r="AC2276" s="13">
        <f>SUMPRODUCT(N2276:Y2276,$N$4:$Y$4)*$K2276*$L2276*$M2276</f>
        <v/>
      </c>
      <c r="AD2276" s="15" t="n">
        <v>3</v>
      </c>
      <c r="AE2276" s="11" t="n">
        <v>1.011296296296296</v>
      </c>
      <c r="AF2276" s="16">
        <f>SUMPRODUCT(N2276:Y2276,$N$5:$Y$5)*$K2276*$L2276*$M2276</f>
        <v/>
      </c>
      <c r="AG2276" s="16">
        <f>SUMPRODUCT(N2276:Y2276,$N$6:$Y$6)*$K2276*$L2276*$M2276</f>
        <v/>
      </c>
      <c r="AH2276" s="20" t="n"/>
    </row>
    <row r="2277">
      <c r="A2277" s="9" t="n">
        <v>656290</v>
      </c>
      <c r="B2277" s="9" t="inlineStr">
        <is>
          <t>Drew Carlton</t>
        </is>
      </c>
      <c r="C2277" s="9" t="inlineStr">
        <is>
          <t>SD</t>
        </is>
      </c>
      <c r="D2277" s="9" t="n">
        <v>31</v>
      </c>
      <c r="E2277" s="18" t="inlineStr">
        <is>
          <t>R</t>
        </is>
      </c>
      <c r="F2277" s="18" t="n"/>
      <c r="G2277" s="9" t="n">
        <v>85</v>
      </c>
      <c r="H2277" s="9" t="n">
        <v>117</v>
      </c>
      <c r="I2277" s="9" t="inlineStr">
        <is>
          <t>Depth (no MLB IP)</t>
        </is>
      </c>
      <c r="J2277" s="18" t="inlineStr">
        <is>
          <t>Opening Day</t>
        </is>
      </c>
      <c r="K2277" s="11">
        <f>IFERROR(INDEX(Roles!$B$17:$B$20,MATCH(J2277,Roles!$A$17:$A$20,0)),1)</f>
        <v/>
      </c>
      <c r="L2277" s="19" t="n">
        <v>1</v>
      </c>
      <c r="M2277" s="11" t="n">
        <v>1</v>
      </c>
      <c r="N2277" s="19" t="n"/>
      <c r="O2277" s="19" t="n"/>
      <c r="P2277" s="19" t="n"/>
      <c r="Q2277" s="19" t="n"/>
      <c r="R2277" s="19" t="n"/>
      <c r="S2277" s="19" t="n"/>
      <c r="T2277" s="19" t="n"/>
      <c r="U2277" s="19" t="n"/>
      <c r="V2277" s="19" t="n"/>
      <c r="W2277" s="19" t="n"/>
      <c r="X2277" s="19" t="n"/>
      <c r="Y2277" s="19" t="n">
        <v>1</v>
      </c>
      <c r="Z2277" s="13">
        <f>SUMPRODUCT(N2277:Y2277,$N$2:$Y$2)*$K2277*$L2277*$M2277</f>
        <v/>
      </c>
      <c r="AA2277" s="14">
        <f>SUM(N2277:Y2277)</f>
        <v/>
      </c>
      <c r="AB2277" s="13">
        <f>SUMPRODUCT(N2277:Y2277,$N$3:$Y$3)*$K2277*$L2277*$M2277</f>
        <v/>
      </c>
      <c r="AC2277" s="13">
        <f>SUMPRODUCT(N2277:Y2277,$N$4:$Y$4)*$K2277*$L2277*$M2277</f>
        <v/>
      </c>
      <c r="AD2277" s="15" t="n">
        <v>3</v>
      </c>
      <c r="AE2277" s="11" t="n">
        <v>1.011296296296296</v>
      </c>
      <c r="AF2277" s="16">
        <f>SUMPRODUCT(N2277:Y2277,$N$5:$Y$5)*$K2277*$L2277*$M2277</f>
        <v/>
      </c>
      <c r="AG2277" s="16">
        <f>SUMPRODUCT(N2277:Y2277,$N$6:$Y$6)*$K2277*$L2277*$M2277</f>
        <v/>
      </c>
      <c r="AH2277" s="20" t="n"/>
    </row>
    <row r="2278">
      <c r="A2278" s="9" t="n">
        <v>605463</v>
      </c>
      <c r="B2278" s="9" t="inlineStr">
        <is>
          <t>Tayler Scott</t>
        </is>
      </c>
      <c r="C2278" s="9" t="inlineStr">
        <is>
          <t>HOU</t>
        </is>
      </c>
      <c r="D2278" s="9" t="n">
        <v>35</v>
      </c>
      <c r="E2278" s="18" t="inlineStr">
        <is>
          <t>R</t>
        </is>
      </c>
      <c r="F2278" s="18" t="n"/>
      <c r="G2278" s="9" t="n">
        <v>134</v>
      </c>
      <c r="H2278" s="9" t="n">
        <v>563</v>
      </c>
      <c r="I2278" s="9" t="inlineStr">
        <is>
          <t>Bullpen Depth Arm</t>
        </is>
      </c>
      <c r="J2278" s="18" t="inlineStr">
        <is>
          <t>Opening Day</t>
        </is>
      </c>
      <c r="K2278" s="11">
        <f>IFERROR(INDEX(Roles!$B$17:$B$20,MATCH(J2278,Roles!$A$17:$A$20,0)),1)</f>
        <v/>
      </c>
      <c r="L2278" s="19" t="n">
        <v>1</v>
      </c>
      <c r="M2278" s="11" t="n">
        <v>1</v>
      </c>
      <c r="N2278" s="19" t="n"/>
      <c r="O2278" s="19" t="n"/>
      <c r="P2278" s="19" t="n"/>
      <c r="Q2278" s="19" t="n"/>
      <c r="R2278" s="19" t="n"/>
      <c r="S2278" s="19" t="n"/>
      <c r="T2278" s="19" t="n"/>
      <c r="U2278" s="19" t="n"/>
      <c r="V2278" s="19" t="n"/>
      <c r="W2278" s="19" t="n">
        <v>1</v>
      </c>
      <c r="X2278" s="19" t="n"/>
      <c r="Y2278" s="19" t="n"/>
      <c r="Z2278" s="13">
        <f>SUMPRODUCT(N2278:Y2278,$N$2:$Y$2)*$K2278*$L2278*$M2278</f>
        <v/>
      </c>
      <c r="AA2278" s="14">
        <f>SUM(N2278:Y2278)</f>
        <v/>
      </c>
      <c r="AB2278" s="13">
        <f>SUMPRODUCT(N2278:Y2278,$N$3:$Y$3)*$K2278*$L2278*$M2278</f>
        <v/>
      </c>
      <c r="AC2278" s="13">
        <f>SUMPRODUCT(N2278:Y2278,$N$4:$Y$4)*$K2278*$L2278*$M2278</f>
        <v/>
      </c>
      <c r="AD2278" s="15" t="n">
        <v>27.66666666666667</v>
      </c>
      <c r="AE2278" s="11" t="n">
        <v>1.175244508577842</v>
      </c>
      <c r="AF2278" s="16">
        <f>SUMPRODUCT(N2278:Y2278,$N$5:$Y$5)*$K2278*$L2278*$M2278</f>
        <v/>
      </c>
      <c r="AG2278" s="16">
        <f>SUMPRODUCT(N2278:Y2278,$N$6:$Y$6)*$K2278*$L2278*$M2278</f>
        <v/>
      </c>
      <c r="AH2278" s="20" t="n"/>
    </row>
    <row r="2279">
      <c r="A2279" s="9" t="n">
        <v>823756</v>
      </c>
      <c r="B2279" s="9" t="inlineStr">
        <is>
          <t>Ryan DeSanto</t>
        </is>
      </c>
      <c r="C2279" s="9" t="inlineStr">
        <is>
          <t>CLE</t>
        </is>
      </c>
      <c r="D2279" s="9" t="n">
        <v>25</v>
      </c>
      <c r="E2279" s="18" t="inlineStr">
        <is>
          <t>L</t>
        </is>
      </c>
      <c r="F2279" s="18" t="n"/>
      <c r="G2279" s="9" t="n">
        <v>33.884</v>
      </c>
      <c r="H2279" s="9" t="n">
        <v>33.884</v>
      </c>
      <c r="I2279" s="9" t="inlineStr">
        <is>
          <t>Depth (no MLB IP)</t>
        </is>
      </c>
      <c r="J2279" s="18" t="inlineStr">
        <is>
          <t>Opening Day</t>
        </is>
      </c>
      <c r="K2279" s="11">
        <f>IFERROR(INDEX(Roles!$B$17:$B$20,MATCH(J2279,Roles!$A$17:$A$20,0)),1)</f>
        <v/>
      </c>
      <c r="L2279" s="19" t="n">
        <v>1</v>
      </c>
      <c r="M2279" s="11" t="n">
        <v>1</v>
      </c>
      <c r="N2279" s="19" t="n"/>
      <c r="O2279" s="19" t="n"/>
      <c r="P2279" s="19" t="n"/>
      <c r="Q2279" s="19" t="n"/>
      <c r="R2279" s="19" t="n"/>
      <c r="S2279" s="19" t="n"/>
      <c r="T2279" s="19" t="n"/>
      <c r="U2279" s="19" t="n"/>
      <c r="V2279" s="19" t="n"/>
      <c r="W2279" s="19" t="n"/>
      <c r="X2279" s="19" t="n"/>
      <c r="Y2279" s="19" t="n">
        <v>1</v>
      </c>
      <c r="Z2279" s="13">
        <f>SUMPRODUCT(N2279:Y2279,$N$2:$Y$2)*$K2279*$L2279*$M2279</f>
        <v/>
      </c>
      <c r="AA2279" s="14">
        <f>SUM(N2279:Y2279)</f>
        <v/>
      </c>
      <c r="AB2279" s="13">
        <f>SUMPRODUCT(N2279:Y2279,$N$3:$Y$3)*$K2279*$L2279*$M2279</f>
        <v/>
      </c>
      <c r="AC2279" s="13">
        <f>SUMPRODUCT(N2279:Y2279,$N$4:$Y$4)*$K2279*$L2279*$M2279</f>
        <v/>
      </c>
      <c r="AD2279" s="15" t="n">
        <v>3</v>
      </c>
      <c r="AE2279" s="11" t="n">
        <v>1.011296296296296</v>
      </c>
      <c r="AF2279" s="16">
        <f>SUMPRODUCT(N2279:Y2279,$N$5:$Y$5)*$K2279*$L2279*$M2279</f>
        <v/>
      </c>
      <c r="AG2279" s="16">
        <f>SUMPRODUCT(N2279:Y2279,$N$6:$Y$6)*$K2279*$L2279*$M2279</f>
        <v/>
      </c>
      <c r="AH2279" s="20" t="n"/>
    </row>
    <row r="2280">
      <c r="A2280" s="9" t="n">
        <v>694781</v>
      </c>
      <c r="B2280" s="9" t="inlineStr">
        <is>
          <t>Logan Mercado</t>
        </is>
      </c>
      <c r="C2280" s="9" t="inlineStr">
        <is>
          <t>ARI</t>
        </is>
      </c>
      <c r="D2280" s="9" t="n">
        <v>25</v>
      </c>
      <c r="E2280" s="18" t="inlineStr">
        <is>
          <t>R</t>
        </is>
      </c>
      <c r="F2280" s="18" t="n"/>
      <c r="G2280" s="9" t="n">
        <v>33.89833333333333</v>
      </c>
      <c r="H2280" s="9" t="n">
        <v>33.89833333333333</v>
      </c>
      <c r="I2280" s="9" t="inlineStr">
        <is>
          <t>Depth (no MLB IP)</t>
        </is>
      </c>
      <c r="J2280" s="18" t="inlineStr">
        <is>
          <t>Opening Day</t>
        </is>
      </c>
      <c r="K2280" s="11">
        <f>IFERROR(INDEX(Roles!$B$17:$B$20,MATCH(J2280,Roles!$A$17:$A$20,0)),1)</f>
        <v/>
      </c>
      <c r="L2280" s="19" t="n">
        <v>1</v>
      </c>
      <c r="M2280" s="11" t="n">
        <v>1</v>
      </c>
      <c r="N2280" s="19" t="n"/>
      <c r="O2280" s="19" t="n"/>
      <c r="P2280" s="19" t="n"/>
      <c r="Q2280" s="19" t="n"/>
      <c r="R2280" s="19" t="n"/>
      <c r="S2280" s="19" t="n"/>
      <c r="T2280" s="19" t="n"/>
      <c r="U2280" s="19" t="n"/>
      <c r="V2280" s="19" t="n"/>
      <c r="W2280" s="19" t="n"/>
      <c r="X2280" s="19" t="n"/>
      <c r="Y2280" s="19" t="n">
        <v>1</v>
      </c>
      <c r="Z2280" s="13">
        <f>SUMPRODUCT(N2280:Y2280,$N$2:$Y$2)*$K2280*$L2280*$M2280</f>
        <v/>
      </c>
      <c r="AA2280" s="14">
        <f>SUM(N2280:Y2280)</f>
        <v/>
      </c>
      <c r="AB2280" s="13">
        <f>SUMPRODUCT(N2280:Y2280,$N$3:$Y$3)*$K2280*$L2280*$M2280</f>
        <v/>
      </c>
      <c r="AC2280" s="13">
        <f>SUMPRODUCT(N2280:Y2280,$N$4:$Y$4)*$K2280*$L2280*$M2280</f>
        <v/>
      </c>
      <c r="AD2280" s="15" t="n">
        <v>3</v>
      </c>
      <c r="AE2280" s="11" t="n">
        <v>1.011296296296296</v>
      </c>
      <c r="AF2280" s="16">
        <f>SUMPRODUCT(N2280:Y2280,$N$5:$Y$5)*$K2280*$L2280*$M2280</f>
        <v/>
      </c>
      <c r="AG2280" s="16">
        <f>SUMPRODUCT(N2280:Y2280,$N$6:$Y$6)*$K2280*$L2280*$M2280</f>
        <v/>
      </c>
      <c r="AH2280" s="20" t="n"/>
    </row>
    <row r="2281">
      <c r="A2281" s="9" t="n">
        <v>700421</v>
      </c>
      <c r="B2281" s="9" t="inlineStr">
        <is>
          <t>Gabriel Rodriguez</t>
        </is>
      </c>
      <c r="C2281" s="9" t="inlineStr">
        <is>
          <t>CWS</t>
        </is>
      </c>
      <c r="D2281" s="9" t="n">
        <v>25</v>
      </c>
      <c r="E2281" s="18" t="inlineStr">
        <is>
          <t>R</t>
        </is>
      </c>
      <c r="F2281" s="18" t="n"/>
      <c r="G2281" s="9" t="n">
        <v>33.884</v>
      </c>
      <c r="H2281" s="9" t="n">
        <v>33.884</v>
      </c>
      <c r="I2281" s="9" t="inlineStr">
        <is>
          <t>Depth (no MLB IP)</t>
        </is>
      </c>
      <c r="J2281" s="18" t="inlineStr">
        <is>
          <t>Opening Day</t>
        </is>
      </c>
      <c r="K2281" s="11">
        <f>IFERROR(INDEX(Roles!$B$17:$B$20,MATCH(J2281,Roles!$A$17:$A$20,0)),1)</f>
        <v/>
      </c>
      <c r="L2281" s="19" t="n">
        <v>1</v>
      </c>
      <c r="M2281" s="11" t="n">
        <v>1</v>
      </c>
      <c r="N2281" s="19" t="n"/>
      <c r="O2281" s="19" t="n"/>
      <c r="P2281" s="19" t="n"/>
      <c r="Q2281" s="19" t="n"/>
      <c r="R2281" s="19" t="n"/>
      <c r="S2281" s="19" t="n"/>
      <c r="T2281" s="19" t="n"/>
      <c r="U2281" s="19" t="n"/>
      <c r="V2281" s="19" t="n"/>
      <c r="W2281" s="19" t="n"/>
      <c r="X2281" s="19" t="n"/>
      <c r="Y2281" s="19" t="n">
        <v>1</v>
      </c>
      <c r="Z2281" s="13">
        <f>SUMPRODUCT(N2281:Y2281,$N$2:$Y$2)*$K2281*$L2281*$M2281</f>
        <v/>
      </c>
      <c r="AA2281" s="14">
        <f>SUM(N2281:Y2281)</f>
        <v/>
      </c>
      <c r="AB2281" s="13">
        <f>SUMPRODUCT(N2281:Y2281,$N$3:$Y$3)*$K2281*$L2281*$M2281</f>
        <v/>
      </c>
      <c r="AC2281" s="13">
        <f>SUMPRODUCT(N2281:Y2281,$N$4:$Y$4)*$K2281*$L2281*$M2281</f>
        <v/>
      </c>
      <c r="AD2281" s="15" t="n">
        <v>3</v>
      </c>
      <c r="AE2281" s="11" t="n">
        <v>1.011296296296296</v>
      </c>
      <c r="AF2281" s="16">
        <f>SUMPRODUCT(N2281:Y2281,$N$5:$Y$5)*$K2281*$L2281*$M2281</f>
        <v/>
      </c>
      <c r="AG2281" s="16">
        <f>SUMPRODUCT(N2281:Y2281,$N$6:$Y$6)*$K2281*$L2281*$M2281</f>
        <v/>
      </c>
      <c r="AH2281" s="20" t="n"/>
    </row>
    <row r="2282">
      <c r="A2282" s="9" t="n">
        <v>678738</v>
      </c>
      <c r="B2282" s="9" t="inlineStr">
        <is>
          <t>Juan Sanchez</t>
        </is>
      </c>
      <c r="C2282" s="9" t="inlineStr">
        <is>
          <t>SF</t>
        </is>
      </c>
      <c r="D2282" s="9" t="n">
        <v>25</v>
      </c>
      <c r="E2282" s="18" t="inlineStr">
        <is>
          <t>L</t>
        </is>
      </c>
      <c r="F2282" s="18" t="n"/>
      <c r="G2282" s="9" t="n">
        <v>33.89833333333333</v>
      </c>
      <c r="H2282" s="9" t="n">
        <v>33.89833333333333</v>
      </c>
      <c r="I2282" s="9" t="inlineStr">
        <is>
          <t>Depth (no MLB IP)</t>
        </is>
      </c>
      <c r="J2282" s="18" t="inlineStr">
        <is>
          <t>Opening Day</t>
        </is>
      </c>
      <c r="K2282" s="11">
        <f>IFERROR(INDEX(Roles!$B$17:$B$20,MATCH(J2282,Roles!$A$17:$A$20,0)),1)</f>
        <v/>
      </c>
      <c r="L2282" s="19" t="n">
        <v>1</v>
      </c>
      <c r="M2282" s="11" t="n">
        <v>1</v>
      </c>
      <c r="N2282" s="19" t="n"/>
      <c r="O2282" s="19" t="n"/>
      <c r="P2282" s="19" t="n"/>
      <c r="Q2282" s="19" t="n"/>
      <c r="R2282" s="19" t="n"/>
      <c r="S2282" s="19" t="n"/>
      <c r="T2282" s="19" t="n"/>
      <c r="U2282" s="19" t="n"/>
      <c r="V2282" s="19" t="n"/>
      <c r="W2282" s="19" t="n"/>
      <c r="X2282" s="19" t="n"/>
      <c r="Y2282" s="19" t="n">
        <v>1</v>
      </c>
      <c r="Z2282" s="13">
        <f>SUMPRODUCT(N2282:Y2282,$N$2:$Y$2)*$K2282*$L2282*$M2282</f>
        <v/>
      </c>
      <c r="AA2282" s="14">
        <f>SUM(N2282:Y2282)</f>
        <v/>
      </c>
      <c r="AB2282" s="13">
        <f>SUMPRODUCT(N2282:Y2282,$N$3:$Y$3)*$K2282*$L2282*$M2282</f>
        <v/>
      </c>
      <c r="AC2282" s="13">
        <f>SUMPRODUCT(N2282:Y2282,$N$4:$Y$4)*$K2282*$L2282*$M2282</f>
        <v/>
      </c>
      <c r="AD2282" s="15" t="n">
        <v>3</v>
      </c>
      <c r="AE2282" s="11" t="n">
        <v>1.011296296296296</v>
      </c>
      <c r="AF2282" s="16">
        <f>SUMPRODUCT(N2282:Y2282,$N$5:$Y$5)*$K2282*$L2282*$M2282</f>
        <v/>
      </c>
      <c r="AG2282" s="16">
        <f>SUMPRODUCT(N2282:Y2282,$N$6:$Y$6)*$K2282*$L2282*$M2282</f>
        <v/>
      </c>
      <c r="AH2282" s="20" t="n"/>
    </row>
    <row r="2283">
      <c r="A2283" s="9" t="n">
        <v>670391</v>
      </c>
      <c r="B2283" s="9" t="inlineStr">
        <is>
          <t>Ben Anderson</t>
        </is>
      </c>
      <c r="C2283" s="9" t="inlineStr">
        <is>
          <t>TEX</t>
        </is>
      </c>
      <c r="D2283" s="9" t="n">
        <v>25</v>
      </c>
      <c r="E2283" s="18" t="inlineStr">
        <is>
          <t>R</t>
        </is>
      </c>
      <c r="F2283" s="18" t="n"/>
      <c r="G2283" s="9" t="n">
        <v>33.89833333333333</v>
      </c>
      <c r="H2283" s="9" t="n">
        <v>33.89833333333333</v>
      </c>
      <c r="I2283" s="9" t="inlineStr">
        <is>
          <t>Depth (no MLB IP)</t>
        </is>
      </c>
      <c r="J2283" s="18" t="inlineStr">
        <is>
          <t>Opening Day</t>
        </is>
      </c>
      <c r="K2283" s="11">
        <f>IFERROR(INDEX(Roles!$B$17:$B$20,MATCH(J2283,Roles!$A$17:$A$20,0)),1)</f>
        <v/>
      </c>
      <c r="L2283" s="19" t="n">
        <v>1</v>
      </c>
      <c r="M2283" s="11" t="n">
        <v>1</v>
      </c>
      <c r="N2283" s="19" t="n"/>
      <c r="O2283" s="19" t="n"/>
      <c r="P2283" s="19" t="n"/>
      <c r="Q2283" s="19" t="n"/>
      <c r="R2283" s="19" t="n"/>
      <c r="S2283" s="19" t="n"/>
      <c r="T2283" s="19" t="n"/>
      <c r="U2283" s="19" t="n"/>
      <c r="V2283" s="19" t="n"/>
      <c r="W2283" s="19" t="n"/>
      <c r="X2283" s="19" t="n"/>
      <c r="Y2283" s="19" t="n">
        <v>1</v>
      </c>
      <c r="Z2283" s="13">
        <f>SUMPRODUCT(N2283:Y2283,$N$2:$Y$2)*$K2283*$L2283*$M2283</f>
        <v/>
      </c>
      <c r="AA2283" s="14">
        <f>SUM(N2283:Y2283)</f>
        <v/>
      </c>
      <c r="AB2283" s="13">
        <f>SUMPRODUCT(N2283:Y2283,$N$3:$Y$3)*$K2283*$L2283*$M2283</f>
        <v/>
      </c>
      <c r="AC2283" s="13">
        <f>SUMPRODUCT(N2283:Y2283,$N$4:$Y$4)*$K2283*$L2283*$M2283</f>
        <v/>
      </c>
      <c r="AD2283" s="15" t="n">
        <v>3</v>
      </c>
      <c r="AE2283" s="11" t="n">
        <v>1.011296296296296</v>
      </c>
      <c r="AF2283" s="16">
        <f>SUMPRODUCT(N2283:Y2283,$N$5:$Y$5)*$K2283*$L2283*$M2283</f>
        <v/>
      </c>
      <c r="AG2283" s="16">
        <f>SUMPRODUCT(N2283:Y2283,$N$6:$Y$6)*$K2283*$L2283*$M2283</f>
        <v/>
      </c>
      <c r="AH2283" s="20" t="n"/>
    </row>
    <row r="2284">
      <c r="A2284" s="9" t="n">
        <v>690206</v>
      </c>
      <c r="B2284" s="9" t="inlineStr">
        <is>
          <t>Anthony Simonelli</t>
        </is>
      </c>
      <c r="C2284" s="9" t="inlineStr">
        <is>
          <t>KC</t>
        </is>
      </c>
      <c r="D2284" s="9" t="n">
        <v>25</v>
      </c>
      <c r="E2284" s="18" t="inlineStr">
        <is>
          <t>R</t>
        </is>
      </c>
      <c r="F2284" s="18" t="n"/>
      <c r="G2284" s="9" t="n">
        <v>34.11333333333333</v>
      </c>
      <c r="H2284" s="9" t="n">
        <v>34.11333333333333</v>
      </c>
      <c r="I2284" s="9" t="inlineStr">
        <is>
          <t>Depth (no MLB IP)</t>
        </is>
      </c>
      <c r="J2284" s="18" t="inlineStr">
        <is>
          <t>Opening Day</t>
        </is>
      </c>
      <c r="K2284" s="11">
        <f>IFERROR(INDEX(Roles!$B$17:$B$20,MATCH(J2284,Roles!$A$17:$A$20,0)),1)</f>
        <v/>
      </c>
      <c r="L2284" s="19" t="n">
        <v>1</v>
      </c>
      <c r="M2284" s="11" t="n">
        <v>1</v>
      </c>
      <c r="N2284" s="19" t="n"/>
      <c r="O2284" s="19" t="n"/>
      <c r="P2284" s="19" t="n"/>
      <c r="Q2284" s="19" t="n"/>
      <c r="R2284" s="19" t="n"/>
      <c r="S2284" s="19" t="n"/>
      <c r="T2284" s="19" t="n"/>
      <c r="U2284" s="19" t="n"/>
      <c r="V2284" s="19" t="n"/>
      <c r="W2284" s="19" t="n"/>
      <c r="X2284" s="19" t="n"/>
      <c r="Y2284" s="19" t="n">
        <v>1</v>
      </c>
      <c r="Z2284" s="13">
        <f>SUMPRODUCT(N2284:Y2284,$N$2:$Y$2)*$K2284*$L2284*$M2284</f>
        <v/>
      </c>
      <c r="AA2284" s="14">
        <f>SUM(N2284:Y2284)</f>
        <v/>
      </c>
      <c r="AB2284" s="13">
        <f>SUMPRODUCT(N2284:Y2284,$N$3:$Y$3)*$K2284*$L2284*$M2284</f>
        <v/>
      </c>
      <c r="AC2284" s="13">
        <f>SUMPRODUCT(N2284:Y2284,$N$4:$Y$4)*$K2284*$L2284*$M2284</f>
        <v/>
      </c>
      <c r="AD2284" s="15" t="n">
        <v>3</v>
      </c>
      <c r="AE2284" s="11" t="n">
        <v>1.011296296296296</v>
      </c>
      <c r="AF2284" s="16">
        <f>SUMPRODUCT(N2284:Y2284,$N$5:$Y$5)*$K2284*$L2284*$M2284</f>
        <v/>
      </c>
      <c r="AG2284" s="16">
        <f>SUMPRODUCT(N2284:Y2284,$N$6:$Y$6)*$K2284*$L2284*$M2284</f>
        <v/>
      </c>
      <c r="AH2284" s="20" t="n"/>
    </row>
    <row r="2285">
      <c r="A2285" s="9" t="n">
        <v>680212</v>
      </c>
      <c r="B2285" s="9" t="inlineStr">
        <is>
          <t>Conor Larkin</t>
        </is>
      </c>
      <c r="C2285" s="9" t="inlineStr">
        <is>
          <t>TOR</t>
        </is>
      </c>
      <c r="D2285" s="9" t="n">
        <v>25</v>
      </c>
      <c r="E2285" s="18" t="inlineStr">
        <is>
          <t>R</t>
        </is>
      </c>
      <c r="F2285" s="18" t="n"/>
      <c r="G2285" s="9" t="n">
        <v>33.89833333333333</v>
      </c>
      <c r="H2285" s="9" t="n">
        <v>33.89833333333333</v>
      </c>
      <c r="I2285" s="9" t="inlineStr">
        <is>
          <t>Depth (no MLB IP)</t>
        </is>
      </c>
      <c r="J2285" s="18" t="inlineStr">
        <is>
          <t>Opening Day</t>
        </is>
      </c>
      <c r="K2285" s="11">
        <f>IFERROR(INDEX(Roles!$B$17:$B$20,MATCH(J2285,Roles!$A$17:$A$20,0)),1)</f>
        <v/>
      </c>
      <c r="L2285" s="19" t="n">
        <v>1</v>
      </c>
      <c r="M2285" s="11" t="n">
        <v>1</v>
      </c>
      <c r="N2285" s="19" t="n"/>
      <c r="O2285" s="19" t="n"/>
      <c r="P2285" s="19" t="n"/>
      <c r="Q2285" s="19" t="n"/>
      <c r="R2285" s="19" t="n"/>
      <c r="S2285" s="19" t="n"/>
      <c r="T2285" s="19" t="n"/>
      <c r="U2285" s="19" t="n"/>
      <c r="V2285" s="19" t="n"/>
      <c r="W2285" s="19" t="n"/>
      <c r="X2285" s="19" t="n"/>
      <c r="Y2285" s="19" t="n">
        <v>1</v>
      </c>
      <c r="Z2285" s="13">
        <f>SUMPRODUCT(N2285:Y2285,$N$2:$Y$2)*$K2285*$L2285*$M2285</f>
        <v/>
      </c>
      <c r="AA2285" s="14">
        <f>SUM(N2285:Y2285)</f>
        <v/>
      </c>
      <c r="AB2285" s="13">
        <f>SUMPRODUCT(N2285:Y2285,$N$3:$Y$3)*$K2285*$L2285*$M2285</f>
        <v/>
      </c>
      <c r="AC2285" s="13">
        <f>SUMPRODUCT(N2285:Y2285,$N$4:$Y$4)*$K2285*$L2285*$M2285</f>
        <v/>
      </c>
      <c r="AD2285" s="15" t="n">
        <v>3</v>
      </c>
      <c r="AE2285" s="11" t="n">
        <v>1.011296296296296</v>
      </c>
      <c r="AF2285" s="16">
        <f>SUMPRODUCT(N2285:Y2285,$N$5:$Y$5)*$K2285*$L2285*$M2285</f>
        <v/>
      </c>
      <c r="AG2285" s="16">
        <f>SUMPRODUCT(N2285:Y2285,$N$6:$Y$6)*$K2285*$L2285*$M2285</f>
        <v/>
      </c>
      <c r="AH2285" s="20" t="n"/>
    </row>
    <row r="2286">
      <c r="A2286" s="9" t="n">
        <v>700849</v>
      </c>
      <c r="B2286" s="9" t="inlineStr">
        <is>
          <t>Jay Schueler</t>
        </is>
      </c>
      <c r="C2286" s="9" t="inlineStr">
        <is>
          <t>TOR</t>
        </is>
      </c>
      <c r="D2286" s="9" t="n">
        <v>25</v>
      </c>
      <c r="E2286" s="18" t="inlineStr">
        <is>
          <t>R</t>
        </is>
      </c>
      <c r="F2286" s="18" t="n"/>
      <c r="G2286" s="9" t="n">
        <v>34.11333333333334</v>
      </c>
      <c r="H2286" s="9" t="n">
        <v>34.11333333333334</v>
      </c>
      <c r="I2286" s="9" t="inlineStr">
        <is>
          <t>Depth (no MLB IP)</t>
        </is>
      </c>
      <c r="J2286" s="18" t="inlineStr">
        <is>
          <t>Opening Day</t>
        </is>
      </c>
      <c r="K2286" s="11">
        <f>IFERROR(INDEX(Roles!$B$17:$B$20,MATCH(J2286,Roles!$A$17:$A$20,0)),1)</f>
        <v/>
      </c>
      <c r="L2286" s="19" t="n">
        <v>1</v>
      </c>
      <c r="M2286" s="11" t="n">
        <v>1</v>
      </c>
      <c r="N2286" s="19" t="n"/>
      <c r="O2286" s="19" t="n"/>
      <c r="P2286" s="19" t="n"/>
      <c r="Q2286" s="19" t="n"/>
      <c r="R2286" s="19" t="n"/>
      <c r="S2286" s="19" t="n"/>
      <c r="T2286" s="19" t="n"/>
      <c r="U2286" s="19" t="n"/>
      <c r="V2286" s="19" t="n"/>
      <c r="W2286" s="19" t="n"/>
      <c r="X2286" s="19" t="n"/>
      <c r="Y2286" s="19" t="n">
        <v>1</v>
      </c>
      <c r="Z2286" s="13">
        <f>SUMPRODUCT(N2286:Y2286,$N$2:$Y$2)*$K2286*$L2286*$M2286</f>
        <v/>
      </c>
      <c r="AA2286" s="14">
        <f>SUM(N2286:Y2286)</f>
        <v/>
      </c>
      <c r="AB2286" s="13">
        <f>SUMPRODUCT(N2286:Y2286,$N$3:$Y$3)*$K2286*$L2286*$M2286</f>
        <v/>
      </c>
      <c r="AC2286" s="13">
        <f>SUMPRODUCT(N2286:Y2286,$N$4:$Y$4)*$K2286*$L2286*$M2286</f>
        <v/>
      </c>
      <c r="AD2286" s="15" t="n">
        <v>3</v>
      </c>
      <c r="AE2286" s="11" t="n">
        <v>1.011296296296296</v>
      </c>
      <c r="AF2286" s="16">
        <f>SUMPRODUCT(N2286:Y2286,$N$5:$Y$5)*$K2286*$L2286*$M2286</f>
        <v/>
      </c>
      <c r="AG2286" s="16">
        <f>SUMPRODUCT(N2286:Y2286,$N$6:$Y$6)*$K2286*$L2286*$M2286</f>
        <v/>
      </c>
      <c r="AH2286" s="20" t="n"/>
    </row>
    <row r="2287">
      <c r="A2287" s="9" t="n">
        <v>815305</v>
      </c>
      <c r="B2287" s="9" t="inlineStr">
        <is>
          <t>Austin Emener</t>
        </is>
      </c>
      <c r="C2287" s="9" t="inlineStr">
        <is>
          <t>COL</t>
        </is>
      </c>
      <c r="D2287" s="9" t="n">
        <v>25</v>
      </c>
      <c r="E2287" s="18" t="inlineStr">
        <is>
          <t>L</t>
        </is>
      </c>
      <c r="F2287" s="18" t="n"/>
      <c r="G2287" s="9" t="n">
        <v>34.11333333333334</v>
      </c>
      <c r="H2287" s="9" t="n">
        <v>34.11333333333334</v>
      </c>
      <c r="I2287" s="9" t="inlineStr">
        <is>
          <t>Depth (no MLB IP)</t>
        </is>
      </c>
      <c r="J2287" s="18" t="inlineStr">
        <is>
          <t>Opening Day</t>
        </is>
      </c>
      <c r="K2287" s="11">
        <f>IFERROR(INDEX(Roles!$B$17:$B$20,MATCH(J2287,Roles!$A$17:$A$20,0)),1)</f>
        <v/>
      </c>
      <c r="L2287" s="19" t="n">
        <v>1</v>
      </c>
      <c r="M2287" s="11" t="n">
        <v>1</v>
      </c>
      <c r="N2287" s="19" t="n"/>
      <c r="O2287" s="19" t="n"/>
      <c r="P2287" s="19" t="n"/>
      <c r="Q2287" s="19" t="n"/>
      <c r="R2287" s="19" t="n"/>
      <c r="S2287" s="19" t="n"/>
      <c r="T2287" s="19" t="n"/>
      <c r="U2287" s="19" t="n"/>
      <c r="V2287" s="19" t="n"/>
      <c r="W2287" s="19" t="n"/>
      <c r="X2287" s="19" t="n"/>
      <c r="Y2287" s="19" t="n">
        <v>1</v>
      </c>
      <c r="Z2287" s="13">
        <f>SUMPRODUCT(N2287:Y2287,$N$2:$Y$2)*$K2287*$L2287*$M2287</f>
        <v/>
      </c>
      <c r="AA2287" s="14">
        <f>SUM(N2287:Y2287)</f>
        <v/>
      </c>
      <c r="AB2287" s="13">
        <f>SUMPRODUCT(N2287:Y2287,$N$3:$Y$3)*$K2287*$L2287*$M2287</f>
        <v/>
      </c>
      <c r="AC2287" s="13">
        <f>SUMPRODUCT(N2287:Y2287,$N$4:$Y$4)*$K2287*$L2287*$M2287</f>
        <v/>
      </c>
      <c r="AD2287" s="15" t="n">
        <v>3</v>
      </c>
      <c r="AE2287" s="11" t="n">
        <v>1.011296296296296</v>
      </c>
      <c r="AF2287" s="16">
        <f>SUMPRODUCT(N2287:Y2287,$N$5:$Y$5)*$K2287*$L2287*$M2287</f>
        <v/>
      </c>
      <c r="AG2287" s="16">
        <f>SUMPRODUCT(N2287:Y2287,$N$6:$Y$6)*$K2287*$L2287*$M2287</f>
        <v/>
      </c>
      <c r="AH2287" s="20" t="n"/>
    </row>
    <row r="2288">
      <c r="A2288" s="9" t="n">
        <v>808252</v>
      </c>
      <c r="B2288" s="9" t="inlineStr">
        <is>
          <t>Wuilliams Rodriguez</t>
        </is>
      </c>
      <c r="C2288" s="9" t="inlineStr">
        <is>
          <t>BOS</t>
        </is>
      </c>
      <c r="D2288" s="9" t="n">
        <v>25</v>
      </c>
      <c r="E2288" s="18" t="inlineStr">
        <is>
          <t>R</t>
        </is>
      </c>
      <c r="F2288" s="18" t="n"/>
      <c r="G2288" s="9" t="n">
        <v>34.22799999999999</v>
      </c>
      <c r="H2288" s="9" t="n">
        <v>34.22799999999999</v>
      </c>
      <c r="I2288" s="9" t="inlineStr">
        <is>
          <t>Depth (no MLB IP)</t>
        </is>
      </c>
      <c r="J2288" s="18" t="inlineStr">
        <is>
          <t>Opening Day</t>
        </is>
      </c>
      <c r="K2288" s="11">
        <f>IFERROR(INDEX(Roles!$B$17:$B$20,MATCH(J2288,Roles!$A$17:$A$20,0)),1)</f>
        <v/>
      </c>
      <c r="L2288" s="19" t="n">
        <v>1</v>
      </c>
      <c r="M2288" s="11" t="n">
        <v>1</v>
      </c>
      <c r="N2288" s="19" t="n"/>
      <c r="O2288" s="19" t="n"/>
      <c r="P2288" s="19" t="n"/>
      <c r="Q2288" s="19" t="n"/>
      <c r="R2288" s="19" t="n"/>
      <c r="S2288" s="19" t="n"/>
      <c r="T2288" s="19" t="n"/>
      <c r="U2288" s="19" t="n"/>
      <c r="V2288" s="19" t="n"/>
      <c r="W2288" s="19" t="n"/>
      <c r="X2288" s="19" t="n"/>
      <c r="Y2288" s="19" t="n">
        <v>1</v>
      </c>
      <c r="Z2288" s="13">
        <f>SUMPRODUCT(N2288:Y2288,$N$2:$Y$2)*$K2288*$L2288*$M2288</f>
        <v/>
      </c>
      <c r="AA2288" s="14">
        <f>SUM(N2288:Y2288)</f>
        <v/>
      </c>
      <c r="AB2288" s="13">
        <f>SUMPRODUCT(N2288:Y2288,$N$3:$Y$3)*$K2288*$L2288*$M2288</f>
        <v/>
      </c>
      <c r="AC2288" s="13">
        <f>SUMPRODUCT(N2288:Y2288,$N$4:$Y$4)*$K2288*$L2288*$M2288</f>
        <v/>
      </c>
      <c r="AD2288" s="15" t="n">
        <v>3</v>
      </c>
      <c r="AE2288" s="11" t="n">
        <v>1.011296296296296</v>
      </c>
      <c r="AF2288" s="16">
        <f>SUMPRODUCT(N2288:Y2288,$N$5:$Y$5)*$K2288*$L2288*$M2288</f>
        <v/>
      </c>
      <c r="AG2288" s="16">
        <f>SUMPRODUCT(N2288:Y2288,$N$6:$Y$6)*$K2288*$L2288*$M2288</f>
        <v/>
      </c>
      <c r="AH2288" s="20" t="n"/>
    </row>
    <row r="2289">
      <c r="A2289" s="9" t="n">
        <v>831951</v>
      </c>
      <c r="B2289" s="9" t="inlineStr">
        <is>
          <t>Yulian Quintana</t>
        </is>
      </c>
      <c r="C2289" s="9" t="inlineStr">
        <is>
          <t>PIT</t>
        </is>
      </c>
      <c r="D2289" s="9" t="n">
        <v>25</v>
      </c>
      <c r="E2289" s="18" t="inlineStr">
        <is>
          <t>R</t>
        </is>
      </c>
      <c r="F2289" s="18" t="n"/>
      <c r="G2289" s="9" t="n">
        <v>34.11333333333334</v>
      </c>
      <c r="H2289" s="9" t="n">
        <v>34.11333333333334</v>
      </c>
      <c r="I2289" s="9" t="inlineStr">
        <is>
          <t>Depth (no MLB IP)</t>
        </is>
      </c>
      <c r="J2289" s="18" t="inlineStr">
        <is>
          <t>Opening Day</t>
        </is>
      </c>
      <c r="K2289" s="11">
        <f>IFERROR(INDEX(Roles!$B$17:$B$20,MATCH(J2289,Roles!$A$17:$A$20,0)),1)</f>
        <v/>
      </c>
      <c r="L2289" s="19" t="n">
        <v>1</v>
      </c>
      <c r="M2289" s="11" t="n">
        <v>1</v>
      </c>
      <c r="N2289" s="19" t="n"/>
      <c r="O2289" s="19" t="n"/>
      <c r="P2289" s="19" t="n"/>
      <c r="Q2289" s="19" t="n"/>
      <c r="R2289" s="19" t="n"/>
      <c r="S2289" s="19" t="n"/>
      <c r="T2289" s="19" t="n"/>
      <c r="U2289" s="19" t="n"/>
      <c r="V2289" s="19" t="n"/>
      <c r="W2289" s="19" t="n"/>
      <c r="X2289" s="19" t="n"/>
      <c r="Y2289" s="19" t="n">
        <v>1</v>
      </c>
      <c r="Z2289" s="13">
        <f>SUMPRODUCT(N2289:Y2289,$N$2:$Y$2)*$K2289*$L2289*$M2289</f>
        <v/>
      </c>
      <c r="AA2289" s="14">
        <f>SUM(N2289:Y2289)</f>
        <v/>
      </c>
      <c r="AB2289" s="13">
        <f>SUMPRODUCT(N2289:Y2289,$N$3:$Y$3)*$K2289*$L2289*$M2289</f>
        <v/>
      </c>
      <c r="AC2289" s="13">
        <f>SUMPRODUCT(N2289:Y2289,$N$4:$Y$4)*$K2289*$L2289*$M2289</f>
        <v/>
      </c>
      <c r="AD2289" s="15" t="n">
        <v>3</v>
      </c>
      <c r="AE2289" s="11" t="n">
        <v>1.011296296296296</v>
      </c>
      <c r="AF2289" s="16">
        <f>SUMPRODUCT(N2289:Y2289,$N$5:$Y$5)*$K2289*$L2289*$M2289</f>
        <v/>
      </c>
      <c r="AG2289" s="16">
        <f>SUMPRODUCT(N2289:Y2289,$N$6:$Y$6)*$K2289*$L2289*$M2289</f>
        <v/>
      </c>
      <c r="AH2289" s="20" t="n"/>
    </row>
    <row r="2290">
      <c r="A2290" s="9" t="n">
        <v>813796</v>
      </c>
      <c r="B2290" s="9" t="inlineStr">
        <is>
          <t>Preston Howey</t>
        </is>
      </c>
      <c r="C2290" s="9" t="inlineStr">
        <is>
          <t>DET</t>
        </is>
      </c>
      <c r="D2290" s="9" t="n">
        <v>25</v>
      </c>
      <c r="E2290" s="18" t="inlineStr">
        <is>
          <t>R</t>
        </is>
      </c>
      <c r="F2290" s="18" t="n"/>
      <c r="G2290" s="9" t="n">
        <v>34.11333333333334</v>
      </c>
      <c r="H2290" s="9" t="n">
        <v>34.11333333333334</v>
      </c>
      <c r="I2290" s="9" t="inlineStr">
        <is>
          <t>Depth (no MLB IP)</t>
        </is>
      </c>
      <c r="J2290" s="18" t="inlineStr">
        <is>
          <t>Opening Day</t>
        </is>
      </c>
      <c r="K2290" s="11">
        <f>IFERROR(INDEX(Roles!$B$17:$B$20,MATCH(J2290,Roles!$A$17:$A$20,0)),1)</f>
        <v/>
      </c>
      <c r="L2290" s="19" t="n">
        <v>1</v>
      </c>
      <c r="M2290" s="11" t="n">
        <v>1</v>
      </c>
      <c r="N2290" s="19" t="n"/>
      <c r="O2290" s="19" t="n"/>
      <c r="P2290" s="19" t="n"/>
      <c r="Q2290" s="19" t="n"/>
      <c r="R2290" s="19" t="n"/>
      <c r="S2290" s="19" t="n"/>
      <c r="T2290" s="19" t="n"/>
      <c r="U2290" s="19" t="n"/>
      <c r="V2290" s="19" t="n"/>
      <c r="W2290" s="19" t="n"/>
      <c r="X2290" s="19" t="n"/>
      <c r="Y2290" s="19" t="n">
        <v>1</v>
      </c>
      <c r="Z2290" s="13">
        <f>SUMPRODUCT(N2290:Y2290,$N$2:$Y$2)*$K2290*$L2290*$M2290</f>
        <v/>
      </c>
      <c r="AA2290" s="14">
        <f>SUM(N2290:Y2290)</f>
        <v/>
      </c>
      <c r="AB2290" s="13">
        <f>SUMPRODUCT(N2290:Y2290,$N$3:$Y$3)*$K2290*$L2290*$M2290</f>
        <v/>
      </c>
      <c r="AC2290" s="13">
        <f>SUMPRODUCT(N2290:Y2290,$N$4:$Y$4)*$K2290*$L2290*$M2290</f>
        <v/>
      </c>
      <c r="AD2290" s="15" t="n">
        <v>3</v>
      </c>
      <c r="AE2290" s="11" t="n">
        <v>1.011296296296296</v>
      </c>
      <c r="AF2290" s="16">
        <f>SUMPRODUCT(N2290:Y2290,$N$5:$Y$5)*$K2290*$L2290*$M2290</f>
        <v/>
      </c>
      <c r="AG2290" s="16">
        <f>SUMPRODUCT(N2290:Y2290,$N$6:$Y$6)*$K2290*$L2290*$M2290</f>
        <v/>
      </c>
      <c r="AH2290" s="20" t="n"/>
    </row>
    <row r="2291">
      <c r="A2291" s="9" t="n">
        <v>842589</v>
      </c>
      <c r="B2291" s="9" t="inlineStr">
        <is>
          <t>Gabe Tanner</t>
        </is>
      </c>
      <c r="C2291" s="9" t="inlineStr">
        <is>
          <t>CWS</t>
        </is>
      </c>
      <c r="D2291" s="9" t="n">
        <v>25</v>
      </c>
      <c r="E2291" s="18" t="inlineStr">
        <is>
          <t>R</t>
        </is>
      </c>
      <c r="F2291" s="18" t="n"/>
      <c r="G2291" s="9" t="n">
        <v>34.22799999999999</v>
      </c>
      <c r="H2291" s="9" t="n">
        <v>34.22799999999999</v>
      </c>
      <c r="I2291" s="9" t="inlineStr">
        <is>
          <t>Depth (no MLB IP)</t>
        </is>
      </c>
      <c r="J2291" s="18" t="inlineStr">
        <is>
          <t>Opening Day</t>
        </is>
      </c>
      <c r="K2291" s="11">
        <f>IFERROR(INDEX(Roles!$B$17:$B$20,MATCH(J2291,Roles!$A$17:$A$20,0)),1)</f>
        <v/>
      </c>
      <c r="L2291" s="19" t="n">
        <v>1</v>
      </c>
      <c r="M2291" s="11" t="n">
        <v>1</v>
      </c>
      <c r="N2291" s="19" t="n"/>
      <c r="O2291" s="19" t="n"/>
      <c r="P2291" s="19" t="n"/>
      <c r="Q2291" s="19" t="n"/>
      <c r="R2291" s="19" t="n"/>
      <c r="S2291" s="19" t="n"/>
      <c r="T2291" s="19" t="n"/>
      <c r="U2291" s="19" t="n"/>
      <c r="V2291" s="19" t="n"/>
      <c r="W2291" s="19" t="n"/>
      <c r="X2291" s="19" t="n"/>
      <c r="Y2291" s="19" t="n">
        <v>1</v>
      </c>
      <c r="Z2291" s="13">
        <f>SUMPRODUCT(N2291:Y2291,$N$2:$Y$2)*$K2291*$L2291*$M2291</f>
        <v/>
      </c>
      <c r="AA2291" s="14">
        <f>SUM(N2291:Y2291)</f>
        <v/>
      </c>
      <c r="AB2291" s="13">
        <f>SUMPRODUCT(N2291:Y2291,$N$3:$Y$3)*$K2291*$L2291*$M2291</f>
        <v/>
      </c>
      <c r="AC2291" s="13">
        <f>SUMPRODUCT(N2291:Y2291,$N$4:$Y$4)*$K2291*$L2291*$M2291</f>
        <v/>
      </c>
      <c r="AD2291" s="15" t="n">
        <v>3</v>
      </c>
      <c r="AE2291" s="11" t="n">
        <v>1.011296296296296</v>
      </c>
      <c r="AF2291" s="16">
        <f>SUMPRODUCT(N2291:Y2291,$N$5:$Y$5)*$K2291*$L2291*$M2291</f>
        <v/>
      </c>
      <c r="AG2291" s="16">
        <f>SUMPRODUCT(N2291:Y2291,$N$6:$Y$6)*$K2291*$L2291*$M2291</f>
        <v/>
      </c>
      <c r="AH2291" s="20" t="n"/>
    </row>
    <row r="2292">
      <c r="A2292" s="9" t="n">
        <v>683014</v>
      </c>
      <c r="B2292" s="9" t="inlineStr">
        <is>
          <t>Richard Guasch</t>
        </is>
      </c>
      <c r="C2292" s="9" t="inlineStr">
        <is>
          <t>BAL</t>
        </is>
      </c>
      <c r="D2292" s="9" t="n">
        <v>25</v>
      </c>
      <c r="E2292" s="18" t="inlineStr">
        <is>
          <t>R</t>
        </is>
      </c>
      <c r="F2292" s="18" t="n"/>
      <c r="G2292" s="9" t="n">
        <v>34.11333333333333</v>
      </c>
      <c r="H2292" s="9" t="n">
        <v>34.11333333333333</v>
      </c>
      <c r="I2292" s="9" t="inlineStr">
        <is>
          <t>Depth (no MLB IP)</t>
        </is>
      </c>
      <c r="J2292" s="18" t="inlineStr">
        <is>
          <t>Opening Day</t>
        </is>
      </c>
      <c r="K2292" s="11">
        <f>IFERROR(INDEX(Roles!$B$17:$B$20,MATCH(J2292,Roles!$A$17:$A$20,0)),1)</f>
        <v/>
      </c>
      <c r="L2292" s="19" t="n">
        <v>1</v>
      </c>
      <c r="M2292" s="11" t="n">
        <v>1</v>
      </c>
      <c r="N2292" s="19" t="n"/>
      <c r="O2292" s="19" t="n"/>
      <c r="P2292" s="19" t="n"/>
      <c r="Q2292" s="19" t="n"/>
      <c r="R2292" s="19" t="n"/>
      <c r="S2292" s="19" t="n"/>
      <c r="T2292" s="19" t="n"/>
      <c r="U2292" s="19" t="n"/>
      <c r="V2292" s="19" t="n"/>
      <c r="W2292" s="19" t="n"/>
      <c r="X2292" s="19" t="n"/>
      <c r="Y2292" s="19" t="n">
        <v>1</v>
      </c>
      <c r="Z2292" s="13">
        <f>SUMPRODUCT(N2292:Y2292,$N$2:$Y$2)*$K2292*$L2292*$M2292</f>
        <v/>
      </c>
      <c r="AA2292" s="14">
        <f>SUM(N2292:Y2292)</f>
        <v/>
      </c>
      <c r="AB2292" s="13">
        <f>SUMPRODUCT(N2292:Y2292,$N$3:$Y$3)*$K2292*$L2292*$M2292</f>
        <v/>
      </c>
      <c r="AC2292" s="13">
        <f>SUMPRODUCT(N2292:Y2292,$N$4:$Y$4)*$K2292*$L2292*$M2292</f>
        <v/>
      </c>
      <c r="AD2292" s="15" t="n">
        <v>3</v>
      </c>
      <c r="AE2292" s="11" t="n">
        <v>1.011296296296296</v>
      </c>
      <c r="AF2292" s="16">
        <f>SUMPRODUCT(N2292:Y2292,$N$5:$Y$5)*$K2292*$L2292*$M2292</f>
        <v/>
      </c>
      <c r="AG2292" s="16">
        <f>SUMPRODUCT(N2292:Y2292,$N$6:$Y$6)*$K2292*$L2292*$M2292</f>
        <v/>
      </c>
      <c r="AH2292" s="20" t="n"/>
    </row>
    <row r="2293">
      <c r="A2293" s="9" t="n">
        <v>809126</v>
      </c>
      <c r="B2293" s="9" t="inlineStr">
        <is>
          <t>Cole Gilley</t>
        </is>
      </c>
      <c r="C2293" s="9" t="inlineStr">
        <is>
          <t>PHI</t>
        </is>
      </c>
      <c r="D2293" s="9" t="n">
        <v>25</v>
      </c>
      <c r="E2293" s="18" t="inlineStr">
        <is>
          <t>R</t>
        </is>
      </c>
      <c r="F2293" s="18" t="n"/>
      <c r="G2293" s="9" t="n">
        <v>34.22799999999999</v>
      </c>
      <c r="H2293" s="9" t="n">
        <v>34.22799999999999</v>
      </c>
      <c r="I2293" s="9" t="inlineStr">
        <is>
          <t>Depth (no MLB IP)</t>
        </is>
      </c>
      <c r="J2293" s="18" t="inlineStr">
        <is>
          <t>Opening Day</t>
        </is>
      </c>
      <c r="K2293" s="11">
        <f>IFERROR(INDEX(Roles!$B$17:$B$20,MATCH(J2293,Roles!$A$17:$A$20,0)),1)</f>
        <v/>
      </c>
      <c r="L2293" s="19" t="n">
        <v>1</v>
      </c>
      <c r="M2293" s="11" t="n">
        <v>1</v>
      </c>
      <c r="N2293" s="19" t="n"/>
      <c r="O2293" s="19" t="n"/>
      <c r="P2293" s="19" t="n"/>
      <c r="Q2293" s="19" t="n"/>
      <c r="R2293" s="19" t="n"/>
      <c r="S2293" s="19" t="n"/>
      <c r="T2293" s="19" t="n"/>
      <c r="U2293" s="19" t="n"/>
      <c r="V2293" s="19" t="n"/>
      <c r="W2293" s="19" t="n"/>
      <c r="X2293" s="19" t="n"/>
      <c r="Y2293" s="19" t="n">
        <v>1</v>
      </c>
      <c r="Z2293" s="13">
        <f>SUMPRODUCT(N2293:Y2293,$N$2:$Y$2)*$K2293*$L2293*$M2293</f>
        <v/>
      </c>
      <c r="AA2293" s="14">
        <f>SUM(N2293:Y2293)</f>
        <v/>
      </c>
      <c r="AB2293" s="13">
        <f>SUMPRODUCT(N2293:Y2293,$N$3:$Y$3)*$K2293*$L2293*$M2293</f>
        <v/>
      </c>
      <c r="AC2293" s="13">
        <f>SUMPRODUCT(N2293:Y2293,$N$4:$Y$4)*$K2293*$L2293*$M2293</f>
        <v/>
      </c>
      <c r="AD2293" s="15" t="n">
        <v>3</v>
      </c>
      <c r="AE2293" s="11" t="n">
        <v>1.011296296296296</v>
      </c>
      <c r="AF2293" s="16">
        <f>SUMPRODUCT(N2293:Y2293,$N$5:$Y$5)*$K2293*$L2293*$M2293</f>
        <v/>
      </c>
      <c r="AG2293" s="16">
        <f>SUMPRODUCT(N2293:Y2293,$N$6:$Y$6)*$K2293*$L2293*$M2293</f>
        <v/>
      </c>
      <c r="AH2293" s="20" t="n"/>
    </row>
    <row r="2294">
      <c r="A2294" s="9" t="n">
        <v>827408</v>
      </c>
      <c r="B2294" s="9" t="inlineStr">
        <is>
          <t>Ramon Marquez</t>
        </is>
      </c>
      <c r="C2294" s="9" t="inlineStr">
        <is>
          <t>SF</t>
        </is>
      </c>
      <c r="D2294" s="9" t="n">
        <v>22</v>
      </c>
      <c r="E2294" s="18" t="inlineStr">
        <is>
          <t>R</t>
        </is>
      </c>
      <c r="F2294" s="18" t="n"/>
      <c r="G2294" s="9" t="n">
        <v>34.4</v>
      </c>
      <c r="H2294" s="9" t="n">
        <v>34.4</v>
      </c>
      <c r="I2294" s="9" t="inlineStr">
        <is>
          <t>Depth (no MLB IP)</t>
        </is>
      </c>
      <c r="J2294" s="18" t="inlineStr">
        <is>
          <t>Opening Day</t>
        </is>
      </c>
      <c r="K2294" s="11">
        <f>IFERROR(INDEX(Roles!$B$17:$B$20,MATCH(J2294,Roles!$A$17:$A$20,0)),1)</f>
        <v/>
      </c>
      <c r="L2294" s="19" t="n">
        <v>1</v>
      </c>
      <c r="M2294" s="11" t="n">
        <v>1</v>
      </c>
      <c r="N2294" s="19" t="n"/>
      <c r="O2294" s="19" t="n"/>
      <c r="P2294" s="19" t="n"/>
      <c r="Q2294" s="19" t="n"/>
      <c r="R2294" s="19" t="n"/>
      <c r="S2294" s="19" t="n"/>
      <c r="T2294" s="19" t="n"/>
      <c r="U2294" s="19" t="n"/>
      <c r="V2294" s="19" t="n"/>
      <c r="W2294" s="19" t="n"/>
      <c r="X2294" s="19" t="n"/>
      <c r="Y2294" s="19" t="n">
        <v>1</v>
      </c>
      <c r="Z2294" s="13">
        <f>SUMPRODUCT(N2294:Y2294,$N$2:$Y$2)*$K2294*$L2294*$M2294</f>
        <v/>
      </c>
      <c r="AA2294" s="14">
        <f>SUM(N2294:Y2294)</f>
        <v/>
      </c>
      <c r="AB2294" s="13">
        <f>SUMPRODUCT(N2294:Y2294,$N$3:$Y$3)*$K2294*$L2294*$M2294</f>
        <v/>
      </c>
      <c r="AC2294" s="13">
        <f>SUMPRODUCT(N2294:Y2294,$N$4:$Y$4)*$K2294*$L2294*$M2294</f>
        <v/>
      </c>
      <c r="AD2294" s="15" t="n">
        <v>3</v>
      </c>
      <c r="AE2294" s="11" t="n">
        <v>1.011296296296296</v>
      </c>
      <c r="AF2294" s="16">
        <f>SUMPRODUCT(N2294:Y2294,$N$5:$Y$5)*$K2294*$L2294*$M2294</f>
        <v/>
      </c>
      <c r="AG2294" s="16">
        <f>SUMPRODUCT(N2294:Y2294,$N$6:$Y$6)*$K2294*$L2294*$M2294</f>
        <v/>
      </c>
      <c r="AH2294" s="20" t="n"/>
    </row>
    <row r="2295">
      <c r="A2295" s="9" t="n">
        <v>809754</v>
      </c>
      <c r="B2295" s="9" t="inlineStr">
        <is>
          <t>Ethan Bell</t>
        </is>
      </c>
      <c r="C2295" s="9" t="inlineStr">
        <is>
          <t>CHC</t>
        </is>
      </c>
      <c r="D2295" s="9" t="n">
        <v>25</v>
      </c>
      <c r="E2295" s="18" t="inlineStr">
        <is>
          <t>R</t>
        </is>
      </c>
      <c r="F2295" s="18" t="n"/>
      <c r="G2295" s="9" t="n">
        <v>34.4</v>
      </c>
      <c r="H2295" s="9" t="n">
        <v>34.4</v>
      </c>
      <c r="I2295" s="9" t="inlineStr">
        <is>
          <t>Depth (no MLB IP)</t>
        </is>
      </c>
      <c r="J2295" s="18" t="inlineStr">
        <is>
          <t>Opening Day</t>
        </is>
      </c>
      <c r="K2295" s="11">
        <f>IFERROR(INDEX(Roles!$B$17:$B$20,MATCH(J2295,Roles!$A$17:$A$20,0)),1)</f>
        <v/>
      </c>
      <c r="L2295" s="19" t="n">
        <v>1</v>
      </c>
      <c r="M2295" s="11" t="n">
        <v>1</v>
      </c>
      <c r="N2295" s="19" t="n"/>
      <c r="O2295" s="19" t="n"/>
      <c r="P2295" s="19" t="n"/>
      <c r="Q2295" s="19" t="n"/>
      <c r="R2295" s="19" t="n"/>
      <c r="S2295" s="19" t="n"/>
      <c r="T2295" s="19" t="n"/>
      <c r="U2295" s="19" t="n"/>
      <c r="V2295" s="19" t="n"/>
      <c r="W2295" s="19" t="n"/>
      <c r="X2295" s="19" t="n"/>
      <c r="Y2295" s="19" t="n">
        <v>1</v>
      </c>
      <c r="Z2295" s="13">
        <f>SUMPRODUCT(N2295:Y2295,$N$2:$Y$2)*$K2295*$L2295*$M2295</f>
        <v/>
      </c>
      <c r="AA2295" s="14">
        <f>SUM(N2295:Y2295)</f>
        <v/>
      </c>
      <c r="AB2295" s="13">
        <f>SUMPRODUCT(N2295:Y2295,$N$3:$Y$3)*$K2295*$L2295*$M2295</f>
        <v/>
      </c>
      <c r="AC2295" s="13">
        <f>SUMPRODUCT(N2295:Y2295,$N$4:$Y$4)*$K2295*$L2295*$M2295</f>
        <v/>
      </c>
      <c r="AD2295" s="15" t="n">
        <v>3</v>
      </c>
      <c r="AE2295" s="11" t="n">
        <v>1.011296296296296</v>
      </c>
      <c r="AF2295" s="16">
        <f>SUMPRODUCT(N2295:Y2295,$N$5:$Y$5)*$K2295*$L2295*$M2295</f>
        <v/>
      </c>
      <c r="AG2295" s="16">
        <f>SUMPRODUCT(N2295:Y2295,$N$6:$Y$6)*$K2295*$L2295*$M2295</f>
        <v/>
      </c>
      <c r="AH2295" s="20" t="n"/>
    </row>
    <row r="2296">
      <c r="A2296" s="9" t="n">
        <v>823746</v>
      </c>
      <c r="B2296" s="9" t="inlineStr">
        <is>
          <t>Harrison Bodendorf</t>
        </is>
      </c>
      <c r="C2296" s="9" t="inlineStr">
        <is>
          <t>CLE</t>
        </is>
      </c>
      <c r="D2296" s="9" t="n">
        <v>25</v>
      </c>
      <c r="E2296" s="18" t="inlineStr">
        <is>
          <t>L</t>
        </is>
      </c>
      <c r="F2296" s="18" t="n"/>
      <c r="G2296" s="9" t="n">
        <v>34.4</v>
      </c>
      <c r="H2296" s="9" t="n">
        <v>34.4</v>
      </c>
      <c r="I2296" s="9" t="inlineStr">
        <is>
          <t>Depth (no MLB IP)</t>
        </is>
      </c>
      <c r="J2296" s="18" t="inlineStr">
        <is>
          <t>Opening Day</t>
        </is>
      </c>
      <c r="K2296" s="11">
        <f>IFERROR(INDEX(Roles!$B$17:$B$20,MATCH(J2296,Roles!$A$17:$A$20,0)),1)</f>
        <v/>
      </c>
      <c r="L2296" s="19" t="n">
        <v>1</v>
      </c>
      <c r="M2296" s="11" t="n">
        <v>1</v>
      </c>
      <c r="N2296" s="19" t="n"/>
      <c r="O2296" s="19" t="n"/>
      <c r="P2296" s="19" t="n"/>
      <c r="Q2296" s="19" t="n"/>
      <c r="R2296" s="19" t="n"/>
      <c r="S2296" s="19" t="n"/>
      <c r="T2296" s="19" t="n"/>
      <c r="U2296" s="19" t="n"/>
      <c r="V2296" s="19" t="n"/>
      <c r="W2296" s="19" t="n"/>
      <c r="X2296" s="19" t="n"/>
      <c r="Y2296" s="19" t="n">
        <v>1</v>
      </c>
      <c r="Z2296" s="13">
        <f>SUMPRODUCT(N2296:Y2296,$N$2:$Y$2)*$K2296*$L2296*$M2296</f>
        <v/>
      </c>
      <c r="AA2296" s="14">
        <f>SUM(N2296:Y2296)</f>
        <v/>
      </c>
      <c r="AB2296" s="13">
        <f>SUMPRODUCT(N2296:Y2296,$N$3:$Y$3)*$K2296*$L2296*$M2296</f>
        <v/>
      </c>
      <c r="AC2296" s="13">
        <f>SUMPRODUCT(N2296:Y2296,$N$4:$Y$4)*$K2296*$L2296*$M2296</f>
        <v/>
      </c>
      <c r="AD2296" s="15" t="n">
        <v>3</v>
      </c>
      <c r="AE2296" s="11" t="n">
        <v>1.011296296296296</v>
      </c>
      <c r="AF2296" s="16">
        <f>SUMPRODUCT(N2296:Y2296,$N$5:$Y$5)*$K2296*$L2296*$M2296</f>
        <v/>
      </c>
      <c r="AG2296" s="16">
        <f>SUMPRODUCT(N2296:Y2296,$N$6:$Y$6)*$K2296*$L2296*$M2296</f>
        <v/>
      </c>
      <c r="AH2296" s="20" t="n"/>
    </row>
    <row r="2297">
      <c r="A2297" s="9" t="n">
        <v>815626</v>
      </c>
      <c r="B2297" s="9" t="inlineStr">
        <is>
          <t>Ethan Bagwell</t>
        </is>
      </c>
      <c r="C2297" s="9" t="inlineStr">
        <is>
          <t>ATL</t>
        </is>
      </c>
      <c r="D2297" s="9" t="n">
        <v>25</v>
      </c>
      <c r="E2297" s="18" t="inlineStr">
        <is>
          <t>R</t>
        </is>
      </c>
      <c r="F2297" s="18" t="n"/>
      <c r="G2297" s="9" t="n">
        <v>34.4</v>
      </c>
      <c r="H2297" s="9" t="n">
        <v>34.4</v>
      </c>
      <c r="I2297" s="9" t="inlineStr">
        <is>
          <t>Depth (no MLB IP)</t>
        </is>
      </c>
      <c r="J2297" s="18" t="inlineStr">
        <is>
          <t>Opening Day</t>
        </is>
      </c>
      <c r="K2297" s="11">
        <f>IFERROR(INDEX(Roles!$B$17:$B$20,MATCH(J2297,Roles!$A$17:$A$20,0)),1)</f>
        <v/>
      </c>
      <c r="L2297" s="19" t="n">
        <v>1</v>
      </c>
      <c r="M2297" s="11" t="n">
        <v>1</v>
      </c>
      <c r="N2297" s="19" t="n"/>
      <c r="O2297" s="19" t="n"/>
      <c r="P2297" s="19" t="n"/>
      <c r="Q2297" s="19" t="n"/>
      <c r="R2297" s="19" t="n"/>
      <c r="S2297" s="19" t="n"/>
      <c r="T2297" s="19" t="n"/>
      <c r="U2297" s="19" t="n"/>
      <c r="V2297" s="19" t="n"/>
      <c r="W2297" s="19" t="n"/>
      <c r="X2297" s="19" t="n"/>
      <c r="Y2297" s="19" t="n">
        <v>1</v>
      </c>
      <c r="Z2297" s="13">
        <f>SUMPRODUCT(N2297:Y2297,$N$2:$Y$2)*$K2297*$L2297*$M2297</f>
        <v/>
      </c>
      <c r="AA2297" s="14">
        <f>SUM(N2297:Y2297)</f>
        <v/>
      </c>
      <c r="AB2297" s="13">
        <f>SUMPRODUCT(N2297:Y2297,$N$3:$Y$3)*$K2297*$L2297*$M2297</f>
        <v/>
      </c>
      <c r="AC2297" s="13">
        <f>SUMPRODUCT(N2297:Y2297,$N$4:$Y$4)*$K2297*$L2297*$M2297</f>
        <v/>
      </c>
      <c r="AD2297" s="15" t="n">
        <v>3</v>
      </c>
      <c r="AE2297" s="11" t="n">
        <v>1.011296296296296</v>
      </c>
      <c r="AF2297" s="16">
        <f>SUMPRODUCT(N2297:Y2297,$N$5:$Y$5)*$K2297*$L2297*$M2297</f>
        <v/>
      </c>
      <c r="AG2297" s="16">
        <f>SUMPRODUCT(N2297:Y2297,$N$6:$Y$6)*$K2297*$L2297*$M2297</f>
        <v/>
      </c>
      <c r="AH2297" s="20" t="n"/>
    </row>
    <row r="2298">
      <c r="A2298" s="9" t="n">
        <v>669436</v>
      </c>
      <c r="B2298" s="9" t="inlineStr">
        <is>
          <t>Jacob Heatherly</t>
        </is>
      </c>
      <c r="C2298" s="9" t="inlineStr">
        <is>
          <t>CWS</t>
        </is>
      </c>
      <c r="D2298" s="9" t="n">
        <v>25</v>
      </c>
      <c r="E2298" s="18" t="inlineStr">
        <is>
          <t>L</t>
        </is>
      </c>
      <c r="F2298" s="18" t="n"/>
      <c r="G2298" s="9" t="n">
        <v>34.61499999999999</v>
      </c>
      <c r="H2298" s="9" t="n">
        <v>34.61499999999999</v>
      </c>
      <c r="I2298" s="9" t="inlineStr">
        <is>
          <t>Depth (no MLB IP)</t>
        </is>
      </c>
      <c r="J2298" s="18" t="inlineStr">
        <is>
          <t>Opening Day</t>
        </is>
      </c>
      <c r="K2298" s="11">
        <f>IFERROR(INDEX(Roles!$B$17:$B$20,MATCH(J2298,Roles!$A$17:$A$20,0)),1)</f>
        <v/>
      </c>
      <c r="L2298" s="19" t="n">
        <v>1</v>
      </c>
      <c r="M2298" s="11" t="n">
        <v>1</v>
      </c>
      <c r="N2298" s="19" t="n"/>
      <c r="O2298" s="19" t="n"/>
      <c r="P2298" s="19" t="n"/>
      <c r="Q2298" s="19" t="n"/>
      <c r="R2298" s="19" t="n"/>
      <c r="S2298" s="19" t="n"/>
      <c r="T2298" s="19" t="n"/>
      <c r="U2298" s="19" t="n"/>
      <c r="V2298" s="19" t="n"/>
      <c r="W2298" s="19" t="n"/>
      <c r="X2298" s="19" t="n"/>
      <c r="Y2298" s="19" t="n">
        <v>1</v>
      </c>
      <c r="Z2298" s="13">
        <f>SUMPRODUCT(N2298:Y2298,$N$2:$Y$2)*$K2298*$L2298*$M2298</f>
        <v/>
      </c>
      <c r="AA2298" s="14">
        <f>SUM(N2298:Y2298)</f>
        <v/>
      </c>
      <c r="AB2298" s="13">
        <f>SUMPRODUCT(N2298:Y2298,$N$3:$Y$3)*$K2298*$L2298*$M2298</f>
        <v/>
      </c>
      <c r="AC2298" s="13">
        <f>SUMPRODUCT(N2298:Y2298,$N$4:$Y$4)*$K2298*$L2298*$M2298</f>
        <v/>
      </c>
      <c r="AD2298" s="15" t="n">
        <v>3</v>
      </c>
      <c r="AE2298" s="11" t="n">
        <v>1.011296296296296</v>
      </c>
      <c r="AF2298" s="16">
        <f>SUMPRODUCT(N2298:Y2298,$N$5:$Y$5)*$K2298*$L2298*$M2298</f>
        <v/>
      </c>
      <c r="AG2298" s="16">
        <f>SUMPRODUCT(N2298:Y2298,$N$6:$Y$6)*$K2298*$L2298*$M2298</f>
        <v/>
      </c>
      <c r="AH2298" s="20" t="n"/>
    </row>
    <row r="2299">
      <c r="A2299" s="9" t="n">
        <v>696492</v>
      </c>
      <c r="B2299" s="9" t="inlineStr">
        <is>
          <t>Ryan Prager</t>
        </is>
      </c>
      <c r="C2299" s="9" t="inlineStr">
        <is>
          <t>CLE</t>
        </is>
      </c>
      <c r="D2299" s="9" t="n">
        <v>25</v>
      </c>
      <c r="E2299" s="18" t="inlineStr">
        <is>
          <t>L</t>
        </is>
      </c>
      <c r="F2299" s="18" t="n"/>
      <c r="G2299" s="9" t="n">
        <v>34.572</v>
      </c>
      <c r="H2299" s="9" t="n">
        <v>34.572</v>
      </c>
      <c r="I2299" s="9" t="inlineStr">
        <is>
          <t>Depth (no MLB IP)</t>
        </is>
      </c>
      <c r="J2299" s="18" t="inlineStr">
        <is>
          <t>Opening Day</t>
        </is>
      </c>
      <c r="K2299" s="11">
        <f>IFERROR(INDEX(Roles!$B$17:$B$20,MATCH(J2299,Roles!$A$17:$A$20,0)),1)</f>
        <v/>
      </c>
      <c r="L2299" s="19" t="n">
        <v>1</v>
      </c>
      <c r="M2299" s="11" t="n">
        <v>1</v>
      </c>
      <c r="N2299" s="19" t="n"/>
      <c r="O2299" s="19" t="n"/>
      <c r="P2299" s="19" t="n"/>
      <c r="Q2299" s="19" t="n"/>
      <c r="R2299" s="19" t="n"/>
      <c r="S2299" s="19" t="n"/>
      <c r="T2299" s="19" t="n"/>
      <c r="U2299" s="19" t="n"/>
      <c r="V2299" s="19" t="n"/>
      <c r="W2299" s="19" t="n"/>
      <c r="X2299" s="19" t="n"/>
      <c r="Y2299" s="19" t="n">
        <v>1</v>
      </c>
      <c r="Z2299" s="13">
        <f>SUMPRODUCT(N2299:Y2299,$N$2:$Y$2)*$K2299*$L2299*$M2299</f>
        <v/>
      </c>
      <c r="AA2299" s="14">
        <f>SUM(N2299:Y2299)</f>
        <v/>
      </c>
      <c r="AB2299" s="13">
        <f>SUMPRODUCT(N2299:Y2299,$N$3:$Y$3)*$K2299*$L2299*$M2299</f>
        <v/>
      </c>
      <c r="AC2299" s="13">
        <f>SUMPRODUCT(N2299:Y2299,$N$4:$Y$4)*$K2299*$L2299*$M2299</f>
        <v/>
      </c>
      <c r="AD2299" s="15" t="n">
        <v>3</v>
      </c>
      <c r="AE2299" s="11" t="n">
        <v>1.011296296296296</v>
      </c>
      <c r="AF2299" s="16">
        <f>SUMPRODUCT(N2299:Y2299,$N$5:$Y$5)*$K2299*$L2299*$M2299</f>
        <v/>
      </c>
      <c r="AG2299" s="16">
        <f>SUMPRODUCT(N2299:Y2299,$N$6:$Y$6)*$K2299*$L2299*$M2299</f>
        <v/>
      </c>
      <c r="AH2299" s="20" t="n"/>
    </row>
    <row r="2300">
      <c r="A2300" s="9" t="n">
        <v>808207</v>
      </c>
      <c r="B2300" s="9" t="inlineStr">
        <is>
          <t>Wen-Hui Pan</t>
        </is>
      </c>
      <c r="C2300" s="9" t="inlineStr">
        <is>
          <t>PHI</t>
        </is>
      </c>
      <c r="D2300" s="9" t="n">
        <v>25</v>
      </c>
      <c r="E2300" s="18" t="inlineStr">
        <is>
          <t>R</t>
        </is>
      </c>
      <c r="F2300" s="18" t="n"/>
      <c r="G2300" s="9" t="n">
        <v>34.61499999999999</v>
      </c>
      <c r="H2300" s="9" t="n">
        <v>34.61499999999999</v>
      </c>
      <c r="I2300" s="9" t="inlineStr">
        <is>
          <t>Depth (no MLB IP)</t>
        </is>
      </c>
      <c r="J2300" s="18" t="inlineStr">
        <is>
          <t>Opening Day</t>
        </is>
      </c>
      <c r="K2300" s="11">
        <f>IFERROR(INDEX(Roles!$B$17:$B$20,MATCH(J2300,Roles!$A$17:$A$20,0)),1)</f>
        <v/>
      </c>
      <c r="L2300" s="19" t="n">
        <v>1</v>
      </c>
      <c r="M2300" s="11" t="n">
        <v>1</v>
      </c>
      <c r="N2300" s="19" t="n"/>
      <c r="O2300" s="19" t="n"/>
      <c r="P2300" s="19" t="n"/>
      <c r="Q2300" s="19" t="n"/>
      <c r="R2300" s="19" t="n"/>
      <c r="S2300" s="19" t="n"/>
      <c r="T2300" s="19" t="n"/>
      <c r="U2300" s="19" t="n"/>
      <c r="V2300" s="19" t="n"/>
      <c r="W2300" s="19" t="n"/>
      <c r="X2300" s="19" t="n"/>
      <c r="Y2300" s="19" t="n">
        <v>1</v>
      </c>
      <c r="Z2300" s="13">
        <f>SUMPRODUCT(N2300:Y2300,$N$2:$Y$2)*$K2300*$L2300*$M2300</f>
        <v/>
      </c>
      <c r="AA2300" s="14">
        <f>SUM(N2300:Y2300)</f>
        <v/>
      </c>
      <c r="AB2300" s="13">
        <f>SUMPRODUCT(N2300:Y2300,$N$3:$Y$3)*$K2300*$L2300*$M2300</f>
        <v/>
      </c>
      <c r="AC2300" s="13">
        <f>SUMPRODUCT(N2300:Y2300,$N$4:$Y$4)*$K2300*$L2300*$M2300</f>
        <v/>
      </c>
      <c r="AD2300" s="15" t="n">
        <v>3</v>
      </c>
      <c r="AE2300" s="11" t="n">
        <v>1.011296296296296</v>
      </c>
      <c r="AF2300" s="16">
        <f>SUMPRODUCT(N2300:Y2300,$N$5:$Y$5)*$K2300*$L2300*$M2300</f>
        <v/>
      </c>
      <c r="AG2300" s="16">
        <f>SUMPRODUCT(N2300:Y2300,$N$6:$Y$6)*$K2300*$L2300*$M2300</f>
        <v/>
      </c>
      <c r="AH2300" s="20" t="n"/>
    </row>
    <row r="2301">
      <c r="A2301" s="9" t="n">
        <v>802411</v>
      </c>
      <c r="B2301" s="9" t="inlineStr">
        <is>
          <t>JT Quinn</t>
        </is>
      </c>
      <c r="C2301" s="9" t="inlineStr">
        <is>
          <t>BAL</t>
        </is>
      </c>
      <c r="D2301" s="9" t="n">
        <v>23</v>
      </c>
      <c r="E2301" s="18" t="inlineStr">
        <is>
          <t>R</t>
        </is>
      </c>
      <c r="F2301" s="18" t="n"/>
      <c r="G2301" s="9" t="n">
        <v>34.61499999999999</v>
      </c>
      <c r="H2301" s="9" t="n">
        <v>34.61499999999999</v>
      </c>
      <c r="I2301" s="9" t="inlineStr">
        <is>
          <t>Depth (no MLB IP)</t>
        </is>
      </c>
      <c r="J2301" s="18" t="inlineStr">
        <is>
          <t>Opening Day</t>
        </is>
      </c>
      <c r="K2301" s="11">
        <f>IFERROR(INDEX(Roles!$B$17:$B$20,MATCH(J2301,Roles!$A$17:$A$20,0)),1)</f>
        <v/>
      </c>
      <c r="L2301" s="19" t="n">
        <v>1</v>
      </c>
      <c r="M2301" s="11" t="n">
        <v>1</v>
      </c>
      <c r="N2301" s="19" t="n"/>
      <c r="O2301" s="19" t="n"/>
      <c r="P2301" s="19" t="n"/>
      <c r="Q2301" s="19" t="n"/>
      <c r="R2301" s="19" t="n"/>
      <c r="S2301" s="19" t="n"/>
      <c r="T2301" s="19" t="n"/>
      <c r="U2301" s="19" t="n"/>
      <c r="V2301" s="19" t="n"/>
      <c r="W2301" s="19" t="n"/>
      <c r="X2301" s="19" t="n"/>
      <c r="Y2301" s="19" t="n">
        <v>1</v>
      </c>
      <c r="Z2301" s="13">
        <f>SUMPRODUCT(N2301:Y2301,$N$2:$Y$2)*$K2301*$L2301*$M2301</f>
        <v/>
      </c>
      <c r="AA2301" s="14">
        <f>SUM(N2301:Y2301)</f>
        <v/>
      </c>
      <c r="AB2301" s="13">
        <f>SUMPRODUCT(N2301:Y2301,$N$3:$Y$3)*$K2301*$L2301*$M2301</f>
        <v/>
      </c>
      <c r="AC2301" s="13">
        <f>SUMPRODUCT(N2301:Y2301,$N$4:$Y$4)*$K2301*$L2301*$M2301</f>
        <v/>
      </c>
      <c r="AD2301" s="15" t="n">
        <v>3</v>
      </c>
      <c r="AE2301" s="11" t="n">
        <v>1.011296296296296</v>
      </c>
      <c r="AF2301" s="16">
        <f>SUMPRODUCT(N2301:Y2301,$N$5:$Y$5)*$K2301*$L2301*$M2301</f>
        <v/>
      </c>
      <c r="AG2301" s="16">
        <f>SUMPRODUCT(N2301:Y2301,$N$6:$Y$6)*$K2301*$L2301*$M2301</f>
        <v/>
      </c>
      <c r="AH2301" s="20" t="n"/>
    </row>
    <row r="2302">
      <c r="A2302" s="9" t="n">
        <v>678620</v>
      </c>
      <c r="B2302" s="9" t="inlineStr">
        <is>
          <t>Blake Townsend</t>
        </is>
      </c>
      <c r="C2302" s="9" t="inlineStr">
        <is>
          <t>TEX</t>
        </is>
      </c>
      <c r="D2302" s="9" t="n">
        <v>25</v>
      </c>
      <c r="E2302" s="18" t="inlineStr">
        <is>
          <t>L</t>
        </is>
      </c>
      <c r="F2302" s="18" t="n"/>
      <c r="G2302" s="9" t="n">
        <v>34.68666666666667</v>
      </c>
      <c r="H2302" s="9" t="n">
        <v>34.68666666666667</v>
      </c>
      <c r="I2302" s="9" t="inlineStr">
        <is>
          <t>Depth (no MLB IP)</t>
        </is>
      </c>
      <c r="J2302" s="18" t="inlineStr">
        <is>
          <t>Opening Day</t>
        </is>
      </c>
      <c r="K2302" s="11">
        <f>IFERROR(INDEX(Roles!$B$17:$B$20,MATCH(J2302,Roles!$A$17:$A$20,0)),1)</f>
        <v/>
      </c>
      <c r="L2302" s="19" t="n">
        <v>1</v>
      </c>
      <c r="M2302" s="11" t="n">
        <v>1</v>
      </c>
      <c r="N2302" s="19" t="n"/>
      <c r="O2302" s="19" t="n"/>
      <c r="P2302" s="19" t="n"/>
      <c r="Q2302" s="19" t="n"/>
      <c r="R2302" s="19" t="n"/>
      <c r="S2302" s="19" t="n"/>
      <c r="T2302" s="19" t="n"/>
      <c r="U2302" s="19" t="n"/>
      <c r="V2302" s="19" t="n"/>
      <c r="W2302" s="19" t="n"/>
      <c r="X2302" s="19" t="n"/>
      <c r="Y2302" s="19" t="n">
        <v>1</v>
      </c>
      <c r="Z2302" s="13">
        <f>SUMPRODUCT(N2302:Y2302,$N$2:$Y$2)*$K2302*$L2302*$M2302</f>
        <v/>
      </c>
      <c r="AA2302" s="14">
        <f>SUM(N2302:Y2302)</f>
        <v/>
      </c>
      <c r="AB2302" s="13">
        <f>SUMPRODUCT(N2302:Y2302,$N$3:$Y$3)*$K2302*$L2302*$M2302</f>
        <v/>
      </c>
      <c r="AC2302" s="13">
        <f>SUMPRODUCT(N2302:Y2302,$N$4:$Y$4)*$K2302*$L2302*$M2302</f>
        <v/>
      </c>
      <c r="AD2302" s="15" t="n">
        <v>3</v>
      </c>
      <c r="AE2302" s="11" t="n">
        <v>1.011296296296296</v>
      </c>
      <c r="AF2302" s="16">
        <f>SUMPRODUCT(N2302:Y2302,$N$5:$Y$5)*$K2302*$L2302*$M2302</f>
        <v/>
      </c>
      <c r="AG2302" s="16">
        <f>SUMPRODUCT(N2302:Y2302,$N$6:$Y$6)*$K2302*$L2302*$M2302</f>
        <v/>
      </c>
      <c r="AH2302" s="20" t="n"/>
    </row>
    <row r="2303">
      <c r="A2303" s="9" t="n">
        <v>695835</v>
      </c>
      <c r="B2303" s="9" t="inlineStr">
        <is>
          <t>Edwin Núñez</t>
        </is>
      </c>
      <c r="C2303" s="9" t="inlineStr">
        <is>
          <t>STL</t>
        </is>
      </c>
      <c r="D2303" s="9" t="n">
        <v>25</v>
      </c>
      <c r="E2303" s="18" t="inlineStr">
        <is>
          <t>R</t>
        </is>
      </c>
      <c r="F2303" s="18" t="n"/>
      <c r="G2303" s="9" t="n">
        <v>34.61499999999999</v>
      </c>
      <c r="H2303" s="9" t="n">
        <v>34.61499999999999</v>
      </c>
      <c r="I2303" s="9" t="inlineStr">
        <is>
          <t>Depth (no MLB IP)</t>
        </is>
      </c>
      <c r="J2303" s="18" t="inlineStr">
        <is>
          <t>Opening Day</t>
        </is>
      </c>
      <c r="K2303" s="11">
        <f>IFERROR(INDEX(Roles!$B$17:$B$20,MATCH(J2303,Roles!$A$17:$A$20,0)),1)</f>
        <v/>
      </c>
      <c r="L2303" s="19" t="n">
        <v>1</v>
      </c>
      <c r="M2303" s="11" t="n">
        <v>1</v>
      </c>
      <c r="N2303" s="19" t="n"/>
      <c r="O2303" s="19" t="n"/>
      <c r="P2303" s="19" t="n"/>
      <c r="Q2303" s="19" t="n"/>
      <c r="R2303" s="19" t="n"/>
      <c r="S2303" s="19" t="n"/>
      <c r="T2303" s="19" t="n"/>
      <c r="U2303" s="19" t="n"/>
      <c r="V2303" s="19" t="n"/>
      <c r="W2303" s="19" t="n"/>
      <c r="X2303" s="19" t="n"/>
      <c r="Y2303" s="19" t="n">
        <v>1</v>
      </c>
      <c r="Z2303" s="13">
        <f>SUMPRODUCT(N2303:Y2303,$N$2:$Y$2)*$K2303*$L2303*$M2303</f>
        <v/>
      </c>
      <c r="AA2303" s="14">
        <f>SUM(N2303:Y2303)</f>
        <v/>
      </c>
      <c r="AB2303" s="13">
        <f>SUMPRODUCT(N2303:Y2303,$N$3:$Y$3)*$K2303*$L2303*$M2303</f>
        <v/>
      </c>
      <c r="AC2303" s="13">
        <f>SUMPRODUCT(N2303:Y2303,$N$4:$Y$4)*$K2303*$L2303*$M2303</f>
        <v/>
      </c>
      <c r="AD2303" s="15" t="n">
        <v>3</v>
      </c>
      <c r="AE2303" s="11" t="n">
        <v>1.011296296296296</v>
      </c>
      <c r="AF2303" s="16">
        <f>SUMPRODUCT(N2303:Y2303,$N$5:$Y$5)*$K2303*$L2303*$M2303</f>
        <v/>
      </c>
      <c r="AG2303" s="16">
        <f>SUMPRODUCT(N2303:Y2303,$N$6:$Y$6)*$K2303*$L2303*$M2303</f>
        <v/>
      </c>
      <c r="AH2303" s="20" t="n"/>
    </row>
    <row r="2304">
      <c r="A2304" s="9" t="n">
        <v>805220</v>
      </c>
      <c r="B2304" s="9" t="inlineStr">
        <is>
          <t>Lucas Kelly</t>
        </is>
      </c>
      <c r="C2304" s="9" t="inlineStr">
        <is>
          <t>SEA</t>
        </is>
      </c>
      <c r="D2304" s="9" t="n">
        <v>25</v>
      </c>
      <c r="E2304" s="18" t="inlineStr">
        <is>
          <t>R</t>
        </is>
      </c>
      <c r="F2304" s="18" t="n"/>
      <c r="G2304" s="9" t="n">
        <v>34.61499999999999</v>
      </c>
      <c r="H2304" s="9" t="n">
        <v>34.61499999999999</v>
      </c>
      <c r="I2304" s="9" t="inlineStr">
        <is>
          <t>Depth (no MLB IP)</t>
        </is>
      </c>
      <c r="J2304" s="18" t="inlineStr">
        <is>
          <t>Opening Day</t>
        </is>
      </c>
      <c r="K2304" s="11">
        <f>IFERROR(INDEX(Roles!$B$17:$B$20,MATCH(J2304,Roles!$A$17:$A$20,0)),1)</f>
        <v/>
      </c>
      <c r="L2304" s="19" t="n">
        <v>1</v>
      </c>
      <c r="M2304" s="11" t="n">
        <v>1</v>
      </c>
      <c r="N2304" s="19" t="n"/>
      <c r="O2304" s="19" t="n"/>
      <c r="P2304" s="19" t="n"/>
      <c r="Q2304" s="19" t="n"/>
      <c r="R2304" s="19" t="n"/>
      <c r="S2304" s="19" t="n"/>
      <c r="T2304" s="19" t="n"/>
      <c r="U2304" s="19" t="n"/>
      <c r="V2304" s="19" t="n"/>
      <c r="W2304" s="19" t="n"/>
      <c r="X2304" s="19" t="n"/>
      <c r="Y2304" s="19" t="n">
        <v>1</v>
      </c>
      <c r="Z2304" s="13">
        <f>SUMPRODUCT(N2304:Y2304,$N$2:$Y$2)*$K2304*$L2304*$M2304</f>
        <v/>
      </c>
      <c r="AA2304" s="14">
        <f>SUM(N2304:Y2304)</f>
        <v/>
      </c>
      <c r="AB2304" s="13">
        <f>SUMPRODUCT(N2304:Y2304,$N$3:$Y$3)*$K2304*$L2304*$M2304</f>
        <v/>
      </c>
      <c r="AC2304" s="13">
        <f>SUMPRODUCT(N2304:Y2304,$N$4:$Y$4)*$K2304*$L2304*$M2304</f>
        <v/>
      </c>
      <c r="AD2304" s="15" t="n">
        <v>3</v>
      </c>
      <c r="AE2304" s="11" t="n">
        <v>1.011296296296296</v>
      </c>
      <c r="AF2304" s="16">
        <f>SUMPRODUCT(N2304:Y2304,$N$5:$Y$5)*$K2304*$L2304*$M2304</f>
        <v/>
      </c>
      <c r="AG2304" s="16">
        <f>SUMPRODUCT(N2304:Y2304,$N$6:$Y$6)*$K2304*$L2304*$M2304</f>
        <v/>
      </c>
      <c r="AH2304" s="20" t="n"/>
    </row>
    <row r="2305">
      <c r="A2305" s="9" t="n">
        <v>835325</v>
      </c>
      <c r="B2305" s="9" t="inlineStr">
        <is>
          <t>Alexander Martinez</t>
        </is>
      </c>
      <c r="C2305" s="9" t="inlineStr">
        <is>
          <t>CWS</t>
        </is>
      </c>
      <c r="D2305" s="9" t="n">
        <v>25</v>
      </c>
      <c r="E2305" s="18" t="inlineStr">
        <is>
          <t>R</t>
        </is>
      </c>
      <c r="F2305" s="18" t="n"/>
      <c r="G2305" s="9" t="n">
        <v>34.572</v>
      </c>
      <c r="H2305" s="9" t="n">
        <v>34.572</v>
      </c>
      <c r="I2305" s="9" t="inlineStr">
        <is>
          <t>Depth (no MLB IP)</t>
        </is>
      </c>
      <c r="J2305" s="18" t="inlineStr">
        <is>
          <t>Opening Day</t>
        </is>
      </c>
      <c r="K2305" s="11">
        <f>IFERROR(INDEX(Roles!$B$17:$B$20,MATCH(J2305,Roles!$A$17:$A$20,0)),1)</f>
        <v/>
      </c>
      <c r="L2305" s="19" t="n">
        <v>1</v>
      </c>
      <c r="M2305" s="11" t="n">
        <v>1</v>
      </c>
      <c r="N2305" s="19" t="n"/>
      <c r="O2305" s="19" t="n"/>
      <c r="P2305" s="19" t="n"/>
      <c r="Q2305" s="19" t="n"/>
      <c r="R2305" s="19" t="n"/>
      <c r="S2305" s="19" t="n"/>
      <c r="T2305" s="19" t="n"/>
      <c r="U2305" s="19" t="n"/>
      <c r="V2305" s="19" t="n"/>
      <c r="W2305" s="19" t="n"/>
      <c r="X2305" s="19" t="n"/>
      <c r="Y2305" s="19" t="n">
        <v>1</v>
      </c>
      <c r="Z2305" s="13">
        <f>SUMPRODUCT(N2305:Y2305,$N$2:$Y$2)*$K2305*$L2305*$M2305</f>
        <v/>
      </c>
      <c r="AA2305" s="14">
        <f>SUM(N2305:Y2305)</f>
        <v/>
      </c>
      <c r="AB2305" s="13">
        <f>SUMPRODUCT(N2305:Y2305,$N$3:$Y$3)*$K2305*$L2305*$M2305</f>
        <v/>
      </c>
      <c r="AC2305" s="13">
        <f>SUMPRODUCT(N2305:Y2305,$N$4:$Y$4)*$K2305*$L2305*$M2305</f>
        <v/>
      </c>
      <c r="AD2305" s="15" t="n">
        <v>3</v>
      </c>
      <c r="AE2305" s="11" t="n">
        <v>1.011296296296296</v>
      </c>
      <c r="AF2305" s="16">
        <f>SUMPRODUCT(N2305:Y2305,$N$5:$Y$5)*$K2305*$L2305*$M2305</f>
        <v/>
      </c>
      <c r="AG2305" s="16">
        <f>SUMPRODUCT(N2305:Y2305,$N$6:$Y$6)*$K2305*$L2305*$M2305</f>
        <v/>
      </c>
      <c r="AH2305" s="20" t="n"/>
    </row>
    <row r="2306">
      <c r="A2306" s="9" t="n">
        <v>702712</v>
      </c>
      <c r="B2306" s="9" t="inlineStr">
        <is>
          <t>Tucker Biven</t>
        </is>
      </c>
      <c r="C2306" s="9" t="inlineStr">
        <is>
          <t>WSH</t>
        </is>
      </c>
      <c r="D2306" s="9" t="n">
        <v>25</v>
      </c>
      <c r="E2306" s="18" t="inlineStr">
        <is>
          <t>R</t>
        </is>
      </c>
      <c r="F2306" s="18" t="n"/>
      <c r="G2306" s="9" t="n">
        <v>34.68666666666667</v>
      </c>
      <c r="H2306" s="9" t="n">
        <v>34.68666666666667</v>
      </c>
      <c r="I2306" s="9" t="inlineStr">
        <is>
          <t>Depth (no MLB IP)</t>
        </is>
      </c>
      <c r="J2306" s="18" t="inlineStr">
        <is>
          <t>Opening Day</t>
        </is>
      </c>
      <c r="K2306" s="11">
        <f>IFERROR(INDEX(Roles!$B$17:$B$20,MATCH(J2306,Roles!$A$17:$A$20,0)),1)</f>
        <v/>
      </c>
      <c r="L2306" s="19" t="n">
        <v>1</v>
      </c>
      <c r="M2306" s="11" t="n">
        <v>1</v>
      </c>
      <c r="N2306" s="19" t="n"/>
      <c r="O2306" s="19" t="n"/>
      <c r="P2306" s="19" t="n"/>
      <c r="Q2306" s="19" t="n"/>
      <c r="R2306" s="19" t="n"/>
      <c r="S2306" s="19" t="n"/>
      <c r="T2306" s="19" t="n"/>
      <c r="U2306" s="19" t="n"/>
      <c r="V2306" s="19" t="n"/>
      <c r="W2306" s="19" t="n"/>
      <c r="X2306" s="19" t="n"/>
      <c r="Y2306" s="19" t="n">
        <v>1</v>
      </c>
      <c r="Z2306" s="13">
        <f>SUMPRODUCT(N2306:Y2306,$N$2:$Y$2)*$K2306*$L2306*$M2306</f>
        <v/>
      </c>
      <c r="AA2306" s="14">
        <f>SUM(N2306:Y2306)</f>
        <v/>
      </c>
      <c r="AB2306" s="13">
        <f>SUMPRODUCT(N2306:Y2306,$N$3:$Y$3)*$K2306*$L2306*$M2306</f>
        <v/>
      </c>
      <c r="AC2306" s="13">
        <f>SUMPRODUCT(N2306:Y2306,$N$4:$Y$4)*$K2306*$L2306*$M2306</f>
        <v/>
      </c>
      <c r="AD2306" s="15" t="n">
        <v>3</v>
      </c>
      <c r="AE2306" s="11" t="n">
        <v>1.011296296296296</v>
      </c>
      <c r="AF2306" s="16">
        <f>SUMPRODUCT(N2306:Y2306,$N$5:$Y$5)*$K2306*$L2306*$M2306</f>
        <v/>
      </c>
      <c r="AG2306" s="16">
        <f>SUMPRODUCT(N2306:Y2306,$N$6:$Y$6)*$K2306*$L2306*$M2306</f>
        <v/>
      </c>
      <c r="AH2306" s="20" t="n"/>
    </row>
    <row r="2307">
      <c r="A2307" s="9" t="n">
        <v>681097</v>
      </c>
      <c r="B2307" s="9" t="inlineStr">
        <is>
          <t>Andrew Moore</t>
        </is>
      </c>
      <c r="C2307" s="9" t="inlineStr">
        <is>
          <t>SD</t>
        </is>
      </c>
      <c r="D2307" s="9" t="n">
        <v>25</v>
      </c>
      <c r="E2307" s="18" t="inlineStr">
        <is>
          <t>R</t>
        </is>
      </c>
      <c r="F2307" s="18" t="n"/>
      <c r="G2307" s="9" t="n">
        <v>34.68666666666667</v>
      </c>
      <c r="H2307" s="9" t="n">
        <v>34.68666666666667</v>
      </c>
      <c r="I2307" s="9" t="inlineStr">
        <is>
          <t>Depth (no MLB IP)</t>
        </is>
      </c>
      <c r="J2307" s="18" t="inlineStr">
        <is>
          <t>Opening Day</t>
        </is>
      </c>
      <c r="K2307" s="11">
        <f>IFERROR(INDEX(Roles!$B$17:$B$20,MATCH(J2307,Roles!$A$17:$A$20,0)),1)</f>
        <v/>
      </c>
      <c r="L2307" s="19" t="n">
        <v>1</v>
      </c>
      <c r="M2307" s="11" t="n">
        <v>1</v>
      </c>
      <c r="N2307" s="19" t="n"/>
      <c r="O2307" s="19" t="n"/>
      <c r="P2307" s="19" t="n"/>
      <c r="Q2307" s="19" t="n"/>
      <c r="R2307" s="19" t="n"/>
      <c r="S2307" s="19" t="n"/>
      <c r="T2307" s="19" t="n"/>
      <c r="U2307" s="19" t="n"/>
      <c r="V2307" s="19" t="n"/>
      <c r="W2307" s="19" t="n"/>
      <c r="X2307" s="19" t="n"/>
      <c r="Y2307" s="19" t="n">
        <v>1</v>
      </c>
      <c r="Z2307" s="13">
        <f>SUMPRODUCT(N2307:Y2307,$N$2:$Y$2)*$K2307*$L2307*$M2307</f>
        <v/>
      </c>
      <c r="AA2307" s="14">
        <f>SUM(N2307:Y2307)</f>
        <v/>
      </c>
      <c r="AB2307" s="13">
        <f>SUMPRODUCT(N2307:Y2307,$N$3:$Y$3)*$K2307*$L2307*$M2307</f>
        <v/>
      </c>
      <c r="AC2307" s="13">
        <f>SUMPRODUCT(N2307:Y2307,$N$4:$Y$4)*$K2307*$L2307*$M2307</f>
        <v/>
      </c>
      <c r="AD2307" s="15" t="n">
        <v>3</v>
      </c>
      <c r="AE2307" s="11" t="n">
        <v>1.011296296296296</v>
      </c>
      <c r="AF2307" s="16">
        <f>SUMPRODUCT(N2307:Y2307,$N$5:$Y$5)*$K2307*$L2307*$M2307</f>
        <v/>
      </c>
      <c r="AG2307" s="16">
        <f>SUMPRODUCT(N2307:Y2307,$N$6:$Y$6)*$K2307*$L2307*$M2307</f>
        <v/>
      </c>
      <c r="AH2307" s="20" t="n"/>
    </row>
    <row r="2308">
      <c r="A2308" s="9" t="n">
        <v>700848</v>
      </c>
      <c r="B2308" s="9" t="inlineStr">
        <is>
          <t>Reese Dutton</t>
        </is>
      </c>
      <c r="C2308" s="9" t="inlineStr">
        <is>
          <t>PHI</t>
        </is>
      </c>
      <c r="D2308" s="9" t="n">
        <v>25</v>
      </c>
      <c r="E2308" s="18" t="inlineStr">
        <is>
          <t>R</t>
        </is>
      </c>
      <c r="F2308" s="18" t="n"/>
      <c r="G2308" s="9" t="n">
        <v>34.61499999999999</v>
      </c>
      <c r="H2308" s="9" t="n">
        <v>34.61499999999999</v>
      </c>
      <c r="I2308" s="9" t="inlineStr">
        <is>
          <t>Depth (no MLB IP)</t>
        </is>
      </c>
      <c r="J2308" s="18" t="inlineStr">
        <is>
          <t>Opening Day</t>
        </is>
      </c>
      <c r="K2308" s="11">
        <f>IFERROR(INDEX(Roles!$B$17:$B$20,MATCH(J2308,Roles!$A$17:$A$20,0)),1)</f>
        <v/>
      </c>
      <c r="L2308" s="19" t="n">
        <v>1</v>
      </c>
      <c r="M2308" s="11" t="n">
        <v>1</v>
      </c>
      <c r="N2308" s="19" t="n"/>
      <c r="O2308" s="19" t="n"/>
      <c r="P2308" s="19" t="n"/>
      <c r="Q2308" s="19" t="n"/>
      <c r="R2308" s="19" t="n"/>
      <c r="S2308" s="19" t="n"/>
      <c r="T2308" s="19" t="n"/>
      <c r="U2308" s="19" t="n"/>
      <c r="V2308" s="19" t="n"/>
      <c r="W2308" s="19" t="n"/>
      <c r="X2308" s="19" t="n"/>
      <c r="Y2308" s="19" t="n">
        <v>1</v>
      </c>
      <c r="Z2308" s="13">
        <f>SUMPRODUCT(N2308:Y2308,$N$2:$Y$2)*$K2308*$L2308*$M2308</f>
        <v/>
      </c>
      <c r="AA2308" s="14">
        <f>SUM(N2308:Y2308)</f>
        <v/>
      </c>
      <c r="AB2308" s="13">
        <f>SUMPRODUCT(N2308:Y2308,$N$3:$Y$3)*$K2308*$L2308*$M2308</f>
        <v/>
      </c>
      <c r="AC2308" s="13">
        <f>SUMPRODUCT(N2308:Y2308,$N$4:$Y$4)*$K2308*$L2308*$M2308</f>
        <v/>
      </c>
      <c r="AD2308" s="15" t="n">
        <v>3</v>
      </c>
      <c r="AE2308" s="11" t="n">
        <v>1.011296296296296</v>
      </c>
      <c r="AF2308" s="16">
        <f>SUMPRODUCT(N2308:Y2308,$N$5:$Y$5)*$K2308*$L2308*$M2308</f>
        <v/>
      </c>
      <c r="AG2308" s="16">
        <f>SUMPRODUCT(N2308:Y2308,$N$6:$Y$6)*$K2308*$L2308*$M2308</f>
        <v/>
      </c>
      <c r="AH2308" s="20" t="n"/>
    </row>
    <row r="2309">
      <c r="A2309" s="9" t="n">
        <v>834596</v>
      </c>
      <c r="B2309" s="9" t="inlineStr">
        <is>
          <t>Kailen Hamson</t>
        </is>
      </c>
      <c r="C2309" s="9" t="inlineStr">
        <is>
          <t>BAL</t>
        </is>
      </c>
      <c r="D2309" s="9" t="n">
        <v>25</v>
      </c>
      <c r="E2309" s="18" t="inlineStr">
        <is>
          <t>L</t>
        </is>
      </c>
      <c r="F2309" s="18" t="n"/>
      <c r="G2309" s="9" t="n">
        <v>34.74399999999999</v>
      </c>
      <c r="H2309" s="9" t="n">
        <v>34.74399999999999</v>
      </c>
      <c r="I2309" s="9" t="inlineStr">
        <is>
          <t>Depth (no MLB IP)</t>
        </is>
      </c>
      <c r="J2309" s="18" t="inlineStr">
        <is>
          <t>Opening Day</t>
        </is>
      </c>
      <c r="K2309" s="11">
        <f>IFERROR(INDEX(Roles!$B$17:$B$20,MATCH(J2309,Roles!$A$17:$A$20,0)),1)</f>
        <v/>
      </c>
      <c r="L2309" s="19" t="n">
        <v>1</v>
      </c>
      <c r="M2309" s="11" t="n">
        <v>1</v>
      </c>
      <c r="N2309" s="19" t="n"/>
      <c r="O2309" s="19" t="n"/>
      <c r="P2309" s="19" t="n"/>
      <c r="Q2309" s="19" t="n"/>
      <c r="R2309" s="19" t="n"/>
      <c r="S2309" s="19" t="n"/>
      <c r="T2309" s="19" t="n"/>
      <c r="U2309" s="19" t="n"/>
      <c r="V2309" s="19" t="n"/>
      <c r="W2309" s="19" t="n"/>
      <c r="X2309" s="19" t="n"/>
      <c r="Y2309" s="19" t="n">
        <v>1</v>
      </c>
      <c r="Z2309" s="13">
        <f>SUMPRODUCT(N2309:Y2309,$N$2:$Y$2)*$K2309*$L2309*$M2309</f>
        <v/>
      </c>
      <c r="AA2309" s="14">
        <f>SUM(N2309:Y2309)</f>
        <v/>
      </c>
      <c r="AB2309" s="13">
        <f>SUMPRODUCT(N2309:Y2309,$N$3:$Y$3)*$K2309*$L2309*$M2309</f>
        <v/>
      </c>
      <c r="AC2309" s="13">
        <f>SUMPRODUCT(N2309:Y2309,$N$4:$Y$4)*$K2309*$L2309*$M2309</f>
        <v/>
      </c>
      <c r="AD2309" s="15" t="n">
        <v>3</v>
      </c>
      <c r="AE2309" s="11" t="n">
        <v>1.011296296296296</v>
      </c>
      <c r="AF2309" s="16">
        <f>SUMPRODUCT(N2309:Y2309,$N$5:$Y$5)*$K2309*$L2309*$M2309</f>
        <v/>
      </c>
      <c r="AG2309" s="16">
        <f>SUMPRODUCT(N2309:Y2309,$N$6:$Y$6)*$K2309*$L2309*$M2309</f>
        <v/>
      </c>
      <c r="AH2309" s="20" t="n"/>
    </row>
    <row r="2310">
      <c r="A2310" s="9" t="n">
        <v>806637</v>
      </c>
      <c r="B2310" s="9" t="inlineStr">
        <is>
          <t>Jordan Woods</t>
        </is>
      </c>
      <c r="C2310" s="9" t="inlineStr">
        <is>
          <t>KC</t>
        </is>
      </c>
      <c r="D2310" s="9" t="n">
        <v>25</v>
      </c>
      <c r="E2310" s="18" t="inlineStr">
        <is>
          <t>L</t>
        </is>
      </c>
      <c r="F2310" s="18" t="n"/>
      <c r="G2310" s="9" t="n">
        <v>34.68666666666667</v>
      </c>
      <c r="H2310" s="9" t="n">
        <v>34.68666666666667</v>
      </c>
      <c r="I2310" s="9" t="inlineStr">
        <is>
          <t>Depth (no MLB IP)</t>
        </is>
      </c>
      <c r="J2310" s="18" t="inlineStr">
        <is>
          <t>Opening Day</t>
        </is>
      </c>
      <c r="K2310" s="11">
        <f>IFERROR(INDEX(Roles!$B$17:$B$20,MATCH(J2310,Roles!$A$17:$A$20,0)),1)</f>
        <v/>
      </c>
      <c r="L2310" s="19" t="n">
        <v>1</v>
      </c>
      <c r="M2310" s="11" t="n">
        <v>1</v>
      </c>
      <c r="N2310" s="19" t="n"/>
      <c r="O2310" s="19" t="n"/>
      <c r="P2310" s="19" t="n"/>
      <c r="Q2310" s="19" t="n"/>
      <c r="R2310" s="19" t="n"/>
      <c r="S2310" s="19" t="n"/>
      <c r="T2310" s="19" t="n"/>
      <c r="U2310" s="19" t="n"/>
      <c r="V2310" s="19" t="n"/>
      <c r="W2310" s="19" t="n"/>
      <c r="X2310" s="19" t="n"/>
      <c r="Y2310" s="19" t="n">
        <v>1</v>
      </c>
      <c r="Z2310" s="13">
        <f>SUMPRODUCT(N2310:Y2310,$N$2:$Y$2)*$K2310*$L2310*$M2310</f>
        <v/>
      </c>
      <c r="AA2310" s="14">
        <f>SUM(N2310:Y2310)</f>
        <v/>
      </c>
      <c r="AB2310" s="13">
        <f>SUMPRODUCT(N2310:Y2310,$N$3:$Y$3)*$K2310*$L2310*$M2310</f>
        <v/>
      </c>
      <c r="AC2310" s="13">
        <f>SUMPRODUCT(N2310:Y2310,$N$4:$Y$4)*$K2310*$L2310*$M2310</f>
        <v/>
      </c>
      <c r="AD2310" s="15" t="n">
        <v>3</v>
      </c>
      <c r="AE2310" s="11" t="n">
        <v>1.011296296296296</v>
      </c>
      <c r="AF2310" s="16">
        <f>SUMPRODUCT(N2310:Y2310,$N$5:$Y$5)*$K2310*$L2310*$M2310</f>
        <v/>
      </c>
      <c r="AG2310" s="16">
        <f>SUMPRODUCT(N2310:Y2310,$N$6:$Y$6)*$K2310*$L2310*$M2310</f>
        <v/>
      </c>
      <c r="AH2310" s="20" t="n"/>
    </row>
    <row r="2311">
      <c r="A2311" s="9" t="n">
        <v>800128</v>
      </c>
      <c r="B2311" s="9" t="inlineStr">
        <is>
          <t>Lisnerkin Lantigua</t>
        </is>
      </c>
      <c r="C2311" s="9" t="inlineStr">
        <is>
          <t>CIN</t>
        </is>
      </c>
      <c r="D2311" s="9" t="n">
        <v>25</v>
      </c>
      <c r="E2311" s="18" t="inlineStr">
        <is>
          <t>R</t>
        </is>
      </c>
      <c r="F2311" s="18" t="n"/>
      <c r="G2311" s="9" t="n">
        <v>34.74399999999999</v>
      </c>
      <c r="H2311" s="9" t="n">
        <v>34.74399999999999</v>
      </c>
      <c r="I2311" s="9" t="inlineStr">
        <is>
          <t>Depth (no MLB IP)</t>
        </is>
      </c>
      <c r="J2311" s="18" t="inlineStr">
        <is>
          <t>Opening Day</t>
        </is>
      </c>
      <c r="K2311" s="11">
        <f>IFERROR(INDEX(Roles!$B$17:$B$20,MATCH(J2311,Roles!$A$17:$A$20,0)),1)</f>
        <v/>
      </c>
      <c r="L2311" s="19" t="n">
        <v>1</v>
      </c>
      <c r="M2311" s="11" t="n">
        <v>1</v>
      </c>
      <c r="N2311" s="19" t="n"/>
      <c r="O2311" s="19" t="n"/>
      <c r="P2311" s="19" t="n"/>
      <c r="Q2311" s="19" t="n"/>
      <c r="R2311" s="19" t="n"/>
      <c r="S2311" s="19" t="n"/>
      <c r="T2311" s="19" t="n"/>
      <c r="U2311" s="19" t="n"/>
      <c r="V2311" s="19" t="n"/>
      <c r="W2311" s="19" t="n"/>
      <c r="X2311" s="19" t="n"/>
      <c r="Y2311" s="19" t="n">
        <v>1</v>
      </c>
      <c r="Z2311" s="13">
        <f>SUMPRODUCT(N2311:Y2311,$N$2:$Y$2)*$K2311*$L2311*$M2311</f>
        <v/>
      </c>
      <c r="AA2311" s="14">
        <f>SUM(N2311:Y2311)</f>
        <v/>
      </c>
      <c r="AB2311" s="13">
        <f>SUMPRODUCT(N2311:Y2311,$N$3:$Y$3)*$K2311*$L2311*$M2311</f>
        <v/>
      </c>
      <c r="AC2311" s="13">
        <f>SUMPRODUCT(N2311:Y2311,$N$4:$Y$4)*$K2311*$L2311*$M2311</f>
        <v/>
      </c>
      <c r="AD2311" s="15" t="n">
        <v>3</v>
      </c>
      <c r="AE2311" s="11" t="n">
        <v>1.011296296296296</v>
      </c>
      <c r="AF2311" s="16">
        <f>SUMPRODUCT(N2311:Y2311,$N$5:$Y$5)*$K2311*$L2311*$M2311</f>
        <v/>
      </c>
      <c r="AG2311" s="16">
        <f>SUMPRODUCT(N2311:Y2311,$N$6:$Y$6)*$K2311*$L2311*$M2311</f>
        <v/>
      </c>
      <c r="AH2311" s="20" t="n"/>
    </row>
    <row r="2312">
      <c r="A2312" s="9" t="n">
        <v>543507</v>
      </c>
      <c r="B2312" s="9" t="inlineStr">
        <is>
          <t>Trevor May</t>
        </is>
      </c>
      <c r="C2312" s="9" t="inlineStr">
        <is>
          <t>OAK</t>
        </is>
      </c>
      <c r="D2312" s="9" t="n">
        <v>37</v>
      </c>
      <c r="E2312" s="18" t="inlineStr">
        <is>
          <t>R</t>
        </is>
      </c>
      <c r="F2312" s="18" t="n"/>
      <c r="G2312" s="9" t="n">
        <v>205</v>
      </c>
      <c r="H2312" s="9" t="n">
        <v>316</v>
      </c>
      <c r="I2312" s="9" t="inlineStr">
        <is>
          <t>Depth (no MLB IP)</t>
        </is>
      </c>
      <c r="J2312" s="18" t="inlineStr">
        <is>
          <t>Opening Day</t>
        </is>
      </c>
      <c r="K2312" s="11">
        <f>IFERROR(INDEX(Roles!$B$17:$B$20,MATCH(J2312,Roles!$A$17:$A$20,0)),1)</f>
        <v/>
      </c>
      <c r="L2312" s="19" t="n">
        <v>1</v>
      </c>
      <c r="M2312" s="11" t="n">
        <v>1</v>
      </c>
      <c r="N2312" s="19" t="n"/>
      <c r="O2312" s="19" t="n"/>
      <c r="P2312" s="19" t="n"/>
      <c r="Q2312" s="19" t="n"/>
      <c r="R2312" s="19" t="n"/>
      <c r="S2312" s="19" t="n"/>
      <c r="T2312" s="19" t="n"/>
      <c r="U2312" s="19" t="n"/>
      <c r="V2312" s="19" t="n"/>
      <c r="W2312" s="19" t="n"/>
      <c r="X2312" s="19" t="n"/>
      <c r="Y2312" s="19" t="n">
        <v>1</v>
      </c>
      <c r="Z2312" s="13">
        <f>SUMPRODUCT(N2312:Y2312,$N$2:$Y$2)*$K2312*$L2312*$M2312</f>
        <v/>
      </c>
      <c r="AA2312" s="14">
        <f>SUM(N2312:Y2312)</f>
        <v/>
      </c>
      <c r="AB2312" s="13">
        <f>SUMPRODUCT(N2312:Y2312,$N$3:$Y$3)*$K2312*$L2312*$M2312</f>
        <v/>
      </c>
      <c r="AC2312" s="13">
        <f>SUMPRODUCT(N2312:Y2312,$N$4:$Y$4)*$K2312*$L2312*$M2312</f>
        <v/>
      </c>
      <c r="AD2312" s="15" t="n">
        <v>3</v>
      </c>
      <c r="AE2312" s="11" t="n">
        <v>1.011296296296296</v>
      </c>
      <c r="AF2312" s="16">
        <f>SUMPRODUCT(N2312:Y2312,$N$5:$Y$5)*$K2312*$L2312*$M2312</f>
        <v/>
      </c>
      <c r="AG2312" s="16">
        <f>SUMPRODUCT(N2312:Y2312,$N$6:$Y$6)*$K2312*$L2312*$M2312</f>
        <v/>
      </c>
      <c r="AH2312" s="20" t="n"/>
    </row>
    <row r="2313">
      <c r="A2313" s="9" t="n">
        <v>680735</v>
      </c>
      <c r="B2313" s="9" t="inlineStr">
        <is>
          <t>Austin Cox</t>
        </is>
      </c>
      <c r="C2313" s="9" t="inlineStr">
        <is>
          <t>ATL</t>
        </is>
      </c>
      <c r="D2313" s="9" t="n">
        <v>30</v>
      </c>
      <c r="E2313" s="18" t="inlineStr">
        <is>
          <t>L</t>
        </is>
      </c>
      <c r="F2313" s="18" t="n"/>
      <c r="G2313" s="9" t="n">
        <v>102</v>
      </c>
      <c r="H2313" s="9" t="n">
        <v>251</v>
      </c>
      <c r="I2313" s="9" t="inlineStr">
        <is>
          <t>Bullpen Depth Arm</t>
        </is>
      </c>
      <c r="J2313" s="18" t="inlineStr">
        <is>
          <t>Opening Day</t>
        </is>
      </c>
      <c r="K2313" s="11">
        <f>IFERROR(INDEX(Roles!$B$17:$B$20,MATCH(J2313,Roles!$A$17:$A$20,0)),1)</f>
        <v/>
      </c>
      <c r="L2313" s="19" t="n">
        <v>1</v>
      </c>
      <c r="M2313" s="11" t="n">
        <v>1</v>
      </c>
      <c r="N2313" s="19" t="n"/>
      <c r="O2313" s="19" t="n"/>
      <c r="P2313" s="19" t="n"/>
      <c r="Q2313" s="19" t="n"/>
      <c r="R2313" s="19" t="n"/>
      <c r="S2313" s="19" t="n"/>
      <c r="T2313" s="19" t="n"/>
      <c r="U2313" s="19" t="n"/>
      <c r="V2313" s="19" t="n"/>
      <c r="W2313" s="19" t="n">
        <v>1</v>
      </c>
      <c r="X2313" s="19" t="n"/>
      <c r="Y2313" s="19" t="n"/>
      <c r="Z2313" s="13">
        <f>SUMPRODUCT(N2313:Y2313,$N$2:$Y$2)*$K2313*$L2313*$M2313</f>
        <v/>
      </c>
      <c r="AA2313" s="14">
        <f>SUM(N2313:Y2313)</f>
        <v/>
      </c>
      <c r="AB2313" s="13">
        <f>SUMPRODUCT(N2313:Y2313,$N$3:$Y$3)*$K2313*$L2313*$M2313</f>
        <v/>
      </c>
      <c r="AC2313" s="13">
        <f>SUMPRODUCT(N2313:Y2313,$N$4:$Y$4)*$K2313*$L2313*$M2313</f>
        <v/>
      </c>
      <c r="AD2313" s="15" t="n">
        <v>13.46666666666666</v>
      </c>
      <c r="AE2313" s="11" t="n">
        <v>1.348515681849015</v>
      </c>
      <c r="AF2313" s="16">
        <f>SUMPRODUCT(N2313:Y2313,$N$5:$Y$5)*$K2313*$L2313*$M2313</f>
        <v/>
      </c>
      <c r="AG2313" s="16">
        <f>SUMPRODUCT(N2313:Y2313,$N$6:$Y$6)*$K2313*$L2313*$M2313</f>
        <v/>
      </c>
      <c r="AH2313" s="20" t="n"/>
    </row>
    <row r="2314">
      <c r="A2314" s="9" t="n">
        <v>801574</v>
      </c>
      <c r="B2314" s="9" t="inlineStr">
        <is>
          <t>Matthew Dalquist</t>
        </is>
      </c>
      <c r="C2314" s="9" t="inlineStr">
        <is>
          <t>MIN</t>
        </is>
      </c>
      <c r="D2314" s="9" t="n">
        <v>25</v>
      </c>
      <c r="E2314" s="18" t="inlineStr">
        <is>
          <t>R</t>
        </is>
      </c>
      <c r="F2314" s="18" t="n"/>
      <c r="G2314" s="9" t="n">
        <v>34.916</v>
      </c>
      <c r="H2314" s="9" t="n">
        <v>34.916</v>
      </c>
      <c r="I2314" s="9" t="inlineStr">
        <is>
          <t>Depth (no MLB IP)</t>
        </is>
      </c>
      <c r="J2314" s="18" t="inlineStr">
        <is>
          <t>Opening Day</t>
        </is>
      </c>
      <c r="K2314" s="11">
        <f>IFERROR(INDEX(Roles!$B$17:$B$20,MATCH(J2314,Roles!$A$17:$A$20,0)),1)</f>
        <v/>
      </c>
      <c r="L2314" s="19" t="n">
        <v>1</v>
      </c>
      <c r="M2314" s="11" t="n">
        <v>1</v>
      </c>
      <c r="N2314" s="19" t="n"/>
      <c r="O2314" s="19" t="n"/>
      <c r="P2314" s="19" t="n"/>
      <c r="Q2314" s="19" t="n"/>
      <c r="R2314" s="19" t="n"/>
      <c r="S2314" s="19" t="n"/>
      <c r="T2314" s="19" t="n"/>
      <c r="U2314" s="19" t="n"/>
      <c r="V2314" s="19" t="n"/>
      <c r="W2314" s="19" t="n"/>
      <c r="X2314" s="19" t="n"/>
      <c r="Y2314" s="19" t="n">
        <v>1</v>
      </c>
      <c r="Z2314" s="13">
        <f>SUMPRODUCT(N2314:Y2314,$N$2:$Y$2)*$K2314*$L2314*$M2314</f>
        <v/>
      </c>
      <c r="AA2314" s="14">
        <f>SUM(N2314:Y2314)</f>
        <v/>
      </c>
      <c r="AB2314" s="13">
        <f>SUMPRODUCT(N2314:Y2314,$N$3:$Y$3)*$K2314*$L2314*$M2314</f>
        <v/>
      </c>
      <c r="AC2314" s="13">
        <f>SUMPRODUCT(N2314:Y2314,$N$4:$Y$4)*$K2314*$L2314*$M2314</f>
        <v/>
      </c>
      <c r="AD2314" s="15" t="n">
        <v>3</v>
      </c>
      <c r="AE2314" s="11" t="n">
        <v>1.011296296296296</v>
      </c>
      <c r="AF2314" s="16">
        <f>SUMPRODUCT(N2314:Y2314,$N$5:$Y$5)*$K2314*$L2314*$M2314</f>
        <v/>
      </c>
      <c r="AG2314" s="16">
        <f>SUMPRODUCT(N2314:Y2314,$N$6:$Y$6)*$K2314*$L2314*$M2314</f>
        <v/>
      </c>
      <c r="AH2314" s="20" t="n"/>
    </row>
    <row r="2315">
      <c r="A2315" s="9" t="n">
        <v>822876</v>
      </c>
      <c r="B2315" s="9" t="inlineStr">
        <is>
          <t>Ryan Andrade</t>
        </is>
      </c>
      <c r="C2315" s="9" t="inlineStr">
        <is>
          <t>TB</t>
        </is>
      </c>
      <c r="D2315" s="9" t="n">
        <v>25</v>
      </c>
      <c r="E2315" s="18" t="inlineStr">
        <is>
          <t>R</t>
        </is>
      </c>
      <c r="F2315" s="18" t="n"/>
      <c r="G2315" s="9" t="n">
        <v>34.68666666666667</v>
      </c>
      <c r="H2315" s="9" t="n">
        <v>34.68666666666667</v>
      </c>
      <c r="I2315" s="9" t="inlineStr">
        <is>
          <t>Depth (no MLB IP)</t>
        </is>
      </c>
      <c r="J2315" s="18" t="inlineStr">
        <is>
          <t>Opening Day</t>
        </is>
      </c>
      <c r="K2315" s="11">
        <f>IFERROR(INDEX(Roles!$B$17:$B$20,MATCH(J2315,Roles!$A$17:$A$20,0)),1)</f>
        <v/>
      </c>
      <c r="L2315" s="19" t="n">
        <v>1</v>
      </c>
      <c r="M2315" s="11" t="n">
        <v>1</v>
      </c>
      <c r="N2315" s="19" t="n"/>
      <c r="O2315" s="19" t="n"/>
      <c r="P2315" s="19" t="n"/>
      <c r="Q2315" s="19" t="n"/>
      <c r="R2315" s="19" t="n"/>
      <c r="S2315" s="19" t="n"/>
      <c r="T2315" s="19" t="n"/>
      <c r="U2315" s="19" t="n"/>
      <c r="V2315" s="19" t="n"/>
      <c r="W2315" s="19" t="n"/>
      <c r="X2315" s="19" t="n"/>
      <c r="Y2315" s="19" t="n">
        <v>1</v>
      </c>
      <c r="Z2315" s="13">
        <f>SUMPRODUCT(N2315:Y2315,$N$2:$Y$2)*$K2315*$L2315*$M2315</f>
        <v/>
      </c>
      <c r="AA2315" s="14">
        <f>SUM(N2315:Y2315)</f>
        <v/>
      </c>
      <c r="AB2315" s="13">
        <f>SUMPRODUCT(N2315:Y2315,$N$3:$Y$3)*$K2315*$L2315*$M2315</f>
        <v/>
      </c>
      <c r="AC2315" s="13">
        <f>SUMPRODUCT(N2315:Y2315,$N$4:$Y$4)*$K2315*$L2315*$M2315</f>
        <v/>
      </c>
      <c r="AD2315" s="15" t="n">
        <v>3</v>
      </c>
      <c r="AE2315" s="11" t="n">
        <v>1.011296296296296</v>
      </c>
      <c r="AF2315" s="16">
        <f>SUMPRODUCT(N2315:Y2315,$N$5:$Y$5)*$K2315*$L2315*$M2315</f>
        <v/>
      </c>
      <c r="AG2315" s="16">
        <f>SUMPRODUCT(N2315:Y2315,$N$6:$Y$6)*$K2315*$L2315*$M2315</f>
        <v/>
      </c>
      <c r="AH2315" s="20" t="n"/>
    </row>
    <row r="2316">
      <c r="A2316" s="9" t="n">
        <v>703231</v>
      </c>
      <c r="B2316" s="9" t="inlineStr">
        <is>
          <t>James Meeker</t>
        </is>
      </c>
      <c r="C2316" s="9" t="inlineStr">
        <is>
          <t>MIL</t>
        </is>
      </c>
      <c r="D2316" s="9" t="n">
        <v>32</v>
      </c>
      <c r="E2316" s="18" t="inlineStr">
        <is>
          <t>R</t>
        </is>
      </c>
      <c r="F2316" s="18" t="n"/>
      <c r="G2316" s="9" t="n">
        <v>4</v>
      </c>
      <c r="H2316" s="9" t="n">
        <v>4</v>
      </c>
      <c r="I2316" s="9" t="inlineStr">
        <is>
          <t>Depth (no MLB IP)</t>
        </is>
      </c>
      <c r="J2316" s="18" t="inlineStr">
        <is>
          <t>Opening Day</t>
        </is>
      </c>
      <c r="K2316" s="11">
        <f>IFERROR(INDEX(Roles!$B$17:$B$20,MATCH(J2316,Roles!$A$17:$A$20,0)),1)</f>
        <v/>
      </c>
      <c r="L2316" s="19" t="n">
        <v>1</v>
      </c>
      <c r="M2316" s="11" t="n">
        <v>1</v>
      </c>
      <c r="N2316" s="19" t="n"/>
      <c r="O2316" s="19" t="n"/>
      <c r="P2316" s="19" t="n"/>
      <c r="Q2316" s="19" t="n"/>
      <c r="R2316" s="19" t="n"/>
      <c r="S2316" s="19" t="n"/>
      <c r="T2316" s="19" t="n"/>
      <c r="U2316" s="19" t="n"/>
      <c r="V2316" s="19" t="n"/>
      <c r="W2316" s="19" t="n"/>
      <c r="X2316" s="19" t="n"/>
      <c r="Y2316" s="19" t="n">
        <v>1</v>
      </c>
      <c r="Z2316" s="13">
        <f>SUMPRODUCT(N2316:Y2316,$N$2:$Y$2)*$K2316*$L2316*$M2316</f>
        <v/>
      </c>
      <c r="AA2316" s="14">
        <f>SUM(N2316:Y2316)</f>
        <v/>
      </c>
      <c r="AB2316" s="13">
        <f>SUMPRODUCT(N2316:Y2316,$N$3:$Y$3)*$K2316*$L2316*$M2316</f>
        <v/>
      </c>
      <c r="AC2316" s="13">
        <f>SUMPRODUCT(N2316:Y2316,$N$4:$Y$4)*$K2316*$L2316*$M2316</f>
        <v/>
      </c>
      <c r="AD2316" s="15" t="n">
        <v>1.8</v>
      </c>
      <c r="AE2316" s="11" t="n">
        <v>1.007530864197531</v>
      </c>
      <c r="AF2316" s="16">
        <f>SUMPRODUCT(N2316:Y2316,$N$5:$Y$5)*$K2316*$L2316*$M2316</f>
        <v/>
      </c>
      <c r="AG2316" s="16">
        <f>SUMPRODUCT(N2316:Y2316,$N$6:$Y$6)*$K2316*$L2316*$M2316</f>
        <v/>
      </c>
      <c r="AH2316" s="20" t="n"/>
    </row>
    <row r="2317">
      <c r="A2317" s="9" t="n">
        <v>657061</v>
      </c>
      <c r="B2317" s="9" t="inlineStr">
        <is>
          <t>Cole Tucker</t>
        </is>
      </c>
      <c r="C2317" s="9" t="inlineStr">
        <is>
          <t>LAA</t>
        </is>
      </c>
      <c r="D2317" s="9" t="n">
        <v>30</v>
      </c>
      <c r="E2317" s="18" t="inlineStr">
        <is>
          <t>R</t>
        </is>
      </c>
      <c r="F2317" s="18" t="n"/>
      <c r="G2317" s="9" t="n">
        <v>4</v>
      </c>
      <c r="H2317" s="9" t="n">
        <v>4</v>
      </c>
      <c r="I2317" s="9" t="inlineStr">
        <is>
          <t>Depth (no MLB IP)</t>
        </is>
      </c>
      <c r="J2317" s="18" t="inlineStr">
        <is>
          <t>Opening Day</t>
        </is>
      </c>
      <c r="K2317" s="11">
        <f>IFERROR(INDEX(Roles!$B$17:$B$20,MATCH(J2317,Roles!$A$17:$A$20,0)),1)</f>
        <v/>
      </c>
      <c r="L2317" s="19" t="n">
        <v>1</v>
      </c>
      <c r="M2317" s="11" t="n">
        <v>1</v>
      </c>
      <c r="N2317" s="19" t="n"/>
      <c r="O2317" s="19" t="n"/>
      <c r="P2317" s="19" t="n"/>
      <c r="Q2317" s="19" t="n"/>
      <c r="R2317" s="19" t="n"/>
      <c r="S2317" s="19" t="n"/>
      <c r="T2317" s="19" t="n"/>
      <c r="U2317" s="19" t="n"/>
      <c r="V2317" s="19" t="n"/>
      <c r="W2317" s="19" t="n"/>
      <c r="X2317" s="19" t="n"/>
      <c r="Y2317" s="19" t="n">
        <v>1</v>
      </c>
      <c r="Z2317" s="13">
        <f>SUMPRODUCT(N2317:Y2317,$N$2:$Y$2)*$K2317*$L2317*$M2317</f>
        <v/>
      </c>
      <c r="AA2317" s="14">
        <f>SUM(N2317:Y2317)</f>
        <v/>
      </c>
      <c r="AB2317" s="13">
        <f>SUMPRODUCT(N2317:Y2317,$N$3:$Y$3)*$K2317*$L2317*$M2317</f>
        <v/>
      </c>
      <c r="AC2317" s="13">
        <f>SUMPRODUCT(N2317:Y2317,$N$4:$Y$4)*$K2317*$L2317*$M2317</f>
        <v/>
      </c>
      <c r="AD2317" s="15" t="n">
        <v>1.8</v>
      </c>
      <c r="AE2317" s="11" t="n">
        <v>1.007530864197531</v>
      </c>
      <c r="AF2317" s="16">
        <f>SUMPRODUCT(N2317:Y2317,$N$5:$Y$5)*$K2317*$L2317*$M2317</f>
        <v/>
      </c>
      <c r="AG2317" s="16">
        <f>SUMPRODUCT(N2317:Y2317,$N$6:$Y$6)*$K2317*$L2317*$M2317</f>
        <v/>
      </c>
      <c r="AH2317" s="20" t="n"/>
    </row>
    <row r="2318">
      <c r="A2318" s="9" t="n">
        <v>700985</v>
      </c>
      <c r="B2318" s="9" t="inlineStr">
        <is>
          <t>Josh Hansell</t>
        </is>
      </c>
      <c r="C2318" s="9" t="inlineStr">
        <is>
          <t>KC</t>
        </is>
      </c>
      <c r="D2318" s="9" t="n">
        <v>25</v>
      </c>
      <c r="E2318" s="18" t="inlineStr">
        <is>
          <t>R</t>
        </is>
      </c>
      <c r="F2318" s="18" t="n"/>
      <c r="G2318" s="9" t="n">
        <v>34.97333333333333</v>
      </c>
      <c r="H2318" s="9" t="n">
        <v>34.97333333333333</v>
      </c>
      <c r="I2318" s="9" t="inlineStr">
        <is>
          <t>Depth (no MLB IP)</t>
        </is>
      </c>
      <c r="J2318" s="18" t="inlineStr">
        <is>
          <t>Opening Day</t>
        </is>
      </c>
      <c r="K2318" s="11">
        <f>IFERROR(INDEX(Roles!$B$17:$B$20,MATCH(J2318,Roles!$A$17:$A$20,0)),1)</f>
        <v/>
      </c>
      <c r="L2318" s="19" t="n">
        <v>1</v>
      </c>
      <c r="M2318" s="11" t="n">
        <v>1</v>
      </c>
      <c r="N2318" s="19" t="n"/>
      <c r="O2318" s="19" t="n"/>
      <c r="P2318" s="19" t="n"/>
      <c r="Q2318" s="19" t="n"/>
      <c r="R2318" s="19" t="n"/>
      <c r="S2318" s="19" t="n"/>
      <c r="T2318" s="19" t="n"/>
      <c r="U2318" s="19" t="n"/>
      <c r="V2318" s="19" t="n"/>
      <c r="W2318" s="19" t="n"/>
      <c r="X2318" s="19" t="n"/>
      <c r="Y2318" s="19" t="n">
        <v>1</v>
      </c>
      <c r="Z2318" s="13">
        <f>SUMPRODUCT(N2318:Y2318,$N$2:$Y$2)*$K2318*$L2318*$M2318</f>
        <v/>
      </c>
      <c r="AA2318" s="14">
        <f>SUM(N2318:Y2318)</f>
        <v/>
      </c>
      <c r="AB2318" s="13">
        <f>SUMPRODUCT(N2318:Y2318,$N$3:$Y$3)*$K2318*$L2318*$M2318</f>
        <v/>
      </c>
      <c r="AC2318" s="13">
        <f>SUMPRODUCT(N2318:Y2318,$N$4:$Y$4)*$K2318*$L2318*$M2318</f>
        <v/>
      </c>
      <c r="AD2318" s="15" t="n">
        <v>3</v>
      </c>
      <c r="AE2318" s="11" t="n">
        <v>1.011296296296296</v>
      </c>
      <c r="AF2318" s="16">
        <f>SUMPRODUCT(N2318:Y2318,$N$5:$Y$5)*$K2318*$L2318*$M2318</f>
        <v/>
      </c>
      <c r="AG2318" s="16">
        <f>SUMPRODUCT(N2318:Y2318,$N$6:$Y$6)*$K2318*$L2318*$M2318</f>
        <v/>
      </c>
      <c r="AH2318" s="20" t="n"/>
    </row>
    <row r="2319">
      <c r="A2319" s="9" t="n">
        <v>693759</v>
      </c>
      <c r="B2319" s="9" t="inlineStr">
        <is>
          <t>Euri Montero</t>
        </is>
      </c>
      <c r="C2319" s="9" t="inlineStr">
        <is>
          <t>WSH</t>
        </is>
      </c>
      <c r="D2319" s="9" t="n">
        <v>25</v>
      </c>
      <c r="E2319" s="18" t="inlineStr">
        <is>
          <t>R</t>
        </is>
      </c>
      <c r="F2319" s="18" t="n"/>
      <c r="G2319" s="9" t="n">
        <v>34.97333333333333</v>
      </c>
      <c r="H2319" s="9" t="n">
        <v>34.97333333333333</v>
      </c>
      <c r="I2319" s="9" t="inlineStr">
        <is>
          <t>Depth (no MLB IP)</t>
        </is>
      </c>
      <c r="J2319" s="18" t="inlineStr">
        <is>
          <t>Opening Day</t>
        </is>
      </c>
      <c r="K2319" s="11">
        <f>IFERROR(INDEX(Roles!$B$17:$B$20,MATCH(J2319,Roles!$A$17:$A$20,0)),1)</f>
        <v/>
      </c>
      <c r="L2319" s="19" t="n">
        <v>1</v>
      </c>
      <c r="M2319" s="11" t="n">
        <v>1</v>
      </c>
      <c r="N2319" s="19" t="n"/>
      <c r="O2319" s="19" t="n"/>
      <c r="P2319" s="19" t="n"/>
      <c r="Q2319" s="19" t="n"/>
      <c r="R2319" s="19" t="n"/>
      <c r="S2319" s="19" t="n"/>
      <c r="T2319" s="19" t="n"/>
      <c r="U2319" s="19" t="n"/>
      <c r="V2319" s="19" t="n"/>
      <c r="W2319" s="19" t="n"/>
      <c r="X2319" s="19" t="n"/>
      <c r="Y2319" s="19" t="n">
        <v>1</v>
      </c>
      <c r="Z2319" s="13">
        <f>SUMPRODUCT(N2319:Y2319,$N$2:$Y$2)*$K2319*$L2319*$M2319</f>
        <v/>
      </c>
      <c r="AA2319" s="14">
        <f>SUM(N2319:Y2319)</f>
        <v/>
      </c>
      <c r="AB2319" s="13">
        <f>SUMPRODUCT(N2319:Y2319,$N$3:$Y$3)*$K2319*$L2319*$M2319</f>
        <v/>
      </c>
      <c r="AC2319" s="13">
        <f>SUMPRODUCT(N2319:Y2319,$N$4:$Y$4)*$K2319*$L2319*$M2319</f>
        <v/>
      </c>
      <c r="AD2319" s="15" t="n">
        <v>3</v>
      </c>
      <c r="AE2319" s="11" t="n">
        <v>1.011296296296296</v>
      </c>
      <c r="AF2319" s="16">
        <f>SUMPRODUCT(N2319:Y2319,$N$5:$Y$5)*$K2319*$L2319*$M2319</f>
        <v/>
      </c>
      <c r="AG2319" s="16">
        <f>SUMPRODUCT(N2319:Y2319,$N$6:$Y$6)*$K2319*$L2319*$M2319</f>
        <v/>
      </c>
      <c r="AH2319" s="20" t="n"/>
    </row>
    <row r="2320">
      <c r="A2320" s="9" t="n">
        <v>669358</v>
      </c>
      <c r="B2320" s="9" t="inlineStr">
        <is>
          <t>Shane Baz</t>
        </is>
      </c>
      <c r="C2320" s="9" t="inlineStr">
        <is>
          <t>BAL</t>
        </is>
      </c>
      <c r="D2320" s="9" t="n">
        <v>28</v>
      </c>
      <c r="E2320" s="18" t="inlineStr">
        <is>
          <t>R</t>
        </is>
      </c>
      <c r="F2320" s="18" t="n"/>
      <c r="G2320" s="9" t="n">
        <v>769</v>
      </c>
      <c r="H2320" s="9" t="n">
        <v>1916</v>
      </c>
      <c r="I2320" s="9" t="inlineStr">
        <is>
          <t>Mid-Rotation Starter (SP2-3)</t>
        </is>
      </c>
      <c r="J2320" s="18" t="inlineStr">
        <is>
          <t>Opening Day</t>
        </is>
      </c>
      <c r="K2320" s="11">
        <f>IFERROR(INDEX(Roles!$B$17:$B$20,MATCH(J2320,Roles!$A$17:$A$20,0)),1)</f>
        <v/>
      </c>
      <c r="L2320" s="19" t="n">
        <v>1</v>
      </c>
      <c r="M2320" s="11" t="n">
        <v>1</v>
      </c>
      <c r="N2320" s="19" t="n"/>
      <c r="O2320" s="19" t="n">
        <v>0.5</v>
      </c>
      <c r="P2320" s="19" t="n">
        <v>0.5</v>
      </c>
      <c r="Q2320" s="19" t="n"/>
      <c r="R2320" s="19" t="n"/>
      <c r="S2320" s="19" t="n"/>
      <c r="T2320" s="19" t="n"/>
      <c r="U2320" s="19" t="n"/>
      <c r="V2320" s="19" t="n"/>
      <c r="W2320" s="19" t="n"/>
      <c r="X2320" s="19" t="n"/>
      <c r="Y2320" s="19" t="n"/>
      <c r="Z2320" s="13">
        <f>SUMPRODUCT(N2320:Y2320,$N$2:$Y$2)*$K2320*$L2320*$M2320</f>
        <v/>
      </c>
      <c r="AA2320" s="14">
        <f>SUM(N2320:Y2320)</f>
        <v/>
      </c>
      <c r="AB2320" s="13">
        <f>SUMPRODUCT(N2320:Y2320,$N$3:$Y$3)*$K2320*$L2320*$M2320</f>
        <v/>
      </c>
      <c r="AC2320" s="13">
        <f>SUMPRODUCT(N2320:Y2320,$N$4:$Y$4)*$K2320*$L2320*$M2320</f>
        <v/>
      </c>
      <c r="AD2320" s="15" t="n">
        <v>27.3</v>
      </c>
      <c r="AE2320" s="11" t="n">
        <v>5.345273695149626</v>
      </c>
      <c r="AF2320" s="16">
        <f>SUMPRODUCT(N2320:Y2320,$N$5:$Y$5)*$K2320*$L2320*$M2320</f>
        <v/>
      </c>
      <c r="AG2320" s="16">
        <f>SUMPRODUCT(N2320:Y2320,$N$6:$Y$6)*$K2320*$L2320*$M2320</f>
        <v/>
      </c>
      <c r="AH2320" s="20" t="n"/>
    </row>
    <row r="2321">
      <c r="A2321" s="9" t="n">
        <v>822163</v>
      </c>
      <c r="B2321" s="9" t="inlineStr">
        <is>
          <t>Kellan Oakes</t>
        </is>
      </c>
      <c r="C2321" s="9" t="inlineStr">
        <is>
          <t>HOU</t>
        </is>
      </c>
      <c r="D2321" s="9" t="n">
        <v>25</v>
      </c>
      <c r="E2321" s="18" t="inlineStr">
        <is>
          <t>R</t>
        </is>
      </c>
      <c r="F2321" s="18" t="n"/>
      <c r="G2321" s="9" t="n">
        <v>34.97333333333333</v>
      </c>
      <c r="H2321" s="9" t="n">
        <v>34.97333333333333</v>
      </c>
      <c r="I2321" s="9" t="inlineStr">
        <is>
          <t>Depth (no MLB IP)</t>
        </is>
      </c>
      <c r="J2321" s="18" t="inlineStr">
        <is>
          <t>Opening Day</t>
        </is>
      </c>
      <c r="K2321" s="11">
        <f>IFERROR(INDEX(Roles!$B$17:$B$20,MATCH(J2321,Roles!$A$17:$A$20,0)),1)</f>
        <v/>
      </c>
      <c r="L2321" s="19" t="n">
        <v>1</v>
      </c>
      <c r="M2321" s="11" t="n">
        <v>1</v>
      </c>
      <c r="N2321" s="19" t="n"/>
      <c r="O2321" s="19" t="n"/>
      <c r="P2321" s="19" t="n"/>
      <c r="Q2321" s="19" t="n"/>
      <c r="R2321" s="19" t="n"/>
      <c r="S2321" s="19" t="n"/>
      <c r="T2321" s="19" t="n"/>
      <c r="U2321" s="19" t="n"/>
      <c r="V2321" s="19" t="n"/>
      <c r="W2321" s="19" t="n"/>
      <c r="X2321" s="19" t="n"/>
      <c r="Y2321" s="19" t="n">
        <v>1</v>
      </c>
      <c r="Z2321" s="13">
        <f>SUMPRODUCT(N2321:Y2321,$N$2:$Y$2)*$K2321*$L2321*$M2321</f>
        <v/>
      </c>
      <c r="AA2321" s="14">
        <f>SUM(N2321:Y2321)</f>
        <v/>
      </c>
      <c r="AB2321" s="13">
        <f>SUMPRODUCT(N2321:Y2321,$N$3:$Y$3)*$K2321*$L2321*$M2321</f>
        <v/>
      </c>
      <c r="AC2321" s="13">
        <f>SUMPRODUCT(N2321:Y2321,$N$4:$Y$4)*$K2321*$L2321*$M2321</f>
        <v/>
      </c>
      <c r="AD2321" s="15" t="n">
        <v>3</v>
      </c>
      <c r="AE2321" s="11" t="n">
        <v>1.011296296296296</v>
      </c>
      <c r="AF2321" s="16">
        <f>SUMPRODUCT(N2321:Y2321,$N$5:$Y$5)*$K2321*$L2321*$M2321</f>
        <v/>
      </c>
      <c r="AG2321" s="16">
        <f>SUMPRODUCT(N2321:Y2321,$N$6:$Y$6)*$K2321*$L2321*$M2321</f>
        <v/>
      </c>
      <c r="AH2321" s="20" t="n"/>
    </row>
    <row r="2322">
      <c r="A2322" s="9" t="n">
        <v>663336</v>
      </c>
      <c r="B2322" s="9" t="inlineStr">
        <is>
          <t>Aaron Shortridge</t>
        </is>
      </c>
      <c r="C2322" s="9" t="inlineStr">
        <is>
          <t>PIT</t>
        </is>
      </c>
      <c r="D2322" s="9" t="n">
        <v>25</v>
      </c>
      <c r="E2322" s="18" t="inlineStr">
        <is>
          <t>R</t>
        </is>
      </c>
      <c r="F2322" s="18" t="n"/>
      <c r="G2322" s="9" t="n">
        <v>35.11666666666666</v>
      </c>
      <c r="H2322" s="9" t="n">
        <v>35.11666666666666</v>
      </c>
      <c r="I2322" s="9" t="inlineStr">
        <is>
          <t>Depth (no MLB IP)</t>
        </is>
      </c>
      <c r="J2322" s="18" t="inlineStr">
        <is>
          <t>Opening Day</t>
        </is>
      </c>
      <c r="K2322" s="11">
        <f>IFERROR(INDEX(Roles!$B$17:$B$20,MATCH(J2322,Roles!$A$17:$A$20,0)),1)</f>
        <v/>
      </c>
      <c r="L2322" s="19" t="n">
        <v>1</v>
      </c>
      <c r="M2322" s="11" t="n">
        <v>1</v>
      </c>
      <c r="N2322" s="19" t="n"/>
      <c r="O2322" s="19" t="n"/>
      <c r="P2322" s="19" t="n"/>
      <c r="Q2322" s="19" t="n"/>
      <c r="R2322" s="19" t="n"/>
      <c r="S2322" s="19" t="n"/>
      <c r="T2322" s="19" t="n"/>
      <c r="U2322" s="19" t="n"/>
      <c r="V2322" s="19" t="n"/>
      <c r="W2322" s="19" t="n"/>
      <c r="X2322" s="19" t="n"/>
      <c r="Y2322" s="19" t="n">
        <v>1</v>
      </c>
      <c r="Z2322" s="13">
        <f>SUMPRODUCT(N2322:Y2322,$N$2:$Y$2)*$K2322*$L2322*$M2322</f>
        <v/>
      </c>
      <c r="AA2322" s="14">
        <f>SUM(N2322:Y2322)</f>
        <v/>
      </c>
      <c r="AB2322" s="13">
        <f>SUMPRODUCT(N2322:Y2322,$N$3:$Y$3)*$K2322*$L2322*$M2322</f>
        <v/>
      </c>
      <c r="AC2322" s="13">
        <f>SUMPRODUCT(N2322:Y2322,$N$4:$Y$4)*$K2322*$L2322*$M2322</f>
        <v/>
      </c>
      <c r="AD2322" s="15" t="n">
        <v>3</v>
      </c>
      <c r="AE2322" s="11" t="n">
        <v>1.011296296296296</v>
      </c>
      <c r="AF2322" s="16">
        <f>SUMPRODUCT(N2322:Y2322,$N$5:$Y$5)*$K2322*$L2322*$M2322</f>
        <v/>
      </c>
      <c r="AG2322" s="16">
        <f>SUMPRODUCT(N2322:Y2322,$N$6:$Y$6)*$K2322*$L2322*$M2322</f>
        <v/>
      </c>
      <c r="AH2322" s="20" t="n"/>
    </row>
    <row r="2323">
      <c r="A2323" s="9" t="n">
        <v>829473</v>
      </c>
      <c r="B2323" s="9" t="inlineStr">
        <is>
          <t>Chung-Hsiang Huang</t>
        </is>
      </c>
      <c r="C2323" s="9" t="inlineStr">
        <is>
          <t>ARI</t>
        </is>
      </c>
      <c r="D2323" s="9" t="n">
        <v>25</v>
      </c>
      <c r="E2323" s="18" t="inlineStr">
        <is>
          <t>R</t>
        </is>
      </c>
      <c r="F2323" s="18" t="n"/>
      <c r="G2323" s="9" t="n">
        <v>35.08799999999999</v>
      </c>
      <c r="H2323" s="9" t="n">
        <v>35.08799999999999</v>
      </c>
      <c r="I2323" s="9" t="inlineStr">
        <is>
          <t>Depth (no MLB IP)</t>
        </is>
      </c>
      <c r="J2323" s="18" t="inlineStr">
        <is>
          <t>Opening Day</t>
        </is>
      </c>
      <c r="K2323" s="11">
        <f>IFERROR(INDEX(Roles!$B$17:$B$20,MATCH(J2323,Roles!$A$17:$A$20,0)),1)</f>
        <v/>
      </c>
      <c r="L2323" s="19" t="n">
        <v>1</v>
      </c>
      <c r="M2323" s="11" t="n">
        <v>1</v>
      </c>
      <c r="N2323" s="19" t="n"/>
      <c r="O2323" s="19" t="n"/>
      <c r="P2323" s="19" t="n"/>
      <c r="Q2323" s="19" t="n"/>
      <c r="R2323" s="19" t="n"/>
      <c r="S2323" s="19" t="n"/>
      <c r="T2323" s="19" t="n"/>
      <c r="U2323" s="19" t="n"/>
      <c r="V2323" s="19" t="n"/>
      <c r="W2323" s="19" t="n"/>
      <c r="X2323" s="19" t="n"/>
      <c r="Y2323" s="19" t="n">
        <v>1</v>
      </c>
      <c r="Z2323" s="13">
        <f>SUMPRODUCT(N2323:Y2323,$N$2:$Y$2)*$K2323*$L2323*$M2323</f>
        <v/>
      </c>
      <c r="AA2323" s="14">
        <f>SUM(N2323:Y2323)</f>
        <v/>
      </c>
      <c r="AB2323" s="13">
        <f>SUMPRODUCT(N2323:Y2323,$N$3:$Y$3)*$K2323*$L2323*$M2323</f>
        <v/>
      </c>
      <c r="AC2323" s="13">
        <f>SUMPRODUCT(N2323:Y2323,$N$4:$Y$4)*$K2323*$L2323*$M2323</f>
        <v/>
      </c>
      <c r="AD2323" s="15" t="n">
        <v>3</v>
      </c>
      <c r="AE2323" s="11" t="n">
        <v>1.011296296296296</v>
      </c>
      <c r="AF2323" s="16">
        <f>SUMPRODUCT(N2323:Y2323,$N$5:$Y$5)*$K2323*$L2323*$M2323</f>
        <v/>
      </c>
      <c r="AG2323" s="16">
        <f>SUMPRODUCT(N2323:Y2323,$N$6:$Y$6)*$K2323*$L2323*$M2323</f>
        <v/>
      </c>
      <c r="AH2323" s="20" t="n"/>
    </row>
    <row r="2324">
      <c r="A2324" s="9" t="n">
        <v>702622</v>
      </c>
      <c r="B2324" s="9" t="inlineStr">
        <is>
          <t>Griffin Herring</t>
        </is>
      </c>
      <c r="C2324" s="9" t="inlineStr">
        <is>
          <t>COL</t>
        </is>
      </c>
      <c r="D2324" s="9" t="n">
        <v>25</v>
      </c>
      <c r="E2324" s="18" t="inlineStr">
        <is>
          <t>L</t>
        </is>
      </c>
      <c r="F2324" s="18" t="n"/>
      <c r="G2324" s="9" t="n">
        <v>35.11666666666666</v>
      </c>
      <c r="H2324" s="9" t="n">
        <v>35.11666666666666</v>
      </c>
      <c r="I2324" s="9" t="inlineStr">
        <is>
          <t>Depth (no MLB IP)</t>
        </is>
      </c>
      <c r="J2324" s="18" t="inlineStr">
        <is>
          <t>Opening Day</t>
        </is>
      </c>
      <c r="K2324" s="11">
        <f>IFERROR(INDEX(Roles!$B$17:$B$20,MATCH(J2324,Roles!$A$17:$A$20,0)),1)</f>
        <v/>
      </c>
      <c r="L2324" s="19" t="n">
        <v>1</v>
      </c>
      <c r="M2324" s="11" t="n">
        <v>1</v>
      </c>
      <c r="N2324" s="19" t="n"/>
      <c r="O2324" s="19" t="n"/>
      <c r="P2324" s="19" t="n"/>
      <c r="Q2324" s="19" t="n"/>
      <c r="R2324" s="19" t="n"/>
      <c r="S2324" s="19" t="n"/>
      <c r="T2324" s="19" t="n"/>
      <c r="U2324" s="19" t="n"/>
      <c r="V2324" s="19" t="n"/>
      <c r="W2324" s="19" t="n"/>
      <c r="X2324" s="19" t="n"/>
      <c r="Y2324" s="19" t="n">
        <v>1</v>
      </c>
      <c r="Z2324" s="13">
        <f>SUMPRODUCT(N2324:Y2324,$N$2:$Y$2)*$K2324*$L2324*$M2324</f>
        <v/>
      </c>
      <c r="AA2324" s="14">
        <f>SUM(N2324:Y2324)</f>
        <v/>
      </c>
      <c r="AB2324" s="13">
        <f>SUMPRODUCT(N2324:Y2324,$N$3:$Y$3)*$K2324*$L2324*$M2324</f>
        <v/>
      </c>
      <c r="AC2324" s="13">
        <f>SUMPRODUCT(N2324:Y2324,$N$4:$Y$4)*$K2324*$L2324*$M2324</f>
        <v/>
      </c>
      <c r="AD2324" s="15" t="n">
        <v>3</v>
      </c>
      <c r="AE2324" s="11" t="n">
        <v>1.011296296296296</v>
      </c>
      <c r="AF2324" s="16">
        <f>SUMPRODUCT(N2324:Y2324,$N$5:$Y$5)*$K2324*$L2324*$M2324</f>
        <v/>
      </c>
      <c r="AG2324" s="16">
        <f>SUMPRODUCT(N2324:Y2324,$N$6:$Y$6)*$K2324*$L2324*$M2324</f>
        <v/>
      </c>
      <c r="AH2324" s="20" t="n"/>
    </row>
    <row r="2325">
      <c r="A2325" s="9" t="n">
        <v>695384</v>
      </c>
      <c r="B2325" s="9" t="inlineStr">
        <is>
          <t>Cannon Pickell</t>
        </is>
      </c>
      <c r="C2325" s="9" t="inlineStr">
        <is>
          <t>MIA</t>
        </is>
      </c>
      <c r="D2325" s="9" t="n">
        <v>25</v>
      </c>
      <c r="E2325" s="18" t="inlineStr">
        <is>
          <t>R</t>
        </is>
      </c>
      <c r="F2325" s="18" t="n"/>
      <c r="G2325" s="9" t="n">
        <v>35.26</v>
      </c>
      <c r="H2325" s="9" t="n">
        <v>35.26</v>
      </c>
      <c r="I2325" s="9" t="inlineStr">
        <is>
          <t>Depth (no MLB IP)</t>
        </is>
      </c>
      <c r="J2325" s="18" t="inlineStr">
        <is>
          <t>Opening Day</t>
        </is>
      </c>
      <c r="K2325" s="11">
        <f>IFERROR(INDEX(Roles!$B$17:$B$20,MATCH(J2325,Roles!$A$17:$A$20,0)),1)</f>
        <v/>
      </c>
      <c r="L2325" s="19" t="n">
        <v>1</v>
      </c>
      <c r="M2325" s="11" t="n">
        <v>1</v>
      </c>
      <c r="N2325" s="19" t="n"/>
      <c r="O2325" s="19" t="n"/>
      <c r="P2325" s="19" t="n"/>
      <c r="Q2325" s="19" t="n"/>
      <c r="R2325" s="19" t="n"/>
      <c r="S2325" s="19" t="n"/>
      <c r="T2325" s="19" t="n"/>
      <c r="U2325" s="19" t="n"/>
      <c r="V2325" s="19" t="n"/>
      <c r="W2325" s="19" t="n"/>
      <c r="X2325" s="19" t="n"/>
      <c r="Y2325" s="19" t="n">
        <v>1</v>
      </c>
      <c r="Z2325" s="13">
        <f>SUMPRODUCT(N2325:Y2325,$N$2:$Y$2)*$K2325*$L2325*$M2325</f>
        <v/>
      </c>
      <c r="AA2325" s="14">
        <f>SUM(N2325:Y2325)</f>
        <v/>
      </c>
      <c r="AB2325" s="13">
        <f>SUMPRODUCT(N2325:Y2325,$N$3:$Y$3)*$K2325*$L2325*$M2325</f>
        <v/>
      </c>
      <c r="AC2325" s="13">
        <f>SUMPRODUCT(N2325:Y2325,$N$4:$Y$4)*$K2325*$L2325*$M2325</f>
        <v/>
      </c>
      <c r="AD2325" s="15" t="n">
        <v>3</v>
      </c>
      <c r="AE2325" s="11" t="n">
        <v>1.011296296296296</v>
      </c>
      <c r="AF2325" s="16">
        <f>SUMPRODUCT(N2325:Y2325,$N$5:$Y$5)*$K2325*$L2325*$M2325</f>
        <v/>
      </c>
      <c r="AG2325" s="16">
        <f>SUMPRODUCT(N2325:Y2325,$N$6:$Y$6)*$K2325*$L2325*$M2325</f>
        <v/>
      </c>
      <c r="AH2325" s="20" t="n"/>
    </row>
    <row r="2326">
      <c r="A2326" s="9" t="n">
        <v>806583</v>
      </c>
      <c r="B2326" s="9" t="inlineStr">
        <is>
          <t>Adonys Perez</t>
        </is>
      </c>
      <c r="C2326" s="9" t="inlineStr">
        <is>
          <t>ARI</t>
        </is>
      </c>
      <c r="D2326" s="9" t="n">
        <v>25</v>
      </c>
      <c r="E2326" s="18" t="inlineStr">
        <is>
          <t>L</t>
        </is>
      </c>
      <c r="F2326" s="18" t="n"/>
      <c r="G2326" s="9" t="n">
        <v>35.11666666666666</v>
      </c>
      <c r="H2326" s="9" t="n">
        <v>35.11666666666666</v>
      </c>
      <c r="I2326" s="9" t="inlineStr">
        <is>
          <t>Depth (no MLB IP)</t>
        </is>
      </c>
      <c r="J2326" s="18" t="inlineStr">
        <is>
          <t>Opening Day</t>
        </is>
      </c>
      <c r="K2326" s="11">
        <f>IFERROR(INDEX(Roles!$B$17:$B$20,MATCH(J2326,Roles!$A$17:$A$20,0)),1)</f>
        <v/>
      </c>
      <c r="L2326" s="19" t="n">
        <v>1</v>
      </c>
      <c r="M2326" s="11" t="n">
        <v>1</v>
      </c>
      <c r="N2326" s="19" t="n"/>
      <c r="O2326" s="19" t="n"/>
      <c r="P2326" s="19" t="n"/>
      <c r="Q2326" s="19" t="n"/>
      <c r="R2326" s="19" t="n"/>
      <c r="S2326" s="19" t="n"/>
      <c r="T2326" s="19" t="n"/>
      <c r="U2326" s="19" t="n"/>
      <c r="V2326" s="19" t="n"/>
      <c r="W2326" s="19" t="n"/>
      <c r="X2326" s="19" t="n"/>
      <c r="Y2326" s="19" t="n">
        <v>1</v>
      </c>
      <c r="Z2326" s="13">
        <f>SUMPRODUCT(N2326:Y2326,$N$2:$Y$2)*$K2326*$L2326*$M2326</f>
        <v/>
      </c>
      <c r="AA2326" s="14">
        <f>SUM(N2326:Y2326)</f>
        <v/>
      </c>
      <c r="AB2326" s="13">
        <f>SUMPRODUCT(N2326:Y2326,$N$3:$Y$3)*$K2326*$L2326*$M2326</f>
        <v/>
      </c>
      <c r="AC2326" s="13">
        <f>SUMPRODUCT(N2326:Y2326,$N$4:$Y$4)*$K2326*$L2326*$M2326</f>
        <v/>
      </c>
      <c r="AD2326" s="15" t="n">
        <v>3</v>
      </c>
      <c r="AE2326" s="11" t="n">
        <v>1.011296296296296</v>
      </c>
      <c r="AF2326" s="16">
        <f>SUMPRODUCT(N2326:Y2326,$N$5:$Y$5)*$K2326*$L2326*$M2326</f>
        <v/>
      </c>
      <c r="AG2326" s="16">
        <f>SUMPRODUCT(N2326:Y2326,$N$6:$Y$6)*$K2326*$L2326*$M2326</f>
        <v/>
      </c>
      <c r="AH2326" s="20" t="n"/>
    </row>
    <row r="2327">
      <c r="A2327" s="9" t="n">
        <v>802192</v>
      </c>
      <c r="B2327" s="9" t="inlineStr">
        <is>
          <t>Daniel Corniel</t>
        </is>
      </c>
      <c r="C2327" s="9" t="inlineStr">
        <is>
          <t>MIL</t>
        </is>
      </c>
      <c r="D2327" s="9" t="n">
        <v>25</v>
      </c>
      <c r="E2327" s="18" t="inlineStr">
        <is>
          <t>R</t>
        </is>
      </c>
      <c r="F2327" s="18" t="n"/>
      <c r="G2327" s="9" t="n">
        <v>35.26</v>
      </c>
      <c r="H2327" s="9" t="n">
        <v>35.26</v>
      </c>
      <c r="I2327" s="9" t="inlineStr">
        <is>
          <t>Depth (no MLB IP)</t>
        </is>
      </c>
      <c r="J2327" s="18" t="inlineStr">
        <is>
          <t>Opening Day</t>
        </is>
      </c>
      <c r="K2327" s="11">
        <f>IFERROR(INDEX(Roles!$B$17:$B$20,MATCH(J2327,Roles!$A$17:$A$20,0)),1)</f>
        <v/>
      </c>
      <c r="L2327" s="19" t="n">
        <v>1</v>
      </c>
      <c r="M2327" s="11" t="n">
        <v>1</v>
      </c>
      <c r="N2327" s="19" t="n"/>
      <c r="O2327" s="19" t="n"/>
      <c r="P2327" s="19" t="n"/>
      <c r="Q2327" s="19" t="n"/>
      <c r="R2327" s="19" t="n"/>
      <c r="S2327" s="19" t="n"/>
      <c r="T2327" s="19" t="n"/>
      <c r="U2327" s="19" t="n"/>
      <c r="V2327" s="19" t="n"/>
      <c r="W2327" s="19" t="n"/>
      <c r="X2327" s="19" t="n"/>
      <c r="Y2327" s="19" t="n">
        <v>1</v>
      </c>
      <c r="Z2327" s="13">
        <f>SUMPRODUCT(N2327:Y2327,$N$2:$Y$2)*$K2327*$L2327*$M2327</f>
        <v/>
      </c>
      <c r="AA2327" s="14">
        <f>SUM(N2327:Y2327)</f>
        <v/>
      </c>
      <c r="AB2327" s="13">
        <f>SUMPRODUCT(N2327:Y2327,$N$3:$Y$3)*$K2327*$L2327*$M2327</f>
        <v/>
      </c>
      <c r="AC2327" s="13">
        <f>SUMPRODUCT(N2327:Y2327,$N$4:$Y$4)*$K2327*$L2327*$M2327</f>
        <v/>
      </c>
      <c r="AD2327" s="15" t="n">
        <v>3</v>
      </c>
      <c r="AE2327" s="11" t="n">
        <v>1.011296296296296</v>
      </c>
      <c r="AF2327" s="16">
        <f>SUMPRODUCT(N2327:Y2327,$N$5:$Y$5)*$K2327*$L2327*$M2327</f>
        <v/>
      </c>
      <c r="AG2327" s="16">
        <f>SUMPRODUCT(N2327:Y2327,$N$6:$Y$6)*$K2327*$L2327*$M2327</f>
        <v/>
      </c>
      <c r="AH2327" s="20" t="n"/>
    </row>
    <row r="2328">
      <c r="A2328" s="9" t="n">
        <v>688944</v>
      </c>
      <c r="B2328" s="9" t="inlineStr">
        <is>
          <t>Max Gieg</t>
        </is>
      </c>
      <c r="C2328" s="9" t="inlineStr">
        <is>
          <t>LAA</t>
        </is>
      </c>
      <c r="D2328" s="9" t="n">
        <v>25</v>
      </c>
      <c r="E2328" s="18" t="inlineStr">
        <is>
          <t>R</t>
        </is>
      </c>
      <c r="F2328" s="18" t="n"/>
      <c r="G2328" s="9" t="n">
        <v>35.26</v>
      </c>
      <c r="H2328" s="9" t="n">
        <v>35.26</v>
      </c>
      <c r="I2328" s="9" t="inlineStr">
        <is>
          <t>Depth (no MLB IP)</t>
        </is>
      </c>
      <c r="J2328" s="18" t="inlineStr">
        <is>
          <t>Opening Day</t>
        </is>
      </c>
      <c r="K2328" s="11">
        <f>IFERROR(INDEX(Roles!$B$17:$B$20,MATCH(J2328,Roles!$A$17:$A$20,0)),1)</f>
        <v/>
      </c>
      <c r="L2328" s="19" t="n">
        <v>1</v>
      </c>
      <c r="M2328" s="11" t="n">
        <v>1</v>
      </c>
      <c r="N2328" s="19" t="n"/>
      <c r="O2328" s="19" t="n"/>
      <c r="P2328" s="19" t="n"/>
      <c r="Q2328" s="19" t="n"/>
      <c r="R2328" s="19" t="n"/>
      <c r="S2328" s="19" t="n"/>
      <c r="T2328" s="19" t="n"/>
      <c r="U2328" s="19" t="n"/>
      <c r="V2328" s="19" t="n"/>
      <c r="W2328" s="19" t="n"/>
      <c r="X2328" s="19" t="n"/>
      <c r="Y2328" s="19" t="n">
        <v>1</v>
      </c>
      <c r="Z2328" s="13">
        <f>SUMPRODUCT(N2328:Y2328,$N$2:$Y$2)*$K2328*$L2328*$M2328</f>
        <v/>
      </c>
      <c r="AA2328" s="14">
        <f>SUM(N2328:Y2328)</f>
        <v/>
      </c>
      <c r="AB2328" s="13">
        <f>SUMPRODUCT(N2328:Y2328,$N$3:$Y$3)*$K2328*$L2328*$M2328</f>
        <v/>
      </c>
      <c r="AC2328" s="13">
        <f>SUMPRODUCT(N2328:Y2328,$N$4:$Y$4)*$K2328*$L2328*$M2328</f>
        <v/>
      </c>
      <c r="AD2328" s="15" t="n">
        <v>3</v>
      </c>
      <c r="AE2328" s="11" t="n">
        <v>1.011296296296296</v>
      </c>
      <c r="AF2328" s="16">
        <f>SUMPRODUCT(N2328:Y2328,$N$5:$Y$5)*$K2328*$L2328*$M2328</f>
        <v/>
      </c>
      <c r="AG2328" s="16">
        <f>SUMPRODUCT(N2328:Y2328,$N$6:$Y$6)*$K2328*$L2328*$M2328</f>
        <v/>
      </c>
      <c r="AH2328" s="20" t="n"/>
    </row>
    <row r="2329">
      <c r="A2329" s="9" t="n">
        <v>815081</v>
      </c>
      <c r="B2329" s="9" t="inlineStr">
        <is>
          <t>Mark Manfredi</t>
        </is>
      </c>
      <c r="C2329" s="9" t="inlineStr">
        <is>
          <t>COL</t>
        </is>
      </c>
      <c r="D2329" s="9" t="n">
        <v>27</v>
      </c>
      <c r="E2329" s="18" t="inlineStr">
        <is>
          <t>L</t>
        </is>
      </c>
      <c r="F2329" s="18" t="n"/>
      <c r="G2329" s="9" t="n">
        <v>75</v>
      </c>
      <c r="H2329" s="9" t="n">
        <v>75</v>
      </c>
      <c r="I2329" s="9" t="inlineStr">
        <is>
          <t>Swing Arm / Long Relief</t>
        </is>
      </c>
      <c r="J2329" s="18" t="inlineStr">
        <is>
          <t>Opening Day</t>
        </is>
      </c>
      <c r="K2329" s="11">
        <f>IFERROR(INDEX(Roles!$B$17:$B$20,MATCH(J2329,Roles!$A$17:$A$20,0)),1)</f>
        <v/>
      </c>
      <c r="L2329" s="19" t="n">
        <v>1</v>
      </c>
      <c r="M2329" s="11" t="n">
        <v>1</v>
      </c>
      <c r="N2329" s="19" t="n"/>
      <c r="O2329" s="19" t="n"/>
      <c r="P2329" s="19" t="n"/>
      <c r="Q2329" s="19" t="n"/>
      <c r="R2329" s="19" t="n">
        <v>0.6</v>
      </c>
      <c r="S2329" s="19" t="n"/>
      <c r="T2329" s="19" t="n"/>
      <c r="U2329" s="19" t="n"/>
      <c r="V2329" s="19" t="n"/>
      <c r="W2329" s="19" t="n">
        <v>0.4</v>
      </c>
      <c r="X2329" s="19" t="n"/>
      <c r="Y2329" s="19" t="n"/>
      <c r="Z2329" s="13">
        <f>SUMPRODUCT(N2329:Y2329,$N$2:$Y$2)*$K2329*$L2329*$M2329</f>
        <v/>
      </c>
      <c r="AA2329" s="14">
        <f>SUM(N2329:Y2329)</f>
        <v/>
      </c>
      <c r="AB2329" s="13">
        <f>SUMPRODUCT(N2329:Y2329,$N$3:$Y$3)*$K2329*$L2329*$M2329</f>
        <v/>
      </c>
      <c r="AC2329" s="13">
        <f>SUMPRODUCT(N2329:Y2329,$N$4:$Y$4)*$K2329*$L2329*$M2329</f>
        <v/>
      </c>
      <c r="AD2329" s="15" t="n">
        <v>16.53333333333333</v>
      </c>
      <c r="AE2329" s="11" t="n">
        <v>2.08912308092636</v>
      </c>
      <c r="AF2329" s="16">
        <f>SUMPRODUCT(N2329:Y2329,$N$5:$Y$5)*$K2329*$L2329*$M2329</f>
        <v/>
      </c>
      <c r="AG2329" s="16">
        <f>SUMPRODUCT(N2329:Y2329,$N$6:$Y$6)*$K2329*$L2329*$M2329</f>
        <v/>
      </c>
      <c r="AH2329" s="20" t="n"/>
    </row>
    <row r="2330">
      <c r="A2330" s="9" t="n">
        <v>826466</v>
      </c>
      <c r="B2330" s="9" t="inlineStr">
        <is>
          <t>Winyer Chourio</t>
        </is>
      </c>
      <c r="C2330" s="9" t="inlineStr">
        <is>
          <t>SD</t>
        </is>
      </c>
      <c r="D2330" s="9" t="n">
        <v>25</v>
      </c>
      <c r="E2330" s="18" t="inlineStr">
        <is>
          <t>R</t>
        </is>
      </c>
      <c r="F2330" s="18" t="n"/>
      <c r="G2330" s="9" t="n">
        <v>35.26</v>
      </c>
      <c r="H2330" s="9" t="n">
        <v>35.26</v>
      </c>
      <c r="I2330" s="9" t="inlineStr">
        <is>
          <t>Depth (no MLB IP)</t>
        </is>
      </c>
      <c r="J2330" s="18" t="inlineStr">
        <is>
          <t>Opening Day</t>
        </is>
      </c>
      <c r="K2330" s="11">
        <f>IFERROR(INDEX(Roles!$B$17:$B$20,MATCH(J2330,Roles!$A$17:$A$20,0)),1)</f>
        <v/>
      </c>
      <c r="L2330" s="19" t="n">
        <v>1</v>
      </c>
      <c r="M2330" s="11" t="n">
        <v>1</v>
      </c>
      <c r="N2330" s="19" t="n"/>
      <c r="O2330" s="19" t="n"/>
      <c r="P2330" s="19" t="n"/>
      <c r="Q2330" s="19" t="n"/>
      <c r="R2330" s="19" t="n"/>
      <c r="S2330" s="19" t="n"/>
      <c r="T2330" s="19" t="n"/>
      <c r="U2330" s="19" t="n"/>
      <c r="V2330" s="19" t="n"/>
      <c r="W2330" s="19" t="n"/>
      <c r="X2330" s="19" t="n"/>
      <c r="Y2330" s="19" t="n">
        <v>1</v>
      </c>
      <c r="Z2330" s="13">
        <f>SUMPRODUCT(N2330:Y2330,$N$2:$Y$2)*$K2330*$L2330*$M2330</f>
        <v/>
      </c>
      <c r="AA2330" s="14">
        <f>SUM(N2330:Y2330)</f>
        <v/>
      </c>
      <c r="AB2330" s="13">
        <f>SUMPRODUCT(N2330:Y2330,$N$3:$Y$3)*$K2330*$L2330*$M2330</f>
        <v/>
      </c>
      <c r="AC2330" s="13">
        <f>SUMPRODUCT(N2330:Y2330,$N$4:$Y$4)*$K2330*$L2330*$M2330</f>
        <v/>
      </c>
      <c r="AD2330" s="15" t="n">
        <v>3</v>
      </c>
      <c r="AE2330" s="11" t="n">
        <v>1.011296296296296</v>
      </c>
      <c r="AF2330" s="16">
        <f>SUMPRODUCT(N2330:Y2330,$N$5:$Y$5)*$K2330*$L2330*$M2330</f>
        <v/>
      </c>
      <c r="AG2330" s="16">
        <f>SUMPRODUCT(N2330:Y2330,$N$6:$Y$6)*$K2330*$L2330*$M2330</f>
        <v/>
      </c>
      <c r="AH2330" s="20" t="n"/>
    </row>
    <row r="2331">
      <c r="A2331" s="9" t="n">
        <v>823932</v>
      </c>
      <c r="B2331" s="9" t="inlineStr">
        <is>
          <t>Jordan Henriquez</t>
        </is>
      </c>
      <c r="C2331" s="9" t="inlineStr">
        <is>
          <t>CHC</t>
        </is>
      </c>
      <c r="D2331" s="9" t="n">
        <v>25</v>
      </c>
      <c r="E2331" s="18" t="inlineStr">
        <is>
          <t>R</t>
        </is>
      </c>
      <c r="F2331" s="18" t="n"/>
      <c r="G2331" s="9" t="n">
        <v>35.26</v>
      </c>
      <c r="H2331" s="9" t="n">
        <v>35.26</v>
      </c>
      <c r="I2331" s="9" t="inlineStr">
        <is>
          <t>Depth (no MLB IP)</t>
        </is>
      </c>
      <c r="J2331" s="18" t="inlineStr">
        <is>
          <t>Opening Day</t>
        </is>
      </c>
      <c r="K2331" s="11">
        <f>IFERROR(INDEX(Roles!$B$17:$B$20,MATCH(J2331,Roles!$A$17:$A$20,0)),1)</f>
        <v/>
      </c>
      <c r="L2331" s="19" t="n">
        <v>1</v>
      </c>
      <c r="M2331" s="11" t="n">
        <v>1</v>
      </c>
      <c r="N2331" s="19" t="n"/>
      <c r="O2331" s="19" t="n"/>
      <c r="P2331" s="19" t="n"/>
      <c r="Q2331" s="19" t="n"/>
      <c r="R2331" s="19" t="n"/>
      <c r="S2331" s="19" t="n"/>
      <c r="T2331" s="19" t="n"/>
      <c r="U2331" s="19" t="n"/>
      <c r="V2331" s="19" t="n"/>
      <c r="W2331" s="19" t="n"/>
      <c r="X2331" s="19" t="n"/>
      <c r="Y2331" s="19" t="n">
        <v>1</v>
      </c>
      <c r="Z2331" s="13">
        <f>SUMPRODUCT(N2331:Y2331,$N$2:$Y$2)*$K2331*$L2331*$M2331</f>
        <v/>
      </c>
      <c r="AA2331" s="14">
        <f>SUM(N2331:Y2331)</f>
        <v/>
      </c>
      <c r="AB2331" s="13">
        <f>SUMPRODUCT(N2331:Y2331,$N$3:$Y$3)*$K2331*$L2331*$M2331</f>
        <v/>
      </c>
      <c r="AC2331" s="13">
        <f>SUMPRODUCT(N2331:Y2331,$N$4:$Y$4)*$K2331*$L2331*$M2331</f>
        <v/>
      </c>
      <c r="AD2331" s="15" t="n">
        <v>3</v>
      </c>
      <c r="AE2331" s="11" t="n">
        <v>1.011296296296296</v>
      </c>
      <c r="AF2331" s="16">
        <f>SUMPRODUCT(N2331:Y2331,$N$5:$Y$5)*$K2331*$L2331*$M2331</f>
        <v/>
      </c>
      <c r="AG2331" s="16">
        <f>SUMPRODUCT(N2331:Y2331,$N$6:$Y$6)*$K2331*$L2331*$M2331</f>
        <v/>
      </c>
      <c r="AH2331" s="20" t="n"/>
    </row>
    <row r="2332">
      <c r="A2332" s="9" t="n">
        <v>810897</v>
      </c>
      <c r="B2332" s="9" t="inlineStr">
        <is>
          <t>Charlie Beilenson</t>
        </is>
      </c>
      <c r="C2332" s="9" t="inlineStr">
        <is>
          <t>SEA</t>
        </is>
      </c>
      <c r="D2332" s="9" t="n">
        <v>25</v>
      </c>
      <c r="E2332" s="18" t="inlineStr">
        <is>
          <t>R</t>
        </is>
      </c>
      <c r="F2332" s="18" t="n"/>
      <c r="G2332" s="9" t="n">
        <v>35.475</v>
      </c>
      <c r="H2332" s="9" t="n">
        <v>35.475</v>
      </c>
      <c r="I2332" s="9" t="inlineStr">
        <is>
          <t>Depth (no MLB IP)</t>
        </is>
      </c>
      <c r="J2332" s="18" t="inlineStr">
        <is>
          <t>Opening Day</t>
        </is>
      </c>
      <c r="K2332" s="11">
        <f>IFERROR(INDEX(Roles!$B$17:$B$20,MATCH(J2332,Roles!$A$17:$A$20,0)),1)</f>
        <v/>
      </c>
      <c r="L2332" s="19" t="n">
        <v>1</v>
      </c>
      <c r="M2332" s="11" t="n">
        <v>1</v>
      </c>
      <c r="N2332" s="19" t="n"/>
      <c r="O2332" s="19" t="n"/>
      <c r="P2332" s="19" t="n"/>
      <c r="Q2332" s="19" t="n"/>
      <c r="R2332" s="19" t="n"/>
      <c r="S2332" s="19" t="n"/>
      <c r="T2332" s="19" t="n"/>
      <c r="U2332" s="19" t="n"/>
      <c r="V2332" s="19" t="n"/>
      <c r="W2332" s="19" t="n"/>
      <c r="X2332" s="19" t="n"/>
      <c r="Y2332" s="19" t="n">
        <v>1</v>
      </c>
      <c r="Z2332" s="13">
        <f>SUMPRODUCT(N2332:Y2332,$N$2:$Y$2)*$K2332*$L2332*$M2332</f>
        <v/>
      </c>
      <c r="AA2332" s="14">
        <f>SUM(N2332:Y2332)</f>
        <v/>
      </c>
      <c r="AB2332" s="13">
        <f>SUMPRODUCT(N2332:Y2332,$N$3:$Y$3)*$K2332*$L2332*$M2332</f>
        <v/>
      </c>
      <c r="AC2332" s="13">
        <f>SUMPRODUCT(N2332:Y2332,$N$4:$Y$4)*$K2332*$L2332*$M2332</f>
        <v/>
      </c>
      <c r="AD2332" s="15" t="n">
        <v>3</v>
      </c>
      <c r="AE2332" s="11" t="n">
        <v>1.011296296296296</v>
      </c>
      <c r="AF2332" s="16">
        <f>SUMPRODUCT(N2332:Y2332,$N$5:$Y$5)*$K2332*$L2332*$M2332</f>
        <v/>
      </c>
      <c r="AG2332" s="16">
        <f>SUMPRODUCT(N2332:Y2332,$N$6:$Y$6)*$K2332*$L2332*$M2332</f>
        <v/>
      </c>
      <c r="AH2332" s="20" t="n"/>
    </row>
    <row r="2333">
      <c r="A2333" s="9" t="n">
        <v>695727</v>
      </c>
      <c r="B2333" s="9" t="inlineStr">
        <is>
          <t>Eric Hammond</t>
        </is>
      </c>
      <c r="C2333" s="9" t="inlineStr">
        <is>
          <t>MIN</t>
        </is>
      </c>
      <c r="D2333" s="9" t="n">
        <v>25</v>
      </c>
      <c r="E2333" s="18" t="inlineStr">
        <is>
          <t>R</t>
        </is>
      </c>
      <c r="F2333" s="18" t="n"/>
      <c r="G2333" s="9" t="n">
        <v>35.604</v>
      </c>
      <c r="H2333" s="9" t="n">
        <v>35.604</v>
      </c>
      <c r="I2333" s="9" t="inlineStr">
        <is>
          <t>Depth (no MLB IP)</t>
        </is>
      </c>
      <c r="J2333" s="18" t="inlineStr">
        <is>
          <t>Opening Day</t>
        </is>
      </c>
      <c r="K2333" s="11">
        <f>IFERROR(INDEX(Roles!$B$17:$B$20,MATCH(J2333,Roles!$A$17:$A$20,0)),1)</f>
        <v/>
      </c>
      <c r="L2333" s="19" t="n">
        <v>1</v>
      </c>
      <c r="M2333" s="11" t="n">
        <v>1</v>
      </c>
      <c r="N2333" s="19" t="n"/>
      <c r="O2333" s="19" t="n"/>
      <c r="P2333" s="19" t="n"/>
      <c r="Q2333" s="19" t="n"/>
      <c r="R2333" s="19" t="n"/>
      <c r="S2333" s="19" t="n"/>
      <c r="T2333" s="19" t="n"/>
      <c r="U2333" s="19" t="n"/>
      <c r="V2333" s="19" t="n"/>
      <c r="W2333" s="19" t="n"/>
      <c r="X2333" s="19" t="n"/>
      <c r="Y2333" s="19" t="n">
        <v>1</v>
      </c>
      <c r="Z2333" s="13">
        <f>SUMPRODUCT(N2333:Y2333,$N$2:$Y$2)*$K2333*$L2333*$M2333</f>
        <v/>
      </c>
      <c r="AA2333" s="14">
        <f>SUM(N2333:Y2333)</f>
        <v/>
      </c>
      <c r="AB2333" s="13">
        <f>SUMPRODUCT(N2333:Y2333,$N$3:$Y$3)*$K2333*$L2333*$M2333</f>
        <v/>
      </c>
      <c r="AC2333" s="13">
        <f>SUMPRODUCT(N2333:Y2333,$N$4:$Y$4)*$K2333*$L2333*$M2333</f>
        <v/>
      </c>
      <c r="AD2333" s="15" t="n">
        <v>3</v>
      </c>
      <c r="AE2333" s="11" t="n">
        <v>1.011296296296296</v>
      </c>
      <c r="AF2333" s="16">
        <f>SUMPRODUCT(N2333:Y2333,$N$5:$Y$5)*$K2333*$L2333*$M2333</f>
        <v/>
      </c>
      <c r="AG2333" s="16">
        <f>SUMPRODUCT(N2333:Y2333,$N$6:$Y$6)*$K2333*$L2333*$M2333</f>
        <v/>
      </c>
      <c r="AH2333" s="20" t="n"/>
    </row>
    <row r="2334">
      <c r="A2334" s="9" t="n">
        <v>701409</v>
      </c>
      <c r="B2334" s="9" t="inlineStr">
        <is>
          <t>Corey Braun</t>
        </is>
      </c>
      <c r="C2334" s="9" t="inlineStr">
        <is>
          <t>OAK</t>
        </is>
      </c>
      <c r="D2334" s="9" t="n">
        <v>25</v>
      </c>
      <c r="E2334" s="18" t="inlineStr">
        <is>
          <t>L</t>
        </is>
      </c>
      <c r="F2334" s="18" t="n"/>
      <c r="G2334" s="9" t="n">
        <v>35.604</v>
      </c>
      <c r="H2334" s="9" t="n">
        <v>35.604</v>
      </c>
      <c r="I2334" s="9" t="inlineStr">
        <is>
          <t>Depth (no MLB IP)</t>
        </is>
      </c>
      <c r="J2334" s="18" t="inlineStr">
        <is>
          <t>Opening Day</t>
        </is>
      </c>
      <c r="K2334" s="11">
        <f>IFERROR(INDEX(Roles!$B$17:$B$20,MATCH(J2334,Roles!$A$17:$A$20,0)),1)</f>
        <v/>
      </c>
      <c r="L2334" s="19" t="n">
        <v>1</v>
      </c>
      <c r="M2334" s="11" t="n">
        <v>1</v>
      </c>
      <c r="N2334" s="19" t="n"/>
      <c r="O2334" s="19" t="n"/>
      <c r="P2334" s="19" t="n"/>
      <c r="Q2334" s="19" t="n"/>
      <c r="R2334" s="19" t="n"/>
      <c r="S2334" s="19" t="n"/>
      <c r="T2334" s="19" t="n"/>
      <c r="U2334" s="19" t="n"/>
      <c r="V2334" s="19" t="n"/>
      <c r="W2334" s="19" t="n"/>
      <c r="X2334" s="19" t="n"/>
      <c r="Y2334" s="19" t="n">
        <v>1</v>
      </c>
      <c r="Z2334" s="13">
        <f>SUMPRODUCT(N2334:Y2334,$N$2:$Y$2)*$K2334*$L2334*$M2334</f>
        <v/>
      </c>
      <c r="AA2334" s="14">
        <f>SUM(N2334:Y2334)</f>
        <v/>
      </c>
      <c r="AB2334" s="13">
        <f>SUMPRODUCT(N2334:Y2334,$N$3:$Y$3)*$K2334*$L2334*$M2334</f>
        <v/>
      </c>
      <c r="AC2334" s="13">
        <f>SUMPRODUCT(N2334:Y2334,$N$4:$Y$4)*$K2334*$L2334*$M2334</f>
        <v/>
      </c>
      <c r="AD2334" s="15" t="n">
        <v>3</v>
      </c>
      <c r="AE2334" s="11" t="n">
        <v>1.011296296296296</v>
      </c>
      <c r="AF2334" s="16">
        <f>SUMPRODUCT(N2334:Y2334,$N$5:$Y$5)*$K2334*$L2334*$M2334</f>
        <v/>
      </c>
      <c r="AG2334" s="16">
        <f>SUMPRODUCT(N2334:Y2334,$N$6:$Y$6)*$K2334*$L2334*$M2334</f>
        <v/>
      </c>
      <c r="AH2334" s="20" t="n"/>
    </row>
    <row r="2335">
      <c r="A2335" s="9" t="n">
        <v>806064</v>
      </c>
      <c r="B2335" s="9" t="inlineStr">
        <is>
          <t>Steven Echavarria</t>
        </is>
      </c>
      <c r="C2335" s="9" t="inlineStr">
        <is>
          <t>OAK</t>
        </is>
      </c>
      <c r="D2335" s="9" t="n">
        <v>25</v>
      </c>
      <c r="E2335" s="18" t="inlineStr">
        <is>
          <t>R</t>
        </is>
      </c>
      <c r="F2335" s="18" t="n"/>
      <c r="G2335" s="9" t="n">
        <v>35.61833333333333</v>
      </c>
      <c r="H2335" s="9" t="n">
        <v>35.61833333333333</v>
      </c>
      <c r="I2335" s="9" t="inlineStr">
        <is>
          <t>Depth (no MLB IP)</t>
        </is>
      </c>
      <c r="J2335" s="18" t="inlineStr">
        <is>
          <t>Opening Day</t>
        </is>
      </c>
      <c r="K2335" s="11">
        <f>IFERROR(INDEX(Roles!$B$17:$B$20,MATCH(J2335,Roles!$A$17:$A$20,0)),1)</f>
        <v/>
      </c>
      <c r="L2335" s="19" t="n">
        <v>1</v>
      </c>
      <c r="M2335" s="11" t="n">
        <v>1</v>
      </c>
      <c r="N2335" s="19" t="n"/>
      <c r="O2335" s="19" t="n"/>
      <c r="P2335" s="19" t="n"/>
      <c r="Q2335" s="19" t="n"/>
      <c r="R2335" s="19" t="n"/>
      <c r="S2335" s="19" t="n"/>
      <c r="T2335" s="19" t="n"/>
      <c r="U2335" s="19" t="n"/>
      <c r="V2335" s="19" t="n"/>
      <c r="W2335" s="19" t="n"/>
      <c r="X2335" s="19" t="n"/>
      <c r="Y2335" s="19" t="n">
        <v>1</v>
      </c>
      <c r="Z2335" s="13">
        <f>SUMPRODUCT(N2335:Y2335,$N$2:$Y$2)*$K2335*$L2335*$M2335</f>
        <v/>
      </c>
      <c r="AA2335" s="14">
        <f>SUM(N2335:Y2335)</f>
        <v/>
      </c>
      <c r="AB2335" s="13">
        <f>SUMPRODUCT(N2335:Y2335,$N$3:$Y$3)*$K2335*$L2335*$M2335</f>
        <v/>
      </c>
      <c r="AC2335" s="13">
        <f>SUMPRODUCT(N2335:Y2335,$N$4:$Y$4)*$K2335*$L2335*$M2335</f>
        <v/>
      </c>
      <c r="AD2335" s="15" t="n">
        <v>3</v>
      </c>
      <c r="AE2335" s="11" t="n">
        <v>1.011296296296296</v>
      </c>
      <c r="AF2335" s="16">
        <f>SUMPRODUCT(N2335:Y2335,$N$5:$Y$5)*$K2335*$L2335*$M2335</f>
        <v/>
      </c>
      <c r="AG2335" s="16">
        <f>SUMPRODUCT(N2335:Y2335,$N$6:$Y$6)*$K2335*$L2335*$M2335</f>
        <v/>
      </c>
      <c r="AH2335" s="20" t="n"/>
    </row>
    <row r="2336">
      <c r="A2336" s="9" t="n">
        <v>691008</v>
      </c>
      <c r="B2336" s="9" t="inlineStr">
        <is>
          <t>Max Rajcic</t>
        </is>
      </c>
      <c r="C2336" s="9" t="inlineStr">
        <is>
          <t>STL</t>
        </is>
      </c>
      <c r="D2336" s="9" t="n">
        <v>25</v>
      </c>
      <c r="E2336" s="18" t="inlineStr">
        <is>
          <t>R</t>
        </is>
      </c>
      <c r="F2336" s="18" t="n"/>
      <c r="G2336" s="9" t="n">
        <v>39</v>
      </c>
      <c r="H2336" s="9" t="n">
        <v>39</v>
      </c>
      <c r="I2336" s="9" t="inlineStr">
        <is>
          <t>Bullpen Depth Arm</t>
        </is>
      </c>
      <c r="J2336" s="18" t="inlineStr">
        <is>
          <t>Opening Day</t>
        </is>
      </c>
      <c r="K2336" s="11">
        <f>IFERROR(INDEX(Roles!$B$17:$B$20,MATCH(J2336,Roles!$A$17:$A$20,0)),1)</f>
        <v/>
      </c>
      <c r="L2336" s="19" t="n">
        <v>1</v>
      </c>
      <c r="M2336" s="11" t="n">
        <v>1</v>
      </c>
      <c r="N2336" s="19" t="n"/>
      <c r="O2336" s="19" t="n"/>
      <c r="P2336" s="19" t="n"/>
      <c r="Q2336" s="19" t="n"/>
      <c r="R2336" s="19" t="n"/>
      <c r="S2336" s="19" t="n"/>
      <c r="T2336" s="19" t="n"/>
      <c r="U2336" s="19" t="n"/>
      <c r="V2336" s="19" t="n">
        <v>0.15</v>
      </c>
      <c r="W2336" s="19" t="n">
        <v>0.85</v>
      </c>
      <c r="X2336" s="19" t="n"/>
      <c r="Y2336" s="19" t="n"/>
      <c r="Z2336" s="13">
        <f>SUMPRODUCT(N2336:Y2336,$N$2:$Y$2)*$K2336*$L2336*$M2336</f>
        <v/>
      </c>
      <c r="AA2336" s="14">
        <f>SUM(N2336:Y2336)</f>
        <v/>
      </c>
      <c r="AB2336" s="13">
        <f>SUMPRODUCT(N2336:Y2336,$N$3:$Y$3)*$K2336*$L2336*$M2336</f>
        <v/>
      </c>
      <c r="AC2336" s="13">
        <f>SUMPRODUCT(N2336:Y2336,$N$4:$Y$4)*$K2336*$L2336*$M2336</f>
        <v/>
      </c>
      <c r="AD2336" s="15" t="n">
        <v>9.266666666666666</v>
      </c>
      <c r="AE2336" s="11" t="n">
        <v>1.301507134840468</v>
      </c>
      <c r="AF2336" s="16">
        <f>SUMPRODUCT(N2336:Y2336,$N$5:$Y$5)*$K2336*$L2336*$M2336</f>
        <v/>
      </c>
      <c r="AG2336" s="16">
        <f>SUMPRODUCT(N2336:Y2336,$N$6:$Y$6)*$K2336*$L2336*$M2336</f>
        <v/>
      </c>
      <c r="AH2336" s="20" t="n"/>
    </row>
    <row r="2337">
      <c r="A2337" s="9" t="n">
        <v>676694</v>
      </c>
      <c r="B2337" s="9" t="inlineStr">
        <is>
          <t>Jake Meyers</t>
        </is>
      </c>
      <c r="C2337" s="9" t="inlineStr">
        <is>
          <t>HOU</t>
        </is>
      </c>
      <c r="D2337" s="9" t="n">
        <v>31</v>
      </c>
      <c r="E2337" s="18" t="inlineStr">
        <is>
          <t>L</t>
        </is>
      </c>
      <c r="F2337" s="18" t="n"/>
      <c r="G2337" s="9" t="n">
        <v>3</v>
      </c>
      <c r="H2337" s="9" t="n">
        <v>3</v>
      </c>
      <c r="I2337" s="9" t="inlineStr">
        <is>
          <t>Depth (no MLB IP)</t>
        </is>
      </c>
      <c r="J2337" s="18" t="inlineStr">
        <is>
          <t>Opening Day</t>
        </is>
      </c>
      <c r="K2337" s="11">
        <f>IFERROR(INDEX(Roles!$B$17:$B$20,MATCH(J2337,Roles!$A$17:$A$20,0)),1)</f>
        <v/>
      </c>
      <c r="L2337" s="19" t="n">
        <v>1</v>
      </c>
      <c r="M2337" s="11" t="n">
        <v>1</v>
      </c>
      <c r="N2337" s="19" t="n"/>
      <c r="O2337" s="19" t="n"/>
      <c r="P2337" s="19" t="n"/>
      <c r="Q2337" s="19" t="n"/>
      <c r="R2337" s="19" t="n"/>
      <c r="S2337" s="19" t="n"/>
      <c r="T2337" s="19" t="n"/>
      <c r="U2337" s="19" t="n"/>
      <c r="V2337" s="19" t="n"/>
      <c r="W2337" s="19" t="n"/>
      <c r="X2337" s="19" t="n"/>
      <c r="Y2337" s="19" t="n">
        <v>1</v>
      </c>
      <c r="Z2337" s="13">
        <f>SUMPRODUCT(N2337:Y2337,$N$2:$Y$2)*$K2337*$L2337*$M2337</f>
        <v/>
      </c>
      <c r="AA2337" s="14">
        <f>SUM(N2337:Y2337)</f>
        <v/>
      </c>
      <c r="AB2337" s="13">
        <f>SUMPRODUCT(N2337:Y2337,$N$3:$Y$3)*$K2337*$L2337*$M2337</f>
        <v/>
      </c>
      <c r="AC2337" s="13">
        <f>SUMPRODUCT(N2337:Y2337,$N$4:$Y$4)*$K2337*$L2337*$M2337</f>
        <v/>
      </c>
      <c r="AD2337" s="15" t="n">
        <v>1.8</v>
      </c>
      <c r="AE2337" s="11" t="n">
        <v>1.007530864197531</v>
      </c>
      <c r="AF2337" s="16">
        <f>SUMPRODUCT(N2337:Y2337,$N$5:$Y$5)*$K2337*$L2337*$M2337</f>
        <v/>
      </c>
      <c r="AG2337" s="16">
        <f>SUMPRODUCT(N2337:Y2337,$N$6:$Y$6)*$K2337*$L2337*$M2337</f>
        <v/>
      </c>
      <c r="AH2337" s="20" t="n"/>
    </row>
    <row r="2338">
      <c r="A2338" s="9" t="n">
        <v>697811</v>
      </c>
      <c r="B2338" s="9" t="inlineStr">
        <is>
          <t>Dylan Ross</t>
        </is>
      </c>
      <c r="C2338" s="9" t="inlineStr">
        <is>
          <t>NYM</t>
        </is>
      </c>
      <c r="D2338" s="9" t="n">
        <v>26</v>
      </c>
      <c r="E2338" s="18" t="inlineStr">
        <is>
          <t>R</t>
        </is>
      </c>
      <c r="F2338" s="18" t="n"/>
      <c r="G2338" s="9" t="n">
        <v>3</v>
      </c>
      <c r="H2338" s="9" t="n">
        <v>3</v>
      </c>
      <c r="I2338" s="9" t="inlineStr">
        <is>
          <t>Depth (no MLB IP)</t>
        </is>
      </c>
      <c r="J2338" s="18" t="inlineStr">
        <is>
          <t>Opening Day</t>
        </is>
      </c>
      <c r="K2338" s="11">
        <f>IFERROR(INDEX(Roles!$B$17:$B$20,MATCH(J2338,Roles!$A$17:$A$20,0)),1)</f>
        <v/>
      </c>
      <c r="L2338" s="19" t="n">
        <v>1</v>
      </c>
      <c r="M2338" s="11" t="n">
        <v>1</v>
      </c>
      <c r="N2338" s="19" t="n"/>
      <c r="O2338" s="19" t="n"/>
      <c r="P2338" s="19" t="n"/>
      <c r="Q2338" s="19" t="n"/>
      <c r="R2338" s="19" t="n"/>
      <c r="S2338" s="19" t="n"/>
      <c r="T2338" s="19" t="n"/>
      <c r="U2338" s="19" t="n"/>
      <c r="V2338" s="19" t="n"/>
      <c r="W2338" s="19" t="n"/>
      <c r="X2338" s="19" t="n"/>
      <c r="Y2338" s="19" t="n">
        <v>1</v>
      </c>
      <c r="Z2338" s="13">
        <f>SUMPRODUCT(N2338:Y2338,$N$2:$Y$2)*$K2338*$L2338*$M2338</f>
        <v/>
      </c>
      <c r="AA2338" s="14">
        <f>SUM(N2338:Y2338)</f>
        <v/>
      </c>
      <c r="AB2338" s="13">
        <f>SUMPRODUCT(N2338:Y2338,$N$3:$Y$3)*$K2338*$L2338*$M2338</f>
        <v/>
      </c>
      <c r="AC2338" s="13">
        <f>SUMPRODUCT(N2338:Y2338,$N$4:$Y$4)*$K2338*$L2338*$M2338</f>
        <v/>
      </c>
      <c r="AD2338" s="15" t="n">
        <v>1.8</v>
      </c>
      <c r="AE2338" s="11" t="n">
        <v>1.007530864197531</v>
      </c>
      <c r="AF2338" s="16">
        <f>SUMPRODUCT(N2338:Y2338,$N$5:$Y$5)*$K2338*$L2338*$M2338</f>
        <v/>
      </c>
      <c r="AG2338" s="16">
        <f>SUMPRODUCT(N2338:Y2338,$N$6:$Y$6)*$K2338*$L2338*$M2338</f>
        <v/>
      </c>
      <c r="AH2338" s="20" t="n"/>
    </row>
    <row r="2339">
      <c r="A2339" s="9" t="n">
        <v>666301</v>
      </c>
      <c r="B2339" s="9" t="inlineStr">
        <is>
          <t>Indigo Diaz</t>
        </is>
      </c>
      <c r="C2339" s="9" t="inlineStr">
        <is>
          <t>ARI</t>
        </is>
      </c>
      <c r="D2339" s="9" t="n">
        <v>25</v>
      </c>
      <c r="E2339" s="18" t="inlineStr">
        <is>
          <t>R</t>
        </is>
      </c>
      <c r="F2339" s="18" t="n"/>
      <c r="G2339" s="9" t="n">
        <v>35.61833333333333</v>
      </c>
      <c r="H2339" s="9" t="n">
        <v>35.61833333333333</v>
      </c>
      <c r="I2339" s="9" t="inlineStr">
        <is>
          <t>Depth (no MLB IP)</t>
        </is>
      </c>
      <c r="J2339" s="18" t="inlineStr">
        <is>
          <t>Opening Day</t>
        </is>
      </c>
      <c r="K2339" s="11">
        <f>IFERROR(INDEX(Roles!$B$17:$B$20,MATCH(J2339,Roles!$A$17:$A$20,0)),1)</f>
        <v/>
      </c>
      <c r="L2339" s="19" t="n">
        <v>1</v>
      </c>
      <c r="M2339" s="11" t="n">
        <v>1</v>
      </c>
      <c r="N2339" s="19" t="n"/>
      <c r="O2339" s="19" t="n"/>
      <c r="P2339" s="19" t="n"/>
      <c r="Q2339" s="19" t="n"/>
      <c r="R2339" s="19" t="n"/>
      <c r="S2339" s="19" t="n"/>
      <c r="T2339" s="19" t="n"/>
      <c r="U2339" s="19" t="n"/>
      <c r="V2339" s="19" t="n"/>
      <c r="W2339" s="19" t="n"/>
      <c r="X2339" s="19" t="n"/>
      <c r="Y2339" s="19" t="n">
        <v>1</v>
      </c>
      <c r="Z2339" s="13">
        <f>SUMPRODUCT(N2339:Y2339,$N$2:$Y$2)*$K2339*$L2339*$M2339</f>
        <v/>
      </c>
      <c r="AA2339" s="14">
        <f>SUM(N2339:Y2339)</f>
        <v/>
      </c>
      <c r="AB2339" s="13">
        <f>SUMPRODUCT(N2339:Y2339,$N$3:$Y$3)*$K2339*$L2339*$M2339</f>
        <v/>
      </c>
      <c r="AC2339" s="13">
        <f>SUMPRODUCT(N2339:Y2339,$N$4:$Y$4)*$K2339*$L2339*$M2339</f>
        <v/>
      </c>
      <c r="AD2339" s="15" t="n">
        <v>3</v>
      </c>
      <c r="AE2339" s="11" t="n">
        <v>1.011296296296296</v>
      </c>
      <c r="AF2339" s="16">
        <f>SUMPRODUCT(N2339:Y2339,$N$5:$Y$5)*$K2339*$L2339*$M2339</f>
        <v/>
      </c>
      <c r="AG2339" s="16">
        <f>SUMPRODUCT(N2339:Y2339,$N$6:$Y$6)*$K2339*$L2339*$M2339</f>
        <v/>
      </c>
      <c r="AH2339" s="20" t="n"/>
    </row>
    <row r="2340">
      <c r="A2340" s="9" t="n">
        <v>702642</v>
      </c>
      <c r="B2340" s="9" t="inlineStr">
        <is>
          <t>Patrick Galle</t>
        </is>
      </c>
      <c r="C2340" s="9" t="inlineStr">
        <is>
          <t>STL</t>
        </is>
      </c>
      <c r="D2340" s="9" t="n">
        <v>25</v>
      </c>
      <c r="E2340" s="18" t="inlineStr">
        <is>
          <t>R</t>
        </is>
      </c>
      <c r="F2340" s="18" t="n"/>
      <c r="G2340" s="9" t="n">
        <v>35.83333333333334</v>
      </c>
      <c r="H2340" s="9" t="n">
        <v>35.83333333333334</v>
      </c>
      <c r="I2340" s="9" t="inlineStr">
        <is>
          <t>Depth (no MLB IP)</t>
        </is>
      </c>
      <c r="J2340" s="18" t="inlineStr">
        <is>
          <t>Opening Day</t>
        </is>
      </c>
      <c r="K2340" s="11">
        <f>IFERROR(INDEX(Roles!$B$17:$B$20,MATCH(J2340,Roles!$A$17:$A$20,0)),1)</f>
        <v/>
      </c>
      <c r="L2340" s="19" t="n">
        <v>1</v>
      </c>
      <c r="M2340" s="11" t="n">
        <v>1</v>
      </c>
      <c r="N2340" s="19" t="n"/>
      <c r="O2340" s="19" t="n"/>
      <c r="P2340" s="19" t="n"/>
      <c r="Q2340" s="19" t="n"/>
      <c r="R2340" s="19" t="n"/>
      <c r="S2340" s="19" t="n"/>
      <c r="T2340" s="19" t="n"/>
      <c r="U2340" s="19" t="n"/>
      <c r="V2340" s="19" t="n"/>
      <c r="W2340" s="19" t="n"/>
      <c r="X2340" s="19" t="n"/>
      <c r="Y2340" s="19" t="n">
        <v>1</v>
      </c>
      <c r="Z2340" s="13">
        <f>SUMPRODUCT(N2340:Y2340,$N$2:$Y$2)*$K2340*$L2340*$M2340</f>
        <v/>
      </c>
      <c r="AA2340" s="14">
        <f>SUM(N2340:Y2340)</f>
        <v/>
      </c>
      <c r="AB2340" s="13">
        <f>SUMPRODUCT(N2340:Y2340,$N$3:$Y$3)*$K2340*$L2340*$M2340</f>
        <v/>
      </c>
      <c r="AC2340" s="13">
        <f>SUMPRODUCT(N2340:Y2340,$N$4:$Y$4)*$K2340*$L2340*$M2340</f>
        <v/>
      </c>
      <c r="AD2340" s="15" t="n">
        <v>3</v>
      </c>
      <c r="AE2340" s="11" t="n">
        <v>1.011296296296296</v>
      </c>
      <c r="AF2340" s="16">
        <f>SUMPRODUCT(N2340:Y2340,$N$5:$Y$5)*$K2340*$L2340*$M2340</f>
        <v/>
      </c>
      <c r="AG2340" s="16">
        <f>SUMPRODUCT(N2340:Y2340,$N$6:$Y$6)*$K2340*$L2340*$M2340</f>
        <v/>
      </c>
      <c r="AH2340" s="20" t="n"/>
    </row>
    <row r="2341">
      <c r="A2341" s="9" t="n">
        <v>694662</v>
      </c>
      <c r="B2341" s="9" t="inlineStr">
        <is>
          <t>Jack Sokol</t>
        </is>
      </c>
      <c r="C2341" s="9" t="inlineStr">
        <is>
          <t>NYY</t>
        </is>
      </c>
      <c r="D2341" s="9" t="n">
        <v>25</v>
      </c>
      <c r="E2341" s="18" t="inlineStr">
        <is>
          <t>R</t>
        </is>
      </c>
      <c r="F2341" s="18" t="n"/>
      <c r="G2341" s="9" t="n">
        <v>35.83333333333334</v>
      </c>
      <c r="H2341" s="9" t="n">
        <v>35.83333333333334</v>
      </c>
      <c r="I2341" s="9" t="inlineStr">
        <is>
          <t>Depth (no MLB IP)</t>
        </is>
      </c>
      <c r="J2341" s="18" t="inlineStr">
        <is>
          <t>Opening Day</t>
        </is>
      </c>
      <c r="K2341" s="11">
        <f>IFERROR(INDEX(Roles!$B$17:$B$20,MATCH(J2341,Roles!$A$17:$A$20,0)),1)</f>
        <v/>
      </c>
      <c r="L2341" s="19" t="n">
        <v>1</v>
      </c>
      <c r="M2341" s="11" t="n">
        <v>1</v>
      </c>
      <c r="N2341" s="19" t="n"/>
      <c r="O2341" s="19" t="n"/>
      <c r="P2341" s="19" t="n"/>
      <c r="Q2341" s="19" t="n"/>
      <c r="R2341" s="19" t="n"/>
      <c r="S2341" s="19" t="n"/>
      <c r="T2341" s="19" t="n"/>
      <c r="U2341" s="19" t="n"/>
      <c r="V2341" s="19" t="n"/>
      <c r="W2341" s="19" t="n"/>
      <c r="X2341" s="19" t="n"/>
      <c r="Y2341" s="19" t="n">
        <v>1</v>
      </c>
      <c r="Z2341" s="13">
        <f>SUMPRODUCT(N2341:Y2341,$N$2:$Y$2)*$K2341*$L2341*$M2341</f>
        <v/>
      </c>
      <c r="AA2341" s="14">
        <f>SUM(N2341:Y2341)</f>
        <v/>
      </c>
      <c r="AB2341" s="13">
        <f>SUMPRODUCT(N2341:Y2341,$N$3:$Y$3)*$K2341*$L2341*$M2341</f>
        <v/>
      </c>
      <c r="AC2341" s="13">
        <f>SUMPRODUCT(N2341:Y2341,$N$4:$Y$4)*$K2341*$L2341*$M2341</f>
        <v/>
      </c>
      <c r="AD2341" s="15" t="n">
        <v>3</v>
      </c>
      <c r="AE2341" s="11" t="n">
        <v>1.011296296296296</v>
      </c>
      <c r="AF2341" s="16">
        <f>SUMPRODUCT(N2341:Y2341,$N$5:$Y$5)*$K2341*$L2341*$M2341</f>
        <v/>
      </c>
      <c r="AG2341" s="16">
        <f>SUMPRODUCT(N2341:Y2341,$N$6:$Y$6)*$K2341*$L2341*$M2341</f>
        <v/>
      </c>
      <c r="AH2341" s="20" t="n"/>
    </row>
    <row r="2342">
      <c r="A2342" s="9" t="n">
        <v>816142</v>
      </c>
      <c r="B2342" s="9" t="inlineStr">
        <is>
          <t>Troy Guthrie</t>
        </is>
      </c>
      <c r="C2342" s="9" t="inlineStr">
        <is>
          <t>TOR</t>
        </is>
      </c>
      <c r="D2342" s="9" t="n">
        <v>25</v>
      </c>
      <c r="E2342" s="18" t="inlineStr">
        <is>
          <t>R</t>
        </is>
      </c>
      <c r="F2342" s="18" t="n"/>
      <c r="G2342" s="9" t="n">
        <v>35.83333333333334</v>
      </c>
      <c r="H2342" s="9" t="n">
        <v>35.83333333333334</v>
      </c>
      <c r="I2342" s="9" t="inlineStr">
        <is>
          <t>Depth (no MLB IP)</t>
        </is>
      </c>
      <c r="J2342" s="18" t="inlineStr">
        <is>
          <t>Opening Day</t>
        </is>
      </c>
      <c r="K2342" s="11">
        <f>IFERROR(INDEX(Roles!$B$17:$B$20,MATCH(J2342,Roles!$A$17:$A$20,0)),1)</f>
        <v/>
      </c>
      <c r="L2342" s="19" t="n">
        <v>1</v>
      </c>
      <c r="M2342" s="11" t="n">
        <v>1</v>
      </c>
      <c r="N2342" s="19" t="n"/>
      <c r="O2342" s="19" t="n"/>
      <c r="P2342" s="19" t="n"/>
      <c r="Q2342" s="19" t="n"/>
      <c r="R2342" s="19" t="n"/>
      <c r="S2342" s="19" t="n"/>
      <c r="T2342" s="19" t="n"/>
      <c r="U2342" s="19" t="n"/>
      <c r="V2342" s="19" t="n"/>
      <c r="W2342" s="19" t="n"/>
      <c r="X2342" s="19" t="n"/>
      <c r="Y2342" s="19" t="n">
        <v>1</v>
      </c>
      <c r="Z2342" s="13">
        <f>SUMPRODUCT(N2342:Y2342,$N$2:$Y$2)*$K2342*$L2342*$M2342</f>
        <v/>
      </c>
      <c r="AA2342" s="14">
        <f>SUM(N2342:Y2342)</f>
        <v/>
      </c>
      <c r="AB2342" s="13">
        <f>SUMPRODUCT(N2342:Y2342,$N$3:$Y$3)*$K2342*$L2342*$M2342</f>
        <v/>
      </c>
      <c r="AC2342" s="13">
        <f>SUMPRODUCT(N2342:Y2342,$N$4:$Y$4)*$K2342*$L2342*$M2342</f>
        <v/>
      </c>
      <c r="AD2342" s="15" t="n">
        <v>3</v>
      </c>
      <c r="AE2342" s="11" t="n">
        <v>1.011296296296296</v>
      </c>
      <c r="AF2342" s="16">
        <f>SUMPRODUCT(N2342:Y2342,$N$5:$Y$5)*$K2342*$L2342*$M2342</f>
        <v/>
      </c>
      <c r="AG2342" s="16">
        <f>SUMPRODUCT(N2342:Y2342,$N$6:$Y$6)*$K2342*$L2342*$M2342</f>
        <v/>
      </c>
      <c r="AH2342" s="20" t="n"/>
    </row>
    <row r="2343">
      <c r="A2343" s="9" t="n">
        <v>690104</v>
      </c>
      <c r="B2343" s="9" t="inlineStr">
        <is>
          <t>Graham Osman</t>
        </is>
      </c>
      <c r="C2343" s="9" t="inlineStr">
        <is>
          <t>CIN</t>
        </is>
      </c>
      <c r="D2343" s="9" t="n">
        <v>25</v>
      </c>
      <c r="E2343" s="18" t="inlineStr">
        <is>
          <t>L</t>
        </is>
      </c>
      <c r="F2343" s="18" t="n"/>
      <c r="G2343" s="9" t="n">
        <v>35.83333333333334</v>
      </c>
      <c r="H2343" s="9" t="n">
        <v>35.83333333333334</v>
      </c>
      <c r="I2343" s="9" t="inlineStr">
        <is>
          <t>Depth (no MLB IP)</t>
        </is>
      </c>
      <c r="J2343" s="18" t="inlineStr">
        <is>
          <t>Opening Day</t>
        </is>
      </c>
      <c r="K2343" s="11">
        <f>IFERROR(INDEX(Roles!$B$17:$B$20,MATCH(J2343,Roles!$A$17:$A$20,0)),1)</f>
        <v/>
      </c>
      <c r="L2343" s="19" t="n">
        <v>1</v>
      </c>
      <c r="M2343" s="11" t="n">
        <v>1</v>
      </c>
      <c r="N2343" s="19" t="n"/>
      <c r="O2343" s="19" t="n"/>
      <c r="P2343" s="19" t="n"/>
      <c r="Q2343" s="19" t="n"/>
      <c r="R2343" s="19" t="n"/>
      <c r="S2343" s="19" t="n"/>
      <c r="T2343" s="19" t="n"/>
      <c r="U2343" s="19" t="n"/>
      <c r="V2343" s="19" t="n"/>
      <c r="W2343" s="19" t="n"/>
      <c r="X2343" s="19" t="n"/>
      <c r="Y2343" s="19" t="n">
        <v>1</v>
      </c>
      <c r="Z2343" s="13">
        <f>SUMPRODUCT(N2343:Y2343,$N$2:$Y$2)*$K2343*$L2343*$M2343</f>
        <v/>
      </c>
      <c r="AA2343" s="14">
        <f>SUM(N2343:Y2343)</f>
        <v/>
      </c>
      <c r="AB2343" s="13">
        <f>SUMPRODUCT(N2343:Y2343,$N$3:$Y$3)*$K2343*$L2343*$M2343</f>
        <v/>
      </c>
      <c r="AC2343" s="13">
        <f>SUMPRODUCT(N2343:Y2343,$N$4:$Y$4)*$K2343*$L2343*$M2343</f>
        <v/>
      </c>
      <c r="AD2343" s="15" t="n">
        <v>3</v>
      </c>
      <c r="AE2343" s="11" t="n">
        <v>1.011296296296296</v>
      </c>
      <c r="AF2343" s="16">
        <f>SUMPRODUCT(N2343:Y2343,$N$5:$Y$5)*$K2343*$L2343*$M2343</f>
        <v/>
      </c>
      <c r="AG2343" s="16">
        <f>SUMPRODUCT(N2343:Y2343,$N$6:$Y$6)*$K2343*$L2343*$M2343</f>
        <v/>
      </c>
      <c r="AH2343" s="20" t="n"/>
    </row>
    <row r="2344">
      <c r="A2344" s="9" t="n">
        <v>682769</v>
      </c>
      <c r="B2344" s="9" t="inlineStr">
        <is>
          <t>Eiberson Castellano</t>
        </is>
      </c>
      <c r="C2344" s="9" t="inlineStr">
        <is>
          <t>COL</t>
        </is>
      </c>
      <c r="D2344" s="9" t="n">
        <v>26</v>
      </c>
      <c r="E2344" s="18" t="inlineStr">
        <is>
          <t>R</t>
        </is>
      </c>
      <c r="F2344" s="18" t="n"/>
      <c r="G2344" s="9" t="n">
        <v>12</v>
      </c>
      <c r="H2344" s="9" t="n">
        <v>12</v>
      </c>
      <c r="I2344" s="9" t="inlineStr">
        <is>
          <t>Depth (no MLB IP)</t>
        </is>
      </c>
      <c r="J2344" s="18" t="inlineStr">
        <is>
          <t>Opening Day</t>
        </is>
      </c>
      <c r="K2344" s="11">
        <f>IFERROR(INDEX(Roles!$B$17:$B$20,MATCH(J2344,Roles!$A$17:$A$20,0)),1)</f>
        <v/>
      </c>
      <c r="L2344" s="19" t="n">
        <v>1</v>
      </c>
      <c r="M2344" s="11" t="n">
        <v>1</v>
      </c>
      <c r="N2344" s="19" t="n"/>
      <c r="O2344" s="19" t="n"/>
      <c r="P2344" s="19" t="n"/>
      <c r="Q2344" s="19" t="n"/>
      <c r="R2344" s="19" t="n"/>
      <c r="S2344" s="19" t="n"/>
      <c r="T2344" s="19" t="n"/>
      <c r="U2344" s="19" t="n"/>
      <c r="V2344" s="19" t="n"/>
      <c r="W2344" s="19" t="n"/>
      <c r="X2344" s="19" t="n"/>
      <c r="Y2344" s="19" t="n">
        <v>1</v>
      </c>
      <c r="Z2344" s="13">
        <f>SUMPRODUCT(N2344:Y2344,$N$2:$Y$2)*$K2344*$L2344*$M2344</f>
        <v/>
      </c>
      <c r="AA2344" s="14">
        <f>SUM(N2344:Y2344)</f>
        <v/>
      </c>
      <c r="AB2344" s="13">
        <f>SUMPRODUCT(N2344:Y2344,$N$3:$Y$3)*$K2344*$L2344*$M2344</f>
        <v/>
      </c>
      <c r="AC2344" s="13">
        <f>SUMPRODUCT(N2344:Y2344,$N$4:$Y$4)*$K2344*$L2344*$M2344</f>
        <v/>
      </c>
      <c r="AD2344" s="15" t="n">
        <v>1.8</v>
      </c>
      <c r="AE2344" s="11" t="n">
        <v>1.674197530864197</v>
      </c>
      <c r="AF2344" s="16">
        <f>SUMPRODUCT(N2344:Y2344,$N$5:$Y$5)*$K2344*$L2344*$M2344</f>
        <v/>
      </c>
      <c r="AG2344" s="16">
        <f>SUMPRODUCT(N2344:Y2344,$N$6:$Y$6)*$K2344*$L2344*$M2344</f>
        <v/>
      </c>
      <c r="AH2344" s="20" t="n"/>
    </row>
    <row r="2345">
      <c r="A2345" s="9" t="n">
        <v>827445</v>
      </c>
      <c r="B2345" s="9" t="inlineStr">
        <is>
          <t>Joel Lara</t>
        </is>
      </c>
      <c r="C2345" s="9" t="inlineStr">
        <is>
          <t>NYM</t>
        </is>
      </c>
      <c r="D2345" s="9" t="n">
        <v>25</v>
      </c>
      <c r="E2345" s="18" t="inlineStr">
        <is>
          <t>R</t>
        </is>
      </c>
      <c r="F2345" s="18" t="n"/>
      <c r="G2345" s="9" t="n">
        <v>35.948</v>
      </c>
      <c r="H2345" s="9" t="n">
        <v>35.948</v>
      </c>
      <c r="I2345" s="9" t="inlineStr">
        <is>
          <t>Depth (no MLB IP)</t>
        </is>
      </c>
      <c r="J2345" s="18" t="inlineStr">
        <is>
          <t>Opening Day</t>
        </is>
      </c>
      <c r="K2345" s="11">
        <f>IFERROR(INDEX(Roles!$B$17:$B$20,MATCH(J2345,Roles!$A$17:$A$20,0)),1)</f>
        <v/>
      </c>
      <c r="L2345" s="19" t="n">
        <v>1</v>
      </c>
      <c r="M2345" s="11" t="n">
        <v>1</v>
      </c>
      <c r="N2345" s="19" t="n"/>
      <c r="O2345" s="19" t="n"/>
      <c r="P2345" s="19" t="n"/>
      <c r="Q2345" s="19" t="n"/>
      <c r="R2345" s="19" t="n"/>
      <c r="S2345" s="19" t="n"/>
      <c r="T2345" s="19" t="n"/>
      <c r="U2345" s="19" t="n"/>
      <c r="V2345" s="19" t="n"/>
      <c r="W2345" s="19" t="n"/>
      <c r="X2345" s="19" t="n"/>
      <c r="Y2345" s="19" t="n">
        <v>1</v>
      </c>
      <c r="Z2345" s="13">
        <f>SUMPRODUCT(N2345:Y2345,$N$2:$Y$2)*$K2345*$L2345*$M2345</f>
        <v/>
      </c>
      <c r="AA2345" s="14">
        <f>SUM(N2345:Y2345)</f>
        <v/>
      </c>
      <c r="AB2345" s="13">
        <f>SUMPRODUCT(N2345:Y2345,$N$3:$Y$3)*$K2345*$L2345*$M2345</f>
        <v/>
      </c>
      <c r="AC2345" s="13">
        <f>SUMPRODUCT(N2345:Y2345,$N$4:$Y$4)*$K2345*$L2345*$M2345</f>
        <v/>
      </c>
      <c r="AD2345" s="15" t="n">
        <v>3</v>
      </c>
      <c r="AE2345" s="11" t="n">
        <v>1.011296296296296</v>
      </c>
      <c r="AF2345" s="16">
        <f>SUMPRODUCT(N2345:Y2345,$N$5:$Y$5)*$K2345*$L2345*$M2345</f>
        <v/>
      </c>
      <c r="AG2345" s="16">
        <f>SUMPRODUCT(N2345:Y2345,$N$6:$Y$6)*$K2345*$L2345*$M2345</f>
        <v/>
      </c>
      <c r="AH2345" s="20" t="n"/>
    </row>
    <row r="2346">
      <c r="A2346" s="9" t="n">
        <v>814710</v>
      </c>
      <c r="B2346" s="9" t="inlineStr">
        <is>
          <t>Jason Woodward</t>
        </is>
      </c>
      <c r="C2346" s="9" t="inlineStr">
        <is>
          <t>MIL</t>
        </is>
      </c>
      <c r="D2346" s="9" t="n">
        <v>25</v>
      </c>
      <c r="E2346" s="18" t="inlineStr">
        <is>
          <t>R</t>
        </is>
      </c>
      <c r="F2346" s="18" t="n"/>
      <c r="G2346" s="9" t="n">
        <v>35.83333333333334</v>
      </c>
      <c r="H2346" s="9" t="n">
        <v>35.83333333333334</v>
      </c>
      <c r="I2346" s="9" t="inlineStr">
        <is>
          <t>Depth (no MLB IP)</t>
        </is>
      </c>
      <c r="J2346" s="18" t="inlineStr">
        <is>
          <t>Opening Day</t>
        </is>
      </c>
      <c r="K2346" s="11">
        <f>IFERROR(INDEX(Roles!$B$17:$B$20,MATCH(J2346,Roles!$A$17:$A$20,0)),1)</f>
        <v/>
      </c>
      <c r="L2346" s="19" t="n">
        <v>1</v>
      </c>
      <c r="M2346" s="11" t="n">
        <v>1</v>
      </c>
      <c r="N2346" s="19" t="n"/>
      <c r="O2346" s="19" t="n"/>
      <c r="P2346" s="19" t="n"/>
      <c r="Q2346" s="19" t="n"/>
      <c r="R2346" s="19" t="n"/>
      <c r="S2346" s="19" t="n"/>
      <c r="T2346" s="19" t="n"/>
      <c r="U2346" s="19" t="n"/>
      <c r="V2346" s="19" t="n"/>
      <c r="W2346" s="19" t="n"/>
      <c r="X2346" s="19" t="n"/>
      <c r="Y2346" s="19" t="n">
        <v>1</v>
      </c>
      <c r="Z2346" s="13">
        <f>SUMPRODUCT(N2346:Y2346,$N$2:$Y$2)*$K2346*$L2346*$M2346</f>
        <v/>
      </c>
      <c r="AA2346" s="14">
        <f>SUM(N2346:Y2346)</f>
        <v/>
      </c>
      <c r="AB2346" s="13">
        <f>SUMPRODUCT(N2346:Y2346,$N$3:$Y$3)*$K2346*$L2346*$M2346</f>
        <v/>
      </c>
      <c r="AC2346" s="13">
        <f>SUMPRODUCT(N2346:Y2346,$N$4:$Y$4)*$K2346*$L2346*$M2346</f>
        <v/>
      </c>
      <c r="AD2346" s="15" t="n">
        <v>3</v>
      </c>
      <c r="AE2346" s="11" t="n">
        <v>1.011296296296296</v>
      </c>
      <c r="AF2346" s="16">
        <f>SUMPRODUCT(N2346:Y2346,$N$5:$Y$5)*$K2346*$L2346*$M2346</f>
        <v/>
      </c>
      <c r="AG2346" s="16">
        <f>SUMPRODUCT(N2346:Y2346,$N$6:$Y$6)*$K2346*$L2346*$M2346</f>
        <v/>
      </c>
      <c r="AH2346" s="20" t="n"/>
    </row>
    <row r="2347">
      <c r="A2347" s="9" t="n">
        <v>702640</v>
      </c>
      <c r="B2347" s="9" t="inlineStr">
        <is>
          <t>Tyler Gough</t>
        </is>
      </c>
      <c r="C2347" s="9" t="inlineStr">
        <is>
          <t>LAD</t>
        </is>
      </c>
      <c r="D2347" s="9" t="n">
        <v>25</v>
      </c>
      <c r="E2347" s="18" t="inlineStr">
        <is>
          <t>R</t>
        </is>
      </c>
      <c r="F2347" s="18" t="n"/>
      <c r="G2347" s="9" t="n">
        <v>36.12</v>
      </c>
      <c r="H2347" s="9" t="n">
        <v>36.12</v>
      </c>
      <c r="I2347" s="9" t="inlineStr">
        <is>
          <t>Depth (no MLB IP)</t>
        </is>
      </c>
      <c r="J2347" s="18" t="inlineStr">
        <is>
          <t>Opening Day</t>
        </is>
      </c>
      <c r="K2347" s="11">
        <f>IFERROR(INDEX(Roles!$B$17:$B$20,MATCH(J2347,Roles!$A$17:$A$20,0)),1)</f>
        <v/>
      </c>
      <c r="L2347" s="19" t="n">
        <v>1</v>
      </c>
      <c r="M2347" s="11" t="n">
        <v>1</v>
      </c>
      <c r="N2347" s="19" t="n"/>
      <c r="O2347" s="19" t="n"/>
      <c r="P2347" s="19" t="n"/>
      <c r="Q2347" s="19" t="n"/>
      <c r="R2347" s="19" t="n"/>
      <c r="S2347" s="19" t="n"/>
      <c r="T2347" s="19" t="n"/>
      <c r="U2347" s="19" t="n"/>
      <c r="V2347" s="19" t="n"/>
      <c r="W2347" s="19" t="n"/>
      <c r="X2347" s="19" t="n"/>
      <c r="Y2347" s="19" t="n">
        <v>1</v>
      </c>
      <c r="Z2347" s="13">
        <f>SUMPRODUCT(N2347:Y2347,$N$2:$Y$2)*$K2347*$L2347*$M2347</f>
        <v/>
      </c>
      <c r="AA2347" s="14">
        <f>SUM(N2347:Y2347)</f>
        <v/>
      </c>
      <c r="AB2347" s="13">
        <f>SUMPRODUCT(N2347:Y2347,$N$3:$Y$3)*$K2347*$L2347*$M2347</f>
        <v/>
      </c>
      <c r="AC2347" s="13">
        <f>SUMPRODUCT(N2347:Y2347,$N$4:$Y$4)*$K2347*$L2347*$M2347</f>
        <v/>
      </c>
      <c r="AD2347" s="15" t="n">
        <v>3</v>
      </c>
      <c r="AE2347" s="11" t="n">
        <v>1.011296296296296</v>
      </c>
      <c r="AF2347" s="16">
        <f>SUMPRODUCT(N2347:Y2347,$N$5:$Y$5)*$K2347*$L2347*$M2347</f>
        <v/>
      </c>
      <c r="AG2347" s="16">
        <f>SUMPRODUCT(N2347:Y2347,$N$6:$Y$6)*$K2347*$L2347*$M2347</f>
        <v/>
      </c>
      <c r="AH2347" s="20" t="n"/>
    </row>
    <row r="2348">
      <c r="A2348" s="9" t="n">
        <v>827526</v>
      </c>
      <c r="B2348" s="9" t="inlineStr">
        <is>
          <t>Jacob Kisting</t>
        </is>
      </c>
      <c r="C2348" s="9" t="inlineStr">
        <is>
          <t>MIA</t>
        </is>
      </c>
      <c r="D2348" s="9" t="n">
        <v>24</v>
      </c>
      <c r="E2348" s="18" t="inlineStr">
        <is>
          <t>R</t>
        </is>
      </c>
      <c r="F2348" s="18" t="n"/>
      <c r="G2348" s="9" t="n">
        <v>36.11999999999999</v>
      </c>
      <c r="H2348" s="9" t="n">
        <v>36.11999999999999</v>
      </c>
      <c r="I2348" s="9" t="inlineStr">
        <is>
          <t>Depth (no MLB IP)</t>
        </is>
      </c>
      <c r="J2348" s="18" t="inlineStr">
        <is>
          <t>Opening Day</t>
        </is>
      </c>
      <c r="K2348" s="11">
        <f>IFERROR(INDEX(Roles!$B$17:$B$20,MATCH(J2348,Roles!$A$17:$A$20,0)),1)</f>
        <v/>
      </c>
      <c r="L2348" s="19" t="n">
        <v>1</v>
      </c>
      <c r="M2348" s="11" t="n">
        <v>1</v>
      </c>
      <c r="N2348" s="19" t="n"/>
      <c r="O2348" s="19" t="n"/>
      <c r="P2348" s="19" t="n"/>
      <c r="Q2348" s="19" t="n"/>
      <c r="R2348" s="19" t="n"/>
      <c r="S2348" s="19" t="n"/>
      <c r="T2348" s="19" t="n"/>
      <c r="U2348" s="19" t="n"/>
      <c r="V2348" s="19" t="n"/>
      <c r="W2348" s="19" t="n"/>
      <c r="X2348" s="19" t="n"/>
      <c r="Y2348" s="19" t="n">
        <v>1</v>
      </c>
      <c r="Z2348" s="13">
        <f>SUMPRODUCT(N2348:Y2348,$N$2:$Y$2)*$K2348*$L2348*$M2348</f>
        <v/>
      </c>
      <c r="AA2348" s="14">
        <f>SUM(N2348:Y2348)</f>
        <v/>
      </c>
      <c r="AB2348" s="13">
        <f>SUMPRODUCT(N2348:Y2348,$N$3:$Y$3)*$K2348*$L2348*$M2348</f>
        <v/>
      </c>
      <c r="AC2348" s="13">
        <f>SUMPRODUCT(N2348:Y2348,$N$4:$Y$4)*$K2348*$L2348*$M2348</f>
        <v/>
      </c>
      <c r="AD2348" s="15" t="n">
        <v>3</v>
      </c>
      <c r="AE2348" s="11" t="n">
        <v>1.011296296296296</v>
      </c>
      <c r="AF2348" s="16">
        <f>SUMPRODUCT(N2348:Y2348,$N$5:$Y$5)*$K2348*$L2348*$M2348</f>
        <v/>
      </c>
      <c r="AG2348" s="16">
        <f>SUMPRODUCT(N2348:Y2348,$N$6:$Y$6)*$K2348*$L2348*$M2348</f>
        <v/>
      </c>
      <c r="AH2348" s="20" t="n"/>
    </row>
    <row r="2349">
      <c r="A2349" s="9" t="n">
        <v>702257</v>
      </c>
      <c r="B2349" s="9" t="inlineStr">
        <is>
          <t>Christian Foutch</t>
        </is>
      </c>
      <c r="C2349" s="9" t="inlineStr">
        <is>
          <t>BOS</t>
        </is>
      </c>
      <c r="D2349" s="9" t="n">
        <v>25</v>
      </c>
      <c r="E2349" s="18" t="inlineStr">
        <is>
          <t>R</t>
        </is>
      </c>
      <c r="F2349" s="18" t="n"/>
      <c r="G2349" s="9" t="n">
        <v>36.12</v>
      </c>
      <c r="H2349" s="9" t="n">
        <v>36.12</v>
      </c>
      <c r="I2349" s="9" t="inlineStr">
        <is>
          <t>Depth (no MLB IP)</t>
        </is>
      </c>
      <c r="J2349" s="18" t="inlineStr">
        <is>
          <t>Opening Day</t>
        </is>
      </c>
      <c r="K2349" s="11">
        <f>IFERROR(INDEX(Roles!$B$17:$B$20,MATCH(J2349,Roles!$A$17:$A$20,0)),1)</f>
        <v/>
      </c>
      <c r="L2349" s="19" t="n">
        <v>1</v>
      </c>
      <c r="M2349" s="11" t="n">
        <v>1</v>
      </c>
      <c r="N2349" s="19" t="n"/>
      <c r="O2349" s="19" t="n"/>
      <c r="P2349" s="19" t="n"/>
      <c r="Q2349" s="19" t="n"/>
      <c r="R2349" s="19" t="n"/>
      <c r="S2349" s="19" t="n"/>
      <c r="T2349" s="19" t="n"/>
      <c r="U2349" s="19" t="n"/>
      <c r="V2349" s="19" t="n"/>
      <c r="W2349" s="19" t="n"/>
      <c r="X2349" s="19" t="n"/>
      <c r="Y2349" s="19" t="n">
        <v>1</v>
      </c>
      <c r="Z2349" s="13">
        <f>SUMPRODUCT(N2349:Y2349,$N$2:$Y$2)*$K2349*$L2349*$M2349</f>
        <v/>
      </c>
      <c r="AA2349" s="14">
        <f>SUM(N2349:Y2349)</f>
        <v/>
      </c>
      <c r="AB2349" s="13">
        <f>SUMPRODUCT(N2349:Y2349,$N$3:$Y$3)*$K2349*$L2349*$M2349</f>
        <v/>
      </c>
      <c r="AC2349" s="13">
        <f>SUMPRODUCT(N2349:Y2349,$N$4:$Y$4)*$K2349*$L2349*$M2349</f>
        <v/>
      </c>
      <c r="AD2349" s="15" t="n">
        <v>3</v>
      </c>
      <c r="AE2349" s="11" t="n">
        <v>1.011296296296296</v>
      </c>
      <c r="AF2349" s="16">
        <f>SUMPRODUCT(N2349:Y2349,$N$5:$Y$5)*$K2349*$L2349*$M2349</f>
        <v/>
      </c>
      <c r="AG2349" s="16">
        <f>SUMPRODUCT(N2349:Y2349,$N$6:$Y$6)*$K2349*$L2349*$M2349</f>
        <v/>
      </c>
      <c r="AH2349" s="20" t="n"/>
    </row>
    <row r="2350">
      <c r="A2350" s="9" t="n">
        <v>664059</v>
      </c>
      <c r="B2350" s="9" t="inlineStr">
        <is>
          <t>Sam Haggerty</t>
        </is>
      </c>
      <c r="C2350" s="9" t="inlineStr">
        <is>
          <t>TEX</t>
        </is>
      </c>
      <c r="D2350" s="9" t="n">
        <v>33</v>
      </c>
      <c r="E2350" s="18" t="inlineStr">
        <is>
          <t>R</t>
        </is>
      </c>
      <c r="F2350" s="18" t="n"/>
      <c r="G2350" s="9" t="n">
        <v>3</v>
      </c>
      <c r="H2350" s="9" t="n">
        <v>3</v>
      </c>
      <c r="I2350" s="9" t="inlineStr">
        <is>
          <t>Depth (no MLB IP)</t>
        </is>
      </c>
      <c r="J2350" s="18" t="inlineStr">
        <is>
          <t>Opening Day</t>
        </is>
      </c>
      <c r="K2350" s="11">
        <f>IFERROR(INDEX(Roles!$B$17:$B$20,MATCH(J2350,Roles!$A$17:$A$20,0)),1)</f>
        <v/>
      </c>
      <c r="L2350" s="19" t="n">
        <v>1</v>
      </c>
      <c r="M2350" s="11" t="n">
        <v>1</v>
      </c>
      <c r="N2350" s="19" t="n"/>
      <c r="O2350" s="19" t="n"/>
      <c r="P2350" s="19" t="n"/>
      <c r="Q2350" s="19" t="n"/>
      <c r="R2350" s="19" t="n"/>
      <c r="S2350" s="19" t="n"/>
      <c r="T2350" s="19" t="n"/>
      <c r="U2350" s="19" t="n"/>
      <c r="V2350" s="19" t="n"/>
      <c r="W2350" s="19" t="n"/>
      <c r="X2350" s="19" t="n"/>
      <c r="Y2350" s="19" t="n">
        <v>1</v>
      </c>
      <c r="Z2350" s="13">
        <f>SUMPRODUCT(N2350:Y2350,$N$2:$Y$2)*$K2350*$L2350*$M2350</f>
        <v/>
      </c>
      <c r="AA2350" s="14">
        <f>SUM(N2350:Y2350)</f>
        <v/>
      </c>
      <c r="AB2350" s="13">
        <f>SUMPRODUCT(N2350:Y2350,$N$3:$Y$3)*$K2350*$L2350*$M2350</f>
        <v/>
      </c>
      <c r="AC2350" s="13">
        <f>SUMPRODUCT(N2350:Y2350,$N$4:$Y$4)*$K2350*$L2350*$M2350</f>
        <v/>
      </c>
      <c r="AD2350" s="15" t="n">
        <v>1.8</v>
      </c>
      <c r="AE2350" s="11" t="n">
        <v>1.007530864197531</v>
      </c>
      <c r="AF2350" s="16">
        <f>SUMPRODUCT(N2350:Y2350,$N$5:$Y$5)*$K2350*$L2350*$M2350</f>
        <v/>
      </c>
      <c r="AG2350" s="16">
        <f>SUMPRODUCT(N2350:Y2350,$N$6:$Y$6)*$K2350*$L2350*$M2350</f>
        <v/>
      </c>
      <c r="AH2350" s="20" t="n"/>
    </row>
    <row r="2351">
      <c r="A2351" s="9" t="n">
        <v>830433</v>
      </c>
      <c r="B2351" s="9" t="inlineStr">
        <is>
          <t>Denis Samudio</t>
        </is>
      </c>
      <c r="C2351" s="9" t="inlineStr">
        <is>
          <t>TOR</t>
        </is>
      </c>
      <c r="D2351" s="9" t="n">
        <v>25</v>
      </c>
      <c r="E2351" s="18" t="inlineStr">
        <is>
          <t>R</t>
        </is>
      </c>
      <c r="F2351" s="18" t="n"/>
      <c r="G2351" s="9" t="n">
        <v>36.12</v>
      </c>
      <c r="H2351" s="9" t="n">
        <v>36.12</v>
      </c>
      <c r="I2351" s="9" t="inlineStr">
        <is>
          <t>Depth (no MLB IP)</t>
        </is>
      </c>
      <c r="J2351" s="18" t="inlineStr">
        <is>
          <t>Opening Day</t>
        </is>
      </c>
      <c r="K2351" s="11">
        <f>IFERROR(INDEX(Roles!$B$17:$B$20,MATCH(J2351,Roles!$A$17:$A$20,0)),1)</f>
        <v/>
      </c>
      <c r="L2351" s="19" t="n">
        <v>1</v>
      </c>
      <c r="M2351" s="11" t="n">
        <v>1</v>
      </c>
      <c r="N2351" s="19" t="n"/>
      <c r="O2351" s="19" t="n"/>
      <c r="P2351" s="19" t="n"/>
      <c r="Q2351" s="19" t="n"/>
      <c r="R2351" s="19" t="n"/>
      <c r="S2351" s="19" t="n"/>
      <c r="T2351" s="19" t="n"/>
      <c r="U2351" s="19" t="n"/>
      <c r="V2351" s="19" t="n"/>
      <c r="W2351" s="19" t="n"/>
      <c r="X2351" s="19" t="n"/>
      <c r="Y2351" s="19" t="n">
        <v>1</v>
      </c>
      <c r="Z2351" s="13">
        <f>SUMPRODUCT(N2351:Y2351,$N$2:$Y$2)*$K2351*$L2351*$M2351</f>
        <v/>
      </c>
      <c r="AA2351" s="14">
        <f>SUM(N2351:Y2351)</f>
        <v/>
      </c>
      <c r="AB2351" s="13">
        <f>SUMPRODUCT(N2351:Y2351,$N$3:$Y$3)*$K2351*$L2351*$M2351</f>
        <v/>
      </c>
      <c r="AC2351" s="13">
        <f>SUMPRODUCT(N2351:Y2351,$N$4:$Y$4)*$K2351*$L2351*$M2351</f>
        <v/>
      </c>
      <c r="AD2351" s="15" t="n">
        <v>3</v>
      </c>
      <c r="AE2351" s="11" t="n">
        <v>1.011296296296296</v>
      </c>
      <c r="AF2351" s="16">
        <f>SUMPRODUCT(N2351:Y2351,$N$5:$Y$5)*$K2351*$L2351*$M2351</f>
        <v/>
      </c>
      <c r="AG2351" s="16">
        <f>SUMPRODUCT(N2351:Y2351,$N$6:$Y$6)*$K2351*$L2351*$M2351</f>
        <v/>
      </c>
      <c r="AH2351" s="20" t="n"/>
    </row>
    <row r="2352">
      <c r="A2352" s="9" t="n">
        <v>815076</v>
      </c>
      <c r="B2352" s="9" t="inlineStr">
        <is>
          <t>Kamdyn Perry</t>
        </is>
      </c>
      <c r="C2352" s="9" t="inlineStr">
        <is>
          <t>TEX</t>
        </is>
      </c>
      <c r="D2352" s="9" t="n">
        <v>25</v>
      </c>
      <c r="E2352" s="18" t="inlineStr">
        <is>
          <t>R</t>
        </is>
      </c>
      <c r="F2352" s="18" t="n"/>
      <c r="G2352" s="9" t="n">
        <v>36.12</v>
      </c>
      <c r="H2352" s="9" t="n">
        <v>36.12</v>
      </c>
      <c r="I2352" s="9" t="inlineStr">
        <is>
          <t>Depth (no MLB IP)</t>
        </is>
      </c>
      <c r="J2352" s="18" t="inlineStr">
        <is>
          <t>Opening Day</t>
        </is>
      </c>
      <c r="K2352" s="11">
        <f>IFERROR(INDEX(Roles!$B$17:$B$20,MATCH(J2352,Roles!$A$17:$A$20,0)),1)</f>
        <v/>
      </c>
      <c r="L2352" s="19" t="n">
        <v>1</v>
      </c>
      <c r="M2352" s="11" t="n">
        <v>1</v>
      </c>
      <c r="N2352" s="19" t="n"/>
      <c r="O2352" s="19" t="n"/>
      <c r="P2352" s="19" t="n"/>
      <c r="Q2352" s="19" t="n"/>
      <c r="R2352" s="19" t="n"/>
      <c r="S2352" s="19" t="n"/>
      <c r="T2352" s="19" t="n"/>
      <c r="U2352" s="19" t="n"/>
      <c r="V2352" s="19" t="n"/>
      <c r="W2352" s="19" t="n"/>
      <c r="X2352" s="19" t="n"/>
      <c r="Y2352" s="19" t="n">
        <v>1</v>
      </c>
      <c r="Z2352" s="13">
        <f>SUMPRODUCT(N2352:Y2352,$N$2:$Y$2)*$K2352*$L2352*$M2352</f>
        <v/>
      </c>
      <c r="AA2352" s="14">
        <f>SUM(N2352:Y2352)</f>
        <v/>
      </c>
      <c r="AB2352" s="13">
        <f>SUMPRODUCT(N2352:Y2352,$N$3:$Y$3)*$K2352*$L2352*$M2352</f>
        <v/>
      </c>
      <c r="AC2352" s="13">
        <f>SUMPRODUCT(N2352:Y2352,$N$4:$Y$4)*$K2352*$L2352*$M2352</f>
        <v/>
      </c>
      <c r="AD2352" s="15" t="n">
        <v>3</v>
      </c>
      <c r="AE2352" s="11" t="n">
        <v>1.011296296296296</v>
      </c>
      <c r="AF2352" s="16">
        <f>SUMPRODUCT(N2352:Y2352,$N$5:$Y$5)*$K2352*$L2352*$M2352</f>
        <v/>
      </c>
      <c r="AG2352" s="16">
        <f>SUMPRODUCT(N2352:Y2352,$N$6:$Y$6)*$K2352*$L2352*$M2352</f>
        <v/>
      </c>
      <c r="AH2352" s="20" t="n"/>
    </row>
    <row r="2353">
      <c r="A2353" s="9" t="n">
        <v>669740</v>
      </c>
      <c r="B2353" s="9" t="inlineStr">
        <is>
          <t>Travis MacGregor</t>
        </is>
      </c>
      <c r="C2353" s="9" t="inlineStr">
        <is>
          <t>NYY</t>
        </is>
      </c>
      <c r="D2353" s="9" t="n">
        <v>25</v>
      </c>
      <c r="E2353" s="18" t="inlineStr">
        <is>
          <t>R</t>
        </is>
      </c>
      <c r="F2353" s="18" t="n"/>
      <c r="G2353" s="9" t="n">
        <v>36.26333333333334</v>
      </c>
      <c r="H2353" s="9" t="n">
        <v>36.26333333333334</v>
      </c>
      <c r="I2353" s="9" t="inlineStr">
        <is>
          <t>Depth (no MLB IP)</t>
        </is>
      </c>
      <c r="J2353" s="18" t="inlineStr">
        <is>
          <t>Opening Day</t>
        </is>
      </c>
      <c r="K2353" s="11">
        <f>IFERROR(INDEX(Roles!$B$17:$B$20,MATCH(J2353,Roles!$A$17:$A$20,0)),1)</f>
        <v/>
      </c>
      <c r="L2353" s="19" t="n">
        <v>1</v>
      </c>
      <c r="M2353" s="11" t="n">
        <v>1</v>
      </c>
      <c r="N2353" s="19" t="n"/>
      <c r="O2353" s="19" t="n"/>
      <c r="P2353" s="19" t="n"/>
      <c r="Q2353" s="19" t="n"/>
      <c r="R2353" s="19" t="n"/>
      <c r="S2353" s="19" t="n"/>
      <c r="T2353" s="19" t="n"/>
      <c r="U2353" s="19" t="n"/>
      <c r="V2353" s="19" t="n"/>
      <c r="W2353" s="19" t="n"/>
      <c r="X2353" s="19" t="n"/>
      <c r="Y2353" s="19" t="n">
        <v>1</v>
      </c>
      <c r="Z2353" s="13">
        <f>SUMPRODUCT(N2353:Y2353,$N$2:$Y$2)*$K2353*$L2353*$M2353</f>
        <v/>
      </c>
      <c r="AA2353" s="14">
        <f>SUM(N2353:Y2353)</f>
        <v/>
      </c>
      <c r="AB2353" s="13">
        <f>SUMPRODUCT(N2353:Y2353,$N$3:$Y$3)*$K2353*$L2353*$M2353</f>
        <v/>
      </c>
      <c r="AC2353" s="13">
        <f>SUMPRODUCT(N2353:Y2353,$N$4:$Y$4)*$K2353*$L2353*$M2353</f>
        <v/>
      </c>
      <c r="AD2353" s="15" t="n">
        <v>3</v>
      </c>
      <c r="AE2353" s="11" t="n">
        <v>1.011296296296296</v>
      </c>
      <c r="AF2353" s="16">
        <f>SUMPRODUCT(N2353:Y2353,$N$5:$Y$5)*$K2353*$L2353*$M2353</f>
        <v/>
      </c>
      <c r="AG2353" s="16">
        <f>SUMPRODUCT(N2353:Y2353,$N$6:$Y$6)*$K2353*$L2353*$M2353</f>
        <v/>
      </c>
      <c r="AH2353" s="20" t="n"/>
    </row>
    <row r="2354">
      <c r="A2354" s="9" t="n">
        <v>826942</v>
      </c>
      <c r="B2354" s="9" t="inlineStr">
        <is>
          <t>Ethan Sloan</t>
        </is>
      </c>
      <c r="C2354" s="9" t="inlineStr">
        <is>
          <t>DET</t>
        </is>
      </c>
      <c r="D2354" s="9" t="n">
        <v>25</v>
      </c>
      <c r="E2354" s="18" t="inlineStr">
        <is>
          <t>L</t>
        </is>
      </c>
      <c r="F2354" s="18" t="n"/>
      <c r="G2354" s="9" t="n">
        <v>36.12</v>
      </c>
      <c r="H2354" s="9" t="n">
        <v>36.12</v>
      </c>
      <c r="I2354" s="9" t="inlineStr">
        <is>
          <t>Depth (no MLB IP)</t>
        </is>
      </c>
      <c r="J2354" s="18" t="inlineStr">
        <is>
          <t>Opening Day</t>
        </is>
      </c>
      <c r="K2354" s="11">
        <f>IFERROR(INDEX(Roles!$B$17:$B$20,MATCH(J2354,Roles!$A$17:$A$20,0)),1)</f>
        <v/>
      </c>
      <c r="L2354" s="19" t="n">
        <v>1</v>
      </c>
      <c r="M2354" s="11" t="n">
        <v>1</v>
      </c>
      <c r="N2354" s="19" t="n"/>
      <c r="O2354" s="19" t="n"/>
      <c r="P2354" s="19" t="n"/>
      <c r="Q2354" s="19" t="n"/>
      <c r="R2354" s="19" t="n"/>
      <c r="S2354" s="19" t="n"/>
      <c r="T2354" s="19" t="n"/>
      <c r="U2354" s="19" t="n"/>
      <c r="V2354" s="19" t="n"/>
      <c r="W2354" s="19" t="n"/>
      <c r="X2354" s="19" t="n"/>
      <c r="Y2354" s="19" t="n">
        <v>1</v>
      </c>
      <c r="Z2354" s="13">
        <f>SUMPRODUCT(N2354:Y2354,$N$2:$Y$2)*$K2354*$L2354*$M2354</f>
        <v/>
      </c>
      <c r="AA2354" s="14">
        <f>SUM(N2354:Y2354)</f>
        <v/>
      </c>
      <c r="AB2354" s="13">
        <f>SUMPRODUCT(N2354:Y2354,$N$3:$Y$3)*$K2354*$L2354*$M2354</f>
        <v/>
      </c>
      <c r="AC2354" s="13">
        <f>SUMPRODUCT(N2354:Y2354,$N$4:$Y$4)*$K2354*$L2354*$M2354</f>
        <v/>
      </c>
      <c r="AD2354" s="15" t="n">
        <v>3</v>
      </c>
      <c r="AE2354" s="11" t="n">
        <v>1.011296296296296</v>
      </c>
      <c r="AF2354" s="16">
        <f>SUMPRODUCT(N2354:Y2354,$N$5:$Y$5)*$K2354*$L2354*$M2354</f>
        <v/>
      </c>
      <c r="AG2354" s="16">
        <f>SUMPRODUCT(N2354:Y2354,$N$6:$Y$6)*$K2354*$L2354*$M2354</f>
        <v/>
      </c>
      <c r="AH2354" s="20" t="n"/>
    </row>
    <row r="2355">
      <c r="A2355" s="9" t="n">
        <v>822465</v>
      </c>
      <c r="B2355" s="9" t="inlineStr">
        <is>
          <t>Jacob Shafer</t>
        </is>
      </c>
      <c r="C2355" s="9" t="inlineStr">
        <is>
          <t>ATL</t>
        </is>
      </c>
      <c r="D2355" s="9" t="n">
        <v>25</v>
      </c>
      <c r="E2355" s="18" t="inlineStr">
        <is>
          <t>R</t>
        </is>
      </c>
      <c r="F2355" s="18" t="n"/>
      <c r="G2355" s="9" t="n">
        <v>36.12</v>
      </c>
      <c r="H2355" s="9" t="n">
        <v>36.12</v>
      </c>
      <c r="I2355" s="9" t="inlineStr">
        <is>
          <t>Depth (no MLB IP)</t>
        </is>
      </c>
      <c r="J2355" s="18" t="inlineStr">
        <is>
          <t>Opening Day</t>
        </is>
      </c>
      <c r="K2355" s="11">
        <f>IFERROR(INDEX(Roles!$B$17:$B$20,MATCH(J2355,Roles!$A$17:$A$20,0)),1)</f>
        <v/>
      </c>
      <c r="L2355" s="19" t="n">
        <v>1</v>
      </c>
      <c r="M2355" s="11" t="n">
        <v>1</v>
      </c>
      <c r="N2355" s="19" t="n"/>
      <c r="O2355" s="19" t="n"/>
      <c r="P2355" s="19" t="n"/>
      <c r="Q2355" s="19" t="n"/>
      <c r="R2355" s="19" t="n"/>
      <c r="S2355" s="19" t="n"/>
      <c r="T2355" s="19" t="n"/>
      <c r="U2355" s="19" t="n"/>
      <c r="V2355" s="19" t="n"/>
      <c r="W2355" s="19" t="n"/>
      <c r="X2355" s="19" t="n"/>
      <c r="Y2355" s="19" t="n">
        <v>1</v>
      </c>
      <c r="Z2355" s="13">
        <f>SUMPRODUCT(N2355:Y2355,$N$2:$Y$2)*$K2355*$L2355*$M2355</f>
        <v/>
      </c>
      <c r="AA2355" s="14">
        <f>SUM(N2355:Y2355)</f>
        <v/>
      </c>
      <c r="AB2355" s="13">
        <f>SUMPRODUCT(N2355:Y2355,$N$3:$Y$3)*$K2355*$L2355*$M2355</f>
        <v/>
      </c>
      <c r="AC2355" s="13">
        <f>SUMPRODUCT(N2355:Y2355,$N$4:$Y$4)*$K2355*$L2355*$M2355</f>
        <v/>
      </c>
      <c r="AD2355" s="15" t="n">
        <v>3</v>
      </c>
      <c r="AE2355" s="11" t="n">
        <v>1.011296296296296</v>
      </c>
      <c r="AF2355" s="16">
        <f>SUMPRODUCT(N2355:Y2355,$N$5:$Y$5)*$K2355*$L2355*$M2355</f>
        <v/>
      </c>
      <c r="AG2355" s="16">
        <f>SUMPRODUCT(N2355:Y2355,$N$6:$Y$6)*$K2355*$L2355*$M2355</f>
        <v/>
      </c>
      <c r="AH2355" s="20" t="n"/>
    </row>
    <row r="2356">
      <c r="A2356" s="9" t="n">
        <v>703895</v>
      </c>
      <c r="B2356" s="9" t="inlineStr">
        <is>
          <t>Gerlin Rosario</t>
        </is>
      </c>
      <c r="C2356" s="9" t="inlineStr">
        <is>
          <t>OAK</t>
        </is>
      </c>
      <c r="D2356" s="9" t="n">
        <v>25</v>
      </c>
      <c r="E2356" s="18" t="inlineStr">
        <is>
          <t>R</t>
        </is>
      </c>
      <c r="F2356" s="18" t="n"/>
      <c r="G2356" s="9" t="n">
        <v>36.12</v>
      </c>
      <c r="H2356" s="9" t="n">
        <v>36.12</v>
      </c>
      <c r="I2356" s="9" t="inlineStr">
        <is>
          <t>Depth (no MLB IP)</t>
        </is>
      </c>
      <c r="J2356" s="18" t="inlineStr">
        <is>
          <t>Opening Day</t>
        </is>
      </c>
      <c r="K2356" s="11">
        <f>IFERROR(INDEX(Roles!$B$17:$B$20,MATCH(J2356,Roles!$A$17:$A$20,0)),1)</f>
        <v/>
      </c>
      <c r="L2356" s="19" t="n">
        <v>1</v>
      </c>
      <c r="M2356" s="11" t="n">
        <v>1</v>
      </c>
      <c r="N2356" s="19" t="n"/>
      <c r="O2356" s="19" t="n"/>
      <c r="P2356" s="19" t="n"/>
      <c r="Q2356" s="19" t="n"/>
      <c r="R2356" s="19" t="n"/>
      <c r="S2356" s="19" t="n"/>
      <c r="T2356" s="19" t="n"/>
      <c r="U2356" s="19" t="n"/>
      <c r="V2356" s="19" t="n"/>
      <c r="W2356" s="19" t="n"/>
      <c r="X2356" s="19" t="n"/>
      <c r="Y2356" s="19" t="n">
        <v>1</v>
      </c>
      <c r="Z2356" s="13">
        <f>SUMPRODUCT(N2356:Y2356,$N$2:$Y$2)*$K2356*$L2356*$M2356</f>
        <v/>
      </c>
      <c r="AA2356" s="14">
        <f>SUM(N2356:Y2356)</f>
        <v/>
      </c>
      <c r="AB2356" s="13">
        <f>SUMPRODUCT(N2356:Y2356,$N$3:$Y$3)*$K2356*$L2356*$M2356</f>
        <v/>
      </c>
      <c r="AC2356" s="13">
        <f>SUMPRODUCT(N2356:Y2356,$N$4:$Y$4)*$K2356*$L2356*$M2356</f>
        <v/>
      </c>
      <c r="AD2356" s="15" t="n">
        <v>3</v>
      </c>
      <c r="AE2356" s="11" t="n">
        <v>1.011296296296296</v>
      </c>
      <c r="AF2356" s="16">
        <f>SUMPRODUCT(N2356:Y2356,$N$5:$Y$5)*$K2356*$L2356*$M2356</f>
        <v/>
      </c>
      <c r="AG2356" s="16">
        <f>SUMPRODUCT(N2356:Y2356,$N$6:$Y$6)*$K2356*$L2356*$M2356</f>
        <v/>
      </c>
      <c r="AH2356" s="20" t="n"/>
    </row>
    <row r="2357">
      <c r="A2357" s="9" t="n">
        <v>836172</v>
      </c>
      <c r="B2357" s="9" t="inlineStr">
        <is>
          <t>Peyton Niksch</t>
        </is>
      </c>
      <c r="C2357" s="9" t="inlineStr">
        <is>
          <t>MIL</t>
        </is>
      </c>
      <c r="D2357" s="9" t="n">
        <v>25</v>
      </c>
      <c r="E2357" s="18" t="inlineStr">
        <is>
          <t>R</t>
        </is>
      </c>
      <c r="F2357" s="18" t="n"/>
      <c r="G2357" s="9" t="n">
        <v>36.11999999999999</v>
      </c>
      <c r="H2357" s="9" t="n">
        <v>36.11999999999999</v>
      </c>
      <c r="I2357" s="9" t="inlineStr">
        <is>
          <t>Depth (no MLB IP)</t>
        </is>
      </c>
      <c r="J2357" s="18" t="inlineStr">
        <is>
          <t>Opening Day</t>
        </is>
      </c>
      <c r="K2357" s="11">
        <f>IFERROR(INDEX(Roles!$B$17:$B$20,MATCH(J2357,Roles!$A$17:$A$20,0)),1)</f>
        <v/>
      </c>
      <c r="L2357" s="19" t="n">
        <v>1</v>
      </c>
      <c r="M2357" s="11" t="n">
        <v>1</v>
      </c>
      <c r="N2357" s="19" t="n"/>
      <c r="O2357" s="19" t="n"/>
      <c r="P2357" s="19" t="n"/>
      <c r="Q2357" s="19" t="n"/>
      <c r="R2357" s="19" t="n"/>
      <c r="S2357" s="19" t="n"/>
      <c r="T2357" s="19" t="n"/>
      <c r="U2357" s="19" t="n"/>
      <c r="V2357" s="19" t="n"/>
      <c r="W2357" s="19" t="n"/>
      <c r="X2357" s="19" t="n"/>
      <c r="Y2357" s="19" t="n">
        <v>1</v>
      </c>
      <c r="Z2357" s="13">
        <f>SUMPRODUCT(N2357:Y2357,$N$2:$Y$2)*$K2357*$L2357*$M2357</f>
        <v/>
      </c>
      <c r="AA2357" s="14">
        <f>SUM(N2357:Y2357)</f>
        <v/>
      </c>
      <c r="AB2357" s="13">
        <f>SUMPRODUCT(N2357:Y2357,$N$3:$Y$3)*$K2357*$L2357*$M2357</f>
        <v/>
      </c>
      <c r="AC2357" s="13">
        <f>SUMPRODUCT(N2357:Y2357,$N$4:$Y$4)*$K2357*$L2357*$M2357</f>
        <v/>
      </c>
      <c r="AD2357" s="15" t="n">
        <v>3</v>
      </c>
      <c r="AE2357" s="11" t="n">
        <v>1.011296296296296</v>
      </c>
      <c r="AF2357" s="16">
        <f>SUMPRODUCT(N2357:Y2357,$N$5:$Y$5)*$K2357*$L2357*$M2357</f>
        <v/>
      </c>
      <c r="AG2357" s="16">
        <f>SUMPRODUCT(N2357:Y2357,$N$6:$Y$6)*$K2357*$L2357*$M2357</f>
        <v/>
      </c>
      <c r="AH2357" s="20" t="n"/>
    </row>
    <row r="2358">
      <c r="A2358" s="9" t="n">
        <v>805892</v>
      </c>
      <c r="B2358" s="9" t="inlineStr">
        <is>
          <t>Nick Altermatt</t>
        </is>
      </c>
      <c r="C2358" s="9" t="inlineStr">
        <is>
          <t>CWS</t>
        </is>
      </c>
      <c r="D2358" s="9" t="n">
        <v>25</v>
      </c>
      <c r="E2358" s="18" t="inlineStr">
        <is>
          <t>R</t>
        </is>
      </c>
      <c r="F2358" s="18" t="n"/>
      <c r="G2358" s="9" t="n">
        <v>36.26333333333334</v>
      </c>
      <c r="H2358" s="9" t="n">
        <v>36.26333333333334</v>
      </c>
      <c r="I2358" s="9" t="inlineStr">
        <is>
          <t>Depth (no MLB IP)</t>
        </is>
      </c>
      <c r="J2358" s="18" t="inlineStr">
        <is>
          <t>Opening Day</t>
        </is>
      </c>
      <c r="K2358" s="11">
        <f>IFERROR(INDEX(Roles!$B$17:$B$20,MATCH(J2358,Roles!$A$17:$A$20,0)),1)</f>
        <v/>
      </c>
      <c r="L2358" s="19" t="n">
        <v>1</v>
      </c>
      <c r="M2358" s="11" t="n">
        <v>1</v>
      </c>
      <c r="N2358" s="19" t="n"/>
      <c r="O2358" s="19" t="n"/>
      <c r="P2358" s="19" t="n"/>
      <c r="Q2358" s="19" t="n"/>
      <c r="R2358" s="19" t="n"/>
      <c r="S2358" s="19" t="n"/>
      <c r="T2358" s="19" t="n"/>
      <c r="U2358" s="19" t="n"/>
      <c r="V2358" s="19" t="n"/>
      <c r="W2358" s="19" t="n"/>
      <c r="X2358" s="19" t="n"/>
      <c r="Y2358" s="19" t="n">
        <v>1</v>
      </c>
      <c r="Z2358" s="13">
        <f>SUMPRODUCT(N2358:Y2358,$N$2:$Y$2)*$K2358*$L2358*$M2358</f>
        <v/>
      </c>
      <c r="AA2358" s="14">
        <f>SUM(N2358:Y2358)</f>
        <v/>
      </c>
      <c r="AB2358" s="13">
        <f>SUMPRODUCT(N2358:Y2358,$N$3:$Y$3)*$K2358*$L2358*$M2358</f>
        <v/>
      </c>
      <c r="AC2358" s="13">
        <f>SUMPRODUCT(N2358:Y2358,$N$4:$Y$4)*$K2358*$L2358*$M2358</f>
        <v/>
      </c>
      <c r="AD2358" s="15" t="n">
        <v>3</v>
      </c>
      <c r="AE2358" s="11" t="n">
        <v>1.011296296296296</v>
      </c>
      <c r="AF2358" s="16">
        <f>SUMPRODUCT(N2358:Y2358,$N$5:$Y$5)*$K2358*$L2358*$M2358</f>
        <v/>
      </c>
      <c r="AG2358" s="16">
        <f>SUMPRODUCT(N2358:Y2358,$N$6:$Y$6)*$K2358*$L2358*$M2358</f>
        <v/>
      </c>
      <c r="AH2358" s="20" t="n"/>
    </row>
    <row r="2359">
      <c r="A2359" s="9" t="n">
        <v>805363</v>
      </c>
      <c r="B2359" s="9" t="inlineStr">
        <is>
          <t>Chris Clark</t>
        </is>
      </c>
      <c r="C2359" s="9" t="inlineStr">
        <is>
          <t>TB</t>
        </is>
      </c>
      <c r="D2359" s="9" t="n">
        <v>25</v>
      </c>
      <c r="E2359" s="18" t="inlineStr">
        <is>
          <t>R</t>
        </is>
      </c>
      <c r="F2359" s="18" t="n"/>
      <c r="G2359" s="9" t="n">
        <v>36.26333333333334</v>
      </c>
      <c r="H2359" s="9" t="n">
        <v>36.26333333333334</v>
      </c>
      <c r="I2359" s="9" t="inlineStr">
        <is>
          <t>Depth (no MLB IP)</t>
        </is>
      </c>
      <c r="J2359" s="18" t="inlineStr">
        <is>
          <t>Opening Day</t>
        </is>
      </c>
      <c r="K2359" s="11">
        <f>IFERROR(INDEX(Roles!$B$17:$B$20,MATCH(J2359,Roles!$A$17:$A$20,0)),1)</f>
        <v/>
      </c>
      <c r="L2359" s="19" t="n">
        <v>1</v>
      </c>
      <c r="M2359" s="11" t="n">
        <v>1</v>
      </c>
      <c r="N2359" s="19" t="n"/>
      <c r="O2359" s="19" t="n"/>
      <c r="P2359" s="19" t="n"/>
      <c r="Q2359" s="19" t="n"/>
      <c r="R2359" s="19" t="n"/>
      <c r="S2359" s="19" t="n"/>
      <c r="T2359" s="19" t="n"/>
      <c r="U2359" s="19" t="n"/>
      <c r="V2359" s="19" t="n"/>
      <c r="W2359" s="19" t="n"/>
      <c r="X2359" s="19" t="n"/>
      <c r="Y2359" s="19" t="n">
        <v>1</v>
      </c>
      <c r="Z2359" s="13">
        <f>SUMPRODUCT(N2359:Y2359,$N$2:$Y$2)*$K2359*$L2359*$M2359</f>
        <v/>
      </c>
      <c r="AA2359" s="14">
        <f>SUM(N2359:Y2359)</f>
        <v/>
      </c>
      <c r="AB2359" s="13">
        <f>SUMPRODUCT(N2359:Y2359,$N$3:$Y$3)*$K2359*$L2359*$M2359</f>
        <v/>
      </c>
      <c r="AC2359" s="13">
        <f>SUMPRODUCT(N2359:Y2359,$N$4:$Y$4)*$K2359*$L2359*$M2359</f>
        <v/>
      </c>
      <c r="AD2359" s="15" t="n">
        <v>3</v>
      </c>
      <c r="AE2359" s="11" t="n">
        <v>1.011296296296296</v>
      </c>
      <c r="AF2359" s="16">
        <f>SUMPRODUCT(N2359:Y2359,$N$5:$Y$5)*$K2359*$L2359*$M2359</f>
        <v/>
      </c>
      <c r="AG2359" s="16">
        <f>SUMPRODUCT(N2359:Y2359,$N$6:$Y$6)*$K2359*$L2359*$M2359</f>
        <v/>
      </c>
      <c r="AH2359" s="20" t="n"/>
    </row>
    <row r="2360">
      <c r="A2360" s="9" t="n">
        <v>660431</v>
      </c>
      <c r="B2360" s="9" t="inlineStr">
        <is>
          <t>Hector Perez</t>
        </is>
      </c>
      <c r="C2360" s="9" t="inlineStr">
        <is>
          <t>TB</t>
        </is>
      </c>
      <c r="D2360" s="9" t="n">
        <v>31</v>
      </c>
      <c r="E2360" s="18" t="inlineStr">
        <is>
          <t>R</t>
        </is>
      </c>
      <c r="F2360" s="18" t="n"/>
      <c r="G2360" s="9" t="n">
        <v>5</v>
      </c>
      <c r="H2360" s="9" t="n">
        <v>5</v>
      </c>
      <c r="I2360" s="9" t="inlineStr">
        <is>
          <t>Depth (no MLB IP)</t>
        </is>
      </c>
      <c r="J2360" s="18" t="inlineStr">
        <is>
          <t>Opening Day</t>
        </is>
      </c>
      <c r="K2360" s="11">
        <f>IFERROR(INDEX(Roles!$B$17:$B$20,MATCH(J2360,Roles!$A$17:$A$20,0)),1)</f>
        <v/>
      </c>
      <c r="L2360" s="19" t="n">
        <v>1</v>
      </c>
      <c r="M2360" s="11" t="n">
        <v>1</v>
      </c>
      <c r="N2360" s="19" t="n"/>
      <c r="O2360" s="19" t="n"/>
      <c r="P2360" s="19" t="n"/>
      <c r="Q2360" s="19" t="n"/>
      <c r="R2360" s="19" t="n"/>
      <c r="S2360" s="19" t="n"/>
      <c r="T2360" s="19" t="n"/>
      <c r="U2360" s="19" t="n"/>
      <c r="V2360" s="19" t="n"/>
      <c r="W2360" s="19" t="n"/>
      <c r="X2360" s="19" t="n"/>
      <c r="Y2360" s="19" t="n">
        <v>1</v>
      </c>
      <c r="Z2360" s="13">
        <f>SUMPRODUCT(N2360:Y2360,$N$2:$Y$2)*$K2360*$L2360*$M2360</f>
        <v/>
      </c>
      <c r="AA2360" s="14">
        <f>SUM(N2360:Y2360)</f>
        <v/>
      </c>
      <c r="AB2360" s="13">
        <f>SUMPRODUCT(N2360:Y2360,$N$3:$Y$3)*$K2360*$L2360*$M2360</f>
        <v/>
      </c>
      <c r="AC2360" s="13">
        <f>SUMPRODUCT(N2360:Y2360,$N$4:$Y$4)*$K2360*$L2360*$M2360</f>
        <v/>
      </c>
      <c r="AD2360" s="15" t="n">
        <v>3</v>
      </c>
      <c r="AE2360" s="11" t="n">
        <v>1.011296296296296</v>
      </c>
      <c r="AF2360" s="16">
        <f>SUMPRODUCT(N2360:Y2360,$N$5:$Y$5)*$K2360*$L2360*$M2360</f>
        <v/>
      </c>
      <c r="AG2360" s="16">
        <f>SUMPRODUCT(N2360:Y2360,$N$6:$Y$6)*$K2360*$L2360*$M2360</f>
        <v/>
      </c>
      <c r="AH2360" s="20" t="n"/>
    </row>
    <row r="2361">
      <c r="A2361" s="9" t="n">
        <v>681328</v>
      </c>
      <c r="B2361" s="9" t="inlineStr">
        <is>
          <t>Jonny Cuevas</t>
        </is>
      </c>
      <c r="C2361" s="9" t="inlineStr">
        <is>
          <t>TB</t>
        </is>
      </c>
      <c r="D2361" s="9" t="n">
        <v>25</v>
      </c>
      <c r="E2361" s="18" t="inlineStr">
        <is>
          <t>R</t>
        </is>
      </c>
      <c r="F2361" s="18" t="n"/>
      <c r="G2361" s="9" t="n">
        <v>36.26333333333334</v>
      </c>
      <c r="H2361" s="9" t="n">
        <v>36.26333333333334</v>
      </c>
      <c r="I2361" s="9" t="inlineStr">
        <is>
          <t>Depth (no MLB IP)</t>
        </is>
      </c>
      <c r="J2361" s="18" t="inlineStr">
        <is>
          <t>Opening Day</t>
        </is>
      </c>
      <c r="K2361" s="11">
        <f>IFERROR(INDEX(Roles!$B$17:$B$20,MATCH(J2361,Roles!$A$17:$A$20,0)),1)</f>
        <v/>
      </c>
      <c r="L2361" s="19" t="n">
        <v>1</v>
      </c>
      <c r="M2361" s="11" t="n">
        <v>1</v>
      </c>
      <c r="N2361" s="19" t="n"/>
      <c r="O2361" s="19" t="n"/>
      <c r="P2361" s="19" t="n"/>
      <c r="Q2361" s="19" t="n"/>
      <c r="R2361" s="19" t="n"/>
      <c r="S2361" s="19" t="n"/>
      <c r="T2361" s="19" t="n"/>
      <c r="U2361" s="19" t="n"/>
      <c r="V2361" s="19" t="n"/>
      <c r="W2361" s="19" t="n"/>
      <c r="X2361" s="19" t="n"/>
      <c r="Y2361" s="19" t="n">
        <v>1</v>
      </c>
      <c r="Z2361" s="13">
        <f>SUMPRODUCT(N2361:Y2361,$N$2:$Y$2)*$K2361*$L2361*$M2361</f>
        <v/>
      </c>
      <c r="AA2361" s="14">
        <f>SUM(N2361:Y2361)</f>
        <v/>
      </c>
      <c r="AB2361" s="13">
        <f>SUMPRODUCT(N2361:Y2361,$N$3:$Y$3)*$K2361*$L2361*$M2361</f>
        <v/>
      </c>
      <c r="AC2361" s="13">
        <f>SUMPRODUCT(N2361:Y2361,$N$4:$Y$4)*$K2361*$L2361*$M2361</f>
        <v/>
      </c>
      <c r="AD2361" s="15" t="n">
        <v>3</v>
      </c>
      <c r="AE2361" s="11" t="n">
        <v>1.011296296296296</v>
      </c>
      <c r="AF2361" s="16">
        <f>SUMPRODUCT(N2361:Y2361,$N$5:$Y$5)*$K2361*$L2361*$M2361</f>
        <v/>
      </c>
      <c r="AG2361" s="16">
        <f>SUMPRODUCT(N2361:Y2361,$N$6:$Y$6)*$K2361*$L2361*$M2361</f>
        <v/>
      </c>
      <c r="AH2361" s="20" t="n"/>
    </row>
    <row r="2362">
      <c r="A2362" s="9" t="n">
        <v>802699</v>
      </c>
      <c r="B2362" s="9" t="inlineStr">
        <is>
          <t>Nate Williams</t>
        </is>
      </c>
      <c r="C2362" s="9" t="inlineStr">
        <is>
          <t>CHC</t>
        </is>
      </c>
      <c r="D2362" s="9" t="n">
        <v>25</v>
      </c>
      <c r="E2362" s="18" t="inlineStr">
        <is>
          <t>R</t>
        </is>
      </c>
      <c r="F2362" s="18" t="n"/>
      <c r="G2362" s="9" t="n">
        <v>36.40666666666667</v>
      </c>
      <c r="H2362" s="9" t="n">
        <v>36.40666666666667</v>
      </c>
      <c r="I2362" s="9" t="inlineStr">
        <is>
          <t>Depth (no MLB IP)</t>
        </is>
      </c>
      <c r="J2362" s="18" t="inlineStr">
        <is>
          <t>Opening Day</t>
        </is>
      </c>
      <c r="K2362" s="11">
        <f>IFERROR(INDEX(Roles!$B$17:$B$20,MATCH(J2362,Roles!$A$17:$A$20,0)),1)</f>
        <v/>
      </c>
      <c r="L2362" s="19" t="n">
        <v>1</v>
      </c>
      <c r="M2362" s="11" t="n">
        <v>1</v>
      </c>
      <c r="N2362" s="19" t="n"/>
      <c r="O2362" s="19" t="n"/>
      <c r="P2362" s="19" t="n"/>
      <c r="Q2362" s="19" t="n"/>
      <c r="R2362" s="19" t="n"/>
      <c r="S2362" s="19" t="n"/>
      <c r="T2362" s="19" t="n"/>
      <c r="U2362" s="19" t="n"/>
      <c r="V2362" s="19" t="n"/>
      <c r="W2362" s="19" t="n"/>
      <c r="X2362" s="19" t="n"/>
      <c r="Y2362" s="19" t="n">
        <v>1</v>
      </c>
      <c r="Z2362" s="13">
        <f>SUMPRODUCT(N2362:Y2362,$N$2:$Y$2)*$K2362*$L2362*$M2362</f>
        <v/>
      </c>
      <c r="AA2362" s="14">
        <f>SUM(N2362:Y2362)</f>
        <v/>
      </c>
      <c r="AB2362" s="13">
        <f>SUMPRODUCT(N2362:Y2362,$N$3:$Y$3)*$K2362*$L2362*$M2362</f>
        <v/>
      </c>
      <c r="AC2362" s="13">
        <f>SUMPRODUCT(N2362:Y2362,$N$4:$Y$4)*$K2362*$L2362*$M2362</f>
        <v/>
      </c>
      <c r="AD2362" s="15" t="n">
        <v>3</v>
      </c>
      <c r="AE2362" s="11" t="n">
        <v>1.011296296296296</v>
      </c>
      <c r="AF2362" s="16">
        <f>SUMPRODUCT(N2362:Y2362,$N$5:$Y$5)*$K2362*$L2362*$M2362</f>
        <v/>
      </c>
      <c r="AG2362" s="16">
        <f>SUMPRODUCT(N2362:Y2362,$N$6:$Y$6)*$K2362*$L2362*$M2362</f>
        <v/>
      </c>
      <c r="AH2362" s="20" t="n"/>
    </row>
    <row r="2363">
      <c r="A2363" s="9" t="n">
        <v>700043</v>
      </c>
      <c r="B2363" s="9" t="inlineStr">
        <is>
          <t>Justin Long</t>
        </is>
      </c>
      <c r="C2363" s="9" t="inlineStr">
        <is>
          <t>ATL</t>
        </is>
      </c>
      <c r="D2363" s="9" t="n">
        <v>25</v>
      </c>
      <c r="E2363" s="18" t="inlineStr">
        <is>
          <t>R</t>
        </is>
      </c>
      <c r="F2363" s="18" t="n"/>
      <c r="G2363" s="9" t="n">
        <v>36.40666666666667</v>
      </c>
      <c r="H2363" s="9" t="n">
        <v>36.40666666666667</v>
      </c>
      <c r="I2363" s="9" t="inlineStr">
        <is>
          <t>Depth (no MLB IP)</t>
        </is>
      </c>
      <c r="J2363" s="18" t="inlineStr">
        <is>
          <t>Opening Day</t>
        </is>
      </c>
      <c r="K2363" s="11">
        <f>IFERROR(INDEX(Roles!$B$17:$B$20,MATCH(J2363,Roles!$A$17:$A$20,0)),1)</f>
        <v/>
      </c>
      <c r="L2363" s="19" t="n">
        <v>1</v>
      </c>
      <c r="M2363" s="11" t="n">
        <v>1</v>
      </c>
      <c r="N2363" s="19" t="n"/>
      <c r="O2363" s="19" t="n"/>
      <c r="P2363" s="19" t="n"/>
      <c r="Q2363" s="19" t="n"/>
      <c r="R2363" s="19" t="n"/>
      <c r="S2363" s="19" t="n"/>
      <c r="T2363" s="19" t="n"/>
      <c r="U2363" s="19" t="n"/>
      <c r="V2363" s="19" t="n"/>
      <c r="W2363" s="19" t="n"/>
      <c r="X2363" s="19" t="n"/>
      <c r="Y2363" s="19" t="n">
        <v>1</v>
      </c>
      <c r="Z2363" s="13">
        <f>SUMPRODUCT(N2363:Y2363,$N$2:$Y$2)*$K2363*$L2363*$M2363</f>
        <v/>
      </c>
      <c r="AA2363" s="14">
        <f>SUM(N2363:Y2363)</f>
        <v/>
      </c>
      <c r="AB2363" s="13">
        <f>SUMPRODUCT(N2363:Y2363,$N$3:$Y$3)*$K2363*$L2363*$M2363</f>
        <v/>
      </c>
      <c r="AC2363" s="13">
        <f>SUMPRODUCT(N2363:Y2363,$N$4:$Y$4)*$K2363*$L2363*$M2363</f>
        <v/>
      </c>
      <c r="AD2363" s="15" t="n">
        <v>3</v>
      </c>
      <c r="AE2363" s="11" t="n">
        <v>1.011296296296296</v>
      </c>
      <c r="AF2363" s="16">
        <f>SUMPRODUCT(N2363:Y2363,$N$5:$Y$5)*$K2363*$L2363*$M2363</f>
        <v/>
      </c>
      <c r="AG2363" s="16">
        <f>SUMPRODUCT(N2363:Y2363,$N$6:$Y$6)*$K2363*$L2363*$M2363</f>
        <v/>
      </c>
      <c r="AH2363" s="20" t="n"/>
    </row>
    <row r="2364">
      <c r="A2364" s="9" t="n">
        <v>821970</v>
      </c>
      <c r="B2364" s="9" t="inlineStr">
        <is>
          <t>Xavier Martinez</t>
        </is>
      </c>
      <c r="C2364" s="9" t="inlineStr">
        <is>
          <t>CLE</t>
        </is>
      </c>
      <c r="D2364" s="9" t="n">
        <v>25</v>
      </c>
      <c r="E2364" s="18" t="inlineStr">
        <is>
          <t>R</t>
        </is>
      </c>
      <c r="F2364" s="18" t="n"/>
      <c r="G2364" s="9" t="n">
        <v>36.40666666666667</v>
      </c>
      <c r="H2364" s="9" t="n">
        <v>36.40666666666667</v>
      </c>
      <c r="I2364" s="9" t="inlineStr">
        <is>
          <t>Depth (no MLB IP)</t>
        </is>
      </c>
      <c r="J2364" s="18" t="inlineStr">
        <is>
          <t>Opening Day</t>
        </is>
      </c>
      <c r="K2364" s="11">
        <f>IFERROR(INDEX(Roles!$B$17:$B$20,MATCH(J2364,Roles!$A$17:$A$20,0)),1)</f>
        <v/>
      </c>
      <c r="L2364" s="19" t="n">
        <v>1</v>
      </c>
      <c r="M2364" s="11" t="n">
        <v>1</v>
      </c>
      <c r="N2364" s="19" t="n"/>
      <c r="O2364" s="19" t="n"/>
      <c r="P2364" s="19" t="n"/>
      <c r="Q2364" s="19" t="n"/>
      <c r="R2364" s="19" t="n"/>
      <c r="S2364" s="19" t="n"/>
      <c r="T2364" s="19" t="n"/>
      <c r="U2364" s="19" t="n"/>
      <c r="V2364" s="19" t="n"/>
      <c r="W2364" s="19" t="n"/>
      <c r="X2364" s="19" t="n"/>
      <c r="Y2364" s="19" t="n">
        <v>1</v>
      </c>
      <c r="Z2364" s="13">
        <f>SUMPRODUCT(N2364:Y2364,$N$2:$Y$2)*$K2364*$L2364*$M2364</f>
        <v/>
      </c>
      <c r="AA2364" s="14">
        <f>SUM(N2364:Y2364)</f>
        <v/>
      </c>
      <c r="AB2364" s="13">
        <f>SUMPRODUCT(N2364:Y2364,$N$3:$Y$3)*$K2364*$L2364*$M2364</f>
        <v/>
      </c>
      <c r="AC2364" s="13">
        <f>SUMPRODUCT(N2364:Y2364,$N$4:$Y$4)*$K2364*$L2364*$M2364</f>
        <v/>
      </c>
      <c r="AD2364" s="15" t="n">
        <v>3</v>
      </c>
      <c r="AE2364" s="11" t="n">
        <v>1.011296296296296</v>
      </c>
      <c r="AF2364" s="16">
        <f>SUMPRODUCT(N2364:Y2364,$N$5:$Y$5)*$K2364*$L2364*$M2364</f>
        <v/>
      </c>
      <c r="AG2364" s="16">
        <f>SUMPRODUCT(N2364:Y2364,$N$6:$Y$6)*$K2364*$L2364*$M2364</f>
        <v/>
      </c>
      <c r="AH2364" s="20" t="n"/>
    </row>
    <row r="2365">
      <c r="A2365" s="9" t="n">
        <v>701557</v>
      </c>
      <c r="B2365" s="9" t="inlineStr">
        <is>
          <t>Carlos Lequerica</t>
        </is>
      </c>
      <c r="C2365" s="9" t="inlineStr">
        <is>
          <t>DET</t>
        </is>
      </c>
      <c r="D2365" s="9" t="n">
        <v>25</v>
      </c>
      <c r="E2365" s="18" t="inlineStr">
        <is>
          <t>R</t>
        </is>
      </c>
      <c r="F2365" s="18" t="n"/>
      <c r="G2365" s="9" t="n">
        <v>36.40666666666667</v>
      </c>
      <c r="H2365" s="9" t="n">
        <v>36.40666666666667</v>
      </c>
      <c r="I2365" s="9" t="inlineStr">
        <is>
          <t>Depth (no MLB IP)</t>
        </is>
      </c>
      <c r="J2365" s="18" t="inlineStr">
        <is>
          <t>Opening Day</t>
        </is>
      </c>
      <c r="K2365" s="11">
        <f>IFERROR(INDEX(Roles!$B$17:$B$20,MATCH(J2365,Roles!$A$17:$A$20,0)),1)</f>
        <v/>
      </c>
      <c r="L2365" s="19" t="n">
        <v>1</v>
      </c>
      <c r="M2365" s="11" t="n">
        <v>1</v>
      </c>
      <c r="N2365" s="19" t="n"/>
      <c r="O2365" s="19" t="n"/>
      <c r="P2365" s="19" t="n"/>
      <c r="Q2365" s="19" t="n"/>
      <c r="R2365" s="19" t="n"/>
      <c r="S2365" s="19" t="n"/>
      <c r="T2365" s="19" t="n"/>
      <c r="U2365" s="19" t="n"/>
      <c r="V2365" s="19" t="n"/>
      <c r="W2365" s="19" t="n"/>
      <c r="X2365" s="19" t="n"/>
      <c r="Y2365" s="19" t="n">
        <v>1</v>
      </c>
      <c r="Z2365" s="13">
        <f>SUMPRODUCT(N2365:Y2365,$N$2:$Y$2)*$K2365*$L2365*$M2365</f>
        <v/>
      </c>
      <c r="AA2365" s="14">
        <f>SUM(N2365:Y2365)</f>
        <v/>
      </c>
      <c r="AB2365" s="13">
        <f>SUMPRODUCT(N2365:Y2365,$N$3:$Y$3)*$K2365*$L2365*$M2365</f>
        <v/>
      </c>
      <c r="AC2365" s="13">
        <f>SUMPRODUCT(N2365:Y2365,$N$4:$Y$4)*$K2365*$L2365*$M2365</f>
        <v/>
      </c>
      <c r="AD2365" s="15" t="n">
        <v>3</v>
      </c>
      <c r="AE2365" s="11" t="n">
        <v>1.011296296296296</v>
      </c>
      <c r="AF2365" s="16">
        <f>SUMPRODUCT(N2365:Y2365,$N$5:$Y$5)*$K2365*$L2365*$M2365</f>
        <v/>
      </c>
      <c r="AG2365" s="16">
        <f>SUMPRODUCT(N2365:Y2365,$N$6:$Y$6)*$K2365*$L2365*$M2365</f>
        <v/>
      </c>
      <c r="AH2365" s="20" t="n"/>
    </row>
    <row r="2366">
      <c r="A2366" s="9" t="n">
        <v>700357</v>
      </c>
      <c r="B2366" s="9" t="inlineStr">
        <is>
          <t>Juan Rojas</t>
        </is>
      </c>
      <c r="C2366" s="9" t="inlineStr">
        <is>
          <t>BAL</t>
        </is>
      </c>
      <c r="D2366" s="9" t="n">
        <v>25</v>
      </c>
      <c r="E2366" s="18" t="inlineStr">
        <is>
          <t>L</t>
        </is>
      </c>
      <c r="F2366" s="18" t="n"/>
      <c r="G2366" s="9" t="n">
        <v>36.62166666666666</v>
      </c>
      <c r="H2366" s="9" t="n">
        <v>36.62166666666666</v>
      </c>
      <c r="I2366" s="9" t="inlineStr">
        <is>
          <t>Depth (no MLB IP)</t>
        </is>
      </c>
      <c r="J2366" s="18" t="inlineStr">
        <is>
          <t>Opening Day</t>
        </is>
      </c>
      <c r="K2366" s="11">
        <f>IFERROR(INDEX(Roles!$B$17:$B$20,MATCH(J2366,Roles!$A$17:$A$20,0)),1)</f>
        <v/>
      </c>
      <c r="L2366" s="19" t="n">
        <v>1</v>
      </c>
      <c r="M2366" s="11" t="n">
        <v>1</v>
      </c>
      <c r="N2366" s="19" t="n"/>
      <c r="O2366" s="19" t="n"/>
      <c r="P2366" s="19" t="n"/>
      <c r="Q2366" s="19" t="n"/>
      <c r="R2366" s="19" t="n"/>
      <c r="S2366" s="19" t="n"/>
      <c r="T2366" s="19" t="n"/>
      <c r="U2366" s="19" t="n"/>
      <c r="V2366" s="19" t="n"/>
      <c r="W2366" s="19" t="n"/>
      <c r="X2366" s="19" t="n"/>
      <c r="Y2366" s="19" t="n">
        <v>1</v>
      </c>
      <c r="Z2366" s="13">
        <f>SUMPRODUCT(N2366:Y2366,$N$2:$Y$2)*$K2366*$L2366*$M2366</f>
        <v/>
      </c>
      <c r="AA2366" s="14">
        <f>SUM(N2366:Y2366)</f>
        <v/>
      </c>
      <c r="AB2366" s="13">
        <f>SUMPRODUCT(N2366:Y2366,$N$3:$Y$3)*$K2366*$L2366*$M2366</f>
        <v/>
      </c>
      <c r="AC2366" s="13">
        <f>SUMPRODUCT(N2366:Y2366,$N$4:$Y$4)*$K2366*$L2366*$M2366</f>
        <v/>
      </c>
      <c r="AD2366" s="15" t="n">
        <v>3</v>
      </c>
      <c r="AE2366" s="11" t="n">
        <v>1.011296296296296</v>
      </c>
      <c r="AF2366" s="16">
        <f>SUMPRODUCT(N2366:Y2366,$N$5:$Y$5)*$K2366*$L2366*$M2366</f>
        <v/>
      </c>
      <c r="AG2366" s="16">
        <f>SUMPRODUCT(N2366:Y2366,$N$6:$Y$6)*$K2366*$L2366*$M2366</f>
        <v/>
      </c>
      <c r="AH2366" s="20" t="n"/>
    </row>
    <row r="2367">
      <c r="A2367" s="9" t="n">
        <v>803285</v>
      </c>
      <c r="B2367" s="9" t="inlineStr">
        <is>
          <t>Tyler Bremner</t>
        </is>
      </c>
      <c r="C2367" s="9" t="inlineStr">
        <is>
          <t>LAA</t>
        </is>
      </c>
      <c r="D2367" s="9" t="n">
        <v>23</v>
      </c>
      <c r="E2367" s="18" t="inlineStr">
        <is>
          <t>R</t>
        </is>
      </c>
      <c r="F2367" s="18" t="n"/>
      <c r="G2367" s="9" t="n">
        <v>36.62166666666666</v>
      </c>
      <c r="H2367" s="9" t="n">
        <v>36.62166666666666</v>
      </c>
      <c r="I2367" s="9" t="inlineStr">
        <is>
          <t>Innings-Limited Starter</t>
        </is>
      </c>
      <c r="J2367" s="18" t="inlineStr">
        <is>
          <t>Mid Season (~July)</t>
        </is>
      </c>
      <c r="K2367" s="11">
        <f>IFERROR(INDEX(Roles!$B$17:$B$20,MATCH(J2367,Roles!$A$17:$A$20,0)),1)</f>
        <v/>
      </c>
      <c r="L2367" s="19" t="n">
        <v>1</v>
      </c>
      <c r="M2367" s="11" t="n">
        <v>1</v>
      </c>
      <c r="N2367" s="19" t="n"/>
      <c r="O2367" s="19" t="n"/>
      <c r="P2367" s="19" t="n"/>
      <c r="Q2367" s="19" t="n">
        <v>0.46</v>
      </c>
      <c r="R2367" s="19" t="n">
        <v>0.3</v>
      </c>
      <c r="S2367" s="19" t="n"/>
      <c r="T2367" s="19" t="n"/>
      <c r="U2367" s="19" t="n"/>
      <c r="V2367" s="19" t="n"/>
      <c r="W2367" s="19" t="n">
        <v>0.24</v>
      </c>
      <c r="X2367" s="19" t="n"/>
      <c r="Y2367" s="19" t="n"/>
      <c r="Z2367" s="13">
        <f>SUMPRODUCT(N2367:Y2367,$N$2:$Y$2)*$K2367*$L2367*$M2367</f>
        <v/>
      </c>
      <c r="AA2367" s="14">
        <f>SUM(N2367:Y2367)</f>
        <v/>
      </c>
      <c r="AB2367" s="13">
        <f>SUMPRODUCT(N2367:Y2367,$N$3:$Y$3)*$K2367*$L2367*$M2367</f>
        <v/>
      </c>
      <c r="AC2367" s="13">
        <f>SUMPRODUCT(N2367:Y2367,$N$4:$Y$4)*$K2367*$L2367*$M2367</f>
        <v/>
      </c>
      <c r="AD2367" s="15" t="n">
        <v>27.52</v>
      </c>
      <c r="AE2367" s="11" t="n">
        <v>3.223110465116278</v>
      </c>
      <c r="AF2367" s="16">
        <f>SUMPRODUCT(N2367:Y2367,$N$5:$Y$5)*$K2367*$L2367*$M2367</f>
        <v/>
      </c>
      <c r="AG2367" s="16">
        <f>SUMPRODUCT(N2367:Y2367,$N$6:$Y$6)*$K2367*$L2367*$M2367</f>
        <v/>
      </c>
      <c r="AH2367" s="20" t="n"/>
    </row>
    <row r="2368">
      <c r="A2368" s="9" t="n">
        <v>669682</v>
      </c>
      <c r="B2368" s="9" t="inlineStr">
        <is>
          <t>Morgan McSweeney</t>
        </is>
      </c>
      <c r="C2368" s="9" t="inlineStr">
        <is>
          <t>BOS</t>
        </is>
      </c>
      <c r="D2368" s="9" t="n">
        <v>25</v>
      </c>
      <c r="E2368" s="18" t="inlineStr">
        <is>
          <t>R</t>
        </is>
      </c>
      <c r="F2368" s="18" t="n"/>
      <c r="G2368" s="9" t="n">
        <v>36.62166666666666</v>
      </c>
      <c r="H2368" s="9" t="n">
        <v>36.62166666666666</v>
      </c>
      <c r="I2368" s="9" t="inlineStr">
        <is>
          <t>Depth (no MLB IP)</t>
        </is>
      </c>
      <c r="J2368" s="18" t="inlineStr">
        <is>
          <t>Opening Day</t>
        </is>
      </c>
      <c r="K2368" s="11">
        <f>IFERROR(INDEX(Roles!$B$17:$B$20,MATCH(J2368,Roles!$A$17:$A$20,0)),1)</f>
        <v/>
      </c>
      <c r="L2368" s="19" t="n">
        <v>1</v>
      </c>
      <c r="M2368" s="11" t="n">
        <v>1</v>
      </c>
      <c r="N2368" s="19" t="n"/>
      <c r="O2368" s="19" t="n"/>
      <c r="P2368" s="19" t="n"/>
      <c r="Q2368" s="19" t="n"/>
      <c r="R2368" s="19" t="n"/>
      <c r="S2368" s="19" t="n"/>
      <c r="T2368" s="19" t="n"/>
      <c r="U2368" s="19" t="n"/>
      <c r="V2368" s="19" t="n"/>
      <c r="W2368" s="19" t="n"/>
      <c r="X2368" s="19" t="n"/>
      <c r="Y2368" s="19" t="n">
        <v>1</v>
      </c>
      <c r="Z2368" s="13">
        <f>SUMPRODUCT(N2368:Y2368,$N$2:$Y$2)*$K2368*$L2368*$M2368</f>
        <v/>
      </c>
      <c r="AA2368" s="14">
        <f>SUM(N2368:Y2368)</f>
        <v/>
      </c>
      <c r="AB2368" s="13">
        <f>SUMPRODUCT(N2368:Y2368,$N$3:$Y$3)*$K2368*$L2368*$M2368</f>
        <v/>
      </c>
      <c r="AC2368" s="13">
        <f>SUMPRODUCT(N2368:Y2368,$N$4:$Y$4)*$K2368*$L2368*$M2368</f>
        <v/>
      </c>
      <c r="AD2368" s="15" t="n">
        <v>3</v>
      </c>
      <c r="AE2368" s="11" t="n">
        <v>1.011296296296296</v>
      </c>
      <c r="AF2368" s="16">
        <f>SUMPRODUCT(N2368:Y2368,$N$5:$Y$5)*$K2368*$L2368*$M2368</f>
        <v/>
      </c>
      <c r="AG2368" s="16">
        <f>SUMPRODUCT(N2368:Y2368,$N$6:$Y$6)*$K2368*$L2368*$M2368</f>
        <v/>
      </c>
      <c r="AH2368" s="20" t="n"/>
    </row>
    <row r="2369">
      <c r="A2369" s="9" t="n">
        <v>703106</v>
      </c>
      <c r="B2369" s="9" t="inlineStr">
        <is>
          <t>Ricardo Velez</t>
        </is>
      </c>
      <c r="C2369" s="9" t="inlineStr">
        <is>
          <t>TEX</t>
        </is>
      </c>
      <c r="D2369" s="9" t="n">
        <v>25</v>
      </c>
      <c r="E2369" s="18" t="inlineStr">
        <is>
          <t>R</t>
        </is>
      </c>
      <c r="F2369" s="18" t="n"/>
      <c r="G2369" s="9" t="n">
        <v>36.62166666666666</v>
      </c>
      <c r="H2369" s="9" t="n">
        <v>36.62166666666666</v>
      </c>
      <c r="I2369" s="9" t="inlineStr">
        <is>
          <t>Depth (no MLB IP)</t>
        </is>
      </c>
      <c r="J2369" s="18" t="inlineStr">
        <is>
          <t>Opening Day</t>
        </is>
      </c>
      <c r="K2369" s="11">
        <f>IFERROR(INDEX(Roles!$B$17:$B$20,MATCH(J2369,Roles!$A$17:$A$20,0)),1)</f>
        <v/>
      </c>
      <c r="L2369" s="19" t="n">
        <v>1</v>
      </c>
      <c r="M2369" s="11" t="n">
        <v>1</v>
      </c>
      <c r="N2369" s="19" t="n"/>
      <c r="O2369" s="19" t="n"/>
      <c r="P2369" s="19" t="n"/>
      <c r="Q2369" s="19" t="n"/>
      <c r="R2369" s="19" t="n"/>
      <c r="S2369" s="19" t="n"/>
      <c r="T2369" s="19" t="n"/>
      <c r="U2369" s="19" t="n"/>
      <c r="V2369" s="19" t="n"/>
      <c r="W2369" s="19" t="n"/>
      <c r="X2369" s="19" t="n"/>
      <c r="Y2369" s="19" t="n">
        <v>1</v>
      </c>
      <c r="Z2369" s="13">
        <f>SUMPRODUCT(N2369:Y2369,$N$2:$Y$2)*$K2369*$L2369*$M2369</f>
        <v/>
      </c>
      <c r="AA2369" s="14">
        <f>SUM(N2369:Y2369)</f>
        <v/>
      </c>
      <c r="AB2369" s="13">
        <f>SUMPRODUCT(N2369:Y2369,$N$3:$Y$3)*$K2369*$L2369*$M2369</f>
        <v/>
      </c>
      <c r="AC2369" s="13">
        <f>SUMPRODUCT(N2369:Y2369,$N$4:$Y$4)*$K2369*$L2369*$M2369</f>
        <v/>
      </c>
      <c r="AD2369" s="15" t="n">
        <v>3</v>
      </c>
      <c r="AE2369" s="11" t="n">
        <v>1.011296296296296</v>
      </c>
      <c r="AF2369" s="16">
        <f>SUMPRODUCT(N2369:Y2369,$N$5:$Y$5)*$K2369*$L2369*$M2369</f>
        <v/>
      </c>
      <c r="AG2369" s="16">
        <f>SUMPRODUCT(N2369:Y2369,$N$6:$Y$6)*$K2369*$L2369*$M2369</f>
        <v/>
      </c>
      <c r="AH2369" s="20" t="n"/>
    </row>
    <row r="2370">
      <c r="A2370" s="9" t="n">
        <v>701361</v>
      </c>
      <c r="B2370" s="9" t="inlineStr">
        <is>
          <t>Jake Clemente</t>
        </is>
      </c>
      <c r="C2370" s="9" t="inlineStr">
        <is>
          <t>MIA</t>
        </is>
      </c>
      <c r="D2370" s="9" t="n">
        <v>25</v>
      </c>
      <c r="E2370" s="18" t="inlineStr">
        <is>
          <t>R</t>
        </is>
      </c>
      <c r="F2370" s="18" t="n"/>
      <c r="G2370" s="9" t="n">
        <v>36.636</v>
      </c>
      <c r="H2370" s="9" t="n">
        <v>36.636</v>
      </c>
      <c r="I2370" s="9" t="inlineStr">
        <is>
          <t>Depth (no MLB IP)</t>
        </is>
      </c>
      <c r="J2370" s="18" t="inlineStr">
        <is>
          <t>Opening Day</t>
        </is>
      </c>
      <c r="K2370" s="11">
        <f>IFERROR(INDEX(Roles!$B$17:$B$20,MATCH(J2370,Roles!$A$17:$A$20,0)),1)</f>
        <v/>
      </c>
      <c r="L2370" s="19" t="n">
        <v>1</v>
      </c>
      <c r="M2370" s="11" t="n">
        <v>1</v>
      </c>
      <c r="N2370" s="19" t="n"/>
      <c r="O2370" s="19" t="n"/>
      <c r="P2370" s="19" t="n"/>
      <c r="Q2370" s="19" t="n"/>
      <c r="R2370" s="19" t="n"/>
      <c r="S2370" s="19" t="n"/>
      <c r="T2370" s="19" t="n"/>
      <c r="U2370" s="19" t="n"/>
      <c r="V2370" s="19" t="n"/>
      <c r="W2370" s="19" t="n"/>
      <c r="X2370" s="19" t="n"/>
      <c r="Y2370" s="19" t="n">
        <v>1</v>
      </c>
      <c r="Z2370" s="13">
        <f>SUMPRODUCT(N2370:Y2370,$N$2:$Y$2)*$K2370*$L2370*$M2370</f>
        <v/>
      </c>
      <c r="AA2370" s="14">
        <f>SUM(N2370:Y2370)</f>
        <v/>
      </c>
      <c r="AB2370" s="13">
        <f>SUMPRODUCT(N2370:Y2370,$N$3:$Y$3)*$K2370*$L2370*$M2370</f>
        <v/>
      </c>
      <c r="AC2370" s="13">
        <f>SUMPRODUCT(N2370:Y2370,$N$4:$Y$4)*$K2370*$L2370*$M2370</f>
        <v/>
      </c>
      <c r="AD2370" s="15" t="n">
        <v>3</v>
      </c>
      <c r="AE2370" s="11" t="n">
        <v>1.011296296296296</v>
      </c>
      <c r="AF2370" s="16">
        <f>SUMPRODUCT(N2370:Y2370,$N$5:$Y$5)*$K2370*$L2370*$M2370</f>
        <v/>
      </c>
      <c r="AG2370" s="16">
        <f>SUMPRODUCT(N2370:Y2370,$N$6:$Y$6)*$K2370*$L2370*$M2370</f>
        <v/>
      </c>
      <c r="AH2370" s="20" t="n"/>
    </row>
    <row r="2371">
      <c r="A2371" s="9" t="n">
        <v>803425</v>
      </c>
      <c r="B2371" s="9" t="inlineStr">
        <is>
          <t>David Bracho</t>
        </is>
      </c>
      <c r="C2371" s="9" t="inlineStr">
        <is>
          <t>CHC</t>
        </is>
      </c>
      <c r="D2371" s="9" t="n">
        <v>25</v>
      </c>
      <c r="E2371" s="18" t="inlineStr">
        <is>
          <t>R</t>
        </is>
      </c>
      <c r="F2371" s="18" t="n"/>
      <c r="G2371" s="9" t="n">
        <v>36.636</v>
      </c>
      <c r="H2371" s="9" t="n">
        <v>36.636</v>
      </c>
      <c r="I2371" s="9" t="inlineStr">
        <is>
          <t>Depth (no MLB IP)</t>
        </is>
      </c>
      <c r="J2371" s="18" t="inlineStr">
        <is>
          <t>Opening Day</t>
        </is>
      </c>
      <c r="K2371" s="11">
        <f>IFERROR(INDEX(Roles!$B$17:$B$20,MATCH(J2371,Roles!$A$17:$A$20,0)),1)</f>
        <v/>
      </c>
      <c r="L2371" s="19" t="n">
        <v>1</v>
      </c>
      <c r="M2371" s="11" t="n">
        <v>1</v>
      </c>
      <c r="N2371" s="19" t="n"/>
      <c r="O2371" s="19" t="n"/>
      <c r="P2371" s="19" t="n"/>
      <c r="Q2371" s="19" t="n"/>
      <c r="R2371" s="19" t="n"/>
      <c r="S2371" s="19" t="n"/>
      <c r="T2371" s="19" t="n"/>
      <c r="U2371" s="19" t="n"/>
      <c r="V2371" s="19" t="n"/>
      <c r="W2371" s="19" t="n"/>
      <c r="X2371" s="19" t="n"/>
      <c r="Y2371" s="19" t="n">
        <v>1</v>
      </c>
      <c r="Z2371" s="13">
        <f>SUMPRODUCT(N2371:Y2371,$N$2:$Y$2)*$K2371*$L2371*$M2371</f>
        <v/>
      </c>
      <c r="AA2371" s="14">
        <f>SUM(N2371:Y2371)</f>
        <v/>
      </c>
      <c r="AB2371" s="13">
        <f>SUMPRODUCT(N2371:Y2371,$N$3:$Y$3)*$K2371*$L2371*$M2371</f>
        <v/>
      </c>
      <c r="AC2371" s="13">
        <f>SUMPRODUCT(N2371:Y2371,$N$4:$Y$4)*$K2371*$L2371*$M2371</f>
        <v/>
      </c>
      <c r="AD2371" s="15" t="n">
        <v>3</v>
      </c>
      <c r="AE2371" s="11" t="n">
        <v>1.011296296296296</v>
      </c>
      <c r="AF2371" s="16">
        <f>SUMPRODUCT(N2371:Y2371,$N$5:$Y$5)*$K2371*$L2371*$M2371</f>
        <v/>
      </c>
      <c r="AG2371" s="16">
        <f>SUMPRODUCT(N2371:Y2371,$N$6:$Y$6)*$K2371*$L2371*$M2371</f>
        <v/>
      </c>
      <c r="AH2371" s="20" t="n"/>
    </row>
    <row r="2372">
      <c r="A2372" s="9" t="n">
        <v>830402</v>
      </c>
      <c r="B2372" s="9" t="inlineStr">
        <is>
          <t>Kendry Chourio</t>
        </is>
      </c>
      <c r="C2372" s="9" t="inlineStr">
        <is>
          <t>KC</t>
        </is>
      </c>
      <c r="D2372" s="9" t="n">
        <v>20</v>
      </c>
      <c r="E2372" s="18" t="inlineStr">
        <is>
          <t>R</t>
        </is>
      </c>
      <c r="F2372" s="18" t="n"/>
      <c r="G2372" s="9" t="n">
        <v>36.69333333333333</v>
      </c>
      <c r="H2372" s="9" t="n">
        <v>36.69333333333333</v>
      </c>
      <c r="I2372" s="9" t="inlineStr">
        <is>
          <t>Depth (no MLB IP)</t>
        </is>
      </c>
      <c r="J2372" s="18" t="inlineStr">
        <is>
          <t>Opening Day</t>
        </is>
      </c>
      <c r="K2372" s="11">
        <f>IFERROR(INDEX(Roles!$B$17:$B$20,MATCH(J2372,Roles!$A$17:$A$20,0)),1)</f>
        <v/>
      </c>
      <c r="L2372" s="19" t="n">
        <v>1</v>
      </c>
      <c r="M2372" s="11" t="n">
        <v>1</v>
      </c>
      <c r="N2372" s="19" t="n"/>
      <c r="O2372" s="19" t="n"/>
      <c r="P2372" s="19" t="n"/>
      <c r="Q2372" s="19" t="n"/>
      <c r="R2372" s="19" t="n"/>
      <c r="S2372" s="19" t="n"/>
      <c r="T2372" s="19" t="n"/>
      <c r="U2372" s="19" t="n"/>
      <c r="V2372" s="19" t="n"/>
      <c r="W2372" s="19" t="n"/>
      <c r="X2372" s="19" t="n"/>
      <c r="Y2372" s="19" t="n">
        <v>1</v>
      </c>
      <c r="Z2372" s="13">
        <f>SUMPRODUCT(N2372:Y2372,$N$2:$Y$2)*$K2372*$L2372*$M2372</f>
        <v/>
      </c>
      <c r="AA2372" s="14">
        <f>SUM(N2372:Y2372)</f>
        <v/>
      </c>
      <c r="AB2372" s="13">
        <f>SUMPRODUCT(N2372:Y2372,$N$3:$Y$3)*$K2372*$L2372*$M2372</f>
        <v/>
      </c>
      <c r="AC2372" s="13">
        <f>SUMPRODUCT(N2372:Y2372,$N$4:$Y$4)*$K2372*$L2372*$M2372</f>
        <v/>
      </c>
      <c r="AD2372" s="15" t="n">
        <v>3</v>
      </c>
      <c r="AE2372" s="11" t="n">
        <v>1.011296296296296</v>
      </c>
      <c r="AF2372" s="16">
        <f>SUMPRODUCT(N2372:Y2372,$N$5:$Y$5)*$K2372*$L2372*$M2372</f>
        <v/>
      </c>
      <c r="AG2372" s="16">
        <f>SUMPRODUCT(N2372:Y2372,$N$6:$Y$6)*$K2372*$L2372*$M2372</f>
        <v/>
      </c>
      <c r="AH2372" s="20" t="n"/>
    </row>
    <row r="2373">
      <c r="A2373" s="9" t="n">
        <v>675783</v>
      </c>
      <c r="B2373" s="9" t="inlineStr">
        <is>
          <t>Easton Sikorski</t>
        </is>
      </c>
      <c r="C2373" s="9" t="inlineStr">
        <is>
          <t>CIN</t>
        </is>
      </c>
      <c r="D2373" s="9" t="n">
        <v>25</v>
      </c>
      <c r="E2373" s="18" t="inlineStr">
        <is>
          <t>R</t>
        </is>
      </c>
      <c r="F2373" s="18" t="n"/>
      <c r="G2373" s="9" t="n">
        <v>36.62166666666666</v>
      </c>
      <c r="H2373" s="9" t="n">
        <v>36.62166666666666</v>
      </c>
      <c r="I2373" s="9" t="inlineStr">
        <is>
          <t>Depth (no MLB IP)</t>
        </is>
      </c>
      <c r="J2373" s="18" t="inlineStr">
        <is>
          <t>Opening Day</t>
        </is>
      </c>
      <c r="K2373" s="11">
        <f>IFERROR(INDEX(Roles!$B$17:$B$20,MATCH(J2373,Roles!$A$17:$A$20,0)),1)</f>
        <v/>
      </c>
      <c r="L2373" s="19" t="n">
        <v>1</v>
      </c>
      <c r="M2373" s="11" t="n">
        <v>1</v>
      </c>
      <c r="N2373" s="19" t="n"/>
      <c r="O2373" s="19" t="n"/>
      <c r="P2373" s="19" t="n"/>
      <c r="Q2373" s="19" t="n"/>
      <c r="R2373" s="19" t="n"/>
      <c r="S2373" s="19" t="n"/>
      <c r="T2373" s="19" t="n"/>
      <c r="U2373" s="19" t="n"/>
      <c r="V2373" s="19" t="n"/>
      <c r="W2373" s="19" t="n"/>
      <c r="X2373" s="19" t="n"/>
      <c r="Y2373" s="19" t="n">
        <v>1</v>
      </c>
      <c r="Z2373" s="13">
        <f>SUMPRODUCT(N2373:Y2373,$N$2:$Y$2)*$K2373*$L2373*$M2373</f>
        <v/>
      </c>
      <c r="AA2373" s="14">
        <f>SUM(N2373:Y2373)</f>
        <v/>
      </c>
      <c r="AB2373" s="13">
        <f>SUMPRODUCT(N2373:Y2373,$N$3:$Y$3)*$K2373*$L2373*$M2373</f>
        <v/>
      </c>
      <c r="AC2373" s="13">
        <f>SUMPRODUCT(N2373:Y2373,$N$4:$Y$4)*$K2373*$L2373*$M2373</f>
        <v/>
      </c>
      <c r="AD2373" s="15" t="n">
        <v>3</v>
      </c>
      <c r="AE2373" s="11" t="n">
        <v>1.011296296296296</v>
      </c>
      <c r="AF2373" s="16">
        <f>SUMPRODUCT(N2373:Y2373,$N$5:$Y$5)*$K2373*$L2373*$M2373</f>
        <v/>
      </c>
      <c r="AG2373" s="16">
        <f>SUMPRODUCT(N2373:Y2373,$N$6:$Y$6)*$K2373*$L2373*$M2373</f>
        <v/>
      </c>
      <c r="AH2373" s="20" t="n"/>
    </row>
    <row r="2374">
      <c r="A2374" s="9" t="n">
        <v>701320</v>
      </c>
      <c r="B2374" s="9" t="inlineStr">
        <is>
          <t>Camron Hill</t>
        </is>
      </c>
      <c r="C2374" s="9" t="inlineStr">
        <is>
          <t>PHI</t>
        </is>
      </c>
      <c r="D2374" s="9" t="n">
        <v>25</v>
      </c>
      <c r="E2374" s="18" t="inlineStr">
        <is>
          <t>L</t>
        </is>
      </c>
      <c r="F2374" s="18" t="n"/>
      <c r="G2374" s="9" t="n">
        <v>36.69333333333333</v>
      </c>
      <c r="H2374" s="9" t="n">
        <v>36.69333333333333</v>
      </c>
      <c r="I2374" s="9" t="inlineStr">
        <is>
          <t>Depth (no MLB IP)</t>
        </is>
      </c>
      <c r="J2374" s="18" t="inlineStr">
        <is>
          <t>Opening Day</t>
        </is>
      </c>
      <c r="K2374" s="11">
        <f>IFERROR(INDEX(Roles!$B$17:$B$20,MATCH(J2374,Roles!$A$17:$A$20,0)),1)</f>
        <v/>
      </c>
      <c r="L2374" s="19" t="n">
        <v>1</v>
      </c>
      <c r="M2374" s="11" t="n">
        <v>1</v>
      </c>
      <c r="N2374" s="19" t="n"/>
      <c r="O2374" s="19" t="n"/>
      <c r="P2374" s="19" t="n"/>
      <c r="Q2374" s="19" t="n"/>
      <c r="R2374" s="19" t="n"/>
      <c r="S2374" s="19" t="n"/>
      <c r="T2374" s="19" t="n"/>
      <c r="U2374" s="19" t="n"/>
      <c r="V2374" s="19" t="n"/>
      <c r="W2374" s="19" t="n"/>
      <c r="X2374" s="19" t="n"/>
      <c r="Y2374" s="19" t="n">
        <v>1</v>
      </c>
      <c r="Z2374" s="13">
        <f>SUMPRODUCT(N2374:Y2374,$N$2:$Y$2)*$K2374*$L2374*$M2374</f>
        <v/>
      </c>
      <c r="AA2374" s="14">
        <f>SUM(N2374:Y2374)</f>
        <v/>
      </c>
      <c r="AB2374" s="13">
        <f>SUMPRODUCT(N2374:Y2374,$N$3:$Y$3)*$K2374*$L2374*$M2374</f>
        <v/>
      </c>
      <c r="AC2374" s="13">
        <f>SUMPRODUCT(N2374:Y2374,$N$4:$Y$4)*$K2374*$L2374*$M2374</f>
        <v/>
      </c>
      <c r="AD2374" s="15" t="n">
        <v>3</v>
      </c>
      <c r="AE2374" s="11" t="n">
        <v>1.011296296296296</v>
      </c>
      <c r="AF2374" s="16">
        <f>SUMPRODUCT(N2374:Y2374,$N$5:$Y$5)*$K2374*$L2374*$M2374</f>
        <v/>
      </c>
      <c r="AG2374" s="16">
        <f>SUMPRODUCT(N2374:Y2374,$N$6:$Y$6)*$K2374*$L2374*$M2374</f>
        <v/>
      </c>
      <c r="AH2374" s="20" t="n"/>
    </row>
    <row r="2375">
      <c r="A2375" s="9" t="n">
        <v>822950</v>
      </c>
      <c r="B2375" s="9" t="inlineStr">
        <is>
          <t>J.T. Etheridge</t>
        </is>
      </c>
      <c r="C2375" s="9" t="inlineStr">
        <is>
          <t>NYY</t>
        </is>
      </c>
      <c r="D2375" s="9" t="n">
        <v>25</v>
      </c>
      <c r="E2375" s="18" t="inlineStr">
        <is>
          <t>R</t>
        </is>
      </c>
      <c r="F2375" s="18" t="n"/>
      <c r="G2375" s="9" t="n">
        <v>36.80799999999999</v>
      </c>
      <c r="H2375" s="9" t="n">
        <v>36.80799999999999</v>
      </c>
      <c r="I2375" s="9" t="inlineStr">
        <is>
          <t>Depth (no MLB IP)</t>
        </is>
      </c>
      <c r="J2375" s="18" t="inlineStr">
        <is>
          <t>Opening Day</t>
        </is>
      </c>
      <c r="K2375" s="11">
        <f>IFERROR(INDEX(Roles!$B$17:$B$20,MATCH(J2375,Roles!$A$17:$A$20,0)),1)</f>
        <v/>
      </c>
      <c r="L2375" s="19" t="n">
        <v>1</v>
      </c>
      <c r="M2375" s="11" t="n">
        <v>1</v>
      </c>
      <c r="N2375" s="19" t="n"/>
      <c r="O2375" s="19" t="n"/>
      <c r="P2375" s="19" t="n"/>
      <c r="Q2375" s="19" t="n"/>
      <c r="R2375" s="19" t="n"/>
      <c r="S2375" s="19" t="n"/>
      <c r="T2375" s="19" t="n"/>
      <c r="U2375" s="19" t="n"/>
      <c r="V2375" s="19" t="n"/>
      <c r="W2375" s="19" t="n"/>
      <c r="X2375" s="19" t="n"/>
      <c r="Y2375" s="19" t="n">
        <v>1</v>
      </c>
      <c r="Z2375" s="13">
        <f>SUMPRODUCT(N2375:Y2375,$N$2:$Y$2)*$K2375*$L2375*$M2375</f>
        <v/>
      </c>
      <c r="AA2375" s="14">
        <f>SUM(N2375:Y2375)</f>
        <v/>
      </c>
      <c r="AB2375" s="13">
        <f>SUMPRODUCT(N2375:Y2375,$N$3:$Y$3)*$K2375*$L2375*$M2375</f>
        <v/>
      </c>
      <c r="AC2375" s="13">
        <f>SUMPRODUCT(N2375:Y2375,$N$4:$Y$4)*$K2375*$L2375*$M2375</f>
        <v/>
      </c>
      <c r="AD2375" s="15" t="n">
        <v>3</v>
      </c>
      <c r="AE2375" s="11" t="n">
        <v>1.011296296296296</v>
      </c>
      <c r="AF2375" s="16">
        <f>SUMPRODUCT(N2375:Y2375,$N$5:$Y$5)*$K2375*$L2375*$M2375</f>
        <v/>
      </c>
      <c r="AG2375" s="16">
        <f>SUMPRODUCT(N2375:Y2375,$N$6:$Y$6)*$K2375*$L2375*$M2375</f>
        <v/>
      </c>
      <c r="AH2375" s="20" t="n"/>
    </row>
    <row r="2376">
      <c r="A2376" s="9" t="n">
        <v>801384</v>
      </c>
      <c r="B2376" s="9" t="inlineStr">
        <is>
          <t>Walin Castillo</t>
        </is>
      </c>
      <c r="C2376" s="9" t="inlineStr">
        <is>
          <t>MIA</t>
        </is>
      </c>
      <c r="D2376" s="9" t="n">
        <v>25</v>
      </c>
      <c r="E2376" s="18" t="inlineStr">
        <is>
          <t>R</t>
        </is>
      </c>
      <c r="F2376" s="18" t="n"/>
      <c r="G2376" s="9" t="n">
        <v>36.80799999999999</v>
      </c>
      <c r="H2376" s="9" t="n">
        <v>36.80799999999999</v>
      </c>
      <c r="I2376" s="9" t="inlineStr">
        <is>
          <t>Depth (no MLB IP)</t>
        </is>
      </c>
      <c r="J2376" s="18" t="inlineStr">
        <is>
          <t>Opening Day</t>
        </is>
      </c>
      <c r="K2376" s="11">
        <f>IFERROR(INDEX(Roles!$B$17:$B$20,MATCH(J2376,Roles!$A$17:$A$20,0)),1)</f>
        <v/>
      </c>
      <c r="L2376" s="19" t="n">
        <v>1</v>
      </c>
      <c r="M2376" s="11" t="n">
        <v>1</v>
      </c>
      <c r="N2376" s="19" t="n"/>
      <c r="O2376" s="19" t="n"/>
      <c r="P2376" s="19" t="n"/>
      <c r="Q2376" s="19" t="n"/>
      <c r="R2376" s="19" t="n"/>
      <c r="S2376" s="19" t="n"/>
      <c r="T2376" s="19" t="n"/>
      <c r="U2376" s="19" t="n"/>
      <c r="V2376" s="19" t="n"/>
      <c r="W2376" s="19" t="n"/>
      <c r="X2376" s="19" t="n"/>
      <c r="Y2376" s="19" t="n">
        <v>1</v>
      </c>
      <c r="Z2376" s="13">
        <f>SUMPRODUCT(N2376:Y2376,$N$2:$Y$2)*$K2376*$L2376*$M2376</f>
        <v/>
      </c>
      <c r="AA2376" s="14">
        <f>SUM(N2376:Y2376)</f>
        <v/>
      </c>
      <c r="AB2376" s="13">
        <f>SUMPRODUCT(N2376:Y2376,$N$3:$Y$3)*$K2376*$L2376*$M2376</f>
        <v/>
      </c>
      <c r="AC2376" s="13">
        <f>SUMPRODUCT(N2376:Y2376,$N$4:$Y$4)*$K2376*$L2376*$M2376</f>
        <v/>
      </c>
      <c r="AD2376" s="15" t="n">
        <v>3</v>
      </c>
      <c r="AE2376" s="11" t="n">
        <v>1.011296296296296</v>
      </c>
      <c r="AF2376" s="16">
        <f>SUMPRODUCT(N2376:Y2376,$N$5:$Y$5)*$K2376*$L2376*$M2376</f>
        <v/>
      </c>
      <c r="AG2376" s="16">
        <f>SUMPRODUCT(N2376:Y2376,$N$6:$Y$6)*$K2376*$L2376*$M2376</f>
        <v/>
      </c>
      <c r="AH2376" s="20" t="n"/>
    </row>
    <row r="2377">
      <c r="A2377" s="9" t="n">
        <v>673257</v>
      </c>
      <c r="B2377" s="9" t="inlineStr">
        <is>
          <t>Victor Santos</t>
        </is>
      </c>
      <c r="C2377" s="9" t="inlineStr">
        <is>
          <t>STL</t>
        </is>
      </c>
      <c r="D2377" s="9" t="n">
        <v>25</v>
      </c>
      <c r="E2377" s="18" t="inlineStr">
        <is>
          <t>R</t>
        </is>
      </c>
      <c r="F2377" s="18" t="n"/>
      <c r="G2377" s="9" t="n">
        <v>37.05166666666667</v>
      </c>
      <c r="H2377" s="9" t="n">
        <v>37.05166666666667</v>
      </c>
      <c r="I2377" s="9" t="inlineStr">
        <is>
          <t>Depth (no MLB IP)</t>
        </is>
      </c>
      <c r="J2377" s="18" t="inlineStr">
        <is>
          <t>Opening Day</t>
        </is>
      </c>
      <c r="K2377" s="11">
        <f>IFERROR(INDEX(Roles!$B$17:$B$20,MATCH(J2377,Roles!$A$17:$A$20,0)),1)</f>
        <v/>
      </c>
      <c r="L2377" s="19" t="n">
        <v>1</v>
      </c>
      <c r="M2377" s="11" t="n">
        <v>1</v>
      </c>
      <c r="N2377" s="19" t="n"/>
      <c r="O2377" s="19" t="n"/>
      <c r="P2377" s="19" t="n"/>
      <c r="Q2377" s="19" t="n"/>
      <c r="R2377" s="19" t="n"/>
      <c r="S2377" s="19" t="n"/>
      <c r="T2377" s="19" t="n"/>
      <c r="U2377" s="19" t="n"/>
      <c r="V2377" s="19" t="n"/>
      <c r="W2377" s="19" t="n"/>
      <c r="X2377" s="19" t="n"/>
      <c r="Y2377" s="19" t="n">
        <v>1</v>
      </c>
      <c r="Z2377" s="13">
        <f>SUMPRODUCT(N2377:Y2377,$N$2:$Y$2)*$K2377*$L2377*$M2377</f>
        <v/>
      </c>
      <c r="AA2377" s="14">
        <f>SUM(N2377:Y2377)</f>
        <v/>
      </c>
      <c r="AB2377" s="13">
        <f>SUMPRODUCT(N2377:Y2377,$N$3:$Y$3)*$K2377*$L2377*$M2377</f>
        <v/>
      </c>
      <c r="AC2377" s="13">
        <f>SUMPRODUCT(N2377:Y2377,$N$4:$Y$4)*$K2377*$L2377*$M2377</f>
        <v/>
      </c>
      <c r="AD2377" s="15" t="n">
        <v>3</v>
      </c>
      <c r="AE2377" s="11" t="n">
        <v>1.011296296296296</v>
      </c>
      <c r="AF2377" s="16">
        <f>SUMPRODUCT(N2377:Y2377,$N$5:$Y$5)*$K2377*$L2377*$M2377</f>
        <v/>
      </c>
      <c r="AG2377" s="16">
        <f>SUMPRODUCT(N2377:Y2377,$N$6:$Y$6)*$K2377*$L2377*$M2377</f>
        <v/>
      </c>
      <c r="AH2377" s="20" t="n"/>
    </row>
    <row r="2378">
      <c r="A2378" s="9" t="n">
        <v>814374</v>
      </c>
      <c r="B2378" s="9" t="inlineStr">
        <is>
          <t>Francisco Frias</t>
        </is>
      </c>
      <c r="C2378" s="9" t="inlineStr">
        <is>
          <t>HOU</t>
        </is>
      </c>
      <c r="D2378" s="9" t="n">
        <v>25</v>
      </c>
      <c r="E2378" s="18" t="inlineStr">
        <is>
          <t>R</t>
        </is>
      </c>
      <c r="F2378" s="18" t="n"/>
      <c r="G2378" s="9" t="n">
        <v>36.98</v>
      </c>
      <c r="H2378" s="9" t="n">
        <v>36.98</v>
      </c>
      <c r="I2378" s="9" t="inlineStr">
        <is>
          <t>Depth (no MLB IP)</t>
        </is>
      </c>
      <c r="J2378" s="18" t="inlineStr">
        <is>
          <t>Opening Day</t>
        </is>
      </c>
      <c r="K2378" s="11">
        <f>IFERROR(INDEX(Roles!$B$17:$B$20,MATCH(J2378,Roles!$A$17:$A$20,0)),1)</f>
        <v/>
      </c>
      <c r="L2378" s="19" t="n">
        <v>1</v>
      </c>
      <c r="M2378" s="11" t="n">
        <v>1</v>
      </c>
      <c r="N2378" s="19" t="n"/>
      <c r="O2378" s="19" t="n"/>
      <c r="P2378" s="19" t="n"/>
      <c r="Q2378" s="19" t="n"/>
      <c r="R2378" s="19" t="n"/>
      <c r="S2378" s="19" t="n"/>
      <c r="T2378" s="19" t="n"/>
      <c r="U2378" s="19" t="n"/>
      <c r="V2378" s="19" t="n"/>
      <c r="W2378" s="19" t="n"/>
      <c r="X2378" s="19" t="n"/>
      <c r="Y2378" s="19" t="n">
        <v>1</v>
      </c>
      <c r="Z2378" s="13">
        <f>SUMPRODUCT(N2378:Y2378,$N$2:$Y$2)*$K2378*$L2378*$M2378</f>
        <v/>
      </c>
      <c r="AA2378" s="14">
        <f>SUM(N2378:Y2378)</f>
        <v/>
      </c>
      <c r="AB2378" s="13">
        <f>SUMPRODUCT(N2378:Y2378,$N$3:$Y$3)*$K2378*$L2378*$M2378</f>
        <v/>
      </c>
      <c r="AC2378" s="13">
        <f>SUMPRODUCT(N2378:Y2378,$N$4:$Y$4)*$K2378*$L2378*$M2378</f>
        <v/>
      </c>
      <c r="AD2378" s="15" t="n">
        <v>3</v>
      </c>
      <c r="AE2378" s="11" t="n">
        <v>1.011296296296296</v>
      </c>
      <c r="AF2378" s="16">
        <f>SUMPRODUCT(N2378:Y2378,$N$5:$Y$5)*$K2378*$L2378*$M2378</f>
        <v/>
      </c>
      <c r="AG2378" s="16">
        <f>SUMPRODUCT(N2378:Y2378,$N$6:$Y$6)*$K2378*$L2378*$M2378</f>
        <v/>
      </c>
      <c r="AH2378" s="20" t="n"/>
    </row>
    <row r="2379">
      <c r="A2379" s="9" t="n">
        <v>694811</v>
      </c>
      <c r="B2379" s="9" t="inlineStr">
        <is>
          <t>Bryson Hammer</t>
        </is>
      </c>
      <c r="C2379" s="9" t="inlineStr">
        <is>
          <t>COL</t>
        </is>
      </c>
      <c r="D2379" s="9" t="n">
        <v>25</v>
      </c>
      <c r="E2379" s="18" t="inlineStr">
        <is>
          <t>L</t>
        </is>
      </c>
      <c r="F2379" s="18" t="n"/>
      <c r="G2379" s="9" t="n">
        <v>37.12333333333333</v>
      </c>
      <c r="H2379" s="9" t="n">
        <v>37.12333333333333</v>
      </c>
      <c r="I2379" s="9" t="inlineStr">
        <is>
          <t>Depth (no MLB IP)</t>
        </is>
      </c>
      <c r="J2379" s="18" t="inlineStr">
        <is>
          <t>Opening Day</t>
        </is>
      </c>
      <c r="K2379" s="11">
        <f>IFERROR(INDEX(Roles!$B$17:$B$20,MATCH(J2379,Roles!$A$17:$A$20,0)),1)</f>
        <v/>
      </c>
      <c r="L2379" s="19" t="n">
        <v>1</v>
      </c>
      <c r="M2379" s="11" t="n">
        <v>1</v>
      </c>
      <c r="N2379" s="19" t="n"/>
      <c r="O2379" s="19" t="n"/>
      <c r="P2379" s="19" t="n"/>
      <c r="Q2379" s="19" t="n"/>
      <c r="R2379" s="19" t="n"/>
      <c r="S2379" s="19" t="n"/>
      <c r="T2379" s="19" t="n"/>
      <c r="U2379" s="19" t="n"/>
      <c r="V2379" s="19" t="n"/>
      <c r="W2379" s="19" t="n"/>
      <c r="X2379" s="19" t="n"/>
      <c r="Y2379" s="19" t="n">
        <v>1</v>
      </c>
      <c r="Z2379" s="13">
        <f>SUMPRODUCT(N2379:Y2379,$N$2:$Y$2)*$K2379*$L2379*$M2379</f>
        <v/>
      </c>
      <c r="AA2379" s="14">
        <f>SUM(N2379:Y2379)</f>
        <v/>
      </c>
      <c r="AB2379" s="13">
        <f>SUMPRODUCT(N2379:Y2379,$N$3:$Y$3)*$K2379*$L2379*$M2379</f>
        <v/>
      </c>
      <c r="AC2379" s="13">
        <f>SUMPRODUCT(N2379:Y2379,$N$4:$Y$4)*$K2379*$L2379*$M2379</f>
        <v/>
      </c>
      <c r="AD2379" s="15" t="n">
        <v>3</v>
      </c>
      <c r="AE2379" s="11" t="n">
        <v>1.011296296296296</v>
      </c>
      <c r="AF2379" s="16">
        <f>SUMPRODUCT(N2379:Y2379,$N$5:$Y$5)*$K2379*$L2379*$M2379</f>
        <v/>
      </c>
      <c r="AG2379" s="16">
        <f>SUMPRODUCT(N2379:Y2379,$N$6:$Y$6)*$K2379*$L2379*$M2379</f>
        <v/>
      </c>
      <c r="AH2379" s="20" t="n"/>
    </row>
    <row r="2380">
      <c r="A2380" s="9" t="n">
        <v>803291</v>
      </c>
      <c r="B2380" s="9" t="inlineStr">
        <is>
          <t>Christian Oppor</t>
        </is>
      </c>
      <c r="C2380" s="9" t="inlineStr">
        <is>
          <t>CWS</t>
        </is>
      </c>
      <c r="D2380" s="9" t="n">
        <v>25</v>
      </c>
      <c r="E2380" s="18" t="inlineStr">
        <is>
          <t>L</t>
        </is>
      </c>
      <c r="F2380" s="18" t="n"/>
      <c r="G2380" s="9" t="n">
        <v>37.12333333333333</v>
      </c>
      <c r="H2380" s="9" t="n">
        <v>37.12333333333333</v>
      </c>
      <c r="I2380" s="9" t="inlineStr">
        <is>
          <t>Depth (no MLB IP)</t>
        </is>
      </c>
      <c r="J2380" s="18" t="inlineStr">
        <is>
          <t>Opening Day</t>
        </is>
      </c>
      <c r="K2380" s="11">
        <f>IFERROR(INDEX(Roles!$B$17:$B$20,MATCH(J2380,Roles!$A$17:$A$20,0)),1)</f>
        <v/>
      </c>
      <c r="L2380" s="19" t="n">
        <v>1</v>
      </c>
      <c r="M2380" s="11" t="n">
        <v>1</v>
      </c>
      <c r="N2380" s="19" t="n"/>
      <c r="O2380" s="19" t="n"/>
      <c r="P2380" s="19" t="n"/>
      <c r="Q2380" s="19" t="n"/>
      <c r="R2380" s="19" t="n"/>
      <c r="S2380" s="19" t="n"/>
      <c r="T2380" s="19" t="n"/>
      <c r="U2380" s="19" t="n"/>
      <c r="V2380" s="19" t="n"/>
      <c r="W2380" s="19" t="n"/>
      <c r="X2380" s="19" t="n"/>
      <c r="Y2380" s="19" t="n">
        <v>1</v>
      </c>
      <c r="Z2380" s="13">
        <f>SUMPRODUCT(N2380:Y2380,$N$2:$Y$2)*$K2380*$L2380*$M2380</f>
        <v/>
      </c>
      <c r="AA2380" s="14">
        <f>SUM(N2380:Y2380)</f>
        <v/>
      </c>
      <c r="AB2380" s="13">
        <f>SUMPRODUCT(N2380:Y2380,$N$3:$Y$3)*$K2380*$L2380*$M2380</f>
        <v/>
      </c>
      <c r="AC2380" s="13">
        <f>SUMPRODUCT(N2380:Y2380,$N$4:$Y$4)*$K2380*$L2380*$M2380</f>
        <v/>
      </c>
      <c r="AD2380" s="15" t="n">
        <v>3</v>
      </c>
      <c r="AE2380" s="11" t="n">
        <v>1.011296296296296</v>
      </c>
      <c r="AF2380" s="16">
        <f>SUMPRODUCT(N2380:Y2380,$N$5:$Y$5)*$K2380*$L2380*$M2380</f>
        <v/>
      </c>
      <c r="AG2380" s="16">
        <f>SUMPRODUCT(N2380:Y2380,$N$6:$Y$6)*$K2380*$L2380*$M2380</f>
        <v/>
      </c>
      <c r="AH2380" s="20" t="n"/>
    </row>
    <row r="2381">
      <c r="A2381" s="9" t="n">
        <v>836167</v>
      </c>
      <c r="B2381" s="9" t="inlineStr">
        <is>
          <t>Charlie Weber</t>
        </is>
      </c>
      <c r="C2381" s="9" t="inlineStr">
        <is>
          <t>HOU</t>
        </is>
      </c>
      <c r="D2381" s="9" t="n">
        <v>25</v>
      </c>
      <c r="E2381" s="18" t="inlineStr">
        <is>
          <t>R</t>
        </is>
      </c>
      <c r="F2381" s="18" t="n"/>
      <c r="G2381" s="9" t="n">
        <v>37.152</v>
      </c>
      <c r="H2381" s="9" t="n">
        <v>37.152</v>
      </c>
      <c r="I2381" s="9" t="inlineStr">
        <is>
          <t>Depth (no MLB IP)</t>
        </is>
      </c>
      <c r="J2381" s="18" t="inlineStr">
        <is>
          <t>Opening Day</t>
        </is>
      </c>
      <c r="K2381" s="11">
        <f>IFERROR(INDEX(Roles!$B$17:$B$20,MATCH(J2381,Roles!$A$17:$A$20,0)),1)</f>
        <v/>
      </c>
      <c r="L2381" s="19" t="n">
        <v>1</v>
      </c>
      <c r="M2381" s="11" t="n">
        <v>1</v>
      </c>
      <c r="N2381" s="19" t="n"/>
      <c r="O2381" s="19" t="n"/>
      <c r="P2381" s="19" t="n"/>
      <c r="Q2381" s="19" t="n"/>
      <c r="R2381" s="19" t="n"/>
      <c r="S2381" s="19" t="n"/>
      <c r="T2381" s="19" t="n"/>
      <c r="U2381" s="19" t="n"/>
      <c r="V2381" s="19" t="n"/>
      <c r="W2381" s="19" t="n"/>
      <c r="X2381" s="19" t="n"/>
      <c r="Y2381" s="19" t="n">
        <v>1</v>
      </c>
      <c r="Z2381" s="13">
        <f>SUMPRODUCT(N2381:Y2381,$N$2:$Y$2)*$K2381*$L2381*$M2381</f>
        <v/>
      </c>
      <c r="AA2381" s="14">
        <f>SUM(N2381:Y2381)</f>
        <v/>
      </c>
      <c r="AB2381" s="13">
        <f>SUMPRODUCT(N2381:Y2381,$N$3:$Y$3)*$K2381*$L2381*$M2381</f>
        <v/>
      </c>
      <c r="AC2381" s="13">
        <f>SUMPRODUCT(N2381:Y2381,$N$4:$Y$4)*$K2381*$L2381*$M2381</f>
        <v/>
      </c>
      <c r="AD2381" s="15" t="n">
        <v>3</v>
      </c>
      <c r="AE2381" s="11" t="n">
        <v>1.011296296296296</v>
      </c>
      <c r="AF2381" s="16">
        <f>SUMPRODUCT(N2381:Y2381,$N$5:$Y$5)*$K2381*$L2381*$M2381</f>
        <v/>
      </c>
      <c r="AG2381" s="16">
        <f>SUMPRODUCT(N2381:Y2381,$N$6:$Y$6)*$K2381*$L2381*$M2381</f>
        <v/>
      </c>
      <c r="AH2381" s="20" t="n"/>
    </row>
    <row r="2382">
      <c r="A2382" s="9" t="n">
        <v>666123</v>
      </c>
      <c r="B2382" s="9" t="inlineStr">
        <is>
          <t>Austin Bergner</t>
        </is>
      </c>
      <c r="C2382" s="9" t="inlineStr">
        <is>
          <t>TEX</t>
        </is>
      </c>
      <c r="D2382" s="9" t="n">
        <v>25</v>
      </c>
      <c r="E2382" s="18" t="inlineStr">
        <is>
          <t>R</t>
        </is>
      </c>
      <c r="F2382" s="18" t="n"/>
      <c r="G2382" s="9" t="n">
        <v>37.05166666666667</v>
      </c>
      <c r="H2382" s="9" t="n">
        <v>37.05166666666667</v>
      </c>
      <c r="I2382" s="9" t="inlineStr">
        <is>
          <t>Depth (no MLB IP)</t>
        </is>
      </c>
      <c r="J2382" s="18" t="inlineStr">
        <is>
          <t>Opening Day</t>
        </is>
      </c>
      <c r="K2382" s="11">
        <f>IFERROR(INDEX(Roles!$B$17:$B$20,MATCH(J2382,Roles!$A$17:$A$20,0)),1)</f>
        <v/>
      </c>
      <c r="L2382" s="19" t="n">
        <v>1</v>
      </c>
      <c r="M2382" s="11" t="n">
        <v>1</v>
      </c>
      <c r="N2382" s="19" t="n"/>
      <c r="O2382" s="19" t="n"/>
      <c r="P2382" s="19" t="n"/>
      <c r="Q2382" s="19" t="n"/>
      <c r="R2382" s="19" t="n"/>
      <c r="S2382" s="19" t="n"/>
      <c r="T2382" s="19" t="n"/>
      <c r="U2382" s="19" t="n"/>
      <c r="V2382" s="19" t="n"/>
      <c r="W2382" s="19" t="n"/>
      <c r="X2382" s="19" t="n"/>
      <c r="Y2382" s="19" t="n">
        <v>1</v>
      </c>
      <c r="Z2382" s="13">
        <f>SUMPRODUCT(N2382:Y2382,$N$2:$Y$2)*$K2382*$L2382*$M2382</f>
        <v/>
      </c>
      <c r="AA2382" s="14">
        <f>SUM(N2382:Y2382)</f>
        <v/>
      </c>
      <c r="AB2382" s="13">
        <f>SUMPRODUCT(N2382:Y2382,$N$3:$Y$3)*$K2382*$L2382*$M2382</f>
        <v/>
      </c>
      <c r="AC2382" s="13">
        <f>SUMPRODUCT(N2382:Y2382,$N$4:$Y$4)*$K2382*$L2382*$M2382</f>
        <v/>
      </c>
      <c r="AD2382" s="15" t="n">
        <v>3</v>
      </c>
      <c r="AE2382" s="11" t="n">
        <v>1.011296296296296</v>
      </c>
      <c r="AF2382" s="16">
        <f>SUMPRODUCT(N2382:Y2382,$N$5:$Y$5)*$K2382*$L2382*$M2382</f>
        <v/>
      </c>
      <c r="AG2382" s="16">
        <f>SUMPRODUCT(N2382:Y2382,$N$6:$Y$6)*$K2382*$L2382*$M2382</f>
        <v/>
      </c>
      <c r="AH2382" s="20" t="n"/>
    </row>
    <row r="2383">
      <c r="A2383" s="9" t="n">
        <v>682918</v>
      </c>
      <c r="B2383" s="9" t="inlineStr">
        <is>
          <t>Luis Carrasco</t>
        </is>
      </c>
      <c r="C2383" s="9" t="inlineStr">
        <is>
          <t>OAK</t>
        </is>
      </c>
      <c r="D2383" s="9" t="n">
        <v>25</v>
      </c>
      <c r="E2383" s="18" t="inlineStr">
        <is>
          <t>R</t>
        </is>
      </c>
      <c r="F2383" s="18" t="n"/>
      <c r="G2383" s="9" t="n">
        <v>37.26666666666667</v>
      </c>
      <c r="H2383" s="9" t="n">
        <v>37.26666666666667</v>
      </c>
      <c r="I2383" s="9" t="inlineStr">
        <is>
          <t>Depth (no MLB IP)</t>
        </is>
      </c>
      <c r="J2383" s="18" t="inlineStr">
        <is>
          <t>Opening Day</t>
        </is>
      </c>
      <c r="K2383" s="11">
        <f>IFERROR(INDEX(Roles!$B$17:$B$20,MATCH(J2383,Roles!$A$17:$A$20,0)),1)</f>
        <v/>
      </c>
      <c r="L2383" s="19" t="n">
        <v>1</v>
      </c>
      <c r="M2383" s="11" t="n">
        <v>1</v>
      </c>
      <c r="N2383" s="19" t="n"/>
      <c r="O2383" s="19" t="n"/>
      <c r="P2383" s="19" t="n"/>
      <c r="Q2383" s="19" t="n"/>
      <c r="R2383" s="19" t="n"/>
      <c r="S2383" s="19" t="n"/>
      <c r="T2383" s="19" t="n"/>
      <c r="U2383" s="19" t="n"/>
      <c r="V2383" s="19" t="n"/>
      <c r="W2383" s="19" t="n"/>
      <c r="X2383" s="19" t="n"/>
      <c r="Y2383" s="19" t="n">
        <v>1</v>
      </c>
      <c r="Z2383" s="13">
        <f>SUMPRODUCT(N2383:Y2383,$N$2:$Y$2)*$K2383*$L2383*$M2383</f>
        <v/>
      </c>
      <c r="AA2383" s="14">
        <f>SUM(N2383:Y2383)</f>
        <v/>
      </c>
      <c r="AB2383" s="13">
        <f>SUMPRODUCT(N2383:Y2383,$N$3:$Y$3)*$K2383*$L2383*$M2383</f>
        <v/>
      </c>
      <c r="AC2383" s="13">
        <f>SUMPRODUCT(N2383:Y2383,$N$4:$Y$4)*$K2383*$L2383*$M2383</f>
        <v/>
      </c>
      <c r="AD2383" s="15" t="n">
        <v>3</v>
      </c>
      <c r="AE2383" s="11" t="n">
        <v>1.011296296296296</v>
      </c>
      <c r="AF2383" s="16">
        <f>SUMPRODUCT(N2383:Y2383,$N$5:$Y$5)*$K2383*$L2383*$M2383</f>
        <v/>
      </c>
      <c r="AG2383" s="16">
        <f>SUMPRODUCT(N2383:Y2383,$N$6:$Y$6)*$K2383*$L2383*$M2383</f>
        <v/>
      </c>
      <c r="AH2383" s="20" t="n"/>
    </row>
    <row r="2384">
      <c r="A2384" s="9" t="n">
        <v>686654</v>
      </c>
      <c r="B2384" s="9" t="inlineStr">
        <is>
          <t>Ty Adcock</t>
        </is>
      </c>
      <c r="C2384" s="9" t="inlineStr">
        <is>
          <t>SEA</t>
        </is>
      </c>
      <c r="D2384" s="9" t="n">
        <v>30</v>
      </c>
      <c r="E2384" s="18" t="inlineStr">
        <is>
          <t>R</t>
        </is>
      </c>
      <c r="F2384" s="18" t="n"/>
      <c r="G2384" s="9" t="n">
        <v>14</v>
      </c>
      <c r="H2384" s="9" t="n">
        <v>93</v>
      </c>
      <c r="I2384" s="9" t="inlineStr">
        <is>
          <t>Depth (no MLB IP)</t>
        </is>
      </c>
      <c r="J2384" s="18" t="inlineStr">
        <is>
          <t>Opening Day</t>
        </is>
      </c>
      <c r="K2384" s="11">
        <f>IFERROR(INDEX(Roles!$B$17:$B$20,MATCH(J2384,Roles!$A$17:$A$20,0)),1)</f>
        <v/>
      </c>
      <c r="L2384" s="19" t="n">
        <v>1</v>
      </c>
      <c r="M2384" s="11" t="n">
        <v>1</v>
      </c>
      <c r="N2384" s="19" t="n"/>
      <c r="O2384" s="19" t="n"/>
      <c r="P2384" s="19" t="n"/>
      <c r="Q2384" s="19" t="n"/>
      <c r="R2384" s="19" t="n"/>
      <c r="S2384" s="19" t="n"/>
      <c r="T2384" s="19" t="n"/>
      <c r="U2384" s="19" t="n"/>
      <c r="V2384" s="19" t="n"/>
      <c r="W2384" s="19" t="n"/>
      <c r="X2384" s="19" t="n"/>
      <c r="Y2384" s="19" t="n">
        <v>1</v>
      </c>
      <c r="Z2384" s="13">
        <f>SUMPRODUCT(N2384:Y2384,$N$2:$Y$2)*$K2384*$L2384*$M2384</f>
        <v/>
      </c>
      <c r="AA2384" s="14">
        <f>SUM(N2384:Y2384)</f>
        <v/>
      </c>
      <c r="AB2384" s="13">
        <f>SUMPRODUCT(N2384:Y2384,$N$3:$Y$3)*$K2384*$L2384*$M2384</f>
        <v/>
      </c>
      <c r="AC2384" s="13">
        <f>SUMPRODUCT(N2384:Y2384,$N$4:$Y$4)*$K2384*$L2384*$M2384</f>
        <v/>
      </c>
      <c r="AD2384" s="15" t="n">
        <v>3</v>
      </c>
      <c r="AE2384" s="11" t="n">
        <v>1.056913580246913</v>
      </c>
      <c r="AF2384" s="16">
        <f>SUMPRODUCT(N2384:Y2384,$N$5:$Y$5)*$K2384*$L2384*$M2384</f>
        <v/>
      </c>
      <c r="AG2384" s="16">
        <f>SUMPRODUCT(N2384:Y2384,$N$6:$Y$6)*$K2384*$L2384*$M2384</f>
        <v/>
      </c>
      <c r="AH2384" s="20" t="n"/>
    </row>
    <row r="2385">
      <c r="A2385" s="9" t="n">
        <v>804966</v>
      </c>
      <c r="B2385" s="9" t="inlineStr">
        <is>
          <t>Jesus Gamez</t>
        </is>
      </c>
      <c r="C2385" s="9" t="inlineStr">
        <is>
          <t>TEX</t>
        </is>
      </c>
      <c r="D2385" s="9" t="n">
        <v>25</v>
      </c>
      <c r="E2385" s="18" t="inlineStr">
        <is>
          <t>R</t>
        </is>
      </c>
      <c r="F2385" s="18" t="n"/>
      <c r="G2385" s="9" t="n">
        <v>37.26666666666667</v>
      </c>
      <c r="H2385" s="9" t="n">
        <v>37.26666666666667</v>
      </c>
      <c r="I2385" s="9" t="inlineStr">
        <is>
          <t>Depth (no MLB IP)</t>
        </is>
      </c>
      <c r="J2385" s="18" t="inlineStr">
        <is>
          <t>Opening Day</t>
        </is>
      </c>
      <c r="K2385" s="11">
        <f>IFERROR(INDEX(Roles!$B$17:$B$20,MATCH(J2385,Roles!$A$17:$A$20,0)),1)</f>
        <v/>
      </c>
      <c r="L2385" s="19" t="n">
        <v>1</v>
      </c>
      <c r="M2385" s="11" t="n">
        <v>1</v>
      </c>
      <c r="N2385" s="19" t="n"/>
      <c r="O2385" s="19" t="n"/>
      <c r="P2385" s="19" t="n"/>
      <c r="Q2385" s="19" t="n"/>
      <c r="R2385" s="19" t="n"/>
      <c r="S2385" s="19" t="n"/>
      <c r="T2385" s="19" t="n"/>
      <c r="U2385" s="19" t="n"/>
      <c r="V2385" s="19" t="n"/>
      <c r="W2385" s="19" t="n"/>
      <c r="X2385" s="19" t="n"/>
      <c r="Y2385" s="19" t="n">
        <v>1</v>
      </c>
      <c r="Z2385" s="13">
        <f>SUMPRODUCT(N2385:Y2385,$N$2:$Y$2)*$K2385*$L2385*$M2385</f>
        <v/>
      </c>
      <c r="AA2385" s="14">
        <f>SUM(N2385:Y2385)</f>
        <v/>
      </c>
      <c r="AB2385" s="13">
        <f>SUMPRODUCT(N2385:Y2385,$N$3:$Y$3)*$K2385*$L2385*$M2385</f>
        <v/>
      </c>
      <c r="AC2385" s="13">
        <f>SUMPRODUCT(N2385:Y2385,$N$4:$Y$4)*$K2385*$L2385*$M2385</f>
        <v/>
      </c>
      <c r="AD2385" s="15" t="n">
        <v>3</v>
      </c>
      <c r="AE2385" s="11" t="n">
        <v>1.011296296296296</v>
      </c>
      <c r="AF2385" s="16">
        <f>SUMPRODUCT(N2385:Y2385,$N$5:$Y$5)*$K2385*$L2385*$M2385</f>
        <v/>
      </c>
      <c r="AG2385" s="16">
        <f>SUMPRODUCT(N2385:Y2385,$N$6:$Y$6)*$K2385*$L2385*$M2385</f>
        <v/>
      </c>
      <c r="AH2385" s="20" t="n"/>
    </row>
    <row r="2386">
      <c r="A2386" s="9" t="n">
        <v>677961</v>
      </c>
      <c r="B2386" s="9" t="inlineStr">
        <is>
          <t>Cole Wilcox</t>
        </is>
      </c>
      <c r="C2386" s="9" t="inlineStr">
        <is>
          <t>SEA</t>
        </is>
      </c>
      <c r="D2386" s="9" t="n">
        <v>27</v>
      </c>
      <c r="E2386" s="18" t="inlineStr">
        <is>
          <t>R</t>
        </is>
      </c>
      <c r="F2386" s="18" t="n"/>
      <c r="G2386" s="9" t="n">
        <v>123</v>
      </c>
      <c r="H2386" s="9" t="n">
        <v>135</v>
      </c>
      <c r="I2386" s="9" t="inlineStr">
        <is>
          <t>Bullpen Depth Arm</t>
        </is>
      </c>
      <c r="J2386" s="18" t="inlineStr">
        <is>
          <t>Opening Day</t>
        </is>
      </c>
      <c r="K2386" s="11">
        <f>IFERROR(INDEX(Roles!$B$17:$B$20,MATCH(J2386,Roles!$A$17:$A$20,0)),1)</f>
        <v/>
      </c>
      <c r="L2386" s="19" t="n">
        <v>1</v>
      </c>
      <c r="M2386" s="11" t="n">
        <v>1</v>
      </c>
      <c r="N2386" s="19" t="n"/>
      <c r="O2386" s="19" t="n"/>
      <c r="P2386" s="19" t="n"/>
      <c r="Q2386" s="19" t="n"/>
      <c r="R2386" s="19" t="n"/>
      <c r="S2386" s="19" t="n"/>
      <c r="T2386" s="19" t="n"/>
      <c r="U2386" s="19" t="n"/>
      <c r="V2386" s="19" t="n">
        <v>0.15</v>
      </c>
      <c r="W2386" s="19" t="n">
        <v>0.85</v>
      </c>
      <c r="X2386" s="19" t="n"/>
      <c r="Y2386" s="19" t="n"/>
      <c r="Z2386" s="13">
        <f>SUMPRODUCT(N2386:Y2386,$N$2:$Y$2)*$K2386*$L2386*$M2386</f>
        <v/>
      </c>
      <c r="AA2386" s="14">
        <f>SUM(N2386:Y2386)</f>
        <v/>
      </c>
      <c r="AB2386" s="13">
        <f>SUMPRODUCT(N2386:Y2386,$N$3:$Y$3)*$K2386*$L2386*$M2386</f>
        <v/>
      </c>
      <c r="AC2386" s="13">
        <f>SUMPRODUCT(N2386:Y2386,$N$4:$Y$4)*$K2386*$L2386*$M2386</f>
        <v/>
      </c>
      <c r="AD2386" s="15" t="n">
        <v>14.18666666666666</v>
      </c>
      <c r="AE2386" s="11" t="n">
        <v>1.191178496342816</v>
      </c>
      <c r="AF2386" s="16">
        <f>SUMPRODUCT(N2386:Y2386,$N$5:$Y$5)*$K2386*$L2386*$M2386</f>
        <v/>
      </c>
      <c r="AG2386" s="16">
        <f>SUMPRODUCT(N2386:Y2386,$N$6:$Y$6)*$K2386*$L2386*$M2386</f>
        <v/>
      </c>
      <c r="AH2386" s="20" t="n"/>
    </row>
    <row r="2387">
      <c r="A2387" s="9" t="n">
        <v>681871</v>
      </c>
      <c r="B2387" s="9" t="inlineStr">
        <is>
          <t>Eli Villalobos</t>
        </is>
      </c>
      <c r="C2387" s="9" t="inlineStr">
        <is>
          <t>MIA</t>
        </is>
      </c>
      <c r="D2387" s="9" t="n">
        <v>30</v>
      </c>
      <c r="E2387" s="18" t="inlineStr">
        <is>
          <t>R</t>
        </is>
      </c>
      <c r="F2387" s="18" t="n"/>
      <c r="G2387" s="9" t="n">
        <v>18</v>
      </c>
      <c r="H2387" s="9" t="n">
        <v>18</v>
      </c>
      <c r="I2387" s="9" t="inlineStr">
        <is>
          <t>Depth (no MLB IP)</t>
        </is>
      </c>
      <c r="J2387" s="18" t="inlineStr">
        <is>
          <t>Opening Day</t>
        </is>
      </c>
      <c r="K2387" s="11">
        <f>IFERROR(INDEX(Roles!$B$17:$B$20,MATCH(J2387,Roles!$A$17:$A$20,0)),1)</f>
        <v/>
      </c>
      <c r="L2387" s="19" t="n">
        <v>1</v>
      </c>
      <c r="M2387" s="11" t="n">
        <v>1</v>
      </c>
      <c r="N2387" s="19" t="n"/>
      <c r="O2387" s="19" t="n"/>
      <c r="P2387" s="19" t="n"/>
      <c r="Q2387" s="19" t="n"/>
      <c r="R2387" s="19" t="n"/>
      <c r="S2387" s="19" t="n"/>
      <c r="T2387" s="19" t="n"/>
      <c r="U2387" s="19" t="n"/>
      <c r="V2387" s="19" t="n"/>
      <c r="W2387" s="19" t="n"/>
      <c r="X2387" s="19" t="n"/>
      <c r="Y2387" s="19" t="n">
        <v>1</v>
      </c>
      <c r="Z2387" s="13">
        <f>SUMPRODUCT(N2387:Y2387,$N$2:$Y$2)*$K2387*$L2387*$M2387</f>
        <v/>
      </c>
      <c r="AA2387" s="14">
        <f>SUM(N2387:Y2387)</f>
        <v/>
      </c>
      <c r="AB2387" s="13">
        <f>SUMPRODUCT(N2387:Y2387,$N$3:$Y$3)*$K2387*$L2387*$M2387</f>
        <v/>
      </c>
      <c r="AC2387" s="13">
        <f>SUMPRODUCT(N2387:Y2387,$N$4:$Y$4)*$K2387*$L2387*$M2387</f>
        <v/>
      </c>
      <c r="AD2387" s="15" t="n">
        <v>3</v>
      </c>
      <c r="AE2387" s="11" t="n">
        <v>1.155679012345679</v>
      </c>
      <c r="AF2387" s="16">
        <f>SUMPRODUCT(N2387:Y2387,$N$5:$Y$5)*$K2387*$L2387*$M2387</f>
        <v/>
      </c>
      <c r="AG2387" s="16">
        <f>SUMPRODUCT(N2387:Y2387,$N$6:$Y$6)*$K2387*$L2387*$M2387</f>
        <v/>
      </c>
      <c r="AH2387" s="20" t="n"/>
    </row>
    <row r="2388">
      <c r="A2388" s="9" t="n">
        <v>810022</v>
      </c>
      <c r="B2388" s="9" t="inlineStr">
        <is>
          <t>Luke Johnson</t>
        </is>
      </c>
      <c r="C2388" s="9" t="inlineStr">
        <is>
          <t>WSH</t>
        </is>
      </c>
      <c r="D2388" s="9" t="n">
        <v>25</v>
      </c>
      <c r="E2388" s="18" t="inlineStr">
        <is>
          <t>R</t>
        </is>
      </c>
      <c r="F2388" s="18" t="n"/>
      <c r="G2388" s="9" t="n">
        <v>37.324</v>
      </c>
      <c r="H2388" s="9" t="n">
        <v>37.324</v>
      </c>
      <c r="I2388" s="9" t="inlineStr">
        <is>
          <t>Depth (no MLB IP)</t>
        </is>
      </c>
      <c r="J2388" s="18" t="inlineStr">
        <is>
          <t>Opening Day</t>
        </is>
      </c>
      <c r="K2388" s="11">
        <f>IFERROR(INDEX(Roles!$B$17:$B$20,MATCH(J2388,Roles!$A$17:$A$20,0)),1)</f>
        <v/>
      </c>
      <c r="L2388" s="19" t="n">
        <v>1</v>
      </c>
      <c r="M2388" s="11" t="n">
        <v>1</v>
      </c>
      <c r="N2388" s="19" t="n"/>
      <c r="O2388" s="19" t="n"/>
      <c r="P2388" s="19" t="n"/>
      <c r="Q2388" s="19" t="n"/>
      <c r="R2388" s="19" t="n"/>
      <c r="S2388" s="19" t="n"/>
      <c r="T2388" s="19" t="n"/>
      <c r="U2388" s="19" t="n"/>
      <c r="V2388" s="19" t="n"/>
      <c r="W2388" s="19" t="n"/>
      <c r="X2388" s="19" t="n"/>
      <c r="Y2388" s="19" t="n">
        <v>1</v>
      </c>
      <c r="Z2388" s="13">
        <f>SUMPRODUCT(N2388:Y2388,$N$2:$Y$2)*$K2388*$L2388*$M2388</f>
        <v/>
      </c>
      <c r="AA2388" s="14">
        <f>SUM(N2388:Y2388)</f>
        <v/>
      </c>
      <c r="AB2388" s="13">
        <f>SUMPRODUCT(N2388:Y2388,$N$3:$Y$3)*$K2388*$L2388*$M2388</f>
        <v/>
      </c>
      <c r="AC2388" s="13">
        <f>SUMPRODUCT(N2388:Y2388,$N$4:$Y$4)*$K2388*$L2388*$M2388</f>
        <v/>
      </c>
      <c r="AD2388" s="15" t="n">
        <v>3</v>
      </c>
      <c r="AE2388" s="11" t="n">
        <v>1.011296296296296</v>
      </c>
      <c r="AF2388" s="16">
        <f>SUMPRODUCT(N2388:Y2388,$N$5:$Y$5)*$K2388*$L2388*$M2388</f>
        <v/>
      </c>
      <c r="AG2388" s="16">
        <f>SUMPRODUCT(N2388:Y2388,$N$6:$Y$6)*$K2388*$L2388*$M2388</f>
        <v/>
      </c>
      <c r="AH2388" s="20" t="n"/>
    </row>
    <row r="2389">
      <c r="A2389" s="9" t="n">
        <v>657649</v>
      </c>
      <c r="B2389" s="9" t="inlineStr">
        <is>
          <t>Jared Koenig</t>
        </is>
      </c>
      <c r="C2389" s="9" t="inlineStr">
        <is>
          <t>MIL</t>
        </is>
      </c>
      <c r="D2389" s="9" t="n">
        <v>33</v>
      </c>
      <c r="E2389" s="18" t="inlineStr">
        <is>
          <t>L</t>
        </is>
      </c>
      <c r="F2389" s="18" t="n"/>
      <c r="G2389" s="9" t="n">
        <v>41</v>
      </c>
      <c r="H2389" s="9" t="n">
        <v>751</v>
      </c>
      <c r="I2389" s="9" t="inlineStr">
        <is>
          <t>Middle Relief</t>
        </is>
      </c>
      <c r="J2389" s="18" t="inlineStr">
        <is>
          <t>Opening Day</t>
        </is>
      </c>
      <c r="K2389" s="11">
        <f>IFERROR(INDEX(Roles!$B$17:$B$20,MATCH(J2389,Roles!$A$17:$A$20,0)),1)</f>
        <v/>
      </c>
      <c r="L2389" s="19" t="n">
        <v>1</v>
      </c>
      <c r="M2389" s="11" t="n">
        <v>1</v>
      </c>
      <c r="N2389" s="19" t="n"/>
      <c r="O2389" s="19" t="n"/>
      <c r="P2389" s="19" t="n"/>
      <c r="Q2389" s="19" t="n"/>
      <c r="R2389" s="19" t="n"/>
      <c r="S2389" s="19" t="n"/>
      <c r="T2389" s="19" t="n"/>
      <c r="U2389" s="19" t="n"/>
      <c r="V2389" s="19" t="n">
        <v>1</v>
      </c>
      <c r="W2389" s="19" t="n"/>
      <c r="X2389" s="19" t="n"/>
      <c r="Y2389" s="19" t="n"/>
      <c r="Z2389" s="13">
        <f>SUMPRODUCT(N2389:Y2389,$N$2:$Y$2)*$K2389*$L2389*$M2389</f>
        <v/>
      </c>
      <c r="AA2389" s="14">
        <f>SUM(N2389:Y2389)</f>
        <v/>
      </c>
      <c r="AB2389" s="13">
        <f>SUMPRODUCT(N2389:Y2389,$N$3:$Y$3)*$K2389*$L2389*$M2389</f>
        <v/>
      </c>
      <c r="AC2389" s="13">
        <f>SUMPRODUCT(N2389:Y2389,$N$4:$Y$4)*$K2389*$L2389*$M2389</f>
        <v/>
      </c>
      <c r="AD2389" s="15" t="n">
        <v>37.33333333333333</v>
      </c>
      <c r="AE2389" s="11" t="n">
        <v>1.006252909318187</v>
      </c>
      <c r="AF2389" s="16">
        <f>SUMPRODUCT(N2389:Y2389,$N$5:$Y$5)*$K2389*$L2389*$M2389</f>
        <v/>
      </c>
      <c r="AG2389" s="16">
        <f>SUMPRODUCT(N2389:Y2389,$N$6:$Y$6)*$K2389*$L2389*$M2389</f>
        <v/>
      </c>
      <c r="AH2389" s="20" t="n"/>
    </row>
    <row r="2390">
      <c r="A2390" s="9" t="n">
        <v>676508</v>
      </c>
      <c r="B2390" s="9" t="inlineStr">
        <is>
          <t>Ben Casparius</t>
        </is>
      </c>
      <c r="C2390" s="9" t="inlineStr">
        <is>
          <t>LAD</t>
        </is>
      </c>
      <c r="D2390" s="9" t="n">
        <v>28</v>
      </c>
      <c r="E2390" s="18" t="inlineStr">
        <is>
          <t>R</t>
        </is>
      </c>
      <c r="F2390" s="18" t="n"/>
      <c r="G2390" s="9" t="n">
        <v>23</v>
      </c>
      <c r="H2390" s="9" t="n">
        <v>393</v>
      </c>
      <c r="I2390" s="9" t="inlineStr">
        <is>
          <t>Bullpen Depth Arm</t>
        </is>
      </c>
      <c r="J2390" s="18" t="inlineStr">
        <is>
          <t>Opening Day</t>
        </is>
      </c>
      <c r="K2390" s="11">
        <f>IFERROR(INDEX(Roles!$B$17:$B$20,MATCH(J2390,Roles!$A$17:$A$20,0)),1)</f>
        <v/>
      </c>
      <c r="L2390" s="19" t="n">
        <v>1</v>
      </c>
      <c r="M2390" s="11" t="n">
        <v>1</v>
      </c>
      <c r="N2390" s="19" t="n"/>
      <c r="O2390" s="19" t="n"/>
      <c r="P2390" s="19" t="n"/>
      <c r="Q2390" s="19" t="n"/>
      <c r="R2390" s="19" t="n"/>
      <c r="S2390" s="19" t="n"/>
      <c r="T2390" s="19" t="n"/>
      <c r="U2390" s="19" t="n"/>
      <c r="V2390" s="19" t="n">
        <v>0.15</v>
      </c>
      <c r="W2390" s="19" t="n">
        <v>0.85</v>
      </c>
      <c r="X2390" s="19" t="n"/>
      <c r="Y2390" s="19" t="n"/>
      <c r="Z2390" s="13">
        <f>SUMPRODUCT(N2390:Y2390,$N$2:$Y$2)*$K2390*$L2390*$M2390</f>
        <v/>
      </c>
      <c r="AA2390" s="14">
        <f>SUM(N2390:Y2390)</f>
        <v/>
      </c>
      <c r="AB2390" s="13">
        <f>SUMPRODUCT(N2390:Y2390,$N$3:$Y$3)*$K2390*$L2390*$M2390</f>
        <v/>
      </c>
      <c r="AC2390" s="13">
        <f>SUMPRODUCT(N2390:Y2390,$N$4:$Y$4)*$K2390*$L2390*$M2390</f>
        <v/>
      </c>
      <c r="AD2390" s="15" t="n">
        <v>16.66666666666666</v>
      </c>
      <c r="AE2390" s="11" t="n">
        <v>1.339890973224307</v>
      </c>
      <c r="AF2390" s="16">
        <f>SUMPRODUCT(N2390:Y2390,$N$5:$Y$5)*$K2390*$L2390*$M2390</f>
        <v/>
      </c>
      <c r="AG2390" s="16">
        <f>SUMPRODUCT(N2390:Y2390,$N$6:$Y$6)*$K2390*$L2390*$M2390</f>
        <v/>
      </c>
      <c r="AH2390" s="20" t="n"/>
    </row>
    <row r="2391">
      <c r="A2391" s="9" t="n">
        <v>670167</v>
      </c>
      <c r="B2391" s="9" t="inlineStr">
        <is>
          <t>John Schreiber</t>
        </is>
      </c>
      <c r="C2391" s="9" t="inlineStr">
        <is>
          <t>NYY</t>
        </is>
      </c>
      <c r="D2391" s="9" t="n">
        <v>33</v>
      </c>
      <c r="E2391" s="18" t="inlineStr">
        <is>
          <t>R</t>
        </is>
      </c>
      <c r="F2391" s="18" t="n"/>
      <c r="G2391" s="9" t="n">
        <v>246</v>
      </c>
      <c r="H2391" s="9" t="n">
        <v>1196</v>
      </c>
      <c r="I2391" s="9" t="inlineStr">
        <is>
          <t>Middle Relief</t>
        </is>
      </c>
      <c r="J2391" s="18" t="inlineStr">
        <is>
          <t>Opening Day</t>
        </is>
      </c>
      <c r="K2391" s="11">
        <f>IFERROR(INDEX(Roles!$B$17:$B$20,MATCH(J2391,Roles!$A$17:$A$20,0)),1)</f>
        <v/>
      </c>
      <c r="L2391" s="19" t="n">
        <v>1</v>
      </c>
      <c r="M2391" s="11" t="n">
        <v>1</v>
      </c>
      <c r="N2391" s="19" t="n"/>
      <c r="O2391" s="19" t="n"/>
      <c r="P2391" s="19" t="n"/>
      <c r="Q2391" s="19" t="n"/>
      <c r="R2391" s="19" t="n"/>
      <c r="S2391" s="19" t="n"/>
      <c r="T2391" s="19" t="n"/>
      <c r="U2391" s="19" t="n"/>
      <c r="V2391" s="19" t="n">
        <v>0.6</v>
      </c>
      <c r="W2391" s="19" t="n">
        <v>0.4</v>
      </c>
      <c r="X2391" s="19" t="n"/>
      <c r="Y2391" s="19" t="n"/>
      <c r="Z2391" s="13">
        <f>SUMPRODUCT(N2391:Y2391,$N$2:$Y$2)*$K2391*$L2391*$M2391</f>
        <v/>
      </c>
      <c r="AA2391" s="14">
        <f>SUM(N2391:Y2391)</f>
        <v/>
      </c>
      <c r="AB2391" s="13">
        <f>SUMPRODUCT(N2391:Y2391,$N$3:$Y$3)*$K2391*$L2391*$M2391</f>
        <v/>
      </c>
      <c r="AC2391" s="13">
        <f>SUMPRODUCT(N2391:Y2391,$N$4:$Y$4)*$K2391*$L2391*$M2391</f>
        <v/>
      </c>
      <c r="AD2391" s="15" t="n">
        <v>55.23333333333333</v>
      </c>
      <c r="AE2391" s="11" t="n">
        <v>0.9859887579167032</v>
      </c>
      <c r="AF2391" s="16">
        <f>SUMPRODUCT(N2391:Y2391,$N$5:$Y$5)*$K2391*$L2391*$M2391</f>
        <v/>
      </c>
      <c r="AG2391" s="16">
        <f>SUMPRODUCT(N2391:Y2391,$N$6:$Y$6)*$K2391*$L2391*$M2391</f>
        <v/>
      </c>
      <c r="AH2391" s="20" t="n"/>
    </row>
    <row r="2392">
      <c r="A2392" s="9" t="n">
        <v>702494</v>
      </c>
      <c r="B2392" s="9" t="inlineStr">
        <is>
          <t>Sam Tookoian</t>
        </is>
      </c>
      <c r="C2392" s="9" t="inlineStr">
        <is>
          <t>LAA</t>
        </is>
      </c>
      <c r="D2392" s="9" t="n">
        <v>25</v>
      </c>
      <c r="E2392" s="18" t="inlineStr">
        <is>
          <t>R</t>
        </is>
      </c>
      <c r="F2392" s="18" t="n"/>
      <c r="G2392" s="9" t="n">
        <v>37.55333333333333</v>
      </c>
      <c r="H2392" s="9" t="n">
        <v>37.55333333333333</v>
      </c>
      <c r="I2392" s="9" t="inlineStr">
        <is>
          <t>Depth (no MLB IP)</t>
        </is>
      </c>
      <c r="J2392" s="18" t="inlineStr">
        <is>
          <t>Opening Day</t>
        </is>
      </c>
      <c r="K2392" s="11">
        <f>IFERROR(INDEX(Roles!$B$17:$B$20,MATCH(J2392,Roles!$A$17:$A$20,0)),1)</f>
        <v/>
      </c>
      <c r="L2392" s="19" t="n">
        <v>1</v>
      </c>
      <c r="M2392" s="11" t="n">
        <v>1</v>
      </c>
      <c r="N2392" s="19" t="n"/>
      <c r="O2392" s="19" t="n"/>
      <c r="P2392" s="19" t="n"/>
      <c r="Q2392" s="19" t="n"/>
      <c r="R2392" s="19" t="n"/>
      <c r="S2392" s="19" t="n"/>
      <c r="T2392" s="19" t="n"/>
      <c r="U2392" s="19" t="n"/>
      <c r="V2392" s="19" t="n"/>
      <c r="W2392" s="19" t="n"/>
      <c r="X2392" s="19" t="n"/>
      <c r="Y2392" s="19" t="n">
        <v>1</v>
      </c>
      <c r="Z2392" s="13">
        <f>SUMPRODUCT(N2392:Y2392,$N$2:$Y$2)*$K2392*$L2392*$M2392</f>
        <v/>
      </c>
      <c r="AA2392" s="14">
        <f>SUM(N2392:Y2392)</f>
        <v/>
      </c>
      <c r="AB2392" s="13">
        <f>SUMPRODUCT(N2392:Y2392,$N$3:$Y$3)*$K2392*$L2392*$M2392</f>
        <v/>
      </c>
      <c r="AC2392" s="13">
        <f>SUMPRODUCT(N2392:Y2392,$N$4:$Y$4)*$K2392*$L2392*$M2392</f>
        <v/>
      </c>
      <c r="AD2392" s="15" t="n">
        <v>3</v>
      </c>
      <c r="AE2392" s="11" t="n">
        <v>1.011296296296296</v>
      </c>
      <c r="AF2392" s="16">
        <f>SUMPRODUCT(N2392:Y2392,$N$5:$Y$5)*$K2392*$L2392*$M2392</f>
        <v/>
      </c>
      <c r="AG2392" s="16">
        <f>SUMPRODUCT(N2392:Y2392,$N$6:$Y$6)*$K2392*$L2392*$M2392</f>
        <v/>
      </c>
      <c r="AH2392" s="20" t="n"/>
    </row>
    <row r="2393">
      <c r="A2393" s="9" t="n">
        <v>812407</v>
      </c>
      <c r="B2393" s="9" t="inlineStr">
        <is>
          <t>Tyler Hampu</t>
        </is>
      </c>
      <c r="C2393" s="9" t="inlineStr">
        <is>
          <t>COL</t>
        </is>
      </c>
      <c r="D2393" s="9" t="n">
        <v>25</v>
      </c>
      <c r="E2393" s="18" t="inlineStr">
        <is>
          <t>R</t>
        </is>
      </c>
      <c r="F2393" s="18" t="n"/>
      <c r="G2393" s="9" t="n">
        <v>37.55333333333333</v>
      </c>
      <c r="H2393" s="9" t="n">
        <v>37.55333333333333</v>
      </c>
      <c r="I2393" s="9" t="inlineStr">
        <is>
          <t>Depth (no MLB IP)</t>
        </is>
      </c>
      <c r="J2393" s="18" t="inlineStr">
        <is>
          <t>Opening Day</t>
        </is>
      </c>
      <c r="K2393" s="11">
        <f>IFERROR(INDEX(Roles!$B$17:$B$20,MATCH(J2393,Roles!$A$17:$A$20,0)),1)</f>
        <v/>
      </c>
      <c r="L2393" s="19" t="n">
        <v>1</v>
      </c>
      <c r="M2393" s="11" t="n">
        <v>1</v>
      </c>
      <c r="N2393" s="19" t="n"/>
      <c r="O2393" s="19" t="n"/>
      <c r="P2393" s="19" t="n"/>
      <c r="Q2393" s="19" t="n"/>
      <c r="R2393" s="19" t="n"/>
      <c r="S2393" s="19" t="n"/>
      <c r="T2393" s="19" t="n"/>
      <c r="U2393" s="19" t="n"/>
      <c r="V2393" s="19" t="n"/>
      <c r="W2393" s="19" t="n"/>
      <c r="X2393" s="19" t="n"/>
      <c r="Y2393" s="19" t="n">
        <v>1</v>
      </c>
      <c r="Z2393" s="13">
        <f>SUMPRODUCT(N2393:Y2393,$N$2:$Y$2)*$K2393*$L2393*$M2393</f>
        <v/>
      </c>
      <c r="AA2393" s="14">
        <f>SUM(N2393:Y2393)</f>
        <v/>
      </c>
      <c r="AB2393" s="13">
        <f>SUMPRODUCT(N2393:Y2393,$N$3:$Y$3)*$K2393*$L2393*$M2393</f>
        <v/>
      </c>
      <c r="AC2393" s="13">
        <f>SUMPRODUCT(N2393:Y2393,$N$4:$Y$4)*$K2393*$L2393*$M2393</f>
        <v/>
      </c>
      <c r="AD2393" s="15" t="n">
        <v>3</v>
      </c>
      <c r="AE2393" s="11" t="n">
        <v>1.011296296296296</v>
      </c>
      <c r="AF2393" s="16">
        <f>SUMPRODUCT(N2393:Y2393,$N$5:$Y$5)*$K2393*$L2393*$M2393</f>
        <v/>
      </c>
      <c r="AG2393" s="16">
        <f>SUMPRODUCT(N2393:Y2393,$N$6:$Y$6)*$K2393*$L2393*$M2393</f>
        <v/>
      </c>
      <c r="AH2393" s="20" t="n"/>
    </row>
    <row r="2394">
      <c r="A2394" s="9" t="n">
        <v>823369</v>
      </c>
      <c r="B2394" s="9" t="inlineStr">
        <is>
          <t>Yhoiker Fajardo</t>
        </is>
      </c>
      <c r="C2394" s="9" t="inlineStr">
        <is>
          <t>STL</t>
        </is>
      </c>
      <c r="D2394" s="9" t="n">
        <v>21</v>
      </c>
      <c r="E2394" s="18" t="inlineStr">
        <is>
          <t>R</t>
        </is>
      </c>
      <c r="F2394" s="18" t="n"/>
      <c r="G2394" s="9" t="n">
        <v>37.625</v>
      </c>
      <c r="H2394" s="9" t="n">
        <v>37.625</v>
      </c>
      <c r="I2394" s="9" t="inlineStr">
        <is>
          <t>Innings-Limited Starter</t>
        </is>
      </c>
      <c r="J2394" s="18" t="inlineStr">
        <is>
          <t>Mid Season (~July)</t>
        </is>
      </c>
      <c r="K2394" s="11">
        <f>IFERROR(INDEX(Roles!$B$17:$B$20,MATCH(J2394,Roles!$A$17:$A$20,0)),1)</f>
        <v/>
      </c>
      <c r="L2394" s="19" t="n">
        <v>1</v>
      </c>
      <c r="M2394" s="11" t="n">
        <v>1</v>
      </c>
      <c r="N2394" s="19" t="n"/>
      <c r="O2394" s="19" t="n"/>
      <c r="P2394" s="19" t="n"/>
      <c r="Q2394" s="19" t="n">
        <v>0.46</v>
      </c>
      <c r="R2394" s="19" t="n">
        <v>0.3</v>
      </c>
      <c r="S2394" s="19" t="n"/>
      <c r="T2394" s="19" t="n"/>
      <c r="U2394" s="19" t="n"/>
      <c r="V2394" s="19" t="n"/>
      <c r="W2394" s="19" t="n">
        <v>0.24</v>
      </c>
      <c r="X2394" s="19" t="n"/>
      <c r="Y2394" s="19" t="n"/>
      <c r="Z2394" s="13">
        <f>SUMPRODUCT(N2394:Y2394,$N$2:$Y$2)*$K2394*$L2394*$M2394</f>
        <v/>
      </c>
      <c r="AA2394" s="14">
        <f>SUM(N2394:Y2394)</f>
        <v/>
      </c>
      <c r="AB2394" s="13">
        <f>SUMPRODUCT(N2394:Y2394,$N$3:$Y$3)*$K2394*$L2394*$M2394</f>
        <v/>
      </c>
      <c r="AC2394" s="13">
        <f>SUMPRODUCT(N2394:Y2394,$N$4:$Y$4)*$K2394*$L2394*$M2394</f>
        <v/>
      </c>
      <c r="AD2394" s="15" t="n">
        <v>27.52</v>
      </c>
      <c r="AE2394" s="11" t="n">
        <v>3.223110465116278</v>
      </c>
      <c r="AF2394" s="16">
        <f>SUMPRODUCT(N2394:Y2394,$N$5:$Y$5)*$K2394*$L2394*$M2394</f>
        <v/>
      </c>
      <c r="AG2394" s="16">
        <f>SUMPRODUCT(N2394:Y2394,$N$6:$Y$6)*$K2394*$L2394*$M2394</f>
        <v/>
      </c>
      <c r="AH2394" s="20" t="n"/>
    </row>
    <row r="2395">
      <c r="A2395" s="9" t="n">
        <v>824600</v>
      </c>
      <c r="B2395" s="9" t="inlineStr">
        <is>
          <t>Riley Maddox</t>
        </is>
      </c>
      <c r="C2395" s="9" t="inlineStr">
        <is>
          <t>WSH</t>
        </is>
      </c>
      <c r="D2395" s="9" t="n">
        <v>25</v>
      </c>
      <c r="E2395" s="18" t="inlineStr">
        <is>
          <t>R</t>
        </is>
      </c>
      <c r="F2395" s="18" t="n"/>
      <c r="G2395" s="9" t="n">
        <v>37.625</v>
      </c>
      <c r="H2395" s="9" t="n">
        <v>37.625</v>
      </c>
      <c r="I2395" s="9" t="inlineStr">
        <is>
          <t>Depth (no MLB IP)</t>
        </is>
      </c>
      <c r="J2395" s="18" t="inlineStr">
        <is>
          <t>Opening Day</t>
        </is>
      </c>
      <c r="K2395" s="11">
        <f>IFERROR(INDEX(Roles!$B$17:$B$20,MATCH(J2395,Roles!$A$17:$A$20,0)),1)</f>
        <v/>
      </c>
      <c r="L2395" s="19" t="n">
        <v>1</v>
      </c>
      <c r="M2395" s="11" t="n">
        <v>1</v>
      </c>
      <c r="N2395" s="19" t="n"/>
      <c r="O2395" s="19" t="n"/>
      <c r="P2395" s="19" t="n"/>
      <c r="Q2395" s="19" t="n"/>
      <c r="R2395" s="19" t="n"/>
      <c r="S2395" s="19" t="n"/>
      <c r="T2395" s="19" t="n"/>
      <c r="U2395" s="19" t="n"/>
      <c r="V2395" s="19" t="n"/>
      <c r="W2395" s="19" t="n"/>
      <c r="X2395" s="19" t="n"/>
      <c r="Y2395" s="19" t="n">
        <v>1</v>
      </c>
      <c r="Z2395" s="13">
        <f>SUMPRODUCT(N2395:Y2395,$N$2:$Y$2)*$K2395*$L2395*$M2395</f>
        <v/>
      </c>
      <c r="AA2395" s="14">
        <f>SUM(N2395:Y2395)</f>
        <v/>
      </c>
      <c r="AB2395" s="13">
        <f>SUMPRODUCT(N2395:Y2395,$N$3:$Y$3)*$K2395*$L2395*$M2395</f>
        <v/>
      </c>
      <c r="AC2395" s="13">
        <f>SUMPRODUCT(N2395:Y2395,$N$4:$Y$4)*$K2395*$L2395*$M2395</f>
        <v/>
      </c>
      <c r="AD2395" s="15" t="n">
        <v>3</v>
      </c>
      <c r="AE2395" s="11" t="n">
        <v>1.011296296296296</v>
      </c>
      <c r="AF2395" s="16">
        <f>SUMPRODUCT(N2395:Y2395,$N$5:$Y$5)*$K2395*$L2395*$M2395</f>
        <v/>
      </c>
      <c r="AG2395" s="16">
        <f>SUMPRODUCT(N2395:Y2395,$N$6:$Y$6)*$K2395*$L2395*$M2395</f>
        <v/>
      </c>
      <c r="AH2395" s="20" t="n"/>
    </row>
    <row r="2396">
      <c r="A2396" s="9" t="n">
        <v>682064</v>
      </c>
      <c r="B2396" s="9" t="inlineStr">
        <is>
          <t>Steffon Moore</t>
        </is>
      </c>
      <c r="C2396" s="9" t="inlineStr">
        <is>
          <t>CIN</t>
        </is>
      </c>
      <c r="D2396" s="9" t="n">
        <v>25</v>
      </c>
      <c r="E2396" s="18" t="inlineStr">
        <is>
          <t>L</t>
        </is>
      </c>
      <c r="F2396" s="18" t="n"/>
      <c r="G2396" s="9" t="n">
        <v>37.625</v>
      </c>
      <c r="H2396" s="9" t="n">
        <v>37.625</v>
      </c>
      <c r="I2396" s="9" t="inlineStr">
        <is>
          <t>Depth (no MLB IP)</t>
        </is>
      </c>
      <c r="J2396" s="18" t="inlineStr">
        <is>
          <t>Opening Day</t>
        </is>
      </c>
      <c r="K2396" s="11">
        <f>IFERROR(INDEX(Roles!$B$17:$B$20,MATCH(J2396,Roles!$A$17:$A$20,0)),1)</f>
        <v/>
      </c>
      <c r="L2396" s="19" t="n">
        <v>1</v>
      </c>
      <c r="M2396" s="11" t="n">
        <v>1</v>
      </c>
      <c r="N2396" s="19" t="n"/>
      <c r="O2396" s="19" t="n"/>
      <c r="P2396" s="19" t="n"/>
      <c r="Q2396" s="19" t="n"/>
      <c r="R2396" s="19" t="n"/>
      <c r="S2396" s="19" t="n"/>
      <c r="T2396" s="19" t="n"/>
      <c r="U2396" s="19" t="n"/>
      <c r="V2396" s="19" t="n"/>
      <c r="W2396" s="19" t="n"/>
      <c r="X2396" s="19" t="n"/>
      <c r="Y2396" s="19" t="n">
        <v>1</v>
      </c>
      <c r="Z2396" s="13">
        <f>SUMPRODUCT(N2396:Y2396,$N$2:$Y$2)*$K2396*$L2396*$M2396</f>
        <v/>
      </c>
      <c r="AA2396" s="14">
        <f>SUM(N2396:Y2396)</f>
        <v/>
      </c>
      <c r="AB2396" s="13">
        <f>SUMPRODUCT(N2396:Y2396,$N$3:$Y$3)*$K2396*$L2396*$M2396</f>
        <v/>
      </c>
      <c r="AC2396" s="13">
        <f>SUMPRODUCT(N2396:Y2396,$N$4:$Y$4)*$K2396*$L2396*$M2396</f>
        <v/>
      </c>
      <c r="AD2396" s="15" t="n">
        <v>3</v>
      </c>
      <c r="AE2396" s="11" t="n">
        <v>1.011296296296296</v>
      </c>
      <c r="AF2396" s="16">
        <f>SUMPRODUCT(N2396:Y2396,$N$5:$Y$5)*$K2396*$L2396*$M2396</f>
        <v/>
      </c>
      <c r="AG2396" s="16">
        <f>SUMPRODUCT(N2396:Y2396,$N$6:$Y$6)*$K2396*$L2396*$M2396</f>
        <v/>
      </c>
      <c r="AH2396" s="20" t="n"/>
    </row>
    <row r="2397">
      <c r="A2397" s="9" t="n">
        <v>701480</v>
      </c>
      <c r="B2397" s="9" t="inlineStr">
        <is>
          <t>Bryce Cunningham</t>
        </is>
      </c>
      <c r="C2397" s="9" t="inlineStr">
        <is>
          <t>NYY</t>
        </is>
      </c>
      <c r="D2397" s="9" t="n">
        <v>25</v>
      </c>
      <c r="E2397" s="18" t="inlineStr">
        <is>
          <t>R</t>
        </is>
      </c>
      <c r="F2397" s="18" t="n"/>
      <c r="G2397" s="9" t="n">
        <v>37.625</v>
      </c>
      <c r="H2397" s="9" t="n">
        <v>37.625</v>
      </c>
      <c r="I2397" s="9" t="inlineStr">
        <is>
          <t>Depth (no MLB IP)</t>
        </is>
      </c>
      <c r="J2397" s="18" t="inlineStr">
        <is>
          <t>Opening Day</t>
        </is>
      </c>
      <c r="K2397" s="11">
        <f>IFERROR(INDEX(Roles!$B$17:$B$20,MATCH(J2397,Roles!$A$17:$A$20,0)),1)</f>
        <v/>
      </c>
      <c r="L2397" s="19" t="n">
        <v>1</v>
      </c>
      <c r="M2397" s="11" t="n">
        <v>1</v>
      </c>
      <c r="N2397" s="19" t="n"/>
      <c r="O2397" s="19" t="n"/>
      <c r="P2397" s="19" t="n"/>
      <c r="Q2397" s="19" t="n"/>
      <c r="R2397" s="19" t="n"/>
      <c r="S2397" s="19" t="n"/>
      <c r="T2397" s="19" t="n"/>
      <c r="U2397" s="19" t="n"/>
      <c r="V2397" s="19" t="n"/>
      <c r="W2397" s="19" t="n"/>
      <c r="X2397" s="19" t="n"/>
      <c r="Y2397" s="19" t="n">
        <v>1</v>
      </c>
      <c r="Z2397" s="13">
        <f>SUMPRODUCT(N2397:Y2397,$N$2:$Y$2)*$K2397*$L2397*$M2397</f>
        <v/>
      </c>
      <c r="AA2397" s="14">
        <f>SUM(N2397:Y2397)</f>
        <v/>
      </c>
      <c r="AB2397" s="13">
        <f>SUMPRODUCT(N2397:Y2397,$N$3:$Y$3)*$K2397*$L2397*$M2397</f>
        <v/>
      </c>
      <c r="AC2397" s="13">
        <f>SUMPRODUCT(N2397:Y2397,$N$4:$Y$4)*$K2397*$L2397*$M2397</f>
        <v/>
      </c>
      <c r="AD2397" s="15" t="n">
        <v>3</v>
      </c>
      <c r="AE2397" s="11" t="n">
        <v>1.011296296296296</v>
      </c>
      <c r="AF2397" s="16">
        <f>SUMPRODUCT(N2397:Y2397,$N$5:$Y$5)*$K2397*$L2397*$M2397</f>
        <v/>
      </c>
      <c r="AG2397" s="16">
        <f>SUMPRODUCT(N2397:Y2397,$N$6:$Y$6)*$K2397*$L2397*$M2397</f>
        <v/>
      </c>
      <c r="AH2397" s="20" t="n"/>
    </row>
    <row r="2398">
      <c r="A2398" s="9" t="n">
        <v>687726</v>
      </c>
      <c r="B2398" s="9" t="inlineStr">
        <is>
          <t>Cameron Wagoner</t>
        </is>
      </c>
      <c r="C2398" s="9" t="inlineStr">
        <is>
          <t>MIL</t>
        </is>
      </c>
      <c r="D2398" s="9" t="n">
        <v>25</v>
      </c>
      <c r="E2398" s="18" t="inlineStr">
        <is>
          <t>R</t>
        </is>
      </c>
      <c r="F2398" s="18" t="n"/>
      <c r="G2398" s="9" t="n">
        <v>37.84</v>
      </c>
      <c r="H2398" s="9" t="n">
        <v>37.84</v>
      </c>
      <c r="I2398" s="9" t="inlineStr">
        <is>
          <t>Depth (no MLB IP)</t>
        </is>
      </c>
      <c r="J2398" s="18" t="inlineStr">
        <is>
          <t>Opening Day</t>
        </is>
      </c>
      <c r="K2398" s="11">
        <f>IFERROR(INDEX(Roles!$B$17:$B$20,MATCH(J2398,Roles!$A$17:$A$20,0)),1)</f>
        <v/>
      </c>
      <c r="L2398" s="19" t="n">
        <v>1</v>
      </c>
      <c r="M2398" s="11" t="n">
        <v>1</v>
      </c>
      <c r="N2398" s="19" t="n"/>
      <c r="O2398" s="19" t="n"/>
      <c r="P2398" s="19" t="n"/>
      <c r="Q2398" s="19" t="n"/>
      <c r="R2398" s="19" t="n"/>
      <c r="S2398" s="19" t="n"/>
      <c r="T2398" s="19" t="n"/>
      <c r="U2398" s="19" t="n"/>
      <c r="V2398" s="19" t="n"/>
      <c r="W2398" s="19" t="n"/>
      <c r="X2398" s="19" t="n"/>
      <c r="Y2398" s="19" t="n">
        <v>1</v>
      </c>
      <c r="Z2398" s="13">
        <f>SUMPRODUCT(N2398:Y2398,$N$2:$Y$2)*$K2398*$L2398*$M2398</f>
        <v/>
      </c>
      <c r="AA2398" s="14">
        <f>SUM(N2398:Y2398)</f>
        <v/>
      </c>
      <c r="AB2398" s="13">
        <f>SUMPRODUCT(N2398:Y2398,$N$3:$Y$3)*$K2398*$L2398*$M2398</f>
        <v/>
      </c>
      <c r="AC2398" s="13">
        <f>SUMPRODUCT(N2398:Y2398,$N$4:$Y$4)*$K2398*$L2398*$M2398</f>
        <v/>
      </c>
      <c r="AD2398" s="15" t="n">
        <v>3</v>
      </c>
      <c r="AE2398" s="11" t="n">
        <v>1.011296296296296</v>
      </c>
      <c r="AF2398" s="16">
        <f>SUMPRODUCT(N2398:Y2398,$N$5:$Y$5)*$K2398*$L2398*$M2398</f>
        <v/>
      </c>
      <c r="AG2398" s="16">
        <f>SUMPRODUCT(N2398:Y2398,$N$6:$Y$6)*$K2398*$L2398*$M2398</f>
        <v/>
      </c>
      <c r="AH2398" s="20" t="n"/>
    </row>
    <row r="2399">
      <c r="A2399" s="9" t="n">
        <v>692550</v>
      </c>
      <c r="B2399" s="9" t="inlineStr">
        <is>
          <t>Hansel Rincon</t>
        </is>
      </c>
      <c r="C2399" s="9" t="inlineStr">
        <is>
          <t>NYY</t>
        </is>
      </c>
      <c r="D2399" s="9" t="n">
        <v>25</v>
      </c>
      <c r="E2399" s="18" t="inlineStr">
        <is>
          <t>R</t>
        </is>
      </c>
      <c r="F2399" s="18" t="n"/>
      <c r="G2399" s="9" t="n">
        <v>37.84</v>
      </c>
      <c r="H2399" s="9" t="n">
        <v>37.84</v>
      </c>
      <c r="I2399" s="9" t="inlineStr">
        <is>
          <t>Depth (no MLB IP)</t>
        </is>
      </c>
      <c r="J2399" s="18" t="inlineStr">
        <is>
          <t>Opening Day</t>
        </is>
      </c>
      <c r="K2399" s="11">
        <f>IFERROR(INDEX(Roles!$B$17:$B$20,MATCH(J2399,Roles!$A$17:$A$20,0)),1)</f>
        <v/>
      </c>
      <c r="L2399" s="19" t="n">
        <v>1</v>
      </c>
      <c r="M2399" s="11" t="n">
        <v>1</v>
      </c>
      <c r="N2399" s="19" t="n"/>
      <c r="O2399" s="19" t="n"/>
      <c r="P2399" s="19" t="n"/>
      <c r="Q2399" s="19" t="n"/>
      <c r="R2399" s="19" t="n"/>
      <c r="S2399" s="19" t="n"/>
      <c r="T2399" s="19" t="n"/>
      <c r="U2399" s="19" t="n"/>
      <c r="V2399" s="19" t="n"/>
      <c r="W2399" s="19" t="n"/>
      <c r="X2399" s="19" t="n"/>
      <c r="Y2399" s="19" t="n">
        <v>1</v>
      </c>
      <c r="Z2399" s="13">
        <f>SUMPRODUCT(N2399:Y2399,$N$2:$Y$2)*$K2399*$L2399*$M2399</f>
        <v/>
      </c>
      <c r="AA2399" s="14">
        <f>SUM(N2399:Y2399)</f>
        <v/>
      </c>
      <c r="AB2399" s="13">
        <f>SUMPRODUCT(N2399:Y2399,$N$3:$Y$3)*$K2399*$L2399*$M2399</f>
        <v/>
      </c>
      <c r="AC2399" s="13">
        <f>SUMPRODUCT(N2399:Y2399,$N$4:$Y$4)*$K2399*$L2399*$M2399</f>
        <v/>
      </c>
      <c r="AD2399" s="15" t="n">
        <v>3</v>
      </c>
      <c r="AE2399" s="11" t="n">
        <v>1.011296296296296</v>
      </c>
      <c r="AF2399" s="16">
        <f>SUMPRODUCT(N2399:Y2399,$N$5:$Y$5)*$K2399*$L2399*$M2399</f>
        <v/>
      </c>
      <c r="AG2399" s="16">
        <f>SUMPRODUCT(N2399:Y2399,$N$6:$Y$6)*$K2399*$L2399*$M2399</f>
        <v/>
      </c>
      <c r="AH2399" s="20" t="n"/>
    </row>
    <row r="2400">
      <c r="A2400" s="9" t="n">
        <v>687189</v>
      </c>
      <c r="B2400" s="9" t="inlineStr">
        <is>
          <t>Marcus Johnson</t>
        </is>
      </c>
      <c r="C2400" s="9" t="inlineStr">
        <is>
          <t>TB</t>
        </is>
      </c>
      <c r="D2400" s="9" t="n">
        <v>25</v>
      </c>
      <c r="E2400" s="18" t="inlineStr">
        <is>
          <t>R</t>
        </is>
      </c>
      <c r="F2400" s="18" t="n"/>
      <c r="G2400" s="9" t="n">
        <v>37.84</v>
      </c>
      <c r="H2400" s="9" t="n">
        <v>37.84</v>
      </c>
      <c r="I2400" s="9" t="inlineStr">
        <is>
          <t>Depth (no MLB IP)</t>
        </is>
      </c>
      <c r="J2400" s="18" t="inlineStr">
        <is>
          <t>Opening Day</t>
        </is>
      </c>
      <c r="K2400" s="11">
        <f>IFERROR(INDEX(Roles!$B$17:$B$20,MATCH(J2400,Roles!$A$17:$A$20,0)),1)</f>
        <v/>
      </c>
      <c r="L2400" s="19" t="n">
        <v>1</v>
      </c>
      <c r="M2400" s="11" t="n">
        <v>1</v>
      </c>
      <c r="N2400" s="19" t="n"/>
      <c r="O2400" s="19" t="n"/>
      <c r="P2400" s="19" t="n"/>
      <c r="Q2400" s="19" t="n"/>
      <c r="R2400" s="19" t="n"/>
      <c r="S2400" s="19" t="n"/>
      <c r="T2400" s="19" t="n"/>
      <c r="U2400" s="19" t="n"/>
      <c r="V2400" s="19" t="n"/>
      <c r="W2400" s="19" t="n"/>
      <c r="X2400" s="19" t="n"/>
      <c r="Y2400" s="19" t="n">
        <v>1</v>
      </c>
      <c r="Z2400" s="13">
        <f>SUMPRODUCT(N2400:Y2400,$N$2:$Y$2)*$K2400*$L2400*$M2400</f>
        <v/>
      </c>
      <c r="AA2400" s="14">
        <f>SUM(N2400:Y2400)</f>
        <v/>
      </c>
      <c r="AB2400" s="13">
        <f>SUMPRODUCT(N2400:Y2400,$N$3:$Y$3)*$K2400*$L2400*$M2400</f>
        <v/>
      </c>
      <c r="AC2400" s="13">
        <f>SUMPRODUCT(N2400:Y2400,$N$4:$Y$4)*$K2400*$L2400*$M2400</f>
        <v/>
      </c>
      <c r="AD2400" s="15" t="n">
        <v>3</v>
      </c>
      <c r="AE2400" s="11" t="n">
        <v>1.011296296296296</v>
      </c>
      <c r="AF2400" s="16">
        <f>SUMPRODUCT(N2400:Y2400,$N$5:$Y$5)*$K2400*$L2400*$M2400</f>
        <v/>
      </c>
      <c r="AG2400" s="16">
        <f>SUMPRODUCT(N2400:Y2400,$N$6:$Y$6)*$K2400*$L2400*$M2400</f>
        <v/>
      </c>
      <c r="AH2400" s="20" t="n"/>
    </row>
    <row r="2401">
      <c r="A2401" s="9" t="n">
        <v>668665</v>
      </c>
      <c r="B2401" s="9" t="inlineStr">
        <is>
          <t>Stephen Nogosek</t>
        </is>
      </c>
      <c r="C2401" s="9" t="inlineStr">
        <is>
          <t>NYM</t>
        </is>
      </c>
      <c r="D2401" s="9" t="n">
        <v>32</v>
      </c>
      <c r="E2401" s="18" t="inlineStr">
        <is>
          <t>R</t>
        </is>
      </c>
      <c r="F2401" s="18" t="n"/>
      <c r="G2401" s="9" t="n">
        <v>118</v>
      </c>
      <c r="H2401" s="9" t="n">
        <v>213</v>
      </c>
      <c r="I2401" s="9" t="inlineStr">
        <is>
          <t>Depth (no MLB IP)</t>
        </is>
      </c>
      <c r="J2401" s="18" t="inlineStr">
        <is>
          <t>Opening Day</t>
        </is>
      </c>
      <c r="K2401" s="11">
        <f>IFERROR(INDEX(Roles!$B$17:$B$20,MATCH(J2401,Roles!$A$17:$A$20,0)),1)</f>
        <v/>
      </c>
      <c r="L2401" s="19" t="n">
        <v>1</v>
      </c>
      <c r="M2401" s="11" t="n">
        <v>1</v>
      </c>
      <c r="N2401" s="19" t="n"/>
      <c r="O2401" s="19" t="n"/>
      <c r="P2401" s="19" t="n"/>
      <c r="Q2401" s="19" t="n"/>
      <c r="R2401" s="19" t="n"/>
      <c r="S2401" s="19" t="n"/>
      <c r="T2401" s="19" t="n"/>
      <c r="U2401" s="19" t="n"/>
      <c r="V2401" s="19" t="n"/>
      <c r="W2401" s="19" t="n"/>
      <c r="X2401" s="19" t="n"/>
      <c r="Y2401" s="19" t="n">
        <v>1</v>
      </c>
      <c r="Z2401" s="13">
        <f>SUMPRODUCT(N2401:Y2401,$N$2:$Y$2)*$K2401*$L2401*$M2401</f>
        <v/>
      </c>
      <c r="AA2401" s="14">
        <f>SUM(N2401:Y2401)</f>
        <v/>
      </c>
      <c r="AB2401" s="13">
        <f>SUMPRODUCT(N2401:Y2401,$N$3:$Y$3)*$K2401*$L2401*$M2401</f>
        <v/>
      </c>
      <c r="AC2401" s="13">
        <f>SUMPRODUCT(N2401:Y2401,$N$4:$Y$4)*$K2401*$L2401*$M2401</f>
        <v/>
      </c>
      <c r="AD2401" s="15" t="n">
        <v>3</v>
      </c>
      <c r="AE2401" s="11" t="n">
        <v>1.011296296296296</v>
      </c>
      <c r="AF2401" s="16">
        <f>SUMPRODUCT(N2401:Y2401,$N$5:$Y$5)*$K2401*$L2401*$M2401</f>
        <v/>
      </c>
      <c r="AG2401" s="16">
        <f>SUMPRODUCT(N2401:Y2401,$N$6:$Y$6)*$K2401*$L2401*$M2401</f>
        <v/>
      </c>
      <c r="AH2401" s="20" t="n"/>
    </row>
    <row r="2402">
      <c r="A2402" s="9" t="n">
        <v>681064</v>
      </c>
      <c r="B2402" s="9" t="inlineStr">
        <is>
          <t>Calvin Schapira</t>
        </is>
      </c>
      <c r="C2402" s="9" t="inlineStr">
        <is>
          <t>SEA</t>
        </is>
      </c>
      <c r="D2402" s="9" t="n">
        <v>25</v>
      </c>
      <c r="E2402" s="18" t="inlineStr">
        <is>
          <t>L</t>
        </is>
      </c>
      <c r="F2402" s="18" t="n"/>
      <c r="G2402" s="9" t="n">
        <v>38.12666666666667</v>
      </c>
      <c r="H2402" s="9" t="n">
        <v>38.12666666666667</v>
      </c>
      <c r="I2402" s="9" t="inlineStr">
        <is>
          <t>Depth (no MLB IP)</t>
        </is>
      </c>
      <c r="J2402" s="18" t="inlineStr">
        <is>
          <t>Opening Day</t>
        </is>
      </c>
      <c r="K2402" s="11">
        <f>IFERROR(INDEX(Roles!$B$17:$B$20,MATCH(J2402,Roles!$A$17:$A$20,0)),1)</f>
        <v/>
      </c>
      <c r="L2402" s="19" t="n">
        <v>1</v>
      </c>
      <c r="M2402" s="11" t="n">
        <v>1</v>
      </c>
      <c r="N2402" s="19" t="n"/>
      <c r="O2402" s="19" t="n"/>
      <c r="P2402" s="19" t="n"/>
      <c r="Q2402" s="19" t="n"/>
      <c r="R2402" s="19" t="n"/>
      <c r="S2402" s="19" t="n"/>
      <c r="T2402" s="19" t="n"/>
      <c r="U2402" s="19" t="n"/>
      <c r="V2402" s="19" t="n"/>
      <c r="W2402" s="19" t="n"/>
      <c r="X2402" s="19" t="n"/>
      <c r="Y2402" s="19" t="n">
        <v>1</v>
      </c>
      <c r="Z2402" s="13">
        <f>SUMPRODUCT(N2402:Y2402,$N$2:$Y$2)*$K2402*$L2402*$M2402</f>
        <v/>
      </c>
      <c r="AA2402" s="14">
        <f>SUM(N2402:Y2402)</f>
        <v/>
      </c>
      <c r="AB2402" s="13">
        <f>SUMPRODUCT(N2402:Y2402,$N$3:$Y$3)*$K2402*$L2402*$M2402</f>
        <v/>
      </c>
      <c r="AC2402" s="13">
        <f>SUMPRODUCT(N2402:Y2402,$N$4:$Y$4)*$K2402*$L2402*$M2402</f>
        <v/>
      </c>
      <c r="AD2402" s="15" t="n">
        <v>3</v>
      </c>
      <c r="AE2402" s="11" t="n">
        <v>1.011296296296296</v>
      </c>
      <c r="AF2402" s="16">
        <f>SUMPRODUCT(N2402:Y2402,$N$5:$Y$5)*$K2402*$L2402*$M2402</f>
        <v/>
      </c>
      <c r="AG2402" s="16">
        <f>SUMPRODUCT(N2402:Y2402,$N$6:$Y$6)*$K2402*$L2402*$M2402</f>
        <v/>
      </c>
      <c r="AH2402" s="20" t="n"/>
    </row>
    <row r="2403">
      <c r="A2403" s="9" t="n">
        <v>800154</v>
      </c>
      <c r="B2403" s="9" t="inlineStr">
        <is>
          <t>Marcos Herrera</t>
        </is>
      </c>
      <c r="C2403" s="9" t="inlineStr">
        <is>
          <t>COL</t>
        </is>
      </c>
      <c r="D2403" s="9" t="n">
        <v>25</v>
      </c>
      <c r="E2403" s="18" t="inlineStr">
        <is>
          <t>R</t>
        </is>
      </c>
      <c r="F2403" s="18" t="n"/>
      <c r="G2403" s="9" t="n">
        <v>38.01199999999999</v>
      </c>
      <c r="H2403" s="9" t="n">
        <v>38.01199999999999</v>
      </c>
      <c r="I2403" s="9" t="inlineStr">
        <is>
          <t>Depth (no MLB IP)</t>
        </is>
      </c>
      <c r="J2403" s="18" t="inlineStr">
        <is>
          <t>Opening Day</t>
        </is>
      </c>
      <c r="K2403" s="11">
        <f>IFERROR(INDEX(Roles!$B$17:$B$20,MATCH(J2403,Roles!$A$17:$A$20,0)),1)</f>
        <v/>
      </c>
      <c r="L2403" s="19" t="n">
        <v>1</v>
      </c>
      <c r="M2403" s="11" t="n">
        <v>1</v>
      </c>
      <c r="N2403" s="19" t="n"/>
      <c r="O2403" s="19" t="n"/>
      <c r="P2403" s="19" t="n"/>
      <c r="Q2403" s="19" t="n"/>
      <c r="R2403" s="19" t="n"/>
      <c r="S2403" s="19" t="n"/>
      <c r="T2403" s="19" t="n"/>
      <c r="U2403" s="19" t="n"/>
      <c r="V2403" s="19" t="n"/>
      <c r="W2403" s="19" t="n"/>
      <c r="X2403" s="19" t="n"/>
      <c r="Y2403" s="19" t="n">
        <v>1</v>
      </c>
      <c r="Z2403" s="13">
        <f>SUMPRODUCT(N2403:Y2403,$N$2:$Y$2)*$K2403*$L2403*$M2403</f>
        <v/>
      </c>
      <c r="AA2403" s="14">
        <f>SUM(N2403:Y2403)</f>
        <v/>
      </c>
      <c r="AB2403" s="13">
        <f>SUMPRODUCT(N2403:Y2403,$N$3:$Y$3)*$K2403*$L2403*$M2403</f>
        <v/>
      </c>
      <c r="AC2403" s="13">
        <f>SUMPRODUCT(N2403:Y2403,$N$4:$Y$4)*$K2403*$L2403*$M2403</f>
        <v/>
      </c>
      <c r="AD2403" s="15" t="n">
        <v>3</v>
      </c>
      <c r="AE2403" s="11" t="n">
        <v>1.011296296296296</v>
      </c>
      <c r="AF2403" s="16">
        <f>SUMPRODUCT(N2403:Y2403,$N$5:$Y$5)*$K2403*$L2403*$M2403</f>
        <v/>
      </c>
      <c r="AG2403" s="16">
        <f>SUMPRODUCT(N2403:Y2403,$N$6:$Y$6)*$K2403*$L2403*$M2403</f>
        <v/>
      </c>
      <c r="AH2403" s="20" t="n"/>
    </row>
    <row r="2404">
      <c r="A2404" s="9" t="n">
        <v>813828</v>
      </c>
      <c r="B2404" s="9" t="inlineStr">
        <is>
          <t>Nolan Santos</t>
        </is>
      </c>
      <c r="C2404" s="9" t="inlineStr">
        <is>
          <t>MIN</t>
        </is>
      </c>
      <c r="D2404" s="9" t="n">
        <v>25</v>
      </c>
      <c r="E2404" s="18" t="inlineStr">
        <is>
          <t>R</t>
        </is>
      </c>
      <c r="F2404" s="18" t="n"/>
      <c r="G2404" s="9" t="n">
        <v>38.12666666666667</v>
      </c>
      <c r="H2404" s="9" t="n">
        <v>38.12666666666667</v>
      </c>
      <c r="I2404" s="9" t="inlineStr">
        <is>
          <t>Depth (no MLB IP)</t>
        </is>
      </c>
      <c r="J2404" s="18" t="inlineStr">
        <is>
          <t>Opening Day</t>
        </is>
      </c>
      <c r="K2404" s="11">
        <f>IFERROR(INDEX(Roles!$B$17:$B$20,MATCH(J2404,Roles!$A$17:$A$20,0)),1)</f>
        <v/>
      </c>
      <c r="L2404" s="19" t="n">
        <v>1</v>
      </c>
      <c r="M2404" s="11" t="n">
        <v>1</v>
      </c>
      <c r="N2404" s="19" t="n"/>
      <c r="O2404" s="19" t="n"/>
      <c r="P2404" s="19" t="n"/>
      <c r="Q2404" s="19" t="n"/>
      <c r="R2404" s="19" t="n"/>
      <c r="S2404" s="19" t="n"/>
      <c r="T2404" s="19" t="n"/>
      <c r="U2404" s="19" t="n"/>
      <c r="V2404" s="19" t="n"/>
      <c r="W2404" s="19" t="n"/>
      <c r="X2404" s="19" t="n"/>
      <c r="Y2404" s="19" t="n">
        <v>1</v>
      </c>
      <c r="Z2404" s="13">
        <f>SUMPRODUCT(N2404:Y2404,$N$2:$Y$2)*$K2404*$L2404*$M2404</f>
        <v/>
      </c>
      <c r="AA2404" s="14">
        <f>SUM(N2404:Y2404)</f>
        <v/>
      </c>
      <c r="AB2404" s="13">
        <f>SUMPRODUCT(N2404:Y2404,$N$3:$Y$3)*$K2404*$L2404*$M2404</f>
        <v/>
      </c>
      <c r="AC2404" s="13">
        <f>SUMPRODUCT(N2404:Y2404,$N$4:$Y$4)*$K2404*$L2404*$M2404</f>
        <v/>
      </c>
      <c r="AD2404" s="15" t="n">
        <v>3</v>
      </c>
      <c r="AE2404" s="11" t="n">
        <v>1.011296296296296</v>
      </c>
      <c r="AF2404" s="16">
        <f>SUMPRODUCT(N2404:Y2404,$N$5:$Y$5)*$K2404*$L2404*$M2404</f>
        <v/>
      </c>
      <c r="AG2404" s="16">
        <f>SUMPRODUCT(N2404:Y2404,$N$6:$Y$6)*$K2404*$L2404*$M2404</f>
        <v/>
      </c>
      <c r="AH2404" s="20" t="n"/>
    </row>
    <row r="2405">
      <c r="A2405" s="9" t="n">
        <v>822514</v>
      </c>
      <c r="B2405" s="9" t="inlineStr">
        <is>
          <t>Max Banks</t>
        </is>
      </c>
      <c r="C2405" s="9" t="inlineStr">
        <is>
          <t>CWS</t>
        </is>
      </c>
      <c r="D2405" s="9" t="n">
        <v>25</v>
      </c>
      <c r="E2405" s="18" t="inlineStr">
        <is>
          <t>R</t>
        </is>
      </c>
      <c r="F2405" s="18" t="n"/>
      <c r="G2405" s="9" t="n">
        <v>38.12666666666667</v>
      </c>
      <c r="H2405" s="9" t="n">
        <v>38.12666666666667</v>
      </c>
      <c r="I2405" s="9" t="inlineStr">
        <is>
          <t>Depth (no MLB IP)</t>
        </is>
      </c>
      <c r="J2405" s="18" t="inlineStr">
        <is>
          <t>Opening Day</t>
        </is>
      </c>
      <c r="K2405" s="11">
        <f>IFERROR(INDEX(Roles!$B$17:$B$20,MATCH(J2405,Roles!$A$17:$A$20,0)),1)</f>
        <v/>
      </c>
      <c r="L2405" s="19" t="n">
        <v>1</v>
      </c>
      <c r="M2405" s="11" t="n">
        <v>1</v>
      </c>
      <c r="N2405" s="19" t="n"/>
      <c r="O2405" s="19" t="n"/>
      <c r="P2405" s="19" t="n"/>
      <c r="Q2405" s="19" t="n"/>
      <c r="R2405" s="19" t="n"/>
      <c r="S2405" s="19" t="n"/>
      <c r="T2405" s="19" t="n"/>
      <c r="U2405" s="19" t="n"/>
      <c r="V2405" s="19" t="n"/>
      <c r="W2405" s="19" t="n"/>
      <c r="X2405" s="19" t="n"/>
      <c r="Y2405" s="19" t="n">
        <v>1</v>
      </c>
      <c r="Z2405" s="13">
        <f>SUMPRODUCT(N2405:Y2405,$N$2:$Y$2)*$K2405*$L2405*$M2405</f>
        <v/>
      </c>
      <c r="AA2405" s="14">
        <f>SUM(N2405:Y2405)</f>
        <v/>
      </c>
      <c r="AB2405" s="13">
        <f>SUMPRODUCT(N2405:Y2405,$N$3:$Y$3)*$K2405*$L2405*$M2405</f>
        <v/>
      </c>
      <c r="AC2405" s="13">
        <f>SUMPRODUCT(N2405:Y2405,$N$4:$Y$4)*$K2405*$L2405*$M2405</f>
        <v/>
      </c>
      <c r="AD2405" s="15" t="n">
        <v>3</v>
      </c>
      <c r="AE2405" s="11" t="n">
        <v>1.011296296296296</v>
      </c>
      <c r="AF2405" s="16">
        <f>SUMPRODUCT(N2405:Y2405,$N$5:$Y$5)*$K2405*$L2405*$M2405</f>
        <v/>
      </c>
      <c r="AG2405" s="16">
        <f>SUMPRODUCT(N2405:Y2405,$N$6:$Y$6)*$K2405*$L2405*$M2405</f>
        <v/>
      </c>
      <c r="AH2405" s="20" t="n"/>
    </row>
    <row r="2406">
      <c r="A2406" s="9" t="n">
        <v>806581</v>
      </c>
      <c r="B2406" s="9" t="inlineStr">
        <is>
          <t>Nick Merkel</t>
        </is>
      </c>
      <c r="C2406" s="9" t="inlineStr">
        <is>
          <t>MIL</t>
        </is>
      </c>
      <c r="D2406" s="9" t="n">
        <v>25</v>
      </c>
      <c r="E2406" s="18" t="inlineStr">
        <is>
          <t>R</t>
        </is>
      </c>
      <c r="F2406" s="18" t="n"/>
      <c r="G2406" s="9" t="n">
        <v>38.12666666666666</v>
      </c>
      <c r="H2406" s="9" t="n">
        <v>38.12666666666666</v>
      </c>
      <c r="I2406" s="9" t="inlineStr">
        <is>
          <t>Depth (no MLB IP)</t>
        </is>
      </c>
      <c r="J2406" s="18" t="inlineStr">
        <is>
          <t>Opening Day</t>
        </is>
      </c>
      <c r="K2406" s="11">
        <f>IFERROR(INDEX(Roles!$B$17:$B$20,MATCH(J2406,Roles!$A$17:$A$20,0)),1)</f>
        <v/>
      </c>
      <c r="L2406" s="19" t="n">
        <v>1</v>
      </c>
      <c r="M2406" s="11" t="n">
        <v>1</v>
      </c>
      <c r="N2406" s="19" t="n"/>
      <c r="O2406" s="19" t="n"/>
      <c r="P2406" s="19" t="n"/>
      <c r="Q2406" s="19" t="n"/>
      <c r="R2406" s="19" t="n"/>
      <c r="S2406" s="19" t="n"/>
      <c r="T2406" s="19" t="n"/>
      <c r="U2406" s="19" t="n"/>
      <c r="V2406" s="19" t="n"/>
      <c r="W2406" s="19" t="n"/>
      <c r="X2406" s="19" t="n"/>
      <c r="Y2406" s="19" t="n">
        <v>1</v>
      </c>
      <c r="Z2406" s="13">
        <f>SUMPRODUCT(N2406:Y2406,$N$2:$Y$2)*$K2406*$L2406*$M2406</f>
        <v/>
      </c>
      <c r="AA2406" s="14">
        <f>SUM(N2406:Y2406)</f>
        <v/>
      </c>
      <c r="AB2406" s="13">
        <f>SUMPRODUCT(N2406:Y2406,$N$3:$Y$3)*$K2406*$L2406*$M2406</f>
        <v/>
      </c>
      <c r="AC2406" s="13">
        <f>SUMPRODUCT(N2406:Y2406,$N$4:$Y$4)*$K2406*$L2406*$M2406</f>
        <v/>
      </c>
      <c r="AD2406" s="15" t="n">
        <v>3</v>
      </c>
      <c r="AE2406" s="11" t="n">
        <v>1.011296296296296</v>
      </c>
      <c r="AF2406" s="16">
        <f>SUMPRODUCT(N2406:Y2406,$N$5:$Y$5)*$K2406*$L2406*$M2406</f>
        <v/>
      </c>
      <c r="AG2406" s="16">
        <f>SUMPRODUCT(N2406:Y2406,$N$6:$Y$6)*$K2406*$L2406*$M2406</f>
        <v/>
      </c>
      <c r="AH2406" s="20" t="n"/>
    </row>
    <row r="2407">
      <c r="A2407" s="9" t="n">
        <v>688776</v>
      </c>
      <c r="B2407" s="9" t="inlineStr">
        <is>
          <t>Jackson Lancaster</t>
        </is>
      </c>
      <c r="C2407" s="9" t="inlineStr">
        <is>
          <t>TB</t>
        </is>
      </c>
      <c r="D2407" s="9" t="n">
        <v>25</v>
      </c>
      <c r="E2407" s="18" t="inlineStr">
        <is>
          <t>L</t>
        </is>
      </c>
      <c r="F2407" s="18" t="n"/>
      <c r="G2407" s="9" t="n">
        <v>38.12666666666666</v>
      </c>
      <c r="H2407" s="9" t="n">
        <v>38.12666666666666</v>
      </c>
      <c r="I2407" s="9" t="inlineStr">
        <is>
          <t>Depth (no MLB IP)</t>
        </is>
      </c>
      <c r="J2407" s="18" t="inlineStr">
        <is>
          <t>Opening Day</t>
        </is>
      </c>
      <c r="K2407" s="11">
        <f>IFERROR(INDEX(Roles!$B$17:$B$20,MATCH(J2407,Roles!$A$17:$A$20,0)),1)</f>
        <v/>
      </c>
      <c r="L2407" s="19" t="n">
        <v>1</v>
      </c>
      <c r="M2407" s="11" t="n">
        <v>1</v>
      </c>
      <c r="N2407" s="19" t="n"/>
      <c r="O2407" s="19" t="n"/>
      <c r="P2407" s="19" t="n"/>
      <c r="Q2407" s="19" t="n"/>
      <c r="R2407" s="19" t="n"/>
      <c r="S2407" s="19" t="n"/>
      <c r="T2407" s="19" t="n"/>
      <c r="U2407" s="19" t="n"/>
      <c r="V2407" s="19" t="n"/>
      <c r="W2407" s="19" t="n"/>
      <c r="X2407" s="19" t="n"/>
      <c r="Y2407" s="19" t="n">
        <v>1</v>
      </c>
      <c r="Z2407" s="13">
        <f>SUMPRODUCT(N2407:Y2407,$N$2:$Y$2)*$K2407*$L2407*$M2407</f>
        <v/>
      </c>
      <c r="AA2407" s="14">
        <f>SUM(N2407:Y2407)</f>
        <v/>
      </c>
      <c r="AB2407" s="13">
        <f>SUMPRODUCT(N2407:Y2407,$N$3:$Y$3)*$K2407*$L2407*$M2407</f>
        <v/>
      </c>
      <c r="AC2407" s="13">
        <f>SUMPRODUCT(N2407:Y2407,$N$4:$Y$4)*$K2407*$L2407*$M2407</f>
        <v/>
      </c>
      <c r="AD2407" s="15" t="n">
        <v>3</v>
      </c>
      <c r="AE2407" s="11" t="n">
        <v>1.011296296296296</v>
      </c>
      <c r="AF2407" s="16">
        <f>SUMPRODUCT(N2407:Y2407,$N$5:$Y$5)*$K2407*$L2407*$M2407</f>
        <v/>
      </c>
      <c r="AG2407" s="16">
        <f>SUMPRODUCT(N2407:Y2407,$N$6:$Y$6)*$K2407*$L2407*$M2407</f>
        <v/>
      </c>
      <c r="AH2407" s="20" t="n"/>
    </row>
    <row r="2408">
      <c r="A2408" s="9" t="n">
        <v>699530</v>
      </c>
      <c r="B2408" s="9" t="inlineStr">
        <is>
          <t>Cade Citelli</t>
        </is>
      </c>
      <c r="C2408" s="9" t="inlineStr">
        <is>
          <t>TB</t>
        </is>
      </c>
      <c r="D2408" s="9" t="n">
        <v>25</v>
      </c>
      <c r="E2408" s="18" t="inlineStr">
        <is>
          <t>R</t>
        </is>
      </c>
      <c r="F2408" s="18" t="n"/>
      <c r="G2408" s="9" t="n">
        <v>38.12666666666667</v>
      </c>
      <c r="H2408" s="9" t="n">
        <v>38.12666666666667</v>
      </c>
      <c r="I2408" s="9" t="inlineStr">
        <is>
          <t>Depth (no MLB IP)</t>
        </is>
      </c>
      <c r="J2408" s="18" t="inlineStr">
        <is>
          <t>Opening Day</t>
        </is>
      </c>
      <c r="K2408" s="11">
        <f>IFERROR(INDEX(Roles!$B$17:$B$20,MATCH(J2408,Roles!$A$17:$A$20,0)),1)</f>
        <v/>
      </c>
      <c r="L2408" s="19" t="n">
        <v>1</v>
      </c>
      <c r="M2408" s="11" t="n">
        <v>1</v>
      </c>
      <c r="N2408" s="19" t="n"/>
      <c r="O2408" s="19" t="n"/>
      <c r="P2408" s="19" t="n"/>
      <c r="Q2408" s="19" t="n"/>
      <c r="R2408" s="19" t="n"/>
      <c r="S2408" s="19" t="n"/>
      <c r="T2408" s="19" t="n"/>
      <c r="U2408" s="19" t="n"/>
      <c r="V2408" s="19" t="n"/>
      <c r="W2408" s="19" t="n"/>
      <c r="X2408" s="19" t="n"/>
      <c r="Y2408" s="19" t="n">
        <v>1</v>
      </c>
      <c r="Z2408" s="13">
        <f>SUMPRODUCT(N2408:Y2408,$N$2:$Y$2)*$K2408*$L2408*$M2408</f>
        <v/>
      </c>
      <c r="AA2408" s="14">
        <f>SUM(N2408:Y2408)</f>
        <v/>
      </c>
      <c r="AB2408" s="13">
        <f>SUMPRODUCT(N2408:Y2408,$N$3:$Y$3)*$K2408*$L2408*$M2408</f>
        <v/>
      </c>
      <c r="AC2408" s="13">
        <f>SUMPRODUCT(N2408:Y2408,$N$4:$Y$4)*$K2408*$L2408*$M2408</f>
        <v/>
      </c>
      <c r="AD2408" s="15" t="n">
        <v>3</v>
      </c>
      <c r="AE2408" s="11" t="n">
        <v>1.011296296296296</v>
      </c>
      <c r="AF2408" s="16">
        <f>SUMPRODUCT(N2408:Y2408,$N$5:$Y$5)*$K2408*$L2408*$M2408</f>
        <v/>
      </c>
      <c r="AG2408" s="16">
        <f>SUMPRODUCT(N2408:Y2408,$N$6:$Y$6)*$K2408*$L2408*$M2408</f>
        <v/>
      </c>
      <c r="AH2408" s="20" t="n"/>
    </row>
    <row r="2409">
      <c r="A2409" s="9" t="n">
        <v>687273</v>
      </c>
      <c r="B2409" s="9" t="inlineStr">
        <is>
          <t>Quinn Mathews</t>
        </is>
      </c>
      <c r="C2409" s="9" t="inlineStr">
        <is>
          <t>STL</t>
        </is>
      </c>
      <c r="D2409" s="9" t="n">
        <v>26</v>
      </c>
      <c r="E2409" s="18" t="inlineStr">
        <is>
          <t>L</t>
        </is>
      </c>
      <c r="F2409" s="18" t="n"/>
      <c r="G2409" s="9" t="n">
        <v>211</v>
      </c>
      <c r="H2409" s="9" t="n">
        <v>211</v>
      </c>
      <c r="I2409" s="9" t="inlineStr">
        <is>
          <t>End-of-Rotation Starter (SP4-5)</t>
        </is>
      </c>
      <c r="J2409" s="18" t="inlineStr">
        <is>
          <t>Opening Day</t>
        </is>
      </c>
      <c r="K2409" s="11">
        <f>IFERROR(INDEX(Roles!$B$17:$B$20,MATCH(J2409,Roles!$A$17:$A$20,0)),1)</f>
        <v/>
      </c>
      <c r="L2409" s="19" t="n">
        <v>1</v>
      </c>
      <c r="M2409" s="11" t="n">
        <v>1</v>
      </c>
      <c r="N2409" s="19" t="n"/>
      <c r="O2409" s="19" t="n"/>
      <c r="P2409" s="19" t="n">
        <v>0.5</v>
      </c>
      <c r="Q2409" s="19" t="n"/>
      <c r="R2409" s="19" t="n">
        <v>0.5</v>
      </c>
      <c r="S2409" s="19" t="n"/>
      <c r="T2409" s="19" t="n"/>
      <c r="U2409" s="19" t="n"/>
      <c r="V2409" s="19" t="n"/>
      <c r="W2409" s="19" t="n"/>
      <c r="X2409" s="19" t="n"/>
      <c r="Y2409" s="19" t="n"/>
      <c r="Z2409" s="13">
        <f>SUMPRODUCT(N2409:Y2409,$N$2:$Y$2)*$K2409*$L2409*$M2409</f>
        <v/>
      </c>
      <c r="AA2409" s="14">
        <f>SUM(N2409:Y2409)</f>
        <v/>
      </c>
      <c r="AB2409" s="13">
        <f>SUMPRODUCT(N2409:Y2409,$N$3:$Y$3)*$K2409*$L2409*$M2409</f>
        <v/>
      </c>
      <c r="AC2409" s="13">
        <f>SUMPRODUCT(N2409:Y2409,$N$4:$Y$4)*$K2409*$L2409*$M2409</f>
        <v/>
      </c>
      <c r="AD2409" s="15" t="n">
        <v>11.8</v>
      </c>
      <c r="AE2409" s="11" t="n">
        <v>4.864197530864198</v>
      </c>
      <c r="AF2409" s="16">
        <f>SUMPRODUCT(N2409:Y2409,$N$5:$Y$5)*$K2409*$L2409*$M2409</f>
        <v/>
      </c>
      <c r="AG2409" s="16">
        <f>SUMPRODUCT(N2409:Y2409,$N$6:$Y$6)*$K2409*$L2409*$M2409</f>
        <v/>
      </c>
      <c r="AH2409" s="20" t="n"/>
    </row>
    <row r="2410">
      <c r="A2410" s="9" t="n">
        <v>804852</v>
      </c>
      <c r="B2410" s="9" t="inlineStr">
        <is>
          <t>Grayson Grinsell</t>
        </is>
      </c>
      <c r="C2410" s="9" t="inlineStr">
        <is>
          <t>DET</t>
        </is>
      </c>
      <c r="D2410" s="9" t="n">
        <v>25</v>
      </c>
      <c r="E2410" s="18" t="inlineStr">
        <is>
          <t>L</t>
        </is>
      </c>
      <c r="F2410" s="18" t="n"/>
      <c r="G2410" s="9" t="n">
        <v>38.184</v>
      </c>
      <c r="H2410" s="9" t="n">
        <v>38.184</v>
      </c>
      <c r="I2410" s="9" t="inlineStr">
        <is>
          <t>Depth (no MLB IP)</t>
        </is>
      </c>
      <c r="J2410" s="18" t="inlineStr">
        <is>
          <t>Opening Day</t>
        </is>
      </c>
      <c r="K2410" s="11">
        <f>IFERROR(INDEX(Roles!$B$17:$B$20,MATCH(J2410,Roles!$A$17:$A$20,0)),1)</f>
        <v/>
      </c>
      <c r="L2410" s="19" t="n">
        <v>1</v>
      </c>
      <c r="M2410" s="11" t="n">
        <v>1</v>
      </c>
      <c r="N2410" s="19" t="n"/>
      <c r="O2410" s="19" t="n"/>
      <c r="P2410" s="19" t="n"/>
      <c r="Q2410" s="19" t="n"/>
      <c r="R2410" s="19" t="n"/>
      <c r="S2410" s="19" t="n"/>
      <c r="T2410" s="19" t="n"/>
      <c r="U2410" s="19" t="n"/>
      <c r="V2410" s="19" t="n"/>
      <c r="W2410" s="19" t="n"/>
      <c r="X2410" s="19" t="n"/>
      <c r="Y2410" s="19" t="n">
        <v>1</v>
      </c>
      <c r="Z2410" s="13">
        <f>SUMPRODUCT(N2410:Y2410,$N$2:$Y$2)*$K2410*$L2410*$M2410</f>
        <v/>
      </c>
      <c r="AA2410" s="14">
        <f>SUM(N2410:Y2410)</f>
        <v/>
      </c>
      <c r="AB2410" s="13">
        <f>SUMPRODUCT(N2410:Y2410,$N$3:$Y$3)*$K2410*$L2410*$M2410</f>
        <v/>
      </c>
      <c r="AC2410" s="13">
        <f>SUMPRODUCT(N2410:Y2410,$N$4:$Y$4)*$K2410*$L2410*$M2410</f>
        <v/>
      </c>
      <c r="AD2410" s="15" t="n">
        <v>3</v>
      </c>
      <c r="AE2410" s="11" t="n">
        <v>1.011296296296296</v>
      </c>
      <c r="AF2410" s="16">
        <f>SUMPRODUCT(N2410:Y2410,$N$5:$Y$5)*$K2410*$L2410*$M2410</f>
        <v/>
      </c>
      <c r="AG2410" s="16">
        <f>SUMPRODUCT(N2410:Y2410,$N$6:$Y$6)*$K2410*$L2410*$M2410</f>
        <v/>
      </c>
      <c r="AH2410" s="20" t="n"/>
    </row>
    <row r="2411">
      <c r="A2411" s="9" t="n">
        <v>593423</v>
      </c>
      <c r="B2411" s="9" t="inlineStr">
        <is>
          <t>Frankie Montas</t>
        </is>
      </c>
      <c r="C2411" s="9" t="inlineStr">
        <is>
          <t>NYM</t>
        </is>
      </c>
      <c r="D2411" s="9" t="n">
        <v>34</v>
      </c>
      <c r="E2411" s="18" t="inlineStr">
        <is>
          <t>R</t>
        </is>
      </c>
      <c r="F2411" s="18" t="n"/>
      <c r="G2411" s="9" t="n">
        <v>178</v>
      </c>
      <c r="H2411" s="9" t="n">
        <v>1448</v>
      </c>
      <c r="I2411" s="9" t="inlineStr">
        <is>
          <t>End-of-Rotation Starter (SP4-5)</t>
        </is>
      </c>
      <c r="J2411" s="18" t="inlineStr">
        <is>
          <t>Opening Day</t>
        </is>
      </c>
      <c r="K2411" s="11">
        <f>IFERROR(INDEX(Roles!$B$17:$B$20,MATCH(J2411,Roles!$A$17:$A$20,0)),1)</f>
        <v/>
      </c>
      <c r="L2411" s="19" t="n">
        <v>1</v>
      </c>
      <c r="M2411" s="11" t="n">
        <v>1</v>
      </c>
      <c r="N2411" s="19" t="n"/>
      <c r="O2411" s="19" t="n"/>
      <c r="P2411" s="19" t="n">
        <v>1</v>
      </c>
      <c r="Q2411" s="19" t="n"/>
      <c r="R2411" s="19" t="n"/>
      <c r="S2411" s="19" t="n"/>
      <c r="T2411" s="19" t="n"/>
      <c r="U2411" s="19" t="n"/>
      <c r="V2411" s="19" t="n"/>
      <c r="W2411" s="19" t="n"/>
      <c r="X2411" s="19" t="n"/>
      <c r="Y2411" s="19" t="n"/>
      <c r="Z2411" s="13">
        <f>SUMPRODUCT(N2411:Y2411,$N$2:$Y$2)*$K2411*$L2411*$M2411</f>
        <v/>
      </c>
      <c r="AA2411" s="14">
        <f>SUM(N2411:Y2411)</f>
        <v/>
      </c>
      <c r="AB2411" s="13">
        <f>SUMPRODUCT(N2411:Y2411,$N$3:$Y$3)*$K2411*$L2411*$M2411</f>
        <v/>
      </c>
      <c r="AC2411" s="13">
        <f>SUMPRODUCT(N2411:Y2411,$N$4:$Y$4)*$K2411*$L2411*$M2411</f>
        <v/>
      </c>
      <c r="AD2411" s="15" t="n">
        <v>16</v>
      </c>
      <c r="AE2411" s="11" t="n">
        <v>4.62037037037037</v>
      </c>
      <c r="AF2411" s="16">
        <f>SUMPRODUCT(N2411:Y2411,$N$5:$Y$5)*$K2411*$L2411*$M2411</f>
        <v/>
      </c>
      <c r="AG2411" s="16">
        <f>SUMPRODUCT(N2411:Y2411,$N$6:$Y$6)*$K2411*$L2411*$M2411</f>
        <v/>
      </c>
      <c r="AH2411" s="20" t="n"/>
    </row>
    <row r="2412">
      <c r="A2412" s="9" t="n">
        <v>805774</v>
      </c>
      <c r="B2412" s="9" t="inlineStr">
        <is>
          <t>Gregori Louis</t>
        </is>
      </c>
      <c r="C2412" s="9" t="inlineStr">
        <is>
          <t>NYM</t>
        </is>
      </c>
      <c r="D2412" s="9" t="n">
        <v>25</v>
      </c>
      <c r="E2412" s="18" t="inlineStr">
        <is>
          <t>L</t>
        </is>
      </c>
      <c r="F2412" s="18" t="n"/>
      <c r="G2412" s="9" t="n">
        <v>38.41333333333333</v>
      </c>
      <c r="H2412" s="9" t="n">
        <v>38.41333333333333</v>
      </c>
      <c r="I2412" s="9" t="inlineStr">
        <is>
          <t>Depth (no MLB IP)</t>
        </is>
      </c>
      <c r="J2412" s="18" t="inlineStr">
        <is>
          <t>Opening Day</t>
        </is>
      </c>
      <c r="K2412" s="11">
        <f>IFERROR(INDEX(Roles!$B$17:$B$20,MATCH(J2412,Roles!$A$17:$A$20,0)),1)</f>
        <v/>
      </c>
      <c r="L2412" s="19" t="n">
        <v>1</v>
      </c>
      <c r="M2412" s="11" t="n">
        <v>1</v>
      </c>
      <c r="N2412" s="19" t="n"/>
      <c r="O2412" s="19" t="n"/>
      <c r="P2412" s="19" t="n"/>
      <c r="Q2412" s="19" t="n"/>
      <c r="R2412" s="19" t="n"/>
      <c r="S2412" s="19" t="n"/>
      <c r="T2412" s="19" t="n"/>
      <c r="U2412" s="19" t="n"/>
      <c r="V2412" s="19" t="n"/>
      <c r="W2412" s="19" t="n"/>
      <c r="X2412" s="19" t="n"/>
      <c r="Y2412" s="19" t="n">
        <v>1</v>
      </c>
      <c r="Z2412" s="13">
        <f>SUMPRODUCT(N2412:Y2412,$N$2:$Y$2)*$K2412*$L2412*$M2412</f>
        <v/>
      </c>
      <c r="AA2412" s="14">
        <f>SUM(N2412:Y2412)</f>
        <v/>
      </c>
      <c r="AB2412" s="13">
        <f>SUMPRODUCT(N2412:Y2412,$N$3:$Y$3)*$K2412*$L2412*$M2412</f>
        <v/>
      </c>
      <c r="AC2412" s="13">
        <f>SUMPRODUCT(N2412:Y2412,$N$4:$Y$4)*$K2412*$L2412*$M2412</f>
        <v/>
      </c>
      <c r="AD2412" s="15" t="n">
        <v>3</v>
      </c>
      <c r="AE2412" s="11" t="n">
        <v>1.011296296296296</v>
      </c>
      <c r="AF2412" s="16">
        <f>SUMPRODUCT(N2412:Y2412,$N$5:$Y$5)*$K2412*$L2412*$M2412</f>
        <v/>
      </c>
      <c r="AG2412" s="16">
        <f>SUMPRODUCT(N2412:Y2412,$N$6:$Y$6)*$K2412*$L2412*$M2412</f>
        <v/>
      </c>
      <c r="AH2412" s="20" t="n"/>
    </row>
    <row r="2413">
      <c r="A2413" s="9" t="n">
        <v>692024</v>
      </c>
      <c r="B2413" s="9" t="inlineStr">
        <is>
          <t>Alex Carrillo</t>
        </is>
      </c>
      <c r="C2413" s="9" t="inlineStr">
        <is>
          <t>NYM</t>
        </is>
      </c>
      <c r="D2413" s="9" t="n">
        <v>30</v>
      </c>
      <c r="E2413" s="18" t="inlineStr">
        <is>
          <t>R</t>
        </is>
      </c>
      <c r="F2413" s="18" t="n"/>
      <c r="G2413" s="9" t="n">
        <v>22</v>
      </c>
      <c r="H2413" s="9" t="n">
        <v>22</v>
      </c>
      <c r="I2413" s="9" t="inlineStr">
        <is>
          <t>Depth (no MLB IP)</t>
        </is>
      </c>
      <c r="J2413" s="18" t="inlineStr">
        <is>
          <t>Opening Day</t>
        </is>
      </c>
      <c r="K2413" s="11">
        <f>IFERROR(INDEX(Roles!$B$17:$B$20,MATCH(J2413,Roles!$A$17:$A$20,0)),1)</f>
        <v/>
      </c>
      <c r="L2413" s="19" t="n">
        <v>1</v>
      </c>
      <c r="M2413" s="11" t="n">
        <v>1</v>
      </c>
      <c r="N2413" s="19" t="n"/>
      <c r="O2413" s="19" t="n"/>
      <c r="P2413" s="19" t="n"/>
      <c r="Q2413" s="19" t="n"/>
      <c r="R2413" s="19" t="n"/>
      <c r="S2413" s="19" t="n"/>
      <c r="T2413" s="19" t="n"/>
      <c r="U2413" s="19" t="n"/>
      <c r="V2413" s="19" t="n"/>
      <c r="W2413" s="19" t="n"/>
      <c r="X2413" s="19" t="n"/>
      <c r="Y2413" s="19" t="n">
        <v>1</v>
      </c>
      <c r="Z2413" s="13">
        <f>SUMPRODUCT(N2413:Y2413,$N$2:$Y$2)*$K2413*$L2413*$M2413</f>
        <v/>
      </c>
      <c r="AA2413" s="14">
        <f>SUM(N2413:Y2413)</f>
        <v/>
      </c>
      <c r="AB2413" s="13">
        <f>SUMPRODUCT(N2413:Y2413,$N$3:$Y$3)*$K2413*$L2413*$M2413</f>
        <v/>
      </c>
      <c r="AC2413" s="13">
        <f>SUMPRODUCT(N2413:Y2413,$N$4:$Y$4)*$K2413*$L2413*$M2413</f>
        <v/>
      </c>
      <c r="AD2413" s="15" t="n">
        <v>3</v>
      </c>
      <c r="AE2413" s="11" t="n">
        <v>1.192716049382716</v>
      </c>
      <c r="AF2413" s="16">
        <f>SUMPRODUCT(N2413:Y2413,$N$5:$Y$5)*$K2413*$L2413*$M2413</f>
        <v/>
      </c>
      <c r="AG2413" s="16">
        <f>SUMPRODUCT(N2413:Y2413,$N$6:$Y$6)*$K2413*$L2413*$M2413</f>
        <v/>
      </c>
      <c r="AH2413" s="20" t="n"/>
    </row>
    <row r="2414">
      <c r="A2414" s="9" t="n">
        <v>678011</v>
      </c>
      <c r="B2414" s="9" t="inlineStr">
        <is>
          <t>Anthony Seigler</t>
        </is>
      </c>
      <c r="C2414" s="9" t="inlineStr">
        <is>
          <t>MIL</t>
        </is>
      </c>
      <c r="D2414" s="9" t="n">
        <v>28</v>
      </c>
      <c r="E2414" s="18" t="inlineStr">
        <is>
          <t>S</t>
        </is>
      </c>
      <c r="F2414" s="18" t="n"/>
      <c r="G2414" s="9" t="n">
        <v>4</v>
      </c>
      <c r="H2414" s="9" t="n">
        <v>4</v>
      </c>
      <c r="I2414" s="9" t="inlineStr">
        <is>
          <t>Depth (no MLB IP)</t>
        </is>
      </c>
      <c r="J2414" s="18" t="inlineStr">
        <is>
          <t>Opening Day</t>
        </is>
      </c>
      <c r="K2414" s="11">
        <f>IFERROR(INDEX(Roles!$B$17:$B$20,MATCH(J2414,Roles!$A$17:$A$20,0)),1)</f>
        <v/>
      </c>
      <c r="L2414" s="19" t="n">
        <v>1</v>
      </c>
      <c r="M2414" s="11" t="n">
        <v>1</v>
      </c>
      <c r="N2414" s="19" t="n"/>
      <c r="O2414" s="19" t="n"/>
      <c r="P2414" s="19" t="n"/>
      <c r="Q2414" s="19" t="n"/>
      <c r="R2414" s="19" t="n"/>
      <c r="S2414" s="19" t="n"/>
      <c r="T2414" s="19" t="n"/>
      <c r="U2414" s="19" t="n"/>
      <c r="V2414" s="19" t="n"/>
      <c r="W2414" s="19" t="n"/>
      <c r="X2414" s="19" t="n"/>
      <c r="Y2414" s="19" t="n">
        <v>1</v>
      </c>
      <c r="Z2414" s="13">
        <f>SUMPRODUCT(N2414:Y2414,$N$2:$Y$2)*$K2414*$L2414*$M2414</f>
        <v/>
      </c>
      <c r="AA2414" s="14">
        <f>SUM(N2414:Y2414)</f>
        <v/>
      </c>
      <c r="AB2414" s="13">
        <f>SUMPRODUCT(N2414:Y2414,$N$3:$Y$3)*$K2414*$L2414*$M2414</f>
        <v/>
      </c>
      <c r="AC2414" s="13">
        <f>SUMPRODUCT(N2414:Y2414,$N$4:$Y$4)*$K2414*$L2414*$M2414</f>
        <v/>
      </c>
      <c r="AD2414" s="15" t="n">
        <v>1.8</v>
      </c>
      <c r="AE2414" s="11" t="n">
        <v>1.007530864197531</v>
      </c>
      <c r="AF2414" s="16">
        <f>SUMPRODUCT(N2414:Y2414,$N$5:$Y$5)*$K2414*$L2414*$M2414</f>
        <v/>
      </c>
      <c r="AG2414" s="16">
        <f>SUMPRODUCT(N2414:Y2414,$N$6:$Y$6)*$K2414*$L2414*$M2414</f>
        <v/>
      </c>
      <c r="AH2414" s="20" t="n"/>
    </row>
    <row r="2415">
      <c r="A2415" s="9" t="n">
        <v>694677</v>
      </c>
      <c r="B2415" s="9" t="inlineStr">
        <is>
          <t>Collin Baumgartner</t>
        </is>
      </c>
      <c r="C2415" s="9" t="inlineStr">
        <is>
          <t>COL</t>
        </is>
      </c>
      <c r="D2415" s="9" t="n">
        <v>25</v>
      </c>
      <c r="E2415" s="18" t="inlineStr">
        <is>
          <t>R</t>
        </is>
      </c>
      <c r="F2415" s="18" t="n"/>
      <c r="G2415" s="9" t="n">
        <v>38.62833333333333</v>
      </c>
      <c r="H2415" s="9" t="n">
        <v>38.62833333333333</v>
      </c>
      <c r="I2415" s="9" t="inlineStr">
        <is>
          <t>Depth (no MLB IP)</t>
        </is>
      </c>
      <c r="J2415" s="18" t="inlineStr">
        <is>
          <t>Opening Day</t>
        </is>
      </c>
      <c r="K2415" s="11">
        <f>IFERROR(INDEX(Roles!$B$17:$B$20,MATCH(J2415,Roles!$A$17:$A$20,0)),1)</f>
        <v/>
      </c>
      <c r="L2415" s="19" t="n">
        <v>1</v>
      </c>
      <c r="M2415" s="11" t="n">
        <v>1</v>
      </c>
      <c r="N2415" s="19" t="n"/>
      <c r="O2415" s="19" t="n"/>
      <c r="P2415" s="19" t="n"/>
      <c r="Q2415" s="19" t="n"/>
      <c r="R2415" s="19" t="n"/>
      <c r="S2415" s="19" t="n"/>
      <c r="T2415" s="19" t="n"/>
      <c r="U2415" s="19" t="n"/>
      <c r="V2415" s="19" t="n"/>
      <c r="W2415" s="19" t="n"/>
      <c r="X2415" s="19" t="n"/>
      <c r="Y2415" s="19" t="n">
        <v>1</v>
      </c>
      <c r="Z2415" s="13">
        <f>SUMPRODUCT(N2415:Y2415,$N$2:$Y$2)*$K2415*$L2415*$M2415</f>
        <v/>
      </c>
      <c r="AA2415" s="14">
        <f>SUM(N2415:Y2415)</f>
        <v/>
      </c>
      <c r="AB2415" s="13">
        <f>SUMPRODUCT(N2415:Y2415,$N$3:$Y$3)*$K2415*$L2415*$M2415</f>
        <v/>
      </c>
      <c r="AC2415" s="13">
        <f>SUMPRODUCT(N2415:Y2415,$N$4:$Y$4)*$K2415*$L2415*$M2415</f>
        <v/>
      </c>
      <c r="AD2415" s="15" t="n">
        <v>3</v>
      </c>
      <c r="AE2415" s="11" t="n">
        <v>1.011296296296296</v>
      </c>
      <c r="AF2415" s="16">
        <f>SUMPRODUCT(N2415:Y2415,$N$5:$Y$5)*$K2415*$L2415*$M2415</f>
        <v/>
      </c>
      <c r="AG2415" s="16">
        <f>SUMPRODUCT(N2415:Y2415,$N$6:$Y$6)*$K2415*$L2415*$M2415</f>
        <v/>
      </c>
      <c r="AH2415" s="20" t="n"/>
    </row>
    <row r="2416">
      <c r="A2416" s="9" t="n">
        <v>808051</v>
      </c>
      <c r="B2416" s="9" t="inlineStr">
        <is>
          <t>Wilkin Paredes</t>
        </is>
      </c>
      <c r="C2416" s="9" t="inlineStr">
        <is>
          <t>ARI</t>
        </is>
      </c>
      <c r="D2416" s="9" t="n">
        <v>25</v>
      </c>
      <c r="E2416" s="18" t="inlineStr">
        <is>
          <t>L</t>
        </is>
      </c>
      <c r="F2416" s="18" t="n"/>
      <c r="G2416" s="9" t="n">
        <v>38.7</v>
      </c>
      <c r="H2416" s="9" t="n">
        <v>38.7</v>
      </c>
      <c r="I2416" s="9" t="inlineStr">
        <is>
          <t>Depth (no MLB IP)</t>
        </is>
      </c>
      <c r="J2416" s="18" t="inlineStr">
        <is>
          <t>Opening Day</t>
        </is>
      </c>
      <c r="K2416" s="11">
        <f>IFERROR(INDEX(Roles!$B$17:$B$20,MATCH(J2416,Roles!$A$17:$A$20,0)),1)</f>
        <v/>
      </c>
      <c r="L2416" s="19" t="n">
        <v>1</v>
      </c>
      <c r="M2416" s="11" t="n">
        <v>1</v>
      </c>
      <c r="N2416" s="19" t="n"/>
      <c r="O2416" s="19" t="n"/>
      <c r="P2416" s="19" t="n"/>
      <c r="Q2416" s="19" t="n"/>
      <c r="R2416" s="19" t="n"/>
      <c r="S2416" s="19" t="n"/>
      <c r="T2416" s="19" t="n"/>
      <c r="U2416" s="19" t="n"/>
      <c r="V2416" s="19" t="n"/>
      <c r="W2416" s="19" t="n"/>
      <c r="X2416" s="19" t="n"/>
      <c r="Y2416" s="19" t="n">
        <v>1</v>
      </c>
      <c r="Z2416" s="13">
        <f>SUMPRODUCT(N2416:Y2416,$N$2:$Y$2)*$K2416*$L2416*$M2416</f>
        <v/>
      </c>
      <c r="AA2416" s="14">
        <f>SUM(N2416:Y2416)</f>
        <v/>
      </c>
      <c r="AB2416" s="13">
        <f>SUMPRODUCT(N2416:Y2416,$N$3:$Y$3)*$K2416*$L2416*$M2416</f>
        <v/>
      </c>
      <c r="AC2416" s="13">
        <f>SUMPRODUCT(N2416:Y2416,$N$4:$Y$4)*$K2416*$L2416*$M2416</f>
        <v/>
      </c>
      <c r="AD2416" s="15" t="n">
        <v>3</v>
      </c>
      <c r="AE2416" s="11" t="n">
        <v>1.011296296296296</v>
      </c>
      <c r="AF2416" s="16">
        <f>SUMPRODUCT(N2416:Y2416,$N$5:$Y$5)*$K2416*$L2416*$M2416</f>
        <v/>
      </c>
      <c r="AG2416" s="16">
        <f>SUMPRODUCT(N2416:Y2416,$N$6:$Y$6)*$K2416*$L2416*$M2416</f>
        <v/>
      </c>
      <c r="AH2416" s="20" t="n"/>
    </row>
    <row r="2417">
      <c r="A2417" s="9" t="n">
        <v>681463</v>
      </c>
      <c r="B2417" s="9" t="inlineStr">
        <is>
          <t>Daniel Lloyd</t>
        </is>
      </c>
      <c r="C2417" s="9" t="inlineStr">
        <is>
          <t>BAL</t>
        </is>
      </c>
      <c r="D2417" s="9" t="n">
        <v>25</v>
      </c>
      <c r="E2417" s="18" t="inlineStr">
        <is>
          <t>R</t>
        </is>
      </c>
      <c r="F2417" s="18" t="n"/>
      <c r="G2417" s="9" t="n">
        <v>38.62833333333333</v>
      </c>
      <c r="H2417" s="9" t="n">
        <v>38.62833333333333</v>
      </c>
      <c r="I2417" s="9" t="inlineStr">
        <is>
          <t>Depth (no MLB IP)</t>
        </is>
      </c>
      <c r="J2417" s="18" t="inlineStr">
        <is>
          <t>Opening Day</t>
        </is>
      </c>
      <c r="K2417" s="11">
        <f>IFERROR(INDEX(Roles!$B$17:$B$20,MATCH(J2417,Roles!$A$17:$A$20,0)),1)</f>
        <v/>
      </c>
      <c r="L2417" s="19" t="n">
        <v>1</v>
      </c>
      <c r="M2417" s="11" t="n">
        <v>1</v>
      </c>
      <c r="N2417" s="19" t="n"/>
      <c r="O2417" s="19" t="n"/>
      <c r="P2417" s="19" t="n"/>
      <c r="Q2417" s="19" t="n"/>
      <c r="R2417" s="19" t="n"/>
      <c r="S2417" s="19" t="n"/>
      <c r="T2417" s="19" t="n"/>
      <c r="U2417" s="19" t="n"/>
      <c r="V2417" s="19" t="n"/>
      <c r="W2417" s="19" t="n"/>
      <c r="X2417" s="19" t="n"/>
      <c r="Y2417" s="19" t="n">
        <v>1</v>
      </c>
      <c r="Z2417" s="13">
        <f>SUMPRODUCT(N2417:Y2417,$N$2:$Y$2)*$K2417*$L2417*$M2417</f>
        <v/>
      </c>
      <c r="AA2417" s="14">
        <f>SUM(N2417:Y2417)</f>
        <v/>
      </c>
      <c r="AB2417" s="13">
        <f>SUMPRODUCT(N2417:Y2417,$N$3:$Y$3)*$K2417*$L2417*$M2417</f>
        <v/>
      </c>
      <c r="AC2417" s="13">
        <f>SUMPRODUCT(N2417:Y2417,$N$4:$Y$4)*$K2417*$L2417*$M2417</f>
        <v/>
      </c>
      <c r="AD2417" s="15" t="n">
        <v>3</v>
      </c>
      <c r="AE2417" s="11" t="n">
        <v>1.011296296296296</v>
      </c>
      <c r="AF2417" s="16">
        <f>SUMPRODUCT(N2417:Y2417,$N$5:$Y$5)*$K2417*$L2417*$M2417</f>
        <v/>
      </c>
      <c r="AG2417" s="16">
        <f>SUMPRODUCT(N2417:Y2417,$N$6:$Y$6)*$K2417*$L2417*$M2417</f>
        <v/>
      </c>
      <c r="AH2417" s="20" t="n"/>
    </row>
    <row r="2418">
      <c r="A2418" s="9" t="n">
        <v>804619</v>
      </c>
      <c r="B2418" s="9" t="inlineStr">
        <is>
          <t>John Klein</t>
        </is>
      </c>
      <c r="C2418" s="9" t="inlineStr">
        <is>
          <t>TOR</t>
        </is>
      </c>
      <c r="D2418" s="9" t="n">
        <v>25</v>
      </c>
      <c r="E2418" s="18" t="inlineStr">
        <is>
          <t>R</t>
        </is>
      </c>
      <c r="F2418" s="18" t="n"/>
      <c r="G2418" s="9" t="n">
        <v>35</v>
      </c>
      <c r="H2418" s="9" t="n">
        <v>35</v>
      </c>
      <c r="I2418" s="9" t="inlineStr">
        <is>
          <t>Bullpen Depth Arm</t>
        </is>
      </c>
      <c r="J2418" s="18" t="inlineStr">
        <is>
          <t>Opening Day</t>
        </is>
      </c>
      <c r="K2418" s="11">
        <f>IFERROR(INDEX(Roles!$B$17:$B$20,MATCH(J2418,Roles!$A$17:$A$20,0)),1)</f>
        <v/>
      </c>
      <c r="L2418" s="19" t="n">
        <v>1</v>
      </c>
      <c r="M2418" s="11" t="n">
        <v>1</v>
      </c>
      <c r="N2418" s="19" t="n"/>
      <c r="O2418" s="19" t="n"/>
      <c r="P2418" s="19" t="n"/>
      <c r="Q2418" s="19" t="n"/>
      <c r="R2418" s="19" t="n"/>
      <c r="S2418" s="19" t="n"/>
      <c r="T2418" s="19" t="n"/>
      <c r="U2418" s="19" t="n"/>
      <c r="V2418" s="19" t="n">
        <v>0.15</v>
      </c>
      <c r="W2418" s="19" t="n">
        <v>0.85</v>
      </c>
      <c r="X2418" s="19" t="n"/>
      <c r="Y2418" s="19" t="n"/>
      <c r="Z2418" s="13">
        <f>SUMPRODUCT(N2418:Y2418,$N$2:$Y$2)*$K2418*$L2418*$M2418</f>
        <v/>
      </c>
      <c r="AA2418" s="14">
        <f>SUM(N2418:Y2418)</f>
        <v/>
      </c>
      <c r="AB2418" s="13">
        <f>SUMPRODUCT(N2418:Y2418,$N$3:$Y$3)*$K2418*$L2418*$M2418</f>
        <v/>
      </c>
      <c r="AC2418" s="13">
        <f>SUMPRODUCT(N2418:Y2418,$N$4:$Y$4)*$K2418*$L2418*$M2418</f>
        <v/>
      </c>
      <c r="AD2418" s="15" t="n">
        <v>8.066666666666666</v>
      </c>
      <c r="AE2418" s="11" t="n">
        <v>1.495951579284912</v>
      </c>
      <c r="AF2418" s="16">
        <f>SUMPRODUCT(N2418:Y2418,$N$5:$Y$5)*$K2418*$L2418*$M2418</f>
        <v/>
      </c>
      <c r="AG2418" s="16">
        <f>SUMPRODUCT(N2418:Y2418,$N$6:$Y$6)*$K2418*$L2418*$M2418</f>
        <v/>
      </c>
      <c r="AH2418" s="20" t="n"/>
    </row>
    <row r="2419">
      <c r="A2419" s="9" t="n">
        <v>808313</v>
      </c>
      <c r="B2419" s="9" t="inlineStr">
        <is>
          <t>Jesus Tillero</t>
        </is>
      </c>
      <c r="C2419" s="9" t="inlineStr">
        <is>
          <t>LAD</t>
        </is>
      </c>
      <c r="D2419" s="9" t="n">
        <v>25</v>
      </c>
      <c r="E2419" s="18" t="inlineStr">
        <is>
          <t>R</t>
        </is>
      </c>
      <c r="F2419" s="18" t="n"/>
      <c r="G2419" s="9" t="n">
        <v>38.7</v>
      </c>
      <c r="H2419" s="9" t="n">
        <v>38.7</v>
      </c>
      <c r="I2419" s="9" t="inlineStr">
        <is>
          <t>Depth (no MLB IP)</t>
        </is>
      </c>
      <c r="J2419" s="18" t="inlineStr">
        <is>
          <t>Opening Day</t>
        </is>
      </c>
      <c r="K2419" s="11">
        <f>IFERROR(INDEX(Roles!$B$17:$B$20,MATCH(J2419,Roles!$A$17:$A$20,0)),1)</f>
        <v/>
      </c>
      <c r="L2419" s="19" t="n">
        <v>1</v>
      </c>
      <c r="M2419" s="11" t="n">
        <v>1</v>
      </c>
      <c r="N2419" s="19" t="n"/>
      <c r="O2419" s="19" t="n"/>
      <c r="P2419" s="19" t="n"/>
      <c r="Q2419" s="19" t="n"/>
      <c r="R2419" s="19" t="n"/>
      <c r="S2419" s="19" t="n"/>
      <c r="T2419" s="19" t="n"/>
      <c r="U2419" s="19" t="n"/>
      <c r="V2419" s="19" t="n"/>
      <c r="W2419" s="19" t="n"/>
      <c r="X2419" s="19" t="n"/>
      <c r="Y2419" s="19" t="n">
        <v>1</v>
      </c>
      <c r="Z2419" s="13">
        <f>SUMPRODUCT(N2419:Y2419,$N$2:$Y$2)*$K2419*$L2419*$M2419</f>
        <v/>
      </c>
      <c r="AA2419" s="14">
        <f>SUM(N2419:Y2419)</f>
        <v/>
      </c>
      <c r="AB2419" s="13">
        <f>SUMPRODUCT(N2419:Y2419,$N$3:$Y$3)*$K2419*$L2419*$M2419</f>
        <v/>
      </c>
      <c r="AC2419" s="13">
        <f>SUMPRODUCT(N2419:Y2419,$N$4:$Y$4)*$K2419*$L2419*$M2419</f>
        <v/>
      </c>
      <c r="AD2419" s="15" t="n">
        <v>3</v>
      </c>
      <c r="AE2419" s="11" t="n">
        <v>1.011296296296296</v>
      </c>
      <c r="AF2419" s="16">
        <f>SUMPRODUCT(N2419:Y2419,$N$5:$Y$5)*$K2419*$L2419*$M2419</f>
        <v/>
      </c>
      <c r="AG2419" s="16">
        <f>SUMPRODUCT(N2419:Y2419,$N$6:$Y$6)*$K2419*$L2419*$M2419</f>
        <v/>
      </c>
      <c r="AH2419" s="20" t="n"/>
    </row>
    <row r="2420">
      <c r="A2420" s="9" t="n">
        <v>695549</v>
      </c>
      <c r="B2420" s="9" t="inlineStr">
        <is>
          <t>Jackson Jobe</t>
        </is>
      </c>
      <c r="C2420" s="9" t="inlineStr">
        <is>
          <t>DET</t>
        </is>
      </c>
      <c r="D2420" s="9" t="n">
        <v>24</v>
      </c>
      <c r="E2420" s="18" t="inlineStr">
        <is>
          <t>R</t>
        </is>
      </c>
      <c r="F2420" s="18" t="n"/>
      <c r="G2420" s="9" t="n">
        <v>193</v>
      </c>
      <c r="H2420" s="9" t="n">
        <v>427</v>
      </c>
      <c r="I2420" s="9" t="inlineStr">
        <is>
          <t>End-of-Rotation Starter (SP4-5)</t>
        </is>
      </c>
      <c r="J2420" s="18" t="inlineStr">
        <is>
          <t>Opening Day</t>
        </is>
      </c>
      <c r="K2420" s="11">
        <f>IFERROR(INDEX(Roles!$B$17:$B$20,MATCH(J2420,Roles!$A$17:$A$20,0)),1)</f>
        <v/>
      </c>
      <c r="L2420" s="19" t="n">
        <v>1</v>
      </c>
      <c r="M2420" s="11" t="n">
        <v>1</v>
      </c>
      <c r="N2420" s="19" t="n"/>
      <c r="O2420" s="19" t="n"/>
      <c r="P2420" s="19" t="n">
        <v>0.5</v>
      </c>
      <c r="Q2420" s="19" t="n"/>
      <c r="R2420" s="19" t="n">
        <v>0.5</v>
      </c>
      <c r="S2420" s="19" t="n"/>
      <c r="T2420" s="19" t="n"/>
      <c r="U2420" s="19" t="n"/>
      <c r="V2420" s="19" t="n"/>
      <c r="W2420" s="19" t="n"/>
      <c r="X2420" s="19" t="n"/>
      <c r="Y2420" s="19" t="n"/>
      <c r="Z2420" s="13">
        <f>SUMPRODUCT(N2420:Y2420,$N$2:$Y$2)*$K2420*$L2420*$M2420</f>
        <v/>
      </c>
      <c r="AA2420" s="14">
        <f>SUM(N2420:Y2420)</f>
        <v/>
      </c>
      <c r="AB2420" s="13">
        <f>SUMPRODUCT(N2420:Y2420,$N$3:$Y$3)*$K2420*$L2420*$M2420</f>
        <v/>
      </c>
      <c r="AC2420" s="13">
        <f>SUMPRODUCT(N2420:Y2420,$N$4:$Y$4)*$K2420*$L2420*$M2420</f>
        <v/>
      </c>
      <c r="AD2420" s="15" t="n">
        <v>11.3</v>
      </c>
      <c r="AE2420" s="11" t="n">
        <v>4.669690098261527</v>
      </c>
      <c r="AF2420" s="16">
        <f>SUMPRODUCT(N2420:Y2420,$N$5:$Y$5)*$K2420*$L2420*$M2420</f>
        <v/>
      </c>
      <c r="AG2420" s="16">
        <f>SUMPRODUCT(N2420:Y2420,$N$6:$Y$6)*$K2420*$L2420*$M2420</f>
        <v/>
      </c>
      <c r="AH2420" s="20" t="n"/>
    </row>
    <row r="2421">
      <c r="A2421" s="9" t="n">
        <v>670059</v>
      </c>
      <c r="B2421" s="9" t="inlineStr">
        <is>
          <t>Colin Holderman</t>
        </is>
      </c>
      <c r="C2421" s="9" t="inlineStr">
        <is>
          <t>CLE</t>
        </is>
      </c>
      <c r="D2421" s="9" t="n">
        <v>31</v>
      </c>
      <c r="E2421" s="18" t="inlineStr">
        <is>
          <t>R</t>
        </is>
      </c>
      <c r="F2421" s="18" t="n"/>
      <c r="G2421" s="9" t="n">
        <v>222</v>
      </c>
      <c r="H2421" s="9" t="n">
        <v>928</v>
      </c>
      <c r="I2421" s="9" t="inlineStr">
        <is>
          <t>Bullpen Depth Arm</t>
        </is>
      </c>
      <c r="J2421" s="18" t="inlineStr">
        <is>
          <t>Opening Day</t>
        </is>
      </c>
      <c r="K2421" s="11">
        <f>IFERROR(INDEX(Roles!$B$17:$B$20,MATCH(J2421,Roles!$A$17:$A$20,0)),1)</f>
        <v/>
      </c>
      <c r="L2421" s="19" t="n">
        <v>1</v>
      </c>
      <c r="M2421" s="11" t="n">
        <v>1</v>
      </c>
      <c r="N2421" s="19" t="n"/>
      <c r="O2421" s="19" t="n"/>
      <c r="P2421" s="19" t="n"/>
      <c r="Q2421" s="19" t="n"/>
      <c r="R2421" s="19" t="n"/>
      <c r="S2421" s="19" t="n"/>
      <c r="T2421" s="19" t="n"/>
      <c r="U2421" s="19" t="n"/>
      <c r="V2421" s="19" t="n">
        <v>0.15</v>
      </c>
      <c r="W2421" s="19" t="n">
        <v>0.85</v>
      </c>
      <c r="X2421" s="19" t="n"/>
      <c r="Y2421" s="19" t="n"/>
      <c r="Z2421" s="13">
        <f>SUMPRODUCT(N2421:Y2421,$N$2:$Y$2)*$K2421*$L2421*$M2421</f>
        <v/>
      </c>
      <c r="AA2421" s="14">
        <f>SUM(N2421:Y2421)</f>
        <v/>
      </c>
      <c r="AB2421" s="13">
        <f>SUMPRODUCT(N2421:Y2421,$N$3:$Y$3)*$K2421*$L2421*$M2421</f>
        <v/>
      </c>
      <c r="AC2421" s="13">
        <f>SUMPRODUCT(N2421:Y2421,$N$4:$Y$4)*$K2421*$L2421*$M2421</f>
        <v/>
      </c>
      <c r="AD2421" s="15" t="n">
        <v>32.16666666666667</v>
      </c>
      <c r="AE2421" s="11" t="n">
        <v>1.129389734421181</v>
      </c>
      <c r="AF2421" s="16">
        <f>SUMPRODUCT(N2421:Y2421,$N$5:$Y$5)*$K2421*$L2421*$M2421</f>
        <v/>
      </c>
      <c r="AG2421" s="16">
        <f>SUMPRODUCT(N2421:Y2421,$N$6:$Y$6)*$K2421*$L2421*$M2421</f>
        <v/>
      </c>
      <c r="AH2421" s="20" t="n"/>
    </row>
    <row r="2422">
      <c r="A2422" s="9" t="n">
        <v>813901</v>
      </c>
      <c r="B2422" s="9" t="inlineStr">
        <is>
          <t>Titan Kennedy-Hayes</t>
        </is>
      </c>
      <c r="C2422" s="9" t="inlineStr">
        <is>
          <t>PHI</t>
        </is>
      </c>
      <c r="D2422" s="9" t="n">
        <v>25</v>
      </c>
      <c r="E2422" s="18" t="inlineStr">
        <is>
          <t>R</t>
        </is>
      </c>
      <c r="F2422" s="18" t="n"/>
      <c r="G2422" s="9" t="n">
        <v>38.98666666666667</v>
      </c>
      <c r="H2422" s="9" t="n">
        <v>38.98666666666667</v>
      </c>
      <c r="I2422" s="9" t="inlineStr">
        <is>
          <t>Depth (no MLB IP)</t>
        </is>
      </c>
      <c r="J2422" s="18" t="inlineStr">
        <is>
          <t>Opening Day</t>
        </is>
      </c>
      <c r="K2422" s="11">
        <f>IFERROR(INDEX(Roles!$B$17:$B$20,MATCH(J2422,Roles!$A$17:$A$20,0)),1)</f>
        <v/>
      </c>
      <c r="L2422" s="19" t="n">
        <v>1</v>
      </c>
      <c r="M2422" s="11" t="n">
        <v>1</v>
      </c>
      <c r="N2422" s="19" t="n"/>
      <c r="O2422" s="19" t="n"/>
      <c r="P2422" s="19" t="n"/>
      <c r="Q2422" s="19" t="n"/>
      <c r="R2422" s="19" t="n"/>
      <c r="S2422" s="19" t="n"/>
      <c r="T2422" s="19" t="n"/>
      <c r="U2422" s="19" t="n"/>
      <c r="V2422" s="19" t="n"/>
      <c r="W2422" s="19" t="n"/>
      <c r="X2422" s="19" t="n"/>
      <c r="Y2422" s="19" t="n">
        <v>1</v>
      </c>
      <c r="Z2422" s="13">
        <f>SUMPRODUCT(N2422:Y2422,$N$2:$Y$2)*$K2422*$L2422*$M2422</f>
        <v/>
      </c>
      <c r="AA2422" s="14">
        <f>SUM(N2422:Y2422)</f>
        <v/>
      </c>
      <c r="AB2422" s="13">
        <f>SUMPRODUCT(N2422:Y2422,$N$3:$Y$3)*$K2422*$L2422*$M2422</f>
        <v/>
      </c>
      <c r="AC2422" s="13">
        <f>SUMPRODUCT(N2422:Y2422,$N$4:$Y$4)*$K2422*$L2422*$M2422</f>
        <v/>
      </c>
      <c r="AD2422" s="15" t="n">
        <v>3</v>
      </c>
      <c r="AE2422" s="11" t="n">
        <v>1.011296296296296</v>
      </c>
      <c r="AF2422" s="16">
        <f>SUMPRODUCT(N2422:Y2422,$N$5:$Y$5)*$K2422*$L2422*$M2422</f>
        <v/>
      </c>
      <c r="AG2422" s="16">
        <f>SUMPRODUCT(N2422:Y2422,$N$6:$Y$6)*$K2422*$L2422*$M2422</f>
        <v/>
      </c>
      <c r="AH2422" s="20" t="n"/>
    </row>
    <row r="2423">
      <c r="A2423" s="9" t="n">
        <v>828749</v>
      </c>
      <c r="B2423" s="9" t="inlineStr">
        <is>
          <t>Jack Eshleman</t>
        </is>
      </c>
      <c r="C2423" s="9" t="inlineStr">
        <is>
          <t>TOR</t>
        </is>
      </c>
      <c r="D2423" s="9" t="n">
        <v>25</v>
      </c>
      <c r="E2423" s="18" t="inlineStr">
        <is>
          <t>R</t>
        </is>
      </c>
      <c r="F2423" s="18" t="n"/>
      <c r="G2423" s="9" t="n">
        <v>38.98666666666667</v>
      </c>
      <c r="H2423" s="9" t="n">
        <v>38.98666666666667</v>
      </c>
      <c r="I2423" s="9" t="inlineStr">
        <is>
          <t>Depth (no MLB IP)</t>
        </is>
      </c>
      <c r="J2423" s="18" t="inlineStr">
        <is>
          <t>Opening Day</t>
        </is>
      </c>
      <c r="K2423" s="11">
        <f>IFERROR(INDEX(Roles!$B$17:$B$20,MATCH(J2423,Roles!$A$17:$A$20,0)),1)</f>
        <v/>
      </c>
      <c r="L2423" s="19" t="n">
        <v>1</v>
      </c>
      <c r="M2423" s="11" t="n">
        <v>1</v>
      </c>
      <c r="N2423" s="19" t="n"/>
      <c r="O2423" s="19" t="n"/>
      <c r="P2423" s="19" t="n"/>
      <c r="Q2423" s="19" t="n"/>
      <c r="R2423" s="19" t="n"/>
      <c r="S2423" s="19" t="n"/>
      <c r="T2423" s="19" t="n"/>
      <c r="U2423" s="19" t="n"/>
      <c r="V2423" s="19" t="n"/>
      <c r="W2423" s="19" t="n"/>
      <c r="X2423" s="19" t="n"/>
      <c r="Y2423" s="19" t="n">
        <v>1</v>
      </c>
      <c r="Z2423" s="13">
        <f>SUMPRODUCT(N2423:Y2423,$N$2:$Y$2)*$K2423*$L2423*$M2423</f>
        <v/>
      </c>
      <c r="AA2423" s="14">
        <f>SUM(N2423:Y2423)</f>
        <v/>
      </c>
      <c r="AB2423" s="13">
        <f>SUMPRODUCT(N2423:Y2423,$N$3:$Y$3)*$K2423*$L2423*$M2423</f>
        <v/>
      </c>
      <c r="AC2423" s="13">
        <f>SUMPRODUCT(N2423:Y2423,$N$4:$Y$4)*$K2423*$L2423*$M2423</f>
        <v/>
      </c>
      <c r="AD2423" s="15" t="n">
        <v>3</v>
      </c>
      <c r="AE2423" s="11" t="n">
        <v>1.011296296296296</v>
      </c>
      <c r="AF2423" s="16">
        <f>SUMPRODUCT(N2423:Y2423,$N$5:$Y$5)*$K2423*$L2423*$M2423</f>
        <v/>
      </c>
      <c r="AG2423" s="16">
        <f>SUMPRODUCT(N2423:Y2423,$N$6:$Y$6)*$K2423*$L2423*$M2423</f>
        <v/>
      </c>
      <c r="AH2423" s="20" t="n"/>
    </row>
    <row r="2424">
      <c r="A2424" s="9" t="n">
        <v>833386</v>
      </c>
      <c r="B2424" s="9" t="inlineStr">
        <is>
          <t>Mason Estrada</t>
        </is>
      </c>
      <c r="C2424" s="9" t="inlineStr">
        <is>
          <t>LAD</t>
        </is>
      </c>
      <c r="D2424" s="9" t="n">
        <v>25</v>
      </c>
      <c r="E2424" s="18" t="inlineStr">
        <is>
          <t>R</t>
        </is>
      </c>
      <c r="F2424" s="18" t="n"/>
      <c r="G2424" s="9" t="n">
        <v>39.044</v>
      </c>
      <c r="H2424" s="9" t="n">
        <v>39.044</v>
      </c>
      <c r="I2424" s="9" t="inlineStr">
        <is>
          <t>Depth (no MLB IP)</t>
        </is>
      </c>
      <c r="J2424" s="18" t="inlineStr">
        <is>
          <t>Opening Day</t>
        </is>
      </c>
      <c r="K2424" s="11">
        <f>IFERROR(INDEX(Roles!$B$17:$B$20,MATCH(J2424,Roles!$A$17:$A$20,0)),1)</f>
        <v/>
      </c>
      <c r="L2424" s="19" t="n">
        <v>1</v>
      </c>
      <c r="M2424" s="11" t="n">
        <v>1</v>
      </c>
      <c r="N2424" s="19" t="n"/>
      <c r="O2424" s="19" t="n"/>
      <c r="P2424" s="19" t="n"/>
      <c r="Q2424" s="19" t="n"/>
      <c r="R2424" s="19" t="n"/>
      <c r="S2424" s="19" t="n"/>
      <c r="T2424" s="19" t="n"/>
      <c r="U2424" s="19" t="n"/>
      <c r="V2424" s="19" t="n"/>
      <c r="W2424" s="19" t="n"/>
      <c r="X2424" s="19" t="n"/>
      <c r="Y2424" s="19" t="n">
        <v>1</v>
      </c>
      <c r="Z2424" s="13">
        <f>SUMPRODUCT(N2424:Y2424,$N$2:$Y$2)*$K2424*$L2424*$M2424</f>
        <v/>
      </c>
      <c r="AA2424" s="14">
        <f>SUM(N2424:Y2424)</f>
        <v/>
      </c>
      <c r="AB2424" s="13">
        <f>SUMPRODUCT(N2424:Y2424,$N$3:$Y$3)*$K2424*$L2424*$M2424</f>
        <v/>
      </c>
      <c r="AC2424" s="13">
        <f>SUMPRODUCT(N2424:Y2424,$N$4:$Y$4)*$K2424*$L2424*$M2424</f>
        <v/>
      </c>
      <c r="AD2424" s="15" t="n">
        <v>3</v>
      </c>
      <c r="AE2424" s="11" t="n">
        <v>1.011296296296296</v>
      </c>
      <c r="AF2424" s="16">
        <f>SUMPRODUCT(N2424:Y2424,$N$5:$Y$5)*$K2424*$L2424*$M2424</f>
        <v/>
      </c>
      <c r="AG2424" s="16">
        <f>SUMPRODUCT(N2424:Y2424,$N$6:$Y$6)*$K2424*$L2424*$M2424</f>
        <v/>
      </c>
      <c r="AH2424" s="20" t="n"/>
    </row>
    <row r="2425">
      <c r="A2425" s="9" t="n">
        <v>702671</v>
      </c>
      <c r="B2425" s="9" t="inlineStr">
        <is>
          <t>Alton Davis II</t>
        </is>
      </c>
      <c r="C2425" s="9" t="inlineStr">
        <is>
          <t>LAA</t>
        </is>
      </c>
      <c r="D2425" s="9" t="n">
        <v>25</v>
      </c>
      <c r="E2425" s="18" t="inlineStr">
        <is>
          <t>L</t>
        </is>
      </c>
      <c r="F2425" s="18" t="n"/>
      <c r="G2425" s="9" t="n">
        <v>39.216</v>
      </c>
      <c r="H2425" s="9" t="n">
        <v>39.216</v>
      </c>
      <c r="I2425" s="9" t="inlineStr">
        <is>
          <t>Depth (no MLB IP)</t>
        </is>
      </c>
      <c r="J2425" s="18" t="inlineStr">
        <is>
          <t>Opening Day</t>
        </is>
      </c>
      <c r="K2425" s="11">
        <f>IFERROR(INDEX(Roles!$B$17:$B$20,MATCH(J2425,Roles!$A$17:$A$20,0)),1)</f>
        <v/>
      </c>
      <c r="L2425" s="19" t="n">
        <v>1</v>
      </c>
      <c r="M2425" s="11" t="n">
        <v>1</v>
      </c>
      <c r="N2425" s="19" t="n"/>
      <c r="O2425" s="19" t="n"/>
      <c r="P2425" s="19" t="n"/>
      <c r="Q2425" s="19" t="n"/>
      <c r="R2425" s="19" t="n"/>
      <c r="S2425" s="19" t="n"/>
      <c r="T2425" s="19" t="n"/>
      <c r="U2425" s="19" t="n"/>
      <c r="V2425" s="19" t="n"/>
      <c r="W2425" s="19" t="n"/>
      <c r="X2425" s="19" t="n"/>
      <c r="Y2425" s="19" t="n">
        <v>1</v>
      </c>
      <c r="Z2425" s="13">
        <f>SUMPRODUCT(N2425:Y2425,$N$2:$Y$2)*$K2425*$L2425*$M2425</f>
        <v/>
      </c>
      <c r="AA2425" s="14">
        <f>SUM(N2425:Y2425)</f>
        <v/>
      </c>
      <c r="AB2425" s="13">
        <f>SUMPRODUCT(N2425:Y2425,$N$3:$Y$3)*$K2425*$L2425*$M2425</f>
        <v/>
      </c>
      <c r="AC2425" s="13">
        <f>SUMPRODUCT(N2425:Y2425,$N$4:$Y$4)*$K2425*$L2425*$M2425</f>
        <v/>
      </c>
      <c r="AD2425" s="15" t="n">
        <v>3</v>
      </c>
      <c r="AE2425" s="11" t="n">
        <v>1.011296296296296</v>
      </c>
      <c r="AF2425" s="16">
        <f>SUMPRODUCT(N2425:Y2425,$N$5:$Y$5)*$K2425*$L2425*$M2425</f>
        <v/>
      </c>
      <c r="AG2425" s="16">
        <f>SUMPRODUCT(N2425:Y2425,$N$6:$Y$6)*$K2425*$L2425*$M2425</f>
        <v/>
      </c>
      <c r="AH2425" s="20" t="n"/>
    </row>
    <row r="2426">
      <c r="A2426" s="9" t="n">
        <v>802000</v>
      </c>
      <c r="B2426" s="9" t="inlineStr">
        <is>
          <t>Tyler Switalski</t>
        </is>
      </c>
      <c r="C2426" s="9" t="inlineStr">
        <is>
          <t>SF</t>
        </is>
      </c>
      <c r="D2426" s="9" t="n">
        <v>25</v>
      </c>
      <c r="E2426" s="18" t="inlineStr">
        <is>
          <t>L</t>
        </is>
      </c>
      <c r="F2426" s="18" t="n"/>
      <c r="G2426" s="9" t="n">
        <v>39.13</v>
      </c>
      <c r="H2426" s="9" t="n">
        <v>39.13</v>
      </c>
      <c r="I2426" s="9" t="inlineStr">
        <is>
          <t>Depth (no MLB IP)</t>
        </is>
      </c>
      <c r="J2426" s="18" t="inlineStr">
        <is>
          <t>Opening Day</t>
        </is>
      </c>
      <c r="K2426" s="11">
        <f>IFERROR(INDEX(Roles!$B$17:$B$20,MATCH(J2426,Roles!$A$17:$A$20,0)),1)</f>
        <v/>
      </c>
      <c r="L2426" s="19" t="n">
        <v>1</v>
      </c>
      <c r="M2426" s="11" t="n">
        <v>1</v>
      </c>
      <c r="N2426" s="19" t="n"/>
      <c r="O2426" s="19" t="n"/>
      <c r="P2426" s="19" t="n"/>
      <c r="Q2426" s="19" t="n"/>
      <c r="R2426" s="19" t="n"/>
      <c r="S2426" s="19" t="n"/>
      <c r="T2426" s="19" t="n"/>
      <c r="U2426" s="19" t="n"/>
      <c r="V2426" s="19" t="n"/>
      <c r="W2426" s="19" t="n"/>
      <c r="X2426" s="19" t="n"/>
      <c r="Y2426" s="19" t="n">
        <v>1</v>
      </c>
      <c r="Z2426" s="13">
        <f>SUMPRODUCT(N2426:Y2426,$N$2:$Y$2)*$K2426*$L2426*$M2426</f>
        <v/>
      </c>
      <c r="AA2426" s="14">
        <f>SUM(N2426:Y2426)</f>
        <v/>
      </c>
      <c r="AB2426" s="13">
        <f>SUMPRODUCT(N2426:Y2426,$N$3:$Y$3)*$K2426*$L2426*$M2426</f>
        <v/>
      </c>
      <c r="AC2426" s="13">
        <f>SUMPRODUCT(N2426:Y2426,$N$4:$Y$4)*$K2426*$L2426*$M2426</f>
        <v/>
      </c>
      <c r="AD2426" s="15" t="n">
        <v>3</v>
      </c>
      <c r="AE2426" s="11" t="n">
        <v>1.011296296296296</v>
      </c>
      <c r="AF2426" s="16">
        <f>SUMPRODUCT(N2426:Y2426,$N$5:$Y$5)*$K2426*$L2426*$M2426</f>
        <v/>
      </c>
      <c r="AG2426" s="16">
        <f>SUMPRODUCT(N2426:Y2426,$N$6:$Y$6)*$K2426*$L2426*$M2426</f>
        <v/>
      </c>
      <c r="AH2426" s="20" t="n"/>
    </row>
    <row r="2427">
      <c r="A2427" s="9" t="n">
        <v>805124</v>
      </c>
      <c r="B2427" s="9" t="inlineStr">
        <is>
          <t>Donovan Zsak</t>
        </is>
      </c>
      <c r="C2427" s="9" t="inlineStr">
        <is>
          <t>CLE</t>
        </is>
      </c>
      <c r="D2427" s="9" t="n">
        <v>25</v>
      </c>
      <c r="E2427" s="18" t="inlineStr">
        <is>
          <t>L</t>
        </is>
      </c>
      <c r="F2427" s="18" t="n"/>
      <c r="G2427" s="9" t="n">
        <v>39.27333333333333</v>
      </c>
      <c r="H2427" s="9" t="n">
        <v>39.27333333333333</v>
      </c>
      <c r="I2427" s="9" t="inlineStr">
        <is>
          <t>Depth (no MLB IP)</t>
        </is>
      </c>
      <c r="J2427" s="18" t="inlineStr">
        <is>
          <t>Opening Day</t>
        </is>
      </c>
      <c r="K2427" s="11">
        <f>IFERROR(INDEX(Roles!$B$17:$B$20,MATCH(J2427,Roles!$A$17:$A$20,0)),1)</f>
        <v/>
      </c>
      <c r="L2427" s="19" t="n">
        <v>1</v>
      </c>
      <c r="M2427" s="11" t="n">
        <v>1</v>
      </c>
      <c r="N2427" s="19" t="n"/>
      <c r="O2427" s="19" t="n"/>
      <c r="P2427" s="19" t="n"/>
      <c r="Q2427" s="19" t="n"/>
      <c r="R2427" s="19" t="n"/>
      <c r="S2427" s="19" t="n"/>
      <c r="T2427" s="19" t="n"/>
      <c r="U2427" s="19" t="n"/>
      <c r="V2427" s="19" t="n"/>
      <c r="W2427" s="19" t="n"/>
      <c r="X2427" s="19" t="n"/>
      <c r="Y2427" s="19" t="n">
        <v>1</v>
      </c>
      <c r="Z2427" s="13">
        <f>SUMPRODUCT(N2427:Y2427,$N$2:$Y$2)*$K2427*$L2427*$M2427</f>
        <v/>
      </c>
      <c r="AA2427" s="14">
        <f>SUM(N2427:Y2427)</f>
        <v/>
      </c>
      <c r="AB2427" s="13">
        <f>SUMPRODUCT(N2427:Y2427,$N$3:$Y$3)*$K2427*$L2427*$M2427</f>
        <v/>
      </c>
      <c r="AC2427" s="13">
        <f>SUMPRODUCT(N2427:Y2427,$N$4:$Y$4)*$K2427*$L2427*$M2427</f>
        <v/>
      </c>
      <c r="AD2427" s="15" t="n">
        <v>3</v>
      </c>
      <c r="AE2427" s="11" t="n">
        <v>1.011296296296296</v>
      </c>
      <c r="AF2427" s="16">
        <f>SUMPRODUCT(N2427:Y2427,$N$5:$Y$5)*$K2427*$L2427*$M2427</f>
        <v/>
      </c>
      <c r="AG2427" s="16">
        <f>SUMPRODUCT(N2427:Y2427,$N$6:$Y$6)*$K2427*$L2427*$M2427</f>
        <v/>
      </c>
      <c r="AH2427" s="20" t="n"/>
    </row>
    <row r="2428">
      <c r="A2428" s="9" t="n">
        <v>695740</v>
      </c>
      <c r="B2428" s="9" t="inlineStr">
        <is>
          <t>Jimmy Romano</t>
        </is>
      </c>
      <c r="C2428" s="9" t="inlineStr">
        <is>
          <t>CIN</t>
        </is>
      </c>
      <c r="D2428" s="9" t="n">
        <v>25</v>
      </c>
      <c r="E2428" s="18" t="inlineStr">
        <is>
          <t>R</t>
        </is>
      </c>
      <c r="F2428" s="18" t="n"/>
      <c r="G2428" s="9" t="n">
        <v>39.27333333333333</v>
      </c>
      <c r="H2428" s="9" t="n">
        <v>39.27333333333333</v>
      </c>
      <c r="I2428" s="9" t="inlineStr">
        <is>
          <t>Depth (no MLB IP)</t>
        </is>
      </c>
      <c r="J2428" s="18" t="inlineStr">
        <is>
          <t>Opening Day</t>
        </is>
      </c>
      <c r="K2428" s="11">
        <f>IFERROR(INDEX(Roles!$B$17:$B$20,MATCH(J2428,Roles!$A$17:$A$20,0)),1)</f>
        <v/>
      </c>
      <c r="L2428" s="19" t="n">
        <v>1</v>
      </c>
      <c r="M2428" s="11" t="n">
        <v>1</v>
      </c>
      <c r="N2428" s="19" t="n"/>
      <c r="O2428" s="19" t="n"/>
      <c r="P2428" s="19" t="n"/>
      <c r="Q2428" s="19" t="n"/>
      <c r="R2428" s="19" t="n"/>
      <c r="S2428" s="19" t="n"/>
      <c r="T2428" s="19" t="n"/>
      <c r="U2428" s="19" t="n"/>
      <c r="V2428" s="19" t="n"/>
      <c r="W2428" s="19" t="n"/>
      <c r="X2428" s="19" t="n"/>
      <c r="Y2428" s="19" t="n">
        <v>1</v>
      </c>
      <c r="Z2428" s="13">
        <f>SUMPRODUCT(N2428:Y2428,$N$2:$Y$2)*$K2428*$L2428*$M2428</f>
        <v/>
      </c>
      <c r="AA2428" s="14">
        <f>SUM(N2428:Y2428)</f>
        <v/>
      </c>
      <c r="AB2428" s="13">
        <f>SUMPRODUCT(N2428:Y2428,$N$3:$Y$3)*$K2428*$L2428*$M2428</f>
        <v/>
      </c>
      <c r="AC2428" s="13">
        <f>SUMPRODUCT(N2428:Y2428,$N$4:$Y$4)*$K2428*$L2428*$M2428</f>
        <v/>
      </c>
      <c r="AD2428" s="15" t="n">
        <v>3</v>
      </c>
      <c r="AE2428" s="11" t="n">
        <v>1.011296296296296</v>
      </c>
      <c r="AF2428" s="16">
        <f>SUMPRODUCT(N2428:Y2428,$N$5:$Y$5)*$K2428*$L2428*$M2428</f>
        <v/>
      </c>
      <c r="AG2428" s="16">
        <f>SUMPRODUCT(N2428:Y2428,$N$6:$Y$6)*$K2428*$L2428*$M2428</f>
        <v/>
      </c>
      <c r="AH2428" s="20" t="n"/>
    </row>
    <row r="2429">
      <c r="A2429" s="9" t="n">
        <v>682260</v>
      </c>
      <c r="B2429" s="9" t="inlineStr">
        <is>
          <t>Brian Metoyer</t>
        </is>
      </c>
      <c r="C2429" s="9" t="inlineStr">
        <is>
          <t>NYM</t>
        </is>
      </c>
      <c r="D2429" s="9" t="n">
        <v>25</v>
      </c>
      <c r="E2429" s="18" t="inlineStr">
        <is>
          <t>R</t>
        </is>
      </c>
      <c r="F2429" s="18" t="n"/>
      <c r="G2429" s="9" t="n">
        <v>39.41666666666667</v>
      </c>
      <c r="H2429" s="9" t="n">
        <v>39.41666666666667</v>
      </c>
      <c r="I2429" s="9" t="inlineStr">
        <is>
          <t>Depth (no MLB IP)</t>
        </is>
      </c>
      <c r="J2429" s="18" t="inlineStr">
        <is>
          <t>Opening Day</t>
        </is>
      </c>
      <c r="K2429" s="11">
        <f>IFERROR(INDEX(Roles!$B$17:$B$20,MATCH(J2429,Roles!$A$17:$A$20,0)),1)</f>
        <v/>
      </c>
      <c r="L2429" s="19" t="n">
        <v>1</v>
      </c>
      <c r="M2429" s="11" t="n">
        <v>1</v>
      </c>
      <c r="N2429" s="19" t="n"/>
      <c r="O2429" s="19" t="n"/>
      <c r="P2429" s="19" t="n"/>
      <c r="Q2429" s="19" t="n"/>
      <c r="R2429" s="19" t="n"/>
      <c r="S2429" s="19" t="n"/>
      <c r="T2429" s="19" t="n"/>
      <c r="U2429" s="19" t="n"/>
      <c r="V2429" s="19" t="n"/>
      <c r="W2429" s="19" t="n"/>
      <c r="X2429" s="19" t="n"/>
      <c r="Y2429" s="19" t="n">
        <v>1</v>
      </c>
      <c r="Z2429" s="13">
        <f>SUMPRODUCT(N2429:Y2429,$N$2:$Y$2)*$K2429*$L2429*$M2429</f>
        <v/>
      </c>
      <c r="AA2429" s="14">
        <f>SUM(N2429:Y2429)</f>
        <v/>
      </c>
      <c r="AB2429" s="13">
        <f>SUMPRODUCT(N2429:Y2429,$N$3:$Y$3)*$K2429*$L2429*$M2429</f>
        <v/>
      </c>
      <c r="AC2429" s="13">
        <f>SUMPRODUCT(N2429:Y2429,$N$4:$Y$4)*$K2429*$L2429*$M2429</f>
        <v/>
      </c>
      <c r="AD2429" s="15" t="n">
        <v>3</v>
      </c>
      <c r="AE2429" s="11" t="n">
        <v>1.011296296296296</v>
      </c>
      <c r="AF2429" s="16">
        <f>SUMPRODUCT(N2429:Y2429,$N$5:$Y$5)*$K2429*$L2429*$M2429</f>
        <v/>
      </c>
      <c r="AG2429" s="16">
        <f>SUMPRODUCT(N2429:Y2429,$N$6:$Y$6)*$K2429*$L2429*$M2429</f>
        <v/>
      </c>
      <c r="AH2429" s="20" t="n"/>
    </row>
    <row r="2430">
      <c r="A2430" s="9" t="n">
        <v>686769</v>
      </c>
      <c r="B2430" s="9" t="inlineStr">
        <is>
          <t>Dane Acker</t>
        </is>
      </c>
      <c r="C2430" s="9" t="inlineStr">
        <is>
          <t>TEX</t>
        </is>
      </c>
      <c r="D2430" s="9" t="n">
        <v>25</v>
      </c>
      <c r="E2430" s="18" t="inlineStr">
        <is>
          <t>R</t>
        </is>
      </c>
      <c r="F2430" s="18" t="n"/>
      <c r="G2430" s="9" t="n">
        <v>39.41666666666667</v>
      </c>
      <c r="H2430" s="9" t="n">
        <v>39.41666666666667</v>
      </c>
      <c r="I2430" s="9" t="inlineStr">
        <is>
          <t>Depth (no MLB IP)</t>
        </is>
      </c>
      <c r="J2430" s="18" t="inlineStr">
        <is>
          <t>Opening Day</t>
        </is>
      </c>
      <c r="K2430" s="11">
        <f>IFERROR(INDEX(Roles!$B$17:$B$20,MATCH(J2430,Roles!$A$17:$A$20,0)),1)</f>
        <v/>
      </c>
      <c r="L2430" s="19" t="n">
        <v>1</v>
      </c>
      <c r="M2430" s="11" t="n">
        <v>1</v>
      </c>
      <c r="N2430" s="19" t="n"/>
      <c r="O2430" s="19" t="n"/>
      <c r="P2430" s="19" t="n"/>
      <c r="Q2430" s="19" t="n"/>
      <c r="R2430" s="19" t="n"/>
      <c r="S2430" s="19" t="n"/>
      <c r="T2430" s="19" t="n"/>
      <c r="U2430" s="19" t="n"/>
      <c r="V2430" s="19" t="n"/>
      <c r="W2430" s="19" t="n"/>
      <c r="X2430" s="19" t="n"/>
      <c r="Y2430" s="19" t="n">
        <v>1</v>
      </c>
      <c r="Z2430" s="13">
        <f>SUMPRODUCT(N2430:Y2430,$N$2:$Y$2)*$K2430*$L2430*$M2430</f>
        <v/>
      </c>
      <c r="AA2430" s="14">
        <f>SUM(N2430:Y2430)</f>
        <v/>
      </c>
      <c r="AB2430" s="13">
        <f>SUMPRODUCT(N2430:Y2430,$N$3:$Y$3)*$K2430*$L2430*$M2430</f>
        <v/>
      </c>
      <c r="AC2430" s="13">
        <f>SUMPRODUCT(N2430:Y2430,$N$4:$Y$4)*$K2430*$L2430*$M2430</f>
        <v/>
      </c>
      <c r="AD2430" s="15" t="n">
        <v>3</v>
      </c>
      <c r="AE2430" s="11" t="n">
        <v>1.011296296296296</v>
      </c>
      <c r="AF2430" s="16">
        <f>SUMPRODUCT(N2430:Y2430,$N$5:$Y$5)*$K2430*$L2430*$M2430</f>
        <v/>
      </c>
      <c r="AG2430" s="16">
        <f>SUMPRODUCT(N2430:Y2430,$N$6:$Y$6)*$K2430*$L2430*$M2430</f>
        <v/>
      </c>
      <c r="AH2430" s="20" t="n"/>
    </row>
    <row r="2431">
      <c r="A2431" s="9" t="n">
        <v>701411</v>
      </c>
      <c r="B2431" s="9" t="inlineStr">
        <is>
          <t>Jack Cebert</t>
        </is>
      </c>
      <c r="C2431" s="9" t="inlineStr">
        <is>
          <t>WSH</t>
        </is>
      </c>
      <c r="D2431" s="9" t="n">
        <v>25</v>
      </c>
      <c r="E2431" s="18" t="inlineStr">
        <is>
          <t>R</t>
        </is>
      </c>
      <c r="F2431" s="18" t="n"/>
      <c r="G2431" s="9" t="n">
        <v>39.41666666666667</v>
      </c>
      <c r="H2431" s="9" t="n">
        <v>39.41666666666667</v>
      </c>
      <c r="I2431" s="9" t="inlineStr">
        <is>
          <t>Depth (no MLB IP)</t>
        </is>
      </c>
      <c r="J2431" s="18" t="inlineStr">
        <is>
          <t>Opening Day</t>
        </is>
      </c>
      <c r="K2431" s="11">
        <f>IFERROR(INDEX(Roles!$B$17:$B$20,MATCH(J2431,Roles!$A$17:$A$20,0)),1)</f>
        <v/>
      </c>
      <c r="L2431" s="19" t="n">
        <v>1</v>
      </c>
      <c r="M2431" s="11" t="n">
        <v>1</v>
      </c>
      <c r="N2431" s="19" t="n"/>
      <c r="O2431" s="19" t="n"/>
      <c r="P2431" s="19" t="n"/>
      <c r="Q2431" s="19" t="n"/>
      <c r="R2431" s="19" t="n"/>
      <c r="S2431" s="19" t="n"/>
      <c r="T2431" s="19" t="n"/>
      <c r="U2431" s="19" t="n"/>
      <c r="V2431" s="19" t="n"/>
      <c r="W2431" s="19" t="n"/>
      <c r="X2431" s="19" t="n"/>
      <c r="Y2431" s="19" t="n">
        <v>1</v>
      </c>
      <c r="Z2431" s="13">
        <f>SUMPRODUCT(N2431:Y2431,$N$2:$Y$2)*$K2431*$L2431*$M2431</f>
        <v/>
      </c>
      <c r="AA2431" s="14">
        <f>SUM(N2431:Y2431)</f>
        <v/>
      </c>
      <c r="AB2431" s="13">
        <f>SUMPRODUCT(N2431:Y2431,$N$3:$Y$3)*$K2431*$L2431*$M2431</f>
        <v/>
      </c>
      <c r="AC2431" s="13">
        <f>SUMPRODUCT(N2431:Y2431,$N$4:$Y$4)*$K2431*$L2431*$M2431</f>
        <v/>
      </c>
      <c r="AD2431" s="15" t="n">
        <v>3</v>
      </c>
      <c r="AE2431" s="11" t="n">
        <v>1.011296296296296</v>
      </c>
      <c r="AF2431" s="16">
        <f>SUMPRODUCT(N2431:Y2431,$N$5:$Y$5)*$K2431*$L2431*$M2431</f>
        <v/>
      </c>
      <c r="AG2431" s="16">
        <f>SUMPRODUCT(N2431:Y2431,$N$6:$Y$6)*$K2431*$L2431*$M2431</f>
        <v/>
      </c>
      <c r="AH2431" s="20" t="n"/>
    </row>
    <row r="2432">
      <c r="A2432" s="9" t="n">
        <v>685719</v>
      </c>
      <c r="B2432" s="9" t="inlineStr">
        <is>
          <t>Fernando Sanchez</t>
        </is>
      </c>
      <c r="C2432" s="9" t="inlineStr">
        <is>
          <t>SD</t>
        </is>
      </c>
      <c r="D2432" s="9" t="n">
        <v>25</v>
      </c>
      <c r="E2432" s="18" t="inlineStr">
        <is>
          <t>L</t>
        </is>
      </c>
      <c r="F2432" s="18" t="n"/>
      <c r="G2432" s="9" t="n">
        <v>39.41666666666667</v>
      </c>
      <c r="H2432" s="9" t="n">
        <v>39.41666666666667</v>
      </c>
      <c r="I2432" s="9" t="inlineStr">
        <is>
          <t>Depth (no MLB IP)</t>
        </is>
      </c>
      <c r="J2432" s="18" t="inlineStr">
        <is>
          <t>Opening Day</t>
        </is>
      </c>
      <c r="K2432" s="11">
        <f>IFERROR(INDEX(Roles!$B$17:$B$20,MATCH(J2432,Roles!$A$17:$A$20,0)),1)</f>
        <v/>
      </c>
      <c r="L2432" s="19" t="n">
        <v>1</v>
      </c>
      <c r="M2432" s="11" t="n">
        <v>1</v>
      </c>
      <c r="N2432" s="19" t="n"/>
      <c r="O2432" s="19" t="n"/>
      <c r="P2432" s="19" t="n"/>
      <c r="Q2432" s="19" t="n"/>
      <c r="R2432" s="19" t="n"/>
      <c r="S2432" s="19" t="n"/>
      <c r="T2432" s="19" t="n"/>
      <c r="U2432" s="19" t="n"/>
      <c r="V2432" s="19" t="n"/>
      <c r="W2432" s="19" t="n"/>
      <c r="X2432" s="19" t="n"/>
      <c r="Y2432" s="19" t="n">
        <v>1</v>
      </c>
      <c r="Z2432" s="13">
        <f>SUMPRODUCT(N2432:Y2432,$N$2:$Y$2)*$K2432*$L2432*$M2432</f>
        <v/>
      </c>
      <c r="AA2432" s="14">
        <f>SUM(N2432:Y2432)</f>
        <v/>
      </c>
      <c r="AB2432" s="13">
        <f>SUMPRODUCT(N2432:Y2432,$N$3:$Y$3)*$K2432*$L2432*$M2432</f>
        <v/>
      </c>
      <c r="AC2432" s="13">
        <f>SUMPRODUCT(N2432:Y2432,$N$4:$Y$4)*$K2432*$L2432*$M2432</f>
        <v/>
      </c>
      <c r="AD2432" s="15" t="n">
        <v>3</v>
      </c>
      <c r="AE2432" s="11" t="n">
        <v>1.011296296296296</v>
      </c>
      <c r="AF2432" s="16">
        <f>SUMPRODUCT(N2432:Y2432,$N$5:$Y$5)*$K2432*$L2432*$M2432</f>
        <v/>
      </c>
      <c r="AG2432" s="16">
        <f>SUMPRODUCT(N2432:Y2432,$N$6:$Y$6)*$K2432*$L2432*$M2432</f>
        <v/>
      </c>
      <c r="AH2432" s="20" t="n"/>
    </row>
    <row r="2433">
      <c r="A2433" s="9" t="n">
        <v>808127</v>
      </c>
      <c r="B2433" s="9" t="inlineStr">
        <is>
          <t>Jesus Escobar</t>
        </is>
      </c>
      <c r="C2433" s="9" t="inlineStr">
        <is>
          <t>ARI</t>
        </is>
      </c>
      <c r="D2433" s="9" t="n">
        <v>25</v>
      </c>
      <c r="E2433" s="18" t="inlineStr">
        <is>
          <t>R</t>
        </is>
      </c>
      <c r="F2433" s="18" t="n"/>
      <c r="G2433" s="9" t="n">
        <v>39.38799999999999</v>
      </c>
      <c r="H2433" s="9" t="n">
        <v>39.38799999999999</v>
      </c>
      <c r="I2433" s="9" t="inlineStr">
        <is>
          <t>Depth (no MLB IP)</t>
        </is>
      </c>
      <c r="J2433" s="18" t="inlineStr">
        <is>
          <t>Opening Day</t>
        </is>
      </c>
      <c r="K2433" s="11">
        <f>IFERROR(INDEX(Roles!$B$17:$B$20,MATCH(J2433,Roles!$A$17:$A$20,0)),1)</f>
        <v/>
      </c>
      <c r="L2433" s="19" t="n">
        <v>1</v>
      </c>
      <c r="M2433" s="11" t="n">
        <v>1</v>
      </c>
      <c r="N2433" s="19" t="n"/>
      <c r="O2433" s="19" t="n"/>
      <c r="P2433" s="19" t="n"/>
      <c r="Q2433" s="19" t="n"/>
      <c r="R2433" s="19" t="n"/>
      <c r="S2433" s="19" t="n"/>
      <c r="T2433" s="19" t="n"/>
      <c r="U2433" s="19" t="n"/>
      <c r="V2433" s="19" t="n"/>
      <c r="W2433" s="19" t="n"/>
      <c r="X2433" s="19" t="n"/>
      <c r="Y2433" s="19" t="n">
        <v>1</v>
      </c>
      <c r="Z2433" s="13">
        <f>SUMPRODUCT(N2433:Y2433,$N$2:$Y$2)*$K2433*$L2433*$M2433</f>
        <v/>
      </c>
      <c r="AA2433" s="14">
        <f>SUM(N2433:Y2433)</f>
        <v/>
      </c>
      <c r="AB2433" s="13">
        <f>SUMPRODUCT(N2433:Y2433,$N$3:$Y$3)*$K2433*$L2433*$M2433</f>
        <v/>
      </c>
      <c r="AC2433" s="13">
        <f>SUMPRODUCT(N2433:Y2433,$N$4:$Y$4)*$K2433*$L2433*$M2433</f>
        <v/>
      </c>
      <c r="AD2433" s="15" t="n">
        <v>3</v>
      </c>
      <c r="AE2433" s="11" t="n">
        <v>1.011296296296296</v>
      </c>
      <c r="AF2433" s="16">
        <f>SUMPRODUCT(N2433:Y2433,$N$5:$Y$5)*$K2433*$L2433*$M2433</f>
        <v/>
      </c>
      <c r="AG2433" s="16">
        <f>SUMPRODUCT(N2433:Y2433,$N$6:$Y$6)*$K2433*$L2433*$M2433</f>
        <v/>
      </c>
      <c r="AH2433" s="20" t="n"/>
    </row>
    <row r="2434">
      <c r="A2434" s="9" t="n">
        <v>828137</v>
      </c>
      <c r="B2434" s="9" t="inlineStr">
        <is>
          <t>Miguel Sime Jr.</t>
        </is>
      </c>
      <c r="C2434" s="9" t="inlineStr">
        <is>
          <t>WSH</t>
        </is>
      </c>
      <c r="D2434" s="9" t="n">
        <v>25</v>
      </c>
      <c r="E2434" s="18" t="inlineStr">
        <is>
          <t>R</t>
        </is>
      </c>
      <c r="F2434" s="18" t="n"/>
      <c r="G2434" s="9" t="n">
        <v>39.56</v>
      </c>
      <c r="H2434" s="9" t="n">
        <v>39.56</v>
      </c>
      <c r="I2434" s="9" t="inlineStr">
        <is>
          <t>Depth (no MLB IP)</t>
        </is>
      </c>
      <c r="J2434" s="18" t="inlineStr">
        <is>
          <t>Opening Day</t>
        </is>
      </c>
      <c r="K2434" s="11">
        <f>IFERROR(INDEX(Roles!$B$17:$B$20,MATCH(J2434,Roles!$A$17:$A$20,0)),1)</f>
        <v/>
      </c>
      <c r="L2434" s="19" t="n">
        <v>1</v>
      </c>
      <c r="M2434" s="11" t="n">
        <v>1</v>
      </c>
      <c r="N2434" s="19" t="n"/>
      <c r="O2434" s="19" t="n"/>
      <c r="P2434" s="19" t="n"/>
      <c r="Q2434" s="19" t="n"/>
      <c r="R2434" s="19" t="n"/>
      <c r="S2434" s="19" t="n"/>
      <c r="T2434" s="19" t="n"/>
      <c r="U2434" s="19" t="n"/>
      <c r="V2434" s="19" t="n"/>
      <c r="W2434" s="19" t="n"/>
      <c r="X2434" s="19" t="n"/>
      <c r="Y2434" s="19" t="n">
        <v>1</v>
      </c>
      <c r="Z2434" s="13">
        <f>SUMPRODUCT(N2434:Y2434,$N$2:$Y$2)*$K2434*$L2434*$M2434</f>
        <v/>
      </c>
      <c r="AA2434" s="14">
        <f>SUM(N2434:Y2434)</f>
        <v/>
      </c>
      <c r="AB2434" s="13">
        <f>SUMPRODUCT(N2434:Y2434,$N$3:$Y$3)*$K2434*$L2434*$M2434</f>
        <v/>
      </c>
      <c r="AC2434" s="13">
        <f>SUMPRODUCT(N2434:Y2434,$N$4:$Y$4)*$K2434*$L2434*$M2434</f>
        <v/>
      </c>
      <c r="AD2434" s="15" t="n">
        <v>3</v>
      </c>
      <c r="AE2434" s="11" t="n">
        <v>1.011296296296296</v>
      </c>
      <c r="AF2434" s="16">
        <f>SUMPRODUCT(N2434:Y2434,$N$5:$Y$5)*$K2434*$L2434*$M2434</f>
        <v/>
      </c>
      <c r="AG2434" s="16">
        <f>SUMPRODUCT(N2434:Y2434,$N$6:$Y$6)*$K2434*$L2434*$M2434</f>
        <v/>
      </c>
      <c r="AH2434" s="20" t="n"/>
    </row>
    <row r="2435">
      <c r="A2435" s="9" t="n">
        <v>695402</v>
      </c>
      <c r="B2435" s="9" t="inlineStr">
        <is>
          <t>Najer Victor</t>
        </is>
      </c>
      <c r="C2435" s="9" t="inlineStr">
        <is>
          <t>LAA</t>
        </is>
      </c>
      <c r="D2435" s="9" t="n">
        <v>25</v>
      </c>
      <c r="E2435" s="18" t="inlineStr">
        <is>
          <t>R</t>
        </is>
      </c>
      <c r="F2435" s="18" t="n"/>
      <c r="G2435" s="9" t="n">
        <v>39.41666666666667</v>
      </c>
      <c r="H2435" s="9" t="n">
        <v>39.41666666666667</v>
      </c>
      <c r="I2435" s="9" t="inlineStr">
        <is>
          <t>Depth (no MLB IP)</t>
        </is>
      </c>
      <c r="J2435" s="18" t="inlineStr">
        <is>
          <t>Opening Day</t>
        </is>
      </c>
      <c r="K2435" s="11">
        <f>IFERROR(INDEX(Roles!$B$17:$B$20,MATCH(J2435,Roles!$A$17:$A$20,0)),1)</f>
        <v/>
      </c>
      <c r="L2435" s="19" t="n">
        <v>1</v>
      </c>
      <c r="M2435" s="11" t="n">
        <v>1</v>
      </c>
      <c r="N2435" s="19" t="n"/>
      <c r="O2435" s="19" t="n"/>
      <c r="P2435" s="19" t="n"/>
      <c r="Q2435" s="19" t="n"/>
      <c r="R2435" s="19" t="n"/>
      <c r="S2435" s="19" t="n"/>
      <c r="T2435" s="19" t="n"/>
      <c r="U2435" s="19" t="n"/>
      <c r="V2435" s="19" t="n"/>
      <c r="W2435" s="19" t="n"/>
      <c r="X2435" s="19" t="n"/>
      <c r="Y2435" s="19" t="n">
        <v>1</v>
      </c>
      <c r="Z2435" s="13">
        <f>SUMPRODUCT(N2435:Y2435,$N$2:$Y$2)*$K2435*$L2435*$M2435</f>
        <v/>
      </c>
      <c r="AA2435" s="14">
        <f>SUM(N2435:Y2435)</f>
        <v/>
      </c>
      <c r="AB2435" s="13">
        <f>SUMPRODUCT(N2435:Y2435,$N$3:$Y$3)*$K2435*$L2435*$M2435</f>
        <v/>
      </c>
      <c r="AC2435" s="13">
        <f>SUMPRODUCT(N2435:Y2435,$N$4:$Y$4)*$K2435*$L2435*$M2435</f>
        <v/>
      </c>
      <c r="AD2435" s="15" t="n">
        <v>3</v>
      </c>
      <c r="AE2435" s="11" t="n">
        <v>1.011296296296296</v>
      </c>
      <c r="AF2435" s="16">
        <f>SUMPRODUCT(N2435:Y2435,$N$5:$Y$5)*$K2435*$L2435*$M2435</f>
        <v/>
      </c>
      <c r="AG2435" s="16">
        <f>SUMPRODUCT(N2435:Y2435,$N$6:$Y$6)*$K2435*$L2435*$M2435</f>
        <v/>
      </c>
      <c r="AH2435" s="20" t="n"/>
    </row>
    <row r="2436">
      <c r="A2436" s="9" t="n">
        <v>809093</v>
      </c>
      <c r="B2436" s="9" t="inlineStr">
        <is>
          <t>Aidan Cremarosa</t>
        </is>
      </c>
      <c r="C2436" s="9" t="inlineStr">
        <is>
          <t>TB</t>
        </is>
      </c>
      <c r="D2436" s="9" t="n">
        <v>25</v>
      </c>
      <c r="E2436" s="18" t="inlineStr">
        <is>
          <t>R</t>
        </is>
      </c>
      <c r="F2436" s="18" t="n"/>
      <c r="G2436" s="9" t="n">
        <v>39.56</v>
      </c>
      <c r="H2436" s="9" t="n">
        <v>39.56</v>
      </c>
      <c r="I2436" s="9" t="inlineStr">
        <is>
          <t>Depth (no MLB IP)</t>
        </is>
      </c>
      <c r="J2436" s="18" t="inlineStr">
        <is>
          <t>Opening Day</t>
        </is>
      </c>
      <c r="K2436" s="11">
        <f>IFERROR(INDEX(Roles!$B$17:$B$20,MATCH(J2436,Roles!$A$17:$A$20,0)),1)</f>
        <v/>
      </c>
      <c r="L2436" s="19" t="n">
        <v>1</v>
      </c>
      <c r="M2436" s="11" t="n">
        <v>1</v>
      </c>
      <c r="N2436" s="19" t="n"/>
      <c r="O2436" s="19" t="n"/>
      <c r="P2436" s="19" t="n"/>
      <c r="Q2436" s="19" t="n"/>
      <c r="R2436" s="19" t="n"/>
      <c r="S2436" s="19" t="n"/>
      <c r="T2436" s="19" t="n"/>
      <c r="U2436" s="19" t="n"/>
      <c r="V2436" s="19" t="n"/>
      <c r="W2436" s="19" t="n"/>
      <c r="X2436" s="19" t="n"/>
      <c r="Y2436" s="19" t="n">
        <v>1</v>
      </c>
      <c r="Z2436" s="13">
        <f>SUMPRODUCT(N2436:Y2436,$N$2:$Y$2)*$K2436*$L2436*$M2436</f>
        <v/>
      </c>
      <c r="AA2436" s="14">
        <f>SUM(N2436:Y2436)</f>
        <v/>
      </c>
      <c r="AB2436" s="13">
        <f>SUMPRODUCT(N2436:Y2436,$N$3:$Y$3)*$K2436*$L2436*$M2436</f>
        <v/>
      </c>
      <c r="AC2436" s="13">
        <f>SUMPRODUCT(N2436:Y2436,$N$4:$Y$4)*$K2436*$L2436*$M2436</f>
        <v/>
      </c>
      <c r="AD2436" s="15" t="n">
        <v>3</v>
      </c>
      <c r="AE2436" s="11" t="n">
        <v>1.011296296296296</v>
      </c>
      <c r="AF2436" s="16">
        <f>SUMPRODUCT(N2436:Y2436,$N$5:$Y$5)*$K2436*$L2436*$M2436</f>
        <v/>
      </c>
      <c r="AG2436" s="16">
        <f>SUMPRODUCT(N2436:Y2436,$N$6:$Y$6)*$K2436*$L2436*$M2436</f>
        <v/>
      </c>
      <c r="AH2436" s="20" t="n"/>
    </row>
    <row r="2437">
      <c r="A2437" s="9" t="n">
        <v>812163</v>
      </c>
      <c r="B2437" s="9" t="inlineStr">
        <is>
          <t>Jonathan Russell</t>
        </is>
      </c>
      <c r="C2437" s="9" t="inlineStr">
        <is>
          <t>TB</t>
        </is>
      </c>
      <c r="D2437" s="9" t="n">
        <v>25</v>
      </c>
      <c r="E2437" s="18" t="inlineStr">
        <is>
          <t>R</t>
        </is>
      </c>
      <c r="F2437" s="18" t="n"/>
      <c r="G2437" s="9" t="n">
        <v>39.56</v>
      </c>
      <c r="H2437" s="9" t="n">
        <v>39.56</v>
      </c>
      <c r="I2437" s="9" t="inlineStr">
        <is>
          <t>Depth (no MLB IP)</t>
        </is>
      </c>
      <c r="J2437" s="18" t="inlineStr">
        <is>
          <t>Opening Day</t>
        </is>
      </c>
      <c r="K2437" s="11">
        <f>IFERROR(INDEX(Roles!$B$17:$B$20,MATCH(J2437,Roles!$A$17:$A$20,0)),1)</f>
        <v/>
      </c>
      <c r="L2437" s="19" t="n">
        <v>1</v>
      </c>
      <c r="M2437" s="11" t="n">
        <v>1</v>
      </c>
      <c r="N2437" s="19" t="n"/>
      <c r="O2437" s="19" t="n"/>
      <c r="P2437" s="19" t="n"/>
      <c r="Q2437" s="19" t="n"/>
      <c r="R2437" s="19" t="n"/>
      <c r="S2437" s="19" t="n"/>
      <c r="T2437" s="19" t="n"/>
      <c r="U2437" s="19" t="n"/>
      <c r="V2437" s="19" t="n"/>
      <c r="W2437" s="19" t="n"/>
      <c r="X2437" s="19" t="n"/>
      <c r="Y2437" s="19" t="n">
        <v>1</v>
      </c>
      <c r="Z2437" s="13">
        <f>SUMPRODUCT(N2437:Y2437,$N$2:$Y$2)*$K2437*$L2437*$M2437</f>
        <v/>
      </c>
      <c r="AA2437" s="14">
        <f>SUM(N2437:Y2437)</f>
        <v/>
      </c>
      <c r="AB2437" s="13">
        <f>SUMPRODUCT(N2437:Y2437,$N$3:$Y$3)*$K2437*$L2437*$M2437</f>
        <v/>
      </c>
      <c r="AC2437" s="13">
        <f>SUMPRODUCT(N2437:Y2437,$N$4:$Y$4)*$K2437*$L2437*$M2437</f>
        <v/>
      </c>
      <c r="AD2437" s="15" t="n">
        <v>3</v>
      </c>
      <c r="AE2437" s="11" t="n">
        <v>1.011296296296296</v>
      </c>
      <c r="AF2437" s="16">
        <f>SUMPRODUCT(N2437:Y2437,$N$5:$Y$5)*$K2437*$L2437*$M2437</f>
        <v/>
      </c>
      <c r="AG2437" s="16">
        <f>SUMPRODUCT(N2437:Y2437,$N$6:$Y$6)*$K2437*$L2437*$M2437</f>
        <v/>
      </c>
      <c r="AH2437" s="20" t="n"/>
    </row>
    <row r="2438">
      <c r="A2438" s="9" t="n">
        <v>810070</v>
      </c>
      <c r="B2438" s="9" t="inlineStr">
        <is>
          <t>Hayden Frank</t>
        </is>
      </c>
      <c r="C2438" s="9" t="inlineStr">
        <is>
          <t>CHC</t>
        </is>
      </c>
      <c r="D2438" s="9" t="n">
        <v>25</v>
      </c>
      <c r="E2438" s="18" t="inlineStr">
        <is>
          <t>L</t>
        </is>
      </c>
      <c r="F2438" s="18" t="n"/>
      <c r="G2438" s="9" t="n">
        <v>39.56</v>
      </c>
      <c r="H2438" s="9" t="n">
        <v>39.56</v>
      </c>
      <c r="I2438" s="9" t="inlineStr">
        <is>
          <t>Depth (no MLB IP)</t>
        </is>
      </c>
      <c r="J2438" s="18" t="inlineStr">
        <is>
          <t>Opening Day</t>
        </is>
      </c>
      <c r="K2438" s="11">
        <f>IFERROR(INDEX(Roles!$B$17:$B$20,MATCH(J2438,Roles!$A$17:$A$20,0)),1)</f>
        <v/>
      </c>
      <c r="L2438" s="19" t="n">
        <v>1</v>
      </c>
      <c r="M2438" s="11" t="n">
        <v>1</v>
      </c>
      <c r="N2438" s="19" t="n"/>
      <c r="O2438" s="19" t="n"/>
      <c r="P2438" s="19" t="n"/>
      <c r="Q2438" s="19" t="n"/>
      <c r="R2438" s="19" t="n"/>
      <c r="S2438" s="19" t="n"/>
      <c r="T2438" s="19" t="n"/>
      <c r="U2438" s="19" t="n"/>
      <c r="V2438" s="19" t="n"/>
      <c r="W2438" s="19" t="n"/>
      <c r="X2438" s="19" t="n"/>
      <c r="Y2438" s="19" t="n">
        <v>1</v>
      </c>
      <c r="Z2438" s="13">
        <f>SUMPRODUCT(N2438:Y2438,$N$2:$Y$2)*$K2438*$L2438*$M2438</f>
        <v/>
      </c>
      <c r="AA2438" s="14">
        <f>SUM(N2438:Y2438)</f>
        <v/>
      </c>
      <c r="AB2438" s="13">
        <f>SUMPRODUCT(N2438:Y2438,$N$3:$Y$3)*$K2438*$L2438*$M2438</f>
        <v/>
      </c>
      <c r="AC2438" s="13">
        <f>SUMPRODUCT(N2438:Y2438,$N$4:$Y$4)*$K2438*$L2438*$M2438</f>
        <v/>
      </c>
      <c r="AD2438" s="15" t="n">
        <v>3</v>
      </c>
      <c r="AE2438" s="11" t="n">
        <v>1.011296296296296</v>
      </c>
      <c r="AF2438" s="16">
        <f>SUMPRODUCT(N2438:Y2438,$N$5:$Y$5)*$K2438*$L2438*$M2438</f>
        <v/>
      </c>
      <c r="AG2438" s="16">
        <f>SUMPRODUCT(N2438:Y2438,$N$6:$Y$6)*$K2438*$L2438*$M2438</f>
        <v/>
      </c>
      <c r="AH2438" s="20" t="n"/>
    </row>
    <row r="2439">
      <c r="A2439" s="9" t="n">
        <v>832044</v>
      </c>
      <c r="B2439" s="9" t="inlineStr">
        <is>
          <t>Justin Henschel</t>
        </is>
      </c>
      <c r="C2439" s="9" t="inlineStr">
        <is>
          <t>CIN</t>
        </is>
      </c>
      <c r="D2439" s="9" t="n">
        <v>25</v>
      </c>
      <c r="E2439" s="18" t="inlineStr">
        <is>
          <t>R</t>
        </is>
      </c>
      <c r="F2439" s="18" t="n"/>
      <c r="G2439" s="9" t="n">
        <v>39.56</v>
      </c>
      <c r="H2439" s="9" t="n">
        <v>39.56</v>
      </c>
      <c r="I2439" s="9" t="inlineStr">
        <is>
          <t>Depth (no MLB IP)</t>
        </is>
      </c>
      <c r="J2439" s="18" t="inlineStr">
        <is>
          <t>Opening Day</t>
        </is>
      </c>
      <c r="K2439" s="11">
        <f>IFERROR(INDEX(Roles!$B$17:$B$20,MATCH(J2439,Roles!$A$17:$A$20,0)),1)</f>
        <v/>
      </c>
      <c r="L2439" s="19" t="n">
        <v>1</v>
      </c>
      <c r="M2439" s="11" t="n">
        <v>1</v>
      </c>
      <c r="N2439" s="19" t="n"/>
      <c r="O2439" s="19" t="n"/>
      <c r="P2439" s="19" t="n"/>
      <c r="Q2439" s="19" t="n"/>
      <c r="R2439" s="19" t="n"/>
      <c r="S2439" s="19" t="n"/>
      <c r="T2439" s="19" t="n"/>
      <c r="U2439" s="19" t="n"/>
      <c r="V2439" s="19" t="n"/>
      <c r="W2439" s="19" t="n"/>
      <c r="X2439" s="19" t="n"/>
      <c r="Y2439" s="19" t="n">
        <v>1</v>
      </c>
      <c r="Z2439" s="13">
        <f>SUMPRODUCT(N2439:Y2439,$N$2:$Y$2)*$K2439*$L2439*$M2439</f>
        <v/>
      </c>
      <c r="AA2439" s="14">
        <f>SUM(N2439:Y2439)</f>
        <v/>
      </c>
      <c r="AB2439" s="13">
        <f>SUMPRODUCT(N2439:Y2439,$N$3:$Y$3)*$K2439*$L2439*$M2439</f>
        <v/>
      </c>
      <c r="AC2439" s="13">
        <f>SUMPRODUCT(N2439:Y2439,$N$4:$Y$4)*$K2439*$L2439*$M2439</f>
        <v/>
      </c>
      <c r="AD2439" s="15" t="n">
        <v>3</v>
      </c>
      <c r="AE2439" s="11" t="n">
        <v>1.011296296296296</v>
      </c>
      <c r="AF2439" s="16">
        <f>SUMPRODUCT(N2439:Y2439,$N$5:$Y$5)*$K2439*$L2439*$M2439</f>
        <v/>
      </c>
      <c r="AG2439" s="16">
        <f>SUMPRODUCT(N2439:Y2439,$N$6:$Y$6)*$K2439*$L2439*$M2439</f>
        <v/>
      </c>
      <c r="AH2439" s="20" t="n"/>
    </row>
    <row r="2440">
      <c r="A2440" s="9" t="n">
        <v>815825</v>
      </c>
      <c r="B2440" s="9" t="inlineStr">
        <is>
          <t>Seth Hernandez</t>
        </is>
      </c>
      <c r="C2440" s="9" t="inlineStr">
        <is>
          <t>PIT</t>
        </is>
      </c>
      <c r="D2440" s="9" t="n">
        <v>21</v>
      </c>
      <c r="E2440" s="18" t="inlineStr">
        <is>
          <t>R</t>
        </is>
      </c>
      <c r="F2440" s="18" t="n"/>
      <c r="G2440" s="9" t="n">
        <v>39.56</v>
      </c>
      <c r="H2440" s="9" t="n">
        <v>39.56</v>
      </c>
      <c r="I2440" s="9" t="inlineStr">
        <is>
          <t>Depth (no MLB IP)</t>
        </is>
      </c>
      <c r="J2440" s="18" t="inlineStr">
        <is>
          <t>Opening Day</t>
        </is>
      </c>
      <c r="K2440" s="11">
        <f>IFERROR(INDEX(Roles!$B$17:$B$20,MATCH(J2440,Roles!$A$17:$A$20,0)),1)</f>
        <v/>
      </c>
      <c r="L2440" s="19" t="n">
        <v>1</v>
      </c>
      <c r="M2440" s="11" t="n">
        <v>1</v>
      </c>
      <c r="N2440" s="19" t="n"/>
      <c r="O2440" s="19" t="n"/>
      <c r="P2440" s="19" t="n"/>
      <c r="Q2440" s="19" t="n"/>
      <c r="R2440" s="19" t="n"/>
      <c r="S2440" s="19" t="n"/>
      <c r="T2440" s="19" t="n"/>
      <c r="U2440" s="19" t="n"/>
      <c r="V2440" s="19" t="n"/>
      <c r="W2440" s="19" t="n"/>
      <c r="X2440" s="19" t="n"/>
      <c r="Y2440" s="19" t="n">
        <v>1</v>
      </c>
      <c r="Z2440" s="13">
        <f>SUMPRODUCT(N2440:Y2440,$N$2:$Y$2)*$K2440*$L2440*$M2440</f>
        <v/>
      </c>
      <c r="AA2440" s="14">
        <f>SUM(N2440:Y2440)</f>
        <v/>
      </c>
      <c r="AB2440" s="13">
        <f>SUMPRODUCT(N2440:Y2440,$N$3:$Y$3)*$K2440*$L2440*$M2440</f>
        <v/>
      </c>
      <c r="AC2440" s="13">
        <f>SUMPRODUCT(N2440:Y2440,$N$4:$Y$4)*$K2440*$L2440*$M2440</f>
        <v/>
      </c>
      <c r="AD2440" s="15" t="n">
        <v>3</v>
      </c>
      <c r="AE2440" s="11" t="n">
        <v>1.011296296296296</v>
      </c>
      <c r="AF2440" s="16">
        <f>SUMPRODUCT(N2440:Y2440,$N$5:$Y$5)*$K2440*$L2440*$M2440</f>
        <v/>
      </c>
      <c r="AG2440" s="16">
        <f>SUMPRODUCT(N2440:Y2440,$N$6:$Y$6)*$K2440*$L2440*$M2440</f>
        <v/>
      </c>
      <c r="AH2440" s="20" t="n"/>
    </row>
    <row r="2441">
      <c r="A2441" s="9" t="n">
        <v>833071</v>
      </c>
      <c r="B2441" s="9" t="inlineStr">
        <is>
          <t>Scott Rouse</t>
        </is>
      </c>
      <c r="C2441" s="9" t="inlineStr">
        <is>
          <t>SEA</t>
        </is>
      </c>
      <c r="D2441" s="9" t="n">
        <v>25</v>
      </c>
      <c r="E2441" s="18" t="inlineStr">
        <is>
          <t>R</t>
        </is>
      </c>
      <c r="F2441" s="18" t="n"/>
      <c r="G2441" s="9" t="n">
        <v>39.73199999999999</v>
      </c>
      <c r="H2441" s="9" t="n">
        <v>39.73199999999999</v>
      </c>
      <c r="I2441" s="9" t="inlineStr">
        <is>
          <t>Depth (no MLB IP)</t>
        </is>
      </c>
      <c r="J2441" s="18" t="inlineStr">
        <is>
          <t>Opening Day</t>
        </is>
      </c>
      <c r="K2441" s="11">
        <f>IFERROR(INDEX(Roles!$B$17:$B$20,MATCH(J2441,Roles!$A$17:$A$20,0)),1)</f>
        <v/>
      </c>
      <c r="L2441" s="19" t="n">
        <v>1</v>
      </c>
      <c r="M2441" s="11" t="n">
        <v>1</v>
      </c>
      <c r="N2441" s="19" t="n"/>
      <c r="O2441" s="19" t="n"/>
      <c r="P2441" s="19" t="n"/>
      <c r="Q2441" s="19" t="n"/>
      <c r="R2441" s="19" t="n"/>
      <c r="S2441" s="19" t="n"/>
      <c r="T2441" s="19" t="n"/>
      <c r="U2441" s="19" t="n"/>
      <c r="V2441" s="19" t="n"/>
      <c r="W2441" s="19" t="n"/>
      <c r="X2441" s="19" t="n"/>
      <c r="Y2441" s="19" t="n">
        <v>1</v>
      </c>
      <c r="Z2441" s="13">
        <f>SUMPRODUCT(N2441:Y2441,$N$2:$Y$2)*$K2441*$L2441*$M2441</f>
        <v/>
      </c>
      <c r="AA2441" s="14">
        <f>SUM(N2441:Y2441)</f>
        <v/>
      </c>
      <c r="AB2441" s="13">
        <f>SUMPRODUCT(N2441:Y2441,$N$3:$Y$3)*$K2441*$L2441*$M2441</f>
        <v/>
      </c>
      <c r="AC2441" s="13">
        <f>SUMPRODUCT(N2441:Y2441,$N$4:$Y$4)*$K2441*$L2441*$M2441</f>
        <v/>
      </c>
      <c r="AD2441" s="15" t="n">
        <v>3</v>
      </c>
      <c r="AE2441" s="11" t="n">
        <v>1.011296296296296</v>
      </c>
      <c r="AF2441" s="16">
        <f>SUMPRODUCT(N2441:Y2441,$N$5:$Y$5)*$K2441*$L2441*$M2441</f>
        <v/>
      </c>
      <c r="AG2441" s="16">
        <f>SUMPRODUCT(N2441:Y2441,$N$6:$Y$6)*$K2441*$L2441*$M2441</f>
        <v/>
      </c>
      <c r="AH2441" s="20" t="n"/>
    </row>
    <row r="2442">
      <c r="A2442" s="9" t="n">
        <v>663776</v>
      </c>
      <c r="B2442" s="9" t="inlineStr">
        <is>
          <t>Patrick Sandoval</t>
        </is>
      </c>
      <c r="C2442" s="9" t="inlineStr">
        <is>
          <t>BOS</t>
        </is>
      </c>
      <c r="D2442" s="9" t="n">
        <v>30</v>
      </c>
      <c r="E2442" s="18" t="inlineStr">
        <is>
          <t>L</t>
        </is>
      </c>
      <c r="F2442" s="18" t="n"/>
      <c r="G2442" s="9" t="n">
        <v>321</v>
      </c>
      <c r="H2442" s="9" t="n">
        <v>1964</v>
      </c>
      <c r="I2442" s="9" t="inlineStr">
        <is>
          <t>Bullpen Depth Arm</t>
        </is>
      </c>
      <c r="J2442" s="18" t="inlineStr">
        <is>
          <t>Opening Day</t>
        </is>
      </c>
      <c r="K2442" s="11">
        <f>IFERROR(INDEX(Roles!$B$17:$B$20,MATCH(J2442,Roles!$A$17:$A$20,0)),1)</f>
        <v/>
      </c>
      <c r="L2442" s="19" t="n">
        <v>1</v>
      </c>
      <c r="M2442" s="11" t="n">
        <v>1</v>
      </c>
      <c r="N2442" s="19" t="n"/>
      <c r="O2442" s="19" t="n"/>
      <c r="P2442" s="19" t="n"/>
      <c r="Q2442" s="19" t="n"/>
      <c r="R2442" s="19" t="n"/>
      <c r="S2442" s="19" t="n"/>
      <c r="T2442" s="19" t="n"/>
      <c r="U2442" s="19" t="n"/>
      <c r="V2442" s="19" t="n"/>
      <c r="W2442" s="19" t="n">
        <v>1</v>
      </c>
      <c r="X2442" s="19" t="n"/>
      <c r="Y2442" s="19" t="n"/>
      <c r="Z2442" s="13">
        <f>SUMPRODUCT(N2442:Y2442,$N$2:$Y$2)*$K2442*$L2442*$M2442</f>
        <v/>
      </c>
      <c r="AA2442" s="14">
        <f>SUM(N2442:Y2442)</f>
        <v/>
      </c>
      <c r="AB2442" s="13">
        <f>SUMPRODUCT(N2442:Y2442,$N$3:$Y$3)*$K2442*$L2442*$M2442</f>
        <v/>
      </c>
      <c r="AC2442" s="13">
        <f>SUMPRODUCT(N2442:Y2442,$N$4:$Y$4)*$K2442*$L2442*$M2442</f>
        <v/>
      </c>
      <c r="AD2442" s="15" t="n">
        <v>14.81666666666667</v>
      </c>
      <c r="AE2442" s="11" t="n">
        <v>2.389849575641925</v>
      </c>
      <c r="AF2442" s="16">
        <f>SUMPRODUCT(N2442:Y2442,$N$5:$Y$5)*$K2442*$L2442*$M2442</f>
        <v/>
      </c>
      <c r="AG2442" s="16">
        <f>SUMPRODUCT(N2442:Y2442,$N$6:$Y$6)*$K2442*$L2442*$M2442</f>
        <v/>
      </c>
      <c r="AH2442" s="20" t="n"/>
    </row>
    <row r="2443">
      <c r="A2443" s="9" t="n">
        <v>802412</v>
      </c>
      <c r="B2443" s="9" t="inlineStr">
        <is>
          <t>Malachi Witherspoon</t>
        </is>
      </c>
      <c r="C2443" s="9" t="inlineStr">
        <is>
          <t>DET</t>
        </is>
      </c>
      <c r="D2443" s="9" t="n">
        <v>25</v>
      </c>
      <c r="E2443" s="18" t="inlineStr">
        <is>
          <t>R</t>
        </is>
      </c>
      <c r="F2443" s="18" t="n"/>
      <c r="G2443" s="9" t="n">
        <v>39.73199999999999</v>
      </c>
      <c r="H2443" s="9" t="n">
        <v>39.73199999999999</v>
      </c>
      <c r="I2443" s="9" t="inlineStr">
        <is>
          <t>Depth (no MLB IP)</t>
        </is>
      </c>
      <c r="J2443" s="18" t="inlineStr">
        <is>
          <t>Opening Day</t>
        </is>
      </c>
      <c r="K2443" s="11">
        <f>IFERROR(INDEX(Roles!$B$17:$B$20,MATCH(J2443,Roles!$A$17:$A$20,0)),1)</f>
        <v/>
      </c>
      <c r="L2443" s="19" t="n">
        <v>1</v>
      </c>
      <c r="M2443" s="11" t="n">
        <v>1</v>
      </c>
      <c r="N2443" s="19" t="n"/>
      <c r="O2443" s="19" t="n"/>
      <c r="P2443" s="19" t="n"/>
      <c r="Q2443" s="19" t="n"/>
      <c r="R2443" s="19" t="n"/>
      <c r="S2443" s="19" t="n"/>
      <c r="T2443" s="19" t="n"/>
      <c r="U2443" s="19" t="n"/>
      <c r="V2443" s="19" t="n"/>
      <c r="W2443" s="19" t="n"/>
      <c r="X2443" s="19" t="n"/>
      <c r="Y2443" s="19" t="n">
        <v>1</v>
      </c>
      <c r="Z2443" s="13">
        <f>SUMPRODUCT(N2443:Y2443,$N$2:$Y$2)*$K2443*$L2443*$M2443</f>
        <v/>
      </c>
      <c r="AA2443" s="14">
        <f>SUM(N2443:Y2443)</f>
        <v/>
      </c>
      <c r="AB2443" s="13">
        <f>SUMPRODUCT(N2443:Y2443,$N$3:$Y$3)*$K2443*$L2443*$M2443</f>
        <v/>
      </c>
      <c r="AC2443" s="13">
        <f>SUMPRODUCT(N2443:Y2443,$N$4:$Y$4)*$K2443*$L2443*$M2443</f>
        <v/>
      </c>
      <c r="AD2443" s="15" t="n">
        <v>3</v>
      </c>
      <c r="AE2443" s="11" t="n">
        <v>1.011296296296296</v>
      </c>
      <c r="AF2443" s="16">
        <f>SUMPRODUCT(N2443:Y2443,$N$5:$Y$5)*$K2443*$L2443*$M2443</f>
        <v/>
      </c>
      <c r="AG2443" s="16">
        <f>SUMPRODUCT(N2443:Y2443,$N$6:$Y$6)*$K2443*$L2443*$M2443</f>
        <v/>
      </c>
      <c r="AH2443" s="20" t="n"/>
    </row>
    <row r="2444">
      <c r="A2444" s="9" t="n">
        <v>699010</v>
      </c>
      <c r="B2444" s="9" t="inlineStr">
        <is>
          <t>Jose Garces</t>
        </is>
      </c>
      <c r="C2444" s="9" t="inlineStr">
        <is>
          <t>PIT</t>
        </is>
      </c>
      <c r="D2444" s="9" t="n">
        <v>25</v>
      </c>
      <c r="E2444" s="18" t="inlineStr">
        <is>
          <t>R</t>
        </is>
      </c>
      <c r="F2444" s="18" t="n"/>
      <c r="G2444" s="9" t="n">
        <v>39.56</v>
      </c>
      <c r="H2444" s="9" t="n">
        <v>39.56</v>
      </c>
      <c r="I2444" s="9" t="inlineStr">
        <is>
          <t>Depth (no MLB IP)</t>
        </is>
      </c>
      <c r="J2444" s="18" t="inlineStr">
        <is>
          <t>Opening Day</t>
        </is>
      </c>
      <c r="K2444" s="11">
        <f>IFERROR(INDEX(Roles!$B$17:$B$20,MATCH(J2444,Roles!$A$17:$A$20,0)),1)</f>
        <v/>
      </c>
      <c r="L2444" s="19" t="n">
        <v>1</v>
      </c>
      <c r="M2444" s="11" t="n">
        <v>1</v>
      </c>
      <c r="N2444" s="19" t="n"/>
      <c r="O2444" s="19" t="n"/>
      <c r="P2444" s="19" t="n"/>
      <c r="Q2444" s="19" t="n"/>
      <c r="R2444" s="19" t="n"/>
      <c r="S2444" s="19" t="n"/>
      <c r="T2444" s="19" t="n"/>
      <c r="U2444" s="19" t="n"/>
      <c r="V2444" s="19" t="n"/>
      <c r="W2444" s="19" t="n"/>
      <c r="X2444" s="19" t="n"/>
      <c r="Y2444" s="19" t="n">
        <v>1</v>
      </c>
      <c r="Z2444" s="13">
        <f>SUMPRODUCT(N2444:Y2444,$N$2:$Y$2)*$K2444*$L2444*$M2444</f>
        <v/>
      </c>
      <c r="AA2444" s="14">
        <f>SUM(N2444:Y2444)</f>
        <v/>
      </c>
      <c r="AB2444" s="13">
        <f>SUMPRODUCT(N2444:Y2444,$N$3:$Y$3)*$K2444*$L2444*$M2444</f>
        <v/>
      </c>
      <c r="AC2444" s="13">
        <f>SUMPRODUCT(N2444:Y2444,$N$4:$Y$4)*$K2444*$L2444*$M2444</f>
        <v/>
      </c>
      <c r="AD2444" s="15" t="n">
        <v>3</v>
      </c>
      <c r="AE2444" s="11" t="n">
        <v>1.011296296296296</v>
      </c>
      <c r="AF2444" s="16">
        <f>SUMPRODUCT(N2444:Y2444,$N$5:$Y$5)*$K2444*$L2444*$M2444</f>
        <v/>
      </c>
      <c r="AG2444" s="16">
        <f>SUMPRODUCT(N2444:Y2444,$N$6:$Y$6)*$K2444*$L2444*$M2444</f>
        <v/>
      </c>
      <c r="AH2444" s="20" t="n"/>
    </row>
    <row r="2445">
      <c r="A2445" s="9" t="n">
        <v>687985</v>
      </c>
      <c r="B2445" s="9" t="inlineStr">
        <is>
          <t>Josh White</t>
        </is>
      </c>
      <c r="C2445" s="9" t="inlineStr">
        <is>
          <t>MIA</t>
        </is>
      </c>
      <c r="D2445" s="9" t="n">
        <v>26</v>
      </c>
      <c r="E2445" s="18" t="inlineStr">
        <is>
          <t>R</t>
        </is>
      </c>
      <c r="F2445" s="18" t="n"/>
      <c r="G2445" s="9" t="n">
        <v>8</v>
      </c>
      <c r="H2445" s="9" t="n">
        <v>8</v>
      </c>
      <c r="I2445" s="9" t="inlineStr">
        <is>
          <t>Depth (no MLB IP)</t>
        </is>
      </c>
      <c r="J2445" s="18" t="inlineStr">
        <is>
          <t>Opening Day</t>
        </is>
      </c>
      <c r="K2445" s="11">
        <f>IFERROR(INDEX(Roles!$B$17:$B$20,MATCH(J2445,Roles!$A$17:$A$20,0)),1)</f>
        <v/>
      </c>
      <c r="L2445" s="19" t="n">
        <v>1</v>
      </c>
      <c r="M2445" s="11" t="n">
        <v>1</v>
      </c>
      <c r="N2445" s="19" t="n"/>
      <c r="O2445" s="19" t="n"/>
      <c r="P2445" s="19" t="n"/>
      <c r="Q2445" s="19" t="n"/>
      <c r="R2445" s="19" t="n"/>
      <c r="S2445" s="19" t="n"/>
      <c r="T2445" s="19" t="n"/>
      <c r="U2445" s="19" t="n"/>
      <c r="V2445" s="19" t="n"/>
      <c r="W2445" s="19" t="n"/>
      <c r="X2445" s="19" t="n"/>
      <c r="Y2445" s="19" t="n">
        <v>1</v>
      </c>
      <c r="Z2445" s="13">
        <f>SUMPRODUCT(N2445:Y2445,$N$2:$Y$2)*$K2445*$L2445*$M2445</f>
        <v/>
      </c>
      <c r="AA2445" s="14">
        <f>SUM(N2445:Y2445)</f>
        <v/>
      </c>
      <c r="AB2445" s="13">
        <f>SUMPRODUCT(N2445:Y2445,$N$3:$Y$3)*$K2445*$L2445*$M2445</f>
        <v/>
      </c>
      <c r="AC2445" s="13">
        <f>SUMPRODUCT(N2445:Y2445,$N$4:$Y$4)*$K2445*$L2445*$M2445</f>
        <v/>
      </c>
      <c r="AD2445" s="15" t="n">
        <v>1.8</v>
      </c>
      <c r="AE2445" s="11" t="n">
        <v>0.8964197530864197</v>
      </c>
      <c r="AF2445" s="16">
        <f>SUMPRODUCT(N2445:Y2445,$N$5:$Y$5)*$K2445*$L2445*$M2445</f>
        <v/>
      </c>
      <c r="AG2445" s="16">
        <f>SUMPRODUCT(N2445:Y2445,$N$6:$Y$6)*$K2445*$L2445*$M2445</f>
        <v/>
      </c>
      <c r="AH2445" s="20" t="n"/>
    </row>
    <row r="2446">
      <c r="A2446" s="9" t="n">
        <v>806337</v>
      </c>
      <c r="B2446" s="9" t="inlineStr">
        <is>
          <t>Jarret Whorff</t>
        </is>
      </c>
      <c r="C2446" s="9" t="inlineStr">
        <is>
          <t>MIN</t>
        </is>
      </c>
      <c r="D2446" s="9" t="n">
        <v>25</v>
      </c>
      <c r="E2446" s="18" t="inlineStr">
        <is>
          <t>R</t>
        </is>
      </c>
      <c r="F2446" s="18" t="n"/>
      <c r="G2446" s="9" t="n">
        <v>39.63166666666666</v>
      </c>
      <c r="H2446" s="9" t="n">
        <v>39.63166666666666</v>
      </c>
      <c r="I2446" s="9" t="inlineStr">
        <is>
          <t>Depth (no MLB IP)</t>
        </is>
      </c>
      <c r="J2446" s="18" t="inlineStr">
        <is>
          <t>Opening Day</t>
        </is>
      </c>
      <c r="K2446" s="11">
        <f>IFERROR(INDEX(Roles!$B$17:$B$20,MATCH(J2446,Roles!$A$17:$A$20,0)),1)</f>
        <v/>
      </c>
      <c r="L2446" s="19" t="n">
        <v>1</v>
      </c>
      <c r="M2446" s="11" t="n">
        <v>1</v>
      </c>
      <c r="N2446" s="19" t="n"/>
      <c r="O2446" s="19" t="n"/>
      <c r="P2446" s="19" t="n"/>
      <c r="Q2446" s="19" t="n"/>
      <c r="R2446" s="19" t="n"/>
      <c r="S2446" s="19" t="n"/>
      <c r="T2446" s="19" t="n"/>
      <c r="U2446" s="19" t="n"/>
      <c r="V2446" s="19" t="n"/>
      <c r="W2446" s="19" t="n"/>
      <c r="X2446" s="19" t="n"/>
      <c r="Y2446" s="19" t="n">
        <v>1</v>
      </c>
      <c r="Z2446" s="13">
        <f>SUMPRODUCT(N2446:Y2446,$N$2:$Y$2)*$K2446*$L2446*$M2446</f>
        <v/>
      </c>
      <c r="AA2446" s="14">
        <f>SUM(N2446:Y2446)</f>
        <v/>
      </c>
      <c r="AB2446" s="13">
        <f>SUMPRODUCT(N2446:Y2446,$N$3:$Y$3)*$K2446*$L2446*$M2446</f>
        <v/>
      </c>
      <c r="AC2446" s="13">
        <f>SUMPRODUCT(N2446:Y2446,$N$4:$Y$4)*$K2446*$L2446*$M2446</f>
        <v/>
      </c>
      <c r="AD2446" s="15" t="n">
        <v>3</v>
      </c>
      <c r="AE2446" s="11" t="n">
        <v>1.011296296296296</v>
      </c>
      <c r="AF2446" s="16">
        <f>SUMPRODUCT(N2446:Y2446,$N$5:$Y$5)*$K2446*$L2446*$M2446</f>
        <v/>
      </c>
      <c r="AG2446" s="16">
        <f>SUMPRODUCT(N2446:Y2446,$N$6:$Y$6)*$K2446*$L2446*$M2446</f>
        <v/>
      </c>
      <c r="AH2446" s="20" t="n"/>
    </row>
    <row r="2447">
      <c r="A2447" s="9" t="n">
        <v>800630</v>
      </c>
      <c r="B2447" s="9" t="inlineStr">
        <is>
          <t>Braeden Sloan</t>
        </is>
      </c>
      <c r="C2447" s="9" t="inlineStr">
        <is>
          <t>BAL</t>
        </is>
      </c>
      <c r="D2447" s="9" t="n">
        <v>25</v>
      </c>
      <c r="E2447" s="18" t="inlineStr">
        <is>
          <t>L</t>
        </is>
      </c>
      <c r="F2447" s="18" t="n"/>
      <c r="G2447" s="9" t="n">
        <v>39.84666666666667</v>
      </c>
      <c r="H2447" s="9" t="n">
        <v>39.84666666666667</v>
      </c>
      <c r="I2447" s="9" t="inlineStr">
        <is>
          <t>Depth (no MLB IP)</t>
        </is>
      </c>
      <c r="J2447" s="18" t="inlineStr">
        <is>
          <t>Opening Day</t>
        </is>
      </c>
      <c r="K2447" s="11">
        <f>IFERROR(INDEX(Roles!$B$17:$B$20,MATCH(J2447,Roles!$A$17:$A$20,0)),1)</f>
        <v/>
      </c>
      <c r="L2447" s="19" t="n">
        <v>1</v>
      </c>
      <c r="M2447" s="11" t="n">
        <v>1</v>
      </c>
      <c r="N2447" s="19" t="n"/>
      <c r="O2447" s="19" t="n"/>
      <c r="P2447" s="19" t="n"/>
      <c r="Q2447" s="19" t="n"/>
      <c r="R2447" s="19" t="n"/>
      <c r="S2447" s="19" t="n"/>
      <c r="T2447" s="19" t="n"/>
      <c r="U2447" s="19" t="n"/>
      <c r="V2447" s="19" t="n"/>
      <c r="W2447" s="19" t="n"/>
      <c r="X2447" s="19" t="n"/>
      <c r="Y2447" s="19" t="n">
        <v>1</v>
      </c>
      <c r="Z2447" s="13">
        <f>SUMPRODUCT(N2447:Y2447,$N$2:$Y$2)*$K2447*$L2447*$M2447</f>
        <v/>
      </c>
      <c r="AA2447" s="14">
        <f>SUM(N2447:Y2447)</f>
        <v/>
      </c>
      <c r="AB2447" s="13">
        <f>SUMPRODUCT(N2447:Y2447,$N$3:$Y$3)*$K2447*$L2447*$M2447</f>
        <v/>
      </c>
      <c r="AC2447" s="13">
        <f>SUMPRODUCT(N2447:Y2447,$N$4:$Y$4)*$K2447*$L2447*$M2447</f>
        <v/>
      </c>
      <c r="AD2447" s="15" t="n">
        <v>3</v>
      </c>
      <c r="AE2447" s="11" t="n">
        <v>1.011296296296296</v>
      </c>
      <c r="AF2447" s="16">
        <f>SUMPRODUCT(N2447:Y2447,$N$5:$Y$5)*$K2447*$L2447*$M2447</f>
        <v/>
      </c>
      <c r="AG2447" s="16">
        <f>SUMPRODUCT(N2447:Y2447,$N$6:$Y$6)*$K2447*$L2447*$M2447</f>
        <v/>
      </c>
      <c r="AH2447" s="20" t="n"/>
    </row>
    <row r="2448">
      <c r="A2448" s="9" t="n">
        <v>815184</v>
      </c>
      <c r="B2448" s="9" t="inlineStr">
        <is>
          <t>Christian Rodriguez</t>
        </is>
      </c>
      <c r="C2448" s="9" t="inlineStr">
        <is>
          <t>NYM</t>
        </is>
      </c>
      <c r="D2448" s="9" t="n">
        <v>25</v>
      </c>
      <c r="E2448" s="18" t="inlineStr">
        <is>
          <t>R</t>
        </is>
      </c>
      <c r="F2448" s="18" t="n"/>
      <c r="G2448" s="9" t="n">
        <v>39.904</v>
      </c>
      <c r="H2448" s="9" t="n">
        <v>39.904</v>
      </c>
      <c r="I2448" s="9" t="inlineStr">
        <is>
          <t>Depth (no MLB IP)</t>
        </is>
      </c>
      <c r="J2448" s="18" t="inlineStr">
        <is>
          <t>Opening Day</t>
        </is>
      </c>
      <c r="K2448" s="11">
        <f>IFERROR(INDEX(Roles!$B$17:$B$20,MATCH(J2448,Roles!$A$17:$A$20,0)),1)</f>
        <v/>
      </c>
      <c r="L2448" s="19" t="n">
        <v>1</v>
      </c>
      <c r="M2448" s="11" t="n">
        <v>1</v>
      </c>
      <c r="N2448" s="19" t="n"/>
      <c r="O2448" s="19" t="n"/>
      <c r="P2448" s="19" t="n"/>
      <c r="Q2448" s="19" t="n"/>
      <c r="R2448" s="19" t="n"/>
      <c r="S2448" s="19" t="n"/>
      <c r="T2448" s="19" t="n"/>
      <c r="U2448" s="19" t="n"/>
      <c r="V2448" s="19" t="n"/>
      <c r="W2448" s="19" t="n"/>
      <c r="X2448" s="19" t="n"/>
      <c r="Y2448" s="19" t="n">
        <v>1</v>
      </c>
      <c r="Z2448" s="13">
        <f>SUMPRODUCT(N2448:Y2448,$N$2:$Y$2)*$K2448*$L2448*$M2448</f>
        <v/>
      </c>
      <c r="AA2448" s="14">
        <f>SUM(N2448:Y2448)</f>
        <v/>
      </c>
      <c r="AB2448" s="13">
        <f>SUMPRODUCT(N2448:Y2448,$N$3:$Y$3)*$K2448*$L2448*$M2448</f>
        <v/>
      </c>
      <c r="AC2448" s="13">
        <f>SUMPRODUCT(N2448:Y2448,$N$4:$Y$4)*$K2448*$L2448*$M2448</f>
        <v/>
      </c>
      <c r="AD2448" s="15" t="n">
        <v>3</v>
      </c>
      <c r="AE2448" s="11" t="n">
        <v>1.011296296296296</v>
      </c>
      <c r="AF2448" s="16">
        <f>SUMPRODUCT(N2448:Y2448,$N$5:$Y$5)*$K2448*$L2448*$M2448</f>
        <v/>
      </c>
      <c r="AG2448" s="16">
        <f>SUMPRODUCT(N2448:Y2448,$N$6:$Y$6)*$K2448*$L2448*$M2448</f>
        <v/>
      </c>
      <c r="AH2448" s="20" t="n"/>
    </row>
    <row r="2449">
      <c r="A2449" s="9" t="n">
        <v>694366</v>
      </c>
      <c r="B2449" s="9" t="inlineStr">
        <is>
          <t>Mikey Tepper</t>
        </is>
      </c>
      <c r="C2449" s="9" t="inlineStr">
        <is>
          <t>WSH</t>
        </is>
      </c>
      <c r="D2449" s="9" t="n">
        <v>25</v>
      </c>
      <c r="E2449" s="18" t="inlineStr">
        <is>
          <t>R</t>
        </is>
      </c>
      <c r="F2449" s="18" t="n"/>
      <c r="G2449" s="9" t="n">
        <v>39.84666666666667</v>
      </c>
      <c r="H2449" s="9" t="n">
        <v>39.84666666666667</v>
      </c>
      <c r="I2449" s="9" t="inlineStr">
        <is>
          <t>Depth (no MLB IP)</t>
        </is>
      </c>
      <c r="J2449" s="18" t="inlineStr">
        <is>
          <t>Opening Day</t>
        </is>
      </c>
      <c r="K2449" s="11">
        <f>IFERROR(INDEX(Roles!$B$17:$B$20,MATCH(J2449,Roles!$A$17:$A$20,0)),1)</f>
        <v/>
      </c>
      <c r="L2449" s="19" t="n">
        <v>1</v>
      </c>
      <c r="M2449" s="11" t="n">
        <v>1</v>
      </c>
      <c r="N2449" s="19" t="n"/>
      <c r="O2449" s="19" t="n"/>
      <c r="P2449" s="19" t="n"/>
      <c r="Q2449" s="19" t="n"/>
      <c r="R2449" s="19" t="n"/>
      <c r="S2449" s="19" t="n"/>
      <c r="T2449" s="19" t="n"/>
      <c r="U2449" s="19" t="n"/>
      <c r="V2449" s="19" t="n"/>
      <c r="W2449" s="19" t="n"/>
      <c r="X2449" s="19" t="n"/>
      <c r="Y2449" s="19" t="n">
        <v>1</v>
      </c>
      <c r="Z2449" s="13">
        <f>SUMPRODUCT(N2449:Y2449,$N$2:$Y$2)*$K2449*$L2449*$M2449</f>
        <v/>
      </c>
      <c r="AA2449" s="14">
        <f>SUM(N2449:Y2449)</f>
        <v/>
      </c>
      <c r="AB2449" s="13">
        <f>SUMPRODUCT(N2449:Y2449,$N$3:$Y$3)*$K2449*$L2449*$M2449</f>
        <v/>
      </c>
      <c r="AC2449" s="13">
        <f>SUMPRODUCT(N2449:Y2449,$N$4:$Y$4)*$K2449*$L2449*$M2449</f>
        <v/>
      </c>
      <c r="AD2449" s="15" t="n">
        <v>3</v>
      </c>
      <c r="AE2449" s="11" t="n">
        <v>1.011296296296296</v>
      </c>
      <c r="AF2449" s="16">
        <f>SUMPRODUCT(N2449:Y2449,$N$5:$Y$5)*$K2449*$L2449*$M2449</f>
        <v/>
      </c>
      <c r="AG2449" s="16">
        <f>SUMPRODUCT(N2449:Y2449,$N$6:$Y$6)*$K2449*$L2449*$M2449</f>
        <v/>
      </c>
      <c r="AH2449" s="20" t="n"/>
    </row>
    <row r="2450">
      <c r="A2450" s="9" t="n">
        <v>623520</v>
      </c>
      <c r="B2450" s="9" t="inlineStr">
        <is>
          <t>David Bote</t>
        </is>
      </c>
      <c r="C2450" s="9" t="inlineStr">
        <is>
          <t>CHC</t>
        </is>
      </c>
      <c r="D2450" s="9" t="n">
        <v>34</v>
      </c>
      <c r="E2450" s="18" t="inlineStr">
        <is>
          <t>R</t>
        </is>
      </c>
      <c r="F2450" s="18" t="n"/>
      <c r="G2450" s="9" t="n">
        <v>5</v>
      </c>
      <c r="H2450" s="9" t="n">
        <v>5</v>
      </c>
      <c r="I2450" s="9" t="inlineStr">
        <is>
          <t>Depth (no MLB IP)</t>
        </is>
      </c>
      <c r="J2450" s="18" t="inlineStr">
        <is>
          <t>Opening Day</t>
        </is>
      </c>
      <c r="K2450" s="11">
        <f>IFERROR(INDEX(Roles!$B$17:$B$20,MATCH(J2450,Roles!$A$17:$A$20,0)),1)</f>
        <v/>
      </c>
      <c r="L2450" s="19" t="n">
        <v>1</v>
      </c>
      <c r="M2450" s="11" t="n">
        <v>1</v>
      </c>
      <c r="N2450" s="19" t="n"/>
      <c r="O2450" s="19" t="n"/>
      <c r="P2450" s="19" t="n"/>
      <c r="Q2450" s="19" t="n"/>
      <c r="R2450" s="19" t="n"/>
      <c r="S2450" s="19" t="n"/>
      <c r="T2450" s="19" t="n"/>
      <c r="U2450" s="19" t="n"/>
      <c r="V2450" s="19" t="n"/>
      <c r="W2450" s="19" t="n"/>
      <c r="X2450" s="19" t="n"/>
      <c r="Y2450" s="19" t="n">
        <v>1</v>
      </c>
      <c r="Z2450" s="13">
        <f>SUMPRODUCT(N2450:Y2450,$N$2:$Y$2)*$K2450*$L2450*$M2450</f>
        <v/>
      </c>
      <c r="AA2450" s="14">
        <f>SUM(N2450:Y2450)</f>
        <v/>
      </c>
      <c r="AB2450" s="13">
        <f>SUMPRODUCT(N2450:Y2450,$N$3:$Y$3)*$K2450*$L2450*$M2450</f>
        <v/>
      </c>
      <c r="AC2450" s="13">
        <f>SUMPRODUCT(N2450:Y2450,$N$4:$Y$4)*$K2450*$L2450*$M2450</f>
        <v/>
      </c>
      <c r="AD2450" s="15" t="n">
        <v>1.8</v>
      </c>
      <c r="AE2450" s="11" t="n">
        <v>1.007530864197531</v>
      </c>
      <c r="AF2450" s="16">
        <f>SUMPRODUCT(N2450:Y2450,$N$5:$Y$5)*$K2450*$L2450*$M2450</f>
        <v/>
      </c>
      <c r="AG2450" s="16">
        <f>SUMPRODUCT(N2450:Y2450,$N$6:$Y$6)*$K2450*$L2450*$M2450</f>
        <v/>
      </c>
      <c r="AH2450" s="20" t="n"/>
    </row>
    <row r="2451">
      <c r="A2451" s="9" t="n">
        <v>828494</v>
      </c>
      <c r="B2451" s="9" t="inlineStr">
        <is>
          <t>Cohen Achen</t>
        </is>
      </c>
      <c r="C2451" s="9" t="inlineStr">
        <is>
          <t>BAL</t>
        </is>
      </c>
      <c r="D2451" s="9" t="n">
        <v>25</v>
      </c>
      <c r="E2451" s="18" t="inlineStr">
        <is>
          <t>R</t>
        </is>
      </c>
      <c r="F2451" s="18" t="n"/>
      <c r="G2451" s="9" t="n">
        <v>40.13333333333333</v>
      </c>
      <c r="H2451" s="9" t="n">
        <v>40.13333333333333</v>
      </c>
      <c r="I2451" s="9" t="inlineStr">
        <is>
          <t>Depth (no MLB IP)</t>
        </is>
      </c>
      <c r="J2451" s="18" t="inlineStr">
        <is>
          <t>Opening Day</t>
        </is>
      </c>
      <c r="K2451" s="11">
        <f>IFERROR(INDEX(Roles!$B$17:$B$20,MATCH(J2451,Roles!$A$17:$A$20,0)),1)</f>
        <v/>
      </c>
      <c r="L2451" s="19" t="n">
        <v>1</v>
      </c>
      <c r="M2451" s="11" t="n">
        <v>1</v>
      </c>
      <c r="N2451" s="19" t="n"/>
      <c r="O2451" s="19" t="n"/>
      <c r="P2451" s="19" t="n"/>
      <c r="Q2451" s="19" t="n"/>
      <c r="R2451" s="19" t="n"/>
      <c r="S2451" s="19" t="n"/>
      <c r="T2451" s="19" t="n"/>
      <c r="U2451" s="19" t="n"/>
      <c r="V2451" s="19" t="n"/>
      <c r="W2451" s="19" t="n"/>
      <c r="X2451" s="19" t="n"/>
      <c r="Y2451" s="19" t="n">
        <v>1</v>
      </c>
      <c r="Z2451" s="13">
        <f>SUMPRODUCT(N2451:Y2451,$N$2:$Y$2)*$K2451*$L2451*$M2451</f>
        <v/>
      </c>
      <c r="AA2451" s="14">
        <f>SUM(N2451:Y2451)</f>
        <v/>
      </c>
      <c r="AB2451" s="13">
        <f>SUMPRODUCT(N2451:Y2451,$N$3:$Y$3)*$K2451*$L2451*$M2451</f>
        <v/>
      </c>
      <c r="AC2451" s="13">
        <f>SUMPRODUCT(N2451:Y2451,$N$4:$Y$4)*$K2451*$L2451*$M2451</f>
        <v/>
      </c>
      <c r="AD2451" s="15" t="n">
        <v>3</v>
      </c>
      <c r="AE2451" s="11" t="n">
        <v>1.011296296296296</v>
      </c>
      <c r="AF2451" s="16">
        <f>SUMPRODUCT(N2451:Y2451,$N$5:$Y$5)*$K2451*$L2451*$M2451</f>
        <v/>
      </c>
      <c r="AG2451" s="16">
        <f>SUMPRODUCT(N2451:Y2451,$N$6:$Y$6)*$K2451*$L2451*$M2451</f>
        <v/>
      </c>
      <c r="AH2451" s="20" t="n"/>
    </row>
    <row r="2452">
      <c r="A2452" s="9" t="n">
        <v>703103</v>
      </c>
      <c r="B2452" s="9" t="inlineStr">
        <is>
          <t>Jordan Carr</t>
        </is>
      </c>
      <c r="C2452" s="9" t="inlineStr">
        <is>
          <t>HOU</t>
        </is>
      </c>
      <c r="D2452" s="9" t="n">
        <v>25</v>
      </c>
      <c r="E2452" s="18" t="inlineStr">
        <is>
          <t>L</t>
        </is>
      </c>
      <c r="F2452" s="18" t="n"/>
      <c r="G2452" s="9" t="n">
        <v>40.13333333333333</v>
      </c>
      <c r="H2452" s="9" t="n">
        <v>40.13333333333333</v>
      </c>
      <c r="I2452" s="9" t="inlineStr">
        <is>
          <t>Depth (no MLB IP)</t>
        </is>
      </c>
      <c r="J2452" s="18" t="inlineStr">
        <is>
          <t>Opening Day</t>
        </is>
      </c>
      <c r="K2452" s="11">
        <f>IFERROR(INDEX(Roles!$B$17:$B$20,MATCH(J2452,Roles!$A$17:$A$20,0)),1)</f>
        <v/>
      </c>
      <c r="L2452" s="19" t="n">
        <v>1</v>
      </c>
      <c r="M2452" s="11" t="n">
        <v>1</v>
      </c>
      <c r="N2452" s="19" t="n"/>
      <c r="O2452" s="19" t="n"/>
      <c r="P2452" s="19" t="n"/>
      <c r="Q2452" s="19" t="n"/>
      <c r="R2452" s="19" t="n"/>
      <c r="S2452" s="19" t="n"/>
      <c r="T2452" s="19" t="n"/>
      <c r="U2452" s="19" t="n"/>
      <c r="V2452" s="19" t="n"/>
      <c r="W2452" s="19" t="n"/>
      <c r="X2452" s="19" t="n"/>
      <c r="Y2452" s="19" t="n">
        <v>1</v>
      </c>
      <c r="Z2452" s="13">
        <f>SUMPRODUCT(N2452:Y2452,$N$2:$Y$2)*$K2452*$L2452*$M2452</f>
        <v/>
      </c>
      <c r="AA2452" s="14">
        <f>SUM(N2452:Y2452)</f>
        <v/>
      </c>
      <c r="AB2452" s="13">
        <f>SUMPRODUCT(N2452:Y2452,$N$3:$Y$3)*$K2452*$L2452*$M2452</f>
        <v/>
      </c>
      <c r="AC2452" s="13">
        <f>SUMPRODUCT(N2452:Y2452,$N$4:$Y$4)*$K2452*$L2452*$M2452</f>
        <v/>
      </c>
      <c r="AD2452" s="15" t="n">
        <v>3</v>
      </c>
      <c r="AE2452" s="11" t="n">
        <v>1.011296296296296</v>
      </c>
      <c r="AF2452" s="16">
        <f>SUMPRODUCT(N2452:Y2452,$N$5:$Y$5)*$K2452*$L2452*$M2452</f>
        <v/>
      </c>
      <c r="AG2452" s="16">
        <f>SUMPRODUCT(N2452:Y2452,$N$6:$Y$6)*$K2452*$L2452*$M2452</f>
        <v/>
      </c>
      <c r="AH2452" s="20" t="n"/>
    </row>
    <row r="2453">
      <c r="A2453" s="9" t="n">
        <v>622459</v>
      </c>
      <c r="B2453" s="9" t="inlineStr">
        <is>
          <t>Cristian Alvarado</t>
        </is>
      </c>
      <c r="C2453" s="9" t="inlineStr">
        <is>
          <t>SF</t>
        </is>
      </c>
      <c r="D2453" s="9" t="n">
        <v>25</v>
      </c>
      <c r="E2453" s="18" t="inlineStr">
        <is>
          <t>R</t>
        </is>
      </c>
      <c r="F2453" s="18" t="n"/>
      <c r="G2453" s="9" t="n">
        <v>40.205</v>
      </c>
      <c r="H2453" s="9" t="n">
        <v>40.205</v>
      </c>
      <c r="I2453" s="9" t="inlineStr">
        <is>
          <t>Depth (no MLB IP)</t>
        </is>
      </c>
      <c r="J2453" s="18" t="inlineStr">
        <is>
          <t>Opening Day</t>
        </is>
      </c>
      <c r="K2453" s="11">
        <f>IFERROR(INDEX(Roles!$B$17:$B$20,MATCH(J2453,Roles!$A$17:$A$20,0)),1)</f>
        <v/>
      </c>
      <c r="L2453" s="19" t="n">
        <v>1</v>
      </c>
      <c r="M2453" s="11" t="n">
        <v>1</v>
      </c>
      <c r="N2453" s="19" t="n"/>
      <c r="O2453" s="19" t="n"/>
      <c r="P2453" s="19" t="n"/>
      <c r="Q2453" s="19" t="n"/>
      <c r="R2453" s="19" t="n"/>
      <c r="S2453" s="19" t="n"/>
      <c r="T2453" s="19" t="n"/>
      <c r="U2453" s="19" t="n"/>
      <c r="V2453" s="19" t="n"/>
      <c r="W2453" s="19" t="n"/>
      <c r="X2453" s="19" t="n"/>
      <c r="Y2453" s="19" t="n">
        <v>1</v>
      </c>
      <c r="Z2453" s="13">
        <f>SUMPRODUCT(N2453:Y2453,$N$2:$Y$2)*$K2453*$L2453*$M2453</f>
        <v/>
      </c>
      <c r="AA2453" s="14">
        <f>SUM(N2453:Y2453)</f>
        <v/>
      </c>
      <c r="AB2453" s="13">
        <f>SUMPRODUCT(N2453:Y2453,$N$3:$Y$3)*$K2453*$L2453*$M2453</f>
        <v/>
      </c>
      <c r="AC2453" s="13">
        <f>SUMPRODUCT(N2453:Y2453,$N$4:$Y$4)*$K2453*$L2453*$M2453</f>
        <v/>
      </c>
      <c r="AD2453" s="15" t="n">
        <v>3</v>
      </c>
      <c r="AE2453" s="11" t="n">
        <v>1.011296296296296</v>
      </c>
      <c r="AF2453" s="16">
        <f>SUMPRODUCT(N2453:Y2453,$N$5:$Y$5)*$K2453*$L2453*$M2453</f>
        <v/>
      </c>
      <c r="AG2453" s="16">
        <f>SUMPRODUCT(N2453:Y2453,$N$6:$Y$6)*$K2453*$L2453*$M2453</f>
        <v/>
      </c>
      <c r="AH2453" s="20" t="n"/>
    </row>
    <row r="2454">
      <c r="A2454" s="9" t="n">
        <v>681987</v>
      </c>
      <c r="B2454" s="9" t="inlineStr">
        <is>
          <t>Nate Eaton</t>
        </is>
      </c>
      <c r="C2454" s="9" t="inlineStr">
        <is>
          <t>BOS</t>
        </is>
      </c>
      <c r="D2454" s="9" t="n">
        <v>30</v>
      </c>
      <c r="E2454" s="18" t="inlineStr">
        <is>
          <t>R</t>
        </is>
      </c>
      <c r="F2454" s="18" t="n"/>
      <c r="G2454" s="9" t="n">
        <v>4</v>
      </c>
      <c r="H2454" s="9" t="n">
        <v>9</v>
      </c>
      <c r="I2454" s="9" t="inlineStr">
        <is>
          <t>Depth (no MLB IP)</t>
        </is>
      </c>
      <c r="J2454" s="18" t="inlineStr">
        <is>
          <t>Opening Day</t>
        </is>
      </c>
      <c r="K2454" s="11">
        <f>IFERROR(INDEX(Roles!$B$17:$B$20,MATCH(J2454,Roles!$A$17:$A$20,0)),1)</f>
        <v/>
      </c>
      <c r="L2454" s="19" t="n">
        <v>1</v>
      </c>
      <c r="M2454" s="11" t="n">
        <v>1</v>
      </c>
      <c r="N2454" s="19" t="n"/>
      <c r="O2454" s="19" t="n"/>
      <c r="P2454" s="19" t="n"/>
      <c r="Q2454" s="19" t="n"/>
      <c r="R2454" s="19" t="n"/>
      <c r="S2454" s="19" t="n"/>
      <c r="T2454" s="19" t="n"/>
      <c r="U2454" s="19" t="n"/>
      <c r="V2454" s="19" t="n"/>
      <c r="W2454" s="19" t="n"/>
      <c r="X2454" s="19" t="n"/>
      <c r="Y2454" s="19" t="n">
        <v>1</v>
      </c>
      <c r="Z2454" s="13">
        <f>SUMPRODUCT(N2454:Y2454,$N$2:$Y$2)*$K2454*$L2454*$M2454</f>
        <v/>
      </c>
      <c r="AA2454" s="14">
        <f>SUM(N2454:Y2454)</f>
        <v/>
      </c>
      <c r="AB2454" s="13">
        <f>SUMPRODUCT(N2454:Y2454,$N$3:$Y$3)*$K2454*$L2454*$M2454</f>
        <v/>
      </c>
      <c r="AC2454" s="13">
        <f>SUMPRODUCT(N2454:Y2454,$N$4:$Y$4)*$K2454*$L2454*$M2454</f>
        <v/>
      </c>
      <c r="AD2454" s="15" t="n">
        <v>1.8</v>
      </c>
      <c r="AE2454" s="11" t="n">
        <v>1.007530864197531</v>
      </c>
      <c r="AF2454" s="16">
        <f>SUMPRODUCT(N2454:Y2454,$N$5:$Y$5)*$K2454*$L2454*$M2454</f>
        <v/>
      </c>
      <c r="AG2454" s="16">
        <f>SUMPRODUCT(N2454:Y2454,$N$6:$Y$6)*$K2454*$L2454*$M2454</f>
        <v/>
      </c>
      <c r="AH2454" s="20" t="n"/>
    </row>
    <row r="2455">
      <c r="A2455" s="9" t="n">
        <v>656976</v>
      </c>
      <c r="B2455" s="9" t="inlineStr">
        <is>
          <t>Pavin Smith</t>
        </is>
      </c>
      <c r="C2455" s="9" t="inlineStr">
        <is>
          <t>ARI</t>
        </is>
      </c>
      <c r="D2455" s="9" t="n">
        <v>31</v>
      </c>
      <c r="E2455" s="18" t="inlineStr">
        <is>
          <t>L</t>
        </is>
      </c>
      <c r="F2455" s="18" t="n"/>
      <c r="G2455" s="9" t="n">
        <v>5</v>
      </c>
      <c r="H2455" s="9" t="n">
        <v>5</v>
      </c>
      <c r="I2455" s="9" t="inlineStr">
        <is>
          <t>Depth (no MLB IP)</t>
        </is>
      </c>
      <c r="J2455" s="18" t="inlineStr">
        <is>
          <t>Opening Day</t>
        </is>
      </c>
      <c r="K2455" s="11">
        <f>IFERROR(INDEX(Roles!$B$17:$B$20,MATCH(J2455,Roles!$A$17:$A$20,0)),1)</f>
        <v/>
      </c>
      <c r="L2455" s="19" t="n">
        <v>1</v>
      </c>
      <c r="M2455" s="11" t="n">
        <v>1</v>
      </c>
      <c r="N2455" s="19" t="n"/>
      <c r="O2455" s="19" t="n"/>
      <c r="P2455" s="19" t="n"/>
      <c r="Q2455" s="19" t="n"/>
      <c r="R2455" s="19" t="n"/>
      <c r="S2455" s="19" t="n"/>
      <c r="T2455" s="19" t="n"/>
      <c r="U2455" s="19" t="n"/>
      <c r="V2455" s="19" t="n"/>
      <c r="W2455" s="19" t="n"/>
      <c r="X2455" s="19" t="n"/>
      <c r="Y2455" s="19" t="n">
        <v>1</v>
      </c>
      <c r="Z2455" s="13">
        <f>SUMPRODUCT(N2455:Y2455,$N$2:$Y$2)*$K2455*$L2455*$M2455</f>
        <v/>
      </c>
      <c r="AA2455" s="14">
        <f>SUM(N2455:Y2455)</f>
        <v/>
      </c>
      <c r="AB2455" s="13">
        <f>SUMPRODUCT(N2455:Y2455,$N$3:$Y$3)*$K2455*$L2455*$M2455</f>
        <v/>
      </c>
      <c r="AC2455" s="13">
        <f>SUMPRODUCT(N2455:Y2455,$N$4:$Y$4)*$K2455*$L2455*$M2455</f>
        <v/>
      </c>
      <c r="AD2455" s="15" t="n">
        <v>1.8</v>
      </c>
      <c r="AE2455" s="11" t="n">
        <v>1.007530864197531</v>
      </c>
      <c r="AF2455" s="16">
        <f>SUMPRODUCT(N2455:Y2455,$N$5:$Y$5)*$K2455*$L2455*$M2455</f>
        <v/>
      </c>
      <c r="AG2455" s="16">
        <f>SUMPRODUCT(N2455:Y2455,$N$6:$Y$6)*$K2455*$L2455*$M2455</f>
        <v/>
      </c>
      <c r="AH2455" s="20" t="n"/>
    </row>
    <row r="2456">
      <c r="A2456" s="9" t="n">
        <v>800321</v>
      </c>
      <c r="B2456" s="9" t="inlineStr">
        <is>
          <t>Raimy Rodriguez</t>
        </is>
      </c>
      <c r="C2456" s="9" t="inlineStr">
        <is>
          <t>HOU</t>
        </is>
      </c>
      <c r="D2456" s="9" t="n">
        <v>25</v>
      </c>
      <c r="E2456" s="18" t="inlineStr">
        <is>
          <t>R</t>
        </is>
      </c>
      <c r="F2456" s="18" t="n"/>
      <c r="G2456" s="9" t="n">
        <v>40.42</v>
      </c>
      <c r="H2456" s="9" t="n">
        <v>40.42</v>
      </c>
      <c r="I2456" s="9" t="inlineStr">
        <is>
          <t>Depth (no MLB IP)</t>
        </is>
      </c>
      <c r="J2456" s="18" t="inlineStr">
        <is>
          <t>Opening Day</t>
        </is>
      </c>
      <c r="K2456" s="11">
        <f>IFERROR(INDEX(Roles!$B$17:$B$20,MATCH(J2456,Roles!$A$17:$A$20,0)),1)</f>
        <v/>
      </c>
      <c r="L2456" s="19" t="n">
        <v>1</v>
      </c>
      <c r="M2456" s="11" t="n">
        <v>1</v>
      </c>
      <c r="N2456" s="19" t="n"/>
      <c r="O2456" s="19" t="n"/>
      <c r="P2456" s="19" t="n"/>
      <c r="Q2456" s="19" t="n"/>
      <c r="R2456" s="19" t="n"/>
      <c r="S2456" s="19" t="n"/>
      <c r="T2456" s="19" t="n"/>
      <c r="U2456" s="19" t="n"/>
      <c r="V2456" s="19" t="n"/>
      <c r="W2456" s="19" t="n"/>
      <c r="X2456" s="19" t="n"/>
      <c r="Y2456" s="19" t="n">
        <v>1</v>
      </c>
      <c r="Z2456" s="13">
        <f>SUMPRODUCT(N2456:Y2456,$N$2:$Y$2)*$K2456*$L2456*$M2456</f>
        <v/>
      </c>
      <c r="AA2456" s="14">
        <f>SUM(N2456:Y2456)</f>
        <v/>
      </c>
      <c r="AB2456" s="13">
        <f>SUMPRODUCT(N2456:Y2456,$N$3:$Y$3)*$K2456*$L2456*$M2456</f>
        <v/>
      </c>
      <c r="AC2456" s="13">
        <f>SUMPRODUCT(N2456:Y2456,$N$4:$Y$4)*$K2456*$L2456*$M2456</f>
        <v/>
      </c>
      <c r="AD2456" s="15" t="n">
        <v>3</v>
      </c>
      <c r="AE2456" s="11" t="n">
        <v>1.011296296296296</v>
      </c>
      <c r="AF2456" s="16">
        <f>SUMPRODUCT(N2456:Y2456,$N$5:$Y$5)*$K2456*$L2456*$M2456</f>
        <v/>
      </c>
      <c r="AG2456" s="16">
        <f>SUMPRODUCT(N2456:Y2456,$N$6:$Y$6)*$K2456*$L2456*$M2456</f>
        <v/>
      </c>
      <c r="AH2456" s="20" t="n"/>
    </row>
    <row r="2457">
      <c r="A2457" s="9" t="n">
        <v>803286</v>
      </c>
      <c r="B2457" s="9" t="inlineStr">
        <is>
          <t>Ben Bybee</t>
        </is>
      </c>
      <c r="C2457" s="9" t="inlineStr">
        <is>
          <t>SF</t>
        </is>
      </c>
      <c r="D2457" s="9" t="n">
        <v>25</v>
      </c>
      <c r="E2457" s="18" t="inlineStr">
        <is>
          <t>R</t>
        </is>
      </c>
      <c r="F2457" s="18" t="n"/>
      <c r="G2457" s="9" t="n">
        <v>40.42</v>
      </c>
      <c r="H2457" s="9" t="n">
        <v>40.42</v>
      </c>
      <c r="I2457" s="9" t="inlineStr">
        <is>
          <t>Depth (no MLB IP)</t>
        </is>
      </c>
      <c r="J2457" s="18" t="inlineStr">
        <is>
          <t>Opening Day</t>
        </is>
      </c>
      <c r="K2457" s="11">
        <f>IFERROR(INDEX(Roles!$B$17:$B$20,MATCH(J2457,Roles!$A$17:$A$20,0)),1)</f>
        <v/>
      </c>
      <c r="L2457" s="19" t="n">
        <v>1</v>
      </c>
      <c r="M2457" s="11" t="n">
        <v>1</v>
      </c>
      <c r="N2457" s="19" t="n"/>
      <c r="O2457" s="19" t="n"/>
      <c r="P2457" s="19" t="n"/>
      <c r="Q2457" s="19" t="n"/>
      <c r="R2457" s="19" t="n"/>
      <c r="S2457" s="19" t="n"/>
      <c r="T2457" s="19" t="n"/>
      <c r="U2457" s="19" t="n"/>
      <c r="V2457" s="19" t="n"/>
      <c r="W2457" s="19" t="n"/>
      <c r="X2457" s="19" t="n"/>
      <c r="Y2457" s="19" t="n">
        <v>1</v>
      </c>
      <c r="Z2457" s="13">
        <f>SUMPRODUCT(N2457:Y2457,$N$2:$Y$2)*$K2457*$L2457*$M2457</f>
        <v/>
      </c>
      <c r="AA2457" s="14">
        <f>SUM(N2457:Y2457)</f>
        <v/>
      </c>
      <c r="AB2457" s="13">
        <f>SUMPRODUCT(N2457:Y2457,$N$3:$Y$3)*$K2457*$L2457*$M2457</f>
        <v/>
      </c>
      <c r="AC2457" s="13">
        <f>SUMPRODUCT(N2457:Y2457,$N$4:$Y$4)*$K2457*$L2457*$M2457</f>
        <v/>
      </c>
      <c r="AD2457" s="15" t="n">
        <v>3</v>
      </c>
      <c r="AE2457" s="11" t="n">
        <v>1.011296296296296</v>
      </c>
      <c r="AF2457" s="16">
        <f>SUMPRODUCT(N2457:Y2457,$N$5:$Y$5)*$K2457*$L2457*$M2457</f>
        <v/>
      </c>
      <c r="AG2457" s="16">
        <f>SUMPRODUCT(N2457:Y2457,$N$6:$Y$6)*$K2457*$L2457*$M2457</f>
        <v/>
      </c>
      <c r="AH2457" s="20" t="n"/>
    </row>
    <row r="2458">
      <c r="A2458" s="9" t="n">
        <v>702751</v>
      </c>
      <c r="B2458" s="9" t="inlineStr">
        <is>
          <t>Jose Geraldo</t>
        </is>
      </c>
      <c r="C2458" s="9" t="inlineStr">
        <is>
          <t>SEA</t>
        </is>
      </c>
      <c r="D2458" s="9" t="n">
        <v>25</v>
      </c>
      <c r="E2458" s="18" t="inlineStr">
        <is>
          <t>R</t>
        </is>
      </c>
      <c r="F2458" s="18" t="n"/>
      <c r="G2458" s="9" t="n">
        <v>40.42</v>
      </c>
      <c r="H2458" s="9" t="n">
        <v>40.42</v>
      </c>
      <c r="I2458" s="9" t="inlineStr">
        <is>
          <t>Depth (no MLB IP)</t>
        </is>
      </c>
      <c r="J2458" s="18" t="inlineStr">
        <is>
          <t>Opening Day</t>
        </is>
      </c>
      <c r="K2458" s="11">
        <f>IFERROR(INDEX(Roles!$B$17:$B$20,MATCH(J2458,Roles!$A$17:$A$20,0)),1)</f>
        <v/>
      </c>
      <c r="L2458" s="19" t="n">
        <v>1</v>
      </c>
      <c r="M2458" s="11" t="n">
        <v>1</v>
      </c>
      <c r="N2458" s="19" t="n"/>
      <c r="O2458" s="19" t="n"/>
      <c r="P2458" s="19" t="n"/>
      <c r="Q2458" s="19" t="n"/>
      <c r="R2458" s="19" t="n"/>
      <c r="S2458" s="19" t="n"/>
      <c r="T2458" s="19" t="n"/>
      <c r="U2458" s="19" t="n"/>
      <c r="V2458" s="19" t="n"/>
      <c r="W2458" s="19" t="n"/>
      <c r="X2458" s="19" t="n"/>
      <c r="Y2458" s="19" t="n">
        <v>1</v>
      </c>
      <c r="Z2458" s="13">
        <f>SUMPRODUCT(N2458:Y2458,$N$2:$Y$2)*$K2458*$L2458*$M2458</f>
        <v/>
      </c>
      <c r="AA2458" s="14">
        <f>SUM(N2458:Y2458)</f>
        <v/>
      </c>
      <c r="AB2458" s="13">
        <f>SUMPRODUCT(N2458:Y2458,$N$3:$Y$3)*$K2458*$L2458*$M2458</f>
        <v/>
      </c>
      <c r="AC2458" s="13">
        <f>SUMPRODUCT(N2458:Y2458,$N$4:$Y$4)*$K2458*$L2458*$M2458</f>
        <v/>
      </c>
      <c r="AD2458" s="15" t="n">
        <v>3</v>
      </c>
      <c r="AE2458" s="11" t="n">
        <v>1.011296296296296</v>
      </c>
      <c r="AF2458" s="16">
        <f>SUMPRODUCT(N2458:Y2458,$N$5:$Y$5)*$K2458*$L2458*$M2458</f>
        <v/>
      </c>
      <c r="AG2458" s="16">
        <f>SUMPRODUCT(N2458:Y2458,$N$6:$Y$6)*$K2458*$L2458*$M2458</f>
        <v/>
      </c>
      <c r="AH2458" s="20" t="n"/>
    </row>
    <row r="2459">
      <c r="A2459" s="9" t="n">
        <v>677955</v>
      </c>
      <c r="B2459" s="9" t="inlineStr">
        <is>
          <t>Jaden Hill</t>
        </is>
      </c>
      <c r="C2459" s="9" t="inlineStr">
        <is>
          <t>COL</t>
        </is>
      </c>
      <c r="D2459" s="9" t="n">
        <v>27</v>
      </c>
      <c r="E2459" s="18" t="inlineStr">
        <is>
          <t>R</t>
        </is>
      </c>
      <c r="F2459" s="18" t="n"/>
      <c r="G2459" s="9" t="n">
        <v>181</v>
      </c>
      <c r="H2459" s="9" t="n">
        <v>355</v>
      </c>
      <c r="I2459" s="9" t="inlineStr">
        <is>
          <t>Late Inning RP (Setup)</t>
        </is>
      </c>
      <c r="J2459" s="18" t="inlineStr">
        <is>
          <t>Opening Day</t>
        </is>
      </c>
      <c r="K2459" s="11">
        <f>IFERROR(INDEX(Roles!$B$17:$B$20,MATCH(J2459,Roles!$A$17:$A$20,0)),1)</f>
        <v/>
      </c>
      <c r="L2459" s="19" t="n">
        <v>1</v>
      </c>
      <c r="M2459" s="11" t="n">
        <v>1</v>
      </c>
      <c r="N2459" s="19" t="n"/>
      <c r="O2459" s="19" t="n"/>
      <c r="P2459" s="19" t="n"/>
      <c r="Q2459" s="19" t="n"/>
      <c r="R2459" s="19" t="n"/>
      <c r="S2459" s="19" t="n"/>
      <c r="T2459" s="19" t="n"/>
      <c r="U2459" s="19" t="n">
        <v>0.6</v>
      </c>
      <c r="V2459" s="19" t="n">
        <v>0.4</v>
      </c>
      <c r="W2459" s="19" t="n"/>
      <c r="X2459" s="19" t="n"/>
      <c r="Y2459" s="19" t="n"/>
      <c r="Z2459" s="13">
        <f>SUMPRODUCT(N2459:Y2459,$N$2:$Y$2)*$K2459*$L2459*$M2459</f>
        <v/>
      </c>
      <c r="AA2459" s="14">
        <f>SUM(N2459:Y2459)</f>
        <v/>
      </c>
      <c r="AB2459" s="13">
        <f>SUMPRODUCT(N2459:Y2459,$N$3:$Y$3)*$K2459*$L2459*$M2459</f>
        <v/>
      </c>
      <c r="AC2459" s="13">
        <f>SUMPRODUCT(N2459:Y2459,$N$4:$Y$4)*$K2459*$L2459*$M2459</f>
        <v/>
      </c>
      <c r="AD2459" s="15" t="n">
        <v>39.5</v>
      </c>
      <c r="AE2459" s="11" t="n">
        <v>0.9689723590585658</v>
      </c>
      <c r="AF2459" s="16">
        <f>SUMPRODUCT(N2459:Y2459,$N$5:$Y$5)*$K2459*$L2459*$M2459</f>
        <v/>
      </c>
      <c r="AG2459" s="16">
        <f>SUMPRODUCT(N2459:Y2459,$N$6:$Y$6)*$K2459*$L2459*$M2459</f>
        <v/>
      </c>
      <c r="AH2459" s="20" t="n"/>
    </row>
    <row r="2460">
      <c r="A2460" s="9" t="n">
        <v>834873</v>
      </c>
      <c r="B2460" s="9" t="inlineStr">
        <is>
          <t>Jacob Kuhn</t>
        </is>
      </c>
      <c r="C2460" s="9" t="inlineStr">
        <is>
          <t>TB</t>
        </is>
      </c>
      <c r="D2460" s="9" t="n">
        <v>25</v>
      </c>
      <c r="E2460" s="18" t="inlineStr">
        <is>
          <t>R</t>
        </is>
      </c>
      <c r="F2460" s="18" t="n"/>
      <c r="G2460" s="9" t="n">
        <v>40.592</v>
      </c>
      <c r="H2460" s="9" t="n">
        <v>40.592</v>
      </c>
      <c r="I2460" s="9" t="inlineStr">
        <is>
          <t>Depth (no MLB IP)</t>
        </is>
      </c>
      <c r="J2460" s="18" t="inlineStr">
        <is>
          <t>Opening Day</t>
        </is>
      </c>
      <c r="K2460" s="11">
        <f>IFERROR(INDEX(Roles!$B$17:$B$20,MATCH(J2460,Roles!$A$17:$A$20,0)),1)</f>
        <v/>
      </c>
      <c r="L2460" s="19" t="n">
        <v>1</v>
      </c>
      <c r="M2460" s="11" t="n">
        <v>1</v>
      </c>
      <c r="N2460" s="19" t="n"/>
      <c r="O2460" s="19" t="n"/>
      <c r="P2460" s="19" t="n"/>
      <c r="Q2460" s="19" t="n"/>
      <c r="R2460" s="19" t="n"/>
      <c r="S2460" s="19" t="n"/>
      <c r="T2460" s="19" t="n"/>
      <c r="U2460" s="19" t="n"/>
      <c r="V2460" s="19" t="n"/>
      <c r="W2460" s="19" t="n"/>
      <c r="X2460" s="19" t="n"/>
      <c r="Y2460" s="19" t="n">
        <v>1</v>
      </c>
      <c r="Z2460" s="13">
        <f>SUMPRODUCT(N2460:Y2460,$N$2:$Y$2)*$K2460*$L2460*$M2460</f>
        <v/>
      </c>
      <c r="AA2460" s="14">
        <f>SUM(N2460:Y2460)</f>
        <v/>
      </c>
      <c r="AB2460" s="13">
        <f>SUMPRODUCT(N2460:Y2460,$N$3:$Y$3)*$K2460*$L2460*$M2460</f>
        <v/>
      </c>
      <c r="AC2460" s="13">
        <f>SUMPRODUCT(N2460:Y2460,$N$4:$Y$4)*$K2460*$L2460*$M2460</f>
        <v/>
      </c>
      <c r="AD2460" s="15" t="n">
        <v>3</v>
      </c>
      <c r="AE2460" s="11" t="n">
        <v>1.011296296296296</v>
      </c>
      <c r="AF2460" s="16">
        <f>SUMPRODUCT(N2460:Y2460,$N$5:$Y$5)*$K2460*$L2460*$M2460</f>
        <v/>
      </c>
      <c r="AG2460" s="16">
        <f>SUMPRODUCT(N2460:Y2460,$N$6:$Y$6)*$K2460*$L2460*$M2460</f>
        <v/>
      </c>
      <c r="AH2460" s="20" t="n"/>
    </row>
    <row r="2461">
      <c r="A2461" s="9" t="n">
        <v>823990</v>
      </c>
      <c r="B2461" s="9" t="inlineStr">
        <is>
          <t>Zane Taylor</t>
        </is>
      </c>
      <c r="C2461" s="9" t="inlineStr">
        <is>
          <t>OAK</t>
        </is>
      </c>
      <c r="D2461" s="9" t="n">
        <v>25</v>
      </c>
      <c r="E2461" s="18" t="inlineStr">
        <is>
          <t>R</t>
        </is>
      </c>
      <c r="F2461" s="18" t="n"/>
      <c r="G2461" s="9" t="n">
        <v>40.635</v>
      </c>
      <c r="H2461" s="9" t="n">
        <v>40.635</v>
      </c>
      <c r="I2461" s="9" t="inlineStr">
        <is>
          <t>Depth (no MLB IP)</t>
        </is>
      </c>
      <c r="J2461" s="18" t="inlineStr">
        <is>
          <t>Opening Day</t>
        </is>
      </c>
      <c r="K2461" s="11">
        <f>IFERROR(INDEX(Roles!$B$17:$B$20,MATCH(J2461,Roles!$A$17:$A$20,0)),1)</f>
        <v/>
      </c>
      <c r="L2461" s="19" t="n">
        <v>1</v>
      </c>
      <c r="M2461" s="11" t="n">
        <v>1</v>
      </c>
      <c r="N2461" s="19" t="n"/>
      <c r="O2461" s="19" t="n"/>
      <c r="P2461" s="19" t="n"/>
      <c r="Q2461" s="19" t="n"/>
      <c r="R2461" s="19" t="n"/>
      <c r="S2461" s="19" t="n"/>
      <c r="T2461" s="19" t="n"/>
      <c r="U2461" s="19" t="n"/>
      <c r="V2461" s="19" t="n"/>
      <c r="W2461" s="19" t="n"/>
      <c r="X2461" s="19" t="n"/>
      <c r="Y2461" s="19" t="n">
        <v>1</v>
      </c>
      <c r="Z2461" s="13">
        <f>SUMPRODUCT(N2461:Y2461,$N$2:$Y$2)*$K2461*$L2461*$M2461</f>
        <v/>
      </c>
      <c r="AA2461" s="14">
        <f>SUM(N2461:Y2461)</f>
        <v/>
      </c>
      <c r="AB2461" s="13">
        <f>SUMPRODUCT(N2461:Y2461,$N$3:$Y$3)*$K2461*$L2461*$M2461</f>
        <v/>
      </c>
      <c r="AC2461" s="13">
        <f>SUMPRODUCT(N2461:Y2461,$N$4:$Y$4)*$K2461*$L2461*$M2461</f>
        <v/>
      </c>
      <c r="AD2461" s="15" t="n">
        <v>3</v>
      </c>
      <c r="AE2461" s="11" t="n">
        <v>1.011296296296296</v>
      </c>
      <c r="AF2461" s="16">
        <f>SUMPRODUCT(N2461:Y2461,$N$5:$Y$5)*$K2461*$L2461*$M2461</f>
        <v/>
      </c>
      <c r="AG2461" s="16">
        <f>SUMPRODUCT(N2461:Y2461,$N$6:$Y$6)*$K2461*$L2461*$M2461</f>
        <v/>
      </c>
      <c r="AH2461" s="20" t="n"/>
    </row>
    <row r="2462">
      <c r="A2462" s="9" t="n">
        <v>823358</v>
      </c>
      <c r="B2462" s="9" t="inlineStr">
        <is>
          <t>Zuher Yousuf</t>
        </is>
      </c>
      <c r="C2462" s="9" t="inlineStr">
        <is>
          <t>PHI</t>
        </is>
      </c>
      <c r="D2462" s="9" t="n">
        <v>25</v>
      </c>
      <c r="E2462" s="18" t="inlineStr">
        <is>
          <t>L</t>
        </is>
      </c>
      <c r="F2462" s="18" t="n"/>
      <c r="G2462" s="9" t="n">
        <v>40.592</v>
      </c>
      <c r="H2462" s="9" t="n">
        <v>40.592</v>
      </c>
      <c r="I2462" s="9" t="inlineStr">
        <is>
          <t>Depth (no MLB IP)</t>
        </is>
      </c>
      <c r="J2462" s="18" t="inlineStr">
        <is>
          <t>Opening Day</t>
        </is>
      </c>
      <c r="K2462" s="11">
        <f>IFERROR(INDEX(Roles!$B$17:$B$20,MATCH(J2462,Roles!$A$17:$A$20,0)),1)</f>
        <v/>
      </c>
      <c r="L2462" s="19" t="n">
        <v>1</v>
      </c>
      <c r="M2462" s="11" t="n">
        <v>1</v>
      </c>
      <c r="N2462" s="19" t="n"/>
      <c r="O2462" s="19" t="n"/>
      <c r="P2462" s="19" t="n"/>
      <c r="Q2462" s="19" t="n"/>
      <c r="R2462" s="19" t="n"/>
      <c r="S2462" s="19" t="n"/>
      <c r="T2462" s="19" t="n"/>
      <c r="U2462" s="19" t="n"/>
      <c r="V2462" s="19" t="n"/>
      <c r="W2462" s="19" t="n"/>
      <c r="X2462" s="19" t="n"/>
      <c r="Y2462" s="19" t="n">
        <v>1</v>
      </c>
      <c r="Z2462" s="13">
        <f>SUMPRODUCT(N2462:Y2462,$N$2:$Y$2)*$K2462*$L2462*$M2462</f>
        <v/>
      </c>
      <c r="AA2462" s="14">
        <f>SUM(N2462:Y2462)</f>
        <v/>
      </c>
      <c r="AB2462" s="13">
        <f>SUMPRODUCT(N2462:Y2462,$N$3:$Y$3)*$K2462*$L2462*$M2462</f>
        <v/>
      </c>
      <c r="AC2462" s="13">
        <f>SUMPRODUCT(N2462:Y2462,$N$4:$Y$4)*$K2462*$L2462*$M2462</f>
        <v/>
      </c>
      <c r="AD2462" s="15" t="n">
        <v>3</v>
      </c>
      <c r="AE2462" s="11" t="n">
        <v>1.011296296296296</v>
      </c>
      <c r="AF2462" s="16">
        <f>SUMPRODUCT(N2462:Y2462,$N$5:$Y$5)*$K2462*$L2462*$M2462</f>
        <v/>
      </c>
      <c r="AG2462" s="16">
        <f>SUMPRODUCT(N2462:Y2462,$N$6:$Y$6)*$K2462*$L2462*$M2462</f>
        <v/>
      </c>
      <c r="AH2462" s="20" t="n"/>
    </row>
    <row r="2463">
      <c r="A2463" s="9" t="n">
        <v>806303</v>
      </c>
      <c r="B2463" s="9" t="inlineStr">
        <is>
          <t>Zach Jacobs</t>
        </is>
      </c>
      <c r="C2463" s="9" t="inlineStr">
        <is>
          <t>CLE</t>
        </is>
      </c>
      <c r="D2463" s="9" t="n">
        <v>25</v>
      </c>
      <c r="E2463" s="18" t="inlineStr">
        <is>
          <t>R</t>
        </is>
      </c>
      <c r="F2463" s="18" t="n"/>
      <c r="G2463" s="9" t="n">
        <v>40.635</v>
      </c>
      <c r="H2463" s="9" t="n">
        <v>40.635</v>
      </c>
      <c r="I2463" s="9" t="inlineStr">
        <is>
          <t>Depth (no MLB IP)</t>
        </is>
      </c>
      <c r="J2463" s="18" t="inlineStr">
        <is>
          <t>Opening Day</t>
        </is>
      </c>
      <c r="K2463" s="11">
        <f>IFERROR(INDEX(Roles!$B$17:$B$20,MATCH(J2463,Roles!$A$17:$A$20,0)),1)</f>
        <v/>
      </c>
      <c r="L2463" s="19" t="n">
        <v>1</v>
      </c>
      <c r="M2463" s="11" t="n">
        <v>1</v>
      </c>
      <c r="N2463" s="19" t="n"/>
      <c r="O2463" s="19" t="n"/>
      <c r="P2463" s="19" t="n"/>
      <c r="Q2463" s="19" t="n"/>
      <c r="R2463" s="19" t="n"/>
      <c r="S2463" s="19" t="n"/>
      <c r="T2463" s="19" t="n"/>
      <c r="U2463" s="19" t="n"/>
      <c r="V2463" s="19" t="n"/>
      <c r="W2463" s="19" t="n"/>
      <c r="X2463" s="19" t="n"/>
      <c r="Y2463" s="19" t="n">
        <v>1</v>
      </c>
      <c r="Z2463" s="13">
        <f>SUMPRODUCT(N2463:Y2463,$N$2:$Y$2)*$K2463*$L2463*$M2463</f>
        <v/>
      </c>
      <c r="AA2463" s="14">
        <f>SUM(N2463:Y2463)</f>
        <v/>
      </c>
      <c r="AB2463" s="13">
        <f>SUMPRODUCT(N2463:Y2463,$N$3:$Y$3)*$K2463*$L2463*$M2463</f>
        <v/>
      </c>
      <c r="AC2463" s="13">
        <f>SUMPRODUCT(N2463:Y2463,$N$4:$Y$4)*$K2463*$L2463*$M2463</f>
        <v/>
      </c>
      <c r="AD2463" s="15" t="n">
        <v>3</v>
      </c>
      <c r="AE2463" s="11" t="n">
        <v>1.011296296296296</v>
      </c>
      <c r="AF2463" s="16">
        <f>SUMPRODUCT(N2463:Y2463,$N$5:$Y$5)*$K2463*$L2463*$M2463</f>
        <v/>
      </c>
      <c r="AG2463" s="16">
        <f>SUMPRODUCT(N2463:Y2463,$N$6:$Y$6)*$K2463*$L2463*$M2463</f>
        <v/>
      </c>
      <c r="AH2463" s="20" t="n"/>
    </row>
    <row r="2464">
      <c r="A2464" s="9" t="n">
        <v>702505</v>
      </c>
      <c r="B2464" s="9" t="inlineStr">
        <is>
          <t>J.D. Thompson</t>
        </is>
      </c>
      <c r="C2464" s="9" t="inlineStr">
        <is>
          <t>MIL</t>
        </is>
      </c>
      <c r="D2464" s="9" t="n">
        <v>25</v>
      </c>
      <c r="E2464" s="18" t="inlineStr">
        <is>
          <t>L</t>
        </is>
      </c>
      <c r="F2464" s="18" t="n"/>
      <c r="G2464" s="9" t="n">
        <v>40.635</v>
      </c>
      <c r="H2464" s="9" t="n">
        <v>40.635</v>
      </c>
      <c r="I2464" s="9" t="inlineStr">
        <is>
          <t>Depth (no MLB IP)</t>
        </is>
      </c>
      <c r="J2464" s="18" t="inlineStr">
        <is>
          <t>Opening Day</t>
        </is>
      </c>
      <c r="K2464" s="11">
        <f>IFERROR(INDEX(Roles!$B$17:$B$20,MATCH(J2464,Roles!$A$17:$A$20,0)),1)</f>
        <v/>
      </c>
      <c r="L2464" s="19" t="n">
        <v>1</v>
      </c>
      <c r="M2464" s="11" t="n">
        <v>1</v>
      </c>
      <c r="N2464" s="19" t="n"/>
      <c r="O2464" s="19" t="n"/>
      <c r="P2464" s="19" t="n"/>
      <c r="Q2464" s="19" t="n"/>
      <c r="R2464" s="19" t="n"/>
      <c r="S2464" s="19" t="n"/>
      <c r="T2464" s="19" t="n"/>
      <c r="U2464" s="19" t="n"/>
      <c r="V2464" s="19" t="n"/>
      <c r="W2464" s="19" t="n"/>
      <c r="X2464" s="19" t="n"/>
      <c r="Y2464" s="19" t="n">
        <v>1</v>
      </c>
      <c r="Z2464" s="13">
        <f>SUMPRODUCT(N2464:Y2464,$N$2:$Y$2)*$K2464*$L2464*$M2464</f>
        <v/>
      </c>
      <c r="AA2464" s="14">
        <f>SUM(N2464:Y2464)</f>
        <v/>
      </c>
      <c r="AB2464" s="13">
        <f>SUMPRODUCT(N2464:Y2464,$N$3:$Y$3)*$K2464*$L2464*$M2464</f>
        <v/>
      </c>
      <c r="AC2464" s="13">
        <f>SUMPRODUCT(N2464:Y2464,$N$4:$Y$4)*$K2464*$L2464*$M2464</f>
        <v/>
      </c>
      <c r="AD2464" s="15" t="n">
        <v>3</v>
      </c>
      <c r="AE2464" s="11" t="n">
        <v>1.011296296296296</v>
      </c>
      <c r="AF2464" s="16">
        <f>SUMPRODUCT(N2464:Y2464,$N$5:$Y$5)*$K2464*$L2464*$M2464</f>
        <v/>
      </c>
      <c r="AG2464" s="16">
        <f>SUMPRODUCT(N2464:Y2464,$N$6:$Y$6)*$K2464*$L2464*$M2464</f>
        <v/>
      </c>
      <c r="AH2464" s="20" t="n"/>
    </row>
    <row r="2465">
      <c r="A2465" s="9" t="n">
        <v>656669</v>
      </c>
      <c r="B2465" s="9" t="inlineStr">
        <is>
          <t>Jordan Luplow</t>
        </is>
      </c>
      <c r="C2465" s="9" t="inlineStr">
        <is>
          <t>MIN</t>
        </is>
      </c>
      <c r="D2465" s="9" t="n">
        <v>33</v>
      </c>
      <c r="E2465" s="18" t="inlineStr">
        <is>
          <t>R</t>
        </is>
      </c>
      <c r="F2465" s="18" t="n"/>
      <c r="G2465" s="9" t="n">
        <v>6</v>
      </c>
      <c r="H2465" s="9" t="n">
        <v>6</v>
      </c>
      <c r="I2465" s="9" t="inlineStr">
        <is>
          <t>Depth (no MLB IP)</t>
        </is>
      </c>
      <c r="J2465" s="18" t="inlineStr">
        <is>
          <t>Opening Day</t>
        </is>
      </c>
      <c r="K2465" s="11">
        <f>IFERROR(INDEX(Roles!$B$17:$B$20,MATCH(J2465,Roles!$A$17:$A$20,0)),1)</f>
        <v/>
      </c>
      <c r="L2465" s="19" t="n">
        <v>1</v>
      </c>
      <c r="M2465" s="11" t="n">
        <v>1</v>
      </c>
      <c r="N2465" s="19" t="n"/>
      <c r="O2465" s="19" t="n"/>
      <c r="P2465" s="19" t="n"/>
      <c r="Q2465" s="19" t="n"/>
      <c r="R2465" s="19" t="n"/>
      <c r="S2465" s="19" t="n"/>
      <c r="T2465" s="19" t="n"/>
      <c r="U2465" s="19" t="n"/>
      <c r="V2465" s="19" t="n"/>
      <c r="W2465" s="19" t="n"/>
      <c r="X2465" s="19" t="n"/>
      <c r="Y2465" s="19" t="n">
        <v>1</v>
      </c>
      <c r="Z2465" s="13">
        <f>SUMPRODUCT(N2465:Y2465,$N$2:$Y$2)*$K2465*$L2465*$M2465</f>
        <v/>
      </c>
      <c r="AA2465" s="14">
        <f>SUM(N2465:Y2465)</f>
        <v/>
      </c>
      <c r="AB2465" s="13">
        <f>SUMPRODUCT(N2465:Y2465,$N$3:$Y$3)*$K2465*$L2465*$M2465</f>
        <v/>
      </c>
      <c r="AC2465" s="13">
        <f>SUMPRODUCT(N2465:Y2465,$N$4:$Y$4)*$K2465*$L2465*$M2465</f>
        <v/>
      </c>
      <c r="AD2465" s="15" t="n">
        <v>3</v>
      </c>
      <c r="AE2465" s="11" t="n">
        <v>1.011296296296296</v>
      </c>
      <c r="AF2465" s="16">
        <f>SUMPRODUCT(N2465:Y2465,$N$5:$Y$5)*$K2465*$L2465*$M2465</f>
        <v/>
      </c>
      <c r="AG2465" s="16">
        <f>SUMPRODUCT(N2465:Y2465,$N$6:$Y$6)*$K2465*$L2465*$M2465</f>
        <v/>
      </c>
      <c r="AH2465" s="20" t="n"/>
    </row>
    <row r="2466">
      <c r="A2466" s="9" t="n">
        <v>831093</v>
      </c>
      <c r="B2466" s="9" t="inlineStr">
        <is>
          <t>Matt Lanzendorfer</t>
        </is>
      </c>
      <c r="C2466" s="9" t="inlineStr">
        <is>
          <t>LAD</t>
        </is>
      </c>
      <c r="D2466" s="9" t="n">
        <v>25</v>
      </c>
      <c r="E2466" s="18" t="inlineStr">
        <is>
          <t>L</t>
        </is>
      </c>
      <c r="F2466" s="18" t="n"/>
      <c r="G2466" s="9" t="n">
        <v>40.70666666666667</v>
      </c>
      <c r="H2466" s="9" t="n">
        <v>40.70666666666667</v>
      </c>
      <c r="I2466" s="9" t="inlineStr">
        <is>
          <t>Depth (no MLB IP)</t>
        </is>
      </c>
      <c r="J2466" s="18" t="inlineStr">
        <is>
          <t>Opening Day</t>
        </is>
      </c>
      <c r="K2466" s="11">
        <f>IFERROR(INDEX(Roles!$B$17:$B$20,MATCH(J2466,Roles!$A$17:$A$20,0)),1)</f>
        <v/>
      </c>
      <c r="L2466" s="19" t="n">
        <v>1</v>
      </c>
      <c r="M2466" s="11" t="n">
        <v>1</v>
      </c>
      <c r="N2466" s="19" t="n"/>
      <c r="O2466" s="19" t="n"/>
      <c r="P2466" s="19" t="n"/>
      <c r="Q2466" s="19" t="n"/>
      <c r="R2466" s="19" t="n"/>
      <c r="S2466" s="19" t="n"/>
      <c r="T2466" s="19" t="n"/>
      <c r="U2466" s="19" t="n"/>
      <c r="V2466" s="19" t="n"/>
      <c r="W2466" s="19" t="n"/>
      <c r="X2466" s="19" t="n"/>
      <c r="Y2466" s="19" t="n">
        <v>1</v>
      </c>
      <c r="Z2466" s="13">
        <f>SUMPRODUCT(N2466:Y2466,$N$2:$Y$2)*$K2466*$L2466*$M2466</f>
        <v/>
      </c>
      <c r="AA2466" s="14">
        <f>SUM(N2466:Y2466)</f>
        <v/>
      </c>
      <c r="AB2466" s="13">
        <f>SUMPRODUCT(N2466:Y2466,$N$3:$Y$3)*$K2466*$L2466*$M2466</f>
        <v/>
      </c>
      <c r="AC2466" s="13">
        <f>SUMPRODUCT(N2466:Y2466,$N$4:$Y$4)*$K2466*$L2466*$M2466</f>
        <v/>
      </c>
      <c r="AD2466" s="15" t="n">
        <v>3</v>
      </c>
      <c r="AE2466" s="11" t="n">
        <v>1.011296296296296</v>
      </c>
      <c r="AF2466" s="16">
        <f>SUMPRODUCT(N2466:Y2466,$N$5:$Y$5)*$K2466*$L2466*$M2466</f>
        <v/>
      </c>
      <c r="AG2466" s="16">
        <f>SUMPRODUCT(N2466:Y2466,$N$6:$Y$6)*$K2466*$L2466*$M2466</f>
        <v/>
      </c>
      <c r="AH2466" s="20" t="n"/>
    </row>
    <row r="2467">
      <c r="A2467" s="9" t="n">
        <v>808469</v>
      </c>
      <c r="B2467" s="9" t="inlineStr">
        <is>
          <t>Logan Samuels</t>
        </is>
      </c>
      <c r="C2467" s="9" t="inlineStr">
        <is>
          <t>ATL</t>
        </is>
      </c>
      <c r="D2467" s="9" t="n">
        <v>25</v>
      </c>
      <c r="E2467" s="18" t="inlineStr">
        <is>
          <t>R</t>
        </is>
      </c>
      <c r="F2467" s="18" t="n"/>
      <c r="G2467" s="9" t="n">
        <v>40.70666666666667</v>
      </c>
      <c r="H2467" s="9" t="n">
        <v>40.70666666666667</v>
      </c>
      <c r="I2467" s="9" t="inlineStr">
        <is>
          <t>Depth (no MLB IP)</t>
        </is>
      </c>
      <c r="J2467" s="18" t="inlineStr">
        <is>
          <t>Opening Day</t>
        </is>
      </c>
      <c r="K2467" s="11">
        <f>IFERROR(INDEX(Roles!$B$17:$B$20,MATCH(J2467,Roles!$A$17:$A$20,0)),1)</f>
        <v/>
      </c>
      <c r="L2467" s="19" t="n">
        <v>1</v>
      </c>
      <c r="M2467" s="11" t="n">
        <v>1</v>
      </c>
      <c r="N2467" s="19" t="n"/>
      <c r="O2467" s="19" t="n"/>
      <c r="P2467" s="19" t="n"/>
      <c r="Q2467" s="19" t="n"/>
      <c r="R2467" s="19" t="n"/>
      <c r="S2467" s="19" t="n"/>
      <c r="T2467" s="19" t="n"/>
      <c r="U2467" s="19" t="n"/>
      <c r="V2467" s="19" t="n"/>
      <c r="W2467" s="19" t="n"/>
      <c r="X2467" s="19" t="n"/>
      <c r="Y2467" s="19" t="n">
        <v>1</v>
      </c>
      <c r="Z2467" s="13">
        <f>SUMPRODUCT(N2467:Y2467,$N$2:$Y$2)*$K2467*$L2467*$M2467</f>
        <v/>
      </c>
      <c r="AA2467" s="14">
        <f>SUM(N2467:Y2467)</f>
        <v/>
      </c>
      <c r="AB2467" s="13">
        <f>SUMPRODUCT(N2467:Y2467,$N$3:$Y$3)*$K2467*$L2467*$M2467</f>
        <v/>
      </c>
      <c r="AC2467" s="13">
        <f>SUMPRODUCT(N2467:Y2467,$N$4:$Y$4)*$K2467*$L2467*$M2467</f>
        <v/>
      </c>
      <c r="AD2467" s="15" t="n">
        <v>3</v>
      </c>
      <c r="AE2467" s="11" t="n">
        <v>1.011296296296296</v>
      </c>
      <c r="AF2467" s="16">
        <f>SUMPRODUCT(N2467:Y2467,$N$5:$Y$5)*$K2467*$L2467*$M2467</f>
        <v/>
      </c>
      <c r="AG2467" s="16">
        <f>SUMPRODUCT(N2467:Y2467,$N$6:$Y$6)*$K2467*$L2467*$M2467</f>
        <v/>
      </c>
      <c r="AH2467" s="20" t="n"/>
    </row>
    <row r="2468">
      <c r="A2468" s="9" t="n">
        <v>802086</v>
      </c>
      <c r="B2468" s="9" t="inlineStr">
        <is>
          <t>Ovis Portes</t>
        </is>
      </c>
      <c r="C2468" s="9" t="inlineStr">
        <is>
          <t>CIN</t>
        </is>
      </c>
      <c r="D2468" s="9" t="n">
        <v>25</v>
      </c>
      <c r="E2468" s="18" t="inlineStr">
        <is>
          <t>R</t>
        </is>
      </c>
      <c r="F2468" s="18" t="n"/>
      <c r="G2468" s="9" t="n">
        <v>40.70666666666667</v>
      </c>
      <c r="H2468" s="9" t="n">
        <v>40.70666666666667</v>
      </c>
      <c r="I2468" s="9" t="inlineStr">
        <is>
          <t>Depth (no MLB IP)</t>
        </is>
      </c>
      <c r="J2468" s="18" t="inlineStr">
        <is>
          <t>Opening Day</t>
        </is>
      </c>
      <c r="K2468" s="11">
        <f>IFERROR(INDEX(Roles!$B$17:$B$20,MATCH(J2468,Roles!$A$17:$A$20,0)),1)</f>
        <v/>
      </c>
      <c r="L2468" s="19" t="n">
        <v>1</v>
      </c>
      <c r="M2468" s="11" t="n">
        <v>1</v>
      </c>
      <c r="N2468" s="19" t="n"/>
      <c r="O2468" s="19" t="n"/>
      <c r="P2468" s="19" t="n"/>
      <c r="Q2468" s="19" t="n"/>
      <c r="R2468" s="19" t="n"/>
      <c r="S2468" s="19" t="n"/>
      <c r="T2468" s="19" t="n"/>
      <c r="U2468" s="19" t="n"/>
      <c r="V2468" s="19" t="n"/>
      <c r="W2468" s="19" t="n"/>
      <c r="X2468" s="19" t="n"/>
      <c r="Y2468" s="19" t="n">
        <v>1</v>
      </c>
      <c r="Z2468" s="13">
        <f>SUMPRODUCT(N2468:Y2468,$N$2:$Y$2)*$K2468*$L2468*$M2468</f>
        <v/>
      </c>
      <c r="AA2468" s="14">
        <f>SUM(N2468:Y2468)</f>
        <v/>
      </c>
      <c r="AB2468" s="13">
        <f>SUMPRODUCT(N2468:Y2468,$N$3:$Y$3)*$K2468*$L2468*$M2468</f>
        <v/>
      </c>
      <c r="AC2468" s="13">
        <f>SUMPRODUCT(N2468:Y2468,$N$4:$Y$4)*$K2468*$L2468*$M2468</f>
        <v/>
      </c>
      <c r="AD2468" s="15" t="n">
        <v>3</v>
      </c>
      <c r="AE2468" s="11" t="n">
        <v>1.011296296296296</v>
      </c>
      <c r="AF2468" s="16">
        <f>SUMPRODUCT(N2468:Y2468,$N$5:$Y$5)*$K2468*$L2468*$M2468</f>
        <v/>
      </c>
      <c r="AG2468" s="16">
        <f>SUMPRODUCT(N2468:Y2468,$N$6:$Y$6)*$K2468*$L2468*$M2468</f>
        <v/>
      </c>
      <c r="AH2468" s="20" t="n"/>
    </row>
    <row r="2469">
      <c r="A2469" s="9" t="n">
        <v>687216</v>
      </c>
      <c r="B2469" s="9" t="inlineStr">
        <is>
          <t>Liam Simon</t>
        </is>
      </c>
      <c r="C2469" s="9" t="inlineStr">
        <is>
          <t>SF</t>
        </is>
      </c>
      <c r="D2469" s="9" t="n">
        <v>25</v>
      </c>
      <c r="E2469" s="18" t="inlineStr">
        <is>
          <t>R</t>
        </is>
      </c>
      <c r="F2469" s="18" t="n"/>
      <c r="G2469" s="9" t="n">
        <v>40.70666666666667</v>
      </c>
      <c r="H2469" s="9" t="n">
        <v>40.70666666666667</v>
      </c>
      <c r="I2469" s="9" t="inlineStr">
        <is>
          <t>Depth (no MLB IP)</t>
        </is>
      </c>
      <c r="J2469" s="18" t="inlineStr">
        <is>
          <t>Opening Day</t>
        </is>
      </c>
      <c r="K2469" s="11">
        <f>IFERROR(INDEX(Roles!$B$17:$B$20,MATCH(J2469,Roles!$A$17:$A$20,0)),1)</f>
        <v/>
      </c>
      <c r="L2469" s="19" t="n">
        <v>1</v>
      </c>
      <c r="M2469" s="11" t="n">
        <v>1</v>
      </c>
      <c r="N2469" s="19" t="n"/>
      <c r="O2469" s="19" t="n"/>
      <c r="P2469" s="19" t="n"/>
      <c r="Q2469" s="19" t="n"/>
      <c r="R2469" s="19" t="n"/>
      <c r="S2469" s="19" t="n"/>
      <c r="T2469" s="19" t="n"/>
      <c r="U2469" s="19" t="n"/>
      <c r="V2469" s="19" t="n"/>
      <c r="W2469" s="19" t="n"/>
      <c r="X2469" s="19" t="n"/>
      <c r="Y2469" s="19" t="n">
        <v>1</v>
      </c>
      <c r="Z2469" s="13">
        <f>SUMPRODUCT(N2469:Y2469,$N$2:$Y$2)*$K2469*$L2469*$M2469</f>
        <v/>
      </c>
      <c r="AA2469" s="14">
        <f>SUM(N2469:Y2469)</f>
        <v/>
      </c>
      <c r="AB2469" s="13">
        <f>SUMPRODUCT(N2469:Y2469,$N$3:$Y$3)*$K2469*$L2469*$M2469</f>
        <v/>
      </c>
      <c r="AC2469" s="13">
        <f>SUMPRODUCT(N2469:Y2469,$N$4:$Y$4)*$K2469*$L2469*$M2469</f>
        <v/>
      </c>
      <c r="AD2469" s="15" t="n">
        <v>3</v>
      </c>
      <c r="AE2469" s="11" t="n">
        <v>1.011296296296296</v>
      </c>
      <c r="AF2469" s="16">
        <f>SUMPRODUCT(N2469:Y2469,$N$5:$Y$5)*$K2469*$L2469*$M2469</f>
        <v/>
      </c>
      <c r="AG2469" s="16">
        <f>SUMPRODUCT(N2469:Y2469,$N$6:$Y$6)*$K2469*$L2469*$M2469</f>
        <v/>
      </c>
      <c r="AH2469" s="20" t="n"/>
    </row>
    <row r="2470">
      <c r="A2470" s="9" t="n">
        <v>814005</v>
      </c>
      <c r="B2470" s="9" t="inlineStr">
        <is>
          <t>Jake Bloss</t>
        </is>
      </c>
      <c r="C2470" s="9" t="inlineStr">
        <is>
          <t>HOU</t>
        </is>
      </c>
      <c r="D2470" s="9" t="n">
        <v>26</v>
      </c>
      <c r="E2470" s="18" t="inlineStr">
        <is>
          <t>R</t>
        </is>
      </c>
      <c r="F2470" s="18" t="n"/>
      <c r="G2470" s="9" t="n">
        <v>55</v>
      </c>
      <c r="H2470" s="9" t="n">
        <v>55</v>
      </c>
      <c r="I2470" s="9" t="inlineStr">
        <is>
          <t>Depth (no MLB IP)</t>
        </is>
      </c>
      <c r="J2470" s="18" t="inlineStr">
        <is>
          <t>Opening Day</t>
        </is>
      </c>
      <c r="K2470" s="11">
        <f>IFERROR(INDEX(Roles!$B$17:$B$20,MATCH(J2470,Roles!$A$17:$A$20,0)),1)</f>
        <v/>
      </c>
      <c r="L2470" s="19" t="n">
        <v>1</v>
      </c>
      <c r="M2470" s="11" t="n">
        <v>1</v>
      </c>
      <c r="N2470" s="19" t="n"/>
      <c r="O2470" s="19" t="n"/>
      <c r="P2470" s="19" t="n"/>
      <c r="Q2470" s="19" t="n"/>
      <c r="R2470" s="19" t="n"/>
      <c r="S2470" s="19" t="n"/>
      <c r="T2470" s="19" t="n"/>
      <c r="U2470" s="19" t="n"/>
      <c r="V2470" s="19" t="n"/>
      <c r="W2470" s="19" t="n"/>
      <c r="X2470" s="19" t="n"/>
      <c r="Y2470" s="19" t="n">
        <v>1</v>
      </c>
      <c r="Z2470" s="13">
        <f>SUMPRODUCT(N2470:Y2470,$N$2:$Y$2)*$K2470*$L2470*$M2470</f>
        <v/>
      </c>
      <c r="AA2470" s="14">
        <f>SUM(N2470:Y2470)</f>
        <v/>
      </c>
      <c r="AB2470" s="13">
        <f>SUMPRODUCT(N2470:Y2470,$N$3:$Y$3)*$K2470*$L2470*$M2470</f>
        <v/>
      </c>
      <c r="AC2470" s="13">
        <f>SUMPRODUCT(N2470:Y2470,$N$4:$Y$4)*$K2470*$L2470*$M2470</f>
        <v/>
      </c>
      <c r="AD2470" s="15" t="n">
        <v>3</v>
      </c>
      <c r="AE2470" s="11" t="n">
        <v>1.970493827160493</v>
      </c>
      <c r="AF2470" s="16">
        <f>SUMPRODUCT(N2470:Y2470,$N$5:$Y$5)*$K2470*$L2470*$M2470</f>
        <v/>
      </c>
      <c r="AG2470" s="16">
        <f>SUMPRODUCT(N2470:Y2470,$N$6:$Y$6)*$K2470*$L2470*$M2470</f>
        <v/>
      </c>
      <c r="AH2470" s="20" t="n"/>
    </row>
    <row r="2471">
      <c r="A2471" s="9" t="n">
        <v>676440</v>
      </c>
      <c r="B2471" s="9" t="inlineStr">
        <is>
          <t>Tanner Bibee</t>
        </is>
      </c>
      <c r="C2471" s="9" t="inlineStr">
        <is>
          <t>CLE</t>
        </is>
      </c>
      <c r="D2471" s="9" t="n">
        <v>28</v>
      </c>
      <c r="E2471" s="18" t="inlineStr">
        <is>
          <t>R</t>
        </is>
      </c>
      <c r="F2471" s="18" t="n"/>
      <c r="G2471" s="9" t="n">
        <v>780</v>
      </c>
      <c r="H2471" s="9" t="n">
        <v>2837</v>
      </c>
      <c r="I2471" s="9" t="inlineStr">
        <is>
          <t>End-of-Rotation Starter (SP4-5)</t>
        </is>
      </c>
      <c r="J2471" s="18" t="inlineStr">
        <is>
          <t>Opening Day</t>
        </is>
      </c>
      <c r="K2471" s="11">
        <f>IFERROR(INDEX(Roles!$B$17:$B$20,MATCH(J2471,Roles!$A$17:$A$20,0)),1)</f>
        <v/>
      </c>
      <c r="L2471" s="19" t="n">
        <v>1</v>
      </c>
      <c r="M2471" s="11" t="n">
        <v>1</v>
      </c>
      <c r="N2471" s="19" t="n"/>
      <c r="O2471" s="19" t="n"/>
      <c r="P2471" s="19" t="n">
        <v>0.5</v>
      </c>
      <c r="Q2471" s="19" t="n"/>
      <c r="R2471" s="19" t="n">
        <v>0.5</v>
      </c>
      <c r="S2471" s="19" t="n"/>
      <c r="T2471" s="19" t="n"/>
      <c r="U2471" s="19" t="n"/>
      <c r="V2471" s="19" t="n"/>
      <c r="W2471" s="19" t="n"/>
      <c r="X2471" s="19" t="n"/>
      <c r="Y2471" s="19" t="n"/>
      <c r="Z2471" s="13">
        <f>SUMPRODUCT(N2471:Y2471,$N$2:$Y$2)*$K2471*$L2471*$M2471</f>
        <v/>
      </c>
      <c r="AA2471" s="14">
        <f>SUM(N2471:Y2471)</f>
        <v/>
      </c>
      <c r="AB2471" s="13">
        <f>SUMPRODUCT(N2471:Y2471,$N$3:$Y$3)*$K2471*$L2471*$M2471</f>
        <v/>
      </c>
      <c r="AC2471" s="13">
        <f>SUMPRODUCT(N2471:Y2471,$N$4:$Y$4)*$K2471*$L2471*$M2471</f>
        <v/>
      </c>
      <c r="AD2471" s="15" t="n">
        <v>25.6</v>
      </c>
      <c r="AE2471" s="11" t="n">
        <v>4.950810185185185</v>
      </c>
      <c r="AF2471" s="16">
        <f>SUMPRODUCT(N2471:Y2471,$N$5:$Y$5)*$K2471*$L2471*$M2471</f>
        <v/>
      </c>
      <c r="AG2471" s="16">
        <f>SUMPRODUCT(N2471:Y2471,$N$6:$Y$6)*$K2471*$L2471*$M2471</f>
        <v/>
      </c>
      <c r="AH2471" s="20" t="n"/>
    </row>
    <row r="2472">
      <c r="A2472" s="9" t="n">
        <v>828244</v>
      </c>
      <c r="B2472" s="9" t="inlineStr">
        <is>
          <t>Kruz Schoolcraft</t>
        </is>
      </c>
      <c r="C2472" s="9" t="inlineStr">
        <is>
          <t>SD</t>
        </is>
      </c>
      <c r="D2472" s="9" t="n">
        <v>20</v>
      </c>
      <c r="E2472" s="18" t="inlineStr">
        <is>
          <t>L</t>
        </is>
      </c>
      <c r="F2472" s="18" t="n"/>
      <c r="G2472" s="9" t="n">
        <v>40.936</v>
      </c>
      <c r="H2472" s="9" t="n">
        <v>40.936</v>
      </c>
      <c r="I2472" s="9" t="inlineStr">
        <is>
          <t>Depth (no MLB IP)</t>
        </is>
      </c>
      <c r="J2472" s="18" t="inlineStr">
        <is>
          <t>Opening Day</t>
        </is>
      </c>
      <c r="K2472" s="11">
        <f>IFERROR(INDEX(Roles!$B$17:$B$20,MATCH(J2472,Roles!$A$17:$A$20,0)),1)</f>
        <v/>
      </c>
      <c r="L2472" s="19" t="n">
        <v>1</v>
      </c>
      <c r="M2472" s="11" t="n">
        <v>1</v>
      </c>
      <c r="N2472" s="19" t="n"/>
      <c r="O2472" s="19" t="n"/>
      <c r="P2472" s="19" t="n"/>
      <c r="Q2472" s="19" t="n"/>
      <c r="R2472" s="19" t="n"/>
      <c r="S2472" s="19" t="n"/>
      <c r="T2472" s="19" t="n"/>
      <c r="U2472" s="19" t="n"/>
      <c r="V2472" s="19" t="n"/>
      <c r="W2472" s="19" t="n"/>
      <c r="X2472" s="19" t="n"/>
      <c r="Y2472" s="19" t="n">
        <v>1</v>
      </c>
      <c r="Z2472" s="13">
        <f>SUMPRODUCT(N2472:Y2472,$N$2:$Y$2)*$K2472*$L2472*$M2472</f>
        <v/>
      </c>
      <c r="AA2472" s="14">
        <f>SUM(N2472:Y2472)</f>
        <v/>
      </c>
      <c r="AB2472" s="13">
        <f>SUMPRODUCT(N2472:Y2472,$N$3:$Y$3)*$K2472*$L2472*$M2472</f>
        <v/>
      </c>
      <c r="AC2472" s="13">
        <f>SUMPRODUCT(N2472:Y2472,$N$4:$Y$4)*$K2472*$L2472*$M2472</f>
        <v/>
      </c>
      <c r="AD2472" s="15" t="n">
        <v>3</v>
      </c>
      <c r="AE2472" s="11" t="n">
        <v>1.011296296296296</v>
      </c>
      <c r="AF2472" s="16">
        <f>SUMPRODUCT(N2472:Y2472,$N$5:$Y$5)*$K2472*$L2472*$M2472</f>
        <v/>
      </c>
      <c r="AG2472" s="16">
        <f>SUMPRODUCT(N2472:Y2472,$N$6:$Y$6)*$K2472*$L2472*$M2472</f>
        <v/>
      </c>
      <c r="AH2472" s="20" t="n"/>
    </row>
    <row r="2473">
      <c r="A2473" s="9" t="n">
        <v>683235</v>
      </c>
      <c r="B2473" s="9" t="inlineStr">
        <is>
          <t>Justin Campbell</t>
        </is>
      </c>
      <c r="C2473" s="9" t="inlineStr">
        <is>
          <t>CLE</t>
        </is>
      </c>
      <c r="D2473" s="9" t="n">
        <v>25</v>
      </c>
      <c r="E2473" s="18" t="inlineStr">
        <is>
          <t>R</t>
        </is>
      </c>
      <c r="F2473" s="18" t="n"/>
      <c r="G2473" s="9" t="n">
        <v>40.99333333333333</v>
      </c>
      <c r="H2473" s="9" t="n">
        <v>40.99333333333333</v>
      </c>
      <c r="I2473" s="9" t="inlineStr">
        <is>
          <t>Depth (no MLB IP)</t>
        </is>
      </c>
      <c r="J2473" s="18" t="inlineStr">
        <is>
          <t>Opening Day</t>
        </is>
      </c>
      <c r="K2473" s="11">
        <f>IFERROR(INDEX(Roles!$B$17:$B$20,MATCH(J2473,Roles!$A$17:$A$20,0)),1)</f>
        <v/>
      </c>
      <c r="L2473" s="19" t="n">
        <v>1</v>
      </c>
      <c r="M2473" s="11" t="n">
        <v>1</v>
      </c>
      <c r="N2473" s="19" t="n"/>
      <c r="O2473" s="19" t="n"/>
      <c r="P2473" s="19" t="n"/>
      <c r="Q2473" s="19" t="n"/>
      <c r="R2473" s="19" t="n"/>
      <c r="S2473" s="19" t="n"/>
      <c r="T2473" s="19" t="n"/>
      <c r="U2473" s="19" t="n"/>
      <c r="V2473" s="19" t="n"/>
      <c r="W2473" s="19" t="n"/>
      <c r="X2473" s="19" t="n"/>
      <c r="Y2473" s="19" t="n">
        <v>1</v>
      </c>
      <c r="Z2473" s="13">
        <f>SUMPRODUCT(N2473:Y2473,$N$2:$Y$2)*$K2473*$L2473*$M2473</f>
        <v/>
      </c>
      <c r="AA2473" s="14">
        <f>SUM(N2473:Y2473)</f>
        <v/>
      </c>
      <c r="AB2473" s="13">
        <f>SUMPRODUCT(N2473:Y2473,$N$3:$Y$3)*$K2473*$L2473*$M2473</f>
        <v/>
      </c>
      <c r="AC2473" s="13">
        <f>SUMPRODUCT(N2473:Y2473,$N$4:$Y$4)*$K2473*$L2473*$M2473</f>
        <v/>
      </c>
      <c r="AD2473" s="15" t="n">
        <v>3</v>
      </c>
      <c r="AE2473" s="11" t="n">
        <v>1.011296296296296</v>
      </c>
      <c r="AF2473" s="16">
        <f>SUMPRODUCT(N2473:Y2473,$N$5:$Y$5)*$K2473*$L2473*$M2473</f>
        <v/>
      </c>
      <c r="AG2473" s="16">
        <f>SUMPRODUCT(N2473:Y2473,$N$6:$Y$6)*$K2473*$L2473*$M2473</f>
        <v/>
      </c>
      <c r="AH2473" s="20" t="n"/>
    </row>
    <row r="2474">
      <c r="A2474" s="9" t="n">
        <v>699309</v>
      </c>
      <c r="B2474" s="9" t="inlineStr">
        <is>
          <t>Joel Díaz</t>
        </is>
      </c>
      <c r="C2474" s="9" t="inlineStr">
        <is>
          <t>NYM</t>
        </is>
      </c>
      <c r="D2474" s="9" t="n">
        <v>25</v>
      </c>
      <c r="E2474" s="18" t="inlineStr">
        <is>
          <t>R</t>
        </is>
      </c>
      <c r="F2474" s="18" t="n"/>
      <c r="G2474" s="9" t="n">
        <v>40.99333333333333</v>
      </c>
      <c r="H2474" s="9" t="n">
        <v>40.99333333333333</v>
      </c>
      <c r="I2474" s="9" t="inlineStr">
        <is>
          <t>Depth (no MLB IP)</t>
        </is>
      </c>
      <c r="J2474" s="18" t="inlineStr">
        <is>
          <t>Opening Day</t>
        </is>
      </c>
      <c r="K2474" s="11">
        <f>IFERROR(INDEX(Roles!$B$17:$B$20,MATCH(J2474,Roles!$A$17:$A$20,0)),1)</f>
        <v/>
      </c>
      <c r="L2474" s="19" t="n">
        <v>1</v>
      </c>
      <c r="M2474" s="11" t="n">
        <v>1</v>
      </c>
      <c r="N2474" s="19" t="n"/>
      <c r="O2474" s="19" t="n"/>
      <c r="P2474" s="19" t="n"/>
      <c r="Q2474" s="19" t="n"/>
      <c r="R2474" s="19" t="n"/>
      <c r="S2474" s="19" t="n"/>
      <c r="T2474" s="19" t="n"/>
      <c r="U2474" s="19" t="n"/>
      <c r="V2474" s="19" t="n"/>
      <c r="W2474" s="19" t="n"/>
      <c r="X2474" s="19" t="n"/>
      <c r="Y2474" s="19" t="n">
        <v>1</v>
      </c>
      <c r="Z2474" s="13">
        <f>SUMPRODUCT(N2474:Y2474,$N$2:$Y$2)*$K2474*$L2474*$M2474</f>
        <v/>
      </c>
      <c r="AA2474" s="14">
        <f>SUM(N2474:Y2474)</f>
        <v/>
      </c>
      <c r="AB2474" s="13">
        <f>SUMPRODUCT(N2474:Y2474,$N$3:$Y$3)*$K2474*$L2474*$M2474</f>
        <v/>
      </c>
      <c r="AC2474" s="13">
        <f>SUMPRODUCT(N2474:Y2474,$N$4:$Y$4)*$K2474*$L2474*$M2474</f>
        <v/>
      </c>
      <c r="AD2474" s="15" t="n">
        <v>3</v>
      </c>
      <c r="AE2474" s="11" t="n">
        <v>1.011296296296296</v>
      </c>
      <c r="AF2474" s="16">
        <f>SUMPRODUCT(N2474:Y2474,$N$5:$Y$5)*$K2474*$L2474*$M2474</f>
        <v/>
      </c>
      <c r="AG2474" s="16">
        <f>SUMPRODUCT(N2474:Y2474,$N$6:$Y$6)*$K2474*$L2474*$M2474</f>
        <v/>
      </c>
      <c r="AH2474" s="20" t="n"/>
    </row>
    <row r="2475">
      <c r="A2475" s="9" t="n">
        <v>694359</v>
      </c>
      <c r="B2475" s="9" t="inlineStr">
        <is>
          <t>Niko Kavadas</t>
        </is>
      </c>
      <c r="C2475" s="9" t="inlineStr">
        <is>
          <t>LAA</t>
        </is>
      </c>
      <c r="D2475" s="9" t="n">
        <v>28</v>
      </c>
      <c r="E2475" s="18" t="inlineStr">
        <is>
          <t>R</t>
        </is>
      </c>
      <c r="F2475" s="18" t="n"/>
      <c r="G2475" s="9" t="n">
        <v>9</v>
      </c>
      <c r="H2475" s="9" t="n">
        <v>9</v>
      </c>
      <c r="I2475" s="9" t="inlineStr">
        <is>
          <t>Depth (no MLB IP)</t>
        </is>
      </c>
      <c r="J2475" s="18" t="inlineStr">
        <is>
          <t>Opening Day</t>
        </is>
      </c>
      <c r="K2475" s="11">
        <f>IFERROR(INDEX(Roles!$B$17:$B$20,MATCH(J2475,Roles!$A$17:$A$20,0)),1)</f>
        <v/>
      </c>
      <c r="L2475" s="19" t="n">
        <v>1</v>
      </c>
      <c r="M2475" s="11" t="n">
        <v>1</v>
      </c>
      <c r="N2475" s="19" t="n"/>
      <c r="O2475" s="19" t="n"/>
      <c r="P2475" s="19" t="n"/>
      <c r="Q2475" s="19" t="n"/>
      <c r="R2475" s="19" t="n"/>
      <c r="S2475" s="19" t="n"/>
      <c r="T2475" s="19" t="n"/>
      <c r="U2475" s="19" t="n"/>
      <c r="V2475" s="19" t="n"/>
      <c r="W2475" s="19" t="n"/>
      <c r="X2475" s="19" t="n"/>
      <c r="Y2475" s="19" t="n">
        <v>1</v>
      </c>
      <c r="Z2475" s="13">
        <f>SUMPRODUCT(N2475:Y2475,$N$2:$Y$2)*$K2475*$L2475*$M2475</f>
        <v/>
      </c>
      <c r="AA2475" s="14">
        <f>SUM(N2475:Y2475)</f>
        <v/>
      </c>
      <c r="AB2475" s="13">
        <f>SUMPRODUCT(N2475:Y2475,$N$3:$Y$3)*$K2475*$L2475*$M2475</f>
        <v/>
      </c>
      <c r="AC2475" s="13">
        <f>SUMPRODUCT(N2475:Y2475,$N$4:$Y$4)*$K2475*$L2475*$M2475</f>
        <v/>
      </c>
      <c r="AD2475" s="15" t="n">
        <v>1.8</v>
      </c>
      <c r="AE2475" s="11" t="n">
        <v>1.229753086419753</v>
      </c>
      <c r="AF2475" s="16">
        <f>SUMPRODUCT(N2475:Y2475,$N$5:$Y$5)*$K2475*$L2475*$M2475</f>
        <v/>
      </c>
      <c r="AG2475" s="16">
        <f>SUMPRODUCT(N2475:Y2475,$N$6:$Y$6)*$K2475*$L2475*$M2475</f>
        <v/>
      </c>
      <c r="AH2475" s="20" t="n"/>
    </row>
    <row r="2476">
      <c r="A2476" s="9" t="n">
        <v>803183</v>
      </c>
      <c r="B2476" s="9" t="inlineStr">
        <is>
          <t>Luke Fox</t>
        </is>
      </c>
      <c r="C2476" s="9" t="inlineStr">
        <is>
          <t>LAD</t>
        </is>
      </c>
      <c r="D2476" s="9" t="n">
        <v>25</v>
      </c>
      <c r="E2476" s="18" t="inlineStr">
        <is>
          <t>L</t>
        </is>
      </c>
      <c r="F2476" s="18" t="n"/>
      <c r="G2476" s="9" t="n">
        <v>41.13666666666666</v>
      </c>
      <c r="H2476" s="9" t="n">
        <v>41.13666666666666</v>
      </c>
      <c r="I2476" s="9" t="inlineStr">
        <is>
          <t>Depth (no MLB IP)</t>
        </is>
      </c>
      <c r="J2476" s="18" t="inlineStr">
        <is>
          <t>Opening Day</t>
        </is>
      </c>
      <c r="K2476" s="11">
        <f>IFERROR(INDEX(Roles!$B$17:$B$20,MATCH(J2476,Roles!$A$17:$A$20,0)),1)</f>
        <v/>
      </c>
      <c r="L2476" s="19" t="n">
        <v>1</v>
      </c>
      <c r="M2476" s="11" t="n">
        <v>1</v>
      </c>
      <c r="N2476" s="19" t="n"/>
      <c r="O2476" s="19" t="n"/>
      <c r="P2476" s="19" t="n"/>
      <c r="Q2476" s="19" t="n"/>
      <c r="R2476" s="19" t="n"/>
      <c r="S2476" s="19" t="n"/>
      <c r="T2476" s="19" t="n"/>
      <c r="U2476" s="19" t="n"/>
      <c r="V2476" s="19" t="n"/>
      <c r="W2476" s="19" t="n"/>
      <c r="X2476" s="19" t="n"/>
      <c r="Y2476" s="19" t="n">
        <v>1</v>
      </c>
      <c r="Z2476" s="13">
        <f>SUMPRODUCT(N2476:Y2476,$N$2:$Y$2)*$K2476*$L2476*$M2476</f>
        <v/>
      </c>
      <c r="AA2476" s="14">
        <f>SUM(N2476:Y2476)</f>
        <v/>
      </c>
      <c r="AB2476" s="13">
        <f>SUMPRODUCT(N2476:Y2476,$N$3:$Y$3)*$K2476*$L2476*$M2476</f>
        <v/>
      </c>
      <c r="AC2476" s="13">
        <f>SUMPRODUCT(N2476:Y2476,$N$4:$Y$4)*$K2476*$L2476*$M2476</f>
        <v/>
      </c>
      <c r="AD2476" s="15" t="n">
        <v>3</v>
      </c>
      <c r="AE2476" s="11" t="n">
        <v>1.011296296296296</v>
      </c>
      <c r="AF2476" s="16">
        <f>SUMPRODUCT(N2476:Y2476,$N$5:$Y$5)*$K2476*$L2476*$M2476</f>
        <v/>
      </c>
      <c r="AG2476" s="16">
        <f>SUMPRODUCT(N2476:Y2476,$N$6:$Y$6)*$K2476*$L2476*$M2476</f>
        <v/>
      </c>
      <c r="AH2476" s="20" t="n"/>
    </row>
    <row r="2477">
      <c r="A2477" s="9" t="n">
        <v>687166</v>
      </c>
      <c r="B2477" s="9" t="inlineStr">
        <is>
          <t>Austin Pope</t>
        </is>
      </c>
      <c r="C2477" s="9" t="inlineStr">
        <is>
          <t>ARI</t>
        </is>
      </c>
      <c r="D2477" s="9" t="n">
        <v>28</v>
      </c>
      <c r="E2477" s="18" t="inlineStr">
        <is>
          <t>R</t>
        </is>
      </c>
      <c r="F2477" s="18" t="n"/>
      <c r="G2477" s="9" t="n">
        <v>9</v>
      </c>
      <c r="H2477" s="9" t="n">
        <v>9</v>
      </c>
      <c r="I2477" s="9" t="inlineStr">
        <is>
          <t>Depth (no MLB IP)</t>
        </is>
      </c>
      <c r="J2477" s="18" t="inlineStr">
        <is>
          <t>Opening Day</t>
        </is>
      </c>
      <c r="K2477" s="11">
        <f>IFERROR(INDEX(Roles!$B$17:$B$20,MATCH(J2477,Roles!$A$17:$A$20,0)),1)</f>
        <v/>
      </c>
      <c r="L2477" s="19" t="n">
        <v>1</v>
      </c>
      <c r="M2477" s="11" t="n">
        <v>1</v>
      </c>
      <c r="N2477" s="19" t="n"/>
      <c r="O2477" s="19" t="n"/>
      <c r="P2477" s="19" t="n"/>
      <c r="Q2477" s="19" t="n"/>
      <c r="R2477" s="19" t="n"/>
      <c r="S2477" s="19" t="n"/>
      <c r="T2477" s="19" t="n"/>
      <c r="U2477" s="19" t="n"/>
      <c r="V2477" s="19" t="n"/>
      <c r="W2477" s="19" t="n"/>
      <c r="X2477" s="19" t="n"/>
      <c r="Y2477" s="19" t="n">
        <v>1</v>
      </c>
      <c r="Z2477" s="13">
        <f>SUMPRODUCT(N2477:Y2477,$N$2:$Y$2)*$K2477*$L2477*$M2477</f>
        <v/>
      </c>
      <c r="AA2477" s="14">
        <f>SUM(N2477:Y2477)</f>
        <v/>
      </c>
      <c r="AB2477" s="13">
        <f>SUMPRODUCT(N2477:Y2477,$N$3:$Y$3)*$K2477*$L2477*$M2477</f>
        <v/>
      </c>
      <c r="AC2477" s="13">
        <f>SUMPRODUCT(N2477:Y2477,$N$4:$Y$4)*$K2477*$L2477*$M2477</f>
        <v/>
      </c>
      <c r="AD2477" s="15" t="n">
        <v>1.8</v>
      </c>
      <c r="AE2477" s="11" t="n">
        <v>1.340864197530864</v>
      </c>
      <c r="AF2477" s="16">
        <f>SUMPRODUCT(N2477:Y2477,$N$5:$Y$5)*$K2477*$L2477*$M2477</f>
        <v/>
      </c>
      <c r="AG2477" s="16">
        <f>SUMPRODUCT(N2477:Y2477,$N$6:$Y$6)*$K2477*$L2477*$M2477</f>
        <v/>
      </c>
      <c r="AH2477" s="20" t="n"/>
    </row>
    <row r="2478">
      <c r="A2478" s="9" t="n">
        <v>814340</v>
      </c>
      <c r="B2478" s="9" t="inlineStr">
        <is>
          <t>Raul Garayzar</t>
        </is>
      </c>
      <c r="C2478" s="9" t="inlineStr">
        <is>
          <t>ARI</t>
        </is>
      </c>
      <c r="D2478" s="9" t="n">
        <v>25</v>
      </c>
      <c r="E2478" s="18" t="inlineStr">
        <is>
          <t>R</t>
        </is>
      </c>
      <c r="F2478" s="18" t="n"/>
      <c r="G2478" s="9" t="n">
        <v>41.108</v>
      </c>
      <c r="H2478" s="9" t="n">
        <v>41.108</v>
      </c>
      <c r="I2478" s="9" t="inlineStr">
        <is>
          <t>Depth (no MLB IP)</t>
        </is>
      </c>
      <c r="J2478" s="18" t="inlineStr">
        <is>
          <t>Opening Day</t>
        </is>
      </c>
      <c r="K2478" s="11">
        <f>IFERROR(INDEX(Roles!$B$17:$B$20,MATCH(J2478,Roles!$A$17:$A$20,0)),1)</f>
        <v/>
      </c>
      <c r="L2478" s="19" t="n">
        <v>1</v>
      </c>
      <c r="M2478" s="11" t="n">
        <v>1</v>
      </c>
      <c r="N2478" s="19" t="n"/>
      <c r="O2478" s="19" t="n"/>
      <c r="P2478" s="19" t="n"/>
      <c r="Q2478" s="19" t="n"/>
      <c r="R2478" s="19" t="n"/>
      <c r="S2478" s="19" t="n"/>
      <c r="T2478" s="19" t="n"/>
      <c r="U2478" s="19" t="n"/>
      <c r="V2478" s="19" t="n"/>
      <c r="W2478" s="19" t="n"/>
      <c r="X2478" s="19" t="n"/>
      <c r="Y2478" s="19" t="n">
        <v>1</v>
      </c>
      <c r="Z2478" s="13">
        <f>SUMPRODUCT(N2478:Y2478,$N$2:$Y$2)*$K2478*$L2478*$M2478</f>
        <v/>
      </c>
      <c r="AA2478" s="14">
        <f>SUM(N2478:Y2478)</f>
        <v/>
      </c>
      <c r="AB2478" s="13">
        <f>SUMPRODUCT(N2478:Y2478,$N$3:$Y$3)*$K2478*$L2478*$M2478</f>
        <v/>
      </c>
      <c r="AC2478" s="13">
        <f>SUMPRODUCT(N2478:Y2478,$N$4:$Y$4)*$K2478*$L2478*$M2478</f>
        <v/>
      </c>
      <c r="AD2478" s="15" t="n">
        <v>3</v>
      </c>
      <c r="AE2478" s="11" t="n">
        <v>1.011296296296296</v>
      </c>
      <c r="AF2478" s="16">
        <f>SUMPRODUCT(N2478:Y2478,$N$5:$Y$5)*$K2478*$L2478*$M2478</f>
        <v/>
      </c>
      <c r="AG2478" s="16">
        <f>SUMPRODUCT(N2478:Y2478,$N$6:$Y$6)*$K2478*$L2478*$M2478</f>
        <v/>
      </c>
      <c r="AH2478" s="20" t="n"/>
    </row>
    <row r="2479">
      <c r="A2479" s="9" t="n">
        <v>800286</v>
      </c>
      <c r="B2479" s="9" t="inlineStr">
        <is>
          <t>Wellington Aracena</t>
        </is>
      </c>
      <c r="C2479" s="9" t="inlineStr">
        <is>
          <t>ARI</t>
        </is>
      </c>
      <c r="D2479" s="9" t="n">
        <v>25</v>
      </c>
      <c r="E2479" s="18" t="inlineStr">
        <is>
          <t>R</t>
        </is>
      </c>
      <c r="F2479" s="18" t="n"/>
      <c r="G2479" s="9" t="n">
        <v>41.13666666666666</v>
      </c>
      <c r="H2479" s="9" t="n">
        <v>41.13666666666666</v>
      </c>
      <c r="I2479" s="9" t="inlineStr">
        <is>
          <t>Depth (no MLB IP)</t>
        </is>
      </c>
      <c r="J2479" s="18" t="inlineStr">
        <is>
          <t>Opening Day</t>
        </is>
      </c>
      <c r="K2479" s="11">
        <f>IFERROR(INDEX(Roles!$B$17:$B$20,MATCH(J2479,Roles!$A$17:$A$20,0)),1)</f>
        <v/>
      </c>
      <c r="L2479" s="19" t="n">
        <v>1</v>
      </c>
      <c r="M2479" s="11" t="n">
        <v>1</v>
      </c>
      <c r="N2479" s="19" t="n"/>
      <c r="O2479" s="19" t="n"/>
      <c r="P2479" s="19" t="n"/>
      <c r="Q2479" s="19" t="n"/>
      <c r="R2479" s="19" t="n"/>
      <c r="S2479" s="19" t="n"/>
      <c r="T2479" s="19" t="n"/>
      <c r="U2479" s="19" t="n"/>
      <c r="V2479" s="19" t="n"/>
      <c r="W2479" s="19" t="n"/>
      <c r="X2479" s="19" t="n"/>
      <c r="Y2479" s="19" t="n">
        <v>1</v>
      </c>
      <c r="Z2479" s="13">
        <f>SUMPRODUCT(N2479:Y2479,$N$2:$Y$2)*$K2479*$L2479*$M2479</f>
        <v/>
      </c>
      <c r="AA2479" s="14">
        <f>SUM(N2479:Y2479)</f>
        <v/>
      </c>
      <c r="AB2479" s="13">
        <f>SUMPRODUCT(N2479:Y2479,$N$3:$Y$3)*$K2479*$L2479*$M2479</f>
        <v/>
      </c>
      <c r="AC2479" s="13">
        <f>SUMPRODUCT(N2479:Y2479,$N$4:$Y$4)*$K2479*$L2479*$M2479</f>
        <v/>
      </c>
      <c r="AD2479" s="15" t="n">
        <v>3</v>
      </c>
      <c r="AE2479" s="11" t="n">
        <v>1.011296296296296</v>
      </c>
      <c r="AF2479" s="16">
        <f>SUMPRODUCT(N2479:Y2479,$N$5:$Y$5)*$K2479*$L2479*$M2479</f>
        <v/>
      </c>
      <c r="AG2479" s="16">
        <f>SUMPRODUCT(N2479:Y2479,$N$6:$Y$6)*$K2479*$L2479*$M2479</f>
        <v/>
      </c>
      <c r="AH2479" s="20" t="n"/>
    </row>
    <row r="2480">
      <c r="A2480" s="9" t="n">
        <v>800875</v>
      </c>
      <c r="B2480" s="9" t="inlineStr">
        <is>
          <t>Christian Becerra</t>
        </is>
      </c>
      <c r="C2480" s="9" t="inlineStr">
        <is>
          <t>MIN</t>
        </is>
      </c>
      <c r="D2480" s="9" t="n">
        <v>25</v>
      </c>
      <c r="E2480" s="18" t="inlineStr">
        <is>
          <t>R</t>
        </is>
      </c>
      <c r="F2480" s="18" t="n"/>
      <c r="G2480" s="9" t="n">
        <v>41.28</v>
      </c>
      <c r="H2480" s="9" t="n">
        <v>41.28</v>
      </c>
      <c r="I2480" s="9" t="inlineStr">
        <is>
          <t>Depth (no MLB IP)</t>
        </is>
      </c>
      <c r="J2480" s="18" t="inlineStr">
        <is>
          <t>Opening Day</t>
        </is>
      </c>
      <c r="K2480" s="11">
        <f>IFERROR(INDEX(Roles!$B$17:$B$20,MATCH(J2480,Roles!$A$17:$A$20,0)),1)</f>
        <v/>
      </c>
      <c r="L2480" s="19" t="n">
        <v>1</v>
      </c>
      <c r="M2480" s="11" t="n">
        <v>1</v>
      </c>
      <c r="N2480" s="19" t="n"/>
      <c r="O2480" s="19" t="n"/>
      <c r="P2480" s="19" t="n"/>
      <c r="Q2480" s="19" t="n"/>
      <c r="R2480" s="19" t="n"/>
      <c r="S2480" s="19" t="n"/>
      <c r="T2480" s="19" t="n"/>
      <c r="U2480" s="19" t="n"/>
      <c r="V2480" s="19" t="n"/>
      <c r="W2480" s="19" t="n"/>
      <c r="X2480" s="19" t="n"/>
      <c r="Y2480" s="19" t="n">
        <v>1</v>
      </c>
      <c r="Z2480" s="13">
        <f>SUMPRODUCT(N2480:Y2480,$N$2:$Y$2)*$K2480*$L2480*$M2480</f>
        <v/>
      </c>
      <c r="AA2480" s="14">
        <f>SUM(N2480:Y2480)</f>
        <v/>
      </c>
      <c r="AB2480" s="13">
        <f>SUMPRODUCT(N2480:Y2480,$N$3:$Y$3)*$K2480*$L2480*$M2480</f>
        <v/>
      </c>
      <c r="AC2480" s="13">
        <f>SUMPRODUCT(N2480:Y2480,$N$4:$Y$4)*$K2480*$L2480*$M2480</f>
        <v/>
      </c>
      <c r="AD2480" s="15" t="n">
        <v>3</v>
      </c>
      <c r="AE2480" s="11" t="n">
        <v>1.011296296296296</v>
      </c>
      <c r="AF2480" s="16">
        <f>SUMPRODUCT(N2480:Y2480,$N$5:$Y$5)*$K2480*$L2480*$M2480</f>
        <v/>
      </c>
      <c r="AG2480" s="16">
        <f>SUMPRODUCT(N2480:Y2480,$N$6:$Y$6)*$K2480*$L2480*$M2480</f>
        <v/>
      </c>
      <c r="AH2480" s="20" t="n"/>
    </row>
    <row r="2481">
      <c r="A2481" s="9" t="n">
        <v>700714</v>
      </c>
      <c r="B2481" s="9" t="inlineStr">
        <is>
          <t>Yokelvin Reyes</t>
        </is>
      </c>
      <c r="C2481" s="9" t="inlineStr">
        <is>
          <t>LAA</t>
        </is>
      </c>
      <c r="D2481" s="9" t="n">
        <v>25</v>
      </c>
      <c r="E2481" s="18" t="inlineStr">
        <is>
          <t>L</t>
        </is>
      </c>
      <c r="F2481" s="18" t="n"/>
      <c r="G2481" s="9" t="n">
        <v>41.45199999999999</v>
      </c>
      <c r="H2481" s="9" t="n">
        <v>41.45199999999999</v>
      </c>
      <c r="I2481" s="9" t="inlineStr">
        <is>
          <t>Depth (no MLB IP)</t>
        </is>
      </c>
      <c r="J2481" s="18" t="inlineStr">
        <is>
          <t>Opening Day</t>
        </is>
      </c>
      <c r="K2481" s="11">
        <f>IFERROR(INDEX(Roles!$B$17:$B$20,MATCH(J2481,Roles!$A$17:$A$20,0)),1)</f>
        <v/>
      </c>
      <c r="L2481" s="19" t="n">
        <v>1</v>
      </c>
      <c r="M2481" s="11" t="n">
        <v>1</v>
      </c>
      <c r="N2481" s="19" t="n"/>
      <c r="O2481" s="19" t="n"/>
      <c r="P2481" s="19" t="n"/>
      <c r="Q2481" s="19" t="n"/>
      <c r="R2481" s="19" t="n"/>
      <c r="S2481" s="19" t="n"/>
      <c r="T2481" s="19" t="n"/>
      <c r="U2481" s="19" t="n"/>
      <c r="V2481" s="19" t="n"/>
      <c r="W2481" s="19" t="n"/>
      <c r="X2481" s="19" t="n"/>
      <c r="Y2481" s="19" t="n">
        <v>1</v>
      </c>
      <c r="Z2481" s="13">
        <f>SUMPRODUCT(N2481:Y2481,$N$2:$Y$2)*$K2481*$L2481*$M2481</f>
        <v/>
      </c>
      <c r="AA2481" s="14">
        <f>SUM(N2481:Y2481)</f>
        <v/>
      </c>
      <c r="AB2481" s="13">
        <f>SUMPRODUCT(N2481:Y2481,$N$3:$Y$3)*$K2481*$L2481*$M2481</f>
        <v/>
      </c>
      <c r="AC2481" s="13">
        <f>SUMPRODUCT(N2481:Y2481,$N$4:$Y$4)*$K2481*$L2481*$M2481</f>
        <v/>
      </c>
      <c r="AD2481" s="15" t="n">
        <v>3</v>
      </c>
      <c r="AE2481" s="11" t="n">
        <v>1.011296296296296</v>
      </c>
      <c r="AF2481" s="16">
        <f>SUMPRODUCT(N2481:Y2481,$N$5:$Y$5)*$K2481*$L2481*$M2481</f>
        <v/>
      </c>
      <c r="AG2481" s="16">
        <f>SUMPRODUCT(N2481:Y2481,$N$6:$Y$6)*$K2481*$L2481*$M2481</f>
        <v/>
      </c>
      <c r="AH2481" s="20" t="n"/>
    </row>
    <row r="2482">
      <c r="A2482" s="9" t="n">
        <v>807291</v>
      </c>
      <c r="B2482" s="9" t="inlineStr">
        <is>
          <t>Caden Scarborough</t>
        </is>
      </c>
      <c r="C2482" s="9" t="inlineStr">
        <is>
          <t>TEX</t>
        </is>
      </c>
      <c r="D2482" s="9" t="n">
        <v>22</v>
      </c>
      <c r="E2482" s="18" t="inlineStr">
        <is>
          <t>R</t>
        </is>
      </c>
      <c r="F2482" s="18" t="n"/>
      <c r="G2482" s="9" t="n">
        <v>41.56666666666667</v>
      </c>
      <c r="H2482" s="9" t="n">
        <v>41.56666666666667</v>
      </c>
      <c r="I2482" s="9" t="inlineStr">
        <is>
          <t>Depth (no MLB IP)</t>
        </is>
      </c>
      <c r="J2482" s="18" t="inlineStr">
        <is>
          <t>Opening Day</t>
        </is>
      </c>
      <c r="K2482" s="11">
        <f>IFERROR(INDEX(Roles!$B$17:$B$20,MATCH(J2482,Roles!$A$17:$A$20,0)),1)</f>
        <v/>
      </c>
      <c r="L2482" s="19" t="n">
        <v>1</v>
      </c>
      <c r="M2482" s="11" t="n">
        <v>1</v>
      </c>
      <c r="N2482" s="19" t="n"/>
      <c r="O2482" s="19" t="n"/>
      <c r="P2482" s="19" t="n"/>
      <c r="Q2482" s="19" t="n"/>
      <c r="R2482" s="19" t="n"/>
      <c r="S2482" s="19" t="n"/>
      <c r="T2482" s="19" t="n"/>
      <c r="U2482" s="19" t="n"/>
      <c r="V2482" s="19" t="n"/>
      <c r="W2482" s="19" t="n"/>
      <c r="X2482" s="19" t="n"/>
      <c r="Y2482" s="19" t="n">
        <v>1</v>
      </c>
      <c r="Z2482" s="13">
        <f>SUMPRODUCT(N2482:Y2482,$N$2:$Y$2)*$K2482*$L2482*$M2482</f>
        <v/>
      </c>
      <c r="AA2482" s="14">
        <f>SUM(N2482:Y2482)</f>
        <v/>
      </c>
      <c r="AB2482" s="13">
        <f>SUMPRODUCT(N2482:Y2482,$N$3:$Y$3)*$K2482*$L2482*$M2482</f>
        <v/>
      </c>
      <c r="AC2482" s="13">
        <f>SUMPRODUCT(N2482:Y2482,$N$4:$Y$4)*$K2482*$L2482*$M2482</f>
        <v/>
      </c>
      <c r="AD2482" s="15" t="n">
        <v>3</v>
      </c>
      <c r="AE2482" s="11" t="n">
        <v>1.011296296296296</v>
      </c>
      <c r="AF2482" s="16">
        <f>SUMPRODUCT(N2482:Y2482,$N$5:$Y$5)*$K2482*$L2482*$M2482</f>
        <v/>
      </c>
      <c r="AG2482" s="16">
        <f>SUMPRODUCT(N2482:Y2482,$N$6:$Y$6)*$K2482*$L2482*$M2482</f>
        <v/>
      </c>
      <c r="AH2482" s="20" t="n"/>
    </row>
    <row r="2483">
      <c r="A2483" s="9" t="n">
        <v>808788</v>
      </c>
      <c r="B2483" s="9" t="inlineStr">
        <is>
          <t>Hunter Hodges</t>
        </is>
      </c>
      <c r="C2483" s="9" t="inlineStr">
        <is>
          <t>NYM</t>
        </is>
      </c>
      <c r="D2483" s="9" t="n">
        <v>25</v>
      </c>
      <c r="E2483" s="18" t="inlineStr">
        <is>
          <t>R</t>
        </is>
      </c>
      <c r="F2483" s="18" t="n"/>
      <c r="G2483" s="9" t="n">
        <v>41.56666666666667</v>
      </c>
      <c r="H2483" s="9" t="n">
        <v>41.56666666666667</v>
      </c>
      <c r="I2483" s="9" t="inlineStr">
        <is>
          <t>Depth (no MLB IP)</t>
        </is>
      </c>
      <c r="J2483" s="18" t="inlineStr">
        <is>
          <t>Opening Day</t>
        </is>
      </c>
      <c r="K2483" s="11">
        <f>IFERROR(INDEX(Roles!$B$17:$B$20,MATCH(J2483,Roles!$A$17:$A$20,0)),1)</f>
        <v/>
      </c>
      <c r="L2483" s="19" t="n">
        <v>1</v>
      </c>
      <c r="M2483" s="11" t="n">
        <v>1</v>
      </c>
      <c r="N2483" s="19" t="n"/>
      <c r="O2483" s="19" t="n"/>
      <c r="P2483" s="19" t="n"/>
      <c r="Q2483" s="19" t="n"/>
      <c r="R2483" s="19" t="n"/>
      <c r="S2483" s="19" t="n"/>
      <c r="T2483" s="19" t="n"/>
      <c r="U2483" s="19" t="n"/>
      <c r="V2483" s="19" t="n"/>
      <c r="W2483" s="19" t="n"/>
      <c r="X2483" s="19" t="n"/>
      <c r="Y2483" s="19" t="n">
        <v>1</v>
      </c>
      <c r="Z2483" s="13">
        <f>SUMPRODUCT(N2483:Y2483,$N$2:$Y$2)*$K2483*$L2483*$M2483</f>
        <v/>
      </c>
      <c r="AA2483" s="14">
        <f>SUM(N2483:Y2483)</f>
        <v/>
      </c>
      <c r="AB2483" s="13">
        <f>SUMPRODUCT(N2483:Y2483,$N$3:$Y$3)*$K2483*$L2483*$M2483</f>
        <v/>
      </c>
      <c r="AC2483" s="13">
        <f>SUMPRODUCT(N2483:Y2483,$N$4:$Y$4)*$K2483*$L2483*$M2483</f>
        <v/>
      </c>
      <c r="AD2483" s="15" t="n">
        <v>3</v>
      </c>
      <c r="AE2483" s="11" t="n">
        <v>1.011296296296296</v>
      </c>
      <c r="AF2483" s="16">
        <f>SUMPRODUCT(N2483:Y2483,$N$5:$Y$5)*$K2483*$L2483*$M2483</f>
        <v/>
      </c>
      <c r="AG2483" s="16">
        <f>SUMPRODUCT(N2483:Y2483,$N$6:$Y$6)*$K2483*$L2483*$M2483</f>
        <v/>
      </c>
      <c r="AH2483" s="20" t="n"/>
    </row>
    <row r="2484">
      <c r="A2484" s="9" t="n">
        <v>807485</v>
      </c>
      <c r="B2484" s="9" t="inlineStr">
        <is>
          <t>Davian Garcia</t>
        </is>
      </c>
      <c r="C2484" s="9" t="inlineStr">
        <is>
          <t>WSH</t>
        </is>
      </c>
      <c r="D2484" s="9" t="n">
        <v>25</v>
      </c>
      <c r="E2484" s="18" t="inlineStr">
        <is>
          <t>R</t>
        </is>
      </c>
      <c r="F2484" s="18" t="n"/>
      <c r="G2484" s="9" t="n">
        <v>41.63833333333333</v>
      </c>
      <c r="H2484" s="9" t="n">
        <v>41.63833333333333</v>
      </c>
      <c r="I2484" s="9" t="inlineStr">
        <is>
          <t>Depth (no MLB IP)</t>
        </is>
      </c>
      <c r="J2484" s="18" t="inlineStr">
        <is>
          <t>Opening Day</t>
        </is>
      </c>
      <c r="K2484" s="11">
        <f>IFERROR(INDEX(Roles!$B$17:$B$20,MATCH(J2484,Roles!$A$17:$A$20,0)),1)</f>
        <v/>
      </c>
      <c r="L2484" s="19" t="n">
        <v>1</v>
      </c>
      <c r="M2484" s="11" t="n">
        <v>1</v>
      </c>
      <c r="N2484" s="19" t="n"/>
      <c r="O2484" s="19" t="n"/>
      <c r="P2484" s="19" t="n"/>
      <c r="Q2484" s="19" t="n"/>
      <c r="R2484" s="19" t="n"/>
      <c r="S2484" s="19" t="n"/>
      <c r="T2484" s="19" t="n"/>
      <c r="U2484" s="19" t="n"/>
      <c r="V2484" s="19" t="n"/>
      <c r="W2484" s="19" t="n"/>
      <c r="X2484" s="19" t="n"/>
      <c r="Y2484" s="19" t="n">
        <v>1</v>
      </c>
      <c r="Z2484" s="13">
        <f>SUMPRODUCT(N2484:Y2484,$N$2:$Y$2)*$K2484*$L2484*$M2484</f>
        <v/>
      </c>
      <c r="AA2484" s="14">
        <f>SUM(N2484:Y2484)</f>
        <v/>
      </c>
      <c r="AB2484" s="13">
        <f>SUMPRODUCT(N2484:Y2484,$N$3:$Y$3)*$K2484*$L2484*$M2484</f>
        <v/>
      </c>
      <c r="AC2484" s="13">
        <f>SUMPRODUCT(N2484:Y2484,$N$4:$Y$4)*$K2484*$L2484*$M2484</f>
        <v/>
      </c>
      <c r="AD2484" s="15" t="n">
        <v>3</v>
      </c>
      <c r="AE2484" s="11" t="n">
        <v>1.011296296296296</v>
      </c>
      <c r="AF2484" s="16">
        <f>SUMPRODUCT(N2484:Y2484,$N$5:$Y$5)*$K2484*$L2484*$M2484</f>
        <v/>
      </c>
      <c r="AG2484" s="16">
        <f>SUMPRODUCT(N2484:Y2484,$N$6:$Y$6)*$K2484*$L2484*$M2484</f>
        <v/>
      </c>
      <c r="AH2484" s="20" t="n"/>
    </row>
    <row r="2485">
      <c r="A2485" s="9" t="n">
        <v>695769</v>
      </c>
      <c r="B2485" s="9" t="inlineStr">
        <is>
          <t>D.J. McCarty</t>
        </is>
      </c>
      <c r="C2485" s="9" t="inlineStr">
        <is>
          <t>TEX</t>
        </is>
      </c>
      <c r="D2485" s="9" t="n">
        <v>25</v>
      </c>
      <c r="E2485" s="18" t="inlineStr">
        <is>
          <t>R</t>
        </is>
      </c>
      <c r="F2485" s="18" t="n"/>
      <c r="G2485" s="9" t="n">
        <v>41.63833333333333</v>
      </c>
      <c r="H2485" s="9" t="n">
        <v>41.63833333333333</v>
      </c>
      <c r="I2485" s="9" t="inlineStr">
        <is>
          <t>Depth (no MLB IP)</t>
        </is>
      </c>
      <c r="J2485" s="18" t="inlineStr">
        <is>
          <t>Opening Day</t>
        </is>
      </c>
      <c r="K2485" s="11">
        <f>IFERROR(INDEX(Roles!$B$17:$B$20,MATCH(J2485,Roles!$A$17:$A$20,0)),1)</f>
        <v/>
      </c>
      <c r="L2485" s="19" t="n">
        <v>1</v>
      </c>
      <c r="M2485" s="11" t="n">
        <v>1</v>
      </c>
      <c r="N2485" s="19" t="n"/>
      <c r="O2485" s="19" t="n"/>
      <c r="P2485" s="19" t="n"/>
      <c r="Q2485" s="19" t="n"/>
      <c r="R2485" s="19" t="n"/>
      <c r="S2485" s="19" t="n"/>
      <c r="T2485" s="19" t="n"/>
      <c r="U2485" s="19" t="n"/>
      <c r="V2485" s="19" t="n"/>
      <c r="W2485" s="19" t="n"/>
      <c r="X2485" s="19" t="n"/>
      <c r="Y2485" s="19" t="n">
        <v>1</v>
      </c>
      <c r="Z2485" s="13">
        <f>SUMPRODUCT(N2485:Y2485,$N$2:$Y$2)*$K2485*$L2485*$M2485</f>
        <v/>
      </c>
      <c r="AA2485" s="14">
        <f>SUM(N2485:Y2485)</f>
        <v/>
      </c>
      <c r="AB2485" s="13">
        <f>SUMPRODUCT(N2485:Y2485,$N$3:$Y$3)*$K2485*$L2485*$M2485</f>
        <v/>
      </c>
      <c r="AC2485" s="13">
        <f>SUMPRODUCT(N2485:Y2485,$N$4:$Y$4)*$K2485*$L2485*$M2485</f>
        <v/>
      </c>
      <c r="AD2485" s="15" t="n">
        <v>3</v>
      </c>
      <c r="AE2485" s="11" t="n">
        <v>1.011296296296296</v>
      </c>
      <c r="AF2485" s="16">
        <f>SUMPRODUCT(N2485:Y2485,$N$5:$Y$5)*$K2485*$L2485*$M2485</f>
        <v/>
      </c>
      <c r="AG2485" s="16">
        <f>SUMPRODUCT(N2485:Y2485,$N$6:$Y$6)*$K2485*$L2485*$M2485</f>
        <v/>
      </c>
      <c r="AH2485" s="20" t="n"/>
    </row>
    <row r="2486">
      <c r="A2486" s="9" t="n">
        <v>823781</v>
      </c>
      <c r="B2486" s="9" t="inlineStr">
        <is>
          <t>Sean Youngerman</t>
        </is>
      </c>
      <c r="C2486" s="9" t="inlineStr">
        <is>
          <t>PHI</t>
        </is>
      </c>
      <c r="D2486" s="9" t="n">
        <v>25</v>
      </c>
      <c r="E2486" s="18" t="inlineStr">
        <is>
          <t>R</t>
        </is>
      </c>
      <c r="F2486" s="18" t="n"/>
      <c r="G2486" s="9" t="n">
        <v>41.624</v>
      </c>
      <c r="H2486" s="9" t="n">
        <v>41.624</v>
      </c>
      <c r="I2486" s="9" t="inlineStr">
        <is>
          <t>Depth (no MLB IP)</t>
        </is>
      </c>
      <c r="J2486" s="18" t="inlineStr">
        <is>
          <t>Opening Day</t>
        </is>
      </c>
      <c r="K2486" s="11">
        <f>IFERROR(INDEX(Roles!$B$17:$B$20,MATCH(J2486,Roles!$A$17:$A$20,0)),1)</f>
        <v/>
      </c>
      <c r="L2486" s="19" t="n">
        <v>1</v>
      </c>
      <c r="M2486" s="11" t="n">
        <v>1</v>
      </c>
      <c r="N2486" s="19" t="n"/>
      <c r="O2486" s="19" t="n"/>
      <c r="P2486" s="19" t="n"/>
      <c r="Q2486" s="19" t="n"/>
      <c r="R2486" s="19" t="n"/>
      <c r="S2486" s="19" t="n"/>
      <c r="T2486" s="19" t="n"/>
      <c r="U2486" s="19" t="n"/>
      <c r="V2486" s="19" t="n"/>
      <c r="W2486" s="19" t="n"/>
      <c r="X2486" s="19" t="n"/>
      <c r="Y2486" s="19" t="n">
        <v>1</v>
      </c>
      <c r="Z2486" s="13">
        <f>SUMPRODUCT(N2486:Y2486,$N$2:$Y$2)*$K2486*$L2486*$M2486</f>
        <v/>
      </c>
      <c r="AA2486" s="14">
        <f>SUM(N2486:Y2486)</f>
        <v/>
      </c>
      <c r="AB2486" s="13">
        <f>SUMPRODUCT(N2486:Y2486,$N$3:$Y$3)*$K2486*$L2486*$M2486</f>
        <v/>
      </c>
      <c r="AC2486" s="13">
        <f>SUMPRODUCT(N2486:Y2486,$N$4:$Y$4)*$K2486*$L2486*$M2486</f>
        <v/>
      </c>
      <c r="AD2486" s="15" t="n">
        <v>3</v>
      </c>
      <c r="AE2486" s="11" t="n">
        <v>1.011296296296296</v>
      </c>
      <c r="AF2486" s="16">
        <f>SUMPRODUCT(N2486:Y2486,$N$5:$Y$5)*$K2486*$L2486*$M2486</f>
        <v/>
      </c>
      <c r="AG2486" s="16">
        <f>SUMPRODUCT(N2486:Y2486,$N$6:$Y$6)*$K2486*$L2486*$M2486</f>
        <v/>
      </c>
      <c r="AH2486" s="20" t="n"/>
    </row>
    <row r="2487">
      <c r="A2487" s="9" t="n">
        <v>805214</v>
      </c>
      <c r="B2487" s="9" t="inlineStr">
        <is>
          <t>Isaac Lyon</t>
        </is>
      </c>
      <c r="C2487" s="9" t="inlineStr">
        <is>
          <t>WSH</t>
        </is>
      </c>
      <c r="D2487" s="9" t="n">
        <v>25</v>
      </c>
      <c r="E2487" s="18" t="inlineStr">
        <is>
          <t>R</t>
        </is>
      </c>
      <c r="F2487" s="18" t="n"/>
      <c r="G2487" s="9" t="n">
        <v>41.78166666666667</v>
      </c>
      <c r="H2487" s="9" t="n">
        <v>41.78166666666667</v>
      </c>
      <c r="I2487" s="9" t="inlineStr">
        <is>
          <t>Depth (no MLB IP)</t>
        </is>
      </c>
      <c r="J2487" s="18" t="inlineStr">
        <is>
          <t>Opening Day</t>
        </is>
      </c>
      <c r="K2487" s="11">
        <f>IFERROR(INDEX(Roles!$B$17:$B$20,MATCH(J2487,Roles!$A$17:$A$20,0)),1)</f>
        <v/>
      </c>
      <c r="L2487" s="19" t="n">
        <v>1</v>
      </c>
      <c r="M2487" s="11" t="n">
        <v>1</v>
      </c>
      <c r="N2487" s="19" t="n"/>
      <c r="O2487" s="19" t="n"/>
      <c r="P2487" s="19" t="n"/>
      <c r="Q2487" s="19" t="n"/>
      <c r="R2487" s="19" t="n"/>
      <c r="S2487" s="19" t="n"/>
      <c r="T2487" s="19" t="n"/>
      <c r="U2487" s="19" t="n"/>
      <c r="V2487" s="19" t="n"/>
      <c r="W2487" s="19" t="n"/>
      <c r="X2487" s="19" t="n"/>
      <c r="Y2487" s="19" t="n">
        <v>1</v>
      </c>
      <c r="Z2487" s="13">
        <f>SUMPRODUCT(N2487:Y2487,$N$2:$Y$2)*$K2487*$L2487*$M2487</f>
        <v/>
      </c>
      <c r="AA2487" s="14">
        <f>SUM(N2487:Y2487)</f>
        <v/>
      </c>
      <c r="AB2487" s="13">
        <f>SUMPRODUCT(N2487:Y2487,$N$3:$Y$3)*$K2487*$L2487*$M2487</f>
        <v/>
      </c>
      <c r="AC2487" s="13">
        <f>SUMPRODUCT(N2487:Y2487,$N$4:$Y$4)*$K2487*$L2487*$M2487</f>
        <v/>
      </c>
      <c r="AD2487" s="15" t="n">
        <v>3</v>
      </c>
      <c r="AE2487" s="11" t="n">
        <v>1.011296296296296</v>
      </c>
      <c r="AF2487" s="16">
        <f>SUMPRODUCT(N2487:Y2487,$N$5:$Y$5)*$K2487*$L2487*$M2487</f>
        <v/>
      </c>
      <c r="AG2487" s="16">
        <f>SUMPRODUCT(N2487:Y2487,$N$6:$Y$6)*$K2487*$L2487*$M2487</f>
        <v/>
      </c>
      <c r="AH2487" s="20" t="n"/>
    </row>
    <row r="2488">
      <c r="A2488" s="9" t="n">
        <v>692623</v>
      </c>
      <c r="B2488" s="9" t="inlineStr">
        <is>
          <t>Leonard Garcia</t>
        </is>
      </c>
      <c r="C2488" s="9" t="inlineStr">
        <is>
          <t>LAA</t>
        </is>
      </c>
      <c r="D2488" s="9" t="n">
        <v>25</v>
      </c>
      <c r="E2488" s="18" t="inlineStr">
        <is>
          <t>L</t>
        </is>
      </c>
      <c r="F2488" s="18" t="n"/>
      <c r="G2488" s="9" t="n">
        <v>41.78166666666667</v>
      </c>
      <c r="H2488" s="9" t="n">
        <v>41.78166666666667</v>
      </c>
      <c r="I2488" s="9" t="inlineStr">
        <is>
          <t>Depth (no MLB IP)</t>
        </is>
      </c>
      <c r="J2488" s="18" t="inlineStr">
        <is>
          <t>Opening Day</t>
        </is>
      </c>
      <c r="K2488" s="11">
        <f>IFERROR(INDEX(Roles!$B$17:$B$20,MATCH(J2488,Roles!$A$17:$A$20,0)),1)</f>
        <v/>
      </c>
      <c r="L2488" s="19" t="n">
        <v>1</v>
      </c>
      <c r="M2488" s="11" t="n">
        <v>1</v>
      </c>
      <c r="N2488" s="19" t="n"/>
      <c r="O2488" s="19" t="n"/>
      <c r="P2488" s="19" t="n"/>
      <c r="Q2488" s="19" t="n"/>
      <c r="R2488" s="19" t="n"/>
      <c r="S2488" s="19" t="n"/>
      <c r="T2488" s="19" t="n"/>
      <c r="U2488" s="19" t="n"/>
      <c r="V2488" s="19" t="n"/>
      <c r="W2488" s="19" t="n"/>
      <c r="X2488" s="19" t="n"/>
      <c r="Y2488" s="19" t="n">
        <v>1</v>
      </c>
      <c r="Z2488" s="13">
        <f>SUMPRODUCT(N2488:Y2488,$N$2:$Y$2)*$K2488*$L2488*$M2488</f>
        <v/>
      </c>
      <c r="AA2488" s="14">
        <f>SUM(N2488:Y2488)</f>
        <v/>
      </c>
      <c r="AB2488" s="13">
        <f>SUMPRODUCT(N2488:Y2488,$N$3:$Y$3)*$K2488*$L2488*$M2488</f>
        <v/>
      </c>
      <c r="AC2488" s="13">
        <f>SUMPRODUCT(N2488:Y2488,$N$4:$Y$4)*$K2488*$L2488*$M2488</f>
        <v/>
      </c>
      <c r="AD2488" s="15" t="n">
        <v>3</v>
      </c>
      <c r="AE2488" s="11" t="n">
        <v>1.011296296296296</v>
      </c>
      <c r="AF2488" s="16">
        <f>SUMPRODUCT(N2488:Y2488,$N$5:$Y$5)*$K2488*$L2488*$M2488</f>
        <v/>
      </c>
      <c r="AG2488" s="16">
        <f>SUMPRODUCT(N2488:Y2488,$N$6:$Y$6)*$K2488*$L2488*$M2488</f>
        <v/>
      </c>
      <c r="AH2488" s="20" t="n"/>
    </row>
    <row r="2489">
      <c r="A2489" s="9" t="n">
        <v>656849</v>
      </c>
      <c r="B2489" s="9" t="inlineStr">
        <is>
          <t>David Peterson</t>
        </is>
      </c>
      <c r="C2489" s="9" t="inlineStr">
        <is>
          <t>CHC</t>
        </is>
      </c>
      <c r="D2489" s="9" t="n">
        <v>31</v>
      </c>
      <c r="E2489" s="18" t="inlineStr">
        <is>
          <t>L</t>
        </is>
      </c>
      <c r="F2489" s="18" t="n"/>
      <c r="G2489" s="9" t="n">
        <v>663</v>
      </c>
      <c r="H2489" s="9" t="n">
        <v>2842</v>
      </c>
      <c r="I2489" s="9" t="inlineStr">
        <is>
          <t>End-of-Rotation Starter (SP4-5)</t>
        </is>
      </c>
      <c r="J2489" s="18" t="inlineStr">
        <is>
          <t>Opening Day</t>
        </is>
      </c>
      <c r="K2489" s="11">
        <f>IFERROR(INDEX(Roles!$B$17:$B$20,MATCH(J2489,Roles!$A$17:$A$20,0)),1)</f>
        <v/>
      </c>
      <c r="L2489" s="19" t="n">
        <v>1</v>
      </c>
      <c r="M2489" s="11" t="n">
        <v>1</v>
      </c>
      <c r="N2489" s="19" t="n"/>
      <c r="O2489" s="19" t="n"/>
      <c r="P2489" s="19" t="n">
        <v>0.5</v>
      </c>
      <c r="Q2489" s="19" t="n"/>
      <c r="R2489" s="19" t="n">
        <v>0.5</v>
      </c>
      <c r="S2489" s="19" t="n"/>
      <c r="T2489" s="19" t="n"/>
      <c r="U2489" s="19" t="n"/>
      <c r="V2489" s="19" t="n"/>
      <c r="W2489" s="19" t="n"/>
      <c r="X2489" s="19" t="n"/>
      <c r="Y2489" s="19" t="n"/>
      <c r="Z2489" s="13">
        <f>SUMPRODUCT(N2489:Y2489,$N$2:$Y$2)*$K2489*$L2489*$M2489</f>
        <v/>
      </c>
      <c r="AA2489" s="14">
        <f>SUM(N2489:Y2489)</f>
        <v/>
      </c>
      <c r="AB2489" s="13">
        <f>SUMPRODUCT(N2489:Y2489,$N$3:$Y$3)*$K2489*$L2489*$M2489</f>
        <v/>
      </c>
      <c r="AC2489" s="13">
        <f>SUMPRODUCT(N2489:Y2489,$N$4:$Y$4)*$K2489*$L2489*$M2489</f>
        <v/>
      </c>
      <c r="AD2489" s="15" t="n">
        <v>24.1</v>
      </c>
      <c r="AE2489" s="11" t="n">
        <v>4.738229755178907</v>
      </c>
      <c r="AF2489" s="16">
        <f>SUMPRODUCT(N2489:Y2489,$N$5:$Y$5)*$K2489*$L2489*$M2489</f>
        <v/>
      </c>
      <c r="AG2489" s="16">
        <f>SUMPRODUCT(N2489:Y2489,$N$6:$Y$6)*$K2489*$L2489*$M2489</f>
        <v/>
      </c>
      <c r="AH2489" s="20" t="n"/>
    </row>
    <row r="2490">
      <c r="A2490" s="9" t="n">
        <v>806190</v>
      </c>
      <c r="B2490" s="9" t="inlineStr">
        <is>
          <t>Isaac Coffey</t>
        </is>
      </c>
      <c r="C2490" s="9" t="inlineStr">
        <is>
          <t>BOS</t>
        </is>
      </c>
      <c r="D2490" s="9" t="n">
        <v>25</v>
      </c>
      <c r="E2490" s="18" t="inlineStr">
        <is>
          <t>R</t>
        </is>
      </c>
      <c r="F2490" s="18" t="n"/>
      <c r="G2490" s="9" t="n">
        <v>41.78166666666667</v>
      </c>
      <c r="H2490" s="9" t="n">
        <v>41.78166666666667</v>
      </c>
      <c r="I2490" s="9" t="inlineStr">
        <is>
          <t>Depth (no MLB IP)</t>
        </is>
      </c>
      <c r="J2490" s="18" t="inlineStr">
        <is>
          <t>Opening Day</t>
        </is>
      </c>
      <c r="K2490" s="11">
        <f>IFERROR(INDEX(Roles!$B$17:$B$20,MATCH(J2490,Roles!$A$17:$A$20,0)),1)</f>
        <v/>
      </c>
      <c r="L2490" s="19" t="n">
        <v>1</v>
      </c>
      <c r="M2490" s="11" t="n">
        <v>1</v>
      </c>
      <c r="N2490" s="19" t="n"/>
      <c r="O2490" s="19" t="n"/>
      <c r="P2490" s="19" t="n"/>
      <c r="Q2490" s="19" t="n"/>
      <c r="R2490" s="19" t="n"/>
      <c r="S2490" s="19" t="n"/>
      <c r="T2490" s="19" t="n"/>
      <c r="U2490" s="19" t="n"/>
      <c r="V2490" s="19" t="n"/>
      <c r="W2490" s="19" t="n"/>
      <c r="X2490" s="19" t="n"/>
      <c r="Y2490" s="19" t="n">
        <v>1</v>
      </c>
      <c r="Z2490" s="13">
        <f>SUMPRODUCT(N2490:Y2490,$N$2:$Y$2)*$K2490*$L2490*$M2490</f>
        <v/>
      </c>
      <c r="AA2490" s="14">
        <f>SUM(N2490:Y2490)</f>
        <v/>
      </c>
      <c r="AB2490" s="13">
        <f>SUMPRODUCT(N2490:Y2490,$N$3:$Y$3)*$K2490*$L2490*$M2490</f>
        <v/>
      </c>
      <c r="AC2490" s="13">
        <f>SUMPRODUCT(N2490:Y2490,$N$4:$Y$4)*$K2490*$L2490*$M2490</f>
        <v/>
      </c>
      <c r="AD2490" s="15" t="n">
        <v>3</v>
      </c>
      <c r="AE2490" s="11" t="n">
        <v>1.011296296296296</v>
      </c>
      <c r="AF2490" s="16">
        <f>SUMPRODUCT(N2490:Y2490,$N$5:$Y$5)*$K2490*$L2490*$M2490</f>
        <v/>
      </c>
      <c r="AG2490" s="16">
        <f>SUMPRODUCT(N2490:Y2490,$N$6:$Y$6)*$K2490*$L2490*$M2490</f>
        <v/>
      </c>
      <c r="AH2490" s="20" t="n"/>
    </row>
    <row r="2491">
      <c r="A2491" s="9" t="n">
        <v>592222</v>
      </c>
      <c r="B2491" s="9" t="inlineStr">
        <is>
          <t>Alex Claudio</t>
        </is>
      </c>
      <c r="C2491" s="9" t="inlineStr">
        <is>
          <t>MIL</t>
        </is>
      </c>
      <c r="D2491" s="9" t="n">
        <v>35</v>
      </c>
      <c r="E2491" s="18" t="inlineStr">
        <is>
          <t>L</t>
        </is>
      </c>
      <c r="F2491" s="18" t="n"/>
      <c r="G2491" s="9" t="n">
        <v>3</v>
      </c>
      <c r="H2491" s="9" t="n">
        <v>16</v>
      </c>
      <c r="I2491" s="9" t="inlineStr">
        <is>
          <t>Depth (no MLB IP)</t>
        </is>
      </c>
      <c r="J2491" s="18" t="inlineStr">
        <is>
          <t>Opening Day</t>
        </is>
      </c>
      <c r="K2491" s="11">
        <f>IFERROR(INDEX(Roles!$B$17:$B$20,MATCH(J2491,Roles!$A$17:$A$20,0)),1)</f>
        <v/>
      </c>
      <c r="L2491" s="19" t="n">
        <v>1</v>
      </c>
      <c r="M2491" s="11" t="n">
        <v>1</v>
      </c>
      <c r="N2491" s="19" t="n"/>
      <c r="O2491" s="19" t="n"/>
      <c r="P2491" s="19" t="n"/>
      <c r="Q2491" s="19" t="n"/>
      <c r="R2491" s="19" t="n"/>
      <c r="S2491" s="19" t="n"/>
      <c r="T2491" s="19" t="n"/>
      <c r="U2491" s="19" t="n"/>
      <c r="V2491" s="19" t="n"/>
      <c r="W2491" s="19" t="n"/>
      <c r="X2491" s="19" t="n"/>
      <c r="Y2491" s="19" t="n">
        <v>1</v>
      </c>
      <c r="Z2491" s="13">
        <f>SUMPRODUCT(N2491:Y2491,$N$2:$Y$2)*$K2491*$L2491*$M2491</f>
        <v/>
      </c>
      <c r="AA2491" s="14">
        <f>SUM(N2491:Y2491)</f>
        <v/>
      </c>
      <c r="AB2491" s="13">
        <f>SUMPRODUCT(N2491:Y2491,$N$3:$Y$3)*$K2491*$L2491*$M2491</f>
        <v/>
      </c>
      <c r="AC2491" s="13">
        <f>SUMPRODUCT(N2491:Y2491,$N$4:$Y$4)*$K2491*$L2491*$M2491</f>
        <v/>
      </c>
      <c r="AD2491" s="15" t="n">
        <v>3</v>
      </c>
      <c r="AE2491" s="11" t="n">
        <v>1.011296296296296</v>
      </c>
      <c r="AF2491" s="16">
        <f>SUMPRODUCT(N2491:Y2491,$N$5:$Y$5)*$K2491*$L2491*$M2491</f>
        <v/>
      </c>
      <c r="AG2491" s="16">
        <f>SUMPRODUCT(N2491:Y2491,$N$6:$Y$6)*$K2491*$L2491*$M2491</f>
        <v/>
      </c>
      <c r="AH2491" s="20" t="n"/>
    </row>
    <row r="2492">
      <c r="A2492" s="9" t="n">
        <v>690974</v>
      </c>
      <c r="B2492" s="9" t="inlineStr">
        <is>
          <t>Jake Eddington</t>
        </is>
      </c>
      <c r="C2492" s="9" t="inlineStr">
        <is>
          <t>PHI</t>
        </is>
      </c>
      <c r="D2492" s="9" t="n">
        <v>25</v>
      </c>
      <c r="E2492" s="18" t="inlineStr">
        <is>
          <t>R</t>
        </is>
      </c>
      <c r="F2492" s="18" t="n"/>
      <c r="G2492" s="9" t="n">
        <v>41.85333333333333</v>
      </c>
      <c r="H2492" s="9" t="n">
        <v>41.85333333333333</v>
      </c>
      <c r="I2492" s="9" t="inlineStr">
        <is>
          <t>Depth (no MLB IP)</t>
        </is>
      </c>
      <c r="J2492" s="18" t="inlineStr">
        <is>
          <t>Opening Day</t>
        </is>
      </c>
      <c r="K2492" s="11">
        <f>IFERROR(INDEX(Roles!$B$17:$B$20,MATCH(J2492,Roles!$A$17:$A$20,0)),1)</f>
        <v/>
      </c>
      <c r="L2492" s="19" t="n">
        <v>1</v>
      </c>
      <c r="M2492" s="11" t="n">
        <v>1</v>
      </c>
      <c r="N2492" s="19" t="n"/>
      <c r="O2492" s="19" t="n"/>
      <c r="P2492" s="19" t="n"/>
      <c r="Q2492" s="19" t="n"/>
      <c r="R2492" s="19" t="n"/>
      <c r="S2492" s="19" t="n"/>
      <c r="T2492" s="19" t="n"/>
      <c r="U2492" s="19" t="n"/>
      <c r="V2492" s="19" t="n"/>
      <c r="W2492" s="19" t="n"/>
      <c r="X2492" s="19" t="n"/>
      <c r="Y2492" s="19" t="n">
        <v>1</v>
      </c>
      <c r="Z2492" s="13">
        <f>SUMPRODUCT(N2492:Y2492,$N$2:$Y$2)*$K2492*$L2492*$M2492</f>
        <v/>
      </c>
      <c r="AA2492" s="14">
        <f>SUM(N2492:Y2492)</f>
        <v/>
      </c>
      <c r="AB2492" s="13">
        <f>SUMPRODUCT(N2492:Y2492,$N$3:$Y$3)*$K2492*$L2492*$M2492</f>
        <v/>
      </c>
      <c r="AC2492" s="13">
        <f>SUMPRODUCT(N2492:Y2492,$N$4:$Y$4)*$K2492*$L2492*$M2492</f>
        <v/>
      </c>
      <c r="AD2492" s="15" t="n">
        <v>3</v>
      </c>
      <c r="AE2492" s="11" t="n">
        <v>1.011296296296296</v>
      </c>
      <c r="AF2492" s="16">
        <f>SUMPRODUCT(N2492:Y2492,$N$5:$Y$5)*$K2492*$L2492*$M2492</f>
        <v/>
      </c>
      <c r="AG2492" s="16">
        <f>SUMPRODUCT(N2492:Y2492,$N$6:$Y$6)*$K2492*$L2492*$M2492</f>
        <v/>
      </c>
      <c r="AH2492" s="20" t="n"/>
    </row>
    <row r="2493">
      <c r="A2493" s="9" t="n">
        <v>801639</v>
      </c>
      <c r="B2493" s="9" t="inlineStr">
        <is>
          <t>Trystan Vrieling</t>
        </is>
      </c>
      <c r="C2493" s="9" t="inlineStr">
        <is>
          <t>SF</t>
        </is>
      </c>
      <c r="D2493" s="9" t="n">
        <v>25</v>
      </c>
      <c r="E2493" s="18" t="inlineStr">
        <is>
          <t>R</t>
        </is>
      </c>
      <c r="F2493" s="18" t="n"/>
      <c r="G2493" s="9" t="n">
        <v>41.78166666666667</v>
      </c>
      <c r="H2493" s="9" t="n">
        <v>41.78166666666667</v>
      </c>
      <c r="I2493" s="9" t="inlineStr">
        <is>
          <t>Depth (no MLB IP)</t>
        </is>
      </c>
      <c r="J2493" s="18" t="inlineStr">
        <is>
          <t>Opening Day</t>
        </is>
      </c>
      <c r="K2493" s="11">
        <f>IFERROR(INDEX(Roles!$B$17:$B$20,MATCH(J2493,Roles!$A$17:$A$20,0)),1)</f>
        <v/>
      </c>
      <c r="L2493" s="19" t="n">
        <v>1</v>
      </c>
      <c r="M2493" s="11" t="n">
        <v>1</v>
      </c>
      <c r="N2493" s="19" t="n"/>
      <c r="O2493" s="19" t="n"/>
      <c r="P2493" s="19" t="n"/>
      <c r="Q2493" s="19" t="n"/>
      <c r="R2493" s="19" t="n"/>
      <c r="S2493" s="19" t="n"/>
      <c r="T2493" s="19" t="n"/>
      <c r="U2493" s="19" t="n"/>
      <c r="V2493" s="19" t="n"/>
      <c r="W2493" s="19" t="n"/>
      <c r="X2493" s="19" t="n"/>
      <c r="Y2493" s="19" t="n">
        <v>1</v>
      </c>
      <c r="Z2493" s="13">
        <f>SUMPRODUCT(N2493:Y2493,$N$2:$Y$2)*$K2493*$L2493*$M2493</f>
        <v/>
      </c>
      <c r="AA2493" s="14">
        <f>SUM(N2493:Y2493)</f>
        <v/>
      </c>
      <c r="AB2493" s="13">
        <f>SUMPRODUCT(N2493:Y2493,$N$3:$Y$3)*$K2493*$L2493*$M2493</f>
        <v/>
      </c>
      <c r="AC2493" s="13">
        <f>SUMPRODUCT(N2493:Y2493,$N$4:$Y$4)*$K2493*$L2493*$M2493</f>
        <v/>
      </c>
      <c r="AD2493" s="15" t="n">
        <v>3</v>
      </c>
      <c r="AE2493" s="11" t="n">
        <v>1.011296296296296</v>
      </c>
      <c r="AF2493" s="16">
        <f>SUMPRODUCT(N2493:Y2493,$N$5:$Y$5)*$K2493*$L2493*$M2493</f>
        <v/>
      </c>
      <c r="AG2493" s="16">
        <f>SUMPRODUCT(N2493:Y2493,$N$6:$Y$6)*$K2493*$L2493*$M2493</f>
        <v/>
      </c>
      <c r="AH2493" s="20" t="n"/>
    </row>
    <row r="2494">
      <c r="A2494" s="9" t="n">
        <v>815758</v>
      </c>
      <c r="B2494" s="9" t="inlineStr">
        <is>
          <t>Brayan Vergara</t>
        </is>
      </c>
      <c r="C2494" s="9" t="inlineStr">
        <is>
          <t>LAA</t>
        </is>
      </c>
      <c r="D2494" s="9" t="n">
        <v>25</v>
      </c>
      <c r="E2494" s="18" t="inlineStr">
        <is>
          <t>R</t>
        </is>
      </c>
      <c r="F2494" s="18" t="n"/>
      <c r="G2494" s="9" t="n">
        <v>41.796</v>
      </c>
      <c r="H2494" s="9" t="n">
        <v>41.796</v>
      </c>
      <c r="I2494" s="9" t="inlineStr">
        <is>
          <t>Depth (no MLB IP)</t>
        </is>
      </c>
      <c r="J2494" s="18" t="inlineStr">
        <is>
          <t>Opening Day</t>
        </is>
      </c>
      <c r="K2494" s="11">
        <f>IFERROR(INDEX(Roles!$B$17:$B$20,MATCH(J2494,Roles!$A$17:$A$20,0)),1)</f>
        <v/>
      </c>
      <c r="L2494" s="19" t="n">
        <v>1</v>
      </c>
      <c r="M2494" s="11" t="n">
        <v>1</v>
      </c>
      <c r="N2494" s="19" t="n"/>
      <c r="O2494" s="19" t="n"/>
      <c r="P2494" s="19" t="n"/>
      <c r="Q2494" s="19" t="n"/>
      <c r="R2494" s="19" t="n"/>
      <c r="S2494" s="19" t="n"/>
      <c r="T2494" s="19" t="n"/>
      <c r="U2494" s="19" t="n"/>
      <c r="V2494" s="19" t="n"/>
      <c r="W2494" s="19" t="n"/>
      <c r="X2494" s="19" t="n"/>
      <c r="Y2494" s="19" t="n">
        <v>1</v>
      </c>
      <c r="Z2494" s="13">
        <f>SUMPRODUCT(N2494:Y2494,$N$2:$Y$2)*$K2494*$L2494*$M2494</f>
        <v/>
      </c>
      <c r="AA2494" s="14">
        <f>SUM(N2494:Y2494)</f>
        <v/>
      </c>
      <c r="AB2494" s="13">
        <f>SUMPRODUCT(N2494:Y2494,$N$3:$Y$3)*$K2494*$L2494*$M2494</f>
        <v/>
      </c>
      <c r="AC2494" s="13">
        <f>SUMPRODUCT(N2494:Y2494,$N$4:$Y$4)*$K2494*$L2494*$M2494</f>
        <v/>
      </c>
      <c r="AD2494" s="15" t="n">
        <v>3</v>
      </c>
      <c r="AE2494" s="11" t="n">
        <v>1.011296296296296</v>
      </c>
      <c r="AF2494" s="16">
        <f>SUMPRODUCT(N2494:Y2494,$N$5:$Y$5)*$K2494*$L2494*$M2494</f>
        <v/>
      </c>
      <c r="AG2494" s="16">
        <f>SUMPRODUCT(N2494:Y2494,$N$6:$Y$6)*$K2494*$L2494*$M2494</f>
        <v/>
      </c>
      <c r="AH2494" s="20" t="n"/>
    </row>
    <row r="2495">
      <c r="A2495" s="9" t="n">
        <v>837584</v>
      </c>
      <c r="B2495" s="9" t="inlineStr">
        <is>
          <t>Jalen Evans</t>
        </is>
      </c>
      <c r="C2495" s="9" t="inlineStr">
        <is>
          <t>DET</t>
        </is>
      </c>
      <c r="D2495" s="9" t="n">
        <v>25</v>
      </c>
      <c r="E2495" s="18" t="inlineStr">
        <is>
          <t>R</t>
        </is>
      </c>
      <c r="F2495" s="18" t="n"/>
      <c r="G2495" s="9" t="n">
        <v>41.85333333333333</v>
      </c>
      <c r="H2495" s="9" t="n">
        <v>41.85333333333333</v>
      </c>
      <c r="I2495" s="9" t="inlineStr">
        <is>
          <t>Depth (no MLB IP)</t>
        </is>
      </c>
      <c r="J2495" s="18" t="inlineStr">
        <is>
          <t>Opening Day</t>
        </is>
      </c>
      <c r="K2495" s="11">
        <f>IFERROR(INDEX(Roles!$B$17:$B$20,MATCH(J2495,Roles!$A$17:$A$20,0)),1)</f>
        <v/>
      </c>
      <c r="L2495" s="19" t="n">
        <v>1</v>
      </c>
      <c r="M2495" s="11" t="n">
        <v>1</v>
      </c>
      <c r="N2495" s="19" t="n"/>
      <c r="O2495" s="19" t="n"/>
      <c r="P2495" s="19" t="n"/>
      <c r="Q2495" s="19" t="n"/>
      <c r="R2495" s="19" t="n"/>
      <c r="S2495" s="19" t="n"/>
      <c r="T2495" s="19" t="n"/>
      <c r="U2495" s="19" t="n"/>
      <c r="V2495" s="19" t="n"/>
      <c r="W2495" s="19" t="n"/>
      <c r="X2495" s="19" t="n"/>
      <c r="Y2495" s="19" t="n">
        <v>1</v>
      </c>
      <c r="Z2495" s="13">
        <f>SUMPRODUCT(N2495:Y2495,$N$2:$Y$2)*$K2495*$L2495*$M2495</f>
        <v/>
      </c>
      <c r="AA2495" s="14">
        <f>SUM(N2495:Y2495)</f>
        <v/>
      </c>
      <c r="AB2495" s="13">
        <f>SUMPRODUCT(N2495:Y2495,$N$3:$Y$3)*$K2495*$L2495*$M2495</f>
        <v/>
      </c>
      <c r="AC2495" s="13">
        <f>SUMPRODUCT(N2495:Y2495,$N$4:$Y$4)*$K2495*$L2495*$M2495</f>
        <v/>
      </c>
      <c r="AD2495" s="15" t="n">
        <v>3</v>
      </c>
      <c r="AE2495" s="11" t="n">
        <v>1.011296296296296</v>
      </c>
      <c r="AF2495" s="16">
        <f>SUMPRODUCT(N2495:Y2495,$N$5:$Y$5)*$K2495*$L2495*$M2495</f>
        <v/>
      </c>
      <c r="AG2495" s="16">
        <f>SUMPRODUCT(N2495:Y2495,$N$6:$Y$6)*$K2495*$L2495*$M2495</f>
        <v/>
      </c>
      <c r="AH2495" s="20" t="n"/>
    </row>
    <row r="2496">
      <c r="A2496" s="9" t="n">
        <v>694285</v>
      </c>
      <c r="B2496" s="9" t="inlineStr">
        <is>
          <t>Chandler Marsh</t>
        </is>
      </c>
      <c r="C2496" s="9" t="inlineStr">
        <is>
          <t>BAL</t>
        </is>
      </c>
      <c r="D2496" s="9" t="n">
        <v>25</v>
      </c>
      <c r="E2496" s="18" t="inlineStr">
        <is>
          <t>R</t>
        </is>
      </c>
      <c r="F2496" s="18" t="n"/>
      <c r="G2496" s="9" t="n">
        <v>41.85333333333333</v>
      </c>
      <c r="H2496" s="9" t="n">
        <v>41.85333333333333</v>
      </c>
      <c r="I2496" s="9" t="inlineStr">
        <is>
          <t>Depth (no MLB IP)</t>
        </is>
      </c>
      <c r="J2496" s="18" t="inlineStr">
        <is>
          <t>Opening Day</t>
        </is>
      </c>
      <c r="K2496" s="11">
        <f>IFERROR(INDEX(Roles!$B$17:$B$20,MATCH(J2496,Roles!$A$17:$A$20,0)),1)</f>
        <v/>
      </c>
      <c r="L2496" s="19" t="n">
        <v>1</v>
      </c>
      <c r="M2496" s="11" t="n">
        <v>1</v>
      </c>
      <c r="N2496" s="19" t="n"/>
      <c r="O2496" s="19" t="n"/>
      <c r="P2496" s="19" t="n"/>
      <c r="Q2496" s="19" t="n"/>
      <c r="R2496" s="19" t="n"/>
      <c r="S2496" s="19" t="n"/>
      <c r="T2496" s="19" t="n"/>
      <c r="U2496" s="19" t="n"/>
      <c r="V2496" s="19" t="n"/>
      <c r="W2496" s="19" t="n"/>
      <c r="X2496" s="19" t="n"/>
      <c r="Y2496" s="19" t="n">
        <v>1</v>
      </c>
      <c r="Z2496" s="13">
        <f>SUMPRODUCT(N2496:Y2496,$N$2:$Y$2)*$K2496*$L2496*$M2496</f>
        <v/>
      </c>
      <c r="AA2496" s="14">
        <f>SUM(N2496:Y2496)</f>
        <v/>
      </c>
      <c r="AB2496" s="13">
        <f>SUMPRODUCT(N2496:Y2496,$N$3:$Y$3)*$K2496*$L2496*$M2496</f>
        <v/>
      </c>
      <c r="AC2496" s="13">
        <f>SUMPRODUCT(N2496:Y2496,$N$4:$Y$4)*$K2496*$L2496*$M2496</f>
        <v/>
      </c>
      <c r="AD2496" s="15" t="n">
        <v>3</v>
      </c>
      <c r="AE2496" s="11" t="n">
        <v>1.011296296296296</v>
      </c>
      <c r="AF2496" s="16">
        <f>SUMPRODUCT(N2496:Y2496,$N$5:$Y$5)*$K2496*$L2496*$M2496</f>
        <v/>
      </c>
      <c r="AG2496" s="16">
        <f>SUMPRODUCT(N2496:Y2496,$N$6:$Y$6)*$K2496*$L2496*$M2496</f>
        <v/>
      </c>
      <c r="AH2496" s="20" t="n"/>
    </row>
    <row r="2497">
      <c r="A2497" s="9" t="n">
        <v>502083</v>
      </c>
      <c r="B2497" s="9" t="inlineStr">
        <is>
          <t>Zach McAllister</t>
        </is>
      </c>
      <c r="C2497" s="9" t="inlineStr">
        <is>
          <t>NYY</t>
        </is>
      </c>
      <c r="D2497" s="9" t="n">
        <v>39</v>
      </c>
      <c r="E2497" s="18" t="inlineStr">
        <is>
          <t>R</t>
        </is>
      </c>
      <c r="F2497" s="18" t="n"/>
      <c r="G2497" s="9" t="n">
        <v>29</v>
      </c>
      <c r="H2497" s="9" t="n">
        <v>29</v>
      </c>
      <c r="I2497" s="9" t="inlineStr">
        <is>
          <t>Depth (no MLB IP)</t>
        </is>
      </c>
      <c r="J2497" s="18" t="inlineStr">
        <is>
          <t>Opening Day</t>
        </is>
      </c>
      <c r="K2497" s="11">
        <f>IFERROR(INDEX(Roles!$B$17:$B$20,MATCH(J2497,Roles!$A$17:$A$20,0)),1)</f>
        <v/>
      </c>
      <c r="L2497" s="19" t="n">
        <v>1</v>
      </c>
      <c r="M2497" s="11" t="n">
        <v>1</v>
      </c>
      <c r="N2497" s="19" t="n"/>
      <c r="O2497" s="19" t="n"/>
      <c r="P2497" s="19" t="n"/>
      <c r="Q2497" s="19" t="n"/>
      <c r="R2497" s="19" t="n"/>
      <c r="S2497" s="19" t="n"/>
      <c r="T2497" s="19" t="n"/>
      <c r="U2497" s="19" t="n"/>
      <c r="V2497" s="19" t="n"/>
      <c r="W2497" s="19" t="n"/>
      <c r="X2497" s="19" t="n"/>
      <c r="Y2497" s="19" t="n">
        <v>1</v>
      </c>
      <c r="Z2497" s="13">
        <f>SUMPRODUCT(N2497:Y2497,$N$2:$Y$2)*$K2497*$L2497*$M2497</f>
        <v/>
      </c>
      <c r="AA2497" s="14">
        <f>SUM(N2497:Y2497)</f>
        <v/>
      </c>
      <c r="AB2497" s="13">
        <f>SUMPRODUCT(N2497:Y2497,$N$3:$Y$3)*$K2497*$L2497*$M2497</f>
        <v/>
      </c>
      <c r="AC2497" s="13">
        <f>SUMPRODUCT(N2497:Y2497,$N$4:$Y$4)*$K2497*$L2497*$M2497</f>
        <v/>
      </c>
      <c r="AD2497" s="15" t="n">
        <v>3</v>
      </c>
      <c r="AE2497" s="11" t="n">
        <v>1.011296296296296</v>
      </c>
      <c r="AF2497" s="16">
        <f>SUMPRODUCT(N2497:Y2497,$N$5:$Y$5)*$K2497*$L2497*$M2497</f>
        <v/>
      </c>
      <c r="AG2497" s="16">
        <f>SUMPRODUCT(N2497:Y2497,$N$6:$Y$6)*$K2497*$L2497*$M2497</f>
        <v/>
      </c>
      <c r="AH2497" s="20" t="n"/>
    </row>
    <row r="2498">
      <c r="A2498" s="9" t="n">
        <v>543238</v>
      </c>
      <c r="B2498" s="9" t="inlineStr">
        <is>
          <t>Anthony Gose</t>
        </is>
      </c>
      <c r="C2498" s="9" t="inlineStr">
        <is>
          <t>KC</t>
        </is>
      </c>
      <c r="D2498" s="9" t="n">
        <v>36</v>
      </c>
      <c r="E2498" s="18" t="inlineStr">
        <is>
          <t>L</t>
        </is>
      </c>
      <c r="F2498" s="18" t="n"/>
      <c r="G2498" s="9" t="n">
        <v>51</v>
      </c>
      <c r="H2498" s="9" t="n">
        <v>165</v>
      </c>
      <c r="I2498" s="9" t="inlineStr">
        <is>
          <t>Middle Relief</t>
        </is>
      </c>
      <c r="J2498" s="18" t="inlineStr">
        <is>
          <t>Opening Day</t>
        </is>
      </c>
      <c r="K2498" s="11">
        <f>IFERROR(INDEX(Roles!$B$17:$B$20,MATCH(J2498,Roles!$A$17:$A$20,0)),1)</f>
        <v/>
      </c>
      <c r="L2498" s="19" t="n">
        <v>1</v>
      </c>
      <c r="M2498" s="11" t="n">
        <v>1</v>
      </c>
      <c r="N2498" s="19" t="n"/>
      <c r="O2498" s="19" t="n"/>
      <c r="P2498" s="19" t="n"/>
      <c r="Q2498" s="19" t="n"/>
      <c r="R2498" s="19" t="n"/>
      <c r="S2498" s="19" t="n"/>
      <c r="T2498" s="19" t="n"/>
      <c r="U2498" s="19" t="n"/>
      <c r="V2498" s="19" t="n">
        <v>0.6</v>
      </c>
      <c r="W2498" s="19" t="n">
        <v>0.4</v>
      </c>
      <c r="X2498" s="19" t="n"/>
      <c r="Y2498" s="19" t="n"/>
      <c r="Z2498" s="13">
        <f>SUMPRODUCT(N2498:Y2498,$N$2:$Y$2)*$K2498*$L2498*$M2498</f>
        <v/>
      </c>
      <c r="AA2498" s="14">
        <f>SUM(N2498:Y2498)</f>
        <v/>
      </c>
      <c r="AB2498" s="13">
        <f>SUMPRODUCT(N2498:Y2498,$N$3:$Y$3)*$K2498*$L2498*$M2498</f>
        <v/>
      </c>
      <c r="AC2498" s="13">
        <f>SUMPRODUCT(N2498:Y2498,$N$4:$Y$4)*$K2498*$L2498*$M2498</f>
        <v/>
      </c>
      <c r="AD2498" s="15" t="n">
        <v>21.48333333333333</v>
      </c>
      <c r="AE2498" s="11" t="n">
        <v>1.024946233911216</v>
      </c>
      <c r="AF2498" s="16">
        <f>SUMPRODUCT(N2498:Y2498,$N$5:$Y$5)*$K2498*$L2498*$M2498</f>
        <v/>
      </c>
      <c r="AG2498" s="16">
        <f>SUMPRODUCT(N2498:Y2498,$N$6:$Y$6)*$K2498*$L2498*$M2498</f>
        <v/>
      </c>
      <c r="AH2498" s="20" t="n"/>
    </row>
    <row r="2499">
      <c r="A2499" s="9" t="n">
        <v>688636</v>
      </c>
      <c r="B2499" s="9" t="inlineStr">
        <is>
          <t>Adam Stone</t>
        </is>
      </c>
      <c r="C2499" s="9" t="inlineStr">
        <is>
          <t>CHC</t>
        </is>
      </c>
      <c r="D2499" s="9" t="n">
        <v>25</v>
      </c>
      <c r="E2499" s="18" t="inlineStr">
        <is>
          <t>R</t>
        </is>
      </c>
      <c r="F2499" s="18" t="n"/>
      <c r="G2499" s="9" t="n">
        <v>42.14</v>
      </c>
      <c r="H2499" s="9" t="n">
        <v>42.14</v>
      </c>
      <c r="I2499" s="9" t="inlineStr">
        <is>
          <t>Depth (no MLB IP)</t>
        </is>
      </c>
      <c r="J2499" s="18" t="inlineStr">
        <is>
          <t>Opening Day</t>
        </is>
      </c>
      <c r="K2499" s="11">
        <f>IFERROR(INDEX(Roles!$B$17:$B$20,MATCH(J2499,Roles!$A$17:$A$20,0)),1)</f>
        <v/>
      </c>
      <c r="L2499" s="19" t="n">
        <v>1</v>
      </c>
      <c r="M2499" s="11" t="n">
        <v>1</v>
      </c>
      <c r="N2499" s="19" t="n"/>
      <c r="O2499" s="19" t="n"/>
      <c r="P2499" s="19" t="n"/>
      <c r="Q2499" s="19" t="n"/>
      <c r="R2499" s="19" t="n"/>
      <c r="S2499" s="19" t="n"/>
      <c r="T2499" s="19" t="n"/>
      <c r="U2499" s="19" t="n"/>
      <c r="V2499" s="19" t="n"/>
      <c r="W2499" s="19" t="n"/>
      <c r="X2499" s="19" t="n"/>
      <c r="Y2499" s="19" t="n">
        <v>1</v>
      </c>
      <c r="Z2499" s="13">
        <f>SUMPRODUCT(N2499:Y2499,$N$2:$Y$2)*$K2499*$L2499*$M2499</f>
        <v/>
      </c>
      <c r="AA2499" s="14">
        <f>SUM(N2499:Y2499)</f>
        <v/>
      </c>
      <c r="AB2499" s="13">
        <f>SUMPRODUCT(N2499:Y2499,$N$3:$Y$3)*$K2499*$L2499*$M2499</f>
        <v/>
      </c>
      <c r="AC2499" s="13">
        <f>SUMPRODUCT(N2499:Y2499,$N$4:$Y$4)*$K2499*$L2499*$M2499</f>
        <v/>
      </c>
      <c r="AD2499" s="15" t="n">
        <v>3</v>
      </c>
      <c r="AE2499" s="11" t="n">
        <v>1.011296296296296</v>
      </c>
      <c r="AF2499" s="16">
        <f>SUMPRODUCT(N2499:Y2499,$N$5:$Y$5)*$K2499*$L2499*$M2499</f>
        <v/>
      </c>
      <c r="AG2499" s="16">
        <f>SUMPRODUCT(N2499:Y2499,$N$6:$Y$6)*$K2499*$L2499*$M2499</f>
        <v/>
      </c>
      <c r="AH2499" s="20" t="n"/>
    </row>
    <row r="2500">
      <c r="A2500" s="9" t="n">
        <v>685107</v>
      </c>
      <c r="B2500" s="9" t="inlineStr">
        <is>
          <t>Anthony Veneziano</t>
        </is>
      </c>
      <c r="C2500" s="9" t="inlineStr">
        <is>
          <t>STL</t>
        </is>
      </c>
      <c r="D2500" s="9" t="n">
        <v>29</v>
      </c>
      <c r="E2500" s="18" t="inlineStr">
        <is>
          <t>L</t>
        </is>
      </c>
      <c r="F2500" s="18" t="n"/>
      <c r="G2500" s="9" t="n">
        <v>117</v>
      </c>
      <c r="H2500" s="9" t="n">
        <v>187</v>
      </c>
      <c r="I2500" s="9" t="inlineStr">
        <is>
          <t>Late Inning RP (Setup)</t>
        </is>
      </c>
      <c r="J2500" s="18" t="inlineStr">
        <is>
          <t>Opening Day</t>
        </is>
      </c>
      <c r="K2500" s="11">
        <f>IFERROR(INDEX(Roles!$B$17:$B$20,MATCH(J2500,Roles!$A$17:$A$20,0)),1)</f>
        <v/>
      </c>
      <c r="L2500" s="19" t="n">
        <v>1</v>
      </c>
      <c r="M2500" s="11" t="n">
        <v>1</v>
      </c>
      <c r="N2500" s="19" t="n"/>
      <c r="O2500" s="19" t="n"/>
      <c r="P2500" s="19" t="n"/>
      <c r="Q2500" s="19" t="n"/>
      <c r="R2500" s="19" t="n"/>
      <c r="S2500" s="19" t="n"/>
      <c r="T2500" s="19" t="n"/>
      <c r="U2500" s="19" t="n">
        <v>1</v>
      </c>
      <c r="V2500" s="19" t="n"/>
      <c r="W2500" s="19" t="n"/>
      <c r="X2500" s="19" t="n"/>
      <c r="Y2500" s="19" t="n"/>
      <c r="Z2500" s="13">
        <f>SUMPRODUCT(N2500:Y2500,$N$2:$Y$2)*$K2500*$L2500*$M2500</f>
        <v/>
      </c>
      <c r="AA2500" s="14">
        <f>SUM(N2500:Y2500)</f>
        <v/>
      </c>
      <c r="AB2500" s="13">
        <f>SUMPRODUCT(N2500:Y2500,$N$3:$Y$3)*$K2500*$L2500*$M2500</f>
        <v/>
      </c>
      <c r="AC2500" s="13">
        <f>SUMPRODUCT(N2500:Y2500,$N$4:$Y$4)*$K2500*$L2500*$M2500</f>
        <v/>
      </c>
      <c r="AD2500" s="15" t="n">
        <v>32</v>
      </c>
      <c r="AE2500" s="11" t="n">
        <v>0.9895833333333334</v>
      </c>
      <c r="AF2500" s="16">
        <f>SUMPRODUCT(N2500:Y2500,$N$5:$Y$5)*$K2500*$L2500*$M2500</f>
        <v/>
      </c>
      <c r="AG2500" s="16">
        <f>SUMPRODUCT(N2500:Y2500,$N$6:$Y$6)*$K2500*$L2500*$M2500</f>
        <v/>
      </c>
      <c r="AH2500" s="20" t="n"/>
    </row>
    <row r="2501">
      <c r="A2501" s="9" t="n">
        <v>595411</v>
      </c>
      <c r="B2501" s="9" t="inlineStr">
        <is>
          <t>Ryan Sherriff</t>
        </is>
      </c>
      <c r="C2501" s="9" t="inlineStr">
        <is>
          <t>BOS</t>
        </is>
      </c>
      <c r="D2501" s="9" t="n">
        <v>37</v>
      </c>
      <c r="E2501" s="18" t="inlineStr">
        <is>
          <t>L</t>
        </is>
      </c>
      <c r="F2501" s="18" t="n"/>
      <c r="G2501" s="9" t="n">
        <v>29</v>
      </c>
      <c r="H2501" s="9" t="n">
        <v>29</v>
      </c>
      <c r="I2501" s="9" t="inlineStr">
        <is>
          <t>Depth (no MLB IP)</t>
        </is>
      </c>
      <c r="J2501" s="18" t="inlineStr">
        <is>
          <t>Opening Day</t>
        </is>
      </c>
      <c r="K2501" s="11">
        <f>IFERROR(INDEX(Roles!$B$17:$B$20,MATCH(J2501,Roles!$A$17:$A$20,0)),1)</f>
        <v/>
      </c>
      <c r="L2501" s="19" t="n">
        <v>1</v>
      </c>
      <c r="M2501" s="11" t="n">
        <v>1</v>
      </c>
      <c r="N2501" s="19" t="n"/>
      <c r="O2501" s="19" t="n"/>
      <c r="P2501" s="19" t="n"/>
      <c r="Q2501" s="19" t="n"/>
      <c r="R2501" s="19" t="n"/>
      <c r="S2501" s="19" t="n"/>
      <c r="T2501" s="19" t="n"/>
      <c r="U2501" s="19" t="n"/>
      <c r="V2501" s="19" t="n"/>
      <c r="W2501" s="19" t="n"/>
      <c r="X2501" s="19" t="n"/>
      <c r="Y2501" s="19" t="n">
        <v>1</v>
      </c>
      <c r="Z2501" s="13">
        <f>SUMPRODUCT(N2501:Y2501,$N$2:$Y$2)*$K2501*$L2501*$M2501</f>
        <v/>
      </c>
      <c r="AA2501" s="14">
        <f>SUM(N2501:Y2501)</f>
        <v/>
      </c>
      <c r="AB2501" s="13">
        <f>SUMPRODUCT(N2501:Y2501,$N$3:$Y$3)*$K2501*$L2501*$M2501</f>
        <v/>
      </c>
      <c r="AC2501" s="13">
        <f>SUMPRODUCT(N2501:Y2501,$N$4:$Y$4)*$K2501*$L2501*$M2501</f>
        <v/>
      </c>
      <c r="AD2501" s="15" t="n">
        <v>3</v>
      </c>
      <c r="AE2501" s="11" t="n">
        <v>1.011296296296296</v>
      </c>
      <c r="AF2501" s="16">
        <f>SUMPRODUCT(N2501:Y2501,$N$5:$Y$5)*$K2501*$L2501*$M2501</f>
        <v/>
      </c>
      <c r="AG2501" s="16">
        <f>SUMPRODUCT(N2501:Y2501,$N$6:$Y$6)*$K2501*$L2501*$M2501</f>
        <v/>
      </c>
      <c r="AH2501" s="20" t="n"/>
    </row>
    <row r="2502">
      <c r="A2502" s="9" t="n">
        <v>702576</v>
      </c>
      <c r="B2502" s="9" t="inlineStr">
        <is>
          <t>Mason McGwire</t>
        </is>
      </c>
      <c r="C2502" s="9" t="inlineStr">
        <is>
          <t>LAA</t>
        </is>
      </c>
      <c r="D2502" s="9" t="n">
        <v>25</v>
      </c>
      <c r="E2502" s="18" t="inlineStr">
        <is>
          <t>R</t>
        </is>
      </c>
      <c r="F2502" s="18" t="n"/>
      <c r="G2502" s="9" t="n">
        <v>42.14</v>
      </c>
      <c r="H2502" s="9" t="n">
        <v>42.14</v>
      </c>
      <c r="I2502" s="9" t="inlineStr">
        <is>
          <t>Depth (no MLB IP)</t>
        </is>
      </c>
      <c r="J2502" s="18" t="inlineStr">
        <is>
          <t>Opening Day</t>
        </is>
      </c>
      <c r="K2502" s="11">
        <f>IFERROR(INDEX(Roles!$B$17:$B$20,MATCH(J2502,Roles!$A$17:$A$20,0)),1)</f>
        <v/>
      </c>
      <c r="L2502" s="19" t="n">
        <v>1</v>
      </c>
      <c r="M2502" s="11" t="n">
        <v>1</v>
      </c>
      <c r="N2502" s="19" t="n"/>
      <c r="O2502" s="19" t="n"/>
      <c r="P2502" s="19" t="n"/>
      <c r="Q2502" s="19" t="n"/>
      <c r="R2502" s="19" t="n"/>
      <c r="S2502" s="19" t="n"/>
      <c r="T2502" s="19" t="n"/>
      <c r="U2502" s="19" t="n"/>
      <c r="V2502" s="19" t="n"/>
      <c r="W2502" s="19" t="n"/>
      <c r="X2502" s="19" t="n"/>
      <c r="Y2502" s="19" t="n">
        <v>1</v>
      </c>
      <c r="Z2502" s="13">
        <f>SUMPRODUCT(N2502:Y2502,$N$2:$Y$2)*$K2502*$L2502*$M2502</f>
        <v/>
      </c>
      <c r="AA2502" s="14">
        <f>SUM(N2502:Y2502)</f>
        <v/>
      </c>
      <c r="AB2502" s="13">
        <f>SUMPRODUCT(N2502:Y2502,$N$3:$Y$3)*$K2502*$L2502*$M2502</f>
        <v/>
      </c>
      <c r="AC2502" s="13">
        <f>SUMPRODUCT(N2502:Y2502,$N$4:$Y$4)*$K2502*$L2502*$M2502</f>
        <v/>
      </c>
      <c r="AD2502" s="15" t="n">
        <v>3</v>
      </c>
      <c r="AE2502" s="11" t="n">
        <v>1.011296296296296</v>
      </c>
      <c r="AF2502" s="16">
        <f>SUMPRODUCT(N2502:Y2502,$N$5:$Y$5)*$K2502*$L2502*$M2502</f>
        <v/>
      </c>
      <c r="AG2502" s="16">
        <f>SUMPRODUCT(N2502:Y2502,$N$6:$Y$6)*$K2502*$L2502*$M2502</f>
        <v/>
      </c>
      <c r="AH2502" s="20" t="n"/>
    </row>
    <row r="2503">
      <c r="A2503" s="9" t="n">
        <v>827664</v>
      </c>
      <c r="B2503" s="9" t="inlineStr">
        <is>
          <t>Silvano Hechavarria</t>
        </is>
      </c>
      <c r="C2503" s="9" t="inlineStr">
        <is>
          <t>TOR</t>
        </is>
      </c>
      <c r="D2503" s="9" t="n">
        <v>25</v>
      </c>
      <c r="E2503" s="18" t="inlineStr">
        <is>
          <t>R</t>
        </is>
      </c>
      <c r="F2503" s="18" t="n"/>
      <c r="G2503" s="9" t="n">
        <v>42.14</v>
      </c>
      <c r="H2503" s="9" t="n">
        <v>42.14</v>
      </c>
      <c r="I2503" s="9" t="inlineStr">
        <is>
          <t>Depth (no MLB IP)</t>
        </is>
      </c>
      <c r="J2503" s="18" t="inlineStr">
        <is>
          <t>Opening Day</t>
        </is>
      </c>
      <c r="K2503" s="11">
        <f>IFERROR(INDEX(Roles!$B$17:$B$20,MATCH(J2503,Roles!$A$17:$A$20,0)),1)</f>
        <v/>
      </c>
      <c r="L2503" s="19" t="n">
        <v>1</v>
      </c>
      <c r="M2503" s="11" t="n">
        <v>1</v>
      </c>
      <c r="N2503" s="19" t="n"/>
      <c r="O2503" s="19" t="n"/>
      <c r="P2503" s="19" t="n"/>
      <c r="Q2503" s="19" t="n"/>
      <c r="R2503" s="19" t="n"/>
      <c r="S2503" s="19" t="n"/>
      <c r="T2503" s="19" t="n"/>
      <c r="U2503" s="19" t="n"/>
      <c r="V2503" s="19" t="n"/>
      <c r="W2503" s="19" t="n"/>
      <c r="X2503" s="19" t="n"/>
      <c r="Y2503" s="19" t="n">
        <v>1</v>
      </c>
      <c r="Z2503" s="13">
        <f>SUMPRODUCT(N2503:Y2503,$N$2:$Y$2)*$K2503*$L2503*$M2503</f>
        <v/>
      </c>
      <c r="AA2503" s="14">
        <f>SUM(N2503:Y2503)</f>
        <v/>
      </c>
      <c r="AB2503" s="13">
        <f>SUMPRODUCT(N2503:Y2503,$N$3:$Y$3)*$K2503*$L2503*$M2503</f>
        <v/>
      </c>
      <c r="AC2503" s="13">
        <f>SUMPRODUCT(N2503:Y2503,$N$4:$Y$4)*$K2503*$L2503*$M2503</f>
        <v/>
      </c>
      <c r="AD2503" s="15" t="n">
        <v>3</v>
      </c>
      <c r="AE2503" s="11" t="n">
        <v>1.011296296296296</v>
      </c>
      <c r="AF2503" s="16">
        <f>SUMPRODUCT(N2503:Y2503,$N$5:$Y$5)*$K2503*$L2503*$M2503</f>
        <v/>
      </c>
      <c r="AG2503" s="16">
        <f>SUMPRODUCT(N2503:Y2503,$N$6:$Y$6)*$K2503*$L2503*$M2503</f>
        <v/>
      </c>
      <c r="AH2503" s="20" t="n"/>
    </row>
    <row r="2504">
      <c r="A2504" s="9" t="n">
        <v>823791</v>
      </c>
      <c r="B2504" s="9" t="inlineStr">
        <is>
          <t>Matt McShane</t>
        </is>
      </c>
      <c r="C2504" s="9" t="inlineStr">
        <is>
          <t>BOS</t>
        </is>
      </c>
      <c r="D2504" s="9" t="n">
        <v>25</v>
      </c>
      <c r="E2504" s="18" t="inlineStr">
        <is>
          <t>R</t>
        </is>
      </c>
      <c r="F2504" s="18" t="n"/>
      <c r="G2504" s="9" t="n">
        <v>42.14</v>
      </c>
      <c r="H2504" s="9" t="n">
        <v>42.14</v>
      </c>
      <c r="I2504" s="9" t="inlineStr">
        <is>
          <t>Depth (no MLB IP)</t>
        </is>
      </c>
      <c r="J2504" s="18" t="inlineStr">
        <is>
          <t>Opening Day</t>
        </is>
      </c>
      <c r="K2504" s="11">
        <f>IFERROR(INDEX(Roles!$B$17:$B$20,MATCH(J2504,Roles!$A$17:$A$20,0)),1)</f>
        <v/>
      </c>
      <c r="L2504" s="19" t="n">
        <v>1</v>
      </c>
      <c r="M2504" s="11" t="n">
        <v>1</v>
      </c>
      <c r="N2504" s="19" t="n"/>
      <c r="O2504" s="19" t="n"/>
      <c r="P2504" s="19" t="n"/>
      <c r="Q2504" s="19" t="n"/>
      <c r="R2504" s="19" t="n"/>
      <c r="S2504" s="19" t="n"/>
      <c r="T2504" s="19" t="n"/>
      <c r="U2504" s="19" t="n"/>
      <c r="V2504" s="19" t="n"/>
      <c r="W2504" s="19" t="n"/>
      <c r="X2504" s="19" t="n"/>
      <c r="Y2504" s="19" t="n">
        <v>1</v>
      </c>
      <c r="Z2504" s="13">
        <f>SUMPRODUCT(N2504:Y2504,$N$2:$Y$2)*$K2504*$L2504*$M2504</f>
        <v/>
      </c>
      <c r="AA2504" s="14">
        <f>SUM(N2504:Y2504)</f>
        <v/>
      </c>
      <c r="AB2504" s="13">
        <f>SUMPRODUCT(N2504:Y2504,$N$3:$Y$3)*$K2504*$L2504*$M2504</f>
        <v/>
      </c>
      <c r="AC2504" s="13">
        <f>SUMPRODUCT(N2504:Y2504,$N$4:$Y$4)*$K2504*$L2504*$M2504</f>
        <v/>
      </c>
      <c r="AD2504" s="15" t="n">
        <v>3</v>
      </c>
      <c r="AE2504" s="11" t="n">
        <v>1.011296296296296</v>
      </c>
      <c r="AF2504" s="16">
        <f>SUMPRODUCT(N2504:Y2504,$N$5:$Y$5)*$K2504*$L2504*$M2504</f>
        <v/>
      </c>
      <c r="AG2504" s="16">
        <f>SUMPRODUCT(N2504:Y2504,$N$6:$Y$6)*$K2504*$L2504*$M2504</f>
        <v/>
      </c>
      <c r="AH2504" s="20" t="n"/>
    </row>
    <row r="2505">
      <c r="A2505" s="9" t="n">
        <v>702431</v>
      </c>
      <c r="B2505" s="9" t="inlineStr">
        <is>
          <t>Juan Amarante</t>
        </is>
      </c>
      <c r="C2505" s="9" t="inlineStr">
        <is>
          <t>PHI</t>
        </is>
      </c>
      <c r="D2505" s="9" t="n">
        <v>25</v>
      </c>
      <c r="E2505" s="18" t="inlineStr">
        <is>
          <t>L</t>
        </is>
      </c>
      <c r="F2505" s="18" t="n"/>
      <c r="G2505" s="9" t="n">
        <v>42.42666666666667</v>
      </c>
      <c r="H2505" s="9" t="n">
        <v>42.42666666666667</v>
      </c>
      <c r="I2505" s="9" t="inlineStr">
        <is>
          <t>Depth (no MLB IP)</t>
        </is>
      </c>
      <c r="J2505" s="18" t="inlineStr">
        <is>
          <t>Opening Day</t>
        </is>
      </c>
      <c r="K2505" s="11">
        <f>IFERROR(INDEX(Roles!$B$17:$B$20,MATCH(J2505,Roles!$A$17:$A$20,0)),1)</f>
        <v/>
      </c>
      <c r="L2505" s="19" t="n">
        <v>1</v>
      </c>
      <c r="M2505" s="11" t="n">
        <v>1</v>
      </c>
      <c r="N2505" s="19" t="n"/>
      <c r="O2505" s="19" t="n"/>
      <c r="P2505" s="19" t="n"/>
      <c r="Q2505" s="19" t="n"/>
      <c r="R2505" s="19" t="n"/>
      <c r="S2505" s="19" t="n"/>
      <c r="T2505" s="19" t="n"/>
      <c r="U2505" s="19" t="n"/>
      <c r="V2505" s="19" t="n"/>
      <c r="W2505" s="19" t="n"/>
      <c r="X2505" s="19" t="n"/>
      <c r="Y2505" s="19" t="n">
        <v>1</v>
      </c>
      <c r="Z2505" s="13">
        <f>SUMPRODUCT(N2505:Y2505,$N$2:$Y$2)*$K2505*$L2505*$M2505</f>
        <v/>
      </c>
      <c r="AA2505" s="14">
        <f>SUM(N2505:Y2505)</f>
        <v/>
      </c>
      <c r="AB2505" s="13">
        <f>SUMPRODUCT(N2505:Y2505,$N$3:$Y$3)*$K2505*$L2505*$M2505</f>
        <v/>
      </c>
      <c r="AC2505" s="13">
        <f>SUMPRODUCT(N2505:Y2505,$N$4:$Y$4)*$K2505*$L2505*$M2505</f>
        <v/>
      </c>
      <c r="AD2505" s="15" t="n">
        <v>3</v>
      </c>
      <c r="AE2505" s="11" t="n">
        <v>1.011296296296296</v>
      </c>
      <c r="AF2505" s="16">
        <f>SUMPRODUCT(N2505:Y2505,$N$5:$Y$5)*$K2505*$L2505*$M2505</f>
        <v/>
      </c>
      <c r="AG2505" s="16">
        <f>SUMPRODUCT(N2505:Y2505,$N$6:$Y$6)*$K2505*$L2505*$M2505</f>
        <v/>
      </c>
      <c r="AH2505" s="20" t="n"/>
    </row>
    <row r="2506">
      <c r="A2506" s="9" t="n">
        <v>674265</v>
      </c>
      <c r="B2506" s="9" t="inlineStr">
        <is>
          <t>Kevin Abel</t>
        </is>
      </c>
      <c r="C2506" s="9" t="inlineStr">
        <is>
          <t>CIN</t>
        </is>
      </c>
      <c r="D2506" s="9" t="n">
        <v>25</v>
      </c>
      <c r="E2506" s="18" t="inlineStr">
        <is>
          <t>R</t>
        </is>
      </c>
      <c r="F2506" s="18" t="n"/>
      <c r="G2506" s="9" t="n">
        <v>42.57</v>
      </c>
      <c r="H2506" s="9" t="n">
        <v>42.57</v>
      </c>
      <c r="I2506" s="9" t="inlineStr">
        <is>
          <t>Depth (no MLB IP)</t>
        </is>
      </c>
      <c r="J2506" s="18" t="inlineStr">
        <is>
          <t>Opening Day</t>
        </is>
      </c>
      <c r="K2506" s="11">
        <f>IFERROR(INDEX(Roles!$B$17:$B$20,MATCH(J2506,Roles!$A$17:$A$20,0)),1)</f>
        <v/>
      </c>
      <c r="L2506" s="19" t="n">
        <v>1</v>
      </c>
      <c r="M2506" s="11" t="n">
        <v>1</v>
      </c>
      <c r="N2506" s="19" t="n"/>
      <c r="O2506" s="19" t="n"/>
      <c r="P2506" s="19" t="n"/>
      <c r="Q2506" s="19" t="n"/>
      <c r="R2506" s="19" t="n"/>
      <c r="S2506" s="19" t="n"/>
      <c r="T2506" s="19" t="n"/>
      <c r="U2506" s="19" t="n"/>
      <c r="V2506" s="19" t="n"/>
      <c r="W2506" s="19" t="n"/>
      <c r="X2506" s="19" t="n"/>
      <c r="Y2506" s="19" t="n">
        <v>1</v>
      </c>
      <c r="Z2506" s="13">
        <f>SUMPRODUCT(N2506:Y2506,$N$2:$Y$2)*$K2506*$L2506*$M2506</f>
        <v/>
      </c>
      <c r="AA2506" s="14">
        <f>SUM(N2506:Y2506)</f>
        <v/>
      </c>
      <c r="AB2506" s="13">
        <f>SUMPRODUCT(N2506:Y2506,$N$3:$Y$3)*$K2506*$L2506*$M2506</f>
        <v/>
      </c>
      <c r="AC2506" s="13">
        <f>SUMPRODUCT(N2506:Y2506,$N$4:$Y$4)*$K2506*$L2506*$M2506</f>
        <v/>
      </c>
      <c r="AD2506" s="15" t="n">
        <v>3</v>
      </c>
      <c r="AE2506" s="11" t="n">
        <v>1.011296296296296</v>
      </c>
      <c r="AF2506" s="16">
        <f>SUMPRODUCT(N2506:Y2506,$N$5:$Y$5)*$K2506*$L2506*$M2506</f>
        <v/>
      </c>
      <c r="AG2506" s="16">
        <f>SUMPRODUCT(N2506:Y2506,$N$6:$Y$6)*$K2506*$L2506*$M2506</f>
        <v/>
      </c>
      <c r="AH2506" s="20" t="n"/>
    </row>
    <row r="2507">
      <c r="A2507" s="9" t="n">
        <v>681306</v>
      </c>
      <c r="B2507" s="9" t="inlineStr">
        <is>
          <t>Christian MacLeod</t>
        </is>
      </c>
      <c r="C2507" s="9" t="inlineStr">
        <is>
          <t>MIA</t>
        </is>
      </c>
      <c r="D2507" s="9" t="n">
        <v>25</v>
      </c>
      <c r="E2507" s="18" t="inlineStr">
        <is>
          <t>L</t>
        </is>
      </c>
      <c r="F2507" s="18" t="n"/>
      <c r="G2507" s="9" t="n">
        <v>42.57</v>
      </c>
      <c r="H2507" s="9" t="n">
        <v>42.57</v>
      </c>
      <c r="I2507" s="9" t="inlineStr">
        <is>
          <t>Depth (no MLB IP)</t>
        </is>
      </c>
      <c r="J2507" s="18" t="inlineStr">
        <is>
          <t>Opening Day</t>
        </is>
      </c>
      <c r="K2507" s="11">
        <f>IFERROR(INDEX(Roles!$B$17:$B$20,MATCH(J2507,Roles!$A$17:$A$20,0)),1)</f>
        <v/>
      </c>
      <c r="L2507" s="19" t="n">
        <v>1</v>
      </c>
      <c r="M2507" s="11" t="n">
        <v>1</v>
      </c>
      <c r="N2507" s="19" t="n"/>
      <c r="O2507" s="19" t="n"/>
      <c r="P2507" s="19" t="n"/>
      <c r="Q2507" s="19" t="n"/>
      <c r="R2507" s="19" t="n"/>
      <c r="S2507" s="19" t="n"/>
      <c r="T2507" s="19" t="n"/>
      <c r="U2507" s="19" t="n"/>
      <c r="V2507" s="19" t="n"/>
      <c r="W2507" s="19" t="n"/>
      <c r="X2507" s="19" t="n"/>
      <c r="Y2507" s="19" t="n">
        <v>1</v>
      </c>
      <c r="Z2507" s="13">
        <f>SUMPRODUCT(N2507:Y2507,$N$2:$Y$2)*$K2507*$L2507*$M2507</f>
        <v/>
      </c>
      <c r="AA2507" s="14">
        <f>SUM(N2507:Y2507)</f>
        <v/>
      </c>
      <c r="AB2507" s="13">
        <f>SUMPRODUCT(N2507:Y2507,$N$3:$Y$3)*$K2507*$L2507*$M2507</f>
        <v/>
      </c>
      <c r="AC2507" s="13">
        <f>SUMPRODUCT(N2507:Y2507,$N$4:$Y$4)*$K2507*$L2507*$M2507</f>
        <v/>
      </c>
      <c r="AD2507" s="15" t="n">
        <v>3</v>
      </c>
      <c r="AE2507" s="11" t="n">
        <v>1.011296296296296</v>
      </c>
      <c r="AF2507" s="16">
        <f>SUMPRODUCT(N2507:Y2507,$N$5:$Y$5)*$K2507*$L2507*$M2507</f>
        <v/>
      </c>
      <c r="AG2507" s="16">
        <f>SUMPRODUCT(N2507:Y2507,$N$6:$Y$6)*$K2507*$L2507*$M2507</f>
        <v/>
      </c>
      <c r="AH2507" s="20" t="n"/>
    </row>
    <row r="2508">
      <c r="A2508" s="9" t="n">
        <v>686951</v>
      </c>
      <c r="B2508" s="9" t="inlineStr">
        <is>
          <t>Cy Nielson</t>
        </is>
      </c>
      <c r="C2508" s="9" t="inlineStr">
        <is>
          <t>PIT</t>
        </is>
      </c>
      <c r="D2508" s="9" t="n">
        <v>25</v>
      </c>
      <c r="E2508" s="18" t="inlineStr">
        <is>
          <t>L</t>
        </is>
      </c>
      <c r="F2508" s="18" t="n"/>
      <c r="G2508" s="9" t="n">
        <v>42.57</v>
      </c>
      <c r="H2508" s="9" t="n">
        <v>42.57</v>
      </c>
      <c r="I2508" s="9" t="inlineStr">
        <is>
          <t>Depth (no MLB IP)</t>
        </is>
      </c>
      <c r="J2508" s="18" t="inlineStr">
        <is>
          <t>Opening Day</t>
        </is>
      </c>
      <c r="K2508" s="11">
        <f>IFERROR(INDEX(Roles!$B$17:$B$20,MATCH(J2508,Roles!$A$17:$A$20,0)),1)</f>
        <v/>
      </c>
      <c r="L2508" s="19" t="n">
        <v>1</v>
      </c>
      <c r="M2508" s="11" t="n">
        <v>1</v>
      </c>
      <c r="N2508" s="19" t="n"/>
      <c r="O2508" s="19" t="n"/>
      <c r="P2508" s="19" t="n"/>
      <c r="Q2508" s="19" t="n"/>
      <c r="R2508" s="19" t="n"/>
      <c r="S2508" s="19" t="n"/>
      <c r="T2508" s="19" t="n"/>
      <c r="U2508" s="19" t="n"/>
      <c r="V2508" s="19" t="n"/>
      <c r="W2508" s="19" t="n"/>
      <c r="X2508" s="19" t="n"/>
      <c r="Y2508" s="19" t="n">
        <v>1</v>
      </c>
      <c r="Z2508" s="13">
        <f>SUMPRODUCT(N2508:Y2508,$N$2:$Y$2)*$K2508*$L2508*$M2508</f>
        <v/>
      </c>
      <c r="AA2508" s="14">
        <f>SUM(N2508:Y2508)</f>
        <v/>
      </c>
      <c r="AB2508" s="13">
        <f>SUMPRODUCT(N2508:Y2508,$N$3:$Y$3)*$K2508*$L2508*$M2508</f>
        <v/>
      </c>
      <c r="AC2508" s="13">
        <f>SUMPRODUCT(N2508:Y2508,$N$4:$Y$4)*$K2508*$L2508*$M2508</f>
        <v/>
      </c>
      <c r="AD2508" s="15" t="n">
        <v>3</v>
      </c>
      <c r="AE2508" s="11" t="n">
        <v>1.011296296296296</v>
      </c>
      <c r="AF2508" s="16">
        <f>SUMPRODUCT(N2508:Y2508,$N$5:$Y$5)*$K2508*$L2508*$M2508</f>
        <v/>
      </c>
      <c r="AG2508" s="16">
        <f>SUMPRODUCT(N2508:Y2508,$N$6:$Y$6)*$K2508*$L2508*$M2508</f>
        <v/>
      </c>
      <c r="AH2508" s="20" t="n"/>
    </row>
    <row r="2509">
      <c r="A2509" s="9" t="n">
        <v>801333</v>
      </c>
      <c r="B2509" s="9" t="inlineStr">
        <is>
          <t>Johnathan Harmon</t>
        </is>
      </c>
      <c r="C2509" s="9" t="inlineStr">
        <is>
          <t>CIN</t>
        </is>
      </c>
      <c r="D2509" s="9" t="n">
        <v>25</v>
      </c>
      <c r="E2509" s="18" t="inlineStr">
        <is>
          <t>R</t>
        </is>
      </c>
      <c r="F2509" s="18" t="n"/>
      <c r="G2509" s="9" t="n">
        <v>42.57</v>
      </c>
      <c r="H2509" s="9" t="n">
        <v>42.57</v>
      </c>
      <c r="I2509" s="9" t="inlineStr">
        <is>
          <t>Depth (no MLB IP)</t>
        </is>
      </c>
      <c r="J2509" s="18" t="inlineStr">
        <is>
          <t>Opening Day</t>
        </is>
      </c>
      <c r="K2509" s="11">
        <f>IFERROR(INDEX(Roles!$B$17:$B$20,MATCH(J2509,Roles!$A$17:$A$20,0)),1)</f>
        <v/>
      </c>
      <c r="L2509" s="19" t="n">
        <v>1</v>
      </c>
      <c r="M2509" s="11" t="n">
        <v>1</v>
      </c>
      <c r="N2509" s="19" t="n"/>
      <c r="O2509" s="19" t="n"/>
      <c r="P2509" s="19" t="n"/>
      <c r="Q2509" s="19" t="n"/>
      <c r="R2509" s="19" t="n"/>
      <c r="S2509" s="19" t="n"/>
      <c r="T2509" s="19" t="n"/>
      <c r="U2509" s="19" t="n"/>
      <c r="V2509" s="19" t="n"/>
      <c r="W2509" s="19" t="n"/>
      <c r="X2509" s="19" t="n"/>
      <c r="Y2509" s="19" t="n">
        <v>1</v>
      </c>
      <c r="Z2509" s="13">
        <f>SUMPRODUCT(N2509:Y2509,$N$2:$Y$2)*$K2509*$L2509*$M2509</f>
        <v/>
      </c>
      <c r="AA2509" s="14">
        <f>SUM(N2509:Y2509)</f>
        <v/>
      </c>
      <c r="AB2509" s="13">
        <f>SUMPRODUCT(N2509:Y2509,$N$3:$Y$3)*$K2509*$L2509*$M2509</f>
        <v/>
      </c>
      <c r="AC2509" s="13">
        <f>SUMPRODUCT(N2509:Y2509,$N$4:$Y$4)*$K2509*$L2509*$M2509</f>
        <v/>
      </c>
      <c r="AD2509" s="15" t="n">
        <v>3</v>
      </c>
      <c r="AE2509" s="11" t="n">
        <v>1.011296296296296</v>
      </c>
      <c r="AF2509" s="16">
        <f>SUMPRODUCT(N2509:Y2509,$N$5:$Y$5)*$K2509*$L2509*$M2509</f>
        <v/>
      </c>
      <c r="AG2509" s="16">
        <f>SUMPRODUCT(N2509:Y2509,$N$6:$Y$6)*$K2509*$L2509*$M2509</f>
        <v/>
      </c>
      <c r="AH2509" s="20" t="n"/>
    </row>
    <row r="2510">
      <c r="A2510" s="9" t="n">
        <v>800612</v>
      </c>
      <c r="B2510" s="9" t="inlineStr">
        <is>
          <t>Cole Miller</t>
        </is>
      </c>
      <c r="C2510" s="9" t="inlineStr">
        <is>
          <t>OAK</t>
        </is>
      </c>
      <c r="D2510" s="9" t="n">
        <v>25</v>
      </c>
      <c r="E2510" s="18" t="inlineStr">
        <is>
          <t>R</t>
        </is>
      </c>
      <c r="F2510" s="18" t="n"/>
      <c r="G2510" s="9" t="n">
        <v>42.484</v>
      </c>
      <c r="H2510" s="9" t="n">
        <v>42.484</v>
      </c>
      <c r="I2510" s="9" t="inlineStr">
        <is>
          <t>Depth (no MLB IP)</t>
        </is>
      </c>
      <c r="J2510" s="18" t="inlineStr">
        <is>
          <t>Opening Day</t>
        </is>
      </c>
      <c r="K2510" s="11">
        <f>IFERROR(INDEX(Roles!$B$17:$B$20,MATCH(J2510,Roles!$A$17:$A$20,0)),1)</f>
        <v/>
      </c>
      <c r="L2510" s="19" t="n">
        <v>1</v>
      </c>
      <c r="M2510" s="11" t="n">
        <v>1</v>
      </c>
      <c r="N2510" s="19" t="n"/>
      <c r="O2510" s="19" t="n"/>
      <c r="P2510" s="19" t="n"/>
      <c r="Q2510" s="19" t="n"/>
      <c r="R2510" s="19" t="n"/>
      <c r="S2510" s="19" t="n"/>
      <c r="T2510" s="19" t="n"/>
      <c r="U2510" s="19" t="n"/>
      <c r="V2510" s="19" t="n"/>
      <c r="W2510" s="19" t="n"/>
      <c r="X2510" s="19" t="n"/>
      <c r="Y2510" s="19" t="n">
        <v>1</v>
      </c>
      <c r="Z2510" s="13">
        <f>SUMPRODUCT(N2510:Y2510,$N$2:$Y$2)*$K2510*$L2510*$M2510</f>
        <v/>
      </c>
      <c r="AA2510" s="14">
        <f>SUM(N2510:Y2510)</f>
        <v/>
      </c>
      <c r="AB2510" s="13">
        <f>SUMPRODUCT(N2510:Y2510,$N$3:$Y$3)*$K2510*$L2510*$M2510</f>
        <v/>
      </c>
      <c r="AC2510" s="13">
        <f>SUMPRODUCT(N2510:Y2510,$N$4:$Y$4)*$K2510*$L2510*$M2510</f>
        <v/>
      </c>
      <c r="AD2510" s="15" t="n">
        <v>3</v>
      </c>
      <c r="AE2510" s="11" t="n">
        <v>1.011296296296296</v>
      </c>
      <c r="AF2510" s="16">
        <f>SUMPRODUCT(N2510:Y2510,$N$5:$Y$5)*$K2510*$L2510*$M2510</f>
        <v/>
      </c>
      <c r="AG2510" s="16">
        <f>SUMPRODUCT(N2510:Y2510,$N$6:$Y$6)*$K2510*$L2510*$M2510</f>
        <v/>
      </c>
      <c r="AH2510" s="20" t="n"/>
    </row>
    <row r="2511">
      <c r="A2511" s="9" t="n">
        <v>702111</v>
      </c>
      <c r="B2511" s="9" t="inlineStr">
        <is>
          <t>Adam Smith</t>
        </is>
      </c>
      <c r="C2511" s="9" t="inlineStr">
        <is>
          <t>SEA</t>
        </is>
      </c>
      <c r="D2511" s="9" t="n">
        <v>25</v>
      </c>
      <c r="E2511" s="18" t="inlineStr">
        <is>
          <t>R</t>
        </is>
      </c>
      <c r="F2511" s="18" t="n"/>
      <c r="G2511" s="9" t="n">
        <v>42.64166666666667</v>
      </c>
      <c r="H2511" s="9" t="n">
        <v>42.64166666666667</v>
      </c>
      <c r="I2511" s="9" t="inlineStr">
        <is>
          <t>Depth (no MLB IP)</t>
        </is>
      </c>
      <c r="J2511" s="18" t="inlineStr">
        <is>
          <t>Opening Day</t>
        </is>
      </c>
      <c r="K2511" s="11">
        <f>IFERROR(INDEX(Roles!$B$17:$B$20,MATCH(J2511,Roles!$A$17:$A$20,0)),1)</f>
        <v/>
      </c>
      <c r="L2511" s="19" t="n">
        <v>1</v>
      </c>
      <c r="M2511" s="11" t="n">
        <v>1</v>
      </c>
      <c r="N2511" s="19" t="n"/>
      <c r="O2511" s="19" t="n"/>
      <c r="P2511" s="19" t="n"/>
      <c r="Q2511" s="19" t="n"/>
      <c r="R2511" s="19" t="n"/>
      <c r="S2511" s="19" t="n"/>
      <c r="T2511" s="19" t="n"/>
      <c r="U2511" s="19" t="n"/>
      <c r="V2511" s="19" t="n"/>
      <c r="W2511" s="19" t="n"/>
      <c r="X2511" s="19" t="n"/>
      <c r="Y2511" s="19" t="n">
        <v>1</v>
      </c>
      <c r="Z2511" s="13">
        <f>SUMPRODUCT(N2511:Y2511,$N$2:$Y$2)*$K2511*$L2511*$M2511</f>
        <v/>
      </c>
      <c r="AA2511" s="14">
        <f>SUM(N2511:Y2511)</f>
        <v/>
      </c>
      <c r="AB2511" s="13">
        <f>SUMPRODUCT(N2511:Y2511,$N$3:$Y$3)*$K2511*$L2511*$M2511</f>
        <v/>
      </c>
      <c r="AC2511" s="13">
        <f>SUMPRODUCT(N2511:Y2511,$N$4:$Y$4)*$K2511*$L2511*$M2511</f>
        <v/>
      </c>
      <c r="AD2511" s="15" t="n">
        <v>3</v>
      </c>
      <c r="AE2511" s="11" t="n">
        <v>1.011296296296296</v>
      </c>
      <c r="AF2511" s="16">
        <f>SUMPRODUCT(N2511:Y2511,$N$5:$Y$5)*$K2511*$L2511*$M2511</f>
        <v/>
      </c>
      <c r="AG2511" s="16">
        <f>SUMPRODUCT(N2511:Y2511,$N$6:$Y$6)*$K2511*$L2511*$M2511</f>
        <v/>
      </c>
      <c r="AH2511" s="20" t="n"/>
    </row>
    <row r="2512">
      <c r="A2512" s="9" t="n">
        <v>701828</v>
      </c>
      <c r="B2512" s="9" t="inlineStr">
        <is>
          <t>Wyatt Lunsford-Shenkman</t>
        </is>
      </c>
      <c r="C2512" s="9" t="inlineStr">
        <is>
          <t>SEA</t>
        </is>
      </c>
      <c r="D2512" s="9" t="n">
        <v>25</v>
      </c>
      <c r="E2512" s="18" t="inlineStr">
        <is>
          <t>R</t>
        </is>
      </c>
      <c r="F2512" s="18" t="n"/>
      <c r="G2512" s="9" t="n">
        <v>42.71333333333333</v>
      </c>
      <c r="H2512" s="9" t="n">
        <v>42.71333333333333</v>
      </c>
      <c r="I2512" s="9" t="inlineStr">
        <is>
          <t>Depth (no MLB IP)</t>
        </is>
      </c>
      <c r="J2512" s="18" t="inlineStr">
        <is>
          <t>Opening Day</t>
        </is>
      </c>
      <c r="K2512" s="11">
        <f>IFERROR(INDEX(Roles!$B$17:$B$20,MATCH(J2512,Roles!$A$17:$A$20,0)),1)</f>
        <v/>
      </c>
      <c r="L2512" s="19" t="n">
        <v>1</v>
      </c>
      <c r="M2512" s="11" t="n">
        <v>1</v>
      </c>
      <c r="N2512" s="19" t="n"/>
      <c r="O2512" s="19" t="n"/>
      <c r="P2512" s="19" t="n"/>
      <c r="Q2512" s="19" t="n"/>
      <c r="R2512" s="19" t="n"/>
      <c r="S2512" s="19" t="n"/>
      <c r="T2512" s="19" t="n"/>
      <c r="U2512" s="19" t="n"/>
      <c r="V2512" s="19" t="n"/>
      <c r="W2512" s="19" t="n"/>
      <c r="X2512" s="19" t="n"/>
      <c r="Y2512" s="19" t="n">
        <v>1</v>
      </c>
      <c r="Z2512" s="13">
        <f>SUMPRODUCT(N2512:Y2512,$N$2:$Y$2)*$K2512*$L2512*$M2512</f>
        <v/>
      </c>
      <c r="AA2512" s="14">
        <f>SUM(N2512:Y2512)</f>
        <v/>
      </c>
      <c r="AB2512" s="13">
        <f>SUMPRODUCT(N2512:Y2512,$N$3:$Y$3)*$K2512*$L2512*$M2512</f>
        <v/>
      </c>
      <c r="AC2512" s="13">
        <f>SUMPRODUCT(N2512:Y2512,$N$4:$Y$4)*$K2512*$L2512*$M2512</f>
        <v/>
      </c>
      <c r="AD2512" s="15" t="n">
        <v>3</v>
      </c>
      <c r="AE2512" s="11" t="n">
        <v>1.011296296296296</v>
      </c>
      <c r="AF2512" s="16">
        <f>SUMPRODUCT(N2512:Y2512,$N$5:$Y$5)*$K2512*$L2512*$M2512</f>
        <v/>
      </c>
      <c r="AG2512" s="16">
        <f>SUMPRODUCT(N2512:Y2512,$N$6:$Y$6)*$K2512*$L2512*$M2512</f>
        <v/>
      </c>
      <c r="AH2512" s="20" t="n"/>
    </row>
    <row r="2513">
      <c r="A2513" s="9" t="n">
        <v>800811</v>
      </c>
      <c r="B2513" s="9" t="inlineStr">
        <is>
          <t>Jacob Kroeger</t>
        </is>
      </c>
      <c r="C2513" s="9" t="inlineStr">
        <is>
          <t>ATL</t>
        </is>
      </c>
      <c r="D2513" s="9" t="n">
        <v>25</v>
      </c>
      <c r="E2513" s="18" t="inlineStr">
        <is>
          <t>L</t>
        </is>
      </c>
      <c r="F2513" s="18" t="n"/>
      <c r="G2513" s="9" t="n">
        <v>43</v>
      </c>
      <c r="H2513" s="9" t="n">
        <v>43</v>
      </c>
      <c r="I2513" s="9" t="inlineStr">
        <is>
          <t>Depth (no MLB IP)</t>
        </is>
      </c>
      <c r="J2513" s="18" t="inlineStr">
        <is>
          <t>Opening Day</t>
        </is>
      </c>
      <c r="K2513" s="11">
        <f>IFERROR(INDEX(Roles!$B$17:$B$20,MATCH(J2513,Roles!$A$17:$A$20,0)),1)</f>
        <v/>
      </c>
      <c r="L2513" s="19" t="n">
        <v>1</v>
      </c>
      <c r="M2513" s="11" t="n">
        <v>1</v>
      </c>
      <c r="N2513" s="19" t="n"/>
      <c r="O2513" s="19" t="n"/>
      <c r="P2513" s="19" t="n"/>
      <c r="Q2513" s="19" t="n"/>
      <c r="R2513" s="19" t="n"/>
      <c r="S2513" s="19" t="n"/>
      <c r="T2513" s="19" t="n"/>
      <c r="U2513" s="19" t="n"/>
      <c r="V2513" s="19" t="n"/>
      <c r="W2513" s="19" t="n"/>
      <c r="X2513" s="19" t="n"/>
      <c r="Y2513" s="19" t="n">
        <v>1</v>
      </c>
      <c r="Z2513" s="13">
        <f>SUMPRODUCT(N2513:Y2513,$N$2:$Y$2)*$K2513*$L2513*$M2513</f>
        <v/>
      </c>
      <c r="AA2513" s="14">
        <f>SUM(N2513:Y2513)</f>
        <v/>
      </c>
      <c r="AB2513" s="13">
        <f>SUMPRODUCT(N2513:Y2513,$N$3:$Y$3)*$K2513*$L2513*$M2513</f>
        <v/>
      </c>
      <c r="AC2513" s="13">
        <f>SUMPRODUCT(N2513:Y2513,$N$4:$Y$4)*$K2513*$L2513*$M2513</f>
        <v/>
      </c>
      <c r="AD2513" s="15" t="n">
        <v>3</v>
      </c>
      <c r="AE2513" s="11" t="n">
        <v>1.011296296296296</v>
      </c>
      <c r="AF2513" s="16">
        <f>SUMPRODUCT(N2513:Y2513,$N$5:$Y$5)*$K2513*$L2513*$M2513</f>
        <v/>
      </c>
      <c r="AG2513" s="16">
        <f>SUMPRODUCT(N2513:Y2513,$N$6:$Y$6)*$K2513*$L2513*$M2513</f>
        <v/>
      </c>
      <c r="AH2513" s="20" t="n"/>
    </row>
    <row r="2514">
      <c r="A2514" s="9" t="n">
        <v>700274</v>
      </c>
      <c r="B2514" s="9" t="inlineStr">
        <is>
          <t>Javier Chacon</t>
        </is>
      </c>
      <c r="C2514" s="9" t="inlineStr">
        <is>
          <t>SD</t>
        </is>
      </c>
      <c r="D2514" s="9" t="n">
        <v>25</v>
      </c>
      <c r="E2514" s="18" t="inlineStr">
        <is>
          <t>L</t>
        </is>
      </c>
      <c r="F2514" s="18" t="n"/>
      <c r="G2514" s="9" t="n">
        <v>43</v>
      </c>
      <c r="H2514" s="9" t="n">
        <v>43</v>
      </c>
      <c r="I2514" s="9" t="inlineStr">
        <is>
          <t>Depth (no MLB IP)</t>
        </is>
      </c>
      <c r="J2514" s="18" t="inlineStr">
        <is>
          <t>Opening Day</t>
        </is>
      </c>
      <c r="K2514" s="11">
        <f>IFERROR(INDEX(Roles!$B$17:$B$20,MATCH(J2514,Roles!$A$17:$A$20,0)),1)</f>
        <v/>
      </c>
      <c r="L2514" s="19" t="n">
        <v>1</v>
      </c>
      <c r="M2514" s="11" t="n">
        <v>1</v>
      </c>
      <c r="N2514" s="19" t="n"/>
      <c r="O2514" s="19" t="n"/>
      <c r="P2514" s="19" t="n"/>
      <c r="Q2514" s="19" t="n"/>
      <c r="R2514" s="19" t="n"/>
      <c r="S2514" s="19" t="n"/>
      <c r="T2514" s="19" t="n"/>
      <c r="U2514" s="19" t="n"/>
      <c r="V2514" s="19" t="n"/>
      <c r="W2514" s="19" t="n"/>
      <c r="X2514" s="19" t="n"/>
      <c r="Y2514" s="19" t="n">
        <v>1</v>
      </c>
      <c r="Z2514" s="13">
        <f>SUMPRODUCT(N2514:Y2514,$N$2:$Y$2)*$K2514*$L2514*$M2514</f>
        <v/>
      </c>
      <c r="AA2514" s="14">
        <f>SUM(N2514:Y2514)</f>
        <v/>
      </c>
      <c r="AB2514" s="13">
        <f>SUMPRODUCT(N2514:Y2514,$N$3:$Y$3)*$K2514*$L2514*$M2514</f>
        <v/>
      </c>
      <c r="AC2514" s="13">
        <f>SUMPRODUCT(N2514:Y2514,$N$4:$Y$4)*$K2514*$L2514*$M2514</f>
        <v/>
      </c>
      <c r="AD2514" s="15" t="n">
        <v>3</v>
      </c>
      <c r="AE2514" s="11" t="n">
        <v>1.011296296296296</v>
      </c>
      <c r="AF2514" s="16">
        <f>SUMPRODUCT(N2514:Y2514,$N$5:$Y$5)*$K2514*$L2514*$M2514</f>
        <v/>
      </c>
      <c r="AG2514" s="16">
        <f>SUMPRODUCT(N2514:Y2514,$N$6:$Y$6)*$K2514*$L2514*$M2514</f>
        <v/>
      </c>
      <c r="AH2514" s="20" t="n"/>
    </row>
    <row r="2515">
      <c r="A2515" s="9" t="n">
        <v>695026</v>
      </c>
      <c r="B2515" s="9" t="inlineStr">
        <is>
          <t>Jeremy Wu-Yelland</t>
        </is>
      </c>
      <c r="C2515" s="9" t="inlineStr">
        <is>
          <t>BOS</t>
        </is>
      </c>
      <c r="D2515" s="9" t="n">
        <v>25</v>
      </c>
      <c r="E2515" s="18" t="inlineStr">
        <is>
          <t>L</t>
        </is>
      </c>
      <c r="F2515" s="18" t="n"/>
      <c r="G2515" s="9" t="n">
        <v>43.14333333333333</v>
      </c>
      <c r="H2515" s="9" t="n">
        <v>43.14333333333333</v>
      </c>
      <c r="I2515" s="9" t="inlineStr">
        <is>
          <t>Depth (no MLB IP)</t>
        </is>
      </c>
      <c r="J2515" s="18" t="inlineStr">
        <is>
          <t>Opening Day</t>
        </is>
      </c>
      <c r="K2515" s="11">
        <f>IFERROR(INDEX(Roles!$B$17:$B$20,MATCH(J2515,Roles!$A$17:$A$20,0)),1)</f>
        <v/>
      </c>
      <c r="L2515" s="19" t="n">
        <v>1</v>
      </c>
      <c r="M2515" s="11" t="n">
        <v>1</v>
      </c>
      <c r="N2515" s="19" t="n"/>
      <c r="O2515" s="19" t="n"/>
      <c r="P2515" s="19" t="n"/>
      <c r="Q2515" s="19" t="n"/>
      <c r="R2515" s="19" t="n"/>
      <c r="S2515" s="19" t="n"/>
      <c r="T2515" s="19" t="n"/>
      <c r="U2515" s="19" t="n"/>
      <c r="V2515" s="19" t="n"/>
      <c r="W2515" s="19" t="n"/>
      <c r="X2515" s="19" t="n"/>
      <c r="Y2515" s="19" t="n">
        <v>1</v>
      </c>
      <c r="Z2515" s="13">
        <f>SUMPRODUCT(N2515:Y2515,$N$2:$Y$2)*$K2515*$L2515*$M2515</f>
        <v/>
      </c>
      <c r="AA2515" s="14">
        <f>SUM(N2515:Y2515)</f>
        <v/>
      </c>
      <c r="AB2515" s="13">
        <f>SUMPRODUCT(N2515:Y2515,$N$3:$Y$3)*$K2515*$L2515*$M2515</f>
        <v/>
      </c>
      <c r="AC2515" s="13">
        <f>SUMPRODUCT(N2515:Y2515,$N$4:$Y$4)*$K2515*$L2515*$M2515</f>
        <v/>
      </c>
      <c r="AD2515" s="15" t="n">
        <v>3</v>
      </c>
      <c r="AE2515" s="11" t="n">
        <v>1.011296296296296</v>
      </c>
      <c r="AF2515" s="16">
        <f>SUMPRODUCT(N2515:Y2515,$N$5:$Y$5)*$K2515*$L2515*$M2515</f>
        <v/>
      </c>
      <c r="AG2515" s="16">
        <f>SUMPRODUCT(N2515:Y2515,$N$6:$Y$6)*$K2515*$L2515*$M2515</f>
        <v/>
      </c>
      <c r="AH2515" s="20" t="n"/>
    </row>
    <row r="2516">
      <c r="A2516" s="9" t="n">
        <v>826538</v>
      </c>
      <c r="B2516" s="9" t="inlineStr">
        <is>
          <t>Aidan Foeller</t>
        </is>
      </c>
      <c r="C2516" s="9" t="inlineStr">
        <is>
          <t>LAD</t>
        </is>
      </c>
      <c r="D2516" s="9" t="n">
        <v>25</v>
      </c>
      <c r="E2516" s="18" t="inlineStr">
        <is>
          <t>R</t>
        </is>
      </c>
      <c r="F2516" s="18" t="n"/>
      <c r="G2516" s="9" t="n">
        <v>43.14333333333333</v>
      </c>
      <c r="H2516" s="9" t="n">
        <v>43.14333333333333</v>
      </c>
      <c r="I2516" s="9" t="inlineStr">
        <is>
          <t>Depth (no MLB IP)</t>
        </is>
      </c>
      <c r="J2516" s="18" t="inlineStr">
        <is>
          <t>Opening Day</t>
        </is>
      </c>
      <c r="K2516" s="11">
        <f>IFERROR(INDEX(Roles!$B$17:$B$20,MATCH(J2516,Roles!$A$17:$A$20,0)),1)</f>
        <v/>
      </c>
      <c r="L2516" s="19" t="n">
        <v>1</v>
      </c>
      <c r="M2516" s="11" t="n">
        <v>1</v>
      </c>
      <c r="N2516" s="19" t="n"/>
      <c r="O2516" s="19" t="n"/>
      <c r="P2516" s="19" t="n"/>
      <c r="Q2516" s="19" t="n"/>
      <c r="R2516" s="19" t="n"/>
      <c r="S2516" s="19" t="n"/>
      <c r="T2516" s="19" t="n"/>
      <c r="U2516" s="19" t="n"/>
      <c r="V2516" s="19" t="n"/>
      <c r="W2516" s="19" t="n"/>
      <c r="X2516" s="19" t="n"/>
      <c r="Y2516" s="19" t="n">
        <v>1</v>
      </c>
      <c r="Z2516" s="13">
        <f>SUMPRODUCT(N2516:Y2516,$N$2:$Y$2)*$K2516*$L2516*$M2516</f>
        <v/>
      </c>
      <c r="AA2516" s="14">
        <f>SUM(N2516:Y2516)</f>
        <v/>
      </c>
      <c r="AB2516" s="13">
        <f>SUMPRODUCT(N2516:Y2516,$N$3:$Y$3)*$K2516*$L2516*$M2516</f>
        <v/>
      </c>
      <c r="AC2516" s="13">
        <f>SUMPRODUCT(N2516:Y2516,$N$4:$Y$4)*$K2516*$L2516*$M2516</f>
        <v/>
      </c>
      <c r="AD2516" s="15" t="n">
        <v>3</v>
      </c>
      <c r="AE2516" s="11" t="n">
        <v>1.011296296296296</v>
      </c>
      <c r="AF2516" s="16">
        <f>SUMPRODUCT(N2516:Y2516,$N$5:$Y$5)*$K2516*$L2516*$M2516</f>
        <v/>
      </c>
      <c r="AG2516" s="16">
        <f>SUMPRODUCT(N2516:Y2516,$N$6:$Y$6)*$K2516*$L2516*$M2516</f>
        <v/>
      </c>
      <c r="AH2516" s="20" t="n"/>
    </row>
    <row r="2517">
      <c r="A2517" s="9" t="n">
        <v>807818</v>
      </c>
      <c r="B2517" s="9" t="inlineStr">
        <is>
          <t>Mervin Fell</t>
        </is>
      </c>
      <c r="C2517" s="9" t="inlineStr">
        <is>
          <t>ARI</t>
        </is>
      </c>
      <c r="D2517" s="9" t="n">
        <v>25</v>
      </c>
      <c r="E2517" s="18" t="inlineStr">
        <is>
          <t>R</t>
        </is>
      </c>
      <c r="F2517" s="18" t="n"/>
      <c r="G2517" s="9" t="n">
        <v>43.172</v>
      </c>
      <c r="H2517" s="9" t="n">
        <v>43.172</v>
      </c>
      <c r="I2517" s="9" t="inlineStr">
        <is>
          <t>Depth (no MLB IP)</t>
        </is>
      </c>
      <c r="J2517" s="18" t="inlineStr">
        <is>
          <t>Opening Day</t>
        </is>
      </c>
      <c r="K2517" s="11">
        <f>IFERROR(INDEX(Roles!$B$17:$B$20,MATCH(J2517,Roles!$A$17:$A$20,0)),1)</f>
        <v/>
      </c>
      <c r="L2517" s="19" t="n">
        <v>1</v>
      </c>
      <c r="M2517" s="11" t="n">
        <v>1</v>
      </c>
      <c r="N2517" s="19" t="n"/>
      <c r="O2517" s="19" t="n"/>
      <c r="P2517" s="19" t="n"/>
      <c r="Q2517" s="19" t="n"/>
      <c r="R2517" s="19" t="n"/>
      <c r="S2517" s="19" t="n"/>
      <c r="T2517" s="19" t="n"/>
      <c r="U2517" s="19" t="n"/>
      <c r="V2517" s="19" t="n"/>
      <c r="W2517" s="19" t="n"/>
      <c r="X2517" s="19" t="n"/>
      <c r="Y2517" s="19" t="n">
        <v>1</v>
      </c>
      <c r="Z2517" s="13">
        <f>SUMPRODUCT(N2517:Y2517,$N$2:$Y$2)*$K2517*$L2517*$M2517</f>
        <v/>
      </c>
      <c r="AA2517" s="14">
        <f>SUM(N2517:Y2517)</f>
        <v/>
      </c>
      <c r="AB2517" s="13">
        <f>SUMPRODUCT(N2517:Y2517,$N$3:$Y$3)*$K2517*$L2517*$M2517</f>
        <v/>
      </c>
      <c r="AC2517" s="13">
        <f>SUMPRODUCT(N2517:Y2517,$N$4:$Y$4)*$K2517*$L2517*$M2517</f>
        <v/>
      </c>
      <c r="AD2517" s="15" t="n">
        <v>3</v>
      </c>
      <c r="AE2517" s="11" t="n">
        <v>1.011296296296296</v>
      </c>
      <c r="AF2517" s="16">
        <f>SUMPRODUCT(N2517:Y2517,$N$5:$Y$5)*$K2517*$L2517*$M2517</f>
        <v/>
      </c>
      <c r="AG2517" s="16">
        <f>SUMPRODUCT(N2517:Y2517,$N$6:$Y$6)*$K2517*$L2517*$M2517</f>
        <v/>
      </c>
      <c r="AH2517" s="20" t="n"/>
    </row>
    <row r="2518">
      <c r="A2518" s="9" t="n">
        <v>683416</v>
      </c>
      <c r="B2518" s="9" t="inlineStr">
        <is>
          <t>Manuel Olivares</t>
        </is>
      </c>
      <c r="C2518" s="9" t="inlineStr">
        <is>
          <t>COL</t>
        </is>
      </c>
      <c r="D2518" s="9" t="n">
        <v>25</v>
      </c>
      <c r="E2518" s="18" t="inlineStr">
        <is>
          <t>R</t>
        </is>
      </c>
      <c r="F2518" s="18" t="n"/>
      <c r="G2518" s="9" t="n">
        <v>43.172</v>
      </c>
      <c r="H2518" s="9" t="n">
        <v>43.172</v>
      </c>
      <c r="I2518" s="9" t="inlineStr">
        <is>
          <t>Depth (no MLB IP)</t>
        </is>
      </c>
      <c r="J2518" s="18" t="inlineStr">
        <is>
          <t>Opening Day</t>
        </is>
      </c>
      <c r="K2518" s="11">
        <f>IFERROR(INDEX(Roles!$B$17:$B$20,MATCH(J2518,Roles!$A$17:$A$20,0)),1)</f>
        <v/>
      </c>
      <c r="L2518" s="19" t="n">
        <v>1</v>
      </c>
      <c r="M2518" s="11" t="n">
        <v>1</v>
      </c>
      <c r="N2518" s="19" t="n"/>
      <c r="O2518" s="19" t="n"/>
      <c r="P2518" s="19" t="n"/>
      <c r="Q2518" s="19" t="n"/>
      <c r="R2518" s="19" t="n"/>
      <c r="S2518" s="19" t="n"/>
      <c r="T2518" s="19" t="n"/>
      <c r="U2518" s="19" t="n"/>
      <c r="V2518" s="19" t="n"/>
      <c r="W2518" s="19" t="n"/>
      <c r="X2518" s="19" t="n"/>
      <c r="Y2518" s="19" t="n">
        <v>1</v>
      </c>
      <c r="Z2518" s="13">
        <f>SUMPRODUCT(N2518:Y2518,$N$2:$Y$2)*$K2518*$L2518*$M2518</f>
        <v/>
      </c>
      <c r="AA2518" s="14">
        <f>SUM(N2518:Y2518)</f>
        <v/>
      </c>
      <c r="AB2518" s="13">
        <f>SUMPRODUCT(N2518:Y2518,$N$3:$Y$3)*$K2518*$L2518*$M2518</f>
        <v/>
      </c>
      <c r="AC2518" s="13">
        <f>SUMPRODUCT(N2518:Y2518,$N$4:$Y$4)*$K2518*$L2518*$M2518</f>
        <v/>
      </c>
      <c r="AD2518" s="15" t="n">
        <v>3</v>
      </c>
      <c r="AE2518" s="11" t="n">
        <v>1.011296296296296</v>
      </c>
      <c r="AF2518" s="16">
        <f>SUMPRODUCT(N2518:Y2518,$N$5:$Y$5)*$K2518*$L2518*$M2518</f>
        <v/>
      </c>
      <c r="AG2518" s="16">
        <f>SUMPRODUCT(N2518:Y2518,$N$6:$Y$6)*$K2518*$L2518*$M2518</f>
        <v/>
      </c>
      <c r="AH2518" s="20" t="n"/>
    </row>
    <row r="2519">
      <c r="A2519" s="9" t="n">
        <v>814492</v>
      </c>
      <c r="B2519" s="9" t="inlineStr">
        <is>
          <t>Will Watson</t>
        </is>
      </c>
      <c r="C2519" s="9" t="inlineStr">
        <is>
          <t>NYM</t>
        </is>
      </c>
      <c r="D2519" s="9" t="n">
        <v>25</v>
      </c>
      <c r="E2519" s="18" t="inlineStr">
        <is>
          <t>R</t>
        </is>
      </c>
      <c r="F2519" s="18" t="n"/>
      <c r="G2519" s="9" t="n">
        <v>43.14333333333333</v>
      </c>
      <c r="H2519" s="9" t="n">
        <v>43.14333333333333</v>
      </c>
      <c r="I2519" s="9" t="inlineStr">
        <is>
          <t>Depth (no MLB IP)</t>
        </is>
      </c>
      <c r="J2519" s="18" t="inlineStr">
        <is>
          <t>Opening Day</t>
        </is>
      </c>
      <c r="K2519" s="11">
        <f>IFERROR(INDEX(Roles!$B$17:$B$20,MATCH(J2519,Roles!$A$17:$A$20,0)),1)</f>
        <v/>
      </c>
      <c r="L2519" s="19" t="n">
        <v>1</v>
      </c>
      <c r="M2519" s="11" t="n">
        <v>1</v>
      </c>
      <c r="N2519" s="19" t="n"/>
      <c r="O2519" s="19" t="n"/>
      <c r="P2519" s="19" t="n"/>
      <c r="Q2519" s="19" t="n"/>
      <c r="R2519" s="19" t="n"/>
      <c r="S2519" s="19" t="n"/>
      <c r="T2519" s="19" t="n"/>
      <c r="U2519" s="19" t="n"/>
      <c r="V2519" s="19" t="n"/>
      <c r="W2519" s="19" t="n"/>
      <c r="X2519" s="19" t="n"/>
      <c r="Y2519" s="19" t="n">
        <v>1</v>
      </c>
      <c r="Z2519" s="13">
        <f>SUMPRODUCT(N2519:Y2519,$N$2:$Y$2)*$K2519*$L2519*$M2519</f>
        <v/>
      </c>
      <c r="AA2519" s="14">
        <f>SUM(N2519:Y2519)</f>
        <v/>
      </c>
      <c r="AB2519" s="13">
        <f>SUMPRODUCT(N2519:Y2519,$N$3:$Y$3)*$K2519*$L2519*$M2519</f>
        <v/>
      </c>
      <c r="AC2519" s="13">
        <f>SUMPRODUCT(N2519:Y2519,$N$4:$Y$4)*$K2519*$L2519*$M2519</f>
        <v/>
      </c>
      <c r="AD2519" s="15" t="n">
        <v>3</v>
      </c>
      <c r="AE2519" s="11" t="n">
        <v>1.011296296296296</v>
      </c>
      <c r="AF2519" s="16">
        <f>SUMPRODUCT(N2519:Y2519,$N$5:$Y$5)*$K2519*$L2519*$M2519</f>
        <v/>
      </c>
      <c r="AG2519" s="16">
        <f>SUMPRODUCT(N2519:Y2519,$N$6:$Y$6)*$K2519*$L2519*$M2519</f>
        <v/>
      </c>
      <c r="AH2519" s="20" t="n"/>
    </row>
    <row r="2520">
      <c r="A2520" s="9" t="n">
        <v>695347</v>
      </c>
      <c r="B2520" s="9" t="inlineStr">
        <is>
          <t>Hunter Gregory</t>
        </is>
      </c>
      <c r="C2520" s="9" t="inlineStr">
        <is>
          <t>MIN</t>
        </is>
      </c>
      <c r="D2520" s="9" t="n">
        <v>25</v>
      </c>
      <c r="E2520" s="18" t="inlineStr">
        <is>
          <t>R</t>
        </is>
      </c>
      <c r="F2520" s="18" t="n"/>
      <c r="G2520" s="9" t="n">
        <v>43.14333333333333</v>
      </c>
      <c r="H2520" s="9" t="n">
        <v>43.14333333333333</v>
      </c>
      <c r="I2520" s="9" t="inlineStr">
        <is>
          <t>Depth (no MLB IP)</t>
        </is>
      </c>
      <c r="J2520" s="18" t="inlineStr">
        <is>
          <t>Opening Day</t>
        </is>
      </c>
      <c r="K2520" s="11">
        <f>IFERROR(INDEX(Roles!$B$17:$B$20,MATCH(J2520,Roles!$A$17:$A$20,0)),1)</f>
        <v/>
      </c>
      <c r="L2520" s="19" t="n">
        <v>1</v>
      </c>
      <c r="M2520" s="11" t="n">
        <v>1</v>
      </c>
      <c r="N2520" s="19" t="n"/>
      <c r="O2520" s="19" t="n"/>
      <c r="P2520" s="19" t="n"/>
      <c r="Q2520" s="19" t="n"/>
      <c r="R2520" s="19" t="n"/>
      <c r="S2520" s="19" t="n"/>
      <c r="T2520" s="19" t="n"/>
      <c r="U2520" s="19" t="n"/>
      <c r="V2520" s="19" t="n"/>
      <c r="W2520" s="19" t="n"/>
      <c r="X2520" s="19" t="n"/>
      <c r="Y2520" s="19" t="n">
        <v>1</v>
      </c>
      <c r="Z2520" s="13">
        <f>SUMPRODUCT(N2520:Y2520,$N$2:$Y$2)*$K2520*$L2520*$M2520</f>
        <v/>
      </c>
      <c r="AA2520" s="14">
        <f>SUM(N2520:Y2520)</f>
        <v/>
      </c>
      <c r="AB2520" s="13">
        <f>SUMPRODUCT(N2520:Y2520,$N$3:$Y$3)*$K2520*$L2520*$M2520</f>
        <v/>
      </c>
      <c r="AC2520" s="13">
        <f>SUMPRODUCT(N2520:Y2520,$N$4:$Y$4)*$K2520*$L2520*$M2520</f>
        <v/>
      </c>
      <c r="AD2520" s="15" t="n">
        <v>3</v>
      </c>
      <c r="AE2520" s="11" t="n">
        <v>1.011296296296296</v>
      </c>
      <c r="AF2520" s="16">
        <f>SUMPRODUCT(N2520:Y2520,$N$5:$Y$5)*$K2520*$L2520*$M2520</f>
        <v/>
      </c>
      <c r="AG2520" s="16">
        <f>SUMPRODUCT(N2520:Y2520,$N$6:$Y$6)*$K2520*$L2520*$M2520</f>
        <v/>
      </c>
      <c r="AH2520" s="20" t="n"/>
    </row>
    <row r="2521">
      <c r="A2521" s="9" t="n">
        <v>684608</v>
      </c>
      <c r="B2521" s="9" t="inlineStr">
        <is>
          <t>Will Brian</t>
        </is>
      </c>
      <c r="C2521" s="9" t="inlineStr">
        <is>
          <t>NYY</t>
        </is>
      </c>
      <c r="D2521" s="9" t="n">
        <v>25</v>
      </c>
      <c r="E2521" s="18" t="inlineStr">
        <is>
          <t>L</t>
        </is>
      </c>
      <c r="F2521" s="18" t="n"/>
      <c r="G2521" s="9" t="n">
        <v>43.35833333333333</v>
      </c>
      <c r="H2521" s="9" t="n">
        <v>43.35833333333333</v>
      </c>
      <c r="I2521" s="9" t="inlineStr">
        <is>
          <t>Depth (no MLB IP)</t>
        </is>
      </c>
      <c r="J2521" s="18" t="inlineStr">
        <is>
          <t>Opening Day</t>
        </is>
      </c>
      <c r="K2521" s="11">
        <f>IFERROR(INDEX(Roles!$B$17:$B$20,MATCH(J2521,Roles!$A$17:$A$20,0)),1)</f>
        <v/>
      </c>
      <c r="L2521" s="19" t="n">
        <v>1</v>
      </c>
      <c r="M2521" s="11" t="n">
        <v>1</v>
      </c>
      <c r="N2521" s="19" t="n"/>
      <c r="O2521" s="19" t="n"/>
      <c r="P2521" s="19" t="n"/>
      <c r="Q2521" s="19" t="n"/>
      <c r="R2521" s="19" t="n"/>
      <c r="S2521" s="19" t="n"/>
      <c r="T2521" s="19" t="n"/>
      <c r="U2521" s="19" t="n"/>
      <c r="V2521" s="19" t="n"/>
      <c r="W2521" s="19" t="n"/>
      <c r="X2521" s="19" t="n"/>
      <c r="Y2521" s="19" t="n">
        <v>1</v>
      </c>
      <c r="Z2521" s="13">
        <f>SUMPRODUCT(N2521:Y2521,$N$2:$Y$2)*$K2521*$L2521*$M2521</f>
        <v/>
      </c>
      <c r="AA2521" s="14">
        <f>SUM(N2521:Y2521)</f>
        <v/>
      </c>
      <c r="AB2521" s="13">
        <f>SUMPRODUCT(N2521:Y2521,$N$3:$Y$3)*$K2521*$L2521*$M2521</f>
        <v/>
      </c>
      <c r="AC2521" s="13">
        <f>SUMPRODUCT(N2521:Y2521,$N$4:$Y$4)*$K2521*$L2521*$M2521</f>
        <v/>
      </c>
      <c r="AD2521" s="15" t="n">
        <v>3</v>
      </c>
      <c r="AE2521" s="11" t="n">
        <v>1.011296296296296</v>
      </c>
      <c r="AF2521" s="16">
        <f>SUMPRODUCT(N2521:Y2521,$N$5:$Y$5)*$K2521*$L2521*$M2521</f>
        <v/>
      </c>
      <c r="AG2521" s="16">
        <f>SUMPRODUCT(N2521:Y2521,$N$6:$Y$6)*$K2521*$L2521*$M2521</f>
        <v/>
      </c>
      <c r="AH2521" s="20" t="n"/>
    </row>
    <row r="2522">
      <c r="A2522" s="9" t="n">
        <v>678016</v>
      </c>
      <c r="B2522" s="9" t="inlineStr">
        <is>
          <t>Ian Bedell</t>
        </is>
      </c>
      <c r="C2522" s="9" t="inlineStr">
        <is>
          <t>STL</t>
        </is>
      </c>
      <c r="D2522" s="9" t="n">
        <v>25</v>
      </c>
      <c r="E2522" s="18" t="inlineStr">
        <is>
          <t>R</t>
        </is>
      </c>
      <c r="F2522" s="18" t="n"/>
      <c r="G2522" s="9" t="n">
        <v>43.35833333333333</v>
      </c>
      <c r="H2522" s="9" t="n">
        <v>43.35833333333333</v>
      </c>
      <c r="I2522" s="9" t="inlineStr">
        <is>
          <t>Depth (no MLB IP)</t>
        </is>
      </c>
      <c r="J2522" s="18" t="inlineStr">
        <is>
          <t>Opening Day</t>
        </is>
      </c>
      <c r="K2522" s="11">
        <f>IFERROR(INDEX(Roles!$B$17:$B$20,MATCH(J2522,Roles!$A$17:$A$20,0)),1)</f>
        <v/>
      </c>
      <c r="L2522" s="19" t="n">
        <v>1</v>
      </c>
      <c r="M2522" s="11" t="n">
        <v>1</v>
      </c>
      <c r="N2522" s="19" t="n"/>
      <c r="O2522" s="19" t="n"/>
      <c r="P2522" s="19" t="n"/>
      <c r="Q2522" s="19" t="n"/>
      <c r="R2522" s="19" t="n"/>
      <c r="S2522" s="19" t="n"/>
      <c r="T2522" s="19" t="n"/>
      <c r="U2522" s="19" t="n"/>
      <c r="V2522" s="19" t="n"/>
      <c r="W2522" s="19" t="n"/>
      <c r="X2522" s="19" t="n"/>
      <c r="Y2522" s="19" t="n">
        <v>1</v>
      </c>
      <c r="Z2522" s="13">
        <f>SUMPRODUCT(N2522:Y2522,$N$2:$Y$2)*$K2522*$L2522*$M2522</f>
        <v/>
      </c>
      <c r="AA2522" s="14">
        <f>SUM(N2522:Y2522)</f>
        <v/>
      </c>
      <c r="AB2522" s="13">
        <f>SUMPRODUCT(N2522:Y2522,$N$3:$Y$3)*$K2522*$L2522*$M2522</f>
        <v/>
      </c>
      <c r="AC2522" s="13">
        <f>SUMPRODUCT(N2522:Y2522,$N$4:$Y$4)*$K2522*$L2522*$M2522</f>
        <v/>
      </c>
      <c r="AD2522" s="15" t="n">
        <v>3</v>
      </c>
      <c r="AE2522" s="11" t="n">
        <v>1.011296296296296</v>
      </c>
      <c r="AF2522" s="16">
        <f>SUMPRODUCT(N2522:Y2522,$N$5:$Y$5)*$K2522*$L2522*$M2522</f>
        <v/>
      </c>
      <c r="AG2522" s="16">
        <f>SUMPRODUCT(N2522:Y2522,$N$6:$Y$6)*$K2522*$L2522*$M2522</f>
        <v/>
      </c>
      <c r="AH2522" s="20" t="n"/>
    </row>
    <row r="2523">
      <c r="A2523" s="9" t="n">
        <v>687593</v>
      </c>
      <c r="B2523" s="9" t="inlineStr">
        <is>
          <t>Hunter Patteson</t>
        </is>
      </c>
      <c r="C2523" s="9" t="inlineStr">
        <is>
          <t>KC</t>
        </is>
      </c>
      <c r="D2523" s="9" t="n">
        <v>25</v>
      </c>
      <c r="E2523" s="18" t="inlineStr">
        <is>
          <t>L</t>
        </is>
      </c>
      <c r="F2523" s="18" t="n"/>
      <c r="G2523" s="9" t="n">
        <v>43.35833333333333</v>
      </c>
      <c r="H2523" s="9" t="n">
        <v>43.35833333333333</v>
      </c>
      <c r="I2523" s="9" t="inlineStr">
        <is>
          <t>Depth (no MLB IP)</t>
        </is>
      </c>
      <c r="J2523" s="18" t="inlineStr">
        <is>
          <t>Opening Day</t>
        </is>
      </c>
      <c r="K2523" s="11">
        <f>IFERROR(INDEX(Roles!$B$17:$B$20,MATCH(J2523,Roles!$A$17:$A$20,0)),1)</f>
        <v/>
      </c>
      <c r="L2523" s="19" t="n">
        <v>1</v>
      </c>
      <c r="M2523" s="11" t="n">
        <v>1</v>
      </c>
      <c r="N2523" s="19" t="n"/>
      <c r="O2523" s="19" t="n"/>
      <c r="P2523" s="19" t="n"/>
      <c r="Q2523" s="19" t="n"/>
      <c r="R2523" s="19" t="n"/>
      <c r="S2523" s="19" t="n"/>
      <c r="T2523" s="19" t="n"/>
      <c r="U2523" s="19" t="n"/>
      <c r="V2523" s="19" t="n"/>
      <c r="W2523" s="19" t="n"/>
      <c r="X2523" s="19" t="n"/>
      <c r="Y2523" s="19" t="n">
        <v>1</v>
      </c>
      <c r="Z2523" s="13">
        <f>SUMPRODUCT(N2523:Y2523,$N$2:$Y$2)*$K2523*$L2523*$M2523</f>
        <v/>
      </c>
      <c r="AA2523" s="14">
        <f>SUM(N2523:Y2523)</f>
        <v/>
      </c>
      <c r="AB2523" s="13">
        <f>SUMPRODUCT(N2523:Y2523,$N$3:$Y$3)*$K2523*$L2523*$M2523</f>
        <v/>
      </c>
      <c r="AC2523" s="13">
        <f>SUMPRODUCT(N2523:Y2523,$N$4:$Y$4)*$K2523*$L2523*$M2523</f>
        <v/>
      </c>
      <c r="AD2523" s="15" t="n">
        <v>3</v>
      </c>
      <c r="AE2523" s="11" t="n">
        <v>1.011296296296296</v>
      </c>
      <c r="AF2523" s="16">
        <f>SUMPRODUCT(N2523:Y2523,$N$5:$Y$5)*$K2523*$L2523*$M2523</f>
        <v/>
      </c>
      <c r="AG2523" s="16">
        <f>SUMPRODUCT(N2523:Y2523,$N$6:$Y$6)*$K2523*$L2523*$M2523</f>
        <v/>
      </c>
      <c r="AH2523" s="20" t="n"/>
    </row>
    <row r="2524">
      <c r="A2524" s="9" t="n">
        <v>694650</v>
      </c>
      <c r="B2524" s="9" t="inlineStr">
        <is>
          <t>Cameron Cotter</t>
        </is>
      </c>
      <c r="C2524" s="9" t="inlineStr">
        <is>
          <t>CIN</t>
        </is>
      </c>
      <c r="D2524" s="9" t="n">
        <v>25</v>
      </c>
      <c r="E2524" s="18" t="inlineStr">
        <is>
          <t>R</t>
        </is>
      </c>
      <c r="F2524" s="18" t="n"/>
      <c r="G2524" s="9" t="n">
        <v>43.35833333333333</v>
      </c>
      <c r="H2524" s="9" t="n">
        <v>43.35833333333333</v>
      </c>
      <c r="I2524" s="9" t="inlineStr">
        <is>
          <t>Depth (no MLB IP)</t>
        </is>
      </c>
      <c r="J2524" s="18" t="inlineStr">
        <is>
          <t>Opening Day</t>
        </is>
      </c>
      <c r="K2524" s="11">
        <f>IFERROR(INDEX(Roles!$B$17:$B$20,MATCH(J2524,Roles!$A$17:$A$20,0)),1)</f>
        <v/>
      </c>
      <c r="L2524" s="19" t="n">
        <v>1</v>
      </c>
      <c r="M2524" s="11" t="n">
        <v>1</v>
      </c>
      <c r="N2524" s="19" t="n"/>
      <c r="O2524" s="19" t="n"/>
      <c r="P2524" s="19" t="n"/>
      <c r="Q2524" s="19" t="n"/>
      <c r="R2524" s="19" t="n"/>
      <c r="S2524" s="19" t="n"/>
      <c r="T2524" s="19" t="n"/>
      <c r="U2524" s="19" t="n"/>
      <c r="V2524" s="19" t="n"/>
      <c r="W2524" s="19" t="n"/>
      <c r="X2524" s="19" t="n"/>
      <c r="Y2524" s="19" t="n">
        <v>1</v>
      </c>
      <c r="Z2524" s="13">
        <f>SUMPRODUCT(N2524:Y2524,$N$2:$Y$2)*$K2524*$L2524*$M2524</f>
        <v/>
      </c>
      <c r="AA2524" s="14">
        <f>SUM(N2524:Y2524)</f>
        <v/>
      </c>
      <c r="AB2524" s="13">
        <f>SUMPRODUCT(N2524:Y2524,$N$3:$Y$3)*$K2524*$L2524*$M2524</f>
        <v/>
      </c>
      <c r="AC2524" s="13">
        <f>SUMPRODUCT(N2524:Y2524,$N$4:$Y$4)*$K2524*$L2524*$M2524</f>
        <v/>
      </c>
      <c r="AD2524" s="15" t="n">
        <v>3</v>
      </c>
      <c r="AE2524" s="11" t="n">
        <v>1.011296296296296</v>
      </c>
      <c r="AF2524" s="16">
        <f>SUMPRODUCT(N2524:Y2524,$N$5:$Y$5)*$K2524*$L2524*$M2524</f>
        <v/>
      </c>
      <c r="AG2524" s="16">
        <f>SUMPRODUCT(N2524:Y2524,$N$6:$Y$6)*$K2524*$L2524*$M2524</f>
        <v/>
      </c>
      <c r="AH2524" s="20" t="n"/>
    </row>
    <row r="2525">
      <c r="A2525" s="9" t="n">
        <v>702674</v>
      </c>
      <c r="B2525" s="9" t="inlineStr">
        <is>
          <t>Caden Dana</t>
        </is>
      </c>
      <c r="C2525" s="9" t="inlineStr">
        <is>
          <t>LAA</t>
        </is>
      </c>
      <c r="D2525" s="9" t="n">
        <v>23</v>
      </c>
      <c r="E2525" s="18" t="inlineStr">
        <is>
          <t>R</t>
        </is>
      </c>
      <c r="F2525" s="18" t="n"/>
      <c r="G2525" s="9" t="n">
        <v>141</v>
      </c>
      <c r="H2525" s="9" t="n">
        <v>193</v>
      </c>
      <c r="I2525" s="9" t="inlineStr">
        <is>
          <t>End-of-Rotation Starter (SP4-5)</t>
        </is>
      </c>
      <c r="J2525" s="18" t="inlineStr">
        <is>
          <t>Opening Day</t>
        </is>
      </c>
      <c r="K2525" s="11">
        <f>IFERROR(INDEX(Roles!$B$17:$B$20,MATCH(J2525,Roles!$A$17:$A$20,0)),1)</f>
        <v/>
      </c>
      <c r="L2525" s="19" t="n">
        <v>1</v>
      </c>
      <c r="M2525" s="11" t="n">
        <v>1</v>
      </c>
      <c r="N2525" s="19" t="n"/>
      <c r="O2525" s="19" t="n"/>
      <c r="P2525" s="19" t="n">
        <v>1</v>
      </c>
      <c r="Q2525" s="19" t="n"/>
      <c r="R2525" s="19" t="n"/>
      <c r="S2525" s="19" t="n"/>
      <c r="T2525" s="19" t="n"/>
      <c r="U2525" s="19" t="n"/>
      <c r="V2525" s="19" t="n"/>
      <c r="W2525" s="19" t="n"/>
      <c r="X2525" s="19" t="n"/>
      <c r="Y2525" s="19" t="n"/>
      <c r="Z2525" s="13">
        <f>SUMPRODUCT(N2525:Y2525,$N$2:$Y$2)*$K2525*$L2525*$M2525</f>
        <v/>
      </c>
      <c r="AA2525" s="14">
        <f>SUM(N2525:Y2525)</f>
        <v/>
      </c>
      <c r="AB2525" s="13">
        <f>SUMPRODUCT(N2525:Y2525,$N$3:$Y$3)*$K2525*$L2525*$M2525</f>
        <v/>
      </c>
      <c r="AC2525" s="13">
        <f>SUMPRODUCT(N2525:Y2525,$N$4:$Y$4)*$K2525*$L2525*$M2525</f>
        <v/>
      </c>
      <c r="AD2525" s="15" t="n">
        <v>9.800000000000001</v>
      </c>
      <c r="AE2525" s="11" t="n">
        <v>4.507625272331155</v>
      </c>
      <c r="AF2525" s="16">
        <f>SUMPRODUCT(N2525:Y2525,$N$5:$Y$5)*$K2525*$L2525*$M2525</f>
        <v/>
      </c>
      <c r="AG2525" s="16">
        <f>SUMPRODUCT(N2525:Y2525,$N$6:$Y$6)*$K2525*$L2525*$M2525</f>
        <v/>
      </c>
      <c r="AH2525" s="20" t="n"/>
    </row>
    <row r="2526">
      <c r="A2526" s="9" t="n">
        <v>684320</v>
      </c>
      <c r="B2526" s="9" t="inlineStr">
        <is>
          <t>Yariel Rodríguez</t>
        </is>
      </c>
      <c r="C2526" s="9" t="inlineStr">
        <is>
          <t>TOR</t>
        </is>
      </c>
      <c r="D2526" s="9" t="n">
        <v>30</v>
      </c>
      <c r="E2526" s="18" t="inlineStr">
        <is>
          <t>R</t>
        </is>
      </c>
      <c r="F2526" s="18" t="n"/>
      <c r="G2526" s="9" t="n">
        <v>45</v>
      </c>
      <c r="H2526" s="9" t="n">
        <v>711</v>
      </c>
      <c r="I2526" s="9" t="inlineStr">
        <is>
          <t>Bullpen Depth Arm</t>
        </is>
      </c>
      <c r="J2526" s="18" t="inlineStr">
        <is>
          <t>Opening Day</t>
        </is>
      </c>
      <c r="K2526" s="11">
        <f>IFERROR(INDEX(Roles!$B$17:$B$20,MATCH(J2526,Roles!$A$17:$A$20,0)),1)</f>
        <v/>
      </c>
      <c r="L2526" s="19" t="n">
        <v>1</v>
      </c>
      <c r="M2526" s="11" t="n">
        <v>1</v>
      </c>
      <c r="N2526" s="19" t="n"/>
      <c r="O2526" s="19" t="n"/>
      <c r="P2526" s="19" t="n"/>
      <c r="Q2526" s="19" t="n"/>
      <c r="R2526" s="19" t="n"/>
      <c r="S2526" s="19" t="n"/>
      <c r="T2526" s="19" t="n"/>
      <c r="U2526" s="19" t="n"/>
      <c r="V2526" s="19" t="n"/>
      <c r="W2526" s="19" t="n">
        <v>1</v>
      </c>
      <c r="X2526" s="19" t="n"/>
      <c r="Y2526" s="19" t="n"/>
      <c r="Z2526" s="13">
        <f>SUMPRODUCT(N2526:Y2526,$N$2:$Y$2)*$K2526*$L2526*$M2526</f>
        <v/>
      </c>
      <c r="AA2526" s="14">
        <f>SUM(N2526:Y2526)</f>
        <v/>
      </c>
      <c r="AB2526" s="13">
        <f>SUMPRODUCT(N2526:Y2526,$N$3:$Y$3)*$K2526*$L2526*$M2526</f>
        <v/>
      </c>
      <c r="AC2526" s="13">
        <f>SUMPRODUCT(N2526:Y2526,$N$4:$Y$4)*$K2526*$L2526*$M2526</f>
        <v/>
      </c>
      <c r="AD2526" s="15" t="n">
        <v>23.96666666666667</v>
      </c>
      <c r="AE2526" s="11" t="n">
        <v>1.276309806364451</v>
      </c>
      <c r="AF2526" s="16">
        <f>SUMPRODUCT(N2526:Y2526,$N$5:$Y$5)*$K2526*$L2526*$M2526</f>
        <v/>
      </c>
      <c r="AG2526" s="16">
        <f>SUMPRODUCT(N2526:Y2526,$N$6:$Y$6)*$K2526*$L2526*$M2526</f>
        <v/>
      </c>
      <c r="AH2526" s="20" t="n"/>
    </row>
    <row r="2527">
      <c r="A2527" s="9" t="n">
        <v>700354</v>
      </c>
      <c r="B2527" s="9" t="inlineStr">
        <is>
          <t>Carlos Marcano</t>
        </is>
      </c>
      <c r="C2527" s="9" t="inlineStr">
        <is>
          <t>DET</t>
        </is>
      </c>
      <c r="D2527" s="9" t="n">
        <v>25</v>
      </c>
      <c r="E2527" s="18" t="inlineStr">
        <is>
          <t>R</t>
        </is>
      </c>
      <c r="F2527" s="18" t="n"/>
      <c r="G2527" s="9" t="n">
        <v>43.57333333333333</v>
      </c>
      <c r="H2527" s="9" t="n">
        <v>43.57333333333333</v>
      </c>
      <c r="I2527" s="9" t="inlineStr">
        <is>
          <t>Depth (no MLB IP)</t>
        </is>
      </c>
      <c r="J2527" s="18" t="inlineStr">
        <is>
          <t>Opening Day</t>
        </is>
      </c>
      <c r="K2527" s="11">
        <f>IFERROR(INDEX(Roles!$B$17:$B$20,MATCH(J2527,Roles!$A$17:$A$20,0)),1)</f>
        <v/>
      </c>
      <c r="L2527" s="19" t="n">
        <v>1</v>
      </c>
      <c r="M2527" s="11" t="n">
        <v>1</v>
      </c>
      <c r="N2527" s="19" t="n"/>
      <c r="O2527" s="19" t="n"/>
      <c r="P2527" s="19" t="n"/>
      <c r="Q2527" s="19" t="n"/>
      <c r="R2527" s="19" t="n"/>
      <c r="S2527" s="19" t="n"/>
      <c r="T2527" s="19" t="n"/>
      <c r="U2527" s="19" t="n"/>
      <c r="V2527" s="19" t="n"/>
      <c r="W2527" s="19" t="n"/>
      <c r="X2527" s="19" t="n"/>
      <c r="Y2527" s="19" t="n">
        <v>1</v>
      </c>
      <c r="Z2527" s="13">
        <f>SUMPRODUCT(N2527:Y2527,$N$2:$Y$2)*$K2527*$L2527*$M2527</f>
        <v/>
      </c>
      <c r="AA2527" s="14">
        <f>SUM(N2527:Y2527)</f>
        <v/>
      </c>
      <c r="AB2527" s="13">
        <f>SUMPRODUCT(N2527:Y2527,$N$3:$Y$3)*$K2527*$L2527*$M2527</f>
        <v/>
      </c>
      <c r="AC2527" s="13">
        <f>SUMPRODUCT(N2527:Y2527,$N$4:$Y$4)*$K2527*$L2527*$M2527</f>
        <v/>
      </c>
      <c r="AD2527" s="15" t="n">
        <v>3</v>
      </c>
      <c r="AE2527" s="11" t="n">
        <v>1.011296296296296</v>
      </c>
      <c r="AF2527" s="16">
        <f>SUMPRODUCT(N2527:Y2527,$N$5:$Y$5)*$K2527*$L2527*$M2527</f>
        <v/>
      </c>
      <c r="AG2527" s="16">
        <f>SUMPRODUCT(N2527:Y2527,$N$6:$Y$6)*$K2527*$L2527*$M2527</f>
        <v/>
      </c>
      <c r="AH2527" s="20" t="n"/>
    </row>
    <row r="2528">
      <c r="A2528" s="9" t="n">
        <v>679752</v>
      </c>
      <c r="B2528" s="9" t="inlineStr">
        <is>
          <t>Angel Obando</t>
        </is>
      </c>
      <c r="C2528" s="9" t="inlineStr">
        <is>
          <t>TOR</t>
        </is>
      </c>
      <c r="D2528" s="9" t="n">
        <v>25</v>
      </c>
      <c r="E2528" s="18" t="inlineStr">
        <is>
          <t>R</t>
        </is>
      </c>
      <c r="F2528" s="18" t="n"/>
      <c r="G2528" s="9" t="n">
        <v>43.645</v>
      </c>
      <c r="H2528" s="9" t="n">
        <v>43.645</v>
      </c>
      <c r="I2528" s="9" t="inlineStr">
        <is>
          <t>Depth (no MLB IP)</t>
        </is>
      </c>
      <c r="J2528" s="18" t="inlineStr">
        <is>
          <t>Opening Day</t>
        </is>
      </c>
      <c r="K2528" s="11">
        <f>IFERROR(INDEX(Roles!$B$17:$B$20,MATCH(J2528,Roles!$A$17:$A$20,0)),1)</f>
        <v/>
      </c>
      <c r="L2528" s="19" t="n">
        <v>1</v>
      </c>
      <c r="M2528" s="11" t="n">
        <v>1</v>
      </c>
      <c r="N2528" s="19" t="n"/>
      <c r="O2528" s="19" t="n"/>
      <c r="P2528" s="19" t="n"/>
      <c r="Q2528" s="19" t="n"/>
      <c r="R2528" s="19" t="n"/>
      <c r="S2528" s="19" t="n"/>
      <c r="T2528" s="19" t="n"/>
      <c r="U2528" s="19" t="n"/>
      <c r="V2528" s="19" t="n"/>
      <c r="W2528" s="19" t="n"/>
      <c r="X2528" s="19" t="n"/>
      <c r="Y2528" s="19" t="n">
        <v>1</v>
      </c>
      <c r="Z2528" s="13">
        <f>SUMPRODUCT(N2528:Y2528,$N$2:$Y$2)*$K2528*$L2528*$M2528</f>
        <v/>
      </c>
      <c r="AA2528" s="14">
        <f>SUM(N2528:Y2528)</f>
        <v/>
      </c>
      <c r="AB2528" s="13">
        <f>SUMPRODUCT(N2528:Y2528,$N$3:$Y$3)*$K2528*$L2528*$M2528</f>
        <v/>
      </c>
      <c r="AC2528" s="13">
        <f>SUMPRODUCT(N2528:Y2528,$N$4:$Y$4)*$K2528*$L2528*$M2528</f>
        <v/>
      </c>
      <c r="AD2528" s="15" t="n">
        <v>3</v>
      </c>
      <c r="AE2528" s="11" t="n">
        <v>1.011296296296296</v>
      </c>
      <c r="AF2528" s="16">
        <f>SUMPRODUCT(N2528:Y2528,$N$5:$Y$5)*$K2528*$L2528*$M2528</f>
        <v/>
      </c>
      <c r="AG2528" s="16">
        <f>SUMPRODUCT(N2528:Y2528,$N$6:$Y$6)*$K2528*$L2528*$M2528</f>
        <v/>
      </c>
      <c r="AH2528" s="20" t="n"/>
    </row>
    <row r="2529">
      <c r="A2529" s="9" t="n">
        <v>696040</v>
      </c>
      <c r="B2529" s="9" t="inlineStr">
        <is>
          <t>Po-Yu Chen</t>
        </is>
      </c>
      <c r="C2529" s="9" t="inlineStr">
        <is>
          <t>PIT</t>
        </is>
      </c>
      <c r="D2529" s="9" t="n">
        <v>25</v>
      </c>
      <c r="E2529" s="18" t="inlineStr">
        <is>
          <t>R</t>
        </is>
      </c>
      <c r="F2529" s="18" t="n"/>
      <c r="G2529" s="9" t="n">
        <v>43.645</v>
      </c>
      <c r="H2529" s="9" t="n">
        <v>43.645</v>
      </c>
      <c r="I2529" s="9" t="inlineStr">
        <is>
          <t>Depth (no MLB IP)</t>
        </is>
      </c>
      <c r="J2529" s="18" t="inlineStr">
        <is>
          <t>Opening Day</t>
        </is>
      </c>
      <c r="K2529" s="11">
        <f>IFERROR(INDEX(Roles!$B$17:$B$20,MATCH(J2529,Roles!$A$17:$A$20,0)),1)</f>
        <v/>
      </c>
      <c r="L2529" s="19" t="n">
        <v>1</v>
      </c>
      <c r="M2529" s="11" t="n">
        <v>1</v>
      </c>
      <c r="N2529" s="19" t="n"/>
      <c r="O2529" s="19" t="n"/>
      <c r="P2529" s="19" t="n"/>
      <c r="Q2529" s="19" t="n"/>
      <c r="R2529" s="19" t="n"/>
      <c r="S2529" s="19" t="n"/>
      <c r="T2529" s="19" t="n"/>
      <c r="U2529" s="19" t="n"/>
      <c r="V2529" s="19" t="n"/>
      <c r="W2529" s="19" t="n"/>
      <c r="X2529" s="19" t="n"/>
      <c r="Y2529" s="19" t="n">
        <v>1</v>
      </c>
      <c r="Z2529" s="13">
        <f>SUMPRODUCT(N2529:Y2529,$N$2:$Y$2)*$K2529*$L2529*$M2529</f>
        <v/>
      </c>
      <c r="AA2529" s="14">
        <f>SUM(N2529:Y2529)</f>
        <v/>
      </c>
      <c r="AB2529" s="13">
        <f>SUMPRODUCT(N2529:Y2529,$N$3:$Y$3)*$K2529*$L2529*$M2529</f>
        <v/>
      </c>
      <c r="AC2529" s="13">
        <f>SUMPRODUCT(N2529:Y2529,$N$4:$Y$4)*$K2529*$L2529*$M2529</f>
        <v/>
      </c>
      <c r="AD2529" s="15" t="n">
        <v>3</v>
      </c>
      <c r="AE2529" s="11" t="n">
        <v>1.011296296296296</v>
      </c>
      <c r="AF2529" s="16">
        <f>SUMPRODUCT(N2529:Y2529,$N$5:$Y$5)*$K2529*$L2529*$M2529</f>
        <v/>
      </c>
      <c r="AG2529" s="16">
        <f>SUMPRODUCT(N2529:Y2529,$N$6:$Y$6)*$K2529*$L2529*$M2529</f>
        <v/>
      </c>
      <c r="AH2529" s="20" t="n"/>
    </row>
    <row r="2530">
      <c r="A2530" s="9" t="n">
        <v>669298</v>
      </c>
      <c r="B2530" s="9" t="inlineStr">
        <is>
          <t>TJ Shook</t>
        </is>
      </c>
      <c r="C2530" s="9" t="inlineStr">
        <is>
          <t>COL</t>
        </is>
      </c>
      <c r="D2530" s="9" t="n">
        <v>29</v>
      </c>
      <c r="E2530" s="18" t="inlineStr">
        <is>
          <t>R</t>
        </is>
      </c>
      <c r="F2530" s="18" t="n"/>
      <c r="G2530" s="9" t="n">
        <v>36</v>
      </c>
      <c r="H2530" s="9" t="n">
        <v>36</v>
      </c>
      <c r="I2530" s="9" t="inlineStr">
        <is>
          <t>Bullpen Depth Arm</t>
        </is>
      </c>
      <c r="J2530" s="18" t="inlineStr">
        <is>
          <t>Opening Day</t>
        </is>
      </c>
      <c r="K2530" s="11">
        <f>IFERROR(INDEX(Roles!$B$17:$B$20,MATCH(J2530,Roles!$A$17:$A$20,0)),1)</f>
        <v/>
      </c>
      <c r="L2530" s="19" t="n">
        <v>1</v>
      </c>
      <c r="M2530" s="11" t="n">
        <v>1</v>
      </c>
      <c r="N2530" s="19" t="n"/>
      <c r="O2530" s="19" t="n"/>
      <c r="P2530" s="19" t="n"/>
      <c r="Q2530" s="19" t="n"/>
      <c r="R2530" s="19" t="n"/>
      <c r="S2530" s="19" t="n"/>
      <c r="T2530" s="19" t="n"/>
      <c r="U2530" s="19" t="n"/>
      <c r="V2530" s="19" t="n"/>
      <c r="W2530" s="19" t="n">
        <v>1</v>
      </c>
      <c r="X2530" s="19" t="n"/>
      <c r="Y2530" s="19" t="n"/>
      <c r="Z2530" s="13">
        <f>SUMPRODUCT(N2530:Y2530,$N$2:$Y$2)*$K2530*$L2530*$M2530</f>
        <v/>
      </c>
      <c r="AA2530" s="14">
        <f>SUM(N2530:Y2530)</f>
        <v/>
      </c>
      <c r="AB2530" s="13">
        <f>SUMPRODUCT(N2530:Y2530,$N$3:$Y$3)*$K2530*$L2530*$M2530</f>
        <v/>
      </c>
      <c r="AC2530" s="13">
        <f>SUMPRODUCT(N2530:Y2530,$N$4:$Y$4)*$K2530*$L2530*$M2530</f>
        <v/>
      </c>
      <c r="AD2530" s="15" t="n">
        <v>8.666666666666666</v>
      </c>
      <c r="AE2530" s="11" t="n">
        <v>1.312618245951579</v>
      </c>
      <c r="AF2530" s="16">
        <f>SUMPRODUCT(N2530:Y2530,$N$5:$Y$5)*$K2530*$L2530*$M2530</f>
        <v/>
      </c>
      <c r="AG2530" s="16">
        <f>SUMPRODUCT(N2530:Y2530,$N$6:$Y$6)*$K2530*$L2530*$M2530</f>
        <v/>
      </c>
      <c r="AH2530" s="20" t="n"/>
    </row>
    <row r="2531">
      <c r="A2531" s="9" t="n">
        <v>669193</v>
      </c>
      <c r="B2531" s="9" t="inlineStr">
        <is>
          <t>Jack Little</t>
        </is>
      </c>
      <c r="C2531" s="9" t="inlineStr">
        <is>
          <t>LAD</t>
        </is>
      </c>
      <c r="D2531" s="9" t="n">
        <v>29</v>
      </c>
      <c r="E2531" s="18" t="inlineStr">
        <is>
          <t>R</t>
        </is>
      </c>
      <c r="F2531" s="18" t="n"/>
      <c r="G2531" s="9" t="n">
        <v>14</v>
      </c>
      <c r="H2531" s="9" t="n">
        <v>14</v>
      </c>
      <c r="I2531" s="9" t="inlineStr">
        <is>
          <t>Depth (no MLB IP)</t>
        </is>
      </c>
      <c r="J2531" s="18" t="inlineStr">
        <is>
          <t>Opening Day</t>
        </is>
      </c>
      <c r="K2531" s="11">
        <f>IFERROR(INDEX(Roles!$B$17:$B$20,MATCH(J2531,Roles!$A$17:$A$20,0)),1)</f>
        <v/>
      </c>
      <c r="L2531" s="19" t="n">
        <v>1</v>
      </c>
      <c r="M2531" s="11" t="n">
        <v>1</v>
      </c>
      <c r="N2531" s="19" t="n"/>
      <c r="O2531" s="19" t="n"/>
      <c r="P2531" s="19" t="n"/>
      <c r="Q2531" s="19" t="n"/>
      <c r="R2531" s="19" t="n"/>
      <c r="S2531" s="19" t="n"/>
      <c r="T2531" s="19" t="n"/>
      <c r="U2531" s="19" t="n"/>
      <c r="V2531" s="19" t="n"/>
      <c r="W2531" s="19" t="n"/>
      <c r="X2531" s="19" t="n"/>
      <c r="Y2531" s="19" t="n">
        <v>1</v>
      </c>
      <c r="Z2531" s="13">
        <f>SUMPRODUCT(N2531:Y2531,$N$2:$Y$2)*$K2531*$L2531*$M2531</f>
        <v/>
      </c>
      <c r="AA2531" s="14">
        <f>SUM(N2531:Y2531)</f>
        <v/>
      </c>
      <c r="AB2531" s="13">
        <f>SUMPRODUCT(N2531:Y2531,$N$3:$Y$3)*$K2531*$L2531*$M2531</f>
        <v/>
      </c>
      <c r="AC2531" s="13">
        <f>SUMPRODUCT(N2531:Y2531,$N$4:$Y$4)*$K2531*$L2531*$M2531</f>
        <v/>
      </c>
      <c r="AD2531" s="15" t="n">
        <v>2.4</v>
      </c>
      <c r="AE2531" s="11" t="n">
        <v>1.174197530864197</v>
      </c>
      <c r="AF2531" s="16">
        <f>SUMPRODUCT(N2531:Y2531,$N$5:$Y$5)*$K2531*$L2531*$M2531</f>
        <v/>
      </c>
      <c r="AG2531" s="16">
        <f>SUMPRODUCT(N2531:Y2531,$N$6:$Y$6)*$K2531*$L2531*$M2531</f>
        <v/>
      </c>
      <c r="AH2531" s="20" t="n"/>
    </row>
    <row r="2532">
      <c r="A2532" s="9" t="n">
        <v>807724</v>
      </c>
      <c r="B2532" s="9" t="inlineStr">
        <is>
          <t>Justin Chambers</t>
        </is>
      </c>
      <c r="C2532" s="9" t="inlineStr">
        <is>
          <t>LAD</t>
        </is>
      </c>
      <c r="D2532" s="9" t="n">
        <v>25</v>
      </c>
      <c r="E2532" s="18" t="inlineStr">
        <is>
          <t>L</t>
        </is>
      </c>
      <c r="F2532" s="18" t="n"/>
      <c r="G2532" s="9" t="n">
        <v>43.86</v>
      </c>
      <c r="H2532" s="9" t="n">
        <v>43.86</v>
      </c>
      <c r="I2532" s="9" t="inlineStr">
        <is>
          <t>Depth (no MLB IP)</t>
        </is>
      </c>
      <c r="J2532" s="18" t="inlineStr">
        <is>
          <t>Opening Day</t>
        </is>
      </c>
      <c r="K2532" s="11">
        <f>IFERROR(INDEX(Roles!$B$17:$B$20,MATCH(J2532,Roles!$A$17:$A$20,0)),1)</f>
        <v/>
      </c>
      <c r="L2532" s="19" t="n">
        <v>1</v>
      </c>
      <c r="M2532" s="11" t="n">
        <v>1</v>
      </c>
      <c r="N2532" s="19" t="n"/>
      <c r="O2532" s="19" t="n"/>
      <c r="P2532" s="19" t="n"/>
      <c r="Q2532" s="19" t="n"/>
      <c r="R2532" s="19" t="n"/>
      <c r="S2532" s="19" t="n"/>
      <c r="T2532" s="19" t="n"/>
      <c r="U2532" s="19" t="n"/>
      <c r="V2532" s="19" t="n"/>
      <c r="W2532" s="19" t="n"/>
      <c r="X2532" s="19" t="n"/>
      <c r="Y2532" s="19" t="n">
        <v>1</v>
      </c>
      <c r="Z2532" s="13">
        <f>SUMPRODUCT(N2532:Y2532,$N$2:$Y$2)*$K2532*$L2532*$M2532</f>
        <v/>
      </c>
      <c r="AA2532" s="14">
        <f>SUM(N2532:Y2532)</f>
        <v/>
      </c>
      <c r="AB2532" s="13">
        <f>SUMPRODUCT(N2532:Y2532,$N$3:$Y$3)*$K2532*$L2532*$M2532</f>
        <v/>
      </c>
      <c r="AC2532" s="13">
        <f>SUMPRODUCT(N2532:Y2532,$N$4:$Y$4)*$K2532*$L2532*$M2532</f>
        <v/>
      </c>
      <c r="AD2532" s="15" t="n">
        <v>3</v>
      </c>
      <c r="AE2532" s="11" t="n">
        <v>1.011296296296296</v>
      </c>
      <c r="AF2532" s="16">
        <f>SUMPRODUCT(N2532:Y2532,$N$5:$Y$5)*$K2532*$L2532*$M2532</f>
        <v/>
      </c>
      <c r="AG2532" s="16">
        <f>SUMPRODUCT(N2532:Y2532,$N$6:$Y$6)*$K2532*$L2532*$M2532</f>
        <v/>
      </c>
      <c r="AH2532" s="20" t="n"/>
    </row>
    <row r="2533">
      <c r="A2533" s="9" t="n">
        <v>808218</v>
      </c>
      <c r="B2533" s="9" t="inlineStr">
        <is>
          <t>Luis Carias</t>
        </is>
      </c>
      <c r="C2533" s="9" t="inlineStr">
        <is>
          <t>LAD</t>
        </is>
      </c>
      <c r="D2533" s="9" t="n">
        <v>25</v>
      </c>
      <c r="E2533" s="18" t="inlineStr">
        <is>
          <t>R</t>
        </is>
      </c>
      <c r="F2533" s="18" t="n"/>
      <c r="G2533" s="9" t="n">
        <v>43.86</v>
      </c>
      <c r="H2533" s="9" t="n">
        <v>43.86</v>
      </c>
      <c r="I2533" s="9" t="inlineStr">
        <is>
          <t>Depth (no MLB IP)</t>
        </is>
      </c>
      <c r="J2533" s="18" t="inlineStr">
        <is>
          <t>Opening Day</t>
        </is>
      </c>
      <c r="K2533" s="11">
        <f>IFERROR(INDEX(Roles!$B$17:$B$20,MATCH(J2533,Roles!$A$17:$A$20,0)),1)</f>
        <v/>
      </c>
      <c r="L2533" s="19" t="n">
        <v>1</v>
      </c>
      <c r="M2533" s="11" t="n">
        <v>1</v>
      </c>
      <c r="N2533" s="19" t="n"/>
      <c r="O2533" s="19" t="n"/>
      <c r="P2533" s="19" t="n"/>
      <c r="Q2533" s="19" t="n"/>
      <c r="R2533" s="19" t="n"/>
      <c r="S2533" s="19" t="n"/>
      <c r="T2533" s="19" t="n"/>
      <c r="U2533" s="19" t="n"/>
      <c r="V2533" s="19" t="n"/>
      <c r="W2533" s="19" t="n"/>
      <c r="X2533" s="19" t="n"/>
      <c r="Y2533" s="19" t="n">
        <v>1</v>
      </c>
      <c r="Z2533" s="13">
        <f>SUMPRODUCT(N2533:Y2533,$N$2:$Y$2)*$K2533*$L2533*$M2533</f>
        <v/>
      </c>
      <c r="AA2533" s="14">
        <f>SUM(N2533:Y2533)</f>
        <v/>
      </c>
      <c r="AB2533" s="13">
        <f>SUMPRODUCT(N2533:Y2533,$N$3:$Y$3)*$K2533*$L2533*$M2533</f>
        <v/>
      </c>
      <c r="AC2533" s="13">
        <f>SUMPRODUCT(N2533:Y2533,$N$4:$Y$4)*$K2533*$L2533*$M2533</f>
        <v/>
      </c>
      <c r="AD2533" s="15" t="n">
        <v>3</v>
      </c>
      <c r="AE2533" s="11" t="n">
        <v>1.011296296296296</v>
      </c>
      <c r="AF2533" s="16">
        <f>SUMPRODUCT(N2533:Y2533,$N$5:$Y$5)*$K2533*$L2533*$M2533</f>
        <v/>
      </c>
      <c r="AG2533" s="16">
        <f>SUMPRODUCT(N2533:Y2533,$N$6:$Y$6)*$K2533*$L2533*$M2533</f>
        <v/>
      </c>
      <c r="AH2533" s="20" t="n"/>
    </row>
    <row r="2534">
      <c r="A2534" s="9" t="n">
        <v>804698</v>
      </c>
      <c r="B2534" s="9" t="inlineStr">
        <is>
          <t>Brandon Decker</t>
        </is>
      </c>
      <c r="C2534" s="9" t="inlineStr">
        <is>
          <t>NYY</t>
        </is>
      </c>
      <c r="D2534" s="9" t="n">
        <v>25</v>
      </c>
      <c r="E2534" s="18" t="inlineStr">
        <is>
          <t>R</t>
        </is>
      </c>
      <c r="F2534" s="18" t="n"/>
      <c r="G2534" s="9" t="n">
        <v>43.86</v>
      </c>
      <c r="H2534" s="9" t="n">
        <v>43.86</v>
      </c>
      <c r="I2534" s="9" t="inlineStr">
        <is>
          <t>Depth (no MLB IP)</t>
        </is>
      </c>
      <c r="J2534" s="18" t="inlineStr">
        <is>
          <t>Opening Day</t>
        </is>
      </c>
      <c r="K2534" s="11">
        <f>IFERROR(INDEX(Roles!$B$17:$B$20,MATCH(J2534,Roles!$A$17:$A$20,0)),1)</f>
        <v/>
      </c>
      <c r="L2534" s="19" t="n">
        <v>1</v>
      </c>
      <c r="M2534" s="11" t="n">
        <v>1</v>
      </c>
      <c r="N2534" s="19" t="n"/>
      <c r="O2534" s="19" t="n"/>
      <c r="P2534" s="19" t="n"/>
      <c r="Q2534" s="19" t="n"/>
      <c r="R2534" s="19" t="n"/>
      <c r="S2534" s="19" t="n"/>
      <c r="T2534" s="19" t="n"/>
      <c r="U2534" s="19" t="n"/>
      <c r="V2534" s="19" t="n"/>
      <c r="W2534" s="19" t="n"/>
      <c r="X2534" s="19" t="n"/>
      <c r="Y2534" s="19" t="n">
        <v>1</v>
      </c>
      <c r="Z2534" s="13">
        <f>SUMPRODUCT(N2534:Y2534,$N$2:$Y$2)*$K2534*$L2534*$M2534</f>
        <v/>
      </c>
      <c r="AA2534" s="14">
        <f>SUM(N2534:Y2534)</f>
        <v/>
      </c>
      <c r="AB2534" s="13">
        <f>SUMPRODUCT(N2534:Y2534,$N$3:$Y$3)*$K2534*$L2534*$M2534</f>
        <v/>
      </c>
      <c r="AC2534" s="13">
        <f>SUMPRODUCT(N2534:Y2534,$N$4:$Y$4)*$K2534*$L2534*$M2534</f>
        <v/>
      </c>
      <c r="AD2534" s="15" t="n">
        <v>3</v>
      </c>
      <c r="AE2534" s="11" t="n">
        <v>1.011296296296296</v>
      </c>
      <c r="AF2534" s="16">
        <f>SUMPRODUCT(N2534:Y2534,$N$5:$Y$5)*$K2534*$L2534*$M2534</f>
        <v/>
      </c>
      <c r="AG2534" s="16">
        <f>SUMPRODUCT(N2534:Y2534,$N$6:$Y$6)*$K2534*$L2534*$M2534</f>
        <v/>
      </c>
      <c r="AH2534" s="20" t="n"/>
    </row>
    <row r="2535">
      <c r="A2535" s="9" t="n">
        <v>434378</v>
      </c>
      <c r="B2535" s="9" t="inlineStr">
        <is>
          <t>Justin Verlander</t>
        </is>
      </c>
      <c r="C2535" s="9" t="inlineStr">
        <is>
          <t>DET</t>
        </is>
      </c>
      <c r="D2535" s="9" t="n">
        <v>44</v>
      </c>
      <c r="E2535" s="18" t="inlineStr">
        <is>
          <t>R</t>
        </is>
      </c>
      <c r="F2535" s="18" t="n"/>
      <c r="G2535" s="9" t="n">
        <v>39</v>
      </c>
      <c r="H2535" s="9" t="n">
        <v>2432</v>
      </c>
      <c r="I2535" s="9" t="inlineStr">
        <is>
          <t>Bullpen Depth Arm</t>
        </is>
      </c>
      <c r="J2535" s="18" t="inlineStr">
        <is>
          <t>Opening Day</t>
        </is>
      </c>
      <c r="K2535" s="11">
        <f>IFERROR(INDEX(Roles!$B$17:$B$20,MATCH(J2535,Roles!$A$17:$A$20,0)),1)</f>
        <v/>
      </c>
      <c r="L2535" s="19" t="n">
        <v>1</v>
      </c>
      <c r="M2535" s="11" t="n">
        <v>1</v>
      </c>
      <c r="N2535" s="19" t="n"/>
      <c r="O2535" s="19" t="n"/>
      <c r="P2535" s="19" t="n"/>
      <c r="Q2535" s="19" t="n"/>
      <c r="R2535" s="19" t="n"/>
      <c r="S2535" s="19" t="n"/>
      <c r="T2535" s="19" t="n"/>
      <c r="U2535" s="19" t="n"/>
      <c r="V2535" s="19" t="n"/>
      <c r="W2535" s="19" t="n">
        <v>1</v>
      </c>
      <c r="X2535" s="19" t="n"/>
      <c r="Y2535" s="19" t="n"/>
      <c r="Z2535" s="13">
        <f>SUMPRODUCT(N2535:Y2535,$N$2:$Y$2)*$K2535*$L2535*$M2535</f>
        <v/>
      </c>
      <c r="AA2535" s="14">
        <f>SUM(N2535:Y2535)</f>
        <v/>
      </c>
      <c r="AB2535" s="13">
        <f>SUMPRODUCT(N2535:Y2535,$N$3:$Y$3)*$K2535*$L2535*$M2535</f>
        <v/>
      </c>
      <c r="AC2535" s="13">
        <f>SUMPRODUCT(N2535:Y2535,$N$4:$Y$4)*$K2535*$L2535*$M2535</f>
        <v/>
      </c>
      <c r="AD2535" s="15" t="n">
        <v>13.76666666666667</v>
      </c>
      <c r="AE2535" s="11" t="n">
        <v>2.535389165018794</v>
      </c>
      <c r="AF2535" s="16">
        <f>SUMPRODUCT(N2535:Y2535,$N$5:$Y$5)*$K2535*$L2535*$M2535</f>
        <v/>
      </c>
      <c r="AG2535" s="16">
        <f>SUMPRODUCT(N2535:Y2535,$N$6:$Y$6)*$K2535*$L2535*$M2535</f>
        <v/>
      </c>
      <c r="AH2535" s="20" t="n"/>
    </row>
    <row r="2536">
      <c r="A2536" s="9" t="n">
        <v>834985</v>
      </c>
      <c r="B2536" s="9" t="inlineStr">
        <is>
          <t>Dalton Neuschwander</t>
        </is>
      </c>
      <c r="C2536" s="9" t="inlineStr">
        <is>
          <t>BAL</t>
        </is>
      </c>
      <c r="D2536" s="9" t="n">
        <v>25</v>
      </c>
      <c r="E2536" s="18" t="inlineStr">
        <is>
          <t>R</t>
        </is>
      </c>
      <c r="F2536" s="18" t="n"/>
      <c r="G2536" s="9" t="n">
        <v>43.86</v>
      </c>
      <c r="H2536" s="9" t="n">
        <v>43.86</v>
      </c>
      <c r="I2536" s="9" t="inlineStr">
        <is>
          <t>Depth (no MLB IP)</t>
        </is>
      </c>
      <c r="J2536" s="18" t="inlineStr">
        <is>
          <t>Opening Day</t>
        </is>
      </c>
      <c r="K2536" s="11">
        <f>IFERROR(INDEX(Roles!$B$17:$B$20,MATCH(J2536,Roles!$A$17:$A$20,0)),1)</f>
        <v/>
      </c>
      <c r="L2536" s="19" t="n">
        <v>1</v>
      </c>
      <c r="M2536" s="11" t="n">
        <v>1</v>
      </c>
      <c r="N2536" s="19" t="n"/>
      <c r="O2536" s="19" t="n"/>
      <c r="P2536" s="19" t="n"/>
      <c r="Q2536" s="19" t="n"/>
      <c r="R2536" s="19" t="n"/>
      <c r="S2536" s="19" t="n"/>
      <c r="T2536" s="19" t="n"/>
      <c r="U2536" s="19" t="n"/>
      <c r="V2536" s="19" t="n"/>
      <c r="W2536" s="19" t="n"/>
      <c r="X2536" s="19" t="n"/>
      <c r="Y2536" s="19" t="n">
        <v>1</v>
      </c>
      <c r="Z2536" s="13">
        <f>SUMPRODUCT(N2536:Y2536,$N$2:$Y$2)*$K2536*$L2536*$M2536</f>
        <v/>
      </c>
      <c r="AA2536" s="14">
        <f>SUM(N2536:Y2536)</f>
        <v/>
      </c>
      <c r="AB2536" s="13">
        <f>SUMPRODUCT(N2536:Y2536,$N$3:$Y$3)*$K2536*$L2536*$M2536</f>
        <v/>
      </c>
      <c r="AC2536" s="13">
        <f>SUMPRODUCT(N2536:Y2536,$N$4:$Y$4)*$K2536*$L2536*$M2536</f>
        <v/>
      </c>
      <c r="AD2536" s="15" t="n">
        <v>3</v>
      </c>
      <c r="AE2536" s="11" t="n">
        <v>1.011296296296296</v>
      </c>
      <c r="AF2536" s="16">
        <f>SUMPRODUCT(N2536:Y2536,$N$5:$Y$5)*$K2536*$L2536*$M2536</f>
        <v/>
      </c>
      <c r="AG2536" s="16">
        <f>SUMPRODUCT(N2536:Y2536,$N$6:$Y$6)*$K2536*$L2536*$M2536</f>
        <v/>
      </c>
      <c r="AH2536" s="20" t="n"/>
    </row>
    <row r="2537">
      <c r="A2537" s="9" t="n">
        <v>836074</v>
      </c>
      <c r="B2537" s="9" t="inlineStr">
        <is>
          <t>Riely Hunsaker</t>
        </is>
      </c>
      <c r="C2537" s="9" t="inlineStr">
        <is>
          <t>CHC</t>
        </is>
      </c>
      <c r="D2537" s="9" t="n">
        <v>25</v>
      </c>
      <c r="E2537" s="18" t="inlineStr">
        <is>
          <t>R</t>
        </is>
      </c>
      <c r="F2537" s="18" t="n"/>
      <c r="G2537" s="9" t="n">
        <v>43.86</v>
      </c>
      <c r="H2537" s="9" t="n">
        <v>43.86</v>
      </c>
      <c r="I2537" s="9" t="inlineStr">
        <is>
          <t>Depth (no MLB IP)</t>
        </is>
      </c>
      <c r="J2537" s="18" t="inlineStr">
        <is>
          <t>Opening Day</t>
        </is>
      </c>
      <c r="K2537" s="11">
        <f>IFERROR(INDEX(Roles!$B$17:$B$20,MATCH(J2537,Roles!$A$17:$A$20,0)),1)</f>
        <v/>
      </c>
      <c r="L2537" s="19" t="n">
        <v>1</v>
      </c>
      <c r="M2537" s="11" t="n">
        <v>1</v>
      </c>
      <c r="N2537" s="19" t="n"/>
      <c r="O2537" s="19" t="n"/>
      <c r="P2537" s="19" t="n"/>
      <c r="Q2537" s="19" t="n"/>
      <c r="R2537" s="19" t="n"/>
      <c r="S2537" s="19" t="n"/>
      <c r="T2537" s="19" t="n"/>
      <c r="U2537" s="19" t="n"/>
      <c r="V2537" s="19" t="n"/>
      <c r="W2537" s="19" t="n"/>
      <c r="X2537" s="19" t="n"/>
      <c r="Y2537" s="19" t="n">
        <v>1</v>
      </c>
      <c r="Z2537" s="13">
        <f>SUMPRODUCT(N2537:Y2537,$N$2:$Y$2)*$K2537*$L2537*$M2537</f>
        <v/>
      </c>
      <c r="AA2537" s="14">
        <f>SUM(N2537:Y2537)</f>
        <v/>
      </c>
      <c r="AB2537" s="13">
        <f>SUMPRODUCT(N2537:Y2537,$N$3:$Y$3)*$K2537*$L2537*$M2537</f>
        <v/>
      </c>
      <c r="AC2537" s="13">
        <f>SUMPRODUCT(N2537:Y2537,$N$4:$Y$4)*$K2537*$L2537*$M2537</f>
        <v/>
      </c>
      <c r="AD2537" s="15" t="n">
        <v>3</v>
      </c>
      <c r="AE2537" s="11" t="n">
        <v>1.011296296296296</v>
      </c>
      <c r="AF2537" s="16">
        <f>SUMPRODUCT(N2537:Y2537,$N$5:$Y$5)*$K2537*$L2537*$M2537</f>
        <v/>
      </c>
      <c r="AG2537" s="16">
        <f>SUMPRODUCT(N2537:Y2537,$N$6:$Y$6)*$K2537*$L2537*$M2537</f>
        <v/>
      </c>
      <c r="AH2537" s="20" t="n"/>
    </row>
    <row r="2538">
      <c r="A2538" s="9" t="n">
        <v>816362</v>
      </c>
      <c r="B2538" s="9" t="inlineStr">
        <is>
          <t>Carson Myers</t>
        </is>
      </c>
      <c r="C2538" s="9" t="inlineStr">
        <is>
          <t>TOR</t>
        </is>
      </c>
      <c r="D2538" s="9" t="n">
        <v>25</v>
      </c>
      <c r="E2538" s="18" t="inlineStr">
        <is>
          <t>L</t>
        </is>
      </c>
      <c r="F2538" s="18" t="n"/>
      <c r="G2538" s="9" t="n">
        <v>43.86</v>
      </c>
      <c r="H2538" s="9" t="n">
        <v>43.86</v>
      </c>
      <c r="I2538" s="9" t="inlineStr">
        <is>
          <t>Depth (no MLB IP)</t>
        </is>
      </c>
      <c r="J2538" s="18" t="inlineStr">
        <is>
          <t>Opening Day</t>
        </is>
      </c>
      <c r="K2538" s="11">
        <f>IFERROR(INDEX(Roles!$B$17:$B$20,MATCH(J2538,Roles!$A$17:$A$20,0)),1)</f>
        <v/>
      </c>
      <c r="L2538" s="19" t="n">
        <v>1</v>
      </c>
      <c r="M2538" s="11" t="n">
        <v>1</v>
      </c>
      <c r="N2538" s="19" t="n"/>
      <c r="O2538" s="19" t="n"/>
      <c r="P2538" s="19" t="n"/>
      <c r="Q2538" s="19" t="n"/>
      <c r="R2538" s="19" t="n"/>
      <c r="S2538" s="19" t="n"/>
      <c r="T2538" s="19" t="n"/>
      <c r="U2538" s="19" t="n"/>
      <c r="V2538" s="19" t="n"/>
      <c r="W2538" s="19" t="n"/>
      <c r="X2538" s="19" t="n"/>
      <c r="Y2538" s="19" t="n">
        <v>1</v>
      </c>
      <c r="Z2538" s="13">
        <f>SUMPRODUCT(N2538:Y2538,$N$2:$Y$2)*$K2538*$L2538*$M2538</f>
        <v/>
      </c>
      <c r="AA2538" s="14">
        <f>SUM(N2538:Y2538)</f>
        <v/>
      </c>
      <c r="AB2538" s="13">
        <f>SUMPRODUCT(N2538:Y2538,$N$3:$Y$3)*$K2538*$L2538*$M2538</f>
        <v/>
      </c>
      <c r="AC2538" s="13">
        <f>SUMPRODUCT(N2538:Y2538,$N$4:$Y$4)*$K2538*$L2538*$M2538</f>
        <v/>
      </c>
      <c r="AD2538" s="15" t="n">
        <v>3</v>
      </c>
      <c r="AE2538" s="11" t="n">
        <v>1.011296296296296</v>
      </c>
      <c r="AF2538" s="16">
        <f>SUMPRODUCT(N2538:Y2538,$N$5:$Y$5)*$K2538*$L2538*$M2538</f>
        <v/>
      </c>
      <c r="AG2538" s="16">
        <f>SUMPRODUCT(N2538:Y2538,$N$6:$Y$6)*$K2538*$L2538*$M2538</f>
        <v/>
      </c>
      <c r="AH2538" s="20" t="n"/>
    </row>
    <row r="2539">
      <c r="A2539" s="9" t="n">
        <v>682515</v>
      </c>
      <c r="B2539" s="9" t="inlineStr">
        <is>
          <t>Logan Porter</t>
        </is>
      </c>
      <c r="C2539" s="9" t="inlineStr">
        <is>
          <t>SF</t>
        </is>
      </c>
      <c r="D2539" s="9" t="n">
        <v>31</v>
      </c>
      <c r="E2539" s="18" t="inlineStr">
        <is>
          <t>R</t>
        </is>
      </c>
      <c r="F2539" s="18" t="n"/>
      <c r="G2539" s="9" t="n">
        <v>5</v>
      </c>
      <c r="H2539" s="9" t="n">
        <v>5</v>
      </c>
      <c r="I2539" s="9" t="inlineStr">
        <is>
          <t>Depth (no MLB IP)</t>
        </is>
      </c>
      <c r="J2539" s="18" t="inlineStr">
        <is>
          <t>Opening Day</t>
        </is>
      </c>
      <c r="K2539" s="11">
        <f>IFERROR(INDEX(Roles!$B$17:$B$20,MATCH(J2539,Roles!$A$17:$A$20,0)),1)</f>
        <v/>
      </c>
      <c r="L2539" s="19" t="n">
        <v>1</v>
      </c>
      <c r="M2539" s="11" t="n">
        <v>1</v>
      </c>
      <c r="N2539" s="19" t="n"/>
      <c r="O2539" s="19" t="n"/>
      <c r="P2539" s="19" t="n"/>
      <c r="Q2539" s="19" t="n"/>
      <c r="R2539" s="19" t="n"/>
      <c r="S2539" s="19" t="n"/>
      <c r="T2539" s="19" t="n"/>
      <c r="U2539" s="19" t="n"/>
      <c r="V2539" s="19" t="n"/>
      <c r="W2539" s="19" t="n"/>
      <c r="X2539" s="19" t="n"/>
      <c r="Y2539" s="19" t="n">
        <v>1</v>
      </c>
      <c r="Z2539" s="13">
        <f>SUMPRODUCT(N2539:Y2539,$N$2:$Y$2)*$K2539*$L2539*$M2539</f>
        <v/>
      </c>
      <c r="AA2539" s="14">
        <f>SUM(N2539:Y2539)</f>
        <v/>
      </c>
      <c r="AB2539" s="13">
        <f>SUMPRODUCT(N2539:Y2539,$N$3:$Y$3)*$K2539*$L2539*$M2539</f>
        <v/>
      </c>
      <c r="AC2539" s="13">
        <f>SUMPRODUCT(N2539:Y2539,$N$4:$Y$4)*$K2539*$L2539*$M2539</f>
        <v/>
      </c>
      <c r="AD2539" s="15" t="n">
        <v>1.8</v>
      </c>
      <c r="AE2539" s="11" t="n">
        <v>1.007530864197531</v>
      </c>
      <c r="AF2539" s="16">
        <f>SUMPRODUCT(N2539:Y2539,$N$5:$Y$5)*$K2539*$L2539*$M2539</f>
        <v/>
      </c>
      <c r="AG2539" s="16">
        <f>SUMPRODUCT(N2539:Y2539,$N$6:$Y$6)*$K2539*$L2539*$M2539</f>
        <v/>
      </c>
      <c r="AH2539" s="20" t="n"/>
    </row>
    <row r="2540">
      <c r="A2540" s="9" t="n">
        <v>811632</v>
      </c>
      <c r="B2540" s="9" t="inlineStr">
        <is>
          <t>Jesus Carrera</t>
        </is>
      </c>
      <c r="C2540" s="9" t="inlineStr">
        <is>
          <t>HOU</t>
        </is>
      </c>
      <c r="D2540" s="9" t="n">
        <v>25</v>
      </c>
      <c r="E2540" s="18" t="inlineStr">
        <is>
          <t>R</t>
        </is>
      </c>
      <c r="F2540" s="18" t="n"/>
      <c r="G2540" s="9" t="n">
        <v>44.03199999999999</v>
      </c>
      <c r="H2540" s="9" t="n">
        <v>44.03199999999999</v>
      </c>
      <c r="I2540" s="9" t="inlineStr">
        <is>
          <t>Depth (no MLB IP)</t>
        </is>
      </c>
      <c r="J2540" s="18" t="inlineStr">
        <is>
          <t>Opening Day</t>
        </is>
      </c>
      <c r="K2540" s="11">
        <f>IFERROR(INDEX(Roles!$B$17:$B$20,MATCH(J2540,Roles!$A$17:$A$20,0)),1)</f>
        <v/>
      </c>
      <c r="L2540" s="19" t="n">
        <v>1</v>
      </c>
      <c r="M2540" s="11" t="n">
        <v>1</v>
      </c>
      <c r="N2540" s="19" t="n"/>
      <c r="O2540" s="19" t="n"/>
      <c r="P2540" s="19" t="n"/>
      <c r="Q2540" s="19" t="n"/>
      <c r="R2540" s="19" t="n"/>
      <c r="S2540" s="19" t="n"/>
      <c r="T2540" s="19" t="n"/>
      <c r="U2540" s="19" t="n"/>
      <c r="V2540" s="19" t="n"/>
      <c r="W2540" s="19" t="n"/>
      <c r="X2540" s="19" t="n"/>
      <c r="Y2540" s="19" t="n">
        <v>1</v>
      </c>
      <c r="Z2540" s="13">
        <f>SUMPRODUCT(N2540:Y2540,$N$2:$Y$2)*$K2540*$L2540*$M2540</f>
        <v/>
      </c>
      <c r="AA2540" s="14">
        <f>SUM(N2540:Y2540)</f>
        <v/>
      </c>
      <c r="AB2540" s="13">
        <f>SUMPRODUCT(N2540:Y2540,$N$3:$Y$3)*$K2540*$L2540*$M2540</f>
        <v/>
      </c>
      <c r="AC2540" s="13">
        <f>SUMPRODUCT(N2540:Y2540,$N$4:$Y$4)*$K2540*$L2540*$M2540</f>
        <v/>
      </c>
      <c r="AD2540" s="15" t="n">
        <v>3</v>
      </c>
      <c r="AE2540" s="11" t="n">
        <v>1.011296296296296</v>
      </c>
      <c r="AF2540" s="16">
        <f>SUMPRODUCT(N2540:Y2540,$N$5:$Y$5)*$K2540*$L2540*$M2540</f>
        <v/>
      </c>
      <c r="AG2540" s="16">
        <f>SUMPRODUCT(N2540:Y2540,$N$6:$Y$6)*$K2540*$L2540*$M2540</f>
        <v/>
      </c>
      <c r="AH2540" s="20" t="n"/>
    </row>
    <row r="2541">
      <c r="A2541" s="9" t="n">
        <v>592351</v>
      </c>
      <c r="B2541" s="9" t="inlineStr">
        <is>
          <t>Jon Gray</t>
        </is>
      </c>
      <c r="C2541" s="9" t="inlineStr">
        <is>
          <t>TEX</t>
        </is>
      </c>
      <c r="D2541" s="9" t="n">
        <v>35</v>
      </c>
      <c r="E2541" s="18" t="inlineStr">
        <is>
          <t>R</t>
        </is>
      </c>
      <c r="F2541" s="18" t="n"/>
      <c r="G2541" s="9" t="n">
        <v>63</v>
      </c>
      <c r="H2541" s="9" t="n">
        <v>1679</v>
      </c>
      <c r="I2541" s="9" t="inlineStr">
        <is>
          <t>End-of-Rotation Starter (SP4-5)</t>
        </is>
      </c>
      <c r="J2541" s="18" t="inlineStr">
        <is>
          <t>Opening Day</t>
        </is>
      </c>
      <c r="K2541" s="11">
        <f>IFERROR(INDEX(Roles!$B$17:$B$20,MATCH(J2541,Roles!$A$17:$A$20,0)),1)</f>
        <v/>
      </c>
      <c r="L2541" s="19" t="n">
        <v>1</v>
      </c>
      <c r="M2541" s="11" t="n">
        <v>1</v>
      </c>
      <c r="N2541" s="19" t="n"/>
      <c r="O2541" s="19" t="n"/>
      <c r="P2541" s="19" t="n">
        <v>1</v>
      </c>
      <c r="Q2541" s="19" t="n"/>
      <c r="R2541" s="19" t="n"/>
      <c r="S2541" s="19" t="n"/>
      <c r="T2541" s="19" t="n"/>
      <c r="U2541" s="19" t="n"/>
      <c r="V2541" s="19" t="n"/>
      <c r="W2541" s="19" t="n"/>
      <c r="X2541" s="19" t="n"/>
      <c r="Y2541" s="19" t="n"/>
      <c r="Z2541" s="13">
        <f>SUMPRODUCT(N2541:Y2541,$N$2:$Y$2)*$K2541*$L2541*$M2541</f>
        <v/>
      </c>
      <c r="AA2541" s="14">
        <f>SUM(N2541:Y2541)</f>
        <v/>
      </c>
      <c r="AB2541" s="13">
        <f>SUMPRODUCT(N2541:Y2541,$N$3:$Y$3)*$K2541*$L2541*$M2541</f>
        <v/>
      </c>
      <c r="AC2541" s="13">
        <f>SUMPRODUCT(N2541:Y2541,$N$4:$Y$4)*$K2541*$L2541*$M2541</f>
        <v/>
      </c>
      <c r="AD2541" s="15" t="n">
        <v>13.4</v>
      </c>
      <c r="AE2541" s="11" t="n">
        <v>4.281481481481482</v>
      </c>
      <c r="AF2541" s="16">
        <f>SUMPRODUCT(N2541:Y2541,$N$5:$Y$5)*$K2541*$L2541*$M2541</f>
        <v/>
      </c>
      <c r="AG2541" s="16">
        <f>SUMPRODUCT(N2541:Y2541,$N$6:$Y$6)*$K2541*$L2541*$M2541</f>
        <v/>
      </c>
      <c r="AH2541" s="20" t="n"/>
    </row>
    <row r="2542">
      <c r="A2542" s="9" t="n">
        <v>804577</v>
      </c>
      <c r="B2542" s="9" t="inlineStr">
        <is>
          <t>Reid VanScoter</t>
        </is>
      </c>
      <c r="C2542" s="9" t="inlineStr">
        <is>
          <t>SEA</t>
        </is>
      </c>
      <c r="D2542" s="9" t="n">
        <v>25</v>
      </c>
      <c r="E2542" s="18" t="inlineStr">
        <is>
          <t>L</t>
        </is>
      </c>
      <c r="F2542" s="18" t="n"/>
      <c r="G2542" s="9" t="n">
        <v>44.14666666666667</v>
      </c>
      <c r="H2542" s="9" t="n">
        <v>44.14666666666667</v>
      </c>
      <c r="I2542" s="9" t="inlineStr">
        <is>
          <t>Depth (no MLB IP)</t>
        </is>
      </c>
      <c r="J2542" s="18" t="inlineStr">
        <is>
          <t>Opening Day</t>
        </is>
      </c>
      <c r="K2542" s="11">
        <f>IFERROR(INDEX(Roles!$B$17:$B$20,MATCH(J2542,Roles!$A$17:$A$20,0)),1)</f>
        <v/>
      </c>
      <c r="L2542" s="19" t="n">
        <v>1</v>
      </c>
      <c r="M2542" s="11" t="n">
        <v>1</v>
      </c>
      <c r="N2542" s="19" t="n"/>
      <c r="O2542" s="19" t="n"/>
      <c r="P2542" s="19" t="n"/>
      <c r="Q2542" s="19" t="n"/>
      <c r="R2542" s="19" t="n"/>
      <c r="S2542" s="19" t="n"/>
      <c r="T2542" s="19" t="n"/>
      <c r="U2542" s="19" t="n"/>
      <c r="V2542" s="19" t="n"/>
      <c r="W2542" s="19" t="n"/>
      <c r="X2542" s="19" t="n"/>
      <c r="Y2542" s="19" t="n">
        <v>1</v>
      </c>
      <c r="Z2542" s="13">
        <f>SUMPRODUCT(N2542:Y2542,$N$2:$Y$2)*$K2542*$L2542*$M2542</f>
        <v/>
      </c>
      <c r="AA2542" s="14">
        <f>SUM(N2542:Y2542)</f>
        <v/>
      </c>
      <c r="AB2542" s="13">
        <f>SUMPRODUCT(N2542:Y2542,$N$3:$Y$3)*$K2542*$L2542*$M2542</f>
        <v/>
      </c>
      <c r="AC2542" s="13">
        <f>SUMPRODUCT(N2542:Y2542,$N$4:$Y$4)*$K2542*$L2542*$M2542</f>
        <v/>
      </c>
      <c r="AD2542" s="15" t="n">
        <v>3</v>
      </c>
      <c r="AE2542" s="11" t="n">
        <v>1.011296296296296</v>
      </c>
      <c r="AF2542" s="16">
        <f>SUMPRODUCT(N2542:Y2542,$N$5:$Y$5)*$K2542*$L2542*$M2542</f>
        <v/>
      </c>
      <c r="AG2542" s="16">
        <f>SUMPRODUCT(N2542:Y2542,$N$6:$Y$6)*$K2542*$L2542*$M2542</f>
        <v/>
      </c>
      <c r="AH2542" s="20" t="n"/>
    </row>
    <row r="2543">
      <c r="A2543" s="9" t="n">
        <v>676785</v>
      </c>
      <c r="B2543" s="9" t="inlineStr">
        <is>
          <t>Bryce Conley</t>
        </is>
      </c>
      <c r="C2543" s="9" t="inlineStr">
        <is>
          <t>NYM</t>
        </is>
      </c>
      <c r="D2543" s="9" t="n">
        <v>25</v>
      </c>
      <c r="E2543" s="18" t="inlineStr">
        <is>
          <t>R</t>
        </is>
      </c>
      <c r="F2543" s="18" t="n"/>
      <c r="G2543" s="9" t="n">
        <v>44.14666666666667</v>
      </c>
      <c r="H2543" s="9" t="n">
        <v>44.14666666666667</v>
      </c>
      <c r="I2543" s="9" t="inlineStr">
        <is>
          <t>Depth (no MLB IP)</t>
        </is>
      </c>
      <c r="J2543" s="18" t="inlineStr">
        <is>
          <t>Opening Day</t>
        </is>
      </c>
      <c r="K2543" s="11">
        <f>IFERROR(INDEX(Roles!$B$17:$B$20,MATCH(J2543,Roles!$A$17:$A$20,0)),1)</f>
        <v/>
      </c>
      <c r="L2543" s="19" t="n">
        <v>1</v>
      </c>
      <c r="M2543" s="11" t="n">
        <v>1</v>
      </c>
      <c r="N2543" s="19" t="n"/>
      <c r="O2543" s="19" t="n"/>
      <c r="P2543" s="19" t="n"/>
      <c r="Q2543" s="19" t="n"/>
      <c r="R2543" s="19" t="n"/>
      <c r="S2543" s="19" t="n"/>
      <c r="T2543" s="19" t="n"/>
      <c r="U2543" s="19" t="n"/>
      <c r="V2543" s="19" t="n"/>
      <c r="W2543" s="19" t="n"/>
      <c r="X2543" s="19" t="n"/>
      <c r="Y2543" s="19" t="n">
        <v>1</v>
      </c>
      <c r="Z2543" s="13">
        <f>SUMPRODUCT(N2543:Y2543,$N$2:$Y$2)*$K2543*$L2543*$M2543</f>
        <v/>
      </c>
      <c r="AA2543" s="14">
        <f>SUM(N2543:Y2543)</f>
        <v/>
      </c>
      <c r="AB2543" s="13">
        <f>SUMPRODUCT(N2543:Y2543,$N$3:$Y$3)*$K2543*$L2543*$M2543</f>
        <v/>
      </c>
      <c r="AC2543" s="13">
        <f>SUMPRODUCT(N2543:Y2543,$N$4:$Y$4)*$K2543*$L2543*$M2543</f>
        <v/>
      </c>
      <c r="AD2543" s="15" t="n">
        <v>3</v>
      </c>
      <c r="AE2543" s="11" t="n">
        <v>1.011296296296296</v>
      </c>
      <c r="AF2543" s="16">
        <f>SUMPRODUCT(N2543:Y2543,$N$5:$Y$5)*$K2543*$L2543*$M2543</f>
        <v/>
      </c>
      <c r="AG2543" s="16">
        <f>SUMPRODUCT(N2543:Y2543,$N$6:$Y$6)*$K2543*$L2543*$M2543</f>
        <v/>
      </c>
      <c r="AH2543" s="20" t="n"/>
    </row>
    <row r="2544">
      <c r="A2544" s="9" t="n">
        <v>806258</v>
      </c>
      <c r="B2544" s="9" t="inlineStr">
        <is>
          <t>Thomas White</t>
        </is>
      </c>
      <c r="C2544" s="9" t="inlineStr">
        <is>
          <t>MIA</t>
        </is>
      </c>
      <c r="D2544" s="9" t="n">
        <v>23</v>
      </c>
      <c r="E2544" s="18" t="inlineStr">
        <is>
          <t>L</t>
        </is>
      </c>
      <c r="F2544" s="18" t="n"/>
      <c r="G2544" s="9" t="n">
        <v>44.14666666666667</v>
      </c>
      <c r="H2544" s="9" t="n">
        <v>44.14666666666667</v>
      </c>
      <c r="I2544" s="9" t="inlineStr">
        <is>
          <t>Innings-Limited Starter</t>
        </is>
      </c>
      <c r="J2544" s="18" t="inlineStr">
        <is>
          <t>Early Season (~May)</t>
        </is>
      </c>
      <c r="K2544" s="11">
        <f>IFERROR(INDEX(Roles!$B$17:$B$20,MATCH(J2544,Roles!$A$17:$A$20,0)),1)</f>
        <v/>
      </c>
      <c r="L2544" s="19" t="n">
        <v>1</v>
      </c>
      <c r="M2544" s="11" t="n">
        <v>1</v>
      </c>
      <c r="N2544" s="19" t="n"/>
      <c r="O2544" s="19" t="n"/>
      <c r="P2544" s="19" t="n"/>
      <c r="Q2544" s="19" t="n">
        <v>0.45</v>
      </c>
      <c r="R2544" s="19" t="n">
        <v>0.3</v>
      </c>
      <c r="S2544" s="19" t="n"/>
      <c r="T2544" s="19" t="n"/>
      <c r="U2544" s="19" t="n"/>
      <c r="V2544" s="19" t="n"/>
      <c r="W2544" s="19" t="n">
        <v>0.25</v>
      </c>
      <c r="X2544" s="19" t="n"/>
      <c r="Y2544" s="19" t="n"/>
      <c r="Z2544" s="13">
        <f>SUMPRODUCT(N2544:Y2544,$N$2:$Y$2)*$K2544*$L2544*$M2544</f>
        <v/>
      </c>
      <c r="AA2544" s="14">
        <f>SUM(N2544:Y2544)</f>
        <v/>
      </c>
      <c r="AB2544" s="13">
        <f>SUMPRODUCT(N2544:Y2544,$N$3:$Y$3)*$K2544*$L2544*$M2544</f>
        <v/>
      </c>
      <c r="AC2544" s="13">
        <f>SUMPRODUCT(N2544:Y2544,$N$4:$Y$4)*$K2544*$L2544*$M2544</f>
        <v/>
      </c>
      <c r="AD2544" s="15" t="n">
        <v>27.65</v>
      </c>
      <c r="AE2544" s="11" t="n">
        <v>3.182640144665461</v>
      </c>
      <c r="AF2544" s="16">
        <f>SUMPRODUCT(N2544:Y2544,$N$5:$Y$5)*$K2544*$L2544*$M2544</f>
        <v/>
      </c>
      <c r="AG2544" s="16">
        <f>SUMPRODUCT(N2544:Y2544,$N$6:$Y$6)*$K2544*$L2544*$M2544</f>
        <v/>
      </c>
      <c r="AH2544" s="20" t="n"/>
    </row>
    <row r="2545">
      <c r="A2545" s="9" t="n">
        <v>811594</v>
      </c>
      <c r="B2545" s="9" t="inlineStr">
        <is>
          <t>Bernard Jose</t>
        </is>
      </c>
      <c r="C2545" s="9" t="inlineStr">
        <is>
          <t>SD</t>
        </is>
      </c>
      <c r="D2545" s="9" t="n">
        <v>25</v>
      </c>
      <c r="E2545" s="18" t="inlineStr">
        <is>
          <t>R</t>
        </is>
      </c>
      <c r="F2545" s="18" t="n"/>
      <c r="G2545" s="9" t="n">
        <v>44.14666666666666</v>
      </c>
      <c r="H2545" s="9" t="n">
        <v>44.14666666666666</v>
      </c>
      <c r="I2545" s="9" t="inlineStr">
        <is>
          <t>Depth (no MLB IP)</t>
        </is>
      </c>
      <c r="J2545" s="18" t="inlineStr">
        <is>
          <t>Opening Day</t>
        </is>
      </c>
      <c r="K2545" s="11">
        <f>IFERROR(INDEX(Roles!$B$17:$B$20,MATCH(J2545,Roles!$A$17:$A$20,0)),1)</f>
        <v/>
      </c>
      <c r="L2545" s="19" t="n">
        <v>1</v>
      </c>
      <c r="M2545" s="11" t="n">
        <v>1</v>
      </c>
      <c r="N2545" s="19" t="n"/>
      <c r="O2545" s="19" t="n"/>
      <c r="P2545" s="19" t="n"/>
      <c r="Q2545" s="19" t="n"/>
      <c r="R2545" s="19" t="n"/>
      <c r="S2545" s="19" t="n"/>
      <c r="T2545" s="19" t="n"/>
      <c r="U2545" s="19" t="n"/>
      <c r="V2545" s="19" t="n"/>
      <c r="W2545" s="19" t="n"/>
      <c r="X2545" s="19" t="n"/>
      <c r="Y2545" s="19" t="n">
        <v>1</v>
      </c>
      <c r="Z2545" s="13">
        <f>SUMPRODUCT(N2545:Y2545,$N$2:$Y$2)*$K2545*$L2545*$M2545</f>
        <v/>
      </c>
      <c r="AA2545" s="14">
        <f>SUM(N2545:Y2545)</f>
        <v/>
      </c>
      <c r="AB2545" s="13">
        <f>SUMPRODUCT(N2545:Y2545,$N$3:$Y$3)*$K2545*$L2545*$M2545</f>
        <v/>
      </c>
      <c r="AC2545" s="13">
        <f>SUMPRODUCT(N2545:Y2545,$N$4:$Y$4)*$K2545*$L2545*$M2545</f>
        <v/>
      </c>
      <c r="AD2545" s="15" t="n">
        <v>3</v>
      </c>
      <c r="AE2545" s="11" t="n">
        <v>1.011296296296296</v>
      </c>
      <c r="AF2545" s="16">
        <f>SUMPRODUCT(N2545:Y2545,$N$5:$Y$5)*$K2545*$L2545*$M2545</f>
        <v/>
      </c>
      <c r="AG2545" s="16">
        <f>SUMPRODUCT(N2545:Y2545,$N$6:$Y$6)*$K2545*$L2545*$M2545</f>
        <v/>
      </c>
      <c r="AH2545" s="20" t="n"/>
    </row>
    <row r="2546">
      <c r="A2546" s="9" t="n">
        <v>657510</v>
      </c>
      <c r="B2546" s="9" t="inlineStr">
        <is>
          <t>Andrew Bechtold</t>
        </is>
      </c>
      <c r="C2546" s="9" t="inlineStr">
        <is>
          <t>PHI</t>
        </is>
      </c>
      <c r="D2546" s="9" t="n">
        <v>25</v>
      </c>
      <c r="E2546" s="18" t="inlineStr">
        <is>
          <t>R</t>
        </is>
      </c>
      <c r="F2546" s="18" t="n"/>
      <c r="G2546" s="9" t="n">
        <v>44.14666666666667</v>
      </c>
      <c r="H2546" s="9" t="n">
        <v>44.14666666666667</v>
      </c>
      <c r="I2546" s="9" t="inlineStr">
        <is>
          <t>Depth (no MLB IP)</t>
        </is>
      </c>
      <c r="J2546" s="18" t="inlineStr">
        <is>
          <t>Opening Day</t>
        </is>
      </c>
      <c r="K2546" s="11">
        <f>IFERROR(INDEX(Roles!$B$17:$B$20,MATCH(J2546,Roles!$A$17:$A$20,0)),1)</f>
        <v/>
      </c>
      <c r="L2546" s="19" t="n">
        <v>1</v>
      </c>
      <c r="M2546" s="11" t="n">
        <v>1</v>
      </c>
      <c r="N2546" s="19" t="n"/>
      <c r="O2546" s="19" t="n"/>
      <c r="P2546" s="19" t="n"/>
      <c r="Q2546" s="19" t="n"/>
      <c r="R2546" s="19" t="n"/>
      <c r="S2546" s="19" t="n"/>
      <c r="T2546" s="19" t="n"/>
      <c r="U2546" s="19" t="n"/>
      <c r="V2546" s="19" t="n"/>
      <c r="W2546" s="19" t="n"/>
      <c r="X2546" s="19" t="n"/>
      <c r="Y2546" s="19" t="n">
        <v>1</v>
      </c>
      <c r="Z2546" s="13">
        <f>SUMPRODUCT(N2546:Y2546,$N$2:$Y$2)*$K2546*$L2546*$M2546</f>
        <v/>
      </c>
      <c r="AA2546" s="14">
        <f>SUM(N2546:Y2546)</f>
        <v/>
      </c>
      <c r="AB2546" s="13">
        <f>SUMPRODUCT(N2546:Y2546,$N$3:$Y$3)*$K2546*$L2546*$M2546</f>
        <v/>
      </c>
      <c r="AC2546" s="13">
        <f>SUMPRODUCT(N2546:Y2546,$N$4:$Y$4)*$K2546*$L2546*$M2546</f>
        <v/>
      </c>
      <c r="AD2546" s="15" t="n">
        <v>3</v>
      </c>
      <c r="AE2546" s="11" t="n">
        <v>1.011296296296296</v>
      </c>
      <c r="AF2546" s="16">
        <f>SUMPRODUCT(N2546:Y2546,$N$5:$Y$5)*$K2546*$L2546*$M2546</f>
        <v/>
      </c>
      <c r="AG2546" s="16">
        <f>SUMPRODUCT(N2546:Y2546,$N$6:$Y$6)*$K2546*$L2546*$M2546</f>
        <v/>
      </c>
      <c r="AH2546" s="20" t="n"/>
    </row>
    <row r="2547">
      <c r="A2547" s="9" t="n">
        <v>682863</v>
      </c>
      <c r="B2547" s="9" t="inlineStr">
        <is>
          <t>Francis Rivera</t>
        </is>
      </c>
      <c r="C2547" s="9" t="inlineStr">
        <is>
          <t>COL</t>
        </is>
      </c>
      <c r="D2547" s="9" t="n">
        <v>25</v>
      </c>
      <c r="E2547" s="18" t="inlineStr">
        <is>
          <t>R</t>
        </is>
      </c>
      <c r="F2547" s="18" t="n"/>
      <c r="G2547" s="9" t="n">
        <v>44.14666666666668</v>
      </c>
      <c r="H2547" s="9" t="n">
        <v>44.14666666666668</v>
      </c>
      <c r="I2547" s="9" t="inlineStr">
        <is>
          <t>Depth (no MLB IP)</t>
        </is>
      </c>
      <c r="J2547" s="18" t="inlineStr">
        <is>
          <t>Opening Day</t>
        </is>
      </c>
      <c r="K2547" s="11">
        <f>IFERROR(INDEX(Roles!$B$17:$B$20,MATCH(J2547,Roles!$A$17:$A$20,0)),1)</f>
        <v/>
      </c>
      <c r="L2547" s="19" t="n">
        <v>1</v>
      </c>
      <c r="M2547" s="11" t="n">
        <v>1</v>
      </c>
      <c r="N2547" s="19" t="n"/>
      <c r="O2547" s="19" t="n"/>
      <c r="P2547" s="19" t="n"/>
      <c r="Q2547" s="19" t="n"/>
      <c r="R2547" s="19" t="n"/>
      <c r="S2547" s="19" t="n"/>
      <c r="T2547" s="19" t="n"/>
      <c r="U2547" s="19" t="n"/>
      <c r="V2547" s="19" t="n"/>
      <c r="W2547" s="19" t="n"/>
      <c r="X2547" s="19" t="n"/>
      <c r="Y2547" s="19" t="n">
        <v>1</v>
      </c>
      <c r="Z2547" s="13">
        <f>SUMPRODUCT(N2547:Y2547,$N$2:$Y$2)*$K2547*$L2547*$M2547</f>
        <v/>
      </c>
      <c r="AA2547" s="14">
        <f>SUM(N2547:Y2547)</f>
        <v/>
      </c>
      <c r="AB2547" s="13">
        <f>SUMPRODUCT(N2547:Y2547,$N$3:$Y$3)*$K2547*$L2547*$M2547</f>
        <v/>
      </c>
      <c r="AC2547" s="13">
        <f>SUMPRODUCT(N2547:Y2547,$N$4:$Y$4)*$K2547*$L2547*$M2547</f>
        <v/>
      </c>
      <c r="AD2547" s="15" t="n">
        <v>3</v>
      </c>
      <c r="AE2547" s="11" t="n">
        <v>1.011296296296296</v>
      </c>
      <c r="AF2547" s="16">
        <f>SUMPRODUCT(N2547:Y2547,$N$5:$Y$5)*$K2547*$L2547*$M2547</f>
        <v/>
      </c>
      <c r="AG2547" s="16">
        <f>SUMPRODUCT(N2547:Y2547,$N$6:$Y$6)*$K2547*$L2547*$M2547</f>
        <v/>
      </c>
      <c r="AH2547" s="20" t="n"/>
    </row>
    <row r="2548">
      <c r="A2548" s="9" t="n">
        <v>805291</v>
      </c>
      <c r="B2548" s="9" t="inlineStr">
        <is>
          <t>Vince Reilly</t>
        </is>
      </c>
      <c r="C2548" s="9" t="inlineStr">
        <is>
          <t>CHC</t>
        </is>
      </c>
      <c r="D2548" s="9" t="n">
        <v>25</v>
      </c>
      <c r="E2548" s="18" t="inlineStr">
        <is>
          <t>R</t>
        </is>
      </c>
      <c r="F2548" s="18" t="n"/>
      <c r="G2548" s="9" t="n">
        <v>44.14666666666667</v>
      </c>
      <c r="H2548" s="9" t="n">
        <v>44.14666666666667</v>
      </c>
      <c r="I2548" s="9" t="inlineStr">
        <is>
          <t>Depth (no MLB IP)</t>
        </is>
      </c>
      <c r="J2548" s="18" t="inlineStr">
        <is>
          <t>Opening Day</t>
        </is>
      </c>
      <c r="K2548" s="11">
        <f>IFERROR(INDEX(Roles!$B$17:$B$20,MATCH(J2548,Roles!$A$17:$A$20,0)),1)</f>
        <v/>
      </c>
      <c r="L2548" s="19" t="n">
        <v>1</v>
      </c>
      <c r="M2548" s="11" t="n">
        <v>1</v>
      </c>
      <c r="N2548" s="19" t="n"/>
      <c r="O2548" s="19" t="n"/>
      <c r="P2548" s="19" t="n"/>
      <c r="Q2548" s="19" t="n"/>
      <c r="R2548" s="19" t="n"/>
      <c r="S2548" s="19" t="n"/>
      <c r="T2548" s="19" t="n"/>
      <c r="U2548" s="19" t="n"/>
      <c r="V2548" s="19" t="n"/>
      <c r="W2548" s="19" t="n"/>
      <c r="X2548" s="19" t="n"/>
      <c r="Y2548" s="19" t="n">
        <v>1</v>
      </c>
      <c r="Z2548" s="13">
        <f>SUMPRODUCT(N2548:Y2548,$N$2:$Y$2)*$K2548*$L2548*$M2548</f>
        <v/>
      </c>
      <c r="AA2548" s="14">
        <f>SUM(N2548:Y2548)</f>
        <v/>
      </c>
      <c r="AB2548" s="13">
        <f>SUMPRODUCT(N2548:Y2548,$N$3:$Y$3)*$K2548*$L2548*$M2548</f>
        <v/>
      </c>
      <c r="AC2548" s="13">
        <f>SUMPRODUCT(N2548:Y2548,$N$4:$Y$4)*$K2548*$L2548*$M2548</f>
        <v/>
      </c>
      <c r="AD2548" s="15" t="n">
        <v>3</v>
      </c>
      <c r="AE2548" s="11" t="n">
        <v>1.011296296296296</v>
      </c>
      <c r="AF2548" s="16">
        <f>SUMPRODUCT(N2548:Y2548,$N$5:$Y$5)*$K2548*$L2548*$M2548</f>
        <v/>
      </c>
      <c r="AG2548" s="16">
        <f>SUMPRODUCT(N2548:Y2548,$N$6:$Y$6)*$K2548*$L2548*$M2548</f>
        <v/>
      </c>
      <c r="AH2548" s="20" t="n"/>
    </row>
    <row r="2549">
      <c r="A2549" s="9" t="n">
        <v>695569</v>
      </c>
      <c r="B2549" s="9" t="inlineStr">
        <is>
          <t>Luke Hayden</t>
        </is>
      </c>
      <c r="C2549" s="9" t="inlineStr">
        <is>
          <t>CIN</t>
        </is>
      </c>
      <c r="D2549" s="9" t="n">
        <v>25</v>
      </c>
      <c r="E2549" s="18" t="inlineStr">
        <is>
          <t>R</t>
        </is>
      </c>
      <c r="F2549" s="18" t="n"/>
      <c r="G2549" s="9" t="n">
        <v>44.14666666666666</v>
      </c>
      <c r="H2549" s="9" t="n">
        <v>44.14666666666666</v>
      </c>
      <c r="I2549" s="9" t="inlineStr">
        <is>
          <t>Depth (no MLB IP)</t>
        </is>
      </c>
      <c r="J2549" s="18" t="inlineStr">
        <is>
          <t>Opening Day</t>
        </is>
      </c>
      <c r="K2549" s="11">
        <f>IFERROR(INDEX(Roles!$B$17:$B$20,MATCH(J2549,Roles!$A$17:$A$20,0)),1)</f>
        <v/>
      </c>
      <c r="L2549" s="19" t="n">
        <v>1</v>
      </c>
      <c r="M2549" s="11" t="n">
        <v>1</v>
      </c>
      <c r="N2549" s="19" t="n"/>
      <c r="O2549" s="19" t="n"/>
      <c r="P2549" s="19" t="n"/>
      <c r="Q2549" s="19" t="n"/>
      <c r="R2549" s="19" t="n"/>
      <c r="S2549" s="19" t="n"/>
      <c r="T2549" s="19" t="n"/>
      <c r="U2549" s="19" t="n"/>
      <c r="V2549" s="19" t="n"/>
      <c r="W2549" s="19" t="n"/>
      <c r="X2549" s="19" t="n"/>
      <c r="Y2549" s="19" t="n">
        <v>1</v>
      </c>
      <c r="Z2549" s="13">
        <f>SUMPRODUCT(N2549:Y2549,$N$2:$Y$2)*$K2549*$L2549*$M2549</f>
        <v/>
      </c>
      <c r="AA2549" s="14">
        <f>SUM(N2549:Y2549)</f>
        <v/>
      </c>
      <c r="AB2549" s="13">
        <f>SUMPRODUCT(N2549:Y2549,$N$3:$Y$3)*$K2549*$L2549*$M2549</f>
        <v/>
      </c>
      <c r="AC2549" s="13">
        <f>SUMPRODUCT(N2549:Y2549,$N$4:$Y$4)*$K2549*$L2549*$M2549</f>
        <v/>
      </c>
      <c r="AD2549" s="15" t="n">
        <v>3</v>
      </c>
      <c r="AE2549" s="11" t="n">
        <v>1.011296296296296</v>
      </c>
      <c r="AF2549" s="16">
        <f>SUMPRODUCT(N2549:Y2549,$N$5:$Y$5)*$K2549*$L2549*$M2549</f>
        <v/>
      </c>
      <c r="AG2549" s="16">
        <f>SUMPRODUCT(N2549:Y2549,$N$6:$Y$6)*$K2549*$L2549*$M2549</f>
        <v/>
      </c>
      <c r="AH2549" s="20" t="n"/>
    </row>
    <row r="2550">
      <c r="A2550" s="9" t="n">
        <v>804860</v>
      </c>
      <c r="B2550" s="9" t="inlineStr">
        <is>
          <t>Landon Beidelschies</t>
        </is>
      </c>
      <c r="C2550" s="9" t="inlineStr">
        <is>
          <t>ATL</t>
        </is>
      </c>
      <c r="D2550" s="9" t="n">
        <v>25</v>
      </c>
      <c r="E2550" s="18" t="inlineStr">
        <is>
          <t>L</t>
        </is>
      </c>
      <c r="F2550" s="18" t="n"/>
      <c r="G2550" s="9" t="n">
        <v>44.376</v>
      </c>
      <c r="H2550" s="9" t="n">
        <v>44.376</v>
      </c>
      <c r="I2550" s="9" t="inlineStr">
        <is>
          <t>Depth (no MLB IP)</t>
        </is>
      </c>
      <c r="J2550" s="18" t="inlineStr">
        <is>
          <t>Opening Day</t>
        </is>
      </c>
      <c r="K2550" s="11">
        <f>IFERROR(INDEX(Roles!$B$17:$B$20,MATCH(J2550,Roles!$A$17:$A$20,0)),1)</f>
        <v/>
      </c>
      <c r="L2550" s="19" t="n">
        <v>1</v>
      </c>
      <c r="M2550" s="11" t="n">
        <v>1</v>
      </c>
      <c r="N2550" s="19" t="n"/>
      <c r="O2550" s="19" t="n"/>
      <c r="P2550" s="19" t="n"/>
      <c r="Q2550" s="19" t="n"/>
      <c r="R2550" s="19" t="n"/>
      <c r="S2550" s="19" t="n"/>
      <c r="T2550" s="19" t="n"/>
      <c r="U2550" s="19" t="n"/>
      <c r="V2550" s="19" t="n"/>
      <c r="W2550" s="19" t="n"/>
      <c r="X2550" s="19" t="n"/>
      <c r="Y2550" s="19" t="n">
        <v>1</v>
      </c>
      <c r="Z2550" s="13">
        <f>SUMPRODUCT(N2550:Y2550,$N$2:$Y$2)*$K2550*$L2550*$M2550</f>
        <v/>
      </c>
      <c r="AA2550" s="14">
        <f>SUM(N2550:Y2550)</f>
        <v/>
      </c>
      <c r="AB2550" s="13">
        <f>SUMPRODUCT(N2550:Y2550,$N$3:$Y$3)*$K2550*$L2550*$M2550</f>
        <v/>
      </c>
      <c r="AC2550" s="13">
        <f>SUMPRODUCT(N2550:Y2550,$N$4:$Y$4)*$K2550*$L2550*$M2550</f>
        <v/>
      </c>
      <c r="AD2550" s="15" t="n">
        <v>3</v>
      </c>
      <c r="AE2550" s="11" t="n">
        <v>1.011296296296296</v>
      </c>
      <c r="AF2550" s="16">
        <f>SUMPRODUCT(N2550:Y2550,$N$5:$Y$5)*$K2550*$L2550*$M2550</f>
        <v/>
      </c>
      <c r="AG2550" s="16">
        <f>SUMPRODUCT(N2550:Y2550,$N$6:$Y$6)*$K2550*$L2550*$M2550</f>
        <v/>
      </c>
      <c r="AH2550" s="20" t="n"/>
    </row>
    <row r="2551">
      <c r="A2551" s="9" t="n">
        <v>670242</v>
      </c>
      <c r="B2551" s="9" t="inlineStr">
        <is>
          <t>Matt Wallner</t>
        </is>
      </c>
      <c r="C2551" s="9" t="inlineStr">
        <is>
          <t>MIN</t>
        </is>
      </c>
      <c r="D2551" s="9" t="n">
        <v>29</v>
      </c>
      <c r="E2551" s="18" t="inlineStr">
        <is>
          <t>R</t>
        </is>
      </c>
      <c r="F2551" s="18" t="n"/>
      <c r="G2551" s="9" t="n">
        <v>6</v>
      </c>
      <c r="H2551" s="9" t="n">
        <v>6</v>
      </c>
      <c r="I2551" s="9" t="inlineStr">
        <is>
          <t>Depth (no MLB IP)</t>
        </is>
      </c>
      <c r="J2551" s="18" t="inlineStr">
        <is>
          <t>Opening Day</t>
        </is>
      </c>
      <c r="K2551" s="11">
        <f>IFERROR(INDEX(Roles!$B$17:$B$20,MATCH(J2551,Roles!$A$17:$A$20,0)),1)</f>
        <v/>
      </c>
      <c r="L2551" s="19" t="n">
        <v>1</v>
      </c>
      <c r="M2551" s="11" t="n">
        <v>1</v>
      </c>
      <c r="N2551" s="19" t="n"/>
      <c r="O2551" s="19" t="n"/>
      <c r="P2551" s="19" t="n"/>
      <c r="Q2551" s="19" t="n"/>
      <c r="R2551" s="19" t="n"/>
      <c r="S2551" s="19" t="n"/>
      <c r="T2551" s="19" t="n"/>
      <c r="U2551" s="19" t="n"/>
      <c r="V2551" s="19" t="n"/>
      <c r="W2551" s="19" t="n"/>
      <c r="X2551" s="19" t="n"/>
      <c r="Y2551" s="19" t="n">
        <v>1</v>
      </c>
      <c r="Z2551" s="13">
        <f>SUMPRODUCT(N2551:Y2551,$N$2:$Y$2)*$K2551*$L2551*$M2551</f>
        <v/>
      </c>
      <c r="AA2551" s="14">
        <f>SUM(N2551:Y2551)</f>
        <v/>
      </c>
      <c r="AB2551" s="13">
        <f>SUMPRODUCT(N2551:Y2551,$N$3:$Y$3)*$K2551*$L2551*$M2551</f>
        <v/>
      </c>
      <c r="AC2551" s="13">
        <f>SUMPRODUCT(N2551:Y2551,$N$4:$Y$4)*$K2551*$L2551*$M2551</f>
        <v/>
      </c>
      <c r="AD2551" s="15" t="n">
        <v>1.8</v>
      </c>
      <c r="AE2551" s="11" t="n">
        <v>1.118641975308642</v>
      </c>
      <c r="AF2551" s="16">
        <f>SUMPRODUCT(N2551:Y2551,$N$5:$Y$5)*$K2551*$L2551*$M2551</f>
        <v/>
      </c>
      <c r="AG2551" s="16">
        <f>SUMPRODUCT(N2551:Y2551,$N$6:$Y$6)*$K2551*$L2551*$M2551</f>
        <v/>
      </c>
      <c r="AH2551" s="20" t="n"/>
    </row>
    <row r="2552">
      <c r="A2552" s="9" t="n">
        <v>694921</v>
      </c>
      <c r="B2552" s="9" t="inlineStr">
        <is>
          <t>Nick Conte</t>
        </is>
      </c>
      <c r="C2552" s="9" t="inlineStr">
        <is>
          <t>KC</t>
        </is>
      </c>
      <c r="D2552" s="9" t="n">
        <v>25</v>
      </c>
      <c r="E2552" s="18" t="inlineStr">
        <is>
          <t>R</t>
        </is>
      </c>
      <c r="F2552" s="18" t="n"/>
      <c r="G2552" s="9" t="n">
        <v>44.43333333333334</v>
      </c>
      <c r="H2552" s="9" t="n">
        <v>44.43333333333334</v>
      </c>
      <c r="I2552" s="9" t="inlineStr">
        <is>
          <t>Depth (no MLB IP)</t>
        </is>
      </c>
      <c r="J2552" s="18" t="inlineStr">
        <is>
          <t>Opening Day</t>
        </is>
      </c>
      <c r="K2552" s="11">
        <f>IFERROR(INDEX(Roles!$B$17:$B$20,MATCH(J2552,Roles!$A$17:$A$20,0)),1)</f>
        <v/>
      </c>
      <c r="L2552" s="19" t="n">
        <v>1</v>
      </c>
      <c r="M2552" s="11" t="n">
        <v>1</v>
      </c>
      <c r="N2552" s="19" t="n"/>
      <c r="O2552" s="19" t="n"/>
      <c r="P2552" s="19" t="n"/>
      <c r="Q2552" s="19" t="n"/>
      <c r="R2552" s="19" t="n"/>
      <c r="S2552" s="19" t="n"/>
      <c r="T2552" s="19" t="n"/>
      <c r="U2552" s="19" t="n"/>
      <c r="V2552" s="19" t="n"/>
      <c r="W2552" s="19" t="n"/>
      <c r="X2552" s="19" t="n"/>
      <c r="Y2552" s="19" t="n">
        <v>1</v>
      </c>
      <c r="Z2552" s="13">
        <f>SUMPRODUCT(N2552:Y2552,$N$2:$Y$2)*$K2552*$L2552*$M2552</f>
        <v/>
      </c>
      <c r="AA2552" s="14">
        <f>SUM(N2552:Y2552)</f>
        <v/>
      </c>
      <c r="AB2552" s="13">
        <f>SUMPRODUCT(N2552:Y2552,$N$3:$Y$3)*$K2552*$L2552*$M2552</f>
        <v/>
      </c>
      <c r="AC2552" s="13">
        <f>SUMPRODUCT(N2552:Y2552,$N$4:$Y$4)*$K2552*$L2552*$M2552</f>
        <v/>
      </c>
      <c r="AD2552" s="15" t="n">
        <v>3</v>
      </c>
      <c r="AE2552" s="11" t="n">
        <v>1.011296296296296</v>
      </c>
      <c r="AF2552" s="16">
        <f>SUMPRODUCT(N2552:Y2552,$N$5:$Y$5)*$K2552*$L2552*$M2552</f>
        <v/>
      </c>
      <c r="AG2552" s="16">
        <f>SUMPRODUCT(N2552:Y2552,$N$6:$Y$6)*$K2552*$L2552*$M2552</f>
        <v/>
      </c>
      <c r="AH2552" s="20" t="n"/>
    </row>
    <row r="2553">
      <c r="A2553" s="9" t="n">
        <v>808048</v>
      </c>
      <c r="B2553" s="9" t="inlineStr">
        <is>
          <t>Rubén Menes</t>
        </is>
      </c>
      <c r="C2553" s="9" t="inlineStr">
        <is>
          <t>STL</t>
        </is>
      </c>
      <c r="D2553" s="9" t="n">
        <v>25</v>
      </c>
      <c r="E2553" s="18" t="inlineStr">
        <is>
          <t>R</t>
        </is>
      </c>
      <c r="F2553" s="18" t="n"/>
      <c r="G2553" s="9" t="n">
        <v>44.43333333333334</v>
      </c>
      <c r="H2553" s="9" t="n">
        <v>44.43333333333334</v>
      </c>
      <c r="I2553" s="9" t="inlineStr">
        <is>
          <t>Depth (no MLB IP)</t>
        </is>
      </c>
      <c r="J2553" s="18" t="inlineStr">
        <is>
          <t>Opening Day</t>
        </is>
      </c>
      <c r="K2553" s="11">
        <f>IFERROR(INDEX(Roles!$B$17:$B$20,MATCH(J2553,Roles!$A$17:$A$20,0)),1)</f>
        <v/>
      </c>
      <c r="L2553" s="19" t="n">
        <v>1</v>
      </c>
      <c r="M2553" s="11" t="n">
        <v>1</v>
      </c>
      <c r="N2553" s="19" t="n"/>
      <c r="O2553" s="19" t="n"/>
      <c r="P2553" s="19" t="n"/>
      <c r="Q2553" s="19" t="n"/>
      <c r="R2553" s="19" t="n"/>
      <c r="S2553" s="19" t="n"/>
      <c r="T2553" s="19" t="n"/>
      <c r="U2553" s="19" t="n"/>
      <c r="V2553" s="19" t="n"/>
      <c r="W2553" s="19" t="n"/>
      <c r="X2553" s="19" t="n"/>
      <c r="Y2553" s="19" t="n">
        <v>1</v>
      </c>
      <c r="Z2553" s="13">
        <f>SUMPRODUCT(N2553:Y2553,$N$2:$Y$2)*$K2553*$L2553*$M2553</f>
        <v/>
      </c>
      <c r="AA2553" s="14">
        <f>SUM(N2553:Y2553)</f>
        <v/>
      </c>
      <c r="AB2553" s="13">
        <f>SUMPRODUCT(N2553:Y2553,$N$3:$Y$3)*$K2553*$L2553*$M2553</f>
        <v/>
      </c>
      <c r="AC2553" s="13">
        <f>SUMPRODUCT(N2553:Y2553,$N$4:$Y$4)*$K2553*$L2553*$M2553</f>
        <v/>
      </c>
      <c r="AD2553" s="15" t="n">
        <v>3</v>
      </c>
      <c r="AE2553" s="11" t="n">
        <v>1.011296296296296</v>
      </c>
      <c r="AF2553" s="16">
        <f>SUMPRODUCT(N2553:Y2553,$N$5:$Y$5)*$K2553*$L2553*$M2553</f>
        <v/>
      </c>
      <c r="AG2553" s="16">
        <f>SUMPRODUCT(N2553:Y2553,$N$6:$Y$6)*$K2553*$L2553*$M2553</f>
        <v/>
      </c>
      <c r="AH2553" s="20" t="n"/>
    </row>
    <row r="2554">
      <c r="A2554" s="9" t="n">
        <v>543305</v>
      </c>
      <c r="B2554" s="9" t="inlineStr">
        <is>
          <t>Aaron Hicks</t>
        </is>
      </c>
      <c r="C2554" s="9" t="inlineStr">
        <is>
          <t>LAA</t>
        </is>
      </c>
      <c r="D2554" s="9" t="n">
        <v>37</v>
      </c>
      <c r="E2554" s="18" t="inlineStr">
        <is>
          <t>R</t>
        </is>
      </c>
      <c r="F2554" s="18" t="n"/>
      <c r="G2554" s="9" t="n">
        <v>6</v>
      </c>
      <c r="H2554" s="9" t="n">
        <v>6</v>
      </c>
      <c r="I2554" s="9" t="inlineStr">
        <is>
          <t>Depth (no MLB IP)</t>
        </is>
      </c>
      <c r="J2554" s="18" t="inlineStr">
        <is>
          <t>Opening Day</t>
        </is>
      </c>
      <c r="K2554" s="11">
        <f>IFERROR(INDEX(Roles!$B$17:$B$20,MATCH(J2554,Roles!$A$17:$A$20,0)),1)</f>
        <v/>
      </c>
      <c r="L2554" s="19" t="n">
        <v>1</v>
      </c>
      <c r="M2554" s="11" t="n">
        <v>1</v>
      </c>
      <c r="N2554" s="19" t="n"/>
      <c r="O2554" s="19" t="n"/>
      <c r="P2554" s="19" t="n"/>
      <c r="Q2554" s="19" t="n"/>
      <c r="R2554" s="19" t="n"/>
      <c r="S2554" s="19" t="n"/>
      <c r="T2554" s="19" t="n"/>
      <c r="U2554" s="19" t="n"/>
      <c r="V2554" s="19" t="n"/>
      <c r="W2554" s="19" t="n"/>
      <c r="X2554" s="19" t="n"/>
      <c r="Y2554" s="19" t="n">
        <v>1</v>
      </c>
      <c r="Z2554" s="13">
        <f>SUMPRODUCT(N2554:Y2554,$N$2:$Y$2)*$K2554*$L2554*$M2554</f>
        <v/>
      </c>
      <c r="AA2554" s="14">
        <f>SUM(N2554:Y2554)</f>
        <v/>
      </c>
      <c r="AB2554" s="13">
        <f>SUMPRODUCT(N2554:Y2554,$N$3:$Y$3)*$K2554*$L2554*$M2554</f>
        <v/>
      </c>
      <c r="AC2554" s="13">
        <f>SUMPRODUCT(N2554:Y2554,$N$4:$Y$4)*$K2554*$L2554*$M2554</f>
        <v/>
      </c>
      <c r="AD2554" s="15" t="n">
        <v>1.8</v>
      </c>
      <c r="AE2554" s="11" t="n">
        <v>1.007530864197531</v>
      </c>
      <c r="AF2554" s="16">
        <f>SUMPRODUCT(N2554:Y2554,$N$5:$Y$5)*$K2554*$L2554*$M2554</f>
        <v/>
      </c>
      <c r="AG2554" s="16">
        <f>SUMPRODUCT(N2554:Y2554,$N$6:$Y$6)*$K2554*$L2554*$M2554</f>
        <v/>
      </c>
      <c r="AH2554" s="20" t="n"/>
    </row>
    <row r="2555">
      <c r="A2555" s="9" t="n">
        <v>699304</v>
      </c>
      <c r="B2555" s="9" t="inlineStr">
        <is>
          <t>Juan Arnaud</t>
        </is>
      </c>
      <c r="C2555" s="9" t="inlineStr">
        <is>
          <t>NYM</t>
        </is>
      </c>
      <c r="D2555" s="9" t="n">
        <v>25</v>
      </c>
      <c r="E2555" s="18" t="inlineStr">
        <is>
          <t>R</t>
        </is>
      </c>
      <c r="F2555" s="18" t="n"/>
      <c r="G2555" s="9" t="n">
        <v>44.43333333333334</v>
      </c>
      <c r="H2555" s="9" t="n">
        <v>44.43333333333334</v>
      </c>
      <c r="I2555" s="9" t="inlineStr">
        <is>
          <t>Depth (no MLB IP)</t>
        </is>
      </c>
      <c r="J2555" s="18" t="inlineStr">
        <is>
          <t>Opening Day</t>
        </is>
      </c>
      <c r="K2555" s="11">
        <f>IFERROR(INDEX(Roles!$B$17:$B$20,MATCH(J2555,Roles!$A$17:$A$20,0)),1)</f>
        <v/>
      </c>
      <c r="L2555" s="19" t="n">
        <v>1</v>
      </c>
      <c r="M2555" s="11" t="n">
        <v>1</v>
      </c>
      <c r="N2555" s="19" t="n"/>
      <c r="O2555" s="19" t="n"/>
      <c r="P2555" s="19" t="n"/>
      <c r="Q2555" s="19" t="n"/>
      <c r="R2555" s="19" t="n"/>
      <c r="S2555" s="19" t="n"/>
      <c r="T2555" s="19" t="n"/>
      <c r="U2555" s="19" t="n"/>
      <c r="V2555" s="19" t="n"/>
      <c r="W2555" s="19" t="n"/>
      <c r="X2555" s="19" t="n"/>
      <c r="Y2555" s="19" t="n">
        <v>1</v>
      </c>
      <c r="Z2555" s="13">
        <f>SUMPRODUCT(N2555:Y2555,$N$2:$Y$2)*$K2555*$L2555*$M2555</f>
        <v/>
      </c>
      <c r="AA2555" s="14">
        <f>SUM(N2555:Y2555)</f>
        <v/>
      </c>
      <c r="AB2555" s="13">
        <f>SUMPRODUCT(N2555:Y2555,$N$3:$Y$3)*$K2555*$L2555*$M2555</f>
        <v/>
      </c>
      <c r="AC2555" s="13">
        <f>SUMPRODUCT(N2555:Y2555,$N$4:$Y$4)*$K2555*$L2555*$M2555</f>
        <v/>
      </c>
      <c r="AD2555" s="15" t="n">
        <v>3</v>
      </c>
      <c r="AE2555" s="11" t="n">
        <v>1.011296296296296</v>
      </c>
      <c r="AF2555" s="16">
        <f>SUMPRODUCT(N2555:Y2555,$N$5:$Y$5)*$K2555*$L2555*$M2555</f>
        <v/>
      </c>
      <c r="AG2555" s="16">
        <f>SUMPRODUCT(N2555:Y2555,$N$6:$Y$6)*$K2555*$L2555*$M2555</f>
        <v/>
      </c>
      <c r="AH2555" s="20" t="n"/>
    </row>
    <row r="2556">
      <c r="A2556" s="9" t="n">
        <v>676755</v>
      </c>
      <c r="B2556" s="9" t="inlineStr">
        <is>
          <t>Isaac Mattson</t>
        </is>
      </c>
      <c r="C2556" s="9" t="inlineStr">
        <is>
          <t>PIT</t>
        </is>
      </c>
      <c r="D2556" s="9" t="n">
        <v>31</v>
      </c>
      <c r="E2556" s="18" t="inlineStr">
        <is>
          <t>R</t>
        </is>
      </c>
      <c r="F2556" s="18" t="n"/>
      <c r="G2556" s="9" t="n">
        <v>176</v>
      </c>
      <c r="H2556" s="9" t="n">
        <v>397</v>
      </c>
      <c r="I2556" s="9" t="inlineStr">
        <is>
          <t>Bullpen Depth Arm</t>
        </is>
      </c>
      <c r="J2556" s="18" t="inlineStr">
        <is>
          <t>Opening Day</t>
        </is>
      </c>
      <c r="K2556" s="11">
        <f>IFERROR(INDEX(Roles!$B$17:$B$20,MATCH(J2556,Roles!$A$17:$A$20,0)),1)</f>
        <v/>
      </c>
      <c r="L2556" s="19" t="n">
        <v>1</v>
      </c>
      <c r="M2556" s="11" t="n">
        <v>1</v>
      </c>
      <c r="N2556" s="19" t="n"/>
      <c r="O2556" s="19" t="n"/>
      <c r="P2556" s="19" t="n"/>
      <c r="Q2556" s="19" t="n"/>
      <c r="R2556" s="19" t="n"/>
      <c r="S2556" s="19" t="n"/>
      <c r="T2556" s="19" t="n"/>
      <c r="U2556" s="19" t="n"/>
      <c r="V2556" s="19" t="n">
        <v>0.15</v>
      </c>
      <c r="W2556" s="19" t="n">
        <v>0.85</v>
      </c>
      <c r="X2556" s="19" t="n"/>
      <c r="Y2556" s="19" t="n"/>
      <c r="Z2556" s="13">
        <f>SUMPRODUCT(N2556:Y2556,$N$2:$Y$2)*$K2556*$L2556*$M2556</f>
        <v/>
      </c>
      <c r="AA2556" s="14">
        <f>SUM(N2556:Y2556)</f>
        <v/>
      </c>
      <c r="AB2556" s="13">
        <f>SUMPRODUCT(N2556:Y2556,$N$3:$Y$3)*$K2556*$L2556*$M2556</f>
        <v/>
      </c>
      <c r="AC2556" s="13">
        <f>SUMPRODUCT(N2556:Y2556,$N$4:$Y$4)*$K2556*$L2556*$M2556</f>
        <v/>
      </c>
      <c r="AD2556" s="15" t="n">
        <v>26.16666666666667</v>
      </c>
      <c r="AE2556" s="11" t="n">
        <v>1.153810657875698</v>
      </c>
      <c r="AF2556" s="16">
        <f>SUMPRODUCT(N2556:Y2556,$N$5:$Y$5)*$K2556*$L2556*$M2556</f>
        <v/>
      </c>
      <c r="AG2556" s="16">
        <f>SUMPRODUCT(N2556:Y2556,$N$6:$Y$6)*$K2556*$L2556*$M2556</f>
        <v/>
      </c>
      <c r="AH2556" s="20" t="n"/>
    </row>
    <row r="2557">
      <c r="A2557" s="9" t="n">
        <v>656234</v>
      </c>
      <c r="B2557" s="9" t="inlineStr">
        <is>
          <t>Jake Bird</t>
        </is>
      </c>
      <c r="C2557" s="9" t="inlineStr">
        <is>
          <t>WSH</t>
        </is>
      </c>
      <c r="D2557" s="9" t="n">
        <v>31</v>
      </c>
      <c r="E2557" s="18" t="inlineStr">
        <is>
          <t>R</t>
        </is>
      </c>
      <c r="F2557" s="18" t="n"/>
      <c r="G2557" s="9" t="n">
        <v>172</v>
      </c>
      <c r="H2557" s="9" t="n">
        <v>1197</v>
      </c>
      <c r="I2557" s="9" t="inlineStr">
        <is>
          <t>Bullpen Depth Arm</t>
        </is>
      </c>
      <c r="J2557" s="18" t="inlineStr">
        <is>
          <t>Opening Day</t>
        </is>
      </c>
      <c r="K2557" s="11">
        <f>IFERROR(INDEX(Roles!$B$17:$B$20,MATCH(J2557,Roles!$A$17:$A$20,0)),1)</f>
        <v/>
      </c>
      <c r="L2557" s="19" t="n">
        <v>1</v>
      </c>
      <c r="M2557" s="11" t="n">
        <v>1</v>
      </c>
      <c r="N2557" s="19" t="n"/>
      <c r="O2557" s="19" t="n"/>
      <c r="P2557" s="19" t="n"/>
      <c r="Q2557" s="19" t="n"/>
      <c r="R2557" s="19" t="n"/>
      <c r="S2557" s="19" t="n"/>
      <c r="T2557" s="19" t="n"/>
      <c r="U2557" s="19" t="n"/>
      <c r="V2557" s="19" t="n"/>
      <c r="W2557" s="19" t="n">
        <v>1</v>
      </c>
      <c r="X2557" s="19" t="n"/>
      <c r="Y2557" s="19" t="n"/>
      <c r="Z2557" s="13">
        <f>SUMPRODUCT(N2557:Y2557,$N$2:$Y$2)*$K2557*$L2557*$M2557</f>
        <v/>
      </c>
      <c r="AA2557" s="14">
        <f>SUM(N2557:Y2557)</f>
        <v/>
      </c>
      <c r="AB2557" s="13">
        <f>SUMPRODUCT(N2557:Y2557,$N$3:$Y$3)*$K2557*$L2557*$M2557</f>
        <v/>
      </c>
      <c r="AC2557" s="13">
        <f>SUMPRODUCT(N2557:Y2557,$N$4:$Y$4)*$K2557*$L2557*$M2557</f>
        <v/>
      </c>
      <c r="AD2557" s="15" t="n">
        <v>31.96666666666667</v>
      </c>
      <c r="AE2557" s="11" t="n">
        <v>1.139487700957916</v>
      </c>
      <c r="AF2557" s="16">
        <f>SUMPRODUCT(N2557:Y2557,$N$5:$Y$5)*$K2557*$L2557*$M2557</f>
        <v/>
      </c>
      <c r="AG2557" s="16">
        <f>SUMPRODUCT(N2557:Y2557,$N$6:$Y$6)*$K2557*$L2557*$M2557</f>
        <v/>
      </c>
      <c r="AH2557" s="20" t="n"/>
    </row>
    <row r="2558">
      <c r="A2558" s="9" t="n">
        <v>701329</v>
      </c>
      <c r="B2558" s="9" t="inlineStr">
        <is>
          <t>Luis Rujano</t>
        </is>
      </c>
      <c r="C2558" s="9" t="inlineStr">
        <is>
          <t>CHC</t>
        </is>
      </c>
      <c r="D2558" s="9" t="n">
        <v>25</v>
      </c>
      <c r="E2558" s="18" t="inlineStr">
        <is>
          <t>R</t>
        </is>
      </c>
      <c r="F2558" s="18" t="n"/>
      <c r="G2558" s="9" t="n">
        <v>44.64833333333333</v>
      </c>
      <c r="H2558" s="9" t="n">
        <v>44.64833333333333</v>
      </c>
      <c r="I2558" s="9" t="inlineStr">
        <is>
          <t>Depth (no MLB IP)</t>
        </is>
      </c>
      <c r="J2558" s="18" t="inlineStr">
        <is>
          <t>Opening Day</t>
        </is>
      </c>
      <c r="K2558" s="11">
        <f>IFERROR(INDEX(Roles!$B$17:$B$20,MATCH(J2558,Roles!$A$17:$A$20,0)),1)</f>
        <v/>
      </c>
      <c r="L2558" s="19" t="n">
        <v>1</v>
      </c>
      <c r="M2558" s="11" t="n">
        <v>1</v>
      </c>
      <c r="N2558" s="19" t="n"/>
      <c r="O2558" s="19" t="n"/>
      <c r="P2558" s="19" t="n"/>
      <c r="Q2558" s="19" t="n"/>
      <c r="R2558" s="19" t="n"/>
      <c r="S2558" s="19" t="n"/>
      <c r="T2558" s="19" t="n"/>
      <c r="U2558" s="19" t="n"/>
      <c r="V2558" s="19" t="n"/>
      <c r="W2558" s="19" t="n"/>
      <c r="X2558" s="19" t="n"/>
      <c r="Y2558" s="19" t="n">
        <v>1</v>
      </c>
      <c r="Z2558" s="13">
        <f>SUMPRODUCT(N2558:Y2558,$N$2:$Y$2)*$K2558*$L2558*$M2558</f>
        <v/>
      </c>
      <c r="AA2558" s="14">
        <f>SUM(N2558:Y2558)</f>
        <v/>
      </c>
      <c r="AB2558" s="13">
        <f>SUMPRODUCT(N2558:Y2558,$N$3:$Y$3)*$K2558*$L2558*$M2558</f>
        <v/>
      </c>
      <c r="AC2558" s="13">
        <f>SUMPRODUCT(N2558:Y2558,$N$4:$Y$4)*$K2558*$L2558*$M2558</f>
        <v/>
      </c>
      <c r="AD2558" s="15" t="n">
        <v>3</v>
      </c>
      <c r="AE2558" s="11" t="n">
        <v>1.011296296296296</v>
      </c>
      <c r="AF2558" s="16">
        <f>SUMPRODUCT(N2558:Y2558,$N$5:$Y$5)*$K2558*$L2558*$M2558</f>
        <v/>
      </c>
      <c r="AG2558" s="16">
        <f>SUMPRODUCT(N2558:Y2558,$N$6:$Y$6)*$K2558*$L2558*$M2558</f>
        <v/>
      </c>
      <c r="AH2558" s="20" t="n"/>
    </row>
    <row r="2559">
      <c r="A2559" s="9" t="n">
        <v>828672</v>
      </c>
      <c r="B2559" s="9" t="inlineStr">
        <is>
          <t>Jagger Beck</t>
        </is>
      </c>
      <c r="C2559" s="9" t="inlineStr">
        <is>
          <t>HOU</t>
        </is>
      </c>
      <c r="D2559" s="9" t="n">
        <v>21</v>
      </c>
      <c r="E2559" s="18" t="inlineStr">
        <is>
          <t>R</t>
        </is>
      </c>
      <c r="F2559" s="18" t="n"/>
      <c r="G2559" s="9" t="n">
        <v>44.72</v>
      </c>
      <c r="H2559" s="9" t="n">
        <v>44.72</v>
      </c>
      <c r="I2559" s="9" t="inlineStr">
        <is>
          <t>Depth (no MLB IP)</t>
        </is>
      </c>
      <c r="J2559" s="18" t="inlineStr">
        <is>
          <t>Opening Day</t>
        </is>
      </c>
      <c r="K2559" s="11">
        <f>IFERROR(INDEX(Roles!$B$17:$B$20,MATCH(J2559,Roles!$A$17:$A$20,0)),1)</f>
        <v/>
      </c>
      <c r="L2559" s="19" t="n">
        <v>1</v>
      </c>
      <c r="M2559" s="11" t="n">
        <v>1</v>
      </c>
      <c r="N2559" s="19" t="n"/>
      <c r="O2559" s="19" t="n"/>
      <c r="P2559" s="19" t="n"/>
      <c r="Q2559" s="19" t="n"/>
      <c r="R2559" s="19" t="n"/>
      <c r="S2559" s="19" t="n"/>
      <c r="T2559" s="19" t="n"/>
      <c r="U2559" s="19" t="n"/>
      <c r="V2559" s="19" t="n"/>
      <c r="W2559" s="19" t="n"/>
      <c r="X2559" s="19" t="n"/>
      <c r="Y2559" s="19" t="n">
        <v>1</v>
      </c>
      <c r="Z2559" s="13">
        <f>SUMPRODUCT(N2559:Y2559,$N$2:$Y$2)*$K2559*$L2559*$M2559</f>
        <v/>
      </c>
      <c r="AA2559" s="14">
        <f>SUM(N2559:Y2559)</f>
        <v/>
      </c>
      <c r="AB2559" s="13">
        <f>SUMPRODUCT(N2559:Y2559,$N$3:$Y$3)*$K2559*$L2559*$M2559</f>
        <v/>
      </c>
      <c r="AC2559" s="13">
        <f>SUMPRODUCT(N2559:Y2559,$N$4:$Y$4)*$K2559*$L2559*$M2559</f>
        <v/>
      </c>
      <c r="AD2559" s="15" t="n">
        <v>3</v>
      </c>
      <c r="AE2559" s="11" t="n">
        <v>1.011296296296296</v>
      </c>
      <c r="AF2559" s="16">
        <f>SUMPRODUCT(N2559:Y2559,$N$5:$Y$5)*$K2559*$L2559*$M2559</f>
        <v/>
      </c>
      <c r="AG2559" s="16">
        <f>SUMPRODUCT(N2559:Y2559,$N$6:$Y$6)*$K2559*$L2559*$M2559</f>
        <v/>
      </c>
      <c r="AH2559" s="20" t="n"/>
    </row>
    <row r="2560">
      <c r="A2560" s="9" t="n">
        <v>800580</v>
      </c>
      <c r="B2560" s="9" t="inlineStr">
        <is>
          <t>Yimi Presinal</t>
        </is>
      </c>
      <c r="C2560" s="9" t="inlineStr">
        <is>
          <t>KC</t>
        </is>
      </c>
      <c r="D2560" s="9" t="n">
        <v>25</v>
      </c>
      <c r="E2560" s="18" t="inlineStr">
        <is>
          <t>R</t>
        </is>
      </c>
      <c r="F2560" s="18" t="n"/>
      <c r="G2560" s="9" t="n">
        <v>44.72</v>
      </c>
      <c r="H2560" s="9" t="n">
        <v>44.72</v>
      </c>
      <c r="I2560" s="9" t="inlineStr">
        <is>
          <t>Depth (no MLB IP)</t>
        </is>
      </c>
      <c r="J2560" s="18" t="inlineStr">
        <is>
          <t>Opening Day</t>
        </is>
      </c>
      <c r="K2560" s="11">
        <f>IFERROR(INDEX(Roles!$B$17:$B$20,MATCH(J2560,Roles!$A$17:$A$20,0)),1)</f>
        <v/>
      </c>
      <c r="L2560" s="19" t="n">
        <v>1</v>
      </c>
      <c r="M2560" s="11" t="n">
        <v>1</v>
      </c>
      <c r="N2560" s="19" t="n"/>
      <c r="O2560" s="19" t="n"/>
      <c r="P2560" s="19" t="n"/>
      <c r="Q2560" s="19" t="n"/>
      <c r="R2560" s="19" t="n"/>
      <c r="S2560" s="19" t="n"/>
      <c r="T2560" s="19" t="n"/>
      <c r="U2560" s="19" t="n"/>
      <c r="V2560" s="19" t="n"/>
      <c r="W2560" s="19" t="n"/>
      <c r="X2560" s="19" t="n"/>
      <c r="Y2560" s="19" t="n">
        <v>1</v>
      </c>
      <c r="Z2560" s="13">
        <f>SUMPRODUCT(N2560:Y2560,$N$2:$Y$2)*$K2560*$L2560*$M2560</f>
        <v/>
      </c>
      <c r="AA2560" s="14">
        <f>SUM(N2560:Y2560)</f>
        <v/>
      </c>
      <c r="AB2560" s="13">
        <f>SUMPRODUCT(N2560:Y2560,$N$3:$Y$3)*$K2560*$L2560*$M2560</f>
        <v/>
      </c>
      <c r="AC2560" s="13">
        <f>SUMPRODUCT(N2560:Y2560,$N$4:$Y$4)*$K2560*$L2560*$M2560</f>
        <v/>
      </c>
      <c r="AD2560" s="15" t="n">
        <v>3</v>
      </c>
      <c r="AE2560" s="11" t="n">
        <v>1.011296296296296</v>
      </c>
      <c r="AF2560" s="16">
        <f>SUMPRODUCT(N2560:Y2560,$N$5:$Y$5)*$K2560*$L2560*$M2560</f>
        <v/>
      </c>
      <c r="AG2560" s="16">
        <f>SUMPRODUCT(N2560:Y2560,$N$6:$Y$6)*$K2560*$L2560*$M2560</f>
        <v/>
      </c>
      <c r="AH2560" s="20" t="n"/>
    </row>
    <row r="2561">
      <c r="A2561" s="9" t="n">
        <v>695787</v>
      </c>
      <c r="B2561" s="9" t="inlineStr">
        <is>
          <t>Trent Hodgdon</t>
        </is>
      </c>
      <c r="C2561" s="9" t="inlineStr">
        <is>
          <t>CIN</t>
        </is>
      </c>
      <c r="D2561" s="9" t="n">
        <v>25</v>
      </c>
      <c r="E2561" s="18" t="inlineStr">
        <is>
          <t>R</t>
        </is>
      </c>
      <c r="F2561" s="18" t="n"/>
      <c r="G2561" s="9" t="n">
        <v>44.72</v>
      </c>
      <c r="H2561" s="9" t="n">
        <v>44.72</v>
      </c>
      <c r="I2561" s="9" t="inlineStr">
        <is>
          <t>Depth (no MLB IP)</t>
        </is>
      </c>
      <c r="J2561" s="18" t="inlineStr">
        <is>
          <t>Opening Day</t>
        </is>
      </c>
      <c r="K2561" s="11">
        <f>IFERROR(INDEX(Roles!$B$17:$B$20,MATCH(J2561,Roles!$A$17:$A$20,0)),1)</f>
        <v/>
      </c>
      <c r="L2561" s="19" t="n">
        <v>1</v>
      </c>
      <c r="M2561" s="11" t="n">
        <v>1</v>
      </c>
      <c r="N2561" s="19" t="n"/>
      <c r="O2561" s="19" t="n"/>
      <c r="P2561" s="19" t="n"/>
      <c r="Q2561" s="19" t="n"/>
      <c r="R2561" s="19" t="n"/>
      <c r="S2561" s="19" t="n"/>
      <c r="T2561" s="19" t="n"/>
      <c r="U2561" s="19" t="n"/>
      <c r="V2561" s="19" t="n"/>
      <c r="W2561" s="19" t="n"/>
      <c r="X2561" s="19" t="n"/>
      <c r="Y2561" s="19" t="n">
        <v>1</v>
      </c>
      <c r="Z2561" s="13">
        <f>SUMPRODUCT(N2561:Y2561,$N$2:$Y$2)*$K2561*$L2561*$M2561</f>
        <v/>
      </c>
      <c r="AA2561" s="14">
        <f>SUM(N2561:Y2561)</f>
        <v/>
      </c>
      <c r="AB2561" s="13">
        <f>SUMPRODUCT(N2561:Y2561,$N$3:$Y$3)*$K2561*$L2561*$M2561</f>
        <v/>
      </c>
      <c r="AC2561" s="13">
        <f>SUMPRODUCT(N2561:Y2561,$N$4:$Y$4)*$K2561*$L2561*$M2561</f>
        <v/>
      </c>
      <c r="AD2561" s="15" t="n">
        <v>3</v>
      </c>
      <c r="AE2561" s="11" t="n">
        <v>1.011296296296296</v>
      </c>
      <c r="AF2561" s="16">
        <f>SUMPRODUCT(N2561:Y2561,$N$5:$Y$5)*$K2561*$L2561*$M2561</f>
        <v/>
      </c>
      <c r="AG2561" s="16">
        <f>SUMPRODUCT(N2561:Y2561,$N$6:$Y$6)*$K2561*$L2561*$M2561</f>
        <v/>
      </c>
      <c r="AH2561" s="20" t="n"/>
    </row>
    <row r="2562">
      <c r="A2562" s="9" t="n">
        <v>453178</v>
      </c>
      <c r="B2562" s="9" t="inlineStr">
        <is>
          <t>Ian Kennedy</t>
        </is>
      </c>
      <c r="C2562" s="9" t="inlineStr">
        <is>
          <t>TEX</t>
        </is>
      </c>
      <c r="D2562" s="9" t="n">
        <v>42</v>
      </c>
      <c r="E2562" s="18" t="inlineStr">
        <is>
          <t>R</t>
        </is>
      </c>
      <c r="F2562" s="18" t="n"/>
      <c r="G2562" s="9" t="n">
        <v>75</v>
      </c>
      <c r="H2562" s="9" t="n">
        <v>307</v>
      </c>
      <c r="I2562" s="9" t="inlineStr">
        <is>
          <t>Depth (no MLB IP)</t>
        </is>
      </c>
      <c r="J2562" s="18" t="inlineStr">
        <is>
          <t>Opening Day</t>
        </is>
      </c>
      <c r="K2562" s="11">
        <f>IFERROR(INDEX(Roles!$B$17:$B$20,MATCH(J2562,Roles!$A$17:$A$20,0)),1)</f>
        <v/>
      </c>
      <c r="L2562" s="19" t="n">
        <v>1</v>
      </c>
      <c r="M2562" s="11" t="n">
        <v>1</v>
      </c>
      <c r="N2562" s="19" t="n"/>
      <c r="O2562" s="19" t="n"/>
      <c r="P2562" s="19" t="n"/>
      <c r="Q2562" s="19" t="n"/>
      <c r="R2562" s="19" t="n"/>
      <c r="S2562" s="19" t="n"/>
      <c r="T2562" s="19" t="n"/>
      <c r="U2562" s="19" t="n"/>
      <c r="V2562" s="19" t="n"/>
      <c r="W2562" s="19" t="n"/>
      <c r="X2562" s="19" t="n"/>
      <c r="Y2562" s="19" t="n">
        <v>1</v>
      </c>
      <c r="Z2562" s="13">
        <f>SUMPRODUCT(N2562:Y2562,$N$2:$Y$2)*$K2562*$L2562*$M2562</f>
        <v/>
      </c>
      <c r="AA2562" s="14">
        <f>SUM(N2562:Y2562)</f>
        <v/>
      </c>
      <c r="AB2562" s="13">
        <f>SUMPRODUCT(N2562:Y2562,$N$3:$Y$3)*$K2562*$L2562*$M2562</f>
        <v/>
      </c>
      <c r="AC2562" s="13">
        <f>SUMPRODUCT(N2562:Y2562,$N$4:$Y$4)*$K2562*$L2562*$M2562</f>
        <v/>
      </c>
      <c r="AD2562" s="15" t="n">
        <v>3</v>
      </c>
      <c r="AE2562" s="11" t="n">
        <v>1.011296296296296</v>
      </c>
      <c r="AF2562" s="16">
        <f>SUMPRODUCT(N2562:Y2562,$N$5:$Y$5)*$K2562*$L2562*$M2562</f>
        <v/>
      </c>
      <c r="AG2562" s="16">
        <f>SUMPRODUCT(N2562:Y2562,$N$6:$Y$6)*$K2562*$L2562*$M2562</f>
        <v/>
      </c>
      <c r="AH2562" s="20" t="n"/>
    </row>
    <row r="2563">
      <c r="A2563" s="9" t="n">
        <v>683020</v>
      </c>
      <c r="B2563" s="9" t="inlineStr">
        <is>
          <t>Gustavo Rodriguez</t>
        </is>
      </c>
      <c r="C2563" s="9" t="inlineStr">
        <is>
          <t>OAK</t>
        </is>
      </c>
      <c r="D2563" s="9" t="n">
        <v>25</v>
      </c>
      <c r="E2563" s="18" t="inlineStr">
        <is>
          <t>R</t>
        </is>
      </c>
      <c r="F2563" s="18" t="n"/>
      <c r="G2563" s="9" t="n">
        <v>44.935</v>
      </c>
      <c r="H2563" s="9" t="n">
        <v>44.935</v>
      </c>
      <c r="I2563" s="9" t="inlineStr">
        <is>
          <t>Depth (no MLB IP)</t>
        </is>
      </c>
      <c r="J2563" s="18" t="inlineStr">
        <is>
          <t>Opening Day</t>
        </is>
      </c>
      <c r="K2563" s="11">
        <f>IFERROR(INDEX(Roles!$B$17:$B$20,MATCH(J2563,Roles!$A$17:$A$20,0)),1)</f>
        <v/>
      </c>
      <c r="L2563" s="19" t="n">
        <v>1</v>
      </c>
      <c r="M2563" s="11" t="n">
        <v>1</v>
      </c>
      <c r="N2563" s="19" t="n"/>
      <c r="O2563" s="19" t="n"/>
      <c r="P2563" s="19" t="n"/>
      <c r="Q2563" s="19" t="n"/>
      <c r="R2563" s="19" t="n"/>
      <c r="S2563" s="19" t="n"/>
      <c r="T2563" s="19" t="n"/>
      <c r="U2563" s="19" t="n"/>
      <c r="V2563" s="19" t="n"/>
      <c r="W2563" s="19" t="n"/>
      <c r="X2563" s="19" t="n"/>
      <c r="Y2563" s="19" t="n">
        <v>1</v>
      </c>
      <c r="Z2563" s="13">
        <f>SUMPRODUCT(N2563:Y2563,$N$2:$Y$2)*$K2563*$L2563*$M2563</f>
        <v/>
      </c>
      <c r="AA2563" s="14">
        <f>SUM(N2563:Y2563)</f>
        <v/>
      </c>
      <c r="AB2563" s="13">
        <f>SUMPRODUCT(N2563:Y2563,$N$3:$Y$3)*$K2563*$L2563*$M2563</f>
        <v/>
      </c>
      <c r="AC2563" s="13">
        <f>SUMPRODUCT(N2563:Y2563,$N$4:$Y$4)*$K2563*$L2563*$M2563</f>
        <v/>
      </c>
      <c r="AD2563" s="15" t="n">
        <v>3</v>
      </c>
      <c r="AE2563" s="11" t="n">
        <v>1.011296296296296</v>
      </c>
      <c r="AF2563" s="16">
        <f>SUMPRODUCT(N2563:Y2563,$N$5:$Y$5)*$K2563*$L2563*$M2563</f>
        <v/>
      </c>
      <c r="AG2563" s="16">
        <f>SUMPRODUCT(N2563:Y2563,$N$6:$Y$6)*$K2563*$L2563*$M2563</f>
        <v/>
      </c>
      <c r="AH2563" s="20" t="n"/>
    </row>
    <row r="2564">
      <c r="A2564" s="9" t="n">
        <v>621294</v>
      </c>
      <c r="B2564" s="9" t="inlineStr">
        <is>
          <t>Ben Heller</t>
        </is>
      </c>
      <c r="C2564" s="9" t="inlineStr">
        <is>
          <t>PIT</t>
        </is>
      </c>
      <c r="D2564" s="9" t="n">
        <v>35</v>
      </c>
      <c r="E2564" s="18" t="inlineStr">
        <is>
          <t>R</t>
        </is>
      </c>
      <c r="F2564" s="18" t="n"/>
      <c r="G2564" s="9" t="n">
        <v>66</v>
      </c>
      <c r="H2564" s="9" t="n">
        <v>148</v>
      </c>
      <c r="I2564" s="9" t="inlineStr">
        <is>
          <t>Depth (no MLB IP)</t>
        </is>
      </c>
      <c r="J2564" s="18" t="inlineStr">
        <is>
          <t>Opening Day</t>
        </is>
      </c>
      <c r="K2564" s="11">
        <f>IFERROR(INDEX(Roles!$B$17:$B$20,MATCH(J2564,Roles!$A$17:$A$20,0)),1)</f>
        <v/>
      </c>
      <c r="L2564" s="19" t="n">
        <v>1</v>
      </c>
      <c r="M2564" s="11" t="n">
        <v>1</v>
      </c>
      <c r="N2564" s="19" t="n"/>
      <c r="O2564" s="19" t="n"/>
      <c r="P2564" s="19" t="n"/>
      <c r="Q2564" s="19" t="n"/>
      <c r="R2564" s="19" t="n"/>
      <c r="S2564" s="19" t="n"/>
      <c r="T2564" s="19" t="n"/>
      <c r="U2564" s="19" t="n"/>
      <c r="V2564" s="19" t="n"/>
      <c r="W2564" s="19" t="n"/>
      <c r="X2564" s="19" t="n"/>
      <c r="Y2564" s="19" t="n">
        <v>1</v>
      </c>
      <c r="Z2564" s="13">
        <f>SUMPRODUCT(N2564:Y2564,$N$2:$Y$2)*$K2564*$L2564*$M2564</f>
        <v/>
      </c>
      <c r="AA2564" s="14">
        <f>SUM(N2564:Y2564)</f>
        <v/>
      </c>
      <c r="AB2564" s="13">
        <f>SUMPRODUCT(N2564:Y2564,$N$3:$Y$3)*$K2564*$L2564*$M2564</f>
        <v/>
      </c>
      <c r="AC2564" s="13">
        <f>SUMPRODUCT(N2564:Y2564,$N$4:$Y$4)*$K2564*$L2564*$M2564</f>
        <v/>
      </c>
      <c r="AD2564" s="15" t="n">
        <v>6</v>
      </c>
      <c r="AE2564" s="11" t="n">
        <v>1.174197530864197</v>
      </c>
      <c r="AF2564" s="16">
        <f>SUMPRODUCT(N2564:Y2564,$N$5:$Y$5)*$K2564*$L2564*$M2564</f>
        <v/>
      </c>
      <c r="AG2564" s="16">
        <f>SUMPRODUCT(N2564:Y2564,$N$6:$Y$6)*$K2564*$L2564*$M2564</f>
        <v/>
      </c>
      <c r="AH2564" s="20" t="n"/>
    </row>
    <row r="2565">
      <c r="A2565" s="9" t="n">
        <v>807988</v>
      </c>
      <c r="B2565" s="9" t="inlineStr">
        <is>
          <t>Donny Troconis</t>
        </is>
      </c>
      <c r="C2565" s="9" t="inlineStr">
        <is>
          <t>OAK</t>
        </is>
      </c>
      <c r="D2565" s="9" t="n">
        <v>25</v>
      </c>
      <c r="E2565" s="18" t="inlineStr">
        <is>
          <t>R</t>
        </is>
      </c>
      <c r="F2565" s="18" t="n"/>
      <c r="G2565" s="9" t="n">
        <v>44.892</v>
      </c>
      <c r="H2565" s="9" t="n">
        <v>44.892</v>
      </c>
      <c r="I2565" s="9" t="inlineStr">
        <is>
          <t>Depth (no MLB IP)</t>
        </is>
      </c>
      <c r="J2565" s="18" t="inlineStr">
        <is>
          <t>Opening Day</t>
        </is>
      </c>
      <c r="K2565" s="11">
        <f>IFERROR(INDEX(Roles!$B$17:$B$20,MATCH(J2565,Roles!$A$17:$A$20,0)),1)</f>
        <v/>
      </c>
      <c r="L2565" s="19" t="n">
        <v>1</v>
      </c>
      <c r="M2565" s="11" t="n">
        <v>1</v>
      </c>
      <c r="N2565" s="19" t="n"/>
      <c r="O2565" s="19" t="n"/>
      <c r="P2565" s="19" t="n"/>
      <c r="Q2565" s="19" t="n"/>
      <c r="R2565" s="19" t="n"/>
      <c r="S2565" s="19" t="n"/>
      <c r="T2565" s="19" t="n"/>
      <c r="U2565" s="19" t="n"/>
      <c r="V2565" s="19" t="n"/>
      <c r="W2565" s="19" t="n"/>
      <c r="X2565" s="19" t="n"/>
      <c r="Y2565" s="19" t="n">
        <v>1</v>
      </c>
      <c r="Z2565" s="13">
        <f>SUMPRODUCT(N2565:Y2565,$N$2:$Y$2)*$K2565*$L2565*$M2565</f>
        <v/>
      </c>
      <c r="AA2565" s="14">
        <f>SUM(N2565:Y2565)</f>
        <v/>
      </c>
      <c r="AB2565" s="13">
        <f>SUMPRODUCT(N2565:Y2565,$N$3:$Y$3)*$K2565*$L2565*$M2565</f>
        <v/>
      </c>
      <c r="AC2565" s="13">
        <f>SUMPRODUCT(N2565:Y2565,$N$4:$Y$4)*$K2565*$L2565*$M2565</f>
        <v/>
      </c>
      <c r="AD2565" s="15" t="n">
        <v>3</v>
      </c>
      <c r="AE2565" s="11" t="n">
        <v>1.011296296296296</v>
      </c>
      <c r="AF2565" s="16">
        <f>SUMPRODUCT(N2565:Y2565,$N$5:$Y$5)*$K2565*$L2565*$M2565</f>
        <v/>
      </c>
      <c r="AG2565" s="16">
        <f>SUMPRODUCT(N2565:Y2565,$N$6:$Y$6)*$K2565*$L2565*$M2565</f>
        <v/>
      </c>
      <c r="AH2565" s="20" t="n"/>
    </row>
    <row r="2566">
      <c r="A2566" s="9" t="n">
        <v>813707</v>
      </c>
      <c r="B2566" s="9" t="inlineStr">
        <is>
          <t>Merrick Baldo</t>
        </is>
      </c>
      <c r="C2566" s="9" t="inlineStr">
        <is>
          <t>WSH</t>
        </is>
      </c>
      <c r="D2566" s="9" t="n">
        <v>25</v>
      </c>
      <c r="E2566" s="18" t="inlineStr">
        <is>
          <t>R</t>
        </is>
      </c>
      <c r="F2566" s="18" t="n"/>
      <c r="G2566" s="9" t="n">
        <v>45.00666666666667</v>
      </c>
      <c r="H2566" s="9" t="n">
        <v>45.00666666666667</v>
      </c>
      <c r="I2566" s="9" t="inlineStr">
        <is>
          <t>Depth (no MLB IP)</t>
        </is>
      </c>
      <c r="J2566" s="18" t="inlineStr">
        <is>
          <t>Opening Day</t>
        </is>
      </c>
      <c r="K2566" s="11">
        <f>IFERROR(INDEX(Roles!$B$17:$B$20,MATCH(J2566,Roles!$A$17:$A$20,0)),1)</f>
        <v/>
      </c>
      <c r="L2566" s="19" t="n">
        <v>1</v>
      </c>
      <c r="M2566" s="11" t="n">
        <v>1</v>
      </c>
      <c r="N2566" s="19" t="n"/>
      <c r="O2566" s="19" t="n"/>
      <c r="P2566" s="19" t="n"/>
      <c r="Q2566" s="19" t="n"/>
      <c r="R2566" s="19" t="n"/>
      <c r="S2566" s="19" t="n"/>
      <c r="T2566" s="19" t="n"/>
      <c r="U2566" s="19" t="n"/>
      <c r="V2566" s="19" t="n"/>
      <c r="W2566" s="19" t="n"/>
      <c r="X2566" s="19" t="n"/>
      <c r="Y2566" s="19" t="n">
        <v>1</v>
      </c>
      <c r="Z2566" s="13">
        <f>SUMPRODUCT(N2566:Y2566,$N$2:$Y$2)*$K2566*$L2566*$M2566</f>
        <v/>
      </c>
      <c r="AA2566" s="14">
        <f>SUM(N2566:Y2566)</f>
        <v/>
      </c>
      <c r="AB2566" s="13">
        <f>SUMPRODUCT(N2566:Y2566,$N$3:$Y$3)*$K2566*$L2566*$M2566</f>
        <v/>
      </c>
      <c r="AC2566" s="13">
        <f>SUMPRODUCT(N2566:Y2566,$N$4:$Y$4)*$K2566*$L2566*$M2566</f>
        <v/>
      </c>
      <c r="AD2566" s="15" t="n">
        <v>3</v>
      </c>
      <c r="AE2566" s="11" t="n">
        <v>1.011296296296296</v>
      </c>
      <c r="AF2566" s="16">
        <f>SUMPRODUCT(N2566:Y2566,$N$5:$Y$5)*$K2566*$L2566*$M2566</f>
        <v/>
      </c>
      <c r="AG2566" s="16">
        <f>SUMPRODUCT(N2566:Y2566,$N$6:$Y$6)*$K2566*$L2566*$M2566</f>
        <v/>
      </c>
      <c r="AH2566" s="20" t="n"/>
    </row>
    <row r="2567">
      <c r="A2567" s="9" t="n">
        <v>823182</v>
      </c>
      <c r="B2567" s="9" t="inlineStr">
        <is>
          <t>Braylon Owens</t>
        </is>
      </c>
      <c r="C2567" s="9" t="inlineStr">
        <is>
          <t>MIL</t>
        </is>
      </c>
      <c r="D2567" s="9" t="n">
        <v>25</v>
      </c>
      <c r="E2567" s="18" t="inlineStr">
        <is>
          <t>R</t>
        </is>
      </c>
      <c r="F2567" s="18" t="n"/>
      <c r="G2567" s="9" t="n">
        <v>45.15</v>
      </c>
      <c r="H2567" s="9" t="n">
        <v>45.15</v>
      </c>
      <c r="I2567" s="9" t="inlineStr">
        <is>
          <t>Depth (no MLB IP)</t>
        </is>
      </c>
      <c r="J2567" s="18" t="inlineStr">
        <is>
          <t>Opening Day</t>
        </is>
      </c>
      <c r="K2567" s="11">
        <f>IFERROR(INDEX(Roles!$B$17:$B$20,MATCH(J2567,Roles!$A$17:$A$20,0)),1)</f>
        <v/>
      </c>
      <c r="L2567" s="19" t="n">
        <v>1</v>
      </c>
      <c r="M2567" s="11" t="n">
        <v>1</v>
      </c>
      <c r="N2567" s="19" t="n"/>
      <c r="O2567" s="19" t="n"/>
      <c r="P2567" s="19" t="n"/>
      <c r="Q2567" s="19" t="n"/>
      <c r="R2567" s="19" t="n"/>
      <c r="S2567" s="19" t="n"/>
      <c r="T2567" s="19" t="n"/>
      <c r="U2567" s="19" t="n"/>
      <c r="V2567" s="19" t="n"/>
      <c r="W2567" s="19" t="n"/>
      <c r="X2567" s="19" t="n"/>
      <c r="Y2567" s="19" t="n">
        <v>1</v>
      </c>
      <c r="Z2567" s="13">
        <f>SUMPRODUCT(N2567:Y2567,$N$2:$Y$2)*$K2567*$L2567*$M2567</f>
        <v/>
      </c>
      <c r="AA2567" s="14">
        <f>SUM(N2567:Y2567)</f>
        <v/>
      </c>
      <c r="AB2567" s="13">
        <f>SUMPRODUCT(N2567:Y2567,$N$3:$Y$3)*$K2567*$L2567*$M2567</f>
        <v/>
      </c>
      <c r="AC2567" s="13">
        <f>SUMPRODUCT(N2567:Y2567,$N$4:$Y$4)*$K2567*$L2567*$M2567</f>
        <v/>
      </c>
      <c r="AD2567" s="15" t="n">
        <v>3</v>
      </c>
      <c r="AE2567" s="11" t="n">
        <v>1.011296296296296</v>
      </c>
      <c r="AF2567" s="16">
        <f>SUMPRODUCT(N2567:Y2567,$N$5:$Y$5)*$K2567*$L2567*$M2567</f>
        <v/>
      </c>
      <c r="AG2567" s="16">
        <f>SUMPRODUCT(N2567:Y2567,$N$6:$Y$6)*$K2567*$L2567*$M2567</f>
        <v/>
      </c>
      <c r="AH2567" s="20" t="n"/>
    </row>
    <row r="2568">
      <c r="A2568" s="9" t="n">
        <v>695695</v>
      </c>
      <c r="B2568" s="9" t="inlineStr">
        <is>
          <t>Tyson Neighbors</t>
        </is>
      </c>
      <c r="C2568" s="9" t="inlineStr">
        <is>
          <t>BAL</t>
        </is>
      </c>
      <c r="D2568" s="9" t="n">
        <v>25</v>
      </c>
      <c r="E2568" s="18" t="inlineStr">
        <is>
          <t>R</t>
        </is>
      </c>
      <c r="F2568" s="18" t="n"/>
      <c r="G2568" s="9" t="n">
        <v>45.15</v>
      </c>
      <c r="H2568" s="9" t="n">
        <v>45.15</v>
      </c>
      <c r="I2568" s="9" t="inlineStr">
        <is>
          <t>Depth (no MLB IP)</t>
        </is>
      </c>
      <c r="J2568" s="18" t="inlineStr">
        <is>
          <t>Opening Day</t>
        </is>
      </c>
      <c r="K2568" s="11">
        <f>IFERROR(INDEX(Roles!$B$17:$B$20,MATCH(J2568,Roles!$A$17:$A$20,0)),1)</f>
        <v/>
      </c>
      <c r="L2568" s="19" t="n">
        <v>1</v>
      </c>
      <c r="M2568" s="11" t="n">
        <v>1</v>
      </c>
      <c r="N2568" s="19" t="n"/>
      <c r="O2568" s="19" t="n"/>
      <c r="P2568" s="19" t="n"/>
      <c r="Q2568" s="19" t="n"/>
      <c r="R2568" s="19" t="n"/>
      <c r="S2568" s="19" t="n"/>
      <c r="T2568" s="19" t="n"/>
      <c r="U2568" s="19" t="n"/>
      <c r="V2568" s="19" t="n"/>
      <c r="W2568" s="19" t="n"/>
      <c r="X2568" s="19" t="n"/>
      <c r="Y2568" s="19" t="n">
        <v>1</v>
      </c>
      <c r="Z2568" s="13">
        <f>SUMPRODUCT(N2568:Y2568,$N$2:$Y$2)*$K2568*$L2568*$M2568</f>
        <v/>
      </c>
      <c r="AA2568" s="14">
        <f>SUM(N2568:Y2568)</f>
        <v/>
      </c>
      <c r="AB2568" s="13">
        <f>SUMPRODUCT(N2568:Y2568,$N$3:$Y$3)*$K2568*$L2568*$M2568</f>
        <v/>
      </c>
      <c r="AC2568" s="13">
        <f>SUMPRODUCT(N2568:Y2568,$N$4:$Y$4)*$K2568*$L2568*$M2568</f>
        <v/>
      </c>
      <c r="AD2568" s="15" t="n">
        <v>3</v>
      </c>
      <c r="AE2568" s="11" t="n">
        <v>1.011296296296296</v>
      </c>
      <c r="AF2568" s="16">
        <f>SUMPRODUCT(N2568:Y2568,$N$5:$Y$5)*$K2568*$L2568*$M2568</f>
        <v/>
      </c>
      <c r="AG2568" s="16">
        <f>SUMPRODUCT(N2568:Y2568,$N$6:$Y$6)*$K2568*$L2568*$M2568</f>
        <v/>
      </c>
      <c r="AH2568" s="20" t="n"/>
    </row>
    <row r="2569">
      <c r="A2569" s="9" t="n">
        <v>813989</v>
      </c>
      <c r="B2569" s="9" t="inlineStr">
        <is>
          <t>Talon Haley</t>
        </is>
      </c>
      <c r="C2569" s="9" t="inlineStr">
        <is>
          <t>LAA</t>
        </is>
      </c>
      <c r="D2569" s="9" t="n">
        <v>25</v>
      </c>
      <c r="E2569" s="18" t="inlineStr">
        <is>
          <t>L</t>
        </is>
      </c>
      <c r="F2569" s="18" t="n"/>
      <c r="G2569" s="9" t="n">
        <v>45.236</v>
      </c>
      <c r="H2569" s="9" t="n">
        <v>45.236</v>
      </c>
      <c r="I2569" s="9" t="inlineStr">
        <is>
          <t>Depth (no MLB IP)</t>
        </is>
      </c>
      <c r="J2569" s="18" t="inlineStr">
        <is>
          <t>Opening Day</t>
        </is>
      </c>
      <c r="K2569" s="11">
        <f>IFERROR(INDEX(Roles!$B$17:$B$20,MATCH(J2569,Roles!$A$17:$A$20,0)),1)</f>
        <v/>
      </c>
      <c r="L2569" s="19" t="n">
        <v>1</v>
      </c>
      <c r="M2569" s="11" t="n">
        <v>1</v>
      </c>
      <c r="N2569" s="19" t="n"/>
      <c r="O2569" s="19" t="n"/>
      <c r="P2569" s="19" t="n"/>
      <c r="Q2569" s="19" t="n"/>
      <c r="R2569" s="19" t="n"/>
      <c r="S2569" s="19" t="n"/>
      <c r="T2569" s="19" t="n"/>
      <c r="U2569" s="19" t="n"/>
      <c r="V2569" s="19" t="n"/>
      <c r="W2569" s="19" t="n"/>
      <c r="X2569" s="19" t="n"/>
      <c r="Y2569" s="19" t="n">
        <v>1</v>
      </c>
      <c r="Z2569" s="13">
        <f>SUMPRODUCT(N2569:Y2569,$N$2:$Y$2)*$K2569*$L2569*$M2569</f>
        <v/>
      </c>
      <c r="AA2569" s="14">
        <f>SUM(N2569:Y2569)</f>
        <v/>
      </c>
      <c r="AB2569" s="13">
        <f>SUMPRODUCT(N2569:Y2569,$N$3:$Y$3)*$K2569*$L2569*$M2569</f>
        <v/>
      </c>
      <c r="AC2569" s="13">
        <f>SUMPRODUCT(N2569:Y2569,$N$4:$Y$4)*$K2569*$L2569*$M2569</f>
        <v/>
      </c>
      <c r="AD2569" s="15" t="n">
        <v>3</v>
      </c>
      <c r="AE2569" s="11" t="n">
        <v>1.011296296296296</v>
      </c>
      <c r="AF2569" s="16">
        <f>SUMPRODUCT(N2569:Y2569,$N$5:$Y$5)*$K2569*$L2569*$M2569</f>
        <v/>
      </c>
      <c r="AG2569" s="16">
        <f>SUMPRODUCT(N2569:Y2569,$N$6:$Y$6)*$K2569*$L2569*$M2569</f>
        <v/>
      </c>
      <c r="AH2569" s="20" t="n"/>
    </row>
    <row r="2570">
      <c r="A2570" s="9" t="n">
        <v>692437</v>
      </c>
      <c r="B2570" s="9" t="inlineStr">
        <is>
          <t>Winston Santos</t>
        </is>
      </c>
      <c r="C2570" s="9" t="inlineStr">
        <is>
          <t>TEX</t>
        </is>
      </c>
      <c r="D2570" s="9" t="n">
        <v>25</v>
      </c>
      <c r="E2570" s="18" t="inlineStr">
        <is>
          <t>R</t>
        </is>
      </c>
      <c r="F2570" s="18" t="n"/>
      <c r="G2570" s="9" t="n">
        <v>9</v>
      </c>
      <c r="H2570" s="9" t="n">
        <v>9</v>
      </c>
      <c r="I2570" s="9" t="inlineStr">
        <is>
          <t>Depth (no MLB IP)</t>
        </is>
      </c>
      <c r="J2570" s="18" t="inlineStr">
        <is>
          <t>Opening Day</t>
        </is>
      </c>
      <c r="K2570" s="11">
        <f>IFERROR(INDEX(Roles!$B$17:$B$20,MATCH(J2570,Roles!$A$17:$A$20,0)),1)</f>
        <v/>
      </c>
      <c r="L2570" s="19" t="n">
        <v>1</v>
      </c>
      <c r="M2570" s="11" t="n">
        <v>1</v>
      </c>
      <c r="N2570" s="19" t="n"/>
      <c r="O2570" s="19" t="n"/>
      <c r="P2570" s="19" t="n"/>
      <c r="Q2570" s="19" t="n"/>
      <c r="R2570" s="19" t="n"/>
      <c r="S2570" s="19" t="n"/>
      <c r="T2570" s="19" t="n"/>
      <c r="U2570" s="19" t="n"/>
      <c r="V2570" s="19" t="n"/>
      <c r="W2570" s="19" t="n"/>
      <c r="X2570" s="19" t="n"/>
      <c r="Y2570" s="19" t="n">
        <v>1</v>
      </c>
      <c r="Z2570" s="13">
        <f>SUMPRODUCT(N2570:Y2570,$N$2:$Y$2)*$K2570*$L2570*$M2570</f>
        <v/>
      </c>
      <c r="AA2570" s="14">
        <f>SUM(N2570:Y2570)</f>
        <v/>
      </c>
      <c r="AB2570" s="13">
        <f>SUMPRODUCT(N2570:Y2570,$N$3:$Y$3)*$K2570*$L2570*$M2570</f>
        <v/>
      </c>
      <c r="AC2570" s="13">
        <f>SUMPRODUCT(N2570:Y2570,$N$4:$Y$4)*$K2570*$L2570*$M2570</f>
        <v/>
      </c>
      <c r="AD2570" s="15" t="n">
        <v>1.8</v>
      </c>
      <c r="AE2570" s="11" t="n">
        <v>1.340864197530864</v>
      </c>
      <c r="AF2570" s="16">
        <f>SUMPRODUCT(N2570:Y2570,$N$5:$Y$5)*$K2570*$L2570*$M2570</f>
        <v/>
      </c>
      <c r="AG2570" s="16">
        <f>SUMPRODUCT(N2570:Y2570,$N$6:$Y$6)*$K2570*$L2570*$M2570</f>
        <v/>
      </c>
      <c r="AH2570" s="20" t="n"/>
    </row>
    <row r="2571">
      <c r="A2571" s="9" t="n">
        <v>815779</v>
      </c>
      <c r="B2571" s="9" t="inlineStr">
        <is>
          <t>Cole Hillier</t>
        </is>
      </c>
      <c r="C2571" s="9" t="inlineStr">
        <is>
          <t>SF</t>
        </is>
      </c>
      <c r="D2571" s="9" t="n">
        <v>25</v>
      </c>
      <c r="E2571" s="18" t="inlineStr">
        <is>
          <t>R</t>
        </is>
      </c>
      <c r="F2571" s="18" t="n"/>
      <c r="G2571" s="9" t="n">
        <v>45.29333333333333</v>
      </c>
      <c r="H2571" s="9" t="n">
        <v>45.29333333333333</v>
      </c>
      <c r="I2571" s="9" t="inlineStr">
        <is>
          <t>Depth (no MLB IP)</t>
        </is>
      </c>
      <c r="J2571" s="18" t="inlineStr">
        <is>
          <t>Opening Day</t>
        </is>
      </c>
      <c r="K2571" s="11">
        <f>IFERROR(INDEX(Roles!$B$17:$B$20,MATCH(J2571,Roles!$A$17:$A$20,0)),1)</f>
        <v/>
      </c>
      <c r="L2571" s="19" t="n">
        <v>1</v>
      </c>
      <c r="M2571" s="11" t="n">
        <v>1</v>
      </c>
      <c r="N2571" s="19" t="n"/>
      <c r="O2571" s="19" t="n"/>
      <c r="P2571" s="19" t="n"/>
      <c r="Q2571" s="19" t="n"/>
      <c r="R2571" s="19" t="n"/>
      <c r="S2571" s="19" t="n"/>
      <c r="T2571" s="19" t="n"/>
      <c r="U2571" s="19" t="n"/>
      <c r="V2571" s="19" t="n"/>
      <c r="W2571" s="19" t="n"/>
      <c r="X2571" s="19" t="n"/>
      <c r="Y2571" s="19" t="n">
        <v>1</v>
      </c>
      <c r="Z2571" s="13">
        <f>SUMPRODUCT(N2571:Y2571,$N$2:$Y$2)*$K2571*$L2571*$M2571</f>
        <v/>
      </c>
      <c r="AA2571" s="14">
        <f>SUM(N2571:Y2571)</f>
        <v/>
      </c>
      <c r="AB2571" s="13">
        <f>SUMPRODUCT(N2571:Y2571,$N$3:$Y$3)*$K2571*$L2571*$M2571</f>
        <v/>
      </c>
      <c r="AC2571" s="13">
        <f>SUMPRODUCT(N2571:Y2571,$N$4:$Y$4)*$K2571*$L2571*$M2571</f>
        <v/>
      </c>
      <c r="AD2571" s="15" t="n">
        <v>3</v>
      </c>
      <c r="AE2571" s="11" t="n">
        <v>1.011296296296296</v>
      </c>
      <c r="AF2571" s="16">
        <f>SUMPRODUCT(N2571:Y2571,$N$5:$Y$5)*$K2571*$L2571*$M2571</f>
        <v/>
      </c>
      <c r="AG2571" s="16">
        <f>SUMPRODUCT(N2571:Y2571,$N$6:$Y$6)*$K2571*$L2571*$M2571</f>
        <v/>
      </c>
      <c r="AH2571" s="20" t="n"/>
    </row>
    <row r="2572">
      <c r="A2572" s="9" t="n">
        <v>668754</v>
      </c>
      <c r="B2572" s="9" t="inlineStr">
        <is>
          <t>Braden Bristo</t>
        </is>
      </c>
      <c r="C2572" s="9" t="inlineStr">
        <is>
          <t>DET</t>
        </is>
      </c>
      <c r="D2572" s="9" t="n">
        <v>32</v>
      </c>
      <c r="E2572" s="18" t="inlineStr">
        <is>
          <t>R</t>
        </is>
      </c>
      <c r="F2572" s="18" t="n"/>
      <c r="G2572" s="9" t="n">
        <v>30</v>
      </c>
      <c r="H2572" s="9" t="n">
        <v>30</v>
      </c>
      <c r="I2572" s="9" t="inlineStr">
        <is>
          <t>Depth (no MLB IP)</t>
        </is>
      </c>
      <c r="J2572" s="18" t="inlineStr">
        <is>
          <t>Opening Day</t>
        </is>
      </c>
      <c r="K2572" s="11">
        <f>IFERROR(INDEX(Roles!$B$17:$B$20,MATCH(J2572,Roles!$A$17:$A$20,0)),1)</f>
        <v/>
      </c>
      <c r="L2572" s="19" t="n">
        <v>1</v>
      </c>
      <c r="M2572" s="11" t="n">
        <v>1</v>
      </c>
      <c r="N2572" s="19" t="n"/>
      <c r="O2572" s="19" t="n"/>
      <c r="P2572" s="19" t="n"/>
      <c r="Q2572" s="19" t="n"/>
      <c r="R2572" s="19" t="n"/>
      <c r="S2572" s="19" t="n"/>
      <c r="T2572" s="19" t="n"/>
      <c r="U2572" s="19" t="n"/>
      <c r="V2572" s="19" t="n"/>
      <c r="W2572" s="19" t="n"/>
      <c r="X2572" s="19" t="n"/>
      <c r="Y2572" s="19" t="n">
        <v>1</v>
      </c>
      <c r="Z2572" s="13">
        <f>SUMPRODUCT(N2572:Y2572,$N$2:$Y$2)*$K2572*$L2572*$M2572</f>
        <v/>
      </c>
      <c r="AA2572" s="14">
        <f>SUM(N2572:Y2572)</f>
        <v/>
      </c>
      <c r="AB2572" s="13">
        <f>SUMPRODUCT(N2572:Y2572,$N$3:$Y$3)*$K2572*$L2572*$M2572</f>
        <v/>
      </c>
      <c r="AC2572" s="13">
        <f>SUMPRODUCT(N2572:Y2572,$N$4:$Y$4)*$K2572*$L2572*$M2572</f>
        <v/>
      </c>
      <c r="AD2572" s="15" t="n">
        <v>3</v>
      </c>
      <c r="AE2572" s="11" t="n">
        <v>1.011296296296296</v>
      </c>
      <c r="AF2572" s="16">
        <f>SUMPRODUCT(N2572:Y2572,$N$5:$Y$5)*$K2572*$L2572*$M2572</f>
        <v/>
      </c>
      <c r="AG2572" s="16">
        <f>SUMPRODUCT(N2572:Y2572,$N$6:$Y$6)*$K2572*$L2572*$M2572</f>
        <v/>
      </c>
      <c r="AH2572" s="20" t="n"/>
    </row>
    <row r="2573">
      <c r="A2573" s="9" t="n">
        <v>686946</v>
      </c>
      <c r="B2573" s="9" t="inlineStr">
        <is>
          <t>Jose Dicochea</t>
        </is>
      </c>
      <c r="C2573" s="9" t="inlineStr">
        <is>
          <t>OAK</t>
        </is>
      </c>
      <c r="D2573" s="9" t="n">
        <v>25</v>
      </c>
      <c r="E2573" s="18" t="inlineStr">
        <is>
          <t>R</t>
        </is>
      </c>
      <c r="F2573" s="18" t="n"/>
      <c r="G2573" s="9" t="n">
        <v>45.29333333333333</v>
      </c>
      <c r="H2573" s="9" t="n">
        <v>45.29333333333333</v>
      </c>
      <c r="I2573" s="9" t="inlineStr">
        <is>
          <t>Depth (no MLB IP)</t>
        </is>
      </c>
      <c r="J2573" s="18" t="inlineStr">
        <is>
          <t>Opening Day</t>
        </is>
      </c>
      <c r="K2573" s="11">
        <f>IFERROR(INDEX(Roles!$B$17:$B$20,MATCH(J2573,Roles!$A$17:$A$20,0)),1)</f>
        <v/>
      </c>
      <c r="L2573" s="19" t="n">
        <v>1</v>
      </c>
      <c r="M2573" s="11" t="n">
        <v>1</v>
      </c>
      <c r="N2573" s="19" t="n"/>
      <c r="O2573" s="19" t="n"/>
      <c r="P2573" s="19" t="n"/>
      <c r="Q2573" s="19" t="n"/>
      <c r="R2573" s="19" t="n"/>
      <c r="S2573" s="19" t="n"/>
      <c r="T2573" s="19" t="n"/>
      <c r="U2573" s="19" t="n"/>
      <c r="V2573" s="19" t="n"/>
      <c r="W2573" s="19" t="n"/>
      <c r="X2573" s="19" t="n"/>
      <c r="Y2573" s="19" t="n">
        <v>1</v>
      </c>
      <c r="Z2573" s="13">
        <f>SUMPRODUCT(N2573:Y2573,$N$2:$Y$2)*$K2573*$L2573*$M2573</f>
        <v/>
      </c>
      <c r="AA2573" s="14">
        <f>SUM(N2573:Y2573)</f>
        <v/>
      </c>
      <c r="AB2573" s="13">
        <f>SUMPRODUCT(N2573:Y2573,$N$3:$Y$3)*$K2573*$L2573*$M2573</f>
        <v/>
      </c>
      <c r="AC2573" s="13">
        <f>SUMPRODUCT(N2573:Y2573,$N$4:$Y$4)*$K2573*$L2573*$M2573</f>
        <v/>
      </c>
      <c r="AD2573" s="15" t="n">
        <v>3</v>
      </c>
      <c r="AE2573" s="11" t="n">
        <v>1.011296296296296</v>
      </c>
      <c r="AF2573" s="16">
        <f>SUMPRODUCT(N2573:Y2573,$N$5:$Y$5)*$K2573*$L2573*$M2573</f>
        <v/>
      </c>
      <c r="AG2573" s="16">
        <f>SUMPRODUCT(N2573:Y2573,$N$6:$Y$6)*$K2573*$L2573*$M2573</f>
        <v/>
      </c>
      <c r="AH2573" s="20" t="n"/>
    </row>
    <row r="2574">
      <c r="A2574" s="9" t="n">
        <v>813533</v>
      </c>
      <c r="B2574" s="9" t="inlineStr">
        <is>
          <t>Michael Lombardi</t>
        </is>
      </c>
      <c r="C2574" s="9" t="inlineStr">
        <is>
          <t>KC</t>
        </is>
      </c>
      <c r="D2574" s="9" t="n">
        <v>25</v>
      </c>
      <c r="E2574" s="18" t="inlineStr">
        <is>
          <t>R</t>
        </is>
      </c>
      <c r="F2574" s="18" t="n"/>
      <c r="G2574" s="9" t="n">
        <v>45.408</v>
      </c>
      <c r="H2574" s="9" t="n">
        <v>45.408</v>
      </c>
      <c r="I2574" s="9" t="inlineStr">
        <is>
          <t>Depth (no MLB IP)</t>
        </is>
      </c>
      <c r="J2574" s="18" t="inlineStr">
        <is>
          <t>Opening Day</t>
        </is>
      </c>
      <c r="K2574" s="11">
        <f>IFERROR(INDEX(Roles!$B$17:$B$20,MATCH(J2574,Roles!$A$17:$A$20,0)),1)</f>
        <v/>
      </c>
      <c r="L2574" s="19" t="n">
        <v>1</v>
      </c>
      <c r="M2574" s="11" t="n">
        <v>1</v>
      </c>
      <c r="N2574" s="19" t="n"/>
      <c r="O2574" s="19" t="n"/>
      <c r="P2574" s="19" t="n"/>
      <c r="Q2574" s="19" t="n"/>
      <c r="R2574" s="19" t="n"/>
      <c r="S2574" s="19" t="n"/>
      <c r="T2574" s="19" t="n"/>
      <c r="U2574" s="19" t="n"/>
      <c r="V2574" s="19" t="n"/>
      <c r="W2574" s="19" t="n"/>
      <c r="X2574" s="19" t="n"/>
      <c r="Y2574" s="19" t="n">
        <v>1</v>
      </c>
      <c r="Z2574" s="13">
        <f>SUMPRODUCT(N2574:Y2574,$N$2:$Y$2)*$K2574*$L2574*$M2574</f>
        <v/>
      </c>
      <c r="AA2574" s="14">
        <f>SUM(N2574:Y2574)</f>
        <v/>
      </c>
      <c r="AB2574" s="13">
        <f>SUMPRODUCT(N2574:Y2574,$N$3:$Y$3)*$K2574*$L2574*$M2574</f>
        <v/>
      </c>
      <c r="AC2574" s="13">
        <f>SUMPRODUCT(N2574:Y2574,$N$4:$Y$4)*$K2574*$L2574*$M2574</f>
        <v/>
      </c>
      <c r="AD2574" s="15" t="n">
        <v>3</v>
      </c>
      <c r="AE2574" s="11" t="n">
        <v>1.011296296296296</v>
      </c>
      <c r="AF2574" s="16">
        <f>SUMPRODUCT(N2574:Y2574,$N$5:$Y$5)*$K2574*$L2574*$M2574</f>
        <v/>
      </c>
      <c r="AG2574" s="16">
        <f>SUMPRODUCT(N2574:Y2574,$N$6:$Y$6)*$K2574*$L2574*$M2574</f>
        <v/>
      </c>
      <c r="AH2574" s="20" t="n"/>
    </row>
    <row r="2575">
      <c r="A2575" s="9" t="n">
        <v>687145</v>
      </c>
      <c r="B2575" s="9" t="inlineStr">
        <is>
          <t>Evan Justice</t>
        </is>
      </c>
      <c r="C2575" s="9" t="inlineStr">
        <is>
          <t>COL</t>
        </is>
      </c>
      <c r="D2575" s="9" t="n">
        <v>28</v>
      </c>
      <c r="E2575" s="18" t="inlineStr">
        <is>
          <t>L</t>
        </is>
      </c>
      <c r="F2575" s="18" t="n"/>
      <c r="G2575" s="9" t="n">
        <v>2</v>
      </c>
      <c r="H2575" s="9" t="n">
        <v>44</v>
      </c>
      <c r="I2575" s="9" t="inlineStr">
        <is>
          <t>Depth (no MLB IP)</t>
        </is>
      </c>
      <c r="J2575" s="18" t="inlineStr">
        <is>
          <t>Opening Day</t>
        </is>
      </c>
      <c r="K2575" s="11">
        <f>IFERROR(INDEX(Roles!$B$17:$B$20,MATCH(J2575,Roles!$A$17:$A$20,0)),1)</f>
        <v/>
      </c>
      <c r="L2575" s="19" t="n">
        <v>1</v>
      </c>
      <c r="M2575" s="11" t="n">
        <v>1</v>
      </c>
      <c r="N2575" s="19" t="n"/>
      <c r="O2575" s="19" t="n"/>
      <c r="P2575" s="19" t="n"/>
      <c r="Q2575" s="19" t="n"/>
      <c r="R2575" s="19" t="n"/>
      <c r="S2575" s="19" t="n"/>
      <c r="T2575" s="19" t="n"/>
      <c r="U2575" s="19" t="n"/>
      <c r="V2575" s="19" t="n"/>
      <c r="W2575" s="19" t="n"/>
      <c r="X2575" s="19" t="n"/>
      <c r="Y2575" s="19" t="n">
        <v>1</v>
      </c>
      <c r="Z2575" s="13">
        <f>SUMPRODUCT(N2575:Y2575,$N$2:$Y$2)*$K2575*$L2575*$M2575</f>
        <v/>
      </c>
      <c r="AA2575" s="14">
        <f>SUM(N2575:Y2575)</f>
        <v/>
      </c>
      <c r="AB2575" s="13">
        <f>SUMPRODUCT(N2575:Y2575,$N$3:$Y$3)*$K2575*$L2575*$M2575</f>
        <v/>
      </c>
      <c r="AC2575" s="13">
        <f>SUMPRODUCT(N2575:Y2575,$N$4:$Y$4)*$K2575*$L2575*$M2575</f>
        <v/>
      </c>
      <c r="AD2575" s="15" t="n">
        <v>1.8</v>
      </c>
      <c r="AE2575" s="11" t="n">
        <v>0.7853086419753086</v>
      </c>
      <c r="AF2575" s="16">
        <f>SUMPRODUCT(N2575:Y2575,$N$5:$Y$5)*$K2575*$L2575*$M2575</f>
        <v/>
      </c>
      <c r="AG2575" s="16">
        <f>SUMPRODUCT(N2575:Y2575,$N$6:$Y$6)*$K2575*$L2575*$M2575</f>
        <v/>
      </c>
      <c r="AH2575" s="20" t="n"/>
    </row>
    <row r="2576">
      <c r="A2576" s="9" t="n">
        <v>808512</v>
      </c>
      <c r="B2576" s="9" t="inlineStr">
        <is>
          <t>Jeremy Reyes</t>
        </is>
      </c>
      <c r="C2576" s="9" t="inlineStr">
        <is>
          <t>ATL</t>
        </is>
      </c>
      <c r="D2576" s="9" t="n">
        <v>25</v>
      </c>
      <c r="E2576" s="18" t="inlineStr">
        <is>
          <t>R</t>
        </is>
      </c>
      <c r="F2576" s="18" t="n"/>
      <c r="G2576" s="9" t="n">
        <v>45.58</v>
      </c>
      <c r="H2576" s="9" t="n">
        <v>45.58</v>
      </c>
      <c r="I2576" s="9" t="inlineStr">
        <is>
          <t>Depth (no MLB IP)</t>
        </is>
      </c>
      <c r="J2576" s="18" t="inlineStr">
        <is>
          <t>Opening Day</t>
        </is>
      </c>
      <c r="K2576" s="11">
        <f>IFERROR(INDEX(Roles!$B$17:$B$20,MATCH(J2576,Roles!$A$17:$A$20,0)),1)</f>
        <v/>
      </c>
      <c r="L2576" s="19" t="n">
        <v>1</v>
      </c>
      <c r="M2576" s="11" t="n">
        <v>1</v>
      </c>
      <c r="N2576" s="19" t="n"/>
      <c r="O2576" s="19" t="n"/>
      <c r="P2576" s="19" t="n"/>
      <c r="Q2576" s="19" t="n"/>
      <c r="R2576" s="19" t="n"/>
      <c r="S2576" s="19" t="n"/>
      <c r="T2576" s="19" t="n"/>
      <c r="U2576" s="19" t="n"/>
      <c r="V2576" s="19" t="n"/>
      <c r="W2576" s="19" t="n"/>
      <c r="X2576" s="19" t="n"/>
      <c r="Y2576" s="19" t="n">
        <v>1</v>
      </c>
      <c r="Z2576" s="13">
        <f>SUMPRODUCT(N2576:Y2576,$N$2:$Y$2)*$K2576*$L2576*$M2576</f>
        <v/>
      </c>
      <c r="AA2576" s="14">
        <f>SUM(N2576:Y2576)</f>
        <v/>
      </c>
      <c r="AB2576" s="13">
        <f>SUMPRODUCT(N2576:Y2576,$N$3:$Y$3)*$K2576*$L2576*$M2576</f>
        <v/>
      </c>
      <c r="AC2576" s="13">
        <f>SUMPRODUCT(N2576:Y2576,$N$4:$Y$4)*$K2576*$L2576*$M2576</f>
        <v/>
      </c>
      <c r="AD2576" s="15" t="n">
        <v>3</v>
      </c>
      <c r="AE2576" s="11" t="n">
        <v>1.011296296296296</v>
      </c>
      <c r="AF2576" s="16">
        <f>SUMPRODUCT(N2576:Y2576,$N$5:$Y$5)*$K2576*$L2576*$M2576</f>
        <v/>
      </c>
      <c r="AG2576" s="16">
        <f>SUMPRODUCT(N2576:Y2576,$N$6:$Y$6)*$K2576*$L2576*$M2576</f>
        <v/>
      </c>
      <c r="AH2576" s="20" t="n"/>
    </row>
    <row r="2577">
      <c r="A2577" s="9" t="n">
        <v>691733</v>
      </c>
      <c r="B2577" s="9" t="inlineStr">
        <is>
          <t>Christian Little</t>
        </is>
      </c>
      <c r="C2577" s="9" t="inlineStr">
        <is>
          <t>SEA</t>
        </is>
      </c>
      <c r="D2577" s="9" t="n">
        <v>25</v>
      </c>
      <c r="E2577" s="18" t="inlineStr">
        <is>
          <t>R</t>
        </is>
      </c>
      <c r="F2577" s="18" t="n"/>
      <c r="G2577" s="9" t="n">
        <v>45.58</v>
      </c>
      <c r="H2577" s="9" t="n">
        <v>45.58</v>
      </c>
      <c r="I2577" s="9" t="inlineStr">
        <is>
          <t>Depth (no MLB IP)</t>
        </is>
      </c>
      <c r="J2577" s="18" t="inlineStr">
        <is>
          <t>Opening Day</t>
        </is>
      </c>
      <c r="K2577" s="11">
        <f>IFERROR(INDEX(Roles!$B$17:$B$20,MATCH(J2577,Roles!$A$17:$A$20,0)),1)</f>
        <v/>
      </c>
      <c r="L2577" s="19" t="n">
        <v>1</v>
      </c>
      <c r="M2577" s="11" t="n">
        <v>1</v>
      </c>
      <c r="N2577" s="19" t="n"/>
      <c r="O2577" s="19" t="n"/>
      <c r="P2577" s="19" t="n"/>
      <c r="Q2577" s="19" t="n"/>
      <c r="R2577" s="19" t="n"/>
      <c r="S2577" s="19" t="n"/>
      <c r="T2577" s="19" t="n"/>
      <c r="U2577" s="19" t="n"/>
      <c r="V2577" s="19" t="n"/>
      <c r="W2577" s="19" t="n"/>
      <c r="X2577" s="19" t="n"/>
      <c r="Y2577" s="19" t="n">
        <v>1</v>
      </c>
      <c r="Z2577" s="13">
        <f>SUMPRODUCT(N2577:Y2577,$N$2:$Y$2)*$K2577*$L2577*$M2577</f>
        <v/>
      </c>
      <c r="AA2577" s="14">
        <f>SUM(N2577:Y2577)</f>
        <v/>
      </c>
      <c r="AB2577" s="13">
        <f>SUMPRODUCT(N2577:Y2577,$N$3:$Y$3)*$K2577*$L2577*$M2577</f>
        <v/>
      </c>
      <c r="AC2577" s="13">
        <f>SUMPRODUCT(N2577:Y2577,$N$4:$Y$4)*$K2577*$L2577*$M2577</f>
        <v/>
      </c>
      <c r="AD2577" s="15" t="n">
        <v>3</v>
      </c>
      <c r="AE2577" s="11" t="n">
        <v>1.011296296296296</v>
      </c>
      <c r="AF2577" s="16">
        <f>SUMPRODUCT(N2577:Y2577,$N$5:$Y$5)*$K2577*$L2577*$M2577</f>
        <v/>
      </c>
      <c r="AG2577" s="16">
        <f>SUMPRODUCT(N2577:Y2577,$N$6:$Y$6)*$K2577*$L2577*$M2577</f>
        <v/>
      </c>
      <c r="AH2577" s="20" t="n"/>
    </row>
    <row r="2578">
      <c r="A2578" s="9" t="n">
        <v>702300</v>
      </c>
      <c r="B2578" s="9" t="inlineStr">
        <is>
          <t>Johnathan Lavallee</t>
        </is>
      </c>
      <c r="C2578" s="9" t="inlineStr">
        <is>
          <t>CIN</t>
        </is>
      </c>
      <c r="D2578" s="9" t="n">
        <v>25</v>
      </c>
      <c r="E2578" s="18" t="inlineStr">
        <is>
          <t>R</t>
        </is>
      </c>
      <c r="F2578" s="18" t="n"/>
      <c r="G2578" s="9" t="n">
        <v>45.72333333333334</v>
      </c>
      <c r="H2578" s="9" t="n">
        <v>45.72333333333334</v>
      </c>
      <c r="I2578" s="9" t="inlineStr">
        <is>
          <t>Depth (no MLB IP)</t>
        </is>
      </c>
      <c r="J2578" s="18" t="inlineStr">
        <is>
          <t>Opening Day</t>
        </is>
      </c>
      <c r="K2578" s="11">
        <f>IFERROR(INDEX(Roles!$B$17:$B$20,MATCH(J2578,Roles!$A$17:$A$20,0)),1)</f>
        <v/>
      </c>
      <c r="L2578" s="19" t="n">
        <v>1</v>
      </c>
      <c r="M2578" s="11" t="n">
        <v>1</v>
      </c>
      <c r="N2578" s="19" t="n"/>
      <c r="O2578" s="19" t="n"/>
      <c r="P2578" s="19" t="n"/>
      <c r="Q2578" s="19" t="n"/>
      <c r="R2578" s="19" t="n"/>
      <c r="S2578" s="19" t="n"/>
      <c r="T2578" s="19" t="n"/>
      <c r="U2578" s="19" t="n"/>
      <c r="V2578" s="19" t="n"/>
      <c r="W2578" s="19" t="n"/>
      <c r="X2578" s="19" t="n"/>
      <c r="Y2578" s="19" t="n">
        <v>1</v>
      </c>
      <c r="Z2578" s="13">
        <f>SUMPRODUCT(N2578:Y2578,$N$2:$Y$2)*$K2578*$L2578*$M2578</f>
        <v/>
      </c>
      <c r="AA2578" s="14">
        <f>SUM(N2578:Y2578)</f>
        <v/>
      </c>
      <c r="AB2578" s="13">
        <f>SUMPRODUCT(N2578:Y2578,$N$3:$Y$3)*$K2578*$L2578*$M2578</f>
        <v/>
      </c>
      <c r="AC2578" s="13">
        <f>SUMPRODUCT(N2578:Y2578,$N$4:$Y$4)*$K2578*$L2578*$M2578</f>
        <v/>
      </c>
      <c r="AD2578" s="15" t="n">
        <v>3</v>
      </c>
      <c r="AE2578" s="11" t="n">
        <v>1.011296296296296</v>
      </c>
      <c r="AF2578" s="16">
        <f>SUMPRODUCT(N2578:Y2578,$N$5:$Y$5)*$K2578*$L2578*$M2578</f>
        <v/>
      </c>
      <c r="AG2578" s="16">
        <f>SUMPRODUCT(N2578:Y2578,$N$6:$Y$6)*$K2578*$L2578*$M2578</f>
        <v/>
      </c>
      <c r="AH2578" s="20" t="n"/>
    </row>
    <row r="2579">
      <c r="A2579" s="9" t="n">
        <v>822456</v>
      </c>
      <c r="B2579" s="9" t="inlineStr">
        <is>
          <t>Ryan Verdugo</t>
        </is>
      </c>
      <c r="C2579" s="9" t="inlineStr">
        <is>
          <t>HOU</t>
        </is>
      </c>
      <c r="D2579" s="9" t="n">
        <v>25</v>
      </c>
      <c r="E2579" s="18" t="inlineStr">
        <is>
          <t>R</t>
        </is>
      </c>
      <c r="F2579" s="18" t="n"/>
      <c r="G2579" s="9" t="n">
        <v>45.752</v>
      </c>
      <c r="H2579" s="9" t="n">
        <v>45.752</v>
      </c>
      <c r="I2579" s="9" t="inlineStr">
        <is>
          <t>Depth (no MLB IP)</t>
        </is>
      </c>
      <c r="J2579" s="18" t="inlineStr">
        <is>
          <t>Opening Day</t>
        </is>
      </c>
      <c r="K2579" s="11">
        <f>IFERROR(INDEX(Roles!$B$17:$B$20,MATCH(J2579,Roles!$A$17:$A$20,0)),1)</f>
        <v/>
      </c>
      <c r="L2579" s="19" t="n">
        <v>1</v>
      </c>
      <c r="M2579" s="11" t="n">
        <v>1</v>
      </c>
      <c r="N2579" s="19" t="n"/>
      <c r="O2579" s="19" t="n"/>
      <c r="P2579" s="19" t="n"/>
      <c r="Q2579" s="19" t="n"/>
      <c r="R2579" s="19" t="n"/>
      <c r="S2579" s="19" t="n"/>
      <c r="T2579" s="19" t="n"/>
      <c r="U2579" s="19" t="n"/>
      <c r="V2579" s="19" t="n"/>
      <c r="W2579" s="19" t="n"/>
      <c r="X2579" s="19" t="n"/>
      <c r="Y2579" s="19" t="n">
        <v>1</v>
      </c>
      <c r="Z2579" s="13">
        <f>SUMPRODUCT(N2579:Y2579,$N$2:$Y$2)*$K2579*$L2579*$M2579</f>
        <v/>
      </c>
      <c r="AA2579" s="14">
        <f>SUM(N2579:Y2579)</f>
        <v/>
      </c>
      <c r="AB2579" s="13">
        <f>SUMPRODUCT(N2579:Y2579,$N$3:$Y$3)*$K2579*$L2579*$M2579</f>
        <v/>
      </c>
      <c r="AC2579" s="13">
        <f>SUMPRODUCT(N2579:Y2579,$N$4:$Y$4)*$K2579*$L2579*$M2579</f>
        <v/>
      </c>
      <c r="AD2579" s="15" t="n">
        <v>3</v>
      </c>
      <c r="AE2579" s="11" t="n">
        <v>1.011296296296296</v>
      </c>
      <c r="AF2579" s="16">
        <f>SUMPRODUCT(N2579:Y2579,$N$5:$Y$5)*$K2579*$L2579*$M2579</f>
        <v/>
      </c>
      <c r="AG2579" s="16">
        <f>SUMPRODUCT(N2579:Y2579,$N$6:$Y$6)*$K2579*$L2579*$M2579</f>
        <v/>
      </c>
      <c r="AH2579" s="20" t="n"/>
    </row>
    <row r="2580">
      <c r="A2580" s="9" t="n">
        <v>804210</v>
      </c>
      <c r="B2580" s="9" t="inlineStr">
        <is>
          <t>Aiden Butler</t>
        </is>
      </c>
      <c r="C2580" s="9" t="inlineStr">
        <is>
          <t>SEA</t>
        </is>
      </c>
      <c r="D2580" s="9" t="n">
        <v>25</v>
      </c>
      <c r="E2580" s="18" t="inlineStr">
        <is>
          <t>R</t>
        </is>
      </c>
      <c r="F2580" s="18" t="n"/>
      <c r="G2580" s="9" t="n">
        <v>45.752</v>
      </c>
      <c r="H2580" s="9" t="n">
        <v>45.752</v>
      </c>
      <c r="I2580" s="9" t="inlineStr">
        <is>
          <t>Depth (no MLB IP)</t>
        </is>
      </c>
      <c r="J2580" s="18" t="inlineStr">
        <is>
          <t>Opening Day</t>
        </is>
      </c>
      <c r="K2580" s="11">
        <f>IFERROR(INDEX(Roles!$B$17:$B$20,MATCH(J2580,Roles!$A$17:$A$20,0)),1)</f>
        <v/>
      </c>
      <c r="L2580" s="19" t="n">
        <v>1</v>
      </c>
      <c r="M2580" s="11" t="n">
        <v>1</v>
      </c>
      <c r="N2580" s="19" t="n"/>
      <c r="O2580" s="19" t="n"/>
      <c r="P2580" s="19" t="n"/>
      <c r="Q2580" s="19" t="n"/>
      <c r="R2580" s="19" t="n"/>
      <c r="S2580" s="19" t="n"/>
      <c r="T2580" s="19" t="n"/>
      <c r="U2580" s="19" t="n"/>
      <c r="V2580" s="19" t="n"/>
      <c r="W2580" s="19" t="n"/>
      <c r="X2580" s="19" t="n"/>
      <c r="Y2580" s="19" t="n">
        <v>1</v>
      </c>
      <c r="Z2580" s="13">
        <f>SUMPRODUCT(N2580:Y2580,$N$2:$Y$2)*$K2580*$L2580*$M2580</f>
        <v/>
      </c>
      <c r="AA2580" s="14">
        <f>SUM(N2580:Y2580)</f>
        <v/>
      </c>
      <c r="AB2580" s="13">
        <f>SUMPRODUCT(N2580:Y2580,$N$3:$Y$3)*$K2580*$L2580*$M2580</f>
        <v/>
      </c>
      <c r="AC2580" s="13">
        <f>SUMPRODUCT(N2580:Y2580,$N$4:$Y$4)*$K2580*$L2580*$M2580</f>
        <v/>
      </c>
      <c r="AD2580" s="15" t="n">
        <v>3</v>
      </c>
      <c r="AE2580" s="11" t="n">
        <v>1.011296296296296</v>
      </c>
      <c r="AF2580" s="16">
        <f>SUMPRODUCT(N2580:Y2580,$N$5:$Y$5)*$K2580*$L2580*$M2580</f>
        <v/>
      </c>
      <c r="AG2580" s="16">
        <f>SUMPRODUCT(N2580:Y2580,$N$6:$Y$6)*$K2580*$L2580*$M2580</f>
        <v/>
      </c>
      <c r="AH2580" s="20" t="n"/>
    </row>
    <row r="2581">
      <c r="A2581" s="9" t="n">
        <v>824026</v>
      </c>
      <c r="B2581" s="9" t="inlineStr">
        <is>
          <t>Kash Mayfield</t>
        </is>
      </c>
      <c r="C2581" s="9" t="inlineStr">
        <is>
          <t>SD</t>
        </is>
      </c>
      <c r="D2581" s="9" t="n">
        <v>22</v>
      </c>
      <c r="E2581" s="18" t="inlineStr">
        <is>
          <t>L</t>
        </is>
      </c>
      <c r="F2581" s="18" t="n"/>
      <c r="G2581" s="9" t="n">
        <v>45.86666666666667</v>
      </c>
      <c r="H2581" s="9" t="n">
        <v>45.86666666666667</v>
      </c>
      <c r="I2581" s="9" t="inlineStr">
        <is>
          <t>Depth (no MLB IP)</t>
        </is>
      </c>
      <c r="J2581" s="18" t="inlineStr">
        <is>
          <t>Opening Day</t>
        </is>
      </c>
      <c r="K2581" s="11">
        <f>IFERROR(INDEX(Roles!$B$17:$B$20,MATCH(J2581,Roles!$A$17:$A$20,0)),1)</f>
        <v/>
      </c>
      <c r="L2581" s="19" t="n">
        <v>1</v>
      </c>
      <c r="M2581" s="11" t="n">
        <v>1</v>
      </c>
      <c r="N2581" s="19" t="n"/>
      <c r="O2581" s="19" t="n"/>
      <c r="P2581" s="19" t="n"/>
      <c r="Q2581" s="19" t="n"/>
      <c r="R2581" s="19" t="n"/>
      <c r="S2581" s="19" t="n"/>
      <c r="T2581" s="19" t="n"/>
      <c r="U2581" s="19" t="n"/>
      <c r="V2581" s="19" t="n"/>
      <c r="W2581" s="19" t="n"/>
      <c r="X2581" s="19" t="n"/>
      <c r="Y2581" s="19" t="n">
        <v>1</v>
      </c>
      <c r="Z2581" s="13">
        <f>SUMPRODUCT(N2581:Y2581,$N$2:$Y$2)*$K2581*$L2581*$M2581</f>
        <v/>
      </c>
      <c r="AA2581" s="14">
        <f>SUM(N2581:Y2581)</f>
        <v/>
      </c>
      <c r="AB2581" s="13">
        <f>SUMPRODUCT(N2581:Y2581,$N$3:$Y$3)*$K2581*$L2581*$M2581</f>
        <v/>
      </c>
      <c r="AC2581" s="13">
        <f>SUMPRODUCT(N2581:Y2581,$N$4:$Y$4)*$K2581*$L2581*$M2581</f>
        <v/>
      </c>
      <c r="AD2581" s="15" t="n">
        <v>3</v>
      </c>
      <c r="AE2581" s="11" t="n">
        <v>1.011296296296296</v>
      </c>
      <c r="AF2581" s="16">
        <f>SUMPRODUCT(N2581:Y2581,$N$5:$Y$5)*$K2581*$L2581*$M2581</f>
        <v/>
      </c>
      <c r="AG2581" s="16">
        <f>SUMPRODUCT(N2581:Y2581,$N$6:$Y$6)*$K2581*$L2581*$M2581</f>
        <v/>
      </c>
      <c r="AH2581" s="20" t="n"/>
    </row>
    <row r="2582">
      <c r="A2582" s="9" t="n">
        <v>668390</v>
      </c>
      <c r="B2582" s="9" t="inlineStr">
        <is>
          <t>Cole Winn</t>
        </is>
      </c>
      <c r="C2582" s="9" t="inlineStr">
        <is>
          <t>TEX</t>
        </is>
      </c>
      <c r="D2582" s="9" t="n">
        <v>27</v>
      </c>
      <c r="E2582" s="18" t="inlineStr">
        <is>
          <t>R</t>
        </is>
      </c>
      <c r="F2582" s="18" t="n"/>
      <c r="G2582" s="9" t="n">
        <v>215</v>
      </c>
      <c r="H2582" s="9" t="n">
        <v>454</v>
      </c>
      <c r="I2582" s="9" t="inlineStr">
        <is>
          <t>Bullpen Depth Arm</t>
        </is>
      </c>
      <c r="J2582" s="18" t="inlineStr">
        <is>
          <t>Opening Day</t>
        </is>
      </c>
      <c r="K2582" s="11">
        <f>IFERROR(INDEX(Roles!$B$17:$B$20,MATCH(J2582,Roles!$A$17:$A$20,0)),1)</f>
        <v/>
      </c>
      <c r="L2582" s="19" t="n">
        <v>1</v>
      </c>
      <c r="M2582" s="11" t="n">
        <v>1</v>
      </c>
      <c r="N2582" s="19" t="n"/>
      <c r="O2582" s="19" t="n"/>
      <c r="P2582" s="19" t="n"/>
      <c r="Q2582" s="19" t="n"/>
      <c r="R2582" s="19" t="n"/>
      <c r="S2582" s="19" t="n"/>
      <c r="T2582" s="19" t="n"/>
      <c r="U2582" s="19" t="n"/>
      <c r="V2582" s="19" t="n">
        <v>0.15</v>
      </c>
      <c r="W2582" s="19" t="n">
        <v>0.85</v>
      </c>
      <c r="X2582" s="19" t="n"/>
      <c r="Y2582" s="19" t="n"/>
      <c r="Z2582" s="13">
        <f>SUMPRODUCT(N2582:Y2582,$N$2:$Y$2)*$K2582*$L2582*$M2582</f>
        <v/>
      </c>
      <c r="AA2582" s="14">
        <f>SUM(N2582:Y2582)</f>
        <v/>
      </c>
      <c r="AB2582" s="13">
        <f>SUMPRODUCT(N2582:Y2582,$N$3:$Y$3)*$K2582*$L2582*$M2582</f>
        <v/>
      </c>
      <c r="AC2582" s="13">
        <f>SUMPRODUCT(N2582:Y2582,$N$4:$Y$4)*$K2582*$L2582*$M2582</f>
        <v/>
      </c>
      <c r="AD2582" s="15" t="n">
        <v>28.86666666666667</v>
      </c>
      <c r="AE2582" s="11" t="n">
        <v>1.153039701890276</v>
      </c>
      <c r="AF2582" s="16">
        <f>SUMPRODUCT(N2582:Y2582,$N$5:$Y$5)*$K2582*$L2582*$M2582</f>
        <v/>
      </c>
      <c r="AG2582" s="16">
        <f>SUMPRODUCT(N2582:Y2582,$N$6:$Y$6)*$K2582*$L2582*$M2582</f>
        <v/>
      </c>
      <c r="AH2582" s="20" t="n"/>
    </row>
    <row r="2583">
      <c r="A2583" s="9" t="n">
        <v>642578</v>
      </c>
      <c r="B2583" s="9" t="inlineStr">
        <is>
          <t>José Rodríguez</t>
        </is>
      </c>
      <c r="C2583" s="9" t="inlineStr">
        <is>
          <t>SEA</t>
        </is>
      </c>
      <c r="D2583" s="9" t="n">
        <v>31</v>
      </c>
      <c r="E2583" s="18" t="inlineStr">
        <is>
          <t>R</t>
        </is>
      </c>
      <c r="F2583" s="18" t="n"/>
      <c r="G2583" s="9" t="n">
        <v>12</v>
      </c>
      <c r="H2583" s="9" t="n">
        <v>12</v>
      </c>
      <c r="I2583" s="9" t="inlineStr">
        <is>
          <t>Depth (no MLB IP)</t>
        </is>
      </c>
      <c r="J2583" s="18" t="inlineStr">
        <is>
          <t>Opening Day</t>
        </is>
      </c>
      <c r="K2583" s="11">
        <f>IFERROR(INDEX(Roles!$B$17:$B$20,MATCH(J2583,Roles!$A$17:$A$20,0)),1)</f>
        <v/>
      </c>
      <c r="L2583" s="19" t="n">
        <v>1</v>
      </c>
      <c r="M2583" s="11" t="n">
        <v>1</v>
      </c>
      <c r="N2583" s="19" t="n"/>
      <c r="O2583" s="19" t="n"/>
      <c r="P2583" s="19" t="n"/>
      <c r="Q2583" s="19" t="n"/>
      <c r="R2583" s="19" t="n"/>
      <c r="S2583" s="19" t="n"/>
      <c r="T2583" s="19" t="n"/>
      <c r="U2583" s="19" t="n"/>
      <c r="V2583" s="19" t="n"/>
      <c r="W2583" s="19" t="n"/>
      <c r="X2583" s="19" t="n"/>
      <c r="Y2583" s="19" t="n">
        <v>1</v>
      </c>
      <c r="Z2583" s="13">
        <f>SUMPRODUCT(N2583:Y2583,$N$2:$Y$2)*$K2583*$L2583*$M2583</f>
        <v/>
      </c>
      <c r="AA2583" s="14">
        <f>SUM(N2583:Y2583)</f>
        <v/>
      </c>
      <c r="AB2583" s="13">
        <f>SUMPRODUCT(N2583:Y2583,$N$3:$Y$3)*$K2583*$L2583*$M2583</f>
        <v/>
      </c>
      <c r="AC2583" s="13">
        <f>SUMPRODUCT(N2583:Y2583,$N$4:$Y$4)*$K2583*$L2583*$M2583</f>
        <v/>
      </c>
      <c r="AD2583" s="15" t="n">
        <v>3</v>
      </c>
      <c r="AE2583" s="11" t="n">
        <v>1.011296296296296</v>
      </c>
      <c r="AF2583" s="16">
        <f>SUMPRODUCT(N2583:Y2583,$N$5:$Y$5)*$K2583*$L2583*$M2583</f>
        <v/>
      </c>
      <c r="AG2583" s="16">
        <f>SUMPRODUCT(N2583:Y2583,$N$6:$Y$6)*$K2583*$L2583*$M2583</f>
        <v/>
      </c>
      <c r="AH2583" s="20" t="n"/>
    </row>
    <row r="2584">
      <c r="A2584" s="9" t="n">
        <v>823790</v>
      </c>
      <c r="B2584" s="9" t="inlineStr">
        <is>
          <t>Will McCausland</t>
        </is>
      </c>
      <c r="C2584" s="9" t="inlineStr">
        <is>
          <t>CLE</t>
        </is>
      </c>
      <c r="D2584" s="9" t="n">
        <v>25</v>
      </c>
      <c r="E2584" s="18" t="inlineStr">
        <is>
          <t>R</t>
        </is>
      </c>
      <c r="F2584" s="18" t="n"/>
      <c r="G2584" s="9" t="n">
        <v>45.86666666666667</v>
      </c>
      <c r="H2584" s="9" t="n">
        <v>45.86666666666667</v>
      </c>
      <c r="I2584" s="9" t="inlineStr">
        <is>
          <t>Depth (no MLB IP)</t>
        </is>
      </c>
      <c r="J2584" s="18" t="inlineStr">
        <is>
          <t>Opening Day</t>
        </is>
      </c>
      <c r="K2584" s="11">
        <f>IFERROR(INDEX(Roles!$B$17:$B$20,MATCH(J2584,Roles!$A$17:$A$20,0)),1)</f>
        <v/>
      </c>
      <c r="L2584" s="19" t="n">
        <v>1</v>
      </c>
      <c r="M2584" s="11" t="n">
        <v>1</v>
      </c>
      <c r="N2584" s="19" t="n"/>
      <c r="O2584" s="19" t="n"/>
      <c r="P2584" s="19" t="n"/>
      <c r="Q2584" s="19" t="n"/>
      <c r="R2584" s="19" t="n"/>
      <c r="S2584" s="19" t="n"/>
      <c r="T2584" s="19" t="n"/>
      <c r="U2584" s="19" t="n"/>
      <c r="V2584" s="19" t="n"/>
      <c r="W2584" s="19" t="n"/>
      <c r="X2584" s="19" t="n"/>
      <c r="Y2584" s="19" t="n">
        <v>1</v>
      </c>
      <c r="Z2584" s="13">
        <f>SUMPRODUCT(N2584:Y2584,$N$2:$Y$2)*$K2584*$L2584*$M2584</f>
        <v/>
      </c>
      <c r="AA2584" s="14">
        <f>SUM(N2584:Y2584)</f>
        <v/>
      </c>
      <c r="AB2584" s="13">
        <f>SUMPRODUCT(N2584:Y2584,$N$3:$Y$3)*$K2584*$L2584*$M2584</f>
        <v/>
      </c>
      <c r="AC2584" s="13">
        <f>SUMPRODUCT(N2584:Y2584,$N$4:$Y$4)*$K2584*$L2584*$M2584</f>
        <v/>
      </c>
      <c r="AD2584" s="15" t="n">
        <v>3</v>
      </c>
      <c r="AE2584" s="11" t="n">
        <v>1.011296296296296</v>
      </c>
      <c r="AF2584" s="16">
        <f>SUMPRODUCT(N2584:Y2584,$N$5:$Y$5)*$K2584*$L2584*$M2584</f>
        <v/>
      </c>
      <c r="AG2584" s="16">
        <f>SUMPRODUCT(N2584:Y2584,$N$6:$Y$6)*$K2584*$L2584*$M2584</f>
        <v/>
      </c>
      <c r="AH2584" s="20" t="n"/>
    </row>
    <row r="2585">
      <c r="A2585" s="9" t="n">
        <v>821793</v>
      </c>
      <c r="B2585" s="9" t="inlineStr">
        <is>
          <t>Miguel Flores</t>
        </is>
      </c>
      <c r="C2585" s="9" t="inlineStr">
        <is>
          <t>CLE</t>
        </is>
      </c>
      <c r="D2585" s="9" t="n">
        <v>25</v>
      </c>
      <c r="E2585" s="18" t="inlineStr">
        <is>
          <t>L</t>
        </is>
      </c>
      <c r="F2585" s="18" t="n"/>
      <c r="G2585" s="9" t="n">
        <v>46.09599999999999</v>
      </c>
      <c r="H2585" s="9" t="n">
        <v>46.09599999999999</v>
      </c>
      <c r="I2585" s="9" t="inlineStr">
        <is>
          <t>Depth (no MLB IP)</t>
        </is>
      </c>
      <c r="J2585" s="18" t="inlineStr">
        <is>
          <t>Opening Day</t>
        </is>
      </c>
      <c r="K2585" s="11">
        <f>IFERROR(INDEX(Roles!$B$17:$B$20,MATCH(J2585,Roles!$A$17:$A$20,0)),1)</f>
        <v/>
      </c>
      <c r="L2585" s="19" t="n">
        <v>1</v>
      </c>
      <c r="M2585" s="11" t="n">
        <v>1</v>
      </c>
      <c r="N2585" s="19" t="n"/>
      <c r="O2585" s="19" t="n"/>
      <c r="P2585" s="19" t="n"/>
      <c r="Q2585" s="19" t="n"/>
      <c r="R2585" s="19" t="n"/>
      <c r="S2585" s="19" t="n"/>
      <c r="T2585" s="19" t="n"/>
      <c r="U2585" s="19" t="n"/>
      <c r="V2585" s="19" t="n"/>
      <c r="W2585" s="19" t="n"/>
      <c r="X2585" s="19" t="n"/>
      <c r="Y2585" s="19" t="n">
        <v>1</v>
      </c>
      <c r="Z2585" s="13">
        <f>SUMPRODUCT(N2585:Y2585,$N$2:$Y$2)*$K2585*$L2585*$M2585</f>
        <v/>
      </c>
      <c r="AA2585" s="14">
        <f>SUM(N2585:Y2585)</f>
        <v/>
      </c>
      <c r="AB2585" s="13">
        <f>SUMPRODUCT(N2585:Y2585,$N$3:$Y$3)*$K2585*$L2585*$M2585</f>
        <v/>
      </c>
      <c r="AC2585" s="13">
        <f>SUMPRODUCT(N2585:Y2585,$N$4:$Y$4)*$K2585*$L2585*$M2585</f>
        <v/>
      </c>
      <c r="AD2585" s="15" t="n">
        <v>3</v>
      </c>
      <c r="AE2585" s="11" t="n">
        <v>1.011296296296296</v>
      </c>
      <c r="AF2585" s="16">
        <f>SUMPRODUCT(N2585:Y2585,$N$5:$Y$5)*$K2585*$L2585*$M2585</f>
        <v/>
      </c>
      <c r="AG2585" s="16">
        <f>SUMPRODUCT(N2585:Y2585,$N$6:$Y$6)*$K2585*$L2585*$M2585</f>
        <v/>
      </c>
      <c r="AH2585" s="20" t="n"/>
    </row>
    <row r="2586">
      <c r="A2586" s="9" t="n">
        <v>823803</v>
      </c>
      <c r="B2586" s="9" t="inlineStr">
        <is>
          <t>Davis Chastain</t>
        </is>
      </c>
      <c r="C2586" s="9" t="inlineStr">
        <is>
          <t>LAD</t>
        </is>
      </c>
      <c r="D2586" s="9" t="n">
        <v>25</v>
      </c>
      <c r="E2586" s="18" t="inlineStr">
        <is>
          <t>R</t>
        </is>
      </c>
      <c r="F2586" s="18" t="n"/>
      <c r="G2586" s="9" t="n">
        <v>46.15333333333334</v>
      </c>
      <c r="H2586" s="9" t="n">
        <v>46.15333333333334</v>
      </c>
      <c r="I2586" s="9" t="inlineStr">
        <is>
          <t>Depth (no MLB IP)</t>
        </is>
      </c>
      <c r="J2586" s="18" t="inlineStr">
        <is>
          <t>Opening Day</t>
        </is>
      </c>
      <c r="K2586" s="11">
        <f>IFERROR(INDEX(Roles!$B$17:$B$20,MATCH(J2586,Roles!$A$17:$A$20,0)),1)</f>
        <v/>
      </c>
      <c r="L2586" s="19" t="n">
        <v>1</v>
      </c>
      <c r="M2586" s="11" t="n">
        <v>1</v>
      </c>
      <c r="N2586" s="19" t="n"/>
      <c r="O2586" s="19" t="n"/>
      <c r="P2586" s="19" t="n"/>
      <c r="Q2586" s="19" t="n"/>
      <c r="R2586" s="19" t="n"/>
      <c r="S2586" s="19" t="n"/>
      <c r="T2586" s="19" t="n"/>
      <c r="U2586" s="19" t="n"/>
      <c r="V2586" s="19" t="n"/>
      <c r="W2586" s="19" t="n"/>
      <c r="X2586" s="19" t="n"/>
      <c r="Y2586" s="19" t="n">
        <v>1</v>
      </c>
      <c r="Z2586" s="13">
        <f>SUMPRODUCT(N2586:Y2586,$N$2:$Y$2)*$K2586*$L2586*$M2586</f>
        <v/>
      </c>
      <c r="AA2586" s="14">
        <f>SUM(N2586:Y2586)</f>
        <v/>
      </c>
      <c r="AB2586" s="13">
        <f>SUMPRODUCT(N2586:Y2586,$N$3:$Y$3)*$K2586*$L2586*$M2586</f>
        <v/>
      </c>
      <c r="AC2586" s="13">
        <f>SUMPRODUCT(N2586:Y2586,$N$4:$Y$4)*$K2586*$L2586*$M2586</f>
        <v/>
      </c>
      <c r="AD2586" s="15" t="n">
        <v>3</v>
      </c>
      <c r="AE2586" s="11" t="n">
        <v>1.011296296296296</v>
      </c>
      <c r="AF2586" s="16">
        <f>SUMPRODUCT(N2586:Y2586,$N$5:$Y$5)*$K2586*$L2586*$M2586</f>
        <v/>
      </c>
      <c r="AG2586" s="16">
        <f>SUMPRODUCT(N2586:Y2586,$N$6:$Y$6)*$K2586*$L2586*$M2586</f>
        <v/>
      </c>
      <c r="AH2586" s="20" t="n"/>
    </row>
    <row r="2587">
      <c r="A2587" s="9" t="n">
        <v>701604</v>
      </c>
      <c r="B2587" s="9" t="inlineStr">
        <is>
          <t>Andrew Lindsey</t>
        </is>
      </c>
      <c r="C2587" s="9" t="inlineStr">
        <is>
          <t>TB</t>
        </is>
      </c>
      <c r="D2587" s="9" t="n">
        <v>25</v>
      </c>
      <c r="E2587" s="18" t="inlineStr">
        <is>
          <t>R</t>
        </is>
      </c>
      <c r="F2587" s="18" t="n"/>
      <c r="G2587" s="9" t="n">
        <v>46.15333333333334</v>
      </c>
      <c r="H2587" s="9" t="n">
        <v>46.15333333333334</v>
      </c>
      <c r="I2587" s="9" t="inlineStr">
        <is>
          <t>Depth (no MLB IP)</t>
        </is>
      </c>
      <c r="J2587" s="18" t="inlineStr">
        <is>
          <t>Opening Day</t>
        </is>
      </c>
      <c r="K2587" s="11">
        <f>IFERROR(INDEX(Roles!$B$17:$B$20,MATCH(J2587,Roles!$A$17:$A$20,0)),1)</f>
        <v/>
      </c>
      <c r="L2587" s="19" t="n">
        <v>1</v>
      </c>
      <c r="M2587" s="11" t="n">
        <v>1</v>
      </c>
      <c r="N2587" s="19" t="n"/>
      <c r="O2587" s="19" t="n"/>
      <c r="P2587" s="19" t="n"/>
      <c r="Q2587" s="19" t="n"/>
      <c r="R2587" s="19" t="n"/>
      <c r="S2587" s="19" t="n"/>
      <c r="T2587" s="19" t="n"/>
      <c r="U2587" s="19" t="n"/>
      <c r="V2587" s="19" t="n"/>
      <c r="W2587" s="19" t="n"/>
      <c r="X2587" s="19" t="n"/>
      <c r="Y2587" s="19" t="n">
        <v>1</v>
      </c>
      <c r="Z2587" s="13">
        <f>SUMPRODUCT(N2587:Y2587,$N$2:$Y$2)*$K2587*$L2587*$M2587</f>
        <v/>
      </c>
      <c r="AA2587" s="14">
        <f>SUM(N2587:Y2587)</f>
        <v/>
      </c>
      <c r="AB2587" s="13">
        <f>SUMPRODUCT(N2587:Y2587,$N$3:$Y$3)*$K2587*$L2587*$M2587</f>
        <v/>
      </c>
      <c r="AC2587" s="13">
        <f>SUMPRODUCT(N2587:Y2587,$N$4:$Y$4)*$K2587*$L2587*$M2587</f>
        <v/>
      </c>
      <c r="AD2587" s="15" t="n">
        <v>3</v>
      </c>
      <c r="AE2587" s="11" t="n">
        <v>1.011296296296296</v>
      </c>
      <c r="AF2587" s="16">
        <f>SUMPRODUCT(N2587:Y2587,$N$5:$Y$5)*$K2587*$L2587*$M2587</f>
        <v/>
      </c>
      <c r="AG2587" s="16">
        <f>SUMPRODUCT(N2587:Y2587,$N$6:$Y$6)*$K2587*$L2587*$M2587</f>
        <v/>
      </c>
      <c r="AH2587" s="20" t="n"/>
    </row>
    <row r="2588">
      <c r="A2588" s="9" t="n">
        <v>694773</v>
      </c>
      <c r="B2588" s="9" t="inlineStr">
        <is>
          <t>Reid Johnston</t>
        </is>
      </c>
      <c r="C2588" s="9" t="inlineStr">
        <is>
          <t>CLE</t>
        </is>
      </c>
      <c r="D2588" s="9" t="n">
        <v>25</v>
      </c>
      <c r="E2588" s="18" t="inlineStr">
        <is>
          <t>R</t>
        </is>
      </c>
      <c r="F2588" s="18" t="n"/>
      <c r="G2588" s="9" t="n">
        <v>46.15333333333334</v>
      </c>
      <c r="H2588" s="9" t="n">
        <v>46.15333333333334</v>
      </c>
      <c r="I2588" s="9" t="inlineStr">
        <is>
          <t>Depth (no MLB IP)</t>
        </is>
      </c>
      <c r="J2588" s="18" t="inlineStr">
        <is>
          <t>Opening Day</t>
        </is>
      </c>
      <c r="K2588" s="11">
        <f>IFERROR(INDEX(Roles!$B$17:$B$20,MATCH(J2588,Roles!$A$17:$A$20,0)),1)</f>
        <v/>
      </c>
      <c r="L2588" s="19" t="n">
        <v>1</v>
      </c>
      <c r="M2588" s="11" t="n">
        <v>1</v>
      </c>
      <c r="N2588" s="19" t="n"/>
      <c r="O2588" s="19" t="n"/>
      <c r="P2588" s="19" t="n"/>
      <c r="Q2588" s="19" t="n"/>
      <c r="R2588" s="19" t="n"/>
      <c r="S2588" s="19" t="n"/>
      <c r="T2588" s="19" t="n"/>
      <c r="U2588" s="19" t="n"/>
      <c r="V2588" s="19" t="n"/>
      <c r="W2588" s="19" t="n"/>
      <c r="X2588" s="19" t="n"/>
      <c r="Y2588" s="19" t="n">
        <v>1</v>
      </c>
      <c r="Z2588" s="13">
        <f>SUMPRODUCT(N2588:Y2588,$N$2:$Y$2)*$K2588*$L2588*$M2588</f>
        <v/>
      </c>
      <c r="AA2588" s="14">
        <f>SUM(N2588:Y2588)</f>
        <v/>
      </c>
      <c r="AB2588" s="13">
        <f>SUMPRODUCT(N2588:Y2588,$N$3:$Y$3)*$K2588*$L2588*$M2588</f>
        <v/>
      </c>
      <c r="AC2588" s="13">
        <f>SUMPRODUCT(N2588:Y2588,$N$4:$Y$4)*$K2588*$L2588*$M2588</f>
        <v/>
      </c>
      <c r="AD2588" s="15" t="n">
        <v>3</v>
      </c>
      <c r="AE2588" s="11" t="n">
        <v>1.011296296296296</v>
      </c>
      <c r="AF2588" s="16">
        <f>SUMPRODUCT(N2588:Y2588,$N$5:$Y$5)*$K2588*$L2588*$M2588</f>
        <v/>
      </c>
      <c r="AG2588" s="16">
        <f>SUMPRODUCT(N2588:Y2588,$N$6:$Y$6)*$K2588*$L2588*$M2588</f>
        <v/>
      </c>
      <c r="AH2588" s="20" t="n"/>
    </row>
    <row r="2589">
      <c r="A2589" s="9" t="n">
        <v>605513</v>
      </c>
      <c r="B2589" s="9" t="inlineStr">
        <is>
          <t>Spencer Turnbull</t>
        </is>
      </c>
      <c r="C2589" s="9" t="inlineStr">
        <is>
          <t>TOR</t>
        </is>
      </c>
      <c r="D2589" s="9" t="n">
        <v>34</v>
      </c>
      <c r="E2589" s="18" t="inlineStr">
        <is>
          <t>R</t>
        </is>
      </c>
      <c r="F2589" s="18" t="n"/>
      <c r="G2589" s="9" t="n">
        <v>33</v>
      </c>
      <c r="H2589" s="9" t="n">
        <v>400</v>
      </c>
      <c r="I2589" s="9" t="inlineStr">
        <is>
          <t>Bullpen Depth Arm</t>
        </is>
      </c>
      <c r="J2589" s="18" t="inlineStr">
        <is>
          <t>Opening Day</t>
        </is>
      </c>
      <c r="K2589" s="11">
        <f>IFERROR(INDEX(Roles!$B$17:$B$20,MATCH(J2589,Roles!$A$17:$A$20,0)),1)</f>
        <v/>
      </c>
      <c r="L2589" s="19" t="n">
        <v>1</v>
      </c>
      <c r="M2589" s="11" t="n">
        <v>1</v>
      </c>
      <c r="N2589" s="19" t="n"/>
      <c r="O2589" s="19" t="n"/>
      <c r="P2589" s="19" t="n"/>
      <c r="Q2589" s="19" t="n"/>
      <c r="R2589" s="19" t="n"/>
      <c r="S2589" s="19" t="n"/>
      <c r="T2589" s="19" t="n"/>
      <c r="U2589" s="19" t="n"/>
      <c r="V2589" s="19" t="n"/>
      <c r="W2589" s="19" t="n">
        <v>1</v>
      </c>
      <c r="X2589" s="19" t="n"/>
      <c r="Y2589" s="19" t="n"/>
      <c r="Z2589" s="13">
        <f>SUMPRODUCT(N2589:Y2589,$N$2:$Y$2)*$K2589*$L2589*$M2589</f>
        <v/>
      </c>
      <c r="AA2589" s="14">
        <f>SUM(N2589:Y2589)</f>
        <v/>
      </c>
      <c r="AB2589" s="13">
        <f>SUMPRODUCT(N2589:Y2589,$N$3:$Y$3)*$K2589*$L2589*$M2589</f>
        <v/>
      </c>
      <c r="AC2589" s="13">
        <f>SUMPRODUCT(N2589:Y2589,$N$4:$Y$4)*$K2589*$L2589*$M2589</f>
        <v/>
      </c>
      <c r="AD2589" s="15" t="n">
        <v>10.26666666666667</v>
      </c>
      <c r="AE2589" s="11" t="n">
        <v>1.772521627594091</v>
      </c>
      <c r="AF2589" s="16">
        <f>SUMPRODUCT(N2589:Y2589,$N$5:$Y$5)*$K2589*$L2589*$M2589</f>
        <v/>
      </c>
      <c r="AG2589" s="16">
        <f>SUMPRODUCT(N2589:Y2589,$N$6:$Y$6)*$K2589*$L2589*$M2589</f>
        <v/>
      </c>
      <c r="AH2589" s="20" t="n"/>
    </row>
    <row r="2590">
      <c r="A2590" s="9" t="n">
        <v>812559</v>
      </c>
      <c r="B2590" s="9" t="inlineStr">
        <is>
          <t>Josiah Romeo</t>
        </is>
      </c>
      <c r="C2590" s="9" t="inlineStr">
        <is>
          <t>OAK</t>
        </is>
      </c>
      <c r="D2590" s="9" t="n">
        <v>25</v>
      </c>
      <c r="E2590" s="18" t="inlineStr">
        <is>
          <t>R</t>
        </is>
      </c>
      <c r="F2590" s="18" t="n"/>
      <c r="G2590" s="9" t="n">
        <v>46.268</v>
      </c>
      <c r="H2590" s="9" t="n">
        <v>46.268</v>
      </c>
      <c r="I2590" s="9" t="inlineStr">
        <is>
          <t>Depth (no MLB IP)</t>
        </is>
      </c>
      <c r="J2590" s="18" t="inlineStr">
        <is>
          <t>Opening Day</t>
        </is>
      </c>
      <c r="K2590" s="11">
        <f>IFERROR(INDEX(Roles!$B$17:$B$20,MATCH(J2590,Roles!$A$17:$A$20,0)),1)</f>
        <v/>
      </c>
      <c r="L2590" s="19" t="n">
        <v>1</v>
      </c>
      <c r="M2590" s="11" t="n">
        <v>1</v>
      </c>
      <c r="N2590" s="19" t="n"/>
      <c r="O2590" s="19" t="n"/>
      <c r="P2590" s="19" t="n"/>
      <c r="Q2590" s="19" t="n"/>
      <c r="R2590" s="19" t="n"/>
      <c r="S2590" s="19" t="n"/>
      <c r="T2590" s="19" t="n"/>
      <c r="U2590" s="19" t="n"/>
      <c r="V2590" s="19" t="n"/>
      <c r="W2590" s="19" t="n"/>
      <c r="X2590" s="19" t="n"/>
      <c r="Y2590" s="19" t="n">
        <v>1</v>
      </c>
      <c r="Z2590" s="13">
        <f>SUMPRODUCT(N2590:Y2590,$N$2:$Y$2)*$K2590*$L2590*$M2590</f>
        <v/>
      </c>
      <c r="AA2590" s="14">
        <f>SUM(N2590:Y2590)</f>
        <v/>
      </c>
      <c r="AB2590" s="13">
        <f>SUMPRODUCT(N2590:Y2590,$N$3:$Y$3)*$K2590*$L2590*$M2590</f>
        <v/>
      </c>
      <c r="AC2590" s="13">
        <f>SUMPRODUCT(N2590:Y2590,$N$4:$Y$4)*$K2590*$L2590*$M2590</f>
        <v/>
      </c>
      <c r="AD2590" s="15" t="n">
        <v>3</v>
      </c>
      <c r="AE2590" s="11" t="n">
        <v>1.011296296296296</v>
      </c>
      <c r="AF2590" s="16">
        <f>SUMPRODUCT(N2590:Y2590,$N$5:$Y$5)*$K2590*$L2590*$M2590</f>
        <v/>
      </c>
      <c r="AG2590" s="16">
        <f>SUMPRODUCT(N2590:Y2590,$N$6:$Y$6)*$K2590*$L2590*$M2590</f>
        <v/>
      </c>
      <c r="AH2590" s="20" t="n"/>
    </row>
    <row r="2591">
      <c r="A2591" s="9" t="n">
        <v>666163</v>
      </c>
      <c r="B2591" s="9" t="inlineStr">
        <is>
          <t>Ben Rortvedt</t>
        </is>
      </c>
      <c r="C2591" s="9" t="inlineStr">
        <is>
          <t>TB</t>
        </is>
      </c>
      <c r="D2591" s="9" t="n">
        <v>29</v>
      </c>
      <c r="E2591" s="18" t="inlineStr">
        <is>
          <t>R</t>
        </is>
      </c>
      <c r="F2591" s="18" t="n"/>
      <c r="G2591" s="9" t="n">
        <v>11</v>
      </c>
      <c r="H2591" s="9" t="n">
        <v>11</v>
      </c>
      <c r="I2591" s="9" t="inlineStr">
        <is>
          <t>Depth (no MLB IP)</t>
        </is>
      </c>
      <c r="J2591" s="18" t="inlineStr">
        <is>
          <t>Opening Day</t>
        </is>
      </c>
      <c r="K2591" s="11">
        <f>IFERROR(INDEX(Roles!$B$17:$B$20,MATCH(J2591,Roles!$A$17:$A$20,0)),1)</f>
        <v/>
      </c>
      <c r="L2591" s="19" t="n">
        <v>1</v>
      </c>
      <c r="M2591" s="11" t="n">
        <v>1</v>
      </c>
      <c r="N2591" s="19" t="n"/>
      <c r="O2591" s="19" t="n"/>
      <c r="P2591" s="19" t="n"/>
      <c r="Q2591" s="19" t="n"/>
      <c r="R2591" s="19" t="n"/>
      <c r="S2591" s="19" t="n"/>
      <c r="T2591" s="19" t="n"/>
      <c r="U2591" s="19" t="n"/>
      <c r="V2591" s="19" t="n"/>
      <c r="W2591" s="19" t="n"/>
      <c r="X2591" s="19" t="n"/>
      <c r="Y2591" s="19" t="n">
        <v>1</v>
      </c>
      <c r="Z2591" s="13">
        <f>SUMPRODUCT(N2591:Y2591,$N$2:$Y$2)*$K2591*$L2591*$M2591</f>
        <v/>
      </c>
      <c r="AA2591" s="14">
        <f>SUM(N2591:Y2591)</f>
        <v/>
      </c>
      <c r="AB2591" s="13">
        <f>SUMPRODUCT(N2591:Y2591,$N$3:$Y$3)*$K2591*$L2591*$M2591</f>
        <v/>
      </c>
      <c r="AC2591" s="13">
        <f>SUMPRODUCT(N2591:Y2591,$N$4:$Y$4)*$K2591*$L2591*$M2591</f>
        <v/>
      </c>
      <c r="AD2591" s="15" t="n">
        <v>1.8</v>
      </c>
      <c r="AE2591" s="11" t="n">
        <v>1.340864197530864</v>
      </c>
      <c r="AF2591" s="16">
        <f>SUMPRODUCT(N2591:Y2591,$N$5:$Y$5)*$K2591*$L2591*$M2591</f>
        <v/>
      </c>
      <c r="AG2591" s="16">
        <f>SUMPRODUCT(N2591:Y2591,$N$6:$Y$6)*$K2591*$L2591*$M2591</f>
        <v/>
      </c>
      <c r="AH2591" s="20" t="n"/>
    </row>
    <row r="2592">
      <c r="A2592" s="9" t="n">
        <v>683068</v>
      </c>
      <c r="B2592" s="9" t="inlineStr">
        <is>
          <t>Zach Penrod</t>
        </is>
      </c>
      <c r="C2592" s="9" t="inlineStr">
        <is>
          <t>BOS</t>
        </is>
      </c>
      <c r="D2592" s="9" t="n">
        <v>30</v>
      </c>
      <c r="E2592" s="18" t="inlineStr">
        <is>
          <t>L</t>
        </is>
      </c>
      <c r="F2592" s="18" t="n"/>
      <c r="G2592" s="9" t="n">
        <v>20</v>
      </c>
      <c r="H2592" s="9" t="n">
        <v>20</v>
      </c>
      <c r="I2592" s="9" t="inlineStr">
        <is>
          <t>Depth (no MLB IP)</t>
        </is>
      </c>
      <c r="J2592" s="18" t="inlineStr">
        <is>
          <t>Opening Day</t>
        </is>
      </c>
      <c r="K2592" s="11">
        <f>IFERROR(INDEX(Roles!$B$17:$B$20,MATCH(J2592,Roles!$A$17:$A$20,0)),1)</f>
        <v/>
      </c>
      <c r="L2592" s="19" t="n">
        <v>1</v>
      </c>
      <c r="M2592" s="11" t="n">
        <v>1</v>
      </c>
      <c r="N2592" s="19" t="n"/>
      <c r="O2592" s="19" t="n"/>
      <c r="P2592" s="19" t="n"/>
      <c r="Q2592" s="19" t="n"/>
      <c r="R2592" s="19" t="n"/>
      <c r="S2592" s="19" t="n"/>
      <c r="T2592" s="19" t="n"/>
      <c r="U2592" s="19" t="n"/>
      <c r="V2592" s="19" t="n"/>
      <c r="W2592" s="19" t="n"/>
      <c r="X2592" s="19" t="n"/>
      <c r="Y2592" s="19" t="n">
        <v>1</v>
      </c>
      <c r="Z2592" s="13">
        <f>SUMPRODUCT(N2592:Y2592,$N$2:$Y$2)*$K2592*$L2592*$M2592</f>
        <v/>
      </c>
      <c r="AA2592" s="14">
        <f>SUM(N2592:Y2592)</f>
        <v/>
      </c>
      <c r="AB2592" s="13">
        <f>SUMPRODUCT(N2592:Y2592,$N$3:$Y$3)*$K2592*$L2592*$M2592</f>
        <v/>
      </c>
      <c r="AC2592" s="13">
        <f>SUMPRODUCT(N2592:Y2592,$N$4:$Y$4)*$K2592*$L2592*$M2592</f>
        <v/>
      </c>
      <c r="AD2592" s="15" t="n">
        <v>5.4</v>
      </c>
      <c r="AE2592" s="11" t="n">
        <v>0.8646737213403879</v>
      </c>
      <c r="AF2592" s="16">
        <f>SUMPRODUCT(N2592:Y2592,$N$5:$Y$5)*$K2592*$L2592*$M2592</f>
        <v/>
      </c>
      <c r="AG2592" s="16">
        <f>SUMPRODUCT(N2592:Y2592,$N$6:$Y$6)*$K2592*$L2592*$M2592</f>
        <v/>
      </c>
      <c r="AH2592" s="20" t="n"/>
    </row>
    <row r="2593">
      <c r="A2593" s="9" t="n">
        <v>703502</v>
      </c>
      <c r="B2593" s="9" t="inlineStr">
        <is>
          <t>Aubrey Smith</t>
        </is>
      </c>
      <c r="C2593" s="9" t="inlineStr">
        <is>
          <t>HOU</t>
        </is>
      </c>
      <c r="D2593" s="9" t="n">
        <v>25</v>
      </c>
      <c r="E2593" s="18" t="inlineStr">
        <is>
          <t>R</t>
        </is>
      </c>
      <c r="F2593" s="18" t="n"/>
      <c r="G2593" s="9" t="n">
        <v>46.44</v>
      </c>
      <c r="H2593" s="9" t="n">
        <v>46.44</v>
      </c>
      <c r="I2593" s="9" t="inlineStr">
        <is>
          <t>Depth (no MLB IP)</t>
        </is>
      </c>
      <c r="J2593" s="18" t="inlineStr">
        <is>
          <t>Opening Day</t>
        </is>
      </c>
      <c r="K2593" s="11">
        <f>IFERROR(INDEX(Roles!$B$17:$B$20,MATCH(J2593,Roles!$A$17:$A$20,0)),1)</f>
        <v/>
      </c>
      <c r="L2593" s="19" t="n">
        <v>1</v>
      </c>
      <c r="M2593" s="11" t="n">
        <v>1</v>
      </c>
      <c r="N2593" s="19" t="n"/>
      <c r="O2593" s="19" t="n"/>
      <c r="P2593" s="19" t="n"/>
      <c r="Q2593" s="19" t="n"/>
      <c r="R2593" s="19" t="n"/>
      <c r="S2593" s="19" t="n"/>
      <c r="T2593" s="19" t="n"/>
      <c r="U2593" s="19" t="n"/>
      <c r="V2593" s="19" t="n"/>
      <c r="W2593" s="19" t="n"/>
      <c r="X2593" s="19" t="n"/>
      <c r="Y2593" s="19" t="n">
        <v>1</v>
      </c>
      <c r="Z2593" s="13">
        <f>SUMPRODUCT(N2593:Y2593,$N$2:$Y$2)*$K2593*$L2593*$M2593</f>
        <v/>
      </c>
      <c r="AA2593" s="14">
        <f>SUM(N2593:Y2593)</f>
        <v/>
      </c>
      <c r="AB2593" s="13">
        <f>SUMPRODUCT(N2593:Y2593,$N$3:$Y$3)*$K2593*$L2593*$M2593</f>
        <v/>
      </c>
      <c r="AC2593" s="13">
        <f>SUMPRODUCT(N2593:Y2593,$N$4:$Y$4)*$K2593*$L2593*$M2593</f>
        <v/>
      </c>
      <c r="AD2593" s="15" t="n">
        <v>3</v>
      </c>
      <c r="AE2593" s="11" t="n">
        <v>1.011296296296296</v>
      </c>
      <c r="AF2593" s="16">
        <f>SUMPRODUCT(N2593:Y2593,$N$5:$Y$5)*$K2593*$L2593*$M2593</f>
        <v/>
      </c>
      <c r="AG2593" s="16">
        <f>SUMPRODUCT(N2593:Y2593,$N$6:$Y$6)*$K2593*$L2593*$M2593</f>
        <v/>
      </c>
      <c r="AH2593" s="20" t="n"/>
    </row>
    <row r="2594">
      <c r="A2594" s="9" t="n">
        <v>827463</v>
      </c>
      <c r="B2594" s="9" t="inlineStr">
        <is>
          <t>Jesus A. Castro</t>
        </is>
      </c>
      <c r="C2594" s="9" t="inlineStr">
        <is>
          <t>SD</t>
        </is>
      </c>
      <c r="D2594" s="9" t="n">
        <v>25</v>
      </c>
      <c r="E2594" s="18" t="inlineStr">
        <is>
          <t>R</t>
        </is>
      </c>
      <c r="F2594" s="18" t="n"/>
      <c r="G2594" s="9" t="n">
        <v>46.612</v>
      </c>
      <c r="H2594" s="9" t="n">
        <v>46.612</v>
      </c>
      <c r="I2594" s="9" t="inlineStr">
        <is>
          <t>Depth (no MLB IP)</t>
        </is>
      </c>
      <c r="J2594" s="18" t="inlineStr">
        <is>
          <t>Opening Day</t>
        </is>
      </c>
      <c r="K2594" s="11">
        <f>IFERROR(INDEX(Roles!$B$17:$B$20,MATCH(J2594,Roles!$A$17:$A$20,0)),1)</f>
        <v/>
      </c>
      <c r="L2594" s="19" t="n">
        <v>1</v>
      </c>
      <c r="M2594" s="11" t="n">
        <v>1</v>
      </c>
      <c r="N2594" s="19" t="n"/>
      <c r="O2594" s="19" t="n"/>
      <c r="P2594" s="19" t="n"/>
      <c r="Q2594" s="19" t="n"/>
      <c r="R2594" s="19" t="n"/>
      <c r="S2594" s="19" t="n"/>
      <c r="T2594" s="19" t="n"/>
      <c r="U2594" s="19" t="n"/>
      <c r="V2594" s="19" t="n"/>
      <c r="W2594" s="19" t="n"/>
      <c r="X2594" s="19" t="n"/>
      <c r="Y2594" s="19" t="n">
        <v>1</v>
      </c>
      <c r="Z2594" s="13">
        <f>SUMPRODUCT(N2594:Y2594,$N$2:$Y$2)*$K2594*$L2594*$M2594</f>
        <v/>
      </c>
      <c r="AA2594" s="14">
        <f>SUM(N2594:Y2594)</f>
        <v/>
      </c>
      <c r="AB2594" s="13">
        <f>SUMPRODUCT(N2594:Y2594,$N$3:$Y$3)*$K2594*$L2594*$M2594</f>
        <v/>
      </c>
      <c r="AC2594" s="13">
        <f>SUMPRODUCT(N2594:Y2594,$N$4:$Y$4)*$K2594*$L2594*$M2594</f>
        <v/>
      </c>
      <c r="AD2594" s="15" t="n">
        <v>3</v>
      </c>
      <c r="AE2594" s="11" t="n">
        <v>1.011296296296296</v>
      </c>
      <c r="AF2594" s="16">
        <f>SUMPRODUCT(N2594:Y2594,$N$5:$Y$5)*$K2594*$L2594*$M2594</f>
        <v/>
      </c>
      <c r="AG2594" s="16">
        <f>SUMPRODUCT(N2594:Y2594,$N$6:$Y$6)*$K2594*$L2594*$M2594</f>
        <v/>
      </c>
      <c r="AH2594" s="20" t="n"/>
    </row>
    <row r="2595">
      <c r="A2595" s="9" t="n">
        <v>804526</v>
      </c>
      <c r="B2595" s="9" t="inlineStr">
        <is>
          <t>Nolan Perry</t>
        </is>
      </c>
      <c r="C2595" s="9" t="inlineStr">
        <is>
          <t>TOR</t>
        </is>
      </c>
      <c r="D2595" s="9" t="n">
        <v>24</v>
      </c>
      <c r="E2595" s="18" t="inlineStr">
        <is>
          <t>R</t>
        </is>
      </c>
      <c r="F2595" s="18" t="n"/>
      <c r="G2595" s="9" t="n">
        <v>46.655</v>
      </c>
      <c r="H2595" s="9" t="n">
        <v>46.655</v>
      </c>
      <c r="I2595" s="9" t="inlineStr">
        <is>
          <t>Depth (no MLB IP)</t>
        </is>
      </c>
      <c r="J2595" s="18" t="inlineStr">
        <is>
          <t>Opening Day</t>
        </is>
      </c>
      <c r="K2595" s="11">
        <f>IFERROR(INDEX(Roles!$B$17:$B$20,MATCH(J2595,Roles!$A$17:$A$20,0)),1)</f>
        <v/>
      </c>
      <c r="L2595" s="19" t="n">
        <v>1</v>
      </c>
      <c r="M2595" s="11" t="n">
        <v>1</v>
      </c>
      <c r="N2595" s="19" t="n"/>
      <c r="O2595" s="19" t="n"/>
      <c r="P2595" s="19" t="n"/>
      <c r="Q2595" s="19" t="n"/>
      <c r="R2595" s="19" t="n"/>
      <c r="S2595" s="19" t="n"/>
      <c r="T2595" s="19" t="n"/>
      <c r="U2595" s="19" t="n"/>
      <c r="V2595" s="19" t="n"/>
      <c r="W2595" s="19" t="n"/>
      <c r="X2595" s="19" t="n"/>
      <c r="Y2595" s="19" t="n">
        <v>1</v>
      </c>
      <c r="Z2595" s="13">
        <f>SUMPRODUCT(N2595:Y2595,$N$2:$Y$2)*$K2595*$L2595*$M2595</f>
        <v/>
      </c>
      <c r="AA2595" s="14">
        <f>SUM(N2595:Y2595)</f>
        <v/>
      </c>
      <c r="AB2595" s="13">
        <f>SUMPRODUCT(N2595:Y2595,$N$3:$Y$3)*$K2595*$L2595*$M2595</f>
        <v/>
      </c>
      <c r="AC2595" s="13">
        <f>SUMPRODUCT(N2595:Y2595,$N$4:$Y$4)*$K2595*$L2595*$M2595</f>
        <v/>
      </c>
      <c r="AD2595" s="15" t="n">
        <v>3</v>
      </c>
      <c r="AE2595" s="11" t="n">
        <v>1.011296296296296</v>
      </c>
      <c r="AF2595" s="16">
        <f>SUMPRODUCT(N2595:Y2595,$N$5:$Y$5)*$K2595*$L2595*$M2595</f>
        <v/>
      </c>
      <c r="AG2595" s="16">
        <f>SUMPRODUCT(N2595:Y2595,$N$6:$Y$6)*$K2595*$L2595*$M2595</f>
        <v/>
      </c>
      <c r="AH2595" s="20" t="n"/>
    </row>
    <row r="2596">
      <c r="A2596" s="9" t="n">
        <v>803314</v>
      </c>
      <c r="B2596" s="9" t="inlineStr">
        <is>
          <t>Riley Huge</t>
        </is>
      </c>
      <c r="C2596" s="9" t="inlineStr">
        <is>
          <t>OAK</t>
        </is>
      </c>
      <c r="D2596" s="9" t="n">
        <v>25</v>
      </c>
      <c r="E2596" s="18" t="inlineStr">
        <is>
          <t>L</t>
        </is>
      </c>
      <c r="F2596" s="18" t="n"/>
      <c r="G2596" s="9" t="n">
        <v>46.72666666666667</v>
      </c>
      <c r="H2596" s="9" t="n">
        <v>46.72666666666667</v>
      </c>
      <c r="I2596" s="9" t="inlineStr">
        <is>
          <t>Depth (no MLB IP)</t>
        </is>
      </c>
      <c r="J2596" s="18" t="inlineStr">
        <is>
          <t>Opening Day</t>
        </is>
      </c>
      <c r="K2596" s="11">
        <f>IFERROR(INDEX(Roles!$B$17:$B$20,MATCH(J2596,Roles!$A$17:$A$20,0)),1)</f>
        <v/>
      </c>
      <c r="L2596" s="19" t="n">
        <v>1</v>
      </c>
      <c r="M2596" s="11" t="n">
        <v>1</v>
      </c>
      <c r="N2596" s="19" t="n"/>
      <c r="O2596" s="19" t="n"/>
      <c r="P2596" s="19" t="n"/>
      <c r="Q2596" s="19" t="n"/>
      <c r="R2596" s="19" t="n"/>
      <c r="S2596" s="19" t="n"/>
      <c r="T2596" s="19" t="n"/>
      <c r="U2596" s="19" t="n"/>
      <c r="V2596" s="19" t="n"/>
      <c r="W2596" s="19" t="n"/>
      <c r="X2596" s="19" t="n"/>
      <c r="Y2596" s="19" t="n">
        <v>1</v>
      </c>
      <c r="Z2596" s="13">
        <f>SUMPRODUCT(N2596:Y2596,$N$2:$Y$2)*$K2596*$L2596*$M2596</f>
        <v/>
      </c>
      <c r="AA2596" s="14">
        <f>SUM(N2596:Y2596)</f>
        <v/>
      </c>
      <c r="AB2596" s="13">
        <f>SUMPRODUCT(N2596:Y2596,$N$3:$Y$3)*$K2596*$L2596*$M2596</f>
        <v/>
      </c>
      <c r="AC2596" s="13">
        <f>SUMPRODUCT(N2596:Y2596,$N$4:$Y$4)*$K2596*$L2596*$M2596</f>
        <v/>
      </c>
      <c r="AD2596" s="15" t="n">
        <v>3</v>
      </c>
      <c r="AE2596" s="11" t="n">
        <v>1.011296296296296</v>
      </c>
      <c r="AF2596" s="16">
        <f>SUMPRODUCT(N2596:Y2596,$N$5:$Y$5)*$K2596*$L2596*$M2596</f>
        <v/>
      </c>
      <c r="AG2596" s="16">
        <f>SUMPRODUCT(N2596:Y2596,$N$6:$Y$6)*$K2596*$L2596*$M2596</f>
        <v/>
      </c>
      <c r="AH2596" s="20" t="n"/>
    </row>
    <row r="2597">
      <c r="A2597" s="9" t="n">
        <v>678973</v>
      </c>
      <c r="B2597" s="9" t="inlineStr">
        <is>
          <t>Eiker Huizi</t>
        </is>
      </c>
      <c r="C2597" s="9" t="inlineStr">
        <is>
          <t>WSH</t>
        </is>
      </c>
      <c r="D2597" s="9" t="n">
        <v>25</v>
      </c>
      <c r="E2597" s="18" t="inlineStr">
        <is>
          <t>R</t>
        </is>
      </c>
      <c r="F2597" s="18" t="n"/>
      <c r="G2597" s="9" t="n">
        <v>46.72666666666667</v>
      </c>
      <c r="H2597" s="9" t="n">
        <v>46.72666666666667</v>
      </c>
      <c r="I2597" s="9" t="inlineStr">
        <is>
          <t>Depth (no MLB IP)</t>
        </is>
      </c>
      <c r="J2597" s="18" t="inlineStr">
        <is>
          <t>Opening Day</t>
        </is>
      </c>
      <c r="K2597" s="11">
        <f>IFERROR(INDEX(Roles!$B$17:$B$20,MATCH(J2597,Roles!$A$17:$A$20,0)),1)</f>
        <v/>
      </c>
      <c r="L2597" s="19" t="n">
        <v>1</v>
      </c>
      <c r="M2597" s="11" t="n">
        <v>1</v>
      </c>
      <c r="N2597" s="19" t="n"/>
      <c r="O2597" s="19" t="n"/>
      <c r="P2597" s="19" t="n"/>
      <c r="Q2597" s="19" t="n"/>
      <c r="R2597" s="19" t="n"/>
      <c r="S2597" s="19" t="n"/>
      <c r="T2597" s="19" t="n"/>
      <c r="U2597" s="19" t="n"/>
      <c r="V2597" s="19" t="n"/>
      <c r="W2597" s="19" t="n"/>
      <c r="X2597" s="19" t="n"/>
      <c r="Y2597" s="19" t="n">
        <v>1</v>
      </c>
      <c r="Z2597" s="13">
        <f>SUMPRODUCT(N2597:Y2597,$N$2:$Y$2)*$K2597*$L2597*$M2597</f>
        <v/>
      </c>
      <c r="AA2597" s="14">
        <f>SUM(N2597:Y2597)</f>
        <v/>
      </c>
      <c r="AB2597" s="13">
        <f>SUMPRODUCT(N2597:Y2597,$N$3:$Y$3)*$K2597*$L2597*$M2597</f>
        <v/>
      </c>
      <c r="AC2597" s="13">
        <f>SUMPRODUCT(N2597:Y2597,$N$4:$Y$4)*$K2597*$L2597*$M2597</f>
        <v/>
      </c>
      <c r="AD2597" s="15" t="n">
        <v>3</v>
      </c>
      <c r="AE2597" s="11" t="n">
        <v>1.011296296296296</v>
      </c>
      <c r="AF2597" s="16">
        <f>SUMPRODUCT(N2597:Y2597,$N$5:$Y$5)*$K2597*$L2597*$M2597</f>
        <v/>
      </c>
      <c r="AG2597" s="16">
        <f>SUMPRODUCT(N2597:Y2597,$N$6:$Y$6)*$K2597*$L2597*$M2597</f>
        <v/>
      </c>
      <c r="AH2597" s="20" t="n"/>
    </row>
    <row r="2598">
      <c r="A2598" s="9" t="n">
        <v>669160</v>
      </c>
      <c r="B2598" s="9" t="inlineStr">
        <is>
          <t>Dustin May</t>
        </is>
      </c>
      <c r="C2598" s="9" t="inlineStr">
        <is>
          <t>MIL</t>
        </is>
      </c>
      <c r="D2598" s="9" t="n">
        <v>29</v>
      </c>
      <c r="E2598" s="18" t="inlineStr">
        <is>
          <t>R</t>
        </is>
      </c>
      <c r="F2598" s="18" t="n"/>
      <c r="G2598" s="9" t="n">
        <v>621</v>
      </c>
      <c r="H2598" s="9" t="n">
        <v>1519</v>
      </c>
      <c r="I2598" s="9" t="inlineStr">
        <is>
          <t>Mid-Rotation Starter (SP2-3)</t>
        </is>
      </c>
      <c r="J2598" s="18" t="inlineStr">
        <is>
          <t>Opening Day</t>
        </is>
      </c>
      <c r="K2598" s="11">
        <f>IFERROR(INDEX(Roles!$B$17:$B$20,MATCH(J2598,Roles!$A$17:$A$20,0)),1)</f>
        <v/>
      </c>
      <c r="L2598" s="19" t="n">
        <v>1</v>
      </c>
      <c r="M2598" s="11" t="n">
        <v>1</v>
      </c>
      <c r="N2598" s="19" t="n"/>
      <c r="O2598" s="19" t="n">
        <v>0.5</v>
      </c>
      <c r="P2598" s="19" t="n">
        <v>0.5</v>
      </c>
      <c r="Q2598" s="19" t="n"/>
      <c r="R2598" s="19" t="n"/>
      <c r="S2598" s="19" t="n"/>
      <c r="T2598" s="19" t="n"/>
      <c r="U2598" s="19" t="n"/>
      <c r="V2598" s="19" t="n"/>
      <c r="W2598" s="19" t="n"/>
      <c r="X2598" s="19" t="n"/>
      <c r="Y2598" s="19" t="n"/>
      <c r="Z2598" s="13">
        <f>SUMPRODUCT(N2598:Y2598,$N$2:$Y$2)*$K2598*$L2598*$M2598</f>
        <v/>
      </c>
      <c r="AA2598" s="14">
        <f>SUM(N2598:Y2598)</f>
        <v/>
      </c>
      <c r="AB2598" s="13">
        <f>SUMPRODUCT(N2598:Y2598,$N$3:$Y$3)*$K2598*$L2598*$M2598</f>
        <v/>
      </c>
      <c r="AC2598" s="13">
        <f>SUMPRODUCT(N2598:Y2598,$N$4:$Y$4)*$K2598*$L2598*$M2598</f>
        <v/>
      </c>
      <c r="AD2598" s="15" t="n">
        <v>27.56</v>
      </c>
      <c r="AE2598" s="11" t="n">
        <v>5.105120685765848</v>
      </c>
      <c r="AF2598" s="16">
        <f>SUMPRODUCT(N2598:Y2598,$N$5:$Y$5)*$K2598*$L2598*$M2598</f>
        <v/>
      </c>
      <c r="AG2598" s="16">
        <f>SUMPRODUCT(N2598:Y2598,$N$6:$Y$6)*$K2598*$L2598*$M2598</f>
        <v/>
      </c>
      <c r="AH2598" s="20" t="n"/>
    </row>
    <row r="2599">
      <c r="A2599" s="9" t="n">
        <v>821366</v>
      </c>
      <c r="B2599" s="9" t="inlineStr">
        <is>
          <t>Brayan Orrantia</t>
        </is>
      </c>
      <c r="C2599" s="9" t="inlineStr">
        <is>
          <t>BAL</t>
        </is>
      </c>
      <c r="D2599" s="9" t="n">
        <v>25</v>
      </c>
      <c r="E2599" s="18" t="inlineStr">
        <is>
          <t>R</t>
        </is>
      </c>
      <c r="F2599" s="18" t="n"/>
      <c r="G2599" s="9" t="n">
        <v>46.784</v>
      </c>
      <c r="H2599" s="9" t="n">
        <v>46.784</v>
      </c>
      <c r="I2599" s="9" t="inlineStr">
        <is>
          <t>Depth (no MLB IP)</t>
        </is>
      </c>
      <c r="J2599" s="18" t="inlineStr">
        <is>
          <t>Opening Day</t>
        </is>
      </c>
      <c r="K2599" s="11">
        <f>IFERROR(INDEX(Roles!$B$17:$B$20,MATCH(J2599,Roles!$A$17:$A$20,0)),1)</f>
        <v/>
      </c>
      <c r="L2599" s="19" t="n">
        <v>1</v>
      </c>
      <c r="M2599" s="11" t="n">
        <v>1</v>
      </c>
      <c r="N2599" s="19" t="n"/>
      <c r="O2599" s="19" t="n"/>
      <c r="P2599" s="19" t="n"/>
      <c r="Q2599" s="19" t="n"/>
      <c r="R2599" s="19" t="n"/>
      <c r="S2599" s="19" t="n"/>
      <c r="T2599" s="19" t="n"/>
      <c r="U2599" s="19" t="n"/>
      <c r="V2599" s="19" t="n"/>
      <c r="W2599" s="19" t="n"/>
      <c r="X2599" s="19" t="n"/>
      <c r="Y2599" s="19" t="n">
        <v>1</v>
      </c>
      <c r="Z2599" s="13">
        <f>SUMPRODUCT(N2599:Y2599,$N$2:$Y$2)*$K2599*$L2599*$M2599</f>
        <v/>
      </c>
      <c r="AA2599" s="14">
        <f>SUM(N2599:Y2599)</f>
        <v/>
      </c>
      <c r="AB2599" s="13">
        <f>SUMPRODUCT(N2599:Y2599,$N$3:$Y$3)*$K2599*$L2599*$M2599</f>
        <v/>
      </c>
      <c r="AC2599" s="13">
        <f>SUMPRODUCT(N2599:Y2599,$N$4:$Y$4)*$K2599*$L2599*$M2599</f>
        <v/>
      </c>
      <c r="AD2599" s="15" t="n">
        <v>3</v>
      </c>
      <c r="AE2599" s="11" t="n">
        <v>1.011296296296296</v>
      </c>
      <c r="AF2599" s="16">
        <f>SUMPRODUCT(N2599:Y2599,$N$5:$Y$5)*$K2599*$L2599*$M2599</f>
        <v/>
      </c>
      <c r="AG2599" s="16">
        <f>SUMPRODUCT(N2599:Y2599,$N$6:$Y$6)*$K2599*$L2599*$M2599</f>
        <v/>
      </c>
      <c r="AH2599" s="20" t="n"/>
    </row>
    <row r="2600">
      <c r="A2600" s="9" t="n">
        <v>825932</v>
      </c>
      <c r="B2600" s="9" t="inlineStr">
        <is>
          <t>Draven Zeigler</t>
        </is>
      </c>
      <c r="C2600" s="9" t="inlineStr">
        <is>
          <t>PIT</t>
        </is>
      </c>
      <c r="D2600" s="9" t="n">
        <v>25</v>
      </c>
      <c r="E2600" s="18" t="inlineStr">
        <is>
          <t>R</t>
        </is>
      </c>
      <c r="F2600" s="18" t="n"/>
      <c r="G2600" s="9" t="n">
        <v>46.72666666666667</v>
      </c>
      <c r="H2600" s="9" t="n">
        <v>46.72666666666667</v>
      </c>
      <c r="I2600" s="9" t="inlineStr">
        <is>
          <t>Depth (no MLB IP)</t>
        </is>
      </c>
      <c r="J2600" s="18" t="inlineStr">
        <is>
          <t>Opening Day</t>
        </is>
      </c>
      <c r="K2600" s="11">
        <f>IFERROR(INDEX(Roles!$B$17:$B$20,MATCH(J2600,Roles!$A$17:$A$20,0)),1)</f>
        <v/>
      </c>
      <c r="L2600" s="19" t="n">
        <v>1</v>
      </c>
      <c r="M2600" s="11" t="n">
        <v>1</v>
      </c>
      <c r="N2600" s="19" t="n"/>
      <c r="O2600" s="19" t="n"/>
      <c r="P2600" s="19" t="n"/>
      <c r="Q2600" s="19" t="n"/>
      <c r="R2600" s="19" t="n"/>
      <c r="S2600" s="19" t="n"/>
      <c r="T2600" s="19" t="n"/>
      <c r="U2600" s="19" t="n"/>
      <c r="V2600" s="19" t="n"/>
      <c r="W2600" s="19" t="n"/>
      <c r="X2600" s="19" t="n"/>
      <c r="Y2600" s="19" t="n">
        <v>1</v>
      </c>
      <c r="Z2600" s="13">
        <f>SUMPRODUCT(N2600:Y2600,$N$2:$Y$2)*$K2600*$L2600*$M2600</f>
        <v/>
      </c>
      <c r="AA2600" s="14">
        <f>SUM(N2600:Y2600)</f>
        <v/>
      </c>
      <c r="AB2600" s="13">
        <f>SUMPRODUCT(N2600:Y2600,$N$3:$Y$3)*$K2600*$L2600*$M2600</f>
        <v/>
      </c>
      <c r="AC2600" s="13">
        <f>SUMPRODUCT(N2600:Y2600,$N$4:$Y$4)*$K2600*$L2600*$M2600</f>
        <v/>
      </c>
      <c r="AD2600" s="15" t="n">
        <v>3</v>
      </c>
      <c r="AE2600" s="11" t="n">
        <v>1.011296296296296</v>
      </c>
      <c r="AF2600" s="16">
        <f>SUMPRODUCT(N2600:Y2600,$N$5:$Y$5)*$K2600*$L2600*$M2600</f>
        <v/>
      </c>
      <c r="AG2600" s="16">
        <f>SUMPRODUCT(N2600:Y2600,$N$6:$Y$6)*$K2600*$L2600*$M2600</f>
        <v/>
      </c>
      <c r="AH2600" s="20" t="n"/>
    </row>
    <row r="2601">
      <c r="A2601" s="9" t="n">
        <v>806666</v>
      </c>
      <c r="B2601" s="9" t="inlineStr">
        <is>
          <t>Juanmi Vasquez</t>
        </is>
      </c>
      <c r="C2601" s="9" t="inlineStr">
        <is>
          <t>DET</t>
        </is>
      </c>
      <c r="D2601" s="9" t="n">
        <v>25</v>
      </c>
      <c r="E2601" s="18" t="inlineStr">
        <is>
          <t>L</t>
        </is>
      </c>
      <c r="F2601" s="18" t="n"/>
      <c r="G2601" s="9" t="n">
        <v>46.72666666666667</v>
      </c>
      <c r="H2601" s="9" t="n">
        <v>46.72666666666667</v>
      </c>
      <c r="I2601" s="9" t="inlineStr">
        <is>
          <t>Depth (no MLB IP)</t>
        </is>
      </c>
      <c r="J2601" s="18" t="inlineStr">
        <is>
          <t>Opening Day</t>
        </is>
      </c>
      <c r="K2601" s="11">
        <f>IFERROR(INDEX(Roles!$B$17:$B$20,MATCH(J2601,Roles!$A$17:$A$20,0)),1)</f>
        <v/>
      </c>
      <c r="L2601" s="19" t="n">
        <v>1</v>
      </c>
      <c r="M2601" s="11" t="n">
        <v>1</v>
      </c>
      <c r="N2601" s="19" t="n"/>
      <c r="O2601" s="19" t="n"/>
      <c r="P2601" s="19" t="n"/>
      <c r="Q2601" s="19" t="n"/>
      <c r="R2601" s="19" t="n"/>
      <c r="S2601" s="19" t="n"/>
      <c r="T2601" s="19" t="n"/>
      <c r="U2601" s="19" t="n"/>
      <c r="V2601" s="19" t="n"/>
      <c r="W2601" s="19" t="n"/>
      <c r="X2601" s="19" t="n"/>
      <c r="Y2601" s="19" t="n">
        <v>1</v>
      </c>
      <c r="Z2601" s="13">
        <f>SUMPRODUCT(N2601:Y2601,$N$2:$Y$2)*$K2601*$L2601*$M2601</f>
        <v/>
      </c>
      <c r="AA2601" s="14">
        <f>SUM(N2601:Y2601)</f>
        <v/>
      </c>
      <c r="AB2601" s="13">
        <f>SUMPRODUCT(N2601:Y2601,$N$3:$Y$3)*$K2601*$L2601*$M2601</f>
        <v/>
      </c>
      <c r="AC2601" s="13">
        <f>SUMPRODUCT(N2601:Y2601,$N$4:$Y$4)*$K2601*$L2601*$M2601</f>
        <v/>
      </c>
      <c r="AD2601" s="15" t="n">
        <v>3</v>
      </c>
      <c r="AE2601" s="11" t="n">
        <v>1.011296296296296</v>
      </c>
      <c r="AF2601" s="16">
        <f>SUMPRODUCT(N2601:Y2601,$N$5:$Y$5)*$K2601*$L2601*$M2601</f>
        <v/>
      </c>
      <c r="AG2601" s="16">
        <f>SUMPRODUCT(N2601:Y2601,$N$6:$Y$6)*$K2601*$L2601*$M2601</f>
        <v/>
      </c>
      <c r="AH2601" s="20" t="n"/>
    </row>
    <row r="2602">
      <c r="A2602" s="9" t="n">
        <v>680951</v>
      </c>
      <c r="B2602" s="9" t="inlineStr">
        <is>
          <t>Doug Nikhazy</t>
        </is>
      </c>
      <c r="C2602" s="9" t="inlineStr">
        <is>
          <t>CWS</t>
        </is>
      </c>
      <c r="D2602" s="9" t="n">
        <v>27</v>
      </c>
      <c r="E2602" s="18" t="inlineStr">
        <is>
          <t>L</t>
        </is>
      </c>
      <c r="F2602" s="18" t="n"/>
      <c r="G2602" s="9" t="n">
        <v>9</v>
      </c>
      <c r="H2602" s="9" t="n">
        <v>32</v>
      </c>
      <c r="I2602" s="9" t="inlineStr">
        <is>
          <t>Depth (no MLB IP)</t>
        </is>
      </c>
      <c r="J2602" s="18" t="inlineStr">
        <is>
          <t>Opening Day</t>
        </is>
      </c>
      <c r="K2602" s="11">
        <f>IFERROR(INDEX(Roles!$B$17:$B$20,MATCH(J2602,Roles!$A$17:$A$20,0)),1)</f>
        <v/>
      </c>
      <c r="L2602" s="19" t="n">
        <v>1</v>
      </c>
      <c r="M2602" s="11" t="n">
        <v>1</v>
      </c>
      <c r="N2602" s="19" t="n"/>
      <c r="O2602" s="19" t="n"/>
      <c r="P2602" s="19" t="n"/>
      <c r="Q2602" s="19" t="n"/>
      <c r="R2602" s="19" t="n"/>
      <c r="S2602" s="19" t="n"/>
      <c r="T2602" s="19" t="n"/>
      <c r="U2602" s="19" t="n"/>
      <c r="V2602" s="19" t="n"/>
      <c r="W2602" s="19" t="n"/>
      <c r="X2602" s="19" t="n"/>
      <c r="Y2602" s="19" t="n">
        <v>1</v>
      </c>
      <c r="Z2602" s="13">
        <f>SUMPRODUCT(N2602:Y2602,$N$2:$Y$2)*$K2602*$L2602*$M2602</f>
        <v/>
      </c>
      <c r="AA2602" s="14">
        <f>SUM(N2602:Y2602)</f>
        <v/>
      </c>
      <c r="AB2602" s="13">
        <f>SUMPRODUCT(N2602:Y2602,$N$3:$Y$3)*$K2602*$L2602*$M2602</f>
        <v/>
      </c>
      <c r="AC2602" s="13">
        <f>SUMPRODUCT(N2602:Y2602,$N$4:$Y$4)*$K2602*$L2602*$M2602</f>
        <v/>
      </c>
      <c r="AD2602" s="15" t="n">
        <v>2.04</v>
      </c>
      <c r="AE2602" s="11" t="n">
        <v>1.340864197530864</v>
      </c>
      <c r="AF2602" s="16">
        <f>SUMPRODUCT(N2602:Y2602,$N$5:$Y$5)*$K2602*$L2602*$M2602</f>
        <v/>
      </c>
      <c r="AG2602" s="16">
        <f>SUMPRODUCT(N2602:Y2602,$N$6:$Y$6)*$K2602*$L2602*$M2602</f>
        <v/>
      </c>
      <c r="AH2602" s="20" t="n"/>
    </row>
    <row r="2603">
      <c r="A2603" s="9" t="n">
        <v>828603</v>
      </c>
      <c r="B2603" s="9" t="inlineStr">
        <is>
          <t>Logan Berrier</t>
        </is>
      </c>
      <c r="C2603" s="9" t="inlineStr">
        <is>
          <t>DET</t>
        </is>
      </c>
      <c r="D2603" s="9" t="n">
        <v>25</v>
      </c>
      <c r="E2603" s="18" t="inlineStr">
        <is>
          <t>R</t>
        </is>
      </c>
      <c r="F2603" s="18" t="n"/>
      <c r="G2603" s="9" t="n">
        <v>47.01333333333333</v>
      </c>
      <c r="H2603" s="9" t="n">
        <v>47.01333333333333</v>
      </c>
      <c r="I2603" s="9" t="inlineStr">
        <is>
          <t>Depth (no MLB IP)</t>
        </is>
      </c>
      <c r="J2603" s="18" t="inlineStr">
        <is>
          <t>Opening Day</t>
        </is>
      </c>
      <c r="K2603" s="11">
        <f>IFERROR(INDEX(Roles!$B$17:$B$20,MATCH(J2603,Roles!$A$17:$A$20,0)),1)</f>
        <v/>
      </c>
      <c r="L2603" s="19" t="n">
        <v>1</v>
      </c>
      <c r="M2603" s="11" t="n">
        <v>1</v>
      </c>
      <c r="N2603" s="19" t="n"/>
      <c r="O2603" s="19" t="n"/>
      <c r="P2603" s="19" t="n"/>
      <c r="Q2603" s="19" t="n"/>
      <c r="R2603" s="19" t="n"/>
      <c r="S2603" s="19" t="n"/>
      <c r="T2603" s="19" t="n"/>
      <c r="U2603" s="19" t="n"/>
      <c r="V2603" s="19" t="n"/>
      <c r="W2603" s="19" t="n"/>
      <c r="X2603" s="19" t="n"/>
      <c r="Y2603" s="19" t="n">
        <v>1</v>
      </c>
      <c r="Z2603" s="13">
        <f>SUMPRODUCT(N2603:Y2603,$N$2:$Y$2)*$K2603*$L2603*$M2603</f>
        <v/>
      </c>
      <c r="AA2603" s="14">
        <f>SUM(N2603:Y2603)</f>
        <v/>
      </c>
      <c r="AB2603" s="13">
        <f>SUMPRODUCT(N2603:Y2603,$N$3:$Y$3)*$K2603*$L2603*$M2603</f>
        <v/>
      </c>
      <c r="AC2603" s="13">
        <f>SUMPRODUCT(N2603:Y2603,$N$4:$Y$4)*$K2603*$L2603*$M2603</f>
        <v/>
      </c>
      <c r="AD2603" s="15" t="n">
        <v>3</v>
      </c>
      <c r="AE2603" s="11" t="n">
        <v>1.011296296296296</v>
      </c>
      <c r="AF2603" s="16">
        <f>SUMPRODUCT(N2603:Y2603,$N$5:$Y$5)*$K2603*$L2603*$M2603</f>
        <v/>
      </c>
      <c r="AG2603" s="16">
        <f>SUMPRODUCT(N2603:Y2603,$N$6:$Y$6)*$K2603*$L2603*$M2603</f>
        <v/>
      </c>
      <c r="AH2603" s="20" t="n"/>
    </row>
    <row r="2604">
      <c r="A2604" s="9" t="n">
        <v>834882</v>
      </c>
      <c r="B2604" s="9" t="inlineStr">
        <is>
          <t>Reece Wissinger</t>
        </is>
      </c>
      <c r="C2604" s="9" t="inlineStr">
        <is>
          <t>TOR</t>
        </is>
      </c>
      <c r="D2604" s="9" t="n">
        <v>25</v>
      </c>
      <c r="E2604" s="18" t="inlineStr">
        <is>
          <t>R</t>
        </is>
      </c>
      <c r="F2604" s="18" t="n"/>
      <c r="G2604" s="9" t="n">
        <v>47.01333333333333</v>
      </c>
      <c r="H2604" s="9" t="n">
        <v>47.01333333333333</v>
      </c>
      <c r="I2604" s="9" t="inlineStr">
        <is>
          <t>Depth (no MLB IP)</t>
        </is>
      </c>
      <c r="J2604" s="18" t="inlineStr">
        <is>
          <t>Opening Day</t>
        </is>
      </c>
      <c r="K2604" s="11">
        <f>IFERROR(INDEX(Roles!$B$17:$B$20,MATCH(J2604,Roles!$A$17:$A$20,0)),1)</f>
        <v/>
      </c>
      <c r="L2604" s="19" t="n">
        <v>1</v>
      </c>
      <c r="M2604" s="11" t="n">
        <v>1</v>
      </c>
      <c r="N2604" s="19" t="n"/>
      <c r="O2604" s="19" t="n"/>
      <c r="P2604" s="19" t="n"/>
      <c r="Q2604" s="19" t="n"/>
      <c r="R2604" s="19" t="n"/>
      <c r="S2604" s="19" t="n"/>
      <c r="T2604" s="19" t="n"/>
      <c r="U2604" s="19" t="n"/>
      <c r="V2604" s="19" t="n"/>
      <c r="W2604" s="19" t="n"/>
      <c r="X2604" s="19" t="n"/>
      <c r="Y2604" s="19" t="n">
        <v>1</v>
      </c>
      <c r="Z2604" s="13">
        <f>SUMPRODUCT(N2604:Y2604,$N$2:$Y$2)*$K2604*$L2604*$M2604</f>
        <v/>
      </c>
      <c r="AA2604" s="14">
        <f>SUM(N2604:Y2604)</f>
        <v/>
      </c>
      <c r="AB2604" s="13">
        <f>SUMPRODUCT(N2604:Y2604,$N$3:$Y$3)*$K2604*$L2604*$M2604</f>
        <v/>
      </c>
      <c r="AC2604" s="13">
        <f>SUMPRODUCT(N2604:Y2604,$N$4:$Y$4)*$K2604*$L2604*$M2604</f>
        <v/>
      </c>
      <c r="AD2604" s="15" t="n">
        <v>3</v>
      </c>
      <c r="AE2604" s="11" t="n">
        <v>1.011296296296296</v>
      </c>
      <c r="AF2604" s="16">
        <f>SUMPRODUCT(N2604:Y2604,$N$5:$Y$5)*$K2604*$L2604*$M2604</f>
        <v/>
      </c>
      <c r="AG2604" s="16">
        <f>SUMPRODUCT(N2604:Y2604,$N$6:$Y$6)*$K2604*$L2604*$M2604</f>
        <v/>
      </c>
      <c r="AH2604" s="20" t="n"/>
    </row>
    <row r="2605">
      <c r="A2605" s="9" t="n">
        <v>663878</v>
      </c>
      <c r="B2605" s="9" t="inlineStr">
        <is>
          <t>Nate Pearson</t>
        </is>
      </c>
      <c r="C2605" s="9" t="inlineStr">
        <is>
          <t>KC</t>
        </is>
      </c>
      <c r="D2605" s="9" t="n">
        <v>30</v>
      </c>
      <c r="E2605" s="18" t="inlineStr">
        <is>
          <t>R</t>
        </is>
      </c>
      <c r="F2605" s="18" t="n"/>
      <c r="G2605" s="9" t="n">
        <v>200</v>
      </c>
      <c r="H2605" s="9" t="n">
        <v>742</v>
      </c>
      <c r="I2605" s="9" t="inlineStr">
        <is>
          <t>Closer</t>
        </is>
      </c>
      <c r="J2605" s="18" t="inlineStr">
        <is>
          <t>Opening Day</t>
        </is>
      </c>
      <c r="K2605" s="11">
        <f>IFERROR(INDEX(Roles!$B$17:$B$20,MATCH(J2605,Roles!$A$17:$A$20,0)),1)</f>
        <v/>
      </c>
      <c r="L2605" s="19" t="n">
        <v>1</v>
      </c>
      <c r="M2605" s="11" t="n">
        <v>1</v>
      </c>
      <c r="N2605" s="19" t="n"/>
      <c r="O2605" s="19" t="n"/>
      <c r="P2605" s="19" t="n"/>
      <c r="Q2605" s="19" t="n"/>
      <c r="R2605" s="19" t="n"/>
      <c r="S2605" s="19" t="n"/>
      <c r="T2605" s="19" t="n">
        <v>0.85</v>
      </c>
      <c r="U2605" s="19" t="n">
        <v>0.15</v>
      </c>
      <c r="V2605" s="19" t="n"/>
      <c r="W2605" s="19" t="n"/>
      <c r="X2605" s="19" t="n"/>
      <c r="Y2605" s="19" t="n"/>
      <c r="Z2605" s="13">
        <f>SUMPRODUCT(N2605:Y2605,$N$2:$Y$2)*$K2605*$L2605*$M2605</f>
        <v/>
      </c>
      <c r="AA2605" s="14">
        <f>SUM(N2605:Y2605)</f>
        <v/>
      </c>
      <c r="AB2605" s="13">
        <f>SUMPRODUCT(N2605:Y2605,$N$3:$Y$3)*$K2605*$L2605*$M2605</f>
        <v/>
      </c>
      <c r="AC2605" s="13">
        <f>SUMPRODUCT(N2605:Y2605,$N$4:$Y$4)*$K2605*$L2605*$M2605</f>
        <v/>
      </c>
      <c r="AD2605" s="15" t="n">
        <v>40.96</v>
      </c>
      <c r="AE2605" s="11" t="n">
        <v>1.043629357533852</v>
      </c>
      <c r="AF2605" s="16">
        <f>SUMPRODUCT(N2605:Y2605,$N$5:$Y$5)*$K2605*$L2605*$M2605</f>
        <v/>
      </c>
      <c r="AG2605" s="16">
        <f>SUMPRODUCT(N2605:Y2605,$N$6:$Y$6)*$K2605*$L2605*$M2605</f>
        <v/>
      </c>
      <c r="AH2605" s="20" t="n"/>
    </row>
    <row r="2606">
      <c r="A2606" s="9" t="n">
        <v>807284</v>
      </c>
      <c r="B2606" s="9" t="inlineStr">
        <is>
          <t>Cam Caminiti</t>
        </is>
      </c>
      <c r="C2606" s="9" t="inlineStr">
        <is>
          <t>ATL</t>
        </is>
      </c>
      <c r="D2606" s="9" t="n">
        <v>21</v>
      </c>
      <c r="E2606" s="18" t="inlineStr">
        <is>
          <t>L</t>
        </is>
      </c>
      <c r="F2606" s="18" t="n"/>
      <c r="G2606" s="9" t="n">
        <v>47.15666666666666</v>
      </c>
      <c r="H2606" s="9" t="n">
        <v>47.15666666666666</v>
      </c>
      <c r="I2606" s="9" t="inlineStr">
        <is>
          <t>Depth (no MLB IP)</t>
        </is>
      </c>
      <c r="J2606" s="18" t="inlineStr">
        <is>
          <t>Opening Day</t>
        </is>
      </c>
      <c r="K2606" s="11">
        <f>IFERROR(INDEX(Roles!$B$17:$B$20,MATCH(J2606,Roles!$A$17:$A$20,0)),1)</f>
        <v/>
      </c>
      <c r="L2606" s="19" t="n">
        <v>1</v>
      </c>
      <c r="M2606" s="11" t="n">
        <v>1</v>
      </c>
      <c r="N2606" s="19" t="n"/>
      <c r="O2606" s="19" t="n"/>
      <c r="P2606" s="19" t="n"/>
      <c r="Q2606" s="19" t="n"/>
      <c r="R2606" s="19" t="n"/>
      <c r="S2606" s="19" t="n"/>
      <c r="T2606" s="19" t="n"/>
      <c r="U2606" s="19" t="n"/>
      <c r="V2606" s="19" t="n"/>
      <c r="W2606" s="19" t="n"/>
      <c r="X2606" s="19" t="n"/>
      <c r="Y2606" s="19" t="n">
        <v>1</v>
      </c>
      <c r="Z2606" s="13">
        <f>SUMPRODUCT(N2606:Y2606,$N$2:$Y$2)*$K2606*$L2606*$M2606</f>
        <v/>
      </c>
      <c r="AA2606" s="14">
        <f>SUM(N2606:Y2606)</f>
        <v/>
      </c>
      <c r="AB2606" s="13">
        <f>SUMPRODUCT(N2606:Y2606,$N$3:$Y$3)*$K2606*$L2606*$M2606</f>
        <v/>
      </c>
      <c r="AC2606" s="13">
        <f>SUMPRODUCT(N2606:Y2606,$N$4:$Y$4)*$K2606*$L2606*$M2606</f>
        <v/>
      </c>
      <c r="AD2606" s="15" t="n">
        <v>3</v>
      </c>
      <c r="AE2606" s="11" t="n">
        <v>1.011296296296296</v>
      </c>
      <c r="AF2606" s="16">
        <f>SUMPRODUCT(N2606:Y2606,$N$5:$Y$5)*$K2606*$L2606*$M2606</f>
        <v/>
      </c>
      <c r="AG2606" s="16">
        <f>SUMPRODUCT(N2606:Y2606,$N$6:$Y$6)*$K2606*$L2606*$M2606</f>
        <v/>
      </c>
      <c r="AH2606" s="20" t="n"/>
    </row>
    <row r="2607">
      <c r="A2607" s="9" t="n">
        <v>690155</v>
      </c>
      <c r="B2607" s="9" t="inlineStr">
        <is>
          <t>Matt Pushard</t>
        </is>
      </c>
      <c r="C2607" s="9" t="inlineStr">
        <is>
          <t>STL</t>
        </is>
      </c>
      <c r="D2607" s="9" t="n">
        <v>29</v>
      </c>
      <c r="E2607" s="18" t="inlineStr">
        <is>
          <t>R</t>
        </is>
      </c>
      <c r="F2607" s="18" t="n"/>
      <c r="G2607" s="9" t="n">
        <v>32</v>
      </c>
      <c r="H2607" s="9" t="n">
        <v>32</v>
      </c>
      <c r="I2607" s="9" t="inlineStr">
        <is>
          <t>Bullpen Depth Arm</t>
        </is>
      </c>
      <c r="J2607" s="18" t="inlineStr">
        <is>
          <t>Opening Day</t>
        </is>
      </c>
      <c r="K2607" s="11">
        <f>IFERROR(INDEX(Roles!$B$17:$B$20,MATCH(J2607,Roles!$A$17:$A$20,0)),1)</f>
        <v/>
      </c>
      <c r="L2607" s="19" t="n">
        <v>1</v>
      </c>
      <c r="M2607" s="11" t="n">
        <v>1</v>
      </c>
      <c r="N2607" s="19" t="n"/>
      <c r="O2607" s="19" t="n"/>
      <c r="P2607" s="19" t="n"/>
      <c r="Q2607" s="19" t="n"/>
      <c r="R2607" s="19" t="n"/>
      <c r="S2607" s="19" t="n"/>
      <c r="T2607" s="19" t="n"/>
      <c r="U2607" s="19" t="n"/>
      <c r="V2607" s="19" t="n"/>
      <c r="W2607" s="19" t="n">
        <v>1</v>
      </c>
      <c r="X2607" s="19" t="n"/>
      <c r="Y2607" s="19" t="n"/>
      <c r="Z2607" s="13">
        <f>SUMPRODUCT(N2607:Y2607,$N$2:$Y$2)*$K2607*$L2607*$M2607</f>
        <v/>
      </c>
      <c r="AA2607" s="14">
        <f>SUM(N2607:Y2607)</f>
        <v/>
      </c>
      <c r="AB2607" s="13">
        <f>SUMPRODUCT(N2607:Y2607,$N$3:$Y$3)*$K2607*$L2607*$M2607</f>
        <v/>
      </c>
      <c r="AC2607" s="13">
        <f>SUMPRODUCT(N2607:Y2607,$N$4:$Y$4)*$K2607*$L2607*$M2607</f>
        <v/>
      </c>
      <c r="AD2607" s="15" t="n">
        <v>9.266666666666666</v>
      </c>
      <c r="AE2607" s="11" t="n">
        <v>1.190396023729357</v>
      </c>
      <c r="AF2607" s="16">
        <f>SUMPRODUCT(N2607:Y2607,$N$5:$Y$5)*$K2607*$L2607*$M2607</f>
        <v/>
      </c>
      <c r="AG2607" s="16">
        <f>SUMPRODUCT(N2607:Y2607,$N$6:$Y$6)*$K2607*$L2607*$M2607</f>
        <v/>
      </c>
      <c r="AH2607" s="20" t="n"/>
    </row>
    <row r="2608">
      <c r="A2608" s="9" t="n">
        <v>572143</v>
      </c>
      <c r="B2608" s="9" t="inlineStr">
        <is>
          <t>Burch Smith</t>
        </is>
      </c>
      <c r="C2608" s="9" t="inlineStr">
        <is>
          <t>DET</t>
        </is>
      </c>
      <c r="D2608" s="9" t="n">
        <v>37</v>
      </c>
      <c r="E2608" s="18" t="inlineStr">
        <is>
          <t>R</t>
        </is>
      </c>
      <c r="F2608" s="18" t="n"/>
      <c r="G2608" s="9" t="n">
        <v>73</v>
      </c>
      <c r="H2608" s="9" t="n">
        <v>314</v>
      </c>
      <c r="I2608" s="9" t="inlineStr">
        <is>
          <t>Bullpen Depth Arm</t>
        </is>
      </c>
      <c r="J2608" s="18" t="inlineStr">
        <is>
          <t>Opening Day</t>
        </is>
      </c>
      <c r="K2608" s="11">
        <f>IFERROR(INDEX(Roles!$B$17:$B$20,MATCH(J2608,Roles!$A$17:$A$20,0)),1)</f>
        <v/>
      </c>
      <c r="L2608" s="19" t="n">
        <v>1</v>
      </c>
      <c r="M2608" s="11" t="n">
        <v>1</v>
      </c>
      <c r="N2608" s="19" t="n"/>
      <c r="O2608" s="19" t="n"/>
      <c r="P2608" s="19" t="n"/>
      <c r="Q2608" s="19" t="n"/>
      <c r="R2608" s="19" t="n"/>
      <c r="S2608" s="19" t="n"/>
      <c r="T2608" s="19" t="n"/>
      <c r="U2608" s="19" t="n"/>
      <c r="V2608" s="19" t="n">
        <v>0.15</v>
      </c>
      <c r="W2608" s="19" t="n">
        <v>0.85</v>
      </c>
      <c r="X2608" s="19" t="n"/>
      <c r="Y2608" s="19" t="n"/>
      <c r="Z2608" s="13">
        <f>SUMPRODUCT(N2608:Y2608,$N$2:$Y$2)*$K2608*$L2608*$M2608</f>
        <v/>
      </c>
      <c r="AA2608" s="14">
        <f>SUM(N2608:Y2608)</f>
        <v/>
      </c>
      <c r="AB2608" s="13">
        <f>SUMPRODUCT(N2608:Y2608,$N$3:$Y$3)*$K2608*$L2608*$M2608</f>
        <v/>
      </c>
      <c r="AC2608" s="13">
        <f>SUMPRODUCT(N2608:Y2608,$N$4:$Y$4)*$K2608*$L2608*$M2608</f>
        <v/>
      </c>
      <c r="AD2608" s="15" t="n">
        <v>19.01666666666667</v>
      </c>
      <c r="AE2608" s="11" t="n">
        <v>1.203504637961567</v>
      </c>
      <c r="AF2608" s="16">
        <f>SUMPRODUCT(N2608:Y2608,$N$5:$Y$5)*$K2608*$L2608*$M2608</f>
        <v/>
      </c>
      <c r="AG2608" s="16">
        <f>SUMPRODUCT(N2608:Y2608,$N$6:$Y$6)*$K2608*$L2608*$M2608</f>
        <v/>
      </c>
      <c r="AH2608" s="20" t="n"/>
    </row>
    <row r="2609">
      <c r="A2609" s="9" t="n">
        <v>800395</v>
      </c>
      <c r="B2609" s="9" t="inlineStr">
        <is>
          <t>Nicolas Cruz</t>
        </is>
      </c>
      <c r="C2609" s="9" t="inlineStr">
        <is>
          <t>LAD</t>
        </is>
      </c>
      <c r="D2609" s="9" t="n">
        <v>25</v>
      </c>
      <c r="E2609" s="18" t="inlineStr">
        <is>
          <t>R</t>
        </is>
      </c>
      <c r="F2609" s="18" t="n"/>
      <c r="G2609" s="9" t="n">
        <v>47.3</v>
      </c>
      <c r="H2609" s="9" t="n">
        <v>47.3</v>
      </c>
      <c r="I2609" s="9" t="inlineStr">
        <is>
          <t>Depth (no MLB IP)</t>
        </is>
      </c>
      <c r="J2609" s="18" t="inlineStr">
        <is>
          <t>Opening Day</t>
        </is>
      </c>
      <c r="K2609" s="11">
        <f>IFERROR(INDEX(Roles!$B$17:$B$20,MATCH(J2609,Roles!$A$17:$A$20,0)),1)</f>
        <v/>
      </c>
      <c r="L2609" s="19" t="n">
        <v>1</v>
      </c>
      <c r="M2609" s="11" t="n">
        <v>1</v>
      </c>
      <c r="N2609" s="19" t="n"/>
      <c r="O2609" s="19" t="n"/>
      <c r="P2609" s="19" t="n"/>
      <c r="Q2609" s="19" t="n"/>
      <c r="R2609" s="19" t="n"/>
      <c r="S2609" s="19" t="n"/>
      <c r="T2609" s="19" t="n"/>
      <c r="U2609" s="19" t="n"/>
      <c r="V2609" s="19" t="n"/>
      <c r="W2609" s="19" t="n"/>
      <c r="X2609" s="19" t="n"/>
      <c r="Y2609" s="19" t="n">
        <v>1</v>
      </c>
      <c r="Z2609" s="13">
        <f>SUMPRODUCT(N2609:Y2609,$N$2:$Y$2)*$K2609*$L2609*$M2609</f>
        <v/>
      </c>
      <c r="AA2609" s="14">
        <f>SUM(N2609:Y2609)</f>
        <v/>
      </c>
      <c r="AB2609" s="13">
        <f>SUMPRODUCT(N2609:Y2609,$N$3:$Y$3)*$K2609*$L2609*$M2609</f>
        <v/>
      </c>
      <c r="AC2609" s="13">
        <f>SUMPRODUCT(N2609:Y2609,$N$4:$Y$4)*$K2609*$L2609*$M2609</f>
        <v/>
      </c>
      <c r="AD2609" s="15" t="n">
        <v>3</v>
      </c>
      <c r="AE2609" s="11" t="n">
        <v>1.011296296296296</v>
      </c>
      <c r="AF2609" s="16">
        <f>SUMPRODUCT(N2609:Y2609,$N$5:$Y$5)*$K2609*$L2609*$M2609</f>
        <v/>
      </c>
      <c r="AG2609" s="16">
        <f>SUMPRODUCT(N2609:Y2609,$N$6:$Y$6)*$K2609*$L2609*$M2609</f>
        <v/>
      </c>
      <c r="AH2609" s="20" t="n"/>
    </row>
    <row r="2610">
      <c r="A2610" s="9" t="n">
        <v>800317</v>
      </c>
      <c r="B2610" s="9" t="inlineStr">
        <is>
          <t>Braian Salazar</t>
        </is>
      </c>
      <c r="C2610" s="9" t="inlineStr">
        <is>
          <t>SD</t>
        </is>
      </c>
      <c r="D2610" s="9" t="n">
        <v>25</v>
      </c>
      <c r="E2610" s="18" t="inlineStr">
        <is>
          <t>L</t>
        </is>
      </c>
      <c r="F2610" s="18" t="n"/>
      <c r="G2610" s="9" t="n">
        <v>47.3</v>
      </c>
      <c r="H2610" s="9" t="n">
        <v>47.3</v>
      </c>
      <c r="I2610" s="9" t="inlineStr">
        <is>
          <t>Depth (no MLB IP)</t>
        </is>
      </c>
      <c r="J2610" s="18" t="inlineStr">
        <is>
          <t>Opening Day</t>
        </is>
      </c>
      <c r="K2610" s="11">
        <f>IFERROR(INDEX(Roles!$B$17:$B$20,MATCH(J2610,Roles!$A$17:$A$20,0)),1)</f>
        <v/>
      </c>
      <c r="L2610" s="19" t="n">
        <v>1</v>
      </c>
      <c r="M2610" s="11" t="n">
        <v>1</v>
      </c>
      <c r="N2610" s="19" t="n"/>
      <c r="O2610" s="19" t="n"/>
      <c r="P2610" s="19" t="n"/>
      <c r="Q2610" s="19" t="n"/>
      <c r="R2610" s="19" t="n"/>
      <c r="S2610" s="19" t="n"/>
      <c r="T2610" s="19" t="n"/>
      <c r="U2610" s="19" t="n"/>
      <c r="V2610" s="19" t="n"/>
      <c r="W2610" s="19" t="n"/>
      <c r="X2610" s="19" t="n"/>
      <c r="Y2610" s="19" t="n">
        <v>1</v>
      </c>
      <c r="Z2610" s="13">
        <f>SUMPRODUCT(N2610:Y2610,$N$2:$Y$2)*$K2610*$L2610*$M2610</f>
        <v/>
      </c>
      <c r="AA2610" s="14">
        <f>SUM(N2610:Y2610)</f>
        <v/>
      </c>
      <c r="AB2610" s="13">
        <f>SUMPRODUCT(N2610:Y2610,$N$3:$Y$3)*$K2610*$L2610*$M2610</f>
        <v/>
      </c>
      <c r="AC2610" s="13">
        <f>SUMPRODUCT(N2610:Y2610,$N$4:$Y$4)*$K2610*$L2610*$M2610</f>
        <v/>
      </c>
      <c r="AD2610" s="15" t="n">
        <v>3</v>
      </c>
      <c r="AE2610" s="11" t="n">
        <v>1.011296296296296</v>
      </c>
      <c r="AF2610" s="16">
        <f>SUMPRODUCT(N2610:Y2610,$N$5:$Y$5)*$K2610*$L2610*$M2610</f>
        <v/>
      </c>
      <c r="AG2610" s="16">
        <f>SUMPRODUCT(N2610:Y2610,$N$6:$Y$6)*$K2610*$L2610*$M2610</f>
        <v/>
      </c>
      <c r="AH2610" s="20" t="n"/>
    </row>
    <row r="2611">
      <c r="A2611" s="9" t="n">
        <v>695293</v>
      </c>
      <c r="B2611" s="9" t="inlineStr">
        <is>
          <t>Jojo Ingrassia</t>
        </is>
      </c>
      <c r="C2611" s="9" t="inlineStr">
        <is>
          <t>DET</t>
        </is>
      </c>
      <c r="D2611" s="9" t="n">
        <v>25</v>
      </c>
      <c r="E2611" s="18" t="inlineStr">
        <is>
          <t>L</t>
        </is>
      </c>
      <c r="F2611" s="18" t="n"/>
      <c r="G2611" s="9" t="n">
        <v>47.3</v>
      </c>
      <c r="H2611" s="9" t="n">
        <v>47.3</v>
      </c>
      <c r="I2611" s="9" t="inlineStr">
        <is>
          <t>Depth (no MLB IP)</t>
        </is>
      </c>
      <c r="J2611" s="18" t="inlineStr">
        <is>
          <t>Opening Day</t>
        </is>
      </c>
      <c r="K2611" s="11">
        <f>IFERROR(INDEX(Roles!$B$17:$B$20,MATCH(J2611,Roles!$A$17:$A$20,0)),1)</f>
        <v/>
      </c>
      <c r="L2611" s="19" t="n">
        <v>1</v>
      </c>
      <c r="M2611" s="11" t="n">
        <v>1</v>
      </c>
      <c r="N2611" s="19" t="n"/>
      <c r="O2611" s="19" t="n"/>
      <c r="P2611" s="19" t="n"/>
      <c r="Q2611" s="19" t="n"/>
      <c r="R2611" s="19" t="n"/>
      <c r="S2611" s="19" t="n"/>
      <c r="T2611" s="19" t="n"/>
      <c r="U2611" s="19" t="n"/>
      <c r="V2611" s="19" t="n"/>
      <c r="W2611" s="19" t="n"/>
      <c r="X2611" s="19" t="n"/>
      <c r="Y2611" s="19" t="n">
        <v>1</v>
      </c>
      <c r="Z2611" s="13">
        <f>SUMPRODUCT(N2611:Y2611,$N$2:$Y$2)*$K2611*$L2611*$M2611</f>
        <v/>
      </c>
      <c r="AA2611" s="14">
        <f>SUM(N2611:Y2611)</f>
        <v/>
      </c>
      <c r="AB2611" s="13">
        <f>SUMPRODUCT(N2611:Y2611,$N$3:$Y$3)*$K2611*$L2611*$M2611</f>
        <v/>
      </c>
      <c r="AC2611" s="13">
        <f>SUMPRODUCT(N2611:Y2611,$N$4:$Y$4)*$K2611*$L2611*$M2611</f>
        <v/>
      </c>
      <c r="AD2611" s="15" t="n">
        <v>3</v>
      </c>
      <c r="AE2611" s="11" t="n">
        <v>1.011296296296296</v>
      </c>
      <c r="AF2611" s="16">
        <f>SUMPRODUCT(N2611:Y2611,$N$5:$Y$5)*$K2611*$L2611*$M2611</f>
        <v/>
      </c>
      <c r="AG2611" s="16">
        <f>SUMPRODUCT(N2611:Y2611,$N$6:$Y$6)*$K2611*$L2611*$M2611</f>
        <v/>
      </c>
      <c r="AH2611" s="20" t="n"/>
    </row>
    <row r="2612">
      <c r="A2612" s="9" t="n">
        <v>695063</v>
      </c>
      <c r="B2612" s="9" t="inlineStr">
        <is>
          <t>Noah Beal</t>
        </is>
      </c>
      <c r="C2612" s="9" t="inlineStr">
        <is>
          <t>TB</t>
        </is>
      </c>
      <c r="D2612" s="9" t="n">
        <v>25</v>
      </c>
      <c r="E2612" s="18" t="inlineStr">
        <is>
          <t>R</t>
        </is>
      </c>
      <c r="F2612" s="18" t="n"/>
      <c r="G2612" s="9" t="n">
        <v>47.3</v>
      </c>
      <c r="H2612" s="9" t="n">
        <v>47.3</v>
      </c>
      <c r="I2612" s="9" t="inlineStr">
        <is>
          <t>Depth (no MLB IP)</t>
        </is>
      </c>
      <c r="J2612" s="18" t="inlineStr">
        <is>
          <t>Opening Day</t>
        </is>
      </c>
      <c r="K2612" s="11">
        <f>IFERROR(INDEX(Roles!$B$17:$B$20,MATCH(J2612,Roles!$A$17:$A$20,0)),1)</f>
        <v/>
      </c>
      <c r="L2612" s="19" t="n">
        <v>1</v>
      </c>
      <c r="M2612" s="11" t="n">
        <v>1</v>
      </c>
      <c r="N2612" s="19" t="n"/>
      <c r="O2612" s="19" t="n"/>
      <c r="P2612" s="19" t="n"/>
      <c r="Q2612" s="19" t="n"/>
      <c r="R2612" s="19" t="n"/>
      <c r="S2612" s="19" t="n"/>
      <c r="T2612" s="19" t="n"/>
      <c r="U2612" s="19" t="n"/>
      <c r="V2612" s="19" t="n"/>
      <c r="W2612" s="19" t="n"/>
      <c r="X2612" s="19" t="n"/>
      <c r="Y2612" s="19" t="n">
        <v>1</v>
      </c>
      <c r="Z2612" s="13">
        <f>SUMPRODUCT(N2612:Y2612,$N$2:$Y$2)*$K2612*$L2612*$M2612</f>
        <v/>
      </c>
      <c r="AA2612" s="14">
        <f>SUM(N2612:Y2612)</f>
        <v/>
      </c>
      <c r="AB2612" s="13">
        <f>SUMPRODUCT(N2612:Y2612,$N$3:$Y$3)*$K2612*$L2612*$M2612</f>
        <v/>
      </c>
      <c r="AC2612" s="13">
        <f>SUMPRODUCT(N2612:Y2612,$N$4:$Y$4)*$K2612*$L2612*$M2612</f>
        <v/>
      </c>
      <c r="AD2612" s="15" t="n">
        <v>3</v>
      </c>
      <c r="AE2612" s="11" t="n">
        <v>1.011296296296296</v>
      </c>
      <c r="AF2612" s="16">
        <f>SUMPRODUCT(N2612:Y2612,$N$5:$Y$5)*$K2612*$L2612*$M2612</f>
        <v/>
      </c>
      <c r="AG2612" s="16">
        <f>SUMPRODUCT(N2612:Y2612,$N$6:$Y$6)*$K2612*$L2612*$M2612</f>
        <v/>
      </c>
      <c r="AH2612" s="20" t="n"/>
    </row>
    <row r="2613">
      <c r="A2613" s="9" t="n">
        <v>808750</v>
      </c>
      <c r="B2613" s="9" t="inlineStr">
        <is>
          <t>Casey Hintz</t>
        </is>
      </c>
      <c r="C2613" s="9" t="inlineStr">
        <is>
          <t>SEA</t>
        </is>
      </c>
      <c r="D2613" s="9" t="n">
        <v>25</v>
      </c>
      <c r="E2613" s="18" t="inlineStr">
        <is>
          <t>R</t>
        </is>
      </c>
      <c r="F2613" s="18" t="n"/>
      <c r="G2613" s="9" t="n">
        <v>47.3</v>
      </c>
      <c r="H2613" s="9" t="n">
        <v>47.3</v>
      </c>
      <c r="I2613" s="9" t="inlineStr">
        <is>
          <t>Depth (no MLB IP)</t>
        </is>
      </c>
      <c r="J2613" s="18" t="inlineStr">
        <is>
          <t>Opening Day</t>
        </is>
      </c>
      <c r="K2613" s="11">
        <f>IFERROR(INDEX(Roles!$B$17:$B$20,MATCH(J2613,Roles!$A$17:$A$20,0)),1)</f>
        <v/>
      </c>
      <c r="L2613" s="19" t="n">
        <v>1</v>
      </c>
      <c r="M2613" s="11" t="n">
        <v>1</v>
      </c>
      <c r="N2613" s="19" t="n"/>
      <c r="O2613" s="19" t="n"/>
      <c r="P2613" s="19" t="n"/>
      <c r="Q2613" s="19" t="n"/>
      <c r="R2613" s="19" t="n"/>
      <c r="S2613" s="19" t="n"/>
      <c r="T2613" s="19" t="n"/>
      <c r="U2613" s="19" t="n"/>
      <c r="V2613" s="19" t="n"/>
      <c r="W2613" s="19" t="n"/>
      <c r="X2613" s="19" t="n"/>
      <c r="Y2613" s="19" t="n">
        <v>1</v>
      </c>
      <c r="Z2613" s="13">
        <f>SUMPRODUCT(N2613:Y2613,$N$2:$Y$2)*$K2613*$L2613*$M2613</f>
        <v/>
      </c>
      <c r="AA2613" s="14">
        <f>SUM(N2613:Y2613)</f>
        <v/>
      </c>
      <c r="AB2613" s="13">
        <f>SUMPRODUCT(N2613:Y2613,$N$3:$Y$3)*$K2613*$L2613*$M2613</f>
        <v/>
      </c>
      <c r="AC2613" s="13">
        <f>SUMPRODUCT(N2613:Y2613,$N$4:$Y$4)*$K2613*$L2613*$M2613</f>
        <v/>
      </c>
      <c r="AD2613" s="15" t="n">
        <v>3</v>
      </c>
      <c r="AE2613" s="11" t="n">
        <v>1.011296296296296</v>
      </c>
      <c r="AF2613" s="16">
        <f>SUMPRODUCT(N2613:Y2613,$N$5:$Y$5)*$K2613*$L2613*$M2613</f>
        <v/>
      </c>
      <c r="AG2613" s="16">
        <f>SUMPRODUCT(N2613:Y2613,$N$6:$Y$6)*$K2613*$L2613*$M2613</f>
        <v/>
      </c>
      <c r="AH2613" s="20" t="n"/>
    </row>
    <row r="2614">
      <c r="A2614" s="9" t="n">
        <v>698962</v>
      </c>
      <c r="B2614" s="9" t="inlineStr">
        <is>
          <t>Ricardo Estrada</t>
        </is>
      </c>
      <c r="C2614" s="9" t="inlineStr">
        <is>
          <t>SF</t>
        </is>
      </c>
      <c r="D2614" s="9" t="n">
        <v>25</v>
      </c>
      <c r="E2614" s="18" t="inlineStr">
        <is>
          <t>L</t>
        </is>
      </c>
      <c r="F2614" s="18" t="n"/>
      <c r="G2614" s="9" t="n">
        <v>47.3</v>
      </c>
      <c r="H2614" s="9" t="n">
        <v>47.3</v>
      </c>
      <c r="I2614" s="9" t="inlineStr">
        <is>
          <t>Depth (no MLB IP)</t>
        </is>
      </c>
      <c r="J2614" s="18" t="inlineStr">
        <is>
          <t>Opening Day</t>
        </is>
      </c>
      <c r="K2614" s="11">
        <f>IFERROR(INDEX(Roles!$B$17:$B$20,MATCH(J2614,Roles!$A$17:$A$20,0)),1)</f>
        <v/>
      </c>
      <c r="L2614" s="19" t="n">
        <v>1</v>
      </c>
      <c r="M2614" s="11" t="n">
        <v>1</v>
      </c>
      <c r="N2614" s="19" t="n"/>
      <c r="O2614" s="19" t="n"/>
      <c r="P2614" s="19" t="n"/>
      <c r="Q2614" s="19" t="n"/>
      <c r="R2614" s="19" t="n"/>
      <c r="S2614" s="19" t="n"/>
      <c r="T2614" s="19" t="n"/>
      <c r="U2614" s="19" t="n"/>
      <c r="V2614" s="19" t="n"/>
      <c r="W2614" s="19" t="n"/>
      <c r="X2614" s="19" t="n"/>
      <c r="Y2614" s="19" t="n">
        <v>1</v>
      </c>
      <c r="Z2614" s="13">
        <f>SUMPRODUCT(N2614:Y2614,$N$2:$Y$2)*$K2614*$L2614*$M2614</f>
        <v/>
      </c>
      <c r="AA2614" s="14">
        <f>SUM(N2614:Y2614)</f>
        <v/>
      </c>
      <c r="AB2614" s="13">
        <f>SUMPRODUCT(N2614:Y2614,$N$3:$Y$3)*$K2614*$L2614*$M2614</f>
        <v/>
      </c>
      <c r="AC2614" s="13">
        <f>SUMPRODUCT(N2614:Y2614,$N$4:$Y$4)*$K2614*$L2614*$M2614</f>
        <v/>
      </c>
      <c r="AD2614" s="15" t="n">
        <v>3</v>
      </c>
      <c r="AE2614" s="11" t="n">
        <v>1.011296296296296</v>
      </c>
      <c r="AF2614" s="16">
        <f>SUMPRODUCT(N2614:Y2614,$N$5:$Y$5)*$K2614*$L2614*$M2614</f>
        <v/>
      </c>
      <c r="AG2614" s="16">
        <f>SUMPRODUCT(N2614:Y2614,$N$6:$Y$6)*$K2614*$L2614*$M2614</f>
        <v/>
      </c>
      <c r="AH2614" s="20" t="n"/>
    </row>
    <row r="2615">
      <c r="A2615" s="9" t="n">
        <v>806713</v>
      </c>
      <c r="B2615" s="9" t="inlineStr">
        <is>
          <t>Nick Trabacchi</t>
        </is>
      </c>
      <c r="C2615" s="9" t="inlineStr">
        <is>
          <t>MIN</t>
        </is>
      </c>
      <c r="D2615" s="9" t="n">
        <v>25</v>
      </c>
      <c r="E2615" s="18" t="inlineStr">
        <is>
          <t>R</t>
        </is>
      </c>
      <c r="F2615" s="18" t="n"/>
      <c r="G2615" s="9" t="n">
        <v>47.3</v>
      </c>
      <c r="H2615" s="9" t="n">
        <v>47.3</v>
      </c>
      <c r="I2615" s="9" t="inlineStr">
        <is>
          <t>Depth (no MLB IP)</t>
        </is>
      </c>
      <c r="J2615" s="18" t="inlineStr">
        <is>
          <t>Opening Day</t>
        </is>
      </c>
      <c r="K2615" s="11">
        <f>IFERROR(INDEX(Roles!$B$17:$B$20,MATCH(J2615,Roles!$A$17:$A$20,0)),1)</f>
        <v/>
      </c>
      <c r="L2615" s="19" t="n">
        <v>1</v>
      </c>
      <c r="M2615" s="11" t="n">
        <v>1</v>
      </c>
      <c r="N2615" s="19" t="n"/>
      <c r="O2615" s="19" t="n"/>
      <c r="P2615" s="19" t="n"/>
      <c r="Q2615" s="19" t="n"/>
      <c r="R2615" s="19" t="n"/>
      <c r="S2615" s="19" t="n"/>
      <c r="T2615" s="19" t="n"/>
      <c r="U2615" s="19" t="n"/>
      <c r="V2615" s="19" t="n"/>
      <c r="W2615" s="19" t="n"/>
      <c r="X2615" s="19" t="n"/>
      <c r="Y2615" s="19" t="n">
        <v>1</v>
      </c>
      <c r="Z2615" s="13">
        <f>SUMPRODUCT(N2615:Y2615,$N$2:$Y$2)*$K2615*$L2615*$M2615</f>
        <v/>
      </c>
      <c r="AA2615" s="14">
        <f>SUM(N2615:Y2615)</f>
        <v/>
      </c>
      <c r="AB2615" s="13">
        <f>SUMPRODUCT(N2615:Y2615,$N$3:$Y$3)*$K2615*$L2615*$M2615</f>
        <v/>
      </c>
      <c r="AC2615" s="13">
        <f>SUMPRODUCT(N2615:Y2615,$N$4:$Y$4)*$K2615*$L2615*$M2615</f>
        <v/>
      </c>
      <c r="AD2615" s="15" t="n">
        <v>3</v>
      </c>
      <c r="AE2615" s="11" t="n">
        <v>1.011296296296296</v>
      </c>
      <c r="AF2615" s="16">
        <f>SUMPRODUCT(N2615:Y2615,$N$5:$Y$5)*$K2615*$L2615*$M2615</f>
        <v/>
      </c>
      <c r="AG2615" s="16">
        <f>SUMPRODUCT(N2615:Y2615,$N$6:$Y$6)*$K2615*$L2615*$M2615</f>
        <v/>
      </c>
      <c r="AH2615" s="20" t="n"/>
    </row>
    <row r="2616">
      <c r="A2616" s="9" t="n">
        <v>686796</v>
      </c>
      <c r="B2616" s="9" t="inlineStr">
        <is>
          <t>Blake Walston</t>
        </is>
      </c>
      <c r="C2616" s="9" t="inlineStr">
        <is>
          <t>ARI</t>
        </is>
      </c>
      <c r="D2616" s="9" t="n">
        <v>26</v>
      </c>
      <c r="E2616" s="18" t="inlineStr">
        <is>
          <t>L</t>
        </is>
      </c>
      <c r="F2616" s="18" t="n"/>
      <c r="G2616" s="9" t="n">
        <v>13</v>
      </c>
      <c r="H2616" s="9" t="n">
        <v>96</v>
      </c>
      <c r="I2616" s="9" t="inlineStr">
        <is>
          <t>Depth (no MLB IP)</t>
        </is>
      </c>
      <c r="J2616" s="18" t="inlineStr">
        <is>
          <t>Opening Day</t>
        </is>
      </c>
      <c r="K2616" s="11">
        <f>IFERROR(INDEX(Roles!$B$17:$B$20,MATCH(J2616,Roles!$A$17:$A$20,0)),1)</f>
        <v/>
      </c>
      <c r="L2616" s="19" t="n">
        <v>1</v>
      </c>
      <c r="M2616" s="11" t="n">
        <v>1</v>
      </c>
      <c r="N2616" s="19" t="n"/>
      <c r="O2616" s="19" t="n"/>
      <c r="P2616" s="19" t="n"/>
      <c r="Q2616" s="19" t="n"/>
      <c r="R2616" s="19" t="n"/>
      <c r="S2616" s="19" t="n"/>
      <c r="T2616" s="19" t="n"/>
      <c r="U2616" s="19" t="n"/>
      <c r="V2616" s="19" t="n"/>
      <c r="W2616" s="19" t="n"/>
      <c r="X2616" s="19" t="n"/>
      <c r="Y2616" s="19" t="n">
        <v>1</v>
      </c>
      <c r="Z2616" s="13">
        <f>SUMPRODUCT(N2616:Y2616,$N$2:$Y$2)*$K2616*$L2616*$M2616</f>
        <v/>
      </c>
      <c r="AA2616" s="14">
        <f>SUM(N2616:Y2616)</f>
        <v/>
      </c>
      <c r="AB2616" s="13">
        <f>SUMPRODUCT(N2616:Y2616,$N$3:$Y$3)*$K2616*$L2616*$M2616</f>
        <v/>
      </c>
      <c r="AC2616" s="13">
        <f>SUMPRODUCT(N2616:Y2616,$N$4:$Y$4)*$K2616*$L2616*$M2616</f>
        <v/>
      </c>
      <c r="AD2616" s="15" t="n">
        <v>3.15</v>
      </c>
      <c r="AE2616" s="11" t="n">
        <v>1.375052231718898</v>
      </c>
      <c r="AF2616" s="16">
        <f>SUMPRODUCT(N2616:Y2616,$N$5:$Y$5)*$K2616*$L2616*$M2616</f>
        <v/>
      </c>
      <c r="AG2616" s="16">
        <f>SUMPRODUCT(N2616:Y2616,$N$6:$Y$6)*$K2616*$L2616*$M2616</f>
        <v/>
      </c>
      <c r="AH2616" s="20" t="n"/>
    </row>
    <row r="2617">
      <c r="A2617" s="9" t="n">
        <v>679156</v>
      </c>
      <c r="B2617" s="9" t="inlineStr">
        <is>
          <t>Walter Pennington</t>
        </is>
      </c>
      <c r="C2617" s="9" t="inlineStr">
        <is>
          <t>TEX</t>
        </is>
      </c>
      <c r="D2617" s="9" t="n">
        <v>29</v>
      </c>
      <c r="E2617" s="18" t="inlineStr">
        <is>
          <t>L</t>
        </is>
      </c>
      <c r="F2617" s="18" t="n"/>
      <c r="G2617" s="9" t="n">
        <v>84</v>
      </c>
      <c r="H2617" s="9" t="n">
        <v>84</v>
      </c>
      <c r="I2617" s="9" t="inlineStr">
        <is>
          <t>Depth (no MLB IP)</t>
        </is>
      </c>
      <c r="J2617" s="18" t="inlineStr">
        <is>
          <t>Opening Day</t>
        </is>
      </c>
      <c r="K2617" s="11">
        <f>IFERROR(INDEX(Roles!$B$17:$B$20,MATCH(J2617,Roles!$A$17:$A$20,0)),1)</f>
        <v/>
      </c>
      <c r="L2617" s="19" t="n">
        <v>1</v>
      </c>
      <c r="M2617" s="11" t="n">
        <v>1</v>
      </c>
      <c r="N2617" s="19" t="n"/>
      <c r="O2617" s="19" t="n"/>
      <c r="P2617" s="19" t="n"/>
      <c r="Q2617" s="19" t="n"/>
      <c r="R2617" s="19" t="n"/>
      <c r="S2617" s="19" t="n"/>
      <c r="T2617" s="19" t="n"/>
      <c r="U2617" s="19" t="n"/>
      <c r="V2617" s="19" t="n"/>
      <c r="W2617" s="19" t="n"/>
      <c r="X2617" s="19" t="n"/>
      <c r="Y2617" s="19" t="n">
        <v>1</v>
      </c>
      <c r="Z2617" s="13">
        <f>SUMPRODUCT(N2617:Y2617,$N$2:$Y$2)*$K2617*$L2617*$M2617</f>
        <v/>
      </c>
      <c r="AA2617" s="14">
        <f>SUM(N2617:Y2617)</f>
        <v/>
      </c>
      <c r="AB2617" s="13">
        <f>SUMPRODUCT(N2617:Y2617,$N$3:$Y$3)*$K2617*$L2617*$M2617</f>
        <v/>
      </c>
      <c r="AC2617" s="13">
        <f>SUMPRODUCT(N2617:Y2617,$N$4:$Y$4)*$K2617*$L2617*$M2617</f>
        <v/>
      </c>
      <c r="AD2617" s="15" t="n">
        <v>10.8</v>
      </c>
      <c r="AE2617" s="11" t="n">
        <v>1.049197530864197</v>
      </c>
      <c r="AF2617" s="16">
        <f>SUMPRODUCT(N2617:Y2617,$N$5:$Y$5)*$K2617*$L2617*$M2617</f>
        <v/>
      </c>
      <c r="AG2617" s="16">
        <f>SUMPRODUCT(N2617:Y2617,$N$6:$Y$6)*$K2617*$L2617*$M2617</f>
        <v/>
      </c>
      <c r="AH2617" s="20" t="n"/>
    </row>
    <row r="2618">
      <c r="A2618" s="9" t="n">
        <v>693732</v>
      </c>
      <c r="B2618" s="9" t="inlineStr">
        <is>
          <t>Estibenzon Jimenez</t>
        </is>
      </c>
      <c r="C2618" s="9" t="inlineStr">
        <is>
          <t>PHI</t>
        </is>
      </c>
      <c r="D2618" s="9" t="n">
        <v>25</v>
      </c>
      <c r="E2618" s="18" t="inlineStr">
        <is>
          <t>R</t>
        </is>
      </c>
      <c r="F2618" s="18" t="n"/>
      <c r="G2618" s="9" t="n">
        <v>47.65833333333333</v>
      </c>
      <c r="H2618" s="9" t="n">
        <v>47.65833333333333</v>
      </c>
      <c r="I2618" s="9" t="inlineStr">
        <is>
          <t>Depth (no MLB IP)</t>
        </is>
      </c>
      <c r="J2618" s="18" t="inlineStr">
        <is>
          <t>Opening Day</t>
        </is>
      </c>
      <c r="K2618" s="11">
        <f>IFERROR(INDEX(Roles!$B$17:$B$20,MATCH(J2618,Roles!$A$17:$A$20,0)),1)</f>
        <v/>
      </c>
      <c r="L2618" s="19" t="n">
        <v>1</v>
      </c>
      <c r="M2618" s="11" t="n">
        <v>1</v>
      </c>
      <c r="N2618" s="19" t="n"/>
      <c r="O2618" s="19" t="n"/>
      <c r="P2618" s="19" t="n"/>
      <c r="Q2618" s="19" t="n"/>
      <c r="R2618" s="19" t="n"/>
      <c r="S2618" s="19" t="n"/>
      <c r="T2618" s="19" t="n"/>
      <c r="U2618" s="19" t="n"/>
      <c r="V2618" s="19" t="n"/>
      <c r="W2618" s="19" t="n"/>
      <c r="X2618" s="19" t="n"/>
      <c r="Y2618" s="19" t="n">
        <v>1</v>
      </c>
      <c r="Z2618" s="13">
        <f>SUMPRODUCT(N2618:Y2618,$N$2:$Y$2)*$K2618*$L2618*$M2618</f>
        <v/>
      </c>
      <c r="AA2618" s="14">
        <f>SUM(N2618:Y2618)</f>
        <v/>
      </c>
      <c r="AB2618" s="13">
        <f>SUMPRODUCT(N2618:Y2618,$N$3:$Y$3)*$K2618*$L2618*$M2618</f>
        <v/>
      </c>
      <c r="AC2618" s="13">
        <f>SUMPRODUCT(N2618:Y2618,$N$4:$Y$4)*$K2618*$L2618*$M2618</f>
        <v/>
      </c>
      <c r="AD2618" s="15" t="n">
        <v>3</v>
      </c>
      <c r="AE2618" s="11" t="n">
        <v>1.011296296296296</v>
      </c>
      <c r="AF2618" s="16">
        <f>SUMPRODUCT(N2618:Y2618,$N$5:$Y$5)*$K2618*$L2618*$M2618</f>
        <v/>
      </c>
      <c r="AG2618" s="16">
        <f>SUMPRODUCT(N2618:Y2618,$N$6:$Y$6)*$K2618*$L2618*$M2618</f>
        <v/>
      </c>
      <c r="AH2618" s="20" t="n"/>
    </row>
    <row r="2619">
      <c r="A2619" s="9" t="n">
        <v>692137</v>
      </c>
      <c r="B2619" s="9" t="inlineStr">
        <is>
          <t>L.P. Langevin</t>
        </is>
      </c>
      <c r="C2619" s="9" t="inlineStr">
        <is>
          <t>KC</t>
        </is>
      </c>
      <c r="D2619" s="9" t="n">
        <v>25</v>
      </c>
      <c r="E2619" s="18" t="inlineStr">
        <is>
          <t>R</t>
        </is>
      </c>
      <c r="F2619" s="18" t="n"/>
      <c r="G2619" s="9" t="n">
        <v>47.58666666666667</v>
      </c>
      <c r="H2619" s="9" t="n">
        <v>47.58666666666667</v>
      </c>
      <c r="I2619" s="9" t="inlineStr">
        <is>
          <t>Depth (no MLB IP)</t>
        </is>
      </c>
      <c r="J2619" s="18" t="inlineStr">
        <is>
          <t>Opening Day</t>
        </is>
      </c>
      <c r="K2619" s="11">
        <f>IFERROR(INDEX(Roles!$B$17:$B$20,MATCH(J2619,Roles!$A$17:$A$20,0)),1)</f>
        <v/>
      </c>
      <c r="L2619" s="19" t="n">
        <v>1</v>
      </c>
      <c r="M2619" s="11" t="n">
        <v>1</v>
      </c>
      <c r="N2619" s="19" t="n"/>
      <c r="O2619" s="19" t="n"/>
      <c r="P2619" s="19" t="n"/>
      <c r="Q2619" s="19" t="n"/>
      <c r="R2619" s="19" t="n"/>
      <c r="S2619" s="19" t="n"/>
      <c r="T2619" s="19" t="n"/>
      <c r="U2619" s="19" t="n"/>
      <c r="V2619" s="19" t="n"/>
      <c r="W2619" s="19" t="n"/>
      <c r="X2619" s="19" t="n"/>
      <c r="Y2619" s="19" t="n">
        <v>1</v>
      </c>
      <c r="Z2619" s="13">
        <f>SUMPRODUCT(N2619:Y2619,$N$2:$Y$2)*$K2619*$L2619*$M2619</f>
        <v/>
      </c>
      <c r="AA2619" s="14">
        <f>SUM(N2619:Y2619)</f>
        <v/>
      </c>
      <c r="AB2619" s="13">
        <f>SUMPRODUCT(N2619:Y2619,$N$3:$Y$3)*$K2619*$L2619*$M2619</f>
        <v/>
      </c>
      <c r="AC2619" s="13">
        <f>SUMPRODUCT(N2619:Y2619,$N$4:$Y$4)*$K2619*$L2619*$M2619</f>
        <v/>
      </c>
      <c r="AD2619" s="15" t="n">
        <v>3</v>
      </c>
      <c r="AE2619" s="11" t="n">
        <v>1.011296296296296</v>
      </c>
      <c r="AF2619" s="16">
        <f>SUMPRODUCT(N2619:Y2619,$N$5:$Y$5)*$K2619*$L2619*$M2619</f>
        <v/>
      </c>
      <c r="AG2619" s="16">
        <f>SUMPRODUCT(N2619:Y2619,$N$6:$Y$6)*$K2619*$L2619*$M2619</f>
        <v/>
      </c>
      <c r="AH2619" s="20" t="n"/>
    </row>
    <row r="2620">
      <c r="A2620" s="9" t="n">
        <v>824763</v>
      </c>
      <c r="B2620" s="9" t="inlineStr">
        <is>
          <t>Colin Daniel</t>
        </is>
      </c>
      <c r="C2620" s="9" t="inlineStr">
        <is>
          <t>ATL</t>
        </is>
      </c>
      <c r="D2620" s="9" t="n">
        <v>25</v>
      </c>
      <c r="E2620" s="18" t="inlineStr">
        <is>
          <t>R</t>
        </is>
      </c>
      <c r="F2620" s="18" t="n"/>
      <c r="G2620" s="9" t="n">
        <v>47.58666666666667</v>
      </c>
      <c r="H2620" s="9" t="n">
        <v>47.58666666666667</v>
      </c>
      <c r="I2620" s="9" t="inlineStr">
        <is>
          <t>Depth (no MLB IP)</t>
        </is>
      </c>
      <c r="J2620" s="18" t="inlineStr">
        <is>
          <t>Opening Day</t>
        </is>
      </c>
      <c r="K2620" s="11">
        <f>IFERROR(INDEX(Roles!$B$17:$B$20,MATCH(J2620,Roles!$A$17:$A$20,0)),1)</f>
        <v/>
      </c>
      <c r="L2620" s="19" t="n">
        <v>1</v>
      </c>
      <c r="M2620" s="11" t="n">
        <v>1</v>
      </c>
      <c r="N2620" s="19" t="n"/>
      <c r="O2620" s="19" t="n"/>
      <c r="P2620" s="19" t="n"/>
      <c r="Q2620" s="19" t="n"/>
      <c r="R2620" s="19" t="n"/>
      <c r="S2620" s="19" t="n"/>
      <c r="T2620" s="19" t="n"/>
      <c r="U2620" s="19" t="n"/>
      <c r="V2620" s="19" t="n"/>
      <c r="W2620" s="19" t="n"/>
      <c r="X2620" s="19" t="n"/>
      <c r="Y2620" s="19" t="n">
        <v>1</v>
      </c>
      <c r="Z2620" s="13">
        <f>SUMPRODUCT(N2620:Y2620,$N$2:$Y$2)*$K2620*$L2620*$M2620</f>
        <v/>
      </c>
      <c r="AA2620" s="14">
        <f>SUM(N2620:Y2620)</f>
        <v/>
      </c>
      <c r="AB2620" s="13">
        <f>SUMPRODUCT(N2620:Y2620,$N$3:$Y$3)*$K2620*$L2620*$M2620</f>
        <v/>
      </c>
      <c r="AC2620" s="13">
        <f>SUMPRODUCT(N2620:Y2620,$N$4:$Y$4)*$K2620*$L2620*$M2620</f>
        <v/>
      </c>
      <c r="AD2620" s="15" t="n">
        <v>3</v>
      </c>
      <c r="AE2620" s="11" t="n">
        <v>1.011296296296296</v>
      </c>
      <c r="AF2620" s="16">
        <f>SUMPRODUCT(N2620:Y2620,$N$5:$Y$5)*$K2620*$L2620*$M2620</f>
        <v/>
      </c>
      <c r="AG2620" s="16">
        <f>SUMPRODUCT(N2620:Y2620,$N$6:$Y$6)*$K2620*$L2620*$M2620</f>
        <v/>
      </c>
      <c r="AH2620" s="20" t="n"/>
    </row>
    <row r="2621">
      <c r="A2621" s="9" t="n">
        <v>675920</v>
      </c>
      <c r="B2621" s="9" t="inlineStr">
        <is>
          <t>Seth Lonsway</t>
        </is>
      </c>
      <c r="C2621" s="9" t="inlineStr">
        <is>
          <t>SF</t>
        </is>
      </c>
      <c r="D2621" s="9" t="n">
        <v>28</v>
      </c>
      <c r="E2621" s="18" t="inlineStr">
        <is>
          <t>L</t>
        </is>
      </c>
      <c r="F2621" s="18" t="n"/>
      <c r="G2621" s="9" t="n">
        <v>14</v>
      </c>
      <c r="H2621" s="9" t="n">
        <v>14</v>
      </c>
      <c r="I2621" s="9" t="inlineStr">
        <is>
          <t>Bullpen Depth Arm</t>
        </is>
      </c>
      <c r="J2621" s="18" t="inlineStr">
        <is>
          <t>Opening Day</t>
        </is>
      </c>
      <c r="K2621" s="11">
        <f>IFERROR(INDEX(Roles!$B$17:$B$20,MATCH(J2621,Roles!$A$17:$A$20,0)),1)</f>
        <v/>
      </c>
      <c r="L2621" s="19" t="n">
        <v>1</v>
      </c>
      <c r="M2621" s="11" t="n">
        <v>1</v>
      </c>
      <c r="N2621" s="19" t="n"/>
      <c r="O2621" s="19" t="n"/>
      <c r="P2621" s="19" t="n"/>
      <c r="Q2621" s="19" t="n"/>
      <c r="R2621" s="19" t="n"/>
      <c r="S2621" s="19" t="n"/>
      <c r="T2621" s="19" t="n"/>
      <c r="U2621" s="19" t="n"/>
      <c r="V2621" s="19" t="n"/>
      <c r="W2621" s="19" t="n">
        <v>0.5</v>
      </c>
      <c r="X2621" s="19" t="n"/>
      <c r="Y2621" s="19" t="n">
        <v>0.5</v>
      </c>
      <c r="Z2621" s="13">
        <f>SUMPRODUCT(N2621:Y2621,$N$2:$Y$2)*$K2621*$L2621*$M2621</f>
        <v/>
      </c>
      <c r="AA2621" s="14">
        <f>SUM(N2621:Y2621)</f>
        <v/>
      </c>
      <c r="AB2621" s="13">
        <f>SUMPRODUCT(N2621:Y2621,$N$3:$Y$3)*$K2621*$L2621*$M2621</f>
        <v/>
      </c>
      <c r="AC2621" s="13">
        <f>SUMPRODUCT(N2621:Y2621,$N$4:$Y$4)*$K2621*$L2621*$M2621</f>
        <v/>
      </c>
      <c r="AD2621" s="15" t="n">
        <v>6.866666666666665</v>
      </c>
      <c r="AE2621" s="11" t="n">
        <v>1.190396023729357</v>
      </c>
      <c r="AF2621" s="16">
        <f>SUMPRODUCT(N2621:Y2621,$N$5:$Y$5)*$K2621*$L2621*$M2621</f>
        <v/>
      </c>
      <c r="AG2621" s="16">
        <f>SUMPRODUCT(N2621:Y2621,$N$6:$Y$6)*$K2621*$L2621*$M2621</f>
        <v/>
      </c>
      <c r="AH2621" s="20" t="n"/>
    </row>
    <row r="2622">
      <c r="A2622" s="9" t="n">
        <v>695656</v>
      </c>
      <c r="B2622" s="9" t="inlineStr">
        <is>
          <t>Devin Futrell</t>
        </is>
      </c>
      <c r="C2622" s="9" t="inlineStr">
        <is>
          <t>BOS</t>
        </is>
      </c>
      <c r="D2622" s="9" t="n">
        <v>25</v>
      </c>
      <c r="E2622" s="18" t="inlineStr">
        <is>
          <t>L</t>
        </is>
      </c>
      <c r="F2622" s="18" t="n"/>
      <c r="G2622" s="9" t="n">
        <v>47.65833333333333</v>
      </c>
      <c r="H2622" s="9" t="n">
        <v>47.65833333333333</v>
      </c>
      <c r="I2622" s="9" t="inlineStr">
        <is>
          <t>Depth (no MLB IP)</t>
        </is>
      </c>
      <c r="J2622" s="18" t="inlineStr">
        <is>
          <t>Opening Day</t>
        </is>
      </c>
      <c r="K2622" s="11">
        <f>IFERROR(INDEX(Roles!$B$17:$B$20,MATCH(J2622,Roles!$A$17:$A$20,0)),1)</f>
        <v/>
      </c>
      <c r="L2622" s="19" t="n">
        <v>1</v>
      </c>
      <c r="M2622" s="11" t="n">
        <v>1</v>
      </c>
      <c r="N2622" s="19" t="n"/>
      <c r="O2622" s="19" t="n"/>
      <c r="P2622" s="19" t="n"/>
      <c r="Q2622" s="19" t="n"/>
      <c r="R2622" s="19" t="n"/>
      <c r="S2622" s="19" t="n"/>
      <c r="T2622" s="19" t="n"/>
      <c r="U2622" s="19" t="n"/>
      <c r="V2622" s="19" t="n"/>
      <c r="W2622" s="19" t="n"/>
      <c r="X2622" s="19" t="n"/>
      <c r="Y2622" s="19" t="n">
        <v>1</v>
      </c>
      <c r="Z2622" s="13">
        <f>SUMPRODUCT(N2622:Y2622,$N$2:$Y$2)*$K2622*$L2622*$M2622</f>
        <v/>
      </c>
      <c r="AA2622" s="14">
        <f>SUM(N2622:Y2622)</f>
        <v/>
      </c>
      <c r="AB2622" s="13">
        <f>SUMPRODUCT(N2622:Y2622,$N$3:$Y$3)*$K2622*$L2622*$M2622</f>
        <v/>
      </c>
      <c r="AC2622" s="13">
        <f>SUMPRODUCT(N2622:Y2622,$N$4:$Y$4)*$K2622*$L2622*$M2622</f>
        <v/>
      </c>
      <c r="AD2622" s="15" t="n">
        <v>3</v>
      </c>
      <c r="AE2622" s="11" t="n">
        <v>1.011296296296296</v>
      </c>
      <c r="AF2622" s="16">
        <f>SUMPRODUCT(N2622:Y2622,$N$5:$Y$5)*$K2622*$L2622*$M2622</f>
        <v/>
      </c>
      <c r="AG2622" s="16">
        <f>SUMPRODUCT(N2622:Y2622,$N$6:$Y$6)*$K2622*$L2622*$M2622</f>
        <v/>
      </c>
      <c r="AH2622" s="20" t="n"/>
    </row>
    <row r="2623">
      <c r="A2623" s="9" t="n">
        <v>800883</v>
      </c>
      <c r="B2623" s="9" t="inlineStr">
        <is>
          <t>Andres Galan</t>
        </is>
      </c>
      <c r="C2623" s="9" t="inlineStr">
        <is>
          <t>TB</t>
        </is>
      </c>
      <c r="D2623" s="9" t="n">
        <v>25</v>
      </c>
      <c r="E2623" s="18" t="inlineStr">
        <is>
          <t>R</t>
        </is>
      </c>
      <c r="F2623" s="18" t="n"/>
      <c r="G2623" s="9" t="n">
        <v>47.58666666666667</v>
      </c>
      <c r="H2623" s="9" t="n">
        <v>47.58666666666667</v>
      </c>
      <c r="I2623" s="9" t="inlineStr">
        <is>
          <t>Depth (no MLB IP)</t>
        </is>
      </c>
      <c r="J2623" s="18" t="inlineStr">
        <is>
          <t>Opening Day</t>
        </is>
      </c>
      <c r="K2623" s="11">
        <f>IFERROR(INDEX(Roles!$B$17:$B$20,MATCH(J2623,Roles!$A$17:$A$20,0)),1)</f>
        <v/>
      </c>
      <c r="L2623" s="19" t="n">
        <v>1</v>
      </c>
      <c r="M2623" s="11" t="n">
        <v>1</v>
      </c>
      <c r="N2623" s="19" t="n"/>
      <c r="O2623" s="19" t="n"/>
      <c r="P2623" s="19" t="n"/>
      <c r="Q2623" s="19" t="n"/>
      <c r="R2623" s="19" t="n"/>
      <c r="S2623" s="19" t="n"/>
      <c r="T2623" s="19" t="n"/>
      <c r="U2623" s="19" t="n"/>
      <c r="V2623" s="19" t="n"/>
      <c r="W2623" s="19" t="n"/>
      <c r="X2623" s="19" t="n"/>
      <c r="Y2623" s="19" t="n">
        <v>1</v>
      </c>
      <c r="Z2623" s="13">
        <f>SUMPRODUCT(N2623:Y2623,$N$2:$Y$2)*$K2623*$L2623*$M2623</f>
        <v/>
      </c>
      <c r="AA2623" s="14">
        <f>SUM(N2623:Y2623)</f>
        <v/>
      </c>
      <c r="AB2623" s="13">
        <f>SUMPRODUCT(N2623:Y2623,$N$3:$Y$3)*$K2623*$L2623*$M2623</f>
        <v/>
      </c>
      <c r="AC2623" s="13">
        <f>SUMPRODUCT(N2623:Y2623,$N$4:$Y$4)*$K2623*$L2623*$M2623</f>
        <v/>
      </c>
      <c r="AD2623" s="15" t="n">
        <v>3</v>
      </c>
      <c r="AE2623" s="11" t="n">
        <v>1.011296296296296</v>
      </c>
      <c r="AF2623" s="16">
        <f>SUMPRODUCT(N2623:Y2623,$N$5:$Y$5)*$K2623*$L2623*$M2623</f>
        <v/>
      </c>
      <c r="AG2623" s="16">
        <f>SUMPRODUCT(N2623:Y2623,$N$6:$Y$6)*$K2623*$L2623*$M2623</f>
        <v/>
      </c>
      <c r="AH2623" s="20" t="n"/>
    </row>
    <row r="2624">
      <c r="A2624" s="9" t="n">
        <v>803141</v>
      </c>
      <c r="B2624" s="9" t="inlineStr">
        <is>
          <t>Teddy McGraw</t>
        </is>
      </c>
      <c r="C2624" s="9" t="inlineStr">
        <is>
          <t>SEA</t>
        </is>
      </c>
      <c r="D2624" s="9" t="n">
        <v>25</v>
      </c>
      <c r="E2624" s="18" t="inlineStr">
        <is>
          <t>R</t>
        </is>
      </c>
      <c r="F2624" s="18" t="n"/>
      <c r="G2624" s="9" t="n">
        <v>47.65833333333333</v>
      </c>
      <c r="H2624" s="9" t="n">
        <v>47.65833333333333</v>
      </c>
      <c r="I2624" s="9" t="inlineStr">
        <is>
          <t>Depth (no MLB IP)</t>
        </is>
      </c>
      <c r="J2624" s="18" t="inlineStr">
        <is>
          <t>Opening Day</t>
        </is>
      </c>
      <c r="K2624" s="11">
        <f>IFERROR(INDEX(Roles!$B$17:$B$20,MATCH(J2624,Roles!$A$17:$A$20,0)),1)</f>
        <v/>
      </c>
      <c r="L2624" s="19" t="n">
        <v>1</v>
      </c>
      <c r="M2624" s="11" t="n">
        <v>1</v>
      </c>
      <c r="N2624" s="19" t="n"/>
      <c r="O2624" s="19" t="n"/>
      <c r="P2624" s="19" t="n"/>
      <c r="Q2624" s="19" t="n"/>
      <c r="R2624" s="19" t="n"/>
      <c r="S2624" s="19" t="n"/>
      <c r="T2624" s="19" t="n"/>
      <c r="U2624" s="19" t="n"/>
      <c r="V2624" s="19" t="n"/>
      <c r="W2624" s="19" t="n"/>
      <c r="X2624" s="19" t="n"/>
      <c r="Y2624" s="19" t="n">
        <v>1</v>
      </c>
      <c r="Z2624" s="13">
        <f>SUMPRODUCT(N2624:Y2624,$N$2:$Y$2)*$K2624*$L2624*$M2624</f>
        <v/>
      </c>
      <c r="AA2624" s="14">
        <f>SUM(N2624:Y2624)</f>
        <v/>
      </c>
      <c r="AB2624" s="13">
        <f>SUMPRODUCT(N2624:Y2624,$N$3:$Y$3)*$K2624*$L2624*$M2624</f>
        <v/>
      </c>
      <c r="AC2624" s="13">
        <f>SUMPRODUCT(N2624:Y2624,$N$4:$Y$4)*$K2624*$L2624*$M2624</f>
        <v/>
      </c>
      <c r="AD2624" s="15" t="n">
        <v>3</v>
      </c>
      <c r="AE2624" s="11" t="n">
        <v>1.011296296296296</v>
      </c>
      <c r="AF2624" s="16">
        <f>SUMPRODUCT(N2624:Y2624,$N$5:$Y$5)*$K2624*$L2624*$M2624</f>
        <v/>
      </c>
      <c r="AG2624" s="16">
        <f>SUMPRODUCT(N2624:Y2624,$N$6:$Y$6)*$K2624*$L2624*$M2624</f>
        <v/>
      </c>
      <c r="AH2624" s="20" t="n"/>
    </row>
    <row r="2625">
      <c r="A2625" s="9" t="n">
        <v>700310</v>
      </c>
      <c r="B2625" s="9" t="inlineStr">
        <is>
          <t>Dilan Figueredo</t>
        </is>
      </c>
      <c r="C2625" s="9" t="inlineStr">
        <is>
          <t>LAD</t>
        </is>
      </c>
      <c r="D2625" s="9" t="n">
        <v>25</v>
      </c>
      <c r="E2625" s="18" t="inlineStr">
        <is>
          <t>R</t>
        </is>
      </c>
      <c r="F2625" s="18" t="n"/>
      <c r="G2625" s="9" t="n">
        <v>47.87333333333333</v>
      </c>
      <c r="H2625" s="9" t="n">
        <v>47.87333333333333</v>
      </c>
      <c r="I2625" s="9" t="inlineStr">
        <is>
          <t>Depth (no MLB IP)</t>
        </is>
      </c>
      <c r="J2625" s="18" t="inlineStr">
        <is>
          <t>Opening Day</t>
        </is>
      </c>
      <c r="K2625" s="11">
        <f>IFERROR(INDEX(Roles!$B$17:$B$20,MATCH(J2625,Roles!$A$17:$A$20,0)),1)</f>
        <v/>
      </c>
      <c r="L2625" s="19" t="n">
        <v>1</v>
      </c>
      <c r="M2625" s="11" t="n">
        <v>1</v>
      </c>
      <c r="N2625" s="19" t="n"/>
      <c r="O2625" s="19" t="n"/>
      <c r="P2625" s="19" t="n"/>
      <c r="Q2625" s="19" t="n"/>
      <c r="R2625" s="19" t="n"/>
      <c r="S2625" s="19" t="n"/>
      <c r="T2625" s="19" t="n"/>
      <c r="U2625" s="19" t="n"/>
      <c r="V2625" s="19" t="n"/>
      <c r="W2625" s="19" t="n"/>
      <c r="X2625" s="19" t="n"/>
      <c r="Y2625" s="19" t="n">
        <v>1</v>
      </c>
      <c r="Z2625" s="13">
        <f>SUMPRODUCT(N2625:Y2625,$N$2:$Y$2)*$K2625*$L2625*$M2625</f>
        <v/>
      </c>
      <c r="AA2625" s="14">
        <f>SUM(N2625:Y2625)</f>
        <v/>
      </c>
      <c r="AB2625" s="13">
        <f>SUMPRODUCT(N2625:Y2625,$N$3:$Y$3)*$K2625*$L2625*$M2625</f>
        <v/>
      </c>
      <c r="AC2625" s="13">
        <f>SUMPRODUCT(N2625:Y2625,$N$4:$Y$4)*$K2625*$L2625*$M2625</f>
        <v/>
      </c>
      <c r="AD2625" s="15" t="n">
        <v>3</v>
      </c>
      <c r="AE2625" s="11" t="n">
        <v>1.011296296296296</v>
      </c>
      <c r="AF2625" s="16">
        <f>SUMPRODUCT(N2625:Y2625,$N$5:$Y$5)*$K2625*$L2625*$M2625</f>
        <v/>
      </c>
      <c r="AG2625" s="16">
        <f>SUMPRODUCT(N2625:Y2625,$N$6:$Y$6)*$K2625*$L2625*$M2625</f>
        <v/>
      </c>
      <c r="AH2625" s="20" t="n"/>
    </row>
    <row r="2626">
      <c r="A2626" s="9" t="n">
        <v>809915</v>
      </c>
      <c r="B2626" s="9" t="inlineStr">
        <is>
          <t>Jakob Wright</t>
        </is>
      </c>
      <c r="C2626" s="9" t="inlineStr">
        <is>
          <t>LAD</t>
        </is>
      </c>
      <c r="D2626" s="9" t="n">
        <v>25</v>
      </c>
      <c r="E2626" s="18" t="inlineStr">
        <is>
          <t>L</t>
        </is>
      </c>
      <c r="F2626" s="18" t="n"/>
      <c r="G2626" s="9" t="n">
        <v>47.87333333333333</v>
      </c>
      <c r="H2626" s="9" t="n">
        <v>47.87333333333333</v>
      </c>
      <c r="I2626" s="9" t="inlineStr">
        <is>
          <t>Depth (no MLB IP)</t>
        </is>
      </c>
      <c r="J2626" s="18" t="inlineStr">
        <is>
          <t>Opening Day</t>
        </is>
      </c>
      <c r="K2626" s="11">
        <f>IFERROR(INDEX(Roles!$B$17:$B$20,MATCH(J2626,Roles!$A$17:$A$20,0)),1)</f>
        <v/>
      </c>
      <c r="L2626" s="19" t="n">
        <v>1</v>
      </c>
      <c r="M2626" s="11" t="n">
        <v>1</v>
      </c>
      <c r="N2626" s="19" t="n"/>
      <c r="O2626" s="19" t="n"/>
      <c r="P2626" s="19" t="n"/>
      <c r="Q2626" s="19" t="n"/>
      <c r="R2626" s="19" t="n"/>
      <c r="S2626" s="19" t="n"/>
      <c r="T2626" s="19" t="n"/>
      <c r="U2626" s="19" t="n"/>
      <c r="V2626" s="19" t="n"/>
      <c r="W2626" s="19" t="n"/>
      <c r="X2626" s="19" t="n"/>
      <c r="Y2626" s="19" t="n">
        <v>1</v>
      </c>
      <c r="Z2626" s="13">
        <f>SUMPRODUCT(N2626:Y2626,$N$2:$Y$2)*$K2626*$L2626*$M2626</f>
        <v/>
      </c>
      <c r="AA2626" s="14">
        <f>SUM(N2626:Y2626)</f>
        <v/>
      </c>
      <c r="AB2626" s="13">
        <f>SUMPRODUCT(N2626:Y2626,$N$3:$Y$3)*$K2626*$L2626*$M2626</f>
        <v/>
      </c>
      <c r="AC2626" s="13">
        <f>SUMPRODUCT(N2626:Y2626,$N$4:$Y$4)*$K2626*$L2626*$M2626</f>
        <v/>
      </c>
      <c r="AD2626" s="15" t="n">
        <v>3</v>
      </c>
      <c r="AE2626" s="11" t="n">
        <v>1.011296296296296</v>
      </c>
      <c r="AF2626" s="16">
        <f>SUMPRODUCT(N2626:Y2626,$N$5:$Y$5)*$K2626*$L2626*$M2626</f>
        <v/>
      </c>
      <c r="AG2626" s="16">
        <f>SUMPRODUCT(N2626:Y2626,$N$6:$Y$6)*$K2626*$L2626*$M2626</f>
        <v/>
      </c>
      <c r="AH2626" s="20" t="n"/>
    </row>
    <row r="2627">
      <c r="A2627" s="9" t="n">
        <v>802410</v>
      </c>
      <c r="B2627" s="9" t="inlineStr">
        <is>
          <t>Jacob Zibin</t>
        </is>
      </c>
      <c r="C2627" s="9" t="inlineStr">
        <is>
          <t>CLE</t>
        </is>
      </c>
      <c r="D2627" s="9" t="n">
        <v>25</v>
      </c>
      <c r="E2627" s="18" t="inlineStr">
        <is>
          <t>R</t>
        </is>
      </c>
      <c r="F2627" s="18" t="n"/>
      <c r="G2627" s="9" t="n">
        <v>47.87333333333333</v>
      </c>
      <c r="H2627" s="9" t="n">
        <v>47.87333333333333</v>
      </c>
      <c r="I2627" s="9" t="inlineStr">
        <is>
          <t>Depth (no MLB IP)</t>
        </is>
      </c>
      <c r="J2627" s="18" t="inlineStr">
        <is>
          <t>Opening Day</t>
        </is>
      </c>
      <c r="K2627" s="11">
        <f>IFERROR(INDEX(Roles!$B$17:$B$20,MATCH(J2627,Roles!$A$17:$A$20,0)),1)</f>
        <v/>
      </c>
      <c r="L2627" s="19" t="n">
        <v>1</v>
      </c>
      <c r="M2627" s="11" t="n">
        <v>1</v>
      </c>
      <c r="N2627" s="19" t="n"/>
      <c r="O2627" s="19" t="n"/>
      <c r="P2627" s="19" t="n"/>
      <c r="Q2627" s="19" t="n"/>
      <c r="R2627" s="19" t="n"/>
      <c r="S2627" s="19" t="n"/>
      <c r="T2627" s="19" t="n"/>
      <c r="U2627" s="19" t="n"/>
      <c r="V2627" s="19" t="n"/>
      <c r="W2627" s="19" t="n"/>
      <c r="X2627" s="19" t="n"/>
      <c r="Y2627" s="19" t="n">
        <v>1</v>
      </c>
      <c r="Z2627" s="13">
        <f>SUMPRODUCT(N2627:Y2627,$N$2:$Y$2)*$K2627*$L2627*$M2627</f>
        <v/>
      </c>
      <c r="AA2627" s="14">
        <f>SUM(N2627:Y2627)</f>
        <v/>
      </c>
      <c r="AB2627" s="13">
        <f>SUMPRODUCT(N2627:Y2627,$N$3:$Y$3)*$K2627*$L2627*$M2627</f>
        <v/>
      </c>
      <c r="AC2627" s="13">
        <f>SUMPRODUCT(N2627:Y2627,$N$4:$Y$4)*$K2627*$L2627*$M2627</f>
        <v/>
      </c>
      <c r="AD2627" s="15" t="n">
        <v>3</v>
      </c>
      <c r="AE2627" s="11" t="n">
        <v>1.011296296296296</v>
      </c>
      <c r="AF2627" s="16">
        <f>SUMPRODUCT(N2627:Y2627,$N$5:$Y$5)*$K2627*$L2627*$M2627</f>
        <v/>
      </c>
      <c r="AG2627" s="16">
        <f>SUMPRODUCT(N2627:Y2627,$N$6:$Y$6)*$K2627*$L2627*$M2627</f>
        <v/>
      </c>
      <c r="AH2627" s="20" t="n"/>
    </row>
    <row r="2628">
      <c r="A2628" s="9" t="n">
        <v>650907</v>
      </c>
      <c r="B2628" s="9" t="inlineStr">
        <is>
          <t>René Pinto</t>
        </is>
      </c>
      <c r="C2628" s="9" t="inlineStr">
        <is>
          <t>TB</t>
        </is>
      </c>
      <c r="D2628" s="9" t="n">
        <v>30</v>
      </c>
      <c r="E2628" s="18" t="inlineStr">
        <is>
          <t>R</t>
        </is>
      </c>
      <c r="F2628" s="18" t="n"/>
      <c r="G2628" s="9" t="n">
        <v>8</v>
      </c>
      <c r="H2628" s="9" t="n">
        <v>8</v>
      </c>
      <c r="I2628" s="9" t="inlineStr">
        <is>
          <t>Depth (no MLB IP)</t>
        </is>
      </c>
      <c r="J2628" s="18" t="inlineStr">
        <is>
          <t>Opening Day</t>
        </is>
      </c>
      <c r="K2628" s="11">
        <f>IFERROR(INDEX(Roles!$B$17:$B$20,MATCH(J2628,Roles!$A$17:$A$20,0)),1)</f>
        <v/>
      </c>
      <c r="L2628" s="19" t="n">
        <v>1</v>
      </c>
      <c r="M2628" s="11" t="n">
        <v>1</v>
      </c>
      <c r="N2628" s="19" t="n"/>
      <c r="O2628" s="19" t="n"/>
      <c r="P2628" s="19" t="n"/>
      <c r="Q2628" s="19" t="n"/>
      <c r="R2628" s="19" t="n"/>
      <c r="S2628" s="19" t="n"/>
      <c r="T2628" s="19" t="n"/>
      <c r="U2628" s="19" t="n"/>
      <c r="V2628" s="19" t="n"/>
      <c r="W2628" s="19" t="n"/>
      <c r="X2628" s="19" t="n"/>
      <c r="Y2628" s="19" t="n">
        <v>1</v>
      </c>
      <c r="Z2628" s="13">
        <f>SUMPRODUCT(N2628:Y2628,$N$2:$Y$2)*$K2628*$L2628*$M2628</f>
        <v/>
      </c>
      <c r="AA2628" s="14">
        <f>SUM(N2628:Y2628)</f>
        <v/>
      </c>
      <c r="AB2628" s="13">
        <f>SUMPRODUCT(N2628:Y2628,$N$3:$Y$3)*$K2628*$L2628*$M2628</f>
        <v/>
      </c>
      <c r="AC2628" s="13">
        <f>SUMPRODUCT(N2628:Y2628,$N$4:$Y$4)*$K2628*$L2628*$M2628</f>
        <v/>
      </c>
      <c r="AD2628" s="15" t="n">
        <v>3</v>
      </c>
      <c r="AE2628" s="11" t="n">
        <v>1.011296296296296</v>
      </c>
      <c r="AF2628" s="16">
        <f>SUMPRODUCT(N2628:Y2628,$N$5:$Y$5)*$K2628*$L2628*$M2628</f>
        <v/>
      </c>
      <c r="AG2628" s="16">
        <f>SUMPRODUCT(N2628:Y2628,$N$6:$Y$6)*$K2628*$L2628*$M2628</f>
        <v/>
      </c>
      <c r="AH2628" s="20" t="n"/>
    </row>
    <row r="2629">
      <c r="A2629" s="9" t="n">
        <v>592826</v>
      </c>
      <c r="B2629" s="9" t="inlineStr">
        <is>
          <t>Vince Velasquez</t>
        </is>
      </c>
      <c r="C2629" s="9" t="inlineStr">
        <is>
          <t>PIT</t>
        </is>
      </c>
      <c r="D2629" s="9" t="n">
        <v>35</v>
      </c>
      <c r="E2629" s="18" t="inlineStr">
        <is>
          <t>R</t>
        </is>
      </c>
      <c r="F2629" s="18" t="n"/>
      <c r="G2629" s="9" t="n">
        <v>11</v>
      </c>
      <c r="H2629" s="9" t="n">
        <v>492</v>
      </c>
      <c r="I2629" s="9" t="inlineStr">
        <is>
          <t>Depth (no MLB IP)</t>
        </is>
      </c>
      <c r="J2629" s="18" t="inlineStr">
        <is>
          <t>Opening Day</t>
        </is>
      </c>
      <c r="K2629" s="11">
        <f>IFERROR(INDEX(Roles!$B$17:$B$20,MATCH(J2629,Roles!$A$17:$A$20,0)),1)</f>
        <v/>
      </c>
      <c r="L2629" s="19" t="n">
        <v>1</v>
      </c>
      <c r="M2629" s="11" t="n">
        <v>1</v>
      </c>
      <c r="N2629" s="19" t="n"/>
      <c r="O2629" s="19" t="n"/>
      <c r="P2629" s="19" t="n"/>
      <c r="Q2629" s="19" t="n"/>
      <c r="R2629" s="19" t="n"/>
      <c r="S2629" s="19" t="n"/>
      <c r="T2629" s="19" t="n"/>
      <c r="U2629" s="19" t="n"/>
      <c r="V2629" s="19" t="n"/>
      <c r="W2629" s="19" t="n"/>
      <c r="X2629" s="19" t="n"/>
      <c r="Y2629" s="19" t="n">
        <v>1</v>
      </c>
      <c r="Z2629" s="13">
        <f>SUMPRODUCT(N2629:Y2629,$N$2:$Y$2)*$K2629*$L2629*$M2629</f>
        <v/>
      </c>
      <c r="AA2629" s="14">
        <f>SUM(N2629:Y2629)</f>
        <v/>
      </c>
      <c r="AB2629" s="13">
        <f>SUMPRODUCT(N2629:Y2629,$N$3:$Y$3)*$K2629*$L2629*$M2629</f>
        <v/>
      </c>
      <c r="AC2629" s="13">
        <f>SUMPRODUCT(N2629:Y2629,$N$4:$Y$4)*$K2629*$L2629*$M2629</f>
        <v/>
      </c>
      <c r="AD2629" s="15" t="n">
        <v>2.4</v>
      </c>
      <c r="AE2629" s="11" t="n">
        <v>1.229753086419753</v>
      </c>
      <c r="AF2629" s="16">
        <f>SUMPRODUCT(N2629:Y2629,$N$5:$Y$5)*$K2629*$L2629*$M2629</f>
        <v/>
      </c>
      <c r="AG2629" s="16">
        <f>SUMPRODUCT(N2629:Y2629,$N$6:$Y$6)*$K2629*$L2629*$M2629</f>
        <v/>
      </c>
      <c r="AH2629" s="20" t="n"/>
    </row>
    <row r="2630">
      <c r="A2630" s="9" t="n">
        <v>702584</v>
      </c>
      <c r="B2630" s="9" t="inlineStr">
        <is>
          <t>Isaiah Lowe</t>
        </is>
      </c>
      <c r="C2630" s="9" t="inlineStr">
        <is>
          <t>SD</t>
        </is>
      </c>
      <c r="D2630" s="9" t="n">
        <v>25</v>
      </c>
      <c r="E2630" s="18" t="inlineStr">
        <is>
          <t>R</t>
        </is>
      </c>
      <c r="F2630" s="18" t="n"/>
      <c r="G2630" s="9" t="n">
        <v>47.87333333333333</v>
      </c>
      <c r="H2630" s="9" t="n">
        <v>47.87333333333333</v>
      </c>
      <c r="I2630" s="9" t="inlineStr">
        <is>
          <t>Depth (no MLB IP)</t>
        </is>
      </c>
      <c r="J2630" s="18" t="inlineStr">
        <is>
          <t>Opening Day</t>
        </is>
      </c>
      <c r="K2630" s="11">
        <f>IFERROR(INDEX(Roles!$B$17:$B$20,MATCH(J2630,Roles!$A$17:$A$20,0)),1)</f>
        <v/>
      </c>
      <c r="L2630" s="19" t="n">
        <v>1</v>
      </c>
      <c r="M2630" s="11" t="n">
        <v>1</v>
      </c>
      <c r="N2630" s="19" t="n"/>
      <c r="O2630" s="19" t="n"/>
      <c r="P2630" s="19" t="n"/>
      <c r="Q2630" s="19" t="n"/>
      <c r="R2630" s="19" t="n"/>
      <c r="S2630" s="19" t="n"/>
      <c r="T2630" s="19" t="n"/>
      <c r="U2630" s="19" t="n"/>
      <c r="V2630" s="19" t="n"/>
      <c r="W2630" s="19" t="n"/>
      <c r="X2630" s="19" t="n"/>
      <c r="Y2630" s="19" t="n">
        <v>1</v>
      </c>
      <c r="Z2630" s="13">
        <f>SUMPRODUCT(N2630:Y2630,$N$2:$Y$2)*$K2630*$L2630*$M2630</f>
        <v/>
      </c>
      <c r="AA2630" s="14">
        <f>SUM(N2630:Y2630)</f>
        <v/>
      </c>
      <c r="AB2630" s="13">
        <f>SUMPRODUCT(N2630:Y2630,$N$3:$Y$3)*$K2630*$L2630*$M2630</f>
        <v/>
      </c>
      <c r="AC2630" s="13">
        <f>SUMPRODUCT(N2630:Y2630,$N$4:$Y$4)*$K2630*$L2630*$M2630</f>
        <v/>
      </c>
      <c r="AD2630" s="15" t="n">
        <v>3</v>
      </c>
      <c r="AE2630" s="11" t="n">
        <v>1.011296296296296</v>
      </c>
      <c r="AF2630" s="16">
        <f>SUMPRODUCT(N2630:Y2630,$N$5:$Y$5)*$K2630*$L2630*$M2630</f>
        <v/>
      </c>
      <c r="AG2630" s="16">
        <f>SUMPRODUCT(N2630:Y2630,$N$6:$Y$6)*$K2630*$L2630*$M2630</f>
        <v/>
      </c>
      <c r="AH2630" s="20" t="n"/>
    </row>
    <row r="2631">
      <c r="A2631" s="9" t="n">
        <v>814541</v>
      </c>
      <c r="B2631" s="9" t="inlineStr">
        <is>
          <t>Isaac Gallegos</t>
        </is>
      </c>
      <c r="C2631" s="9" t="inlineStr">
        <is>
          <t>ATL</t>
        </is>
      </c>
      <c r="D2631" s="9" t="n">
        <v>25</v>
      </c>
      <c r="E2631" s="18" t="inlineStr">
        <is>
          <t>R</t>
        </is>
      </c>
      <c r="F2631" s="18" t="n"/>
      <c r="G2631" s="9" t="n">
        <v>48.16</v>
      </c>
      <c r="H2631" s="9" t="n">
        <v>48.16</v>
      </c>
      <c r="I2631" s="9" t="inlineStr">
        <is>
          <t>Depth (no MLB IP)</t>
        </is>
      </c>
      <c r="J2631" s="18" t="inlineStr">
        <is>
          <t>Opening Day</t>
        </is>
      </c>
      <c r="K2631" s="11">
        <f>IFERROR(INDEX(Roles!$B$17:$B$20,MATCH(J2631,Roles!$A$17:$A$20,0)),1)</f>
        <v/>
      </c>
      <c r="L2631" s="19" t="n">
        <v>1</v>
      </c>
      <c r="M2631" s="11" t="n">
        <v>1</v>
      </c>
      <c r="N2631" s="19" t="n"/>
      <c r="O2631" s="19" t="n"/>
      <c r="P2631" s="19" t="n"/>
      <c r="Q2631" s="19" t="n"/>
      <c r="R2631" s="19" t="n"/>
      <c r="S2631" s="19" t="n"/>
      <c r="T2631" s="19" t="n"/>
      <c r="U2631" s="19" t="n"/>
      <c r="V2631" s="19" t="n"/>
      <c r="W2631" s="19" t="n"/>
      <c r="X2631" s="19" t="n"/>
      <c r="Y2631" s="19" t="n">
        <v>1</v>
      </c>
      <c r="Z2631" s="13">
        <f>SUMPRODUCT(N2631:Y2631,$N$2:$Y$2)*$K2631*$L2631*$M2631</f>
        <v/>
      </c>
      <c r="AA2631" s="14">
        <f>SUM(N2631:Y2631)</f>
        <v/>
      </c>
      <c r="AB2631" s="13">
        <f>SUMPRODUCT(N2631:Y2631,$N$3:$Y$3)*$K2631*$L2631*$M2631</f>
        <v/>
      </c>
      <c r="AC2631" s="13">
        <f>SUMPRODUCT(N2631:Y2631,$N$4:$Y$4)*$K2631*$L2631*$M2631</f>
        <v/>
      </c>
      <c r="AD2631" s="15" t="n">
        <v>3</v>
      </c>
      <c r="AE2631" s="11" t="n">
        <v>1.011296296296296</v>
      </c>
      <c r="AF2631" s="16">
        <f>SUMPRODUCT(N2631:Y2631,$N$5:$Y$5)*$K2631*$L2631*$M2631</f>
        <v/>
      </c>
      <c r="AG2631" s="16">
        <f>SUMPRODUCT(N2631:Y2631,$N$6:$Y$6)*$K2631*$L2631*$M2631</f>
        <v/>
      </c>
      <c r="AH2631" s="20" t="n"/>
    </row>
    <row r="2632">
      <c r="A2632" s="9" t="n">
        <v>813869</v>
      </c>
      <c r="B2632" s="9" t="inlineStr">
        <is>
          <t>Ryan Degges</t>
        </is>
      </c>
      <c r="C2632" s="9" t="inlineStr">
        <is>
          <t>CLE</t>
        </is>
      </c>
      <c r="D2632" s="9" t="n">
        <v>25</v>
      </c>
      <c r="E2632" s="18" t="inlineStr">
        <is>
          <t>R</t>
        </is>
      </c>
      <c r="F2632" s="18" t="n"/>
      <c r="G2632" s="9" t="n">
        <v>48.16</v>
      </c>
      <c r="H2632" s="9" t="n">
        <v>48.16</v>
      </c>
      <c r="I2632" s="9" t="inlineStr">
        <is>
          <t>Depth (no MLB IP)</t>
        </is>
      </c>
      <c r="J2632" s="18" t="inlineStr">
        <is>
          <t>Opening Day</t>
        </is>
      </c>
      <c r="K2632" s="11">
        <f>IFERROR(INDEX(Roles!$B$17:$B$20,MATCH(J2632,Roles!$A$17:$A$20,0)),1)</f>
        <v/>
      </c>
      <c r="L2632" s="19" t="n">
        <v>1</v>
      </c>
      <c r="M2632" s="11" t="n">
        <v>1</v>
      </c>
      <c r="N2632" s="19" t="n"/>
      <c r="O2632" s="19" t="n"/>
      <c r="P2632" s="19" t="n"/>
      <c r="Q2632" s="19" t="n"/>
      <c r="R2632" s="19" t="n"/>
      <c r="S2632" s="19" t="n"/>
      <c r="T2632" s="19" t="n"/>
      <c r="U2632" s="19" t="n"/>
      <c r="V2632" s="19" t="n"/>
      <c r="W2632" s="19" t="n"/>
      <c r="X2632" s="19" t="n"/>
      <c r="Y2632" s="19" t="n">
        <v>1</v>
      </c>
      <c r="Z2632" s="13">
        <f>SUMPRODUCT(N2632:Y2632,$N$2:$Y$2)*$K2632*$L2632*$M2632</f>
        <v/>
      </c>
      <c r="AA2632" s="14">
        <f>SUM(N2632:Y2632)</f>
        <v/>
      </c>
      <c r="AB2632" s="13">
        <f>SUMPRODUCT(N2632:Y2632,$N$3:$Y$3)*$K2632*$L2632*$M2632</f>
        <v/>
      </c>
      <c r="AC2632" s="13">
        <f>SUMPRODUCT(N2632:Y2632,$N$4:$Y$4)*$K2632*$L2632*$M2632</f>
        <v/>
      </c>
      <c r="AD2632" s="15" t="n">
        <v>3</v>
      </c>
      <c r="AE2632" s="11" t="n">
        <v>1.011296296296296</v>
      </c>
      <c r="AF2632" s="16">
        <f>SUMPRODUCT(N2632:Y2632,$N$5:$Y$5)*$K2632*$L2632*$M2632</f>
        <v/>
      </c>
      <c r="AG2632" s="16">
        <f>SUMPRODUCT(N2632:Y2632,$N$6:$Y$6)*$K2632*$L2632*$M2632</f>
        <v/>
      </c>
      <c r="AH2632" s="20" t="n"/>
    </row>
    <row r="2633">
      <c r="A2633" s="9" t="n">
        <v>828506</v>
      </c>
      <c r="B2633" s="9" t="inlineStr">
        <is>
          <t>Joey Danielson</t>
        </is>
      </c>
      <c r="C2633" s="9" t="inlineStr">
        <is>
          <t>TEX</t>
        </is>
      </c>
      <c r="D2633" s="9" t="n">
        <v>25</v>
      </c>
      <c r="E2633" s="18" t="inlineStr">
        <is>
          <t>R</t>
        </is>
      </c>
      <c r="F2633" s="18" t="n"/>
      <c r="G2633" s="9" t="n">
        <v>48.16</v>
      </c>
      <c r="H2633" s="9" t="n">
        <v>48.16</v>
      </c>
      <c r="I2633" s="9" t="inlineStr">
        <is>
          <t>Depth (no MLB IP)</t>
        </is>
      </c>
      <c r="J2633" s="18" t="inlineStr">
        <is>
          <t>Opening Day</t>
        </is>
      </c>
      <c r="K2633" s="11">
        <f>IFERROR(INDEX(Roles!$B$17:$B$20,MATCH(J2633,Roles!$A$17:$A$20,0)),1)</f>
        <v/>
      </c>
      <c r="L2633" s="19" t="n">
        <v>1</v>
      </c>
      <c r="M2633" s="11" t="n">
        <v>1</v>
      </c>
      <c r="N2633" s="19" t="n"/>
      <c r="O2633" s="19" t="n"/>
      <c r="P2633" s="19" t="n"/>
      <c r="Q2633" s="19" t="n"/>
      <c r="R2633" s="19" t="n"/>
      <c r="S2633" s="19" t="n"/>
      <c r="T2633" s="19" t="n"/>
      <c r="U2633" s="19" t="n"/>
      <c r="V2633" s="19" t="n"/>
      <c r="W2633" s="19" t="n"/>
      <c r="X2633" s="19" t="n"/>
      <c r="Y2633" s="19" t="n">
        <v>1</v>
      </c>
      <c r="Z2633" s="13">
        <f>SUMPRODUCT(N2633:Y2633,$N$2:$Y$2)*$K2633*$L2633*$M2633</f>
        <v/>
      </c>
      <c r="AA2633" s="14">
        <f>SUM(N2633:Y2633)</f>
        <v/>
      </c>
      <c r="AB2633" s="13">
        <f>SUMPRODUCT(N2633:Y2633,$N$3:$Y$3)*$K2633*$L2633*$M2633</f>
        <v/>
      </c>
      <c r="AC2633" s="13">
        <f>SUMPRODUCT(N2633:Y2633,$N$4:$Y$4)*$K2633*$L2633*$M2633</f>
        <v/>
      </c>
      <c r="AD2633" s="15" t="n">
        <v>3</v>
      </c>
      <c r="AE2633" s="11" t="n">
        <v>1.011296296296296</v>
      </c>
      <c r="AF2633" s="16">
        <f>SUMPRODUCT(N2633:Y2633,$N$5:$Y$5)*$K2633*$L2633*$M2633</f>
        <v/>
      </c>
      <c r="AG2633" s="16">
        <f>SUMPRODUCT(N2633:Y2633,$N$6:$Y$6)*$K2633*$L2633*$M2633</f>
        <v/>
      </c>
      <c r="AH2633" s="20" t="n"/>
    </row>
    <row r="2634">
      <c r="A2634" s="9" t="n">
        <v>663432</v>
      </c>
      <c r="B2634" s="9" t="inlineStr">
        <is>
          <t>Tanner Rainey</t>
        </is>
      </c>
      <c r="C2634" s="9" t="inlineStr">
        <is>
          <t>DET</t>
        </is>
      </c>
      <c r="D2634" s="9" t="n">
        <v>34</v>
      </c>
      <c r="E2634" s="18" t="inlineStr">
        <is>
          <t>R</t>
        </is>
      </c>
      <c r="F2634" s="18" t="n"/>
      <c r="G2634" s="9" t="n">
        <v>31</v>
      </c>
      <c r="H2634" s="9" t="n">
        <v>442</v>
      </c>
      <c r="I2634" s="9" t="inlineStr">
        <is>
          <t>Bullpen Depth Arm</t>
        </is>
      </c>
      <c r="J2634" s="18" t="inlineStr">
        <is>
          <t>Opening Day</t>
        </is>
      </c>
      <c r="K2634" s="11">
        <f>IFERROR(INDEX(Roles!$B$17:$B$20,MATCH(J2634,Roles!$A$17:$A$20,0)),1)</f>
        <v/>
      </c>
      <c r="L2634" s="19" t="n">
        <v>1</v>
      </c>
      <c r="M2634" s="11" t="n">
        <v>1</v>
      </c>
      <c r="N2634" s="19" t="n"/>
      <c r="O2634" s="19" t="n"/>
      <c r="P2634" s="19" t="n"/>
      <c r="Q2634" s="19" t="n"/>
      <c r="R2634" s="19" t="n"/>
      <c r="S2634" s="19" t="n"/>
      <c r="T2634" s="19" t="n"/>
      <c r="U2634" s="19" t="n"/>
      <c r="V2634" s="19" t="n"/>
      <c r="W2634" s="19" t="n">
        <v>1</v>
      </c>
      <c r="X2634" s="19" t="n"/>
      <c r="Y2634" s="19" t="n"/>
      <c r="Z2634" s="13">
        <f>SUMPRODUCT(N2634:Y2634,$N$2:$Y$2)*$K2634*$L2634*$M2634</f>
        <v/>
      </c>
      <c r="AA2634" s="14">
        <f>SUM(N2634:Y2634)</f>
        <v/>
      </c>
      <c r="AB2634" s="13">
        <f>SUMPRODUCT(N2634:Y2634,$N$3:$Y$3)*$K2634*$L2634*$M2634</f>
        <v/>
      </c>
      <c r="AC2634" s="13">
        <f>SUMPRODUCT(N2634:Y2634,$N$4:$Y$4)*$K2634*$L2634*$M2634</f>
        <v/>
      </c>
      <c r="AD2634" s="15" t="n">
        <v>15.06666666666667</v>
      </c>
      <c r="AE2634" s="11" t="n">
        <v>1.125384203398388</v>
      </c>
      <c r="AF2634" s="16">
        <f>SUMPRODUCT(N2634:Y2634,$N$5:$Y$5)*$K2634*$L2634*$M2634</f>
        <v/>
      </c>
      <c r="AG2634" s="16">
        <f>SUMPRODUCT(N2634:Y2634,$N$6:$Y$6)*$K2634*$L2634*$M2634</f>
        <v/>
      </c>
      <c r="AH2634" s="20" t="n"/>
    </row>
    <row r="2635">
      <c r="A2635" s="9" t="n">
        <v>693311</v>
      </c>
      <c r="B2635" s="9" t="inlineStr">
        <is>
          <t>Tink Hence</t>
        </is>
      </c>
      <c r="C2635" s="9" t="inlineStr">
        <is>
          <t>STL</t>
        </is>
      </c>
      <c r="D2635" s="9" t="n">
        <v>25</v>
      </c>
      <c r="E2635" s="18" t="inlineStr">
        <is>
          <t>R</t>
        </is>
      </c>
      <c r="F2635" s="18" t="n"/>
      <c r="G2635" s="9" t="n">
        <v>48.08833333333333</v>
      </c>
      <c r="H2635" s="9" t="n">
        <v>48.08833333333333</v>
      </c>
      <c r="I2635" s="9" t="inlineStr">
        <is>
          <t>Depth (no MLB IP)</t>
        </is>
      </c>
      <c r="J2635" s="18" t="inlineStr">
        <is>
          <t>Opening Day</t>
        </is>
      </c>
      <c r="K2635" s="11">
        <f>IFERROR(INDEX(Roles!$B$17:$B$20,MATCH(J2635,Roles!$A$17:$A$20,0)),1)</f>
        <v/>
      </c>
      <c r="L2635" s="19" t="n">
        <v>1</v>
      </c>
      <c r="M2635" s="11" t="n">
        <v>1</v>
      </c>
      <c r="N2635" s="19" t="n"/>
      <c r="O2635" s="19" t="n"/>
      <c r="P2635" s="19" t="n"/>
      <c r="Q2635" s="19" t="n"/>
      <c r="R2635" s="19" t="n"/>
      <c r="S2635" s="19" t="n"/>
      <c r="T2635" s="19" t="n"/>
      <c r="U2635" s="19" t="n"/>
      <c r="V2635" s="19" t="n"/>
      <c r="W2635" s="19" t="n"/>
      <c r="X2635" s="19" t="n"/>
      <c r="Y2635" s="19" t="n">
        <v>1</v>
      </c>
      <c r="Z2635" s="13">
        <f>SUMPRODUCT(N2635:Y2635,$N$2:$Y$2)*$K2635*$L2635*$M2635</f>
        <v/>
      </c>
      <c r="AA2635" s="14">
        <f>SUM(N2635:Y2635)</f>
        <v/>
      </c>
      <c r="AB2635" s="13">
        <f>SUMPRODUCT(N2635:Y2635,$N$3:$Y$3)*$K2635*$L2635*$M2635</f>
        <v/>
      </c>
      <c r="AC2635" s="13">
        <f>SUMPRODUCT(N2635:Y2635,$N$4:$Y$4)*$K2635*$L2635*$M2635</f>
        <v/>
      </c>
      <c r="AD2635" s="15" t="n">
        <v>3</v>
      </c>
      <c r="AE2635" s="11" t="n">
        <v>1.011296296296296</v>
      </c>
      <c r="AF2635" s="16">
        <f>SUMPRODUCT(N2635:Y2635,$N$5:$Y$5)*$K2635*$L2635*$M2635</f>
        <v/>
      </c>
      <c r="AG2635" s="16">
        <f>SUMPRODUCT(N2635:Y2635,$N$6:$Y$6)*$K2635*$L2635*$M2635</f>
        <v/>
      </c>
      <c r="AH2635" s="20" t="n"/>
    </row>
    <row r="2636">
      <c r="A2636" s="9" t="n">
        <v>694660</v>
      </c>
      <c r="B2636" s="9" t="inlineStr">
        <is>
          <t>Harrison Cohen</t>
        </is>
      </c>
      <c r="C2636" s="9" t="inlineStr">
        <is>
          <t>NYY</t>
        </is>
      </c>
      <c r="D2636" s="9" t="n">
        <v>25</v>
      </c>
      <c r="E2636" s="18" t="inlineStr">
        <is>
          <t>R</t>
        </is>
      </c>
      <c r="F2636" s="18" t="n"/>
      <c r="G2636" s="9" t="n">
        <v>48.08833333333333</v>
      </c>
      <c r="H2636" s="9" t="n">
        <v>48.08833333333333</v>
      </c>
      <c r="I2636" s="9" t="inlineStr">
        <is>
          <t>Depth (no MLB IP)</t>
        </is>
      </c>
      <c r="J2636" s="18" t="inlineStr">
        <is>
          <t>Opening Day</t>
        </is>
      </c>
      <c r="K2636" s="11">
        <f>IFERROR(INDEX(Roles!$B$17:$B$20,MATCH(J2636,Roles!$A$17:$A$20,0)),1)</f>
        <v/>
      </c>
      <c r="L2636" s="19" t="n">
        <v>1</v>
      </c>
      <c r="M2636" s="11" t="n">
        <v>1</v>
      </c>
      <c r="N2636" s="19" t="n"/>
      <c r="O2636" s="19" t="n"/>
      <c r="P2636" s="19" t="n"/>
      <c r="Q2636" s="19" t="n"/>
      <c r="R2636" s="19" t="n"/>
      <c r="S2636" s="19" t="n"/>
      <c r="T2636" s="19" t="n"/>
      <c r="U2636" s="19" t="n"/>
      <c r="V2636" s="19" t="n"/>
      <c r="W2636" s="19" t="n"/>
      <c r="X2636" s="19" t="n"/>
      <c r="Y2636" s="19" t="n">
        <v>1</v>
      </c>
      <c r="Z2636" s="13">
        <f>SUMPRODUCT(N2636:Y2636,$N$2:$Y$2)*$K2636*$L2636*$M2636</f>
        <v/>
      </c>
      <c r="AA2636" s="14">
        <f>SUM(N2636:Y2636)</f>
        <v/>
      </c>
      <c r="AB2636" s="13">
        <f>SUMPRODUCT(N2636:Y2636,$N$3:$Y$3)*$K2636*$L2636*$M2636</f>
        <v/>
      </c>
      <c r="AC2636" s="13">
        <f>SUMPRODUCT(N2636:Y2636,$N$4:$Y$4)*$K2636*$L2636*$M2636</f>
        <v/>
      </c>
      <c r="AD2636" s="15" t="n">
        <v>3</v>
      </c>
      <c r="AE2636" s="11" t="n">
        <v>1.011296296296296</v>
      </c>
      <c r="AF2636" s="16">
        <f>SUMPRODUCT(N2636:Y2636,$N$5:$Y$5)*$K2636*$L2636*$M2636</f>
        <v/>
      </c>
      <c r="AG2636" s="16">
        <f>SUMPRODUCT(N2636:Y2636,$N$6:$Y$6)*$K2636*$L2636*$M2636</f>
        <v/>
      </c>
      <c r="AH2636" s="20" t="n"/>
    </row>
    <row r="2637">
      <c r="A2637" s="9" t="n">
        <v>822461</v>
      </c>
      <c r="B2637" s="9" t="inlineStr">
        <is>
          <t>Shane Van Dam</t>
        </is>
      </c>
      <c r="C2637" s="9" t="inlineStr">
        <is>
          <t>KC</t>
        </is>
      </c>
      <c r="D2637" s="9" t="n">
        <v>25</v>
      </c>
      <c r="E2637" s="18" t="inlineStr">
        <is>
          <t>R</t>
        </is>
      </c>
      <c r="F2637" s="18" t="n"/>
      <c r="G2637" s="9" t="n">
        <v>48.16</v>
      </c>
      <c r="H2637" s="9" t="n">
        <v>48.16</v>
      </c>
      <c r="I2637" s="9" t="inlineStr">
        <is>
          <t>Depth (no MLB IP)</t>
        </is>
      </c>
      <c r="J2637" s="18" t="inlineStr">
        <is>
          <t>Opening Day</t>
        </is>
      </c>
      <c r="K2637" s="11">
        <f>IFERROR(INDEX(Roles!$B$17:$B$20,MATCH(J2637,Roles!$A$17:$A$20,0)),1)</f>
        <v/>
      </c>
      <c r="L2637" s="19" t="n">
        <v>1</v>
      </c>
      <c r="M2637" s="11" t="n">
        <v>1</v>
      </c>
      <c r="N2637" s="19" t="n"/>
      <c r="O2637" s="19" t="n"/>
      <c r="P2637" s="19" t="n"/>
      <c r="Q2637" s="19" t="n"/>
      <c r="R2637" s="19" t="n"/>
      <c r="S2637" s="19" t="n"/>
      <c r="T2637" s="19" t="n"/>
      <c r="U2637" s="19" t="n"/>
      <c r="V2637" s="19" t="n"/>
      <c r="W2637" s="19" t="n"/>
      <c r="X2637" s="19" t="n"/>
      <c r="Y2637" s="19" t="n">
        <v>1</v>
      </c>
      <c r="Z2637" s="13">
        <f>SUMPRODUCT(N2637:Y2637,$N$2:$Y$2)*$K2637*$L2637*$M2637</f>
        <v/>
      </c>
      <c r="AA2637" s="14">
        <f>SUM(N2637:Y2637)</f>
        <v/>
      </c>
      <c r="AB2637" s="13">
        <f>SUMPRODUCT(N2637:Y2637,$N$3:$Y$3)*$K2637*$L2637*$M2637</f>
        <v/>
      </c>
      <c r="AC2637" s="13">
        <f>SUMPRODUCT(N2637:Y2637,$N$4:$Y$4)*$K2637*$L2637*$M2637</f>
        <v/>
      </c>
      <c r="AD2637" s="15" t="n">
        <v>3</v>
      </c>
      <c r="AE2637" s="11" t="n">
        <v>1.011296296296296</v>
      </c>
      <c r="AF2637" s="16">
        <f>SUMPRODUCT(N2637:Y2637,$N$5:$Y$5)*$K2637*$L2637*$M2637</f>
        <v/>
      </c>
      <c r="AG2637" s="16">
        <f>SUMPRODUCT(N2637:Y2637,$N$6:$Y$6)*$K2637*$L2637*$M2637</f>
        <v/>
      </c>
      <c r="AH2637" s="20" t="n"/>
    </row>
    <row r="2638">
      <c r="A2638" s="9" t="n">
        <v>815095</v>
      </c>
      <c r="B2638" s="9" t="inlineStr">
        <is>
          <t>David Rodriguez</t>
        </is>
      </c>
      <c r="C2638" s="9" t="inlineStr">
        <is>
          <t>ATL</t>
        </is>
      </c>
      <c r="D2638" s="9" t="n">
        <v>25</v>
      </c>
      <c r="E2638" s="18" t="inlineStr">
        <is>
          <t>R</t>
        </is>
      </c>
      <c r="F2638" s="18" t="n"/>
      <c r="G2638" s="9" t="n">
        <v>48.16</v>
      </c>
      <c r="H2638" s="9" t="n">
        <v>48.16</v>
      </c>
      <c r="I2638" s="9" t="inlineStr">
        <is>
          <t>Depth (no MLB IP)</t>
        </is>
      </c>
      <c r="J2638" s="18" t="inlineStr">
        <is>
          <t>Opening Day</t>
        </is>
      </c>
      <c r="K2638" s="11">
        <f>IFERROR(INDEX(Roles!$B$17:$B$20,MATCH(J2638,Roles!$A$17:$A$20,0)),1)</f>
        <v/>
      </c>
      <c r="L2638" s="19" t="n">
        <v>1</v>
      </c>
      <c r="M2638" s="11" t="n">
        <v>1</v>
      </c>
      <c r="N2638" s="19" t="n"/>
      <c r="O2638" s="19" t="n"/>
      <c r="P2638" s="19" t="n"/>
      <c r="Q2638" s="19" t="n"/>
      <c r="R2638" s="19" t="n"/>
      <c r="S2638" s="19" t="n"/>
      <c r="T2638" s="19" t="n"/>
      <c r="U2638" s="19" t="n"/>
      <c r="V2638" s="19" t="n"/>
      <c r="W2638" s="19" t="n"/>
      <c r="X2638" s="19" t="n"/>
      <c r="Y2638" s="19" t="n">
        <v>1</v>
      </c>
      <c r="Z2638" s="13">
        <f>SUMPRODUCT(N2638:Y2638,$N$2:$Y$2)*$K2638*$L2638*$M2638</f>
        <v/>
      </c>
      <c r="AA2638" s="14">
        <f>SUM(N2638:Y2638)</f>
        <v/>
      </c>
      <c r="AB2638" s="13">
        <f>SUMPRODUCT(N2638:Y2638,$N$3:$Y$3)*$K2638*$L2638*$M2638</f>
        <v/>
      </c>
      <c r="AC2638" s="13">
        <f>SUMPRODUCT(N2638:Y2638,$N$4:$Y$4)*$K2638*$L2638*$M2638</f>
        <v/>
      </c>
      <c r="AD2638" s="15" t="n">
        <v>3</v>
      </c>
      <c r="AE2638" s="11" t="n">
        <v>1.011296296296296</v>
      </c>
      <c r="AF2638" s="16">
        <f>SUMPRODUCT(N2638:Y2638,$N$5:$Y$5)*$K2638*$L2638*$M2638</f>
        <v/>
      </c>
      <c r="AG2638" s="16">
        <f>SUMPRODUCT(N2638:Y2638,$N$6:$Y$6)*$K2638*$L2638*$M2638</f>
        <v/>
      </c>
      <c r="AH2638" s="20" t="n"/>
    </row>
    <row r="2639">
      <c r="A2639" s="9" t="n">
        <v>833403</v>
      </c>
      <c r="B2639" s="9" t="inlineStr">
        <is>
          <t>Kamden Edge</t>
        </is>
      </c>
      <c r="C2639" s="9" t="inlineStr">
        <is>
          <t>KC</t>
        </is>
      </c>
      <c r="D2639" s="9" t="n">
        <v>25</v>
      </c>
      <c r="E2639" s="18" t="inlineStr">
        <is>
          <t>R</t>
        </is>
      </c>
      <c r="F2639" s="18" t="n"/>
      <c r="G2639" s="9" t="n">
        <v>48.16</v>
      </c>
      <c r="H2639" s="9" t="n">
        <v>48.16</v>
      </c>
      <c r="I2639" s="9" t="inlineStr">
        <is>
          <t>Depth (no MLB IP)</t>
        </is>
      </c>
      <c r="J2639" s="18" t="inlineStr">
        <is>
          <t>Opening Day</t>
        </is>
      </c>
      <c r="K2639" s="11">
        <f>IFERROR(INDEX(Roles!$B$17:$B$20,MATCH(J2639,Roles!$A$17:$A$20,0)),1)</f>
        <v/>
      </c>
      <c r="L2639" s="19" t="n">
        <v>1</v>
      </c>
      <c r="M2639" s="11" t="n">
        <v>1</v>
      </c>
      <c r="N2639" s="19" t="n"/>
      <c r="O2639" s="19" t="n"/>
      <c r="P2639" s="19" t="n"/>
      <c r="Q2639" s="19" t="n"/>
      <c r="R2639" s="19" t="n"/>
      <c r="S2639" s="19" t="n"/>
      <c r="T2639" s="19" t="n"/>
      <c r="U2639" s="19" t="n"/>
      <c r="V2639" s="19" t="n"/>
      <c r="W2639" s="19" t="n"/>
      <c r="X2639" s="19" t="n"/>
      <c r="Y2639" s="19" t="n">
        <v>1</v>
      </c>
      <c r="Z2639" s="13">
        <f>SUMPRODUCT(N2639:Y2639,$N$2:$Y$2)*$K2639*$L2639*$M2639</f>
        <v/>
      </c>
      <c r="AA2639" s="14">
        <f>SUM(N2639:Y2639)</f>
        <v/>
      </c>
      <c r="AB2639" s="13">
        <f>SUMPRODUCT(N2639:Y2639,$N$3:$Y$3)*$K2639*$L2639*$M2639</f>
        <v/>
      </c>
      <c r="AC2639" s="13">
        <f>SUMPRODUCT(N2639:Y2639,$N$4:$Y$4)*$K2639*$L2639*$M2639</f>
        <v/>
      </c>
      <c r="AD2639" s="15" t="n">
        <v>3</v>
      </c>
      <c r="AE2639" s="11" t="n">
        <v>1.011296296296296</v>
      </c>
      <c r="AF2639" s="16">
        <f>SUMPRODUCT(N2639:Y2639,$N$5:$Y$5)*$K2639*$L2639*$M2639</f>
        <v/>
      </c>
      <c r="AG2639" s="16">
        <f>SUMPRODUCT(N2639:Y2639,$N$6:$Y$6)*$K2639*$L2639*$M2639</f>
        <v/>
      </c>
      <c r="AH2639" s="20" t="n"/>
    </row>
    <row r="2640">
      <c r="A2640" s="9" t="n">
        <v>629498</v>
      </c>
      <c r="B2640" s="9" t="inlineStr">
        <is>
          <t>Johan Quezada</t>
        </is>
      </c>
      <c r="C2640" s="9" t="inlineStr">
        <is>
          <t>MIA</t>
        </is>
      </c>
      <c r="D2640" s="9" t="n">
        <v>32</v>
      </c>
      <c r="E2640" s="18" t="inlineStr">
        <is>
          <t>R</t>
        </is>
      </c>
      <c r="F2640" s="18" t="n"/>
      <c r="G2640" s="9" t="n">
        <v>8</v>
      </c>
      <c r="H2640" s="9" t="n">
        <v>8</v>
      </c>
      <c r="I2640" s="9" t="inlineStr">
        <is>
          <t>Depth (no MLB IP)</t>
        </is>
      </c>
      <c r="J2640" s="18" t="inlineStr">
        <is>
          <t>Opening Day</t>
        </is>
      </c>
      <c r="K2640" s="11">
        <f>IFERROR(INDEX(Roles!$B$17:$B$20,MATCH(J2640,Roles!$A$17:$A$20,0)),1)</f>
        <v/>
      </c>
      <c r="L2640" s="19" t="n">
        <v>1</v>
      </c>
      <c r="M2640" s="11" t="n">
        <v>1</v>
      </c>
      <c r="N2640" s="19" t="n"/>
      <c r="O2640" s="19" t="n"/>
      <c r="P2640" s="19" t="n"/>
      <c r="Q2640" s="19" t="n"/>
      <c r="R2640" s="19" t="n"/>
      <c r="S2640" s="19" t="n"/>
      <c r="T2640" s="19" t="n"/>
      <c r="U2640" s="19" t="n"/>
      <c r="V2640" s="19" t="n"/>
      <c r="W2640" s="19" t="n"/>
      <c r="X2640" s="19" t="n"/>
      <c r="Y2640" s="19" t="n">
        <v>1</v>
      </c>
      <c r="Z2640" s="13">
        <f>SUMPRODUCT(N2640:Y2640,$N$2:$Y$2)*$K2640*$L2640*$M2640</f>
        <v/>
      </c>
      <c r="AA2640" s="14">
        <f>SUM(N2640:Y2640)</f>
        <v/>
      </c>
      <c r="AB2640" s="13">
        <f>SUMPRODUCT(N2640:Y2640,$N$3:$Y$3)*$K2640*$L2640*$M2640</f>
        <v/>
      </c>
      <c r="AC2640" s="13">
        <f>SUMPRODUCT(N2640:Y2640,$N$4:$Y$4)*$K2640*$L2640*$M2640</f>
        <v/>
      </c>
      <c r="AD2640" s="15" t="n">
        <v>3</v>
      </c>
      <c r="AE2640" s="11" t="n">
        <v>1.011296296296296</v>
      </c>
      <c r="AF2640" s="16">
        <f>SUMPRODUCT(N2640:Y2640,$N$5:$Y$5)*$K2640*$L2640*$M2640</f>
        <v/>
      </c>
      <c r="AG2640" s="16">
        <f>SUMPRODUCT(N2640:Y2640,$N$6:$Y$6)*$K2640*$L2640*$M2640</f>
        <v/>
      </c>
      <c r="AH2640" s="20" t="n"/>
    </row>
    <row r="2641">
      <c r="A2641" s="9" t="n">
        <v>815212</v>
      </c>
      <c r="B2641" s="9" t="inlineStr">
        <is>
          <t>Keyner Martinez</t>
        </is>
      </c>
      <c r="C2641" s="9" t="inlineStr">
        <is>
          <t>SF</t>
        </is>
      </c>
      <c r="D2641" s="9" t="n">
        <v>25</v>
      </c>
      <c r="E2641" s="18" t="inlineStr">
        <is>
          <t>R</t>
        </is>
      </c>
      <c r="F2641" s="18" t="n"/>
      <c r="G2641" s="9" t="n">
        <v>48.332</v>
      </c>
      <c r="H2641" s="9" t="n">
        <v>48.332</v>
      </c>
      <c r="I2641" s="9" t="inlineStr">
        <is>
          <t>Depth (no MLB IP)</t>
        </is>
      </c>
      <c r="J2641" s="18" t="inlineStr">
        <is>
          <t>Opening Day</t>
        </is>
      </c>
      <c r="K2641" s="11">
        <f>IFERROR(INDEX(Roles!$B$17:$B$20,MATCH(J2641,Roles!$A$17:$A$20,0)),1)</f>
        <v/>
      </c>
      <c r="L2641" s="19" t="n">
        <v>1</v>
      </c>
      <c r="M2641" s="11" t="n">
        <v>1</v>
      </c>
      <c r="N2641" s="19" t="n"/>
      <c r="O2641" s="19" t="n"/>
      <c r="P2641" s="19" t="n"/>
      <c r="Q2641" s="19" t="n"/>
      <c r="R2641" s="19" t="n"/>
      <c r="S2641" s="19" t="n"/>
      <c r="T2641" s="19" t="n"/>
      <c r="U2641" s="19" t="n"/>
      <c r="V2641" s="19" t="n"/>
      <c r="W2641" s="19" t="n"/>
      <c r="X2641" s="19" t="n"/>
      <c r="Y2641" s="19" t="n">
        <v>1</v>
      </c>
      <c r="Z2641" s="13">
        <f>SUMPRODUCT(N2641:Y2641,$N$2:$Y$2)*$K2641*$L2641*$M2641</f>
        <v/>
      </c>
      <c r="AA2641" s="14">
        <f>SUM(N2641:Y2641)</f>
        <v/>
      </c>
      <c r="AB2641" s="13">
        <f>SUMPRODUCT(N2641:Y2641,$N$3:$Y$3)*$K2641*$L2641*$M2641</f>
        <v/>
      </c>
      <c r="AC2641" s="13">
        <f>SUMPRODUCT(N2641:Y2641,$N$4:$Y$4)*$K2641*$L2641*$M2641</f>
        <v/>
      </c>
      <c r="AD2641" s="15" t="n">
        <v>3</v>
      </c>
      <c r="AE2641" s="11" t="n">
        <v>1.011296296296296</v>
      </c>
      <c r="AF2641" s="16">
        <f>SUMPRODUCT(N2641:Y2641,$N$5:$Y$5)*$K2641*$L2641*$M2641</f>
        <v/>
      </c>
      <c r="AG2641" s="16">
        <f>SUMPRODUCT(N2641:Y2641,$N$6:$Y$6)*$K2641*$L2641*$M2641</f>
        <v/>
      </c>
      <c r="AH2641" s="20" t="n"/>
    </row>
    <row r="2642">
      <c r="A2642" s="9" t="n">
        <v>804668</v>
      </c>
      <c r="B2642" s="9" t="inlineStr">
        <is>
          <t>Rafael Flores Jr.</t>
        </is>
      </c>
      <c r="C2642" s="9" t="inlineStr">
        <is>
          <t>PIT</t>
        </is>
      </c>
      <c r="D2642" s="9" t="n">
        <v>26</v>
      </c>
      <c r="E2642" s="18" t="inlineStr">
        <is>
          <t>R</t>
        </is>
      </c>
      <c r="F2642" s="18" t="n"/>
      <c r="G2642" s="9" t="n">
        <v>5</v>
      </c>
      <c r="H2642" s="9" t="n">
        <v>5</v>
      </c>
      <c r="I2642" s="9" t="inlineStr">
        <is>
          <t>Depth (no MLB IP)</t>
        </is>
      </c>
      <c r="J2642" s="18" t="inlineStr">
        <is>
          <t>Opening Day</t>
        </is>
      </c>
      <c r="K2642" s="11">
        <f>IFERROR(INDEX(Roles!$B$17:$B$20,MATCH(J2642,Roles!$A$17:$A$20,0)),1)</f>
        <v/>
      </c>
      <c r="L2642" s="19" t="n">
        <v>1</v>
      </c>
      <c r="M2642" s="11" t="n">
        <v>1</v>
      </c>
      <c r="N2642" s="19" t="n"/>
      <c r="O2642" s="19" t="n"/>
      <c r="P2642" s="19" t="n"/>
      <c r="Q2642" s="19" t="n"/>
      <c r="R2642" s="19" t="n"/>
      <c r="S2642" s="19" t="n"/>
      <c r="T2642" s="19" t="n"/>
      <c r="U2642" s="19" t="n"/>
      <c r="V2642" s="19" t="n"/>
      <c r="W2642" s="19" t="n"/>
      <c r="X2642" s="19" t="n"/>
      <c r="Y2642" s="19" t="n">
        <v>1</v>
      </c>
      <c r="Z2642" s="13">
        <f>SUMPRODUCT(N2642:Y2642,$N$2:$Y$2)*$K2642*$L2642*$M2642</f>
        <v/>
      </c>
      <c r="AA2642" s="14">
        <f>SUM(N2642:Y2642)</f>
        <v/>
      </c>
      <c r="AB2642" s="13">
        <f>SUMPRODUCT(N2642:Y2642,$N$3:$Y$3)*$K2642*$L2642*$M2642</f>
        <v/>
      </c>
      <c r="AC2642" s="13">
        <f>SUMPRODUCT(N2642:Y2642,$N$4:$Y$4)*$K2642*$L2642*$M2642</f>
        <v/>
      </c>
      <c r="AD2642" s="15" t="n">
        <v>1.8</v>
      </c>
      <c r="AE2642" s="11" t="n">
        <v>1.007530864197531</v>
      </c>
      <c r="AF2642" s="16">
        <f>SUMPRODUCT(N2642:Y2642,$N$5:$Y$5)*$K2642*$L2642*$M2642</f>
        <v/>
      </c>
      <c r="AG2642" s="16">
        <f>SUMPRODUCT(N2642:Y2642,$N$6:$Y$6)*$K2642*$L2642*$M2642</f>
        <v/>
      </c>
      <c r="AH2642" s="20" t="n"/>
    </row>
    <row r="2643">
      <c r="A2643" s="9" t="n">
        <v>823242</v>
      </c>
      <c r="B2643" s="9" t="inlineStr">
        <is>
          <t>Tanner Gresham</t>
        </is>
      </c>
      <c r="C2643" s="9" t="inlineStr">
        <is>
          <t>PHI</t>
        </is>
      </c>
      <c r="D2643" s="9" t="n">
        <v>25</v>
      </c>
      <c r="E2643" s="18" t="inlineStr">
        <is>
          <t>R</t>
        </is>
      </c>
      <c r="F2643" s="18" t="n"/>
      <c r="G2643" s="9" t="n">
        <v>48.44666666666667</v>
      </c>
      <c r="H2643" s="9" t="n">
        <v>48.44666666666667</v>
      </c>
      <c r="I2643" s="9" t="inlineStr">
        <is>
          <t>Depth (no MLB IP)</t>
        </is>
      </c>
      <c r="J2643" s="18" t="inlineStr">
        <is>
          <t>Opening Day</t>
        </is>
      </c>
      <c r="K2643" s="11">
        <f>IFERROR(INDEX(Roles!$B$17:$B$20,MATCH(J2643,Roles!$A$17:$A$20,0)),1)</f>
        <v/>
      </c>
      <c r="L2643" s="19" t="n">
        <v>1</v>
      </c>
      <c r="M2643" s="11" t="n">
        <v>1</v>
      </c>
      <c r="N2643" s="19" t="n"/>
      <c r="O2643" s="19" t="n"/>
      <c r="P2643" s="19" t="n"/>
      <c r="Q2643" s="19" t="n"/>
      <c r="R2643" s="19" t="n"/>
      <c r="S2643" s="19" t="n"/>
      <c r="T2643" s="19" t="n"/>
      <c r="U2643" s="19" t="n"/>
      <c r="V2643" s="19" t="n"/>
      <c r="W2643" s="19" t="n"/>
      <c r="X2643" s="19" t="n"/>
      <c r="Y2643" s="19" t="n">
        <v>1</v>
      </c>
      <c r="Z2643" s="13">
        <f>SUMPRODUCT(N2643:Y2643,$N$2:$Y$2)*$K2643*$L2643*$M2643</f>
        <v/>
      </c>
      <c r="AA2643" s="14">
        <f>SUM(N2643:Y2643)</f>
        <v/>
      </c>
      <c r="AB2643" s="13">
        <f>SUMPRODUCT(N2643:Y2643,$N$3:$Y$3)*$K2643*$L2643*$M2643</f>
        <v/>
      </c>
      <c r="AC2643" s="13">
        <f>SUMPRODUCT(N2643:Y2643,$N$4:$Y$4)*$K2643*$L2643*$M2643</f>
        <v/>
      </c>
      <c r="AD2643" s="15" t="n">
        <v>3</v>
      </c>
      <c r="AE2643" s="11" t="n">
        <v>1.011296296296296</v>
      </c>
      <c r="AF2643" s="16">
        <f>SUMPRODUCT(N2643:Y2643,$N$5:$Y$5)*$K2643*$L2643*$M2643</f>
        <v/>
      </c>
      <c r="AG2643" s="16">
        <f>SUMPRODUCT(N2643:Y2643,$N$6:$Y$6)*$K2643*$L2643*$M2643</f>
        <v/>
      </c>
      <c r="AH2643" s="20" t="n"/>
    </row>
    <row r="2644">
      <c r="A2644" s="9" t="n">
        <v>677588</v>
      </c>
      <c r="B2644" s="9" t="inlineStr">
        <is>
          <t>José Tena</t>
        </is>
      </c>
      <c r="C2644" s="9" t="inlineStr">
        <is>
          <t>WSH</t>
        </is>
      </c>
      <c r="D2644" s="9" t="n">
        <v>26</v>
      </c>
      <c r="E2644" s="18" t="inlineStr">
        <is>
          <t>R</t>
        </is>
      </c>
      <c r="F2644" s="18" t="n"/>
      <c r="G2644" s="9" t="n">
        <v>5</v>
      </c>
      <c r="H2644" s="9" t="n">
        <v>5</v>
      </c>
      <c r="I2644" s="9" t="inlineStr">
        <is>
          <t>Depth (no MLB IP)</t>
        </is>
      </c>
      <c r="J2644" s="18" t="inlineStr">
        <is>
          <t>Opening Day</t>
        </is>
      </c>
      <c r="K2644" s="11">
        <f>IFERROR(INDEX(Roles!$B$17:$B$20,MATCH(J2644,Roles!$A$17:$A$20,0)),1)</f>
        <v/>
      </c>
      <c r="L2644" s="19" t="n">
        <v>1</v>
      </c>
      <c r="M2644" s="11" t="n">
        <v>1</v>
      </c>
      <c r="N2644" s="19" t="n"/>
      <c r="O2644" s="19" t="n"/>
      <c r="P2644" s="19" t="n"/>
      <c r="Q2644" s="19" t="n"/>
      <c r="R2644" s="19" t="n"/>
      <c r="S2644" s="19" t="n"/>
      <c r="T2644" s="19" t="n"/>
      <c r="U2644" s="19" t="n"/>
      <c r="V2644" s="19" t="n"/>
      <c r="W2644" s="19" t="n"/>
      <c r="X2644" s="19" t="n"/>
      <c r="Y2644" s="19" t="n">
        <v>1</v>
      </c>
      <c r="Z2644" s="13">
        <f>SUMPRODUCT(N2644:Y2644,$N$2:$Y$2)*$K2644*$L2644*$M2644</f>
        <v/>
      </c>
      <c r="AA2644" s="14">
        <f>SUM(N2644:Y2644)</f>
        <v/>
      </c>
      <c r="AB2644" s="13">
        <f>SUMPRODUCT(N2644:Y2644,$N$3:$Y$3)*$K2644*$L2644*$M2644</f>
        <v/>
      </c>
      <c r="AC2644" s="13">
        <f>SUMPRODUCT(N2644:Y2644,$N$4:$Y$4)*$K2644*$L2644*$M2644</f>
        <v/>
      </c>
      <c r="AD2644" s="15" t="n">
        <v>1.8</v>
      </c>
      <c r="AE2644" s="11" t="n">
        <v>1.007530864197531</v>
      </c>
      <c r="AF2644" s="16">
        <f>SUMPRODUCT(N2644:Y2644,$N$5:$Y$5)*$K2644*$L2644*$M2644</f>
        <v/>
      </c>
      <c r="AG2644" s="16">
        <f>SUMPRODUCT(N2644:Y2644,$N$6:$Y$6)*$K2644*$L2644*$M2644</f>
        <v/>
      </c>
      <c r="AH2644" s="20" t="n"/>
    </row>
    <row r="2645">
      <c r="A2645" s="9" t="n">
        <v>680474</v>
      </c>
      <c r="B2645" s="9" t="inlineStr">
        <is>
          <t>Max Schuemann</t>
        </is>
      </c>
      <c r="C2645" s="9" t="inlineStr">
        <is>
          <t>NYY</t>
        </is>
      </c>
      <c r="D2645" s="9" t="n">
        <v>30</v>
      </c>
      <c r="E2645" s="18" t="inlineStr">
        <is>
          <t>R</t>
        </is>
      </c>
      <c r="F2645" s="18" t="n"/>
      <c r="G2645" s="9" t="n">
        <v>5</v>
      </c>
      <c r="H2645" s="9" t="n">
        <v>5</v>
      </c>
      <c r="I2645" s="9" t="inlineStr">
        <is>
          <t>Depth (no MLB IP)</t>
        </is>
      </c>
      <c r="J2645" s="18" t="inlineStr">
        <is>
          <t>Opening Day</t>
        </is>
      </c>
      <c r="K2645" s="11">
        <f>IFERROR(INDEX(Roles!$B$17:$B$20,MATCH(J2645,Roles!$A$17:$A$20,0)),1)</f>
        <v/>
      </c>
      <c r="L2645" s="19" t="n">
        <v>1</v>
      </c>
      <c r="M2645" s="11" t="n">
        <v>1</v>
      </c>
      <c r="N2645" s="19" t="n"/>
      <c r="O2645" s="19" t="n"/>
      <c r="P2645" s="19" t="n"/>
      <c r="Q2645" s="19" t="n"/>
      <c r="R2645" s="19" t="n"/>
      <c r="S2645" s="19" t="n"/>
      <c r="T2645" s="19" t="n"/>
      <c r="U2645" s="19" t="n"/>
      <c r="V2645" s="19" t="n"/>
      <c r="W2645" s="19" t="n"/>
      <c r="X2645" s="19" t="n"/>
      <c r="Y2645" s="19" t="n">
        <v>1</v>
      </c>
      <c r="Z2645" s="13">
        <f>SUMPRODUCT(N2645:Y2645,$N$2:$Y$2)*$K2645*$L2645*$M2645</f>
        <v/>
      </c>
      <c r="AA2645" s="14">
        <f>SUM(N2645:Y2645)</f>
        <v/>
      </c>
      <c r="AB2645" s="13">
        <f>SUMPRODUCT(N2645:Y2645,$N$3:$Y$3)*$K2645*$L2645*$M2645</f>
        <v/>
      </c>
      <c r="AC2645" s="13">
        <f>SUMPRODUCT(N2645:Y2645,$N$4:$Y$4)*$K2645*$L2645*$M2645</f>
        <v/>
      </c>
      <c r="AD2645" s="15" t="n">
        <v>1.8</v>
      </c>
      <c r="AE2645" s="11" t="n">
        <v>1.007530864197531</v>
      </c>
      <c r="AF2645" s="16">
        <f>SUMPRODUCT(N2645:Y2645,$N$5:$Y$5)*$K2645*$L2645*$M2645</f>
        <v/>
      </c>
      <c r="AG2645" s="16">
        <f>SUMPRODUCT(N2645:Y2645,$N$6:$Y$6)*$K2645*$L2645*$M2645</f>
        <v/>
      </c>
      <c r="AH2645" s="20" t="n"/>
    </row>
    <row r="2646">
      <c r="A2646" s="9" t="n">
        <v>699823</v>
      </c>
      <c r="B2646" s="9" t="inlineStr">
        <is>
          <t>Tyler Davis</t>
        </is>
      </c>
      <c r="C2646" s="9" t="inlineStr">
        <is>
          <t>CWS</t>
        </is>
      </c>
      <c r="D2646" s="9" t="n">
        <v>28</v>
      </c>
      <c r="E2646" s="18" t="inlineStr">
        <is>
          <t>R</t>
        </is>
      </c>
      <c r="F2646" s="18" t="n"/>
      <c r="G2646" s="9" t="n">
        <v>128</v>
      </c>
      <c r="H2646" s="9" t="n">
        <v>128</v>
      </c>
      <c r="I2646" s="9" t="inlineStr">
        <is>
          <t>Bullpen Depth Arm</t>
        </is>
      </c>
      <c r="J2646" s="18" t="inlineStr">
        <is>
          <t>Opening Day</t>
        </is>
      </c>
      <c r="K2646" s="11">
        <f>IFERROR(INDEX(Roles!$B$17:$B$20,MATCH(J2646,Roles!$A$17:$A$20,0)),1)</f>
        <v/>
      </c>
      <c r="L2646" s="19" t="n">
        <v>1</v>
      </c>
      <c r="M2646" s="11" t="n">
        <v>1</v>
      </c>
      <c r="N2646" s="19" t="n"/>
      <c r="O2646" s="19" t="n"/>
      <c r="P2646" s="19" t="n"/>
      <c r="Q2646" s="19" t="n"/>
      <c r="R2646" s="19" t="n"/>
      <c r="S2646" s="19" t="n"/>
      <c r="T2646" s="19" t="n"/>
      <c r="U2646" s="19" t="n"/>
      <c r="V2646" s="19" t="n">
        <v>0.15</v>
      </c>
      <c r="W2646" s="19" t="n">
        <v>0.85</v>
      </c>
      <c r="X2646" s="19" t="n"/>
      <c r="Y2646" s="19" t="n"/>
      <c r="Z2646" s="13">
        <f>SUMPRODUCT(N2646:Y2646,$N$2:$Y$2)*$K2646*$L2646*$M2646</f>
        <v/>
      </c>
      <c r="AA2646" s="14">
        <f>SUM(N2646:Y2646)</f>
        <v/>
      </c>
      <c r="AB2646" s="13">
        <f>SUMPRODUCT(N2646:Y2646,$N$3:$Y$3)*$K2646*$L2646*$M2646</f>
        <v/>
      </c>
      <c r="AC2646" s="13">
        <f>SUMPRODUCT(N2646:Y2646,$N$4:$Y$4)*$K2646*$L2646*$M2646</f>
        <v/>
      </c>
      <c r="AD2646" s="15" t="n">
        <v>24.26666666666667</v>
      </c>
      <c r="AE2646" s="11" t="n">
        <v>1.145593156345844</v>
      </c>
      <c r="AF2646" s="16">
        <f>SUMPRODUCT(N2646:Y2646,$N$5:$Y$5)*$K2646*$L2646*$M2646</f>
        <v/>
      </c>
      <c r="AG2646" s="16">
        <f>SUMPRODUCT(N2646:Y2646,$N$6:$Y$6)*$K2646*$L2646*$M2646</f>
        <v/>
      </c>
      <c r="AH2646" s="20" t="n"/>
    </row>
    <row r="2647">
      <c r="A2647" s="9" t="n">
        <v>815119</v>
      </c>
      <c r="B2647" s="9" t="inlineStr">
        <is>
          <t>Tanner Franklin</t>
        </is>
      </c>
      <c r="C2647" s="9" t="inlineStr">
        <is>
          <t>STL</t>
        </is>
      </c>
      <c r="D2647" s="9" t="n">
        <v>23</v>
      </c>
      <c r="E2647" s="18" t="inlineStr">
        <is>
          <t>R</t>
        </is>
      </c>
      <c r="F2647" s="18" t="n"/>
      <c r="G2647" s="9" t="n">
        <v>48.66166666666666</v>
      </c>
      <c r="H2647" s="9" t="n">
        <v>48.66166666666666</v>
      </c>
      <c r="I2647" s="9" t="inlineStr">
        <is>
          <t>Innings-Limited Starter</t>
        </is>
      </c>
      <c r="J2647" s="18" t="inlineStr">
        <is>
          <t>Mid Season (~July)</t>
        </is>
      </c>
      <c r="K2647" s="11">
        <f>IFERROR(INDEX(Roles!$B$17:$B$20,MATCH(J2647,Roles!$A$17:$A$20,0)),1)</f>
        <v/>
      </c>
      <c r="L2647" s="19" t="n">
        <v>1</v>
      </c>
      <c r="M2647" s="11" t="n">
        <v>1</v>
      </c>
      <c r="N2647" s="19" t="n"/>
      <c r="O2647" s="19" t="n"/>
      <c r="P2647" s="19" t="n"/>
      <c r="Q2647" s="19" t="n">
        <v>0.46</v>
      </c>
      <c r="R2647" s="19" t="n">
        <v>0.3</v>
      </c>
      <c r="S2647" s="19" t="n"/>
      <c r="T2647" s="19" t="n"/>
      <c r="U2647" s="19" t="n"/>
      <c r="V2647" s="19" t="n"/>
      <c r="W2647" s="19" t="n">
        <v>0.24</v>
      </c>
      <c r="X2647" s="19" t="n"/>
      <c r="Y2647" s="19" t="n"/>
      <c r="Z2647" s="13">
        <f>SUMPRODUCT(N2647:Y2647,$N$2:$Y$2)*$K2647*$L2647*$M2647</f>
        <v/>
      </c>
      <c r="AA2647" s="14">
        <f>SUM(N2647:Y2647)</f>
        <v/>
      </c>
      <c r="AB2647" s="13">
        <f>SUMPRODUCT(N2647:Y2647,$N$3:$Y$3)*$K2647*$L2647*$M2647</f>
        <v/>
      </c>
      <c r="AC2647" s="13">
        <f>SUMPRODUCT(N2647:Y2647,$N$4:$Y$4)*$K2647*$L2647*$M2647</f>
        <v/>
      </c>
      <c r="AD2647" s="15" t="n">
        <v>27.52</v>
      </c>
      <c r="AE2647" s="11" t="n">
        <v>3.223110465116278</v>
      </c>
      <c r="AF2647" s="16">
        <f>SUMPRODUCT(N2647:Y2647,$N$5:$Y$5)*$K2647*$L2647*$M2647</f>
        <v/>
      </c>
      <c r="AG2647" s="16">
        <f>SUMPRODUCT(N2647:Y2647,$N$6:$Y$6)*$K2647*$L2647*$M2647</f>
        <v/>
      </c>
      <c r="AH2647" s="20" t="n"/>
    </row>
    <row r="2648">
      <c r="A2648" s="9" t="n">
        <v>824623</v>
      </c>
      <c r="B2648" s="9" t="inlineStr">
        <is>
          <t>Tyler Davis</t>
        </is>
      </c>
      <c r="C2648" s="9" t="inlineStr">
        <is>
          <t>BOS</t>
        </is>
      </c>
      <c r="D2648" s="9" t="n">
        <v>25</v>
      </c>
      <c r="E2648" s="18" t="inlineStr">
        <is>
          <t>L</t>
        </is>
      </c>
      <c r="F2648" s="18" t="n"/>
      <c r="G2648" s="9" t="n">
        <v>48.66166666666666</v>
      </c>
      <c r="H2648" s="9" t="n">
        <v>48.66166666666666</v>
      </c>
      <c r="I2648" s="9" t="inlineStr">
        <is>
          <t>Depth (no MLB IP)</t>
        </is>
      </c>
      <c r="J2648" s="18" t="inlineStr">
        <is>
          <t>Opening Day</t>
        </is>
      </c>
      <c r="K2648" s="11">
        <f>IFERROR(INDEX(Roles!$B$17:$B$20,MATCH(J2648,Roles!$A$17:$A$20,0)),1)</f>
        <v/>
      </c>
      <c r="L2648" s="19" t="n">
        <v>1</v>
      </c>
      <c r="M2648" s="11" t="n">
        <v>1</v>
      </c>
      <c r="N2648" s="19" t="n"/>
      <c r="O2648" s="19" t="n"/>
      <c r="P2648" s="19" t="n"/>
      <c r="Q2648" s="19" t="n"/>
      <c r="R2648" s="19" t="n"/>
      <c r="S2648" s="19" t="n"/>
      <c r="T2648" s="19" t="n"/>
      <c r="U2648" s="19" t="n"/>
      <c r="V2648" s="19" t="n"/>
      <c r="W2648" s="19" t="n"/>
      <c r="X2648" s="19" t="n"/>
      <c r="Y2648" s="19" t="n">
        <v>1</v>
      </c>
      <c r="Z2648" s="13">
        <f>SUMPRODUCT(N2648:Y2648,$N$2:$Y$2)*$K2648*$L2648*$M2648</f>
        <v/>
      </c>
      <c r="AA2648" s="14">
        <f>SUM(N2648:Y2648)</f>
        <v/>
      </c>
      <c r="AB2648" s="13">
        <f>SUMPRODUCT(N2648:Y2648,$N$3:$Y$3)*$K2648*$L2648*$M2648</f>
        <v/>
      </c>
      <c r="AC2648" s="13">
        <f>SUMPRODUCT(N2648:Y2648,$N$4:$Y$4)*$K2648*$L2648*$M2648</f>
        <v/>
      </c>
      <c r="AD2648" s="15" t="n">
        <v>3</v>
      </c>
      <c r="AE2648" s="11" t="n">
        <v>1.011296296296296</v>
      </c>
      <c r="AF2648" s="16">
        <f>SUMPRODUCT(N2648:Y2648,$N$5:$Y$5)*$K2648*$L2648*$M2648</f>
        <v/>
      </c>
      <c r="AG2648" s="16">
        <f>SUMPRODUCT(N2648:Y2648,$N$6:$Y$6)*$K2648*$L2648*$M2648</f>
        <v/>
      </c>
      <c r="AH2648" s="20" t="n"/>
    </row>
    <row r="2649">
      <c r="A2649" s="9" t="n">
        <v>804981</v>
      </c>
      <c r="B2649" s="9" t="inlineStr">
        <is>
          <t>Riley Quick</t>
        </is>
      </c>
      <c r="C2649" s="9" t="inlineStr">
        <is>
          <t>MIN</t>
        </is>
      </c>
      <c r="D2649" s="9" t="n">
        <v>23</v>
      </c>
      <c r="E2649" s="18" t="inlineStr">
        <is>
          <t>R</t>
        </is>
      </c>
      <c r="F2649" s="18" t="n"/>
      <c r="G2649" s="9" t="n">
        <v>48.66166666666666</v>
      </c>
      <c r="H2649" s="9" t="n">
        <v>48.66166666666666</v>
      </c>
      <c r="I2649" s="9" t="inlineStr">
        <is>
          <t>Depth (no MLB IP)</t>
        </is>
      </c>
      <c r="J2649" s="18" t="inlineStr">
        <is>
          <t>Opening Day</t>
        </is>
      </c>
      <c r="K2649" s="11">
        <f>IFERROR(INDEX(Roles!$B$17:$B$20,MATCH(J2649,Roles!$A$17:$A$20,0)),1)</f>
        <v/>
      </c>
      <c r="L2649" s="19" t="n">
        <v>1</v>
      </c>
      <c r="M2649" s="11" t="n">
        <v>1</v>
      </c>
      <c r="N2649" s="19" t="n"/>
      <c r="O2649" s="19" t="n"/>
      <c r="P2649" s="19" t="n"/>
      <c r="Q2649" s="19" t="n"/>
      <c r="R2649" s="19" t="n"/>
      <c r="S2649" s="19" t="n"/>
      <c r="T2649" s="19" t="n"/>
      <c r="U2649" s="19" t="n"/>
      <c r="V2649" s="19" t="n"/>
      <c r="W2649" s="19" t="n"/>
      <c r="X2649" s="19" t="n"/>
      <c r="Y2649" s="19" t="n">
        <v>1</v>
      </c>
      <c r="Z2649" s="13">
        <f>SUMPRODUCT(N2649:Y2649,$N$2:$Y$2)*$K2649*$L2649*$M2649</f>
        <v/>
      </c>
      <c r="AA2649" s="14">
        <f>SUM(N2649:Y2649)</f>
        <v/>
      </c>
      <c r="AB2649" s="13">
        <f>SUMPRODUCT(N2649:Y2649,$N$3:$Y$3)*$K2649*$L2649*$M2649</f>
        <v/>
      </c>
      <c r="AC2649" s="13">
        <f>SUMPRODUCT(N2649:Y2649,$N$4:$Y$4)*$K2649*$L2649*$M2649</f>
        <v/>
      </c>
      <c r="AD2649" s="15" t="n">
        <v>3</v>
      </c>
      <c r="AE2649" s="11" t="n">
        <v>1.011296296296296</v>
      </c>
      <c r="AF2649" s="16">
        <f>SUMPRODUCT(N2649:Y2649,$N$5:$Y$5)*$K2649*$L2649*$M2649</f>
        <v/>
      </c>
      <c r="AG2649" s="16">
        <f>SUMPRODUCT(N2649:Y2649,$N$6:$Y$6)*$K2649*$L2649*$M2649</f>
        <v/>
      </c>
      <c r="AH2649" s="20" t="n"/>
    </row>
    <row r="2650">
      <c r="A2650" s="9" t="n">
        <v>701856</v>
      </c>
      <c r="B2650" s="9" t="inlineStr">
        <is>
          <t>Patrick Halligan</t>
        </is>
      </c>
      <c r="C2650" s="9" t="inlineStr">
        <is>
          <t>BOS</t>
        </is>
      </c>
      <c r="D2650" s="9" t="n">
        <v>25</v>
      </c>
      <c r="E2650" s="18" t="inlineStr">
        <is>
          <t>R</t>
        </is>
      </c>
      <c r="F2650" s="18" t="n"/>
      <c r="G2650" s="9" t="n">
        <v>48.87666666666667</v>
      </c>
      <c r="H2650" s="9" t="n">
        <v>48.87666666666667</v>
      </c>
      <c r="I2650" s="9" t="inlineStr">
        <is>
          <t>Depth (no MLB IP)</t>
        </is>
      </c>
      <c r="J2650" s="18" t="inlineStr">
        <is>
          <t>Opening Day</t>
        </is>
      </c>
      <c r="K2650" s="11">
        <f>IFERROR(INDEX(Roles!$B$17:$B$20,MATCH(J2650,Roles!$A$17:$A$20,0)),1)</f>
        <v/>
      </c>
      <c r="L2650" s="19" t="n">
        <v>1</v>
      </c>
      <c r="M2650" s="11" t="n">
        <v>1</v>
      </c>
      <c r="N2650" s="19" t="n"/>
      <c r="O2650" s="19" t="n"/>
      <c r="P2650" s="19" t="n"/>
      <c r="Q2650" s="19" t="n"/>
      <c r="R2650" s="19" t="n"/>
      <c r="S2650" s="19" t="n"/>
      <c r="T2650" s="19" t="n"/>
      <c r="U2650" s="19" t="n"/>
      <c r="V2650" s="19" t="n"/>
      <c r="W2650" s="19" t="n"/>
      <c r="X2650" s="19" t="n"/>
      <c r="Y2650" s="19" t="n">
        <v>1</v>
      </c>
      <c r="Z2650" s="13">
        <f>SUMPRODUCT(N2650:Y2650,$N$2:$Y$2)*$K2650*$L2650*$M2650</f>
        <v/>
      </c>
      <c r="AA2650" s="14">
        <f>SUM(N2650:Y2650)</f>
        <v/>
      </c>
      <c r="AB2650" s="13">
        <f>SUMPRODUCT(N2650:Y2650,$N$3:$Y$3)*$K2650*$L2650*$M2650</f>
        <v/>
      </c>
      <c r="AC2650" s="13">
        <f>SUMPRODUCT(N2650:Y2650,$N$4:$Y$4)*$K2650*$L2650*$M2650</f>
        <v/>
      </c>
      <c r="AD2650" s="15" t="n">
        <v>3</v>
      </c>
      <c r="AE2650" s="11" t="n">
        <v>1.011296296296296</v>
      </c>
      <c r="AF2650" s="16">
        <f>SUMPRODUCT(N2650:Y2650,$N$5:$Y$5)*$K2650*$L2650*$M2650</f>
        <v/>
      </c>
      <c r="AG2650" s="16">
        <f>SUMPRODUCT(N2650:Y2650,$N$6:$Y$6)*$K2650*$L2650*$M2650</f>
        <v/>
      </c>
      <c r="AH2650" s="20" t="n"/>
    </row>
    <row r="2651">
      <c r="A2651" s="9" t="n">
        <v>663901</v>
      </c>
      <c r="B2651" s="9" t="inlineStr">
        <is>
          <t>Michael Flynn</t>
        </is>
      </c>
      <c r="C2651" s="9" t="inlineStr">
        <is>
          <t>SD</t>
        </is>
      </c>
      <c r="D2651" s="9" t="n">
        <v>25</v>
      </c>
      <c r="E2651" s="18" t="inlineStr">
        <is>
          <t>R</t>
        </is>
      </c>
      <c r="F2651" s="18" t="n"/>
      <c r="G2651" s="9" t="n">
        <v>48.87666666666667</v>
      </c>
      <c r="H2651" s="9" t="n">
        <v>48.87666666666667</v>
      </c>
      <c r="I2651" s="9" t="inlineStr">
        <is>
          <t>Depth (no MLB IP)</t>
        </is>
      </c>
      <c r="J2651" s="18" t="inlineStr">
        <is>
          <t>Opening Day</t>
        </is>
      </c>
      <c r="K2651" s="11">
        <f>IFERROR(INDEX(Roles!$B$17:$B$20,MATCH(J2651,Roles!$A$17:$A$20,0)),1)</f>
        <v/>
      </c>
      <c r="L2651" s="19" t="n">
        <v>1</v>
      </c>
      <c r="M2651" s="11" t="n">
        <v>1</v>
      </c>
      <c r="N2651" s="19" t="n"/>
      <c r="O2651" s="19" t="n"/>
      <c r="P2651" s="19" t="n"/>
      <c r="Q2651" s="19" t="n"/>
      <c r="R2651" s="19" t="n"/>
      <c r="S2651" s="19" t="n"/>
      <c r="T2651" s="19" t="n"/>
      <c r="U2651" s="19" t="n"/>
      <c r="V2651" s="19" t="n"/>
      <c r="W2651" s="19" t="n"/>
      <c r="X2651" s="19" t="n"/>
      <c r="Y2651" s="19" t="n">
        <v>1</v>
      </c>
      <c r="Z2651" s="13">
        <f>SUMPRODUCT(N2651:Y2651,$N$2:$Y$2)*$K2651*$L2651*$M2651</f>
        <v/>
      </c>
      <c r="AA2651" s="14">
        <f>SUM(N2651:Y2651)</f>
        <v/>
      </c>
      <c r="AB2651" s="13">
        <f>SUMPRODUCT(N2651:Y2651,$N$3:$Y$3)*$K2651*$L2651*$M2651</f>
        <v/>
      </c>
      <c r="AC2651" s="13">
        <f>SUMPRODUCT(N2651:Y2651,$N$4:$Y$4)*$K2651*$L2651*$M2651</f>
        <v/>
      </c>
      <c r="AD2651" s="15" t="n">
        <v>3</v>
      </c>
      <c r="AE2651" s="11" t="n">
        <v>1.011296296296296</v>
      </c>
      <c r="AF2651" s="16">
        <f>SUMPRODUCT(N2651:Y2651,$N$5:$Y$5)*$K2651*$L2651*$M2651</f>
        <v/>
      </c>
      <c r="AG2651" s="16">
        <f>SUMPRODUCT(N2651:Y2651,$N$6:$Y$6)*$K2651*$L2651*$M2651</f>
        <v/>
      </c>
      <c r="AH2651" s="20" t="n"/>
    </row>
    <row r="2652">
      <c r="A2652" s="9" t="n">
        <v>808161</v>
      </c>
      <c r="B2652" s="9" t="inlineStr">
        <is>
          <t>Ubaldo Soto</t>
        </is>
      </c>
      <c r="C2652" s="9" t="inlineStr">
        <is>
          <t>LAA</t>
        </is>
      </c>
      <c r="D2652" s="9" t="n">
        <v>25</v>
      </c>
      <c r="E2652" s="18" t="inlineStr">
        <is>
          <t>R</t>
        </is>
      </c>
      <c r="F2652" s="18" t="n"/>
      <c r="G2652" s="9" t="n">
        <v>48.848</v>
      </c>
      <c r="H2652" s="9" t="n">
        <v>48.848</v>
      </c>
      <c r="I2652" s="9" t="inlineStr">
        <is>
          <t>Depth (no MLB IP)</t>
        </is>
      </c>
      <c r="J2652" s="18" t="inlineStr">
        <is>
          <t>Opening Day</t>
        </is>
      </c>
      <c r="K2652" s="11">
        <f>IFERROR(INDEX(Roles!$B$17:$B$20,MATCH(J2652,Roles!$A$17:$A$20,0)),1)</f>
        <v/>
      </c>
      <c r="L2652" s="19" t="n">
        <v>1</v>
      </c>
      <c r="M2652" s="11" t="n">
        <v>1</v>
      </c>
      <c r="N2652" s="19" t="n"/>
      <c r="O2652" s="19" t="n"/>
      <c r="P2652" s="19" t="n"/>
      <c r="Q2652" s="19" t="n"/>
      <c r="R2652" s="19" t="n"/>
      <c r="S2652" s="19" t="n"/>
      <c r="T2652" s="19" t="n"/>
      <c r="U2652" s="19" t="n"/>
      <c r="V2652" s="19" t="n"/>
      <c r="W2652" s="19" t="n"/>
      <c r="X2652" s="19" t="n"/>
      <c r="Y2652" s="19" t="n">
        <v>1</v>
      </c>
      <c r="Z2652" s="13">
        <f>SUMPRODUCT(N2652:Y2652,$N$2:$Y$2)*$K2652*$L2652*$M2652</f>
        <v/>
      </c>
      <c r="AA2652" s="14">
        <f>SUM(N2652:Y2652)</f>
        <v/>
      </c>
      <c r="AB2652" s="13">
        <f>SUMPRODUCT(N2652:Y2652,$N$3:$Y$3)*$K2652*$L2652*$M2652</f>
        <v/>
      </c>
      <c r="AC2652" s="13">
        <f>SUMPRODUCT(N2652:Y2652,$N$4:$Y$4)*$K2652*$L2652*$M2652</f>
        <v/>
      </c>
      <c r="AD2652" s="15" t="n">
        <v>3</v>
      </c>
      <c r="AE2652" s="11" t="n">
        <v>1.011296296296296</v>
      </c>
      <c r="AF2652" s="16">
        <f>SUMPRODUCT(N2652:Y2652,$N$5:$Y$5)*$K2652*$L2652*$M2652</f>
        <v/>
      </c>
      <c r="AG2652" s="16">
        <f>SUMPRODUCT(N2652:Y2652,$N$6:$Y$6)*$K2652*$L2652*$M2652</f>
        <v/>
      </c>
      <c r="AH2652" s="20" t="n"/>
    </row>
    <row r="2653">
      <c r="A2653" s="9" t="n">
        <v>701780</v>
      </c>
      <c r="B2653" s="9" t="inlineStr">
        <is>
          <t>Tanner McDougal</t>
        </is>
      </c>
      <c r="C2653" s="9" t="inlineStr">
        <is>
          <t>CWS</t>
        </is>
      </c>
      <c r="D2653" s="9" t="n">
        <v>24</v>
      </c>
      <c r="E2653" s="18" t="inlineStr">
        <is>
          <t>R</t>
        </is>
      </c>
      <c r="F2653" s="18" t="n"/>
      <c r="G2653" s="9" t="n">
        <v>5</v>
      </c>
      <c r="H2653" s="9" t="n">
        <v>5</v>
      </c>
      <c r="I2653" s="9" t="inlineStr">
        <is>
          <t>Depth (no MLB IP)</t>
        </is>
      </c>
      <c r="J2653" s="18" t="inlineStr">
        <is>
          <t>Opening Day</t>
        </is>
      </c>
      <c r="K2653" s="11">
        <f>IFERROR(INDEX(Roles!$B$17:$B$20,MATCH(J2653,Roles!$A$17:$A$20,0)),1)</f>
        <v/>
      </c>
      <c r="L2653" s="19" t="n">
        <v>1</v>
      </c>
      <c r="M2653" s="11" t="n">
        <v>1</v>
      </c>
      <c r="N2653" s="19" t="n"/>
      <c r="O2653" s="19" t="n"/>
      <c r="P2653" s="19" t="n"/>
      <c r="Q2653" s="19" t="n"/>
      <c r="R2653" s="19" t="n"/>
      <c r="S2653" s="19" t="n"/>
      <c r="T2653" s="19" t="n"/>
      <c r="U2653" s="19" t="n"/>
      <c r="V2653" s="19" t="n"/>
      <c r="W2653" s="19" t="n"/>
      <c r="X2653" s="19" t="n"/>
      <c r="Y2653" s="19" t="n">
        <v>1</v>
      </c>
      <c r="Z2653" s="13">
        <f>SUMPRODUCT(N2653:Y2653,$N$2:$Y$2)*$K2653*$L2653*$M2653</f>
        <v/>
      </c>
      <c r="AA2653" s="14">
        <f>SUM(N2653:Y2653)</f>
        <v/>
      </c>
      <c r="AB2653" s="13">
        <f>SUMPRODUCT(N2653:Y2653,$N$3:$Y$3)*$K2653*$L2653*$M2653</f>
        <v/>
      </c>
      <c r="AC2653" s="13">
        <f>SUMPRODUCT(N2653:Y2653,$N$4:$Y$4)*$K2653*$L2653*$M2653</f>
        <v/>
      </c>
      <c r="AD2653" s="15" t="n">
        <v>1.8</v>
      </c>
      <c r="AE2653" s="11" t="n">
        <v>0.7853086419753086</v>
      </c>
      <c r="AF2653" s="16">
        <f>SUMPRODUCT(N2653:Y2653,$N$5:$Y$5)*$K2653*$L2653*$M2653</f>
        <v/>
      </c>
      <c r="AG2653" s="16">
        <f>SUMPRODUCT(N2653:Y2653,$N$6:$Y$6)*$K2653*$L2653*$M2653</f>
        <v/>
      </c>
      <c r="AH2653" s="20" t="n"/>
    </row>
    <row r="2654">
      <c r="A2654" s="9" t="n">
        <v>669449</v>
      </c>
      <c r="B2654" s="9" t="inlineStr">
        <is>
          <t>Jake Palisch</t>
        </is>
      </c>
      <c r="C2654" s="9" t="inlineStr">
        <is>
          <t>CWS</t>
        </is>
      </c>
      <c r="D2654" s="9" t="n">
        <v>28</v>
      </c>
      <c r="E2654" s="18" t="inlineStr">
        <is>
          <t>L</t>
        </is>
      </c>
      <c r="F2654" s="18" t="n"/>
      <c r="G2654" s="9" t="n">
        <v>6</v>
      </c>
      <c r="H2654" s="9" t="n">
        <v>6</v>
      </c>
      <c r="I2654" s="9" t="inlineStr">
        <is>
          <t>Depth (no MLB IP)</t>
        </is>
      </c>
      <c r="J2654" s="18" t="inlineStr">
        <is>
          <t>Opening Day</t>
        </is>
      </c>
      <c r="K2654" s="11">
        <f>IFERROR(INDEX(Roles!$B$17:$B$20,MATCH(J2654,Roles!$A$17:$A$20,0)),1)</f>
        <v/>
      </c>
      <c r="L2654" s="19" t="n">
        <v>1</v>
      </c>
      <c r="M2654" s="11" t="n">
        <v>1</v>
      </c>
      <c r="N2654" s="19" t="n"/>
      <c r="O2654" s="19" t="n"/>
      <c r="P2654" s="19" t="n"/>
      <c r="Q2654" s="19" t="n"/>
      <c r="R2654" s="19" t="n"/>
      <c r="S2654" s="19" t="n"/>
      <c r="T2654" s="19" t="n"/>
      <c r="U2654" s="19" t="n"/>
      <c r="V2654" s="19" t="n"/>
      <c r="W2654" s="19" t="n"/>
      <c r="X2654" s="19" t="n"/>
      <c r="Y2654" s="19" t="n">
        <v>1</v>
      </c>
      <c r="Z2654" s="13">
        <f>SUMPRODUCT(N2654:Y2654,$N$2:$Y$2)*$K2654*$L2654*$M2654</f>
        <v/>
      </c>
      <c r="AA2654" s="14">
        <f>SUM(N2654:Y2654)</f>
        <v/>
      </c>
      <c r="AB2654" s="13">
        <f>SUMPRODUCT(N2654:Y2654,$N$3:$Y$3)*$K2654*$L2654*$M2654</f>
        <v/>
      </c>
      <c r="AC2654" s="13">
        <f>SUMPRODUCT(N2654:Y2654,$N$4:$Y$4)*$K2654*$L2654*$M2654</f>
        <v/>
      </c>
      <c r="AD2654" s="15" t="n">
        <v>1.8</v>
      </c>
      <c r="AE2654" s="11" t="n">
        <v>1.007530864197531</v>
      </c>
      <c r="AF2654" s="16">
        <f>SUMPRODUCT(N2654:Y2654,$N$5:$Y$5)*$K2654*$L2654*$M2654</f>
        <v/>
      </c>
      <c r="AG2654" s="16">
        <f>SUMPRODUCT(N2654:Y2654,$N$6:$Y$6)*$K2654*$L2654*$M2654</f>
        <v/>
      </c>
      <c r="AH2654" s="20" t="n"/>
    </row>
    <row r="2655">
      <c r="A2655" s="9" t="n">
        <v>656181</v>
      </c>
      <c r="B2655" s="9" t="inlineStr">
        <is>
          <t>Spencer Adams</t>
        </is>
      </c>
      <c r="C2655" s="9" t="inlineStr">
        <is>
          <t>TEX</t>
        </is>
      </c>
      <c r="D2655" s="9" t="n">
        <v>25</v>
      </c>
      <c r="E2655" s="18" t="inlineStr">
        <is>
          <t>R</t>
        </is>
      </c>
      <c r="F2655" s="18" t="n"/>
      <c r="G2655" s="9" t="n">
        <v>48.87666666666667</v>
      </c>
      <c r="H2655" s="9" t="n">
        <v>48.87666666666667</v>
      </c>
      <c r="I2655" s="9" t="inlineStr">
        <is>
          <t>Depth (no MLB IP)</t>
        </is>
      </c>
      <c r="J2655" s="18" t="inlineStr">
        <is>
          <t>Opening Day</t>
        </is>
      </c>
      <c r="K2655" s="11">
        <f>IFERROR(INDEX(Roles!$B$17:$B$20,MATCH(J2655,Roles!$A$17:$A$20,0)),1)</f>
        <v/>
      </c>
      <c r="L2655" s="19" t="n">
        <v>1</v>
      </c>
      <c r="M2655" s="11" t="n">
        <v>1</v>
      </c>
      <c r="N2655" s="19" t="n"/>
      <c r="O2655" s="19" t="n"/>
      <c r="P2655" s="19" t="n"/>
      <c r="Q2655" s="19" t="n"/>
      <c r="R2655" s="19" t="n"/>
      <c r="S2655" s="19" t="n"/>
      <c r="T2655" s="19" t="n"/>
      <c r="U2655" s="19" t="n"/>
      <c r="V2655" s="19" t="n"/>
      <c r="W2655" s="19" t="n"/>
      <c r="X2655" s="19" t="n"/>
      <c r="Y2655" s="19" t="n">
        <v>1</v>
      </c>
      <c r="Z2655" s="13">
        <f>SUMPRODUCT(N2655:Y2655,$N$2:$Y$2)*$K2655*$L2655*$M2655</f>
        <v/>
      </c>
      <c r="AA2655" s="14">
        <f>SUM(N2655:Y2655)</f>
        <v/>
      </c>
      <c r="AB2655" s="13">
        <f>SUMPRODUCT(N2655:Y2655,$N$3:$Y$3)*$K2655*$L2655*$M2655</f>
        <v/>
      </c>
      <c r="AC2655" s="13">
        <f>SUMPRODUCT(N2655:Y2655,$N$4:$Y$4)*$K2655*$L2655*$M2655</f>
        <v/>
      </c>
      <c r="AD2655" s="15" t="n">
        <v>3</v>
      </c>
      <c r="AE2655" s="11" t="n">
        <v>1.011296296296296</v>
      </c>
      <c r="AF2655" s="16">
        <f>SUMPRODUCT(N2655:Y2655,$N$5:$Y$5)*$K2655*$L2655*$M2655</f>
        <v/>
      </c>
      <c r="AG2655" s="16">
        <f>SUMPRODUCT(N2655:Y2655,$N$6:$Y$6)*$K2655*$L2655*$M2655</f>
        <v/>
      </c>
      <c r="AH2655" s="20" t="n"/>
    </row>
    <row r="2656">
      <c r="A2656" s="9" t="n">
        <v>806281</v>
      </c>
      <c r="B2656" s="9" t="inlineStr">
        <is>
          <t>Blaze Pontes</t>
        </is>
      </c>
      <c r="C2656" s="9" t="inlineStr">
        <is>
          <t>OAK</t>
        </is>
      </c>
      <c r="D2656" s="9" t="n">
        <v>25</v>
      </c>
      <c r="E2656" s="18" t="inlineStr">
        <is>
          <t>R</t>
        </is>
      </c>
      <c r="F2656" s="18" t="n"/>
      <c r="G2656" s="9" t="n">
        <v>49.16333333333332</v>
      </c>
      <c r="H2656" s="9" t="n">
        <v>49.16333333333332</v>
      </c>
      <c r="I2656" s="9" t="inlineStr">
        <is>
          <t>Depth (no MLB IP)</t>
        </is>
      </c>
      <c r="J2656" s="18" t="inlineStr">
        <is>
          <t>Opening Day</t>
        </is>
      </c>
      <c r="K2656" s="11">
        <f>IFERROR(INDEX(Roles!$B$17:$B$20,MATCH(J2656,Roles!$A$17:$A$20,0)),1)</f>
        <v/>
      </c>
      <c r="L2656" s="19" t="n">
        <v>1</v>
      </c>
      <c r="M2656" s="11" t="n">
        <v>1</v>
      </c>
      <c r="N2656" s="19" t="n"/>
      <c r="O2656" s="19" t="n"/>
      <c r="P2656" s="19" t="n"/>
      <c r="Q2656" s="19" t="n"/>
      <c r="R2656" s="19" t="n"/>
      <c r="S2656" s="19" t="n"/>
      <c r="T2656" s="19" t="n"/>
      <c r="U2656" s="19" t="n"/>
      <c r="V2656" s="19" t="n"/>
      <c r="W2656" s="19" t="n"/>
      <c r="X2656" s="19" t="n"/>
      <c r="Y2656" s="19" t="n">
        <v>1</v>
      </c>
      <c r="Z2656" s="13">
        <f>SUMPRODUCT(N2656:Y2656,$N$2:$Y$2)*$K2656*$L2656*$M2656</f>
        <v/>
      </c>
      <c r="AA2656" s="14">
        <f>SUM(N2656:Y2656)</f>
        <v/>
      </c>
      <c r="AB2656" s="13">
        <f>SUMPRODUCT(N2656:Y2656,$N$3:$Y$3)*$K2656*$L2656*$M2656</f>
        <v/>
      </c>
      <c r="AC2656" s="13">
        <f>SUMPRODUCT(N2656:Y2656,$N$4:$Y$4)*$K2656*$L2656*$M2656</f>
        <v/>
      </c>
      <c r="AD2656" s="15" t="n">
        <v>3</v>
      </c>
      <c r="AE2656" s="11" t="n">
        <v>1.011296296296296</v>
      </c>
      <c r="AF2656" s="16">
        <f>SUMPRODUCT(N2656:Y2656,$N$5:$Y$5)*$K2656*$L2656*$M2656</f>
        <v/>
      </c>
      <c r="AG2656" s="16">
        <f>SUMPRODUCT(N2656:Y2656,$N$6:$Y$6)*$K2656*$L2656*$M2656</f>
        <v/>
      </c>
      <c r="AH2656" s="20" t="n"/>
    </row>
    <row r="2657">
      <c r="A2657" s="9" t="n">
        <v>642180</v>
      </c>
      <c r="B2657" s="9" t="inlineStr">
        <is>
          <t>Tyler Wade</t>
        </is>
      </c>
      <c r="C2657" s="9" t="inlineStr">
        <is>
          <t>SD</t>
        </is>
      </c>
      <c r="D2657" s="9" t="n">
        <v>32</v>
      </c>
      <c r="E2657" s="18" t="inlineStr">
        <is>
          <t>R</t>
        </is>
      </c>
      <c r="F2657" s="18" t="n"/>
      <c r="G2657" s="9" t="n">
        <v>6</v>
      </c>
      <c r="H2657" s="9" t="n">
        <v>6</v>
      </c>
      <c r="I2657" s="9" t="inlineStr">
        <is>
          <t>Depth (no MLB IP)</t>
        </is>
      </c>
      <c r="J2657" s="18" t="inlineStr">
        <is>
          <t>Opening Day</t>
        </is>
      </c>
      <c r="K2657" s="11">
        <f>IFERROR(INDEX(Roles!$B$17:$B$20,MATCH(J2657,Roles!$A$17:$A$20,0)),1)</f>
        <v/>
      </c>
      <c r="L2657" s="19" t="n">
        <v>1</v>
      </c>
      <c r="M2657" s="11" t="n">
        <v>1</v>
      </c>
      <c r="N2657" s="19" t="n"/>
      <c r="O2657" s="19" t="n"/>
      <c r="P2657" s="19" t="n"/>
      <c r="Q2657" s="19" t="n"/>
      <c r="R2657" s="19" t="n"/>
      <c r="S2657" s="19" t="n"/>
      <c r="T2657" s="19" t="n"/>
      <c r="U2657" s="19" t="n"/>
      <c r="V2657" s="19" t="n"/>
      <c r="W2657" s="19" t="n"/>
      <c r="X2657" s="19" t="n"/>
      <c r="Y2657" s="19" t="n">
        <v>1</v>
      </c>
      <c r="Z2657" s="13">
        <f>SUMPRODUCT(N2657:Y2657,$N$2:$Y$2)*$K2657*$L2657*$M2657</f>
        <v/>
      </c>
      <c r="AA2657" s="14">
        <f>SUM(N2657:Y2657)</f>
        <v/>
      </c>
      <c r="AB2657" s="13">
        <f>SUMPRODUCT(N2657:Y2657,$N$3:$Y$3)*$K2657*$L2657*$M2657</f>
        <v/>
      </c>
      <c r="AC2657" s="13">
        <f>SUMPRODUCT(N2657:Y2657,$N$4:$Y$4)*$K2657*$L2657*$M2657</f>
        <v/>
      </c>
      <c r="AD2657" s="15" t="n">
        <v>1.8</v>
      </c>
      <c r="AE2657" s="11" t="n">
        <v>1.007530864197531</v>
      </c>
      <c r="AF2657" s="16">
        <f>SUMPRODUCT(N2657:Y2657,$N$5:$Y$5)*$K2657*$L2657*$M2657</f>
        <v/>
      </c>
      <c r="AG2657" s="16">
        <f>SUMPRODUCT(N2657:Y2657,$N$6:$Y$6)*$K2657*$L2657*$M2657</f>
        <v/>
      </c>
      <c r="AH2657" s="20" t="n"/>
    </row>
    <row r="2658">
      <c r="A2658" s="9" t="n">
        <v>687589</v>
      </c>
      <c r="B2658" s="9" t="inlineStr">
        <is>
          <t>Dom Hamel</t>
        </is>
      </c>
      <c r="C2658" s="9" t="inlineStr">
        <is>
          <t>NYM</t>
        </is>
      </c>
      <c r="D2658" s="9" t="n">
        <v>28</v>
      </c>
      <c r="E2658" s="18" t="inlineStr">
        <is>
          <t>R</t>
        </is>
      </c>
      <c r="F2658" s="18" t="n"/>
      <c r="G2658" s="9" t="n">
        <v>6</v>
      </c>
      <c r="H2658" s="9" t="n">
        <v>6</v>
      </c>
      <c r="I2658" s="9" t="inlineStr">
        <is>
          <t>Depth (no MLB IP)</t>
        </is>
      </c>
      <c r="J2658" s="18" t="inlineStr">
        <is>
          <t>Opening Day</t>
        </is>
      </c>
      <c r="K2658" s="11">
        <f>IFERROR(INDEX(Roles!$B$17:$B$20,MATCH(J2658,Roles!$A$17:$A$20,0)),1)</f>
        <v/>
      </c>
      <c r="L2658" s="19" t="n">
        <v>1</v>
      </c>
      <c r="M2658" s="11" t="n">
        <v>1</v>
      </c>
      <c r="N2658" s="19" t="n"/>
      <c r="O2658" s="19" t="n"/>
      <c r="P2658" s="19" t="n"/>
      <c r="Q2658" s="19" t="n"/>
      <c r="R2658" s="19" t="n"/>
      <c r="S2658" s="19" t="n"/>
      <c r="T2658" s="19" t="n"/>
      <c r="U2658" s="19" t="n"/>
      <c r="V2658" s="19" t="n"/>
      <c r="W2658" s="19" t="n"/>
      <c r="X2658" s="19" t="n"/>
      <c r="Y2658" s="19" t="n">
        <v>1</v>
      </c>
      <c r="Z2658" s="13">
        <f>SUMPRODUCT(N2658:Y2658,$N$2:$Y$2)*$K2658*$L2658*$M2658</f>
        <v/>
      </c>
      <c r="AA2658" s="14">
        <f>SUM(N2658:Y2658)</f>
        <v/>
      </c>
      <c r="AB2658" s="13">
        <f>SUMPRODUCT(N2658:Y2658,$N$3:$Y$3)*$K2658*$L2658*$M2658</f>
        <v/>
      </c>
      <c r="AC2658" s="13">
        <f>SUMPRODUCT(N2658:Y2658,$N$4:$Y$4)*$K2658*$L2658*$M2658</f>
        <v/>
      </c>
      <c r="AD2658" s="15" t="n">
        <v>1.8</v>
      </c>
      <c r="AE2658" s="11" t="n">
        <v>1.007530864197531</v>
      </c>
      <c r="AF2658" s="16">
        <f>SUMPRODUCT(N2658:Y2658,$N$5:$Y$5)*$K2658*$L2658*$M2658</f>
        <v/>
      </c>
      <c r="AG2658" s="16">
        <f>SUMPRODUCT(N2658:Y2658,$N$6:$Y$6)*$K2658*$L2658*$M2658</f>
        <v/>
      </c>
      <c r="AH2658" s="20" t="n"/>
    </row>
    <row r="2659">
      <c r="A2659" s="9" t="n">
        <v>519293</v>
      </c>
      <c r="B2659" s="9" t="inlineStr">
        <is>
          <t>Will Smith</t>
        </is>
      </c>
      <c r="C2659" s="9" t="inlineStr">
        <is>
          <t>KC</t>
        </is>
      </c>
      <c r="D2659" s="9" t="n">
        <v>37</v>
      </c>
      <c r="E2659" s="18" t="inlineStr">
        <is>
          <t>L</t>
        </is>
      </c>
      <c r="F2659" s="18" t="n"/>
      <c r="G2659" s="9" t="n">
        <v>186</v>
      </c>
      <c r="H2659" s="9" t="n">
        <v>673</v>
      </c>
      <c r="I2659" s="9" t="inlineStr">
        <is>
          <t>Depth (no MLB IP)</t>
        </is>
      </c>
      <c r="J2659" s="18" t="inlineStr">
        <is>
          <t>Opening Day</t>
        </is>
      </c>
      <c r="K2659" s="11">
        <f>IFERROR(INDEX(Roles!$B$17:$B$20,MATCH(J2659,Roles!$A$17:$A$20,0)),1)</f>
        <v/>
      </c>
      <c r="L2659" s="19" t="n">
        <v>1</v>
      </c>
      <c r="M2659" s="11" t="n">
        <v>1</v>
      </c>
      <c r="N2659" s="19" t="n"/>
      <c r="O2659" s="19" t="n"/>
      <c r="P2659" s="19" t="n"/>
      <c r="Q2659" s="19" t="n"/>
      <c r="R2659" s="19" t="n"/>
      <c r="S2659" s="19" t="n"/>
      <c r="T2659" s="19" t="n"/>
      <c r="U2659" s="19" t="n"/>
      <c r="V2659" s="19" t="n"/>
      <c r="W2659" s="19" t="n"/>
      <c r="X2659" s="19" t="n"/>
      <c r="Y2659" s="19" t="n">
        <v>1</v>
      </c>
      <c r="Z2659" s="13">
        <f>SUMPRODUCT(N2659:Y2659,$N$2:$Y$2)*$K2659*$L2659*$M2659</f>
        <v/>
      </c>
      <c r="AA2659" s="14">
        <f>SUM(N2659:Y2659)</f>
        <v/>
      </c>
      <c r="AB2659" s="13">
        <f>SUMPRODUCT(N2659:Y2659,$N$3:$Y$3)*$K2659*$L2659*$M2659</f>
        <v/>
      </c>
      <c r="AC2659" s="13">
        <f>SUMPRODUCT(N2659:Y2659,$N$4:$Y$4)*$K2659*$L2659*$M2659</f>
        <v/>
      </c>
      <c r="AD2659" s="15" t="n">
        <v>28.2</v>
      </c>
      <c r="AE2659" s="11" t="n">
        <v>0.9803703703703702</v>
      </c>
      <c r="AF2659" s="16">
        <f>SUMPRODUCT(N2659:Y2659,$N$5:$Y$5)*$K2659*$L2659*$M2659</f>
        <v/>
      </c>
      <c r="AG2659" s="16">
        <f>SUMPRODUCT(N2659:Y2659,$N$6:$Y$6)*$K2659*$L2659*$M2659</f>
        <v/>
      </c>
      <c r="AH2659" s="20" t="n"/>
    </row>
    <row r="2660">
      <c r="A2660" s="9" t="n">
        <v>821611</v>
      </c>
      <c r="B2660" s="9" t="inlineStr">
        <is>
          <t>Jesus Lafalaise</t>
        </is>
      </c>
      <c r="C2660" s="9" t="inlineStr">
        <is>
          <t>TEX</t>
        </is>
      </c>
      <c r="D2660" s="9" t="n">
        <v>25</v>
      </c>
      <c r="E2660" s="18" t="inlineStr">
        <is>
          <t>R</t>
        </is>
      </c>
      <c r="F2660" s="18" t="n"/>
      <c r="G2660" s="9" t="n">
        <v>49.364</v>
      </c>
      <c r="H2660" s="9" t="n">
        <v>49.364</v>
      </c>
      <c r="I2660" s="9" t="inlineStr">
        <is>
          <t>Depth (no MLB IP)</t>
        </is>
      </c>
      <c r="J2660" s="18" t="inlineStr">
        <is>
          <t>Opening Day</t>
        </is>
      </c>
      <c r="K2660" s="11">
        <f>IFERROR(INDEX(Roles!$B$17:$B$20,MATCH(J2660,Roles!$A$17:$A$20,0)),1)</f>
        <v/>
      </c>
      <c r="L2660" s="19" t="n">
        <v>1</v>
      </c>
      <c r="M2660" s="11" t="n">
        <v>1</v>
      </c>
      <c r="N2660" s="19" t="n"/>
      <c r="O2660" s="19" t="n"/>
      <c r="P2660" s="19" t="n"/>
      <c r="Q2660" s="19" t="n"/>
      <c r="R2660" s="19" t="n"/>
      <c r="S2660" s="19" t="n"/>
      <c r="T2660" s="19" t="n"/>
      <c r="U2660" s="19" t="n"/>
      <c r="V2660" s="19" t="n"/>
      <c r="W2660" s="19" t="n"/>
      <c r="X2660" s="19" t="n"/>
      <c r="Y2660" s="19" t="n">
        <v>1</v>
      </c>
      <c r="Z2660" s="13">
        <f>SUMPRODUCT(N2660:Y2660,$N$2:$Y$2)*$K2660*$L2660*$M2660</f>
        <v/>
      </c>
      <c r="AA2660" s="14">
        <f>SUM(N2660:Y2660)</f>
        <v/>
      </c>
      <c r="AB2660" s="13">
        <f>SUMPRODUCT(N2660:Y2660,$N$3:$Y$3)*$K2660*$L2660*$M2660</f>
        <v/>
      </c>
      <c r="AC2660" s="13">
        <f>SUMPRODUCT(N2660:Y2660,$N$4:$Y$4)*$K2660*$L2660*$M2660</f>
        <v/>
      </c>
      <c r="AD2660" s="15" t="n">
        <v>3</v>
      </c>
      <c r="AE2660" s="11" t="n">
        <v>1.011296296296296</v>
      </c>
      <c r="AF2660" s="16">
        <f>SUMPRODUCT(N2660:Y2660,$N$5:$Y$5)*$K2660*$L2660*$M2660</f>
        <v/>
      </c>
      <c r="AG2660" s="16">
        <f>SUMPRODUCT(N2660:Y2660,$N$6:$Y$6)*$K2660*$L2660*$M2660</f>
        <v/>
      </c>
      <c r="AH2660" s="20" t="n"/>
    </row>
    <row r="2661">
      <c r="A2661" s="9" t="n">
        <v>804985</v>
      </c>
      <c r="B2661" s="9" t="inlineStr">
        <is>
          <t>Jack Anker</t>
        </is>
      </c>
      <c r="C2661" s="9" t="inlineStr">
        <is>
          <t>PIT</t>
        </is>
      </c>
      <c r="D2661" s="9" t="n">
        <v>25</v>
      </c>
      <c r="E2661" s="18" t="inlineStr">
        <is>
          <t>R</t>
        </is>
      </c>
      <c r="F2661" s="18" t="n"/>
      <c r="G2661" s="9" t="n">
        <v>49.30666666666667</v>
      </c>
      <c r="H2661" s="9" t="n">
        <v>49.30666666666667</v>
      </c>
      <c r="I2661" s="9" t="inlineStr">
        <is>
          <t>Depth (no MLB IP)</t>
        </is>
      </c>
      <c r="J2661" s="18" t="inlineStr">
        <is>
          <t>Opening Day</t>
        </is>
      </c>
      <c r="K2661" s="11">
        <f>IFERROR(INDEX(Roles!$B$17:$B$20,MATCH(J2661,Roles!$A$17:$A$20,0)),1)</f>
        <v/>
      </c>
      <c r="L2661" s="19" t="n">
        <v>1</v>
      </c>
      <c r="M2661" s="11" t="n">
        <v>1</v>
      </c>
      <c r="N2661" s="19" t="n"/>
      <c r="O2661" s="19" t="n"/>
      <c r="P2661" s="19" t="n"/>
      <c r="Q2661" s="19" t="n"/>
      <c r="R2661" s="19" t="n"/>
      <c r="S2661" s="19" t="n"/>
      <c r="T2661" s="19" t="n"/>
      <c r="U2661" s="19" t="n"/>
      <c r="V2661" s="19" t="n"/>
      <c r="W2661" s="19" t="n"/>
      <c r="X2661" s="19" t="n"/>
      <c r="Y2661" s="19" t="n">
        <v>1</v>
      </c>
      <c r="Z2661" s="13">
        <f>SUMPRODUCT(N2661:Y2661,$N$2:$Y$2)*$K2661*$L2661*$M2661</f>
        <v/>
      </c>
      <c r="AA2661" s="14">
        <f>SUM(N2661:Y2661)</f>
        <v/>
      </c>
      <c r="AB2661" s="13">
        <f>SUMPRODUCT(N2661:Y2661,$N$3:$Y$3)*$K2661*$L2661*$M2661</f>
        <v/>
      </c>
      <c r="AC2661" s="13">
        <f>SUMPRODUCT(N2661:Y2661,$N$4:$Y$4)*$K2661*$L2661*$M2661</f>
        <v/>
      </c>
      <c r="AD2661" s="15" t="n">
        <v>3</v>
      </c>
      <c r="AE2661" s="11" t="n">
        <v>1.011296296296296</v>
      </c>
      <c r="AF2661" s="16">
        <f>SUMPRODUCT(N2661:Y2661,$N$5:$Y$5)*$K2661*$L2661*$M2661</f>
        <v/>
      </c>
      <c r="AG2661" s="16">
        <f>SUMPRODUCT(N2661:Y2661,$N$6:$Y$6)*$K2661*$L2661*$M2661</f>
        <v/>
      </c>
      <c r="AH2661" s="20" t="n"/>
    </row>
    <row r="2662">
      <c r="A2662" s="9" t="n">
        <v>833401</v>
      </c>
      <c r="B2662" s="9" t="inlineStr">
        <is>
          <t>Ethan Storm</t>
        </is>
      </c>
      <c r="C2662" s="9" t="inlineStr">
        <is>
          <t>TB</t>
        </is>
      </c>
      <c r="D2662" s="9" t="n">
        <v>25</v>
      </c>
      <c r="E2662" s="18" t="inlineStr">
        <is>
          <t>R</t>
        </is>
      </c>
      <c r="F2662" s="18" t="n"/>
      <c r="G2662" s="9" t="n">
        <v>49.536</v>
      </c>
      <c r="H2662" s="9" t="n">
        <v>49.536</v>
      </c>
      <c r="I2662" s="9" t="inlineStr">
        <is>
          <t>Depth (no MLB IP)</t>
        </is>
      </c>
      <c r="J2662" s="18" t="inlineStr">
        <is>
          <t>Opening Day</t>
        </is>
      </c>
      <c r="K2662" s="11">
        <f>IFERROR(INDEX(Roles!$B$17:$B$20,MATCH(J2662,Roles!$A$17:$A$20,0)),1)</f>
        <v/>
      </c>
      <c r="L2662" s="19" t="n">
        <v>1</v>
      </c>
      <c r="M2662" s="11" t="n">
        <v>1</v>
      </c>
      <c r="N2662" s="19" t="n"/>
      <c r="O2662" s="19" t="n"/>
      <c r="P2662" s="19" t="n"/>
      <c r="Q2662" s="19" t="n"/>
      <c r="R2662" s="19" t="n"/>
      <c r="S2662" s="19" t="n"/>
      <c r="T2662" s="19" t="n"/>
      <c r="U2662" s="19" t="n"/>
      <c r="V2662" s="19" t="n"/>
      <c r="W2662" s="19" t="n"/>
      <c r="X2662" s="19" t="n"/>
      <c r="Y2662" s="19" t="n">
        <v>1</v>
      </c>
      <c r="Z2662" s="13">
        <f>SUMPRODUCT(N2662:Y2662,$N$2:$Y$2)*$K2662*$L2662*$M2662</f>
        <v/>
      </c>
      <c r="AA2662" s="14">
        <f>SUM(N2662:Y2662)</f>
        <v/>
      </c>
      <c r="AB2662" s="13">
        <f>SUMPRODUCT(N2662:Y2662,$N$3:$Y$3)*$K2662*$L2662*$M2662</f>
        <v/>
      </c>
      <c r="AC2662" s="13">
        <f>SUMPRODUCT(N2662:Y2662,$N$4:$Y$4)*$K2662*$L2662*$M2662</f>
        <v/>
      </c>
      <c r="AD2662" s="15" t="n">
        <v>3</v>
      </c>
      <c r="AE2662" s="11" t="n">
        <v>1.011296296296296</v>
      </c>
      <c r="AF2662" s="16">
        <f>SUMPRODUCT(N2662:Y2662,$N$5:$Y$5)*$K2662*$L2662*$M2662</f>
        <v/>
      </c>
      <c r="AG2662" s="16">
        <f>SUMPRODUCT(N2662:Y2662,$N$6:$Y$6)*$K2662*$L2662*$M2662</f>
        <v/>
      </c>
      <c r="AH2662" s="20" t="n"/>
    </row>
    <row r="2663">
      <c r="A2663" s="9" t="n">
        <v>608671</v>
      </c>
      <c r="B2663" s="9" t="inlineStr">
        <is>
          <t>Travis Jankowski</t>
        </is>
      </c>
      <c r="C2663" s="9" t="inlineStr">
        <is>
          <t>NYM</t>
        </is>
      </c>
      <c r="D2663" s="9" t="n">
        <v>36</v>
      </c>
      <c r="E2663" s="18" t="inlineStr">
        <is>
          <t>R</t>
        </is>
      </c>
      <c r="F2663" s="18" t="n"/>
      <c r="G2663" s="9" t="n">
        <v>6</v>
      </c>
      <c r="H2663" s="9" t="n">
        <v>6</v>
      </c>
      <c r="I2663" s="9" t="inlineStr">
        <is>
          <t>Depth (no MLB IP)</t>
        </is>
      </c>
      <c r="J2663" s="18" t="inlineStr">
        <is>
          <t>Opening Day</t>
        </is>
      </c>
      <c r="K2663" s="11">
        <f>IFERROR(INDEX(Roles!$B$17:$B$20,MATCH(J2663,Roles!$A$17:$A$20,0)),1)</f>
        <v/>
      </c>
      <c r="L2663" s="19" t="n">
        <v>1</v>
      </c>
      <c r="M2663" s="11" t="n">
        <v>1</v>
      </c>
      <c r="N2663" s="19" t="n"/>
      <c r="O2663" s="19" t="n"/>
      <c r="P2663" s="19" t="n"/>
      <c r="Q2663" s="19" t="n"/>
      <c r="R2663" s="19" t="n"/>
      <c r="S2663" s="19" t="n"/>
      <c r="T2663" s="19" t="n"/>
      <c r="U2663" s="19" t="n"/>
      <c r="V2663" s="19" t="n"/>
      <c r="W2663" s="19" t="n"/>
      <c r="X2663" s="19" t="n"/>
      <c r="Y2663" s="19" t="n">
        <v>1</v>
      </c>
      <c r="Z2663" s="13">
        <f>SUMPRODUCT(N2663:Y2663,$N$2:$Y$2)*$K2663*$L2663*$M2663</f>
        <v/>
      </c>
      <c r="AA2663" s="14">
        <f>SUM(N2663:Y2663)</f>
        <v/>
      </c>
      <c r="AB2663" s="13">
        <f>SUMPRODUCT(N2663:Y2663,$N$3:$Y$3)*$K2663*$L2663*$M2663</f>
        <v/>
      </c>
      <c r="AC2663" s="13">
        <f>SUMPRODUCT(N2663:Y2663,$N$4:$Y$4)*$K2663*$L2663*$M2663</f>
        <v/>
      </c>
      <c r="AD2663" s="15" t="n">
        <v>1.8</v>
      </c>
      <c r="AE2663" s="11" t="n">
        <v>1.007530864197531</v>
      </c>
      <c r="AF2663" s="16">
        <f>SUMPRODUCT(N2663:Y2663,$N$5:$Y$5)*$K2663*$L2663*$M2663</f>
        <v/>
      </c>
      <c r="AG2663" s="16">
        <f>SUMPRODUCT(N2663:Y2663,$N$6:$Y$6)*$K2663*$L2663*$M2663</f>
        <v/>
      </c>
      <c r="AH2663" s="20" t="n"/>
    </row>
    <row r="2664">
      <c r="A2664" s="9" t="n">
        <v>642701</v>
      </c>
      <c r="B2664" s="9" t="inlineStr">
        <is>
          <t>Dennis Santana</t>
        </is>
      </c>
      <c r="C2664" s="9" t="inlineStr">
        <is>
          <t>ARI</t>
        </is>
      </c>
      <c r="D2664" s="9" t="n">
        <v>31</v>
      </c>
      <c r="E2664" s="18" t="inlineStr">
        <is>
          <t>R</t>
        </is>
      </c>
      <c r="F2664" s="18" t="n"/>
      <c r="G2664" s="9" t="n">
        <v>250</v>
      </c>
      <c r="H2664" s="9" t="n">
        <v>1112</v>
      </c>
      <c r="I2664" s="9" t="inlineStr">
        <is>
          <t>Middle Relief</t>
        </is>
      </c>
      <c r="J2664" s="18" t="inlineStr">
        <is>
          <t>Opening Day</t>
        </is>
      </c>
      <c r="K2664" s="11">
        <f>IFERROR(INDEX(Roles!$B$17:$B$20,MATCH(J2664,Roles!$A$17:$A$20,0)),1)</f>
        <v/>
      </c>
      <c r="L2664" s="19" t="n">
        <v>1</v>
      </c>
      <c r="M2664" s="11" t="n">
        <v>1</v>
      </c>
      <c r="N2664" s="19" t="n"/>
      <c r="O2664" s="19" t="n"/>
      <c r="P2664" s="19" t="n"/>
      <c r="Q2664" s="19" t="n"/>
      <c r="R2664" s="19" t="n"/>
      <c r="S2664" s="19" t="n"/>
      <c r="T2664" s="19" t="n"/>
      <c r="U2664" s="19" t="n">
        <v>0.4</v>
      </c>
      <c r="V2664" s="19" t="n">
        <v>0.6</v>
      </c>
      <c r="W2664" s="19" t="n"/>
      <c r="X2664" s="19" t="n"/>
      <c r="Y2664" s="19" t="n"/>
      <c r="Z2664" s="13">
        <f>SUMPRODUCT(N2664:Y2664,$N$2:$Y$2)*$K2664*$L2664*$M2664</f>
        <v/>
      </c>
      <c r="AA2664" s="14">
        <f>SUM(N2664:Y2664)</f>
        <v/>
      </c>
      <c r="AB2664" s="13">
        <f>SUMPRODUCT(N2664:Y2664,$N$3:$Y$3)*$K2664*$L2664*$M2664</f>
        <v/>
      </c>
      <c r="AC2664" s="13">
        <f>SUMPRODUCT(N2664:Y2664,$N$4:$Y$4)*$K2664*$L2664*$M2664</f>
        <v/>
      </c>
      <c r="AD2664" s="15" t="n">
        <v>52.03333333333333</v>
      </c>
      <c r="AE2664" s="11" t="n">
        <v>1.03081787856749</v>
      </c>
      <c r="AF2664" s="16">
        <f>SUMPRODUCT(N2664:Y2664,$N$5:$Y$5)*$K2664*$L2664*$M2664</f>
        <v/>
      </c>
      <c r="AG2664" s="16">
        <f>SUMPRODUCT(N2664:Y2664,$N$6:$Y$6)*$K2664*$L2664*$M2664</f>
        <v/>
      </c>
      <c r="AH2664" s="20" t="n"/>
    </row>
    <row r="2665">
      <c r="A2665" s="9" t="n">
        <v>694504</v>
      </c>
      <c r="B2665" s="9" t="inlineStr">
        <is>
          <t>Luke Savage</t>
        </is>
      </c>
      <c r="C2665" s="9" t="inlineStr">
        <is>
          <t>TEX</t>
        </is>
      </c>
      <c r="D2665" s="9" t="n">
        <v>25</v>
      </c>
      <c r="E2665" s="18" t="inlineStr">
        <is>
          <t>R</t>
        </is>
      </c>
      <c r="F2665" s="18" t="n"/>
      <c r="G2665" s="9" t="n">
        <v>49.59333333333333</v>
      </c>
      <c r="H2665" s="9" t="n">
        <v>49.59333333333333</v>
      </c>
      <c r="I2665" s="9" t="inlineStr">
        <is>
          <t>Depth (no MLB IP)</t>
        </is>
      </c>
      <c r="J2665" s="18" t="inlineStr">
        <is>
          <t>Opening Day</t>
        </is>
      </c>
      <c r="K2665" s="11">
        <f>IFERROR(INDEX(Roles!$B$17:$B$20,MATCH(J2665,Roles!$A$17:$A$20,0)),1)</f>
        <v/>
      </c>
      <c r="L2665" s="19" t="n">
        <v>1</v>
      </c>
      <c r="M2665" s="11" t="n">
        <v>1</v>
      </c>
      <c r="N2665" s="19" t="n"/>
      <c r="O2665" s="19" t="n"/>
      <c r="P2665" s="19" t="n"/>
      <c r="Q2665" s="19" t="n"/>
      <c r="R2665" s="19" t="n"/>
      <c r="S2665" s="19" t="n"/>
      <c r="T2665" s="19" t="n"/>
      <c r="U2665" s="19" t="n"/>
      <c r="V2665" s="19" t="n"/>
      <c r="W2665" s="19" t="n"/>
      <c r="X2665" s="19" t="n"/>
      <c r="Y2665" s="19" t="n">
        <v>1</v>
      </c>
      <c r="Z2665" s="13">
        <f>SUMPRODUCT(N2665:Y2665,$N$2:$Y$2)*$K2665*$L2665*$M2665</f>
        <v/>
      </c>
      <c r="AA2665" s="14">
        <f>SUM(N2665:Y2665)</f>
        <v/>
      </c>
      <c r="AB2665" s="13">
        <f>SUMPRODUCT(N2665:Y2665,$N$3:$Y$3)*$K2665*$L2665*$M2665</f>
        <v/>
      </c>
      <c r="AC2665" s="13">
        <f>SUMPRODUCT(N2665:Y2665,$N$4:$Y$4)*$K2665*$L2665*$M2665</f>
        <v/>
      </c>
      <c r="AD2665" s="15" t="n">
        <v>3</v>
      </c>
      <c r="AE2665" s="11" t="n">
        <v>1.011296296296296</v>
      </c>
      <c r="AF2665" s="16">
        <f>SUMPRODUCT(N2665:Y2665,$N$5:$Y$5)*$K2665*$L2665*$M2665</f>
        <v/>
      </c>
      <c r="AG2665" s="16">
        <f>SUMPRODUCT(N2665:Y2665,$N$6:$Y$6)*$K2665*$L2665*$M2665</f>
        <v/>
      </c>
      <c r="AH2665" s="20" t="n"/>
    </row>
    <row r="2666">
      <c r="A2666" s="9" t="n">
        <v>621512</v>
      </c>
      <c r="B2666" s="9" t="inlineStr">
        <is>
          <t>Tomás Nido</t>
        </is>
      </c>
      <c r="C2666" s="9" t="inlineStr">
        <is>
          <t>DET</t>
        </is>
      </c>
      <c r="D2666" s="9" t="n">
        <v>33</v>
      </c>
      <c r="E2666" s="18" t="inlineStr">
        <is>
          <t>R</t>
        </is>
      </c>
      <c r="F2666" s="18" t="n"/>
      <c r="G2666" s="9" t="n">
        <v>6</v>
      </c>
      <c r="H2666" s="9" t="n">
        <v>6</v>
      </c>
      <c r="I2666" s="9" t="inlineStr">
        <is>
          <t>Depth (no MLB IP)</t>
        </is>
      </c>
      <c r="J2666" s="18" t="inlineStr">
        <is>
          <t>Opening Day</t>
        </is>
      </c>
      <c r="K2666" s="11">
        <f>IFERROR(INDEX(Roles!$B$17:$B$20,MATCH(J2666,Roles!$A$17:$A$20,0)),1)</f>
        <v/>
      </c>
      <c r="L2666" s="19" t="n">
        <v>1</v>
      </c>
      <c r="M2666" s="11" t="n">
        <v>1</v>
      </c>
      <c r="N2666" s="19" t="n"/>
      <c r="O2666" s="19" t="n"/>
      <c r="P2666" s="19" t="n"/>
      <c r="Q2666" s="19" t="n"/>
      <c r="R2666" s="19" t="n"/>
      <c r="S2666" s="19" t="n"/>
      <c r="T2666" s="19" t="n"/>
      <c r="U2666" s="19" t="n"/>
      <c r="V2666" s="19" t="n"/>
      <c r="W2666" s="19" t="n"/>
      <c r="X2666" s="19" t="n"/>
      <c r="Y2666" s="19" t="n">
        <v>1</v>
      </c>
      <c r="Z2666" s="13">
        <f>SUMPRODUCT(N2666:Y2666,$N$2:$Y$2)*$K2666*$L2666*$M2666</f>
        <v/>
      </c>
      <c r="AA2666" s="14">
        <f>SUM(N2666:Y2666)</f>
        <v/>
      </c>
      <c r="AB2666" s="13">
        <f>SUMPRODUCT(N2666:Y2666,$N$3:$Y$3)*$K2666*$L2666*$M2666</f>
        <v/>
      </c>
      <c r="AC2666" s="13">
        <f>SUMPRODUCT(N2666:Y2666,$N$4:$Y$4)*$K2666*$L2666*$M2666</f>
        <v/>
      </c>
      <c r="AD2666" s="15" t="n">
        <v>1.8</v>
      </c>
      <c r="AE2666" s="11" t="n">
        <v>1.229753086419753</v>
      </c>
      <c r="AF2666" s="16">
        <f>SUMPRODUCT(N2666:Y2666,$N$5:$Y$5)*$K2666*$L2666*$M2666</f>
        <v/>
      </c>
      <c r="AG2666" s="16">
        <f>SUMPRODUCT(N2666:Y2666,$N$6:$Y$6)*$K2666*$L2666*$M2666</f>
        <v/>
      </c>
      <c r="AH2666" s="20" t="n"/>
    </row>
    <row r="2667">
      <c r="A2667" s="9" t="n">
        <v>820902</v>
      </c>
      <c r="B2667" s="9" t="inlineStr">
        <is>
          <t>Carlos Carra</t>
        </is>
      </c>
      <c r="C2667" s="9" t="inlineStr">
        <is>
          <t>MIL</t>
        </is>
      </c>
      <c r="D2667" s="9" t="n">
        <v>25</v>
      </c>
      <c r="E2667" s="18" t="inlineStr">
        <is>
          <t>R</t>
        </is>
      </c>
      <c r="F2667" s="18" t="n"/>
      <c r="G2667" s="9" t="n">
        <v>49.536</v>
      </c>
      <c r="H2667" s="9" t="n">
        <v>49.536</v>
      </c>
      <c r="I2667" s="9" t="inlineStr">
        <is>
          <t>Depth (no MLB IP)</t>
        </is>
      </c>
      <c r="J2667" s="18" t="inlineStr">
        <is>
          <t>Opening Day</t>
        </is>
      </c>
      <c r="K2667" s="11">
        <f>IFERROR(INDEX(Roles!$B$17:$B$20,MATCH(J2667,Roles!$A$17:$A$20,0)),1)</f>
        <v/>
      </c>
      <c r="L2667" s="19" t="n">
        <v>1</v>
      </c>
      <c r="M2667" s="11" t="n">
        <v>1</v>
      </c>
      <c r="N2667" s="19" t="n"/>
      <c r="O2667" s="19" t="n"/>
      <c r="P2667" s="19" t="n"/>
      <c r="Q2667" s="19" t="n"/>
      <c r="R2667" s="19" t="n"/>
      <c r="S2667" s="19" t="n"/>
      <c r="T2667" s="19" t="n"/>
      <c r="U2667" s="19" t="n"/>
      <c r="V2667" s="19" t="n"/>
      <c r="W2667" s="19" t="n"/>
      <c r="X2667" s="19" t="n"/>
      <c r="Y2667" s="19" t="n">
        <v>1</v>
      </c>
      <c r="Z2667" s="13">
        <f>SUMPRODUCT(N2667:Y2667,$N$2:$Y$2)*$K2667*$L2667*$M2667</f>
        <v/>
      </c>
      <c r="AA2667" s="14">
        <f>SUM(N2667:Y2667)</f>
        <v/>
      </c>
      <c r="AB2667" s="13">
        <f>SUMPRODUCT(N2667:Y2667,$N$3:$Y$3)*$K2667*$L2667*$M2667</f>
        <v/>
      </c>
      <c r="AC2667" s="13">
        <f>SUMPRODUCT(N2667:Y2667,$N$4:$Y$4)*$K2667*$L2667*$M2667</f>
        <v/>
      </c>
      <c r="AD2667" s="15" t="n">
        <v>3</v>
      </c>
      <c r="AE2667" s="11" t="n">
        <v>1.011296296296296</v>
      </c>
      <c r="AF2667" s="16">
        <f>SUMPRODUCT(N2667:Y2667,$N$5:$Y$5)*$K2667*$L2667*$M2667</f>
        <v/>
      </c>
      <c r="AG2667" s="16">
        <f>SUMPRODUCT(N2667:Y2667,$N$6:$Y$6)*$K2667*$L2667*$M2667</f>
        <v/>
      </c>
      <c r="AH2667" s="20" t="n"/>
    </row>
    <row r="2668">
      <c r="A2668" s="9" t="n">
        <v>804123</v>
      </c>
      <c r="B2668" s="9" t="inlineStr">
        <is>
          <t>Joey Volini</t>
        </is>
      </c>
      <c r="C2668" s="9" t="inlineStr">
        <is>
          <t>MIA</t>
        </is>
      </c>
      <c r="D2668" s="9" t="n">
        <v>25</v>
      </c>
      <c r="E2668" s="18" t="inlineStr">
        <is>
          <t>L</t>
        </is>
      </c>
      <c r="F2668" s="18" t="n"/>
      <c r="G2668" s="9" t="n">
        <v>49.665</v>
      </c>
      <c r="H2668" s="9" t="n">
        <v>49.665</v>
      </c>
      <c r="I2668" s="9" t="inlineStr">
        <is>
          <t>Depth (no MLB IP)</t>
        </is>
      </c>
      <c r="J2668" s="18" t="inlineStr">
        <is>
          <t>Opening Day</t>
        </is>
      </c>
      <c r="K2668" s="11">
        <f>IFERROR(INDEX(Roles!$B$17:$B$20,MATCH(J2668,Roles!$A$17:$A$20,0)),1)</f>
        <v/>
      </c>
      <c r="L2668" s="19" t="n">
        <v>1</v>
      </c>
      <c r="M2668" s="11" t="n">
        <v>1</v>
      </c>
      <c r="N2668" s="19" t="n"/>
      <c r="O2668" s="19" t="n"/>
      <c r="P2668" s="19" t="n"/>
      <c r="Q2668" s="19" t="n"/>
      <c r="R2668" s="19" t="n"/>
      <c r="S2668" s="19" t="n"/>
      <c r="T2668" s="19" t="n"/>
      <c r="U2668" s="19" t="n"/>
      <c r="V2668" s="19" t="n"/>
      <c r="W2668" s="19" t="n"/>
      <c r="X2668" s="19" t="n"/>
      <c r="Y2668" s="19" t="n">
        <v>1</v>
      </c>
      <c r="Z2668" s="13">
        <f>SUMPRODUCT(N2668:Y2668,$N$2:$Y$2)*$K2668*$L2668*$M2668</f>
        <v/>
      </c>
      <c r="AA2668" s="14">
        <f>SUM(N2668:Y2668)</f>
        <v/>
      </c>
      <c r="AB2668" s="13">
        <f>SUMPRODUCT(N2668:Y2668,$N$3:$Y$3)*$K2668*$L2668*$M2668</f>
        <v/>
      </c>
      <c r="AC2668" s="13">
        <f>SUMPRODUCT(N2668:Y2668,$N$4:$Y$4)*$K2668*$L2668*$M2668</f>
        <v/>
      </c>
      <c r="AD2668" s="15" t="n">
        <v>3</v>
      </c>
      <c r="AE2668" s="11" t="n">
        <v>1.011296296296296</v>
      </c>
      <c r="AF2668" s="16">
        <f>SUMPRODUCT(N2668:Y2668,$N$5:$Y$5)*$K2668*$L2668*$M2668</f>
        <v/>
      </c>
      <c r="AG2668" s="16">
        <f>SUMPRODUCT(N2668:Y2668,$N$6:$Y$6)*$K2668*$L2668*$M2668</f>
        <v/>
      </c>
      <c r="AH2668" s="20" t="n"/>
    </row>
    <row r="2669">
      <c r="A2669" s="9" t="n">
        <v>821253</v>
      </c>
      <c r="B2669" s="9" t="inlineStr">
        <is>
          <t>Enderson Mercado</t>
        </is>
      </c>
      <c r="C2669" s="9" t="inlineStr">
        <is>
          <t>MIL</t>
        </is>
      </c>
      <c r="D2669" s="9" t="n">
        <v>25</v>
      </c>
      <c r="E2669" s="18" t="inlineStr">
        <is>
          <t>L</t>
        </is>
      </c>
      <c r="F2669" s="18" t="n"/>
      <c r="G2669" s="9" t="n">
        <v>49.70799999999999</v>
      </c>
      <c r="H2669" s="9" t="n">
        <v>49.70799999999999</v>
      </c>
      <c r="I2669" s="9" t="inlineStr">
        <is>
          <t>Depth (no MLB IP)</t>
        </is>
      </c>
      <c r="J2669" s="18" t="inlineStr">
        <is>
          <t>Opening Day</t>
        </is>
      </c>
      <c r="K2669" s="11">
        <f>IFERROR(INDEX(Roles!$B$17:$B$20,MATCH(J2669,Roles!$A$17:$A$20,0)),1)</f>
        <v/>
      </c>
      <c r="L2669" s="19" t="n">
        <v>1</v>
      </c>
      <c r="M2669" s="11" t="n">
        <v>1</v>
      </c>
      <c r="N2669" s="19" t="n"/>
      <c r="O2669" s="19" t="n"/>
      <c r="P2669" s="19" t="n"/>
      <c r="Q2669" s="19" t="n"/>
      <c r="R2669" s="19" t="n"/>
      <c r="S2669" s="19" t="n"/>
      <c r="T2669" s="19" t="n"/>
      <c r="U2669" s="19" t="n"/>
      <c r="V2669" s="19" t="n"/>
      <c r="W2669" s="19" t="n"/>
      <c r="X2669" s="19" t="n"/>
      <c r="Y2669" s="19" t="n">
        <v>1</v>
      </c>
      <c r="Z2669" s="13">
        <f>SUMPRODUCT(N2669:Y2669,$N$2:$Y$2)*$K2669*$L2669*$M2669</f>
        <v/>
      </c>
      <c r="AA2669" s="14">
        <f>SUM(N2669:Y2669)</f>
        <v/>
      </c>
      <c r="AB2669" s="13">
        <f>SUMPRODUCT(N2669:Y2669,$N$3:$Y$3)*$K2669*$L2669*$M2669</f>
        <v/>
      </c>
      <c r="AC2669" s="13">
        <f>SUMPRODUCT(N2669:Y2669,$N$4:$Y$4)*$K2669*$L2669*$M2669</f>
        <v/>
      </c>
      <c r="AD2669" s="15" t="n">
        <v>3</v>
      </c>
      <c r="AE2669" s="11" t="n">
        <v>1.011296296296296</v>
      </c>
      <c r="AF2669" s="16">
        <f>SUMPRODUCT(N2669:Y2669,$N$5:$Y$5)*$K2669*$L2669*$M2669</f>
        <v/>
      </c>
      <c r="AG2669" s="16">
        <f>SUMPRODUCT(N2669:Y2669,$N$6:$Y$6)*$K2669*$L2669*$M2669</f>
        <v/>
      </c>
      <c r="AH2669" s="20" t="n"/>
    </row>
    <row r="2670">
      <c r="A2670" s="9" t="n">
        <v>696064</v>
      </c>
      <c r="B2670" s="9" t="inlineStr">
        <is>
          <t>Geison Urbaez</t>
        </is>
      </c>
      <c r="C2670" s="9" t="inlineStr">
        <is>
          <t>TOR</t>
        </is>
      </c>
      <c r="D2670" s="9" t="n">
        <v>25</v>
      </c>
      <c r="E2670" s="18" t="inlineStr">
        <is>
          <t>R</t>
        </is>
      </c>
      <c r="F2670" s="18" t="n"/>
      <c r="G2670" s="9" t="n">
        <v>49.665</v>
      </c>
      <c r="H2670" s="9" t="n">
        <v>49.665</v>
      </c>
      <c r="I2670" s="9" t="inlineStr">
        <is>
          <t>Depth (no MLB IP)</t>
        </is>
      </c>
      <c r="J2670" s="18" t="inlineStr">
        <is>
          <t>Opening Day</t>
        </is>
      </c>
      <c r="K2670" s="11">
        <f>IFERROR(INDEX(Roles!$B$17:$B$20,MATCH(J2670,Roles!$A$17:$A$20,0)),1)</f>
        <v/>
      </c>
      <c r="L2670" s="19" t="n">
        <v>1</v>
      </c>
      <c r="M2670" s="11" t="n">
        <v>1</v>
      </c>
      <c r="N2670" s="19" t="n"/>
      <c r="O2670" s="19" t="n"/>
      <c r="P2670" s="19" t="n"/>
      <c r="Q2670" s="19" t="n"/>
      <c r="R2670" s="19" t="n"/>
      <c r="S2670" s="19" t="n"/>
      <c r="T2670" s="19" t="n"/>
      <c r="U2670" s="19" t="n"/>
      <c r="V2670" s="19" t="n"/>
      <c r="W2670" s="19" t="n"/>
      <c r="X2670" s="19" t="n"/>
      <c r="Y2670" s="19" t="n">
        <v>1</v>
      </c>
      <c r="Z2670" s="13">
        <f>SUMPRODUCT(N2670:Y2670,$N$2:$Y$2)*$K2670*$L2670*$M2670</f>
        <v/>
      </c>
      <c r="AA2670" s="14">
        <f>SUM(N2670:Y2670)</f>
        <v/>
      </c>
      <c r="AB2670" s="13">
        <f>SUMPRODUCT(N2670:Y2670,$N$3:$Y$3)*$K2670*$L2670*$M2670</f>
        <v/>
      </c>
      <c r="AC2670" s="13">
        <f>SUMPRODUCT(N2670:Y2670,$N$4:$Y$4)*$K2670*$L2670*$M2670</f>
        <v/>
      </c>
      <c r="AD2670" s="15" t="n">
        <v>3</v>
      </c>
      <c r="AE2670" s="11" t="n">
        <v>1.011296296296296</v>
      </c>
      <c r="AF2670" s="16">
        <f>SUMPRODUCT(N2670:Y2670,$N$5:$Y$5)*$K2670*$L2670*$M2670</f>
        <v/>
      </c>
      <c r="AG2670" s="16">
        <f>SUMPRODUCT(N2670:Y2670,$N$6:$Y$6)*$K2670*$L2670*$M2670</f>
        <v/>
      </c>
      <c r="AH2670" s="20" t="n"/>
    </row>
    <row r="2671">
      <c r="A2671" s="9" t="n">
        <v>695605</v>
      </c>
      <c r="B2671" s="9" t="inlineStr">
        <is>
          <t>Travis Smith</t>
        </is>
      </c>
      <c r="C2671" s="9" t="inlineStr">
        <is>
          <t>MIL</t>
        </is>
      </c>
      <c r="D2671" s="9" t="n">
        <v>25</v>
      </c>
      <c r="E2671" s="18" t="inlineStr">
        <is>
          <t>R</t>
        </is>
      </c>
      <c r="F2671" s="18" t="n"/>
      <c r="G2671" s="9" t="n">
        <v>49.665</v>
      </c>
      <c r="H2671" s="9" t="n">
        <v>49.665</v>
      </c>
      <c r="I2671" s="9" t="inlineStr">
        <is>
          <t>Depth (no MLB IP)</t>
        </is>
      </c>
      <c r="J2671" s="18" t="inlineStr">
        <is>
          <t>Opening Day</t>
        </is>
      </c>
      <c r="K2671" s="11">
        <f>IFERROR(INDEX(Roles!$B$17:$B$20,MATCH(J2671,Roles!$A$17:$A$20,0)),1)</f>
        <v/>
      </c>
      <c r="L2671" s="19" t="n">
        <v>1</v>
      </c>
      <c r="M2671" s="11" t="n">
        <v>1</v>
      </c>
      <c r="N2671" s="19" t="n"/>
      <c r="O2671" s="19" t="n"/>
      <c r="P2671" s="19" t="n"/>
      <c r="Q2671" s="19" t="n"/>
      <c r="R2671" s="19" t="n"/>
      <c r="S2671" s="19" t="n"/>
      <c r="T2671" s="19" t="n"/>
      <c r="U2671" s="19" t="n"/>
      <c r="V2671" s="19" t="n"/>
      <c r="W2671" s="19" t="n"/>
      <c r="X2671" s="19" t="n"/>
      <c r="Y2671" s="19" t="n">
        <v>1</v>
      </c>
      <c r="Z2671" s="13">
        <f>SUMPRODUCT(N2671:Y2671,$N$2:$Y$2)*$K2671*$L2671*$M2671</f>
        <v/>
      </c>
      <c r="AA2671" s="14">
        <f>SUM(N2671:Y2671)</f>
        <v/>
      </c>
      <c r="AB2671" s="13">
        <f>SUMPRODUCT(N2671:Y2671,$N$3:$Y$3)*$K2671*$L2671*$M2671</f>
        <v/>
      </c>
      <c r="AC2671" s="13">
        <f>SUMPRODUCT(N2671:Y2671,$N$4:$Y$4)*$K2671*$L2671*$M2671</f>
        <v/>
      </c>
      <c r="AD2671" s="15" t="n">
        <v>3</v>
      </c>
      <c r="AE2671" s="11" t="n">
        <v>1.011296296296296</v>
      </c>
      <c r="AF2671" s="16">
        <f>SUMPRODUCT(N2671:Y2671,$N$5:$Y$5)*$K2671*$L2671*$M2671</f>
        <v/>
      </c>
      <c r="AG2671" s="16">
        <f>SUMPRODUCT(N2671:Y2671,$N$6:$Y$6)*$K2671*$L2671*$M2671</f>
        <v/>
      </c>
      <c r="AH2671" s="20" t="n"/>
    </row>
    <row r="2672">
      <c r="A2672" s="9" t="n">
        <v>669371</v>
      </c>
      <c r="B2672" s="9" t="inlineStr">
        <is>
          <t>Cole Henry</t>
        </is>
      </c>
      <c r="C2672" s="9" t="inlineStr">
        <is>
          <t>WSH</t>
        </is>
      </c>
      <c r="D2672" s="9" t="n">
        <v>27</v>
      </c>
      <c r="E2672" s="18" t="inlineStr">
        <is>
          <t>R</t>
        </is>
      </c>
      <c r="F2672" s="18" t="n"/>
      <c r="G2672" s="9" t="n">
        <v>70</v>
      </c>
      <c r="H2672" s="9" t="n">
        <v>311</v>
      </c>
      <c r="I2672" s="9" t="inlineStr">
        <is>
          <t>Bullpen Depth Arm</t>
        </is>
      </c>
      <c r="J2672" s="18" t="inlineStr">
        <is>
          <t>Opening Day</t>
        </is>
      </c>
      <c r="K2672" s="11">
        <f>IFERROR(INDEX(Roles!$B$17:$B$20,MATCH(J2672,Roles!$A$17:$A$20,0)),1)</f>
        <v/>
      </c>
      <c r="L2672" s="19" t="n">
        <v>1</v>
      </c>
      <c r="M2672" s="11" t="n">
        <v>1</v>
      </c>
      <c r="N2672" s="19" t="n"/>
      <c r="O2672" s="19" t="n"/>
      <c r="P2672" s="19" t="n"/>
      <c r="Q2672" s="19" t="n"/>
      <c r="R2672" s="19" t="n"/>
      <c r="S2672" s="19" t="n"/>
      <c r="T2672" s="19" t="n"/>
      <c r="U2672" s="19" t="n"/>
      <c r="V2672" s="19" t="n"/>
      <c r="W2672" s="19" t="n">
        <v>1</v>
      </c>
      <c r="X2672" s="19" t="n"/>
      <c r="Y2672" s="19" t="n"/>
      <c r="Z2672" s="13">
        <f>SUMPRODUCT(N2672:Y2672,$N$2:$Y$2)*$K2672*$L2672*$M2672</f>
        <v/>
      </c>
      <c r="AA2672" s="14">
        <f>SUM(N2672:Y2672)</f>
        <v/>
      </c>
      <c r="AB2672" s="13">
        <f>SUMPRODUCT(N2672:Y2672,$N$3:$Y$3)*$K2672*$L2672*$M2672</f>
        <v/>
      </c>
      <c r="AC2672" s="13">
        <f>SUMPRODUCT(N2672:Y2672,$N$4:$Y$4)*$K2672*$L2672*$M2672</f>
        <v/>
      </c>
      <c r="AD2672" s="15" t="n">
        <v>23.30666666666666</v>
      </c>
      <c r="AE2672" s="11" t="n">
        <v>1.133328752376371</v>
      </c>
      <c r="AF2672" s="16">
        <f>SUMPRODUCT(N2672:Y2672,$N$5:$Y$5)*$K2672*$L2672*$M2672</f>
        <v/>
      </c>
      <c r="AG2672" s="16">
        <f>SUMPRODUCT(N2672:Y2672,$N$6:$Y$6)*$K2672*$L2672*$M2672</f>
        <v/>
      </c>
      <c r="AH2672" s="20" t="n"/>
    </row>
    <row r="2673">
      <c r="A2673" s="9" t="n">
        <v>802967</v>
      </c>
      <c r="B2673" s="9" t="inlineStr">
        <is>
          <t>Benny Thompson</t>
        </is>
      </c>
      <c r="C2673" s="9" t="inlineStr">
        <is>
          <t>LAA</t>
        </is>
      </c>
      <c r="D2673" s="9" t="n">
        <v>25</v>
      </c>
      <c r="E2673" s="18" t="inlineStr">
        <is>
          <t>R</t>
        </is>
      </c>
      <c r="F2673" s="18" t="n"/>
      <c r="G2673" s="9" t="n">
        <v>49.88</v>
      </c>
      <c r="H2673" s="9" t="n">
        <v>49.88</v>
      </c>
      <c r="I2673" s="9" t="inlineStr">
        <is>
          <t>Depth (no MLB IP)</t>
        </is>
      </c>
      <c r="J2673" s="18" t="inlineStr">
        <is>
          <t>Opening Day</t>
        </is>
      </c>
      <c r="K2673" s="11">
        <f>IFERROR(INDEX(Roles!$B$17:$B$20,MATCH(J2673,Roles!$A$17:$A$20,0)),1)</f>
        <v/>
      </c>
      <c r="L2673" s="19" t="n">
        <v>1</v>
      </c>
      <c r="M2673" s="11" t="n">
        <v>1</v>
      </c>
      <c r="N2673" s="19" t="n"/>
      <c r="O2673" s="19" t="n"/>
      <c r="P2673" s="19" t="n"/>
      <c r="Q2673" s="19" t="n"/>
      <c r="R2673" s="19" t="n"/>
      <c r="S2673" s="19" t="n"/>
      <c r="T2673" s="19" t="n"/>
      <c r="U2673" s="19" t="n"/>
      <c r="V2673" s="19" t="n"/>
      <c r="W2673" s="19" t="n"/>
      <c r="X2673" s="19" t="n"/>
      <c r="Y2673" s="19" t="n">
        <v>1</v>
      </c>
      <c r="Z2673" s="13">
        <f>SUMPRODUCT(N2673:Y2673,$N$2:$Y$2)*$K2673*$L2673*$M2673</f>
        <v/>
      </c>
      <c r="AA2673" s="14">
        <f>SUM(N2673:Y2673)</f>
        <v/>
      </c>
      <c r="AB2673" s="13">
        <f>SUMPRODUCT(N2673:Y2673,$N$3:$Y$3)*$K2673*$L2673*$M2673</f>
        <v/>
      </c>
      <c r="AC2673" s="13">
        <f>SUMPRODUCT(N2673:Y2673,$N$4:$Y$4)*$K2673*$L2673*$M2673</f>
        <v/>
      </c>
      <c r="AD2673" s="15" t="n">
        <v>3</v>
      </c>
      <c r="AE2673" s="11" t="n">
        <v>1.011296296296296</v>
      </c>
      <c r="AF2673" s="16">
        <f>SUMPRODUCT(N2673:Y2673,$N$5:$Y$5)*$K2673*$L2673*$M2673</f>
        <v/>
      </c>
      <c r="AG2673" s="16">
        <f>SUMPRODUCT(N2673:Y2673,$N$6:$Y$6)*$K2673*$L2673*$M2673</f>
        <v/>
      </c>
      <c r="AH2673" s="20" t="n"/>
    </row>
    <row r="2674">
      <c r="A2674" s="9" t="n">
        <v>694947</v>
      </c>
      <c r="B2674" s="9" t="inlineStr">
        <is>
          <t>Jesus Rios</t>
        </is>
      </c>
      <c r="C2674" s="9" t="inlineStr">
        <is>
          <t>MIA</t>
        </is>
      </c>
      <c r="D2674" s="9" t="n">
        <v>25</v>
      </c>
      <c r="E2674" s="18" t="inlineStr">
        <is>
          <t>R</t>
        </is>
      </c>
      <c r="F2674" s="18" t="n"/>
      <c r="G2674" s="9" t="n">
        <v>49.88</v>
      </c>
      <c r="H2674" s="9" t="n">
        <v>49.88</v>
      </c>
      <c r="I2674" s="9" t="inlineStr">
        <is>
          <t>Depth (no MLB IP)</t>
        </is>
      </c>
      <c r="J2674" s="18" t="inlineStr">
        <is>
          <t>Opening Day</t>
        </is>
      </c>
      <c r="K2674" s="11">
        <f>IFERROR(INDEX(Roles!$B$17:$B$20,MATCH(J2674,Roles!$A$17:$A$20,0)),1)</f>
        <v/>
      </c>
      <c r="L2674" s="19" t="n">
        <v>1</v>
      </c>
      <c r="M2674" s="11" t="n">
        <v>1</v>
      </c>
      <c r="N2674" s="19" t="n"/>
      <c r="O2674" s="19" t="n"/>
      <c r="P2674" s="19" t="n"/>
      <c r="Q2674" s="19" t="n"/>
      <c r="R2674" s="19" t="n"/>
      <c r="S2674" s="19" t="n"/>
      <c r="T2674" s="19" t="n"/>
      <c r="U2674" s="19" t="n"/>
      <c r="V2674" s="19" t="n"/>
      <c r="W2674" s="19" t="n"/>
      <c r="X2674" s="19" t="n"/>
      <c r="Y2674" s="19" t="n">
        <v>1</v>
      </c>
      <c r="Z2674" s="13">
        <f>SUMPRODUCT(N2674:Y2674,$N$2:$Y$2)*$K2674*$L2674*$M2674</f>
        <v/>
      </c>
      <c r="AA2674" s="14">
        <f>SUM(N2674:Y2674)</f>
        <v/>
      </c>
      <c r="AB2674" s="13">
        <f>SUMPRODUCT(N2674:Y2674,$N$3:$Y$3)*$K2674*$L2674*$M2674</f>
        <v/>
      </c>
      <c r="AC2674" s="13">
        <f>SUMPRODUCT(N2674:Y2674,$N$4:$Y$4)*$K2674*$L2674*$M2674</f>
        <v/>
      </c>
      <c r="AD2674" s="15" t="n">
        <v>3</v>
      </c>
      <c r="AE2674" s="11" t="n">
        <v>1.011296296296296</v>
      </c>
      <c r="AF2674" s="16">
        <f>SUMPRODUCT(N2674:Y2674,$N$5:$Y$5)*$K2674*$L2674*$M2674</f>
        <v/>
      </c>
      <c r="AG2674" s="16">
        <f>SUMPRODUCT(N2674:Y2674,$N$6:$Y$6)*$K2674*$L2674*$M2674</f>
        <v/>
      </c>
      <c r="AH2674" s="20" t="n"/>
    </row>
    <row r="2675">
      <c r="A2675" s="9" t="n">
        <v>834971</v>
      </c>
      <c r="B2675" s="9" t="inlineStr">
        <is>
          <t>Alex Wallace</t>
        </is>
      </c>
      <c r="C2675" s="9" t="inlineStr">
        <is>
          <t>TB</t>
        </is>
      </c>
      <c r="D2675" s="9" t="n">
        <v>25</v>
      </c>
      <c r="E2675" s="18" t="inlineStr">
        <is>
          <t>R</t>
        </is>
      </c>
      <c r="F2675" s="18" t="n"/>
      <c r="G2675" s="9" t="n">
        <v>50.05199999999999</v>
      </c>
      <c r="H2675" s="9" t="n">
        <v>50.05199999999999</v>
      </c>
      <c r="I2675" s="9" t="inlineStr">
        <is>
          <t>Depth (no MLB IP)</t>
        </is>
      </c>
      <c r="J2675" s="18" t="inlineStr">
        <is>
          <t>Opening Day</t>
        </is>
      </c>
      <c r="K2675" s="11">
        <f>IFERROR(INDEX(Roles!$B$17:$B$20,MATCH(J2675,Roles!$A$17:$A$20,0)),1)</f>
        <v/>
      </c>
      <c r="L2675" s="19" t="n">
        <v>1</v>
      </c>
      <c r="M2675" s="11" t="n">
        <v>1</v>
      </c>
      <c r="N2675" s="19" t="n"/>
      <c r="O2675" s="19" t="n"/>
      <c r="P2675" s="19" t="n"/>
      <c r="Q2675" s="19" t="n"/>
      <c r="R2675" s="19" t="n"/>
      <c r="S2675" s="19" t="n"/>
      <c r="T2675" s="19" t="n"/>
      <c r="U2675" s="19" t="n"/>
      <c r="V2675" s="19" t="n"/>
      <c r="W2675" s="19" t="n"/>
      <c r="X2675" s="19" t="n"/>
      <c r="Y2675" s="19" t="n">
        <v>1</v>
      </c>
      <c r="Z2675" s="13">
        <f>SUMPRODUCT(N2675:Y2675,$N$2:$Y$2)*$K2675*$L2675*$M2675</f>
        <v/>
      </c>
      <c r="AA2675" s="14">
        <f>SUM(N2675:Y2675)</f>
        <v/>
      </c>
      <c r="AB2675" s="13">
        <f>SUMPRODUCT(N2675:Y2675,$N$3:$Y$3)*$K2675*$L2675*$M2675</f>
        <v/>
      </c>
      <c r="AC2675" s="13">
        <f>SUMPRODUCT(N2675:Y2675,$N$4:$Y$4)*$K2675*$L2675*$M2675</f>
        <v/>
      </c>
      <c r="AD2675" s="15" t="n">
        <v>3</v>
      </c>
      <c r="AE2675" s="11" t="n">
        <v>1.011296296296296</v>
      </c>
      <c r="AF2675" s="16">
        <f>SUMPRODUCT(N2675:Y2675,$N$5:$Y$5)*$K2675*$L2675*$M2675</f>
        <v/>
      </c>
      <c r="AG2675" s="16">
        <f>SUMPRODUCT(N2675:Y2675,$N$6:$Y$6)*$K2675*$L2675*$M2675</f>
        <v/>
      </c>
      <c r="AH2675" s="20" t="n"/>
    </row>
    <row r="2676">
      <c r="A2676" s="9" t="n">
        <v>807993</v>
      </c>
      <c r="B2676" s="9" t="inlineStr">
        <is>
          <t>Nicolas Carreno</t>
        </is>
      </c>
      <c r="C2676" s="9" t="inlineStr">
        <is>
          <t>NYM</t>
        </is>
      </c>
      <c r="D2676" s="9" t="n">
        <v>25</v>
      </c>
      <c r="E2676" s="18" t="inlineStr">
        <is>
          <t>L</t>
        </is>
      </c>
      <c r="F2676" s="18" t="n"/>
      <c r="G2676" s="9" t="n">
        <v>50.16666666666667</v>
      </c>
      <c r="H2676" s="9" t="n">
        <v>50.16666666666667</v>
      </c>
      <c r="I2676" s="9" t="inlineStr">
        <is>
          <t>Depth (no MLB IP)</t>
        </is>
      </c>
      <c r="J2676" s="18" t="inlineStr">
        <is>
          <t>Opening Day</t>
        </is>
      </c>
      <c r="K2676" s="11">
        <f>IFERROR(INDEX(Roles!$B$17:$B$20,MATCH(J2676,Roles!$A$17:$A$20,0)),1)</f>
        <v/>
      </c>
      <c r="L2676" s="19" t="n">
        <v>1</v>
      </c>
      <c r="M2676" s="11" t="n">
        <v>1</v>
      </c>
      <c r="N2676" s="19" t="n"/>
      <c r="O2676" s="19" t="n"/>
      <c r="P2676" s="19" t="n"/>
      <c r="Q2676" s="19" t="n"/>
      <c r="R2676" s="19" t="n"/>
      <c r="S2676" s="19" t="n"/>
      <c r="T2676" s="19" t="n"/>
      <c r="U2676" s="19" t="n"/>
      <c r="V2676" s="19" t="n"/>
      <c r="W2676" s="19" t="n"/>
      <c r="X2676" s="19" t="n"/>
      <c r="Y2676" s="19" t="n">
        <v>1</v>
      </c>
      <c r="Z2676" s="13">
        <f>SUMPRODUCT(N2676:Y2676,$N$2:$Y$2)*$K2676*$L2676*$M2676</f>
        <v/>
      </c>
      <c r="AA2676" s="14">
        <f>SUM(N2676:Y2676)</f>
        <v/>
      </c>
      <c r="AB2676" s="13">
        <f>SUMPRODUCT(N2676:Y2676,$N$3:$Y$3)*$K2676*$L2676*$M2676</f>
        <v/>
      </c>
      <c r="AC2676" s="13">
        <f>SUMPRODUCT(N2676:Y2676,$N$4:$Y$4)*$K2676*$L2676*$M2676</f>
        <v/>
      </c>
      <c r="AD2676" s="15" t="n">
        <v>3</v>
      </c>
      <c r="AE2676" s="11" t="n">
        <v>1.011296296296296</v>
      </c>
      <c r="AF2676" s="16">
        <f>SUMPRODUCT(N2676:Y2676,$N$5:$Y$5)*$K2676*$L2676*$M2676</f>
        <v/>
      </c>
      <c r="AG2676" s="16">
        <f>SUMPRODUCT(N2676:Y2676,$N$6:$Y$6)*$K2676*$L2676*$M2676</f>
        <v/>
      </c>
      <c r="AH2676" s="20" t="n"/>
    </row>
    <row r="2677">
      <c r="A2677" s="9" t="n">
        <v>815868</v>
      </c>
      <c r="B2677" s="9" t="inlineStr">
        <is>
          <t>Tyler Renz</t>
        </is>
      </c>
      <c r="C2677" s="9" t="inlineStr">
        <is>
          <t>MIL</t>
        </is>
      </c>
      <c r="D2677" s="9" t="n">
        <v>25</v>
      </c>
      <c r="E2677" s="18" t="inlineStr">
        <is>
          <t>R</t>
        </is>
      </c>
      <c r="F2677" s="18" t="n"/>
      <c r="G2677" s="9" t="n">
        <v>50.224</v>
      </c>
      <c r="H2677" s="9" t="n">
        <v>50.224</v>
      </c>
      <c r="I2677" s="9" t="inlineStr">
        <is>
          <t>Depth (no MLB IP)</t>
        </is>
      </c>
      <c r="J2677" s="18" t="inlineStr">
        <is>
          <t>Opening Day</t>
        </is>
      </c>
      <c r="K2677" s="11">
        <f>IFERROR(INDEX(Roles!$B$17:$B$20,MATCH(J2677,Roles!$A$17:$A$20,0)),1)</f>
        <v/>
      </c>
      <c r="L2677" s="19" t="n">
        <v>1</v>
      </c>
      <c r="M2677" s="11" t="n">
        <v>1</v>
      </c>
      <c r="N2677" s="19" t="n"/>
      <c r="O2677" s="19" t="n"/>
      <c r="P2677" s="19" t="n"/>
      <c r="Q2677" s="19" t="n"/>
      <c r="R2677" s="19" t="n"/>
      <c r="S2677" s="19" t="n"/>
      <c r="T2677" s="19" t="n"/>
      <c r="U2677" s="19" t="n"/>
      <c r="V2677" s="19" t="n"/>
      <c r="W2677" s="19" t="n"/>
      <c r="X2677" s="19" t="n"/>
      <c r="Y2677" s="19" t="n">
        <v>1</v>
      </c>
      <c r="Z2677" s="13">
        <f>SUMPRODUCT(N2677:Y2677,$N$2:$Y$2)*$K2677*$L2677*$M2677</f>
        <v/>
      </c>
      <c r="AA2677" s="14">
        <f>SUM(N2677:Y2677)</f>
        <v/>
      </c>
      <c r="AB2677" s="13">
        <f>SUMPRODUCT(N2677:Y2677,$N$3:$Y$3)*$K2677*$L2677*$M2677</f>
        <v/>
      </c>
      <c r="AC2677" s="13">
        <f>SUMPRODUCT(N2677:Y2677,$N$4:$Y$4)*$K2677*$L2677*$M2677</f>
        <v/>
      </c>
      <c r="AD2677" s="15" t="n">
        <v>3</v>
      </c>
      <c r="AE2677" s="11" t="n">
        <v>1.011296296296296</v>
      </c>
      <c r="AF2677" s="16">
        <f>SUMPRODUCT(N2677:Y2677,$N$5:$Y$5)*$K2677*$L2677*$M2677</f>
        <v/>
      </c>
      <c r="AG2677" s="16">
        <f>SUMPRODUCT(N2677:Y2677,$N$6:$Y$6)*$K2677*$L2677*$M2677</f>
        <v/>
      </c>
      <c r="AH2677" s="20" t="n"/>
    </row>
    <row r="2678">
      <c r="A2678" s="9" t="n">
        <v>702129</v>
      </c>
      <c r="B2678" s="9" t="inlineStr">
        <is>
          <t>Alex Pham</t>
        </is>
      </c>
      <c r="C2678" s="9" t="inlineStr">
        <is>
          <t>BAL</t>
        </is>
      </c>
      <c r="D2678" s="9" t="n">
        <v>25</v>
      </c>
      <c r="E2678" s="18" t="inlineStr">
        <is>
          <t>R</t>
        </is>
      </c>
      <c r="F2678" s="18" t="n"/>
      <c r="G2678" s="9" t="n">
        <v>50.45333333333333</v>
      </c>
      <c r="H2678" s="9" t="n">
        <v>50.45333333333333</v>
      </c>
      <c r="I2678" s="9" t="inlineStr">
        <is>
          <t>Depth (no MLB IP)</t>
        </is>
      </c>
      <c r="J2678" s="18" t="inlineStr">
        <is>
          <t>Opening Day</t>
        </is>
      </c>
      <c r="K2678" s="11">
        <f>IFERROR(INDEX(Roles!$B$17:$B$20,MATCH(J2678,Roles!$A$17:$A$20,0)),1)</f>
        <v/>
      </c>
      <c r="L2678" s="19" t="n">
        <v>1</v>
      </c>
      <c r="M2678" s="11" t="n">
        <v>1</v>
      </c>
      <c r="N2678" s="19" t="n"/>
      <c r="O2678" s="19" t="n"/>
      <c r="P2678" s="19" t="n"/>
      <c r="Q2678" s="19" t="n"/>
      <c r="R2678" s="19" t="n"/>
      <c r="S2678" s="19" t="n"/>
      <c r="T2678" s="19" t="n"/>
      <c r="U2678" s="19" t="n"/>
      <c r="V2678" s="19" t="n"/>
      <c r="W2678" s="19" t="n"/>
      <c r="X2678" s="19" t="n"/>
      <c r="Y2678" s="19" t="n">
        <v>1</v>
      </c>
      <c r="Z2678" s="13">
        <f>SUMPRODUCT(N2678:Y2678,$N$2:$Y$2)*$K2678*$L2678*$M2678</f>
        <v/>
      </c>
      <c r="AA2678" s="14">
        <f>SUM(N2678:Y2678)</f>
        <v/>
      </c>
      <c r="AB2678" s="13">
        <f>SUMPRODUCT(N2678:Y2678,$N$3:$Y$3)*$K2678*$L2678*$M2678</f>
        <v/>
      </c>
      <c r="AC2678" s="13">
        <f>SUMPRODUCT(N2678:Y2678,$N$4:$Y$4)*$K2678*$L2678*$M2678</f>
        <v/>
      </c>
      <c r="AD2678" s="15" t="n">
        <v>3</v>
      </c>
      <c r="AE2678" s="11" t="n">
        <v>1.011296296296296</v>
      </c>
      <c r="AF2678" s="16">
        <f>SUMPRODUCT(N2678:Y2678,$N$5:$Y$5)*$K2678*$L2678*$M2678</f>
        <v/>
      </c>
      <c r="AG2678" s="16">
        <f>SUMPRODUCT(N2678:Y2678,$N$6:$Y$6)*$K2678*$L2678*$M2678</f>
        <v/>
      </c>
      <c r="AH2678" s="20" t="n"/>
    </row>
    <row r="2679">
      <c r="A2679" s="9" t="n">
        <v>695445</v>
      </c>
      <c r="B2679" s="9" t="inlineStr">
        <is>
          <t>Chase Lee</t>
        </is>
      </c>
      <c r="C2679" s="9" t="inlineStr">
        <is>
          <t>TOR</t>
        </is>
      </c>
      <c r="D2679" s="9" t="n">
        <v>28</v>
      </c>
      <c r="E2679" s="18" t="inlineStr">
        <is>
          <t>R</t>
        </is>
      </c>
      <c r="F2679" s="18" t="n"/>
      <c r="G2679" s="9" t="n">
        <v>42</v>
      </c>
      <c r="H2679" s="9" t="n">
        <v>190</v>
      </c>
      <c r="I2679" s="9" t="inlineStr">
        <is>
          <t>Bullpen Depth Arm</t>
        </is>
      </c>
      <c r="J2679" s="18" t="inlineStr">
        <is>
          <t>Opening Day</t>
        </is>
      </c>
      <c r="K2679" s="11">
        <f>IFERROR(INDEX(Roles!$B$17:$B$20,MATCH(J2679,Roles!$A$17:$A$20,0)),1)</f>
        <v/>
      </c>
      <c r="L2679" s="19" t="n">
        <v>1</v>
      </c>
      <c r="M2679" s="11" t="n">
        <v>1</v>
      </c>
      <c r="N2679" s="19" t="n"/>
      <c r="O2679" s="19" t="n"/>
      <c r="P2679" s="19" t="n"/>
      <c r="Q2679" s="19" t="n"/>
      <c r="R2679" s="19" t="n"/>
      <c r="S2679" s="19" t="n"/>
      <c r="T2679" s="19" t="n"/>
      <c r="U2679" s="19" t="n"/>
      <c r="V2679" s="19" t="n">
        <v>0.15</v>
      </c>
      <c r="W2679" s="19" t="n">
        <v>0.85</v>
      </c>
      <c r="X2679" s="19" t="n"/>
      <c r="Y2679" s="19" t="n"/>
      <c r="Z2679" s="13">
        <f>SUMPRODUCT(N2679:Y2679,$N$2:$Y$2)*$K2679*$L2679*$M2679</f>
        <v/>
      </c>
      <c r="AA2679" s="14">
        <f>SUM(N2679:Y2679)</f>
        <v/>
      </c>
      <c r="AB2679" s="13">
        <f>SUMPRODUCT(N2679:Y2679,$N$3:$Y$3)*$K2679*$L2679*$M2679</f>
        <v/>
      </c>
      <c r="AC2679" s="13">
        <f>SUMPRODUCT(N2679:Y2679,$N$4:$Y$4)*$K2679*$L2679*$M2679</f>
        <v/>
      </c>
      <c r="AD2679" s="15" t="n">
        <v>16.22666666666667</v>
      </c>
      <c r="AE2679" s="11" t="n">
        <v>1.194183902517236</v>
      </c>
      <c r="AF2679" s="16">
        <f>SUMPRODUCT(N2679:Y2679,$N$5:$Y$5)*$K2679*$L2679*$M2679</f>
        <v/>
      </c>
      <c r="AG2679" s="16">
        <f>SUMPRODUCT(N2679:Y2679,$N$6:$Y$6)*$K2679*$L2679*$M2679</f>
        <v/>
      </c>
      <c r="AH2679" s="20" t="n"/>
    </row>
    <row r="2680">
      <c r="A2680" s="9" t="n">
        <v>671969</v>
      </c>
      <c r="B2680" s="9" t="inlineStr">
        <is>
          <t>Adam Tulloch</t>
        </is>
      </c>
      <c r="C2680" s="9" t="inlineStr">
        <is>
          <t>CLE</t>
        </is>
      </c>
      <c r="D2680" s="9" t="n">
        <v>25</v>
      </c>
      <c r="E2680" s="18" t="inlineStr">
        <is>
          <t>L</t>
        </is>
      </c>
      <c r="F2680" s="18" t="n"/>
      <c r="G2680" s="9" t="n">
        <v>50.66833333333332</v>
      </c>
      <c r="H2680" s="9" t="n">
        <v>50.66833333333332</v>
      </c>
      <c r="I2680" s="9" t="inlineStr">
        <is>
          <t>Depth (no MLB IP)</t>
        </is>
      </c>
      <c r="J2680" s="18" t="inlineStr">
        <is>
          <t>Opening Day</t>
        </is>
      </c>
      <c r="K2680" s="11">
        <f>IFERROR(INDEX(Roles!$B$17:$B$20,MATCH(J2680,Roles!$A$17:$A$20,0)),1)</f>
        <v/>
      </c>
      <c r="L2680" s="19" t="n">
        <v>1</v>
      </c>
      <c r="M2680" s="11" t="n">
        <v>1</v>
      </c>
      <c r="N2680" s="19" t="n"/>
      <c r="O2680" s="19" t="n"/>
      <c r="P2680" s="19" t="n"/>
      <c r="Q2680" s="19" t="n"/>
      <c r="R2680" s="19" t="n"/>
      <c r="S2680" s="19" t="n"/>
      <c r="T2680" s="19" t="n"/>
      <c r="U2680" s="19" t="n"/>
      <c r="V2680" s="19" t="n"/>
      <c r="W2680" s="19" t="n"/>
      <c r="X2680" s="19" t="n"/>
      <c r="Y2680" s="19" t="n">
        <v>1</v>
      </c>
      <c r="Z2680" s="13">
        <f>SUMPRODUCT(N2680:Y2680,$N$2:$Y$2)*$K2680*$L2680*$M2680</f>
        <v/>
      </c>
      <c r="AA2680" s="14">
        <f>SUM(N2680:Y2680)</f>
        <v/>
      </c>
      <c r="AB2680" s="13">
        <f>SUMPRODUCT(N2680:Y2680,$N$3:$Y$3)*$K2680*$L2680*$M2680</f>
        <v/>
      </c>
      <c r="AC2680" s="13">
        <f>SUMPRODUCT(N2680:Y2680,$N$4:$Y$4)*$K2680*$L2680*$M2680</f>
        <v/>
      </c>
      <c r="AD2680" s="15" t="n">
        <v>3</v>
      </c>
      <c r="AE2680" s="11" t="n">
        <v>1.011296296296296</v>
      </c>
      <c r="AF2680" s="16">
        <f>SUMPRODUCT(N2680:Y2680,$N$5:$Y$5)*$K2680*$L2680*$M2680</f>
        <v/>
      </c>
      <c r="AG2680" s="16">
        <f>SUMPRODUCT(N2680:Y2680,$N$6:$Y$6)*$K2680*$L2680*$M2680</f>
        <v/>
      </c>
      <c r="AH2680" s="20" t="n"/>
    </row>
    <row r="2681">
      <c r="A2681" s="9" t="n">
        <v>690658</v>
      </c>
      <c r="B2681" s="9" t="inlineStr">
        <is>
          <t>Will Johnston</t>
        </is>
      </c>
      <c r="C2681" s="9" t="inlineStr">
        <is>
          <t>OAK</t>
        </is>
      </c>
      <c r="D2681" s="9" t="n">
        <v>25</v>
      </c>
      <c r="E2681" s="18" t="inlineStr">
        <is>
          <t>L</t>
        </is>
      </c>
      <c r="F2681" s="18" t="n"/>
      <c r="G2681" s="9" t="n">
        <v>50.66833333333332</v>
      </c>
      <c r="H2681" s="9" t="n">
        <v>50.66833333333332</v>
      </c>
      <c r="I2681" s="9" t="inlineStr">
        <is>
          <t>Depth (no MLB IP)</t>
        </is>
      </c>
      <c r="J2681" s="18" t="inlineStr">
        <is>
          <t>Opening Day</t>
        </is>
      </c>
      <c r="K2681" s="11">
        <f>IFERROR(INDEX(Roles!$B$17:$B$20,MATCH(J2681,Roles!$A$17:$A$20,0)),1)</f>
        <v/>
      </c>
      <c r="L2681" s="19" t="n">
        <v>1</v>
      </c>
      <c r="M2681" s="11" t="n">
        <v>1</v>
      </c>
      <c r="N2681" s="19" t="n"/>
      <c r="O2681" s="19" t="n"/>
      <c r="P2681" s="19" t="n"/>
      <c r="Q2681" s="19" t="n"/>
      <c r="R2681" s="19" t="n"/>
      <c r="S2681" s="19" t="n"/>
      <c r="T2681" s="19" t="n"/>
      <c r="U2681" s="19" t="n"/>
      <c r="V2681" s="19" t="n"/>
      <c r="W2681" s="19" t="n"/>
      <c r="X2681" s="19" t="n"/>
      <c r="Y2681" s="19" t="n">
        <v>1</v>
      </c>
      <c r="Z2681" s="13">
        <f>SUMPRODUCT(N2681:Y2681,$N$2:$Y$2)*$K2681*$L2681*$M2681</f>
        <v/>
      </c>
      <c r="AA2681" s="14">
        <f>SUM(N2681:Y2681)</f>
        <v/>
      </c>
      <c r="AB2681" s="13">
        <f>SUMPRODUCT(N2681:Y2681,$N$3:$Y$3)*$K2681*$L2681*$M2681</f>
        <v/>
      </c>
      <c r="AC2681" s="13">
        <f>SUMPRODUCT(N2681:Y2681,$N$4:$Y$4)*$K2681*$L2681*$M2681</f>
        <v/>
      </c>
      <c r="AD2681" s="15" t="n">
        <v>3</v>
      </c>
      <c r="AE2681" s="11" t="n">
        <v>1.011296296296296</v>
      </c>
      <c r="AF2681" s="16">
        <f>SUMPRODUCT(N2681:Y2681,$N$5:$Y$5)*$K2681*$L2681*$M2681</f>
        <v/>
      </c>
      <c r="AG2681" s="16">
        <f>SUMPRODUCT(N2681:Y2681,$N$6:$Y$6)*$K2681*$L2681*$M2681</f>
        <v/>
      </c>
      <c r="AH2681" s="20" t="n"/>
    </row>
    <row r="2682">
      <c r="A2682" s="9" t="n">
        <v>831325</v>
      </c>
      <c r="B2682" s="9" t="inlineStr">
        <is>
          <t>Tyler Schmitt</t>
        </is>
      </c>
      <c r="C2682" s="9" t="inlineStr">
        <is>
          <t>SD</t>
        </is>
      </c>
      <c r="D2682" s="9" t="n">
        <v>25</v>
      </c>
      <c r="E2682" s="18" t="inlineStr">
        <is>
          <t>R</t>
        </is>
      </c>
      <c r="F2682" s="18" t="n"/>
      <c r="G2682" s="9" t="n">
        <v>50.74</v>
      </c>
      <c r="H2682" s="9" t="n">
        <v>50.74</v>
      </c>
      <c r="I2682" s="9" t="inlineStr">
        <is>
          <t>Depth (no MLB IP)</t>
        </is>
      </c>
      <c r="J2682" s="18" t="inlineStr">
        <is>
          <t>Opening Day</t>
        </is>
      </c>
      <c r="K2682" s="11">
        <f>IFERROR(INDEX(Roles!$B$17:$B$20,MATCH(J2682,Roles!$A$17:$A$20,0)),1)</f>
        <v/>
      </c>
      <c r="L2682" s="19" t="n">
        <v>1</v>
      </c>
      <c r="M2682" s="11" t="n">
        <v>1</v>
      </c>
      <c r="N2682" s="19" t="n"/>
      <c r="O2682" s="19" t="n"/>
      <c r="P2682" s="19" t="n"/>
      <c r="Q2682" s="19" t="n"/>
      <c r="R2682" s="19" t="n"/>
      <c r="S2682" s="19" t="n"/>
      <c r="T2682" s="19" t="n"/>
      <c r="U2682" s="19" t="n"/>
      <c r="V2682" s="19" t="n"/>
      <c r="W2682" s="19" t="n"/>
      <c r="X2682" s="19" t="n"/>
      <c r="Y2682" s="19" t="n">
        <v>1</v>
      </c>
      <c r="Z2682" s="13">
        <f>SUMPRODUCT(N2682:Y2682,$N$2:$Y$2)*$K2682*$L2682*$M2682</f>
        <v/>
      </c>
      <c r="AA2682" s="14">
        <f>SUM(N2682:Y2682)</f>
        <v/>
      </c>
      <c r="AB2682" s="13">
        <f>SUMPRODUCT(N2682:Y2682,$N$3:$Y$3)*$K2682*$L2682*$M2682</f>
        <v/>
      </c>
      <c r="AC2682" s="13">
        <f>SUMPRODUCT(N2682:Y2682,$N$4:$Y$4)*$K2682*$L2682*$M2682</f>
        <v/>
      </c>
      <c r="AD2682" s="15" t="n">
        <v>3</v>
      </c>
      <c r="AE2682" s="11" t="n">
        <v>1.011296296296296</v>
      </c>
      <c r="AF2682" s="16">
        <f>SUMPRODUCT(N2682:Y2682,$N$5:$Y$5)*$K2682*$L2682*$M2682</f>
        <v/>
      </c>
      <c r="AG2682" s="16">
        <f>SUMPRODUCT(N2682:Y2682,$N$6:$Y$6)*$K2682*$L2682*$M2682</f>
        <v/>
      </c>
      <c r="AH2682" s="20" t="n"/>
    </row>
    <row r="2683">
      <c r="A2683" s="9" t="n">
        <v>663408</v>
      </c>
      <c r="B2683" s="9" t="inlineStr">
        <is>
          <t>Dylan Hecht</t>
        </is>
      </c>
      <c r="C2683" s="9" t="inlineStr">
        <is>
          <t>SF</t>
        </is>
      </c>
      <c r="D2683" s="9" t="n">
        <v>25</v>
      </c>
      <c r="E2683" s="18" t="inlineStr">
        <is>
          <t>R</t>
        </is>
      </c>
      <c r="F2683" s="18" t="n"/>
      <c r="G2683" s="9" t="n">
        <v>50.66833333333332</v>
      </c>
      <c r="H2683" s="9" t="n">
        <v>50.66833333333332</v>
      </c>
      <c r="I2683" s="9" t="inlineStr">
        <is>
          <t>Depth (no MLB IP)</t>
        </is>
      </c>
      <c r="J2683" s="18" t="inlineStr">
        <is>
          <t>Opening Day</t>
        </is>
      </c>
      <c r="K2683" s="11">
        <f>IFERROR(INDEX(Roles!$B$17:$B$20,MATCH(J2683,Roles!$A$17:$A$20,0)),1)</f>
        <v/>
      </c>
      <c r="L2683" s="19" t="n">
        <v>1</v>
      </c>
      <c r="M2683" s="11" t="n">
        <v>1</v>
      </c>
      <c r="N2683" s="19" t="n"/>
      <c r="O2683" s="19" t="n"/>
      <c r="P2683" s="19" t="n"/>
      <c r="Q2683" s="19" t="n"/>
      <c r="R2683" s="19" t="n"/>
      <c r="S2683" s="19" t="n"/>
      <c r="T2683" s="19" t="n"/>
      <c r="U2683" s="19" t="n"/>
      <c r="V2683" s="19" t="n"/>
      <c r="W2683" s="19" t="n"/>
      <c r="X2683" s="19" t="n"/>
      <c r="Y2683" s="19" t="n">
        <v>1</v>
      </c>
      <c r="Z2683" s="13">
        <f>SUMPRODUCT(N2683:Y2683,$N$2:$Y$2)*$K2683*$L2683*$M2683</f>
        <v/>
      </c>
      <c r="AA2683" s="14">
        <f>SUM(N2683:Y2683)</f>
        <v/>
      </c>
      <c r="AB2683" s="13">
        <f>SUMPRODUCT(N2683:Y2683,$N$3:$Y$3)*$K2683*$L2683*$M2683</f>
        <v/>
      </c>
      <c r="AC2683" s="13">
        <f>SUMPRODUCT(N2683:Y2683,$N$4:$Y$4)*$K2683*$L2683*$M2683</f>
        <v/>
      </c>
      <c r="AD2683" s="15" t="n">
        <v>3</v>
      </c>
      <c r="AE2683" s="11" t="n">
        <v>1.011296296296296</v>
      </c>
      <c r="AF2683" s="16">
        <f>SUMPRODUCT(N2683:Y2683,$N$5:$Y$5)*$K2683*$L2683*$M2683</f>
        <v/>
      </c>
      <c r="AG2683" s="16">
        <f>SUMPRODUCT(N2683:Y2683,$N$6:$Y$6)*$K2683*$L2683*$M2683</f>
        <v/>
      </c>
      <c r="AH2683" s="20" t="n"/>
    </row>
    <row r="2684">
      <c r="A2684" s="9" t="n">
        <v>807281</v>
      </c>
      <c r="B2684" s="9" t="inlineStr">
        <is>
          <t>Trey Gregory-Alford</t>
        </is>
      </c>
      <c r="C2684" s="9" t="inlineStr">
        <is>
          <t>LAA</t>
        </is>
      </c>
      <c r="D2684" s="9" t="n">
        <v>25</v>
      </c>
      <c r="E2684" s="18" t="inlineStr">
        <is>
          <t>R</t>
        </is>
      </c>
      <c r="F2684" s="18" t="n"/>
      <c r="G2684" s="9" t="n">
        <v>50.912</v>
      </c>
      <c r="H2684" s="9" t="n">
        <v>50.912</v>
      </c>
      <c r="I2684" s="9" t="inlineStr">
        <is>
          <t>Depth (no MLB IP)</t>
        </is>
      </c>
      <c r="J2684" s="18" t="inlineStr">
        <is>
          <t>Opening Day</t>
        </is>
      </c>
      <c r="K2684" s="11">
        <f>IFERROR(INDEX(Roles!$B$17:$B$20,MATCH(J2684,Roles!$A$17:$A$20,0)),1)</f>
        <v/>
      </c>
      <c r="L2684" s="19" t="n">
        <v>1</v>
      </c>
      <c r="M2684" s="11" t="n">
        <v>1</v>
      </c>
      <c r="N2684" s="19" t="n"/>
      <c r="O2684" s="19" t="n"/>
      <c r="P2684" s="19" t="n"/>
      <c r="Q2684" s="19" t="n"/>
      <c r="R2684" s="19" t="n"/>
      <c r="S2684" s="19" t="n"/>
      <c r="T2684" s="19" t="n"/>
      <c r="U2684" s="19" t="n"/>
      <c r="V2684" s="19" t="n"/>
      <c r="W2684" s="19" t="n"/>
      <c r="X2684" s="19" t="n"/>
      <c r="Y2684" s="19" t="n">
        <v>1</v>
      </c>
      <c r="Z2684" s="13">
        <f>SUMPRODUCT(N2684:Y2684,$N$2:$Y$2)*$K2684*$L2684*$M2684</f>
        <v/>
      </c>
      <c r="AA2684" s="14">
        <f>SUM(N2684:Y2684)</f>
        <v/>
      </c>
      <c r="AB2684" s="13">
        <f>SUMPRODUCT(N2684:Y2684,$N$3:$Y$3)*$K2684*$L2684*$M2684</f>
        <v/>
      </c>
      <c r="AC2684" s="13">
        <f>SUMPRODUCT(N2684:Y2684,$N$4:$Y$4)*$K2684*$L2684*$M2684</f>
        <v/>
      </c>
      <c r="AD2684" s="15" t="n">
        <v>3</v>
      </c>
      <c r="AE2684" s="11" t="n">
        <v>1.011296296296296</v>
      </c>
      <c r="AF2684" s="16">
        <f>SUMPRODUCT(N2684:Y2684,$N$5:$Y$5)*$K2684*$L2684*$M2684</f>
        <v/>
      </c>
      <c r="AG2684" s="16">
        <f>SUMPRODUCT(N2684:Y2684,$N$6:$Y$6)*$K2684*$L2684*$M2684</f>
        <v/>
      </c>
      <c r="AH2684" s="20" t="n"/>
    </row>
    <row r="2685">
      <c r="A2685" s="9" t="n">
        <v>621139</v>
      </c>
      <c r="B2685" s="9" t="inlineStr">
        <is>
          <t>Brooks Kriske</t>
        </is>
      </c>
      <c r="C2685" s="9" t="inlineStr">
        <is>
          <t>MIN</t>
        </is>
      </c>
      <c r="D2685" s="9" t="n">
        <v>33</v>
      </c>
      <c r="E2685" s="18" t="inlineStr">
        <is>
          <t>R</t>
        </is>
      </c>
      <c r="F2685" s="18" t="n"/>
      <c r="G2685" s="9" t="n">
        <v>11</v>
      </c>
      <c r="H2685" s="9" t="n">
        <v>124</v>
      </c>
      <c r="I2685" s="9" t="inlineStr">
        <is>
          <t>Bullpen Depth Arm</t>
        </is>
      </c>
      <c r="J2685" s="18" t="inlineStr">
        <is>
          <t>Opening Day</t>
        </is>
      </c>
      <c r="K2685" s="11">
        <f>IFERROR(INDEX(Roles!$B$17:$B$20,MATCH(J2685,Roles!$A$17:$A$20,0)),1)</f>
        <v/>
      </c>
      <c r="L2685" s="19" t="n">
        <v>1</v>
      </c>
      <c r="M2685" s="11" t="n">
        <v>1</v>
      </c>
      <c r="N2685" s="19" t="n"/>
      <c r="O2685" s="19" t="n"/>
      <c r="P2685" s="19" t="n"/>
      <c r="Q2685" s="19" t="n"/>
      <c r="R2685" s="19" t="n"/>
      <c r="S2685" s="19" t="n"/>
      <c r="T2685" s="19" t="n"/>
      <c r="U2685" s="19" t="n"/>
      <c r="V2685" s="19" t="n">
        <v>0.15</v>
      </c>
      <c r="W2685" s="19" t="n">
        <v>0.85</v>
      </c>
      <c r="X2685" s="19" t="n"/>
      <c r="Y2685" s="19" t="n"/>
      <c r="Z2685" s="13">
        <f>SUMPRODUCT(N2685:Y2685,$N$2:$Y$2)*$K2685*$L2685*$M2685</f>
        <v/>
      </c>
      <c r="AA2685" s="14">
        <f>SUM(N2685:Y2685)</f>
        <v/>
      </c>
      <c r="AB2685" s="13">
        <f>SUMPRODUCT(N2685:Y2685,$N$3:$Y$3)*$K2685*$L2685*$M2685</f>
        <v/>
      </c>
      <c r="AC2685" s="13">
        <f>SUMPRODUCT(N2685:Y2685,$N$4:$Y$4)*$K2685*$L2685*$M2685</f>
        <v/>
      </c>
      <c r="AD2685" s="15" t="n">
        <v>10.22666666666666</v>
      </c>
      <c r="AE2685" s="11" t="n">
        <v>1.18747204712117</v>
      </c>
      <c r="AF2685" s="16">
        <f>SUMPRODUCT(N2685:Y2685,$N$5:$Y$5)*$K2685*$L2685*$M2685</f>
        <v/>
      </c>
      <c r="AG2685" s="16">
        <f>SUMPRODUCT(N2685:Y2685,$N$6:$Y$6)*$K2685*$L2685*$M2685</f>
        <v/>
      </c>
      <c r="AH2685" s="20" t="n"/>
    </row>
    <row r="2686">
      <c r="A2686" s="9" t="n">
        <v>693713</v>
      </c>
      <c r="B2686" s="9" t="inlineStr">
        <is>
          <t>Emiliano Teodo</t>
        </is>
      </c>
      <c r="C2686" s="9" t="inlineStr">
        <is>
          <t>TEX</t>
        </is>
      </c>
      <c r="D2686" s="9" t="n">
        <v>26</v>
      </c>
      <c r="E2686" s="18" t="inlineStr">
        <is>
          <t>R</t>
        </is>
      </c>
      <c r="F2686" s="18" t="n"/>
      <c r="G2686" s="9" t="n">
        <v>10</v>
      </c>
      <c r="H2686" s="9" t="n">
        <v>10</v>
      </c>
      <c r="I2686" s="9" t="inlineStr">
        <is>
          <t>Depth (no MLB IP)</t>
        </is>
      </c>
      <c r="J2686" s="18" t="inlineStr">
        <is>
          <t>Opening Day</t>
        </is>
      </c>
      <c r="K2686" s="11">
        <f>IFERROR(INDEX(Roles!$B$17:$B$20,MATCH(J2686,Roles!$A$17:$A$20,0)),1)</f>
        <v/>
      </c>
      <c r="L2686" s="19" t="n">
        <v>1</v>
      </c>
      <c r="M2686" s="11" t="n">
        <v>1</v>
      </c>
      <c r="N2686" s="19" t="n"/>
      <c r="O2686" s="19" t="n"/>
      <c r="P2686" s="19" t="n"/>
      <c r="Q2686" s="19" t="n"/>
      <c r="R2686" s="19" t="n"/>
      <c r="S2686" s="19" t="n"/>
      <c r="T2686" s="19" t="n"/>
      <c r="U2686" s="19" t="n"/>
      <c r="V2686" s="19" t="n"/>
      <c r="W2686" s="19" t="n"/>
      <c r="X2686" s="19" t="n"/>
      <c r="Y2686" s="19" t="n">
        <v>1</v>
      </c>
      <c r="Z2686" s="13">
        <f>SUMPRODUCT(N2686:Y2686,$N$2:$Y$2)*$K2686*$L2686*$M2686</f>
        <v/>
      </c>
      <c r="AA2686" s="14">
        <f>SUM(N2686:Y2686)</f>
        <v/>
      </c>
      <c r="AB2686" s="13">
        <f>SUMPRODUCT(N2686:Y2686,$N$3:$Y$3)*$K2686*$L2686*$M2686</f>
        <v/>
      </c>
      <c r="AC2686" s="13">
        <f>SUMPRODUCT(N2686:Y2686,$N$4:$Y$4)*$K2686*$L2686*$M2686</f>
        <v/>
      </c>
      <c r="AD2686" s="15" t="n">
        <v>1.8</v>
      </c>
      <c r="AE2686" s="11" t="n">
        <v>1.229753086419753</v>
      </c>
      <c r="AF2686" s="16">
        <f>SUMPRODUCT(N2686:Y2686,$N$5:$Y$5)*$K2686*$L2686*$M2686</f>
        <v/>
      </c>
      <c r="AG2686" s="16">
        <f>SUMPRODUCT(N2686:Y2686,$N$6:$Y$6)*$K2686*$L2686*$M2686</f>
        <v/>
      </c>
      <c r="AH2686" s="20" t="n"/>
    </row>
    <row r="2687">
      <c r="A2687" s="9" t="n">
        <v>543594</v>
      </c>
      <c r="B2687" s="9" t="inlineStr">
        <is>
          <t>Sean Nolin</t>
        </is>
      </c>
      <c r="C2687" s="9" t="inlineStr">
        <is>
          <t>MIA</t>
        </is>
      </c>
      <c r="D2687" s="9" t="n">
        <v>37</v>
      </c>
      <c r="E2687" s="18" t="inlineStr">
        <is>
          <t>L</t>
        </is>
      </c>
      <c r="F2687" s="18" t="n"/>
      <c r="G2687" s="9" t="n">
        <v>18</v>
      </c>
      <c r="H2687" s="9" t="n">
        <v>18</v>
      </c>
      <c r="I2687" s="9" t="inlineStr">
        <is>
          <t>Depth (no MLB IP)</t>
        </is>
      </c>
      <c r="J2687" s="18" t="inlineStr">
        <is>
          <t>Opening Day</t>
        </is>
      </c>
      <c r="K2687" s="11">
        <f>IFERROR(INDEX(Roles!$B$17:$B$20,MATCH(J2687,Roles!$A$17:$A$20,0)),1)</f>
        <v/>
      </c>
      <c r="L2687" s="19" t="n">
        <v>1</v>
      </c>
      <c r="M2687" s="11" t="n">
        <v>1</v>
      </c>
      <c r="N2687" s="19" t="n"/>
      <c r="O2687" s="19" t="n"/>
      <c r="P2687" s="19" t="n"/>
      <c r="Q2687" s="19" t="n"/>
      <c r="R2687" s="19" t="n"/>
      <c r="S2687" s="19" t="n"/>
      <c r="T2687" s="19" t="n"/>
      <c r="U2687" s="19" t="n"/>
      <c r="V2687" s="19" t="n"/>
      <c r="W2687" s="19" t="n"/>
      <c r="X2687" s="19" t="n"/>
      <c r="Y2687" s="19" t="n">
        <v>1</v>
      </c>
      <c r="Z2687" s="13">
        <f>SUMPRODUCT(N2687:Y2687,$N$2:$Y$2)*$K2687*$L2687*$M2687</f>
        <v/>
      </c>
      <c r="AA2687" s="14">
        <f>SUM(N2687:Y2687)</f>
        <v/>
      </c>
      <c r="AB2687" s="13">
        <f>SUMPRODUCT(N2687:Y2687,$N$3:$Y$3)*$K2687*$L2687*$M2687</f>
        <v/>
      </c>
      <c r="AC2687" s="13">
        <f>SUMPRODUCT(N2687:Y2687,$N$4:$Y$4)*$K2687*$L2687*$M2687</f>
        <v/>
      </c>
      <c r="AD2687" s="15" t="n">
        <v>3</v>
      </c>
      <c r="AE2687" s="11" t="n">
        <v>1.011296296296296</v>
      </c>
      <c r="AF2687" s="16">
        <f>SUMPRODUCT(N2687:Y2687,$N$5:$Y$5)*$K2687*$L2687*$M2687</f>
        <v/>
      </c>
      <c r="AG2687" s="16">
        <f>SUMPRODUCT(N2687:Y2687,$N$6:$Y$6)*$K2687*$L2687*$M2687</f>
        <v/>
      </c>
      <c r="AH2687" s="20" t="n"/>
    </row>
    <row r="2688">
      <c r="A2688" s="9" t="n">
        <v>687864</v>
      </c>
      <c r="B2688" s="9" t="inlineStr">
        <is>
          <t>Ryan Vanderhei</t>
        </is>
      </c>
      <c r="C2688" s="9" t="inlineStr">
        <is>
          <t>SF</t>
        </is>
      </c>
      <c r="D2688" s="9" t="n">
        <v>25</v>
      </c>
      <c r="E2688" s="18" t="inlineStr">
        <is>
          <t>R</t>
        </is>
      </c>
      <c r="F2688" s="18" t="n"/>
      <c r="G2688" s="9" t="n">
        <v>51.17</v>
      </c>
      <c r="H2688" s="9" t="n">
        <v>51.17</v>
      </c>
      <c r="I2688" s="9" t="inlineStr">
        <is>
          <t>Depth (no MLB IP)</t>
        </is>
      </c>
      <c r="J2688" s="18" t="inlineStr">
        <is>
          <t>Opening Day</t>
        </is>
      </c>
      <c r="K2688" s="11">
        <f>IFERROR(INDEX(Roles!$B$17:$B$20,MATCH(J2688,Roles!$A$17:$A$20,0)),1)</f>
        <v/>
      </c>
      <c r="L2688" s="19" t="n">
        <v>1</v>
      </c>
      <c r="M2688" s="11" t="n">
        <v>1</v>
      </c>
      <c r="N2688" s="19" t="n"/>
      <c r="O2688" s="19" t="n"/>
      <c r="P2688" s="19" t="n"/>
      <c r="Q2688" s="19" t="n"/>
      <c r="R2688" s="19" t="n"/>
      <c r="S2688" s="19" t="n"/>
      <c r="T2688" s="19" t="n"/>
      <c r="U2688" s="19" t="n"/>
      <c r="V2688" s="19" t="n"/>
      <c r="W2688" s="19" t="n"/>
      <c r="X2688" s="19" t="n"/>
      <c r="Y2688" s="19" t="n">
        <v>1</v>
      </c>
      <c r="Z2688" s="13">
        <f>SUMPRODUCT(N2688:Y2688,$N$2:$Y$2)*$K2688*$L2688*$M2688</f>
        <v/>
      </c>
      <c r="AA2688" s="14">
        <f>SUM(N2688:Y2688)</f>
        <v/>
      </c>
      <c r="AB2688" s="13">
        <f>SUMPRODUCT(N2688:Y2688,$N$3:$Y$3)*$K2688*$L2688*$M2688</f>
        <v/>
      </c>
      <c r="AC2688" s="13">
        <f>SUMPRODUCT(N2688:Y2688,$N$4:$Y$4)*$K2688*$L2688*$M2688</f>
        <v/>
      </c>
      <c r="AD2688" s="15" t="n">
        <v>3</v>
      </c>
      <c r="AE2688" s="11" t="n">
        <v>1.011296296296296</v>
      </c>
      <c r="AF2688" s="16">
        <f>SUMPRODUCT(N2688:Y2688,$N$5:$Y$5)*$K2688*$L2688*$M2688</f>
        <v/>
      </c>
      <c r="AG2688" s="16">
        <f>SUMPRODUCT(N2688:Y2688,$N$6:$Y$6)*$K2688*$L2688*$M2688</f>
        <v/>
      </c>
      <c r="AH2688" s="20" t="n"/>
    </row>
    <row r="2689">
      <c r="A2689" s="9" t="n">
        <v>641658</v>
      </c>
      <c r="B2689" s="9" t="inlineStr">
        <is>
          <t>Garrett Hampson</t>
        </is>
      </c>
      <c r="C2689" s="9" t="inlineStr">
        <is>
          <t>STL</t>
        </is>
      </c>
      <c r="D2689" s="9" t="n">
        <v>32</v>
      </c>
      <c r="E2689" s="18" t="inlineStr">
        <is>
          <t>R</t>
        </is>
      </c>
      <c r="F2689" s="18" t="n"/>
      <c r="G2689" s="9" t="n">
        <v>3</v>
      </c>
      <c r="H2689" s="9" t="n">
        <v>7</v>
      </c>
      <c r="I2689" s="9" t="inlineStr">
        <is>
          <t>Depth (no MLB IP)</t>
        </is>
      </c>
      <c r="J2689" s="18" t="inlineStr">
        <is>
          <t>Opening Day</t>
        </is>
      </c>
      <c r="K2689" s="11">
        <f>IFERROR(INDEX(Roles!$B$17:$B$20,MATCH(J2689,Roles!$A$17:$A$20,0)),1)</f>
        <v/>
      </c>
      <c r="L2689" s="19" t="n">
        <v>1</v>
      </c>
      <c r="M2689" s="11" t="n">
        <v>1</v>
      </c>
      <c r="N2689" s="19" t="n"/>
      <c r="O2689" s="19" t="n"/>
      <c r="P2689" s="19" t="n"/>
      <c r="Q2689" s="19" t="n"/>
      <c r="R2689" s="19" t="n"/>
      <c r="S2689" s="19" t="n"/>
      <c r="T2689" s="19" t="n"/>
      <c r="U2689" s="19" t="n"/>
      <c r="V2689" s="19" t="n"/>
      <c r="W2689" s="19" t="n"/>
      <c r="X2689" s="19" t="n"/>
      <c r="Y2689" s="19" t="n">
        <v>1</v>
      </c>
      <c r="Z2689" s="13">
        <f>SUMPRODUCT(N2689:Y2689,$N$2:$Y$2)*$K2689*$L2689*$M2689</f>
        <v/>
      </c>
      <c r="AA2689" s="14">
        <f>SUM(N2689:Y2689)</f>
        <v/>
      </c>
      <c r="AB2689" s="13">
        <f>SUMPRODUCT(N2689:Y2689,$N$3:$Y$3)*$K2689*$L2689*$M2689</f>
        <v/>
      </c>
      <c r="AC2689" s="13">
        <f>SUMPRODUCT(N2689:Y2689,$N$4:$Y$4)*$K2689*$L2689*$M2689</f>
        <v/>
      </c>
      <c r="AD2689" s="15" t="n">
        <v>1.8</v>
      </c>
      <c r="AE2689" s="11" t="n">
        <v>1.007530864197531</v>
      </c>
      <c r="AF2689" s="16">
        <f>SUMPRODUCT(N2689:Y2689,$N$5:$Y$5)*$K2689*$L2689*$M2689</f>
        <v/>
      </c>
      <c r="AG2689" s="16">
        <f>SUMPRODUCT(N2689:Y2689,$N$6:$Y$6)*$K2689*$L2689*$M2689</f>
        <v/>
      </c>
      <c r="AH2689" s="20" t="n"/>
    </row>
    <row r="2690">
      <c r="A2690" s="9" t="n">
        <v>686754</v>
      </c>
      <c r="B2690" s="9" t="inlineStr">
        <is>
          <t>Ryan Jensen</t>
        </is>
      </c>
      <c r="C2690" s="9" t="inlineStr">
        <is>
          <t>CHC</t>
        </is>
      </c>
      <c r="D2690" s="9" t="n">
        <v>25</v>
      </c>
      <c r="E2690" s="18" t="inlineStr">
        <is>
          <t>R</t>
        </is>
      </c>
      <c r="F2690" s="18" t="n"/>
      <c r="G2690" s="9" t="n">
        <v>51.24166666666667</v>
      </c>
      <c r="H2690" s="9" t="n">
        <v>51.24166666666667</v>
      </c>
      <c r="I2690" s="9" t="inlineStr">
        <is>
          <t>Depth (no MLB IP)</t>
        </is>
      </c>
      <c r="J2690" s="18" t="inlineStr">
        <is>
          <t>Opening Day</t>
        </is>
      </c>
      <c r="K2690" s="11">
        <f>IFERROR(INDEX(Roles!$B$17:$B$20,MATCH(J2690,Roles!$A$17:$A$20,0)),1)</f>
        <v/>
      </c>
      <c r="L2690" s="19" t="n">
        <v>1</v>
      </c>
      <c r="M2690" s="11" t="n">
        <v>1</v>
      </c>
      <c r="N2690" s="19" t="n"/>
      <c r="O2690" s="19" t="n"/>
      <c r="P2690" s="19" t="n"/>
      <c r="Q2690" s="19" t="n"/>
      <c r="R2690" s="19" t="n"/>
      <c r="S2690" s="19" t="n"/>
      <c r="T2690" s="19" t="n"/>
      <c r="U2690" s="19" t="n"/>
      <c r="V2690" s="19" t="n"/>
      <c r="W2690" s="19" t="n"/>
      <c r="X2690" s="19" t="n"/>
      <c r="Y2690" s="19" t="n">
        <v>1</v>
      </c>
      <c r="Z2690" s="13">
        <f>SUMPRODUCT(N2690:Y2690,$N$2:$Y$2)*$K2690*$L2690*$M2690</f>
        <v/>
      </c>
      <c r="AA2690" s="14">
        <f>SUM(N2690:Y2690)</f>
        <v/>
      </c>
      <c r="AB2690" s="13">
        <f>SUMPRODUCT(N2690:Y2690,$N$3:$Y$3)*$K2690*$L2690*$M2690</f>
        <v/>
      </c>
      <c r="AC2690" s="13">
        <f>SUMPRODUCT(N2690:Y2690,$N$4:$Y$4)*$K2690*$L2690*$M2690</f>
        <v/>
      </c>
      <c r="AD2690" s="15" t="n">
        <v>3</v>
      </c>
      <c r="AE2690" s="11" t="n">
        <v>1.011296296296296</v>
      </c>
      <c r="AF2690" s="16">
        <f>SUMPRODUCT(N2690:Y2690,$N$5:$Y$5)*$K2690*$L2690*$M2690</f>
        <v/>
      </c>
      <c r="AG2690" s="16">
        <f>SUMPRODUCT(N2690:Y2690,$N$6:$Y$6)*$K2690*$L2690*$M2690</f>
        <v/>
      </c>
      <c r="AH2690" s="20" t="n"/>
    </row>
    <row r="2691">
      <c r="A2691" s="9" t="n">
        <v>831572</v>
      </c>
      <c r="B2691" s="9" t="inlineStr">
        <is>
          <t>Carson Fischer</t>
        </is>
      </c>
      <c r="C2691" s="9" t="inlineStr">
        <is>
          <t>WSH</t>
        </is>
      </c>
      <c r="D2691" s="9" t="n">
        <v>25</v>
      </c>
      <c r="E2691" s="18" t="inlineStr">
        <is>
          <t>R</t>
        </is>
      </c>
      <c r="F2691" s="18" t="n"/>
      <c r="G2691" s="9" t="n">
        <v>51.31333333333333</v>
      </c>
      <c r="H2691" s="9" t="n">
        <v>51.31333333333333</v>
      </c>
      <c r="I2691" s="9" t="inlineStr">
        <is>
          <t>Depth (no MLB IP)</t>
        </is>
      </c>
      <c r="J2691" s="18" t="inlineStr">
        <is>
          <t>Opening Day</t>
        </is>
      </c>
      <c r="K2691" s="11">
        <f>IFERROR(INDEX(Roles!$B$17:$B$20,MATCH(J2691,Roles!$A$17:$A$20,0)),1)</f>
        <v/>
      </c>
      <c r="L2691" s="19" t="n">
        <v>1</v>
      </c>
      <c r="M2691" s="11" t="n">
        <v>1</v>
      </c>
      <c r="N2691" s="19" t="n"/>
      <c r="O2691" s="19" t="n"/>
      <c r="P2691" s="19" t="n"/>
      <c r="Q2691" s="19" t="n"/>
      <c r="R2691" s="19" t="n"/>
      <c r="S2691" s="19" t="n"/>
      <c r="T2691" s="19" t="n"/>
      <c r="U2691" s="19" t="n"/>
      <c r="V2691" s="19" t="n"/>
      <c r="W2691" s="19" t="n"/>
      <c r="X2691" s="19" t="n"/>
      <c r="Y2691" s="19" t="n">
        <v>1</v>
      </c>
      <c r="Z2691" s="13">
        <f>SUMPRODUCT(N2691:Y2691,$N$2:$Y$2)*$K2691*$L2691*$M2691</f>
        <v/>
      </c>
      <c r="AA2691" s="14">
        <f>SUM(N2691:Y2691)</f>
        <v/>
      </c>
      <c r="AB2691" s="13">
        <f>SUMPRODUCT(N2691:Y2691,$N$3:$Y$3)*$K2691*$L2691*$M2691</f>
        <v/>
      </c>
      <c r="AC2691" s="13">
        <f>SUMPRODUCT(N2691:Y2691,$N$4:$Y$4)*$K2691*$L2691*$M2691</f>
        <v/>
      </c>
      <c r="AD2691" s="15" t="n">
        <v>3</v>
      </c>
      <c r="AE2691" s="11" t="n">
        <v>1.011296296296296</v>
      </c>
      <c r="AF2691" s="16">
        <f>SUMPRODUCT(N2691:Y2691,$N$5:$Y$5)*$K2691*$L2691*$M2691</f>
        <v/>
      </c>
      <c r="AG2691" s="16">
        <f>SUMPRODUCT(N2691:Y2691,$N$6:$Y$6)*$K2691*$L2691*$M2691</f>
        <v/>
      </c>
      <c r="AH2691" s="20" t="n"/>
    </row>
    <row r="2692">
      <c r="A2692" s="9" t="n">
        <v>691007</v>
      </c>
      <c r="B2692" s="9" t="inlineStr">
        <is>
          <t>Jackson Phipps</t>
        </is>
      </c>
      <c r="C2692" s="9" t="inlineStr">
        <is>
          <t>OAK</t>
        </is>
      </c>
      <c r="D2692" s="9" t="n">
        <v>25</v>
      </c>
      <c r="E2692" s="18" t="inlineStr">
        <is>
          <t>L</t>
        </is>
      </c>
      <c r="F2692" s="18" t="n"/>
      <c r="G2692" s="9" t="n">
        <v>51.25599999999999</v>
      </c>
      <c r="H2692" s="9" t="n">
        <v>51.25599999999999</v>
      </c>
      <c r="I2692" s="9" t="inlineStr">
        <is>
          <t>Depth (no MLB IP)</t>
        </is>
      </c>
      <c r="J2692" s="18" t="inlineStr">
        <is>
          <t>Opening Day</t>
        </is>
      </c>
      <c r="K2692" s="11">
        <f>IFERROR(INDEX(Roles!$B$17:$B$20,MATCH(J2692,Roles!$A$17:$A$20,0)),1)</f>
        <v/>
      </c>
      <c r="L2692" s="19" t="n">
        <v>1</v>
      </c>
      <c r="M2692" s="11" t="n">
        <v>1</v>
      </c>
      <c r="N2692" s="19" t="n"/>
      <c r="O2692" s="19" t="n"/>
      <c r="P2692" s="19" t="n"/>
      <c r="Q2692" s="19" t="n"/>
      <c r="R2692" s="19" t="n"/>
      <c r="S2692" s="19" t="n"/>
      <c r="T2692" s="19" t="n"/>
      <c r="U2692" s="19" t="n"/>
      <c r="V2692" s="19" t="n"/>
      <c r="W2692" s="19" t="n"/>
      <c r="X2692" s="19" t="n"/>
      <c r="Y2692" s="19" t="n">
        <v>1</v>
      </c>
      <c r="Z2692" s="13">
        <f>SUMPRODUCT(N2692:Y2692,$N$2:$Y$2)*$K2692*$L2692*$M2692</f>
        <v/>
      </c>
      <c r="AA2692" s="14">
        <f>SUM(N2692:Y2692)</f>
        <v/>
      </c>
      <c r="AB2692" s="13">
        <f>SUMPRODUCT(N2692:Y2692,$N$3:$Y$3)*$K2692*$L2692*$M2692</f>
        <v/>
      </c>
      <c r="AC2692" s="13">
        <f>SUMPRODUCT(N2692:Y2692,$N$4:$Y$4)*$K2692*$L2692*$M2692</f>
        <v/>
      </c>
      <c r="AD2692" s="15" t="n">
        <v>3</v>
      </c>
      <c r="AE2692" s="11" t="n">
        <v>1.011296296296296</v>
      </c>
      <c r="AF2692" s="16">
        <f>SUMPRODUCT(N2692:Y2692,$N$5:$Y$5)*$K2692*$L2692*$M2692</f>
        <v/>
      </c>
      <c r="AG2692" s="16">
        <f>SUMPRODUCT(N2692:Y2692,$N$6:$Y$6)*$K2692*$L2692*$M2692</f>
        <v/>
      </c>
      <c r="AH2692" s="20" t="n"/>
    </row>
    <row r="2693">
      <c r="A2693" s="9" t="n">
        <v>824624</v>
      </c>
      <c r="B2693" s="9" t="inlineStr">
        <is>
          <t>Brooks Auger</t>
        </is>
      </c>
      <c r="C2693" s="9" t="inlineStr">
        <is>
          <t>LAD</t>
        </is>
      </c>
      <c r="D2693" s="9" t="n">
        <v>25</v>
      </c>
      <c r="E2693" s="18" t="inlineStr">
        <is>
          <t>R</t>
        </is>
      </c>
      <c r="F2693" s="18" t="n"/>
      <c r="G2693" s="9" t="n">
        <v>51.31333333333333</v>
      </c>
      <c r="H2693" s="9" t="n">
        <v>51.31333333333333</v>
      </c>
      <c r="I2693" s="9" t="inlineStr">
        <is>
          <t>Depth (no MLB IP)</t>
        </is>
      </c>
      <c r="J2693" s="18" t="inlineStr">
        <is>
          <t>Opening Day</t>
        </is>
      </c>
      <c r="K2693" s="11">
        <f>IFERROR(INDEX(Roles!$B$17:$B$20,MATCH(J2693,Roles!$A$17:$A$20,0)),1)</f>
        <v/>
      </c>
      <c r="L2693" s="19" t="n">
        <v>1</v>
      </c>
      <c r="M2693" s="11" t="n">
        <v>1</v>
      </c>
      <c r="N2693" s="19" t="n"/>
      <c r="O2693" s="19" t="n"/>
      <c r="P2693" s="19" t="n"/>
      <c r="Q2693" s="19" t="n"/>
      <c r="R2693" s="19" t="n"/>
      <c r="S2693" s="19" t="n"/>
      <c r="T2693" s="19" t="n"/>
      <c r="U2693" s="19" t="n"/>
      <c r="V2693" s="19" t="n"/>
      <c r="W2693" s="19" t="n"/>
      <c r="X2693" s="19" t="n"/>
      <c r="Y2693" s="19" t="n">
        <v>1</v>
      </c>
      <c r="Z2693" s="13">
        <f>SUMPRODUCT(N2693:Y2693,$N$2:$Y$2)*$K2693*$L2693*$M2693</f>
        <v/>
      </c>
      <c r="AA2693" s="14">
        <f>SUM(N2693:Y2693)</f>
        <v/>
      </c>
      <c r="AB2693" s="13">
        <f>SUMPRODUCT(N2693:Y2693,$N$3:$Y$3)*$K2693*$L2693*$M2693</f>
        <v/>
      </c>
      <c r="AC2693" s="13">
        <f>SUMPRODUCT(N2693:Y2693,$N$4:$Y$4)*$K2693*$L2693*$M2693</f>
        <v/>
      </c>
      <c r="AD2693" s="15" t="n">
        <v>3</v>
      </c>
      <c r="AE2693" s="11" t="n">
        <v>1.011296296296296</v>
      </c>
      <c r="AF2693" s="16">
        <f>SUMPRODUCT(N2693:Y2693,$N$5:$Y$5)*$K2693*$L2693*$M2693</f>
        <v/>
      </c>
      <c r="AG2693" s="16">
        <f>SUMPRODUCT(N2693:Y2693,$N$6:$Y$6)*$K2693*$L2693*$M2693</f>
        <v/>
      </c>
      <c r="AH2693" s="20" t="n"/>
    </row>
    <row r="2694">
      <c r="A2694" s="9" t="n">
        <v>803848</v>
      </c>
      <c r="B2694" s="9" t="inlineStr">
        <is>
          <t>Jayden Dubanewicz</t>
        </is>
      </c>
      <c r="C2694" s="9" t="inlineStr">
        <is>
          <t>MIL</t>
        </is>
      </c>
      <c r="D2694" s="9" t="n">
        <v>25</v>
      </c>
      <c r="E2694" s="18" t="inlineStr">
        <is>
          <t>R</t>
        </is>
      </c>
      <c r="F2694" s="18" t="n"/>
      <c r="G2694" s="9" t="n">
        <v>51.31333333333333</v>
      </c>
      <c r="H2694" s="9" t="n">
        <v>51.31333333333333</v>
      </c>
      <c r="I2694" s="9" t="inlineStr">
        <is>
          <t>Depth (no MLB IP)</t>
        </is>
      </c>
      <c r="J2694" s="18" t="inlineStr">
        <is>
          <t>Opening Day</t>
        </is>
      </c>
      <c r="K2694" s="11">
        <f>IFERROR(INDEX(Roles!$B$17:$B$20,MATCH(J2694,Roles!$A$17:$A$20,0)),1)</f>
        <v/>
      </c>
      <c r="L2694" s="19" t="n">
        <v>1</v>
      </c>
      <c r="M2694" s="11" t="n">
        <v>1</v>
      </c>
      <c r="N2694" s="19" t="n"/>
      <c r="O2694" s="19" t="n"/>
      <c r="P2694" s="19" t="n"/>
      <c r="Q2694" s="19" t="n"/>
      <c r="R2694" s="19" t="n"/>
      <c r="S2694" s="19" t="n"/>
      <c r="T2694" s="19" t="n"/>
      <c r="U2694" s="19" t="n"/>
      <c r="V2694" s="19" t="n"/>
      <c r="W2694" s="19" t="n"/>
      <c r="X2694" s="19" t="n"/>
      <c r="Y2694" s="19" t="n">
        <v>1</v>
      </c>
      <c r="Z2694" s="13">
        <f>SUMPRODUCT(N2694:Y2694,$N$2:$Y$2)*$K2694*$L2694*$M2694</f>
        <v/>
      </c>
      <c r="AA2694" s="14">
        <f>SUM(N2694:Y2694)</f>
        <v/>
      </c>
      <c r="AB2694" s="13">
        <f>SUMPRODUCT(N2694:Y2694,$N$3:$Y$3)*$K2694*$L2694*$M2694</f>
        <v/>
      </c>
      <c r="AC2694" s="13">
        <f>SUMPRODUCT(N2694:Y2694,$N$4:$Y$4)*$K2694*$L2694*$M2694</f>
        <v/>
      </c>
      <c r="AD2694" s="15" t="n">
        <v>3</v>
      </c>
      <c r="AE2694" s="11" t="n">
        <v>1.011296296296296</v>
      </c>
      <c r="AF2694" s="16">
        <f>SUMPRODUCT(N2694:Y2694,$N$5:$Y$5)*$K2694*$L2694*$M2694</f>
        <v/>
      </c>
      <c r="AG2694" s="16">
        <f>SUMPRODUCT(N2694:Y2694,$N$6:$Y$6)*$K2694*$L2694*$M2694</f>
        <v/>
      </c>
      <c r="AH2694" s="20" t="n"/>
    </row>
    <row r="2695">
      <c r="A2695" s="9" t="n">
        <v>687330</v>
      </c>
      <c r="B2695" s="9" t="inlineStr">
        <is>
          <t>Kevin Kelly</t>
        </is>
      </c>
      <c r="C2695" s="9" t="inlineStr">
        <is>
          <t>TB</t>
        </is>
      </c>
      <c r="D2695" s="9" t="n">
        <v>29</v>
      </c>
      <c r="E2695" s="18" t="inlineStr">
        <is>
          <t>R</t>
        </is>
      </c>
      <c r="F2695" s="18" t="n"/>
      <c r="G2695" s="9" t="n">
        <v>279</v>
      </c>
      <c r="H2695" s="9" t="n">
        <v>1004</v>
      </c>
      <c r="I2695" s="9" t="inlineStr">
        <is>
          <t>Late Inning RP (Setup)</t>
        </is>
      </c>
      <c r="J2695" s="18" t="inlineStr">
        <is>
          <t>Opening Day</t>
        </is>
      </c>
      <c r="K2695" s="11">
        <f>IFERROR(INDEX(Roles!$B$17:$B$20,MATCH(J2695,Roles!$A$17:$A$20,0)),1)</f>
        <v/>
      </c>
      <c r="L2695" s="19" t="n">
        <v>1</v>
      </c>
      <c r="M2695" s="11" t="n">
        <v>1</v>
      </c>
      <c r="N2695" s="19" t="n"/>
      <c r="O2695" s="19" t="n"/>
      <c r="P2695" s="19" t="n"/>
      <c r="Q2695" s="19" t="n"/>
      <c r="R2695" s="19" t="n"/>
      <c r="S2695" s="19" t="n"/>
      <c r="T2695" s="19" t="n"/>
      <c r="U2695" s="19" t="n">
        <v>0.6</v>
      </c>
      <c r="V2695" s="19" t="n">
        <v>0.4</v>
      </c>
      <c r="W2695" s="19" t="n"/>
      <c r="X2695" s="19" t="n"/>
      <c r="Y2695" s="19" t="n"/>
      <c r="Z2695" s="13">
        <f>SUMPRODUCT(N2695:Y2695,$N$2:$Y$2)*$K2695*$L2695*$M2695</f>
        <v/>
      </c>
      <c r="AA2695" s="14">
        <f>SUM(N2695:Y2695)</f>
        <v/>
      </c>
      <c r="AB2695" s="13">
        <f>SUMPRODUCT(N2695:Y2695,$N$3:$Y$3)*$K2695*$L2695*$M2695</f>
        <v/>
      </c>
      <c r="AC2695" s="13">
        <f>SUMPRODUCT(N2695:Y2695,$N$4:$Y$4)*$K2695*$L2695*$M2695</f>
        <v/>
      </c>
      <c r="AD2695" s="15" t="n">
        <v>55.5</v>
      </c>
      <c r="AE2695" s="11" t="n">
        <v>1.000401744719926</v>
      </c>
      <c r="AF2695" s="16">
        <f>SUMPRODUCT(N2695:Y2695,$N$5:$Y$5)*$K2695*$L2695*$M2695</f>
        <v/>
      </c>
      <c r="AG2695" s="16">
        <f>SUMPRODUCT(N2695:Y2695,$N$6:$Y$6)*$K2695*$L2695*$M2695</f>
        <v/>
      </c>
      <c r="AH2695" s="20" t="n"/>
    </row>
    <row r="2696">
      <c r="A2696" s="9" t="n">
        <v>488984</v>
      </c>
      <c r="B2696" s="9" t="inlineStr">
        <is>
          <t>Tommy Hunter</t>
        </is>
      </c>
      <c r="C2696" s="9" t="inlineStr">
        <is>
          <t>NYM</t>
        </is>
      </c>
      <c r="D2696" s="9" t="n">
        <v>40</v>
      </c>
      <c r="E2696" s="18" t="inlineStr">
        <is>
          <t>R</t>
        </is>
      </c>
      <c r="F2696" s="18" t="n"/>
      <c r="G2696" s="9" t="n">
        <v>106</v>
      </c>
      <c r="H2696" s="9" t="n">
        <v>200</v>
      </c>
      <c r="I2696" s="9" t="inlineStr">
        <is>
          <t>Depth (no MLB IP)</t>
        </is>
      </c>
      <c r="J2696" s="18" t="inlineStr">
        <is>
          <t>Opening Day</t>
        </is>
      </c>
      <c r="K2696" s="11">
        <f>IFERROR(INDEX(Roles!$B$17:$B$20,MATCH(J2696,Roles!$A$17:$A$20,0)),1)</f>
        <v/>
      </c>
      <c r="L2696" s="19" t="n">
        <v>1</v>
      </c>
      <c r="M2696" s="11" t="n">
        <v>1</v>
      </c>
      <c r="N2696" s="19" t="n"/>
      <c r="O2696" s="19" t="n"/>
      <c r="P2696" s="19" t="n"/>
      <c r="Q2696" s="19" t="n"/>
      <c r="R2696" s="19" t="n"/>
      <c r="S2696" s="19" t="n"/>
      <c r="T2696" s="19" t="n"/>
      <c r="U2696" s="19" t="n"/>
      <c r="V2696" s="19" t="n"/>
      <c r="W2696" s="19" t="n"/>
      <c r="X2696" s="19" t="n"/>
      <c r="Y2696" s="19" t="n">
        <v>1</v>
      </c>
      <c r="Z2696" s="13">
        <f>SUMPRODUCT(N2696:Y2696,$N$2:$Y$2)*$K2696*$L2696*$M2696</f>
        <v/>
      </c>
      <c r="AA2696" s="14">
        <f>SUM(N2696:Y2696)</f>
        <v/>
      </c>
      <c r="AB2696" s="13">
        <f>SUMPRODUCT(N2696:Y2696,$N$3:$Y$3)*$K2696*$L2696*$M2696</f>
        <v/>
      </c>
      <c r="AC2696" s="13">
        <f>SUMPRODUCT(N2696:Y2696,$N$4:$Y$4)*$K2696*$L2696*$M2696</f>
        <v/>
      </c>
      <c r="AD2696" s="15" t="n">
        <v>3</v>
      </c>
      <c r="AE2696" s="11" t="n">
        <v>1.011296296296296</v>
      </c>
      <c r="AF2696" s="16">
        <f>SUMPRODUCT(N2696:Y2696,$N$5:$Y$5)*$K2696*$L2696*$M2696</f>
        <v/>
      </c>
      <c r="AG2696" s="16">
        <f>SUMPRODUCT(N2696:Y2696,$N$6:$Y$6)*$K2696*$L2696*$M2696</f>
        <v/>
      </c>
      <c r="AH2696" s="20" t="n"/>
    </row>
    <row r="2697">
      <c r="A2697" s="9" t="n">
        <v>687199</v>
      </c>
      <c r="B2697" s="9" t="inlineStr">
        <is>
          <t>Christian Ruebeck</t>
        </is>
      </c>
      <c r="C2697" s="9" t="inlineStr">
        <is>
          <t>LAD</t>
        </is>
      </c>
      <c r="D2697" s="9" t="n">
        <v>25</v>
      </c>
      <c r="E2697" s="18" t="inlineStr">
        <is>
          <t>R</t>
        </is>
      </c>
      <c r="F2697" s="18" t="n"/>
      <c r="G2697" s="9" t="n">
        <v>51.67166666666666</v>
      </c>
      <c r="H2697" s="9" t="n">
        <v>51.67166666666666</v>
      </c>
      <c r="I2697" s="9" t="inlineStr">
        <is>
          <t>Depth (no MLB IP)</t>
        </is>
      </c>
      <c r="J2697" s="18" t="inlineStr">
        <is>
          <t>Opening Day</t>
        </is>
      </c>
      <c r="K2697" s="11">
        <f>IFERROR(INDEX(Roles!$B$17:$B$20,MATCH(J2697,Roles!$A$17:$A$20,0)),1)</f>
        <v/>
      </c>
      <c r="L2697" s="19" t="n">
        <v>1</v>
      </c>
      <c r="M2697" s="11" t="n">
        <v>1</v>
      </c>
      <c r="N2697" s="19" t="n"/>
      <c r="O2697" s="19" t="n"/>
      <c r="P2697" s="19" t="n"/>
      <c r="Q2697" s="19" t="n"/>
      <c r="R2697" s="19" t="n"/>
      <c r="S2697" s="19" t="n"/>
      <c r="T2697" s="19" t="n"/>
      <c r="U2697" s="19" t="n"/>
      <c r="V2697" s="19" t="n"/>
      <c r="W2697" s="19" t="n"/>
      <c r="X2697" s="19" t="n"/>
      <c r="Y2697" s="19" t="n">
        <v>1</v>
      </c>
      <c r="Z2697" s="13">
        <f>SUMPRODUCT(N2697:Y2697,$N$2:$Y$2)*$K2697*$L2697*$M2697</f>
        <v/>
      </c>
      <c r="AA2697" s="14">
        <f>SUM(N2697:Y2697)</f>
        <v/>
      </c>
      <c r="AB2697" s="13">
        <f>SUMPRODUCT(N2697:Y2697,$N$3:$Y$3)*$K2697*$L2697*$M2697</f>
        <v/>
      </c>
      <c r="AC2697" s="13">
        <f>SUMPRODUCT(N2697:Y2697,$N$4:$Y$4)*$K2697*$L2697*$M2697</f>
        <v/>
      </c>
      <c r="AD2697" s="15" t="n">
        <v>3</v>
      </c>
      <c r="AE2697" s="11" t="n">
        <v>1.011296296296296</v>
      </c>
      <c r="AF2697" s="16">
        <f>SUMPRODUCT(N2697:Y2697,$N$5:$Y$5)*$K2697*$L2697*$M2697</f>
        <v/>
      </c>
      <c r="AG2697" s="16">
        <f>SUMPRODUCT(N2697:Y2697,$N$6:$Y$6)*$K2697*$L2697*$M2697</f>
        <v/>
      </c>
      <c r="AH2697" s="20" t="n"/>
    </row>
    <row r="2698">
      <c r="A2698" s="9" t="n">
        <v>822817</v>
      </c>
      <c r="B2698" s="9" t="inlineStr">
        <is>
          <t>Jack Bowery</t>
        </is>
      </c>
      <c r="C2698" s="9" t="inlineStr">
        <is>
          <t>SEA</t>
        </is>
      </c>
      <c r="D2698" s="9" t="n">
        <v>25</v>
      </c>
      <c r="E2698" s="18" t="inlineStr">
        <is>
          <t>L</t>
        </is>
      </c>
      <c r="F2698" s="18" t="n"/>
      <c r="G2698" s="9" t="n">
        <v>51.6</v>
      </c>
      <c r="H2698" s="9" t="n">
        <v>51.6</v>
      </c>
      <c r="I2698" s="9" t="inlineStr">
        <is>
          <t>Depth (no MLB IP)</t>
        </is>
      </c>
      <c r="J2698" s="18" t="inlineStr">
        <is>
          <t>Opening Day</t>
        </is>
      </c>
      <c r="K2698" s="11">
        <f>IFERROR(INDEX(Roles!$B$17:$B$20,MATCH(J2698,Roles!$A$17:$A$20,0)),1)</f>
        <v/>
      </c>
      <c r="L2698" s="19" t="n">
        <v>1</v>
      </c>
      <c r="M2698" s="11" t="n">
        <v>1</v>
      </c>
      <c r="N2698" s="19" t="n"/>
      <c r="O2698" s="19" t="n"/>
      <c r="P2698" s="19" t="n"/>
      <c r="Q2698" s="19" t="n"/>
      <c r="R2698" s="19" t="n"/>
      <c r="S2698" s="19" t="n"/>
      <c r="T2698" s="19" t="n"/>
      <c r="U2698" s="19" t="n"/>
      <c r="V2698" s="19" t="n"/>
      <c r="W2698" s="19" t="n"/>
      <c r="X2698" s="19" t="n"/>
      <c r="Y2698" s="19" t="n">
        <v>1</v>
      </c>
      <c r="Z2698" s="13">
        <f>SUMPRODUCT(N2698:Y2698,$N$2:$Y$2)*$K2698*$L2698*$M2698</f>
        <v/>
      </c>
      <c r="AA2698" s="14">
        <f>SUM(N2698:Y2698)</f>
        <v/>
      </c>
      <c r="AB2698" s="13">
        <f>SUMPRODUCT(N2698:Y2698,$N$3:$Y$3)*$K2698*$L2698*$M2698</f>
        <v/>
      </c>
      <c r="AC2698" s="13">
        <f>SUMPRODUCT(N2698:Y2698,$N$4:$Y$4)*$K2698*$L2698*$M2698</f>
        <v/>
      </c>
      <c r="AD2698" s="15" t="n">
        <v>3</v>
      </c>
      <c r="AE2698" s="11" t="n">
        <v>1.011296296296296</v>
      </c>
      <c r="AF2698" s="16">
        <f>SUMPRODUCT(N2698:Y2698,$N$5:$Y$5)*$K2698*$L2698*$M2698</f>
        <v/>
      </c>
      <c r="AG2698" s="16">
        <f>SUMPRODUCT(N2698:Y2698,$N$6:$Y$6)*$K2698*$L2698*$M2698</f>
        <v/>
      </c>
      <c r="AH2698" s="20" t="n"/>
    </row>
    <row r="2699">
      <c r="A2699" s="9" t="n">
        <v>702036</v>
      </c>
      <c r="B2699" s="9" t="inlineStr">
        <is>
          <t>Tony Rossi</t>
        </is>
      </c>
      <c r="C2699" s="9" t="inlineStr">
        <is>
          <t>NYY</t>
        </is>
      </c>
      <c r="D2699" s="9" t="n">
        <v>25</v>
      </c>
      <c r="E2699" s="18" t="inlineStr">
        <is>
          <t>R</t>
        </is>
      </c>
      <c r="F2699" s="18" t="n"/>
      <c r="G2699" s="9" t="n">
        <v>51.67166666666666</v>
      </c>
      <c r="H2699" s="9" t="n">
        <v>51.67166666666666</v>
      </c>
      <c r="I2699" s="9" t="inlineStr">
        <is>
          <t>Depth (no MLB IP)</t>
        </is>
      </c>
      <c r="J2699" s="18" t="inlineStr">
        <is>
          <t>Opening Day</t>
        </is>
      </c>
      <c r="K2699" s="11">
        <f>IFERROR(INDEX(Roles!$B$17:$B$20,MATCH(J2699,Roles!$A$17:$A$20,0)),1)</f>
        <v/>
      </c>
      <c r="L2699" s="19" t="n">
        <v>1</v>
      </c>
      <c r="M2699" s="11" t="n">
        <v>1</v>
      </c>
      <c r="N2699" s="19" t="n"/>
      <c r="O2699" s="19" t="n"/>
      <c r="P2699" s="19" t="n"/>
      <c r="Q2699" s="19" t="n"/>
      <c r="R2699" s="19" t="n"/>
      <c r="S2699" s="19" t="n"/>
      <c r="T2699" s="19" t="n"/>
      <c r="U2699" s="19" t="n"/>
      <c r="V2699" s="19" t="n"/>
      <c r="W2699" s="19" t="n"/>
      <c r="X2699" s="19" t="n"/>
      <c r="Y2699" s="19" t="n">
        <v>1</v>
      </c>
      <c r="Z2699" s="13">
        <f>SUMPRODUCT(N2699:Y2699,$N$2:$Y$2)*$K2699*$L2699*$M2699</f>
        <v/>
      </c>
      <c r="AA2699" s="14">
        <f>SUM(N2699:Y2699)</f>
        <v/>
      </c>
      <c r="AB2699" s="13">
        <f>SUMPRODUCT(N2699:Y2699,$N$3:$Y$3)*$K2699*$L2699*$M2699</f>
        <v/>
      </c>
      <c r="AC2699" s="13">
        <f>SUMPRODUCT(N2699:Y2699,$N$4:$Y$4)*$K2699*$L2699*$M2699</f>
        <v/>
      </c>
      <c r="AD2699" s="15" t="n">
        <v>3</v>
      </c>
      <c r="AE2699" s="11" t="n">
        <v>1.011296296296296</v>
      </c>
      <c r="AF2699" s="16">
        <f>SUMPRODUCT(N2699:Y2699,$N$5:$Y$5)*$K2699*$L2699*$M2699</f>
        <v/>
      </c>
      <c r="AG2699" s="16">
        <f>SUMPRODUCT(N2699:Y2699,$N$6:$Y$6)*$K2699*$L2699*$M2699</f>
        <v/>
      </c>
      <c r="AH2699" s="20" t="n"/>
    </row>
    <row r="2700">
      <c r="A2700" s="9" t="n">
        <v>700187</v>
      </c>
      <c r="B2700" s="9" t="inlineStr">
        <is>
          <t>Troy Taylor</t>
        </is>
      </c>
      <c r="C2700" s="9" t="inlineStr">
        <is>
          <t>SEA</t>
        </is>
      </c>
      <c r="D2700" s="9" t="n">
        <v>25</v>
      </c>
      <c r="E2700" s="18" t="inlineStr">
        <is>
          <t>R</t>
        </is>
      </c>
      <c r="F2700" s="18" t="n"/>
      <c r="G2700" s="9" t="n">
        <v>15</v>
      </c>
      <c r="H2700" s="9" t="n">
        <v>133</v>
      </c>
      <c r="I2700" s="9" t="inlineStr">
        <is>
          <t>Bullpen Depth Arm</t>
        </is>
      </c>
      <c r="J2700" s="18" t="inlineStr">
        <is>
          <t>Opening Day</t>
        </is>
      </c>
      <c r="K2700" s="11">
        <f>IFERROR(INDEX(Roles!$B$17:$B$20,MATCH(J2700,Roles!$A$17:$A$20,0)),1)</f>
        <v/>
      </c>
      <c r="L2700" s="19" t="n">
        <v>1</v>
      </c>
      <c r="M2700" s="11" t="n">
        <v>1</v>
      </c>
      <c r="N2700" s="19" t="n"/>
      <c r="O2700" s="19" t="n"/>
      <c r="P2700" s="19" t="n"/>
      <c r="Q2700" s="19" t="n"/>
      <c r="R2700" s="19" t="n"/>
      <c r="S2700" s="19" t="n"/>
      <c r="T2700" s="19" t="n"/>
      <c r="U2700" s="19" t="n"/>
      <c r="V2700" s="19" t="n">
        <v>0.15</v>
      </c>
      <c r="W2700" s="19" t="n">
        <v>0.85</v>
      </c>
      <c r="X2700" s="19" t="n"/>
      <c r="Y2700" s="19" t="n"/>
      <c r="Z2700" s="13">
        <f>SUMPRODUCT(N2700:Y2700,$N$2:$Y$2)*$K2700*$L2700*$M2700</f>
        <v/>
      </c>
      <c r="AA2700" s="14">
        <f>SUM(N2700:Y2700)</f>
        <v/>
      </c>
      <c r="AB2700" s="13">
        <f>SUMPRODUCT(N2700:Y2700,$N$3:$Y$3)*$K2700*$L2700*$M2700</f>
        <v/>
      </c>
      <c r="AC2700" s="13">
        <f>SUMPRODUCT(N2700:Y2700,$N$4:$Y$4)*$K2700*$L2700*$M2700</f>
        <v/>
      </c>
      <c r="AD2700" s="15" t="n">
        <v>9.966666666666663</v>
      </c>
      <c r="AE2700" s="11" t="n">
        <v>1.12450455086114</v>
      </c>
      <c r="AF2700" s="16">
        <f>SUMPRODUCT(N2700:Y2700,$N$5:$Y$5)*$K2700*$L2700*$M2700</f>
        <v/>
      </c>
      <c r="AG2700" s="16">
        <f>SUMPRODUCT(N2700:Y2700,$N$6:$Y$6)*$K2700*$L2700*$M2700</f>
        <v/>
      </c>
      <c r="AH2700" s="20" t="n"/>
    </row>
    <row r="2701">
      <c r="A2701" s="9" t="n">
        <v>669704</v>
      </c>
      <c r="B2701" s="9" t="inlineStr">
        <is>
          <t>Kade Strowd</t>
        </is>
      </c>
      <c r="C2701" s="9" t="inlineStr">
        <is>
          <t>BAL</t>
        </is>
      </c>
      <c r="D2701" s="9" t="n">
        <v>29</v>
      </c>
      <c r="E2701" s="18" t="inlineStr">
        <is>
          <t>R</t>
        </is>
      </c>
      <c r="F2701" s="18" t="n"/>
      <c r="G2701" s="9" t="n">
        <v>14</v>
      </c>
      <c r="H2701" s="9" t="n">
        <v>119</v>
      </c>
      <c r="I2701" s="9" t="inlineStr">
        <is>
          <t>Bullpen Depth Arm</t>
        </is>
      </c>
      <c r="J2701" s="18" t="inlineStr">
        <is>
          <t>Opening Day</t>
        </is>
      </c>
      <c r="K2701" s="11">
        <f>IFERROR(INDEX(Roles!$B$17:$B$20,MATCH(J2701,Roles!$A$17:$A$20,0)),1)</f>
        <v/>
      </c>
      <c r="L2701" s="19" t="n">
        <v>1</v>
      </c>
      <c r="M2701" s="11" t="n">
        <v>1</v>
      </c>
      <c r="N2701" s="19" t="n"/>
      <c r="O2701" s="19" t="n"/>
      <c r="P2701" s="19" t="n"/>
      <c r="Q2701" s="19" t="n"/>
      <c r="R2701" s="19" t="n"/>
      <c r="S2701" s="19" t="n"/>
      <c r="T2701" s="19" t="n"/>
      <c r="U2701" s="19" t="n"/>
      <c r="V2701" s="19" t="n"/>
      <c r="W2701" s="19" t="n">
        <v>1</v>
      </c>
      <c r="X2701" s="19" t="n"/>
      <c r="Y2701" s="19" t="n"/>
      <c r="Z2701" s="13">
        <f>SUMPRODUCT(N2701:Y2701,$N$2:$Y$2)*$K2701*$L2701*$M2701</f>
        <v/>
      </c>
      <c r="AA2701" s="14">
        <f>SUM(N2701:Y2701)</f>
        <v/>
      </c>
      <c r="AB2701" s="13">
        <f>SUMPRODUCT(N2701:Y2701,$N$3:$Y$3)*$K2701*$L2701*$M2701</f>
        <v/>
      </c>
      <c r="AC2701" s="13">
        <f>SUMPRODUCT(N2701:Y2701,$N$4:$Y$4)*$K2701*$L2701*$M2701</f>
        <v/>
      </c>
      <c r="AD2701" s="15" t="n">
        <v>12.38666666666666</v>
      </c>
      <c r="AE2701" s="11" t="n">
        <v>1.162618245951579</v>
      </c>
      <c r="AF2701" s="16">
        <f>SUMPRODUCT(N2701:Y2701,$N$5:$Y$5)*$K2701*$L2701*$M2701</f>
        <v/>
      </c>
      <c r="AG2701" s="16">
        <f>SUMPRODUCT(N2701:Y2701,$N$6:$Y$6)*$K2701*$L2701*$M2701</f>
        <v/>
      </c>
      <c r="AH2701" s="20" t="n"/>
    </row>
    <row r="2702">
      <c r="A2702" s="9" t="n">
        <v>690382</v>
      </c>
      <c r="B2702" s="9" t="inlineStr">
        <is>
          <t>Michael Darrell-Hicks</t>
        </is>
      </c>
      <c r="C2702" s="9" t="inlineStr">
        <is>
          <t>PIT</t>
        </is>
      </c>
      <c r="D2702" s="9" t="n">
        <v>29</v>
      </c>
      <c r="E2702" s="18" t="inlineStr">
        <is>
          <t>R</t>
        </is>
      </c>
      <c r="F2702" s="18" t="n"/>
      <c r="G2702" s="9" t="n">
        <v>43</v>
      </c>
      <c r="H2702" s="9" t="n">
        <v>43</v>
      </c>
      <c r="I2702" s="9" t="inlineStr">
        <is>
          <t>Bullpen Depth Arm</t>
        </is>
      </c>
      <c r="J2702" s="18" t="inlineStr">
        <is>
          <t>Opening Day</t>
        </is>
      </c>
      <c r="K2702" s="11">
        <f>IFERROR(INDEX(Roles!$B$17:$B$20,MATCH(J2702,Roles!$A$17:$A$20,0)),1)</f>
        <v/>
      </c>
      <c r="L2702" s="19" t="n">
        <v>1</v>
      </c>
      <c r="M2702" s="11" t="n">
        <v>1</v>
      </c>
      <c r="N2702" s="19" t="n"/>
      <c r="O2702" s="19" t="n"/>
      <c r="P2702" s="19" t="n"/>
      <c r="Q2702" s="19" t="n"/>
      <c r="R2702" s="19" t="n"/>
      <c r="S2702" s="19" t="n"/>
      <c r="T2702" s="19" t="n"/>
      <c r="U2702" s="19" t="n"/>
      <c r="V2702" s="19" t="n"/>
      <c r="W2702" s="19" t="n">
        <v>1</v>
      </c>
      <c r="X2702" s="19" t="n"/>
      <c r="Y2702" s="19" t="n"/>
      <c r="Z2702" s="13">
        <f>SUMPRODUCT(N2702:Y2702,$N$2:$Y$2)*$K2702*$L2702*$M2702</f>
        <v/>
      </c>
      <c r="AA2702" s="14">
        <f>SUM(N2702:Y2702)</f>
        <v/>
      </c>
      <c r="AB2702" s="13">
        <f>SUMPRODUCT(N2702:Y2702,$N$3:$Y$3)*$K2702*$L2702*$M2702</f>
        <v/>
      </c>
      <c r="AC2702" s="13">
        <f>SUMPRODUCT(N2702:Y2702,$N$4:$Y$4)*$K2702*$L2702*$M2702</f>
        <v/>
      </c>
      <c r="AD2702" s="15" t="n">
        <v>9.866666666666664</v>
      </c>
      <c r="AE2702" s="11" t="n">
        <v>1.261824595157928</v>
      </c>
      <c r="AF2702" s="16">
        <f>SUMPRODUCT(N2702:Y2702,$N$5:$Y$5)*$K2702*$L2702*$M2702</f>
        <v/>
      </c>
      <c r="AG2702" s="16">
        <f>SUMPRODUCT(N2702:Y2702,$N$6:$Y$6)*$K2702*$L2702*$M2702</f>
        <v/>
      </c>
      <c r="AH2702" s="20" t="n"/>
    </row>
    <row r="2703">
      <c r="A2703" s="9" t="n">
        <v>694847</v>
      </c>
      <c r="B2703" s="9" t="inlineStr">
        <is>
          <t>Isaac Ayon</t>
        </is>
      </c>
      <c r="C2703" s="9" t="inlineStr">
        <is>
          <t>LAD</t>
        </is>
      </c>
      <c r="D2703" s="9" t="n">
        <v>25</v>
      </c>
      <c r="E2703" s="18" t="inlineStr">
        <is>
          <t>R</t>
        </is>
      </c>
      <c r="F2703" s="18" t="n"/>
      <c r="G2703" s="9" t="n">
        <v>51.6</v>
      </c>
      <c r="H2703" s="9" t="n">
        <v>51.6</v>
      </c>
      <c r="I2703" s="9" t="inlineStr">
        <is>
          <t>Depth (no MLB IP)</t>
        </is>
      </c>
      <c r="J2703" s="18" t="inlineStr">
        <is>
          <t>Opening Day</t>
        </is>
      </c>
      <c r="K2703" s="11">
        <f>IFERROR(INDEX(Roles!$B$17:$B$20,MATCH(J2703,Roles!$A$17:$A$20,0)),1)</f>
        <v/>
      </c>
      <c r="L2703" s="19" t="n">
        <v>1</v>
      </c>
      <c r="M2703" s="11" t="n">
        <v>1</v>
      </c>
      <c r="N2703" s="19" t="n"/>
      <c r="O2703" s="19" t="n"/>
      <c r="P2703" s="19" t="n"/>
      <c r="Q2703" s="19" t="n"/>
      <c r="R2703" s="19" t="n"/>
      <c r="S2703" s="19" t="n"/>
      <c r="T2703" s="19" t="n"/>
      <c r="U2703" s="19" t="n"/>
      <c r="V2703" s="19" t="n"/>
      <c r="W2703" s="19" t="n"/>
      <c r="X2703" s="19" t="n"/>
      <c r="Y2703" s="19" t="n">
        <v>1</v>
      </c>
      <c r="Z2703" s="13">
        <f>SUMPRODUCT(N2703:Y2703,$N$2:$Y$2)*$K2703*$L2703*$M2703</f>
        <v/>
      </c>
      <c r="AA2703" s="14">
        <f>SUM(N2703:Y2703)</f>
        <v/>
      </c>
      <c r="AB2703" s="13">
        <f>SUMPRODUCT(N2703:Y2703,$N$3:$Y$3)*$K2703*$L2703*$M2703</f>
        <v/>
      </c>
      <c r="AC2703" s="13">
        <f>SUMPRODUCT(N2703:Y2703,$N$4:$Y$4)*$K2703*$L2703*$M2703</f>
        <v/>
      </c>
      <c r="AD2703" s="15" t="n">
        <v>3</v>
      </c>
      <c r="AE2703" s="11" t="n">
        <v>1.011296296296296</v>
      </c>
      <c r="AF2703" s="16">
        <f>SUMPRODUCT(N2703:Y2703,$N$5:$Y$5)*$K2703*$L2703*$M2703</f>
        <v/>
      </c>
      <c r="AG2703" s="16">
        <f>SUMPRODUCT(N2703:Y2703,$N$6:$Y$6)*$K2703*$L2703*$M2703</f>
        <v/>
      </c>
      <c r="AH2703" s="20" t="n"/>
    </row>
    <row r="2704">
      <c r="A2704" s="9" t="n">
        <v>702193</v>
      </c>
      <c r="B2704" s="9" t="inlineStr">
        <is>
          <t>Andrew Morris</t>
        </is>
      </c>
      <c r="C2704" s="9" t="inlineStr">
        <is>
          <t>MIN</t>
        </is>
      </c>
      <c r="D2704" s="9" t="n">
        <v>25</v>
      </c>
      <c r="E2704" s="18" t="inlineStr">
        <is>
          <t>R</t>
        </is>
      </c>
      <c r="F2704" s="18" t="n"/>
      <c r="G2704" s="9" t="n">
        <v>321</v>
      </c>
      <c r="H2704" s="9" t="n">
        <v>321</v>
      </c>
      <c r="I2704" s="9" t="inlineStr">
        <is>
          <t>Late Inning RP (Setup)</t>
        </is>
      </c>
      <c r="J2704" s="18" t="inlineStr">
        <is>
          <t>Opening Day</t>
        </is>
      </c>
      <c r="K2704" s="11">
        <f>IFERROR(INDEX(Roles!$B$17:$B$20,MATCH(J2704,Roles!$A$17:$A$20,0)),1)</f>
        <v/>
      </c>
      <c r="L2704" s="19" t="n">
        <v>1</v>
      </c>
      <c r="M2704" s="11" t="n">
        <v>1</v>
      </c>
      <c r="N2704" s="19" t="n"/>
      <c r="O2704" s="19" t="n"/>
      <c r="P2704" s="19" t="n"/>
      <c r="Q2704" s="19" t="n"/>
      <c r="R2704" s="19" t="n"/>
      <c r="S2704" s="19" t="n"/>
      <c r="T2704" s="19" t="n"/>
      <c r="U2704" s="19" t="n">
        <v>0.85</v>
      </c>
      <c r="V2704" s="19" t="n">
        <v>0.15</v>
      </c>
      <c r="W2704" s="19" t="n"/>
      <c r="X2704" s="19" t="n"/>
      <c r="Y2704" s="19" t="n"/>
      <c r="Z2704" s="13">
        <f>SUMPRODUCT(N2704:Y2704,$N$2:$Y$2)*$K2704*$L2704*$M2704</f>
        <v/>
      </c>
      <c r="AA2704" s="14">
        <f>SUM(N2704:Y2704)</f>
        <v/>
      </c>
      <c r="AB2704" s="13">
        <f>SUMPRODUCT(N2704:Y2704,$N$3:$Y$3)*$K2704*$L2704*$M2704</f>
        <v/>
      </c>
      <c r="AC2704" s="13">
        <f>SUMPRODUCT(N2704:Y2704,$N$4:$Y$4)*$K2704*$L2704*$M2704</f>
        <v/>
      </c>
      <c r="AD2704" s="15" t="n">
        <v>57.6</v>
      </c>
      <c r="AE2704" s="11" t="n">
        <v>1.043402777777778</v>
      </c>
      <c r="AF2704" s="16">
        <f>SUMPRODUCT(N2704:Y2704,$N$5:$Y$5)*$K2704*$L2704*$M2704</f>
        <v/>
      </c>
      <c r="AG2704" s="16">
        <f>SUMPRODUCT(N2704:Y2704,$N$6:$Y$6)*$K2704*$L2704*$M2704</f>
        <v/>
      </c>
      <c r="AH2704" s="20" t="n"/>
    </row>
    <row r="2705">
      <c r="A2705" s="9" t="n">
        <v>543543</v>
      </c>
      <c r="B2705" s="9" t="inlineStr">
        <is>
          <t>Brad Miller</t>
        </is>
      </c>
      <c r="C2705" s="9" t="inlineStr">
        <is>
          <t>TEX</t>
        </is>
      </c>
      <c r="D2705" s="9" t="n">
        <v>37</v>
      </c>
      <c r="E2705" s="18" t="inlineStr">
        <is>
          <t>R</t>
        </is>
      </c>
      <c r="F2705" s="18" t="n"/>
      <c r="G2705" s="9" t="n">
        <v>9</v>
      </c>
      <c r="H2705" s="9" t="n">
        <v>9</v>
      </c>
      <c r="I2705" s="9" t="inlineStr">
        <is>
          <t>Depth (no MLB IP)</t>
        </is>
      </c>
      <c r="J2705" s="18" t="inlineStr">
        <is>
          <t>Opening Day</t>
        </is>
      </c>
      <c r="K2705" s="11">
        <f>IFERROR(INDEX(Roles!$B$17:$B$20,MATCH(J2705,Roles!$A$17:$A$20,0)),1)</f>
        <v/>
      </c>
      <c r="L2705" s="19" t="n">
        <v>1</v>
      </c>
      <c r="M2705" s="11" t="n">
        <v>1</v>
      </c>
      <c r="N2705" s="19" t="n"/>
      <c r="O2705" s="19" t="n"/>
      <c r="P2705" s="19" t="n"/>
      <c r="Q2705" s="19" t="n"/>
      <c r="R2705" s="19" t="n"/>
      <c r="S2705" s="19" t="n"/>
      <c r="T2705" s="19" t="n"/>
      <c r="U2705" s="19" t="n"/>
      <c r="V2705" s="19" t="n"/>
      <c r="W2705" s="19" t="n"/>
      <c r="X2705" s="19" t="n"/>
      <c r="Y2705" s="19" t="n">
        <v>1</v>
      </c>
      <c r="Z2705" s="13">
        <f>SUMPRODUCT(N2705:Y2705,$N$2:$Y$2)*$K2705*$L2705*$M2705</f>
        <v/>
      </c>
      <c r="AA2705" s="14">
        <f>SUM(N2705:Y2705)</f>
        <v/>
      </c>
      <c r="AB2705" s="13">
        <f>SUMPRODUCT(N2705:Y2705,$N$3:$Y$3)*$K2705*$L2705*$M2705</f>
        <v/>
      </c>
      <c r="AC2705" s="13">
        <f>SUMPRODUCT(N2705:Y2705,$N$4:$Y$4)*$K2705*$L2705*$M2705</f>
        <v/>
      </c>
      <c r="AD2705" s="15" t="n">
        <v>3</v>
      </c>
      <c r="AE2705" s="11" t="n">
        <v>1.011296296296296</v>
      </c>
      <c r="AF2705" s="16">
        <f>SUMPRODUCT(N2705:Y2705,$N$5:$Y$5)*$K2705*$L2705*$M2705</f>
        <v/>
      </c>
      <c r="AG2705" s="16">
        <f>SUMPRODUCT(N2705:Y2705,$N$6:$Y$6)*$K2705*$L2705*$M2705</f>
        <v/>
      </c>
      <c r="AH2705" s="20" t="n"/>
    </row>
    <row r="2706">
      <c r="A2706" s="9" t="n">
        <v>665959</v>
      </c>
      <c r="B2706" s="9" t="inlineStr">
        <is>
          <t>Abdiel Mendoza</t>
        </is>
      </c>
      <c r="C2706" s="9" t="inlineStr">
        <is>
          <t>SEA</t>
        </is>
      </c>
      <c r="D2706" s="9" t="n">
        <v>25</v>
      </c>
      <c r="E2706" s="18" t="inlineStr">
        <is>
          <t>R</t>
        </is>
      </c>
      <c r="F2706" s="18" t="n"/>
      <c r="G2706" s="9" t="n">
        <v>51.67166666666666</v>
      </c>
      <c r="H2706" s="9" t="n">
        <v>51.67166666666666</v>
      </c>
      <c r="I2706" s="9" t="inlineStr">
        <is>
          <t>Depth (no MLB IP)</t>
        </is>
      </c>
      <c r="J2706" s="18" t="inlineStr">
        <is>
          <t>Opening Day</t>
        </is>
      </c>
      <c r="K2706" s="11">
        <f>IFERROR(INDEX(Roles!$B$17:$B$20,MATCH(J2706,Roles!$A$17:$A$20,0)),1)</f>
        <v/>
      </c>
      <c r="L2706" s="19" t="n">
        <v>1</v>
      </c>
      <c r="M2706" s="11" t="n">
        <v>1</v>
      </c>
      <c r="N2706" s="19" t="n"/>
      <c r="O2706" s="19" t="n"/>
      <c r="P2706" s="19" t="n"/>
      <c r="Q2706" s="19" t="n"/>
      <c r="R2706" s="19" t="n"/>
      <c r="S2706" s="19" t="n"/>
      <c r="T2706" s="19" t="n"/>
      <c r="U2706" s="19" t="n"/>
      <c r="V2706" s="19" t="n"/>
      <c r="W2706" s="19" t="n"/>
      <c r="X2706" s="19" t="n"/>
      <c r="Y2706" s="19" t="n">
        <v>1</v>
      </c>
      <c r="Z2706" s="13">
        <f>SUMPRODUCT(N2706:Y2706,$N$2:$Y$2)*$K2706*$L2706*$M2706</f>
        <v/>
      </c>
      <c r="AA2706" s="14">
        <f>SUM(N2706:Y2706)</f>
        <v/>
      </c>
      <c r="AB2706" s="13">
        <f>SUMPRODUCT(N2706:Y2706,$N$3:$Y$3)*$K2706*$L2706*$M2706</f>
        <v/>
      </c>
      <c r="AC2706" s="13">
        <f>SUMPRODUCT(N2706:Y2706,$N$4:$Y$4)*$K2706*$L2706*$M2706</f>
        <v/>
      </c>
      <c r="AD2706" s="15" t="n">
        <v>3</v>
      </c>
      <c r="AE2706" s="11" t="n">
        <v>1.011296296296296</v>
      </c>
      <c r="AF2706" s="16">
        <f>SUMPRODUCT(N2706:Y2706,$N$5:$Y$5)*$K2706*$L2706*$M2706</f>
        <v/>
      </c>
      <c r="AG2706" s="16">
        <f>SUMPRODUCT(N2706:Y2706,$N$6:$Y$6)*$K2706*$L2706*$M2706</f>
        <v/>
      </c>
      <c r="AH2706" s="20" t="n"/>
    </row>
    <row r="2707">
      <c r="A2707" s="9" t="n">
        <v>676428</v>
      </c>
      <c r="B2707" s="9" t="inlineStr">
        <is>
          <t>Brant Hurter</t>
        </is>
      </c>
      <c r="C2707" s="9" t="inlineStr">
        <is>
          <t>DET</t>
        </is>
      </c>
      <c r="D2707" s="9" t="n">
        <v>28</v>
      </c>
      <c r="E2707" s="18" t="inlineStr">
        <is>
          <t>L</t>
        </is>
      </c>
      <c r="F2707" s="18" t="n"/>
      <c r="G2707" s="9" t="n">
        <v>143</v>
      </c>
      <c r="H2707" s="9" t="n">
        <v>595</v>
      </c>
      <c r="I2707" s="9" t="inlineStr">
        <is>
          <t>Swing Arm / Long Relief</t>
        </is>
      </c>
      <c r="J2707" s="18" t="inlineStr">
        <is>
          <t>Opening Day</t>
        </is>
      </c>
      <c r="K2707" s="11">
        <f>IFERROR(INDEX(Roles!$B$17:$B$20,MATCH(J2707,Roles!$A$17:$A$20,0)),1)</f>
        <v/>
      </c>
      <c r="L2707" s="19" t="n">
        <v>1</v>
      </c>
      <c r="M2707" s="11" t="n">
        <v>1</v>
      </c>
      <c r="N2707" s="19" t="n"/>
      <c r="O2707" s="19" t="n"/>
      <c r="P2707" s="19" t="n"/>
      <c r="Q2707" s="19" t="n"/>
      <c r="R2707" s="19" t="n">
        <v>0.55</v>
      </c>
      <c r="S2707" s="19" t="n"/>
      <c r="T2707" s="19" t="n"/>
      <c r="U2707" s="19" t="n"/>
      <c r="V2707" s="19" t="n">
        <v>0.45</v>
      </c>
      <c r="W2707" s="19" t="n"/>
      <c r="X2707" s="19" t="n"/>
      <c r="Y2707" s="19" t="n"/>
      <c r="Z2707" s="13">
        <f>SUMPRODUCT(N2707:Y2707,$N$2:$Y$2)*$K2707*$L2707*$M2707</f>
        <v/>
      </c>
      <c r="AA2707" s="14">
        <f>SUM(N2707:Y2707)</f>
        <v/>
      </c>
      <c r="AB2707" s="13">
        <f>SUMPRODUCT(N2707:Y2707,$N$3:$Y$3)*$K2707*$L2707*$M2707</f>
        <v/>
      </c>
      <c r="AC2707" s="13">
        <f>SUMPRODUCT(N2707:Y2707,$N$4:$Y$4)*$K2707*$L2707*$M2707</f>
        <v/>
      </c>
      <c r="AD2707" s="15" t="n">
        <v>26.43333333333333</v>
      </c>
      <c r="AE2707" s="11" t="n">
        <v>2.173649058894961</v>
      </c>
      <c r="AF2707" s="16">
        <f>SUMPRODUCT(N2707:Y2707,$N$5:$Y$5)*$K2707*$L2707*$M2707</f>
        <v/>
      </c>
      <c r="AG2707" s="16">
        <f>SUMPRODUCT(N2707:Y2707,$N$6:$Y$6)*$K2707*$L2707*$M2707</f>
        <v/>
      </c>
      <c r="AH2707" s="20" t="n"/>
    </row>
    <row r="2708">
      <c r="A2708" s="9" t="n">
        <v>668943</v>
      </c>
      <c r="B2708" s="9" t="inlineStr">
        <is>
          <t>Ryan Miller</t>
        </is>
      </c>
      <c r="C2708" s="9" t="inlineStr">
        <is>
          <t>LAA</t>
        </is>
      </c>
      <c r="D2708" s="9" t="n">
        <v>31</v>
      </c>
      <c r="E2708" s="18" t="inlineStr">
        <is>
          <t>R</t>
        </is>
      </c>
      <c r="F2708" s="18" t="n"/>
      <c r="G2708" s="9" t="n">
        <v>58</v>
      </c>
      <c r="H2708" s="9" t="n">
        <v>58</v>
      </c>
      <c r="I2708" s="9" t="inlineStr">
        <is>
          <t>Depth (no MLB IP)</t>
        </is>
      </c>
      <c r="J2708" s="18" t="inlineStr">
        <is>
          <t>Opening Day</t>
        </is>
      </c>
      <c r="K2708" s="11">
        <f>IFERROR(INDEX(Roles!$B$17:$B$20,MATCH(J2708,Roles!$A$17:$A$20,0)),1)</f>
        <v/>
      </c>
      <c r="L2708" s="19" t="n">
        <v>1</v>
      </c>
      <c r="M2708" s="11" t="n">
        <v>1</v>
      </c>
      <c r="N2708" s="19" t="n"/>
      <c r="O2708" s="19" t="n"/>
      <c r="P2708" s="19" t="n"/>
      <c r="Q2708" s="19" t="n"/>
      <c r="R2708" s="19" t="n"/>
      <c r="S2708" s="19" t="n"/>
      <c r="T2708" s="19" t="n"/>
      <c r="U2708" s="19" t="n"/>
      <c r="V2708" s="19" t="n"/>
      <c r="W2708" s="19" t="n"/>
      <c r="X2708" s="19" t="n"/>
      <c r="Y2708" s="19" t="n">
        <v>1</v>
      </c>
      <c r="Z2708" s="13">
        <f>SUMPRODUCT(N2708:Y2708,$N$2:$Y$2)*$K2708*$L2708*$M2708</f>
        <v/>
      </c>
      <c r="AA2708" s="14">
        <f>SUM(N2708:Y2708)</f>
        <v/>
      </c>
      <c r="AB2708" s="13">
        <f>SUMPRODUCT(N2708:Y2708,$N$3:$Y$3)*$K2708*$L2708*$M2708</f>
        <v/>
      </c>
      <c r="AC2708" s="13">
        <f>SUMPRODUCT(N2708:Y2708,$N$4:$Y$4)*$K2708*$L2708*$M2708</f>
        <v/>
      </c>
      <c r="AD2708" s="15" t="n">
        <v>9</v>
      </c>
      <c r="AE2708" s="11" t="n">
        <v>1.007530864197531</v>
      </c>
      <c r="AF2708" s="16">
        <f>SUMPRODUCT(N2708:Y2708,$N$5:$Y$5)*$K2708*$L2708*$M2708</f>
        <v/>
      </c>
      <c r="AG2708" s="16">
        <f>SUMPRODUCT(N2708:Y2708,$N$6:$Y$6)*$K2708*$L2708*$M2708</f>
        <v/>
      </c>
      <c r="AH2708" s="20" t="n"/>
    </row>
    <row r="2709">
      <c r="A2709" s="9" t="n">
        <v>841138</v>
      </c>
      <c r="B2709" s="9" t="inlineStr">
        <is>
          <t>Luke Schafer</t>
        </is>
      </c>
      <c r="C2709" s="9" t="inlineStr">
        <is>
          <t>LAA</t>
        </is>
      </c>
      <c r="D2709" s="9" t="n">
        <v>25</v>
      </c>
      <c r="E2709" s="18" t="inlineStr">
        <is>
          <t>R</t>
        </is>
      </c>
      <c r="F2709" s="18" t="n"/>
      <c r="G2709" s="9" t="n">
        <v>51.88666666666667</v>
      </c>
      <c r="H2709" s="9" t="n">
        <v>51.88666666666667</v>
      </c>
      <c r="I2709" s="9" t="inlineStr">
        <is>
          <t>Depth (no MLB IP)</t>
        </is>
      </c>
      <c r="J2709" s="18" t="inlineStr">
        <is>
          <t>Opening Day</t>
        </is>
      </c>
      <c r="K2709" s="11">
        <f>IFERROR(INDEX(Roles!$B$17:$B$20,MATCH(J2709,Roles!$A$17:$A$20,0)),1)</f>
        <v/>
      </c>
      <c r="L2709" s="19" t="n">
        <v>1</v>
      </c>
      <c r="M2709" s="11" t="n">
        <v>1</v>
      </c>
      <c r="N2709" s="19" t="n"/>
      <c r="O2709" s="19" t="n"/>
      <c r="P2709" s="19" t="n"/>
      <c r="Q2709" s="19" t="n"/>
      <c r="R2709" s="19" t="n"/>
      <c r="S2709" s="19" t="n"/>
      <c r="T2709" s="19" t="n"/>
      <c r="U2709" s="19" t="n"/>
      <c r="V2709" s="19" t="n"/>
      <c r="W2709" s="19" t="n"/>
      <c r="X2709" s="19" t="n"/>
      <c r="Y2709" s="19" t="n">
        <v>1</v>
      </c>
      <c r="Z2709" s="13">
        <f>SUMPRODUCT(N2709:Y2709,$N$2:$Y$2)*$K2709*$L2709*$M2709</f>
        <v/>
      </c>
      <c r="AA2709" s="14">
        <f>SUM(N2709:Y2709)</f>
        <v/>
      </c>
      <c r="AB2709" s="13">
        <f>SUMPRODUCT(N2709:Y2709,$N$3:$Y$3)*$K2709*$L2709*$M2709</f>
        <v/>
      </c>
      <c r="AC2709" s="13">
        <f>SUMPRODUCT(N2709:Y2709,$N$4:$Y$4)*$K2709*$L2709*$M2709</f>
        <v/>
      </c>
      <c r="AD2709" s="15" t="n">
        <v>3</v>
      </c>
      <c r="AE2709" s="11" t="n">
        <v>1.011296296296296</v>
      </c>
      <c r="AF2709" s="16">
        <f>SUMPRODUCT(N2709:Y2709,$N$5:$Y$5)*$K2709*$L2709*$M2709</f>
        <v/>
      </c>
      <c r="AG2709" s="16">
        <f>SUMPRODUCT(N2709:Y2709,$N$6:$Y$6)*$K2709*$L2709*$M2709</f>
        <v/>
      </c>
      <c r="AH2709" s="20" t="n"/>
    </row>
    <row r="2710">
      <c r="A2710" s="9" t="n">
        <v>592767</v>
      </c>
      <c r="B2710" s="9" t="inlineStr">
        <is>
          <t>Drew Smyly</t>
        </is>
      </c>
      <c r="C2710" s="9" t="inlineStr">
        <is>
          <t>CHC</t>
        </is>
      </c>
      <c r="D2710" s="9" t="n">
        <v>38</v>
      </c>
      <c r="E2710" s="18" t="inlineStr">
        <is>
          <t>L</t>
        </is>
      </c>
      <c r="F2710" s="18" t="n"/>
      <c r="G2710" s="9" t="n">
        <v>257</v>
      </c>
      <c r="H2710" s="9" t="n">
        <v>1330</v>
      </c>
      <c r="I2710" s="9" t="inlineStr">
        <is>
          <t>Depth (no MLB IP)</t>
        </is>
      </c>
      <c r="J2710" s="18" t="inlineStr">
        <is>
          <t>Opening Day</t>
        </is>
      </c>
      <c r="K2710" s="11">
        <f>IFERROR(INDEX(Roles!$B$17:$B$20,MATCH(J2710,Roles!$A$17:$A$20,0)),1)</f>
        <v/>
      </c>
      <c r="L2710" s="19" t="n">
        <v>1</v>
      </c>
      <c r="M2710" s="11" t="n">
        <v>1</v>
      </c>
      <c r="N2710" s="19" t="n"/>
      <c r="O2710" s="19" t="n"/>
      <c r="P2710" s="19" t="n"/>
      <c r="Q2710" s="19" t="n"/>
      <c r="R2710" s="19" t="n"/>
      <c r="S2710" s="19" t="n"/>
      <c r="T2710" s="19" t="n"/>
      <c r="U2710" s="19" t="n"/>
      <c r="V2710" s="19" t="n"/>
      <c r="W2710" s="19" t="n"/>
      <c r="X2710" s="19" t="n"/>
      <c r="Y2710" s="19" t="n">
        <v>1</v>
      </c>
      <c r="Z2710" s="13">
        <f>SUMPRODUCT(N2710:Y2710,$N$2:$Y$2)*$K2710*$L2710*$M2710</f>
        <v/>
      </c>
      <c r="AA2710" s="14">
        <f>SUM(N2710:Y2710)</f>
        <v/>
      </c>
      <c r="AB2710" s="13">
        <f>SUMPRODUCT(N2710:Y2710,$N$3:$Y$3)*$K2710*$L2710*$M2710</f>
        <v/>
      </c>
      <c r="AC2710" s="13">
        <f>SUMPRODUCT(N2710:Y2710,$N$4:$Y$4)*$K2710*$L2710*$M2710</f>
        <v/>
      </c>
      <c r="AD2710" s="15" t="n">
        <v>31.2</v>
      </c>
      <c r="AE2710" s="11" t="n">
        <v>1.065308641975309</v>
      </c>
      <c r="AF2710" s="16">
        <f>SUMPRODUCT(N2710:Y2710,$N$5:$Y$5)*$K2710*$L2710*$M2710</f>
        <v/>
      </c>
      <c r="AG2710" s="16">
        <f>SUMPRODUCT(N2710:Y2710,$N$6:$Y$6)*$K2710*$L2710*$M2710</f>
        <v/>
      </c>
      <c r="AH2710" s="20" t="n"/>
    </row>
    <row r="2711">
      <c r="A2711" s="9" t="n">
        <v>804556</v>
      </c>
      <c r="B2711" s="9" t="inlineStr">
        <is>
          <t>Braden Nett</t>
        </is>
      </c>
      <c r="C2711" s="9" t="inlineStr">
        <is>
          <t>OAK</t>
        </is>
      </c>
      <c r="D2711" s="9" t="n">
        <v>25</v>
      </c>
      <c r="E2711" s="18" t="inlineStr">
        <is>
          <t>R</t>
        </is>
      </c>
      <c r="F2711" s="18" t="n"/>
      <c r="G2711" s="9" t="n">
        <v>52.03</v>
      </c>
      <c r="H2711" s="9" t="n">
        <v>52.03</v>
      </c>
      <c r="I2711" s="9" t="inlineStr">
        <is>
          <t>Depth (no MLB IP)</t>
        </is>
      </c>
      <c r="J2711" s="18" t="inlineStr">
        <is>
          <t>Opening Day</t>
        </is>
      </c>
      <c r="K2711" s="11">
        <f>IFERROR(INDEX(Roles!$B$17:$B$20,MATCH(J2711,Roles!$A$17:$A$20,0)),1)</f>
        <v/>
      </c>
      <c r="L2711" s="19" t="n">
        <v>1</v>
      </c>
      <c r="M2711" s="11" t="n">
        <v>1</v>
      </c>
      <c r="N2711" s="19" t="n"/>
      <c r="O2711" s="19" t="n"/>
      <c r="P2711" s="19" t="n"/>
      <c r="Q2711" s="19" t="n"/>
      <c r="R2711" s="19" t="n"/>
      <c r="S2711" s="19" t="n"/>
      <c r="T2711" s="19" t="n"/>
      <c r="U2711" s="19" t="n"/>
      <c r="V2711" s="19" t="n"/>
      <c r="W2711" s="19" t="n"/>
      <c r="X2711" s="19" t="n"/>
      <c r="Y2711" s="19" t="n">
        <v>1</v>
      </c>
      <c r="Z2711" s="13">
        <f>SUMPRODUCT(N2711:Y2711,$N$2:$Y$2)*$K2711*$L2711*$M2711</f>
        <v/>
      </c>
      <c r="AA2711" s="14">
        <f>SUM(N2711:Y2711)</f>
        <v/>
      </c>
      <c r="AB2711" s="13">
        <f>SUMPRODUCT(N2711:Y2711,$N$3:$Y$3)*$K2711*$L2711*$M2711</f>
        <v/>
      </c>
      <c r="AC2711" s="13">
        <f>SUMPRODUCT(N2711:Y2711,$N$4:$Y$4)*$K2711*$L2711*$M2711</f>
        <v/>
      </c>
      <c r="AD2711" s="15" t="n">
        <v>3</v>
      </c>
      <c r="AE2711" s="11" t="n">
        <v>1.011296296296296</v>
      </c>
      <c r="AF2711" s="16">
        <f>SUMPRODUCT(N2711:Y2711,$N$5:$Y$5)*$K2711*$L2711*$M2711</f>
        <v/>
      </c>
      <c r="AG2711" s="16">
        <f>SUMPRODUCT(N2711:Y2711,$N$6:$Y$6)*$K2711*$L2711*$M2711</f>
        <v/>
      </c>
      <c r="AH2711" s="20" t="n"/>
    </row>
    <row r="2712">
      <c r="A2712" s="9" t="n">
        <v>656492</v>
      </c>
      <c r="B2712" s="9" t="inlineStr">
        <is>
          <t>Foster Griffin</t>
        </is>
      </c>
      <c r="C2712" s="9" t="inlineStr">
        <is>
          <t>CLE</t>
        </is>
      </c>
      <c r="D2712" s="9" t="n">
        <v>31</v>
      </c>
      <c r="E2712" s="18" t="inlineStr">
        <is>
          <t>L</t>
        </is>
      </c>
      <c r="F2712" s="18" t="n"/>
      <c r="G2712" s="9" t="n">
        <v>721</v>
      </c>
      <c r="H2712" s="9" t="n">
        <v>753</v>
      </c>
      <c r="I2712" s="9" t="inlineStr">
        <is>
          <t>Mid-Rotation Starter (SP2-3)</t>
        </is>
      </c>
      <c r="J2712" s="18" t="inlineStr">
        <is>
          <t>Opening Day</t>
        </is>
      </c>
      <c r="K2712" s="11">
        <f>IFERROR(INDEX(Roles!$B$17:$B$20,MATCH(J2712,Roles!$A$17:$A$20,0)),1)</f>
        <v/>
      </c>
      <c r="L2712" s="19" t="n">
        <v>1</v>
      </c>
      <c r="M2712" s="11" t="n">
        <v>1</v>
      </c>
      <c r="N2712" s="19" t="n"/>
      <c r="O2712" s="19" t="n">
        <v>0.5</v>
      </c>
      <c r="P2712" s="19" t="n">
        <v>0.5</v>
      </c>
      <c r="Q2712" s="19" t="n"/>
      <c r="R2712" s="19" t="n"/>
      <c r="S2712" s="19" t="n"/>
      <c r="T2712" s="19" t="n"/>
      <c r="U2712" s="19" t="n"/>
      <c r="V2712" s="19" t="n"/>
      <c r="W2712" s="19" t="n"/>
      <c r="X2712" s="19" t="n"/>
      <c r="Y2712" s="19" t="n"/>
      <c r="Z2712" s="13">
        <f>SUMPRODUCT(N2712:Y2712,$N$2:$Y$2)*$K2712*$L2712*$M2712</f>
        <v/>
      </c>
      <c r="AA2712" s="14">
        <f>SUM(N2712:Y2712)</f>
        <v/>
      </c>
      <c r="AB2712" s="13">
        <f>SUMPRODUCT(N2712:Y2712,$N$3:$Y$3)*$K2712*$L2712*$M2712</f>
        <v/>
      </c>
      <c r="AC2712" s="13">
        <f>SUMPRODUCT(N2712:Y2712,$N$4:$Y$4)*$K2712*$L2712*$M2712</f>
        <v/>
      </c>
      <c r="AD2712" s="15" t="n">
        <v>29</v>
      </c>
      <c r="AE2712" s="11" t="n">
        <v>5.326164874551973</v>
      </c>
      <c r="AF2712" s="16">
        <f>SUMPRODUCT(N2712:Y2712,$N$5:$Y$5)*$K2712*$L2712*$M2712</f>
        <v/>
      </c>
      <c r="AG2712" s="16">
        <f>SUMPRODUCT(N2712:Y2712,$N$6:$Y$6)*$K2712*$L2712*$M2712</f>
        <v/>
      </c>
      <c r="AH2712" s="20" t="n"/>
    </row>
    <row r="2713">
      <c r="A2713" s="9" t="n">
        <v>689557</v>
      </c>
      <c r="B2713" s="9" t="inlineStr">
        <is>
          <t>Zane Morehouse</t>
        </is>
      </c>
      <c r="C2713" s="9" t="inlineStr">
        <is>
          <t>CLE</t>
        </is>
      </c>
      <c r="D2713" s="9" t="n">
        <v>25</v>
      </c>
      <c r="E2713" s="18" t="inlineStr">
        <is>
          <t>R</t>
        </is>
      </c>
      <c r="F2713" s="18" t="n"/>
      <c r="G2713" s="9" t="n">
        <v>52.17333333333333</v>
      </c>
      <c r="H2713" s="9" t="n">
        <v>52.17333333333333</v>
      </c>
      <c r="I2713" s="9" t="inlineStr">
        <is>
          <t>Depth (no MLB IP)</t>
        </is>
      </c>
      <c r="J2713" s="18" t="inlineStr">
        <is>
          <t>Opening Day</t>
        </is>
      </c>
      <c r="K2713" s="11">
        <f>IFERROR(INDEX(Roles!$B$17:$B$20,MATCH(J2713,Roles!$A$17:$A$20,0)),1)</f>
        <v/>
      </c>
      <c r="L2713" s="19" t="n">
        <v>1</v>
      </c>
      <c r="M2713" s="11" t="n">
        <v>1</v>
      </c>
      <c r="N2713" s="19" t="n"/>
      <c r="O2713" s="19" t="n"/>
      <c r="P2713" s="19" t="n"/>
      <c r="Q2713" s="19" t="n"/>
      <c r="R2713" s="19" t="n"/>
      <c r="S2713" s="19" t="n"/>
      <c r="T2713" s="19" t="n"/>
      <c r="U2713" s="19" t="n"/>
      <c r="V2713" s="19" t="n"/>
      <c r="W2713" s="19" t="n"/>
      <c r="X2713" s="19" t="n"/>
      <c r="Y2713" s="19" t="n">
        <v>1</v>
      </c>
      <c r="Z2713" s="13">
        <f>SUMPRODUCT(N2713:Y2713,$N$2:$Y$2)*$K2713*$L2713*$M2713</f>
        <v/>
      </c>
      <c r="AA2713" s="14">
        <f>SUM(N2713:Y2713)</f>
        <v/>
      </c>
      <c r="AB2713" s="13">
        <f>SUMPRODUCT(N2713:Y2713,$N$3:$Y$3)*$K2713*$L2713*$M2713</f>
        <v/>
      </c>
      <c r="AC2713" s="13">
        <f>SUMPRODUCT(N2713:Y2713,$N$4:$Y$4)*$K2713*$L2713*$M2713</f>
        <v/>
      </c>
      <c r="AD2713" s="15" t="n">
        <v>3</v>
      </c>
      <c r="AE2713" s="11" t="n">
        <v>1.011296296296296</v>
      </c>
      <c r="AF2713" s="16">
        <f>SUMPRODUCT(N2713:Y2713,$N$5:$Y$5)*$K2713*$L2713*$M2713</f>
        <v/>
      </c>
      <c r="AG2713" s="16">
        <f>SUMPRODUCT(N2713:Y2713,$N$6:$Y$6)*$K2713*$L2713*$M2713</f>
        <v/>
      </c>
      <c r="AH2713" s="20" t="n"/>
    </row>
    <row r="2714">
      <c r="A2714" s="9" t="n">
        <v>701477</v>
      </c>
      <c r="B2714" s="9" t="inlineStr">
        <is>
          <t>Erian Rodriguez</t>
        </is>
      </c>
      <c r="C2714" s="9" t="inlineStr">
        <is>
          <t>CHC</t>
        </is>
      </c>
      <c r="D2714" s="9" t="n">
        <v>25</v>
      </c>
      <c r="E2714" s="18" t="inlineStr">
        <is>
          <t>R</t>
        </is>
      </c>
      <c r="F2714" s="18" t="n"/>
      <c r="G2714" s="9" t="n">
        <v>52.17333333333333</v>
      </c>
      <c r="H2714" s="9" t="n">
        <v>52.17333333333333</v>
      </c>
      <c r="I2714" s="9" t="inlineStr">
        <is>
          <t>Depth (no MLB IP)</t>
        </is>
      </c>
      <c r="J2714" s="18" t="inlineStr">
        <is>
          <t>Opening Day</t>
        </is>
      </c>
      <c r="K2714" s="11">
        <f>IFERROR(INDEX(Roles!$B$17:$B$20,MATCH(J2714,Roles!$A$17:$A$20,0)),1)</f>
        <v/>
      </c>
      <c r="L2714" s="19" t="n">
        <v>1</v>
      </c>
      <c r="M2714" s="11" t="n">
        <v>1</v>
      </c>
      <c r="N2714" s="19" t="n"/>
      <c r="O2714" s="19" t="n"/>
      <c r="P2714" s="19" t="n"/>
      <c r="Q2714" s="19" t="n"/>
      <c r="R2714" s="19" t="n"/>
      <c r="S2714" s="19" t="n"/>
      <c r="T2714" s="19" t="n"/>
      <c r="U2714" s="19" t="n"/>
      <c r="V2714" s="19" t="n"/>
      <c r="W2714" s="19" t="n"/>
      <c r="X2714" s="19" t="n"/>
      <c r="Y2714" s="19" t="n">
        <v>1</v>
      </c>
      <c r="Z2714" s="13">
        <f>SUMPRODUCT(N2714:Y2714,$N$2:$Y$2)*$K2714*$L2714*$M2714</f>
        <v/>
      </c>
      <c r="AA2714" s="14">
        <f>SUM(N2714:Y2714)</f>
        <v/>
      </c>
      <c r="AB2714" s="13">
        <f>SUMPRODUCT(N2714:Y2714,$N$3:$Y$3)*$K2714*$L2714*$M2714</f>
        <v/>
      </c>
      <c r="AC2714" s="13">
        <f>SUMPRODUCT(N2714:Y2714,$N$4:$Y$4)*$K2714*$L2714*$M2714</f>
        <v/>
      </c>
      <c r="AD2714" s="15" t="n">
        <v>3</v>
      </c>
      <c r="AE2714" s="11" t="n">
        <v>1.011296296296296</v>
      </c>
      <c r="AF2714" s="16">
        <f>SUMPRODUCT(N2714:Y2714,$N$5:$Y$5)*$K2714*$L2714*$M2714</f>
        <v/>
      </c>
      <c r="AG2714" s="16">
        <f>SUMPRODUCT(N2714:Y2714,$N$6:$Y$6)*$K2714*$L2714*$M2714</f>
        <v/>
      </c>
      <c r="AH2714" s="20" t="n"/>
    </row>
    <row r="2715">
      <c r="A2715" s="9" t="n">
        <v>676265</v>
      </c>
      <c r="B2715" s="9" t="inlineStr">
        <is>
          <t>Cory Abbott</t>
        </is>
      </c>
      <c r="C2715" s="9" t="inlineStr">
        <is>
          <t>WSH</t>
        </is>
      </c>
      <c r="D2715" s="9" t="n">
        <v>31</v>
      </c>
      <c r="E2715" s="18" t="inlineStr">
        <is>
          <t>R</t>
        </is>
      </c>
      <c r="F2715" s="18" t="n"/>
      <c r="G2715" s="9" t="n">
        <v>183</v>
      </c>
      <c r="H2715" s="9" t="n">
        <v>399</v>
      </c>
      <c r="I2715" s="9" t="inlineStr">
        <is>
          <t>Depth (no MLB IP)</t>
        </is>
      </c>
      <c r="J2715" s="18" t="inlineStr">
        <is>
          <t>Opening Day</t>
        </is>
      </c>
      <c r="K2715" s="11">
        <f>IFERROR(INDEX(Roles!$B$17:$B$20,MATCH(J2715,Roles!$A$17:$A$20,0)),1)</f>
        <v/>
      </c>
      <c r="L2715" s="19" t="n">
        <v>1</v>
      </c>
      <c r="M2715" s="11" t="n">
        <v>1</v>
      </c>
      <c r="N2715" s="19" t="n"/>
      <c r="O2715" s="19" t="n"/>
      <c r="P2715" s="19" t="n"/>
      <c r="Q2715" s="19" t="n"/>
      <c r="R2715" s="19" t="n"/>
      <c r="S2715" s="19" t="n"/>
      <c r="T2715" s="19" t="n"/>
      <c r="U2715" s="19" t="n"/>
      <c r="V2715" s="19" t="n"/>
      <c r="W2715" s="19" t="n"/>
      <c r="X2715" s="19" t="n"/>
      <c r="Y2715" s="19" t="n">
        <v>1</v>
      </c>
      <c r="Z2715" s="13">
        <f>SUMPRODUCT(N2715:Y2715,$N$2:$Y$2)*$K2715*$L2715*$M2715</f>
        <v/>
      </c>
      <c r="AA2715" s="14">
        <f>SUM(N2715:Y2715)</f>
        <v/>
      </c>
      <c r="AB2715" s="13">
        <f>SUMPRODUCT(N2715:Y2715,$N$3:$Y$3)*$K2715*$L2715*$M2715</f>
        <v/>
      </c>
      <c r="AC2715" s="13">
        <f>SUMPRODUCT(N2715:Y2715,$N$4:$Y$4)*$K2715*$L2715*$M2715</f>
        <v/>
      </c>
      <c r="AD2715" s="15" t="n">
        <v>3</v>
      </c>
      <c r="AE2715" s="11" t="n">
        <v>1.011296296296296</v>
      </c>
      <c r="AF2715" s="16">
        <f>SUMPRODUCT(N2715:Y2715,$N$5:$Y$5)*$K2715*$L2715*$M2715</f>
        <v/>
      </c>
      <c r="AG2715" s="16">
        <f>SUMPRODUCT(N2715:Y2715,$N$6:$Y$6)*$K2715*$L2715*$M2715</f>
        <v/>
      </c>
      <c r="AH2715" s="20" t="n"/>
    </row>
    <row r="2716">
      <c r="A2716" s="9" t="n">
        <v>814372</v>
      </c>
      <c r="B2716" s="9" t="inlineStr">
        <is>
          <t>Brad Pacheco</t>
        </is>
      </c>
      <c r="C2716" s="9" t="inlineStr">
        <is>
          <t>PHI</t>
        </is>
      </c>
      <c r="D2716" s="9" t="n">
        <v>22</v>
      </c>
      <c r="E2716" s="18" t="inlineStr">
        <is>
          <t>R</t>
        </is>
      </c>
      <c r="F2716" s="18" t="n"/>
      <c r="G2716" s="9" t="n">
        <v>52.28799999999999</v>
      </c>
      <c r="H2716" s="9" t="n">
        <v>52.28799999999999</v>
      </c>
      <c r="I2716" s="9" t="inlineStr">
        <is>
          <t>Depth (no MLB IP)</t>
        </is>
      </c>
      <c r="J2716" s="18" t="inlineStr">
        <is>
          <t>Opening Day</t>
        </is>
      </c>
      <c r="K2716" s="11">
        <f>IFERROR(INDEX(Roles!$B$17:$B$20,MATCH(J2716,Roles!$A$17:$A$20,0)),1)</f>
        <v/>
      </c>
      <c r="L2716" s="19" t="n">
        <v>1</v>
      </c>
      <c r="M2716" s="11" t="n">
        <v>1</v>
      </c>
      <c r="N2716" s="19" t="n"/>
      <c r="O2716" s="19" t="n"/>
      <c r="P2716" s="19" t="n"/>
      <c r="Q2716" s="19" t="n"/>
      <c r="R2716" s="19" t="n"/>
      <c r="S2716" s="19" t="n"/>
      <c r="T2716" s="19" t="n"/>
      <c r="U2716" s="19" t="n"/>
      <c r="V2716" s="19" t="n"/>
      <c r="W2716" s="19" t="n"/>
      <c r="X2716" s="19" t="n"/>
      <c r="Y2716" s="19" t="n">
        <v>1</v>
      </c>
      <c r="Z2716" s="13">
        <f>SUMPRODUCT(N2716:Y2716,$N$2:$Y$2)*$K2716*$L2716*$M2716</f>
        <v/>
      </c>
      <c r="AA2716" s="14">
        <f>SUM(N2716:Y2716)</f>
        <v/>
      </c>
      <c r="AB2716" s="13">
        <f>SUMPRODUCT(N2716:Y2716,$N$3:$Y$3)*$K2716*$L2716*$M2716</f>
        <v/>
      </c>
      <c r="AC2716" s="13">
        <f>SUMPRODUCT(N2716:Y2716,$N$4:$Y$4)*$K2716*$L2716*$M2716</f>
        <v/>
      </c>
      <c r="AD2716" s="15" t="n">
        <v>3</v>
      </c>
      <c r="AE2716" s="11" t="n">
        <v>1.011296296296296</v>
      </c>
      <c r="AF2716" s="16">
        <f>SUMPRODUCT(N2716:Y2716,$N$5:$Y$5)*$K2716*$L2716*$M2716</f>
        <v/>
      </c>
      <c r="AG2716" s="16">
        <f>SUMPRODUCT(N2716:Y2716,$N$6:$Y$6)*$K2716*$L2716*$M2716</f>
        <v/>
      </c>
      <c r="AH2716" s="20" t="n"/>
    </row>
    <row r="2717">
      <c r="A2717" s="9" t="n">
        <v>685068</v>
      </c>
      <c r="B2717" s="9" t="inlineStr">
        <is>
          <t>Carson Ragsdale</t>
        </is>
      </c>
      <c r="C2717" s="9" t="inlineStr">
        <is>
          <t>BAL</t>
        </is>
      </c>
      <c r="D2717" s="9" t="n">
        <v>29</v>
      </c>
      <c r="E2717" s="18" t="inlineStr">
        <is>
          <t>R</t>
        </is>
      </c>
      <c r="F2717" s="18" t="n"/>
      <c r="G2717" s="9" t="n">
        <v>25</v>
      </c>
      <c r="H2717" s="9" t="n">
        <v>25</v>
      </c>
      <c r="I2717" s="9" t="inlineStr">
        <is>
          <t>Bullpen Depth Arm</t>
        </is>
      </c>
      <c r="J2717" s="18" t="inlineStr">
        <is>
          <t>Opening Day</t>
        </is>
      </c>
      <c r="K2717" s="11">
        <f>IFERROR(INDEX(Roles!$B$17:$B$20,MATCH(J2717,Roles!$A$17:$A$20,0)),1)</f>
        <v/>
      </c>
      <c r="L2717" s="19" t="n">
        <v>1</v>
      </c>
      <c r="M2717" s="11" t="n">
        <v>1</v>
      </c>
      <c r="N2717" s="19" t="n"/>
      <c r="O2717" s="19" t="n"/>
      <c r="P2717" s="19" t="n"/>
      <c r="Q2717" s="19" t="n"/>
      <c r="R2717" s="19" t="n"/>
      <c r="S2717" s="19" t="n"/>
      <c r="T2717" s="19" t="n"/>
      <c r="U2717" s="19" t="n"/>
      <c r="V2717" s="19" t="n"/>
      <c r="W2717" s="19" t="n">
        <v>1</v>
      </c>
      <c r="X2717" s="19" t="n"/>
      <c r="Y2717" s="19" t="n"/>
      <c r="Z2717" s="13">
        <f>SUMPRODUCT(N2717:Y2717,$N$2:$Y$2)*$K2717*$L2717*$M2717</f>
        <v/>
      </c>
      <c r="AA2717" s="14">
        <f>SUM(N2717:Y2717)</f>
        <v/>
      </c>
      <c r="AB2717" s="13">
        <f>SUMPRODUCT(N2717:Y2717,$N$3:$Y$3)*$K2717*$L2717*$M2717</f>
        <v/>
      </c>
      <c r="AC2717" s="13">
        <f>SUMPRODUCT(N2717:Y2717,$N$4:$Y$4)*$K2717*$L2717*$M2717</f>
        <v/>
      </c>
      <c r="AD2717" s="15" t="n">
        <v>6.866666666666665</v>
      </c>
      <c r="AE2717" s="11" t="n">
        <v>1.634840468173802</v>
      </c>
      <c r="AF2717" s="16">
        <f>SUMPRODUCT(N2717:Y2717,$N$5:$Y$5)*$K2717*$L2717*$M2717</f>
        <v/>
      </c>
      <c r="AG2717" s="16">
        <f>SUMPRODUCT(N2717:Y2717,$N$6:$Y$6)*$K2717*$L2717*$M2717</f>
        <v/>
      </c>
      <c r="AH2717" s="20" t="n"/>
    </row>
    <row r="2718">
      <c r="A2718" s="9" t="n">
        <v>605155</v>
      </c>
      <c r="B2718" s="9" t="inlineStr">
        <is>
          <t>Colten Brewer</t>
        </is>
      </c>
      <c r="C2718" s="9" t="inlineStr">
        <is>
          <t>CHC</t>
        </is>
      </c>
      <c r="D2718" s="9" t="n">
        <v>34</v>
      </c>
      <c r="E2718" s="18" t="inlineStr">
        <is>
          <t>R</t>
        </is>
      </c>
      <c r="F2718" s="18" t="n"/>
      <c r="G2718" s="9" t="n">
        <v>95</v>
      </c>
      <c r="H2718" s="9" t="n">
        <v>129</v>
      </c>
      <c r="I2718" s="9" t="inlineStr">
        <is>
          <t>Depth (no MLB IP)</t>
        </is>
      </c>
      <c r="J2718" s="18" t="inlineStr">
        <is>
          <t>Opening Day</t>
        </is>
      </c>
      <c r="K2718" s="11">
        <f>IFERROR(INDEX(Roles!$B$17:$B$20,MATCH(J2718,Roles!$A$17:$A$20,0)),1)</f>
        <v/>
      </c>
      <c r="L2718" s="19" t="n">
        <v>1</v>
      </c>
      <c r="M2718" s="11" t="n">
        <v>1</v>
      </c>
      <c r="N2718" s="19" t="n"/>
      <c r="O2718" s="19" t="n"/>
      <c r="P2718" s="19" t="n"/>
      <c r="Q2718" s="19" t="n"/>
      <c r="R2718" s="19" t="n"/>
      <c r="S2718" s="19" t="n"/>
      <c r="T2718" s="19" t="n"/>
      <c r="U2718" s="19" t="n"/>
      <c r="V2718" s="19" t="n"/>
      <c r="W2718" s="19" t="n"/>
      <c r="X2718" s="19" t="n"/>
      <c r="Y2718" s="19" t="n">
        <v>1</v>
      </c>
      <c r="Z2718" s="13">
        <f>SUMPRODUCT(N2718:Y2718,$N$2:$Y$2)*$K2718*$L2718*$M2718</f>
        <v/>
      </c>
      <c r="AA2718" s="14">
        <f>SUM(N2718:Y2718)</f>
        <v/>
      </c>
      <c r="AB2718" s="13">
        <f>SUMPRODUCT(N2718:Y2718,$N$3:$Y$3)*$K2718*$L2718*$M2718</f>
        <v/>
      </c>
      <c r="AC2718" s="13">
        <f>SUMPRODUCT(N2718:Y2718,$N$4:$Y$4)*$K2718*$L2718*$M2718</f>
        <v/>
      </c>
      <c r="AD2718" s="15" t="n">
        <v>10.8</v>
      </c>
      <c r="AE2718" s="11" t="n">
        <v>1.104753086419753</v>
      </c>
      <c r="AF2718" s="16">
        <f>SUMPRODUCT(N2718:Y2718,$N$5:$Y$5)*$K2718*$L2718*$M2718</f>
        <v/>
      </c>
      <c r="AG2718" s="16">
        <f>SUMPRODUCT(N2718:Y2718,$N$6:$Y$6)*$K2718*$L2718*$M2718</f>
        <v/>
      </c>
      <c r="AH2718" s="20" t="n"/>
    </row>
    <row r="2719">
      <c r="A2719" s="9" t="n">
        <v>814544</v>
      </c>
      <c r="B2719" s="9" t="inlineStr">
        <is>
          <t>Joangel Gonzalez</t>
        </is>
      </c>
      <c r="C2719" s="9" t="inlineStr">
        <is>
          <t>ARI</t>
        </is>
      </c>
      <c r="D2719" s="9" t="n">
        <v>25</v>
      </c>
      <c r="E2719" s="18" t="inlineStr">
        <is>
          <t>R</t>
        </is>
      </c>
      <c r="F2719" s="18" t="n"/>
      <c r="G2719" s="9" t="n">
        <v>52.46000000000001</v>
      </c>
      <c r="H2719" s="9" t="n">
        <v>52.46000000000001</v>
      </c>
      <c r="I2719" s="9" t="inlineStr">
        <is>
          <t>Depth (no MLB IP)</t>
        </is>
      </c>
      <c r="J2719" s="18" t="inlineStr">
        <is>
          <t>Opening Day</t>
        </is>
      </c>
      <c r="K2719" s="11">
        <f>IFERROR(INDEX(Roles!$B$17:$B$20,MATCH(J2719,Roles!$A$17:$A$20,0)),1)</f>
        <v/>
      </c>
      <c r="L2719" s="19" t="n">
        <v>1</v>
      </c>
      <c r="M2719" s="11" t="n">
        <v>1</v>
      </c>
      <c r="N2719" s="19" t="n"/>
      <c r="O2719" s="19" t="n"/>
      <c r="P2719" s="19" t="n"/>
      <c r="Q2719" s="19" t="n"/>
      <c r="R2719" s="19" t="n"/>
      <c r="S2719" s="19" t="n"/>
      <c r="T2719" s="19" t="n"/>
      <c r="U2719" s="19" t="n"/>
      <c r="V2719" s="19" t="n"/>
      <c r="W2719" s="19" t="n"/>
      <c r="X2719" s="19" t="n"/>
      <c r="Y2719" s="19" t="n">
        <v>1</v>
      </c>
      <c r="Z2719" s="13">
        <f>SUMPRODUCT(N2719:Y2719,$N$2:$Y$2)*$K2719*$L2719*$M2719</f>
        <v/>
      </c>
      <c r="AA2719" s="14">
        <f>SUM(N2719:Y2719)</f>
        <v/>
      </c>
      <c r="AB2719" s="13">
        <f>SUMPRODUCT(N2719:Y2719,$N$3:$Y$3)*$K2719*$L2719*$M2719</f>
        <v/>
      </c>
      <c r="AC2719" s="13">
        <f>SUMPRODUCT(N2719:Y2719,$N$4:$Y$4)*$K2719*$L2719*$M2719</f>
        <v/>
      </c>
      <c r="AD2719" s="15" t="n">
        <v>3</v>
      </c>
      <c r="AE2719" s="11" t="n">
        <v>1.011296296296296</v>
      </c>
      <c r="AF2719" s="16">
        <f>SUMPRODUCT(N2719:Y2719,$N$5:$Y$5)*$K2719*$L2719*$M2719</f>
        <v/>
      </c>
      <c r="AG2719" s="16">
        <f>SUMPRODUCT(N2719:Y2719,$N$6:$Y$6)*$K2719*$L2719*$M2719</f>
        <v/>
      </c>
      <c r="AH2719" s="20" t="n"/>
    </row>
    <row r="2720">
      <c r="A2720" s="9" t="n">
        <v>810091</v>
      </c>
      <c r="B2720" s="9" t="inlineStr">
        <is>
          <t>Ben Hansen</t>
        </is>
      </c>
      <c r="C2720" s="9" t="inlineStr">
        <is>
          <t>OAK</t>
        </is>
      </c>
      <c r="D2720" s="9" t="n">
        <v>25</v>
      </c>
      <c r="E2720" s="18" t="inlineStr">
        <is>
          <t>R</t>
        </is>
      </c>
      <c r="F2720" s="18" t="n"/>
      <c r="G2720" s="9" t="n">
        <v>52.675</v>
      </c>
      <c r="H2720" s="9" t="n">
        <v>52.675</v>
      </c>
      <c r="I2720" s="9" t="inlineStr">
        <is>
          <t>Depth (no MLB IP)</t>
        </is>
      </c>
      <c r="J2720" s="18" t="inlineStr">
        <is>
          <t>Opening Day</t>
        </is>
      </c>
      <c r="K2720" s="11">
        <f>IFERROR(INDEX(Roles!$B$17:$B$20,MATCH(J2720,Roles!$A$17:$A$20,0)),1)</f>
        <v/>
      </c>
      <c r="L2720" s="19" t="n">
        <v>1</v>
      </c>
      <c r="M2720" s="11" t="n">
        <v>1</v>
      </c>
      <c r="N2720" s="19" t="n"/>
      <c r="O2720" s="19" t="n"/>
      <c r="P2720" s="19" t="n"/>
      <c r="Q2720" s="19" t="n"/>
      <c r="R2720" s="19" t="n"/>
      <c r="S2720" s="19" t="n"/>
      <c r="T2720" s="19" t="n"/>
      <c r="U2720" s="19" t="n"/>
      <c r="V2720" s="19" t="n"/>
      <c r="W2720" s="19" t="n"/>
      <c r="X2720" s="19" t="n"/>
      <c r="Y2720" s="19" t="n">
        <v>1</v>
      </c>
      <c r="Z2720" s="13">
        <f>SUMPRODUCT(N2720:Y2720,$N$2:$Y$2)*$K2720*$L2720*$M2720</f>
        <v/>
      </c>
      <c r="AA2720" s="14">
        <f>SUM(N2720:Y2720)</f>
        <v/>
      </c>
      <c r="AB2720" s="13">
        <f>SUMPRODUCT(N2720:Y2720,$N$3:$Y$3)*$K2720*$L2720*$M2720</f>
        <v/>
      </c>
      <c r="AC2720" s="13">
        <f>SUMPRODUCT(N2720:Y2720,$N$4:$Y$4)*$K2720*$L2720*$M2720</f>
        <v/>
      </c>
      <c r="AD2720" s="15" t="n">
        <v>3</v>
      </c>
      <c r="AE2720" s="11" t="n">
        <v>1.011296296296296</v>
      </c>
      <c r="AF2720" s="16">
        <f>SUMPRODUCT(N2720:Y2720,$N$5:$Y$5)*$K2720*$L2720*$M2720</f>
        <v/>
      </c>
      <c r="AG2720" s="16">
        <f>SUMPRODUCT(N2720:Y2720,$N$6:$Y$6)*$K2720*$L2720*$M2720</f>
        <v/>
      </c>
      <c r="AH2720" s="20" t="n"/>
    </row>
    <row r="2721">
      <c r="A2721" s="9" t="n">
        <v>822473</v>
      </c>
      <c r="B2721" s="9" t="inlineStr">
        <is>
          <t>Liam Paddack</t>
        </is>
      </c>
      <c r="C2721" s="9" t="inlineStr">
        <is>
          <t>CWS</t>
        </is>
      </c>
      <c r="D2721" s="9" t="n">
        <v>25</v>
      </c>
      <c r="E2721" s="18" t="inlineStr">
        <is>
          <t>L</t>
        </is>
      </c>
      <c r="F2721" s="18" t="n"/>
      <c r="G2721" s="9" t="n">
        <v>52.675</v>
      </c>
      <c r="H2721" s="9" t="n">
        <v>52.675</v>
      </c>
      <c r="I2721" s="9" t="inlineStr">
        <is>
          <t>Depth (no MLB IP)</t>
        </is>
      </c>
      <c r="J2721" s="18" t="inlineStr">
        <is>
          <t>Opening Day</t>
        </is>
      </c>
      <c r="K2721" s="11">
        <f>IFERROR(INDEX(Roles!$B$17:$B$20,MATCH(J2721,Roles!$A$17:$A$20,0)),1)</f>
        <v/>
      </c>
      <c r="L2721" s="19" t="n">
        <v>1</v>
      </c>
      <c r="M2721" s="11" t="n">
        <v>1</v>
      </c>
      <c r="N2721" s="19" t="n"/>
      <c r="O2721" s="19" t="n"/>
      <c r="P2721" s="19" t="n"/>
      <c r="Q2721" s="19" t="n"/>
      <c r="R2721" s="19" t="n"/>
      <c r="S2721" s="19" t="n"/>
      <c r="T2721" s="19" t="n"/>
      <c r="U2721" s="19" t="n"/>
      <c r="V2721" s="19" t="n"/>
      <c r="W2721" s="19" t="n"/>
      <c r="X2721" s="19" t="n"/>
      <c r="Y2721" s="19" t="n">
        <v>1</v>
      </c>
      <c r="Z2721" s="13">
        <f>SUMPRODUCT(N2721:Y2721,$N$2:$Y$2)*$K2721*$L2721*$M2721</f>
        <v/>
      </c>
      <c r="AA2721" s="14">
        <f>SUM(N2721:Y2721)</f>
        <v/>
      </c>
      <c r="AB2721" s="13">
        <f>SUMPRODUCT(N2721:Y2721,$N$3:$Y$3)*$K2721*$L2721*$M2721</f>
        <v/>
      </c>
      <c r="AC2721" s="13">
        <f>SUMPRODUCT(N2721:Y2721,$N$4:$Y$4)*$K2721*$L2721*$M2721</f>
        <v/>
      </c>
      <c r="AD2721" s="15" t="n">
        <v>3</v>
      </c>
      <c r="AE2721" s="11" t="n">
        <v>1.011296296296296</v>
      </c>
      <c r="AF2721" s="16">
        <f>SUMPRODUCT(N2721:Y2721,$N$5:$Y$5)*$K2721*$L2721*$M2721</f>
        <v/>
      </c>
      <c r="AG2721" s="16">
        <f>SUMPRODUCT(N2721:Y2721,$N$6:$Y$6)*$K2721*$L2721*$M2721</f>
        <v/>
      </c>
      <c r="AH2721" s="20" t="n"/>
    </row>
    <row r="2722">
      <c r="A2722" s="9" t="n">
        <v>827267</v>
      </c>
      <c r="B2722" s="9" t="inlineStr">
        <is>
          <t>Caden Hunter</t>
        </is>
      </c>
      <c r="C2722" s="9" t="inlineStr">
        <is>
          <t>BAL</t>
        </is>
      </c>
      <c r="D2722" s="9" t="n">
        <v>24</v>
      </c>
      <c r="E2722" s="18" t="inlineStr">
        <is>
          <t>L</t>
        </is>
      </c>
      <c r="F2722" s="18" t="n"/>
      <c r="G2722" s="9" t="n">
        <v>52.675</v>
      </c>
      <c r="H2722" s="9" t="n">
        <v>52.675</v>
      </c>
      <c r="I2722" s="9" t="inlineStr">
        <is>
          <t>Innings-Limited Starter</t>
        </is>
      </c>
      <c r="J2722" s="18" t="inlineStr">
        <is>
          <t>Mid Season (~July)</t>
        </is>
      </c>
      <c r="K2722" s="11">
        <f>IFERROR(INDEX(Roles!$B$17:$B$20,MATCH(J2722,Roles!$A$17:$A$20,0)),1)</f>
        <v/>
      </c>
      <c r="L2722" s="19" t="n">
        <v>1</v>
      </c>
      <c r="M2722" s="11" t="n">
        <v>1</v>
      </c>
      <c r="N2722" s="19" t="n"/>
      <c r="O2722" s="19" t="n"/>
      <c r="P2722" s="19" t="n"/>
      <c r="Q2722" s="19" t="n">
        <v>0.46</v>
      </c>
      <c r="R2722" s="19" t="n">
        <v>0.3</v>
      </c>
      <c r="S2722" s="19" t="n"/>
      <c r="T2722" s="19" t="n"/>
      <c r="U2722" s="19" t="n"/>
      <c r="V2722" s="19" t="n"/>
      <c r="W2722" s="19" t="n">
        <v>0.24</v>
      </c>
      <c r="X2722" s="19" t="n"/>
      <c r="Y2722" s="19" t="n"/>
      <c r="Z2722" s="13">
        <f>SUMPRODUCT(N2722:Y2722,$N$2:$Y$2)*$K2722*$L2722*$M2722</f>
        <v/>
      </c>
      <c r="AA2722" s="14">
        <f>SUM(N2722:Y2722)</f>
        <v/>
      </c>
      <c r="AB2722" s="13">
        <f>SUMPRODUCT(N2722:Y2722,$N$3:$Y$3)*$K2722*$L2722*$M2722</f>
        <v/>
      </c>
      <c r="AC2722" s="13">
        <f>SUMPRODUCT(N2722:Y2722,$N$4:$Y$4)*$K2722*$L2722*$M2722</f>
        <v/>
      </c>
      <c r="AD2722" s="15" t="n">
        <v>27.52</v>
      </c>
      <c r="AE2722" s="11" t="n">
        <v>3.223110465116278</v>
      </c>
      <c r="AF2722" s="16">
        <f>SUMPRODUCT(N2722:Y2722,$N$5:$Y$5)*$K2722*$L2722*$M2722</f>
        <v/>
      </c>
      <c r="AG2722" s="16">
        <f>SUMPRODUCT(N2722:Y2722,$N$6:$Y$6)*$K2722*$L2722*$M2722</f>
        <v/>
      </c>
      <c r="AH2722" s="20" t="n"/>
    </row>
    <row r="2723">
      <c r="A2723" s="9" t="n">
        <v>701839</v>
      </c>
      <c r="B2723" s="9" t="inlineStr">
        <is>
          <t>Jay Dill</t>
        </is>
      </c>
      <c r="C2723" s="9" t="inlineStr">
        <is>
          <t>OAK</t>
        </is>
      </c>
      <c r="D2723" s="9" t="n">
        <v>25</v>
      </c>
      <c r="E2723" s="18" t="inlineStr">
        <is>
          <t>R</t>
        </is>
      </c>
      <c r="F2723" s="18" t="n"/>
      <c r="G2723" s="9" t="n">
        <v>52.675</v>
      </c>
      <c r="H2723" s="9" t="n">
        <v>52.675</v>
      </c>
      <c r="I2723" s="9" t="inlineStr">
        <is>
          <t>Depth (no MLB IP)</t>
        </is>
      </c>
      <c r="J2723" s="18" t="inlineStr">
        <is>
          <t>Opening Day</t>
        </is>
      </c>
      <c r="K2723" s="11">
        <f>IFERROR(INDEX(Roles!$B$17:$B$20,MATCH(J2723,Roles!$A$17:$A$20,0)),1)</f>
        <v/>
      </c>
      <c r="L2723" s="19" t="n">
        <v>1</v>
      </c>
      <c r="M2723" s="11" t="n">
        <v>1</v>
      </c>
      <c r="N2723" s="19" t="n"/>
      <c r="O2723" s="19" t="n"/>
      <c r="P2723" s="19" t="n"/>
      <c r="Q2723" s="19" t="n"/>
      <c r="R2723" s="19" t="n"/>
      <c r="S2723" s="19" t="n"/>
      <c r="T2723" s="19" t="n"/>
      <c r="U2723" s="19" t="n"/>
      <c r="V2723" s="19" t="n"/>
      <c r="W2723" s="19" t="n"/>
      <c r="X2723" s="19" t="n"/>
      <c r="Y2723" s="19" t="n">
        <v>1</v>
      </c>
      <c r="Z2723" s="13">
        <f>SUMPRODUCT(N2723:Y2723,$N$2:$Y$2)*$K2723*$L2723*$M2723</f>
        <v/>
      </c>
      <c r="AA2723" s="14">
        <f>SUM(N2723:Y2723)</f>
        <v/>
      </c>
      <c r="AB2723" s="13">
        <f>SUMPRODUCT(N2723:Y2723,$N$3:$Y$3)*$K2723*$L2723*$M2723</f>
        <v/>
      </c>
      <c r="AC2723" s="13">
        <f>SUMPRODUCT(N2723:Y2723,$N$4:$Y$4)*$K2723*$L2723*$M2723</f>
        <v/>
      </c>
      <c r="AD2723" s="15" t="n">
        <v>3</v>
      </c>
      <c r="AE2723" s="11" t="n">
        <v>1.011296296296296</v>
      </c>
      <c r="AF2723" s="16">
        <f>SUMPRODUCT(N2723:Y2723,$N$5:$Y$5)*$K2723*$L2723*$M2723</f>
        <v/>
      </c>
      <c r="AG2723" s="16">
        <f>SUMPRODUCT(N2723:Y2723,$N$6:$Y$6)*$K2723*$L2723*$M2723</f>
        <v/>
      </c>
      <c r="AH2723" s="20" t="n"/>
    </row>
    <row r="2724">
      <c r="A2724" s="9" t="n">
        <v>676055</v>
      </c>
      <c r="B2724" s="9" t="inlineStr">
        <is>
          <t>Max Green</t>
        </is>
      </c>
      <c r="C2724" s="9" t="inlineStr">
        <is>
          <t>NYM</t>
        </is>
      </c>
      <c r="D2724" s="9" t="n">
        <v>25</v>
      </c>
      <c r="E2724" s="18" t="inlineStr">
        <is>
          <t>L</t>
        </is>
      </c>
      <c r="F2724" s="18" t="n"/>
      <c r="G2724" s="9" t="n">
        <v>52.675</v>
      </c>
      <c r="H2724" s="9" t="n">
        <v>52.675</v>
      </c>
      <c r="I2724" s="9" t="inlineStr">
        <is>
          <t>Depth (no MLB IP)</t>
        </is>
      </c>
      <c r="J2724" s="18" t="inlineStr">
        <is>
          <t>Opening Day</t>
        </is>
      </c>
      <c r="K2724" s="11">
        <f>IFERROR(INDEX(Roles!$B$17:$B$20,MATCH(J2724,Roles!$A$17:$A$20,0)),1)</f>
        <v/>
      </c>
      <c r="L2724" s="19" t="n">
        <v>1</v>
      </c>
      <c r="M2724" s="11" t="n">
        <v>1</v>
      </c>
      <c r="N2724" s="19" t="n"/>
      <c r="O2724" s="19" t="n"/>
      <c r="P2724" s="19" t="n"/>
      <c r="Q2724" s="19" t="n"/>
      <c r="R2724" s="19" t="n"/>
      <c r="S2724" s="19" t="n"/>
      <c r="T2724" s="19" t="n"/>
      <c r="U2724" s="19" t="n"/>
      <c r="V2724" s="19" t="n"/>
      <c r="W2724" s="19" t="n"/>
      <c r="X2724" s="19" t="n"/>
      <c r="Y2724" s="19" t="n">
        <v>1</v>
      </c>
      <c r="Z2724" s="13">
        <f>SUMPRODUCT(N2724:Y2724,$N$2:$Y$2)*$K2724*$L2724*$M2724</f>
        <v/>
      </c>
      <c r="AA2724" s="14">
        <f>SUM(N2724:Y2724)</f>
        <v/>
      </c>
      <c r="AB2724" s="13">
        <f>SUMPRODUCT(N2724:Y2724,$N$3:$Y$3)*$K2724*$L2724*$M2724</f>
        <v/>
      </c>
      <c r="AC2724" s="13">
        <f>SUMPRODUCT(N2724:Y2724,$N$4:$Y$4)*$K2724*$L2724*$M2724</f>
        <v/>
      </c>
      <c r="AD2724" s="15" t="n">
        <v>3</v>
      </c>
      <c r="AE2724" s="11" t="n">
        <v>1.011296296296296</v>
      </c>
      <c r="AF2724" s="16">
        <f>SUMPRODUCT(N2724:Y2724,$N$5:$Y$5)*$K2724*$L2724*$M2724</f>
        <v/>
      </c>
      <c r="AG2724" s="16">
        <f>SUMPRODUCT(N2724:Y2724,$N$6:$Y$6)*$K2724*$L2724*$M2724</f>
        <v/>
      </c>
      <c r="AH2724" s="20" t="n"/>
    </row>
    <row r="2725">
      <c r="A2725" s="9" t="n">
        <v>695316</v>
      </c>
      <c r="B2725" s="9" t="inlineStr">
        <is>
          <t>Jarold Rosado</t>
        </is>
      </c>
      <c r="C2725" s="9" t="inlineStr">
        <is>
          <t>CWS</t>
        </is>
      </c>
      <c r="D2725" s="9" t="n">
        <v>25</v>
      </c>
      <c r="E2725" s="18" t="inlineStr">
        <is>
          <t>R</t>
        </is>
      </c>
      <c r="F2725" s="18" t="n"/>
      <c r="G2725" s="9" t="n">
        <v>52.675</v>
      </c>
      <c r="H2725" s="9" t="n">
        <v>52.675</v>
      </c>
      <c r="I2725" s="9" t="inlineStr">
        <is>
          <t>Depth (no MLB IP)</t>
        </is>
      </c>
      <c r="J2725" s="18" t="inlineStr">
        <is>
          <t>Opening Day</t>
        </is>
      </c>
      <c r="K2725" s="11">
        <f>IFERROR(INDEX(Roles!$B$17:$B$20,MATCH(J2725,Roles!$A$17:$A$20,0)),1)</f>
        <v/>
      </c>
      <c r="L2725" s="19" t="n">
        <v>1</v>
      </c>
      <c r="M2725" s="11" t="n">
        <v>1</v>
      </c>
      <c r="N2725" s="19" t="n"/>
      <c r="O2725" s="19" t="n"/>
      <c r="P2725" s="19" t="n"/>
      <c r="Q2725" s="19" t="n"/>
      <c r="R2725" s="19" t="n"/>
      <c r="S2725" s="19" t="n"/>
      <c r="T2725" s="19" t="n"/>
      <c r="U2725" s="19" t="n"/>
      <c r="V2725" s="19" t="n"/>
      <c r="W2725" s="19" t="n"/>
      <c r="X2725" s="19" t="n"/>
      <c r="Y2725" s="19" t="n">
        <v>1</v>
      </c>
      <c r="Z2725" s="13">
        <f>SUMPRODUCT(N2725:Y2725,$N$2:$Y$2)*$K2725*$L2725*$M2725</f>
        <v/>
      </c>
      <c r="AA2725" s="14">
        <f>SUM(N2725:Y2725)</f>
        <v/>
      </c>
      <c r="AB2725" s="13">
        <f>SUMPRODUCT(N2725:Y2725,$N$3:$Y$3)*$K2725*$L2725*$M2725</f>
        <v/>
      </c>
      <c r="AC2725" s="13">
        <f>SUMPRODUCT(N2725:Y2725,$N$4:$Y$4)*$K2725*$L2725*$M2725</f>
        <v/>
      </c>
      <c r="AD2725" s="15" t="n">
        <v>3</v>
      </c>
      <c r="AE2725" s="11" t="n">
        <v>1.011296296296296</v>
      </c>
      <c r="AF2725" s="16">
        <f>SUMPRODUCT(N2725:Y2725,$N$5:$Y$5)*$K2725*$L2725*$M2725</f>
        <v/>
      </c>
      <c r="AG2725" s="16">
        <f>SUMPRODUCT(N2725:Y2725,$N$6:$Y$6)*$K2725*$L2725*$M2725</f>
        <v/>
      </c>
      <c r="AH2725" s="20" t="n"/>
    </row>
    <row r="2726">
      <c r="A2726" s="9" t="n">
        <v>815598</v>
      </c>
      <c r="B2726" s="9" t="inlineStr">
        <is>
          <t>Dasan Hill</t>
        </is>
      </c>
      <c r="C2726" s="9" t="inlineStr">
        <is>
          <t>TOR</t>
        </is>
      </c>
      <c r="D2726" s="9" t="n">
        <v>22</v>
      </c>
      <c r="E2726" s="18" t="inlineStr">
        <is>
          <t>L</t>
        </is>
      </c>
      <c r="F2726" s="18" t="n"/>
      <c r="G2726" s="9" t="n">
        <v>52.74666666666667</v>
      </c>
      <c r="H2726" s="9" t="n">
        <v>52.74666666666667</v>
      </c>
      <c r="I2726" s="9" t="inlineStr">
        <is>
          <t>Depth (no MLB IP)</t>
        </is>
      </c>
      <c r="J2726" s="18" t="inlineStr">
        <is>
          <t>Opening Day</t>
        </is>
      </c>
      <c r="K2726" s="11">
        <f>IFERROR(INDEX(Roles!$B$17:$B$20,MATCH(J2726,Roles!$A$17:$A$20,0)),1)</f>
        <v/>
      </c>
      <c r="L2726" s="19" t="n">
        <v>1</v>
      </c>
      <c r="M2726" s="11" t="n">
        <v>1</v>
      </c>
      <c r="N2726" s="19" t="n"/>
      <c r="O2726" s="19" t="n"/>
      <c r="P2726" s="19" t="n"/>
      <c r="Q2726" s="19" t="n"/>
      <c r="R2726" s="19" t="n"/>
      <c r="S2726" s="19" t="n"/>
      <c r="T2726" s="19" t="n"/>
      <c r="U2726" s="19" t="n"/>
      <c r="V2726" s="19" t="n"/>
      <c r="W2726" s="19" t="n"/>
      <c r="X2726" s="19" t="n"/>
      <c r="Y2726" s="19" t="n">
        <v>1</v>
      </c>
      <c r="Z2726" s="13">
        <f>SUMPRODUCT(N2726:Y2726,$N$2:$Y$2)*$K2726*$L2726*$M2726</f>
        <v/>
      </c>
      <c r="AA2726" s="14">
        <f>SUM(N2726:Y2726)</f>
        <v/>
      </c>
      <c r="AB2726" s="13">
        <f>SUMPRODUCT(N2726:Y2726,$N$3:$Y$3)*$K2726*$L2726*$M2726</f>
        <v/>
      </c>
      <c r="AC2726" s="13">
        <f>SUMPRODUCT(N2726:Y2726,$N$4:$Y$4)*$K2726*$L2726*$M2726</f>
        <v/>
      </c>
      <c r="AD2726" s="15" t="n">
        <v>3</v>
      </c>
      <c r="AE2726" s="11" t="n">
        <v>1.011296296296296</v>
      </c>
      <c r="AF2726" s="16">
        <f>SUMPRODUCT(N2726:Y2726,$N$5:$Y$5)*$K2726*$L2726*$M2726</f>
        <v/>
      </c>
      <c r="AG2726" s="16">
        <f>SUMPRODUCT(N2726:Y2726,$N$6:$Y$6)*$K2726*$L2726*$M2726</f>
        <v/>
      </c>
      <c r="AH2726" s="20" t="n"/>
    </row>
    <row r="2727">
      <c r="A2727" s="9" t="n">
        <v>680736</v>
      </c>
      <c r="B2727" s="9" t="inlineStr">
        <is>
          <t>Justin Wrobleski</t>
        </is>
      </c>
      <c r="C2727" s="9" t="inlineStr">
        <is>
          <t>LAD</t>
        </is>
      </c>
      <c r="D2727" s="9" t="n">
        <v>26</v>
      </c>
      <c r="E2727" s="18" t="inlineStr">
        <is>
          <t>L</t>
        </is>
      </c>
      <c r="F2727" s="18" t="n"/>
      <c r="G2727" s="9" t="n">
        <v>578</v>
      </c>
      <c r="H2727" s="9" t="n">
        <v>1012</v>
      </c>
      <c r="I2727" s="9" t="inlineStr">
        <is>
          <t>Swing Arm / Long Relief</t>
        </is>
      </c>
      <c r="J2727" s="18" t="inlineStr">
        <is>
          <t>Opening Day</t>
        </is>
      </c>
      <c r="K2727" s="11">
        <f>IFERROR(INDEX(Roles!$B$17:$B$20,MATCH(J2727,Roles!$A$17:$A$20,0)),1)</f>
        <v/>
      </c>
      <c r="L2727" s="19" t="n">
        <v>1</v>
      </c>
      <c r="M2727" s="11" t="n">
        <v>1</v>
      </c>
      <c r="N2727" s="19" t="n"/>
      <c r="O2727" s="19" t="n"/>
      <c r="P2727" s="19" t="n"/>
      <c r="Q2727" s="19" t="n"/>
      <c r="R2727" s="19" t="n">
        <v>0.6</v>
      </c>
      <c r="S2727" s="19" t="n"/>
      <c r="T2727" s="19" t="n"/>
      <c r="U2727" s="19" t="n"/>
      <c r="V2727" s="19" t="n"/>
      <c r="W2727" s="19" t="n">
        <v>0.4</v>
      </c>
      <c r="X2727" s="19" t="n"/>
      <c r="Y2727" s="19" t="n"/>
      <c r="Z2727" s="13">
        <f>SUMPRODUCT(N2727:Y2727,$N$2:$Y$2)*$K2727*$L2727*$M2727</f>
        <v/>
      </c>
      <c r="AA2727" s="14">
        <f>SUM(N2727:Y2727)</f>
        <v/>
      </c>
      <c r="AB2727" s="13">
        <f>SUMPRODUCT(N2727:Y2727,$N$3:$Y$3)*$K2727*$L2727*$M2727</f>
        <v/>
      </c>
      <c r="AC2727" s="13">
        <f>SUMPRODUCT(N2727:Y2727,$N$4:$Y$4)*$K2727*$L2727*$M2727</f>
        <v/>
      </c>
      <c r="AD2727" s="15" t="n">
        <v>22.13333333333333</v>
      </c>
      <c r="AE2727" s="11" t="n">
        <v>3.072456414259693</v>
      </c>
      <c r="AF2727" s="16">
        <f>SUMPRODUCT(N2727:Y2727,$N$5:$Y$5)*$K2727*$L2727*$M2727</f>
        <v/>
      </c>
      <c r="AG2727" s="16">
        <f>SUMPRODUCT(N2727:Y2727,$N$6:$Y$6)*$K2727*$L2727*$M2727</f>
        <v/>
      </c>
      <c r="AH2727" s="20" t="n"/>
    </row>
    <row r="2728">
      <c r="A2728" s="9" t="n">
        <v>668970</v>
      </c>
      <c r="B2728" s="9" t="inlineStr">
        <is>
          <t>Gavin Hollowell</t>
        </is>
      </c>
      <c r="C2728" s="9" t="inlineStr">
        <is>
          <t>CHC</t>
        </is>
      </c>
      <c r="D2728" s="9" t="n">
        <v>29</v>
      </c>
      <c r="E2728" s="18" t="inlineStr">
        <is>
          <t>R</t>
        </is>
      </c>
      <c r="F2728" s="18" t="n"/>
      <c r="G2728" s="9" t="n">
        <v>64</v>
      </c>
      <c r="H2728" s="9" t="n">
        <v>299</v>
      </c>
      <c r="I2728" s="9" t="inlineStr">
        <is>
          <t>Middle Relief</t>
        </is>
      </c>
      <c r="J2728" s="18" t="inlineStr">
        <is>
          <t>Opening Day</t>
        </is>
      </c>
      <c r="K2728" s="11">
        <f>IFERROR(INDEX(Roles!$B$17:$B$20,MATCH(J2728,Roles!$A$17:$A$20,0)),1)</f>
        <v/>
      </c>
      <c r="L2728" s="19" t="n">
        <v>1</v>
      </c>
      <c r="M2728" s="11" t="n">
        <v>1</v>
      </c>
      <c r="N2728" s="19" t="n"/>
      <c r="O2728" s="19" t="n"/>
      <c r="P2728" s="19" t="n"/>
      <c r="Q2728" s="19" t="n"/>
      <c r="R2728" s="19" t="n"/>
      <c r="S2728" s="19" t="n"/>
      <c r="T2728" s="19" t="n"/>
      <c r="U2728" s="19" t="n"/>
      <c r="V2728" s="19" t="n">
        <v>0.8</v>
      </c>
      <c r="W2728" s="19" t="n">
        <v>0.2</v>
      </c>
      <c r="X2728" s="19" t="n"/>
      <c r="Y2728" s="19" t="n"/>
      <c r="Z2728" s="13">
        <f>SUMPRODUCT(N2728:Y2728,$N$2:$Y$2)*$K2728*$L2728*$M2728</f>
        <v/>
      </c>
      <c r="AA2728" s="14">
        <f>SUM(N2728:Y2728)</f>
        <v/>
      </c>
      <c r="AB2728" s="13">
        <f>SUMPRODUCT(N2728:Y2728,$N$3:$Y$3)*$K2728*$L2728*$M2728</f>
        <v/>
      </c>
      <c r="AC2728" s="13">
        <f>SUMPRODUCT(N2728:Y2728,$N$4:$Y$4)*$K2728*$L2728*$M2728</f>
        <v/>
      </c>
      <c r="AD2728" s="15" t="n">
        <v>20.73333333333333</v>
      </c>
      <c r="AE2728" s="11" t="n">
        <v>1.044699320330969</v>
      </c>
      <c r="AF2728" s="16">
        <f>SUMPRODUCT(N2728:Y2728,$N$5:$Y$5)*$K2728*$L2728*$M2728</f>
        <v/>
      </c>
      <c r="AG2728" s="16">
        <f>SUMPRODUCT(N2728:Y2728,$N$6:$Y$6)*$K2728*$L2728*$M2728</f>
        <v/>
      </c>
      <c r="AH2728" s="20" t="n"/>
    </row>
    <row r="2729">
      <c r="A2729" s="9" t="n">
        <v>688490</v>
      </c>
      <c r="B2729" s="9" t="inlineStr">
        <is>
          <t>Mitch Myers</t>
        </is>
      </c>
      <c r="C2729" s="9" t="inlineStr">
        <is>
          <t>OAK</t>
        </is>
      </c>
      <c r="D2729" s="9" t="n">
        <v>25</v>
      </c>
      <c r="E2729" s="18" t="inlineStr">
        <is>
          <t>R</t>
        </is>
      </c>
      <c r="F2729" s="18" t="n"/>
      <c r="G2729" s="9" t="n">
        <v>52.675</v>
      </c>
      <c r="H2729" s="9" t="n">
        <v>52.675</v>
      </c>
      <c r="I2729" s="9" t="inlineStr">
        <is>
          <t>Depth (no MLB IP)</t>
        </is>
      </c>
      <c r="J2729" s="18" t="inlineStr">
        <is>
          <t>Opening Day</t>
        </is>
      </c>
      <c r="K2729" s="11">
        <f>IFERROR(INDEX(Roles!$B$17:$B$20,MATCH(J2729,Roles!$A$17:$A$20,0)),1)</f>
        <v/>
      </c>
      <c r="L2729" s="19" t="n">
        <v>1</v>
      </c>
      <c r="M2729" s="11" t="n">
        <v>1</v>
      </c>
      <c r="N2729" s="19" t="n"/>
      <c r="O2729" s="19" t="n"/>
      <c r="P2729" s="19" t="n"/>
      <c r="Q2729" s="19" t="n"/>
      <c r="R2729" s="19" t="n"/>
      <c r="S2729" s="19" t="n"/>
      <c r="T2729" s="19" t="n"/>
      <c r="U2729" s="19" t="n"/>
      <c r="V2729" s="19" t="n"/>
      <c r="W2729" s="19" t="n"/>
      <c r="X2729" s="19" t="n"/>
      <c r="Y2729" s="19" t="n">
        <v>1</v>
      </c>
      <c r="Z2729" s="13">
        <f>SUMPRODUCT(N2729:Y2729,$N$2:$Y$2)*$K2729*$L2729*$M2729</f>
        <v/>
      </c>
      <c r="AA2729" s="14">
        <f>SUM(N2729:Y2729)</f>
        <v/>
      </c>
      <c r="AB2729" s="13">
        <f>SUMPRODUCT(N2729:Y2729,$N$3:$Y$3)*$K2729*$L2729*$M2729</f>
        <v/>
      </c>
      <c r="AC2729" s="13">
        <f>SUMPRODUCT(N2729:Y2729,$N$4:$Y$4)*$K2729*$L2729*$M2729</f>
        <v/>
      </c>
      <c r="AD2729" s="15" t="n">
        <v>3</v>
      </c>
      <c r="AE2729" s="11" t="n">
        <v>1.011296296296296</v>
      </c>
      <c r="AF2729" s="16">
        <f>SUMPRODUCT(N2729:Y2729,$N$5:$Y$5)*$K2729*$L2729*$M2729</f>
        <v/>
      </c>
      <c r="AG2729" s="16">
        <f>SUMPRODUCT(N2729:Y2729,$N$6:$Y$6)*$K2729*$L2729*$M2729</f>
        <v/>
      </c>
      <c r="AH2729" s="20" t="n"/>
    </row>
    <row r="2730">
      <c r="A2730" s="9" t="n">
        <v>687218</v>
      </c>
      <c r="B2730" s="9" t="inlineStr">
        <is>
          <t>Will Bednar</t>
        </is>
      </c>
      <c r="C2730" s="9" t="inlineStr">
        <is>
          <t>SF</t>
        </is>
      </c>
      <c r="D2730" s="9" t="n">
        <v>25</v>
      </c>
      <c r="E2730" s="18" t="inlineStr">
        <is>
          <t>R</t>
        </is>
      </c>
      <c r="F2730" s="18" t="n"/>
      <c r="G2730" s="9" t="n">
        <v>52.81833333333333</v>
      </c>
      <c r="H2730" s="9" t="n">
        <v>52.81833333333333</v>
      </c>
      <c r="I2730" s="9" t="inlineStr">
        <is>
          <t>Depth (no MLB IP)</t>
        </is>
      </c>
      <c r="J2730" s="18" t="inlineStr">
        <is>
          <t>Opening Day</t>
        </is>
      </c>
      <c r="K2730" s="11">
        <f>IFERROR(INDEX(Roles!$B$17:$B$20,MATCH(J2730,Roles!$A$17:$A$20,0)),1)</f>
        <v/>
      </c>
      <c r="L2730" s="19" t="n">
        <v>1</v>
      </c>
      <c r="M2730" s="11" t="n">
        <v>1</v>
      </c>
      <c r="N2730" s="19" t="n"/>
      <c r="O2730" s="19" t="n"/>
      <c r="P2730" s="19" t="n"/>
      <c r="Q2730" s="19" t="n"/>
      <c r="R2730" s="19" t="n"/>
      <c r="S2730" s="19" t="n"/>
      <c r="T2730" s="19" t="n"/>
      <c r="U2730" s="19" t="n"/>
      <c r="V2730" s="19" t="n"/>
      <c r="W2730" s="19" t="n"/>
      <c r="X2730" s="19" t="n"/>
      <c r="Y2730" s="19" t="n">
        <v>1</v>
      </c>
      <c r="Z2730" s="13">
        <f>SUMPRODUCT(N2730:Y2730,$N$2:$Y$2)*$K2730*$L2730*$M2730</f>
        <v/>
      </c>
      <c r="AA2730" s="14">
        <f>SUM(N2730:Y2730)</f>
        <v/>
      </c>
      <c r="AB2730" s="13">
        <f>SUMPRODUCT(N2730:Y2730,$N$3:$Y$3)*$K2730*$L2730*$M2730</f>
        <v/>
      </c>
      <c r="AC2730" s="13">
        <f>SUMPRODUCT(N2730:Y2730,$N$4:$Y$4)*$K2730*$L2730*$M2730</f>
        <v/>
      </c>
      <c r="AD2730" s="15" t="n">
        <v>3</v>
      </c>
      <c r="AE2730" s="11" t="n">
        <v>1.011296296296296</v>
      </c>
      <c r="AF2730" s="16">
        <f>SUMPRODUCT(N2730:Y2730,$N$5:$Y$5)*$K2730*$L2730*$M2730</f>
        <v/>
      </c>
      <c r="AG2730" s="16">
        <f>SUMPRODUCT(N2730:Y2730,$N$6:$Y$6)*$K2730*$L2730*$M2730</f>
        <v/>
      </c>
      <c r="AH2730" s="20" t="n"/>
    </row>
    <row r="2731">
      <c r="A2731" s="9" t="n">
        <v>668674</v>
      </c>
      <c r="B2731" s="9" t="inlineStr">
        <is>
          <t>Lucas Erceg</t>
        </is>
      </c>
      <c r="C2731" s="9" t="inlineStr">
        <is>
          <t>KC</t>
        </is>
      </c>
      <c r="D2731" s="9" t="n">
        <v>32</v>
      </c>
      <c r="E2731" s="18" t="inlineStr">
        <is>
          <t>R</t>
        </is>
      </c>
      <c r="F2731" s="18" t="n"/>
      <c r="G2731" s="9" t="n">
        <v>228</v>
      </c>
      <c r="H2731" s="9" t="n">
        <v>981</v>
      </c>
      <c r="I2731" s="9" t="inlineStr">
        <is>
          <t>Middle Relief</t>
        </is>
      </c>
      <c r="J2731" s="18" t="inlineStr">
        <is>
          <t>Opening Day</t>
        </is>
      </c>
      <c r="K2731" s="11">
        <f>IFERROR(INDEX(Roles!$B$17:$B$20,MATCH(J2731,Roles!$A$17:$A$20,0)),1)</f>
        <v/>
      </c>
      <c r="L2731" s="19" t="n">
        <v>1</v>
      </c>
      <c r="M2731" s="11" t="n">
        <v>1</v>
      </c>
      <c r="N2731" s="19" t="n"/>
      <c r="O2731" s="19" t="n"/>
      <c r="P2731" s="19" t="n"/>
      <c r="Q2731" s="19" t="n"/>
      <c r="R2731" s="19" t="n"/>
      <c r="S2731" s="19" t="n"/>
      <c r="T2731" s="19" t="n"/>
      <c r="U2731" s="19" t="n"/>
      <c r="V2731" s="19" t="n">
        <v>0.6</v>
      </c>
      <c r="W2731" s="19" t="n">
        <v>0.4</v>
      </c>
      <c r="X2731" s="19" t="n"/>
      <c r="Y2731" s="19" t="n"/>
      <c r="Z2731" s="13">
        <f>SUMPRODUCT(N2731:Y2731,$N$2:$Y$2)*$K2731*$L2731*$M2731</f>
        <v/>
      </c>
      <c r="AA2731" s="14">
        <f>SUM(N2731:Y2731)</f>
        <v/>
      </c>
      <c r="AB2731" s="13">
        <f>SUMPRODUCT(N2731:Y2731,$N$3:$Y$3)*$K2731*$L2731*$M2731</f>
        <v/>
      </c>
      <c r="AC2731" s="13">
        <f>SUMPRODUCT(N2731:Y2731,$N$4:$Y$4)*$K2731*$L2731*$M2731</f>
        <v/>
      </c>
      <c r="AD2731" s="15" t="n">
        <v>48.63333333333333</v>
      </c>
      <c r="AE2731" s="11" t="n">
        <v>1.012972017807207</v>
      </c>
      <c r="AF2731" s="16">
        <f>SUMPRODUCT(N2731:Y2731,$N$5:$Y$5)*$K2731*$L2731*$M2731</f>
        <v/>
      </c>
      <c r="AG2731" s="16">
        <f>SUMPRODUCT(N2731:Y2731,$N$6:$Y$6)*$K2731*$L2731*$M2731</f>
        <v/>
      </c>
      <c r="AH2731" s="20" t="n"/>
    </row>
    <row r="2732">
      <c r="A2732" s="9" t="n">
        <v>676620</v>
      </c>
      <c r="B2732" s="9" t="inlineStr">
        <is>
          <t>Blake Weiman</t>
        </is>
      </c>
      <c r="C2732" s="9" t="inlineStr">
        <is>
          <t>LAA</t>
        </is>
      </c>
      <c r="D2732" s="9" t="n">
        <v>31</v>
      </c>
      <c r="E2732" s="18" t="inlineStr">
        <is>
          <t>L</t>
        </is>
      </c>
      <c r="F2732" s="18" t="n"/>
      <c r="G2732" s="9" t="n">
        <v>79</v>
      </c>
      <c r="H2732" s="9" t="n">
        <v>79</v>
      </c>
      <c r="I2732" s="9" t="inlineStr">
        <is>
          <t>Swing Arm / Long Relief</t>
        </is>
      </c>
      <c r="J2732" s="18" t="inlineStr">
        <is>
          <t>Opening Day</t>
        </is>
      </c>
      <c r="K2732" s="11">
        <f>IFERROR(INDEX(Roles!$B$17:$B$20,MATCH(J2732,Roles!$A$17:$A$20,0)),1)</f>
        <v/>
      </c>
      <c r="L2732" s="19" t="n">
        <v>1</v>
      </c>
      <c r="M2732" s="11" t="n">
        <v>1</v>
      </c>
      <c r="N2732" s="19" t="n"/>
      <c r="O2732" s="19" t="n"/>
      <c r="P2732" s="19" t="n"/>
      <c r="Q2732" s="19" t="n"/>
      <c r="R2732" s="19" t="n">
        <v>0.6</v>
      </c>
      <c r="S2732" s="19" t="n"/>
      <c r="T2732" s="19" t="n"/>
      <c r="U2732" s="19" t="n"/>
      <c r="V2732" s="19" t="n"/>
      <c r="W2732" s="19" t="n">
        <v>0.4</v>
      </c>
      <c r="X2732" s="19" t="n"/>
      <c r="Y2732" s="19" t="n"/>
      <c r="Z2732" s="13">
        <f>SUMPRODUCT(N2732:Y2732,$N$2:$Y$2)*$K2732*$L2732*$M2732</f>
        <v/>
      </c>
      <c r="AA2732" s="14">
        <f>SUM(N2732:Y2732)</f>
        <v/>
      </c>
      <c r="AB2732" s="13">
        <f>SUMPRODUCT(N2732:Y2732,$N$3:$Y$3)*$K2732*$L2732*$M2732</f>
        <v/>
      </c>
      <c r="AC2732" s="13">
        <f>SUMPRODUCT(N2732:Y2732,$N$4:$Y$4)*$K2732*$L2732*$M2732</f>
        <v/>
      </c>
      <c r="AD2732" s="15" t="n">
        <v>18.93333333333333</v>
      </c>
      <c r="AE2732" s="11" t="n">
        <v>1.9956486541186</v>
      </c>
      <c r="AF2732" s="16">
        <f>SUMPRODUCT(N2732:Y2732,$N$5:$Y$5)*$K2732*$L2732*$M2732</f>
        <v/>
      </c>
      <c r="AG2732" s="16">
        <f>SUMPRODUCT(N2732:Y2732,$N$6:$Y$6)*$K2732*$L2732*$M2732</f>
        <v/>
      </c>
      <c r="AH2732" s="20" t="n"/>
    </row>
    <row r="2733">
      <c r="A2733" s="9" t="n">
        <v>801801</v>
      </c>
      <c r="B2733" s="9" t="inlineStr">
        <is>
          <t>Noah Hall</t>
        </is>
      </c>
      <c r="C2733" s="9" t="inlineStr">
        <is>
          <t>NYM</t>
        </is>
      </c>
      <c r="D2733" s="9" t="n">
        <v>25</v>
      </c>
      <c r="E2733" s="18" t="inlineStr">
        <is>
          <t>R</t>
        </is>
      </c>
      <c r="F2733" s="18" t="n"/>
      <c r="G2733" s="9" t="n">
        <v>52.675</v>
      </c>
      <c r="H2733" s="9" t="n">
        <v>52.675</v>
      </c>
      <c r="I2733" s="9" t="inlineStr">
        <is>
          <t>Depth (no MLB IP)</t>
        </is>
      </c>
      <c r="J2733" s="18" t="inlineStr">
        <is>
          <t>Opening Day</t>
        </is>
      </c>
      <c r="K2733" s="11">
        <f>IFERROR(INDEX(Roles!$B$17:$B$20,MATCH(J2733,Roles!$A$17:$A$20,0)),1)</f>
        <v/>
      </c>
      <c r="L2733" s="19" t="n">
        <v>1</v>
      </c>
      <c r="M2733" s="11" t="n">
        <v>1</v>
      </c>
      <c r="N2733" s="19" t="n"/>
      <c r="O2733" s="19" t="n"/>
      <c r="P2733" s="19" t="n"/>
      <c r="Q2733" s="19" t="n"/>
      <c r="R2733" s="19" t="n"/>
      <c r="S2733" s="19" t="n"/>
      <c r="T2733" s="19" t="n"/>
      <c r="U2733" s="19" t="n"/>
      <c r="V2733" s="19" t="n"/>
      <c r="W2733" s="19" t="n"/>
      <c r="X2733" s="19" t="n"/>
      <c r="Y2733" s="19" t="n">
        <v>1</v>
      </c>
      <c r="Z2733" s="13">
        <f>SUMPRODUCT(N2733:Y2733,$N$2:$Y$2)*$K2733*$L2733*$M2733</f>
        <v/>
      </c>
      <c r="AA2733" s="14">
        <f>SUM(N2733:Y2733)</f>
        <v/>
      </c>
      <c r="AB2733" s="13">
        <f>SUMPRODUCT(N2733:Y2733,$N$3:$Y$3)*$K2733*$L2733*$M2733</f>
        <v/>
      </c>
      <c r="AC2733" s="13">
        <f>SUMPRODUCT(N2733:Y2733,$N$4:$Y$4)*$K2733*$L2733*$M2733</f>
        <v/>
      </c>
      <c r="AD2733" s="15" t="n">
        <v>3</v>
      </c>
      <c r="AE2733" s="11" t="n">
        <v>1.011296296296296</v>
      </c>
      <c r="AF2733" s="16">
        <f>SUMPRODUCT(N2733:Y2733,$N$5:$Y$5)*$K2733*$L2733*$M2733</f>
        <v/>
      </c>
      <c r="AG2733" s="16">
        <f>SUMPRODUCT(N2733:Y2733,$N$6:$Y$6)*$K2733*$L2733*$M2733</f>
        <v/>
      </c>
      <c r="AH2733" s="20" t="n"/>
    </row>
    <row r="2734">
      <c r="A2734" s="9" t="n">
        <v>800124</v>
      </c>
      <c r="B2734" s="9" t="inlineStr">
        <is>
          <t>David Lorduy</t>
        </is>
      </c>
      <c r="C2734" s="9" t="inlineStr">
        <is>
          <t>CIN</t>
        </is>
      </c>
      <c r="D2734" s="9" t="n">
        <v>25</v>
      </c>
      <c r="E2734" s="18" t="inlineStr">
        <is>
          <t>R</t>
        </is>
      </c>
      <c r="F2734" s="18" t="n"/>
      <c r="G2734" s="9" t="n">
        <v>52.74666666666667</v>
      </c>
      <c r="H2734" s="9" t="n">
        <v>52.74666666666667</v>
      </c>
      <c r="I2734" s="9" t="inlineStr">
        <is>
          <t>Depth (no MLB IP)</t>
        </is>
      </c>
      <c r="J2734" s="18" t="inlineStr">
        <is>
          <t>Opening Day</t>
        </is>
      </c>
      <c r="K2734" s="11">
        <f>IFERROR(INDEX(Roles!$B$17:$B$20,MATCH(J2734,Roles!$A$17:$A$20,0)),1)</f>
        <v/>
      </c>
      <c r="L2734" s="19" t="n">
        <v>1</v>
      </c>
      <c r="M2734" s="11" t="n">
        <v>1</v>
      </c>
      <c r="N2734" s="19" t="n"/>
      <c r="O2734" s="19" t="n"/>
      <c r="P2734" s="19" t="n"/>
      <c r="Q2734" s="19" t="n"/>
      <c r="R2734" s="19" t="n"/>
      <c r="S2734" s="19" t="n"/>
      <c r="T2734" s="19" t="n"/>
      <c r="U2734" s="19" t="n"/>
      <c r="V2734" s="19" t="n"/>
      <c r="W2734" s="19" t="n"/>
      <c r="X2734" s="19" t="n"/>
      <c r="Y2734" s="19" t="n">
        <v>1</v>
      </c>
      <c r="Z2734" s="13">
        <f>SUMPRODUCT(N2734:Y2734,$N$2:$Y$2)*$K2734*$L2734*$M2734</f>
        <v/>
      </c>
      <c r="AA2734" s="14">
        <f>SUM(N2734:Y2734)</f>
        <v/>
      </c>
      <c r="AB2734" s="13">
        <f>SUMPRODUCT(N2734:Y2734,$N$3:$Y$3)*$K2734*$L2734*$M2734</f>
        <v/>
      </c>
      <c r="AC2734" s="13">
        <f>SUMPRODUCT(N2734:Y2734,$N$4:$Y$4)*$K2734*$L2734*$M2734</f>
        <v/>
      </c>
      <c r="AD2734" s="15" t="n">
        <v>3</v>
      </c>
      <c r="AE2734" s="11" t="n">
        <v>1.011296296296296</v>
      </c>
      <c r="AF2734" s="16">
        <f>SUMPRODUCT(N2734:Y2734,$N$5:$Y$5)*$K2734*$L2734*$M2734</f>
        <v/>
      </c>
      <c r="AG2734" s="16">
        <f>SUMPRODUCT(N2734:Y2734,$N$6:$Y$6)*$K2734*$L2734*$M2734</f>
        <v/>
      </c>
      <c r="AH2734" s="20" t="n"/>
    </row>
    <row r="2735">
      <c r="A2735" s="9" t="n">
        <v>640448</v>
      </c>
      <c r="B2735" s="9" t="inlineStr">
        <is>
          <t>Kyle Finnegan</t>
        </is>
      </c>
      <c r="C2735" s="9" t="inlineStr">
        <is>
          <t>DET</t>
        </is>
      </c>
      <c r="D2735" s="9" t="n">
        <v>35</v>
      </c>
      <c r="E2735" s="18" t="inlineStr">
        <is>
          <t>R</t>
        </is>
      </c>
      <c r="F2735" s="18" t="n"/>
      <c r="G2735" s="9" t="n">
        <v>270</v>
      </c>
      <c r="H2735" s="9" t="n">
        <v>1326</v>
      </c>
      <c r="I2735" s="9" t="inlineStr">
        <is>
          <t>Late Inning RP (Setup)</t>
        </is>
      </c>
      <c r="J2735" s="18" t="inlineStr">
        <is>
          <t>Opening Day</t>
        </is>
      </c>
      <c r="K2735" s="11">
        <f>IFERROR(INDEX(Roles!$B$17:$B$20,MATCH(J2735,Roles!$A$17:$A$20,0)),1)</f>
        <v/>
      </c>
      <c r="L2735" s="19" t="n">
        <v>1</v>
      </c>
      <c r="M2735" s="11" t="n">
        <v>1</v>
      </c>
      <c r="N2735" s="19" t="n"/>
      <c r="O2735" s="19" t="n"/>
      <c r="P2735" s="19" t="n"/>
      <c r="Q2735" s="19" t="n"/>
      <c r="R2735" s="19" t="n"/>
      <c r="S2735" s="19" t="n"/>
      <c r="T2735" s="19" t="n"/>
      <c r="U2735" s="19" t="n">
        <v>0.5</v>
      </c>
      <c r="V2735" s="19" t="n">
        <v>0.5</v>
      </c>
      <c r="W2735" s="19" t="n"/>
      <c r="X2735" s="19" t="n"/>
      <c r="Y2735" s="19" t="n"/>
      <c r="Z2735" s="13">
        <f>SUMPRODUCT(N2735:Y2735,$N$2:$Y$2)*$K2735*$L2735*$M2735</f>
        <v/>
      </c>
      <c r="AA2735" s="14">
        <f>SUM(N2735:Y2735)</f>
        <v/>
      </c>
      <c r="AB2735" s="13">
        <f>SUMPRODUCT(N2735:Y2735,$N$3:$Y$3)*$K2735*$L2735*$M2735</f>
        <v/>
      </c>
      <c r="AC2735" s="13">
        <f>SUMPRODUCT(N2735:Y2735,$N$4:$Y$4)*$K2735*$L2735*$M2735</f>
        <v/>
      </c>
      <c r="AD2735" s="15" t="n">
        <v>55.8</v>
      </c>
      <c r="AE2735" s="11" t="n">
        <v>0.9872874924104432</v>
      </c>
      <c r="AF2735" s="16">
        <f>SUMPRODUCT(N2735:Y2735,$N$5:$Y$5)*$K2735*$L2735*$M2735</f>
        <v/>
      </c>
      <c r="AG2735" s="16">
        <f>SUMPRODUCT(N2735:Y2735,$N$6:$Y$6)*$K2735*$L2735*$M2735</f>
        <v/>
      </c>
      <c r="AH2735" s="20" t="n"/>
    </row>
    <row r="2736">
      <c r="A2736" s="9" t="n">
        <v>815071</v>
      </c>
      <c r="B2736" s="9" t="inlineStr">
        <is>
          <t>Marcus Phillips</t>
        </is>
      </c>
      <c r="C2736" s="9" t="inlineStr">
        <is>
          <t>BOS</t>
        </is>
      </c>
      <c r="D2736" s="9" t="n">
        <v>25</v>
      </c>
      <c r="E2736" s="18" t="inlineStr">
        <is>
          <t>R</t>
        </is>
      </c>
      <c r="F2736" s="18" t="n"/>
      <c r="G2736" s="9" t="n">
        <v>53.03333333333333</v>
      </c>
      <c r="H2736" s="9" t="n">
        <v>53.03333333333333</v>
      </c>
      <c r="I2736" s="9" t="inlineStr">
        <is>
          <t>Depth (no MLB IP)</t>
        </is>
      </c>
      <c r="J2736" s="18" t="inlineStr">
        <is>
          <t>Opening Day</t>
        </is>
      </c>
      <c r="K2736" s="11">
        <f>IFERROR(INDEX(Roles!$B$17:$B$20,MATCH(J2736,Roles!$A$17:$A$20,0)),1)</f>
        <v/>
      </c>
      <c r="L2736" s="19" t="n">
        <v>1</v>
      </c>
      <c r="M2736" s="11" t="n">
        <v>1</v>
      </c>
      <c r="N2736" s="19" t="n"/>
      <c r="O2736" s="19" t="n"/>
      <c r="P2736" s="19" t="n"/>
      <c r="Q2736" s="19" t="n"/>
      <c r="R2736" s="19" t="n"/>
      <c r="S2736" s="19" t="n"/>
      <c r="T2736" s="19" t="n"/>
      <c r="U2736" s="19" t="n"/>
      <c r="V2736" s="19" t="n"/>
      <c r="W2736" s="19" t="n"/>
      <c r="X2736" s="19" t="n"/>
      <c r="Y2736" s="19" t="n">
        <v>1</v>
      </c>
      <c r="Z2736" s="13">
        <f>SUMPRODUCT(N2736:Y2736,$N$2:$Y$2)*$K2736*$L2736*$M2736</f>
        <v/>
      </c>
      <c r="AA2736" s="14">
        <f>SUM(N2736:Y2736)</f>
        <v/>
      </c>
      <c r="AB2736" s="13">
        <f>SUMPRODUCT(N2736:Y2736,$N$3:$Y$3)*$K2736*$L2736*$M2736</f>
        <v/>
      </c>
      <c r="AC2736" s="13">
        <f>SUMPRODUCT(N2736:Y2736,$N$4:$Y$4)*$K2736*$L2736*$M2736</f>
        <v/>
      </c>
      <c r="AD2736" s="15" t="n">
        <v>3</v>
      </c>
      <c r="AE2736" s="11" t="n">
        <v>1.011296296296296</v>
      </c>
      <c r="AF2736" s="16">
        <f>SUMPRODUCT(N2736:Y2736,$N$5:$Y$5)*$K2736*$L2736*$M2736</f>
        <v/>
      </c>
      <c r="AG2736" s="16">
        <f>SUMPRODUCT(N2736:Y2736,$N$6:$Y$6)*$K2736*$L2736*$M2736</f>
        <v/>
      </c>
      <c r="AH2736" s="20" t="n"/>
    </row>
    <row r="2737">
      <c r="A2737" s="9" t="n">
        <v>641927</v>
      </c>
      <c r="B2737" s="9" t="inlineStr">
        <is>
          <t>Bailey Ober</t>
        </is>
      </c>
      <c r="C2737" s="9" t="inlineStr">
        <is>
          <t>MIN</t>
        </is>
      </c>
      <c r="D2737" s="9" t="n">
        <v>31</v>
      </c>
      <c r="E2737" s="18" t="inlineStr">
        <is>
          <t>R</t>
        </is>
      </c>
      <c r="F2737" s="18" t="n"/>
      <c r="G2737" s="9" t="n">
        <v>561</v>
      </c>
      <c r="H2737" s="9" t="n">
        <v>2698</v>
      </c>
      <c r="I2737" s="9" t="inlineStr">
        <is>
          <t>Swing Arm / Long Relief</t>
        </is>
      </c>
      <c r="J2737" s="18" t="inlineStr">
        <is>
          <t>Opening Day</t>
        </is>
      </c>
      <c r="K2737" s="11">
        <f>IFERROR(INDEX(Roles!$B$17:$B$20,MATCH(J2737,Roles!$A$17:$A$20,0)),1)</f>
        <v/>
      </c>
      <c r="L2737" s="19" t="n">
        <v>1</v>
      </c>
      <c r="M2737" s="11" t="n">
        <v>1</v>
      </c>
      <c r="N2737" s="19" t="n"/>
      <c r="O2737" s="19" t="n"/>
      <c r="P2737" s="19" t="n"/>
      <c r="Q2737" s="19" t="n"/>
      <c r="R2737" s="19" t="n">
        <v>0.5</v>
      </c>
      <c r="S2737" s="19" t="n"/>
      <c r="T2737" s="19" t="n"/>
      <c r="U2737" s="19" t="n"/>
      <c r="V2737" s="19" t="n">
        <v>0.5</v>
      </c>
      <c r="W2737" s="19" t="n"/>
      <c r="X2737" s="19" t="n"/>
      <c r="Y2737" s="19" t="n"/>
      <c r="Z2737" s="13">
        <f>SUMPRODUCT(N2737:Y2737,$N$2:$Y$2)*$K2737*$L2737*$M2737</f>
        <v/>
      </c>
      <c r="AA2737" s="14">
        <f>SUM(N2737:Y2737)</f>
        <v/>
      </c>
      <c r="AB2737" s="13">
        <f>SUMPRODUCT(N2737:Y2737,$N$3:$Y$3)*$K2737*$L2737*$M2737</f>
        <v/>
      </c>
      <c r="AC2737" s="13">
        <f>SUMPRODUCT(N2737:Y2737,$N$4:$Y$4)*$K2737*$L2737*$M2737</f>
        <v/>
      </c>
      <c r="AD2737" s="15" t="n">
        <v>24.13333333333333</v>
      </c>
      <c r="AE2737" s="11" t="n">
        <v>3.469182604735884</v>
      </c>
      <c r="AF2737" s="16">
        <f>SUMPRODUCT(N2737:Y2737,$N$5:$Y$5)*$K2737*$L2737*$M2737</f>
        <v/>
      </c>
      <c r="AG2737" s="16">
        <f>SUMPRODUCT(N2737:Y2737,$N$6:$Y$6)*$K2737*$L2737*$M2737</f>
        <v/>
      </c>
      <c r="AH2737" s="20" t="n"/>
    </row>
    <row r="2738">
      <c r="A2738" s="9" t="n">
        <v>701908</v>
      </c>
      <c r="B2738" s="9" t="inlineStr">
        <is>
          <t>David Hagaman</t>
        </is>
      </c>
      <c r="C2738" s="9" t="inlineStr">
        <is>
          <t>ARI</t>
        </is>
      </c>
      <c r="D2738" s="9" t="n">
        <v>24</v>
      </c>
      <c r="E2738" s="18" t="inlineStr">
        <is>
          <t>R</t>
        </is>
      </c>
      <c r="F2738" s="18" t="n"/>
      <c r="G2738" s="9" t="n">
        <v>53.17666666666666</v>
      </c>
      <c r="H2738" s="9" t="n">
        <v>53.17666666666666</v>
      </c>
      <c r="I2738" s="9" t="inlineStr">
        <is>
          <t>Innings-Limited Starter</t>
        </is>
      </c>
      <c r="J2738" s="18" t="inlineStr">
        <is>
          <t>Mid Season (~July)</t>
        </is>
      </c>
      <c r="K2738" s="11">
        <f>IFERROR(INDEX(Roles!$B$17:$B$20,MATCH(J2738,Roles!$A$17:$A$20,0)),1)</f>
        <v/>
      </c>
      <c r="L2738" s="19" t="n">
        <v>1</v>
      </c>
      <c r="M2738" s="11" t="n">
        <v>1</v>
      </c>
      <c r="N2738" s="19" t="n"/>
      <c r="O2738" s="19" t="n"/>
      <c r="P2738" s="19" t="n"/>
      <c r="Q2738" s="19" t="n">
        <v>0.46</v>
      </c>
      <c r="R2738" s="19" t="n">
        <v>0.3</v>
      </c>
      <c r="S2738" s="19" t="n"/>
      <c r="T2738" s="19" t="n"/>
      <c r="U2738" s="19" t="n"/>
      <c r="V2738" s="19" t="n"/>
      <c r="W2738" s="19" t="n">
        <v>0.24</v>
      </c>
      <c r="X2738" s="19" t="n"/>
      <c r="Y2738" s="19" t="n"/>
      <c r="Z2738" s="13">
        <f>SUMPRODUCT(N2738:Y2738,$N$2:$Y$2)*$K2738*$L2738*$M2738</f>
        <v/>
      </c>
      <c r="AA2738" s="14">
        <f>SUM(N2738:Y2738)</f>
        <v/>
      </c>
      <c r="AB2738" s="13">
        <f>SUMPRODUCT(N2738:Y2738,$N$3:$Y$3)*$K2738*$L2738*$M2738</f>
        <v/>
      </c>
      <c r="AC2738" s="13">
        <f>SUMPRODUCT(N2738:Y2738,$N$4:$Y$4)*$K2738*$L2738*$M2738</f>
        <v/>
      </c>
      <c r="AD2738" s="15" t="n">
        <v>27.52</v>
      </c>
      <c r="AE2738" s="11" t="n">
        <v>3.223110465116278</v>
      </c>
      <c r="AF2738" s="16">
        <f>SUMPRODUCT(N2738:Y2738,$N$5:$Y$5)*$K2738*$L2738*$M2738</f>
        <v/>
      </c>
      <c r="AG2738" s="16">
        <f>SUMPRODUCT(N2738:Y2738,$N$6:$Y$6)*$K2738*$L2738*$M2738</f>
        <v/>
      </c>
      <c r="AH2738" s="20" t="n"/>
    </row>
    <row r="2739">
      <c r="A2739" s="9" t="n">
        <v>680686</v>
      </c>
      <c r="B2739" s="9" t="inlineStr">
        <is>
          <t>Josiah Gray</t>
        </is>
      </c>
      <c r="C2739" s="9" t="inlineStr">
        <is>
          <t>WSH</t>
        </is>
      </c>
      <c r="D2739" s="9" t="n">
        <v>29</v>
      </c>
      <c r="E2739" s="18" t="inlineStr">
        <is>
          <t>R</t>
        </is>
      </c>
      <c r="F2739" s="18" t="n"/>
      <c r="G2739" s="9" t="n">
        <v>15</v>
      </c>
      <c r="H2739" s="9" t="n">
        <v>1406</v>
      </c>
      <c r="I2739" s="9" t="inlineStr">
        <is>
          <t>Middle Relief</t>
        </is>
      </c>
      <c r="J2739" s="18" t="inlineStr">
        <is>
          <t>Opening Day</t>
        </is>
      </c>
      <c r="K2739" s="11">
        <f>IFERROR(INDEX(Roles!$B$17:$B$20,MATCH(J2739,Roles!$A$17:$A$20,0)),1)</f>
        <v/>
      </c>
      <c r="L2739" s="19" t="n">
        <v>1</v>
      </c>
      <c r="M2739" s="11" t="n">
        <v>1</v>
      </c>
      <c r="N2739" s="19" t="n"/>
      <c r="O2739" s="19" t="n"/>
      <c r="P2739" s="19" t="n"/>
      <c r="Q2739" s="19" t="n"/>
      <c r="R2739" s="19" t="n"/>
      <c r="S2739" s="19" t="n"/>
      <c r="T2739" s="19" t="n"/>
      <c r="U2739" s="19" t="n"/>
      <c r="V2739" s="19" t="n">
        <v>0.6</v>
      </c>
      <c r="W2739" s="19" t="n">
        <v>0.4</v>
      </c>
      <c r="X2739" s="19" t="n"/>
      <c r="Y2739" s="19" t="n"/>
      <c r="Z2739" s="13">
        <f>SUMPRODUCT(N2739:Y2739,$N$2:$Y$2)*$K2739*$L2739*$M2739</f>
        <v/>
      </c>
      <c r="AA2739" s="14">
        <f>SUM(N2739:Y2739)</f>
        <v/>
      </c>
      <c r="AB2739" s="13">
        <f>SUMPRODUCT(N2739:Y2739,$N$3:$Y$3)*$K2739*$L2739*$M2739</f>
        <v/>
      </c>
      <c r="AC2739" s="13">
        <f>SUMPRODUCT(N2739:Y2739,$N$4:$Y$4)*$K2739*$L2739*$M2739</f>
        <v/>
      </c>
      <c r="AD2739" s="15" t="n">
        <v>16.38333333333333</v>
      </c>
      <c r="AE2739" s="11" t="n">
        <v>1.30530538093703</v>
      </c>
      <c r="AF2739" s="16">
        <f>SUMPRODUCT(N2739:Y2739,$N$5:$Y$5)*$K2739*$L2739*$M2739</f>
        <v/>
      </c>
      <c r="AG2739" s="16">
        <f>SUMPRODUCT(N2739:Y2739,$N$6:$Y$6)*$K2739*$L2739*$M2739</f>
        <v/>
      </c>
      <c r="AH2739" s="20" t="n"/>
    </row>
    <row r="2740">
      <c r="A2740" s="9" t="n">
        <v>656322</v>
      </c>
      <c r="B2740" s="9" t="inlineStr">
        <is>
          <t>Sam Coonrod</t>
        </is>
      </c>
      <c r="C2740" s="9" t="inlineStr">
        <is>
          <t>NYM</t>
        </is>
      </c>
      <c r="D2740" s="9" t="n">
        <v>34</v>
      </c>
      <c r="E2740" s="18" t="inlineStr">
        <is>
          <t>R</t>
        </is>
      </c>
      <c r="F2740" s="18" t="n"/>
      <c r="G2740" s="9" t="n">
        <v>34</v>
      </c>
      <c r="H2740" s="9" t="n">
        <v>92</v>
      </c>
      <c r="I2740" s="9" t="inlineStr">
        <is>
          <t>Depth (no MLB IP)</t>
        </is>
      </c>
      <c r="J2740" s="18" t="inlineStr">
        <is>
          <t>Opening Day</t>
        </is>
      </c>
      <c r="K2740" s="11">
        <f>IFERROR(INDEX(Roles!$B$17:$B$20,MATCH(J2740,Roles!$A$17:$A$20,0)),1)</f>
        <v/>
      </c>
      <c r="L2740" s="19" t="n">
        <v>1</v>
      </c>
      <c r="M2740" s="11" t="n">
        <v>1</v>
      </c>
      <c r="N2740" s="19" t="n"/>
      <c r="O2740" s="19" t="n"/>
      <c r="P2740" s="19" t="n"/>
      <c r="Q2740" s="19" t="n"/>
      <c r="R2740" s="19" t="n"/>
      <c r="S2740" s="19" t="n"/>
      <c r="T2740" s="19" t="n"/>
      <c r="U2740" s="19" t="n"/>
      <c r="V2740" s="19" t="n"/>
      <c r="W2740" s="19" t="n"/>
      <c r="X2740" s="19" t="n"/>
      <c r="Y2740" s="19" t="n">
        <v>1</v>
      </c>
      <c r="Z2740" s="13">
        <f>SUMPRODUCT(N2740:Y2740,$N$2:$Y$2)*$K2740*$L2740*$M2740</f>
        <v/>
      </c>
      <c r="AA2740" s="14">
        <f>SUM(N2740:Y2740)</f>
        <v/>
      </c>
      <c r="AB2740" s="13">
        <f>SUMPRODUCT(N2740:Y2740,$N$3:$Y$3)*$K2740*$L2740*$M2740</f>
        <v/>
      </c>
      <c r="AC2740" s="13">
        <f>SUMPRODUCT(N2740:Y2740,$N$4:$Y$4)*$K2740*$L2740*$M2740</f>
        <v/>
      </c>
      <c r="AD2740" s="15" t="n">
        <v>3</v>
      </c>
      <c r="AE2740" s="11" t="n">
        <v>1.011296296296296</v>
      </c>
      <c r="AF2740" s="16">
        <f>SUMPRODUCT(N2740:Y2740,$N$5:$Y$5)*$K2740*$L2740*$M2740</f>
        <v/>
      </c>
      <c r="AG2740" s="16">
        <f>SUMPRODUCT(N2740:Y2740,$N$6:$Y$6)*$K2740*$L2740*$M2740</f>
        <v/>
      </c>
      <c r="AH2740" s="20" t="n"/>
    </row>
    <row r="2741">
      <c r="A2741" s="9" t="n">
        <v>805942</v>
      </c>
      <c r="B2741" s="9" t="inlineStr">
        <is>
          <t>Zach Royse</t>
        </is>
      </c>
      <c r="C2741" s="9" t="inlineStr">
        <is>
          <t>ATL</t>
        </is>
      </c>
      <c r="D2741" s="9" t="n">
        <v>25</v>
      </c>
      <c r="E2741" s="18" t="inlineStr">
        <is>
          <t>R</t>
        </is>
      </c>
      <c r="F2741" s="18" t="n"/>
      <c r="G2741" s="9" t="n">
        <v>53.31999999999999</v>
      </c>
      <c r="H2741" s="9" t="n">
        <v>53.31999999999999</v>
      </c>
      <c r="I2741" s="9" t="inlineStr">
        <is>
          <t>Depth (no MLB IP)</t>
        </is>
      </c>
      <c r="J2741" s="18" t="inlineStr">
        <is>
          <t>Opening Day</t>
        </is>
      </c>
      <c r="K2741" s="11">
        <f>IFERROR(INDEX(Roles!$B$17:$B$20,MATCH(J2741,Roles!$A$17:$A$20,0)),1)</f>
        <v/>
      </c>
      <c r="L2741" s="19" t="n">
        <v>1</v>
      </c>
      <c r="M2741" s="11" t="n">
        <v>1</v>
      </c>
      <c r="N2741" s="19" t="n"/>
      <c r="O2741" s="19" t="n"/>
      <c r="P2741" s="19" t="n"/>
      <c r="Q2741" s="19" t="n"/>
      <c r="R2741" s="19" t="n"/>
      <c r="S2741" s="19" t="n"/>
      <c r="T2741" s="19" t="n"/>
      <c r="U2741" s="19" t="n"/>
      <c r="V2741" s="19" t="n"/>
      <c r="W2741" s="19" t="n"/>
      <c r="X2741" s="19" t="n"/>
      <c r="Y2741" s="19" t="n">
        <v>1</v>
      </c>
      <c r="Z2741" s="13">
        <f>SUMPRODUCT(N2741:Y2741,$N$2:$Y$2)*$K2741*$L2741*$M2741</f>
        <v/>
      </c>
      <c r="AA2741" s="14">
        <f>SUM(N2741:Y2741)</f>
        <v/>
      </c>
      <c r="AB2741" s="13">
        <f>SUMPRODUCT(N2741:Y2741,$N$3:$Y$3)*$K2741*$L2741*$M2741</f>
        <v/>
      </c>
      <c r="AC2741" s="13">
        <f>SUMPRODUCT(N2741:Y2741,$N$4:$Y$4)*$K2741*$L2741*$M2741</f>
        <v/>
      </c>
      <c r="AD2741" s="15" t="n">
        <v>3</v>
      </c>
      <c r="AE2741" s="11" t="n">
        <v>1.011296296296296</v>
      </c>
      <c r="AF2741" s="16">
        <f>SUMPRODUCT(N2741:Y2741,$N$5:$Y$5)*$K2741*$L2741*$M2741</f>
        <v/>
      </c>
      <c r="AG2741" s="16">
        <f>SUMPRODUCT(N2741:Y2741,$N$6:$Y$6)*$K2741*$L2741*$M2741</f>
        <v/>
      </c>
      <c r="AH2741" s="20" t="n"/>
    </row>
    <row r="2742">
      <c r="A2742" s="9" t="n">
        <v>804999</v>
      </c>
      <c r="B2742" s="9" t="inlineStr">
        <is>
          <t>Cameron Keshock</t>
        </is>
      </c>
      <c r="C2742" s="9" t="inlineStr">
        <is>
          <t>PIT</t>
        </is>
      </c>
      <c r="D2742" s="9" t="n">
        <v>25</v>
      </c>
      <c r="E2742" s="18" t="inlineStr">
        <is>
          <t>R</t>
        </is>
      </c>
      <c r="F2742" s="18" t="n"/>
      <c r="G2742" s="9" t="n">
        <v>53.31999999999999</v>
      </c>
      <c r="H2742" s="9" t="n">
        <v>53.31999999999999</v>
      </c>
      <c r="I2742" s="9" t="inlineStr">
        <is>
          <t>Depth (no MLB IP)</t>
        </is>
      </c>
      <c r="J2742" s="18" t="inlineStr">
        <is>
          <t>Opening Day</t>
        </is>
      </c>
      <c r="K2742" s="11">
        <f>IFERROR(INDEX(Roles!$B$17:$B$20,MATCH(J2742,Roles!$A$17:$A$20,0)),1)</f>
        <v/>
      </c>
      <c r="L2742" s="19" t="n">
        <v>1</v>
      </c>
      <c r="M2742" s="11" t="n">
        <v>1</v>
      </c>
      <c r="N2742" s="19" t="n"/>
      <c r="O2742" s="19" t="n"/>
      <c r="P2742" s="19" t="n"/>
      <c r="Q2742" s="19" t="n"/>
      <c r="R2742" s="19" t="n"/>
      <c r="S2742" s="19" t="n"/>
      <c r="T2742" s="19" t="n"/>
      <c r="U2742" s="19" t="n"/>
      <c r="V2742" s="19" t="n"/>
      <c r="W2742" s="19" t="n"/>
      <c r="X2742" s="19" t="n"/>
      <c r="Y2742" s="19" t="n">
        <v>1</v>
      </c>
      <c r="Z2742" s="13">
        <f>SUMPRODUCT(N2742:Y2742,$N$2:$Y$2)*$K2742*$L2742*$M2742</f>
        <v/>
      </c>
      <c r="AA2742" s="14">
        <f>SUM(N2742:Y2742)</f>
        <v/>
      </c>
      <c r="AB2742" s="13">
        <f>SUMPRODUCT(N2742:Y2742,$N$3:$Y$3)*$K2742*$L2742*$M2742</f>
        <v/>
      </c>
      <c r="AC2742" s="13">
        <f>SUMPRODUCT(N2742:Y2742,$N$4:$Y$4)*$K2742*$L2742*$M2742</f>
        <v/>
      </c>
      <c r="AD2742" s="15" t="n">
        <v>3</v>
      </c>
      <c r="AE2742" s="11" t="n">
        <v>1.011296296296296</v>
      </c>
      <c r="AF2742" s="16">
        <f>SUMPRODUCT(N2742:Y2742,$N$5:$Y$5)*$K2742*$L2742*$M2742</f>
        <v/>
      </c>
      <c r="AG2742" s="16">
        <f>SUMPRODUCT(N2742:Y2742,$N$6:$Y$6)*$K2742*$L2742*$M2742</f>
        <v/>
      </c>
      <c r="AH2742" s="20" t="n"/>
    </row>
    <row r="2743">
      <c r="A2743" s="9" t="n">
        <v>812160</v>
      </c>
      <c r="B2743" s="9" t="inlineStr">
        <is>
          <t>Luis Rodriguez</t>
        </is>
      </c>
      <c r="C2743" s="9" t="inlineStr">
        <is>
          <t>HOU</t>
        </is>
      </c>
      <c r="D2743" s="9" t="n">
        <v>25</v>
      </c>
      <c r="E2743" s="18" t="inlineStr">
        <is>
          <t>R</t>
        </is>
      </c>
      <c r="F2743" s="18" t="n"/>
      <c r="G2743" s="9" t="n">
        <v>53.31999999999999</v>
      </c>
      <c r="H2743" s="9" t="n">
        <v>53.31999999999999</v>
      </c>
      <c r="I2743" s="9" t="inlineStr">
        <is>
          <t>Depth (no MLB IP)</t>
        </is>
      </c>
      <c r="J2743" s="18" t="inlineStr">
        <is>
          <t>Opening Day</t>
        </is>
      </c>
      <c r="K2743" s="11">
        <f>IFERROR(INDEX(Roles!$B$17:$B$20,MATCH(J2743,Roles!$A$17:$A$20,0)),1)</f>
        <v/>
      </c>
      <c r="L2743" s="19" t="n">
        <v>1</v>
      </c>
      <c r="M2743" s="11" t="n">
        <v>1</v>
      </c>
      <c r="N2743" s="19" t="n"/>
      <c r="O2743" s="19" t="n"/>
      <c r="P2743" s="19" t="n"/>
      <c r="Q2743" s="19" t="n"/>
      <c r="R2743" s="19" t="n"/>
      <c r="S2743" s="19" t="n"/>
      <c r="T2743" s="19" t="n"/>
      <c r="U2743" s="19" t="n"/>
      <c r="V2743" s="19" t="n"/>
      <c r="W2743" s="19" t="n"/>
      <c r="X2743" s="19" t="n"/>
      <c r="Y2743" s="19" t="n">
        <v>1</v>
      </c>
      <c r="Z2743" s="13">
        <f>SUMPRODUCT(N2743:Y2743,$N$2:$Y$2)*$K2743*$L2743*$M2743</f>
        <v/>
      </c>
      <c r="AA2743" s="14">
        <f>SUM(N2743:Y2743)</f>
        <v/>
      </c>
      <c r="AB2743" s="13">
        <f>SUMPRODUCT(N2743:Y2743,$N$3:$Y$3)*$K2743*$L2743*$M2743</f>
        <v/>
      </c>
      <c r="AC2743" s="13">
        <f>SUMPRODUCT(N2743:Y2743,$N$4:$Y$4)*$K2743*$L2743*$M2743</f>
        <v/>
      </c>
      <c r="AD2743" s="15" t="n">
        <v>3</v>
      </c>
      <c r="AE2743" s="11" t="n">
        <v>1.011296296296296</v>
      </c>
      <c r="AF2743" s="16">
        <f>SUMPRODUCT(N2743:Y2743,$N$5:$Y$5)*$K2743*$L2743*$M2743</f>
        <v/>
      </c>
      <c r="AG2743" s="16">
        <f>SUMPRODUCT(N2743:Y2743,$N$6:$Y$6)*$K2743*$L2743*$M2743</f>
        <v/>
      </c>
      <c r="AH2743" s="20" t="n"/>
    </row>
    <row r="2744">
      <c r="A2744" s="9" t="n">
        <v>663462</v>
      </c>
      <c r="B2744" s="9" t="inlineStr">
        <is>
          <t>Isaiah Campbell</t>
        </is>
      </c>
      <c r="C2744" s="9" t="inlineStr">
        <is>
          <t>BOS</t>
        </is>
      </c>
      <c r="D2744" s="9" t="n">
        <v>29</v>
      </c>
      <c r="E2744" s="18" t="inlineStr">
        <is>
          <t>R</t>
        </is>
      </c>
      <c r="F2744" s="18" t="n"/>
      <c r="G2744" s="9" t="n">
        <v>35</v>
      </c>
      <c r="H2744" s="9" t="n">
        <v>192</v>
      </c>
      <c r="I2744" s="9" t="inlineStr">
        <is>
          <t>Bullpen Depth Arm</t>
        </is>
      </c>
      <c r="J2744" s="18" t="inlineStr">
        <is>
          <t>Opening Day</t>
        </is>
      </c>
      <c r="K2744" s="11">
        <f>IFERROR(INDEX(Roles!$B$17:$B$20,MATCH(J2744,Roles!$A$17:$A$20,0)),1)</f>
        <v/>
      </c>
      <c r="L2744" s="19" t="n">
        <v>1</v>
      </c>
      <c r="M2744" s="11" t="n">
        <v>1</v>
      </c>
      <c r="N2744" s="19" t="n"/>
      <c r="O2744" s="19" t="n"/>
      <c r="P2744" s="19" t="n"/>
      <c r="Q2744" s="19" t="n"/>
      <c r="R2744" s="19" t="n"/>
      <c r="S2744" s="19" t="n"/>
      <c r="T2744" s="19" t="n"/>
      <c r="U2744" s="19" t="n"/>
      <c r="V2744" s="19" t="n"/>
      <c r="W2744" s="19" t="n">
        <v>1</v>
      </c>
      <c r="X2744" s="19" t="n"/>
      <c r="Y2744" s="19" t="n"/>
      <c r="Z2744" s="13">
        <f>SUMPRODUCT(N2744:Y2744,$N$2:$Y$2)*$K2744*$L2744*$M2744</f>
        <v/>
      </c>
      <c r="AA2744" s="14">
        <f>SUM(N2744:Y2744)</f>
        <v/>
      </c>
      <c r="AB2744" s="13">
        <f>SUMPRODUCT(N2744:Y2744,$N$3:$Y$3)*$K2744*$L2744*$M2744</f>
        <v/>
      </c>
      <c r="AC2744" s="13">
        <f>SUMPRODUCT(N2744:Y2744,$N$4:$Y$4)*$K2744*$L2744*$M2744</f>
        <v/>
      </c>
      <c r="AD2744" s="15" t="n">
        <v>9.666666666666666</v>
      </c>
      <c r="AE2744" s="11" t="n">
        <v>1.168173801507135</v>
      </c>
      <c r="AF2744" s="16">
        <f>SUMPRODUCT(N2744:Y2744,$N$5:$Y$5)*$K2744*$L2744*$M2744</f>
        <v/>
      </c>
      <c r="AG2744" s="16">
        <f>SUMPRODUCT(N2744:Y2744,$N$6:$Y$6)*$K2744*$L2744*$M2744</f>
        <v/>
      </c>
      <c r="AH2744" s="20" t="n"/>
    </row>
    <row r="2745">
      <c r="A2745" s="9" t="n">
        <v>676910</v>
      </c>
      <c r="B2745" s="9" t="inlineStr">
        <is>
          <t>Matt Seelinger</t>
        </is>
      </c>
      <c r="C2745" s="9" t="inlineStr">
        <is>
          <t>NYM</t>
        </is>
      </c>
      <c r="D2745" s="9" t="n">
        <v>32</v>
      </c>
      <c r="E2745" s="18" t="inlineStr">
        <is>
          <t>R</t>
        </is>
      </c>
      <c r="F2745" s="18" t="n"/>
      <c r="G2745" s="9" t="n">
        <v>15</v>
      </c>
      <c r="H2745" s="9" t="n">
        <v>15</v>
      </c>
      <c r="I2745" s="9" t="inlineStr">
        <is>
          <t>Depth (no MLB IP)</t>
        </is>
      </c>
      <c r="J2745" s="18" t="inlineStr">
        <is>
          <t>Opening Day</t>
        </is>
      </c>
      <c r="K2745" s="11">
        <f>IFERROR(INDEX(Roles!$B$17:$B$20,MATCH(J2745,Roles!$A$17:$A$20,0)),1)</f>
        <v/>
      </c>
      <c r="L2745" s="19" t="n">
        <v>1</v>
      </c>
      <c r="M2745" s="11" t="n">
        <v>1</v>
      </c>
      <c r="N2745" s="19" t="n"/>
      <c r="O2745" s="19" t="n"/>
      <c r="P2745" s="19" t="n"/>
      <c r="Q2745" s="19" t="n"/>
      <c r="R2745" s="19" t="n"/>
      <c r="S2745" s="19" t="n"/>
      <c r="T2745" s="19" t="n"/>
      <c r="U2745" s="19" t="n"/>
      <c r="V2745" s="19" t="n"/>
      <c r="W2745" s="19" t="n"/>
      <c r="X2745" s="19" t="n"/>
      <c r="Y2745" s="19" t="n">
        <v>1</v>
      </c>
      <c r="Z2745" s="13">
        <f>SUMPRODUCT(N2745:Y2745,$N$2:$Y$2)*$K2745*$L2745*$M2745</f>
        <v/>
      </c>
      <c r="AA2745" s="14">
        <f>SUM(N2745:Y2745)</f>
        <v/>
      </c>
      <c r="AB2745" s="13">
        <f>SUMPRODUCT(N2745:Y2745,$N$3:$Y$3)*$K2745*$L2745*$M2745</f>
        <v/>
      </c>
      <c r="AC2745" s="13">
        <f>SUMPRODUCT(N2745:Y2745,$N$4:$Y$4)*$K2745*$L2745*$M2745</f>
        <v/>
      </c>
      <c r="AD2745" s="15" t="n">
        <v>1.8</v>
      </c>
      <c r="AE2745" s="11" t="n">
        <v>1.340864197530864</v>
      </c>
      <c r="AF2745" s="16">
        <f>SUMPRODUCT(N2745:Y2745,$N$5:$Y$5)*$K2745*$L2745*$M2745</f>
        <v/>
      </c>
      <c r="AG2745" s="16">
        <f>SUMPRODUCT(N2745:Y2745,$N$6:$Y$6)*$K2745*$L2745*$M2745</f>
        <v/>
      </c>
      <c r="AH2745" s="20" t="n"/>
    </row>
    <row r="2746">
      <c r="A2746" s="9" t="n">
        <v>831912</v>
      </c>
      <c r="B2746" s="9" t="inlineStr">
        <is>
          <t>Truman Pauley</t>
        </is>
      </c>
      <c r="C2746" s="9" t="inlineStr">
        <is>
          <t>CWS</t>
        </is>
      </c>
      <c r="D2746" s="9" t="n">
        <v>25</v>
      </c>
      <c r="E2746" s="18" t="inlineStr">
        <is>
          <t>R</t>
        </is>
      </c>
      <c r="F2746" s="18" t="n"/>
      <c r="G2746" s="9" t="n">
        <v>53.492</v>
      </c>
      <c r="H2746" s="9" t="n">
        <v>53.492</v>
      </c>
      <c r="I2746" s="9" t="inlineStr">
        <is>
          <t>Depth (no MLB IP)</t>
        </is>
      </c>
      <c r="J2746" s="18" t="inlineStr">
        <is>
          <t>Opening Day</t>
        </is>
      </c>
      <c r="K2746" s="11">
        <f>IFERROR(INDEX(Roles!$B$17:$B$20,MATCH(J2746,Roles!$A$17:$A$20,0)),1)</f>
        <v/>
      </c>
      <c r="L2746" s="19" t="n">
        <v>1</v>
      </c>
      <c r="M2746" s="11" t="n">
        <v>1</v>
      </c>
      <c r="N2746" s="19" t="n"/>
      <c r="O2746" s="19" t="n"/>
      <c r="P2746" s="19" t="n"/>
      <c r="Q2746" s="19" t="n"/>
      <c r="R2746" s="19" t="n"/>
      <c r="S2746" s="19" t="n"/>
      <c r="T2746" s="19" t="n"/>
      <c r="U2746" s="19" t="n"/>
      <c r="V2746" s="19" t="n"/>
      <c r="W2746" s="19" t="n"/>
      <c r="X2746" s="19" t="n"/>
      <c r="Y2746" s="19" t="n">
        <v>1</v>
      </c>
      <c r="Z2746" s="13">
        <f>SUMPRODUCT(N2746:Y2746,$N$2:$Y$2)*$K2746*$L2746*$M2746</f>
        <v/>
      </c>
      <c r="AA2746" s="14">
        <f>SUM(N2746:Y2746)</f>
        <v/>
      </c>
      <c r="AB2746" s="13">
        <f>SUMPRODUCT(N2746:Y2746,$N$3:$Y$3)*$K2746*$L2746*$M2746</f>
        <v/>
      </c>
      <c r="AC2746" s="13">
        <f>SUMPRODUCT(N2746:Y2746,$N$4:$Y$4)*$K2746*$L2746*$M2746</f>
        <v/>
      </c>
      <c r="AD2746" s="15" t="n">
        <v>3</v>
      </c>
      <c r="AE2746" s="11" t="n">
        <v>1.011296296296296</v>
      </c>
      <c r="AF2746" s="16">
        <f>SUMPRODUCT(N2746:Y2746,$N$5:$Y$5)*$K2746*$L2746*$M2746</f>
        <v/>
      </c>
      <c r="AG2746" s="16">
        <f>SUMPRODUCT(N2746:Y2746,$N$6:$Y$6)*$K2746*$L2746*$M2746</f>
        <v/>
      </c>
      <c r="AH2746" s="20" t="n"/>
    </row>
    <row r="2747">
      <c r="A2747" s="9" t="n">
        <v>682010</v>
      </c>
      <c r="B2747" s="9" t="inlineStr">
        <is>
          <t>Lane Ramsey</t>
        </is>
      </c>
      <c r="C2747" s="9" t="inlineStr">
        <is>
          <t>CWS</t>
        </is>
      </c>
      <c r="D2747" s="9" t="n">
        <v>30</v>
      </c>
      <c r="E2747" s="18" t="inlineStr">
        <is>
          <t>R</t>
        </is>
      </c>
      <c r="F2747" s="18" t="n"/>
      <c r="G2747" s="9" t="n">
        <v>92</v>
      </c>
      <c r="H2747" s="9" t="n">
        <v>92</v>
      </c>
      <c r="I2747" s="9" t="inlineStr">
        <is>
          <t>Depth (no MLB IP)</t>
        </is>
      </c>
      <c r="J2747" s="18" t="inlineStr">
        <is>
          <t>Opening Day</t>
        </is>
      </c>
      <c r="K2747" s="11">
        <f>IFERROR(INDEX(Roles!$B$17:$B$20,MATCH(J2747,Roles!$A$17:$A$20,0)),1)</f>
        <v/>
      </c>
      <c r="L2747" s="19" t="n">
        <v>1</v>
      </c>
      <c r="M2747" s="11" t="n">
        <v>1</v>
      </c>
      <c r="N2747" s="19" t="n"/>
      <c r="O2747" s="19" t="n"/>
      <c r="P2747" s="19" t="n"/>
      <c r="Q2747" s="19" t="n"/>
      <c r="R2747" s="19" t="n"/>
      <c r="S2747" s="19" t="n"/>
      <c r="T2747" s="19" t="n"/>
      <c r="U2747" s="19" t="n"/>
      <c r="V2747" s="19" t="n"/>
      <c r="W2747" s="19" t="n"/>
      <c r="X2747" s="19" t="n"/>
      <c r="Y2747" s="19" t="n">
        <v>1</v>
      </c>
      <c r="Z2747" s="13">
        <f>SUMPRODUCT(N2747:Y2747,$N$2:$Y$2)*$K2747*$L2747*$M2747</f>
        <v/>
      </c>
      <c r="AA2747" s="14">
        <f>SUM(N2747:Y2747)</f>
        <v/>
      </c>
      <c r="AB2747" s="13">
        <f>SUMPRODUCT(N2747:Y2747,$N$3:$Y$3)*$K2747*$L2747*$M2747</f>
        <v/>
      </c>
      <c r="AC2747" s="13">
        <f>SUMPRODUCT(N2747:Y2747,$N$4:$Y$4)*$K2747*$L2747*$M2747</f>
        <v/>
      </c>
      <c r="AD2747" s="15" t="n">
        <v>3</v>
      </c>
      <c r="AE2747" s="11" t="n">
        <v>1.011296296296296</v>
      </c>
      <c r="AF2747" s="16">
        <f>SUMPRODUCT(N2747:Y2747,$N$5:$Y$5)*$K2747*$L2747*$M2747</f>
        <v/>
      </c>
      <c r="AG2747" s="16">
        <f>SUMPRODUCT(N2747:Y2747,$N$6:$Y$6)*$K2747*$L2747*$M2747</f>
        <v/>
      </c>
      <c r="AH2747" s="20" t="n"/>
    </row>
    <row r="2748">
      <c r="A2748" s="9" t="n">
        <v>689450</v>
      </c>
      <c r="B2748" s="9" t="inlineStr">
        <is>
          <t>Luke Taggart</t>
        </is>
      </c>
      <c r="C2748" s="9" t="inlineStr">
        <is>
          <t>DET</t>
        </is>
      </c>
      <c r="D2748" s="9" t="n">
        <v>25</v>
      </c>
      <c r="E2748" s="18" t="inlineStr">
        <is>
          <t>R</t>
        </is>
      </c>
      <c r="F2748" s="18" t="n"/>
      <c r="G2748" s="9" t="n">
        <v>53.60666666666667</v>
      </c>
      <c r="H2748" s="9" t="n">
        <v>53.60666666666667</v>
      </c>
      <c r="I2748" s="9" t="inlineStr">
        <is>
          <t>Depth (no MLB IP)</t>
        </is>
      </c>
      <c r="J2748" s="18" t="inlineStr">
        <is>
          <t>Opening Day</t>
        </is>
      </c>
      <c r="K2748" s="11">
        <f>IFERROR(INDEX(Roles!$B$17:$B$20,MATCH(J2748,Roles!$A$17:$A$20,0)),1)</f>
        <v/>
      </c>
      <c r="L2748" s="19" t="n">
        <v>1</v>
      </c>
      <c r="M2748" s="11" t="n">
        <v>1</v>
      </c>
      <c r="N2748" s="19" t="n"/>
      <c r="O2748" s="19" t="n"/>
      <c r="P2748" s="19" t="n"/>
      <c r="Q2748" s="19" t="n"/>
      <c r="R2748" s="19" t="n"/>
      <c r="S2748" s="19" t="n"/>
      <c r="T2748" s="19" t="n"/>
      <c r="U2748" s="19" t="n"/>
      <c r="V2748" s="19" t="n"/>
      <c r="W2748" s="19" t="n"/>
      <c r="X2748" s="19" t="n"/>
      <c r="Y2748" s="19" t="n">
        <v>1</v>
      </c>
      <c r="Z2748" s="13">
        <f>SUMPRODUCT(N2748:Y2748,$N$2:$Y$2)*$K2748*$L2748*$M2748</f>
        <v/>
      </c>
      <c r="AA2748" s="14">
        <f>SUM(N2748:Y2748)</f>
        <v/>
      </c>
      <c r="AB2748" s="13">
        <f>SUMPRODUCT(N2748:Y2748,$N$3:$Y$3)*$K2748*$L2748*$M2748</f>
        <v/>
      </c>
      <c r="AC2748" s="13">
        <f>SUMPRODUCT(N2748:Y2748,$N$4:$Y$4)*$K2748*$L2748*$M2748</f>
        <v/>
      </c>
      <c r="AD2748" s="15" t="n">
        <v>3</v>
      </c>
      <c r="AE2748" s="11" t="n">
        <v>1.011296296296296</v>
      </c>
      <c r="AF2748" s="16">
        <f>SUMPRODUCT(N2748:Y2748,$N$5:$Y$5)*$K2748*$L2748*$M2748</f>
        <v/>
      </c>
      <c r="AG2748" s="16">
        <f>SUMPRODUCT(N2748:Y2748,$N$6:$Y$6)*$K2748*$L2748*$M2748</f>
        <v/>
      </c>
      <c r="AH2748" s="20" t="n"/>
    </row>
    <row r="2749">
      <c r="A2749" s="9" t="n">
        <v>676701</v>
      </c>
      <c r="B2749" s="9" t="inlineStr">
        <is>
          <t>Alan Trejo</t>
        </is>
      </c>
      <c r="C2749" s="9" t="inlineStr">
        <is>
          <t>COL</t>
        </is>
      </c>
      <c r="D2749" s="9" t="n">
        <v>31</v>
      </c>
      <c r="E2749" s="18" t="inlineStr">
        <is>
          <t>R</t>
        </is>
      </c>
      <c r="F2749" s="18" t="n"/>
      <c r="G2749" s="9" t="n">
        <v>3</v>
      </c>
      <c r="H2749" s="9" t="n">
        <v>13</v>
      </c>
      <c r="I2749" s="9" t="inlineStr">
        <is>
          <t>Depth (no MLB IP)</t>
        </is>
      </c>
      <c r="J2749" s="18" t="inlineStr">
        <is>
          <t>Opening Day</t>
        </is>
      </c>
      <c r="K2749" s="11">
        <f>IFERROR(INDEX(Roles!$B$17:$B$20,MATCH(J2749,Roles!$A$17:$A$20,0)),1)</f>
        <v/>
      </c>
      <c r="L2749" s="19" t="n">
        <v>1</v>
      </c>
      <c r="M2749" s="11" t="n">
        <v>1</v>
      </c>
      <c r="N2749" s="19" t="n"/>
      <c r="O2749" s="19" t="n"/>
      <c r="P2749" s="19" t="n"/>
      <c r="Q2749" s="19" t="n"/>
      <c r="R2749" s="19" t="n"/>
      <c r="S2749" s="19" t="n"/>
      <c r="T2749" s="19" t="n"/>
      <c r="U2749" s="19" t="n"/>
      <c r="V2749" s="19" t="n"/>
      <c r="W2749" s="19" t="n"/>
      <c r="X2749" s="19" t="n"/>
      <c r="Y2749" s="19" t="n">
        <v>1</v>
      </c>
      <c r="Z2749" s="13">
        <f>SUMPRODUCT(N2749:Y2749,$N$2:$Y$2)*$K2749*$L2749*$M2749</f>
        <v/>
      </c>
      <c r="AA2749" s="14">
        <f>SUM(N2749:Y2749)</f>
        <v/>
      </c>
      <c r="AB2749" s="13">
        <f>SUMPRODUCT(N2749:Y2749,$N$3:$Y$3)*$K2749*$L2749*$M2749</f>
        <v/>
      </c>
      <c r="AC2749" s="13">
        <f>SUMPRODUCT(N2749:Y2749,$N$4:$Y$4)*$K2749*$L2749*$M2749</f>
        <v/>
      </c>
      <c r="AD2749" s="15" t="n">
        <v>1.8</v>
      </c>
      <c r="AE2749" s="11" t="n">
        <v>1.007530864197531</v>
      </c>
      <c r="AF2749" s="16">
        <f>SUMPRODUCT(N2749:Y2749,$N$5:$Y$5)*$K2749*$L2749*$M2749</f>
        <v/>
      </c>
      <c r="AG2749" s="16">
        <f>SUMPRODUCT(N2749:Y2749,$N$6:$Y$6)*$K2749*$L2749*$M2749</f>
        <v/>
      </c>
      <c r="AH2749" s="20" t="n"/>
    </row>
    <row r="2750">
      <c r="A2750" s="9" t="n">
        <v>669713</v>
      </c>
      <c r="B2750" s="9" t="inlineStr">
        <is>
          <t>Hayden Wesneski</t>
        </is>
      </c>
      <c r="C2750" s="9" t="inlineStr">
        <is>
          <t>HOU</t>
        </is>
      </c>
      <c r="D2750" s="9" t="n">
        <v>29</v>
      </c>
      <c r="E2750" s="18" t="inlineStr">
        <is>
          <t>R</t>
        </is>
      </c>
      <c r="F2750" s="18" t="n"/>
      <c r="G2750" s="9" t="n">
        <v>246</v>
      </c>
      <c r="H2750" s="9" t="n">
        <v>1171</v>
      </c>
      <c r="I2750" s="9" t="inlineStr">
        <is>
          <t>Mid-Rotation Starter (SP2-3)</t>
        </is>
      </c>
      <c r="J2750" s="18" t="inlineStr">
        <is>
          <t>Opening Day</t>
        </is>
      </c>
      <c r="K2750" s="11">
        <f>IFERROR(INDEX(Roles!$B$17:$B$20,MATCH(J2750,Roles!$A$17:$A$20,0)),1)</f>
        <v/>
      </c>
      <c r="L2750" s="19" t="n">
        <v>1</v>
      </c>
      <c r="M2750" s="11" t="n">
        <v>1</v>
      </c>
      <c r="N2750" s="19" t="n"/>
      <c r="O2750" s="19" t="n">
        <v>0.5</v>
      </c>
      <c r="P2750" s="19" t="n">
        <v>0.5</v>
      </c>
      <c r="Q2750" s="19" t="n"/>
      <c r="R2750" s="19" t="n"/>
      <c r="S2750" s="19" t="n"/>
      <c r="T2750" s="19" t="n"/>
      <c r="U2750" s="19" t="n"/>
      <c r="V2750" s="19" t="n"/>
      <c r="W2750" s="19" t="n"/>
      <c r="X2750" s="19" t="n"/>
      <c r="Y2750" s="19" t="n"/>
      <c r="Z2750" s="13">
        <f>SUMPRODUCT(N2750:Y2750,$N$2:$Y$2)*$K2750*$L2750*$M2750</f>
        <v/>
      </c>
      <c r="AA2750" s="14">
        <f>SUM(N2750:Y2750)</f>
        <v/>
      </c>
      <c r="AB2750" s="13">
        <f>SUMPRODUCT(N2750:Y2750,$N$3:$Y$3)*$K2750*$L2750*$M2750</f>
        <v/>
      </c>
      <c r="AC2750" s="13">
        <f>SUMPRODUCT(N2750:Y2750,$N$4:$Y$4)*$K2750*$L2750*$M2750</f>
        <v/>
      </c>
      <c r="AD2750" s="15" t="n">
        <v>17.7</v>
      </c>
      <c r="AE2750" s="11" t="n">
        <v>4.906368144547553</v>
      </c>
      <c r="AF2750" s="16">
        <f>SUMPRODUCT(N2750:Y2750,$N$5:$Y$5)*$K2750*$L2750*$M2750</f>
        <v/>
      </c>
      <c r="AG2750" s="16">
        <f>SUMPRODUCT(N2750:Y2750,$N$6:$Y$6)*$K2750*$L2750*$M2750</f>
        <v/>
      </c>
      <c r="AH2750" s="20" t="n"/>
    </row>
    <row r="2751">
      <c r="A2751" s="9" t="n">
        <v>594943</v>
      </c>
      <c r="B2751" s="9" t="inlineStr">
        <is>
          <t>Zach Neal</t>
        </is>
      </c>
      <c r="C2751" s="9" t="inlineStr">
        <is>
          <t>OAK</t>
        </is>
      </c>
      <c r="D2751" s="9" t="n">
        <v>38</v>
      </c>
      <c r="E2751" s="18" t="inlineStr">
        <is>
          <t>R</t>
        </is>
      </c>
      <c r="F2751" s="18" t="n"/>
      <c r="G2751" s="9" t="n">
        <v>124</v>
      </c>
      <c r="H2751" s="9" t="n">
        <v>124</v>
      </c>
      <c r="I2751" s="9" t="inlineStr">
        <is>
          <t>Depth (no MLB IP)</t>
        </is>
      </c>
      <c r="J2751" s="18" t="inlineStr">
        <is>
          <t>Opening Day</t>
        </is>
      </c>
      <c r="K2751" s="11">
        <f>IFERROR(INDEX(Roles!$B$17:$B$20,MATCH(J2751,Roles!$A$17:$A$20,0)),1)</f>
        <v/>
      </c>
      <c r="L2751" s="19" t="n">
        <v>1</v>
      </c>
      <c r="M2751" s="11" t="n">
        <v>1</v>
      </c>
      <c r="N2751" s="19" t="n"/>
      <c r="O2751" s="19" t="n"/>
      <c r="P2751" s="19" t="n"/>
      <c r="Q2751" s="19" t="n"/>
      <c r="R2751" s="19" t="n"/>
      <c r="S2751" s="19" t="n"/>
      <c r="T2751" s="19" t="n"/>
      <c r="U2751" s="19" t="n"/>
      <c r="V2751" s="19" t="n"/>
      <c r="W2751" s="19" t="n"/>
      <c r="X2751" s="19" t="n"/>
      <c r="Y2751" s="19" t="n">
        <v>1</v>
      </c>
      <c r="Z2751" s="13">
        <f>SUMPRODUCT(N2751:Y2751,$N$2:$Y$2)*$K2751*$L2751*$M2751</f>
        <v/>
      </c>
      <c r="AA2751" s="14">
        <f>SUM(N2751:Y2751)</f>
        <v/>
      </c>
      <c r="AB2751" s="13">
        <f>SUMPRODUCT(N2751:Y2751,$N$3:$Y$3)*$K2751*$L2751*$M2751</f>
        <v/>
      </c>
      <c r="AC2751" s="13">
        <f>SUMPRODUCT(N2751:Y2751,$N$4:$Y$4)*$K2751*$L2751*$M2751</f>
        <v/>
      </c>
      <c r="AD2751" s="15" t="n">
        <v>3</v>
      </c>
      <c r="AE2751" s="11" t="n">
        <v>1.011296296296296</v>
      </c>
      <c r="AF2751" s="16">
        <f>SUMPRODUCT(N2751:Y2751,$N$5:$Y$5)*$K2751*$L2751*$M2751</f>
        <v/>
      </c>
      <c r="AG2751" s="16">
        <f>SUMPRODUCT(N2751:Y2751,$N$6:$Y$6)*$K2751*$L2751*$M2751</f>
        <v/>
      </c>
      <c r="AH2751" s="20" t="n"/>
    </row>
    <row r="2752">
      <c r="A2752" s="9" t="n">
        <v>663546</v>
      </c>
      <c r="B2752" s="9" t="inlineStr">
        <is>
          <t>Sean Hjelle</t>
        </is>
      </c>
      <c r="C2752" s="9" t="inlineStr">
        <is>
          <t>SF</t>
        </is>
      </c>
      <c r="D2752" s="9" t="n">
        <v>30</v>
      </c>
      <c r="E2752" s="18" t="inlineStr">
        <is>
          <t>R</t>
        </is>
      </c>
      <c r="F2752" s="18" t="n"/>
      <c r="G2752" s="9" t="n">
        <v>73</v>
      </c>
      <c r="H2752" s="9" t="n">
        <v>664</v>
      </c>
      <c r="I2752" s="9" t="inlineStr">
        <is>
          <t>Bullpen Depth Arm</t>
        </is>
      </c>
      <c r="J2752" s="18" t="inlineStr">
        <is>
          <t>Opening Day</t>
        </is>
      </c>
      <c r="K2752" s="11">
        <f>IFERROR(INDEX(Roles!$B$17:$B$20,MATCH(J2752,Roles!$A$17:$A$20,0)),1)</f>
        <v/>
      </c>
      <c r="L2752" s="19" t="n">
        <v>1</v>
      </c>
      <c r="M2752" s="11" t="n">
        <v>1</v>
      </c>
      <c r="N2752" s="19" t="n"/>
      <c r="O2752" s="19" t="n"/>
      <c r="P2752" s="19" t="n"/>
      <c r="Q2752" s="19" t="n"/>
      <c r="R2752" s="19" t="n"/>
      <c r="S2752" s="19" t="n"/>
      <c r="T2752" s="19" t="n"/>
      <c r="U2752" s="19" t="n"/>
      <c r="V2752" s="19" t="n"/>
      <c r="W2752" s="19" t="n">
        <v>1</v>
      </c>
      <c r="X2752" s="19" t="n"/>
      <c r="Y2752" s="19" t="n"/>
      <c r="Z2752" s="13">
        <f>SUMPRODUCT(N2752:Y2752,$N$2:$Y$2)*$K2752*$L2752*$M2752</f>
        <v/>
      </c>
      <c r="AA2752" s="14">
        <f>SUM(N2752:Y2752)</f>
        <v/>
      </c>
      <c r="AB2752" s="13">
        <f>SUMPRODUCT(N2752:Y2752,$N$3:$Y$3)*$K2752*$L2752*$M2752</f>
        <v/>
      </c>
      <c r="AC2752" s="13">
        <f>SUMPRODUCT(N2752:Y2752,$N$4:$Y$4)*$K2752*$L2752*$M2752</f>
        <v/>
      </c>
      <c r="AD2752" s="15" t="n">
        <v>22.06666666666666</v>
      </c>
      <c r="AE2752" s="11" t="n">
        <v>1.251371633485454</v>
      </c>
      <c r="AF2752" s="16">
        <f>SUMPRODUCT(N2752:Y2752,$N$5:$Y$5)*$K2752*$L2752*$M2752</f>
        <v/>
      </c>
      <c r="AG2752" s="16">
        <f>SUMPRODUCT(N2752:Y2752,$N$6:$Y$6)*$K2752*$L2752*$M2752</f>
        <v/>
      </c>
      <c r="AH2752" s="20" t="n"/>
    </row>
    <row r="2753">
      <c r="A2753" s="9" t="n">
        <v>643338</v>
      </c>
      <c r="B2753" s="9" t="inlineStr">
        <is>
          <t>Chad Green</t>
        </is>
      </c>
      <c r="C2753" s="9" t="inlineStr">
        <is>
          <t>TOR</t>
        </is>
      </c>
      <c r="D2753" s="9" t="n">
        <v>36</v>
      </c>
      <c r="E2753" s="18" t="inlineStr">
        <is>
          <t>R</t>
        </is>
      </c>
      <c r="F2753" s="18" t="n"/>
      <c r="G2753" s="9" t="n">
        <v>190</v>
      </c>
      <c r="H2753" s="9" t="n">
        <v>514</v>
      </c>
      <c r="I2753" s="9" t="inlineStr">
        <is>
          <t>Bullpen Depth Arm</t>
        </is>
      </c>
      <c r="J2753" s="18" t="inlineStr">
        <is>
          <t>Opening Day</t>
        </is>
      </c>
      <c r="K2753" s="11">
        <f>IFERROR(INDEX(Roles!$B$17:$B$20,MATCH(J2753,Roles!$A$17:$A$20,0)),1)</f>
        <v/>
      </c>
      <c r="L2753" s="19" t="n">
        <v>1</v>
      </c>
      <c r="M2753" s="11" t="n">
        <v>1</v>
      </c>
      <c r="N2753" s="19" t="n"/>
      <c r="O2753" s="19" t="n"/>
      <c r="P2753" s="19" t="n"/>
      <c r="Q2753" s="19" t="n"/>
      <c r="R2753" s="19" t="n"/>
      <c r="S2753" s="19" t="n"/>
      <c r="T2753" s="19" t="n"/>
      <c r="U2753" s="19" t="n"/>
      <c r="V2753" s="19" t="n"/>
      <c r="W2753" s="19" t="n">
        <v>1</v>
      </c>
      <c r="X2753" s="19" t="n"/>
      <c r="Y2753" s="19" t="n"/>
      <c r="Z2753" s="13">
        <f>SUMPRODUCT(N2753:Y2753,$N$2:$Y$2)*$K2753*$L2753*$M2753</f>
        <v/>
      </c>
      <c r="AA2753" s="14">
        <f>SUM(N2753:Y2753)</f>
        <v/>
      </c>
      <c r="AB2753" s="13">
        <f>SUMPRODUCT(N2753:Y2753,$N$3:$Y$3)*$K2753*$L2753*$M2753</f>
        <v/>
      </c>
      <c r="AC2753" s="13">
        <f>SUMPRODUCT(N2753:Y2753,$N$4:$Y$4)*$K2753*$L2753*$M2753</f>
        <v/>
      </c>
      <c r="AD2753" s="15" t="n">
        <v>34.26666666666667</v>
      </c>
      <c r="AE2753" s="11" t="n">
        <v>1.129401462734796</v>
      </c>
      <c r="AF2753" s="16">
        <f>SUMPRODUCT(N2753:Y2753,$N$5:$Y$5)*$K2753*$L2753*$M2753</f>
        <v/>
      </c>
      <c r="AG2753" s="16">
        <f>SUMPRODUCT(N2753:Y2753,$N$6:$Y$6)*$K2753*$L2753*$M2753</f>
        <v/>
      </c>
      <c r="AH2753" s="20" t="n"/>
    </row>
    <row r="2754">
      <c r="A2754" s="9" t="n">
        <v>836087</v>
      </c>
      <c r="B2754" s="9" t="inlineStr">
        <is>
          <t>Ethan Cole</t>
        </is>
      </c>
      <c r="C2754" s="9" t="inlineStr">
        <is>
          <t>COL</t>
        </is>
      </c>
      <c r="D2754" s="9" t="n">
        <v>25</v>
      </c>
      <c r="E2754" s="18" t="inlineStr">
        <is>
          <t>L</t>
        </is>
      </c>
      <c r="F2754" s="18" t="n"/>
      <c r="G2754" s="9" t="n">
        <v>53.83599999999999</v>
      </c>
      <c r="H2754" s="9" t="n">
        <v>53.83599999999999</v>
      </c>
      <c r="I2754" s="9" t="inlineStr">
        <is>
          <t>Depth (no MLB IP)</t>
        </is>
      </c>
      <c r="J2754" s="18" t="inlineStr">
        <is>
          <t>Opening Day</t>
        </is>
      </c>
      <c r="K2754" s="11">
        <f>IFERROR(INDEX(Roles!$B$17:$B$20,MATCH(J2754,Roles!$A$17:$A$20,0)),1)</f>
        <v/>
      </c>
      <c r="L2754" s="19" t="n">
        <v>1</v>
      </c>
      <c r="M2754" s="11" t="n">
        <v>1</v>
      </c>
      <c r="N2754" s="19" t="n"/>
      <c r="O2754" s="19" t="n"/>
      <c r="P2754" s="19" t="n"/>
      <c r="Q2754" s="19" t="n"/>
      <c r="R2754" s="19" t="n"/>
      <c r="S2754" s="19" t="n"/>
      <c r="T2754" s="19" t="n"/>
      <c r="U2754" s="19" t="n"/>
      <c r="V2754" s="19" t="n"/>
      <c r="W2754" s="19" t="n"/>
      <c r="X2754" s="19" t="n"/>
      <c r="Y2754" s="19" t="n">
        <v>1</v>
      </c>
      <c r="Z2754" s="13">
        <f>SUMPRODUCT(N2754:Y2754,$N$2:$Y$2)*$K2754*$L2754*$M2754</f>
        <v/>
      </c>
      <c r="AA2754" s="14">
        <f>SUM(N2754:Y2754)</f>
        <v/>
      </c>
      <c r="AB2754" s="13">
        <f>SUMPRODUCT(N2754:Y2754,$N$3:$Y$3)*$K2754*$L2754*$M2754</f>
        <v/>
      </c>
      <c r="AC2754" s="13">
        <f>SUMPRODUCT(N2754:Y2754,$N$4:$Y$4)*$K2754*$L2754*$M2754</f>
        <v/>
      </c>
      <c r="AD2754" s="15" t="n">
        <v>3</v>
      </c>
      <c r="AE2754" s="11" t="n">
        <v>1.011296296296296</v>
      </c>
      <c r="AF2754" s="16">
        <f>SUMPRODUCT(N2754:Y2754,$N$5:$Y$5)*$K2754*$L2754*$M2754</f>
        <v/>
      </c>
      <c r="AG2754" s="16">
        <f>SUMPRODUCT(N2754:Y2754,$N$6:$Y$6)*$K2754*$L2754*$M2754</f>
        <v/>
      </c>
      <c r="AH2754" s="20" t="n"/>
    </row>
    <row r="2755">
      <c r="A2755" s="9" t="n">
        <v>606996</v>
      </c>
      <c r="B2755" s="9" t="inlineStr">
        <is>
          <t>Kyle Hart</t>
        </is>
      </c>
      <c r="C2755" s="9" t="inlineStr">
        <is>
          <t>SD</t>
        </is>
      </c>
      <c r="D2755" s="9" t="n">
        <v>34</v>
      </c>
      <c r="E2755" s="18" t="inlineStr">
        <is>
          <t>L</t>
        </is>
      </c>
      <c r="F2755" s="18" t="n"/>
      <c r="G2755" s="9" t="n">
        <v>268</v>
      </c>
      <c r="H2755" s="9" t="n">
        <v>447</v>
      </c>
      <c r="I2755" s="9" t="inlineStr">
        <is>
          <t>Middle Relief</t>
        </is>
      </c>
      <c r="J2755" s="18" t="inlineStr">
        <is>
          <t>Opening Day</t>
        </is>
      </c>
      <c r="K2755" s="11">
        <f>IFERROR(INDEX(Roles!$B$17:$B$20,MATCH(J2755,Roles!$A$17:$A$20,0)),1)</f>
        <v/>
      </c>
      <c r="L2755" s="19" t="n">
        <v>1</v>
      </c>
      <c r="M2755" s="11" t="n">
        <v>1</v>
      </c>
      <c r="N2755" s="19" t="n"/>
      <c r="O2755" s="19" t="n"/>
      <c r="P2755" s="19" t="n"/>
      <c r="Q2755" s="19" t="n"/>
      <c r="R2755" s="19" t="n"/>
      <c r="S2755" s="19" t="n"/>
      <c r="T2755" s="19" t="n"/>
      <c r="U2755" s="19" t="n"/>
      <c r="V2755" s="19" t="n">
        <v>0.8</v>
      </c>
      <c r="W2755" s="19" t="n">
        <v>0.2</v>
      </c>
      <c r="X2755" s="19" t="n"/>
      <c r="Y2755" s="19" t="n"/>
      <c r="Z2755" s="13">
        <f>SUMPRODUCT(N2755:Y2755,$N$2:$Y$2)*$K2755*$L2755*$M2755</f>
        <v/>
      </c>
      <c r="AA2755" s="14">
        <f>SUM(N2755:Y2755)</f>
        <v/>
      </c>
      <c r="AB2755" s="13">
        <f>SUMPRODUCT(N2755:Y2755,$N$3:$Y$3)*$K2755*$L2755*$M2755</f>
        <v/>
      </c>
      <c r="AC2755" s="13">
        <f>SUMPRODUCT(N2755:Y2755,$N$4:$Y$4)*$K2755*$L2755*$M2755</f>
        <v/>
      </c>
      <c r="AD2755" s="15" t="n">
        <v>36.09333333333333</v>
      </c>
      <c r="AE2755" s="11" t="n">
        <v>1.209743015711744</v>
      </c>
      <c r="AF2755" s="16">
        <f>SUMPRODUCT(N2755:Y2755,$N$5:$Y$5)*$K2755*$L2755*$M2755</f>
        <v/>
      </c>
      <c r="AG2755" s="16">
        <f>SUMPRODUCT(N2755:Y2755,$N$6:$Y$6)*$K2755*$L2755*$M2755</f>
        <v/>
      </c>
      <c r="AH2755" s="20" t="n"/>
    </row>
    <row r="2756">
      <c r="A2756" s="9" t="n">
        <v>694633</v>
      </c>
      <c r="B2756" s="9" t="inlineStr">
        <is>
          <t>Chase Hampton</t>
        </is>
      </c>
      <c r="C2756" s="9" t="inlineStr">
        <is>
          <t>NYY</t>
        </is>
      </c>
      <c r="D2756" s="9" t="n">
        <v>25</v>
      </c>
      <c r="E2756" s="18" t="inlineStr">
        <is>
          <t>R</t>
        </is>
      </c>
      <c r="F2756" s="18" t="n"/>
      <c r="G2756" s="9" t="n">
        <v>53.67833333333332</v>
      </c>
      <c r="H2756" s="9" t="n">
        <v>53.67833333333332</v>
      </c>
      <c r="I2756" s="9" t="inlineStr">
        <is>
          <t>Depth (no MLB IP)</t>
        </is>
      </c>
      <c r="J2756" s="18" t="inlineStr">
        <is>
          <t>Opening Day</t>
        </is>
      </c>
      <c r="K2756" s="11">
        <f>IFERROR(INDEX(Roles!$B$17:$B$20,MATCH(J2756,Roles!$A$17:$A$20,0)),1)</f>
        <v/>
      </c>
      <c r="L2756" s="19" t="n">
        <v>1</v>
      </c>
      <c r="M2756" s="11" t="n">
        <v>1</v>
      </c>
      <c r="N2756" s="19" t="n"/>
      <c r="O2756" s="19" t="n"/>
      <c r="P2756" s="19" t="n"/>
      <c r="Q2756" s="19" t="n"/>
      <c r="R2756" s="19" t="n"/>
      <c r="S2756" s="19" t="n"/>
      <c r="T2756" s="19" t="n"/>
      <c r="U2756" s="19" t="n"/>
      <c r="V2756" s="19" t="n"/>
      <c r="W2756" s="19" t="n"/>
      <c r="X2756" s="19" t="n"/>
      <c r="Y2756" s="19" t="n">
        <v>1</v>
      </c>
      <c r="Z2756" s="13">
        <f>SUMPRODUCT(N2756:Y2756,$N$2:$Y$2)*$K2756*$L2756*$M2756</f>
        <v/>
      </c>
      <c r="AA2756" s="14">
        <f>SUM(N2756:Y2756)</f>
        <v/>
      </c>
      <c r="AB2756" s="13">
        <f>SUMPRODUCT(N2756:Y2756,$N$3:$Y$3)*$K2756*$L2756*$M2756</f>
        <v/>
      </c>
      <c r="AC2756" s="13">
        <f>SUMPRODUCT(N2756:Y2756,$N$4:$Y$4)*$K2756*$L2756*$M2756</f>
        <v/>
      </c>
      <c r="AD2756" s="15" t="n">
        <v>3</v>
      </c>
      <c r="AE2756" s="11" t="n">
        <v>1.011296296296296</v>
      </c>
      <c r="AF2756" s="16">
        <f>SUMPRODUCT(N2756:Y2756,$N$5:$Y$5)*$K2756*$L2756*$M2756</f>
        <v/>
      </c>
      <c r="AG2756" s="16">
        <f>SUMPRODUCT(N2756:Y2756,$N$6:$Y$6)*$K2756*$L2756*$M2756</f>
        <v/>
      </c>
      <c r="AH2756" s="20" t="n"/>
    </row>
    <row r="2757">
      <c r="A2757" s="9" t="n">
        <v>692401</v>
      </c>
      <c r="B2757" s="9" t="inlineStr">
        <is>
          <t>Gerardo Salas</t>
        </is>
      </c>
      <c r="C2757" s="9" t="inlineStr">
        <is>
          <t>STL</t>
        </is>
      </c>
      <c r="D2757" s="9" t="n">
        <v>25</v>
      </c>
      <c r="E2757" s="18" t="inlineStr">
        <is>
          <t>R</t>
        </is>
      </c>
      <c r="F2757" s="18" t="n"/>
      <c r="G2757" s="9" t="n">
        <v>53.89333333333333</v>
      </c>
      <c r="H2757" s="9" t="n">
        <v>53.89333333333333</v>
      </c>
      <c r="I2757" s="9" t="inlineStr">
        <is>
          <t>Depth (no MLB IP)</t>
        </is>
      </c>
      <c r="J2757" s="18" t="inlineStr">
        <is>
          <t>Opening Day</t>
        </is>
      </c>
      <c r="K2757" s="11">
        <f>IFERROR(INDEX(Roles!$B$17:$B$20,MATCH(J2757,Roles!$A$17:$A$20,0)),1)</f>
        <v/>
      </c>
      <c r="L2757" s="19" t="n">
        <v>1</v>
      </c>
      <c r="M2757" s="11" t="n">
        <v>1</v>
      </c>
      <c r="N2757" s="19" t="n"/>
      <c r="O2757" s="19" t="n"/>
      <c r="P2757" s="19" t="n"/>
      <c r="Q2757" s="19" t="n"/>
      <c r="R2757" s="19" t="n"/>
      <c r="S2757" s="19" t="n"/>
      <c r="T2757" s="19" t="n"/>
      <c r="U2757" s="19" t="n"/>
      <c r="V2757" s="19" t="n"/>
      <c r="W2757" s="19" t="n"/>
      <c r="X2757" s="19" t="n"/>
      <c r="Y2757" s="19" t="n">
        <v>1</v>
      </c>
      <c r="Z2757" s="13">
        <f>SUMPRODUCT(N2757:Y2757,$N$2:$Y$2)*$K2757*$L2757*$M2757</f>
        <v/>
      </c>
      <c r="AA2757" s="14">
        <f>SUM(N2757:Y2757)</f>
        <v/>
      </c>
      <c r="AB2757" s="13">
        <f>SUMPRODUCT(N2757:Y2757,$N$3:$Y$3)*$K2757*$L2757*$M2757</f>
        <v/>
      </c>
      <c r="AC2757" s="13">
        <f>SUMPRODUCT(N2757:Y2757,$N$4:$Y$4)*$K2757*$L2757*$M2757</f>
        <v/>
      </c>
      <c r="AD2757" s="15" t="n">
        <v>3</v>
      </c>
      <c r="AE2757" s="11" t="n">
        <v>1.011296296296296</v>
      </c>
      <c r="AF2757" s="16">
        <f>SUMPRODUCT(N2757:Y2757,$N$5:$Y$5)*$K2757*$L2757*$M2757</f>
        <v/>
      </c>
      <c r="AG2757" s="16">
        <f>SUMPRODUCT(N2757:Y2757,$N$6:$Y$6)*$K2757*$L2757*$M2757</f>
        <v/>
      </c>
      <c r="AH2757" s="20" t="n"/>
    </row>
    <row r="2758">
      <c r="A2758" s="9" t="n">
        <v>650895</v>
      </c>
      <c r="B2758" s="9" t="inlineStr">
        <is>
          <t>Diego Castillo</t>
        </is>
      </c>
      <c r="C2758" s="9" t="inlineStr">
        <is>
          <t>MIN</t>
        </is>
      </c>
      <c r="D2758" s="9" t="n">
        <v>33</v>
      </c>
      <c r="E2758" s="18" t="inlineStr">
        <is>
          <t>R</t>
        </is>
      </c>
      <c r="F2758" s="18" t="n"/>
      <c r="G2758" s="9" t="n">
        <v>43</v>
      </c>
      <c r="H2758" s="9" t="n">
        <v>306</v>
      </c>
      <c r="I2758" s="9" t="inlineStr">
        <is>
          <t>Depth (no MLB IP)</t>
        </is>
      </c>
      <c r="J2758" s="18" t="inlineStr">
        <is>
          <t>Opening Day</t>
        </is>
      </c>
      <c r="K2758" s="11">
        <f>IFERROR(INDEX(Roles!$B$17:$B$20,MATCH(J2758,Roles!$A$17:$A$20,0)),1)</f>
        <v/>
      </c>
      <c r="L2758" s="19" t="n">
        <v>1</v>
      </c>
      <c r="M2758" s="11" t="n">
        <v>1</v>
      </c>
      <c r="N2758" s="19" t="n"/>
      <c r="O2758" s="19" t="n"/>
      <c r="P2758" s="19" t="n"/>
      <c r="Q2758" s="19" t="n"/>
      <c r="R2758" s="19" t="n"/>
      <c r="S2758" s="19" t="n"/>
      <c r="T2758" s="19" t="n"/>
      <c r="U2758" s="19" t="n"/>
      <c r="V2758" s="19" t="n"/>
      <c r="W2758" s="19" t="n"/>
      <c r="X2758" s="19" t="n"/>
      <c r="Y2758" s="19" t="n">
        <v>1</v>
      </c>
      <c r="Z2758" s="13">
        <f>SUMPRODUCT(N2758:Y2758,$N$2:$Y$2)*$K2758*$L2758*$M2758</f>
        <v/>
      </c>
      <c r="AA2758" s="14">
        <f>SUM(N2758:Y2758)</f>
        <v/>
      </c>
      <c r="AB2758" s="13">
        <f>SUMPRODUCT(N2758:Y2758,$N$3:$Y$3)*$K2758*$L2758*$M2758</f>
        <v/>
      </c>
      <c r="AC2758" s="13">
        <f>SUMPRODUCT(N2758:Y2758,$N$4:$Y$4)*$K2758*$L2758*$M2758</f>
        <v/>
      </c>
      <c r="AD2758" s="15" t="n">
        <v>5.4</v>
      </c>
      <c r="AE2758" s="11" t="n">
        <v>1.150388007054674</v>
      </c>
      <c r="AF2758" s="16">
        <f>SUMPRODUCT(N2758:Y2758,$N$5:$Y$5)*$K2758*$L2758*$M2758</f>
        <v/>
      </c>
      <c r="AG2758" s="16">
        <f>SUMPRODUCT(N2758:Y2758,$N$6:$Y$6)*$K2758*$L2758*$M2758</f>
        <v/>
      </c>
      <c r="AH2758" s="20" t="n"/>
    </row>
    <row r="2759">
      <c r="A2759" s="9" t="n">
        <v>664774</v>
      </c>
      <c r="B2759" s="9" t="inlineStr">
        <is>
          <t>LaMonte Wade Jr.</t>
        </is>
      </c>
      <c r="C2759" s="9" t="inlineStr">
        <is>
          <t>HOU</t>
        </is>
      </c>
      <c r="D2759" s="9" t="n">
        <v>33</v>
      </c>
      <c r="E2759" s="18" t="inlineStr">
        <is>
          <t>L</t>
        </is>
      </c>
      <c r="F2759" s="18" t="n"/>
      <c r="G2759" s="9" t="n">
        <v>6</v>
      </c>
      <c r="H2759" s="9" t="n">
        <v>6</v>
      </c>
      <c r="I2759" s="9" t="inlineStr">
        <is>
          <t>Depth (no MLB IP)</t>
        </is>
      </c>
      <c r="J2759" s="18" t="inlineStr">
        <is>
          <t>Opening Day</t>
        </is>
      </c>
      <c r="K2759" s="11">
        <f>IFERROR(INDEX(Roles!$B$17:$B$20,MATCH(J2759,Roles!$A$17:$A$20,0)),1)</f>
        <v/>
      </c>
      <c r="L2759" s="19" t="n">
        <v>1</v>
      </c>
      <c r="M2759" s="11" t="n">
        <v>1</v>
      </c>
      <c r="N2759" s="19" t="n"/>
      <c r="O2759" s="19" t="n"/>
      <c r="P2759" s="19" t="n"/>
      <c r="Q2759" s="19" t="n"/>
      <c r="R2759" s="19" t="n"/>
      <c r="S2759" s="19" t="n"/>
      <c r="T2759" s="19" t="n"/>
      <c r="U2759" s="19" t="n"/>
      <c r="V2759" s="19" t="n"/>
      <c r="W2759" s="19" t="n"/>
      <c r="X2759" s="19" t="n"/>
      <c r="Y2759" s="19" t="n">
        <v>1</v>
      </c>
      <c r="Z2759" s="13">
        <f>SUMPRODUCT(N2759:Y2759,$N$2:$Y$2)*$K2759*$L2759*$M2759</f>
        <v/>
      </c>
      <c r="AA2759" s="14">
        <f>SUM(N2759:Y2759)</f>
        <v/>
      </c>
      <c r="AB2759" s="13">
        <f>SUMPRODUCT(N2759:Y2759,$N$3:$Y$3)*$K2759*$L2759*$M2759</f>
        <v/>
      </c>
      <c r="AC2759" s="13">
        <f>SUMPRODUCT(N2759:Y2759,$N$4:$Y$4)*$K2759*$L2759*$M2759</f>
        <v/>
      </c>
      <c r="AD2759" s="15" t="n">
        <v>1.8</v>
      </c>
      <c r="AE2759" s="11" t="n">
        <v>1.007530864197531</v>
      </c>
      <c r="AF2759" s="16">
        <f>SUMPRODUCT(N2759:Y2759,$N$5:$Y$5)*$K2759*$L2759*$M2759</f>
        <v/>
      </c>
      <c r="AG2759" s="16">
        <f>SUMPRODUCT(N2759:Y2759,$N$6:$Y$6)*$K2759*$L2759*$M2759</f>
        <v/>
      </c>
      <c r="AH2759" s="20" t="n"/>
    </row>
    <row r="2760">
      <c r="A2760" s="9" t="n">
        <v>822160</v>
      </c>
      <c r="B2760" s="9" t="inlineStr">
        <is>
          <t>Brock Moore</t>
        </is>
      </c>
      <c r="C2760" s="9" t="inlineStr">
        <is>
          <t>BAL</t>
        </is>
      </c>
      <c r="D2760" s="9" t="n">
        <v>25</v>
      </c>
      <c r="E2760" s="18" t="inlineStr">
        <is>
          <t>R</t>
        </is>
      </c>
      <c r="F2760" s="18" t="n"/>
      <c r="G2760" s="9" t="n">
        <v>54.17999999999999</v>
      </c>
      <c r="H2760" s="9" t="n">
        <v>54.17999999999999</v>
      </c>
      <c r="I2760" s="9" t="inlineStr">
        <is>
          <t>Depth (no MLB IP)</t>
        </is>
      </c>
      <c r="J2760" s="18" t="inlineStr">
        <is>
          <t>Opening Day</t>
        </is>
      </c>
      <c r="K2760" s="11">
        <f>IFERROR(INDEX(Roles!$B$17:$B$20,MATCH(J2760,Roles!$A$17:$A$20,0)),1)</f>
        <v/>
      </c>
      <c r="L2760" s="19" t="n">
        <v>1</v>
      </c>
      <c r="M2760" s="11" t="n">
        <v>1</v>
      </c>
      <c r="N2760" s="19" t="n"/>
      <c r="O2760" s="19" t="n"/>
      <c r="P2760" s="19" t="n"/>
      <c r="Q2760" s="19" t="n"/>
      <c r="R2760" s="19" t="n"/>
      <c r="S2760" s="19" t="n"/>
      <c r="T2760" s="19" t="n"/>
      <c r="U2760" s="19" t="n"/>
      <c r="V2760" s="19" t="n"/>
      <c r="W2760" s="19" t="n"/>
      <c r="X2760" s="19" t="n"/>
      <c r="Y2760" s="19" t="n">
        <v>1</v>
      </c>
      <c r="Z2760" s="13">
        <f>SUMPRODUCT(N2760:Y2760,$N$2:$Y$2)*$K2760*$L2760*$M2760</f>
        <v/>
      </c>
      <c r="AA2760" s="14">
        <f>SUM(N2760:Y2760)</f>
        <v/>
      </c>
      <c r="AB2760" s="13">
        <f>SUMPRODUCT(N2760:Y2760,$N$3:$Y$3)*$K2760*$L2760*$M2760</f>
        <v/>
      </c>
      <c r="AC2760" s="13">
        <f>SUMPRODUCT(N2760:Y2760,$N$4:$Y$4)*$K2760*$L2760*$M2760</f>
        <v/>
      </c>
      <c r="AD2760" s="15" t="n">
        <v>3</v>
      </c>
      <c r="AE2760" s="11" t="n">
        <v>1.011296296296296</v>
      </c>
      <c r="AF2760" s="16">
        <f>SUMPRODUCT(N2760:Y2760,$N$5:$Y$5)*$K2760*$L2760*$M2760</f>
        <v/>
      </c>
      <c r="AG2760" s="16">
        <f>SUMPRODUCT(N2760:Y2760,$N$6:$Y$6)*$K2760*$L2760*$M2760</f>
        <v/>
      </c>
      <c r="AH2760" s="20" t="n"/>
    </row>
    <row r="2761">
      <c r="A2761" s="9" t="n">
        <v>702271</v>
      </c>
      <c r="B2761" s="9" t="inlineStr">
        <is>
          <t>Nazier Mulé</t>
        </is>
      </c>
      <c r="C2761" s="9" t="inlineStr">
        <is>
          <t>CHC</t>
        </is>
      </c>
      <c r="D2761" s="9" t="n">
        <v>25</v>
      </c>
      <c r="E2761" s="18" t="inlineStr">
        <is>
          <t>R</t>
        </is>
      </c>
      <c r="F2761" s="18" t="n"/>
      <c r="G2761" s="9" t="n">
        <v>54.18</v>
      </c>
      <c r="H2761" s="9" t="n">
        <v>54.18</v>
      </c>
      <c r="I2761" s="9" t="inlineStr">
        <is>
          <t>Depth (no MLB IP)</t>
        </is>
      </c>
      <c r="J2761" s="18" t="inlineStr">
        <is>
          <t>Opening Day</t>
        </is>
      </c>
      <c r="K2761" s="11">
        <f>IFERROR(INDEX(Roles!$B$17:$B$20,MATCH(J2761,Roles!$A$17:$A$20,0)),1)</f>
        <v/>
      </c>
      <c r="L2761" s="19" t="n">
        <v>1</v>
      </c>
      <c r="M2761" s="11" t="n">
        <v>1</v>
      </c>
      <c r="N2761" s="19" t="n"/>
      <c r="O2761" s="19" t="n"/>
      <c r="P2761" s="19" t="n"/>
      <c r="Q2761" s="19" t="n"/>
      <c r="R2761" s="19" t="n"/>
      <c r="S2761" s="19" t="n"/>
      <c r="T2761" s="19" t="n"/>
      <c r="U2761" s="19" t="n"/>
      <c r="V2761" s="19" t="n"/>
      <c r="W2761" s="19" t="n"/>
      <c r="X2761" s="19" t="n"/>
      <c r="Y2761" s="19" t="n">
        <v>1</v>
      </c>
      <c r="Z2761" s="13">
        <f>SUMPRODUCT(N2761:Y2761,$N$2:$Y$2)*$K2761*$L2761*$M2761</f>
        <v/>
      </c>
      <c r="AA2761" s="14">
        <f>SUM(N2761:Y2761)</f>
        <v/>
      </c>
      <c r="AB2761" s="13">
        <f>SUMPRODUCT(N2761:Y2761,$N$3:$Y$3)*$K2761*$L2761*$M2761</f>
        <v/>
      </c>
      <c r="AC2761" s="13">
        <f>SUMPRODUCT(N2761:Y2761,$N$4:$Y$4)*$K2761*$L2761*$M2761</f>
        <v/>
      </c>
      <c r="AD2761" s="15" t="n">
        <v>3</v>
      </c>
      <c r="AE2761" s="11" t="n">
        <v>1.011296296296296</v>
      </c>
      <c r="AF2761" s="16">
        <f>SUMPRODUCT(N2761:Y2761,$N$5:$Y$5)*$K2761*$L2761*$M2761</f>
        <v/>
      </c>
      <c r="AG2761" s="16">
        <f>SUMPRODUCT(N2761:Y2761,$N$6:$Y$6)*$K2761*$L2761*$M2761</f>
        <v/>
      </c>
      <c r="AH2761" s="20" t="n"/>
    </row>
    <row r="2762">
      <c r="A2762" s="9" t="n">
        <v>813838</v>
      </c>
      <c r="B2762" s="9" t="inlineStr">
        <is>
          <t>Jacob Odle</t>
        </is>
      </c>
      <c r="C2762" s="9" t="inlineStr">
        <is>
          <t>STL</t>
        </is>
      </c>
      <c r="D2762" s="9" t="n">
        <v>25</v>
      </c>
      <c r="E2762" s="18" t="inlineStr">
        <is>
          <t>R</t>
        </is>
      </c>
      <c r="F2762" s="18" t="n"/>
      <c r="G2762" s="9" t="n">
        <v>54.18</v>
      </c>
      <c r="H2762" s="9" t="n">
        <v>54.18</v>
      </c>
      <c r="I2762" s="9" t="inlineStr">
        <is>
          <t>Depth (no MLB IP)</t>
        </is>
      </c>
      <c r="J2762" s="18" t="inlineStr">
        <is>
          <t>Opening Day</t>
        </is>
      </c>
      <c r="K2762" s="11">
        <f>IFERROR(INDEX(Roles!$B$17:$B$20,MATCH(J2762,Roles!$A$17:$A$20,0)),1)</f>
        <v/>
      </c>
      <c r="L2762" s="19" t="n">
        <v>1</v>
      </c>
      <c r="M2762" s="11" t="n">
        <v>1</v>
      </c>
      <c r="N2762" s="19" t="n"/>
      <c r="O2762" s="19" t="n"/>
      <c r="P2762" s="19" t="n"/>
      <c r="Q2762" s="19" t="n"/>
      <c r="R2762" s="19" t="n"/>
      <c r="S2762" s="19" t="n"/>
      <c r="T2762" s="19" t="n"/>
      <c r="U2762" s="19" t="n"/>
      <c r="V2762" s="19" t="n"/>
      <c r="W2762" s="19" t="n"/>
      <c r="X2762" s="19" t="n"/>
      <c r="Y2762" s="19" t="n">
        <v>1</v>
      </c>
      <c r="Z2762" s="13">
        <f>SUMPRODUCT(N2762:Y2762,$N$2:$Y$2)*$K2762*$L2762*$M2762</f>
        <v/>
      </c>
      <c r="AA2762" s="14">
        <f>SUM(N2762:Y2762)</f>
        <v/>
      </c>
      <c r="AB2762" s="13">
        <f>SUMPRODUCT(N2762:Y2762,$N$3:$Y$3)*$K2762*$L2762*$M2762</f>
        <v/>
      </c>
      <c r="AC2762" s="13">
        <f>SUMPRODUCT(N2762:Y2762,$N$4:$Y$4)*$K2762*$L2762*$M2762</f>
        <v/>
      </c>
      <c r="AD2762" s="15" t="n">
        <v>3</v>
      </c>
      <c r="AE2762" s="11" t="n">
        <v>1.011296296296296</v>
      </c>
      <c r="AF2762" s="16">
        <f>SUMPRODUCT(N2762:Y2762,$N$5:$Y$5)*$K2762*$L2762*$M2762</f>
        <v/>
      </c>
      <c r="AG2762" s="16">
        <f>SUMPRODUCT(N2762:Y2762,$N$6:$Y$6)*$K2762*$L2762*$M2762</f>
        <v/>
      </c>
      <c r="AH2762" s="20" t="n"/>
    </row>
    <row r="2763">
      <c r="A2763" s="9" t="n">
        <v>644433</v>
      </c>
      <c r="B2763" s="9" t="inlineStr">
        <is>
          <t>Chadwick Tromp</t>
        </is>
      </c>
      <c r="C2763" s="9" t="inlineStr">
        <is>
          <t>BAL</t>
        </is>
      </c>
      <c r="D2763" s="9" t="n">
        <v>32</v>
      </c>
      <c r="E2763" s="18" t="inlineStr">
        <is>
          <t>R</t>
        </is>
      </c>
      <c r="F2763" s="18" t="n"/>
      <c r="G2763" s="9" t="n">
        <v>6</v>
      </c>
      <c r="H2763" s="9" t="n">
        <v>6</v>
      </c>
      <c r="I2763" s="9" t="inlineStr">
        <is>
          <t>Depth (no MLB IP)</t>
        </is>
      </c>
      <c r="J2763" s="18" t="inlineStr">
        <is>
          <t>Opening Day</t>
        </is>
      </c>
      <c r="K2763" s="11">
        <f>IFERROR(INDEX(Roles!$B$17:$B$20,MATCH(J2763,Roles!$A$17:$A$20,0)),1)</f>
        <v/>
      </c>
      <c r="L2763" s="19" t="n">
        <v>1</v>
      </c>
      <c r="M2763" s="11" t="n">
        <v>1</v>
      </c>
      <c r="N2763" s="19" t="n"/>
      <c r="O2763" s="19" t="n"/>
      <c r="P2763" s="19" t="n"/>
      <c r="Q2763" s="19" t="n"/>
      <c r="R2763" s="19" t="n"/>
      <c r="S2763" s="19" t="n"/>
      <c r="T2763" s="19" t="n"/>
      <c r="U2763" s="19" t="n"/>
      <c r="V2763" s="19" t="n"/>
      <c r="W2763" s="19" t="n"/>
      <c r="X2763" s="19" t="n"/>
      <c r="Y2763" s="19" t="n">
        <v>1</v>
      </c>
      <c r="Z2763" s="13">
        <f>SUMPRODUCT(N2763:Y2763,$N$2:$Y$2)*$K2763*$L2763*$M2763</f>
        <v/>
      </c>
      <c r="AA2763" s="14">
        <f>SUM(N2763:Y2763)</f>
        <v/>
      </c>
      <c r="AB2763" s="13">
        <f>SUMPRODUCT(N2763:Y2763,$N$3:$Y$3)*$K2763*$L2763*$M2763</f>
        <v/>
      </c>
      <c r="AC2763" s="13">
        <f>SUMPRODUCT(N2763:Y2763,$N$4:$Y$4)*$K2763*$L2763*$M2763</f>
        <v/>
      </c>
      <c r="AD2763" s="15" t="n">
        <v>1.8</v>
      </c>
      <c r="AE2763" s="11" t="n">
        <v>1.007530864197531</v>
      </c>
      <c r="AF2763" s="16">
        <f>SUMPRODUCT(N2763:Y2763,$N$5:$Y$5)*$K2763*$L2763*$M2763</f>
        <v/>
      </c>
      <c r="AG2763" s="16">
        <f>SUMPRODUCT(N2763:Y2763,$N$6:$Y$6)*$K2763*$L2763*$M2763</f>
        <v/>
      </c>
      <c r="AH2763" s="20" t="n"/>
    </row>
    <row r="2764">
      <c r="A2764" s="9" t="n">
        <v>701347</v>
      </c>
      <c r="B2764" s="9" t="inlineStr">
        <is>
          <t>Yoel Tejeda Jr.</t>
        </is>
      </c>
      <c r="C2764" s="9" t="inlineStr">
        <is>
          <t>WSH</t>
        </is>
      </c>
      <c r="D2764" s="9" t="n">
        <v>25</v>
      </c>
      <c r="E2764" s="18" t="inlineStr">
        <is>
          <t>R</t>
        </is>
      </c>
      <c r="F2764" s="18" t="n"/>
      <c r="G2764" s="9" t="n">
        <v>54.17999999999999</v>
      </c>
      <c r="H2764" s="9" t="n">
        <v>54.17999999999999</v>
      </c>
      <c r="I2764" s="9" t="inlineStr">
        <is>
          <t>Depth (no MLB IP)</t>
        </is>
      </c>
      <c r="J2764" s="18" t="inlineStr">
        <is>
          <t>Opening Day</t>
        </is>
      </c>
      <c r="K2764" s="11">
        <f>IFERROR(INDEX(Roles!$B$17:$B$20,MATCH(J2764,Roles!$A$17:$A$20,0)),1)</f>
        <v/>
      </c>
      <c r="L2764" s="19" t="n">
        <v>1</v>
      </c>
      <c r="M2764" s="11" t="n">
        <v>1</v>
      </c>
      <c r="N2764" s="19" t="n"/>
      <c r="O2764" s="19" t="n"/>
      <c r="P2764" s="19" t="n"/>
      <c r="Q2764" s="19" t="n"/>
      <c r="R2764" s="19" t="n"/>
      <c r="S2764" s="19" t="n"/>
      <c r="T2764" s="19" t="n"/>
      <c r="U2764" s="19" t="n"/>
      <c r="V2764" s="19" t="n"/>
      <c r="W2764" s="19" t="n"/>
      <c r="X2764" s="19" t="n"/>
      <c r="Y2764" s="19" t="n">
        <v>1</v>
      </c>
      <c r="Z2764" s="13">
        <f>SUMPRODUCT(N2764:Y2764,$N$2:$Y$2)*$K2764*$L2764*$M2764</f>
        <v/>
      </c>
      <c r="AA2764" s="14">
        <f>SUM(N2764:Y2764)</f>
        <v/>
      </c>
      <c r="AB2764" s="13">
        <f>SUMPRODUCT(N2764:Y2764,$N$3:$Y$3)*$K2764*$L2764*$M2764</f>
        <v/>
      </c>
      <c r="AC2764" s="13">
        <f>SUMPRODUCT(N2764:Y2764,$N$4:$Y$4)*$K2764*$L2764*$M2764</f>
        <v/>
      </c>
      <c r="AD2764" s="15" t="n">
        <v>3</v>
      </c>
      <c r="AE2764" s="11" t="n">
        <v>1.011296296296296</v>
      </c>
      <c r="AF2764" s="16">
        <f>SUMPRODUCT(N2764:Y2764,$N$5:$Y$5)*$K2764*$L2764*$M2764</f>
        <v/>
      </c>
      <c r="AG2764" s="16">
        <f>SUMPRODUCT(N2764:Y2764,$N$6:$Y$6)*$K2764*$L2764*$M2764</f>
        <v/>
      </c>
      <c r="AH2764" s="20" t="n"/>
    </row>
    <row r="2765">
      <c r="A2765" s="9" t="n">
        <v>808062</v>
      </c>
      <c r="B2765" s="9" t="inlineStr">
        <is>
          <t>Jostin Florentino</t>
        </is>
      </c>
      <c r="C2765" s="9" t="inlineStr">
        <is>
          <t>CHC</t>
        </is>
      </c>
      <c r="D2765" s="9" t="n">
        <v>25</v>
      </c>
      <c r="E2765" s="18" t="inlineStr">
        <is>
          <t>R</t>
        </is>
      </c>
      <c r="F2765" s="18" t="n"/>
      <c r="G2765" s="9" t="n">
        <v>54.18</v>
      </c>
      <c r="H2765" s="9" t="n">
        <v>54.18</v>
      </c>
      <c r="I2765" s="9" t="inlineStr">
        <is>
          <t>Depth (no MLB IP)</t>
        </is>
      </c>
      <c r="J2765" s="18" t="inlineStr">
        <is>
          <t>Opening Day</t>
        </is>
      </c>
      <c r="K2765" s="11">
        <f>IFERROR(INDEX(Roles!$B$17:$B$20,MATCH(J2765,Roles!$A$17:$A$20,0)),1)</f>
        <v/>
      </c>
      <c r="L2765" s="19" t="n">
        <v>1</v>
      </c>
      <c r="M2765" s="11" t="n">
        <v>1</v>
      </c>
      <c r="N2765" s="19" t="n"/>
      <c r="O2765" s="19" t="n"/>
      <c r="P2765" s="19" t="n"/>
      <c r="Q2765" s="19" t="n"/>
      <c r="R2765" s="19" t="n"/>
      <c r="S2765" s="19" t="n"/>
      <c r="T2765" s="19" t="n"/>
      <c r="U2765" s="19" t="n"/>
      <c r="V2765" s="19" t="n"/>
      <c r="W2765" s="19" t="n"/>
      <c r="X2765" s="19" t="n"/>
      <c r="Y2765" s="19" t="n">
        <v>1</v>
      </c>
      <c r="Z2765" s="13">
        <f>SUMPRODUCT(N2765:Y2765,$N$2:$Y$2)*$K2765*$L2765*$M2765</f>
        <v/>
      </c>
      <c r="AA2765" s="14">
        <f>SUM(N2765:Y2765)</f>
        <v/>
      </c>
      <c r="AB2765" s="13">
        <f>SUMPRODUCT(N2765:Y2765,$N$3:$Y$3)*$K2765*$L2765*$M2765</f>
        <v/>
      </c>
      <c r="AC2765" s="13">
        <f>SUMPRODUCT(N2765:Y2765,$N$4:$Y$4)*$K2765*$L2765*$M2765</f>
        <v/>
      </c>
      <c r="AD2765" s="15" t="n">
        <v>3</v>
      </c>
      <c r="AE2765" s="11" t="n">
        <v>1.011296296296296</v>
      </c>
      <c r="AF2765" s="16">
        <f>SUMPRODUCT(N2765:Y2765,$N$5:$Y$5)*$K2765*$L2765*$M2765</f>
        <v/>
      </c>
      <c r="AG2765" s="16">
        <f>SUMPRODUCT(N2765:Y2765,$N$6:$Y$6)*$K2765*$L2765*$M2765</f>
        <v/>
      </c>
      <c r="AH2765" s="20" t="n"/>
    </row>
    <row r="2766">
      <c r="A2766" s="9" t="n">
        <v>702274</v>
      </c>
      <c r="B2766" s="9" t="inlineStr">
        <is>
          <t>Chase Shores</t>
        </is>
      </c>
      <c r="C2766" s="9" t="inlineStr">
        <is>
          <t>LAA</t>
        </is>
      </c>
      <c r="D2766" s="9" t="n">
        <v>25</v>
      </c>
      <c r="E2766" s="18" t="inlineStr">
        <is>
          <t>R</t>
        </is>
      </c>
      <c r="F2766" s="18" t="n"/>
      <c r="G2766" s="9" t="n">
        <v>54.46666666666667</v>
      </c>
      <c r="H2766" s="9" t="n">
        <v>54.46666666666667</v>
      </c>
      <c r="I2766" s="9" t="inlineStr">
        <is>
          <t>Depth (no MLB IP)</t>
        </is>
      </c>
      <c r="J2766" s="18" t="inlineStr">
        <is>
          <t>Opening Day</t>
        </is>
      </c>
      <c r="K2766" s="11">
        <f>IFERROR(INDEX(Roles!$B$17:$B$20,MATCH(J2766,Roles!$A$17:$A$20,0)),1)</f>
        <v/>
      </c>
      <c r="L2766" s="19" t="n">
        <v>1</v>
      </c>
      <c r="M2766" s="11" t="n">
        <v>1</v>
      </c>
      <c r="N2766" s="19" t="n"/>
      <c r="O2766" s="19" t="n"/>
      <c r="P2766" s="19" t="n"/>
      <c r="Q2766" s="19" t="n"/>
      <c r="R2766" s="19" t="n"/>
      <c r="S2766" s="19" t="n"/>
      <c r="T2766" s="19" t="n"/>
      <c r="U2766" s="19" t="n"/>
      <c r="V2766" s="19" t="n"/>
      <c r="W2766" s="19" t="n"/>
      <c r="X2766" s="19" t="n"/>
      <c r="Y2766" s="19" t="n">
        <v>1</v>
      </c>
      <c r="Z2766" s="13">
        <f>SUMPRODUCT(N2766:Y2766,$N$2:$Y$2)*$K2766*$L2766*$M2766</f>
        <v/>
      </c>
      <c r="AA2766" s="14">
        <f>SUM(N2766:Y2766)</f>
        <v/>
      </c>
      <c r="AB2766" s="13">
        <f>SUMPRODUCT(N2766:Y2766,$N$3:$Y$3)*$K2766*$L2766*$M2766</f>
        <v/>
      </c>
      <c r="AC2766" s="13">
        <f>SUMPRODUCT(N2766:Y2766,$N$4:$Y$4)*$K2766*$L2766*$M2766</f>
        <v/>
      </c>
      <c r="AD2766" s="15" t="n">
        <v>3</v>
      </c>
      <c r="AE2766" s="11" t="n">
        <v>1.011296296296296</v>
      </c>
      <c r="AF2766" s="16">
        <f>SUMPRODUCT(N2766:Y2766,$N$5:$Y$5)*$K2766*$L2766*$M2766</f>
        <v/>
      </c>
      <c r="AG2766" s="16">
        <f>SUMPRODUCT(N2766:Y2766,$N$6:$Y$6)*$K2766*$L2766*$M2766</f>
        <v/>
      </c>
      <c r="AH2766" s="20" t="n"/>
    </row>
    <row r="2767">
      <c r="A2767" s="9" t="n">
        <v>808063</v>
      </c>
      <c r="B2767" s="9" t="inlineStr">
        <is>
          <t>Maikel Miralles</t>
        </is>
      </c>
      <c r="C2767" s="9" t="inlineStr">
        <is>
          <t>SD</t>
        </is>
      </c>
      <c r="D2767" s="9" t="n">
        <v>25</v>
      </c>
      <c r="E2767" s="18" t="inlineStr">
        <is>
          <t>R</t>
        </is>
      </c>
      <c r="F2767" s="18" t="n"/>
      <c r="G2767" s="9" t="n">
        <v>54.46666666666667</v>
      </c>
      <c r="H2767" s="9" t="n">
        <v>54.46666666666667</v>
      </c>
      <c r="I2767" s="9" t="inlineStr">
        <is>
          <t>Depth (no MLB IP)</t>
        </is>
      </c>
      <c r="J2767" s="18" t="inlineStr">
        <is>
          <t>Opening Day</t>
        </is>
      </c>
      <c r="K2767" s="11">
        <f>IFERROR(INDEX(Roles!$B$17:$B$20,MATCH(J2767,Roles!$A$17:$A$20,0)),1)</f>
        <v/>
      </c>
      <c r="L2767" s="19" t="n">
        <v>1</v>
      </c>
      <c r="M2767" s="11" t="n">
        <v>1</v>
      </c>
      <c r="N2767" s="19" t="n"/>
      <c r="O2767" s="19" t="n"/>
      <c r="P2767" s="19" t="n"/>
      <c r="Q2767" s="19" t="n"/>
      <c r="R2767" s="19" t="n"/>
      <c r="S2767" s="19" t="n"/>
      <c r="T2767" s="19" t="n"/>
      <c r="U2767" s="19" t="n"/>
      <c r="V2767" s="19" t="n"/>
      <c r="W2767" s="19" t="n"/>
      <c r="X2767" s="19" t="n"/>
      <c r="Y2767" s="19" t="n">
        <v>1</v>
      </c>
      <c r="Z2767" s="13">
        <f>SUMPRODUCT(N2767:Y2767,$N$2:$Y$2)*$K2767*$L2767*$M2767</f>
        <v/>
      </c>
      <c r="AA2767" s="14">
        <f>SUM(N2767:Y2767)</f>
        <v/>
      </c>
      <c r="AB2767" s="13">
        <f>SUMPRODUCT(N2767:Y2767,$N$3:$Y$3)*$K2767*$L2767*$M2767</f>
        <v/>
      </c>
      <c r="AC2767" s="13">
        <f>SUMPRODUCT(N2767:Y2767,$N$4:$Y$4)*$K2767*$L2767*$M2767</f>
        <v/>
      </c>
      <c r="AD2767" s="15" t="n">
        <v>3</v>
      </c>
      <c r="AE2767" s="11" t="n">
        <v>1.011296296296296</v>
      </c>
      <c r="AF2767" s="16">
        <f>SUMPRODUCT(N2767:Y2767,$N$5:$Y$5)*$K2767*$L2767*$M2767</f>
        <v/>
      </c>
      <c r="AG2767" s="16">
        <f>SUMPRODUCT(N2767:Y2767,$N$6:$Y$6)*$K2767*$L2767*$M2767</f>
        <v/>
      </c>
      <c r="AH2767" s="20" t="n"/>
    </row>
    <row r="2768">
      <c r="A2768" s="9" t="n">
        <v>646241</v>
      </c>
      <c r="B2768" s="9" t="inlineStr">
        <is>
          <t>Enmanuel De Jesus</t>
        </is>
      </c>
      <c r="C2768" s="9" t="inlineStr">
        <is>
          <t>DET</t>
        </is>
      </c>
      <c r="D2768" s="9" t="n">
        <v>30</v>
      </c>
      <c r="E2768" s="18" t="inlineStr">
        <is>
          <t>L</t>
        </is>
      </c>
      <c r="F2768" s="18" t="n"/>
      <c r="G2768" s="9" t="n">
        <v>178</v>
      </c>
      <c r="H2768" s="9" t="n">
        <v>212</v>
      </c>
      <c r="I2768" s="9" t="inlineStr">
        <is>
          <t>Middle Relief</t>
        </is>
      </c>
      <c r="J2768" s="18" t="inlineStr">
        <is>
          <t>Opening Day</t>
        </is>
      </c>
      <c r="K2768" s="11">
        <f>IFERROR(INDEX(Roles!$B$17:$B$20,MATCH(J2768,Roles!$A$17:$A$20,0)),1)</f>
        <v/>
      </c>
      <c r="L2768" s="19" t="n">
        <v>1</v>
      </c>
      <c r="M2768" s="11" t="n">
        <v>1</v>
      </c>
      <c r="N2768" s="19" t="n"/>
      <c r="O2768" s="19" t="n"/>
      <c r="P2768" s="19" t="n"/>
      <c r="Q2768" s="19" t="n"/>
      <c r="R2768" s="19" t="n"/>
      <c r="S2768" s="19" t="n"/>
      <c r="T2768" s="19" t="n"/>
      <c r="U2768" s="19" t="n"/>
      <c r="V2768" s="19" t="n">
        <v>1</v>
      </c>
      <c r="W2768" s="19" t="n"/>
      <c r="X2768" s="19" t="n"/>
      <c r="Y2768" s="19" t="n"/>
      <c r="Z2768" s="13">
        <f>SUMPRODUCT(N2768:Y2768,$N$2:$Y$2)*$K2768*$L2768*$M2768</f>
        <v/>
      </c>
      <c r="AA2768" s="14">
        <f>SUM(N2768:Y2768)</f>
        <v/>
      </c>
      <c r="AB2768" s="13">
        <f>SUMPRODUCT(N2768:Y2768,$N$3:$Y$3)*$K2768*$L2768*$M2768</f>
        <v/>
      </c>
      <c r="AC2768" s="13">
        <f>SUMPRODUCT(N2768:Y2768,$N$4:$Y$4)*$K2768*$L2768*$M2768</f>
        <v/>
      </c>
      <c r="AD2768" s="15" t="n">
        <v>32.73333333333333</v>
      </c>
      <c r="AE2768" s="11" t="n">
        <v>1.159514135145784</v>
      </c>
      <c r="AF2768" s="16">
        <f>SUMPRODUCT(N2768:Y2768,$N$5:$Y$5)*$K2768*$L2768*$M2768</f>
        <v/>
      </c>
      <c r="AG2768" s="16">
        <f>SUMPRODUCT(N2768:Y2768,$N$6:$Y$6)*$K2768*$L2768*$M2768</f>
        <v/>
      </c>
      <c r="AH2768" s="20" t="n"/>
    </row>
    <row r="2769">
      <c r="A2769" s="9" t="n">
        <v>691094</v>
      </c>
      <c r="B2769" s="9" t="inlineStr">
        <is>
          <t>Randy Wynne</t>
        </is>
      </c>
      <c r="C2769" s="9" t="inlineStr">
        <is>
          <t>CIN</t>
        </is>
      </c>
      <c r="D2769" s="9" t="n">
        <v>34</v>
      </c>
      <c r="E2769" s="18" t="inlineStr">
        <is>
          <t>R</t>
        </is>
      </c>
      <c r="F2769" s="18" t="n"/>
      <c r="G2769" s="9" t="n">
        <v>13</v>
      </c>
      <c r="H2769" s="9" t="n">
        <v>24</v>
      </c>
      <c r="I2769" s="9" t="inlineStr">
        <is>
          <t>Depth (no MLB IP)</t>
        </is>
      </c>
      <c r="J2769" s="18" t="inlineStr">
        <is>
          <t>Opening Day</t>
        </is>
      </c>
      <c r="K2769" s="11">
        <f>IFERROR(INDEX(Roles!$B$17:$B$20,MATCH(J2769,Roles!$A$17:$A$20,0)),1)</f>
        <v/>
      </c>
      <c r="L2769" s="19" t="n">
        <v>1</v>
      </c>
      <c r="M2769" s="11" t="n">
        <v>1</v>
      </c>
      <c r="N2769" s="19" t="n"/>
      <c r="O2769" s="19" t="n"/>
      <c r="P2769" s="19" t="n"/>
      <c r="Q2769" s="19" t="n"/>
      <c r="R2769" s="19" t="n"/>
      <c r="S2769" s="19" t="n"/>
      <c r="T2769" s="19" t="n"/>
      <c r="U2769" s="19" t="n"/>
      <c r="V2769" s="19" t="n"/>
      <c r="W2769" s="19" t="n"/>
      <c r="X2769" s="19" t="n"/>
      <c r="Y2769" s="19" t="n">
        <v>1</v>
      </c>
      <c r="Z2769" s="13">
        <f>SUMPRODUCT(N2769:Y2769,$N$2:$Y$2)*$K2769*$L2769*$M2769</f>
        <v/>
      </c>
      <c r="AA2769" s="14">
        <f>SUM(N2769:Y2769)</f>
        <v/>
      </c>
      <c r="AB2769" s="13">
        <f>SUMPRODUCT(N2769:Y2769,$N$3:$Y$3)*$K2769*$L2769*$M2769</f>
        <v/>
      </c>
      <c r="AC2769" s="13">
        <f>SUMPRODUCT(N2769:Y2769,$N$4:$Y$4)*$K2769*$L2769*$M2769</f>
        <v/>
      </c>
      <c r="AD2769" s="15" t="n">
        <v>1.8</v>
      </c>
      <c r="AE2769" s="11" t="n">
        <v>1.674197530864197</v>
      </c>
      <c r="AF2769" s="16">
        <f>SUMPRODUCT(N2769:Y2769,$N$5:$Y$5)*$K2769*$L2769*$M2769</f>
        <v/>
      </c>
      <c r="AG2769" s="16">
        <f>SUMPRODUCT(N2769:Y2769,$N$6:$Y$6)*$K2769*$L2769*$M2769</f>
        <v/>
      </c>
      <c r="AH2769" s="20" t="n"/>
    </row>
    <row r="2770">
      <c r="A2770" s="9" t="n">
        <v>642152</v>
      </c>
      <c r="B2770" s="9" t="inlineStr">
        <is>
          <t>Lou Trivino III</t>
        </is>
      </c>
      <c r="C2770" s="9" t="inlineStr">
        <is>
          <t>PHI</t>
        </is>
      </c>
      <c r="D2770" s="9" t="n">
        <v>35</v>
      </c>
      <c r="E2770" s="18" t="inlineStr">
        <is>
          <t>R</t>
        </is>
      </c>
      <c r="F2770" s="18" t="n"/>
      <c r="G2770" s="9" t="n">
        <v>36</v>
      </c>
      <c r="H2770" s="9" t="n">
        <v>493</v>
      </c>
      <c r="I2770" s="9" t="inlineStr">
        <is>
          <t>Bullpen Depth Arm</t>
        </is>
      </c>
      <c r="J2770" s="18" t="inlineStr">
        <is>
          <t>Opening Day</t>
        </is>
      </c>
      <c r="K2770" s="11">
        <f>IFERROR(INDEX(Roles!$B$17:$B$20,MATCH(J2770,Roles!$A$17:$A$20,0)),1)</f>
        <v/>
      </c>
      <c r="L2770" s="19" t="n">
        <v>1</v>
      </c>
      <c r="M2770" s="11" t="n">
        <v>1</v>
      </c>
      <c r="N2770" s="19" t="n"/>
      <c r="O2770" s="19" t="n"/>
      <c r="P2770" s="19" t="n"/>
      <c r="Q2770" s="19" t="n"/>
      <c r="R2770" s="19" t="n"/>
      <c r="S2770" s="19" t="n"/>
      <c r="T2770" s="19" t="n"/>
      <c r="U2770" s="19" t="n"/>
      <c r="V2770" s="19" t="n"/>
      <c r="W2770" s="19" t="n">
        <v>1</v>
      </c>
      <c r="X2770" s="19" t="n"/>
      <c r="Y2770" s="19" t="n"/>
      <c r="Z2770" s="13">
        <f>SUMPRODUCT(N2770:Y2770,$N$2:$Y$2)*$K2770*$L2770*$M2770</f>
        <v/>
      </c>
      <c r="AA2770" s="14">
        <f>SUM(N2770:Y2770)</f>
        <v/>
      </c>
      <c r="AB2770" s="13">
        <f>SUMPRODUCT(N2770:Y2770,$N$3:$Y$3)*$K2770*$L2770*$M2770</f>
        <v/>
      </c>
      <c r="AC2770" s="13">
        <f>SUMPRODUCT(N2770:Y2770,$N$4:$Y$4)*$K2770*$L2770*$M2770</f>
        <v/>
      </c>
      <c r="AD2770" s="15" t="n">
        <v>18.74666666666666</v>
      </c>
      <c r="AE2770" s="11" t="n">
        <v>1.148092252067787</v>
      </c>
      <c r="AF2770" s="16">
        <f>SUMPRODUCT(N2770:Y2770,$N$5:$Y$5)*$K2770*$L2770*$M2770</f>
        <v/>
      </c>
      <c r="AG2770" s="16">
        <f>SUMPRODUCT(N2770:Y2770,$N$6:$Y$6)*$K2770*$L2770*$M2770</f>
        <v/>
      </c>
      <c r="AH2770" s="20" t="n"/>
    </row>
    <row r="2771">
      <c r="A2771" s="9" t="n">
        <v>692223</v>
      </c>
      <c r="B2771" s="9" t="inlineStr">
        <is>
          <t>Mason Miller</t>
        </is>
      </c>
      <c r="C2771" s="9" t="inlineStr">
        <is>
          <t>KC</t>
        </is>
      </c>
      <c r="D2771" s="9" t="n">
        <v>25</v>
      </c>
      <c r="E2771" s="18" t="inlineStr">
        <is>
          <t>L</t>
        </is>
      </c>
      <c r="F2771" s="18" t="n"/>
      <c r="G2771" s="9" t="n">
        <v>54.75333333333333</v>
      </c>
      <c r="H2771" s="9" t="n">
        <v>54.75333333333333</v>
      </c>
      <c r="I2771" s="9" t="inlineStr">
        <is>
          <t>Depth (no MLB IP)</t>
        </is>
      </c>
      <c r="J2771" s="18" t="inlineStr">
        <is>
          <t>Opening Day</t>
        </is>
      </c>
      <c r="K2771" s="11">
        <f>IFERROR(INDEX(Roles!$B$17:$B$20,MATCH(J2771,Roles!$A$17:$A$20,0)),1)</f>
        <v/>
      </c>
      <c r="L2771" s="19" t="n">
        <v>1</v>
      </c>
      <c r="M2771" s="11" t="n">
        <v>1</v>
      </c>
      <c r="N2771" s="19" t="n"/>
      <c r="O2771" s="19" t="n"/>
      <c r="P2771" s="19" t="n"/>
      <c r="Q2771" s="19" t="n"/>
      <c r="R2771" s="19" t="n"/>
      <c r="S2771" s="19" t="n"/>
      <c r="T2771" s="19" t="n"/>
      <c r="U2771" s="19" t="n"/>
      <c r="V2771" s="19" t="n"/>
      <c r="W2771" s="19" t="n"/>
      <c r="X2771" s="19" t="n"/>
      <c r="Y2771" s="19" t="n">
        <v>1</v>
      </c>
      <c r="Z2771" s="13">
        <f>SUMPRODUCT(N2771:Y2771,$N$2:$Y$2)*$K2771*$L2771*$M2771</f>
        <v/>
      </c>
      <c r="AA2771" s="14">
        <f>SUM(N2771:Y2771)</f>
        <v/>
      </c>
      <c r="AB2771" s="13">
        <f>SUMPRODUCT(N2771:Y2771,$N$3:$Y$3)*$K2771*$L2771*$M2771</f>
        <v/>
      </c>
      <c r="AC2771" s="13">
        <f>SUMPRODUCT(N2771:Y2771,$N$4:$Y$4)*$K2771*$L2771*$M2771</f>
        <v/>
      </c>
      <c r="AD2771" s="15" t="n">
        <v>3</v>
      </c>
      <c r="AE2771" s="11" t="n">
        <v>1.011296296296296</v>
      </c>
      <c r="AF2771" s="16">
        <f>SUMPRODUCT(N2771:Y2771,$N$5:$Y$5)*$K2771*$L2771*$M2771</f>
        <v/>
      </c>
      <c r="AG2771" s="16">
        <f>SUMPRODUCT(N2771:Y2771,$N$6:$Y$6)*$K2771*$L2771*$M2771</f>
        <v/>
      </c>
      <c r="AH2771" s="20" t="n"/>
    </row>
    <row r="2772">
      <c r="A2772" s="9" t="n">
        <v>804254</v>
      </c>
      <c r="B2772" s="9" t="inlineStr">
        <is>
          <t>Kaleb Corbett</t>
        </is>
      </c>
      <c r="C2772" s="9" t="inlineStr">
        <is>
          <t>TB</t>
        </is>
      </c>
      <c r="D2772" s="9" t="n">
        <v>25</v>
      </c>
      <c r="E2772" s="18" t="inlineStr">
        <is>
          <t>R</t>
        </is>
      </c>
      <c r="F2772" s="18" t="n"/>
      <c r="G2772" s="9" t="n">
        <v>54.75333333333333</v>
      </c>
      <c r="H2772" s="9" t="n">
        <v>54.75333333333333</v>
      </c>
      <c r="I2772" s="9" t="inlineStr">
        <is>
          <t>Depth (no MLB IP)</t>
        </is>
      </c>
      <c r="J2772" s="18" t="inlineStr">
        <is>
          <t>Opening Day</t>
        </is>
      </c>
      <c r="K2772" s="11">
        <f>IFERROR(INDEX(Roles!$B$17:$B$20,MATCH(J2772,Roles!$A$17:$A$20,0)),1)</f>
        <v/>
      </c>
      <c r="L2772" s="19" t="n">
        <v>1</v>
      </c>
      <c r="M2772" s="11" t="n">
        <v>1</v>
      </c>
      <c r="N2772" s="19" t="n"/>
      <c r="O2772" s="19" t="n"/>
      <c r="P2772" s="19" t="n"/>
      <c r="Q2772" s="19" t="n"/>
      <c r="R2772" s="19" t="n"/>
      <c r="S2772" s="19" t="n"/>
      <c r="T2772" s="19" t="n"/>
      <c r="U2772" s="19" t="n"/>
      <c r="V2772" s="19" t="n"/>
      <c r="W2772" s="19" t="n"/>
      <c r="X2772" s="19" t="n"/>
      <c r="Y2772" s="19" t="n">
        <v>1</v>
      </c>
      <c r="Z2772" s="13">
        <f>SUMPRODUCT(N2772:Y2772,$N$2:$Y$2)*$K2772*$L2772*$M2772</f>
        <v/>
      </c>
      <c r="AA2772" s="14">
        <f>SUM(N2772:Y2772)</f>
        <v/>
      </c>
      <c r="AB2772" s="13">
        <f>SUMPRODUCT(N2772:Y2772,$N$3:$Y$3)*$K2772*$L2772*$M2772</f>
        <v/>
      </c>
      <c r="AC2772" s="13">
        <f>SUMPRODUCT(N2772:Y2772,$N$4:$Y$4)*$K2772*$L2772*$M2772</f>
        <v/>
      </c>
      <c r="AD2772" s="15" t="n">
        <v>3</v>
      </c>
      <c r="AE2772" s="11" t="n">
        <v>1.011296296296296</v>
      </c>
      <c r="AF2772" s="16">
        <f>SUMPRODUCT(N2772:Y2772,$N$5:$Y$5)*$K2772*$L2772*$M2772</f>
        <v/>
      </c>
      <c r="AG2772" s="16">
        <f>SUMPRODUCT(N2772:Y2772,$N$6:$Y$6)*$K2772*$L2772*$M2772</f>
        <v/>
      </c>
      <c r="AH2772" s="20" t="n"/>
    </row>
    <row r="2773">
      <c r="A2773" s="9" t="n">
        <v>657265</v>
      </c>
      <c r="B2773" s="9" t="inlineStr">
        <is>
          <t>Peter Strzelecki</t>
        </is>
      </c>
      <c r="C2773" s="9" t="inlineStr">
        <is>
          <t>STL</t>
        </is>
      </c>
      <c r="D2773" s="9" t="n">
        <v>32</v>
      </c>
      <c r="E2773" s="18" t="inlineStr">
        <is>
          <t>R</t>
        </is>
      </c>
      <c r="F2773" s="18" t="n"/>
      <c r="G2773" s="9" t="n">
        <v>61</v>
      </c>
      <c r="H2773" s="9" t="n">
        <v>419</v>
      </c>
      <c r="I2773" s="9" t="inlineStr">
        <is>
          <t>Swing Arm / Long Relief</t>
        </is>
      </c>
      <c r="J2773" s="18" t="inlineStr">
        <is>
          <t>Opening Day</t>
        </is>
      </c>
      <c r="K2773" s="11">
        <f>IFERROR(INDEX(Roles!$B$17:$B$20,MATCH(J2773,Roles!$A$17:$A$20,0)),1)</f>
        <v/>
      </c>
      <c r="L2773" s="19" t="n">
        <v>1</v>
      </c>
      <c r="M2773" s="11" t="n">
        <v>1</v>
      </c>
      <c r="N2773" s="19" t="n"/>
      <c r="O2773" s="19" t="n"/>
      <c r="P2773" s="19" t="n"/>
      <c r="Q2773" s="19" t="n"/>
      <c r="R2773" s="19" t="n">
        <v>0.55</v>
      </c>
      <c r="S2773" s="19" t="n"/>
      <c r="T2773" s="19" t="n"/>
      <c r="U2773" s="19" t="n"/>
      <c r="V2773" s="19" t="n">
        <v>0.45</v>
      </c>
      <c r="W2773" s="19" t="n"/>
      <c r="X2773" s="19" t="n"/>
      <c r="Y2773" s="19" t="n"/>
      <c r="Z2773" s="13">
        <f>SUMPRODUCT(N2773:Y2773,$N$2:$Y$2)*$K2773*$L2773*$M2773</f>
        <v/>
      </c>
      <c r="AA2773" s="14">
        <f>SUM(N2773:Y2773)</f>
        <v/>
      </c>
      <c r="AB2773" s="13">
        <f>SUMPRODUCT(N2773:Y2773,$N$3:$Y$3)*$K2773*$L2773*$M2773</f>
        <v/>
      </c>
      <c r="AC2773" s="13">
        <f>SUMPRODUCT(N2773:Y2773,$N$4:$Y$4)*$K2773*$L2773*$M2773</f>
        <v/>
      </c>
      <c r="AD2773" s="15" t="n">
        <v>13.23333333333333</v>
      </c>
      <c r="AE2773" s="11" t="n">
        <v>2.194631951141112</v>
      </c>
      <c r="AF2773" s="16">
        <f>SUMPRODUCT(N2773:Y2773,$N$5:$Y$5)*$K2773*$L2773*$M2773</f>
        <v/>
      </c>
      <c r="AG2773" s="16">
        <f>SUMPRODUCT(N2773:Y2773,$N$6:$Y$6)*$K2773*$L2773*$M2773</f>
        <v/>
      </c>
      <c r="AH2773" s="20" t="n"/>
    </row>
    <row r="2774">
      <c r="A2774" s="9" t="n">
        <v>808487</v>
      </c>
      <c r="B2774" s="9" t="inlineStr">
        <is>
          <t>Jose Romero</t>
        </is>
      </c>
      <c r="C2774" s="9" t="inlineStr">
        <is>
          <t>SEA</t>
        </is>
      </c>
      <c r="D2774" s="9" t="n">
        <v>25</v>
      </c>
      <c r="E2774" s="18" t="inlineStr">
        <is>
          <t>R</t>
        </is>
      </c>
      <c r="F2774" s="18" t="n"/>
      <c r="G2774" s="9" t="n">
        <v>54.868</v>
      </c>
      <c r="H2774" s="9" t="n">
        <v>54.868</v>
      </c>
      <c r="I2774" s="9" t="inlineStr">
        <is>
          <t>Depth (no MLB IP)</t>
        </is>
      </c>
      <c r="J2774" s="18" t="inlineStr">
        <is>
          <t>Opening Day</t>
        </is>
      </c>
      <c r="K2774" s="11">
        <f>IFERROR(INDEX(Roles!$B$17:$B$20,MATCH(J2774,Roles!$A$17:$A$20,0)),1)</f>
        <v/>
      </c>
      <c r="L2774" s="19" t="n">
        <v>1</v>
      </c>
      <c r="M2774" s="11" t="n">
        <v>1</v>
      </c>
      <c r="N2774" s="19" t="n"/>
      <c r="O2774" s="19" t="n"/>
      <c r="P2774" s="19" t="n"/>
      <c r="Q2774" s="19" t="n"/>
      <c r="R2774" s="19" t="n"/>
      <c r="S2774" s="19" t="n"/>
      <c r="T2774" s="19" t="n"/>
      <c r="U2774" s="19" t="n"/>
      <c r="V2774" s="19" t="n"/>
      <c r="W2774" s="19" t="n"/>
      <c r="X2774" s="19" t="n"/>
      <c r="Y2774" s="19" t="n">
        <v>1</v>
      </c>
      <c r="Z2774" s="13">
        <f>SUMPRODUCT(N2774:Y2774,$N$2:$Y$2)*$K2774*$L2774*$M2774</f>
        <v/>
      </c>
      <c r="AA2774" s="14">
        <f>SUM(N2774:Y2774)</f>
        <v/>
      </c>
      <c r="AB2774" s="13">
        <f>SUMPRODUCT(N2774:Y2774,$N$3:$Y$3)*$K2774*$L2774*$M2774</f>
        <v/>
      </c>
      <c r="AC2774" s="13">
        <f>SUMPRODUCT(N2774:Y2774,$N$4:$Y$4)*$K2774*$L2774*$M2774</f>
        <v/>
      </c>
      <c r="AD2774" s="15" t="n">
        <v>3</v>
      </c>
      <c r="AE2774" s="11" t="n">
        <v>1.011296296296296</v>
      </c>
      <c r="AF2774" s="16">
        <f>SUMPRODUCT(N2774:Y2774,$N$5:$Y$5)*$K2774*$L2774*$M2774</f>
        <v/>
      </c>
      <c r="AG2774" s="16">
        <f>SUMPRODUCT(N2774:Y2774,$N$6:$Y$6)*$K2774*$L2774*$M2774</f>
        <v/>
      </c>
      <c r="AH2774" s="20" t="n"/>
    </row>
    <row r="2775">
      <c r="A2775" s="9" t="n">
        <v>607054</v>
      </c>
      <c r="B2775" s="9" t="inlineStr">
        <is>
          <t>Jace Peterson</t>
        </is>
      </c>
      <c r="C2775" s="9" t="inlineStr">
        <is>
          <t>OAK</t>
        </is>
      </c>
      <c r="D2775" s="9" t="n">
        <v>37</v>
      </c>
      <c r="E2775" s="18" t="inlineStr">
        <is>
          <t>R</t>
        </is>
      </c>
      <c r="F2775" s="18" t="n"/>
      <c r="G2775" s="9" t="n">
        <v>12</v>
      </c>
      <c r="H2775" s="9" t="n">
        <v>15</v>
      </c>
      <c r="I2775" s="9" t="inlineStr">
        <is>
          <t>Depth (no MLB IP)</t>
        </is>
      </c>
      <c r="J2775" s="18" t="inlineStr">
        <is>
          <t>Opening Day</t>
        </is>
      </c>
      <c r="K2775" s="11">
        <f>IFERROR(INDEX(Roles!$B$17:$B$20,MATCH(J2775,Roles!$A$17:$A$20,0)),1)</f>
        <v/>
      </c>
      <c r="L2775" s="19" t="n">
        <v>1</v>
      </c>
      <c r="M2775" s="11" t="n">
        <v>1</v>
      </c>
      <c r="N2775" s="19" t="n"/>
      <c r="O2775" s="19" t="n"/>
      <c r="P2775" s="19" t="n"/>
      <c r="Q2775" s="19" t="n"/>
      <c r="R2775" s="19" t="n"/>
      <c r="S2775" s="19" t="n"/>
      <c r="T2775" s="19" t="n"/>
      <c r="U2775" s="19" t="n"/>
      <c r="V2775" s="19" t="n"/>
      <c r="W2775" s="19" t="n"/>
      <c r="X2775" s="19" t="n"/>
      <c r="Y2775" s="19" t="n">
        <v>1</v>
      </c>
      <c r="Z2775" s="13">
        <f>SUMPRODUCT(N2775:Y2775,$N$2:$Y$2)*$K2775*$L2775*$M2775</f>
        <v/>
      </c>
      <c r="AA2775" s="14">
        <f>SUM(N2775:Y2775)</f>
        <v/>
      </c>
      <c r="AB2775" s="13">
        <f>SUMPRODUCT(N2775:Y2775,$N$3:$Y$3)*$K2775*$L2775*$M2775</f>
        <v/>
      </c>
      <c r="AC2775" s="13">
        <f>SUMPRODUCT(N2775:Y2775,$N$4:$Y$4)*$K2775*$L2775*$M2775</f>
        <v/>
      </c>
      <c r="AD2775" s="15" t="n">
        <v>3</v>
      </c>
      <c r="AE2775" s="11" t="n">
        <v>1.011296296296296</v>
      </c>
      <c r="AF2775" s="16">
        <f>SUMPRODUCT(N2775:Y2775,$N$5:$Y$5)*$K2775*$L2775*$M2775</f>
        <v/>
      </c>
      <c r="AG2775" s="16">
        <f>SUMPRODUCT(N2775:Y2775,$N$6:$Y$6)*$K2775*$L2775*$M2775</f>
        <v/>
      </c>
      <c r="AH2775" s="20" t="n"/>
    </row>
    <row r="2776">
      <c r="A2776" s="9" t="n">
        <v>664079</v>
      </c>
      <c r="B2776" s="9" t="inlineStr">
        <is>
          <t>Tyler Jay</t>
        </is>
      </c>
      <c r="C2776" s="9" t="inlineStr">
        <is>
          <t>MIL</t>
        </is>
      </c>
      <c r="D2776" s="9" t="n">
        <v>33</v>
      </c>
      <c r="E2776" s="18" t="inlineStr">
        <is>
          <t>L</t>
        </is>
      </c>
      <c r="F2776" s="18" t="n"/>
      <c r="G2776" s="9" t="n">
        <v>36</v>
      </c>
      <c r="H2776" s="9" t="n">
        <v>36</v>
      </c>
      <c r="I2776" s="9" t="inlineStr">
        <is>
          <t>Depth (no MLB IP)</t>
        </is>
      </c>
      <c r="J2776" s="18" t="inlineStr">
        <is>
          <t>Opening Day</t>
        </is>
      </c>
      <c r="K2776" s="11">
        <f>IFERROR(INDEX(Roles!$B$17:$B$20,MATCH(J2776,Roles!$A$17:$A$20,0)),1)</f>
        <v/>
      </c>
      <c r="L2776" s="19" t="n">
        <v>1</v>
      </c>
      <c r="M2776" s="11" t="n">
        <v>1</v>
      </c>
      <c r="N2776" s="19" t="n"/>
      <c r="O2776" s="19" t="n"/>
      <c r="P2776" s="19" t="n"/>
      <c r="Q2776" s="19" t="n"/>
      <c r="R2776" s="19" t="n"/>
      <c r="S2776" s="19" t="n"/>
      <c r="T2776" s="19" t="n"/>
      <c r="U2776" s="19" t="n"/>
      <c r="V2776" s="19" t="n"/>
      <c r="W2776" s="19" t="n"/>
      <c r="X2776" s="19" t="n"/>
      <c r="Y2776" s="19" t="n">
        <v>1</v>
      </c>
      <c r="Z2776" s="13">
        <f>SUMPRODUCT(N2776:Y2776,$N$2:$Y$2)*$K2776*$L2776*$M2776</f>
        <v/>
      </c>
      <c r="AA2776" s="14">
        <f>SUM(N2776:Y2776)</f>
        <v/>
      </c>
      <c r="AB2776" s="13">
        <f>SUMPRODUCT(N2776:Y2776,$N$3:$Y$3)*$K2776*$L2776*$M2776</f>
        <v/>
      </c>
      <c r="AC2776" s="13">
        <f>SUMPRODUCT(N2776:Y2776,$N$4:$Y$4)*$K2776*$L2776*$M2776</f>
        <v/>
      </c>
      <c r="AD2776" s="15" t="n">
        <v>4.2</v>
      </c>
      <c r="AE2776" s="11" t="n">
        <v>1.185308641975308</v>
      </c>
      <c r="AF2776" s="16">
        <f>SUMPRODUCT(N2776:Y2776,$N$5:$Y$5)*$K2776*$L2776*$M2776</f>
        <v/>
      </c>
      <c r="AG2776" s="16">
        <f>SUMPRODUCT(N2776:Y2776,$N$6:$Y$6)*$K2776*$L2776*$M2776</f>
        <v/>
      </c>
      <c r="AH2776" s="20" t="n"/>
    </row>
    <row r="2777">
      <c r="A2777" s="9" t="n">
        <v>542208</v>
      </c>
      <c r="B2777" s="9" t="inlineStr">
        <is>
          <t>Carlos Pérez</t>
        </is>
      </c>
      <c r="C2777" s="9" t="inlineStr">
        <is>
          <t>OAK</t>
        </is>
      </c>
      <c r="D2777" s="9" t="n">
        <v>36</v>
      </c>
      <c r="E2777" s="18" t="inlineStr">
        <is>
          <t>R</t>
        </is>
      </c>
      <c r="F2777" s="18" t="n"/>
      <c r="G2777" s="9" t="n">
        <v>10</v>
      </c>
      <c r="H2777" s="9" t="n">
        <v>10</v>
      </c>
      <c r="I2777" s="9" t="inlineStr">
        <is>
          <t>Depth (no MLB IP)</t>
        </is>
      </c>
      <c r="J2777" s="18" t="inlineStr">
        <is>
          <t>Opening Day</t>
        </is>
      </c>
      <c r="K2777" s="11">
        <f>IFERROR(INDEX(Roles!$B$17:$B$20,MATCH(J2777,Roles!$A$17:$A$20,0)),1)</f>
        <v/>
      </c>
      <c r="L2777" s="19" t="n">
        <v>1</v>
      </c>
      <c r="M2777" s="11" t="n">
        <v>1</v>
      </c>
      <c r="N2777" s="19" t="n"/>
      <c r="O2777" s="19" t="n"/>
      <c r="P2777" s="19" t="n"/>
      <c r="Q2777" s="19" t="n"/>
      <c r="R2777" s="19" t="n"/>
      <c r="S2777" s="19" t="n"/>
      <c r="T2777" s="19" t="n"/>
      <c r="U2777" s="19" t="n"/>
      <c r="V2777" s="19" t="n"/>
      <c r="W2777" s="19" t="n"/>
      <c r="X2777" s="19" t="n"/>
      <c r="Y2777" s="19" t="n">
        <v>1</v>
      </c>
      <c r="Z2777" s="13">
        <f>SUMPRODUCT(N2777:Y2777,$N$2:$Y$2)*$K2777*$L2777*$M2777</f>
        <v/>
      </c>
      <c r="AA2777" s="14">
        <f>SUM(N2777:Y2777)</f>
        <v/>
      </c>
      <c r="AB2777" s="13">
        <f>SUMPRODUCT(N2777:Y2777,$N$3:$Y$3)*$K2777*$L2777*$M2777</f>
        <v/>
      </c>
      <c r="AC2777" s="13">
        <f>SUMPRODUCT(N2777:Y2777,$N$4:$Y$4)*$K2777*$L2777*$M2777</f>
        <v/>
      </c>
      <c r="AD2777" s="15" t="n">
        <v>3</v>
      </c>
      <c r="AE2777" s="11" t="n">
        <v>1.011296296296296</v>
      </c>
      <c r="AF2777" s="16">
        <f>SUMPRODUCT(N2777:Y2777,$N$5:$Y$5)*$K2777*$L2777*$M2777</f>
        <v/>
      </c>
      <c r="AG2777" s="16">
        <f>SUMPRODUCT(N2777:Y2777,$N$6:$Y$6)*$K2777*$L2777*$M2777</f>
        <v/>
      </c>
      <c r="AH2777" s="20" t="n"/>
    </row>
    <row r="2778">
      <c r="A2778" s="9" t="n">
        <v>694674</v>
      </c>
      <c r="B2778" s="9" t="inlineStr">
        <is>
          <t>Antonio Menendez</t>
        </is>
      </c>
      <c r="C2778" s="9" t="inlineStr">
        <is>
          <t>ARI</t>
        </is>
      </c>
      <c r="D2778" s="9" t="n">
        <v>25</v>
      </c>
      <c r="E2778" s="18" t="inlineStr">
        <is>
          <t>R</t>
        </is>
      </c>
      <c r="F2778" s="18" t="n"/>
      <c r="G2778" s="9" t="n">
        <v>55.18333333333334</v>
      </c>
      <c r="H2778" s="9" t="n">
        <v>55.18333333333334</v>
      </c>
      <c r="I2778" s="9" t="inlineStr">
        <is>
          <t>Depth (no MLB IP)</t>
        </is>
      </c>
      <c r="J2778" s="18" t="inlineStr">
        <is>
          <t>Opening Day</t>
        </is>
      </c>
      <c r="K2778" s="11">
        <f>IFERROR(INDEX(Roles!$B$17:$B$20,MATCH(J2778,Roles!$A$17:$A$20,0)),1)</f>
        <v/>
      </c>
      <c r="L2778" s="19" t="n">
        <v>1</v>
      </c>
      <c r="M2778" s="11" t="n">
        <v>1</v>
      </c>
      <c r="N2778" s="19" t="n"/>
      <c r="O2778" s="19" t="n"/>
      <c r="P2778" s="19" t="n"/>
      <c r="Q2778" s="19" t="n"/>
      <c r="R2778" s="19" t="n"/>
      <c r="S2778" s="19" t="n"/>
      <c r="T2778" s="19" t="n"/>
      <c r="U2778" s="19" t="n"/>
      <c r="V2778" s="19" t="n"/>
      <c r="W2778" s="19" t="n"/>
      <c r="X2778" s="19" t="n"/>
      <c r="Y2778" s="19" t="n">
        <v>1</v>
      </c>
      <c r="Z2778" s="13">
        <f>SUMPRODUCT(N2778:Y2778,$N$2:$Y$2)*$K2778*$L2778*$M2778</f>
        <v/>
      </c>
      <c r="AA2778" s="14">
        <f>SUM(N2778:Y2778)</f>
        <v/>
      </c>
      <c r="AB2778" s="13">
        <f>SUMPRODUCT(N2778:Y2778,$N$3:$Y$3)*$K2778*$L2778*$M2778</f>
        <v/>
      </c>
      <c r="AC2778" s="13">
        <f>SUMPRODUCT(N2778:Y2778,$N$4:$Y$4)*$K2778*$L2778*$M2778</f>
        <v/>
      </c>
      <c r="AD2778" s="15" t="n">
        <v>3</v>
      </c>
      <c r="AE2778" s="11" t="n">
        <v>1.011296296296296</v>
      </c>
      <c r="AF2778" s="16">
        <f>SUMPRODUCT(N2778:Y2778,$N$5:$Y$5)*$K2778*$L2778*$M2778</f>
        <v/>
      </c>
      <c r="AG2778" s="16">
        <f>SUMPRODUCT(N2778:Y2778,$N$6:$Y$6)*$K2778*$L2778*$M2778</f>
        <v/>
      </c>
      <c r="AH2778" s="20" t="n"/>
    </row>
    <row r="2779">
      <c r="A2779" s="9" t="n">
        <v>806270</v>
      </c>
      <c r="B2779" s="9" t="inlineStr">
        <is>
          <t>Dominic Perachi</t>
        </is>
      </c>
      <c r="C2779" s="9" t="inlineStr">
        <is>
          <t>PIT</t>
        </is>
      </c>
      <c r="D2779" s="9" t="n">
        <v>25</v>
      </c>
      <c r="E2779" s="18" t="inlineStr">
        <is>
          <t>L</t>
        </is>
      </c>
      <c r="F2779" s="18" t="n"/>
      <c r="G2779" s="9" t="n">
        <v>55.18333333333333</v>
      </c>
      <c r="H2779" s="9" t="n">
        <v>55.18333333333333</v>
      </c>
      <c r="I2779" s="9" t="inlineStr">
        <is>
          <t>Depth (no MLB IP)</t>
        </is>
      </c>
      <c r="J2779" s="18" t="inlineStr">
        <is>
          <t>Opening Day</t>
        </is>
      </c>
      <c r="K2779" s="11">
        <f>IFERROR(INDEX(Roles!$B$17:$B$20,MATCH(J2779,Roles!$A$17:$A$20,0)),1)</f>
        <v/>
      </c>
      <c r="L2779" s="19" t="n">
        <v>1</v>
      </c>
      <c r="M2779" s="11" t="n">
        <v>1</v>
      </c>
      <c r="N2779" s="19" t="n"/>
      <c r="O2779" s="19" t="n"/>
      <c r="P2779" s="19" t="n"/>
      <c r="Q2779" s="19" t="n"/>
      <c r="R2779" s="19" t="n"/>
      <c r="S2779" s="19" t="n"/>
      <c r="T2779" s="19" t="n"/>
      <c r="U2779" s="19" t="n"/>
      <c r="V2779" s="19" t="n"/>
      <c r="W2779" s="19" t="n"/>
      <c r="X2779" s="19" t="n"/>
      <c r="Y2779" s="19" t="n">
        <v>1</v>
      </c>
      <c r="Z2779" s="13">
        <f>SUMPRODUCT(N2779:Y2779,$N$2:$Y$2)*$K2779*$L2779*$M2779</f>
        <v/>
      </c>
      <c r="AA2779" s="14">
        <f>SUM(N2779:Y2779)</f>
        <v/>
      </c>
      <c r="AB2779" s="13">
        <f>SUMPRODUCT(N2779:Y2779,$N$3:$Y$3)*$K2779*$L2779*$M2779</f>
        <v/>
      </c>
      <c r="AC2779" s="13">
        <f>SUMPRODUCT(N2779:Y2779,$N$4:$Y$4)*$K2779*$L2779*$M2779</f>
        <v/>
      </c>
      <c r="AD2779" s="15" t="n">
        <v>3</v>
      </c>
      <c r="AE2779" s="11" t="n">
        <v>1.011296296296296</v>
      </c>
      <c r="AF2779" s="16">
        <f>SUMPRODUCT(N2779:Y2779,$N$5:$Y$5)*$K2779*$L2779*$M2779</f>
        <v/>
      </c>
      <c r="AG2779" s="16">
        <f>SUMPRODUCT(N2779:Y2779,$N$6:$Y$6)*$K2779*$L2779*$M2779</f>
        <v/>
      </c>
      <c r="AH2779" s="20" t="n"/>
    </row>
    <row r="2780">
      <c r="A2780" s="9" t="n">
        <v>622110</v>
      </c>
      <c r="B2780" s="9" t="inlineStr">
        <is>
          <t>Matt Duffy</t>
        </is>
      </c>
      <c r="C2780" s="9" t="inlineStr">
        <is>
          <t>KC</t>
        </is>
      </c>
      <c r="D2780" s="9" t="n">
        <v>36</v>
      </c>
      <c r="E2780" s="18" t="inlineStr">
        <is>
          <t>R</t>
        </is>
      </c>
      <c r="F2780" s="18" t="n"/>
      <c r="G2780" s="9" t="n">
        <v>10</v>
      </c>
      <c r="H2780" s="9" t="n">
        <v>10</v>
      </c>
      <c r="I2780" s="9" t="inlineStr">
        <is>
          <t>Depth (no MLB IP)</t>
        </is>
      </c>
      <c r="J2780" s="18" t="inlineStr">
        <is>
          <t>Opening Day</t>
        </is>
      </c>
      <c r="K2780" s="11">
        <f>IFERROR(INDEX(Roles!$B$17:$B$20,MATCH(J2780,Roles!$A$17:$A$20,0)),1)</f>
        <v/>
      </c>
      <c r="L2780" s="19" t="n">
        <v>1</v>
      </c>
      <c r="M2780" s="11" t="n">
        <v>1</v>
      </c>
      <c r="N2780" s="19" t="n"/>
      <c r="O2780" s="19" t="n"/>
      <c r="P2780" s="19" t="n"/>
      <c r="Q2780" s="19" t="n"/>
      <c r="R2780" s="19" t="n"/>
      <c r="S2780" s="19" t="n"/>
      <c r="T2780" s="19" t="n"/>
      <c r="U2780" s="19" t="n"/>
      <c r="V2780" s="19" t="n"/>
      <c r="W2780" s="19" t="n"/>
      <c r="X2780" s="19" t="n"/>
      <c r="Y2780" s="19" t="n">
        <v>1</v>
      </c>
      <c r="Z2780" s="13">
        <f>SUMPRODUCT(N2780:Y2780,$N$2:$Y$2)*$K2780*$L2780*$M2780</f>
        <v/>
      </c>
      <c r="AA2780" s="14">
        <f>SUM(N2780:Y2780)</f>
        <v/>
      </c>
      <c r="AB2780" s="13">
        <f>SUMPRODUCT(N2780:Y2780,$N$3:$Y$3)*$K2780*$L2780*$M2780</f>
        <v/>
      </c>
      <c r="AC2780" s="13">
        <f>SUMPRODUCT(N2780:Y2780,$N$4:$Y$4)*$K2780*$L2780*$M2780</f>
        <v/>
      </c>
      <c r="AD2780" s="15" t="n">
        <v>3</v>
      </c>
      <c r="AE2780" s="11" t="n">
        <v>1.011296296296296</v>
      </c>
      <c r="AF2780" s="16">
        <f>SUMPRODUCT(N2780:Y2780,$N$5:$Y$5)*$K2780*$L2780*$M2780</f>
        <v/>
      </c>
      <c r="AG2780" s="16">
        <f>SUMPRODUCT(N2780:Y2780,$N$6:$Y$6)*$K2780*$L2780*$M2780</f>
        <v/>
      </c>
      <c r="AH2780" s="20" t="n"/>
    </row>
    <row r="2781">
      <c r="A2781" s="9" t="n">
        <v>810830</v>
      </c>
      <c r="B2781" s="9" t="inlineStr">
        <is>
          <t>Jake Knapp</t>
        </is>
      </c>
      <c r="C2781" s="9" t="inlineStr">
        <is>
          <t>CHC</t>
        </is>
      </c>
      <c r="D2781" s="9" t="n">
        <v>25</v>
      </c>
      <c r="E2781" s="18" t="inlineStr">
        <is>
          <t>R</t>
        </is>
      </c>
      <c r="F2781" s="18" t="n"/>
      <c r="G2781" s="9" t="n">
        <v>55.18333333333333</v>
      </c>
      <c r="H2781" s="9" t="n">
        <v>55.18333333333333</v>
      </c>
      <c r="I2781" s="9" t="inlineStr">
        <is>
          <t>Depth (no MLB IP)</t>
        </is>
      </c>
      <c r="J2781" s="18" t="inlineStr">
        <is>
          <t>Opening Day</t>
        </is>
      </c>
      <c r="K2781" s="11">
        <f>IFERROR(INDEX(Roles!$B$17:$B$20,MATCH(J2781,Roles!$A$17:$A$20,0)),1)</f>
        <v/>
      </c>
      <c r="L2781" s="19" t="n">
        <v>1</v>
      </c>
      <c r="M2781" s="11" t="n">
        <v>1</v>
      </c>
      <c r="N2781" s="19" t="n"/>
      <c r="O2781" s="19" t="n"/>
      <c r="P2781" s="19" t="n"/>
      <c r="Q2781" s="19" t="n"/>
      <c r="R2781" s="19" t="n"/>
      <c r="S2781" s="19" t="n"/>
      <c r="T2781" s="19" t="n"/>
      <c r="U2781" s="19" t="n"/>
      <c r="V2781" s="19" t="n"/>
      <c r="W2781" s="19" t="n"/>
      <c r="X2781" s="19" t="n"/>
      <c r="Y2781" s="19" t="n">
        <v>1</v>
      </c>
      <c r="Z2781" s="13">
        <f>SUMPRODUCT(N2781:Y2781,$N$2:$Y$2)*$K2781*$L2781*$M2781</f>
        <v/>
      </c>
      <c r="AA2781" s="14">
        <f>SUM(N2781:Y2781)</f>
        <v/>
      </c>
      <c r="AB2781" s="13">
        <f>SUMPRODUCT(N2781:Y2781,$N$3:$Y$3)*$K2781*$L2781*$M2781</f>
        <v/>
      </c>
      <c r="AC2781" s="13">
        <f>SUMPRODUCT(N2781:Y2781,$N$4:$Y$4)*$K2781*$L2781*$M2781</f>
        <v/>
      </c>
      <c r="AD2781" s="15" t="n">
        <v>3</v>
      </c>
      <c r="AE2781" s="11" t="n">
        <v>1.011296296296296</v>
      </c>
      <c r="AF2781" s="16">
        <f>SUMPRODUCT(N2781:Y2781,$N$5:$Y$5)*$K2781*$L2781*$M2781</f>
        <v/>
      </c>
      <c r="AG2781" s="16">
        <f>SUMPRODUCT(N2781:Y2781,$N$6:$Y$6)*$K2781*$L2781*$M2781</f>
        <v/>
      </c>
      <c r="AH2781" s="20" t="n"/>
    </row>
    <row r="2782">
      <c r="A2782" s="9" t="n">
        <v>683021</v>
      </c>
      <c r="B2782" s="9" t="inlineStr">
        <is>
          <t>Michael Stefanic</t>
        </is>
      </c>
      <c r="C2782" s="9" t="inlineStr">
        <is>
          <t>TOR</t>
        </is>
      </c>
      <c r="D2782" s="9" t="n">
        <v>31</v>
      </c>
      <c r="E2782" s="18" t="inlineStr">
        <is>
          <t>R</t>
        </is>
      </c>
      <c r="F2782" s="18" t="n"/>
      <c r="G2782" s="9" t="n">
        <v>3</v>
      </c>
      <c r="H2782" s="9" t="n">
        <v>8</v>
      </c>
      <c r="I2782" s="9" t="inlineStr">
        <is>
          <t>Depth (no MLB IP)</t>
        </is>
      </c>
      <c r="J2782" s="18" t="inlineStr">
        <is>
          <t>Opening Day</t>
        </is>
      </c>
      <c r="K2782" s="11">
        <f>IFERROR(INDEX(Roles!$B$17:$B$20,MATCH(J2782,Roles!$A$17:$A$20,0)),1)</f>
        <v/>
      </c>
      <c r="L2782" s="19" t="n">
        <v>1</v>
      </c>
      <c r="M2782" s="11" t="n">
        <v>1</v>
      </c>
      <c r="N2782" s="19" t="n"/>
      <c r="O2782" s="19" t="n"/>
      <c r="P2782" s="19" t="n"/>
      <c r="Q2782" s="19" t="n"/>
      <c r="R2782" s="19" t="n"/>
      <c r="S2782" s="19" t="n"/>
      <c r="T2782" s="19" t="n"/>
      <c r="U2782" s="19" t="n"/>
      <c r="V2782" s="19" t="n"/>
      <c r="W2782" s="19" t="n"/>
      <c r="X2782" s="19" t="n"/>
      <c r="Y2782" s="19" t="n">
        <v>1</v>
      </c>
      <c r="Z2782" s="13">
        <f>SUMPRODUCT(N2782:Y2782,$N$2:$Y$2)*$K2782*$L2782*$M2782</f>
        <v/>
      </c>
      <c r="AA2782" s="14">
        <f>SUM(N2782:Y2782)</f>
        <v/>
      </c>
      <c r="AB2782" s="13">
        <f>SUMPRODUCT(N2782:Y2782,$N$3:$Y$3)*$K2782*$L2782*$M2782</f>
        <v/>
      </c>
      <c r="AC2782" s="13">
        <f>SUMPRODUCT(N2782:Y2782,$N$4:$Y$4)*$K2782*$L2782*$M2782</f>
        <v/>
      </c>
      <c r="AD2782" s="15" t="n">
        <v>1.8</v>
      </c>
      <c r="AE2782" s="11" t="n">
        <v>1.007530864197531</v>
      </c>
      <c r="AF2782" s="16">
        <f>SUMPRODUCT(N2782:Y2782,$N$5:$Y$5)*$K2782*$L2782*$M2782</f>
        <v/>
      </c>
      <c r="AG2782" s="16">
        <f>SUMPRODUCT(N2782:Y2782,$N$6:$Y$6)*$K2782*$L2782*$M2782</f>
        <v/>
      </c>
      <c r="AH2782" s="20" t="n"/>
    </row>
    <row r="2783">
      <c r="A2783" s="9" t="n">
        <v>675989</v>
      </c>
      <c r="B2783" s="9" t="inlineStr">
        <is>
          <t>Cody Bolton</t>
        </is>
      </c>
      <c r="C2783" s="9" t="inlineStr">
        <is>
          <t>HOU</t>
        </is>
      </c>
      <c r="D2783" s="9" t="n">
        <v>29</v>
      </c>
      <c r="E2783" s="18" t="inlineStr">
        <is>
          <t>R</t>
        </is>
      </c>
      <c r="F2783" s="18" t="n"/>
      <c r="G2783" s="9" t="n">
        <v>95</v>
      </c>
      <c r="H2783" s="9" t="n">
        <v>295</v>
      </c>
      <c r="I2783" s="9" t="inlineStr">
        <is>
          <t>Bullpen Depth Arm</t>
        </is>
      </c>
      <c r="J2783" s="18" t="inlineStr">
        <is>
          <t>Opening Day</t>
        </is>
      </c>
      <c r="K2783" s="11">
        <f>IFERROR(INDEX(Roles!$B$17:$B$20,MATCH(J2783,Roles!$A$17:$A$20,0)),1)</f>
        <v/>
      </c>
      <c r="L2783" s="19" t="n">
        <v>1</v>
      </c>
      <c r="M2783" s="11" t="n">
        <v>1</v>
      </c>
      <c r="N2783" s="19" t="n"/>
      <c r="O2783" s="19" t="n"/>
      <c r="P2783" s="19" t="n"/>
      <c r="Q2783" s="19" t="n"/>
      <c r="R2783" s="19" t="n"/>
      <c r="S2783" s="19" t="n"/>
      <c r="T2783" s="19" t="n"/>
      <c r="U2783" s="19" t="n"/>
      <c r="V2783" s="19" t="n"/>
      <c r="W2783" s="19" t="n">
        <v>1</v>
      </c>
      <c r="X2783" s="19" t="n"/>
      <c r="Y2783" s="19" t="n"/>
      <c r="Z2783" s="13">
        <f>SUMPRODUCT(N2783:Y2783,$N$2:$Y$2)*$K2783*$L2783*$M2783</f>
        <v/>
      </c>
      <c r="AA2783" s="14">
        <f>SUM(N2783:Y2783)</f>
        <v/>
      </c>
      <c r="AB2783" s="13">
        <f>SUMPRODUCT(N2783:Y2783,$N$3:$Y$3)*$K2783*$L2783*$M2783</f>
        <v/>
      </c>
      <c r="AC2783" s="13">
        <f>SUMPRODUCT(N2783:Y2783,$N$4:$Y$4)*$K2783*$L2783*$M2783</f>
        <v/>
      </c>
      <c r="AD2783" s="15" t="n">
        <v>9.966666666666663</v>
      </c>
      <c r="AE2783" s="11" t="n">
        <v>1.442334008225481</v>
      </c>
      <c r="AF2783" s="16">
        <f>SUMPRODUCT(N2783:Y2783,$N$5:$Y$5)*$K2783*$L2783*$M2783</f>
        <v/>
      </c>
      <c r="AG2783" s="16">
        <f>SUMPRODUCT(N2783:Y2783,$N$6:$Y$6)*$K2783*$L2783*$M2783</f>
        <v/>
      </c>
      <c r="AH2783" s="20" t="n"/>
    </row>
    <row r="2784">
      <c r="A2784" s="9" t="n">
        <v>455117</v>
      </c>
      <c r="B2784" s="9" t="inlineStr">
        <is>
          <t>Martín Maldonado</t>
        </is>
      </c>
      <c r="C2784" s="9" t="inlineStr">
        <is>
          <t>HOU</t>
        </is>
      </c>
      <c r="D2784" s="9" t="n">
        <v>40</v>
      </c>
      <c r="E2784" s="18" t="inlineStr">
        <is>
          <t>R</t>
        </is>
      </c>
      <c r="F2784" s="18" t="n"/>
      <c r="G2784" s="9" t="n">
        <v>10</v>
      </c>
      <c r="H2784" s="9" t="n">
        <v>10</v>
      </c>
      <c r="I2784" s="9" t="inlineStr">
        <is>
          <t>Depth (no MLB IP)</t>
        </is>
      </c>
      <c r="J2784" s="18" t="inlineStr">
        <is>
          <t>Opening Day</t>
        </is>
      </c>
      <c r="K2784" s="11">
        <f>IFERROR(INDEX(Roles!$B$17:$B$20,MATCH(J2784,Roles!$A$17:$A$20,0)),1)</f>
        <v/>
      </c>
      <c r="L2784" s="19" t="n">
        <v>1</v>
      </c>
      <c r="M2784" s="11" t="n">
        <v>1</v>
      </c>
      <c r="N2784" s="19" t="n"/>
      <c r="O2784" s="19" t="n"/>
      <c r="P2784" s="19" t="n"/>
      <c r="Q2784" s="19" t="n"/>
      <c r="R2784" s="19" t="n"/>
      <c r="S2784" s="19" t="n"/>
      <c r="T2784" s="19" t="n"/>
      <c r="U2784" s="19" t="n"/>
      <c r="V2784" s="19" t="n"/>
      <c r="W2784" s="19" t="n"/>
      <c r="X2784" s="19" t="n"/>
      <c r="Y2784" s="19" t="n">
        <v>1</v>
      </c>
      <c r="Z2784" s="13">
        <f>SUMPRODUCT(N2784:Y2784,$N$2:$Y$2)*$K2784*$L2784*$M2784</f>
        <v/>
      </c>
      <c r="AA2784" s="14">
        <f>SUM(N2784:Y2784)</f>
        <v/>
      </c>
      <c r="AB2784" s="13">
        <f>SUMPRODUCT(N2784:Y2784,$N$3:$Y$3)*$K2784*$L2784*$M2784</f>
        <v/>
      </c>
      <c r="AC2784" s="13">
        <f>SUMPRODUCT(N2784:Y2784,$N$4:$Y$4)*$K2784*$L2784*$M2784</f>
        <v/>
      </c>
      <c r="AD2784" s="15" t="n">
        <v>3</v>
      </c>
      <c r="AE2784" s="11" t="n">
        <v>1.011296296296296</v>
      </c>
      <c r="AF2784" s="16">
        <f>SUMPRODUCT(N2784:Y2784,$N$5:$Y$5)*$K2784*$L2784*$M2784</f>
        <v/>
      </c>
      <c r="AG2784" s="16">
        <f>SUMPRODUCT(N2784:Y2784,$N$6:$Y$6)*$K2784*$L2784*$M2784</f>
        <v/>
      </c>
      <c r="AH2784" s="20" t="n"/>
    </row>
    <row r="2785">
      <c r="A2785" s="9" t="n">
        <v>506702</v>
      </c>
      <c r="B2785" s="9" t="inlineStr">
        <is>
          <t>Sandy León</t>
        </is>
      </c>
      <c r="C2785" s="9" t="inlineStr">
        <is>
          <t>TEX</t>
        </is>
      </c>
      <c r="D2785" s="9" t="n">
        <v>38</v>
      </c>
      <c r="E2785" s="18" t="inlineStr">
        <is>
          <t>R</t>
        </is>
      </c>
      <c r="F2785" s="18" t="n"/>
      <c r="G2785" s="9" t="n">
        <v>5</v>
      </c>
      <c r="H2785" s="9" t="n">
        <v>11</v>
      </c>
      <c r="I2785" s="9" t="inlineStr">
        <is>
          <t>Depth (no MLB IP)</t>
        </is>
      </c>
      <c r="J2785" s="18" t="inlineStr">
        <is>
          <t>Opening Day</t>
        </is>
      </c>
      <c r="K2785" s="11">
        <f>IFERROR(INDEX(Roles!$B$17:$B$20,MATCH(J2785,Roles!$A$17:$A$20,0)),1)</f>
        <v/>
      </c>
      <c r="L2785" s="19" t="n">
        <v>1</v>
      </c>
      <c r="M2785" s="11" t="n">
        <v>1</v>
      </c>
      <c r="N2785" s="19" t="n"/>
      <c r="O2785" s="19" t="n"/>
      <c r="P2785" s="19" t="n"/>
      <c r="Q2785" s="19" t="n"/>
      <c r="R2785" s="19" t="n"/>
      <c r="S2785" s="19" t="n"/>
      <c r="T2785" s="19" t="n"/>
      <c r="U2785" s="19" t="n"/>
      <c r="V2785" s="19" t="n"/>
      <c r="W2785" s="19" t="n"/>
      <c r="X2785" s="19" t="n"/>
      <c r="Y2785" s="19" t="n">
        <v>1</v>
      </c>
      <c r="Z2785" s="13">
        <f>SUMPRODUCT(N2785:Y2785,$N$2:$Y$2)*$K2785*$L2785*$M2785</f>
        <v/>
      </c>
      <c r="AA2785" s="14">
        <f>SUM(N2785:Y2785)</f>
        <v/>
      </c>
      <c r="AB2785" s="13">
        <f>SUMPRODUCT(N2785:Y2785,$N$3:$Y$3)*$K2785*$L2785*$M2785</f>
        <v/>
      </c>
      <c r="AC2785" s="13">
        <f>SUMPRODUCT(N2785:Y2785,$N$4:$Y$4)*$K2785*$L2785*$M2785</f>
        <v/>
      </c>
      <c r="AD2785" s="15" t="n">
        <v>3</v>
      </c>
      <c r="AE2785" s="11" t="n">
        <v>1.011296296296296</v>
      </c>
      <c r="AF2785" s="16">
        <f>SUMPRODUCT(N2785:Y2785,$N$5:$Y$5)*$K2785*$L2785*$M2785</f>
        <v/>
      </c>
      <c r="AG2785" s="16">
        <f>SUMPRODUCT(N2785:Y2785,$N$6:$Y$6)*$K2785*$L2785*$M2785</f>
        <v/>
      </c>
      <c r="AH2785" s="20" t="n"/>
    </row>
    <row r="2786">
      <c r="A2786" s="9" t="n">
        <v>808510</v>
      </c>
      <c r="B2786" s="9" t="inlineStr">
        <is>
          <t>Manuel Genao</t>
        </is>
      </c>
      <c r="C2786" s="9" t="inlineStr">
        <is>
          <t>MIA</t>
        </is>
      </c>
      <c r="D2786" s="9" t="n">
        <v>22</v>
      </c>
      <c r="E2786" s="18" t="inlineStr">
        <is>
          <t>R</t>
        </is>
      </c>
      <c r="F2786" s="18" t="n"/>
      <c r="G2786" s="9" t="n">
        <v>55.728</v>
      </c>
      <c r="H2786" s="9" t="n">
        <v>55.728</v>
      </c>
      <c r="I2786" s="9" t="inlineStr">
        <is>
          <t>Depth (no MLB IP)</t>
        </is>
      </c>
      <c r="J2786" s="18" t="inlineStr">
        <is>
          <t>Opening Day</t>
        </is>
      </c>
      <c r="K2786" s="11">
        <f>IFERROR(INDEX(Roles!$B$17:$B$20,MATCH(J2786,Roles!$A$17:$A$20,0)),1)</f>
        <v/>
      </c>
      <c r="L2786" s="19" t="n">
        <v>1</v>
      </c>
      <c r="M2786" s="11" t="n">
        <v>1</v>
      </c>
      <c r="N2786" s="19" t="n"/>
      <c r="O2786" s="19" t="n"/>
      <c r="P2786" s="19" t="n"/>
      <c r="Q2786" s="19" t="n"/>
      <c r="R2786" s="19" t="n"/>
      <c r="S2786" s="19" t="n"/>
      <c r="T2786" s="19" t="n"/>
      <c r="U2786" s="19" t="n"/>
      <c r="V2786" s="19" t="n"/>
      <c r="W2786" s="19" t="n"/>
      <c r="X2786" s="19" t="n"/>
      <c r="Y2786" s="19" t="n">
        <v>1</v>
      </c>
      <c r="Z2786" s="13">
        <f>SUMPRODUCT(N2786:Y2786,$N$2:$Y$2)*$K2786*$L2786*$M2786</f>
        <v/>
      </c>
      <c r="AA2786" s="14">
        <f>SUM(N2786:Y2786)</f>
        <v/>
      </c>
      <c r="AB2786" s="13">
        <f>SUMPRODUCT(N2786:Y2786,$N$3:$Y$3)*$K2786*$L2786*$M2786</f>
        <v/>
      </c>
      <c r="AC2786" s="13">
        <f>SUMPRODUCT(N2786:Y2786,$N$4:$Y$4)*$K2786*$L2786*$M2786</f>
        <v/>
      </c>
      <c r="AD2786" s="15" t="n">
        <v>3</v>
      </c>
      <c r="AE2786" s="11" t="n">
        <v>1.011296296296296</v>
      </c>
      <c r="AF2786" s="16">
        <f>SUMPRODUCT(N2786:Y2786,$N$5:$Y$5)*$K2786*$L2786*$M2786</f>
        <v/>
      </c>
      <c r="AG2786" s="16">
        <f>SUMPRODUCT(N2786:Y2786,$N$6:$Y$6)*$K2786*$L2786*$M2786</f>
        <v/>
      </c>
      <c r="AH2786" s="20" t="n"/>
    </row>
    <row r="2787">
      <c r="A2787" s="9" t="n">
        <v>694832</v>
      </c>
      <c r="B2787" s="9" t="inlineStr">
        <is>
          <t>Cody Adcock</t>
        </is>
      </c>
      <c r="C2787" s="9" t="inlineStr">
        <is>
          <t>CIN</t>
        </is>
      </c>
      <c r="D2787" s="9" t="n">
        <v>25</v>
      </c>
      <c r="E2787" s="18" t="inlineStr">
        <is>
          <t>R</t>
        </is>
      </c>
      <c r="F2787" s="18" t="n"/>
      <c r="G2787" s="9" t="n">
        <v>55.685</v>
      </c>
      <c r="H2787" s="9" t="n">
        <v>55.685</v>
      </c>
      <c r="I2787" s="9" t="inlineStr">
        <is>
          <t>Depth (no MLB IP)</t>
        </is>
      </c>
      <c r="J2787" s="18" t="inlineStr">
        <is>
          <t>Opening Day</t>
        </is>
      </c>
      <c r="K2787" s="11">
        <f>IFERROR(INDEX(Roles!$B$17:$B$20,MATCH(J2787,Roles!$A$17:$A$20,0)),1)</f>
        <v/>
      </c>
      <c r="L2787" s="19" t="n">
        <v>1</v>
      </c>
      <c r="M2787" s="11" t="n">
        <v>1</v>
      </c>
      <c r="N2787" s="19" t="n"/>
      <c r="O2787" s="19" t="n"/>
      <c r="P2787" s="19" t="n"/>
      <c r="Q2787" s="19" t="n"/>
      <c r="R2787" s="19" t="n"/>
      <c r="S2787" s="19" t="n"/>
      <c r="T2787" s="19" t="n"/>
      <c r="U2787" s="19" t="n"/>
      <c r="V2787" s="19" t="n"/>
      <c r="W2787" s="19" t="n"/>
      <c r="X2787" s="19" t="n"/>
      <c r="Y2787" s="19" t="n">
        <v>1</v>
      </c>
      <c r="Z2787" s="13">
        <f>SUMPRODUCT(N2787:Y2787,$N$2:$Y$2)*$K2787*$L2787*$M2787</f>
        <v/>
      </c>
      <c r="AA2787" s="14">
        <f>SUM(N2787:Y2787)</f>
        <v/>
      </c>
      <c r="AB2787" s="13">
        <f>SUMPRODUCT(N2787:Y2787,$N$3:$Y$3)*$K2787*$L2787*$M2787</f>
        <v/>
      </c>
      <c r="AC2787" s="13">
        <f>SUMPRODUCT(N2787:Y2787,$N$4:$Y$4)*$K2787*$L2787*$M2787</f>
        <v/>
      </c>
      <c r="AD2787" s="15" t="n">
        <v>3</v>
      </c>
      <c r="AE2787" s="11" t="n">
        <v>1.011296296296296</v>
      </c>
      <c r="AF2787" s="16">
        <f>SUMPRODUCT(N2787:Y2787,$N$5:$Y$5)*$K2787*$L2787*$M2787</f>
        <v/>
      </c>
      <c r="AG2787" s="16">
        <f>SUMPRODUCT(N2787:Y2787,$N$6:$Y$6)*$K2787*$L2787*$M2787</f>
        <v/>
      </c>
      <c r="AH2787" s="20" t="n"/>
    </row>
    <row r="2788">
      <c r="A2788" s="9" t="n">
        <v>689690</v>
      </c>
      <c r="B2788" s="9" t="inlineStr">
        <is>
          <t>Alek Jacob</t>
        </is>
      </c>
      <c r="C2788" s="9" t="inlineStr">
        <is>
          <t>SD</t>
        </is>
      </c>
      <c r="D2788" s="9" t="n">
        <v>29</v>
      </c>
      <c r="E2788" s="18" t="inlineStr">
        <is>
          <t>R</t>
        </is>
      </c>
      <c r="F2788" s="18" t="n"/>
      <c r="G2788" s="9" t="n">
        <v>23</v>
      </c>
      <c r="H2788" s="9" t="n">
        <v>243</v>
      </c>
      <c r="I2788" s="9" t="inlineStr">
        <is>
          <t>Bullpen Depth Arm</t>
        </is>
      </c>
      <c r="J2788" s="18" t="inlineStr">
        <is>
          <t>Opening Day</t>
        </is>
      </c>
      <c r="K2788" s="11">
        <f>IFERROR(INDEX(Roles!$B$17:$B$20,MATCH(J2788,Roles!$A$17:$A$20,0)),1)</f>
        <v/>
      </c>
      <c r="L2788" s="19" t="n">
        <v>1</v>
      </c>
      <c r="M2788" s="11" t="n">
        <v>1</v>
      </c>
      <c r="N2788" s="19" t="n"/>
      <c r="O2788" s="19" t="n"/>
      <c r="P2788" s="19" t="n"/>
      <c r="Q2788" s="19" t="n"/>
      <c r="R2788" s="19" t="n"/>
      <c r="S2788" s="19" t="n"/>
      <c r="T2788" s="19" t="n"/>
      <c r="U2788" s="19" t="n"/>
      <c r="V2788" s="19" t="n"/>
      <c r="W2788" s="19" t="n">
        <v>1</v>
      </c>
      <c r="X2788" s="19" t="n"/>
      <c r="Y2788" s="19" t="n"/>
      <c r="Z2788" s="13">
        <f>SUMPRODUCT(N2788:Y2788,$N$2:$Y$2)*$K2788*$L2788*$M2788</f>
        <v/>
      </c>
      <c r="AA2788" s="14">
        <f>SUM(N2788:Y2788)</f>
        <v/>
      </c>
      <c r="AB2788" s="13">
        <f>SUMPRODUCT(N2788:Y2788,$N$3:$Y$3)*$K2788*$L2788*$M2788</f>
        <v/>
      </c>
      <c r="AC2788" s="13">
        <f>SUMPRODUCT(N2788:Y2788,$N$4:$Y$4)*$K2788*$L2788*$M2788</f>
        <v/>
      </c>
      <c r="AD2788" s="15" t="n">
        <v>13.06666666666667</v>
      </c>
      <c r="AE2788" s="11" t="n">
        <v>1.235441068774402</v>
      </c>
      <c r="AF2788" s="16">
        <f>SUMPRODUCT(N2788:Y2788,$N$5:$Y$5)*$K2788*$L2788*$M2788</f>
        <v/>
      </c>
      <c r="AG2788" s="16">
        <f>SUMPRODUCT(N2788:Y2788,$N$6:$Y$6)*$K2788*$L2788*$M2788</f>
        <v/>
      </c>
      <c r="AH2788" s="20" t="n"/>
    </row>
    <row r="2789">
      <c r="A2789" s="9" t="n">
        <v>572008</v>
      </c>
      <c r="B2789" s="9" t="inlineStr">
        <is>
          <t>Chris Owings</t>
        </is>
      </c>
      <c r="C2789" s="9" t="inlineStr">
        <is>
          <t>PIT</t>
        </is>
      </c>
      <c r="D2789" s="9" t="n">
        <v>35</v>
      </c>
      <c r="E2789" s="18" t="inlineStr">
        <is>
          <t>R</t>
        </is>
      </c>
      <c r="F2789" s="18" t="n"/>
      <c r="G2789" s="9" t="n">
        <v>6</v>
      </c>
      <c r="H2789" s="9" t="n">
        <v>11</v>
      </c>
      <c r="I2789" s="9" t="inlineStr">
        <is>
          <t>Depth (no MLB IP)</t>
        </is>
      </c>
      <c r="J2789" s="18" t="inlineStr">
        <is>
          <t>Opening Day</t>
        </is>
      </c>
      <c r="K2789" s="11">
        <f>IFERROR(INDEX(Roles!$B$17:$B$20,MATCH(J2789,Roles!$A$17:$A$20,0)),1)</f>
        <v/>
      </c>
      <c r="L2789" s="19" t="n">
        <v>1</v>
      </c>
      <c r="M2789" s="11" t="n">
        <v>1</v>
      </c>
      <c r="N2789" s="19" t="n"/>
      <c r="O2789" s="19" t="n"/>
      <c r="P2789" s="19" t="n"/>
      <c r="Q2789" s="19" t="n"/>
      <c r="R2789" s="19" t="n"/>
      <c r="S2789" s="19" t="n"/>
      <c r="T2789" s="19" t="n"/>
      <c r="U2789" s="19" t="n"/>
      <c r="V2789" s="19" t="n"/>
      <c r="W2789" s="19" t="n"/>
      <c r="X2789" s="19" t="n"/>
      <c r="Y2789" s="19" t="n">
        <v>1</v>
      </c>
      <c r="Z2789" s="13">
        <f>SUMPRODUCT(N2789:Y2789,$N$2:$Y$2)*$K2789*$L2789*$M2789</f>
        <v/>
      </c>
      <c r="AA2789" s="14">
        <f>SUM(N2789:Y2789)</f>
        <v/>
      </c>
      <c r="AB2789" s="13">
        <f>SUMPRODUCT(N2789:Y2789,$N$3:$Y$3)*$K2789*$L2789*$M2789</f>
        <v/>
      </c>
      <c r="AC2789" s="13">
        <f>SUMPRODUCT(N2789:Y2789,$N$4:$Y$4)*$K2789*$L2789*$M2789</f>
        <v/>
      </c>
      <c r="AD2789" s="15" t="n">
        <v>3</v>
      </c>
      <c r="AE2789" s="11" t="n">
        <v>1.011296296296296</v>
      </c>
      <c r="AF2789" s="16">
        <f>SUMPRODUCT(N2789:Y2789,$N$5:$Y$5)*$K2789*$L2789*$M2789</f>
        <v/>
      </c>
      <c r="AG2789" s="16">
        <f>SUMPRODUCT(N2789:Y2789,$N$6:$Y$6)*$K2789*$L2789*$M2789</f>
        <v/>
      </c>
      <c r="AH2789" s="20" t="n"/>
    </row>
    <row r="2790">
      <c r="A2790" s="9" t="n">
        <v>661440</v>
      </c>
      <c r="B2790" s="9" t="inlineStr">
        <is>
          <t>Mauricio Llovera</t>
        </is>
      </c>
      <c r="C2790" s="9" t="inlineStr">
        <is>
          <t>BOS</t>
        </is>
      </c>
      <c r="D2790" s="9" t="n">
        <v>31</v>
      </c>
      <c r="E2790" s="18" t="inlineStr">
        <is>
          <t>R</t>
        </is>
      </c>
      <c r="F2790" s="18" t="n"/>
      <c r="G2790" s="9" t="n">
        <v>160</v>
      </c>
      <c r="H2790" s="9" t="n">
        <v>232</v>
      </c>
      <c r="I2790" s="9" t="inlineStr">
        <is>
          <t>Depth (no MLB IP)</t>
        </is>
      </c>
      <c r="J2790" s="18" t="inlineStr">
        <is>
          <t>Opening Day</t>
        </is>
      </c>
      <c r="K2790" s="11">
        <f>IFERROR(INDEX(Roles!$B$17:$B$20,MATCH(J2790,Roles!$A$17:$A$20,0)),1)</f>
        <v/>
      </c>
      <c r="L2790" s="19" t="n">
        <v>1</v>
      </c>
      <c r="M2790" s="11" t="n">
        <v>1</v>
      </c>
      <c r="N2790" s="19" t="n"/>
      <c r="O2790" s="19" t="n"/>
      <c r="P2790" s="19" t="n"/>
      <c r="Q2790" s="19" t="n"/>
      <c r="R2790" s="19" t="n"/>
      <c r="S2790" s="19" t="n"/>
      <c r="T2790" s="19" t="n"/>
      <c r="U2790" s="19" t="n"/>
      <c r="V2790" s="19" t="n"/>
      <c r="W2790" s="19" t="n"/>
      <c r="X2790" s="19" t="n"/>
      <c r="Y2790" s="19" t="n">
        <v>1</v>
      </c>
      <c r="Z2790" s="13">
        <f>SUMPRODUCT(N2790:Y2790,$N$2:$Y$2)*$K2790*$L2790*$M2790</f>
        <v/>
      </c>
      <c r="AA2790" s="14">
        <f>SUM(N2790:Y2790)</f>
        <v/>
      </c>
      <c r="AB2790" s="13">
        <f>SUMPRODUCT(N2790:Y2790,$N$3:$Y$3)*$K2790*$L2790*$M2790</f>
        <v/>
      </c>
      <c r="AC2790" s="13">
        <f>SUMPRODUCT(N2790:Y2790,$N$4:$Y$4)*$K2790*$L2790*$M2790</f>
        <v/>
      </c>
      <c r="AD2790" s="15" t="n">
        <v>3</v>
      </c>
      <c r="AE2790" s="11" t="n">
        <v>1.011296296296296</v>
      </c>
      <c r="AF2790" s="16">
        <f>SUMPRODUCT(N2790:Y2790,$N$5:$Y$5)*$K2790*$L2790*$M2790</f>
        <v/>
      </c>
      <c r="AG2790" s="16">
        <f>SUMPRODUCT(N2790:Y2790,$N$6:$Y$6)*$K2790*$L2790*$M2790</f>
        <v/>
      </c>
      <c r="AH2790" s="20" t="n"/>
    </row>
    <row r="2791">
      <c r="A2791" s="9" t="n">
        <v>809685</v>
      </c>
      <c r="B2791" s="9" t="inlineStr">
        <is>
          <t>Aiven Cabral</t>
        </is>
      </c>
      <c r="C2791" s="9" t="inlineStr">
        <is>
          <t>ATL</t>
        </is>
      </c>
      <c r="D2791" s="9" t="n">
        <v>25</v>
      </c>
      <c r="E2791" s="18" t="inlineStr">
        <is>
          <t>R</t>
        </is>
      </c>
      <c r="F2791" s="18" t="n"/>
      <c r="G2791" s="9" t="n">
        <v>55.90000000000001</v>
      </c>
      <c r="H2791" s="9" t="n">
        <v>55.90000000000001</v>
      </c>
      <c r="I2791" s="9" t="inlineStr">
        <is>
          <t>Depth (no MLB IP)</t>
        </is>
      </c>
      <c r="J2791" s="18" t="inlineStr">
        <is>
          <t>Opening Day</t>
        </is>
      </c>
      <c r="K2791" s="11">
        <f>IFERROR(INDEX(Roles!$B$17:$B$20,MATCH(J2791,Roles!$A$17:$A$20,0)),1)</f>
        <v/>
      </c>
      <c r="L2791" s="19" t="n">
        <v>1</v>
      </c>
      <c r="M2791" s="11" t="n">
        <v>1</v>
      </c>
      <c r="N2791" s="19" t="n"/>
      <c r="O2791" s="19" t="n"/>
      <c r="P2791" s="19" t="n"/>
      <c r="Q2791" s="19" t="n"/>
      <c r="R2791" s="19" t="n"/>
      <c r="S2791" s="19" t="n"/>
      <c r="T2791" s="19" t="n"/>
      <c r="U2791" s="19" t="n"/>
      <c r="V2791" s="19" t="n"/>
      <c r="W2791" s="19" t="n"/>
      <c r="X2791" s="19" t="n"/>
      <c r="Y2791" s="19" t="n">
        <v>1</v>
      </c>
      <c r="Z2791" s="13">
        <f>SUMPRODUCT(N2791:Y2791,$N$2:$Y$2)*$K2791*$L2791*$M2791</f>
        <v/>
      </c>
      <c r="AA2791" s="14">
        <f>SUM(N2791:Y2791)</f>
        <v/>
      </c>
      <c r="AB2791" s="13">
        <f>SUMPRODUCT(N2791:Y2791,$N$3:$Y$3)*$K2791*$L2791*$M2791</f>
        <v/>
      </c>
      <c r="AC2791" s="13">
        <f>SUMPRODUCT(N2791:Y2791,$N$4:$Y$4)*$K2791*$L2791*$M2791</f>
        <v/>
      </c>
      <c r="AD2791" s="15" t="n">
        <v>3</v>
      </c>
      <c r="AE2791" s="11" t="n">
        <v>1.011296296296296</v>
      </c>
      <c r="AF2791" s="16">
        <f>SUMPRODUCT(N2791:Y2791,$N$5:$Y$5)*$K2791*$L2791*$M2791</f>
        <v/>
      </c>
      <c r="AG2791" s="16">
        <f>SUMPRODUCT(N2791:Y2791,$N$6:$Y$6)*$K2791*$L2791*$M2791</f>
        <v/>
      </c>
      <c r="AH2791" s="20" t="n"/>
    </row>
    <row r="2792">
      <c r="A2792" s="9" t="n">
        <v>694316</v>
      </c>
      <c r="B2792" s="9" t="inlineStr">
        <is>
          <t>Lebarron Johnson Jr.</t>
        </is>
      </c>
      <c r="C2792" s="9" t="inlineStr">
        <is>
          <t>COL</t>
        </is>
      </c>
      <c r="D2792" s="9" t="n">
        <v>25</v>
      </c>
      <c r="E2792" s="18" t="inlineStr">
        <is>
          <t>R</t>
        </is>
      </c>
      <c r="F2792" s="18" t="n"/>
      <c r="G2792" s="9" t="n">
        <v>55.90000000000001</v>
      </c>
      <c r="H2792" s="9" t="n">
        <v>55.90000000000001</v>
      </c>
      <c r="I2792" s="9" t="inlineStr">
        <is>
          <t>Depth (no MLB IP)</t>
        </is>
      </c>
      <c r="J2792" s="18" t="inlineStr">
        <is>
          <t>Opening Day</t>
        </is>
      </c>
      <c r="K2792" s="11">
        <f>IFERROR(INDEX(Roles!$B$17:$B$20,MATCH(J2792,Roles!$A$17:$A$20,0)),1)</f>
        <v/>
      </c>
      <c r="L2792" s="19" t="n">
        <v>1</v>
      </c>
      <c r="M2792" s="11" t="n">
        <v>1</v>
      </c>
      <c r="N2792" s="19" t="n"/>
      <c r="O2792" s="19" t="n"/>
      <c r="P2792" s="19" t="n"/>
      <c r="Q2792" s="19" t="n"/>
      <c r="R2792" s="19" t="n"/>
      <c r="S2792" s="19" t="n"/>
      <c r="T2792" s="19" t="n"/>
      <c r="U2792" s="19" t="n"/>
      <c r="V2792" s="19" t="n"/>
      <c r="W2792" s="19" t="n"/>
      <c r="X2792" s="19" t="n"/>
      <c r="Y2792" s="19" t="n">
        <v>1</v>
      </c>
      <c r="Z2792" s="13">
        <f>SUMPRODUCT(N2792:Y2792,$N$2:$Y$2)*$K2792*$L2792*$M2792</f>
        <v/>
      </c>
      <c r="AA2792" s="14">
        <f>SUM(N2792:Y2792)</f>
        <v/>
      </c>
      <c r="AB2792" s="13">
        <f>SUMPRODUCT(N2792:Y2792,$N$3:$Y$3)*$K2792*$L2792*$M2792</f>
        <v/>
      </c>
      <c r="AC2792" s="13">
        <f>SUMPRODUCT(N2792:Y2792,$N$4:$Y$4)*$K2792*$L2792*$M2792</f>
        <v/>
      </c>
      <c r="AD2792" s="15" t="n">
        <v>3</v>
      </c>
      <c r="AE2792" s="11" t="n">
        <v>1.011296296296296</v>
      </c>
      <c r="AF2792" s="16">
        <f>SUMPRODUCT(N2792:Y2792,$N$5:$Y$5)*$K2792*$L2792*$M2792</f>
        <v/>
      </c>
      <c r="AG2792" s="16">
        <f>SUMPRODUCT(N2792:Y2792,$N$6:$Y$6)*$K2792*$L2792*$M2792</f>
        <v/>
      </c>
      <c r="AH2792" s="20" t="n"/>
    </row>
    <row r="2793">
      <c r="A2793" s="9" t="n">
        <v>820830</v>
      </c>
      <c r="B2793" s="9" t="inlineStr">
        <is>
          <t>Justin Loer</t>
        </is>
      </c>
      <c r="C2793" s="9" t="inlineStr">
        <is>
          <t>COL</t>
        </is>
      </c>
      <c r="D2793" s="9" t="n">
        <v>25</v>
      </c>
      <c r="E2793" s="18" t="inlineStr">
        <is>
          <t>L</t>
        </is>
      </c>
      <c r="F2793" s="18" t="n"/>
      <c r="G2793" s="9" t="n">
        <v>55.90000000000001</v>
      </c>
      <c r="H2793" s="9" t="n">
        <v>55.90000000000001</v>
      </c>
      <c r="I2793" s="9" t="inlineStr">
        <is>
          <t>Depth (no MLB IP)</t>
        </is>
      </c>
      <c r="J2793" s="18" t="inlineStr">
        <is>
          <t>Opening Day</t>
        </is>
      </c>
      <c r="K2793" s="11">
        <f>IFERROR(INDEX(Roles!$B$17:$B$20,MATCH(J2793,Roles!$A$17:$A$20,0)),1)</f>
        <v/>
      </c>
      <c r="L2793" s="19" t="n">
        <v>1</v>
      </c>
      <c r="M2793" s="11" t="n">
        <v>1</v>
      </c>
      <c r="N2793" s="19" t="n"/>
      <c r="O2793" s="19" t="n"/>
      <c r="P2793" s="19" t="n"/>
      <c r="Q2793" s="19" t="n"/>
      <c r="R2793" s="19" t="n"/>
      <c r="S2793" s="19" t="n"/>
      <c r="T2793" s="19" t="n"/>
      <c r="U2793" s="19" t="n"/>
      <c r="V2793" s="19" t="n"/>
      <c r="W2793" s="19" t="n"/>
      <c r="X2793" s="19" t="n"/>
      <c r="Y2793" s="19" t="n">
        <v>1</v>
      </c>
      <c r="Z2793" s="13">
        <f>SUMPRODUCT(N2793:Y2793,$N$2:$Y$2)*$K2793*$L2793*$M2793</f>
        <v/>
      </c>
      <c r="AA2793" s="14">
        <f>SUM(N2793:Y2793)</f>
        <v/>
      </c>
      <c r="AB2793" s="13">
        <f>SUMPRODUCT(N2793:Y2793,$N$3:$Y$3)*$K2793*$L2793*$M2793</f>
        <v/>
      </c>
      <c r="AC2793" s="13">
        <f>SUMPRODUCT(N2793:Y2793,$N$4:$Y$4)*$K2793*$L2793*$M2793</f>
        <v/>
      </c>
      <c r="AD2793" s="15" t="n">
        <v>3</v>
      </c>
      <c r="AE2793" s="11" t="n">
        <v>1.011296296296296</v>
      </c>
      <c r="AF2793" s="16">
        <f>SUMPRODUCT(N2793:Y2793,$N$5:$Y$5)*$K2793*$L2793*$M2793</f>
        <v/>
      </c>
      <c r="AG2793" s="16">
        <f>SUMPRODUCT(N2793:Y2793,$N$6:$Y$6)*$K2793*$L2793*$M2793</f>
        <v/>
      </c>
      <c r="AH2793" s="20" t="n"/>
    </row>
    <row r="2794">
      <c r="A2794" s="9" t="n">
        <v>828497</v>
      </c>
      <c r="B2794" s="9" t="inlineStr">
        <is>
          <t>Cole Peschl</t>
        </is>
      </c>
      <c r="C2794" s="9" t="inlineStr">
        <is>
          <t>MIN</t>
        </is>
      </c>
      <c r="D2794" s="9" t="n">
        <v>25</v>
      </c>
      <c r="E2794" s="18" t="inlineStr">
        <is>
          <t>R</t>
        </is>
      </c>
      <c r="F2794" s="18" t="n"/>
      <c r="G2794" s="9" t="n">
        <v>55.90000000000001</v>
      </c>
      <c r="H2794" s="9" t="n">
        <v>55.90000000000001</v>
      </c>
      <c r="I2794" s="9" t="inlineStr">
        <is>
          <t>Depth (no MLB IP)</t>
        </is>
      </c>
      <c r="J2794" s="18" t="inlineStr">
        <is>
          <t>Opening Day</t>
        </is>
      </c>
      <c r="K2794" s="11">
        <f>IFERROR(INDEX(Roles!$B$17:$B$20,MATCH(J2794,Roles!$A$17:$A$20,0)),1)</f>
        <v/>
      </c>
      <c r="L2794" s="19" t="n">
        <v>1</v>
      </c>
      <c r="M2794" s="11" t="n">
        <v>1</v>
      </c>
      <c r="N2794" s="19" t="n"/>
      <c r="O2794" s="19" t="n"/>
      <c r="P2794" s="19" t="n"/>
      <c r="Q2794" s="19" t="n"/>
      <c r="R2794" s="19" t="n"/>
      <c r="S2794" s="19" t="n"/>
      <c r="T2794" s="19" t="n"/>
      <c r="U2794" s="19" t="n"/>
      <c r="V2794" s="19" t="n"/>
      <c r="W2794" s="19" t="n"/>
      <c r="X2794" s="19" t="n"/>
      <c r="Y2794" s="19" t="n">
        <v>1</v>
      </c>
      <c r="Z2794" s="13">
        <f>SUMPRODUCT(N2794:Y2794,$N$2:$Y$2)*$K2794*$L2794*$M2794</f>
        <v/>
      </c>
      <c r="AA2794" s="14">
        <f>SUM(N2794:Y2794)</f>
        <v/>
      </c>
      <c r="AB2794" s="13">
        <f>SUMPRODUCT(N2794:Y2794,$N$3:$Y$3)*$K2794*$L2794*$M2794</f>
        <v/>
      </c>
      <c r="AC2794" s="13">
        <f>SUMPRODUCT(N2794:Y2794,$N$4:$Y$4)*$K2794*$L2794*$M2794</f>
        <v/>
      </c>
      <c r="AD2794" s="15" t="n">
        <v>3</v>
      </c>
      <c r="AE2794" s="11" t="n">
        <v>1.011296296296296</v>
      </c>
      <c r="AF2794" s="16">
        <f>SUMPRODUCT(N2794:Y2794,$N$5:$Y$5)*$K2794*$L2794*$M2794</f>
        <v/>
      </c>
      <c r="AG2794" s="16">
        <f>SUMPRODUCT(N2794:Y2794,$N$6:$Y$6)*$K2794*$L2794*$M2794</f>
        <v/>
      </c>
      <c r="AH2794" s="20" t="n"/>
    </row>
    <row r="2795">
      <c r="A2795" s="9" t="n">
        <v>800067</v>
      </c>
      <c r="B2795" s="9" t="inlineStr">
        <is>
          <t>Jose Fleury</t>
        </is>
      </c>
      <c r="C2795" s="9" t="inlineStr">
        <is>
          <t>HOU</t>
        </is>
      </c>
      <c r="D2795" s="9" t="n">
        <v>25</v>
      </c>
      <c r="E2795" s="18" t="inlineStr">
        <is>
          <t>R</t>
        </is>
      </c>
      <c r="F2795" s="18" t="n"/>
      <c r="G2795" s="9" t="n">
        <v>55.97166666666667</v>
      </c>
      <c r="H2795" s="9" t="n">
        <v>55.97166666666667</v>
      </c>
      <c r="I2795" s="9" t="inlineStr">
        <is>
          <t>Depth (no MLB IP)</t>
        </is>
      </c>
      <c r="J2795" s="18" t="inlineStr">
        <is>
          <t>Opening Day</t>
        </is>
      </c>
      <c r="K2795" s="11">
        <f>IFERROR(INDEX(Roles!$B$17:$B$20,MATCH(J2795,Roles!$A$17:$A$20,0)),1)</f>
        <v/>
      </c>
      <c r="L2795" s="19" t="n">
        <v>1</v>
      </c>
      <c r="M2795" s="11" t="n">
        <v>1</v>
      </c>
      <c r="N2795" s="19" t="n"/>
      <c r="O2795" s="19" t="n"/>
      <c r="P2795" s="19" t="n"/>
      <c r="Q2795" s="19" t="n"/>
      <c r="R2795" s="19" t="n"/>
      <c r="S2795" s="19" t="n"/>
      <c r="T2795" s="19" t="n"/>
      <c r="U2795" s="19" t="n"/>
      <c r="V2795" s="19" t="n"/>
      <c r="W2795" s="19" t="n"/>
      <c r="X2795" s="19" t="n"/>
      <c r="Y2795" s="19" t="n">
        <v>1</v>
      </c>
      <c r="Z2795" s="13">
        <f>SUMPRODUCT(N2795:Y2795,$N$2:$Y$2)*$K2795*$L2795*$M2795</f>
        <v/>
      </c>
      <c r="AA2795" s="14">
        <f>SUM(N2795:Y2795)</f>
        <v/>
      </c>
      <c r="AB2795" s="13">
        <f>SUMPRODUCT(N2795:Y2795,$N$3:$Y$3)*$K2795*$L2795*$M2795</f>
        <v/>
      </c>
      <c r="AC2795" s="13">
        <f>SUMPRODUCT(N2795:Y2795,$N$4:$Y$4)*$K2795*$L2795*$M2795</f>
        <v/>
      </c>
      <c r="AD2795" s="15" t="n">
        <v>3</v>
      </c>
      <c r="AE2795" s="11" t="n">
        <v>1.011296296296296</v>
      </c>
      <c r="AF2795" s="16">
        <f>SUMPRODUCT(N2795:Y2795,$N$5:$Y$5)*$K2795*$L2795*$M2795</f>
        <v/>
      </c>
      <c r="AG2795" s="16">
        <f>SUMPRODUCT(N2795:Y2795,$N$6:$Y$6)*$K2795*$L2795*$M2795</f>
        <v/>
      </c>
      <c r="AH2795" s="20" t="n"/>
    </row>
    <row r="2796">
      <c r="A2796" s="9" t="n">
        <v>692589</v>
      </c>
      <c r="B2796" s="9" t="inlineStr">
        <is>
          <t>Victor Juarez</t>
        </is>
      </c>
      <c r="C2796" s="9" t="inlineStr">
        <is>
          <t>COL</t>
        </is>
      </c>
      <c r="D2796" s="9" t="n">
        <v>25</v>
      </c>
      <c r="E2796" s="18" t="inlineStr">
        <is>
          <t>R</t>
        </is>
      </c>
      <c r="F2796" s="18" t="n"/>
      <c r="G2796" s="9" t="n">
        <v>55.97166666666667</v>
      </c>
      <c r="H2796" s="9" t="n">
        <v>55.97166666666667</v>
      </c>
      <c r="I2796" s="9" t="inlineStr">
        <is>
          <t>Depth (no MLB IP)</t>
        </is>
      </c>
      <c r="J2796" s="18" t="inlineStr">
        <is>
          <t>Opening Day</t>
        </is>
      </c>
      <c r="K2796" s="11">
        <f>IFERROR(INDEX(Roles!$B$17:$B$20,MATCH(J2796,Roles!$A$17:$A$20,0)),1)</f>
        <v/>
      </c>
      <c r="L2796" s="19" t="n">
        <v>1</v>
      </c>
      <c r="M2796" s="11" t="n">
        <v>1</v>
      </c>
      <c r="N2796" s="19" t="n"/>
      <c r="O2796" s="19" t="n"/>
      <c r="P2796" s="19" t="n"/>
      <c r="Q2796" s="19" t="n"/>
      <c r="R2796" s="19" t="n"/>
      <c r="S2796" s="19" t="n"/>
      <c r="T2796" s="19" t="n"/>
      <c r="U2796" s="19" t="n"/>
      <c r="V2796" s="19" t="n"/>
      <c r="W2796" s="19" t="n"/>
      <c r="X2796" s="19" t="n"/>
      <c r="Y2796" s="19" t="n">
        <v>1</v>
      </c>
      <c r="Z2796" s="13">
        <f>SUMPRODUCT(N2796:Y2796,$N$2:$Y$2)*$K2796*$L2796*$M2796</f>
        <v/>
      </c>
      <c r="AA2796" s="14">
        <f>SUM(N2796:Y2796)</f>
        <v/>
      </c>
      <c r="AB2796" s="13">
        <f>SUMPRODUCT(N2796:Y2796,$N$3:$Y$3)*$K2796*$L2796*$M2796</f>
        <v/>
      </c>
      <c r="AC2796" s="13">
        <f>SUMPRODUCT(N2796:Y2796,$N$4:$Y$4)*$K2796*$L2796*$M2796</f>
        <v/>
      </c>
      <c r="AD2796" s="15" t="n">
        <v>3</v>
      </c>
      <c r="AE2796" s="11" t="n">
        <v>1.011296296296296</v>
      </c>
      <c r="AF2796" s="16">
        <f>SUMPRODUCT(N2796:Y2796,$N$5:$Y$5)*$K2796*$L2796*$M2796</f>
        <v/>
      </c>
      <c r="AG2796" s="16">
        <f>SUMPRODUCT(N2796:Y2796,$N$6:$Y$6)*$K2796*$L2796*$M2796</f>
        <v/>
      </c>
      <c r="AH2796" s="20" t="n"/>
    </row>
    <row r="2797">
      <c r="A2797" s="9" t="n">
        <v>663704</v>
      </c>
      <c r="B2797" s="9" t="inlineStr">
        <is>
          <t>James McArthur</t>
        </is>
      </c>
      <c r="C2797" s="9" t="inlineStr">
        <is>
          <t>KC</t>
        </is>
      </c>
      <c r="D2797" s="9" t="n">
        <v>30</v>
      </c>
      <c r="E2797" s="18" t="inlineStr">
        <is>
          <t>R</t>
        </is>
      </c>
      <c r="F2797" s="18" t="n"/>
      <c r="G2797" s="9" t="n">
        <v>247</v>
      </c>
      <c r="H2797" s="9" t="n">
        <v>337</v>
      </c>
      <c r="I2797" s="9" t="inlineStr">
        <is>
          <t>Middle Relief</t>
        </is>
      </c>
      <c r="J2797" s="18" t="inlineStr">
        <is>
          <t>Opening Day</t>
        </is>
      </c>
      <c r="K2797" s="11">
        <f>IFERROR(INDEX(Roles!$B$17:$B$20,MATCH(J2797,Roles!$A$17:$A$20,0)),1)</f>
        <v/>
      </c>
      <c r="L2797" s="19" t="n">
        <v>1</v>
      </c>
      <c r="M2797" s="11" t="n">
        <v>1</v>
      </c>
      <c r="N2797" s="19" t="n"/>
      <c r="O2797" s="19" t="n"/>
      <c r="P2797" s="19" t="n"/>
      <c r="Q2797" s="19" t="n"/>
      <c r="R2797" s="19" t="n"/>
      <c r="S2797" s="19" t="n"/>
      <c r="T2797" s="19" t="n"/>
      <c r="U2797" s="19" t="n"/>
      <c r="V2797" s="19" t="n">
        <v>0.6</v>
      </c>
      <c r="W2797" s="19" t="n">
        <v>0.4</v>
      </c>
      <c r="X2797" s="19" t="n"/>
      <c r="Y2797" s="19" t="n"/>
      <c r="Z2797" s="13">
        <f>SUMPRODUCT(N2797:Y2797,$N$2:$Y$2)*$K2797*$L2797*$M2797</f>
        <v/>
      </c>
      <c r="AA2797" s="14">
        <f>SUM(N2797:Y2797)</f>
        <v/>
      </c>
      <c r="AB2797" s="13">
        <f>SUMPRODUCT(N2797:Y2797,$N$3:$Y$3)*$K2797*$L2797*$M2797</f>
        <v/>
      </c>
      <c r="AC2797" s="13">
        <f>SUMPRODUCT(N2797:Y2797,$N$4:$Y$4)*$K2797*$L2797*$M2797</f>
        <v/>
      </c>
      <c r="AD2797" s="15" t="n">
        <v>48.93333333333333</v>
      </c>
      <c r="AE2797" s="11" t="n">
        <v>1.020527780369956</v>
      </c>
      <c r="AF2797" s="16">
        <f>SUMPRODUCT(N2797:Y2797,$N$5:$Y$5)*$K2797*$L2797*$M2797</f>
        <v/>
      </c>
      <c r="AG2797" s="16">
        <f>SUMPRODUCT(N2797:Y2797,$N$6:$Y$6)*$K2797*$L2797*$M2797</f>
        <v/>
      </c>
      <c r="AH2797" s="20" t="n"/>
    </row>
    <row r="2798">
      <c r="A2798" s="9" t="n">
        <v>694805</v>
      </c>
      <c r="B2798" s="9" t="inlineStr">
        <is>
          <t>Kyle Carr</t>
        </is>
      </c>
      <c r="C2798" s="9" t="inlineStr">
        <is>
          <t>NYY</t>
        </is>
      </c>
      <c r="D2798" s="9" t="n">
        <v>25</v>
      </c>
      <c r="E2798" s="18" t="inlineStr">
        <is>
          <t>L</t>
        </is>
      </c>
      <c r="F2798" s="18" t="n"/>
      <c r="G2798" s="9" t="n">
        <v>55.97166666666667</v>
      </c>
      <c r="H2798" s="9" t="n">
        <v>55.97166666666667</v>
      </c>
      <c r="I2798" s="9" t="inlineStr">
        <is>
          <t>Depth (no MLB IP)</t>
        </is>
      </c>
      <c r="J2798" s="18" t="inlineStr">
        <is>
          <t>Opening Day</t>
        </is>
      </c>
      <c r="K2798" s="11">
        <f>IFERROR(INDEX(Roles!$B$17:$B$20,MATCH(J2798,Roles!$A$17:$A$20,0)),1)</f>
        <v/>
      </c>
      <c r="L2798" s="19" t="n">
        <v>1</v>
      </c>
      <c r="M2798" s="11" t="n">
        <v>1</v>
      </c>
      <c r="N2798" s="19" t="n"/>
      <c r="O2798" s="19" t="n"/>
      <c r="P2798" s="19" t="n"/>
      <c r="Q2798" s="19" t="n"/>
      <c r="R2798" s="19" t="n"/>
      <c r="S2798" s="19" t="n"/>
      <c r="T2798" s="19" t="n"/>
      <c r="U2798" s="19" t="n"/>
      <c r="V2798" s="19" t="n"/>
      <c r="W2798" s="19" t="n"/>
      <c r="X2798" s="19" t="n"/>
      <c r="Y2798" s="19" t="n">
        <v>1</v>
      </c>
      <c r="Z2798" s="13">
        <f>SUMPRODUCT(N2798:Y2798,$N$2:$Y$2)*$K2798*$L2798*$M2798</f>
        <v/>
      </c>
      <c r="AA2798" s="14">
        <f>SUM(N2798:Y2798)</f>
        <v/>
      </c>
      <c r="AB2798" s="13">
        <f>SUMPRODUCT(N2798:Y2798,$N$3:$Y$3)*$K2798*$L2798*$M2798</f>
        <v/>
      </c>
      <c r="AC2798" s="13">
        <f>SUMPRODUCT(N2798:Y2798,$N$4:$Y$4)*$K2798*$L2798*$M2798</f>
        <v/>
      </c>
      <c r="AD2798" s="15" t="n">
        <v>3</v>
      </c>
      <c r="AE2798" s="11" t="n">
        <v>1.011296296296296</v>
      </c>
      <c r="AF2798" s="16">
        <f>SUMPRODUCT(N2798:Y2798,$N$5:$Y$5)*$K2798*$L2798*$M2798</f>
        <v/>
      </c>
      <c r="AG2798" s="16">
        <f>SUMPRODUCT(N2798:Y2798,$N$6:$Y$6)*$K2798*$L2798*$M2798</f>
        <v/>
      </c>
      <c r="AH2798" s="20" t="n"/>
    </row>
    <row r="2799">
      <c r="A2799" s="9" t="n">
        <v>663804</v>
      </c>
      <c r="B2799" s="9" t="inlineStr">
        <is>
          <t>Jackson Kowar</t>
        </is>
      </c>
      <c r="C2799" s="9" t="inlineStr">
        <is>
          <t>SEA</t>
        </is>
      </c>
      <c r="D2799" s="9" t="n">
        <v>30</v>
      </c>
      <c r="E2799" s="18" t="inlineStr">
        <is>
          <t>R</t>
        </is>
      </c>
      <c r="F2799" s="18" t="n"/>
      <c r="G2799" s="9" t="n">
        <v>71</v>
      </c>
      <c r="H2799" s="9" t="n">
        <v>290</v>
      </c>
      <c r="I2799" s="9" t="inlineStr">
        <is>
          <t>Bullpen Depth Arm</t>
        </is>
      </c>
      <c r="J2799" s="18" t="inlineStr">
        <is>
          <t>Opening Day</t>
        </is>
      </c>
      <c r="K2799" s="11">
        <f>IFERROR(INDEX(Roles!$B$17:$B$20,MATCH(J2799,Roles!$A$17:$A$20,0)),1)</f>
        <v/>
      </c>
      <c r="L2799" s="19" t="n">
        <v>1</v>
      </c>
      <c r="M2799" s="11" t="n">
        <v>1</v>
      </c>
      <c r="N2799" s="19" t="n"/>
      <c r="O2799" s="19" t="n"/>
      <c r="P2799" s="19" t="n"/>
      <c r="Q2799" s="19" t="n"/>
      <c r="R2799" s="19" t="n"/>
      <c r="S2799" s="19" t="n"/>
      <c r="T2799" s="19" t="n"/>
      <c r="U2799" s="19" t="n"/>
      <c r="V2799" s="19" t="n"/>
      <c r="W2799" s="19" t="n">
        <v>1</v>
      </c>
      <c r="X2799" s="19" t="n"/>
      <c r="Y2799" s="19" t="n"/>
      <c r="Z2799" s="13">
        <f>SUMPRODUCT(N2799:Y2799,$N$2:$Y$2)*$K2799*$L2799*$M2799</f>
        <v/>
      </c>
      <c r="AA2799" s="14">
        <f>SUM(N2799:Y2799)</f>
        <v/>
      </c>
      <c r="AB2799" s="13">
        <f>SUMPRODUCT(N2799:Y2799,$N$3:$Y$3)*$K2799*$L2799*$M2799</f>
        <v/>
      </c>
      <c r="AC2799" s="13">
        <f>SUMPRODUCT(N2799:Y2799,$N$4:$Y$4)*$K2799*$L2799*$M2799</f>
        <v/>
      </c>
      <c r="AD2799" s="15" t="n">
        <v>14.66666666666667</v>
      </c>
      <c r="AE2799" s="11" t="n">
        <v>1.179284912618246</v>
      </c>
      <c r="AF2799" s="16">
        <f>SUMPRODUCT(N2799:Y2799,$N$5:$Y$5)*$K2799*$L2799*$M2799</f>
        <v/>
      </c>
      <c r="AG2799" s="16">
        <f>SUMPRODUCT(N2799:Y2799,$N$6:$Y$6)*$K2799*$L2799*$M2799</f>
        <v/>
      </c>
      <c r="AH2799" s="20" t="n"/>
    </row>
    <row r="2800">
      <c r="A2800" s="9" t="n">
        <v>621368</v>
      </c>
      <c r="B2800" s="9" t="inlineStr">
        <is>
          <t>Taylor Hearn</t>
        </is>
      </c>
      <c r="C2800" s="9" t="inlineStr">
        <is>
          <t>KC</t>
        </is>
      </c>
      <c r="D2800" s="9" t="n">
        <v>32</v>
      </c>
      <c r="E2800" s="18" t="inlineStr">
        <is>
          <t>L</t>
        </is>
      </c>
      <c r="F2800" s="18" t="n"/>
      <c r="G2800" s="9" t="n">
        <v>76</v>
      </c>
      <c r="H2800" s="9" t="n">
        <v>525</v>
      </c>
      <c r="I2800" s="9" t="inlineStr">
        <is>
          <t>Depth (no MLB IP)</t>
        </is>
      </c>
      <c r="J2800" s="18" t="inlineStr">
        <is>
          <t>Opening Day</t>
        </is>
      </c>
      <c r="K2800" s="11">
        <f>IFERROR(INDEX(Roles!$B$17:$B$20,MATCH(J2800,Roles!$A$17:$A$20,0)),1)</f>
        <v/>
      </c>
      <c r="L2800" s="19" t="n">
        <v>1</v>
      </c>
      <c r="M2800" s="11" t="n">
        <v>1</v>
      </c>
      <c r="N2800" s="19" t="n"/>
      <c r="O2800" s="19" t="n"/>
      <c r="P2800" s="19" t="n"/>
      <c r="Q2800" s="19" t="n"/>
      <c r="R2800" s="19" t="n"/>
      <c r="S2800" s="19" t="n"/>
      <c r="T2800" s="19" t="n"/>
      <c r="U2800" s="19" t="n"/>
      <c r="V2800" s="19" t="n"/>
      <c r="W2800" s="19" t="n"/>
      <c r="X2800" s="19" t="n"/>
      <c r="Y2800" s="19" t="n">
        <v>1</v>
      </c>
      <c r="Z2800" s="13">
        <f>SUMPRODUCT(N2800:Y2800,$N$2:$Y$2)*$K2800*$L2800*$M2800</f>
        <v/>
      </c>
      <c r="AA2800" s="14">
        <f>SUM(N2800:Y2800)</f>
        <v/>
      </c>
      <c r="AB2800" s="13">
        <f>SUMPRODUCT(N2800:Y2800,$N$3:$Y$3)*$K2800*$L2800*$M2800</f>
        <v/>
      </c>
      <c r="AC2800" s="13">
        <f>SUMPRODUCT(N2800:Y2800,$N$4:$Y$4)*$K2800*$L2800*$M2800</f>
        <v/>
      </c>
      <c r="AD2800" s="15" t="n">
        <v>3</v>
      </c>
      <c r="AE2800" s="11" t="n">
        <v>1.011296296296296</v>
      </c>
      <c r="AF2800" s="16">
        <f>SUMPRODUCT(N2800:Y2800,$N$5:$Y$5)*$K2800*$L2800*$M2800</f>
        <v/>
      </c>
      <c r="AG2800" s="16">
        <f>SUMPRODUCT(N2800:Y2800,$N$6:$Y$6)*$K2800*$L2800*$M2800</f>
        <v/>
      </c>
      <c r="AH2800" s="20" t="n"/>
    </row>
    <row r="2801">
      <c r="A2801" s="9" t="n">
        <v>680770</v>
      </c>
      <c r="B2801" s="9" t="inlineStr">
        <is>
          <t>Chance Huff</t>
        </is>
      </c>
      <c r="C2801" s="9" t="inlineStr">
        <is>
          <t>WSH</t>
        </is>
      </c>
      <c r="D2801" s="9" t="n">
        <v>25</v>
      </c>
      <c r="E2801" s="18" t="inlineStr">
        <is>
          <t>R</t>
        </is>
      </c>
      <c r="F2801" s="18" t="n"/>
      <c r="G2801" s="9" t="n">
        <v>56.18666666666666</v>
      </c>
      <c r="H2801" s="9" t="n">
        <v>56.18666666666666</v>
      </c>
      <c r="I2801" s="9" t="inlineStr">
        <is>
          <t>Depth (no MLB IP)</t>
        </is>
      </c>
      <c r="J2801" s="18" t="inlineStr">
        <is>
          <t>Opening Day</t>
        </is>
      </c>
      <c r="K2801" s="11">
        <f>IFERROR(INDEX(Roles!$B$17:$B$20,MATCH(J2801,Roles!$A$17:$A$20,0)),1)</f>
        <v/>
      </c>
      <c r="L2801" s="19" t="n">
        <v>1</v>
      </c>
      <c r="M2801" s="11" t="n">
        <v>1</v>
      </c>
      <c r="N2801" s="19" t="n"/>
      <c r="O2801" s="19" t="n"/>
      <c r="P2801" s="19" t="n"/>
      <c r="Q2801" s="19" t="n"/>
      <c r="R2801" s="19" t="n"/>
      <c r="S2801" s="19" t="n"/>
      <c r="T2801" s="19" t="n"/>
      <c r="U2801" s="19" t="n"/>
      <c r="V2801" s="19" t="n"/>
      <c r="W2801" s="19" t="n"/>
      <c r="X2801" s="19" t="n"/>
      <c r="Y2801" s="19" t="n">
        <v>1</v>
      </c>
      <c r="Z2801" s="13">
        <f>SUMPRODUCT(N2801:Y2801,$N$2:$Y$2)*$K2801*$L2801*$M2801</f>
        <v/>
      </c>
      <c r="AA2801" s="14">
        <f>SUM(N2801:Y2801)</f>
        <v/>
      </c>
      <c r="AB2801" s="13">
        <f>SUMPRODUCT(N2801:Y2801,$N$3:$Y$3)*$K2801*$L2801*$M2801</f>
        <v/>
      </c>
      <c r="AC2801" s="13">
        <f>SUMPRODUCT(N2801:Y2801,$N$4:$Y$4)*$K2801*$L2801*$M2801</f>
        <v/>
      </c>
      <c r="AD2801" s="15" t="n">
        <v>3</v>
      </c>
      <c r="AE2801" s="11" t="n">
        <v>1.011296296296296</v>
      </c>
      <c r="AF2801" s="16">
        <f>SUMPRODUCT(N2801:Y2801,$N$5:$Y$5)*$K2801*$L2801*$M2801</f>
        <v/>
      </c>
      <c r="AG2801" s="16">
        <f>SUMPRODUCT(N2801:Y2801,$N$6:$Y$6)*$K2801*$L2801*$M2801</f>
        <v/>
      </c>
      <c r="AH2801" s="20" t="n"/>
    </row>
    <row r="2802">
      <c r="A2802" s="9" t="n">
        <v>502171</v>
      </c>
      <c r="B2802" s="9" t="inlineStr">
        <is>
          <t>Alex Cobb</t>
        </is>
      </c>
      <c r="C2802" s="9" t="inlineStr">
        <is>
          <t>CLE</t>
        </is>
      </c>
      <c r="D2802" s="9" t="n">
        <v>39</v>
      </c>
      <c r="E2802" s="18" t="inlineStr">
        <is>
          <t>R</t>
        </is>
      </c>
      <c r="F2802" s="18" t="n"/>
      <c r="G2802" s="9" t="n">
        <v>62</v>
      </c>
      <c r="H2802" s="9" t="n">
        <v>1339</v>
      </c>
      <c r="I2802" s="9" t="inlineStr">
        <is>
          <t>Depth (no MLB IP)</t>
        </is>
      </c>
      <c r="J2802" s="18" t="inlineStr">
        <is>
          <t>Opening Day</t>
        </is>
      </c>
      <c r="K2802" s="11">
        <f>IFERROR(INDEX(Roles!$B$17:$B$20,MATCH(J2802,Roles!$A$17:$A$20,0)),1)</f>
        <v/>
      </c>
      <c r="L2802" s="19" t="n">
        <v>1</v>
      </c>
      <c r="M2802" s="11" t="n">
        <v>1</v>
      </c>
      <c r="N2802" s="19" t="n"/>
      <c r="O2802" s="19" t="n"/>
      <c r="P2802" s="19" t="n"/>
      <c r="Q2802" s="19" t="n"/>
      <c r="R2802" s="19" t="n"/>
      <c r="S2802" s="19" t="n"/>
      <c r="T2802" s="19" t="n"/>
      <c r="U2802" s="19" t="n"/>
      <c r="V2802" s="19" t="n"/>
      <c r="W2802" s="19" t="n"/>
      <c r="X2802" s="19" t="n"/>
      <c r="Y2802" s="19" t="n">
        <v>1</v>
      </c>
      <c r="Z2802" s="13">
        <f>SUMPRODUCT(N2802:Y2802,$N$2:$Y$2)*$K2802*$L2802*$M2802</f>
        <v/>
      </c>
      <c r="AA2802" s="14">
        <f>SUM(N2802:Y2802)</f>
        <v/>
      </c>
      <c r="AB2802" s="13">
        <f>SUMPRODUCT(N2802:Y2802,$N$3:$Y$3)*$K2802*$L2802*$M2802</f>
        <v/>
      </c>
      <c r="AC2802" s="13">
        <f>SUMPRODUCT(N2802:Y2802,$N$4:$Y$4)*$K2802*$L2802*$M2802</f>
        <v/>
      </c>
      <c r="AD2802" s="15" t="n">
        <v>3</v>
      </c>
      <c r="AE2802" s="11" t="n">
        <v>2.489012345679012</v>
      </c>
      <c r="AF2802" s="16">
        <f>SUMPRODUCT(N2802:Y2802,$N$5:$Y$5)*$K2802*$L2802*$M2802</f>
        <v/>
      </c>
      <c r="AG2802" s="16">
        <f>SUMPRODUCT(N2802:Y2802,$N$6:$Y$6)*$K2802*$L2802*$M2802</f>
        <v/>
      </c>
      <c r="AH2802" s="20" t="n"/>
    </row>
    <row r="2803">
      <c r="A2803" s="9" t="n">
        <v>694551</v>
      </c>
      <c r="B2803" s="9" t="inlineStr">
        <is>
          <t>Aaron Combs</t>
        </is>
      </c>
      <c r="C2803" s="9" t="inlineStr">
        <is>
          <t>PHI</t>
        </is>
      </c>
      <c r="D2803" s="9" t="n">
        <v>25</v>
      </c>
      <c r="E2803" s="18" t="inlineStr">
        <is>
          <t>R</t>
        </is>
      </c>
      <c r="F2803" s="18" t="n"/>
      <c r="G2803" s="9" t="n">
        <v>56.18666666666666</v>
      </c>
      <c r="H2803" s="9" t="n">
        <v>56.18666666666666</v>
      </c>
      <c r="I2803" s="9" t="inlineStr">
        <is>
          <t>Depth (no MLB IP)</t>
        </is>
      </c>
      <c r="J2803" s="18" t="inlineStr">
        <is>
          <t>Opening Day</t>
        </is>
      </c>
      <c r="K2803" s="11">
        <f>IFERROR(INDEX(Roles!$B$17:$B$20,MATCH(J2803,Roles!$A$17:$A$20,0)),1)</f>
        <v/>
      </c>
      <c r="L2803" s="19" t="n">
        <v>1</v>
      </c>
      <c r="M2803" s="11" t="n">
        <v>1</v>
      </c>
      <c r="N2803" s="19" t="n"/>
      <c r="O2803" s="19" t="n"/>
      <c r="P2803" s="19" t="n"/>
      <c r="Q2803" s="19" t="n"/>
      <c r="R2803" s="19" t="n"/>
      <c r="S2803" s="19" t="n"/>
      <c r="T2803" s="19" t="n"/>
      <c r="U2803" s="19" t="n"/>
      <c r="V2803" s="19" t="n"/>
      <c r="W2803" s="19" t="n"/>
      <c r="X2803" s="19" t="n"/>
      <c r="Y2803" s="19" t="n">
        <v>1</v>
      </c>
      <c r="Z2803" s="13">
        <f>SUMPRODUCT(N2803:Y2803,$N$2:$Y$2)*$K2803*$L2803*$M2803</f>
        <v/>
      </c>
      <c r="AA2803" s="14">
        <f>SUM(N2803:Y2803)</f>
        <v/>
      </c>
      <c r="AB2803" s="13">
        <f>SUMPRODUCT(N2803:Y2803,$N$3:$Y$3)*$K2803*$L2803*$M2803</f>
        <v/>
      </c>
      <c r="AC2803" s="13">
        <f>SUMPRODUCT(N2803:Y2803,$N$4:$Y$4)*$K2803*$L2803*$M2803</f>
        <v/>
      </c>
      <c r="AD2803" s="15" t="n">
        <v>3</v>
      </c>
      <c r="AE2803" s="11" t="n">
        <v>1.011296296296296</v>
      </c>
      <c r="AF2803" s="16">
        <f>SUMPRODUCT(N2803:Y2803,$N$5:$Y$5)*$K2803*$L2803*$M2803</f>
        <v/>
      </c>
      <c r="AG2803" s="16">
        <f>SUMPRODUCT(N2803:Y2803,$N$6:$Y$6)*$K2803*$L2803*$M2803</f>
        <v/>
      </c>
      <c r="AH2803" s="20" t="n"/>
    </row>
    <row r="2804">
      <c r="A2804" s="9" t="n">
        <v>804905</v>
      </c>
      <c r="B2804" s="9" t="inlineStr">
        <is>
          <t>Evan Siary</t>
        </is>
      </c>
      <c r="C2804" s="9" t="inlineStr">
        <is>
          <t>TEX</t>
        </is>
      </c>
      <c r="D2804" s="9" t="n">
        <v>25</v>
      </c>
      <c r="E2804" s="18" t="inlineStr">
        <is>
          <t>R</t>
        </is>
      </c>
      <c r="F2804" s="18" t="n"/>
      <c r="G2804" s="9" t="n">
        <v>56.244</v>
      </c>
      <c r="H2804" s="9" t="n">
        <v>56.244</v>
      </c>
      <c r="I2804" s="9" t="inlineStr">
        <is>
          <t>Depth (no MLB IP)</t>
        </is>
      </c>
      <c r="J2804" s="18" t="inlineStr">
        <is>
          <t>Opening Day</t>
        </is>
      </c>
      <c r="K2804" s="11">
        <f>IFERROR(INDEX(Roles!$B$17:$B$20,MATCH(J2804,Roles!$A$17:$A$20,0)),1)</f>
        <v/>
      </c>
      <c r="L2804" s="19" t="n">
        <v>1</v>
      </c>
      <c r="M2804" s="11" t="n">
        <v>1</v>
      </c>
      <c r="N2804" s="19" t="n"/>
      <c r="O2804" s="19" t="n"/>
      <c r="P2804" s="19" t="n"/>
      <c r="Q2804" s="19" t="n"/>
      <c r="R2804" s="19" t="n"/>
      <c r="S2804" s="19" t="n"/>
      <c r="T2804" s="19" t="n"/>
      <c r="U2804" s="19" t="n"/>
      <c r="V2804" s="19" t="n"/>
      <c r="W2804" s="19" t="n"/>
      <c r="X2804" s="19" t="n"/>
      <c r="Y2804" s="19" t="n">
        <v>1</v>
      </c>
      <c r="Z2804" s="13">
        <f>SUMPRODUCT(N2804:Y2804,$N$2:$Y$2)*$K2804*$L2804*$M2804</f>
        <v/>
      </c>
      <c r="AA2804" s="14">
        <f>SUM(N2804:Y2804)</f>
        <v/>
      </c>
      <c r="AB2804" s="13">
        <f>SUMPRODUCT(N2804:Y2804,$N$3:$Y$3)*$K2804*$L2804*$M2804</f>
        <v/>
      </c>
      <c r="AC2804" s="13">
        <f>SUMPRODUCT(N2804:Y2804,$N$4:$Y$4)*$K2804*$L2804*$M2804</f>
        <v/>
      </c>
      <c r="AD2804" s="15" t="n">
        <v>3</v>
      </c>
      <c r="AE2804" s="11" t="n">
        <v>1.011296296296296</v>
      </c>
      <c r="AF2804" s="16">
        <f>SUMPRODUCT(N2804:Y2804,$N$5:$Y$5)*$K2804*$L2804*$M2804</f>
        <v/>
      </c>
      <c r="AG2804" s="16">
        <f>SUMPRODUCT(N2804:Y2804,$N$6:$Y$6)*$K2804*$L2804*$M2804</f>
        <v/>
      </c>
      <c r="AH2804" s="20" t="n"/>
    </row>
    <row r="2805">
      <c r="A2805" s="9" t="n">
        <v>655889</v>
      </c>
      <c r="B2805" s="9" t="inlineStr">
        <is>
          <t>Manuel Rodríguez</t>
        </is>
      </c>
      <c r="C2805" s="9" t="inlineStr">
        <is>
          <t>TB</t>
        </is>
      </c>
      <c r="D2805" s="9" t="n">
        <v>30</v>
      </c>
      <c r="E2805" s="18" t="inlineStr">
        <is>
          <t>R</t>
        </is>
      </c>
      <c r="F2805" s="18" t="n"/>
      <c r="G2805" s="9" t="n">
        <v>35</v>
      </c>
      <c r="H2805" s="9" t="n">
        <v>371</v>
      </c>
      <c r="I2805" s="9" t="inlineStr">
        <is>
          <t>Middle Relief</t>
        </is>
      </c>
      <c r="J2805" s="18" t="inlineStr">
        <is>
          <t>Opening Day</t>
        </is>
      </c>
      <c r="K2805" s="11">
        <f>IFERROR(INDEX(Roles!$B$17:$B$20,MATCH(J2805,Roles!$A$17:$A$20,0)),1)</f>
        <v/>
      </c>
      <c r="L2805" s="19" t="n">
        <v>1</v>
      </c>
      <c r="M2805" s="11" t="n">
        <v>1</v>
      </c>
      <c r="N2805" s="19" t="n"/>
      <c r="O2805" s="19" t="n"/>
      <c r="P2805" s="19" t="n"/>
      <c r="Q2805" s="19" t="n"/>
      <c r="R2805" s="19" t="n"/>
      <c r="S2805" s="19" t="n"/>
      <c r="T2805" s="19" t="n"/>
      <c r="U2805" s="19" t="n"/>
      <c r="V2805" s="19" t="n">
        <v>0.85</v>
      </c>
      <c r="W2805" s="19" t="n">
        <v>0.15</v>
      </c>
      <c r="X2805" s="19" t="n"/>
      <c r="Y2805" s="19" t="n"/>
      <c r="Z2805" s="13">
        <f>SUMPRODUCT(N2805:Y2805,$N$2:$Y$2)*$K2805*$L2805*$M2805</f>
        <v/>
      </c>
      <c r="AA2805" s="14">
        <f>SUM(N2805:Y2805)</f>
        <v/>
      </c>
      <c r="AB2805" s="13">
        <f>SUMPRODUCT(N2805:Y2805,$N$3:$Y$3)*$K2805*$L2805*$M2805</f>
        <v/>
      </c>
      <c r="AC2805" s="13">
        <f>SUMPRODUCT(N2805:Y2805,$N$4:$Y$4)*$K2805*$L2805*$M2805</f>
        <v/>
      </c>
      <c r="AD2805" s="15" t="n">
        <v>26.73333333333333</v>
      </c>
      <c r="AE2805" s="11" t="n">
        <v>1.017847468479117</v>
      </c>
      <c r="AF2805" s="16">
        <f>SUMPRODUCT(N2805:Y2805,$N$5:$Y$5)*$K2805*$L2805*$M2805</f>
        <v/>
      </c>
      <c r="AG2805" s="16">
        <f>SUMPRODUCT(N2805:Y2805,$N$6:$Y$6)*$K2805*$L2805*$M2805</f>
        <v/>
      </c>
      <c r="AH2805" s="20" t="n"/>
    </row>
    <row r="2806">
      <c r="A2806" s="9" t="n">
        <v>681084</v>
      </c>
      <c r="B2806" s="9" t="inlineStr">
        <is>
          <t>Tanner Andrews</t>
        </is>
      </c>
      <c r="C2806" s="9" t="inlineStr">
        <is>
          <t>TOR</t>
        </is>
      </c>
      <c r="D2806" s="9" t="n">
        <v>31</v>
      </c>
      <c r="E2806" s="18" t="inlineStr">
        <is>
          <t>R</t>
        </is>
      </c>
      <c r="F2806" s="18" t="n"/>
      <c r="G2806" s="9" t="n">
        <v>11</v>
      </c>
      <c r="H2806" s="9" t="n">
        <v>11</v>
      </c>
      <c r="I2806" s="9" t="inlineStr">
        <is>
          <t>Depth (no MLB IP)</t>
        </is>
      </c>
      <c r="J2806" s="18" t="inlineStr">
        <is>
          <t>Opening Day</t>
        </is>
      </c>
      <c r="K2806" s="11">
        <f>IFERROR(INDEX(Roles!$B$17:$B$20,MATCH(J2806,Roles!$A$17:$A$20,0)),1)</f>
        <v/>
      </c>
      <c r="L2806" s="19" t="n">
        <v>1</v>
      </c>
      <c r="M2806" s="11" t="n">
        <v>1</v>
      </c>
      <c r="N2806" s="19" t="n"/>
      <c r="O2806" s="19" t="n"/>
      <c r="P2806" s="19" t="n"/>
      <c r="Q2806" s="19" t="n"/>
      <c r="R2806" s="19" t="n"/>
      <c r="S2806" s="19" t="n"/>
      <c r="T2806" s="19" t="n"/>
      <c r="U2806" s="19" t="n"/>
      <c r="V2806" s="19" t="n"/>
      <c r="W2806" s="19" t="n"/>
      <c r="X2806" s="19" t="n"/>
      <c r="Y2806" s="19" t="n">
        <v>1</v>
      </c>
      <c r="Z2806" s="13">
        <f>SUMPRODUCT(N2806:Y2806,$N$2:$Y$2)*$K2806*$L2806*$M2806</f>
        <v/>
      </c>
      <c r="AA2806" s="14">
        <f>SUM(N2806:Y2806)</f>
        <v/>
      </c>
      <c r="AB2806" s="13">
        <f>SUMPRODUCT(N2806:Y2806,$N$3:$Y$3)*$K2806*$L2806*$M2806</f>
        <v/>
      </c>
      <c r="AC2806" s="13">
        <f>SUMPRODUCT(N2806:Y2806,$N$4:$Y$4)*$K2806*$L2806*$M2806</f>
        <v/>
      </c>
      <c r="AD2806" s="15" t="n">
        <v>2.4</v>
      </c>
      <c r="AE2806" s="11" t="n">
        <v>1.174197530864197</v>
      </c>
      <c r="AF2806" s="16">
        <f>SUMPRODUCT(N2806:Y2806,$N$5:$Y$5)*$K2806*$L2806*$M2806</f>
        <v/>
      </c>
      <c r="AG2806" s="16">
        <f>SUMPRODUCT(N2806:Y2806,$N$6:$Y$6)*$K2806*$L2806*$M2806</f>
        <v/>
      </c>
      <c r="AH2806" s="20" t="n"/>
    </row>
    <row r="2807">
      <c r="A2807" s="9" t="n">
        <v>699276</v>
      </c>
      <c r="B2807" s="9" t="inlineStr">
        <is>
          <t>Jose Olivares</t>
        </is>
      </c>
      <c r="C2807" s="9" t="inlineStr">
        <is>
          <t>MIN</t>
        </is>
      </c>
      <c r="D2807" s="9" t="n">
        <v>25</v>
      </c>
      <c r="E2807" s="18" t="inlineStr">
        <is>
          <t>R</t>
        </is>
      </c>
      <c r="F2807" s="18" t="n"/>
      <c r="G2807" s="9" t="n">
        <v>56.68833333333332</v>
      </c>
      <c r="H2807" s="9" t="n">
        <v>56.68833333333332</v>
      </c>
      <c r="I2807" s="9" t="inlineStr">
        <is>
          <t>Depth (no MLB IP)</t>
        </is>
      </c>
      <c r="J2807" s="18" t="inlineStr">
        <is>
          <t>Opening Day</t>
        </is>
      </c>
      <c r="K2807" s="11">
        <f>IFERROR(INDEX(Roles!$B$17:$B$20,MATCH(J2807,Roles!$A$17:$A$20,0)),1)</f>
        <v/>
      </c>
      <c r="L2807" s="19" t="n">
        <v>1</v>
      </c>
      <c r="M2807" s="11" t="n">
        <v>1</v>
      </c>
      <c r="N2807" s="19" t="n"/>
      <c r="O2807" s="19" t="n"/>
      <c r="P2807" s="19" t="n"/>
      <c r="Q2807" s="19" t="n"/>
      <c r="R2807" s="19" t="n"/>
      <c r="S2807" s="19" t="n"/>
      <c r="T2807" s="19" t="n"/>
      <c r="U2807" s="19" t="n"/>
      <c r="V2807" s="19" t="n"/>
      <c r="W2807" s="19" t="n"/>
      <c r="X2807" s="19" t="n"/>
      <c r="Y2807" s="19" t="n">
        <v>1</v>
      </c>
      <c r="Z2807" s="13">
        <f>SUMPRODUCT(N2807:Y2807,$N$2:$Y$2)*$K2807*$L2807*$M2807</f>
        <v/>
      </c>
      <c r="AA2807" s="14">
        <f>SUM(N2807:Y2807)</f>
        <v/>
      </c>
      <c r="AB2807" s="13">
        <f>SUMPRODUCT(N2807:Y2807,$N$3:$Y$3)*$K2807*$L2807*$M2807</f>
        <v/>
      </c>
      <c r="AC2807" s="13">
        <f>SUMPRODUCT(N2807:Y2807,$N$4:$Y$4)*$K2807*$L2807*$M2807</f>
        <v/>
      </c>
      <c r="AD2807" s="15" t="n">
        <v>3</v>
      </c>
      <c r="AE2807" s="11" t="n">
        <v>1.011296296296296</v>
      </c>
      <c r="AF2807" s="16">
        <f>SUMPRODUCT(N2807:Y2807,$N$5:$Y$5)*$K2807*$L2807*$M2807</f>
        <v/>
      </c>
      <c r="AG2807" s="16">
        <f>SUMPRODUCT(N2807:Y2807,$N$6:$Y$6)*$K2807*$L2807*$M2807</f>
        <v/>
      </c>
      <c r="AH2807" s="20" t="n"/>
    </row>
    <row r="2808">
      <c r="A2808" s="9" t="n">
        <v>674114</v>
      </c>
      <c r="B2808" s="9" t="inlineStr">
        <is>
          <t>Ryan Garcia</t>
        </is>
      </c>
      <c r="C2808" s="9" t="inlineStr">
        <is>
          <t>CIN</t>
        </is>
      </c>
      <c r="D2808" s="9" t="n">
        <v>25</v>
      </c>
      <c r="E2808" s="18" t="inlineStr">
        <is>
          <t>R</t>
        </is>
      </c>
      <c r="F2808" s="18" t="n"/>
      <c r="G2808" s="9" t="n">
        <v>56.68833333333332</v>
      </c>
      <c r="H2808" s="9" t="n">
        <v>56.68833333333332</v>
      </c>
      <c r="I2808" s="9" t="inlineStr">
        <is>
          <t>Depth (no MLB IP)</t>
        </is>
      </c>
      <c r="J2808" s="18" t="inlineStr">
        <is>
          <t>Opening Day</t>
        </is>
      </c>
      <c r="K2808" s="11">
        <f>IFERROR(INDEX(Roles!$B$17:$B$20,MATCH(J2808,Roles!$A$17:$A$20,0)),1)</f>
        <v/>
      </c>
      <c r="L2808" s="19" t="n">
        <v>1</v>
      </c>
      <c r="M2808" s="11" t="n">
        <v>1</v>
      </c>
      <c r="N2808" s="19" t="n"/>
      <c r="O2808" s="19" t="n"/>
      <c r="P2808" s="19" t="n"/>
      <c r="Q2808" s="19" t="n"/>
      <c r="R2808" s="19" t="n"/>
      <c r="S2808" s="19" t="n"/>
      <c r="T2808" s="19" t="n"/>
      <c r="U2808" s="19" t="n"/>
      <c r="V2808" s="19" t="n"/>
      <c r="W2808" s="19" t="n"/>
      <c r="X2808" s="19" t="n"/>
      <c r="Y2808" s="19" t="n">
        <v>1</v>
      </c>
      <c r="Z2808" s="13">
        <f>SUMPRODUCT(N2808:Y2808,$N$2:$Y$2)*$K2808*$L2808*$M2808</f>
        <v/>
      </c>
      <c r="AA2808" s="14">
        <f>SUM(N2808:Y2808)</f>
        <v/>
      </c>
      <c r="AB2808" s="13">
        <f>SUMPRODUCT(N2808:Y2808,$N$3:$Y$3)*$K2808*$L2808*$M2808</f>
        <v/>
      </c>
      <c r="AC2808" s="13">
        <f>SUMPRODUCT(N2808:Y2808,$N$4:$Y$4)*$K2808*$L2808*$M2808</f>
        <v/>
      </c>
      <c r="AD2808" s="15" t="n">
        <v>3</v>
      </c>
      <c r="AE2808" s="11" t="n">
        <v>1.011296296296296</v>
      </c>
      <c r="AF2808" s="16">
        <f>SUMPRODUCT(N2808:Y2808,$N$5:$Y$5)*$K2808*$L2808*$M2808</f>
        <v/>
      </c>
      <c r="AG2808" s="16">
        <f>SUMPRODUCT(N2808:Y2808,$N$6:$Y$6)*$K2808*$L2808*$M2808</f>
        <v/>
      </c>
      <c r="AH2808" s="20" t="n"/>
    </row>
    <row r="2809">
      <c r="A2809" s="9" t="n">
        <v>670223</v>
      </c>
      <c r="B2809" s="9" t="inlineStr">
        <is>
          <t>Matt Mervis</t>
        </is>
      </c>
      <c r="C2809" s="9" t="inlineStr">
        <is>
          <t>CHC</t>
        </is>
      </c>
      <c r="D2809" s="9" t="n">
        <v>29</v>
      </c>
      <c r="E2809" s="18" t="inlineStr">
        <is>
          <t>R</t>
        </is>
      </c>
      <c r="F2809" s="18" t="n"/>
      <c r="G2809" s="9" t="n">
        <v>9</v>
      </c>
      <c r="H2809" s="9" t="n">
        <v>9</v>
      </c>
      <c r="I2809" s="9" t="inlineStr">
        <is>
          <t>Depth (no MLB IP)</t>
        </is>
      </c>
      <c r="J2809" s="18" t="inlineStr">
        <is>
          <t>Opening Day</t>
        </is>
      </c>
      <c r="K2809" s="11">
        <f>IFERROR(INDEX(Roles!$B$17:$B$20,MATCH(J2809,Roles!$A$17:$A$20,0)),1)</f>
        <v/>
      </c>
      <c r="L2809" s="19" t="n">
        <v>1</v>
      </c>
      <c r="M2809" s="11" t="n">
        <v>1</v>
      </c>
      <c r="N2809" s="19" t="n"/>
      <c r="O2809" s="19" t="n"/>
      <c r="P2809" s="19" t="n"/>
      <c r="Q2809" s="19" t="n"/>
      <c r="R2809" s="19" t="n"/>
      <c r="S2809" s="19" t="n"/>
      <c r="T2809" s="19" t="n"/>
      <c r="U2809" s="19" t="n"/>
      <c r="V2809" s="19" t="n"/>
      <c r="W2809" s="19" t="n"/>
      <c r="X2809" s="19" t="n"/>
      <c r="Y2809" s="19" t="n">
        <v>1</v>
      </c>
      <c r="Z2809" s="13">
        <f>SUMPRODUCT(N2809:Y2809,$N$2:$Y$2)*$K2809*$L2809*$M2809</f>
        <v/>
      </c>
      <c r="AA2809" s="14">
        <f>SUM(N2809:Y2809)</f>
        <v/>
      </c>
      <c r="AB2809" s="13">
        <f>SUMPRODUCT(N2809:Y2809,$N$3:$Y$3)*$K2809*$L2809*$M2809</f>
        <v/>
      </c>
      <c r="AC2809" s="13">
        <f>SUMPRODUCT(N2809:Y2809,$N$4:$Y$4)*$K2809*$L2809*$M2809</f>
        <v/>
      </c>
      <c r="AD2809" s="15" t="n">
        <v>1.8</v>
      </c>
      <c r="AE2809" s="11" t="n">
        <v>0.8964197530864197</v>
      </c>
      <c r="AF2809" s="16">
        <f>SUMPRODUCT(N2809:Y2809,$N$5:$Y$5)*$K2809*$L2809*$M2809</f>
        <v/>
      </c>
      <c r="AG2809" s="16">
        <f>SUMPRODUCT(N2809:Y2809,$N$6:$Y$6)*$K2809*$L2809*$M2809</f>
        <v/>
      </c>
      <c r="AH2809" s="20" t="n"/>
    </row>
    <row r="2810">
      <c r="A2810" s="9" t="n">
        <v>681751</v>
      </c>
      <c r="B2810" s="9" t="inlineStr">
        <is>
          <t>Lazaro Estrada</t>
        </is>
      </c>
      <c r="C2810" s="9" t="inlineStr">
        <is>
          <t>TOR</t>
        </is>
      </c>
      <c r="D2810" s="9" t="n">
        <v>28</v>
      </c>
      <c r="E2810" s="18" t="inlineStr">
        <is>
          <t>R</t>
        </is>
      </c>
      <c r="F2810" s="18" t="n"/>
      <c r="G2810" s="9" t="n">
        <v>57</v>
      </c>
      <c r="H2810" s="9" t="n">
        <v>92</v>
      </c>
      <c r="I2810" s="9" t="inlineStr">
        <is>
          <t>Bullpen Depth Arm</t>
        </is>
      </c>
      <c r="J2810" s="18" t="inlineStr">
        <is>
          <t>Opening Day</t>
        </is>
      </c>
      <c r="K2810" s="11">
        <f>IFERROR(INDEX(Roles!$B$17:$B$20,MATCH(J2810,Roles!$A$17:$A$20,0)),1)</f>
        <v/>
      </c>
      <c r="L2810" s="19" t="n">
        <v>1</v>
      </c>
      <c r="M2810" s="11" t="n">
        <v>1</v>
      </c>
      <c r="N2810" s="19" t="n"/>
      <c r="O2810" s="19" t="n"/>
      <c r="P2810" s="19" t="n"/>
      <c r="Q2810" s="19" t="n"/>
      <c r="R2810" s="19" t="n"/>
      <c r="S2810" s="19" t="n"/>
      <c r="T2810" s="19" t="n"/>
      <c r="U2810" s="19" t="n"/>
      <c r="V2810" s="19" t="n"/>
      <c r="W2810" s="19" t="n">
        <v>1</v>
      </c>
      <c r="X2810" s="19" t="n"/>
      <c r="Y2810" s="19" t="n"/>
      <c r="Z2810" s="13">
        <f>SUMPRODUCT(N2810:Y2810,$N$2:$Y$2)*$K2810*$L2810*$M2810</f>
        <v/>
      </c>
      <c r="AA2810" s="14">
        <f>SUM(N2810:Y2810)</f>
        <v/>
      </c>
      <c r="AB2810" s="13">
        <f>SUMPRODUCT(N2810:Y2810,$N$3:$Y$3)*$K2810*$L2810*$M2810</f>
        <v/>
      </c>
      <c r="AC2810" s="13">
        <f>SUMPRODUCT(N2810:Y2810,$N$4:$Y$4)*$K2810*$L2810*$M2810</f>
        <v/>
      </c>
      <c r="AD2810" s="15" t="n">
        <v>9.026666666666666</v>
      </c>
      <c r="AE2810" s="11" t="n">
        <v>1.440396023729357</v>
      </c>
      <c r="AF2810" s="16">
        <f>SUMPRODUCT(N2810:Y2810,$N$5:$Y$5)*$K2810*$L2810*$M2810</f>
        <v/>
      </c>
      <c r="AG2810" s="16">
        <f>SUMPRODUCT(N2810:Y2810,$N$6:$Y$6)*$K2810*$L2810*$M2810</f>
        <v/>
      </c>
      <c r="AH2810" s="20" t="n"/>
    </row>
    <row r="2811">
      <c r="A2811" s="9" t="n">
        <v>666659</v>
      </c>
      <c r="B2811" s="9" t="inlineStr">
        <is>
          <t>Sauryn Lao</t>
        </is>
      </c>
      <c r="C2811" s="9" t="inlineStr">
        <is>
          <t>WSH</t>
        </is>
      </c>
      <c r="D2811" s="9" t="n">
        <v>27</v>
      </c>
      <c r="E2811" s="18" t="inlineStr">
        <is>
          <t>R</t>
        </is>
      </c>
      <c r="F2811" s="18" t="n"/>
      <c r="G2811" s="9" t="n">
        <v>49</v>
      </c>
      <c r="H2811" s="9" t="n">
        <v>49</v>
      </c>
      <c r="I2811" s="9" t="inlineStr">
        <is>
          <t>Bullpen Depth Arm</t>
        </is>
      </c>
      <c r="J2811" s="18" t="inlineStr">
        <is>
          <t>Opening Day</t>
        </is>
      </c>
      <c r="K2811" s="11">
        <f>IFERROR(INDEX(Roles!$B$17:$B$20,MATCH(J2811,Roles!$A$17:$A$20,0)),1)</f>
        <v/>
      </c>
      <c r="L2811" s="19" t="n">
        <v>1</v>
      </c>
      <c r="M2811" s="11" t="n">
        <v>1</v>
      </c>
      <c r="N2811" s="19" t="n"/>
      <c r="O2811" s="19" t="n"/>
      <c r="P2811" s="19" t="n"/>
      <c r="Q2811" s="19" t="n"/>
      <c r="R2811" s="19" t="n"/>
      <c r="S2811" s="19" t="n"/>
      <c r="T2811" s="19" t="n"/>
      <c r="U2811" s="19" t="n"/>
      <c r="V2811" s="19" t="n"/>
      <c r="W2811" s="19" t="n">
        <v>1</v>
      </c>
      <c r="X2811" s="19" t="n"/>
      <c r="Y2811" s="19" t="n"/>
      <c r="Z2811" s="13">
        <f>SUMPRODUCT(N2811:Y2811,$N$2:$Y$2)*$K2811*$L2811*$M2811</f>
        <v/>
      </c>
      <c r="AA2811" s="14">
        <f>SUM(N2811:Y2811)</f>
        <v/>
      </c>
      <c r="AB2811" s="13">
        <f>SUMPRODUCT(N2811:Y2811,$N$3:$Y$3)*$K2811*$L2811*$M2811</f>
        <v/>
      </c>
      <c r="AC2811" s="13">
        <f>SUMPRODUCT(N2811:Y2811,$N$4:$Y$4)*$K2811*$L2811*$M2811</f>
        <v/>
      </c>
      <c r="AD2811" s="15" t="n">
        <v>10.46666666666666</v>
      </c>
      <c r="AE2811" s="11" t="n">
        <v>1.259840468173802</v>
      </c>
      <c r="AF2811" s="16">
        <f>SUMPRODUCT(N2811:Y2811,$N$5:$Y$5)*$K2811*$L2811*$M2811</f>
        <v/>
      </c>
      <c r="AG2811" s="16">
        <f>SUMPRODUCT(N2811:Y2811,$N$6:$Y$6)*$K2811*$L2811*$M2811</f>
        <v/>
      </c>
      <c r="AH2811" s="20" t="n"/>
    </row>
    <row r="2812">
      <c r="A2812" s="9" t="n">
        <v>702578</v>
      </c>
      <c r="B2812" s="9" t="inlineStr">
        <is>
          <t>Kyle McCoy</t>
        </is>
      </c>
      <c r="C2812" s="9" t="inlineStr">
        <is>
          <t>CIN</t>
        </is>
      </c>
      <c r="D2812" s="9" t="n">
        <v>25</v>
      </c>
      <c r="E2812" s="18" t="inlineStr">
        <is>
          <t>L</t>
        </is>
      </c>
      <c r="F2812" s="18" t="n"/>
      <c r="G2812" s="9" t="n">
        <v>57.04666666666666</v>
      </c>
      <c r="H2812" s="9" t="n">
        <v>57.04666666666666</v>
      </c>
      <c r="I2812" s="9" t="inlineStr">
        <is>
          <t>Depth (no MLB IP)</t>
        </is>
      </c>
      <c r="J2812" s="18" t="inlineStr">
        <is>
          <t>Opening Day</t>
        </is>
      </c>
      <c r="K2812" s="11">
        <f>IFERROR(INDEX(Roles!$B$17:$B$20,MATCH(J2812,Roles!$A$17:$A$20,0)),1)</f>
        <v/>
      </c>
      <c r="L2812" s="19" t="n">
        <v>1</v>
      </c>
      <c r="M2812" s="11" t="n">
        <v>1</v>
      </c>
      <c r="N2812" s="19" t="n"/>
      <c r="O2812" s="19" t="n"/>
      <c r="P2812" s="19" t="n"/>
      <c r="Q2812" s="19" t="n"/>
      <c r="R2812" s="19" t="n"/>
      <c r="S2812" s="19" t="n"/>
      <c r="T2812" s="19" t="n"/>
      <c r="U2812" s="19" t="n"/>
      <c r="V2812" s="19" t="n"/>
      <c r="W2812" s="19" t="n"/>
      <c r="X2812" s="19" t="n"/>
      <c r="Y2812" s="19" t="n">
        <v>1</v>
      </c>
      <c r="Z2812" s="13">
        <f>SUMPRODUCT(N2812:Y2812,$N$2:$Y$2)*$K2812*$L2812*$M2812</f>
        <v/>
      </c>
      <c r="AA2812" s="14">
        <f>SUM(N2812:Y2812)</f>
        <v/>
      </c>
      <c r="AB2812" s="13">
        <f>SUMPRODUCT(N2812:Y2812,$N$3:$Y$3)*$K2812*$L2812*$M2812</f>
        <v/>
      </c>
      <c r="AC2812" s="13">
        <f>SUMPRODUCT(N2812:Y2812,$N$4:$Y$4)*$K2812*$L2812*$M2812</f>
        <v/>
      </c>
      <c r="AD2812" s="15" t="n">
        <v>3</v>
      </c>
      <c r="AE2812" s="11" t="n">
        <v>1.011296296296296</v>
      </c>
      <c r="AF2812" s="16">
        <f>SUMPRODUCT(N2812:Y2812,$N$5:$Y$5)*$K2812*$L2812*$M2812</f>
        <v/>
      </c>
      <c r="AG2812" s="16">
        <f>SUMPRODUCT(N2812:Y2812,$N$6:$Y$6)*$K2812*$L2812*$M2812</f>
        <v/>
      </c>
      <c r="AH2812" s="20" t="n"/>
    </row>
    <row r="2813">
      <c r="A2813" s="9" t="n">
        <v>687168</v>
      </c>
      <c r="B2813" s="9" t="inlineStr">
        <is>
          <t>Brayden Spears</t>
        </is>
      </c>
      <c r="C2813" s="9" t="inlineStr">
        <is>
          <t>CHC</t>
        </is>
      </c>
      <c r="D2813" s="9" t="n">
        <v>25</v>
      </c>
      <c r="E2813" s="18" t="inlineStr">
        <is>
          <t>R</t>
        </is>
      </c>
      <c r="F2813" s="18" t="n"/>
      <c r="G2813" s="9" t="n">
        <v>57.04666666666666</v>
      </c>
      <c r="H2813" s="9" t="n">
        <v>57.04666666666666</v>
      </c>
      <c r="I2813" s="9" t="inlineStr">
        <is>
          <t>Depth (no MLB IP)</t>
        </is>
      </c>
      <c r="J2813" s="18" t="inlineStr">
        <is>
          <t>Opening Day</t>
        </is>
      </c>
      <c r="K2813" s="11">
        <f>IFERROR(INDEX(Roles!$B$17:$B$20,MATCH(J2813,Roles!$A$17:$A$20,0)),1)</f>
        <v/>
      </c>
      <c r="L2813" s="19" t="n">
        <v>1</v>
      </c>
      <c r="M2813" s="11" t="n">
        <v>1</v>
      </c>
      <c r="N2813" s="19" t="n"/>
      <c r="O2813" s="19" t="n"/>
      <c r="P2813" s="19" t="n"/>
      <c r="Q2813" s="19" t="n"/>
      <c r="R2813" s="19" t="n"/>
      <c r="S2813" s="19" t="n"/>
      <c r="T2813" s="19" t="n"/>
      <c r="U2813" s="19" t="n"/>
      <c r="V2813" s="19" t="n"/>
      <c r="W2813" s="19" t="n"/>
      <c r="X2813" s="19" t="n"/>
      <c r="Y2813" s="19" t="n">
        <v>1</v>
      </c>
      <c r="Z2813" s="13">
        <f>SUMPRODUCT(N2813:Y2813,$N$2:$Y$2)*$K2813*$L2813*$M2813</f>
        <v/>
      </c>
      <c r="AA2813" s="14">
        <f>SUM(N2813:Y2813)</f>
        <v/>
      </c>
      <c r="AB2813" s="13">
        <f>SUMPRODUCT(N2813:Y2813,$N$3:$Y$3)*$K2813*$L2813*$M2813</f>
        <v/>
      </c>
      <c r="AC2813" s="13">
        <f>SUMPRODUCT(N2813:Y2813,$N$4:$Y$4)*$K2813*$L2813*$M2813</f>
        <v/>
      </c>
      <c r="AD2813" s="15" t="n">
        <v>3</v>
      </c>
      <c r="AE2813" s="11" t="n">
        <v>1.011296296296296</v>
      </c>
      <c r="AF2813" s="16">
        <f>SUMPRODUCT(N2813:Y2813,$N$5:$Y$5)*$K2813*$L2813*$M2813</f>
        <v/>
      </c>
      <c r="AG2813" s="16">
        <f>SUMPRODUCT(N2813:Y2813,$N$6:$Y$6)*$K2813*$L2813*$M2813</f>
        <v/>
      </c>
      <c r="AH2813" s="20" t="n"/>
    </row>
    <row r="2814">
      <c r="A2814" s="9" t="n">
        <v>822498</v>
      </c>
      <c r="B2814" s="9" t="inlineStr">
        <is>
          <t>Reid Easterly</t>
        </is>
      </c>
      <c r="C2814" s="9" t="inlineStr">
        <is>
          <t>SEA</t>
        </is>
      </c>
      <c r="D2814" s="9" t="n">
        <v>25</v>
      </c>
      <c r="E2814" s="18" t="inlineStr">
        <is>
          <t>L</t>
        </is>
      </c>
      <c r="F2814" s="18" t="n"/>
      <c r="G2814" s="9" t="n">
        <v>57.04666666666666</v>
      </c>
      <c r="H2814" s="9" t="n">
        <v>57.04666666666666</v>
      </c>
      <c r="I2814" s="9" t="inlineStr">
        <is>
          <t>Depth (no MLB IP)</t>
        </is>
      </c>
      <c r="J2814" s="18" t="inlineStr">
        <is>
          <t>Opening Day</t>
        </is>
      </c>
      <c r="K2814" s="11">
        <f>IFERROR(INDEX(Roles!$B$17:$B$20,MATCH(J2814,Roles!$A$17:$A$20,0)),1)</f>
        <v/>
      </c>
      <c r="L2814" s="19" t="n">
        <v>1</v>
      </c>
      <c r="M2814" s="11" t="n">
        <v>1</v>
      </c>
      <c r="N2814" s="19" t="n"/>
      <c r="O2814" s="19" t="n"/>
      <c r="P2814" s="19" t="n"/>
      <c r="Q2814" s="19" t="n"/>
      <c r="R2814" s="19" t="n"/>
      <c r="S2814" s="19" t="n"/>
      <c r="T2814" s="19" t="n"/>
      <c r="U2814" s="19" t="n"/>
      <c r="V2814" s="19" t="n"/>
      <c r="W2814" s="19" t="n"/>
      <c r="X2814" s="19" t="n"/>
      <c r="Y2814" s="19" t="n">
        <v>1</v>
      </c>
      <c r="Z2814" s="13">
        <f>SUMPRODUCT(N2814:Y2814,$N$2:$Y$2)*$K2814*$L2814*$M2814</f>
        <v/>
      </c>
      <c r="AA2814" s="14">
        <f>SUM(N2814:Y2814)</f>
        <v/>
      </c>
      <c r="AB2814" s="13">
        <f>SUMPRODUCT(N2814:Y2814,$N$3:$Y$3)*$K2814*$L2814*$M2814</f>
        <v/>
      </c>
      <c r="AC2814" s="13">
        <f>SUMPRODUCT(N2814:Y2814,$N$4:$Y$4)*$K2814*$L2814*$M2814</f>
        <v/>
      </c>
      <c r="AD2814" s="15" t="n">
        <v>3</v>
      </c>
      <c r="AE2814" s="11" t="n">
        <v>1.011296296296296</v>
      </c>
      <c r="AF2814" s="16">
        <f>SUMPRODUCT(N2814:Y2814,$N$5:$Y$5)*$K2814*$L2814*$M2814</f>
        <v/>
      </c>
      <c r="AG2814" s="16">
        <f>SUMPRODUCT(N2814:Y2814,$N$6:$Y$6)*$K2814*$L2814*$M2814</f>
        <v/>
      </c>
      <c r="AH2814" s="20" t="n"/>
    </row>
    <row r="2815">
      <c r="A2815" s="9" t="n">
        <v>822760</v>
      </c>
      <c r="B2815" s="9" t="inlineStr">
        <is>
          <t>Sam Garcia</t>
        </is>
      </c>
      <c r="C2815" s="9" t="inlineStr">
        <is>
          <t>MIL</t>
        </is>
      </c>
      <c r="D2815" s="9" t="n">
        <v>25</v>
      </c>
      <c r="E2815" s="18" t="inlineStr">
        <is>
          <t>L</t>
        </is>
      </c>
      <c r="F2815" s="18" t="n"/>
      <c r="G2815" s="9" t="n">
        <v>57.19</v>
      </c>
      <c r="H2815" s="9" t="n">
        <v>57.19</v>
      </c>
      <c r="I2815" s="9" t="inlineStr">
        <is>
          <t>Depth (no MLB IP)</t>
        </is>
      </c>
      <c r="J2815" s="18" t="inlineStr">
        <is>
          <t>Opening Day</t>
        </is>
      </c>
      <c r="K2815" s="11">
        <f>IFERROR(INDEX(Roles!$B$17:$B$20,MATCH(J2815,Roles!$A$17:$A$20,0)),1)</f>
        <v/>
      </c>
      <c r="L2815" s="19" t="n">
        <v>1</v>
      </c>
      <c r="M2815" s="11" t="n">
        <v>1</v>
      </c>
      <c r="N2815" s="19" t="n"/>
      <c r="O2815" s="19" t="n"/>
      <c r="P2815" s="19" t="n"/>
      <c r="Q2815" s="19" t="n"/>
      <c r="R2815" s="19" t="n"/>
      <c r="S2815" s="19" t="n"/>
      <c r="T2815" s="19" t="n"/>
      <c r="U2815" s="19" t="n"/>
      <c r="V2815" s="19" t="n"/>
      <c r="W2815" s="19" t="n"/>
      <c r="X2815" s="19" t="n"/>
      <c r="Y2815" s="19" t="n">
        <v>1</v>
      </c>
      <c r="Z2815" s="13">
        <f>SUMPRODUCT(N2815:Y2815,$N$2:$Y$2)*$K2815*$L2815*$M2815</f>
        <v/>
      </c>
      <c r="AA2815" s="14">
        <f>SUM(N2815:Y2815)</f>
        <v/>
      </c>
      <c r="AB2815" s="13">
        <f>SUMPRODUCT(N2815:Y2815,$N$3:$Y$3)*$K2815*$L2815*$M2815</f>
        <v/>
      </c>
      <c r="AC2815" s="13">
        <f>SUMPRODUCT(N2815:Y2815,$N$4:$Y$4)*$K2815*$L2815*$M2815</f>
        <v/>
      </c>
      <c r="AD2815" s="15" t="n">
        <v>3</v>
      </c>
      <c r="AE2815" s="11" t="n">
        <v>1.011296296296296</v>
      </c>
      <c r="AF2815" s="16">
        <f>SUMPRODUCT(N2815:Y2815,$N$5:$Y$5)*$K2815*$L2815*$M2815</f>
        <v/>
      </c>
      <c r="AG2815" s="16">
        <f>SUMPRODUCT(N2815:Y2815,$N$6:$Y$6)*$K2815*$L2815*$M2815</f>
        <v/>
      </c>
      <c r="AH2815" s="20" t="n"/>
    </row>
    <row r="2816">
      <c r="A2816" s="9" t="n">
        <v>687857</v>
      </c>
      <c r="B2816" s="9" t="inlineStr">
        <is>
          <t>Sam Ryan</t>
        </is>
      </c>
      <c r="C2816" s="9" t="inlineStr">
        <is>
          <t>MIN</t>
        </is>
      </c>
      <c r="D2816" s="9" t="n">
        <v>25</v>
      </c>
      <c r="E2816" s="18" t="inlineStr">
        <is>
          <t>R</t>
        </is>
      </c>
      <c r="F2816" s="18" t="n"/>
      <c r="G2816" s="9" t="n">
        <v>57.19</v>
      </c>
      <c r="H2816" s="9" t="n">
        <v>57.19</v>
      </c>
      <c r="I2816" s="9" t="inlineStr">
        <is>
          <t>Depth (no MLB IP)</t>
        </is>
      </c>
      <c r="J2816" s="18" t="inlineStr">
        <is>
          <t>Opening Day</t>
        </is>
      </c>
      <c r="K2816" s="11">
        <f>IFERROR(INDEX(Roles!$B$17:$B$20,MATCH(J2816,Roles!$A$17:$A$20,0)),1)</f>
        <v/>
      </c>
      <c r="L2816" s="19" t="n">
        <v>1</v>
      </c>
      <c r="M2816" s="11" t="n">
        <v>1</v>
      </c>
      <c r="N2816" s="19" t="n"/>
      <c r="O2816" s="19" t="n"/>
      <c r="P2816" s="19" t="n"/>
      <c r="Q2816" s="19" t="n"/>
      <c r="R2816" s="19" t="n"/>
      <c r="S2816" s="19" t="n"/>
      <c r="T2816" s="19" t="n"/>
      <c r="U2816" s="19" t="n"/>
      <c r="V2816" s="19" t="n"/>
      <c r="W2816" s="19" t="n"/>
      <c r="X2816" s="19" t="n"/>
      <c r="Y2816" s="19" t="n">
        <v>1</v>
      </c>
      <c r="Z2816" s="13">
        <f>SUMPRODUCT(N2816:Y2816,$N$2:$Y$2)*$K2816*$L2816*$M2816</f>
        <v/>
      </c>
      <c r="AA2816" s="14">
        <f>SUM(N2816:Y2816)</f>
        <v/>
      </c>
      <c r="AB2816" s="13">
        <f>SUMPRODUCT(N2816:Y2816,$N$3:$Y$3)*$K2816*$L2816*$M2816</f>
        <v/>
      </c>
      <c r="AC2816" s="13">
        <f>SUMPRODUCT(N2816:Y2816,$N$4:$Y$4)*$K2816*$L2816*$M2816</f>
        <v/>
      </c>
      <c r="AD2816" s="15" t="n">
        <v>3</v>
      </c>
      <c r="AE2816" s="11" t="n">
        <v>1.011296296296296</v>
      </c>
      <c r="AF2816" s="16">
        <f>SUMPRODUCT(N2816:Y2816,$N$5:$Y$5)*$K2816*$L2816*$M2816</f>
        <v/>
      </c>
      <c r="AG2816" s="16">
        <f>SUMPRODUCT(N2816:Y2816,$N$6:$Y$6)*$K2816*$L2816*$M2816</f>
        <v/>
      </c>
      <c r="AH2816" s="20" t="n"/>
    </row>
    <row r="2817">
      <c r="A2817" s="9" t="n">
        <v>607179</v>
      </c>
      <c r="B2817" s="9" t="inlineStr">
        <is>
          <t>Jordan Weems</t>
        </is>
      </c>
      <c r="C2817" s="9" t="inlineStr">
        <is>
          <t>WSH</t>
        </is>
      </c>
      <c r="D2817" s="9" t="n">
        <v>34</v>
      </c>
      <c r="E2817" s="18" t="inlineStr">
        <is>
          <t>R</t>
        </is>
      </c>
      <c r="F2817" s="18" t="n"/>
      <c r="G2817" s="9" t="n">
        <v>23</v>
      </c>
      <c r="H2817" s="9" t="n">
        <v>617</v>
      </c>
      <c r="I2817" s="9" t="inlineStr">
        <is>
          <t>Depth (no MLB IP)</t>
        </is>
      </c>
      <c r="J2817" s="18" t="inlineStr">
        <is>
          <t>Opening Day</t>
        </is>
      </c>
      <c r="K2817" s="11">
        <f>IFERROR(INDEX(Roles!$B$17:$B$20,MATCH(J2817,Roles!$A$17:$A$20,0)),1)</f>
        <v/>
      </c>
      <c r="L2817" s="19" t="n">
        <v>1</v>
      </c>
      <c r="M2817" s="11" t="n">
        <v>1</v>
      </c>
      <c r="N2817" s="19" t="n"/>
      <c r="O2817" s="19" t="n"/>
      <c r="P2817" s="19" t="n"/>
      <c r="Q2817" s="19" t="n"/>
      <c r="R2817" s="19" t="n"/>
      <c r="S2817" s="19" t="n"/>
      <c r="T2817" s="19" t="n"/>
      <c r="U2817" s="19" t="n"/>
      <c r="V2817" s="19" t="n"/>
      <c r="W2817" s="19" t="n"/>
      <c r="X2817" s="19" t="n"/>
      <c r="Y2817" s="19" t="n">
        <v>1</v>
      </c>
      <c r="Z2817" s="13">
        <f>SUMPRODUCT(N2817:Y2817,$N$2:$Y$2)*$K2817*$L2817*$M2817</f>
        <v/>
      </c>
      <c r="AA2817" s="14">
        <f>SUM(N2817:Y2817)</f>
        <v/>
      </c>
      <c r="AB2817" s="13">
        <f>SUMPRODUCT(N2817:Y2817,$N$3:$Y$3)*$K2817*$L2817*$M2817</f>
        <v/>
      </c>
      <c r="AC2817" s="13">
        <f>SUMPRODUCT(N2817:Y2817,$N$4:$Y$4)*$K2817*$L2817*$M2817</f>
        <v/>
      </c>
      <c r="AD2817" s="15" t="n">
        <v>11</v>
      </c>
      <c r="AE2817" s="11" t="n">
        <v>1.016601158982111</v>
      </c>
      <c r="AF2817" s="16">
        <f>SUMPRODUCT(N2817:Y2817,$N$5:$Y$5)*$K2817*$L2817*$M2817</f>
        <v/>
      </c>
      <c r="AG2817" s="16">
        <f>SUMPRODUCT(N2817:Y2817,$N$6:$Y$6)*$K2817*$L2817*$M2817</f>
        <v/>
      </c>
      <c r="AH2817" s="20" t="n"/>
    </row>
    <row r="2818">
      <c r="A2818" s="9" t="n">
        <v>801700</v>
      </c>
      <c r="B2818" s="9" t="inlineStr">
        <is>
          <t>Nolan DeVos</t>
        </is>
      </c>
      <c r="C2818" s="9" t="inlineStr">
        <is>
          <t>HOU</t>
        </is>
      </c>
      <c r="D2818" s="9" t="n">
        <v>25</v>
      </c>
      <c r="E2818" s="18" t="inlineStr">
        <is>
          <t>R</t>
        </is>
      </c>
      <c r="F2818" s="18" t="n"/>
      <c r="G2818" s="9" t="n">
        <v>57.19</v>
      </c>
      <c r="H2818" s="9" t="n">
        <v>57.19</v>
      </c>
      <c r="I2818" s="9" t="inlineStr">
        <is>
          <t>Depth (no MLB IP)</t>
        </is>
      </c>
      <c r="J2818" s="18" t="inlineStr">
        <is>
          <t>Opening Day</t>
        </is>
      </c>
      <c r="K2818" s="11">
        <f>IFERROR(INDEX(Roles!$B$17:$B$20,MATCH(J2818,Roles!$A$17:$A$20,0)),1)</f>
        <v/>
      </c>
      <c r="L2818" s="19" t="n">
        <v>1</v>
      </c>
      <c r="M2818" s="11" t="n">
        <v>1</v>
      </c>
      <c r="N2818" s="19" t="n"/>
      <c r="O2818" s="19" t="n"/>
      <c r="P2818" s="19" t="n"/>
      <c r="Q2818" s="19" t="n"/>
      <c r="R2818" s="19" t="n"/>
      <c r="S2818" s="19" t="n"/>
      <c r="T2818" s="19" t="n"/>
      <c r="U2818" s="19" t="n"/>
      <c r="V2818" s="19" t="n"/>
      <c r="W2818" s="19" t="n"/>
      <c r="X2818" s="19" t="n"/>
      <c r="Y2818" s="19" t="n">
        <v>1</v>
      </c>
      <c r="Z2818" s="13">
        <f>SUMPRODUCT(N2818:Y2818,$N$2:$Y$2)*$K2818*$L2818*$M2818</f>
        <v/>
      </c>
      <c r="AA2818" s="14">
        <f>SUM(N2818:Y2818)</f>
        <v/>
      </c>
      <c r="AB2818" s="13">
        <f>SUMPRODUCT(N2818:Y2818,$N$3:$Y$3)*$K2818*$L2818*$M2818</f>
        <v/>
      </c>
      <c r="AC2818" s="13">
        <f>SUMPRODUCT(N2818:Y2818,$N$4:$Y$4)*$K2818*$L2818*$M2818</f>
        <v/>
      </c>
      <c r="AD2818" s="15" t="n">
        <v>3</v>
      </c>
      <c r="AE2818" s="11" t="n">
        <v>1.011296296296296</v>
      </c>
      <c r="AF2818" s="16">
        <f>SUMPRODUCT(N2818:Y2818,$N$5:$Y$5)*$K2818*$L2818*$M2818</f>
        <v/>
      </c>
      <c r="AG2818" s="16">
        <f>SUMPRODUCT(N2818:Y2818,$N$6:$Y$6)*$K2818*$L2818*$M2818</f>
        <v/>
      </c>
      <c r="AH2818" s="20" t="n"/>
    </row>
    <row r="2819">
      <c r="A2819" s="9" t="n">
        <v>668874</v>
      </c>
      <c r="B2819" s="9" t="inlineStr">
        <is>
          <t>Blair Henley</t>
        </is>
      </c>
      <c r="C2819" s="9" t="inlineStr">
        <is>
          <t>HOU</t>
        </is>
      </c>
      <c r="D2819" s="9" t="n">
        <v>30</v>
      </c>
      <c r="E2819" s="18" t="inlineStr">
        <is>
          <t>R</t>
        </is>
      </c>
      <c r="F2819" s="18" t="n"/>
      <c r="G2819" s="9" t="n">
        <v>9</v>
      </c>
      <c r="H2819" s="9" t="n">
        <v>9</v>
      </c>
      <c r="I2819" s="9" t="inlineStr">
        <is>
          <t>Depth (no MLB IP)</t>
        </is>
      </c>
      <c r="J2819" s="18" t="inlineStr">
        <is>
          <t>Opening Day</t>
        </is>
      </c>
      <c r="K2819" s="11">
        <f>IFERROR(INDEX(Roles!$B$17:$B$20,MATCH(J2819,Roles!$A$17:$A$20,0)),1)</f>
        <v/>
      </c>
      <c r="L2819" s="19" t="n">
        <v>1</v>
      </c>
      <c r="M2819" s="11" t="n">
        <v>1</v>
      </c>
      <c r="N2819" s="19" t="n"/>
      <c r="O2819" s="19" t="n"/>
      <c r="P2819" s="19" t="n"/>
      <c r="Q2819" s="19" t="n"/>
      <c r="R2819" s="19" t="n"/>
      <c r="S2819" s="19" t="n"/>
      <c r="T2819" s="19" t="n"/>
      <c r="U2819" s="19" t="n"/>
      <c r="V2819" s="19" t="n"/>
      <c r="W2819" s="19" t="n"/>
      <c r="X2819" s="19" t="n"/>
      <c r="Y2819" s="19" t="n">
        <v>1</v>
      </c>
      <c r="Z2819" s="13">
        <f>SUMPRODUCT(N2819:Y2819,$N$2:$Y$2)*$K2819*$L2819*$M2819</f>
        <v/>
      </c>
      <c r="AA2819" s="14">
        <f>SUM(N2819:Y2819)</f>
        <v/>
      </c>
      <c r="AB2819" s="13">
        <f>SUMPRODUCT(N2819:Y2819,$N$3:$Y$3)*$K2819*$L2819*$M2819</f>
        <v/>
      </c>
      <c r="AC2819" s="13">
        <f>SUMPRODUCT(N2819:Y2819,$N$4:$Y$4)*$K2819*$L2819*$M2819</f>
        <v/>
      </c>
      <c r="AD2819" s="15" t="n">
        <v>1.8</v>
      </c>
      <c r="AE2819" s="11" t="n">
        <v>0.7853086419753086</v>
      </c>
      <c r="AF2819" s="16">
        <f>SUMPRODUCT(N2819:Y2819,$N$5:$Y$5)*$K2819*$L2819*$M2819</f>
        <v/>
      </c>
      <c r="AG2819" s="16">
        <f>SUMPRODUCT(N2819:Y2819,$N$6:$Y$6)*$K2819*$L2819*$M2819</f>
        <v/>
      </c>
      <c r="AH2819" s="20" t="n"/>
    </row>
    <row r="2820">
      <c r="A2820" s="9" t="n">
        <v>641835</v>
      </c>
      <c r="B2820" s="9" t="inlineStr">
        <is>
          <t>Tim Mayza</t>
        </is>
      </c>
      <c r="C2820" s="9" t="inlineStr">
        <is>
          <t>PHI</t>
        </is>
      </c>
      <c r="D2820" s="9" t="n">
        <v>35</v>
      </c>
      <c r="E2820" s="18" t="inlineStr">
        <is>
          <t>L</t>
        </is>
      </c>
      <c r="F2820" s="18" t="n"/>
      <c r="G2820" s="9" t="n">
        <v>271</v>
      </c>
      <c r="H2820" s="9" t="n">
        <v>948</v>
      </c>
      <c r="I2820" s="9" t="inlineStr">
        <is>
          <t>Middle Relief</t>
        </is>
      </c>
      <c r="J2820" s="18" t="inlineStr">
        <is>
          <t>Opening Day</t>
        </is>
      </c>
      <c r="K2820" s="11">
        <f>IFERROR(INDEX(Roles!$B$17:$B$20,MATCH(J2820,Roles!$A$17:$A$20,0)),1)</f>
        <v/>
      </c>
      <c r="L2820" s="19" t="n">
        <v>1</v>
      </c>
      <c r="M2820" s="11" t="n">
        <v>1</v>
      </c>
      <c r="N2820" s="19" t="n"/>
      <c r="O2820" s="19" t="n"/>
      <c r="P2820" s="19" t="n"/>
      <c r="Q2820" s="19" t="n"/>
      <c r="R2820" s="19" t="n"/>
      <c r="S2820" s="19" t="n"/>
      <c r="T2820" s="19" t="n"/>
      <c r="U2820" s="19" t="n"/>
      <c r="V2820" s="19" t="n">
        <v>0.85</v>
      </c>
      <c r="W2820" s="19" t="n">
        <v>0.15</v>
      </c>
      <c r="X2820" s="19" t="n"/>
      <c r="Y2820" s="19" t="n"/>
      <c r="Z2820" s="13">
        <f>SUMPRODUCT(N2820:Y2820,$N$2:$Y$2)*$K2820*$L2820*$M2820</f>
        <v/>
      </c>
      <c r="AA2820" s="14">
        <f>SUM(N2820:Y2820)</f>
        <v/>
      </c>
      <c r="AB2820" s="13">
        <f>SUMPRODUCT(N2820:Y2820,$N$3:$Y$3)*$K2820*$L2820*$M2820</f>
        <v/>
      </c>
      <c r="AC2820" s="13">
        <f>SUMPRODUCT(N2820:Y2820,$N$4:$Y$4)*$K2820*$L2820*$M2820</f>
        <v/>
      </c>
      <c r="AD2820" s="15" t="n">
        <v>40.73333333333333</v>
      </c>
      <c r="AE2820" s="11" t="n">
        <v>1.04555402118567</v>
      </c>
      <c r="AF2820" s="16">
        <f>SUMPRODUCT(N2820:Y2820,$N$5:$Y$5)*$K2820*$L2820*$M2820</f>
        <v/>
      </c>
      <c r="AG2820" s="16">
        <f>SUMPRODUCT(N2820:Y2820,$N$6:$Y$6)*$K2820*$L2820*$M2820</f>
        <v/>
      </c>
      <c r="AH2820" s="20" t="n"/>
    </row>
    <row r="2821">
      <c r="A2821" s="9" t="n">
        <v>813282</v>
      </c>
      <c r="B2821" s="9" t="inlineStr">
        <is>
          <t>Austin Newton</t>
        </is>
      </c>
      <c r="C2821" s="9" t="inlineStr">
        <is>
          <t>COL</t>
        </is>
      </c>
      <c r="D2821" s="9" t="n">
        <v>25</v>
      </c>
      <c r="E2821" s="18" t="inlineStr">
        <is>
          <t>R</t>
        </is>
      </c>
      <c r="F2821" s="18" t="n"/>
      <c r="G2821" s="9" t="n">
        <v>57.27599999999999</v>
      </c>
      <c r="H2821" s="9" t="n">
        <v>57.27599999999999</v>
      </c>
      <c r="I2821" s="9" t="inlineStr">
        <is>
          <t>Depth (no MLB IP)</t>
        </is>
      </c>
      <c r="J2821" s="18" t="inlineStr">
        <is>
          <t>Opening Day</t>
        </is>
      </c>
      <c r="K2821" s="11">
        <f>IFERROR(INDEX(Roles!$B$17:$B$20,MATCH(J2821,Roles!$A$17:$A$20,0)),1)</f>
        <v/>
      </c>
      <c r="L2821" s="19" t="n">
        <v>1</v>
      </c>
      <c r="M2821" s="11" t="n">
        <v>1</v>
      </c>
      <c r="N2821" s="19" t="n"/>
      <c r="O2821" s="19" t="n"/>
      <c r="P2821" s="19" t="n"/>
      <c r="Q2821" s="19" t="n"/>
      <c r="R2821" s="19" t="n"/>
      <c r="S2821" s="19" t="n"/>
      <c r="T2821" s="19" t="n"/>
      <c r="U2821" s="19" t="n"/>
      <c r="V2821" s="19" t="n"/>
      <c r="W2821" s="19" t="n"/>
      <c r="X2821" s="19" t="n"/>
      <c r="Y2821" s="19" t="n">
        <v>1</v>
      </c>
      <c r="Z2821" s="13">
        <f>SUMPRODUCT(N2821:Y2821,$N$2:$Y$2)*$K2821*$L2821*$M2821</f>
        <v/>
      </c>
      <c r="AA2821" s="14">
        <f>SUM(N2821:Y2821)</f>
        <v/>
      </c>
      <c r="AB2821" s="13">
        <f>SUMPRODUCT(N2821:Y2821,$N$3:$Y$3)*$K2821*$L2821*$M2821</f>
        <v/>
      </c>
      <c r="AC2821" s="13">
        <f>SUMPRODUCT(N2821:Y2821,$N$4:$Y$4)*$K2821*$L2821*$M2821</f>
        <v/>
      </c>
      <c r="AD2821" s="15" t="n">
        <v>3</v>
      </c>
      <c r="AE2821" s="11" t="n">
        <v>1.011296296296296</v>
      </c>
      <c r="AF2821" s="16">
        <f>SUMPRODUCT(N2821:Y2821,$N$5:$Y$5)*$K2821*$L2821*$M2821</f>
        <v/>
      </c>
      <c r="AG2821" s="16">
        <f>SUMPRODUCT(N2821:Y2821,$N$6:$Y$6)*$K2821*$L2821*$M2821</f>
        <v/>
      </c>
      <c r="AH2821" s="20" t="n"/>
    </row>
    <row r="2822">
      <c r="A2822" s="9" t="n">
        <v>694397</v>
      </c>
      <c r="B2822" s="9" t="inlineStr">
        <is>
          <t>Marco Raya</t>
        </is>
      </c>
      <c r="C2822" s="9" t="inlineStr">
        <is>
          <t>MIN</t>
        </is>
      </c>
      <c r="D2822" s="9" t="n">
        <v>24</v>
      </c>
      <c r="E2822" s="18" t="inlineStr">
        <is>
          <t>R</t>
        </is>
      </c>
      <c r="F2822" s="18" t="n"/>
      <c r="G2822" s="9" t="n">
        <v>25</v>
      </c>
      <c r="H2822" s="9" t="n">
        <v>25</v>
      </c>
      <c r="I2822" s="9" t="inlineStr">
        <is>
          <t>Bullpen Depth Arm</t>
        </is>
      </c>
      <c r="J2822" s="18" t="inlineStr">
        <is>
          <t>Opening Day</t>
        </is>
      </c>
      <c r="K2822" s="11">
        <f>IFERROR(INDEX(Roles!$B$17:$B$20,MATCH(J2822,Roles!$A$17:$A$20,0)),1)</f>
        <v/>
      </c>
      <c r="L2822" s="19" t="n">
        <v>1</v>
      </c>
      <c r="M2822" s="11" t="n">
        <v>1</v>
      </c>
      <c r="N2822" s="19" t="n"/>
      <c r="O2822" s="19" t="n"/>
      <c r="P2822" s="19" t="n"/>
      <c r="Q2822" s="19" t="n"/>
      <c r="R2822" s="19" t="n"/>
      <c r="S2822" s="19" t="n"/>
      <c r="T2822" s="19" t="n"/>
      <c r="U2822" s="19" t="n"/>
      <c r="V2822" s="19" t="n"/>
      <c r="W2822" s="19" t="n">
        <v>1</v>
      </c>
      <c r="X2822" s="19" t="n"/>
      <c r="Y2822" s="19" t="n"/>
      <c r="Z2822" s="13">
        <f>SUMPRODUCT(N2822:Y2822,$N$2:$Y$2)*$K2822*$L2822*$M2822</f>
        <v/>
      </c>
      <c r="AA2822" s="14">
        <f>SUM(N2822:Y2822)</f>
        <v/>
      </c>
      <c r="AB2822" s="13">
        <f>SUMPRODUCT(N2822:Y2822,$N$3:$Y$3)*$K2822*$L2822*$M2822</f>
        <v/>
      </c>
      <c r="AC2822" s="13">
        <f>SUMPRODUCT(N2822:Y2822,$N$4:$Y$4)*$K2822*$L2822*$M2822</f>
        <v/>
      </c>
      <c r="AD2822" s="15" t="n">
        <v>7.466666666666666</v>
      </c>
      <c r="AE2822" s="11" t="n">
        <v>1.468173801507135</v>
      </c>
      <c r="AF2822" s="16">
        <f>SUMPRODUCT(N2822:Y2822,$N$5:$Y$5)*$K2822*$L2822*$M2822</f>
        <v/>
      </c>
      <c r="AG2822" s="16">
        <f>SUMPRODUCT(N2822:Y2822,$N$6:$Y$6)*$K2822*$L2822*$M2822</f>
        <v/>
      </c>
      <c r="AH2822" s="20" t="n"/>
    </row>
    <row r="2823">
      <c r="A2823" s="9" t="n">
        <v>814392</v>
      </c>
      <c r="B2823" s="9" t="inlineStr">
        <is>
          <t>Xavier Rivas</t>
        </is>
      </c>
      <c r="C2823" s="9" t="inlineStr">
        <is>
          <t>NYY</t>
        </is>
      </c>
      <c r="D2823" s="9" t="n">
        <v>25</v>
      </c>
      <c r="E2823" s="18" t="inlineStr">
        <is>
          <t>L</t>
        </is>
      </c>
      <c r="F2823" s="18" t="n"/>
      <c r="G2823" s="9" t="n">
        <v>57.54833333333333</v>
      </c>
      <c r="H2823" s="9" t="n">
        <v>57.54833333333333</v>
      </c>
      <c r="I2823" s="9" t="inlineStr">
        <is>
          <t>Depth (no MLB IP)</t>
        </is>
      </c>
      <c r="J2823" s="18" t="inlineStr">
        <is>
          <t>Opening Day</t>
        </is>
      </c>
      <c r="K2823" s="11">
        <f>IFERROR(INDEX(Roles!$B$17:$B$20,MATCH(J2823,Roles!$A$17:$A$20,0)),1)</f>
        <v/>
      </c>
      <c r="L2823" s="19" t="n">
        <v>1</v>
      </c>
      <c r="M2823" s="11" t="n">
        <v>1</v>
      </c>
      <c r="N2823" s="19" t="n"/>
      <c r="O2823" s="19" t="n"/>
      <c r="P2823" s="19" t="n"/>
      <c r="Q2823" s="19" t="n"/>
      <c r="R2823" s="19" t="n"/>
      <c r="S2823" s="19" t="n"/>
      <c r="T2823" s="19" t="n"/>
      <c r="U2823" s="19" t="n"/>
      <c r="V2823" s="19" t="n"/>
      <c r="W2823" s="19" t="n"/>
      <c r="X2823" s="19" t="n"/>
      <c r="Y2823" s="19" t="n">
        <v>1</v>
      </c>
      <c r="Z2823" s="13">
        <f>SUMPRODUCT(N2823:Y2823,$N$2:$Y$2)*$K2823*$L2823*$M2823</f>
        <v/>
      </c>
      <c r="AA2823" s="14">
        <f>SUM(N2823:Y2823)</f>
        <v/>
      </c>
      <c r="AB2823" s="13">
        <f>SUMPRODUCT(N2823:Y2823,$N$3:$Y$3)*$K2823*$L2823*$M2823</f>
        <v/>
      </c>
      <c r="AC2823" s="13">
        <f>SUMPRODUCT(N2823:Y2823,$N$4:$Y$4)*$K2823*$L2823*$M2823</f>
        <v/>
      </c>
      <c r="AD2823" s="15" t="n">
        <v>3</v>
      </c>
      <c r="AE2823" s="11" t="n">
        <v>1.011296296296296</v>
      </c>
      <c r="AF2823" s="16">
        <f>SUMPRODUCT(N2823:Y2823,$N$5:$Y$5)*$K2823*$L2823*$M2823</f>
        <v/>
      </c>
      <c r="AG2823" s="16">
        <f>SUMPRODUCT(N2823:Y2823,$N$6:$Y$6)*$K2823*$L2823*$M2823</f>
        <v/>
      </c>
      <c r="AH2823" s="20" t="n"/>
    </row>
    <row r="2824">
      <c r="A2824" s="9" t="n">
        <v>694738</v>
      </c>
      <c r="B2824" s="9" t="inlineStr">
        <is>
          <t>Landen Roupp</t>
        </is>
      </c>
      <c r="C2824" s="9" t="inlineStr">
        <is>
          <t>SF</t>
        </is>
      </c>
      <c r="D2824" s="9" t="n">
        <v>28</v>
      </c>
      <c r="E2824" s="18" t="inlineStr">
        <is>
          <t>R</t>
        </is>
      </c>
      <c r="F2824" s="18" t="n"/>
      <c r="G2824" s="9" t="n">
        <v>657</v>
      </c>
      <c r="H2824" s="9" t="n">
        <v>1350</v>
      </c>
      <c r="I2824" s="9" t="inlineStr">
        <is>
          <t>End-of-Rotation Starter (SP4-5)</t>
        </is>
      </c>
      <c r="J2824" s="18" t="inlineStr">
        <is>
          <t>Opening Day</t>
        </is>
      </c>
      <c r="K2824" s="11">
        <f>IFERROR(INDEX(Roles!$B$17:$B$20,MATCH(J2824,Roles!$A$17:$A$20,0)),1)</f>
        <v/>
      </c>
      <c r="L2824" s="19" t="n">
        <v>1</v>
      </c>
      <c r="M2824" s="11" t="n">
        <v>1</v>
      </c>
      <c r="N2824" s="19" t="n"/>
      <c r="O2824" s="19" t="n"/>
      <c r="P2824" s="19" t="n">
        <v>0.5</v>
      </c>
      <c r="Q2824" s="19" t="n"/>
      <c r="R2824" s="19" t="n">
        <v>0.5</v>
      </c>
      <c r="S2824" s="19" t="n"/>
      <c r="T2824" s="19" t="n"/>
      <c r="U2824" s="19" t="n"/>
      <c r="V2824" s="19" t="n"/>
      <c r="W2824" s="19" t="n"/>
      <c r="X2824" s="19" t="n"/>
      <c r="Y2824" s="19" t="n"/>
      <c r="Z2824" s="13">
        <f>SUMPRODUCT(N2824:Y2824,$N$2:$Y$2)*$K2824*$L2824*$M2824</f>
        <v/>
      </c>
      <c r="AA2824" s="14">
        <f>SUM(N2824:Y2824)</f>
        <v/>
      </c>
      <c r="AB2824" s="13">
        <f>SUMPRODUCT(N2824:Y2824,$N$3:$Y$3)*$K2824*$L2824*$M2824</f>
        <v/>
      </c>
      <c r="AC2824" s="13">
        <f>SUMPRODUCT(N2824:Y2824,$N$4:$Y$4)*$K2824*$L2824*$M2824</f>
        <v/>
      </c>
      <c r="AD2824" s="15" t="n">
        <v>21.8</v>
      </c>
      <c r="AE2824" s="11" t="n">
        <v>4.614237614237614</v>
      </c>
      <c r="AF2824" s="16">
        <f>SUMPRODUCT(N2824:Y2824,$N$5:$Y$5)*$K2824*$L2824*$M2824</f>
        <v/>
      </c>
      <c r="AG2824" s="16">
        <f>SUMPRODUCT(N2824:Y2824,$N$6:$Y$6)*$K2824*$L2824*$M2824</f>
        <v/>
      </c>
      <c r="AH2824" s="20" t="n"/>
    </row>
    <row r="2825">
      <c r="A2825" s="9" t="n">
        <v>701370</v>
      </c>
      <c r="B2825" s="9" t="inlineStr">
        <is>
          <t>JeanPierre Ortiz</t>
        </is>
      </c>
      <c r="C2825" s="9" t="inlineStr">
        <is>
          <t>CIN</t>
        </is>
      </c>
      <c r="D2825" s="9" t="n">
        <v>25</v>
      </c>
      <c r="E2825" s="18" t="inlineStr">
        <is>
          <t>R</t>
        </is>
      </c>
      <c r="F2825" s="18" t="n"/>
      <c r="G2825" s="9" t="n">
        <v>57.62</v>
      </c>
      <c r="H2825" s="9" t="n">
        <v>57.62</v>
      </c>
      <c r="I2825" s="9" t="inlineStr">
        <is>
          <t>Depth (no MLB IP)</t>
        </is>
      </c>
      <c r="J2825" s="18" t="inlineStr">
        <is>
          <t>Opening Day</t>
        </is>
      </c>
      <c r="K2825" s="11">
        <f>IFERROR(INDEX(Roles!$B$17:$B$20,MATCH(J2825,Roles!$A$17:$A$20,0)),1)</f>
        <v/>
      </c>
      <c r="L2825" s="19" t="n">
        <v>1</v>
      </c>
      <c r="M2825" s="11" t="n">
        <v>1</v>
      </c>
      <c r="N2825" s="19" t="n"/>
      <c r="O2825" s="19" t="n"/>
      <c r="P2825" s="19" t="n"/>
      <c r="Q2825" s="19" t="n"/>
      <c r="R2825" s="19" t="n"/>
      <c r="S2825" s="19" t="n"/>
      <c r="T2825" s="19" t="n"/>
      <c r="U2825" s="19" t="n"/>
      <c r="V2825" s="19" t="n"/>
      <c r="W2825" s="19" t="n"/>
      <c r="X2825" s="19" t="n"/>
      <c r="Y2825" s="19" t="n">
        <v>1</v>
      </c>
      <c r="Z2825" s="13">
        <f>SUMPRODUCT(N2825:Y2825,$N$2:$Y$2)*$K2825*$L2825*$M2825</f>
        <v/>
      </c>
      <c r="AA2825" s="14">
        <f>SUM(N2825:Y2825)</f>
        <v/>
      </c>
      <c r="AB2825" s="13">
        <f>SUMPRODUCT(N2825:Y2825,$N$3:$Y$3)*$K2825*$L2825*$M2825</f>
        <v/>
      </c>
      <c r="AC2825" s="13">
        <f>SUMPRODUCT(N2825:Y2825,$N$4:$Y$4)*$K2825*$L2825*$M2825</f>
        <v/>
      </c>
      <c r="AD2825" s="15" t="n">
        <v>3</v>
      </c>
      <c r="AE2825" s="11" t="n">
        <v>1.011296296296296</v>
      </c>
      <c r="AF2825" s="16">
        <f>SUMPRODUCT(N2825:Y2825,$N$5:$Y$5)*$K2825*$L2825*$M2825</f>
        <v/>
      </c>
      <c r="AG2825" s="16">
        <f>SUMPRODUCT(N2825:Y2825,$N$6:$Y$6)*$K2825*$L2825*$M2825</f>
        <v/>
      </c>
      <c r="AH2825" s="20" t="n"/>
    </row>
    <row r="2826">
      <c r="A2826" s="9" t="n">
        <v>660761</v>
      </c>
      <c r="B2826" s="9" t="inlineStr">
        <is>
          <t>José Suarez</t>
        </is>
      </c>
      <c r="C2826" s="9" t="inlineStr">
        <is>
          <t>OAK</t>
        </is>
      </c>
      <c r="D2826" s="9" t="n">
        <v>29</v>
      </c>
      <c r="E2826" s="18" t="inlineStr">
        <is>
          <t>L</t>
        </is>
      </c>
      <c r="F2826" s="18" t="n"/>
      <c r="G2826" s="9" t="n">
        <v>277</v>
      </c>
      <c r="H2826" s="9" t="n">
        <v>1225</v>
      </c>
      <c r="I2826" s="9" t="inlineStr">
        <is>
          <t>Middle Relief</t>
        </is>
      </c>
      <c r="J2826" s="18" t="inlineStr">
        <is>
          <t>Opening Day</t>
        </is>
      </c>
      <c r="K2826" s="11">
        <f>IFERROR(INDEX(Roles!$B$17:$B$20,MATCH(J2826,Roles!$A$17:$A$20,0)),1)</f>
        <v/>
      </c>
      <c r="L2826" s="19" t="n">
        <v>1</v>
      </c>
      <c r="M2826" s="11" t="n">
        <v>1</v>
      </c>
      <c r="N2826" s="19" t="n"/>
      <c r="O2826" s="19" t="n"/>
      <c r="P2826" s="19" t="n"/>
      <c r="Q2826" s="19" t="n"/>
      <c r="R2826" s="19" t="n"/>
      <c r="S2826" s="19" t="n"/>
      <c r="T2826" s="19" t="n"/>
      <c r="U2826" s="19" t="n"/>
      <c r="V2826" s="19" t="n">
        <v>1</v>
      </c>
      <c r="W2826" s="19" t="n"/>
      <c r="X2826" s="19" t="n"/>
      <c r="Y2826" s="19" t="n"/>
      <c r="Z2826" s="13">
        <f>SUMPRODUCT(N2826:Y2826,$N$2:$Y$2)*$K2826*$L2826*$M2826</f>
        <v/>
      </c>
      <c r="AA2826" s="14">
        <f>SUM(N2826:Y2826)</f>
        <v/>
      </c>
      <c r="AB2826" s="13">
        <f>SUMPRODUCT(N2826:Y2826,$N$3:$Y$3)*$K2826*$L2826*$M2826</f>
        <v/>
      </c>
      <c r="AC2826" s="13">
        <f>SUMPRODUCT(N2826:Y2826,$N$4:$Y$4)*$K2826*$L2826*$M2826</f>
        <v/>
      </c>
      <c r="AD2826" s="15" t="n">
        <v>31.83333333333333</v>
      </c>
      <c r="AE2826" s="11" t="n">
        <v>1.225206142943055</v>
      </c>
      <c r="AF2826" s="16">
        <f>SUMPRODUCT(N2826:Y2826,$N$5:$Y$5)*$K2826*$L2826*$M2826</f>
        <v/>
      </c>
      <c r="AG2826" s="16">
        <f>SUMPRODUCT(N2826:Y2826,$N$6:$Y$6)*$K2826*$L2826*$M2826</f>
        <v/>
      </c>
      <c r="AH2826" s="20" t="n"/>
    </row>
    <row r="2827">
      <c r="A2827" s="9" t="n">
        <v>683636</v>
      </c>
      <c r="B2827" s="9" t="inlineStr">
        <is>
          <t>Juan Carela</t>
        </is>
      </c>
      <c r="C2827" s="9" t="inlineStr">
        <is>
          <t>CWS</t>
        </is>
      </c>
      <c r="D2827" s="9" t="n">
        <v>25</v>
      </c>
      <c r="E2827" s="18" t="inlineStr">
        <is>
          <t>R</t>
        </is>
      </c>
      <c r="F2827" s="18" t="n"/>
      <c r="G2827" s="9" t="n">
        <v>57.69166666666666</v>
      </c>
      <c r="H2827" s="9" t="n">
        <v>57.69166666666666</v>
      </c>
      <c r="I2827" s="9" t="inlineStr">
        <is>
          <t>Depth (no MLB IP)</t>
        </is>
      </c>
      <c r="J2827" s="18" t="inlineStr">
        <is>
          <t>Opening Day</t>
        </is>
      </c>
      <c r="K2827" s="11">
        <f>IFERROR(INDEX(Roles!$B$17:$B$20,MATCH(J2827,Roles!$A$17:$A$20,0)),1)</f>
        <v/>
      </c>
      <c r="L2827" s="19" t="n">
        <v>1</v>
      </c>
      <c r="M2827" s="11" t="n">
        <v>1</v>
      </c>
      <c r="N2827" s="19" t="n"/>
      <c r="O2827" s="19" t="n"/>
      <c r="P2827" s="19" t="n"/>
      <c r="Q2827" s="19" t="n"/>
      <c r="R2827" s="19" t="n"/>
      <c r="S2827" s="19" t="n"/>
      <c r="T2827" s="19" t="n"/>
      <c r="U2827" s="19" t="n"/>
      <c r="V2827" s="19" t="n"/>
      <c r="W2827" s="19" t="n"/>
      <c r="X2827" s="19" t="n"/>
      <c r="Y2827" s="19" t="n">
        <v>1</v>
      </c>
      <c r="Z2827" s="13">
        <f>SUMPRODUCT(N2827:Y2827,$N$2:$Y$2)*$K2827*$L2827*$M2827</f>
        <v/>
      </c>
      <c r="AA2827" s="14">
        <f>SUM(N2827:Y2827)</f>
        <v/>
      </c>
      <c r="AB2827" s="13">
        <f>SUMPRODUCT(N2827:Y2827,$N$3:$Y$3)*$K2827*$L2827*$M2827</f>
        <v/>
      </c>
      <c r="AC2827" s="13">
        <f>SUMPRODUCT(N2827:Y2827,$N$4:$Y$4)*$K2827*$L2827*$M2827</f>
        <v/>
      </c>
      <c r="AD2827" s="15" t="n">
        <v>3</v>
      </c>
      <c r="AE2827" s="11" t="n">
        <v>1.011296296296296</v>
      </c>
      <c r="AF2827" s="16">
        <f>SUMPRODUCT(N2827:Y2827,$N$5:$Y$5)*$K2827*$L2827*$M2827</f>
        <v/>
      </c>
      <c r="AG2827" s="16">
        <f>SUMPRODUCT(N2827:Y2827,$N$6:$Y$6)*$K2827*$L2827*$M2827</f>
        <v/>
      </c>
      <c r="AH2827" s="20" t="n"/>
    </row>
    <row r="2828">
      <c r="A2828" s="9" t="n">
        <v>664139</v>
      </c>
      <c r="B2828" s="9" t="inlineStr">
        <is>
          <t>Ian Gibaut</t>
        </is>
      </c>
      <c r="C2828" s="9" t="inlineStr">
        <is>
          <t>CIN</t>
        </is>
      </c>
      <c r="D2828" s="9" t="n">
        <v>33</v>
      </c>
      <c r="E2828" s="18" t="inlineStr">
        <is>
          <t>R</t>
        </is>
      </c>
      <c r="F2828" s="18" t="n"/>
      <c r="G2828" s="9" t="n">
        <v>109</v>
      </c>
      <c r="H2828" s="9" t="n">
        <v>597</v>
      </c>
      <c r="I2828" s="9" t="inlineStr">
        <is>
          <t>Bullpen Depth Arm</t>
        </is>
      </c>
      <c r="J2828" s="18" t="inlineStr">
        <is>
          <t>Opening Day</t>
        </is>
      </c>
      <c r="K2828" s="11">
        <f>IFERROR(INDEX(Roles!$B$17:$B$20,MATCH(J2828,Roles!$A$17:$A$20,0)),1)</f>
        <v/>
      </c>
      <c r="L2828" s="19" t="n">
        <v>1</v>
      </c>
      <c r="M2828" s="11" t="n">
        <v>1</v>
      </c>
      <c r="N2828" s="19" t="n"/>
      <c r="O2828" s="19" t="n"/>
      <c r="P2828" s="19" t="n"/>
      <c r="Q2828" s="19" t="n"/>
      <c r="R2828" s="19" t="n"/>
      <c r="S2828" s="19" t="n"/>
      <c r="T2828" s="19" t="n"/>
      <c r="U2828" s="19" t="n"/>
      <c r="V2828" s="19" t="n"/>
      <c r="W2828" s="19" t="n">
        <v>1</v>
      </c>
      <c r="X2828" s="19" t="n"/>
      <c r="Y2828" s="19" t="n"/>
      <c r="Z2828" s="13">
        <f>SUMPRODUCT(N2828:Y2828,$N$2:$Y$2)*$K2828*$L2828*$M2828</f>
        <v/>
      </c>
      <c r="AA2828" s="14">
        <f>SUM(N2828:Y2828)</f>
        <v/>
      </c>
      <c r="AB2828" s="13">
        <f>SUMPRODUCT(N2828:Y2828,$N$3:$Y$3)*$K2828*$L2828*$M2828</f>
        <v/>
      </c>
      <c r="AC2828" s="13">
        <f>SUMPRODUCT(N2828:Y2828,$N$4:$Y$4)*$K2828*$L2828*$M2828</f>
        <v/>
      </c>
      <c r="AD2828" s="15" t="n">
        <v>16.06666666666667</v>
      </c>
      <c r="AE2828" s="11" t="n">
        <v>1.139113972447306</v>
      </c>
      <c r="AF2828" s="16">
        <f>SUMPRODUCT(N2828:Y2828,$N$5:$Y$5)*$K2828*$L2828*$M2828</f>
        <v/>
      </c>
      <c r="AG2828" s="16">
        <f>SUMPRODUCT(N2828:Y2828,$N$6:$Y$6)*$K2828*$L2828*$M2828</f>
        <v/>
      </c>
      <c r="AH2828" s="20" t="n"/>
    </row>
    <row r="2829">
      <c r="A2829" s="9" t="n">
        <v>836059</v>
      </c>
      <c r="B2829" s="9" t="inlineStr">
        <is>
          <t>Brady Parker</t>
        </is>
      </c>
      <c r="C2829" s="9" t="inlineStr">
        <is>
          <t>COL</t>
        </is>
      </c>
      <c r="D2829" s="9" t="n">
        <v>25</v>
      </c>
      <c r="E2829" s="18" t="inlineStr">
        <is>
          <t>L</t>
        </is>
      </c>
      <c r="F2829" s="18" t="n"/>
      <c r="G2829" s="9" t="n">
        <v>57.96399999999999</v>
      </c>
      <c r="H2829" s="9" t="n">
        <v>57.96399999999999</v>
      </c>
      <c r="I2829" s="9" t="inlineStr">
        <is>
          <t>Depth (no MLB IP)</t>
        </is>
      </c>
      <c r="J2829" s="18" t="inlineStr">
        <is>
          <t>Opening Day</t>
        </is>
      </c>
      <c r="K2829" s="11">
        <f>IFERROR(INDEX(Roles!$B$17:$B$20,MATCH(J2829,Roles!$A$17:$A$20,0)),1)</f>
        <v/>
      </c>
      <c r="L2829" s="19" t="n">
        <v>1</v>
      </c>
      <c r="M2829" s="11" t="n">
        <v>1</v>
      </c>
      <c r="N2829" s="19" t="n"/>
      <c r="O2829" s="19" t="n"/>
      <c r="P2829" s="19" t="n"/>
      <c r="Q2829" s="19" t="n"/>
      <c r="R2829" s="19" t="n"/>
      <c r="S2829" s="19" t="n"/>
      <c r="T2829" s="19" t="n"/>
      <c r="U2829" s="19" t="n"/>
      <c r="V2829" s="19" t="n"/>
      <c r="W2829" s="19" t="n"/>
      <c r="X2829" s="19" t="n"/>
      <c r="Y2829" s="19" t="n">
        <v>1</v>
      </c>
      <c r="Z2829" s="13">
        <f>SUMPRODUCT(N2829:Y2829,$N$2:$Y$2)*$K2829*$L2829*$M2829</f>
        <v/>
      </c>
      <c r="AA2829" s="14">
        <f>SUM(N2829:Y2829)</f>
        <v/>
      </c>
      <c r="AB2829" s="13">
        <f>SUMPRODUCT(N2829:Y2829,$N$3:$Y$3)*$K2829*$L2829*$M2829</f>
        <v/>
      </c>
      <c r="AC2829" s="13">
        <f>SUMPRODUCT(N2829:Y2829,$N$4:$Y$4)*$K2829*$L2829*$M2829</f>
        <v/>
      </c>
      <c r="AD2829" s="15" t="n">
        <v>3</v>
      </c>
      <c r="AE2829" s="11" t="n">
        <v>1.011296296296296</v>
      </c>
      <c r="AF2829" s="16">
        <f>SUMPRODUCT(N2829:Y2829,$N$5:$Y$5)*$K2829*$L2829*$M2829</f>
        <v/>
      </c>
      <c r="AG2829" s="16">
        <f>SUMPRODUCT(N2829:Y2829,$N$6:$Y$6)*$K2829*$L2829*$M2829</f>
        <v/>
      </c>
      <c r="AH2829" s="20" t="n"/>
    </row>
    <row r="2830">
      <c r="A2830" s="9" t="n">
        <v>689266</v>
      </c>
      <c r="B2830" s="9" t="inlineStr">
        <is>
          <t>Dylan Dodd</t>
        </is>
      </c>
      <c r="C2830" s="9" t="inlineStr">
        <is>
          <t>ATL</t>
        </is>
      </c>
      <c r="D2830" s="9" t="n">
        <v>29</v>
      </c>
      <c r="E2830" s="18" t="inlineStr">
        <is>
          <t>L</t>
        </is>
      </c>
      <c r="F2830" s="18" t="n"/>
      <c r="G2830" s="9" t="n">
        <v>194</v>
      </c>
      <c r="H2830" s="9" t="n">
        <v>503</v>
      </c>
      <c r="I2830" s="9" t="inlineStr">
        <is>
          <t>Late Inning RP (Setup)</t>
        </is>
      </c>
      <c r="J2830" s="18" t="inlineStr">
        <is>
          <t>Opening Day</t>
        </is>
      </c>
      <c r="K2830" s="11">
        <f>IFERROR(INDEX(Roles!$B$17:$B$20,MATCH(J2830,Roles!$A$17:$A$20,0)),1)</f>
        <v/>
      </c>
      <c r="L2830" s="19" t="n">
        <v>1</v>
      </c>
      <c r="M2830" s="11" t="n">
        <v>1</v>
      </c>
      <c r="N2830" s="19" t="n"/>
      <c r="O2830" s="19" t="n"/>
      <c r="P2830" s="19" t="n"/>
      <c r="Q2830" s="19" t="n"/>
      <c r="R2830" s="19" t="n"/>
      <c r="S2830" s="19" t="n"/>
      <c r="T2830" s="19" t="n"/>
      <c r="U2830" s="19" t="n">
        <v>0.6</v>
      </c>
      <c r="V2830" s="19" t="n">
        <v>0.4</v>
      </c>
      <c r="W2830" s="19" t="n"/>
      <c r="X2830" s="19" t="n"/>
      <c r="Y2830" s="19" t="n"/>
      <c r="Z2830" s="13">
        <f>SUMPRODUCT(N2830:Y2830,$N$2:$Y$2)*$K2830*$L2830*$M2830</f>
        <v/>
      </c>
      <c r="AA2830" s="14">
        <f>SUM(N2830:Y2830)</f>
        <v/>
      </c>
      <c r="AB2830" s="13">
        <f>SUMPRODUCT(N2830:Y2830,$N$3:$Y$3)*$K2830*$L2830*$M2830</f>
        <v/>
      </c>
      <c r="AC2830" s="13">
        <f>SUMPRODUCT(N2830:Y2830,$N$4:$Y$4)*$K2830*$L2830*$M2830</f>
        <v/>
      </c>
      <c r="AD2830" s="15" t="n">
        <v>39.3</v>
      </c>
      <c r="AE2830" s="11" t="n">
        <v>1.026223051409618</v>
      </c>
      <c r="AF2830" s="16">
        <f>SUMPRODUCT(N2830:Y2830,$N$5:$Y$5)*$K2830*$L2830*$M2830</f>
        <v/>
      </c>
      <c r="AG2830" s="16">
        <f>SUMPRODUCT(N2830:Y2830,$N$6:$Y$6)*$K2830*$L2830*$M2830</f>
        <v/>
      </c>
      <c r="AH2830" s="20" t="n"/>
    </row>
    <row r="2831">
      <c r="A2831" s="9" t="n">
        <v>672782</v>
      </c>
      <c r="B2831" s="9" t="inlineStr">
        <is>
          <t>Yoendrys Gómez</t>
        </is>
      </c>
      <c r="C2831" s="9" t="inlineStr">
        <is>
          <t>MIN</t>
        </is>
      </c>
      <c r="D2831" s="9" t="n">
        <v>27</v>
      </c>
      <c r="E2831" s="18" t="inlineStr">
        <is>
          <t>R</t>
        </is>
      </c>
      <c r="F2831" s="18" t="n"/>
      <c r="G2831" s="9" t="n">
        <v>297</v>
      </c>
      <c r="H2831" s="9" t="n">
        <v>636</v>
      </c>
      <c r="I2831" s="9" t="inlineStr">
        <is>
          <t>Closer</t>
        </is>
      </c>
      <c r="J2831" s="18" t="inlineStr">
        <is>
          <t>Opening Day</t>
        </is>
      </c>
      <c r="K2831" s="11">
        <f>IFERROR(INDEX(Roles!$B$17:$B$20,MATCH(J2831,Roles!$A$17:$A$20,0)),1)</f>
        <v/>
      </c>
      <c r="L2831" s="19" t="n">
        <v>1</v>
      </c>
      <c r="M2831" s="11" t="n">
        <v>1</v>
      </c>
      <c r="N2831" s="19" t="n"/>
      <c r="O2831" s="19" t="n"/>
      <c r="P2831" s="19" t="n"/>
      <c r="Q2831" s="19" t="n"/>
      <c r="R2831" s="19" t="n"/>
      <c r="S2831" s="19" t="n"/>
      <c r="T2831" s="19" t="n">
        <v>0.85</v>
      </c>
      <c r="U2831" s="19" t="n">
        <v>0.15</v>
      </c>
      <c r="V2831" s="19" t="n"/>
      <c r="W2831" s="19" t="n"/>
      <c r="X2831" s="19" t="n"/>
      <c r="Y2831" s="19" t="n"/>
      <c r="Z2831" s="13">
        <f>SUMPRODUCT(N2831:Y2831,$N$2:$Y$2)*$K2831*$L2831*$M2831</f>
        <v/>
      </c>
      <c r="AA2831" s="14">
        <f>SUM(N2831:Y2831)</f>
        <v/>
      </c>
      <c r="AB2831" s="13">
        <f>SUMPRODUCT(N2831:Y2831,$N$3:$Y$3)*$K2831*$L2831*$M2831</f>
        <v/>
      </c>
      <c r="AC2831" s="13">
        <f>SUMPRODUCT(N2831:Y2831,$N$4:$Y$4)*$K2831*$L2831*$M2831</f>
        <v/>
      </c>
      <c r="AD2831" s="15" t="n">
        <v>44.36</v>
      </c>
      <c r="AE2831" s="11" t="n">
        <v>1.134269147037278</v>
      </c>
      <c r="AF2831" s="16">
        <f>SUMPRODUCT(N2831:Y2831,$N$5:$Y$5)*$K2831*$L2831*$M2831</f>
        <v/>
      </c>
      <c r="AG2831" s="16">
        <f>SUMPRODUCT(N2831:Y2831,$N$6:$Y$6)*$K2831*$L2831*$M2831</f>
        <v/>
      </c>
      <c r="AH2831" s="20" t="n"/>
    </row>
    <row r="2832">
      <c r="A2832" s="9" t="n">
        <v>669432</v>
      </c>
      <c r="B2832" s="9" t="inlineStr">
        <is>
          <t>Trevor Rogers</t>
        </is>
      </c>
      <c r="C2832" s="9" t="inlineStr">
        <is>
          <t>BAL</t>
        </is>
      </c>
      <c r="D2832" s="9" t="n">
        <v>29</v>
      </c>
      <c r="E2832" s="18" t="inlineStr">
        <is>
          <t>L</t>
        </is>
      </c>
      <c r="F2832" s="18" t="n"/>
      <c r="G2832" s="9" t="n">
        <v>699</v>
      </c>
      <c r="H2832" s="9" t="n">
        <v>2240</v>
      </c>
      <c r="I2832" s="9" t="inlineStr">
        <is>
          <t>Ace (SP1)</t>
        </is>
      </c>
      <c r="J2832" s="18" t="inlineStr">
        <is>
          <t>Opening Day</t>
        </is>
      </c>
      <c r="K2832" s="11">
        <f>IFERROR(INDEX(Roles!$B$17:$B$20,MATCH(J2832,Roles!$A$17:$A$20,0)),1)</f>
        <v/>
      </c>
      <c r="L2832" s="19" t="n">
        <v>1</v>
      </c>
      <c r="M2832" s="11" t="n">
        <v>1</v>
      </c>
      <c r="N2832" s="19" t="n">
        <v>0.5</v>
      </c>
      <c r="O2832" s="19" t="n">
        <v>0.5</v>
      </c>
      <c r="P2832" s="19" t="n"/>
      <c r="Q2832" s="19" t="n"/>
      <c r="R2832" s="19" t="n"/>
      <c r="S2832" s="19" t="n"/>
      <c r="T2832" s="19" t="n"/>
      <c r="U2832" s="19" t="n"/>
      <c r="V2832" s="19" t="n"/>
      <c r="W2832" s="19" t="n"/>
      <c r="X2832" s="19" t="n"/>
      <c r="Y2832" s="19" t="n"/>
      <c r="Z2832" s="13">
        <f>SUMPRODUCT(N2832:Y2832,$N$2:$Y$2)*$K2832*$L2832*$M2832</f>
        <v/>
      </c>
      <c r="AA2832" s="14">
        <f>SUM(N2832:Y2832)</f>
        <v/>
      </c>
      <c r="AB2832" s="13">
        <f>SUMPRODUCT(N2832:Y2832,$N$3:$Y$3)*$K2832*$L2832*$M2832</f>
        <v/>
      </c>
      <c r="AC2832" s="13">
        <f>SUMPRODUCT(N2832:Y2832,$N$4:$Y$4)*$K2832*$L2832*$M2832</f>
        <v/>
      </c>
      <c r="AD2832" s="15" t="n">
        <v>25.3</v>
      </c>
      <c r="AE2832" s="11" t="n">
        <v>5.628298118364343</v>
      </c>
      <c r="AF2832" s="16">
        <f>SUMPRODUCT(N2832:Y2832,$N$5:$Y$5)*$K2832*$L2832*$M2832</f>
        <v/>
      </c>
      <c r="AG2832" s="16">
        <f>SUMPRODUCT(N2832:Y2832,$N$6:$Y$6)*$K2832*$L2832*$M2832</f>
        <v/>
      </c>
      <c r="AH2832" s="20" t="n"/>
    </row>
    <row r="2833">
      <c r="A2833" s="9" t="n">
        <v>519141</v>
      </c>
      <c r="B2833" s="9" t="inlineStr">
        <is>
          <t>Drew Pomeranz</t>
        </is>
      </c>
      <c r="C2833" s="9" t="inlineStr">
        <is>
          <t>CHC</t>
        </is>
      </c>
      <c r="D2833" s="9" t="n">
        <v>38</v>
      </c>
      <c r="E2833" s="18" t="inlineStr">
        <is>
          <t>L</t>
        </is>
      </c>
      <c r="F2833" s="18" t="n"/>
      <c r="G2833" s="9" t="n">
        <v>135</v>
      </c>
      <c r="H2833" s="9" t="n">
        <v>338</v>
      </c>
      <c r="I2833" s="9" t="inlineStr">
        <is>
          <t>Bullpen Depth Arm</t>
        </is>
      </c>
      <c r="J2833" s="18" t="inlineStr">
        <is>
          <t>Opening Day</t>
        </is>
      </c>
      <c r="K2833" s="11">
        <f>IFERROR(INDEX(Roles!$B$17:$B$20,MATCH(J2833,Roles!$A$17:$A$20,0)),1)</f>
        <v/>
      </c>
      <c r="L2833" s="19" t="n">
        <v>1</v>
      </c>
      <c r="M2833" s="11" t="n">
        <v>1</v>
      </c>
      <c r="N2833" s="19" t="n"/>
      <c r="O2833" s="19" t="n"/>
      <c r="P2833" s="19" t="n"/>
      <c r="Q2833" s="19" t="n"/>
      <c r="R2833" s="19" t="n"/>
      <c r="S2833" s="19" t="n"/>
      <c r="T2833" s="19" t="n"/>
      <c r="U2833" s="19" t="n"/>
      <c r="V2833" s="19" t="n"/>
      <c r="W2833" s="19" t="n">
        <v>1</v>
      </c>
      <c r="X2833" s="19" t="n"/>
      <c r="Y2833" s="19" t="n"/>
      <c r="Z2833" s="13">
        <f>SUMPRODUCT(N2833:Y2833,$N$2:$Y$2)*$K2833*$L2833*$M2833</f>
        <v/>
      </c>
      <c r="AA2833" s="14">
        <f>SUM(N2833:Y2833)</f>
        <v/>
      </c>
      <c r="AB2833" s="13">
        <f>SUMPRODUCT(N2833:Y2833,$N$3:$Y$3)*$K2833*$L2833*$M2833</f>
        <v/>
      </c>
      <c r="AC2833" s="13">
        <f>SUMPRODUCT(N2833:Y2833,$N$4:$Y$4)*$K2833*$L2833*$M2833</f>
        <v/>
      </c>
      <c r="AD2833" s="15" t="n">
        <v>30.50666666666667</v>
      </c>
      <c r="AE2833" s="11" t="n">
        <v>1.101560811705739</v>
      </c>
      <c r="AF2833" s="16">
        <f>SUMPRODUCT(N2833:Y2833,$N$5:$Y$5)*$K2833*$L2833*$M2833</f>
        <v/>
      </c>
      <c r="AG2833" s="16">
        <f>SUMPRODUCT(N2833:Y2833,$N$6:$Y$6)*$K2833*$L2833*$M2833</f>
        <v/>
      </c>
      <c r="AH2833" s="20" t="n"/>
    </row>
    <row r="2834">
      <c r="A2834" s="9" t="n">
        <v>702910</v>
      </c>
      <c r="B2834" s="9" t="inlineStr">
        <is>
          <t>Jhancarlos Lara</t>
        </is>
      </c>
      <c r="C2834" s="9" t="inlineStr">
        <is>
          <t>WSH</t>
        </is>
      </c>
      <c r="D2834" s="9" t="n">
        <v>25</v>
      </c>
      <c r="E2834" s="18" t="inlineStr">
        <is>
          <t>R</t>
        </is>
      </c>
      <c r="F2834" s="18" t="n"/>
      <c r="G2834" s="9" t="n">
        <v>58.19333333333332</v>
      </c>
      <c r="H2834" s="9" t="n">
        <v>58.19333333333332</v>
      </c>
      <c r="I2834" s="9" t="inlineStr">
        <is>
          <t>Depth (no MLB IP)</t>
        </is>
      </c>
      <c r="J2834" s="18" t="inlineStr">
        <is>
          <t>Opening Day</t>
        </is>
      </c>
      <c r="K2834" s="11">
        <f>IFERROR(INDEX(Roles!$B$17:$B$20,MATCH(J2834,Roles!$A$17:$A$20,0)),1)</f>
        <v/>
      </c>
      <c r="L2834" s="19" t="n">
        <v>1</v>
      </c>
      <c r="M2834" s="11" t="n">
        <v>1</v>
      </c>
      <c r="N2834" s="19" t="n"/>
      <c r="O2834" s="19" t="n"/>
      <c r="P2834" s="19" t="n"/>
      <c r="Q2834" s="19" t="n"/>
      <c r="R2834" s="19" t="n"/>
      <c r="S2834" s="19" t="n"/>
      <c r="T2834" s="19" t="n"/>
      <c r="U2834" s="19" t="n"/>
      <c r="V2834" s="19" t="n"/>
      <c r="W2834" s="19" t="n"/>
      <c r="X2834" s="19" t="n"/>
      <c r="Y2834" s="19" t="n">
        <v>1</v>
      </c>
      <c r="Z2834" s="13">
        <f>SUMPRODUCT(N2834:Y2834,$N$2:$Y$2)*$K2834*$L2834*$M2834</f>
        <v/>
      </c>
      <c r="AA2834" s="14">
        <f>SUM(N2834:Y2834)</f>
        <v/>
      </c>
      <c r="AB2834" s="13">
        <f>SUMPRODUCT(N2834:Y2834,$N$3:$Y$3)*$K2834*$L2834*$M2834</f>
        <v/>
      </c>
      <c r="AC2834" s="13">
        <f>SUMPRODUCT(N2834:Y2834,$N$4:$Y$4)*$K2834*$L2834*$M2834</f>
        <v/>
      </c>
      <c r="AD2834" s="15" t="n">
        <v>3</v>
      </c>
      <c r="AE2834" s="11" t="n">
        <v>1.011296296296296</v>
      </c>
      <c r="AF2834" s="16">
        <f>SUMPRODUCT(N2834:Y2834,$N$5:$Y$5)*$K2834*$L2834*$M2834</f>
        <v/>
      </c>
      <c r="AG2834" s="16">
        <f>SUMPRODUCT(N2834:Y2834,$N$6:$Y$6)*$K2834*$L2834*$M2834</f>
        <v/>
      </c>
      <c r="AH2834" s="20" t="n"/>
    </row>
    <row r="2835">
      <c r="A2835" s="9" t="n">
        <v>670102</v>
      </c>
      <c r="B2835" s="9" t="inlineStr">
        <is>
          <t>Bowden Francis</t>
        </is>
      </c>
      <c r="C2835" s="9" t="inlineStr">
        <is>
          <t>TOR</t>
        </is>
      </c>
      <c r="D2835" s="9" t="n">
        <v>31</v>
      </c>
      <c r="E2835" s="18" t="inlineStr">
        <is>
          <t>R</t>
        </is>
      </c>
      <c r="F2835" s="18" t="n"/>
      <c r="G2835" s="9" t="n">
        <v>288</v>
      </c>
      <c r="H2835" s="9" t="n">
        <v>835</v>
      </c>
      <c r="I2835" s="9" t="inlineStr">
        <is>
          <t>Bullpen Depth Arm</t>
        </is>
      </c>
      <c r="J2835" s="18" t="inlineStr">
        <is>
          <t>Opening Day</t>
        </is>
      </c>
      <c r="K2835" s="11">
        <f>IFERROR(INDEX(Roles!$B$17:$B$20,MATCH(J2835,Roles!$A$17:$A$20,0)),1)</f>
        <v/>
      </c>
      <c r="L2835" s="19" t="n">
        <v>1</v>
      </c>
      <c r="M2835" s="11" t="n">
        <v>1</v>
      </c>
      <c r="N2835" s="19" t="n"/>
      <c r="O2835" s="19" t="n"/>
      <c r="P2835" s="19" t="n"/>
      <c r="Q2835" s="19" t="n"/>
      <c r="R2835" s="19" t="n"/>
      <c r="S2835" s="19" t="n"/>
      <c r="T2835" s="19" t="n"/>
      <c r="U2835" s="19" t="n"/>
      <c r="V2835" s="19" t="n"/>
      <c r="W2835" s="19" t="n">
        <v>1</v>
      </c>
      <c r="X2835" s="19" t="n"/>
      <c r="Y2835" s="19" t="n"/>
      <c r="Z2835" s="13">
        <f>SUMPRODUCT(N2835:Y2835,$N$2:$Y$2)*$K2835*$L2835*$M2835</f>
        <v/>
      </c>
      <c r="AA2835" s="14">
        <f>SUM(N2835:Y2835)</f>
        <v/>
      </c>
      <c r="AB2835" s="13">
        <f>SUMPRODUCT(N2835:Y2835,$N$3:$Y$3)*$K2835*$L2835*$M2835</f>
        <v/>
      </c>
      <c r="AC2835" s="13">
        <f>SUMPRODUCT(N2835:Y2835,$N$4:$Y$4)*$K2835*$L2835*$M2835</f>
        <v/>
      </c>
      <c r="AD2835" s="15" t="n">
        <v>16.66666666666666</v>
      </c>
      <c r="AE2835" s="11" t="n">
        <v>2.205547538880873</v>
      </c>
      <c r="AF2835" s="16">
        <f>SUMPRODUCT(N2835:Y2835,$N$5:$Y$5)*$K2835*$L2835*$M2835</f>
        <v/>
      </c>
      <c r="AG2835" s="16">
        <f>SUMPRODUCT(N2835:Y2835,$N$6:$Y$6)*$K2835*$L2835*$M2835</f>
        <v/>
      </c>
      <c r="AH2835" s="20" t="n"/>
    </row>
    <row r="2836">
      <c r="A2836" s="9" t="n">
        <v>813636</v>
      </c>
      <c r="B2836" s="9" t="inlineStr">
        <is>
          <t>Phil Fox</t>
        </is>
      </c>
      <c r="C2836" s="9" t="inlineStr">
        <is>
          <t>CWS</t>
        </is>
      </c>
      <c r="D2836" s="9" t="n">
        <v>25</v>
      </c>
      <c r="E2836" s="18" t="inlineStr">
        <is>
          <t>R</t>
        </is>
      </c>
      <c r="F2836" s="18" t="n"/>
      <c r="G2836" s="9" t="n">
        <v>58.19333333333332</v>
      </c>
      <c r="H2836" s="9" t="n">
        <v>58.19333333333332</v>
      </c>
      <c r="I2836" s="9" t="inlineStr">
        <is>
          <t>Depth (no MLB IP)</t>
        </is>
      </c>
      <c r="J2836" s="18" t="inlineStr">
        <is>
          <t>Opening Day</t>
        </is>
      </c>
      <c r="K2836" s="11">
        <f>IFERROR(INDEX(Roles!$B$17:$B$20,MATCH(J2836,Roles!$A$17:$A$20,0)),1)</f>
        <v/>
      </c>
      <c r="L2836" s="19" t="n">
        <v>1</v>
      </c>
      <c r="M2836" s="11" t="n">
        <v>1</v>
      </c>
      <c r="N2836" s="19" t="n"/>
      <c r="O2836" s="19" t="n"/>
      <c r="P2836" s="19" t="n"/>
      <c r="Q2836" s="19" t="n"/>
      <c r="R2836" s="19" t="n"/>
      <c r="S2836" s="19" t="n"/>
      <c r="T2836" s="19" t="n"/>
      <c r="U2836" s="19" t="n"/>
      <c r="V2836" s="19" t="n"/>
      <c r="W2836" s="19" t="n"/>
      <c r="X2836" s="19" t="n"/>
      <c r="Y2836" s="19" t="n">
        <v>1</v>
      </c>
      <c r="Z2836" s="13">
        <f>SUMPRODUCT(N2836:Y2836,$N$2:$Y$2)*$K2836*$L2836*$M2836</f>
        <v/>
      </c>
      <c r="AA2836" s="14">
        <f>SUM(N2836:Y2836)</f>
        <v/>
      </c>
      <c r="AB2836" s="13">
        <f>SUMPRODUCT(N2836:Y2836,$N$3:$Y$3)*$K2836*$L2836*$M2836</f>
        <v/>
      </c>
      <c r="AC2836" s="13">
        <f>SUMPRODUCT(N2836:Y2836,$N$4:$Y$4)*$K2836*$L2836*$M2836</f>
        <v/>
      </c>
      <c r="AD2836" s="15" t="n">
        <v>3</v>
      </c>
      <c r="AE2836" s="11" t="n">
        <v>1.011296296296296</v>
      </c>
      <c r="AF2836" s="16">
        <f>SUMPRODUCT(N2836:Y2836,$N$5:$Y$5)*$K2836*$L2836*$M2836</f>
        <v/>
      </c>
      <c r="AG2836" s="16">
        <f>SUMPRODUCT(N2836:Y2836,$N$6:$Y$6)*$K2836*$L2836*$M2836</f>
        <v/>
      </c>
      <c r="AH2836" s="20" t="n"/>
    </row>
    <row r="2837">
      <c r="A2837" s="9" t="n">
        <v>613564</v>
      </c>
      <c r="B2837" s="9" t="inlineStr">
        <is>
          <t>Jason Vosler</t>
        </is>
      </c>
      <c r="C2837" s="9" t="inlineStr">
        <is>
          <t>CIN</t>
        </is>
      </c>
      <c r="D2837" s="9" t="n">
        <v>33</v>
      </c>
      <c r="E2837" s="18" t="inlineStr">
        <is>
          <t>R</t>
        </is>
      </c>
      <c r="F2837" s="18" t="n"/>
      <c r="G2837" s="9" t="n">
        <v>11</v>
      </c>
      <c r="H2837" s="9" t="n">
        <v>11</v>
      </c>
      <c r="I2837" s="9" t="inlineStr">
        <is>
          <t>Depth (no MLB IP)</t>
        </is>
      </c>
      <c r="J2837" s="18" t="inlineStr">
        <is>
          <t>Opening Day</t>
        </is>
      </c>
      <c r="K2837" s="11">
        <f>IFERROR(INDEX(Roles!$B$17:$B$20,MATCH(J2837,Roles!$A$17:$A$20,0)),1)</f>
        <v/>
      </c>
      <c r="L2837" s="19" t="n">
        <v>1</v>
      </c>
      <c r="M2837" s="11" t="n">
        <v>1</v>
      </c>
      <c r="N2837" s="19" t="n"/>
      <c r="O2837" s="19" t="n"/>
      <c r="P2837" s="19" t="n"/>
      <c r="Q2837" s="19" t="n"/>
      <c r="R2837" s="19" t="n"/>
      <c r="S2837" s="19" t="n"/>
      <c r="T2837" s="19" t="n"/>
      <c r="U2837" s="19" t="n"/>
      <c r="V2837" s="19" t="n"/>
      <c r="W2837" s="19" t="n"/>
      <c r="X2837" s="19" t="n"/>
      <c r="Y2837" s="19" t="n">
        <v>1</v>
      </c>
      <c r="Z2837" s="13">
        <f>SUMPRODUCT(N2837:Y2837,$N$2:$Y$2)*$K2837*$L2837*$M2837</f>
        <v/>
      </c>
      <c r="AA2837" s="14">
        <f>SUM(N2837:Y2837)</f>
        <v/>
      </c>
      <c r="AB2837" s="13">
        <f>SUMPRODUCT(N2837:Y2837,$N$3:$Y$3)*$K2837*$L2837*$M2837</f>
        <v/>
      </c>
      <c r="AC2837" s="13">
        <f>SUMPRODUCT(N2837:Y2837,$N$4:$Y$4)*$K2837*$L2837*$M2837</f>
        <v/>
      </c>
      <c r="AD2837" s="15" t="n">
        <v>3</v>
      </c>
      <c r="AE2837" s="11" t="n">
        <v>1.011296296296296</v>
      </c>
      <c r="AF2837" s="16">
        <f>SUMPRODUCT(N2837:Y2837,$N$5:$Y$5)*$K2837*$L2837*$M2837</f>
        <v/>
      </c>
      <c r="AG2837" s="16">
        <f>SUMPRODUCT(N2837:Y2837,$N$6:$Y$6)*$K2837*$L2837*$M2837</f>
        <v/>
      </c>
      <c r="AH2837" s="20" t="n"/>
    </row>
    <row r="2838">
      <c r="A2838" s="9" t="n">
        <v>804892</v>
      </c>
      <c r="B2838" s="9" t="inlineStr">
        <is>
          <t>Justin West</t>
        </is>
      </c>
      <c r="C2838" s="9" t="inlineStr">
        <is>
          <t>NYY</t>
        </is>
      </c>
      <c r="D2838" s="9" t="n">
        <v>25</v>
      </c>
      <c r="E2838" s="18" t="inlineStr">
        <is>
          <t>L</t>
        </is>
      </c>
      <c r="F2838" s="18" t="n"/>
      <c r="G2838" s="9" t="n">
        <v>58.30799999999999</v>
      </c>
      <c r="H2838" s="9" t="n">
        <v>58.30799999999999</v>
      </c>
      <c r="I2838" s="9" t="inlineStr">
        <is>
          <t>Depth (no MLB IP)</t>
        </is>
      </c>
      <c r="J2838" s="18" t="inlineStr">
        <is>
          <t>Opening Day</t>
        </is>
      </c>
      <c r="K2838" s="11">
        <f>IFERROR(INDEX(Roles!$B$17:$B$20,MATCH(J2838,Roles!$A$17:$A$20,0)),1)</f>
        <v/>
      </c>
      <c r="L2838" s="19" t="n">
        <v>1</v>
      </c>
      <c r="M2838" s="11" t="n">
        <v>1</v>
      </c>
      <c r="N2838" s="19" t="n"/>
      <c r="O2838" s="19" t="n"/>
      <c r="P2838" s="19" t="n"/>
      <c r="Q2838" s="19" t="n"/>
      <c r="R2838" s="19" t="n"/>
      <c r="S2838" s="19" t="n"/>
      <c r="T2838" s="19" t="n"/>
      <c r="U2838" s="19" t="n"/>
      <c r="V2838" s="19" t="n"/>
      <c r="W2838" s="19" t="n"/>
      <c r="X2838" s="19" t="n"/>
      <c r="Y2838" s="19" t="n">
        <v>1</v>
      </c>
      <c r="Z2838" s="13">
        <f>SUMPRODUCT(N2838:Y2838,$N$2:$Y$2)*$K2838*$L2838*$M2838</f>
        <v/>
      </c>
      <c r="AA2838" s="14">
        <f>SUM(N2838:Y2838)</f>
        <v/>
      </c>
      <c r="AB2838" s="13">
        <f>SUMPRODUCT(N2838:Y2838,$N$3:$Y$3)*$K2838*$L2838*$M2838</f>
        <v/>
      </c>
      <c r="AC2838" s="13">
        <f>SUMPRODUCT(N2838:Y2838,$N$4:$Y$4)*$K2838*$L2838*$M2838</f>
        <v/>
      </c>
      <c r="AD2838" s="15" t="n">
        <v>3</v>
      </c>
      <c r="AE2838" s="11" t="n">
        <v>1.011296296296296</v>
      </c>
      <c r="AF2838" s="16">
        <f>SUMPRODUCT(N2838:Y2838,$N$5:$Y$5)*$K2838*$L2838*$M2838</f>
        <v/>
      </c>
      <c r="AG2838" s="16">
        <f>SUMPRODUCT(N2838:Y2838,$N$6:$Y$6)*$K2838*$L2838*$M2838</f>
        <v/>
      </c>
      <c r="AH2838" s="20" t="n"/>
    </row>
    <row r="2839">
      <c r="A2839" s="9" t="n">
        <v>571527</v>
      </c>
      <c r="B2839" s="9" t="inlineStr">
        <is>
          <t>David Buchanan</t>
        </is>
      </c>
      <c r="C2839" s="9" t="inlineStr">
        <is>
          <t>CIN</t>
        </is>
      </c>
      <c r="D2839" s="9" t="n">
        <v>38</v>
      </c>
      <c r="E2839" s="18" t="inlineStr">
        <is>
          <t>R</t>
        </is>
      </c>
      <c r="F2839" s="18" t="n"/>
      <c r="G2839" s="9" t="n">
        <v>14</v>
      </c>
      <c r="H2839" s="9" t="n">
        <v>14</v>
      </c>
      <c r="I2839" s="9" t="inlineStr">
        <is>
          <t>Depth (no MLB IP)</t>
        </is>
      </c>
      <c r="J2839" s="18" t="inlineStr">
        <is>
          <t>Opening Day</t>
        </is>
      </c>
      <c r="K2839" s="11">
        <f>IFERROR(INDEX(Roles!$B$17:$B$20,MATCH(J2839,Roles!$A$17:$A$20,0)),1)</f>
        <v/>
      </c>
      <c r="L2839" s="19" t="n">
        <v>1</v>
      </c>
      <c r="M2839" s="11" t="n">
        <v>1</v>
      </c>
      <c r="N2839" s="19" t="n"/>
      <c r="O2839" s="19" t="n"/>
      <c r="P2839" s="19" t="n"/>
      <c r="Q2839" s="19" t="n"/>
      <c r="R2839" s="19" t="n"/>
      <c r="S2839" s="19" t="n"/>
      <c r="T2839" s="19" t="n"/>
      <c r="U2839" s="19" t="n"/>
      <c r="V2839" s="19" t="n"/>
      <c r="W2839" s="19" t="n"/>
      <c r="X2839" s="19" t="n"/>
      <c r="Y2839" s="19" t="n">
        <v>1</v>
      </c>
      <c r="Z2839" s="13">
        <f>SUMPRODUCT(N2839:Y2839,$N$2:$Y$2)*$K2839*$L2839*$M2839</f>
        <v/>
      </c>
      <c r="AA2839" s="14">
        <f>SUM(N2839:Y2839)</f>
        <v/>
      </c>
      <c r="AB2839" s="13">
        <f>SUMPRODUCT(N2839:Y2839,$N$3:$Y$3)*$K2839*$L2839*$M2839</f>
        <v/>
      </c>
      <c r="AC2839" s="13">
        <f>SUMPRODUCT(N2839:Y2839,$N$4:$Y$4)*$K2839*$L2839*$M2839</f>
        <v/>
      </c>
      <c r="AD2839" s="15" t="n">
        <v>1.8</v>
      </c>
      <c r="AE2839" s="11" t="n">
        <v>1.785308641975309</v>
      </c>
      <c r="AF2839" s="16">
        <f>SUMPRODUCT(N2839:Y2839,$N$5:$Y$5)*$K2839*$L2839*$M2839</f>
        <v/>
      </c>
      <c r="AG2839" s="16">
        <f>SUMPRODUCT(N2839:Y2839,$N$6:$Y$6)*$K2839*$L2839*$M2839</f>
        <v/>
      </c>
      <c r="AH2839" s="20" t="n"/>
    </row>
    <row r="2840">
      <c r="A2840" s="9" t="n">
        <v>695556</v>
      </c>
      <c r="B2840" s="9" t="inlineStr">
        <is>
          <t>Shane Panzini</t>
        </is>
      </c>
      <c r="C2840" s="9" t="inlineStr">
        <is>
          <t>KC</t>
        </is>
      </c>
      <c r="D2840" s="9" t="n">
        <v>25</v>
      </c>
      <c r="E2840" s="18" t="inlineStr">
        <is>
          <t>R</t>
        </is>
      </c>
      <c r="F2840" s="18" t="n"/>
      <c r="G2840" s="9" t="n">
        <v>58.33666666666667</v>
      </c>
      <c r="H2840" s="9" t="n">
        <v>58.33666666666667</v>
      </c>
      <c r="I2840" s="9" t="inlineStr">
        <is>
          <t>Depth (no MLB IP)</t>
        </is>
      </c>
      <c r="J2840" s="18" t="inlineStr">
        <is>
          <t>Opening Day</t>
        </is>
      </c>
      <c r="K2840" s="11">
        <f>IFERROR(INDEX(Roles!$B$17:$B$20,MATCH(J2840,Roles!$A$17:$A$20,0)),1)</f>
        <v/>
      </c>
      <c r="L2840" s="19" t="n">
        <v>1</v>
      </c>
      <c r="M2840" s="11" t="n">
        <v>1</v>
      </c>
      <c r="N2840" s="19" t="n"/>
      <c r="O2840" s="19" t="n"/>
      <c r="P2840" s="19" t="n"/>
      <c r="Q2840" s="19" t="n"/>
      <c r="R2840" s="19" t="n"/>
      <c r="S2840" s="19" t="n"/>
      <c r="T2840" s="19" t="n"/>
      <c r="U2840" s="19" t="n"/>
      <c r="V2840" s="19" t="n"/>
      <c r="W2840" s="19" t="n"/>
      <c r="X2840" s="19" t="n"/>
      <c r="Y2840" s="19" t="n">
        <v>1</v>
      </c>
      <c r="Z2840" s="13">
        <f>SUMPRODUCT(N2840:Y2840,$N$2:$Y$2)*$K2840*$L2840*$M2840</f>
        <v/>
      </c>
      <c r="AA2840" s="14">
        <f>SUM(N2840:Y2840)</f>
        <v/>
      </c>
      <c r="AB2840" s="13">
        <f>SUMPRODUCT(N2840:Y2840,$N$3:$Y$3)*$K2840*$L2840*$M2840</f>
        <v/>
      </c>
      <c r="AC2840" s="13">
        <f>SUMPRODUCT(N2840:Y2840,$N$4:$Y$4)*$K2840*$L2840*$M2840</f>
        <v/>
      </c>
      <c r="AD2840" s="15" t="n">
        <v>3</v>
      </c>
      <c r="AE2840" s="11" t="n">
        <v>1.011296296296296</v>
      </c>
      <c r="AF2840" s="16">
        <f>SUMPRODUCT(N2840:Y2840,$N$5:$Y$5)*$K2840*$L2840*$M2840</f>
        <v/>
      </c>
      <c r="AG2840" s="16">
        <f>SUMPRODUCT(N2840:Y2840,$N$6:$Y$6)*$K2840*$L2840*$M2840</f>
        <v/>
      </c>
      <c r="AH2840" s="20" t="n"/>
    </row>
    <row r="2841">
      <c r="A2841" s="9" t="n">
        <v>669707</v>
      </c>
      <c r="B2841" s="9" t="inlineStr">
        <is>
          <t>Jared Triolo</t>
        </is>
      </c>
      <c r="C2841" s="9" t="inlineStr">
        <is>
          <t>PIT</t>
        </is>
      </c>
      <c r="D2841" s="9" t="n">
        <v>29</v>
      </c>
      <c r="E2841" s="18" t="inlineStr">
        <is>
          <t>R</t>
        </is>
      </c>
      <c r="F2841" s="18" t="n"/>
      <c r="G2841" s="9" t="n">
        <v>8</v>
      </c>
      <c r="H2841" s="9" t="n">
        <v>8</v>
      </c>
      <c r="I2841" s="9" t="inlineStr">
        <is>
          <t>Depth (no MLB IP)</t>
        </is>
      </c>
      <c r="J2841" s="18" t="inlineStr">
        <is>
          <t>Opening Day</t>
        </is>
      </c>
      <c r="K2841" s="11">
        <f>IFERROR(INDEX(Roles!$B$17:$B$20,MATCH(J2841,Roles!$A$17:$A$20,0)),1)</f>
        <v/>
      </c>
      <c r="L2841" s="19" t="n">
        <v>1</v>
      </c>
      <c r="M2841" s="11" t="n">
        <v>1</v>
      </c>
      <c r="N2841" s="19" t="n"/>
      <c r="O2841" s="19" t="n"/>
      <c r="P2841" s="19" t="n"/>
      <c r="Q2841" s="19" t="n"/>
      <c r="R2841" s="19" t="n"/>
      <c r="S2841" s="19" t="n"/>
      <c r="T2841" s="19" t="n"/>
      <c r="U2841" s="19" t="n"/>
      <c r="V2841" s="19" t="n"/>
      <c r="W2841" s="19" t="n"/>
      <c r="X2841" s="19" t="n"/>
      <c r="Y2841" s="19" t="n">
        <v>1</v>
      </c>
      <c r="Z2841" s="13">
        <f>SUMPRODUCT(N2841:Y2841,$N$2:$Y$2)*$K2841*$L2841*$M2841</f>
        <v/>
      </c>
      <c r="AA2841" s="14">
        <f>SUM(N2841:Y2841)</f>
        <v/>
      </c>
      <c r="AB2841" s="13">
        <f>SUMPRODUCT(N2841:Y2841,$N$3:$Y$3)*$K2841*$L2841*$M2841</f>
        <v/>
      </c>
      <c r="AC2841" s="13">
        <f>SUMPRODUCT(N2841:Y2841,$N$4:$Y$4)*$K2841*$L2841*$M2841</f>
        <v/>
      </c>
      <c r="AD2841" s="15" t="n">
        <v>1.8</v>
      </c>
      <c r="AE2841" s="11" t="n">
        <v>1.007530864197531</v>
      </c>
      <c r="AF2841" s="16">
        <f>SUMPRODUCT(N2841:Y2841,$N$5:$Y$5)*$K2841*$L2841*$M2841</f>
        <v/>
      </c>
      <c r="AG2841" s="16">
        <f>SUMPRODUCT(N2841:Y2841,$N$6:$Y$6)*$K2841*$L2841*$M2841</f>
        <v/>
      </c>
      <c r="AH2841" s="20" t="n"/>
    </row>
    <row r="2842">
      <c r="A2842" s="9" t="n">
        <v>669717</v>
      </c>
      <c r="B2842" s="9" t="inlineStr">
        <is>
          <t>Will Wilson</t>
        </is>
      </c>
      <c r="C2842" s="9" t="inlineStr">
        <is>
          <t>CLE</t>
        </is>
      </c>
      <c r="D2842" s="9" t="n">
        <v>28</v>
      </c>
      <c r="E2842" s="18" t="inlineStr">
        <is>
          <t>R</t>
        </is>
      </c>
      <c r="F2842" s="18" t="n"/>
      <c r="G2842" s="9" t="n">
        <v>8</v>
      </c>
      <c r="H2842" s="9" t="n">
        <v>8</v>
      </c>
      <c r="I2842" s="9" t="inlineStr">
        <is>
          <t>Depth (no MLB IP)</t>
        </is>
      </c>
      <c r="J2842" s="18" t="inlineStr">
        <is>
          <t>Opening Day</t>
        </is>
      </c>
      <c r="K2842" s="11">
        <f>IFERROR(INDEX(Roles!$B$17:$B$20,MATCH(J2842,Roles!$A$17:$A$20,0)),1)</f>
        <v/>
      </c>
      <c r="L2842" s="19" t="n">
        <v>1</v>
      </c>
      <c r="M2842" s="11" t="n">
        <v>1</v>
      </c>
      <c r="N2842" s="19" t="n"/>
      <c r="O2842" s="19" t="n"/>
      <c r="P2842" s="19" t="n"/>
      <c r="Q2842" s="19" t="n"/>
      <c r="R2842" s="19" t="n"/>
      <c r="S2842" s="19" t="n"/>
      <c r="T2842" s="19" t="n"/>
      <c r="U2842" s="19" t="n"/>
      <c r="V2842" s="19" t="n"/>
      <c r="W2842" s="19" t="n"/>
      <c r="X2842" s="19" t="n"/>
      <c r="Y2842" s="19" t="n">
        <v>1</v>
      </c>
      <c r="Z2842" s="13">
        <f>SUMPRODUCT(N2842:Y2842,$N$2:$Y$2)*$K2842*$L2842*$M2842</f>
        <v/>
      </c>
      <c r="AA2842" s="14">
        <f>SUM(N2842:Y2842)</f>
        <v/>
      </c>
      <c r="AB2842" s="13">
        <f>SUMPRODUCT(N2842:Y2842,$N$3:$Y$3)*$K2842*$L2842*$M2842</f>
        <v/>
      </c>
      <c r="AC2842" s="13">
        <f>SUMPRODUCT(N2842:Y2842,$N$4:$Y$4)*$K2842*$L2842*$M2842</f>
        <v/>
      </c>
      <c r="AD2842" s="15" t="n">
        <v>1.8</v>
      </c>
      <c r="AE2842" s="11" t="n">
        <v>1.340864197530864</v>
      </c>
      <c r="AF2842" s="16">
        <f>SUMPRODUCT(N2842:Y2842,$N$5:$Y$5)*$K2842*$L2842*$M2842</f>
        <v/>
      </c>
      <c r="AG2842" s="16">
        <f>SUMPRODUCT(N2842:Y2842,$N$6:$Y$6)*$K2842*$L2842*$M2842</f>
        <v/>
      </c>
      <c r="AH2842" s="20" t="n"/>
    </row>
    <row r="2843">
      <c r="A2843" s="9" t="n">
        <v>680837</v>
      </c>
      <c r="B2843" s="9" t="inlineStr">
        <is>
          <t>Ryan Fitzgerald</t>
        </is>
      </c>
      <c r="C2843" s="9" t="inlineStr">
        <is>
          <t>MIN</t>
        </is>
      </c>
      <c r="D2843" s="9" t="n">
        <v>33</v>
      </c>
      <c r="E2843" s="18" t="inlineStr">
        <is>
          <t>R</t>
        </is>
      </c>
      <c r="F2843" s="18" t="n"/>
      <c r="G2843" s="9" t="n">
        <v>8</v>
      </c>
      <c r="H2843" s="9" t="n">
        <v>8</v>
      </c>
      <c r="I2843" s="9" t="inlineStr">
        <is>
          <t>Depth (no MLB IP)</t>
        </is>
      </c>
      <c r="J2843" s="18" t="inlineStr">
        <is>
          <t>Opening Day</t>
        </is>
      </c>
      <c r="K2843" s="11">
        <f>IFERROR(INDEX(Roles!$B$17:$B$20,MATCH(J2843,Roles!$A$17:$A$20,0)),1)</f>
        <v/>
      </c>
      <c r="L2843" s="19" t="n">
        <v>1</v>
      </c>
      <c r="M2843" s="11" t="n">
        <v>1</v>
      </c>
      <c r="N2843" s="19" t="n"/>
      <c r="O2843" s="19" t="n"/>
      <c r="P2843" s="19" t="n"/>
      <c r="Q2843" s="19" t="n"/>
      <c r="R2843" s="19" t="n"/>
      <c r="S2843" s="19" t="n"/>
      <c r="T2843" s="19" t="n"/>
      <c r="U2843" s="19" t="n"/>
      <c r="V2843" s="19" t="n"/>
      <c r="W2843" s="19" t="n"/>
      <c r="X2843" s="19" t="n"/>
      <c r="Y2843" s="19" t="n">
        <v>1</v>
      </c>
      <c r="Z2843" s="13">
        <f>SUMPRODUCT(N2843:Y2843,$N$2:$Y$2)*$K2843*$L2843*$M2843</f>
        <v/>
      </c>
      <c r="AA2843" s="14">
        <f>SUM(N2843:Y2843)</f>
        <v/>
      </c>
      <c r="AB2843" s="13">
        <f>SUMPRODUCT(N2843:Y2843,$N$3:$Y$3)*$K2843*$L2843*$M2843</f>
        <v/>
      </c>
      <c r="AC2843" s="13">
        <f>SUMPRODUCT(N2843:Y2843,$N$4:$Y$4)*$K2843*$L2843*$M2843</f>
        <v/>
      </c>
      <c r="AD2843" s="15" t="n">
        <v>2.4</v>
      </c>
      <c r="AE2843" s="11" t="n">
        <v>1.007530864197531</v>
      </c>
      <c r="AF2843" s="16">
        <f>SUMPRODUCT(N2843:Y2843,$N$5:$Y$5)*$K2843*$L2843*$M2843</f>
        <v/>
      </c>
      <c r="AG2843" s="16">
        <f>SUMPRODUCT(N2843:Y2843,$N$6:$Y$6)*$K2843*$L2843*$M2843</f>
        <v/>
      </c>
      <c r="AH2843" s="20" t="n"/>
    </row>
    <row r="2844">
      <c r="A2844" s="9" t="n">
        <v>669421</v>
      </c>
      <c r="B2844" s="9" t="inlineStr">
        <is>
          <t>Dominic Pipkin</t>
        </is>
      </c>
      <c r="C2844" s="9" t="inlineStr">
        <is>
          <t>PIT</t>
        </is>
      </c>
      <c r="D2844" s="9" t="n">
        <v>25</v>
      </c>
      <c r="E2844" s="18" t="inlineStr">
        <is>
          <t>R</t>
        </is>
      </c>
      <c r="F2844" s="18" t="n"/>
      <c r="G2844" s="9" t="n">
        <v>58.69499999999999</v>
      </c>
      <c r="H2844" s="9" t="n">
        <v>58.69499999999999</v>
      </c>
      <c r="I2844" s="9" t="inlineStr">
        <is>
          <t>Depth (no MLB IP)</t>
        </is>
      </c>
      <c r="J2844" s="18" t="inlineStr">
        <is>
          <t>Opening Day</t>
        </is>
      </c>
      <c r="K2844" s="11">
        <f>IFERROR(INDEX(Roles!$B$17:$B$20,MATCH(J2844,Roles!$A$17:$A$20,0)),1)</f>
        <v/>
      </c>
      <c r="L2844" s="19" t="n">
        <v>1</v>
      </c>
      <c r="M2844" s="11" t="n">
        <v>1</v>
      </c>
      <c r="N2844" s="19" t="n"/>
      <c r="O2844" s="19" t="n"/>
      <c r="P2844" s="19" t="n"/>
      <c r="Q2844" s="19" t="n"/>
      <c r="R2844" s="19" t="n"/>
      <c r="S2844" s="19" t="n"/>
      <c r="T2844" s="19" t="n"/>
      <c r="U2844" s="19" t="n"/>
      <c r="V2844" s="19" t="n"/>
      <c r="W2844" s="19" t="n"/>
      <c r="X2844" s="19" t="n"/>
      <c r="Y2844" s="19" t="n">
        <v>1</v>
      </c>
      <c r="Z2844" s="13">
        <f>SUMPRODUCT(N2844:Y2844,$N$2:$Y$2)*$K2844*$L2844*$M2844</f>
        <v/>
      </c>
      <c r="AA2844" s="14">
        <f>SUM(N2844:Y2844)</f>
        <v/>
      </c>
      <c r="AB2844" s="13">
        <f>SUMPRODUCT(N2844:Y2844,$N$3:$Y$3)*$K2844*$L2844*$M2844</f>
        <v/>
      </c>
      <c r="AC2844" s="13">
        <f>SUMPRODUCT(N2844:Y2844,$N$4:$Y$4)*$K2844*$L2844*$M2844</f>
        <v/>
      </c>
      <c r="AD2844" s="15" t="n">
        <v>3</v>
      </c>
      <c r="AE2844" s="11" t="n">
        <v>1.011296296296296</v>
      </c>
      <c r="AF2844" s="16">
        <f>SUMPRODUCT(N2844:Y2844,$N$5:$Y$5)*$K2844*$L2844*$M2844</f>
        <v/>
      </c>
      <c r="AG2844" s="16">
        <f>SUMPRODUCT(N2844:Y2844,$N$6:$Y$6)*$K2844*$L2844*$M2844</f>
        <v/>
      </c>
      <c r="AH2844" s="20" t="n"/>
    </row>
    <row r="2845">
      <c r="A2845" s="9" t="n">
        <v>676961</v>
      </c>
      <c r="B2845" s="9" t="inlineStr">
        <is>
          <t>Caleb Boushley</t>
        </is>
      </c>
      <c r="C2845" s="9" t="inlineStr">
        <is>
          <t>TEX</t>
        </is>
      </c>
      <c r="D2845" s="9" t="n">
        <v>33</v>
      </c>
      <c r="E2845" s="18" t="inlineStr">
        <is>
          <t>R</t>
        </is>
      </c>
      <c r="F2845" s="18" t="n"/>
      <c r="G2845" s="9" t="n">
        <v>193</v>
      </c>
      <c r="H2845" s="9" t="n">
        <v>223</v>
      </c>
      <c r="I2845" s="9" t="inlineStr">
        <is>
          <t>Bullpen Depth Arm</t>
        </is>
      </c>
      <c r="J2845" s="18" t="inlineStr">
        <is>
          <t>Opening Day</t>
        </is>
      </c>
      <c r="K2845" s="11">
        <f>IFERROR(INDEX(Roles!$B$17:$B$20,MATCH(J2845,Roles!$A$17:$A$20,0)),1)</f>
        <v/>
      </c>
      <c r="L2845" s="19" t="n">
        <v>1</v>
      </c>
      <c r="M2845" s="11" t="n">
        <v>1</v>
      </c>
      <c r="N2845" s="19" t="n"/>
      <c r="O2845" s="19" t="n"/>
      <c r="P2845" s="19" t="n"/>
      <c r="Q2845" s="19" t="n"/>
      <c r="R2845" s="19" t="n"/>
      <c r="S2845" s="19" t="n"/>
      <c r="T2845" s="19" t="n"/>
      <c r="U2845" s="19" t="n"/>
      <c r="V2845" s="19" t="n"/>
      <c r="W2845" s="19" t="n">
        <v>1</v>
      </c>
      <c r="X2845" s="19" t="n"/>
      <c r="Y2845" s="19" t="n"/>
      <c r="Z2845" s="13">
        <f>SUMPRODUCT(N2845:Y2845,$N$2:$Y$2)*$K2845*$L2845*$M2845</f>
        <v/>
      </c>
      <c r="AA2845" s="14">
        <f>SUM(N2845:Y2845)</f>
        <v/>
      </c>
      <c r="AB2845" s="13">
        <f>SUMPRODUCT(N2845:Y2845,$N$3:$Y$3)*$K2845*$L2845*$M2845</f>
        <v/>
      </c>
      <c r="AC2845" s="13">
        <f>SUMPRODUCT(N2845:Y2845,$N$4:$Y$4)*$K2845*$L2845*$M2845</f>
        <v/>
      </c>
      <c r="AD2845" s="15" t="n">
        <v>16.06666666666667</v>
      </c>
      <c r="AE2845" s="11" t="n">
        <v>1.382703716037049</v>
      </c>
      <c r="AF2845" s="16">
        <f>SUMPRODUCT(N2845:Y2845,$N$5:$Y$5)*$K2845*$L2845*$M2845</f>
        <v/>
      </c>
      <c r="AG2845" s="16">
        <f>SUMPRODUCT(N2845:Y2845,$N$6:$Y$6)*$K2845*$L2845*$M2845</f>
        <v/>
      </c>
      <c r="AH2845" s="20" t="n"/>
    </row>
    <row r="2846">
      <c r="A2846" s="9" t="n">
        <v>826933</v>
      </c>
      <c r="B2846" s="9" t="inlineStr">
        <is>
          <t>Derek Vartanian</t>
        </is>
      </c>
      <c r="C2846" s="9" t="inlineStr">
        <is>
          <t>ATL</t>
        </is>
      </c>
      <c r="D2846" s="9" t="n">
        <v>25</v>
      </c>
      <c r="E2846" s="18" t="inlineStr">
        <is>
          <t>R</t>
        </is>
      </c>
      <c r="F2846" s="18" t="n"/>
      <c r="G2846" s="9" t="n">
        <v>58.652</v>
      </c>
      <c r="H2846" s="9" t="n">
        <v>58.652</v>
      </c>
      <c r="I2846" s="9" t="inlineStr">
        <is>
          <t>Depth (no MLB IP)</t>
        </is>
      </c>
      <c r="J2846" s="18" t="inlineStr">
        <is>
          <t>Opening Day</t>
        </is>
      </c>
      <c r="K2846" s="11">
        <f>IFERROR(INDEX(Roles!$B$17:$B$20,MATCH(J2846,Roles!$A$17:$A$20,0)),1)</f>
        <v/>
      </c>
      <c r="L2846" s="19" t="n">
        <v>1</v>
      </c>
      <c r="M2846" s="11" t="n">
        <v>1</v>
      </c>
      <c r="N2846" s="19" t="n"/>
      <c r="O2846" s="19" t="n"/>
      <c r="P2846" s="19" t="n"/>
      <c r="Q2846" s="19" t="n"/>
      <c r="R2846" s="19" t="n"/>
      <c r="S2846" s="19" t="n"/>
      <c r="T2846" s="19" t="n"/>
      <c r="U2846" s="19" t="n"/>
      <c r="V2846" s="19" t="n"/>
      <c r="W2846" s="19" t="n"/>
      <c r="X2846" s="19" t="n"/>
      <c r="Y2846" s="19" t="n">
        <v>1</v>
      </c>
      <c r="Z2846" s="13">
        <f>SUMPRODUCT(N2846:Y2846,$N$2:$Y$2)*$K2846*$L2846*$M2846</f>
        <v/>
      </c>
      <c r="AA2846" s="14">
        <f>SUM(N2846:Y2846)</f>
        <v/>
      </c>
      <c r="AB2846" s="13">
        <f>SUMPRODUCT(N2846:Y2846,$N$3:$Y$3)*$K2846*$L2846*$M2846</f>
        <v/>
      </c>
      <c r="AC2846" s="13">
        <f>SUMPRODUCT(N2846:Y2846,$N$4:$Y$4)*$K2846*$L2846*$M2846</f>
        <v/>
      </c>
      <c r="AD2846" s="15" t="n">
        <v>3</v>
      </c>
      <c r="AE2846" s="11" t="n">
        <v>1.011296296296296</v>
      </c>
      <c r="AF2846" s="16">
        <f>SUMPRODUCT(N2846:Y2846,$N$5:$Y$5)*$K2846*$L2846*$M2846</f>
        <v/>
      </c>
      <c r="AG2846" s="16">
        <f>SUMPRODUCT(N2846:Y2846,$N$6:$Y$6)*$K2846*$L2846*$M2846</f>
        <v/>
      </c>
      <c r="AH2846" s="20" t="n"/>
    </row>
    <row r="2847">
      <c r="A2847" s="9" t="n">
        <v>802953</v>
      </c>
      <c r="B2847" s="9" t="inlineStr">
        <is>
          <t>Colin Fields</t>
        </is>
      </c>
      <c r="C2847" s="9" t="inlineStr">
        <is>
          <t>DET</t>
        </is>
      </c>
      <c r="D2847" s="9" t="n">
        <v>25</v>
      </c>
      <c r="E2847" s="18" t="inlineStr">
        <is>
          <t>R</t>
        </is>
      </c>
      <c r="F2847" s="18" t="n"/>
      <c r="G2847" s="9" t="n">
        <v>58.69499999999999</v>
      </c>
      <c r="H2847" s="9" t="n">
        <v>58.69499999999999</v>
      </c>
      <c r="I2847" s="9" t="inlineStr">
        <is>
          <t>Depth (no MLB IP)</t>
        </is>
      </c>
      <c r="J2847" s="18" t="inlineStr">
        <is>
          <t>Opening Day</t>
        </is>
      </c>
      <c r="K2847" s="11">
        <f>IFERROR(INDEX(Roles!$B$17:$B$20,MATCH(J2847,Roles!$A$17:$A$20,0)),1)</f>
        <v/>
      </c>
      <c r="L2847" s="19" t="n">
        <v>1</v>
      </c>
      <c r="M2847" s="11" t="n">
        <v>1</v>
      </c>
      <c r="N2847" s="19" t="n"/>
      <c r="O2847" s="19" t="n"/>
      <c r="P2847" s="19" t="n"/>
      <c r="Q2847" s="19" t="n"/>
      <c r="R2847" s="19" t="n"/>
      <c r="S2847" s="19" t="n"/>
      <c r="T2847" s="19" t="n"/>
      <c r="U2847" s="19" t="n"/>
      <c r="V2847" s="19" t="n"/>
      <c r="W2847" s="19" t="n"/>
      <c r="X2847" s="19" t="n"/>
      <c r="Y2847" s="19" t="n">
        <v>1</v>
      </c>
      <c r="Z2847" s="13">
        <f>SUMPRODUCT(N2847:Y2847,$N$2:$Y$2)*$K2847*$L2847*$M2847</f>
        <v/>
      </c>
      <c r="AA2847" s="14">
        <f>SUM(N2847:Y2847)</f>
        <v/>
      </c>
      <c r="AB2847" s="13">
        <f>SUMPRODUCT(N2847:Y2847,$N$3:$Y$3)*$K2847*$L2847*$M2847</f>
        <v/>
      </c>
      <c r="AC2847" s="13">
        <f>SUMPRODUCT(N2847:Y2847,$N$4:$Y$4)*$K2847*$L2847*$M2847</f>
        <v/>
      </c>
      <c r="AD2847" s="15" t="n">
        <v>3</v>
      </c>
      <c r="AE2847" s="11" t="n">
        <v>1.011296296296296</v>
      </c>
      <c r="AF2847" s="16">
        <f>SUMPRODUCT(N2847:Y2847,$N$5:$Y$5)*$K2847*$L2847*$M2847</f>
        <v/>
      </c>
      <c r="AG2847" s="16">
        <f>SUMPRODUCT(N2847:Y2847,$N$6:$Y$6)*$K2847*$L2847*$M2847</f>
        <v/>
      </c>
      <c r="AH2847" s="20" t="n"/>
    </row>
    <row r="2848">
      <c r="A2848" s="9" t="n">
        <v>647351</v>
      </c>
      <c r="B2848" s="9" t="inlineStr">
        <is>
          <t>Abraham Toro</t>
        </is>
      </c>
      <c r="C2848" s="9" t="inlineStr">
        <is>
          <t>BOS</t>
        </is>
      </c>
      <c r="D2848" s="9" t="n">
        <v>30</v>
      </c>
      <c r="E2848" s="18" t="inlineStr">
        <is>
          <t>R</t>
        </is>
      </c>
      <c r="F2848" s="18" t="n"/>
      <c r="G2848" s="9" t="n">
        <v>8</v>
      </c>
      <c r="H2848" s="9" t="n">
        <v>8</v>
      </c>
      <c r="I2848" s="9" t="inlineStr">
        <is>
          <t>Depth (no MLB IP)</t>
        </is>
      </c>
      <c r="J2848" s="18" t="inlineStr">
        <is>
          <t>Opening Day</t>
        </is>
      </c>
      <c r="K2848" s="11">
        <f>IFERROR(INDEX(Roles!$B$17:$B$20,MATCH(J2848,Roles!$A$17:$A$20,0)),1)</f>
        <v/>
      </c>
      <c r="L2848" s="19" t="n">
        <v>1</v>
      </c>
      <c r="M2848" s="11" t="n">
        <v>1</v>
      </c>
      <c r="N2848" s="19" t="n"/>
      <c r="O2848" s="19" t="n"/>
      <c r="P2848" s="19" t="n"/>
      <c r="Q2848" s="19" t="n"/>
      <c r="R2848" s="19" t="n"/>
      <c r="S2848" s="19" t="n"/>
      <c r="T2848" s="19" t="n"/>
      <c r="U2848" s="19" t="n"/>
      <c r="V2848" s="19" t="n"/>
      <c r="W2848" s="19" t="n"/>
      <c r="X2848" s="19" t="n"/>
      <c r="Y2848" s="19" t="n">
        <v>1</v>
      </c>
      <c r="Z2848" s="13">
        <f>SUMPRODUCT(N2848:Y2848,$N$2:$Y$2)*$K2848*$L2848*$M2848</f>
        <v/>
      </c>
      <c r="AA2848" s="14">
        <f>SUM(N2848:Y2848)</f>
        <v/>
      </c>
      <c r="AB2848" s="13">
        <f>SUMPRODUCT(N2848:Y2848,$N$3:$Y$3)*$K2848*$L2848*$M2848</f>
        <v/>
      </c>
      <c r="AC2848" s="13">
        <f>SUMPRODUCT(N2848:Y2848,$N$4:$Y$4)*$K2848*$L2848*$M2848</f>
        <v/>
      </c>
      <c r="AD2848" s="15" t="n">
        <v>1.8</v>
      </c>
      <c r="AE2848" s="11" t="n">
        <v>1.007530864197531</v>
      </c>
      <c r="AF2848" s="16">
        <f>SUMPRODUCT(N2848:Y2848,$N$5:$Y$5)*$K2848*$L2848*$M2848</f>
        <v/>
      </c>
      <c r="AG2848" s="16">
        <f>SUMPRODUCT(N2848:Y2848,$N$6:$Y$6)*$K2848*$L2848*$M2848</f>
        <v/>
      </c>
      <c r="AH2848" s="20" t="n"/>
    </row>
    <row r="2849">
      <c r="A2849" s="9" t="n">
        <v>669081</v>
      </c>
      <c r="B2849" s="9" t="inlineStr">
        <is>
          <t>Jack Dashwood</t>
        </is>
      </c>
      <c r="C2849" s="9" t="inlineStr">
        <is>
          <t>HOU</t>
        </is>
      </c>
      <c r="D2849" s="9" t="n">
        <v>25</v>
      </c>
      <c r="E2849" s="18" t="inlineStr">
        <is>
          <t>L</t>
        </is>
      </c>
      <c r="F2849" s="18" t="n"/>
      <c r="G2849" s="9" t="n">
        <v>58.69499999999999</v>
      </c>
      <c r="H2849" s="9" t="n">
        <v>58.69499999999999</v>
      </c>
      <c r="I2849" s="9" t="inlineStr">
        <is>
          <t>Depth (no MLB IP)</t>
        </is>
      </c>
      <c r="J2849" s="18" t="inlineStr">
        <is>
          <t>Opening Day</t>
        </is>
      </c>
      <c r="K2849" s="11">
        <f>IFERROR(INDEX(Roles!$B$17:$B$20,MATCH(J2849,Roles!$A$17:$A$20,0)),1)</f>
        <v/>
      </c>
      <c r="L2849" s="19" t="n">
        <v>1</v>
      </c>
      <c r="M2849" s="11" t="n">
        <v>1</v>
      </c>
      <c r="N2849" s="19" t="n"/>
      <c r="O2849" s="19" t="n"/>
      <c r="P2849" s="19" t="n"/>
      <c r="Q2849" s="19" t="n"/>
      <c r="R2849" s="19" t="n"/>
      <c r="S2849" s="19" t="n"/>
      <c r="T2849" s="19" t="n"/>
      <c r="U2849" s="19" t="n"/>
      <c r="V2849" s="19" t="n"/>
      <c r="W2849" s="19" t="n"/>
      <c r="X2849" s="19" t="n"/>
      <c r="Y2849" s="19" t="n">
        <v>1</v>
      </c>
      <c r="Z2849" s="13">
        <f>SUMPRODUCT(N2849:Y2849,$N$2:$Y$2)*$K2849*$L2849*$M2849</f>
        <v/>
      </c>
      <c r="AA2849" s="14">
        <f>SUM(N2849:Y2849)</f>
        <v/>
      </c>
      <c r="AB2849" s="13">
        <f>SUMPRODUCT(N2849:Y2849,$N$3:$Y$3)*$K2849*$L2849*$M2849</f>
        <v/>
      </c>
      <c r="AC2849" s="13">
        <f>SUMPRODUCT(N2849:Y2849,$N$4:$Y$4)*$K2849*$L2849*$M2849</f>
        <v/>
      </c>
      <c r="AD2849" s="15" t="n">
        <v>3</v>
      </c>
      <c r="AE2849" s="11" t="n">
        <v>1.011296296296296</v>
      </c>
      <c r="AF2849" s="16">
        <f>SUMPRODUCT(N2849:Y2849,$N$5:$Y$5)*$K2849*$L2849*$M2849</f>
        <v/>
      </c>
      <c r="AG2849" s="16">
        <f>SUMPRODUCT(N2849:Y2849,$N$6:$Y$6)*$K2849*$L2849*$M2849</f>
        <v/>
      </c>
      <c r="AH2849" s="20" t="n"/>
    </row>
    <row r="2850">
      <c r="A2850" s="9" t="n">
        <v>622786</v>
      </c>
      <c r="B2850" s="9" t="inlineStr">
        <is>
          <t>Jesus Tinoco</t>
        </is>
      </c>
      <c r="C2850" s="9" t="inlineStr">
        <is>
          <t>MIA</t>
        </is>
      </c>
      <c r="D2850" s="9" t="n">
        <v>32</v>
      </c>
      <c r="E2850" s="18" t="inlineStr">
        <is>
          <t>R</t>
        </is>
      </c>
      <c r="F2850" s="18" t="n"/>
      <c r="G2850" s="9" t="n">
        <v>80</v>
      </c>
      <c r="H2850" s="9" t="n">
        <v>326</v>
      </c>
      <c r="I2850" s="9" t="inlineStr">
        <is>
          <t>Bullpen Depth Arm</t>
        </is>
      </c>
      <c r="J2850" s="18" t="inlineStr">
        <is>
          <t>Opening Day</t>
        </is>
      </c>
      <c r="K2850" s="11">
        <f>IFERROR(INDEX(Roles!$B$17:$B$20,MATCH(J2850,Roles!$A$17:$A$20,0)),1)</f>
        <v/>
      </c>
      <c r="L2850" s="19" t="n">
        <v>1</v>
      </c>
      <c r="M2850" s="11" t="n">
        <v>1</v>
      </c>
      <c r="N2850" s="19" t="n"/>
      <c r="O2850" s="19" t="n"/>
      <c r="P2850" s="19" t="n"/>
      <c r="Q2850" s="19" t="n"/>
      <c r="R2850" s="19" t="n"/>
      <c r="S2850" s="19" t="n"/>
      <c r="T2850" s="19" t="n"/>
      <c r="U2850" s="19" t="n"/>
      <c r="V2850" s="19" t="n"/>
      <c r="W2850" s="19" t="n">
        <v>1</v>
      </c>
      <c r="X2850" s="19" t="n"/>
      <c r="Y2850" s="19" t="n"/>
      <c r="Z2850" s="13">
        <f>SUMPRODUCT(N2850:Y2850,$N$2:$Y$2)*$K2850*$L2850*$M2850</f>
        <v/>
      </c>
      <c r="AA2850" s="14">
        <f>SUM(N2850:Y2850)</f>
        <v/>
      </c>
      <c r="AB2850" s="13">
        <f>SUMPRODUCT(N2850:Y2850,$N$3:$Y$3)*$K2850*$L2850*$M2850</f>
        <v/>
      </c>
      <c r="AC2850" s="13">
        <f>SUMPRODUCT(N2850:Y2850,$N$4:$Y$4)*$K2850*$L2850*$M2850</f>
        <v/>
      </c>
      <c r="AD2850" s="15" t="n">
        <v>20.06666666666666</v>
      </c>
      <c r="AE2850" s="11" t="n">
        <v>1.168791085457752</v>
      </c>
      <c r="AF2850" s="16">
        <f>SUMPRODUCT(N2850:Y2850,$N$5:$Y$5)*$K2850*$L2850*$M2850</f>
        <v/>
      </c>
      <c r="AG2850" s="16">
        <f>SUMPRODUCT(N2850:Y2850,$N$6:$Y$6)*$K2850*$L2850*$M2850</f>
        <v/>
      </c>
      <c r="AH2850" s="20" t="n"/>
    </row>
    <row r="2851">
      <c r="A2851" s="9" t="n">
        <v>805073</v>
      </c>
      <c r="B2851" s="9" t="inlineStr">
        <is>
          <t>Jose Gutierrez</t>
        </is>
      </c>
      <c r="C2851" s="9" t="inlineStr">
        <is>
          <t>KC</t>
        </is>
      </c>
      <c r="D2851" s="9" t="n">
        <v>25</v>
      </c>
      <c r="E2851" s="18" t="inlineStr">
        <is>
          <t>R</t>
        </is>
      </c>
      <c r="F2851" s="18" t="n"/>
      <c r="G2851" s="9" t="n">
        <v>58.99599999999999</v>
      </c>
      <c r="H2851" s="9" t="n">
        <v>58.99599999999999</v>
      </c>
      <c r="I2851" s="9" t="inlineStr">
        <is>
          <t>Depth (no MLB IP)</t>
        </is>
      </c>
      <c r="J2851" s="18" t="inlineStr">
        <is>
          <t>Opening Day</t>
        </is>
      </c>
      <c r="K2851" s="11">
        <f>IFERROR(INDEX(Roles!$B$17:$B$20,MATCH(J2851,Roles!$A$17:$A$20,0)),1)</f>
        <v/>
      </c>
      <c r="L2851" s="19" t="n">
        <v>1</v>
      </c>
      <c r="M2851" s="11" t="n">
        <v>1</v>
      </c>
      <c r="N2851" s="19" t="n"/>
      <c r="O2851" s="19" t="n"/>
      <c r="P2851" s="19" t="n"/>
      <c r="Q2851" s="19" t="n"/>
      <c r="R2851" s="19" t="n"/>
      <c r="S2851" s="19" t="n"/>
      <c r="T2851" s="19" t="n"/>
      <c r="U2851" s="19" t="n"/>
      <c r="V2851" s="19" t="n"/>
      <c r="W2851" s="19" t="n"/>
      <c r="X2851" s="19" t="n"/>
      <c r="Y2851" s="19" t="n">
        <v>1</v>
      </c>
      <c r="Z2851" s="13">
        <f>SUMPRODUCT(N2851:Y2851,$N$2:$Y$2)*$K2851*$L2851*$M2851</f>
        <v/>
      </c>
      <c r="AA2851" s="14">
        <f>SUM(N2851:Y2851)</f>
        <v/>
      </c>
      <c r="AB2851" s="13">
        <f>SUMPRODUCT(N2851:Y2851,$N$3:$Y$3)*$K2851*$L2851*$M2851</f>
        <v/>
      </c>
      <c r="AC2851" s="13">
        <f>SUMPRODUCT(N2851:Y2851,$N$4:$Y$4)*$K2851*$L2851*$M2851</f>
        <v/>
      </c>
      <c r="AD2851" s="15" t="n">
        <v>3</v>
      </c>
      <c r="AE2851" s="11" t="n">
        <v>1.011296296296296</v>
      </c>
      <c r="AF2851" s="16">
        <f>SUMPRODUCT(N2851:Y2851,$N$5:$Y$5)*$K2851*$L2851*$M2851</f>
        <v/>
      </c>
      <c r="AG2851" s="16">
        <f>SUMPRODUCT(N2851:Y2851,$N$6:$Y$6)*$K2851*$L2851*$M2851</f>
        <v/>
      </c>
      <c r="AH2851" s="20" t="n"/>
    </row>
    <row r="2852">
      <c r="A2852" s="9" t="n">
        <v>702119</v>
      </c>
      <c r="B2852" s="9" t="inlineStr">
        <is>
          <t>Hunter Hayes</t>
        </is>
      </c>
      <c r="C2852" s="9" t="inlineStr">
        <is>
          <t>STL</t>
        </is>
      </c>
      <c r="D2852" s="9" t="n">
        <v>25</v>
      </c>
      <c r="E2852" s="18" t="inlineStr">
        <is>
          <t>R</t>
        </is>
      </c>
      <c r="F2852" s="18" t="n"/>
      <c r="G2852" s="9" t="n">
        <v>59.19666666666666</v>
      </c>
      <c r="H2852" s="9" t="n">
        <v>59.19666666666666</v>
      </c>
      <c r="I2852" s="9" t="inlineStr">
        <is>
          <t>Depth (no MLB IP)</t>
        </is>
      </c>
      <c r="J2852" s="18" t="inlineStr">
        <is>
          <t>Opening Day</t>
        </is>
      </c>
      <c r="K2852" s="11">
        <f>IFERROR(INDEX(Roles!$B$17:$B$20,MATCH(J2852,Roles!$A$17:$A$20,0)),1)</f>
        <v/>
      </c>
      <c r="L2852" s="19" t="n">
        <v>1</v>
      </c>
      <c r="M2852" s="11" t="n">
        <v>1</v>
      </c>
      <c r="N2852" s="19" t="n"/>
      <c r="O2852" s="19" t="n"/>
      <c r="P2852" s="19" t="n"/>
      <c r="Q2852" s="19" t="n"/>
      <c r="R2852" s="19" t="n"/>
      <c r="S2852" s="19" t="n"/>
      <c r="T2852" s="19" t="n"/>
      <c r="U2852" s="19" t="n"/>
      <c r="V2852" s="19" t="n"/>
      <c r="W2852" s="19" t="n"/>
      <c r="X2852" s="19" t="n"/>
      <c r="Y2852" s="19" t="n">
        <v>1</v>
      </c>
      <c r="Z2852" s="13">
        <f>SUMPRODUCT(N2852:Y2852,$N$2:$Y$2)*$K2852*$L2852*$M2852</f>
        <v/>
      </c>
      <c r="AA2852" s="14">
        <f>SUM(N2852:Y2852)</f>
        <v/>
      </c>
      <c r="AB2852" s="13">
        <f>SUMPRODUCT(N2852:Y2852,$N$3:$Y$3)*$K2852*$L2852*$M2852</f>
        <v/>
      </c>
      <c r="AC2852" s="13">
        <f>SUMPRODUCT(N2852:Y2852,$N$4:$Y$4)*$K2852*$L2852*$M2852</f>
        <v/>
      </c>
      <c r="AD2852" s="15" t="n">
        <v>3</v>
      </c>
      <c r="AE2852" s="11" t="n">
        <v>1.011296296296296</v>
      </c>
      <c r="AF2852" s="16">
        <f>SUMPRODUCT(N2852:Y2852,$N$5:$Y$5)*$K2852*$L2852*$M2852</f>
        <v/>
      </c>
      <c r="AG2852" s="16">
        <f>SUMPRODUCT(N2852:Y2852,$N$6:$Y$6)*$K2852*$L2852*$M2852</f>
        <v/>
      </c>
      <c r="AH2852" s="20" t="n"/>
    </row>
    <row r="2853">
      <c r="A2853" s="9" t="n">
        <v>702046</v>
      </c>
      <c r="B2853" s="9" t="inlineStr">
        <is>
          <t>Matt Keating</t>
        </is>
      </c>
      <c r="C2853" s="9" t="inlineStr">
        <is>
          <t>NYY</t>
        </is>
      </c>
      <c r="D2853" s="9" t="n">
        <v>25</v>
      </c>
      <c r="E2853" s="18" t="inlineStr">
        <is>
          <t>R</t>
        </is>
      </c>
      <c r="F2853" s="18" t="n"/>
      <c r="G2853" s="9" t="n">
        <v>59.19666666666666</v>
      </c>
      <c r="H2853" s="9" t="n">
        <v>59.19666666666666</v>
      </c>
      <c r="I2853" s="9" t="inlineStr">
        <is>
          <t>Depth (no MLB IP)</t>
        </is>
      </c>
      <c r="J2853" s="18" t="inlineStr">
        <is>
          <t>Opening Day</t>
        </is>
      </c>
      <c r="K2853" s="11">
        <f>IFERROR(INDEX(Roles!$B$17:$B$20,MATCH(J2853,Roles!$A$17:$A$20,0)),1)</f>
        <v/>
      </c>
      <c r="L2853" s="19" t="n">
        <v>1</v>
      </c>
      <c r="M2853" s="11" t="n">
        <v>1</v>
      </c>
      <c r="N2853" s="19" t="n"/>
      <c r="O2853" s="19" t="n"/>
      <c r="P2853" s="19" t="n"/>
      <c r="Q2853" s="19" t="n"/>
      <c r="R2853" s="19" t="n"/>
      <c r="S2853" s="19" t="n"/>
      <c r="T2853" s="19" t="n"/>
      <c r="U2853" s="19" t="n"/>
      <c r="V2853" s="19" t="n"/>
      <c r="W2853" s="19" t="n"/>
      <c r="X2853" s="19" t="n"/>
      <c r="Y2853" s="19" t="n">
        <v>1</v>
      </c>
      <c r="Z2853" s="13">
        <f>SUMPRODUCT(N2853:Y2853,$N$2:$Y$2)*$K2853*$L2853*$M2853</f>
        <v/>
      </c>
      <c r="AA2853" s="14">
        <f>SUM(N2853:Y2853)</f>
        <v/>
      </c>
      <c r="AB2853" s="13">
        <f>SUMPRODUCT(N2853:Y2853,$N$3:$Y$3)*$K2853*$L2853*$M2853</f>
        <v/>
      </c>
      <c r="AC2853" s="13">
        <f>SUMPRODUCT(N2853:Y2853,$N$4:$Y$4)*$K2853*$L2853*$M2853</f>
        <v/>
      </c>
      <c r="AD2853" s="15" t="n">
        <v>3</v>
      </c>
      <c r="AE2853" s="11" t="n">
        <v>1.011296296296296</v>
      </c>
      <c r="AF2853" s="16">
        <f>SUMPRODUCT(N2853:Y2853,$N$5:$Y$5)*$K2853*$L2853*$M2853</f>
        <v/>
      </c>
      <c r="AG2853" s="16">
        <f>SUMPRODUCT(N2853:Y2853,$N$6:$Y$6)*$K2853*$L2853*$M2853</f>
        <v/>
      </c>
      <c r="AH2853" s="20" t="n"/>
    </row>
    <row r="2854">
      <c r="A2854" s="9" t="n">
        <v>694978</v>
      </c>
      <c r="B2854" s="9" t="inlineStr">
        <is>
          <t>Ben Vespi</t>
        </is>
      </c>
      <c r="C2854" s="9" t="inlineStr">
        <is>
          <t>BAL</t>
        </is>
      </c>
      <c r="D2854" s="9" t="n">
        <v>25</v>
      </c>
      <c r="E2854" s="18" t="inlineStr">
        <is>
          <t>R</t>
        </is>
      </c>
      <c r="F2854" s="18" t="n"/>
      <c r="G2854" s="9" t="n">
        <v>59.19666666666666</v>
      </c>
      <c r="H2854" s="9" t="n">
        <v>59.19666666666666</v>
      </c>
      <c r="I2854" s="9" t="inlineStr">
        <is>
          <t>Depth (no MLB IP)</t>
        </is>
      </c>
      <c r="J2854" s="18" t="inlineStr">
        <is>
          <t>Opening Day</t>
        </is>
      </c>
      <c r="K2854" s="11">
        <f>IFERROR(INDEX(Roles!$B$17:$B$20,MATCH(J2854,Roles!$A$17:$A$20,0)),1)</f>
        <v/>
      </c>
      <c r="L2854" s="19" t="n">
        <v>1</v>
      </c>
      <c r="M2854" s="11" t="n">
        <v>1</v>
      </c>
      <c r="N2854" s="19" t="n"/>
      <c r="O2854" s="19" t="n"/>
      <c r="P2854" s="19" t="n"/>
      <c r="Q2854" s="19" t="n"/>
      <c r="R2854" s="19" t="n"/>
      <c r="S2854" s="19" t="n"/>
      <c r="T2854" s="19" t="n"/>
      <c r="U2854" s="19" t="n"/>
      <c r="V2854" s="19" t="n"/>
      <c r="W2854" s="19" t="n"/>
      <c r="X2854" s="19" t="n"/>
      <c r="Y2854" s="19" t="n">
        <v>1</v>
      </c>
      <c r="Z2854" s="13">
        <f>SUMPRODUCT(N2854:Y2854,$N$2:$Y$2)*$K2854*$L2854*$M2854</f>
        <v/>
      </c>
      <c r="AA2854" s="14">
        <f>SUM(N2854:Y2854)</f>
        <v/>
      </c>
      <c r="AB2854" s="13">
        <f>SUMPRODUCT(N2854:Y2854,$N$3:$Y$3)*$K2854*$L2854*$M2854</f>
        <v/>
      </c>
      <c r="AC2854" s="13">
        <f>SUMPRODUCT(N2854:Y2854,$N$4:$Y$4)*$K2854*$L2854*$M2854</f>
        <v/>
      </c>
      <c r="AD2854" s="15" t="n">
        <v>3</v>
      </c>
      <c r="AE2854" s="11" t="n">
        <v>1.011296296296296</v>
      </c>
      <c r="AF2854" s="16">
        <f>SUMPRODUCT(N2854:Y2854,$N$5:$Y$5)*$K2854*$L2854*$M2854</f>
        <v/>
      </c>
      <c r="AG2854" s="16">
        <f>SUMPRODUCT(N2854:Y2854,$N$6:$Y$6)*$K2854*$L2854*$M2854</f>
        <v/>
      </c>
      <c r="AH2854" s="20" t="n"/>
    </row>
    <row r="2855">
      <c r="A2855" s="9" t="n">
        <v>703936</v>
      </c>
      <c r="B2855" s="9" t="inlineStr">
        <is>
          <t>Kevin Valdez</t>
        </is>
      </c>
      <c r="C2855" s="9" t="inlineStr">
        <is>
          <t>CHC</t>
        </is>
      </c>
      <c r="D2855" s="9" t="n">
        <v>25</v>
      </c>
      <c r="E2855" s="18" t="inlineStr">
        <is>
          <t>R</t>
        </is>
      </c>
      <c r="F2855" s="18" t="n"/>
      <c r="G2855" s="9" t="n">
        <v>59.19666666666666</v>
      </c>
      <c r="H2855" s="9" t="n">
        <v>59.19666666666666</v>
      </c>
      <c r="I2855" s="9" t="inlineStr">
        <is>
          <t>Depth (no MLB IP)</t>
        </is>
      </c>
      <c r="J2855" s="18" t="inlineStr">
        <is>
          <t>Opening Day</t>
        </is>
      </c>
      <c r="K2855" s="11">
        <f>IFERROR(INDEX(Roles!$B$17:$B$20,MATCH(J2855,Roles!$A$17:$A$20,0)),1)</f>
        <v/>
      </c>
      <c r="L2855" s="19" t="n">
        <v>1</v>
      </c>
      <c r="M2855" s="11" t="n">
        <v>1</v>
      </c>
      <c r="N2855" s="19" t="n"/>
      <c r="O2855" s="19" t="n"/>
      <c r="P2855" s="19" t="n"/>
      <c r="Q2855" s="19" t="n"/>
      <c r="R2855" s="19" t="n"/>
      <c r="S2855" s="19" t="n"/>
      <c r="T2855" s="19" t="n"/>
      <c r="U2855" s="19" t="n"/>
      <c r="V2855" s="19" t="n"/>
      <c r="W2855" s="19" t="n"/>
      <c r="X2855" s="19" t="n"/>
      <c r="Y2855" s="19" t="n">
        <v>1</v>
      </c>
      <c r="Z2855" s="13">
        <f>SUMPRODUCT(N2855:Y2855,$N$2:$Y$2)*$K2855*$L2855*$M2855</f>
        <v/>
      </c>
      <c r="AA2855" s="14">
        <f>SUM(N2855:Y2855)</f>
        <v/>
      </c>
      <c r="AB2855" s="13">
        <f>SUMPRODUCT(N2855:Y2855,$N$3:$Y$3)*$K2855*$L2855*$M2855</f>
        <v/>
      </c>
      <c r="AC2855" s="13">
        <f>SUMPRODUCT(N2855:Y2855,$N$4:$Y$4)*$K2855*$L2855*$M2855</f>
        <v/>
      </c>
      <c r="AD2855" s="15" t="n">
        <v>3</v>
      </c>
      <c r="AE2855" s="11" t="n">
        <v>1.011296296296296</v>
      </c>
      <c r="AF2855" s="16">
        <f>SUMPRODUCT(N2855:Y2855,$N$5:$Y$5)*$K2855*$L2855*$M2855</f>
        <v/>
      </c>
      <c r="AG2855" s="16">
        <f>SUMPRODUCT(N2855:Y2855,$N$6:$Y$6)*$K2855*$L2855*$M2855</f>
        <v/>
      </c>
      <c r="AH2855" s="20" t="n"/>
    </row>
    <row r="2856">
      <c r="A2856" s="9" t="n">
        <v>807841</v>
      </c>
      <c r="B2856" s="9" t="inlineStr">
        <is>
          <t>Darwin Rodriguez</t>
        </is>
      </c>
      <c r="C2856" s="9" t="inlineStr">
        <is>
          <t>KC</t>
        </is>
      </c>
      <c r="D2856" s="9" t="n">
        <v>25</v>
      </c>
      <c r="E2856" s="18" t="inlineStr">
        <is>
          <t>L</t>
        </is>
      </c>
      <c r="F2856" s="18" t="n"/>
      <c r="G2856" s="9" t="n">
        <v>59.34</v>
      </c>
      <c r="H2856" s="9" t="n">
        <v>59.34</v>
      </c>
      <c r="I2856" s="9" t="inlineStr">
        <is>
          <t>Depth (no MLB IP)</t>
        </is>
      </c>
      <c r="J2856" s="18" t="inlineStr">
        <is>
          <t>Opening Day</t>
        </is>
      </c>
      <c r="K2856" s="11">
        <f>IFERROR(INDEX(Roles!$B$17:$B$20,MATCH(J2856,Roles!$A$17:$A$20,0)),1)</f>
        <v/>
      </c>
      <c r="L2856" s="19" t="n">
        <v>1</v>
      </c>
      <c r="M2856" s="11" t="n">
        <v>1</v>
      </c>
      <c r="N2856" s="19" t="n"/>
      <c r="O2856" s="19" t="n"/>
      <c r="P2856" s="19" t="n"/>
      <c r="Q2856" s="19" t="n"/>
      <c r="R2856" s="19" t="n"/>
      <c r="S2856" s="19" t="n"/>
      <c r="T2856" s="19" t="n"/>
      <c r="U2856" s="19" t="n"/>
      <c r="V2856" s="19" t="n"/>
      <c r="W2856" s="19" t="n"/>
      <c r="X2856" s="19" t="n"/>
      <c r="Y2856" s="19" t="n">
        <v>1</v>
      </c>
      <c r="Z2856" s="13">
        <f>SUMPRODUCT(N2856:Y2856,$N$2:$Y$2)*$K2856*$L2856*$M2856</f>
        <v/>
      </c>
      <c r="AA2856" s="14">
        <f>SUM(N2856:Y2856)</f>
        <v/>
      </c>
      <c r="AB2856" s="13">
        <f>SUMPRODUCT(N2856:Y2856,$N$3:$Y$3)*$K2856*$L2856*$M2856</f>
        <v/>
      </c>
      <c r="AC2856" s="13">
        <f>SUMPRODUCT(N2856:Y2856,$N$4:$Y$4)*$K2856*$L2856*$M2856</f>
        <v/>
      </c>
      <c r="AD2856" s="15" t="n">
        <v>3</v>
      </c>
      <c r="AE2856" s="11" t="n">
        <v>1.011296296296296</v>
      </c>
      <c r="AF2856" s="16">
        <f>SUMPRODUCT(N2856:Y2856,$N$5:$Y$5)*$K2856*$L2856*$M2856</f>
        <v/>
      </c>
      <c r="AG2856" s="16">
        <f>SUMPRODUCT(N2856:Y2856,$N$6:$Y$6)*$K2856*$L2856*$M2856</f>
        <v/>
      </c>
      <c r="AH2856" s="20" t="n"/>
    </row>
    <row r="2857">
      <c r="A2857" s="9" t="n">
        <v>543391</v>
      </c>
      <c r="B2857" s="9" t="inlineStr">
        <is>
          <t>Casey Kelly</t>
        </is>
      </c>
      <c r="C2857" s="9" t="inlineStr">
        <is>
          <t>ARI</t>
        </is>
      </c>
      <c r="D2857" s="9" t="n">
        <v>37</v>
      </c>
      <c r="E2857" s="18" t="inlineStr">
        <is>
          <t>R</t>
        </is>
      </c>
      <c r="F2857" s="18" t="n"/>
      <c r="G2857" s="9" t="n">
        <v>6</v>
      </c>
      <c r="H2857" s="9" t="n">
        <v>27</v>
      </c>
      <c r="I2857" s="9" t="inlineStr">
        <is>
          <t>Depth (no MLB IP)</t>
        </is>
      </c>
      <c r="J2857" s="18" t="inlineStr">
        <is>
          <t>Opening Day</t>
        </is>
      </c>
      <c r="K2857" s="11">
        <f>IFERROR(INDEX(Roles!$B$17:$B$20,MATCH(J2857,Roles!$A$17:$A$20,0)),1)</f>
        <v/>
      </c>
      <c r="L2857" s="19" t="n">
        <v>1</v>
      </c>
      <c r="M2857" s="11" t="n">
        <v>1</v>
      </c>
      <c r="N2857" s="19" t="n"/>
      <c r="O2857" s="19" t="n"/>
      <c r="P2857" s="19" t="n"/>
      <c r="Q2857" s="19" t="n"/>
      <c r="R2857" s="19" t="n"/>
      <c r="S2857" s="19" t="n"/>
      <c r="T2857" s="19" t="n"/>
      <c r="U2857" s="19" t="n"/>
      <c r="V2857" s="19" t="n"/>
      <c r="W2857" s="19" t="n"/>
      <c r="X2857" s="19" t="n"/>
      <c r="Y2857" s="19" t="n">
        <v>1</v>
      </c>
      <c r="Z2857" s="13">
        <f>SUMPRODUCT(N2857:Y2857,$N$2:$Y$2)*$K2857*$L2857*$M2857</f>
        <v/>
      </c>
      <c r="AA2857" s="14">
        <f>SUM(N2857:Y2857)</f>
        <v/>
      </c>
      <c r="AB2857" s="13">
        <f>SUMPRODUCT(N2857:Y2857,$N$3:$Y$3)*$K2857*$L2857*$M2857</f>
        <v/>
      </c>
      <c r="AC2857" s="13">
        <f>SUMPRODUCT(N2857:Y2857,$N$4:$Y$4)*$K2857*$L2857*$M2857</f>
        <v/>
      </c>
      <c r="AD2857" s="15" t="n">
        <v>2.4</v>
      </c>
      <c r="AE2857" s="11" t="n">
        <v>1.155679012345679</v>
      </c>
      <c r="AF2857" s="16">
        <f>SUMPRODUCT(N2857:Y2857,$N$5:$Y$5)*$K2857*$L2857*$M2857</f>
        <v/>
      </c>
      <c r="AG2857" s="16">
        <f>SUMPRODUCT(N2857:Y2857,$N$6:$Y$6)*$K2857*$L2857*$M2857</f>
        <v/>
      </c>
      <c r="AH2857" s="20" t="n"/>
    </row>
    <row r="2858">
      <c r="A2858" s="9" t="n">
        <v>702153</v>
      </c>
      <c r="B2858" s="9" t="inlineStr">
        <is>
          <t>Brian Fitzpatrick</t>
        </is>
      </c>
      <c r="C2858" s="9" t="inlineStr">
        <is>
          <t>MIL</t>
        </is>
      </c>
      <c r="D2858" s="9" t="n">
        <v>27</v>
      </c>
      <c r="E2858" s="18" t="inlineStr">
        <is>
          <t>L</t>
        </is>
      </c>
      <c r="F2858" s="18" t="n"/>
      <c r="G2858" s="9" t="n">
        <v>30</v>
      </c>
      <c r="H2858" s="9" t="n">
        <v>30</v>
      </c>
      <c r="I2858" s="9" t="inlineStr">
        <is>
          <t>Bullpen Depth Arm</t>
        </is>
      </c>
      <c r="J2858" s="18" t="inlineStr">
        <is>
          <t>Opening Day</t>
        </is>
      </c>
      <c r="K2858" s="11">
        <f>IFERROR(INDEX(Roles!$B$17:$B$20,MATCH(J2858,Roles!$A$17:$A$20,0)),1)</f>
        <v/>
      </c>
      <c r="L2858" s="19" t="n">
        <v>1</v>
      </c>
      <c r="M2858" s="11" t="n">
        <v>1</v>
      </c>
      <c r="N2858" s="19" t="n"/>
      <c r="O2858" s="19" t="n"/>
      <c r="P2858" s="19" t="n"/>
      <c r="Q2858" s="19" t="n"/>
      <c r="R2858" s="19" t="n"/>
      <c r="S2858" s="19" t="n"/>
      <c r="T2858" s="19" t="n"/>
      <c r="U2858" s="19" t="n"/>
      <c r="V2858" s="19" t="n">
        <v>0.15</v>
      </c>
      <c r="W2858" s="19" t="n">
        <v>0.85</v>
      </c>
      <c r="X2858" s="19" t="n"/>
      <c r="Y2858" s="19" t="n"/>
      <c r="Z2858" s="13">
        <f>SUMPRODUCT(N2858:Y2858,$N$2:$Y$2)*$K2858*$L2858*$M2858</f>
        <v/>
      </c>
      <c r="AA2858" s="14">
        <f>SUM(N2858:Y2858)</f>
        <v/>
      </c>
      <c r="AB2858" s="13">
        <f>SUMPRODUCT(N2858:Y2858,$N$3:$Y$3)*$K2858*$L2858*$M2858</f>
        <v/>
      </c>
      <c r="AC2858" s="13">
        <f>SUMPRODUCT(N2858:Y2858,$N$4:$Y$4)*$K2858*$L2858*$M2858</f>
        <v/>
      </c>
      <c r="AD2858" s="15" t="n">
        <v>8.666666666666666</v>
      </c>
      <c r="AE2858" s="11" t="n">
        <v>1.245951579284912</v>
      </c>
      <c r="AF2858" s="16">
        <f>SUMPRODUCT(N2858:Y2858,$N$5:$Y$5)*$K2858*$L2858*$M2858</f>
        <v/>
      </c>
      <c r="AG2858" s="16">
        <f>SUMPRODUCT(N2858:Y2858,$N$6:$Y$6)*$K2858*$L2858*$M2858</f>
        <v/>
      </c>
      <c r="AH2858" s="20" t="n"/>
    </row>
    <row r="2859">
      <c r="A2859" s="9" t="n">
        <v>686780</v>
      </c>
      <c r="B2859" s="9" t="inlineStr">
        <is>
          <t>Pedro Pagés</t>
        </is>
      </c>
      <c r="C2859" s="9" t="inlineStr">
        <is>
          <t>STL</t>
        </is>
      </c>
      <c r="D2859" s="9" t="n">
        <v>28</v>
      </c>
      <c r="E2859" s="18" t="inlineStr">
        <is>
          <t>R</t>
        </is>
      </c>
      <c r="F2859" s="18" t="n"/>
      <c r="G2859" s="9" t="n">
        <v>7</v>
      </c>
      <c r="H2859" s="9" t="n">
        <v>7</v>
      </c>
      <c r="I2859" s="9" t="inlineStr">
        <is>
          <t>Depth (no MLB IP)</t>
        </is>
      </c>
      <c r="J2859" s="18" t="inlineStr">
        <is>
          <t>Opening Day</t>
        </is>
      </c>
      <c r="K2859" s="11">
        <f>IFERROR(INDEX(Roles!$B$17:$B$20,MATCH(J2859,Roles!$A$17:$A$20,0)),1)</f>
        <v/>
      </c>
      <c r="L2859" s="19" t="n">
        <v>1</v>
      </c>
      <c r="M2859" s="11" t="n">
        <v>1</v>
      </c>
      <c r="N2859" s="19" t="n"/>
      <c r="O2859" s="19" t="n"/>
      <c r="P2859" s="19" t="n"/>
      <c r="Q2859" s="19" t="n"/>
      <c r="R2859" s="19" t="n"/>
      <c r="S2859" s="19" t="n"/>
      <c r="T2859" s="19" t="n"/>
      <c r="U2859" s="19" t="n"/>
      <c r="V2859" s="19" t="n"/>
      <c r="W2859" s="19" t="n"/>
      <c r="X2859" s="19" t="n"/>
      <c r="Y2859" s="19" t="n">
        <v>1</v>
      </c>
      <c r="Z2859" s="13">
        <f>SUMPRODUCT(N2859:Y2859,$N$2:$Y$2)*$K2859*$L2859*$M2859</f>
        <v/>
      </c>
      <c r="AA2859" s="14">
        <f>SUM(N2859:Y2859)</f>
        <v/>
      </c>
      <c r="AB2859" s="13">
        <f>SUMPRODUCT(N2859:Y2859,$N$3:$Y$3)*$K2859*$L2859*$M2859</f>
        <v/>
      </c>
      <c r="AC2859" s="13">
        <f>SUMPRODUCT(N2859:Y2859,$N$4:$Y$4)*$K2859*$L2859*$M2859</f>
        <v/>
      </c>
      <c r="AD2859" s="15" t="n">
        <v>2.4</v>
      </c>
      <c r="AE2859" s="11" t="n">
        <v>1.007530864197531</v>
      </c>
      <c r="AF2859" s="16">
        <f>SUMPRODUCT(N2859:Y2859,$N$5:$Y$5)*$K2859*$L2859*$M2859</f>
        <v/>
      </c>
      <c r="AG2859" s="16">
        <f>SUMPRODUCT(N2859:Y2859,$N$6:$Y$6)*$K2859*$L2859*$M2859</f>
        <v/>
      </c>
      <c r="AH2859" s="20" t="n"/>
    </row>
    <row r="2860">
      <c r="A2860" s="9" t="n">
        <v>686972</v>
      </c>
      <c r="B2860" s="9" t="inlineStr">
        <is>
          <t>Cole Waites</t>
        </is>
      </c>
      <c r="C2860" s="9" t="inlineStr">
        <is>
          <t>SF</t>
        </is>
      </c>
      <c r="D2860" s="9" t="n">
        <v>29</v>
      </c>
      <c r="E2860" s="18" t="inlineStr">
        <is>
          <t>R</t>
        </is>
      </c>
      <c r="F2860" s="18" t="n"/>
      <c r="G2860" s="9" t="n">
        <v>15</v>
      </c>
      <c r="H2860" s="9" t="n">
        <v>40</v>
      </c>
      <c r="I2860" s="9" t="inlineStr">
        <is>
          <t>Depth (no MLB IP)</t>
        </is>
      </c>
      <c r="J2860" s="18" t="inlineStr">
        <is>
          <t>Opening Day</t>
        </is>
      </c>
      <c r="K2860" s="11">
        <f>IFERROR(INDEX(Roles!$B$17:$B$20,MATCH(J2860,Roles!$A$17:$A$20,0)),1)</f>
        <v/>
      </c>
      <c r="L2860" s="19" t="n">
        <v>1</v>
      </c>
      <c r="M2860" s="11" t="n">
        <v>1</v>
      </c>
      <c r="N2860" s="19" t="n"/>
      <c r="O2860" s="19" t="n"/>
      <c r="P2860" s="19" t="n"/>
      <c r="Q2860" s="19" t="n"/>
      <c r="R2860" s="19" t="n"/>
      <c r="S2860" s="19" t="n"/>
      <c r="T2860" s="19" t="n"/>
      <c r="U2860" s="19" t="n"/>
      <c r="V2860" s="19" t="n"/>
      <c r="W2860" s="19" t="n"/>
      <c r="X2860" s="19" t="n"/>
      <c r="Y2860" s="19" t="n">
        <v>1</v>
      </c>
      <c r="Z2860" s="13">
        <f>SUMPRODUCT(N2860:Y2860,$N$2:$Y$2)*$K2860*$L2860*$M2860</f>
        <v/>
      </c>
      <c r="AA2860" s="14">
        <f>SUM(N2860:Y2860)</f>
        <v/>
      </c>
      <c r="AB2860" s="13">
        <f>SUMPRODUCT(N2860:Y2860,$N$3:$Y$3)*$K2860*$L2860*$M2860</f>
        <v/>
      </c>
      <c r="AC2860" s="13">
        <f>SUMPRODUCT(N2860:Y2860,$N$4:$Y$4)*$K2860*$L2860*$M2860</f>
        <v/>
      </c>
      <c r="AD2860" s="15" t="n">
        <v>3</v>
      </c>
      <c r="AE2860" s="11" t="n">
        <v>1.011296296296296</v>
      </c>
      <c r="AF2860" s="16">
        <f>SUMPRODUCT(N2860:Y2860,$N$5:$Y$5)*$K2860*$L2860*$M2860</f>
        <v/>
      </c>
      <c r="AG2860" s="16">
        <f>SUMPRODUCT(N2860:Y2860,$N$6:$Y$6)*$K2860*$L2860*$M2860</f>
        <v/>
      </c>
      <c r="AH2860" s="20" t="n"/>
    </row>
    <row r="2861">
      <c r="A2861" s="9" t="n">
        <v>694555</v>
      </c>
      <c r="B2861" s="9" t="inlineStr">
        <is>
          <t>Chase Centala</t>
        </is>
      </c>
      <c r="C2861" s="9" t="inlineStr">
        <is>
          <t>SEA</t>
        </is>
      </c>
      <c r="D2861" s="9" t="n">
        <v>25</v>
      </c>
      <c r="E2861" s="18" t="inlineStr">
        <is>
          <t>R</t>
        </is>
      </c>
      <c r="F2861" s="18" t="n"/>
      <c r="G2861" s="9" t="n">
        <v>59.62666666666667</v>
      </c>
      <c r="H2861" s="9" t="n">
        <v>59.62666666666667</v>
      </c>
      <c r="I2861" s="9" t="inlineStr">
        <is>
          <t>Depth (no MLB IP)</t>
        </is>
      </c>
      <c r="J2861" s="18" t="inlineStr">
        <is>
          <t>Opening Day</t>
        </is>
      </c>
      <c r="K2861" s="11">
        <f>IFERROR(INDEX(Roles!$B$17:$B$20,MATCH(J2861,Roles!$A$17:$A$20,0)),1)</f>
        <v/>
      </c>
      <c r="L2861" s="19" t="n">
        <v>1</v>
      </c>
      <c r="M2861" s="11" t="n">
        <v>1</v>
      </c>
      <c r="N2861" s="19" t="n"/>
      <c r="O2861" s="19" t="n"/>
      <c r="P2861" s="19" t="n"/>
      <c r="Q2861" s="19" t="n"/>
      <c r="R2861" s="19" t="n"/>
      <c r="S2861" s="19" t="n"/>
      <c r="T2861" s="19" t="n"/>
      <c r="U2861" s="19" t="n"/>
      <c r="V2861" s="19" t="n"/>
      <c r="W2861" s="19" t="n"/>
      <c r="X2861" s="19" t="n"/>
      <c r="Y2861" s="19" t="n">
        <v>1</v>
      </c>
      <c r="Z2861" s="13">
        <f>SUMPRODUCT(N2861:Y2861,$N$2:$Y$2)*$K2861*$L2861*$M2861</f>
        <v/>
      </c>
      <c r="AA2861" s="14">
        <f>SUM(N2861:Y2861)</f>
        <v/>
      </c>
      <c r="AB2861" s="13">
        <f>SUMPRODUCT(N2861:Y2861,$N$3:$Y$3)*$K2861*$L2861*$M2861</f>
        <v/>
      </c>
      <c r="AC2861" s="13">
        <f>SUMPRODUCT(N2861:Y2861,$N$4:$Y$4)*$K2861*$L2861*$M2861</f>
        <v/>
      </c>
      <c r="AD2861" s="15" t="n">
        <v>3</v>
      </c>
      <c r="AE2861" s="11" t="n">
        <v>1.011296296296296</v>
      </c>
      <c r="AF2861" s="16">
        <f>SUMPRODUCT(N2861:Y2861,$N$5:$Y$5)*$K2861*$L2861*$M2861</f>
        <v/>
      </c>
      <c r="AG2861" s="16">
        <f>SUMPRODUCT(N2861:Y2861,$N$6:$Y$6)*$K2861*$L2861*$M2861</f>
        <v/>
      </c>
      <c r="AH2861" s="20" t="n"/>
    </row>
    <row r="2862">
      <c r="A2862" s="9" t="n">
        <v>694389</v>
      </c>
      <c r="B2862" s="9" t="inlineStr">
        <is>
          <t>William Fleming</t>
        </is>
      </c>
      <c r="C2862" s="9" t="inlineStr">
        <is>
          <t>MIN</t>
        </is>
      </c>
      <c r="D2862" s="9" t="n">
        <v>25</v>
      </c>
      <c r="E2862" s="18" t="inlineStr">
        <is>
          <t>R</t>
        </is>
      </c>
      <c r="F2862" s="18" t="n"/>
      <c r="G2862" s="9" t="n">
        <v>59.69833333333333</v>
      </c>
      <c r="H2862" s="9" t="n">
        <v>59.69833333333333</v>
      </c>
      <c r="I2862" s="9" t="inlineStr">
        <is>
          <t>Depth (no MLB IP)</t>
        </is>
      </c>
      <c r="J2862" s="18" t="inlineStr">
        <is>
          <t>Opening Day</t>
        </is>
      </c>
      <c r="K2862" s="11">
        <f>IFERROR(INDEX(Roles!$B$17:$B$20,MATCH(J2862,Roles!$A$17:$A$20,0)),1)</f>
        <v/>
      </c>
      <c r="L2862" s="19" t="n">
        <v>1</v>
      </c>
      <c r="M2862" s="11" t="n">
        <v>1</v>
      </c>
      <c r="N2862" s="19" t="n"/>
      <c r="O2862" s="19" t="n"/>
      <c r="P2862" s="19" t="n"/>
      <c r="Q2862" s="19" t="n"/>
      <c r="R2862" s="19" t="n"/>
      <c r="S2862" s="19" t="n"/>
      <c r="T2862" s="19" t="n"/>
      <c r="U2862" s="19" t="n"/>
      <c r="V2862" s="19" t="n"/>
      <c r="W2862" s="19" t="n"/>
      <c r="X2862" s="19" t="n"/>
      <c r="Y2862" s="19" t="n">
        <v>1</v>
      </c>
      <c r="Z2862" s="13">
        <f>SUMPRODUCT(N2862:Y2862,$N$2:$Y$2)*$K2862*$L2862*$M2862</f>
        <v/>
      </c>
      <c r="AA2862" s="14">
        <f>SUM(N2862:Y2862)</f>
        <v/>
      </c>
      <c r="AB2862" s="13">
        <f>SUMPRODUCT(N2862:Y2862,$N$3:$Y$3)*$K2862*$L2862*$M2862</f>
        <v/>
      </c>
      <c r="AC2862" s="13">
        <f>SUMPRODUCT(N2862:Y2862,$N$4:$Y$4)*$K2862*$L2862*$M2862</f>
        <v/>
      </c>
      <c r="AD2862" s="15" t="n">
        <v>3</v>
      </c>
      <c r="AE2862" s="11" t="n">
        <v>1.011296296296296</v>
      </c>
      <c r="AF2862" s="16">
        <f>SUMPRODUCT(N2862:Y2862,$N$5:$Y$5)*$K2862*$L2862*$M2862</f>
        <v/>
      </c>
      <c r="AG2862" s="16">
        <f>SUMPRODUCT(N2862:Y2862,$N$6:$Y$6)*$K2862*$L2862*$M2862</f>
        <v/>
      </c>
      <c r="AH2862" s="20" t="n"/>
    </row>
    <row r="2863">
      <c r="A2863" s="9" t="n">
        <v>666215</v>
      </c>
      <c r="B2863" s="9" t="inlineStr">
        <is>
          <t>Forrest Whitley</t>
        </is>
      </c>
      <c r="C2863" s="9" t="inlineStr">
        <is>
          <t>TB</t>
        </is>
      </c>
      <c r="D2863" s="9" t="n">
        <v>29</v>
      </c>
      <c r="E2863" s="18" t="inlineStr">
        <is>
          <t>R</t>
        </is>
      </c>
      <c r="F2863" s="18" t="n"/>
      <c r="G2863" s="9" t="n">
        <v>66</v>
      </c>
      <c r="H2863" s="9" t="n">
        <v>86</v>
      </c>
      <c r="I2863" s="9" t="inlineStr">
        <is>
          <t>Bullpen Depth Arm</t>
        </is>
      </c>
      <c r="J2863" s="18" t="inlineStr">
        <is>
          <t>Opening Day</t>
        </is>
      </c>
      <c r="K2863" s="11">
        <f>IFERROR(INDEX(Roles!$B$17:$B$20,MATCH(J2863,Roles!$A$17:$A$20,0)),1)</f>
        <v/>
      </c>
      <c r="L2863" s="19" t="n">
        <v>1</v>
      </c>
      <c r="M2863" s="11" t="n">
        <v>1</v>
      </c>
      <c r="N2863" s="19" t="n"/>
      <c r="O2863" s="19" t="n"/>
      <c r="P2863" s="19" t="n"/>
      <c r="Q2863" s="19" t="n"/>
      <c r="R2863" s="19" t="n"/>
      <c r="S2863" s="19" t="n"/>
      <c r="T2863" s="19" t="n"/>
      <c r="U2863" s="19" t="n"/>
      <c r="V2863" s="19" t="n"/>
      <c r="W2863" s="19" t="n">
        <v>1</v>
      </c>
      <c r="X2863" s="19" t="n"/>
      <c r="Y2863" s="19" t="n"/>
      <c r="Z2863" s="13">
        <f>SUMPRODUCT(N2863:Y2863,$N$2:$Y$2)*$K2863*$L2863*$M2863</f>
        <v/>
      </c>
      <c r="AA2863" s="14">
        <f>SUM(N2863:Y2863)</f>
        <v/>
      </c>
      <c r="AB2863" s="13">
        <f>SUMPRODUCT(N2863:Y2863,$N$3:$Y$3)*$K2863*$L2863*$M2863</f>
        <v/>
      </c>
      <c r="AC2863" s="13">
        <f>SUMPRODUCT(N2863:Y2863,$N$4:$Y$4)*$K2863*$L2863*$M2863</f>
        <v/>
      </c>
      <c r="AD2863" s="15" t="n">
        <v>10.26666666666667</v>
      </c>
      <c r="AE2863" s="11" t="n">
        <v>1.197642400540951</v>
      </c>
      <c r="AF2863" s="16">
        <f>SUMPRODUCT(N2863:Y2863,$N$5:$Y$5)*$K2863*$L2863*$M2863</f>
        <v/>
      </c>
      <c r="AG2863" s="16">
        <f>SUMPRODUCT(N2863:Y2863,$N$6:$Y$6)*$K2863*$L2863*$M2863</f>
        <v/>
      </c>
      <c r="AH2863" s="20" t="n"/>
    </row>
    <row r="2864">
      <c r="A2864" s="9" t="n">
        <v>687280</v>
      </c>
      <c r="B2864" s="9" t="inlineStr">
        <is>
          <t>Geoffrey Gilbert</t>
        </is>
      </c>
      <c r="C2864" s="9" t="inlineStr">
        <is>
          <t>NYY</t>
        </is>
      </c>
      <c r="D2864" s="9" t="n">
        <v>25</v>
      </c>
      <c r="E2864" s="18" t="inlineStr">
        <is>
          <t>L</t>
        </is>
      </c>
      <c r="F2864" s="18" t="n"/>
      <c r="G2864" s="9" t="n">
        <v>59.69833333333333</v>
      </c>
      <c r="H2864" s="9" t="n">
        <v>59.69833333333333</v>
      </c>
      <c r="I2864" s="9" t="inlineStr">
        <is>
          <t>Depth (no MLB IP)</t>
        </is>
      </c>
      <c r="J2864" s="18" t="inlineStr">
        <is>
          <t>Opening Day</t>
        </is>
      </c>
      <c r="K2864" s="11">
        <f>IFERROR(INDEX(Roles!$B$17:$B$20,MATCH(J2864,Roles!$A$17:$A$20,0)),1)</f>
        <v/>
      </c>
      <c r="L2864" s="19" t="n">
        <v>1</v>
      </c>
      <c r="M2864" s="11" t="n">
        <v>1</v>
      </c>
      <c r="N2864" s="19" t="n"/>
      <c r="O2864" s="19" t="n"/>
      <c r="P2864" s="19" t="n"/>
      <c r="Q2864" s="19" t="n"/>
      <c r="R2864" s="19" t="n"/>
      <c r="S2864" s="19" t="n"/>
      <c r="T2864" s="19" t="n"/>
      <c r="U2864" s="19" t="n"/>
      <c r="V2864" s="19" t="n"/>
      <c r="W2864" s="19" t="n"/>
      <c r="X2864" s="19" t="n"/>
      <c r="Y2864" s="19" t="n">
        <v>1</v>
      </c>
      <c r="Z2864" s="13">
        <f>SUMPRODUCT(N2864:Y2864,$N$2:$Y$2)*$K2864*$L2864*$M2864</f>
        <v/>
      </c>
      <c r="AA2864" s="14">
        <f>SUM(N2864:Y2864)</f>
        <v/>
      </c>
      <c r="AB2864" s="13">
        <f>SUMPRODUCT(N2864:Y2864,$N$3:$Y$3)*$K2864*$L2864*$M2864</f>
        <v/>
      </c>
      <c r="AC2864" s="13">
        <f>SUMPRODUCT(N2864:Y2864,$N$4:$Y$4)*$K2864*$L2864*$M2864</f>
        <v/>
      </c>
      <c r="AD2864" s="15" t="n">
        <v>3</v>
      </c>
      <c r="AE2864" s="11" t="n">
        <v>1.011296296296296</v>
      </c>
      <c r="AF2864" s="16">
        <f>SUMPRODUCT(N2864:Y2864,$N$5:$Y$5)*$K2864*$L2864*$M2864</f>
        <v/>
      </c>
      <c r="AG2864" s="16">
        <f>SUMPRODUCT(N2864:Y2864,$N$6:$Y$6)*$K2864*$L2864*$M2864</f>
        <v/>
      </c>
      <c r="AH2864" s="20" t="n"/>
    </row>
    <row r="2865">
      <c r="A2865" s="9" t="n">
        <v>685310</v>
      </c>
      <c r="B2865" s="9" t="inlineStr">
        <is>
          <t>Braden Scott</t>
        </is>
      </c>
      <c r="C2865" s="9" t="inlineStr">
        <is>
          <t>ATL</t>
        </is>
      </c>
      <c r="D2865" s="9" t="n">
        <v>25</v>
      </c>
      <c r="E2865" s="18" t="inlineStr">
        <is>
          <t>L</t>
        </is>
      </c>
      <c r="F2865" s="18" t="n"/>
      <c r="G2865" s="9" t="n">
        <v>59.69833333333333</v>
      </c>
      <c r="H2865" s="9" t="n">
        <v>59.69833333333333</v>
      </c>
      <c r="I2865" s="9" t="inlineStr">
        <is>
          <t>Depth (no MLB IP)</t>
        </is>
      </c>
      <c r="J2865" s="18" t="inlineStr">
        <is>
          <t>Opening Day</t>
        </is>
      </c>
      <c r="K2865" s="11">
        <f>IFERROR(INDEX(Roles!$B$17:$B$20,MATCH(J2865,Roles!$A$17:$A$20,0)),1)</f>
        <v/>
      </c>
      <c r="L2865" s="19" t="n">
        <v>1</v>
      </c>
      <c r="M2865" s="11" t="n">
        <v>1</v>
      </c>
      <c r="N2865" s="19" t="n"/>
      <c r="O2865" s="19" t="n"/>
      <c r="P2865" s="19" t="n"/>
      <c r="Q2865" s="19" t="n"/>
      <c r="R2865" s="19" t="n"/>
      <c r="S2865" s="19" t="n"/>
      <c r="T2865" s="19" t="n"/>
      <c r="U2865" s="19" t="n"/>
      <c r="V2865" s="19" t="n"/>
      <c r="W2865" s="19" t="n"/>
      <c r="X2865" s="19" t="n"/>
      <c r="Y2865" s="19" t="n">
        <v>1</v>
      </c>
      <c r="Z2865" s="13">
        <f>SUMPRODUCT(N2865:Y2865,$N$2:$Y$2)*$K2865*$L2865*$M2865</f>
        <v/>
      </c>
      <c r="AA2865" s="14">
        <f>SUM(N2865:Y2865)</f>
        <v/>
      </c>
      <c r="AB2865" s="13">
        <f>SUMPRODUCT(N2865:Y2865,$N$3:$Y$3)*$K2865*$L2865*$M2865</f>
        <v/>
      </c>
      <c r="AC2865" s="13">
        <f>SUMPRODUCT(N2865:Y2865,$N$4:$Y$4)*$K2865*$L2865*$M2865</f>
        <v/>
      </c>
      <c r="AD2865" s="15" t="n">
        <v>3</v>
      </c>
      <c r="AE2865" s="11" t="n">
        <v>1.011296296296296</v>
      </c>
      <c r="AF2865" s="16">
        <f>SUMPRODUCT(N2865:Y2865,$N$5:$Y$5)*$K2865*$L2865*$M2865</f>
        <v/>
      </c>
      <c r="AG2865" s="16">
        <f>SUMPRODUCT(N2865:Y2865,$N$6:$Y$6)*$K2865*$L2865*$M2865</f>
        <v/>
      </c>
      <c r="AH2865" s="20" t="n"/>
    </row>
    <row r="2866">
      <c r="A2866" s="9" t="n">
        <v>694345</v>
      </c>
      <c r="B2866" s="9" t="inlineStr">
        <is>
          <t>Patrick Reilly</t>
        </is>
      </c>
      <c r="C2866" s="9" t="inlineStr">
        <is>
          <t>BAL</t>
        </is>
      </c>
      <c r="D2866" s="9" t="n">
        <v>25</v>
      </c>
      <c r="E2866" s="18" t="inlineStr">
        <is>
          <t>R</t>
        </is>
      </c>
      <c r="F2866" s="18" t="n"/>
      <c r="G2866" s="9" t="n">
        <v>59.69833333333333</v>
      </c>
      <c r="H2866" s="9" t="n">
        <v>59.69833333333333</v>
      </c>
      <c r="I2866" s="9" t="inlineStr">
        <is>
          <t>Depth (no MLB IP)</t>
        </is>
      </c>
      <c r="J2866" s="18" t="inlineStr">
        <is>
          <t>Opening Day</t>
        </is>
      </c>
      <c r="K2866" s="11">
        <f>IFERROR(INDEX(Roles!$B$17:$B$20,MATCH(J2866,Roles!$A$17:$A$20,0)),1)</f>
        <v/>
      </c>
      <c r="L2866" s="19" t="n">
        <v>1</v>
      </c>
      <c r="M2866" s="11" t="n">
        <v>1</v>
      </c>
      <c r="N2866" s="19" t="n"/>
      <c r="O2866" s="19" t="n"/>
      <c r="P2866" s="19" t="n"/>
      <c r="Q2866" s="19" t="n"/>
      <c r="R2866" s="19" t="n"/>
      <c r="S2866" s="19" t="n"/>
      <c r="T2866" s="19" t="n"/>
      <c r="U2866" s="19" t="n"/>
      <c r="V2866" s="19" t="n"/>
      <c r="W2866" s="19" t="n"/>
      <c r="X2866" s="19" t="n"/>
      <c r="Y2866" s="19" t="n">
        <v>1</v>
      </c>
      <c r="Z2866" s="13">
        <f>SUMPRODUCT(N2866:Y2866,$N$2:$Y$2)*$K2866*$L2866*$M2866</f>
        <v/>
      </c>
      <c r="AA2866" s="14">
        <f>SUM(N2866:Y2866)</f>
        <v/>
      </c>
      <c r="AB2866" s="13">
        <f>SUMPRODUCT(N2866:Y2866,$N$3:$Y$3)*$K2866*$L2866*$M2866</f>
        <v/>
      </c>
      <c r="AC2866" s="13">
        <f>SUMPRODUCT(N2866:Y2866,$N$4:$Y$4)*$K2866*$L2866*$M2866</f>
        <v/>
      </c>
      <c r="AD2866" s="15" t="n">
        <v>3</v>
      </c>
      <c r="AE2866" s="11" t="n">
        <v>1.011296296296296</v>
      </c>
      <c r="AF2866" s="16">
        <f>SUMPRODUCT(N2866:Y2866,$N$5:$Y$5)*$K2866*$L2866*$M2866</f>
        <v/>
      </c>
      <c r="AG2866" s="16">
        <f>SUMPRODUCT(N2866:Y2866,$N$6:$Y$6)*$K2866*$L2866*$M2866</f>
        <v/>
      </c>
      <c r="AH2866" s="20" t="n"/>
    </row>
    <row r="2867">
      <c r="A2867" s="9" t="n">
        <v>669183</v>
      </c>
      <c r="B2867" s="9" t="inlineStr">
        <is>
          <t>Grant Gambrell</t>
        </is>
      </c>
      <c r="C2867" s="9" t="inlineStr">
        <is>
          <t>KC</t>
        </is>
      </c>
      <c r="D2867" s="9" t="n">
        <v>25</v>
      </c>
      <c r="E2867" s="18" t="inlineStr">
        <is>
          <t>R</t>
        </is>
      </c>
      <c r="F2867" s="18" t="n"/>
      <c r="G2867" s="9" t="n">
        <v>59.69833333333333</v>
      </c>
      <c r="H2867" s="9" t="n">
        <v>59.69833333333333</v>
      </c>
      <c r="I2867" s="9" t="inlineStr">
        <is>
          <t>Depth (no MLB IP)</t>
        </is>
      </c>
      <c r="J2867" s="18" t="inlineStr">
        <is>
          <t>Opening Day</t>
        </is>
      </c>
      <c r="K2867" s="11">
        <f>IFERROR(INDEX(Roles!$B$17:$B$20,MATCH(J2867,Roles!$A$17:$A$20,0)),1)</f>
        <v/>
      </c>
      <c r="L2867" s="19" t="n">
        <v>1</v>
      </c>
      <c r="M2867" s="11" t="n">
        <v>1</v>
      </c>
      <c r="N2867" s="19" t="n"/>
      <c r="O2867" s="19" t="n"/>
      <c r="P2867" s="19" t="n"/>
      <c r="Q2867" s="19" t="n"/>
      <c r="R2867" s="19" t="n"/>
      <c r="S2867" s="19" t="n"/>
      <c r="T2867" s="19" t="n"/>
      <c r="U2867" s="19" t="n"/>
      <c r="V2867" s="19" t="n"/>
      <c r="W2867" s="19" t="n"/>
      <c r="X2867" s="19" t="n"/>
      <c r="Y2867" s="19" t="n">
        <v>1</v>
      </c>
      <c r="Z2867" s="13">
        <f>SUMPRODUCT(N2867:Y2867,$N$2:$Y$2)*$K2867*$L2867*$M2867</f>
        <v/>
      </c>
      <c r="AA2867" s="14">
        <f>SUM(N2867:Y2867)</f>
        <v/>
      </c>
      <c r="AB2867" s="13">
        <f>SUMPRODUCT(N2867:Y2867,$N$3:$Y$3)*$K2867*$L2867*$M2867</f>
        <v/>
      </c>
      <c r="AC2867" s="13">
        <f>SUMPRODUCT(N2867:Y2867,$N$4:$Y$4)*$K2867*$L2867*$M2867</f>
        <v/>
      </c>
      <c r="AD2867" s="15" t="n">
        <v>3</v>
      </c>
      <c r="AE2867" s="11" t="n">
        <v>1.011296296296296</v>
      </c>
      <c r="AF2867" s="16">
        <f>SUMPRODUCT(N2867:Y2867,$N$5:$Y$5)*$K2867*$L2867*$M2867</f>
        <v/>
      </c>
      <c r="AG2867" s="16">
        <f>SUMPRODUCT(N2867:Y2867,$N$6:$Y$6)*$K2867*$L2867*$M2867</f>
        <v/>
      </c>
      <c r="AH2867" s="20" t="n"/>
    </row>
    <row r="2868">
      <c r="A2868" s="9" t="n">
        <v>687003</v>
      </c>
      <c r="B2868" s="9" t="inlineStr">
        <is>
          <t>Brian Van Belle</t>
        </is>
      </c>
      <c r="C2868" s="9" t="inlineStr">
        <is>
          <t>TB</t>
        </is>
      </c>
      <c r="D2868" s="9" t="n">
        <v>30</v>
      </c>
      <c r="E2868" s="18" t="inlineStr">
        <is>
          <t>R</t>
        </is>
      </c>
      <c r="F2868" s="18" t="n"/>
      <c r="G2868" s="9" t="n">
        <v>36</v>
      </c>
      <c r="H2868" s="9" t="n">
        <v>36</v>
      </c>
      <c r="I2868" s="9" t="inlineStr">
        <is>
          <t>Bullpen Depth Arm</t>
        </is>
      </c>
      <c r="J2868" s="18" t="inlineStr">
        <is>
          <t>Opening Day</t>
        </is>
      </c>
      <c r="K2868" s="11">
        <f>IFERROR(INDEX(Roles!$B$17:$B$20,MATCH(J2868,Roles!$A$17:$A$20,0)),1)</f>
        <v/>
      </c>
      <c r="L2868" s="19" t="n">
        <v>1</v>
      </c>
      <c r="M2868" s="11" t="n">
        <v>1</v>
      </c>
      <c r="N2868" s="19" t="n"/>
      <c r="O2868" s="19" t="n"/>
      <c r="P2868" s="19" t="n"/>
      <c r="Q2868" s="19" t="n"/>
      <c r="R2868" s="19" t="n"/>
      <c r="S2868" s="19" t="n"/>
      <c r="T2868" s="19" t="n"/>
      <c r="U2868" s="19" t="n"/>
      <c r="V2868" s="19" t="n"/>
      <c r="W2868" s="19" t="n">
        <v>1</v>
      </c>
      <c r="X2868" s="19" t="n"/>
      <c r="Y2868" s="19" t="n"/>
      <c r="Z2868" s="13">
        <f>SUMPRODUCT(N2868:Y2868,$N$2:$Y$2)*$K2868*$L2868*$M2868</f>
        <v/>
      </c>
      <c r="AA2868" s="14">
        <f>SUM(N2868:Y2868)</f>
        <v/>
      </c>
      <c r="AB2868" s="13">
        <f>SUMPRODUCT(N2868:Y2868,$N$3:$Y$3)*$K2868*$L2868*$M2868</f>
        <v/>
      </c>
      <c r="AC2868" s="13">
        <f>SUMPRODUCT(N2868:Y2868,$N$4:$Y$4)*$K2868*$L2868*$M2868</f>
        <v/>
      </c>
      <c r="AD2868" s="15" t="n">
        <v>8.066666666666666</v>
      </c>
      <c r="AE2868" s="11" t="n">
        <v>1.495951579284912</v>
      </c>
      <c r="AF2868" s="16">
        <f>SUMPRODUCT(N2868:Y2868,$N$5:$Y$5)*$K2868*$L2868*$M2868</f>
        <v/>
      </c>
      <c r="AG2868" s="16">
        <f>SUMPRODUCT(N2868:Y2868,$N$6:$Y$6)*$K2868*$L2868*$M2868</f>
        <v/>
      </c>
      <c r="AH2868" s="20" t="n"/>
    </row>
    <row r="2869">
      <c r="A2869" s="9" t="n">
        <v>572403</v>
      </c>
      <c r="B2869" s="9" t="inlineStr">
        <is>
          <t>Drew VerHagen</t>
        </is>
      </c>
      <c r="C2869" s="9" t="inlineStr">
        <is>
          <t>STL</t>
        </is>
      </c>
      <c r="D2869" s="9" t="n">
        <v>36</v>
      </c>
      <c r="E2869" s="18" t="inlineStr">
        <is>
          <t>R</t>
        </is>
      </c>
      <c r="F2869" s="18" t="n"/>
      <c r="G2869" s="9" t="n">
        <v>268</v>
      </c>
      <c r="H2869" s="9" t="n">
        <v>374</v>
      </c>
      <c r="I2869" s="9" t="inlineStr">
        <is>
          <t>Depth (no MLB IP)</t>
        </is>
      </c>
      <c r="J2869" s="18" t="inlineStr">
        <is>
          <t>Opening Day</t>
        </is>
      </c>
      <c r="K2869" s="11">
        <f>IFERROR(INDEX(Roles!$B$17:$B$20,MATCH(J2869,Roles!$A$17:$A$20,0)),1)</f>
        <v/>
      </c>
      <c r="L2869" s="19" t="n">
        <v>1</v>
      </c>
      <c r="M2869" s="11" t="n">
        <v>1</v>
      </c>
      <c r="N2869" s="19" t="n"/>
      <c r="O2869" s="19" t="n"/>
      <c r="P2869" s="19" t="n"/>
      <c r="Q2869" s="19" t="n"/>
      <c r="R2869" s="19" t="n"/>
      <c r="S2869" s="19" t="n"/>
      <c r="T2869" s="19" t="n"/>
      <c r="U2869" s="19" t="n"/>
      <c r="V2869" s="19" t="n"/>
      <c r="W2869" s="19" t="n"/>
      <c r="X2869" s="19" t="n"/>
      <c r="Y2869" s="19" t="n">
        <v>1</v>
      </c>
      <c r="Z2869" s="13">
        <f>SUMPRODUCT(N2869:Y2869,$N$2:$Y$2)*$K2869*$L2869*$M2869</f>
        <v/>
      </c>
      <c r="AA2869" s="14">
        <f>SUM(N2869:Y2869)</f>
        <v/>
      </c>
      <c r="AB2869" s="13">
        <f>SUMPRODUCT(N2869:Y2869,$N$3:$Y$3)*$K2869*$L2869*$M2869</f>
        <v/>
      </c>
      <c r="AC2869" s="13">
        <f>SUMPRODUCT(N2869:Y2869,$N$4:$Y$4)*$K2869*$L2869*$M2869</f>
        <v/>
      </c>
      <c r="AD2869" s="15" t="n">
        <v>3</v>
      </c>
      <c r="AE2869" s="11" t="n">
        <v>1.011296296296296</v>
      </c>
      <c r="AF2869" s="16">
        <f>SUMPRODUCT(N2869:Y2869,$N$5:$Y$5)*$K2869*$L2869*$M2869</f>
        <v/>
      </c>
      <c r="AG2869" s="16">
        <f>SUMPRODUCT(N2869:Y2869,$N$6:$Y$6)*$K2869*$L2869*$M2869</f>
        <v/>
      </c>
      <c r="AH2869" s="20" t="n"/>
    </row>
    <row r="2870">
      <c r="A2870" s="9" t="n">
        <v>822535</v>
      </c>
      <c r="B2870" s="9" t="inlineStr">
        <is>
          <t>Garrett Gainey</t>
        </is>
      </c>
      <c r="C2870" s="9" t="inlineStr">
        <is>
          <t>TB</t>
        </is>
      </c>
      <c r="D2870" s="9" t="n">
        <v>25</v>
      </c>
      <c r="E2870" s="18" t="inlineStr">
        <is>
          <t>L</t>
        </is>
      </c>
      <c r="F2870" s="18" t="n"/>
      <c r="G2870" s="9" t="n">
        <v>59.91333333333333</v>
      </c>
      <c r="H2870" s="9" t="n">
        <v>59.91333333333333</v>
      </c>
      <c r="I2870" s="9" t="inlineStr">
        <is>
          <t>Depth (no MLB IP)</t>
        </is>
      </c>
      <c r="J2870" s="18" t="inlineStr">
        <is>
          <t>Opening Day</t>
        </is>
      </c>
      <c r="K2870" s="11">
        <f>IFERROR(INDEX(Roles!$B$17:$B$20,MATCH(J2870,Roles!$A$17:$A$20,0)),1)</f>
        <v/>
      </c>
      <c r="L2870" s="19" t="n">
        <v>1</v>
      </c>
      <c r="M2870" s="11" t="n">
        <v>1</v>
      </c>
      <c r="N2870" s="19" t="n"/>
      <c r="O2870" s="19" t="n"/>
      <c r="P2870" s="19" t="n"/>
      <c r="Q2870" s="19" t="n"/>
      <c r="R2870" s="19" t="n"/>
      <c r="S2870" s="19" t="n"/>
      <c r="T2870" s="19" t="n"/>
      <c r="U2870" s="19" t="n"/>
      <c r="V2870" s="19" t="n"/>
      <c r="W2870" s="19" t="n"/>
      <c r="X2870" s="19" t="n"/>
      <c r="Y2870" s="19" t="n">
        <v>1</v>
      </c>
      <c r="Z2870" s="13">
        <f>SUMPRODUCT(N2870:Y2870,$N$2:$Y$2)*$K2870*$L2870*$M2870</f>
        <v/>
      </c>
      <c r="AA2870" s="14">
        <f>SUM(N2870:Y2870)</f>
        <v/>
      </c>
      <c r="AB2870" s="13">
        <f>SUMPRODUCT(N2870:Y2870,$N$3:$Y$3)*$K2870*$L2870*$M2870</f>
        <v/>
      </c>
      <c r="AC2870" s="13">
        <f>SUMPRODUCT(N2870:Y2870,$N$4:$Y$4)*$K2870*$L2870*$M2870</f>
        <v/>
      </c>
      <c r="AD2870" s="15" t="n">
        <v>3</v>
      </c>
      <c r="AE2870" s="11" t="n">
        <v>1.011296296296296</v>
      </c>
      <c r="AF2870" s="16">
        <f>SUMPRODUCT(N2870:Y2870,$N$5:$Y$5)*$K2870*$L2870*$M2870</f>
        <v/>
      </c>
      <c r="AG2870" s="16">
        <f>SUMPRODUCT(N2870:Y2870,$N$6:$Y$6)*$K2870*$L2870*$M2870</f>
        <v/>
      </c>
      <c r="AH2870" s="20" t="n"/>
    </row>
    <row r="2871">
      <c r="A2871" s="9" t="n">
        <v>804502</v>
      </c>
      <c r="B2871" s="9" t="inlineStr">
        <is>
          <t>Dawson Brown</t>
        </is>
      </c>
      <c r="C2871" s="9" t="inlineStr">
        <is>
          <t>ARI</t>
        </is>
      </c>
      <c r="D2871" s="9" t="n">
        <v>25</v>
      </c>
      <c r="E2871" s="18" t="inlineStr">
        <is>
          <t>R</t>
        </is>
      </c>
      <c r="F2871" s="18" t="n"/>
      <c r="G2871" s="9" t="n">
        <v>60.2</v>
      </c>
      <c r="H2871" s="9" t="n">
        <v>60.2</v>
      </c>
      <c r="I2871" s="9" t="inlineStr">
        <is>
          <t>Depth (no MLB IP)</t>
        </is>
      </c>
      <c r="J2871" s="18" t="inlineStr">
        <is>
          <t>Opening Day</t>
        </is>
      </c>
      <c r="K2871" s="11">
        <f>IFERROR(INDEX(Roles!$B$17:$B$20,MATCH(J2871,Roles!$A$17:$A$20,0)),1)</f>
        <v/>
      </c>
      <c r="L2871" s="19" t="n">
        <v>1</v>
      </c>
      <c r="M2871" s="11" t="n">
        <v>1</v>
      </c>
      <c r="N2871" s="19" t="n"/>
      <c r="O2871" s="19" t="n"/>
      <c r="P2871" s="19" t="n"/>
      <c r="Q2871" s="19" t="n"/>
      <c r="R2871" s="19" t="n"/>
      <c r="S2871" s="19" t="n"/>
      <c r="T2871" s="19" t="n"/>
      <c r="U2871" s="19" t="n"/>
      <c r="V2871" s="19" t="n"/>
      <c r="W2871" s="19" t="n"/>
      <c r="X2871" s="19" t="n"/>
      <c r="Y2871" s="19" t="n">
        <v>1</v>
      </c>
      <c r="Z2871" s="13">
        <f>SUMPRODUCT(N2871:Y2871,$N$2:$Y$2)*$K2871*$L2871*$M2871</f>
        <v/>
      </c>
      <c r="AA2871" s="14">
        <f>SUM(N2871:Y2871)</f>
        <v/>
      </c>
      <c r="AB2871" s="13">
        <f>SUMPRODUCT(N2871:Y2871,$N$3:$Y$3)*$K2871*$L2871*$M2871</f>
        <v/>
      </c>
      <c r="AC2871" s="13">
        <f>SUMPRODUCT(N2871:Y2871,$N$4:$Y$4)*$K2871*$L2871*$M2871</f>
        <v/>
      </c>
      <c r="AD2871" s="15" t="n">
        <v>3</v>
      </c>
      <c r="AE2871" s="11" t="n">
        <v>1.011296296296296</v>
      </c>
      <c r="AF2871" s="16">
        <f>SUMPRODUCT(N2871:Y2871,$N$5:$Y$5)*$K2871*$L2871*$M2871</f>
        <v/>
      </c>
      <c r="AG2871" s="16">
        <f>SUMPRODUCT(N2871:Y2871,$N$6:$Y$6)*$K2871*$L2871*$M2871</f>
        <v/>
      </c>
      <c r="AH2871" s="20" t="n"/>
    </row>
    <row r="2872">
      <c r="A2872" s="9" t="n">
        <v>606115</v>
      </c>
      <c r="B2872" s="9" t="inlineStr">
        <is>
          <t>Orlando Arcia</t>
        </is>
      </c>
      <c r="C2872" s="9" t="inlineStr">
        <is>
          <t>MIN</t>
        </is>
      </c>
      <c r="D2872" s="9" t="n">
        <v>32</v>
      </c>
      <c r="E2872" s="18" t="inlineStr">
        <is>
          <t>R</t>
        </is>
      </c>
      <c r="F2872" s="18" t="n"/>
      <c r="G2872" s="9" t="n">
        <v>5</v>
      </c>
      <c r="H2872" s="9" t="n">
        <v>9</v>
      </c>
      <c r="I2872" s="9" t="inlineStr">
        <is>
          <t>Depth (no MLB IP)</t>
        </is>
      </c>
      <c r="J2872" s="18" t="inlineStr">
        <is>
          <t>Opening Day</t>
        </is>
      </c>
      <c r="K2872" s="11">
        <f>IFERROR(INDEX(Roles!$B$17:$B$20,MATCH(J2872,Roles!$A$17:$A$20,0)),1)</f>
        <v/>
      </c>
      <c r="L2872" s="19" t="n">
        <v>1</v>
      </c>
      <c r="M2872" s="11" t="n">
        <v>1</v>
      </c>
      <c r="N2872" s="19" t="n"/>
      <c r="O2872" s="19" t="n"/>
      <c r="P2872" s="19" t="n"/>
      <c r="Q2872" s="19" t="n"/>
      <c r="R2872" s="19" t="n"/>
      <c r="S2872" s="19" t="n"/>
      <c r="T2872" s="19" t="n"/>
      <c r="U2872" s="19" t="n"/>
      <c r="V2872" s="19" t="n"/>
      <c r="W2872" s="19" t="n"/>
      <c r="X2872" s="19" t="n"/>
      <c r="Y2872" s="19" t="n">
        <v>1</v>
      </c>
      <c r="Z2872" s="13">
        <f>SUMPRODUCT(N2872:Y2872,$N$2:$Y$2)*$K2872*$L2872*$M2872</f>
        <v/>
      </c>
      <c r="AA2872" s="14">
        <f>SUM(N2872:Y2872)</f>
        <v/>
      </c>
      <c r="AB2872" s="13">
        <f>SUMPRODUCT(N2872:Y2872,$N$3:$Y$3)*$K2872*$L2872*$M2872</f>
        <v/>
      </c>
      <c r="AC2872" s="13">
        <f>SUMPRODUCT(N2872:Y2872,$N$4:$Y$4)*$K2872*$L2872*$M2872</f>
        <v/>
      </c>
      <c r="AD2872" s="15" t="n">
        <v>1.8</v>
      </c>
      <c r="AE2872" s="11" t="n">
        <v>1.007530864197531</v>
      </c>
      <c r="AF2872" s="16">
        <f>SUMPRODUCT(N2872:Y2872,$N$5:$Y$5)*$K2872*$L2872*$M2872</f>
        <v/>
      </c>
      <c r="AG2872" s="16">
        <f>SUMPRODUCT(N2872:Y2872,$N$6:$Y$6)*$K2872*$L2872*$M2872</f>
        <v/>
      </c>
      <c r="AH2872" s="20" t="n"/>
    </row>
    <row r="2873">
      <c r="A2873" s="9" t="n">
        <v>699703</v>
      </c>
      <c r="B2873" s="9" t="inlineStr">
        <is>
          <t>Saul Teran</t>
        </is>
      </c>
      <c r="C2873" s="9" t="inlineStr">
        <is>
          <t>PHI</t>
        </is>
      </c>
      <c r="D2873" s="9" t="n">
        <v>25</v>
      </c>
      <c r="E2873" s="18" t="inlineStr">
        <is>
          <t>R</t>
        </is>
      </c>
      <c r="F2873" s="18" t="n"/>
      <c r="G2873" s="9" t="n">
        <v>60.2</v>
      </c>
      <c r="H2873" s="9" t="n">
        <v>60.2</v>
      </c>
      <c r="I2873" s="9" t="inlineStr">
        <is>
          <t>Depth (no MLB IP)</t>
        </is>
      </c>
      <c r="J2873" s="18" t="inlineStr">
        <is>
          <t>Opening Day</t>
        </is>
      </c>
      <c r="K2873" s="11">
        <f>IFERROR(INDEX(Roles!$B$17:$B$20,MATCH(J2873,Roles!$A$17:$A$20,0)),1)</f>
        <v/>
      </c>
      <c r="L2873" s="19" t="n">
        <v>1</v>
      </c>
      <c r="M2873" s="11" t="n">
        <v>1</v>
      </c>
      <c r="N2873" s="19" t="n"/>
      <c r="O2873" s="19" t="n"/>
      <c r="P2873" s="19" t="n"/>
      <c r="Q2873" s="19" t="n"/>
      <c r="R2873" s="19" t="n"/>
      <c r="S2873" s="19" t="n"/>
      <c r="T2873" s="19" t="n"/>
      <c r="U2873" s="19" t="n"/>
      <c r="V2873" s="19" t="n"/>
      <c r="W2873" s="19" t="n"/>
      <c r="X2873" s="19" t="n"/>
      <c r="Y2873" s="19" t="n">
        <v>1</v>
      </c>
      <c r="Z2873" s="13">
        <f>SUMPRODUCT(N2873:Y2873,$N$2:$Y$2)*$K2873*$L2873*$M2873</f>
        <v/>
      </c>
      <c r="AA2873" s="14">
        <f>SUM(N2873:Y2873)</f>
        <v/>
      </c>
      <c r="AB2873" s="13">
        <f>SUMPRODUCT(N2873:Y2873,$N$3:$Y$3)*$K2873*$L2873*$M2873</f>
        <v/>
      </c>
      <c r="AC2873" s="13">
        <f>SUMPRODUCT(N2873:Y2873,$N$4:$Y$4)*$K2873*$L2873*$M2873</f>
        <v/>
      </c>
      <c r="AD2873" s="15" t="n">
        <v>3</v>
      </c>
      <c r="AE2873" s="11" t="n">
        <v>1.011296296296296</v>
      </c>
      <c r="AF2873" s="16">
        <f>SUMPRODUCT(N2873:Y2873,$N$5:$Y$5)*$K2873*$L2873*$M2873</f>
        <v/>
      </c>
      <c r="AG2873" s="16">
        <f>SUMPRODUCT(N2873:Y2873,$N$6:$Y$6)*$K2873*$L2873*$M2873</f>
        <v/>
      </c>
      <c r="AH2873" s="20" t="n"/>
    </row>
    <row r="2874">
      <c r="A2874" s="9" t="n">
        <v>701487</v>
      </c>
      <c r="B2874" s="9" t="inlineStr">
        <is>
          <t>Pierson Ohl</t>
        </is>
      </c>
      <c r="C2874" s="9" t="inlineStr">
        <is>
          <t>MIN</t>
        </is>
      </c>
      <c r="D2874" s="9" t="n">
        <v>27</v>
      </c>
      <c r="E2874" s="18" t="inlineStr">
        <is>
          <t>R</t>
        </is>
      </c>
      <c r="F2874" s="18" t="n"/>
      <c r="G2874" s="9" t="n">
        <v>133</v>
      </c>
      <c r="H2874" s="9" t="n">
        <v>133</v>
      </c>
      <c r="I2874" s="9" t="inlineStr">
        <is>
          <t>Bullpen Depth Arm</t>
        </is>
      </c>
      <c r="J2874" s="18" t="inlineStr">
        <is>
          <t>Opening Day</t>
        </is>
      </c>
      <c r="K2874" s="11">
        <f>IFERROR(INDEX(Roles!$B$17:$B$20,MATCH(J2874,Roles!$A$17:$A$20,0)),1)</f>
        <v/>
      </c>
      <c r="L2874" s="19" t="n">
        <v>1</v>
      </c>
      <c r="M2874" s="11" t="n">
        <v>1</v>
      </c>
      <c r="N2874" s="19" t="n"/>
      <c r="O2874" s="19" t="n"/>
      <c r="P2874" s="19" t="n"/>
      <c r="Q2874" s="19" t="n"/>
      <c r="R2874" s="19" t="n"/>
      <c r="S2874" s="19" t="n"/>
      <c r="T2874" s="19" t="n"/>
      <c r="U2874" s="19" t="n"/>
      <c r="V2874" s="19" t="n">
        <v>0.15</v>
      </c>
      <c r="W2874" s="19" t="n">
        <v>0.85</v>
      </c>
      <c r="X2874" s="19" t="n"/>
      <c r="Y2874" s="19" t="n"/>
      <c r="Z2874" s="13">
        <f>SUMPRODUCT(N2874:Y2874,$N$2:$Y$2)*$K2874*$L2874*$M2874</f>
        <v/>
      </c>
      <c r="AA2874" s="14">
        <f>SUM(N2874:Y2874)</f>
        <v/>
      </c>
      <c r="AB2874" s="13">
        <f>SUMPRODUCT(N2874:Y2874,$N$3:$Y$3)*$K2874*$L2874*$M2874</f>
        <v/>
      </c>
      <c r="AC2874" s="13">
        <f>SUMPRODUCT(N2874:Y2874,$N$4:$Y$4)*$K2874*$L2874*$M2874</f>
        <v/>
      </c>
      <c r="AD2874" s="15" t="n">
        <v>14.06666666666667</v>
      </c>
      <c r="AE2874" s="11" t="n">
        <v>1.515792849126183</v>
      </c>
      <c r="AF2874" s="16">
        <f>SUMPRODUCT(N2874:Y2874,$N$5:$Y$5)*$K2874*$L2874*$M2874</f>
        <v/>
      </c>
      <c r="AG2874" s="16">
        <f>SUMPRODUCT(N2874:Y2874,$N$6:$Y$6)*$K2874*$L2874*$M2874</f>
        <v/>
      </c>
      <c r="AH2874" s="20" t="n"/>
    </row>
    <row r="2875">
      <c r="A2875" s="9" t="n">
        <v>663989</v>
      </c>
      <c r="B2875" s="9" t="inlineStr">
        <is>
          <t>Nick Vespi</t>
        </is>
      </c>
      <c r="C2875" s="9" t="inlineStr">
        <is>
          <t>BAL</t>
        </is>
      </c>
      <c r="D2875" s="9" t="n">
        <v>31</v>
      </c>
      <c r="E2875" s="18" t="inlineStr">
        <is>
          <t>L</t>
        </is>
      </c>
      <c r="F2875" s="18" t="n"/>
      <c r="G2875" s="9" t="n">
        <v>49</v>
      </c>
      <c r="H2875" s="9" t="n">
        <v>220</v>
      </c>
      <c r="I2875" s="9" t="inlineStr">
        <is>
          <t>Depth (no MLB IP)</t>
        </is>
      </c>
      <c r="J2875" s="18" t="inlineStr">
        <is>
          <t>Opening Day</t>
        </is>
      </c>
      <c r="K2875" s="11">
        <f>IFERROR(INDEX(Roles!$B$17:$B$20,MATCH(J2875,Roles!$A$17:$A$20,0)),1)</f>
        <v/>
      </c>
      <c r="L2875" s="19" t="n">
        <v>1</v>
      </c>
      <c r="M2875" s="11" t="n">
        <v>1</v>
      </c>
      <c r="N2875" s="19" t="n"/>
      <c r="O2875" s="19" t="n"/>
      <c r="P2875" s="19" t="n"/>
      <c r="Q2875" s="19" t="n"/>
      <c r="R2875" s="19" t="n"/>
      <c r="S2875" s="19" t="n"/>
      <c r="T2875" s="19" t="n"/>
      <c r="U2875" s="19" t="n"/>
      <c r="V2875" s="19" t="n"/>
      <c r="W2875" s="19" t="n"/>
      <c r="X2875" s="19" t="n"/>
      <c r="Y2875" s="19" t="n">
        <v>1</v>
      </c>
      <c r="Z2875" s="13">
        <f>SUMPRODUCT(N2875:Y2875,$N$2:$Y$2)*$K2875*$L2875*$M2875</f>
        <v/>
      </c>
      <c r="AA2875" s="14">
        <f>SUM(N2875:Y2875)</f>
        <v/>
      </c>
      <c r="AB2875" s="13">
        <f>SUMPRODUCT(N2875:Y2875,$N$3:$Y$3)*$K2875*$L2875*$M2875</f>
        <v/>
      </c>
      <c r="AC2875" s="13">
        <f>SUMPRODUCT(N2875:Y2875,$N$4:$Y$4)*$K2875*$L2875*$M2875</f>
        <v/>
      </c>
      <c r="AD2875" s="15" t="n">
        <v>7.8</v>
      </c>
      <c r="AE2875" s="11" t="n">
        <v>1.047934904601571</v>
      </c>
      <c r="AF2875" s="16">
        <f>SUMPRODUCT(N2875:Y2875,$N$5:$Y$5)*$K2875*$L2875*$M2875</f>
        <v/>
      </c>
      <c r="AG2875" s="16">
        <f>SUMPRODUCT(N2875:Y2875,$N$6:$Y$6)*$K2875*$L2875*$M2875</f>
        <v/>
      </c>
      <c r="AH2875" s="20" t="n"/>
    </row>
    <row r="2876">
      <c r="A2876" s="9" t="n">
        <v>805272</v>
      </c>
      <c r="B2876" s="9" t="inlineStr">
        <is>
          <t>Luke Young</t>
        </is>
      </c>
      <c r="C2876" s="9" t="inlineStr">
        <is>
          <t>WSH</t>
        </is>
      </c>
      <c r="D2876" s="9" t="n">
        <v>25</v>
      </c>
      <c r="E2876" s="18" t="inlineStr">
        <is>
          <t>R</t>
        </is>
      </c>
      <c r="F2876" s="18" t="n"/>
      <c r="G2876" s="9" t="n">
        <v>60.70166666666668</v>
      </c>
      <c r="H2876" s="9" t="n">
        <v>60.70166666666668</v>
      </c>
      <c r="I2876" s="9" t="inlineStr">
        <is>
          <t>Depth (no MLB IP)</t>
        </is>
      </c>
      <c r="J2876" s="18" t="inlineStr">
        <is>
          <t>Opening Day</t>
        </is>
      </c>
      <c r="K2876" s="11">
        <f>IFERROR(INDEX(Roles!$B$17:$B$20,MATCH(J2876,Roles!$A$17:$A$20,0)),1)</f>
        <v/>
      </c>
      <c r="L2876" s="19" t="n">
        <v>1</v>
      </c>
      <c r="M2876" s="11" t="n">
        <v>1</v>
      </c>
      <c r="N2876" s="19" t="n"/>
      <c r="O2876" s="19" t="n"/>
      <c r="P2876" s="19" t="n"/>
      <c r="Q2876" s="19" t="n"/>
      <c r="R2876" s="19" t="n"/>
      <c r="S2876" s="19" t="n"/>
      <c r="T2876" s="19" t="n"/>
      <c r="U2876" s="19" t="n"/>
      <c r="V2876" s="19" t="n"/>
      <c r="W2876" s="19" t="n"/>
      <c r="X2876" s="19" t="n"/>
      <c r="Y2876" s="19" t="n">
        <v>1</v>
      </c>
      <c r="Z2876" s="13">
        <f>SUMPRODUCT(N2876:Y2876,$N$2:$Y$2)*$K2876*$L2876*$M2876</f>
        <v/>
      </c>
      <c r="AA2876" s="14">
        <f>SUM(N2876:Y2876)</f>
        <v/>
      </c>
      <c r="AB2876" s="13">
        <f>SUMPRODUCT(N2876:Y2876,$N$3:$Y$3)*$K2876*$L2876*$M2876</f>
        <v/>
      </c>
      <c r="AC2876" s="13">
        <f>SUMPRODUCT(N2876:Y2876,$N$4:$Y$4)*$K2876*$L2876*$M2876</f>
        <v/>
      </c>
      <c r="AD2876" s="15" t="n">
        <v>3</v>
      </c>
      <c r="AE2876" s="11" t="n">
        <v>1.011296296296296</v>
      </c>
      <c r="AF2876" s="16">
        <f>SUMPRODUCT(N2876:Y2876,$N$5:$Y$5)*$K2876*$L2876*$M2876</f>
        <v/>
      </c>
      <c r="AG2876" s="16">
        <f>SUMPRODUCT(N2876:Y2876,$N$6:$Y$6)*$K2876*$L2876*$M2876</f>
        <v/>
      </c>
      <c r="AH2876" s="20" t="n"/>
    </row>
    <row r="2877">
      <c r="A2877" s="9" t="n">
        <v>670245</v>
      </c>
      <c r="B2877" s="9" t="inlineStr">
        <is>
          <t>Ryan Watson</t>
        </is>
      </c>
      <c r="C2877" s="9" t="inlineStr">
        <is>
          <t>LAA</t>
        </is>
      </c>
      <c r="D2877" s="9" t="n">
        <v>29</v>
      </c>
      <c r="E2877" s="18" t="inlineStr">
        <is>
          <t>R</t>
        </is>
      </c>
      <c r="F2877" s="18" t="n"/>
      <c r="G2877" s="9" t="n">
        <v>307</v>
      </c>
      <c r="H2877" s="9" t="n">
        <v>307</v>
      </c>
      <c r="I2877" s="9" t="inlineStr">
        <is>
          <t>Closer</t>
        </is>
      </c>
      <c r="J2877" s="18" t="inlineStr">
        <is>
          <t>Opening Day</t>
        </is>
      </c>
      <c r="K2877" s="11">
        <f>IFERROR(INDEX(Roles!$B$17:$B$20,MATCH(J2877,Roles!$A$17:$A$20,0)),1)</f>
        <v/>
      </c>
      <c r="L2877" s="19" t="n">
        <v>1</v>
      </c>
      <c r="M2877" s="11" t="n">
        <v>1</v>
      </c>
      <c r="N2877" s="19" t="n"/>
      <c r="O2877" s="19" t="n"/>
      <c r="P2877" s="19" t="n"/>
      <c r="Q2877" s="19" t="n"/>
      <c r="R2877" s="19" t="n"/>
      <c r="S2877" s="19" t="n"/>
      <c r="T2877" s="19" t="n">
        <v>0.85</v>
      </c>
      <c r="U2877" s="19" t="n">
        <v>0.15</v>
      </c>
      <c r="V2877" s="19" t="n"/>
      <c r="W2877" s="19" t="n"/>
      <c r="X2877" s="19" t="n"/>
      <c r="Y2877" s="19" t="n"/>
      <c r="Z2877" s="13">
        <f>SUMPRODUCT(N2877:Y2877,$N$2:$Y$2)*$K2877*$L2877*$M2877</f>
        <v/>
      </c>
      <c r="AA2877" s="14">
        <f>SUM(N2877:Y2877)</f>
        <v/>
      </c>
      <c r="AB2877" s="13">
        <f>SUMPRODUCT(N2877:Y2877,$N$3:$Y$3)*$K2877*$L2877*$M2877</f>
        <v/>
      </c>
      <c r="AC2877" s="13">
        <f>SUMPRODUCT(N2877:Y2877,$N$4:$Y$4)*$K2877*$L2877*$M2877</f>
        <v/>
      </c>
      <c r="AD2877" s="15" t="n">
        <v>51.96</v>
      </c>
      <c r="AE2877" s="11" t="n">
        <v>1.121993734247285</v>
      </c>
      <c r="AF2877" s="16">
        <f>SUMPRODUCT(N2877:Y2877,$N$5:$Y$5)*$K2877*$L2877*$M2877</f>
        <v/>
      </c>
      <c r="AG2877" s="16">
        <f>SUMPRODUCT(N2877:Y2877,$N$6:$Y$6)*$K2877*$L2877*$M2877</f>
        <v/>
      </c>
      <c r="AH2877" s="20" t="n"/>
    </row>
    <row r="2878">
      <c r="A2878" s="9" t="n">
        <v>666748</v>
      </c>
      <c r="B2878" s="9" t="inlineStr">
        <is>
          <t>Mitch Neunborn</t>
        </is>
      </c>
      <c r="C2878" s="9" t="inlineStr">
        <is>
          <t>PHI</t>
        </is>
      </c>
      <c r="D2878" s="9" t="n">
        <v>25</v>
      </c>
      <c r="E2878" s="18" t="inlineStr">
        <is>
          <t>R</t>
        </is>
      </c>
      <c r="F2878" s="18" t="n"/>
      <c r="G2878" s="9" t="n">
        <v>60.70166666666668</v>
      </c>
      <c r="H2878" s="9" t="n">
        <v>60.70166666666668</v>
      </c>
      <c r="I2878" s="9" t="inlineStr">
        <is>
          <t>Depth (no MLB IP)</t>
        </is>
      </c>
      <c r="J2878" s="18" t="inlineStr">
        <is>
          <t>Opening Day</t>
        </is>
      </c>
      <c r="K2878" s="11">
        <f>IFERROR(INDEX(Roles!$B$17:$B$20,MATCH(J2878,Roles!$A$17:$A$20,0)),1)</f>
        <v/>
      </c>
      <c r="L2878" s="19" t="n">
        <v>1</v>
      </c>
      <c r="M2878" s="11" t="n">
        <v>1</v>
      </c>
      <c r="N2878" s="19" t="n"/>
      <c r="O2878" s="19" t="n"/>
      <c r="P2878" s="19" t="n"/>
      <c r="Q2878" s="19" t="n"/>
      <c r="R2878" s="19" t="n"/>
      <c r="S2878" s="19" t="n"/>
      <c r="T2878" s="19" t="n"/>
      <c r="U2878" s="19" t="n"/>
      <c r="V2878" s="19" t="n"/>
      <c r="W2878" s="19" t="n"/>
      <c r="X2878" s="19" t="n"/>
      <c r="Y2878" s="19" t="n">
        <v>1</v>
      </c>
      <c r="Z2878" s="13">
        <f>SUMPRODUCT(N2878:Y2878,$N$2:$Y$2)*$K2878*$L2878*$M2878</f>
        <v/>
      </c>
      <c r="AA2878" s="14">
        <f>SUM(N2878:Y2878)</f>
        <v/>
      </c>
      <c r="AB2878" s="13">
        <f>SUMPRODUCT(N2878:Y2878,$N$3:$Y$3)*$K2878*$L2878*$M2878</f>
        <v/>
      </c>
      <c r="AC2878" s="13">
        <f>SUMPRODUCT(N2878:Y2878,$N$4:$Y$4)*$K2878*$L2878*$M2878</f>
        <v/>
      </c>
      <c r="AD2878" s="15" t="n">
        <v>3</v>
      </c>
      <c r="AE2878" s="11" t="n">
        <v>1.011296296296296</v>
      </c>
      <c r="AF2878" s="16">
        <f>SUMPRODUCT(N2878:Y2878,$N$5:$Y$5)*$K2878*$L2878*$M2878</f>
        <v/>
      </c>
      <c r="AG2878" s="16">
        <f>SUMPRODUCT(N2878:Y2878,$N$6:$Y$6)*$K2878*$L2878*$M2878</f>
        <v/>
      </c>
      <c r="AH2878" s="20" t="n"/>
    </row>
    <row r="2879">
      <c r="A2879" s="9" t="n">
        <v>693312</v>
      </c>
      <c r="B2879" s="9" t="inlineStr">
        <is>
          <t>Kyle Nicolas</t>
        </is>
      </c>
      <c r="C2879" s="9" t="inlineStr">
        <is>
          <t>CIN</t>
        </is>
      </c>
      <c r="D2879" s="9" t="n">
        <v>28</v>
      </c>
      <c r="E2879" s="18" t="inlineStr">
        <is>
          <t>R</t>
        </is>
      </c>
      <c r="F2879" s="18" t="n"/>
      <c r="G2879" s="9" t="n">
        <v>42</v>
      </c>
      <c r="H2879" s="9" t="n">
        <v>478</v>
      </c>
      <c r="I2879" s="9" t="inlineStr">
        <is>
          <t>Bullpen Depth Arm</t>
        </is>
      </c>
      <c r="J2879" s="18" t="inlineStr">
        <is>
          <t>Opening Day</t>
        </is>
      </c>
      <c r="K2879" s="11">
        <f>IFERROR(INDEX(Roles!$B$17:$B$20,MATCH(J2879,Roles!$A$17:$A$20,0)),1)</f>
        <v/>
      </c>
      <c r="L2879" s="19" t="n">
        <v>1</v>
      </c>
      <c r="M2879" s="11" t="n">
        <v>1</v>
      </c>
      <c r="N2879" s="19" t="n"/>
      <c r="O2879" s="19" t="n"/>
      <c r="P2879" s="19" t="n"/>
      <c r="Q2879" s="19" t="n"/>
      <c r="R2879" s="19" t="n"/>
      <c r="S2879" s="19" t="n"/>
      <c r="T2879" s="19" t="n"/>
      <c r="U2879" s="19" t="n"/>
      <c r="V2879" s="19" t="n"/>
      <c r="W2879" s="19" t="n">
        <v>1</v>
      </c>
      <c r="X2879" s="19" t="n"/>
      <c r="Y2879" s="19" t="n"/>
      <c r="Z2879" s="13">
        <f>SUMPRODUCT(N2879:Y2879,$N$2:$Y$2)*$K2879*$L2879*$M2879</f>
        <v/>
      </c>
      <c r="AA2879" s="14">
        <f>SUM(N2879:Y2879)</f>
        <v/>
      </c>
      <c r="AB2879" s="13">
        <f>SUMPRODUCT(N2879:Y2879,$N$3:$Y$3)*$K2879*$L2879*$M2879</f>
        <v/>
      </c>
      <c r="AC2879" s="13">
        <f>SUMPRODUCT(N2879:Y2879,$N$4:$Y$4)*$K2879*$L2879*$M2879</f>
        <v/>
      </c>
      <c r="AD2879" s="15" t="n">
        <v>19.06666666666666</v>
      </c>
      <c r="AE2879" s="11" t="n">
        <v>1.18127496236949</v>
      </c>
      <c r="AF2879" s="16">
        <f>SUMPRODUCT(N2879:Y2879,$N$5:$Y$5)*$K2879*$L2879*$M2879</f>
        <v/>
      </c>
      <c r="AG2879" s="16">
        <f>SUMPRODUCT(N2879:Y2879,$N$6:$Y$6)*$K2879*$L2879*$M2879</f>
        <v/>
      </c>
      <c r="AH2879" s="20" t="n"/>
    </row>
    <row r="2880">
      <c r="A2880" s="9" t="n">
        <v>822038</v>
      </c>
      <c r="B2880" s="9" t="inlineStr">
        <is>
          <t>Ryan Lambert</t>
        </is>
      </c>
      <c r="C2880" s="9" t="inlineStr">
        <is>
          <t>NYM</t>
        </is>
      </c>
      <c r="D2880" s="9" t="n">
        <v>25</v>
      </c>
      <c r="E2880" s="18" t="inlineStr">
        <is>
          <t>R</t>
        </is>
      </c>
      <c r="F2880" s="18" t="n"/>
      <c r="G2880" s="9" t="n">
        <v>60.70166666666668</v>
      </c>
      <c r="H2880" s="9" t="n">
        <v>60.70166666666668</v>
      </c>
      <c r="I2880" s="9" t="inlineStr">
        <is>
          <t>Depth (no MLB IP)</t>
        </is>
      </c>
      <c r="J2880" s="18" t="inlineStr">
        <is>
          <t>Opening Day</t>
        </is>
      </c>
      <c r="K2880" s="11">
        <f>IFERROR(INDEX(Roles!$B$17:$B$20,MATCH(J2880,Roles!$A$17:$A$20,0)),1)</f>
        <v/>
      </c>
      <c r="L2880" s="19" t="n">
        <v>1</v>
      </c>
      <c r="M2880" s="11" t="n">
        <v>1</v>
      </c>
      <c r="N2880" s="19" t="n"/>
      <c r="O2880" s="19" t="n"/>
      <c r="P2880" s="19" t="n"/>
      <c r="Q2880" s="19" t="n"/>
      <c r="R2880" s="19" t="n"/>
      <c r="S2880" s="19" t="n"/>
      <c r="T2880" s="19" t="n"/>
      <c r="U2880" s="19" t="n"/>
      <c r="V2880" s="19" t="n"/>
      <c r="W2880" s="19" t="n"/>
      <c r="X2880" s="19" t="n"/>
      <c r="Y2880" s="19" t="n">
        <v>1</v>
      </c>
      <c r="Z2880" s="13">
        <f>SUMPRODUCT(N2880:Y2880,$N$2:$Y$2)*$K2880*$L2880*$M2880</f>
        <v/>
      </c>
      <c r="AA2880" s="14">
        <f>SUM(N2880:Y2880)</f>
        <v/>
      </c>
      <c r="AB2880" s="13">
        <f>SUMPRODUCT(N2880:Y2880,$N$3:$Y$3)*$K2880*$L2880*$M2880</f>
        <v/>
      </c>
      <c r="AC2880" s="13">
        <f>SUMPRODUCT(N2880:Y2880,$N$4:$Y$4)*$K2880*$L2880*$M2880</f>
        <v/>
      </c>
      <c r="AD2880" s="15" t="n">
        <v>3</v>
      </c>
      <c r="AE2880" s="11" t="n">
        <v>1.011296296296296</v>
      </c>
      <c r="AF2880" s="16">
        <f>SUMPRODUCT(N2880:Y2880,$N$5:$Y$5)*$K2880*$L2880*$M2880</f>
        <v/>
      </c>
      <c r="AG2880" s="16">
        <f>SUMPRODUCT(N2880:Y2880,$N$6:$Y$6)*$K2880*$L2880*$M2880</f>
        <v/>
      </c>
      <c r="AH2880" s="20" t="n"/>
    </row>
    <row r="2881">
      <c r="A2881" s="9" t="n">
        <v>807549</v>
      </c>
      <c r="B2881" s="9" t="inlineStr">
        <is>
          <t>Ty Van Dyke</t>
        </is>
      </c>
      <c r="C2881" s="9" t="inlineStr">
        <is>
          <t>STL</t>
        </is>
      </c>
      <c r="D2881" s="9" t="n">
        <v>25</v>
      </c>
      <c r="E2881" s="18" t="inlineStr">
        <is>
          <t>R</t>
        </is>
      </c>
      <c r="F2881" s="18" t="n"/>
      <c r="G2881" s="9" t="n">
        <v>60.77333333333334</v>
      </c>
      <c r="H2881" s="9" t="n">
        <v>60.77333333333334</v>
      </c>
      <c r="I2881" s="9" t="inlineStr">
        <is>
          <t>Depth (no MLB IP)</t>
        </is>
      </c>
      <c r="J2881" s="18" t="inlineStr">
        <is>
          <t>Opening Day</t>
        </is>
      </c>
      <c r="K2881" s="11">
        <f>IFERROR(INDEX(Roles!$B$17:$B$20,MATCH(J2881,Roles!$A$17:$A$20,0)),1)</f>
        <v/>
      </c>
      <c r="L2881" s="19" t="n">
        <v>1</v>
      </c>
      <c r="M2881" s="11" t="n">
        <v>1</v>
      </c>
      <c r="N2881" s="19" t="n"/>
      <c r="O2881" s="19" t="n"/>
      <c r="P2881" s="19" t="n"/>
      <c r="Q2881" s="19" t="n"/>
      <c r="R2881" s="19" t="n"/>
      <c r="S2881" s="19" t="n"/>
      <c r="T2881" s="19" t="n"/>
      <c r="U2881" s="19" t="n"/>
      <c r="V2881" s="19" t="n"/>
      <c r="W2881" s="19" t="n"/>
      <c r="X2881" s="19" t="n"/>
      <c r="Y2881" s="19" t="n">
        <v>1</v>
      </c>
      <c r="Z2881" s="13">
        <f>SUMPRODUCT(N2881:Y2881,$N$2:$Y$2)*$K2881*$L2881*$M2881</f>
        <v/>
      </c>
      <c r="AA2881" s="14">
        <f>SUM(N2881:Y2881)</f>
        <v/>
      </c>
      <c r="AB2881" s="13">
        <f>SUMPRODUCT(N2881:Y2881,$N$3:$Y$3)*$K2881*$L2881*$M2881</f>
        <v/>
      </c>
      <c r="AC2881" s="13">
        <f>SUMPRODUCT(N2881:Y2881,$N$4:$Y$4)*$K2881*$L2881*$M2881</f>
        <v/>
      </c>
      <c r="AD2881" s="15" t="n">
        <v>3</v>
      </c>
      <c r="AE2881" s="11" t="n">
        <v>1.011296296296296</v>
      </c>
      <c r="AF2881" s="16">
        <f>SUMPRODUCT(N2881:Y2881,$N$5:$Y$5)*$K2881*$L2881*$M2881</f>
        <v/>
      </c>
      <c r="AG2881" s="16">
        <f>SUMPRODUCT(N2881:Y2881,$N$6:$Y$6)*$K2881*$L2881*$M2881</f>
        <v/>
      </c>
      <c r="AH2881" s="20" t="n"/>
    </row>
    <row r="2882">
      <c r="A2882" s="9" t="n">
        <v>681402</v>
      </c>
      <c r="B2882" s="9" t="inlineStr">
        <is>
          <t>Gus Varland</t>
        </is>
      </c>
      <c r="C2882" s="9" t="inlineStr">
        <is>
          <t>WSH</t>
        </is>
      </c>
      <c r="D2882" s="9" t="n">
        <v>30</v>
      </c>
      <c r="E2882" s="18" t="inlineStr">
        <is>
          <t>R</t>
        </is>
      </c>
      <c r="F2882" s="18" t="n"/>
      <c r="G2882" s="9" t="n">
        <v>155</v>
      </c>
      <c r="H2882" s="9" t="n">
        <v>373</v>
      </c>
      <c r="I2882" s="9" t="inlineStr">
        <is>
          <t>Bullpen Depth Arm</t>
        </is>
      </c>
      <c r="J2882" s="18" t="inlineStr">
        <is>
          <t>Opening Day</t>
        </is>
      </c>
      <c r="K2882" s="11">
        <f>IFERROR(INDEX(Roles!$B$17:$B$20,MATCH(J2882,Roles!$A$17:$A$20,0)),1)</f>
        <v/>
      </c>
      <c r="L2882" s="19" t="n">
        <v>1</v>
      </c>
      <c r="M2882" s="11" t="n">
        <v>1</v>
      </c>
      <c r="N2882" s="19" t="n"/>
      <c r="O2882" s="19" t="n"/>
      <c r="P2882" s="19" t="n"/>
      <c r="Q2882" s="19" t="n"/>
      <c r="R2882" s="19" t="n"/>
      <c r="S2882" s="19" t="n"/>
      <c r="T2882" s="19" t="n"/>
      <c r="U2882" s="19" t="n"/>
      <c r="V2882" s="19" t="n">
        <v>0.15</v>
      </c>
      <c r="W2882" s="19" t="n">
        <v>0.85</v>
      </c>
      <c r="X2882" s="19" t="n"/>
      <c r="Y2882" s="19" t="n"/>
      <c r="Z2882" s="13">
        <f>SUMPRODUCT(N2882:Y2882,$N$2:$Y$2)*$K2882*$L2882*$M2882</f>
        <v/>
      </c>
      <c r="AA2882" s="14">
        <f>SUM(N2882:Y2882)</f>
        <v/>
      </c>
      <c r="AB2882" s="13">
        <f>SUMPRODUCT(N2882:Y2882,$N$3:$Y$3)*$K2882*$L2882*$M2882</f>
        <v/>
      </c>
      <c r="AC2882" s="13">
        <f>SUMPRODUCT(N2882:Y2882,$N$4:$Y$4)*$K2882*$L2882*$M2882</f>
        <v/>
      </c>
      <c r="AD2882" s="15" t="n">
        <v>24.86666666666667</v>
      </c>
      <c r="AE2882" s="11" t="n">
        <v>1.127896023729357</v>
      </c>
      <c r="AF2882" s="16">
        <f>SUMPRODUCT(N2882:Y2882,$N$5:$Y$5)*$K2882*$L2882*$M2882</f>
        <v/>
      </c>
      <c r="AG2882" s="16">
        <f>SUMPRODUCT(N2882:Y2882,$N$6:$Y$6)*$K2882*$L2882*$M2882</f>
        <v/>
      </c>
      <c r="AH2882" s="20" t="n"/>
    </row>
    <row r="2883">
      <c r="A2883" s="9" t="n">
        <v>686560</v>
      </c>
      <c r="B2883" s="9" t="inlineStr">
        <is>
          <t>Gavin Collyer</t>
        </is>
      </c>
      <c r="C2883" s="9" t="inlineStr">
        <is>
          <t>TEX</t>
        </is>
      </c>
      <c r="D2883" s="9" t="n">
        <v>26</v>
      </c>
      <c r="E2883" s="18" t="inlineStr">
        <is>
          <t>R</t>
        </is>
      </c>
      <c r="F2883" s="18" t="n"/>
      <c r="G2883" s="9" t="n">
        <v>113</v>
      </c>
      <c r="H2883" s="9" t="n">
        <v>113</v>
      </c>
      <c r="I2883" s="9" t="inlineStr">
        <is>
          <t>Bullpen Depth Arm</t>
        </is>
      </c>
      <c r="J2883" s="18" t="inlineStr">
        <is>
          <t>Opening Day</t>
        </is>
      </c>
      <c r="K2883" s="11">
        <f>IFERROR(INDEX(Roles!$B$17:$B$20,MATCH(J2883,Roles!$A$17:$A$20,0)),1)</f>
        <v/>
      </c>
      <c r="L2883" s="19" t="n">
        <v>1</v>
      </c>
      <c r="M2883" s="11" t="n">
        <v>1</v>
      </c>
      <c r="N2883" s="19" t="n"/>
      <c r="O2883" s="19" t="n"/>
      <c r="P2883" s="19" t="n"/>
      <c r="Q2883" s="19" t="n"/>
      <c r="R2883" s="19" t="n"/>
      <c r="S2883" s="19" t="n"/>
      <c r="T2883" s="19" t="n"/>
      <c r="U2883" s="19" t="n"/>
      <c r="V2883" s="19" t="n"/>
      <c r="W2883" s="19" t="n">
        <v>1</v>
      </c>
      <c r="X2883" s="19" t="n"/>
      <c r="Y2883" s="19" t="n"/>
      <c r="Z2883" s="13">
        <f>SUMPRODUCT(N2883:Y2883,$N$2:$Y$2)*$K2883*$L2883*$M2883</f>
        <v/>
      </c>
      <c r="AA2883" s="14">
        <f>SUM(N2883:Y2883)</f>
        <v/>
      </c>
      <c r="AB2883" s="13">
        <f>SUMPRODUCT(N2883:Y2883,$N$3:$Y$3)*$K2883*$L2883*$M2883</f>
        <v/>
      </c>
      <c r="AC2883" s="13">
        <f>SUMPRODUCT(N2883:Y2883,$N$4:$Y$4)*$K2883*$L2883*$M2883</f>
        <v/>
      </c>
      <c r="AD2883" s="15" t="n">
        <v>20.06666666666666</v>
      </c>
      <c r="AE2883" s="11" t="n">
        <v>1.14872935706269</v>
      </c>
      <c r="AF2883" s="16">
        <f>SUMPRODUCT(N2883:Y2883,$N$5:$Y$5)*$K2883*$L2883*$M2883</f>
        <v/>
      </c>
      <c r="AG2883" s="16">
        <f>SUMPRODUCT(N2883:Y2883,$N$6:$Y$6)*$K2883*$L2883*$M2883</f>
        <v/>
      </c>
      <c r="AH2883" s="20" t="n"/>
    </row>
    <row r="2884">
      <c r="A2884" s="9" t="n">
        <v>695239</v>
      </c>
      <c r="B2884" s="9" t="inlineStr">
        <is>
          <t>Robby Ahlstrom</t>
        </is>
      </c>
      <c r="C2884" s="9" t="inlineStr">
        <is>
          <t>TEX</t>
        </is>
      </c>
      <c r="D2884" s="9" t="n">
        <v>28</v>
      </c>
      <c r="E2884" s="18" t="inlineStr">
        <is>
          <t>L</t>
        </is>
      </c>
      <c r="F2884" s="18" t="n"/>
      <c r="G2884" s="9" t="n">
        <v>164</v>
      </c>
      <c r="H2884" s="9" t="n">
        <v>164</v>
      </c>
      <c r="I2884" s="9" t="inlineStr">
        <is>
          <t>Middle Relief</t>
        </is>
      </c>
      <c r="J2884" s="18" t="inlineStr">
        <is>
          <t>Opening Day</t>
        </is>
      </c>
      <c r="K2884" s="11">
        <f>IFERROR(INDEX(Roles!$B$17:$B$20,MATCH(J2884,Roles!$A$17:$A$20,0)),1)</f>
        <v/>
      </c>
      <c r="L2884" s="19" t="n">
        <v>1</v>
      </c>
      <c r="M2884" s="11" t="n">
        <v>1</v>
      </c>
      <c r="N2884" s="19" t="n"/>
      <c r="O2884" s="19" t="n"/>
      <c r="P2884" s="19" t="n"/>
      <c r="Q2884" s="19" t="n"/>
      <c r="R2884" s="19" t="n"/>
      <c r="S2884" s="19" t="n"/>
      <c r="T2884" s="19" t="n"/>
      <c r="U2884" s="19" t="n"/>
      <c r="V2884" s="19" t="n">
        <v>0.6</v>
      </c>
      <c r="W2884" s="19" t="n">
        <v>0.4</v>
      </c>
      <c r="X2884" s="19" t="n"/>
      <c r="Y2884" s="19" t="n"/>
      <c r="Z2884" s="13">
        <f>SUMPRODUCT(N2884:Y2884,$N$2:$Y$2)*$K2884*$L2884*$M2884</f>
        <v/>
      </c>
      <c r="AA2884" s="14">
        <f>SUM(N2884:Y2884)</f>
        <v/>
      </c>
      <c r="AB2884" s="13">
        <f>SUMPRODUCT(N2884:Y2884,$N$3:$Y$3)*$K2884*$L2884*$M2884</f>
        <v/>
      </c>
      <c r="AC2884" s="13">
        <f>SUMPRODUCT(N2884:Y2884,$N$4:$Y$4)*$K2884*$L2884*$M2884</f>
        <v/>
      </c>
      <c r="AD2884" s="15" t="n">
        <v>39.93333333333333</v>
      </c>
      <c r="AE2884" s="11" t="n">
        <v>0.9827945584262072</v>
      </c>
      <c r="AF2884" s="16">
        <f>SUMPRODUCT(N2884:Y2884,$N$5:$Y$5)*$K2884*$L2884*$M2884</f>
        <v/>
      </c>
      <c r="AG2884" s="16">
        <f>SUMPRODUCT(N2884:Y2884,$N$6:$Y$6)*$K2884*$L2884*$M2884</f>
        <v/>
      </c>
      <c r="AH2884" s="20" t="n"/>
    </row>
    <row r="2885">
      <c r="A2885" s="9" t="n">
        <v>622268</v>
      </c>
      <c r="B2885" s="9" t="inlineStr">
        <is>
          <t>Donovan Walton</t>
        </is>
      </c>
      <c r="C2885" s="9" t="inlineStr">
        <is>
          <t>SF</t>
        </is>
      </c>
      <c r="D2885" s="9" t="n">
        <v>33</v>
      </c>
      <c r="E2885" s="18" t="inlineStr">
        <is>
          <t>R</t>
        </is>
      </c>
      <c r="F2885" s="18" t="n"/>
      <c r="G2885" s="9" t="n">
        <v>5</v>
      </c>
      <c r="H2885" s="9" t="n">
        <v>12</v>
      </c>
      <c r="I2885" s="9" t="inlineStr">
        <is>
          <t>Depth (no MLB IP)</t>
        </is>
      </c>
      <c r="J2885" s="18" t="inlineStr">
        <is>
          <t>Opening Day</t>
        </is>
      </c>
      <c r="K2885" s="11">
        <f>IFERROR(INDEX(Roles!$B$17:$B$20,MATCH(J2885,Roles!$A$17:$A$20,0)),1)</f>
        <v/>
      </c>
      <c r="L2885" s="19" t="n">
        <v>1</v>
      </c>
      <c r="M2885" s="11" t="n">
        <v>1</v>
      </c>
      <c r="N2885" s="19" t="n"/>
      <c r="O2885" s="19" t="n"/>
      <c r="P2885" s="19" t="n"/>
      <c r="Q2885" s="19" t="n"/>
      <c r="R2885" s="19" t="n"/>
      <c r="S2885" s="19" t="n"/>
      <c r="T2885" s="19" t="n"/>
      <c r="U2885" s="19" t="n"/>
      <c r="V2885" s="19" t="n"/>
      <c r="W2885" s="19" t="n"/>
      <c r="X2885" s="19" t="n"/>
      <c r="Y2885" s="19" t="n">
        <v>1</v>
      </c>
      <c r="Z2885" s="13">
        <f>SUMPRODUCT(N2885:Y2885,$N$2:$Y$2)*$K2885*$L2885*$M2885</f>
        <v/>
      </c>
      <c r="AA2885" s="14">
        <f>SUM(N2885:Y2885)</f>
        <v/>
      </c>
      <c r="AB2885" s="13">
        <f>SUMPRODUCT(N2885:Y2885,$N$3:$Y$3)*$K2885*$L2885*$M2885</f>
        <v/>
      </c>
      <c r="AC2885" s="13">
        <f>SUMPRODUCT(N2885:Y2885,$N$4:$Y$4)*$K2885*$L2885*$M2885</f>
        <v/>
      </c>
      <c r="AD2885" s="15" t="n">
        <v>1.8</v>
      </c>
      <c r="AE2885" s="11" t="n">
        <v>1.007530864197531</v>
      </c>
      <c r="AF2885" s="16">
        <f>SUMPRODUCT(N2885:Y2885,$N$5:$Y$5)*$K2885*$L2885*$M2885</f>
        <v/>
      </c>
      <c r="AG2885" s="16">
        <f>SUMPRODUCT(N2885:Y2885,$N$6:$Y$6)*$K2885*$L2885*$M2885</f>
        <v/>
      </c>
      <c r="AH2885" s="20" t="n"/>
    </row>
    <row r="2886">
      <c r="A2886" s="9" t="n">
        <v>815063</v>
      </c>
      <c r="B2886" s="9" t="inlineStr">
        <is>
          <t>Aidan Haugh</t>
        </is>
      </c>
      <c r="C2886" s="9" t="inlineStr">
        <is>
          <t>TB</t>
        </is>
      </c>
      <c r="D2886" s="9" t="n">
        <v>25</v>
      </c>
      <c r="E2886" s="18" t="inlineStr">
        <is>
          <t>R</t>
        </is>
      </c>
      <c r="F2886" s="18" t="n"/>
      <c r="G2886" s="9" t="n">
        <v>61.06</v>
      </c>
      <c r="H2886" s="9" t="n">
        <v>61.06</v>
      </c>
      <c r="I2886" s="9" t="inlineStr">
        <is>
          <t>Depth (no MLB IP)</t>
        </is>
      </c>
      <c r="J2886" s="18" t="inlineStr">
        <is>
          <t>Opening Day</t>
        </is>
      </c>
      <c r="K2886" s="11">
        <f>IFERROR(INDEX(Roles!$B$17:$B$20,MATCH(J2886,Roles!$A$17:$A$20,0)),1)</f>
        <v/>
      </c>
      <c r="L2886" s="19" t="n">
        <v>1</v>
      </c>
      <c r="M2886" s="11" t="n">
        <v>1</v>
      </c>
      <c r="N2886" s="19" t="n"/>
      <c r="O2886" s="19" t="n"/>
      <c r="P2886" s="19" t="n"/>
      <c r="Q2886" s="19" t="n"/>
      <c r="R2886" s="19" t="n"/>
      <c r="S2886" s="19" t="n"/>
      <c r="T2886" s="19" t="n"/>
      <c r="U2886" s="19" t="n"/>
      <c r="V2886" s="19" t="n"/>
      <c r="W2886" s="19" t="n"/>
      <c r="X2886" s="19" t="n"/>
      <c r="Y2886" s="19" t="n">
        <v>1</v>
      </c>
      <c r="Z2886" s="13">
        <f>SUMPRODUCT(N2886:Y2886,$N$2:$Y$2)*$K2886*$L2886*$M2886</f>
        <v/>
      </c>
      <c r="AA2886" s="14">
        <f>SUM(N2886:Y2886)</f>
        <v/>
      </c>
      <c r="AB2886" s="13">
        <f>SUMPRODUCT(N2886:Y2886,$N$3:$Y$3)*$K2886*$L2886*$M2886</f>
        <v/>
      </c>
      <c r="AC2886" s="13">
        <f>SUMPRODUCT(N2886:Y2886,$N$4:$Y$4)*$K2886*$L2886*$M2886</f>
        <v/>
      </c>
      <c r="AD2886" s="15" t="n">
        <v>3</v>
      </c>
      <c r="AE2886" s="11" t="n">
        <v>1.011296296296296</v>
      </c>
      <c r="AF2886" s="16">
        <f>SUMPRODUCT(N2886:Y2886,$N$5:$Y$5)*$K2886*$L2886*$M2886</f>
        <v/>
      </c>
      <c r="AG2886" s="16">
        <f>SUMPRODUCT(N2886:Y2886,$N$6:$Y$6)*$K2886*$L2886*$M2886</f>
        <v/>
      </c>
      <c r="AH2886" s="20" t="n"/>
    </row>
    <row r="2887">
      <c r="A2887" s="9" t="n">
        <v>700249</v>
      </c>
      <c r="B2887" s="9" t="inlineStr">
        <is>
          <t>Cade Povich</t>
        </is>
      </c>
      <c r="C2887" s="9" t="inlineStr">
        <is>
          <t>BAL</t>
        </is>
      </c>
      <c r="D2887" s="9" t="n">
        <v>27</v>
      </c>
      <c r="E2887" s="18" t="inlineStr">
        <is>
          <t>L</t>
        </is>
      </c>
      <c r="F2887" s="18" t="n"/>
      <c r="G2887" s="9" t="n">
        <v>160</v>
      </c>
      <c r="H2887" s="9" t="n">
        <v>1000</v>
      </c>
      <c r="I2887" s="9" t="inlineStr">
        <is>
          <t>End-of-Rotation Starter (SP4-5)</t>
        </is>
      </c>
      <c r="J2887" s="18" t="inlineStr">
        <is>
          <t>Opening Day</t>
        </is>
      </c>
      <c r="K2887" s="11">
        <f>IFERROR(INDEX(Roles!$B$17:$B$20,MATCH(J2887,Roles!$A$17:$A$20,0)),1)</f>
        <v/>
      </c>
      <c r="L2887" s="19" t="n">
        <v>1</v>
      </c>
      <c r="M2887" s="11" t="n">
        <v>1</v>
      </c>
      <c r="N2887" s="19" t="n"/>
      <c r="O2887" s="19" t="n"/>
      <c r="P2887" s="19" t="n">
        <v>1</v>
      </c>
      <c r="Q2887" s="19" t="n"/>
      <c r="R2887" s="19" t="n"/>
      <c r="S2887" s="19" t="n"/>
      <c r="T2887" s="19" t="n"/>
      <c r="U2887" s="19" t="n"/>
      <c r="V2887" s="19" t="n"/>
      <c r="W2887" s="19" t="n"/>
      <c r="X2887" s="19" t="n"/>
      <c r="Y2887" s="19" t="n"/>
      <c r="Z2887" s="13">
        <f>SUMPRODUCT(N2887:Y2887,$N$2:$Y$2)*$K2887*$L2887*$M2887</f>
        <v/>
      </c>
      <c r="AA2887" s="14">
        <f>SUM(N2887:Y2887)</f>
        <v/>
      </c>
      <c r="AB2887" s="13">
        <f>SUMPRODUCT(N2887:Y2887,$N$3:$Y$3)*$K2887*$L2887*$M2887</f>
        <v/>
      </c>
      <c r="AC2887" s="13">
        <f>SUMPRODUCT(N2887:Y2887,$N$4:$Y$4)*$K2887*$L2887*$M2887</f>
        <v/>
      </c>
      <c r="AD2887" s="15" t="n">
        <v>14.8</v>
      </c>
      <c r="AE2887" s="11" t="n">
        <v>4.685185185185185</v>
      </c>
      <c r="AF2887" s="16">
        <f>SUMPRODUCT(N2887:Y2887,$N$5:$Y$5)*$K2887*$L2887*$M2887</f>
        <v/>
      </c>
      <c r="AG2887" s="16">
        <f>SUMPRODUCT(N2887:Y2887,$N$6:$Y$6)*$K2887*$L2887*$M2887</f>
        <v/>
      </c>
      <c r="AH2887" s="20" t="n"/>
    </row>
    <row r="2888">
      <c r="A2888" s="9" t="n">
        <v>682073</v>
      </c>
      <c r="B2888" s="9" t="inlineStr">
        <is>
          <t>David Hensley</t>
        </is>
      </c>
      <c r="C2888" s="9" t="inlineStr">
        <is>
          <t>MIA</t>
        </is>
      </c>
      <c r="D2888" s="9" t="n">
        <v>31</v>
      </c>
      <c r="E2888" s="18" t="inlineStr">
        <is>
          <t>R</t>
        </is>
      </c>
      <c r="F2888" s="18" t="n"/>
      <c r="G2888" s="9" t="n">
        <v>10</v>
      </c>
      <c r="H2888" s="9" t="n">
        <v>10</v>
      </c>
      <c r="I2888" s="9" t="inlineStr">
        <is>
          <t>Depth (no MLB IP)</t>
        </is>
      </c>
      <c r="J2888" s="18" t="inlineStr">
        <is>
          <t>Opening Day</t>
        </is>
      </c>
      <c r="K2888" s="11">
        <f>IFERROR(INDEX(Roles!$B$17:$B$20,MATCH(J2888,Roles!$A$17:$A$20,0)),1)</f>
        <v/>
      </c>
      <c r="L2888" s="19" t="n">
        <v>1</v>
      </c>
      <c r="M2888" s="11" t="n">
        <v>1</v>
      </c>
      <c r="N2888" s="19" t="n"/>
      <c r="O2888" s="19" t="n"/>
      <c r="P2888" s="19" t="n"/>
      <c r="Q2888" s="19" t="n"/>
      <c r="R2888" s="19" t="n"/>
      <c r="S2888" s="19" t="n"/>
      <c r="T2888" s="19" t="n"/>
      <c r="U2888" s="19" t="n"/>
      <c r="V2888" s="19" t="n"/>
      <c r="W2888" s="19" t="n"/>
      <c r="X2888" s="19" t="n"/>
      <c r="Y2888" s="19" t="n">
        <v>1</v>
      </c>
      <c r="Z2888" s="13">
        <f>SUMPRODUCT(N2888:Y2888,$N$2:$Y$2)*$K2888*$L2888*$M2888</f>
        <v/>
      </c>
      <c r="AA2888" s="14">
        <f>SUM(N2888:Y2888)</f>
        <v/>
      </c>
      <c r="AB2888" s="13">
        <f>SUMPRODUCT(N2888:Y2888,$N$3:$Y$3)*$K2888*$L2888*$M2888</f>
        <v/>
      </c>
      <c r="AC2888" s="13">
        <f>SUMPRODUCT(N2888:Y2888,$N$4:$Y$4)*$K2888*$L2888*$M2888</f>
        <v/>
      </c>
      <c r="AD2888" s="15" t="n">
        <v>1.8</v>
      </c>
      <c r="AE2888" s="11" t="n">
        <v>1.340864197530864</v>
      </c>
      <c r="AF2888" s="16">
        <f>SUMPRODUCT(N2888:Y2888,$N$5:$Y$5)*$K2888*$L2888*$M2888</f>
        <v/>
      </c>
      <c r="AG2888" s="16">
        <f>SUMPRODUCT(N2888:Y2888,$N$6:$Y$6)*$K2888*$L2888*$M2888</f>
        <v/>
      </c>
      <c r="AH2888" s="20" t="n"/>
    </row>
    <row r="2889">
      <c r="A2889" s="9" t="n">
        <v>826315</v>
      </c>
      <c r="B2889" s="9" t="inlineStr">
        <is>
          <t>Cole Hertzler</t>
        </is>
      </c>
      <c r="C2889" s="9" t="inlineStr">
        <is>
          <t>HOU</t>
        </is>
      </c>
      <c r="D2889" s="9" t="n">
        <v>25</v>
      </c>
      <c r="E2889" s="18" t="inlineStr">
        <is>
          <t>R</t>
        </is>
      </c>
      <c r="F2889" s="18" t="n"/>
      <c r="G2889" s="9" t="n">
        <v>61.20333333333332</v>
      </c>
      <c r="H2889" s="9" t="n">
        <v>61.20333333333332</v>
      </c>
      <c r="I2889" s="9" t="inlineStr">
        <is>
          <t>Depth (no MLB IP)</t>
        </is>
      </c>
      <c r="J2889" s="18" t="inlineStr">
        <is>
          <t>Opening Day</t>
        </is>
      </c>
      <c r="K2889" s="11">
        <f>IFERROR(INDEX(Roles!$B$17:$B$20,MATCH(J2889,Roles!$A$17:$A$20,0)),1)</f>
        <v/>
      </c>
      <c r="L2889" s="19" t="n">
        <v>1</v>
      </c>
      <c r="M2889" s="11" t="n">
        <v>1</v>
      </c>
      <c r="N2889" s="19" t="n"/>
      <c r="O2889" s="19" t="n"/>
      <c r="P2889" s="19" t="n"/>
      <c r="Q2889" s="19" t="n"/>
      <c r="R2889" s="19" t="n"/>
      <c r="S2889" s="19" t="n"/>
      <c r="T2889" s="19" t="n"/>
      <c r="U2889" s="19" t="n"/>
      <c r="V2889" s="19" t="n"/>
      <c r="W2889" s="19" t="n"/>
      <c r="X2889" s="19" t="n"/>
      <c r="Y2889" s="19" t="n">
        <v>1</v>
      </c>
      <c r="Z2889" s="13">
        <f>SUMPRODUCT(N2889:Y2889,$N$2:$Y$2)*$K2889*$L2889*$M2889</f>
        <v/>
      </c>
      <c r="AA2889" s="14">
        <f>SUM(N2889:Y2889)</f>
        <v/>
      </c>
      <c r="AB2889" s="13">
        <f>SUMPRODUCT(N2889:Y2889,$N$3:$Y$3)*$K2889*$L2889*$M2889</f>
        <v/>
      </c>
      <c r="AC2889" s="13">
        <f>SUMPRODUCT(N2889:Y2889,$N$4:$Y$4)*$K2889*$L2889*$M2889</f>
        <v/>
      </c>
      <c r="AD2889" s="15" t="n">
        <v>3</v>
      </c>
      <c r="AE2889" s="11" t="n">
        <v>1.011296296296296</v>
      </c>
      <c r="AF2889" s="16">
        <f>SUMPRODUCT(N2889:Y2889,$N$5:$Y$5)*$K2889*$L2889*$M2889</f>
        <v/>
      </c>
      <c r="AG2889" s="16">
        <f>SUMPRODUCT(N2889:Y2889,$N$6:$Y$6)*$K2889*$L2889*$M2889</f>
        <v/>
      </c>
      <c r="AH2889" s="20" t="n"/>
    </row>
    <row r="2890">
      <c r="A2890" s="9" t="n">
        <v>694989</v>
      </c>
      <c r="B2890" s="9" t="inlineStr">
        <is>
          <t>Kelena Sauer</t>
        </is>
      </c>
      <c r="C2890" s="9" t="inlineStr">
        <is>
          <t>TOR</t>
        </is>
      </c>
      <c r="D2890" s="9" t="n">
        <v>25</v>
      </c>
      <c r="E2890" s="18" t="inlineStr">
        <is>
          <t>R</t>
        </is>
      </c>
      <c r="F2890" s="18" t="n"/>
      <c r="G2890" s="9" t="n">
        <v>61.20333333333332</v>
      </c>
      <c r="H2890" s="9" t="n">
        <v>61.20333333333332</v>
      </c>
      <c r="I2890" s="9" t="inlineStr">
        <is>
          <t>Depth (no MLB IP)</t>
        </is>
      </c>
      <c r="J2890" s="18" t="inlineStr">
        <is>
          <t>Opening Day</t>
        </is>
      </c>
      <c r="K2890" s="11">
        <f>IFERROR(INDEX(Roles!$B$17:$B$20,MATCH(J2890,Roles!$A$17:$A$20,0)),1)</f>
        <v/>
      </c>
      <c r="L2890" s="19" t="n">
        <v>1</v>
      </c>
      <c r="M2890" s="11" t="n">
        <v>1</v>
      </c>
      <c r="N2890" s="19" t="n"/>
      <c r="O2890" s="19" t="n"/>
      <c r="P2890" s="19" t="n"/>
      <c r="Q2890" s="19" t="n"/>
      <c r="R2890" s="19" t="n"/>
      <c r="S2890" s="19" t="n"/>
      <c r="T2890" s="19" t="n"/>
      <c r="U2890" s="19" t="n"/>
      <c r="V2890" s="19" t="n"/>
      <c r="W2890" s="19" t="n"/>
      <c r="X2890" s="19" t="n"/>
      <c r="Y2890" s="19" t="n">
        <v>1</v>
      </c>
      <c r="Z2890" s="13">
        <f>SUMPRODUCT(N2890:Y2890,$N$2:$Y$2)*$K2890*$L2890*$M2890</f>
        <v/>
      </c>
      <c r="AA2890" s="14">
        <f>SUM(N2890:Y2890)</f>
        <v/>
      </c>
      <c r="AB2890" s="13">
        <f>SUMPRODUCT(N2890:Y2890,$N$3:$Y$3)*$K2890*$L2890*$M2890</f>
        <v/>
      </c>
      <c r="AC2890" s="13">
        <f>SUMPRODUCT(N2890:Y2890,$N$4:$Y$4)*$K2890*$L2890*$M2890</f>
        <v/>
      </c>
      <c r="AD2890" s="15" t="n">
        <v>3</v>
      </c>
      <c r="AE2890" s="11" t="n">
        <v>1.011296296296296</v>
      </c>
      <c r="AF2890" s="16">
        <f>SUMPRODUCT(N2890:Y2890,$N$5:$Y$5)*$K2890*$L2890*$M2890</f>
        <v/>
      </c>
      <c r="AG2890" s="16">
        <f>SUMPRODUCT(N2890:Y2890,$N$6:$Y$6)*$K2890*$L2890*$M2890</f>
        <v/>
      </c>
      <c r="AH2890" s="20" t="n"/>
    </row>
    <row r="2891">
      <c r="A2891" s="9" t="n">
        <v>686842</v>
      </c>
      <c r="B2891" s="9" t="inlineStr">
        <is>
          <t>McKinley Moore</t>
        </is>
      </c>
      <c r="C2891" s="9" t="inlineStr">
        <is>
          <t>PHI</t>
        </is>
      </c>
      <c r="D2891" s="9" t="n">
        <v>28</v>
      </c>
      <c r="E2891" s="18" t="inlineStr">
        <is>
          <t>R</t>
        </is>
      </c>
      <c r="F2891" s="18" t="n"/>
      <c r="G2891" s="9" t="n">
        <v>21</v>
      </c>
      <c r="H2891" s="9" t="n">
        <v>21</v>
      </c>
      <c r="I2891" s="9" t="inlineStr">
        <is>
          <t>Depth (no MLB IP)</t>
        </is>
      </c>
      <c r="J2891" s="18" t="inlineStr">
        <is>
          <t>Opening Day</t>
        </is>
      </c>
      <c r="K2891" s="11">
        <f>IFERROR(INDEX(Roles!$B$17:$B$20,MATCH(J2891,Roles!$A$17:$A$20,0)),1)</f>
        <v/>
      </c>
      <c r="L2891" s="19" t="n">
        <v>1</v>
      </c>
      <c r="M2891" s="11" t="n">
        <v>1</v>
      </c>
      <c r="N2891" s="19" t="n"/>
      <c r="O2891" s="19" t="n"/>
      <c r="P2891" s="19" t="n"/>
      <c r="Q2891" s="19" t="n"/>
      <c r="R2891" s="19" t="n"/>
      <c r="S2891" s="19" t="n"/>
      <c r="T2891" s="19" t="n"/>
      <c r="U2891" s="19" t="n"/>
      <c r="V2891" s="19" t="n"/>
      <c r="W2891" s="19" t="n"/>
      <c r="X2891" s="19" t="n"/>
      <c r="Y2891" s="19" t="n">
        <v>1</v>
      </c>
      <c r="Z2891" s="13">
        <f>SUMPRODUCT(N2891:Y2891,$N$2:$Y$2)*$K2891*$L2891*$M2891</f>
        <v/>
      </c>
      <c r="AA2891" s="14">
        <f>SUM(N2891:Y2891)</f>
        <v/>
      </c>
      <c r="AB2891" s="13">
        <f>SUMPRODUCT(N2891:Y2891,$N$3:$Y$3)*$K2891*$L2891*$M2891</f>
        <v/>
      </c>
      <c r="AC2891" s="13">
        <f>SUMPRODUCT(N2891:Y2891,$N$4:$Y$4)*$K2891*$L2891*$M2891</f>
        <v/>
      </c>
      <c r="AD2891" s="15" t="n">
        <v>3</v>
      </c>
      <c r="AE2891" s="11" t="n">
        <v>1.011296296296296</v>
      </c>
      <c r="AF2891" s="16">
        <f>SUMPRODUCT(N2891:Y2891,$N$5:$Y$5)*$K2891*$L2891*$M2891</f>
        <v/>
      </c>
      <c r="AG2891" s="16">
        <f>SUMPRODUCT(N2891:Y2891,$N$6:$Y$6)*$K2891*$L2891*$M2891</f>
        <v/>
      </c>
      <c r="AH2891" s="20" t="n"/>
    </row>
    <row r="2892">
      <c r="A2892" s="9" t="n">
        <v>822412</v>
      </c>
      <c r="B2892" s="9" t="inlineStr">
        <is>
          <t>Brett Sears</t>
        </is>
      </c>
      <c r="C2892" s="9" t="inlineStr">
        <is>
          <t>ATL</t>
        </is>
      </c>
      <c r="D2892" s="9" t="n">
        <v>25</v>
      </c>
      <c r="E2892" s="18" t="inlineStr">
        <is>
          <t>R</t>
        </is>
      </c>
      <c r="F2892" s="18" t="n"/>
      <c r="G2892" s="9" t="n">
        <v>61.49</v>
      </c>
      <c r="H2892" s="9" t="n">
        <v>61.49</v>
      </c>
      <c r="I2892" s="9" t="inlineStr">
        <is>
          <t>Depth (no MLB IP)</t>
        </is>
      </c>
      <c r="J2892" s="18" t="inlineStr">
        <is>
          <t>Opening Day</t>
        </is>
      </c>
      <c r="K2892" s="11">
        <f>IFERROR(INDEX(Roles!$B$17:$B$20,MATCH(J2892,Roles!$A$17:$A$20,0)),1)</f>
        <v/>
      </c>
      <c r="L2892" s="19" t="n">
        <v>1</v>
      </c>
      <c r="M2892" s="11" t="n">
        <v>1</v>
      </c>
      <c r="N2892" s="19" t="n"/>
      <c r="O2892" s="19" t="n"/>
      <c r="P2892" s="19" t="n"/>
      <c r="Q2892" s="19" t="n"/>
      <c r="R2892" s="19" t="n"/>
      <c r="S2892" s="19" t="n"/>
      <c r="T2892" s="19" t="n"/>
      <c r="U2892" s="19" t="n"/>
      <c r="V2892" s="19" t="n"/>
      <c r="W2892" s="19" t="n"/>
      <c r="X2892" s="19" t="n"/>
      <c r="Y2892" s="19" t="n">
        <v>1</v>
      </c>
      <c r="Z2892" s="13">
        <f>SUMPRODUCT(N2892:Y2892,$N$2:$Y$2)*$K2892*$L2892*$M2892</f>
        <v/>
      </c>
      <c r="AA2892" s="14">
        <f>SUM(N2892:Y2892)</f>
        <v/>
      </c>
      <c r="AB2892" s="13">
        <f>SUMPRODUCT(N2892:Y2892,$N$3:$Y$3)*$K2892*$L2892*$M2892</f>
        <v/>
      </c>
      <c r="AC2892" s="13">
        <f>SUMPRODUCT(N2892:Y2892,$N$4:$Y$4)*$K2892*$L2892*$M2892</f>
        <v/>
      </c>
      <c r="AD2892" s="15" t="n">
        <v>3</v>
      </c>
      <c r="AE2892" s="11" t="n">
        <v>1.011296296296296</v>
      </c>
      <c r="AF2892" s="16">
        <f>SUMPRODUCT(N2892:Y2892,$N$5:$Y$5)*$K2892*$L2892*$M2892</f>
        <v/>
      </c>
      <c r="AG2892" s="16">
        <f>SUMPRODUCT(N2892:Y2892,$N$6:$Y$6)*$K2892*$L2892*$M2892</f>
        <v/>
      </c>
      <c r="AH2892" s="20" t="n"/>
    </row>
    <row r="2893">
      <c r="A2893" s="9" t="n">
        <v>803349</v>
      </c>
      <c r="B2893" s="9" t="inlineStr">
        <is>
          <t>Herick Hernandez</t>
        </is>
      </c>
      <c r="C2893" s="9" t="inlineStr">
        <is>
          <t>ATL</t>
        </is>
      </c>
      <c r="D2893" s="9" t="n">
        <v>25</v>
      </c>
      <c r="E2893" s="18" t="inlineStr">
        <is>
          <t>L</t>
        </is>
      </c>
      <c r="F2893" s="18" t="n"/>
      <c r="G2893" s="9" t="n">
        <v>61.49</v>
      </c>
      <c r="H2893" s="9" t="n">
        <v>61.49</v>
      </c>
      <c r="I2893" s="9" t="inlineStr">
        <is>
          <t>Depth (no MLB IP)</t>
        </is>
      </c>
      <c r="J2893" s="18" t="inlineStr">
        <is>
          <t>Opening Day</t>
        </is>
      </c>
      <c r="K2893" s="11">
        <f>IFERROR(INDEX(Roles!$B$17:$B$20,MATCH(J2893,Roles!$A$17:$A$20,0)),1)</f>
        <v/>
      </c>
      <c r="L2893" s="19" t="n">
        <v>1</v>
      </c>
      <c r="M2893" s="11" t="n">
        <v>1</v>
      </c>
      <c r="N2893" s="19" t="n"/>
      <c r="O2893" s="19" t="n"/>
      <c r="P2893" s="19" t="n"/>
      <c r="Q2893" s="19" t="n"/>
      <c r="R2893" s="19" t="n"/>
      <c r="S2893" s="19" t="n"/>
      <c r="T2893" s="19" t="n"/>
      <c r="U2893" s="19" t="n"/>
      <c r="V2893" s="19" t="n"/>
      <c r="W2893" s="19" t="n"/>
      <c r="X2893" s="19" t="n"/>
      <c r="Y2893" s="19" t="n">
        <v>1</v>
      </c>
      <c r="Z2893" s="13">
        <f>SUMPRODUCT(N2893:Y2893,$N$2:$Y$2)*$K2893*$L2893*$M2893</f>
        <v/>
      </c>
      <c r="AA2893" s="14">
        <f>SUM(N2893:Y2893)</f>
        <v/>
      </c>
      <c r="AB2893" s="13">
        <f>SUMPRODUCT(N2893:Y2893,$N$3:$Y$3)*$K2893*$L2893*$M2893</f>
        <v/>
      </c>
      <c r="AC2893" s="13">
        <f>SUMPRODUCT(N2893:Y2893,$N$4:$Y$4)*$K2893*$L2893*$M2893</f>
        <v/>
      </c>
      <c r="AD2893" s="15" t="n">
        <v>3</v>
      </c>
      <c r="AE2893" s="11" t="n">
        <v>1.011296296296296</v>
      </c>
      <c r="AF2893" s="16">
        <f>SUMPRODUCT(N2893:Y2893,$N$5:$Y$5)*$K2893*$L2893*$M2893</f>
        <v/>
      </c>
      <c r="AG2893" s="16">
        <f>SUMPRODUCT(N2893:Y2893,$N$6:$Y$6)*$K2893*$L2893*$M2893</f>
        <v/>
      </c>
      <c r="AH2893" s="20" t="n"/>
    </row>
    <row r="2894">
      <c r="A2894" s="9" t="n">
        <v>656726</v>
      </c>
      <c r="B2894" s="9" t="inlineStr">
        <is>
          <t>Sam McWilliams</t>
        </is>
      </c>
      <c r="C2894" s="9" t="inlineStr">
        <is>
          <t>BOS</t>
        </is>
      </c>
      <c r="D2894" s="9" t="n">
        <v>25</v>
      </c>
      <c r="E2894" s="18" t="inlineStr">
        <is>
          <t>R</t>
        </is>
      </c>
      <c r="F2894" s="18" t="n"/>
      <c r="G2894" s="9" t="n">
        <v>61.49</v>
      </c>
      <c r="H2894" s="9" t="n">
        <v>61.49</v>
      </c>
      <c r="I2894" s="9" t="inlineStr">
        <is>
          <t>Depth (no MLB IP)</t>
        </is>
      </c>
      <c r="J2894" s="18" t="inlineStr">
        <is>
          <t>Opening Day</t>
        </is>
      </c>
      <c r="K2894" s="11">
        <f>IFERROR(INDEX(Roles!$B$17:$B$20,MATCH(J2894,Roles!$A$17:$A$20,0)),1)</f>
        <v/>
      </c>
      <c r="L2894" s="19" t="n">
        <v>1</v>
      </c>
      <c r="M2894" s="11" t="n">
        <v>1</v>
      </c>
      <c r="N2894" s="19" t="n"/>
      <c r="O2894" s="19" t="n"/>
      <c r="P2894" s="19" t="n"/>
      <c r="Q2894" s="19" t="n"/>
      <c r="R2894" s="19" t="n"/>
      <c r="S2894" s="19" t="n"/>
      <c r="T2894" s="19" t="n"/>
      <c r="U2894" s="19" t="n"/>
      <c r="V2894" s="19" t="n"/>
      <c r="W2894" s="19" t="n"/>
      <c r="X2894" s="19" t="n"/>
      <c r="Y2894" s="19" t="n">
        <v>1</v>
      </c>
      <c r="Z2894" s="13">
        <f>SUMPRODUCT(N2894:Y2894,$N$2:$Y$2)*$K2894*$L2894*$M2894</f>
        <v/>
      </c>
      <c r="AA2894" s="14">
        <f>SUM(N2894:Y2894)</f>
        <v/>
      </c>
      <c r="AB2894" s="13">
        <f>SUMPRODUCT(N2894:Y2894,$N$3:$Y$3)*$K2894*$L2894*$M2894</f>
        <v/>
      </c>
      <c r="AC2894" s="13">
        <f>SUMPRODUCT(N2894:Y2894,$N$4:$Y$4)*$K2894*$L2894*$M2894</f>
        <v/>
      </c>
      <c r="AD2894" s="15" t="n">
        <v>3</v>
      </c>
      <c r="AE2894" s="11" t="n">
        <v>1.011296296296296</v>
      </c>
      <c r="AF2894" s="16">
        <f>SUMPRODUCT(N2894:Y2894,$N$5:$Y$5)*$K2894*$L2894*$M2894</f>
        <v/>
      </c>
      <c r="AG2894" s="16">
        <f>SUMPRODUCT(N2894:Y2894,$N$6:$Y$6)*$K2894*$L2894*$M2894</f>
        <v/>
      </c>
      <c r="AH2894" s="20" t="n"/>
    </row>
    <row r="2895">
      <c r="A2895" s="9" t="n">
        <v>699106</v>
      </c>
      <c r="B2895" s="9" t="inlineStr">
        <is>
          <t>Reynardo Cruz</t>
        </is>
      </c>
      <c r="C2895" s="9" t="inlineStr">
        <is>
          <t>CIN</t>
        </is>
      </c>
      <c r="D2895" s="9" t="n">
        <v>25</v>
      </c>
      <c r="E2895" s="18" t="inlineStr">
        <is>
          <t>R</t>
        </is>
      </c>
      <c r="F2895" s="18" t="n"/>
      <c r="G2895" s="9" t="n">
        <v>61.63333333333334</v>
      </c>
      <c r="H2895" s="9" t="n">
        <v>61.63333333333334</v>
      </c>
      <c r="I2895" s="9" t="inlineStr">
        <is>
          <t>Depth (no MLB IP)</t>
        </is>
      </c>
      <c r="J2895" s="18" t="inlineStr">
        <is>
          <t>Opening Day</t>
        </is>
      </c>
      <c r="K2895" s="11">
        <f>IFERROR(INDEX(Roles!$B$17:$B$20,MATCH(J2895,Roles!$A$17:$A$20,0)),1)</f>
        <v/>
      </c>
      <c r="L2895" s="19" t="n">
        <v>1</v>
      </c>
      <c r="M2895" s="11" t="n">
        <v>1</v>
      </c>
      <c r="N2895" s="19" t="n"/>
      <c r="O2895" s="19" t="n"/>
      <c r="P2895" s="19" t="n"/>
      <c r="Q2895" s="19" t="n"/>
      <c r="R2895" s="19" t="n"/>
      <c r="S2895" s="19" t="n"/>
      <c r="T2895" s="19" t="n"/>
      <c r="U2895" s="19" t="n"/>
      <c r="V2895" s="19" t="n"/>
      <c r="W2895" s="19" t="n"/>
      <c r="X2895" s="19" t="n"/>
      <c r="Y2895" s="19" t="n">
        <v>1</v>
      </c>
      <c r="Z2895" s="13">
        <f>SUMPRODUCT(N2895:Y2895,$N$2:$Y$2)*$K2895*$L2895*$M2895</f>
        <v/>
      </c>
      <c r="AA2895" s="14">
        <f>SUM(N2895:Y2895)</f>
        <v/>
      </c>
      <c r="AB2895" s="13">
        <f>SUMPRODUCT(N2895:Y2895,$N$3:$Y$3)*$K2895*$L2895*$M2895</f>
        <v/>
      </c>
      <c r="AC2895" s="13">
        <f>SUMPRODUCT(N2895:Y2895,$N$4:$Y$4)*$K2895*$L2895*$M2895</f>
        <v/>
      </c>
      <c r="AD2895" s="15" t="n">
        <v>3</v>
      </c>
      <c r="AE2895" s="11" t="n">
        <v>1.011296296296296</v>
      </c>
      <c r="AF2895" s="16">
        <f>SUMPRODUCT(N2895:Y2895,$N$5:$Y$5)*$K2895*$L2895*$M2895</f>
        <v/>
      </c>
      <c r="AG2895" s="16">
        <f>SUMPRODUCT(N2895:Y2895,$N$6:$Y$6)*$K2895*$L2895*$M2895</f>
        <v/>
      </c>
      <c r="AH2895" s="20" t="n"/>
    </row>
    <row r="2896">
      <c r="A2896" s="9" t="n">
        <v>656924</v>
      </c>
      <c r="B2896" s="9" t="inlineStr">
        <is>
          <t>Ryder Ryan</t>
        </is>
      </c>
      <c r="C2896" s="9" t="inlineStr">
        <is>
          <t>PIT</t>
        </is>
      </c>
      <c r="D2896" s="9" t="n">
        <v>32</v>
      </c>
      <c r="E2896" s="18" t="inlineStr">
        <is>
          <t>R</t>
        </is>
      </c>
      <c r="F2896" s="18" t="n"/>
      <c r="G2896" s="9" t="n">
        <v>93</v>
      </c>
      <c r="H2896" s="9" t="n">
        <v>97</v>
      </c>
      <c r="I2896" s="9" t="inlineStr">
        <is>
          <t>Depth (no MLB IP)</t>
        </is>
      </c>
      <c r="J2896" s="18" t="inlineStr">
        <is>
          <t>Opening Day</t>
        </is>
      </c>
      <c r="K2896" s="11">
        <f>IFERROR(INDEX(Roles!$B$17:$B$20,MATCH(J2896,Roles!$A$17:$A$20,0)),1)</f>
        <v/>
      </c>
      <c r="L2896" s="19" t="n">
        <v>1</v>
      </c>
      <c r="M2896" s="11" t="n">
        <v>1</v>
      </c>
      <c r="N2896" s="19" t="n"/>
      <c r="O2896" s="19" t="n"/>
      <c r="P2896" s="19" t="n"/>
      <c r="Q2896" s="19" t="n"/>
      <c r="R2896" s="19" t="n"/>
      <c r="S2896" s="19" t="n"/>
      <c r="T2896" s="19" t="n"/>
      <c r="U2896" s="19" t="n"/>
      <c r="V2896" s="19" t="n"/>
      <c r="W2896" s="19" t="n"/>
      <c r="X2896" s="19" t="n"/>
      <c r="Y2896" s="19" t="n">
        <v>1</v>
      </c>
      <c r="Z2896" s="13">
        <f>SUMPRODUCT(N2896:Y2896,$N$2:$Y$2)*$K2896*$L2896*$M2896</f>
        <v/>
      </c>
      <c r="AA2896" s="14">
        <f>SUM(N2896:Y2896)</f>
        <v/>
      </c>
      <c r="AB2896" s="13">
        <f>SUMPRODUCT(N2896:Y2896,$N$3:$Y$3)*$K2896*$L2896*$M2896</f>
        <v/>
      </c>
      <c r="AC2896" s="13">
        <f>SUMPRODUCT(N2896:Y2896,$N$4:$Y$4)*$K2896*$L2896*$M2896</f>
        <v/>
      </c>
      <c r="AD2896" s="15" t="n">
        <v>10.2</v>
      </c>
      <c r="AE2896" s="11" t="n">
        <v>1.133456790123457</v>
      </c>
      <c r="AF2896" s="16">
        <f>SUMPRODUCT(N2896:Y2896,$N$5:$Y$5)*$K2896*$L2896*$M2896</f>
        <v/>
      </c>
      <c r="AG2896" s="16">
        <f>SUMPRODUCT(N2896:Y2896,$N$6:$Y$6)*$K2896*$L2896*$M2896</f>
        <v/>
      </c>
      <c r="AH2896" s="20" t="n"/>
    </row>
    <row r="2897">
      <c r="A2897" s="9" t="n">
        <v>805699</v>
      </c>
      <c r="B2897" s="9" t="inlineStr">
        <is>
          <t>Yeiber Cartaya</t>
        </is>
      </c>
      <c r="C2897" s="9" t="inlineStr">
        <is>
          <t>BAL</t>
        </is>
      </c>
      <c r="D2897" s="9" t="n">
        <v>25</v>
      </c>
      <c r="E2897" s="18" t="inlineStr">
        <is>
          <t>R</t>
        </is>
      </c>
      <c r="F2897" s="18" t="n"/>
      <c r="G2897" s="9" t="n">
        <v>61.92</v>
      </c>
      <c r="H2897" s="9" t="n">
        <v>61.92</v>
      </c>
      <c r="I2897" s="9" t="inlineStr">
        <is>
          <t>Depth (no MLB IP)</t>
        </is>
      </c>
      <c r="J2897" s="18" t="inlineStr">
        <is>
          <t>Opening Day</t>
        </is>
      </c>
      <c r="K2897" s="11">
        <f>IFERROR(INDEX(Roles!$B$17:$B$20,MATCH(J2897,Roles!$A$17:$A$20,0)),1)</f>
        <v/>
      </c>
      <c r="L2897" s="19" t="n">
        <v>1</v>
      </c>
      <c r="M2897" s="11" t="n">
        <v>1</v>
      </c>
      <c r="N2897" s="19" t="n"/>
      <c r="O2897" s="19" t="n"/>
      <c r="P2897" s="19" t="n"/>
      <c r="Q2897" s="19" t="n"/>
      <c r="R2897" s="19" t="n"/>
      <c r="S2897" s="19" t="n"/>
      <c r="T2897" s="19" t="n"/>
      <c r="U2897" s="19" t="n"/>
      <c r="V2897" s="19" t="n"/>
      <c r="W2897" s="19" t="n"/>
      <c r="X2897" s="19" t="n"/>
      <c r="Y2897" s="19" t="n">
        <v>1</v>
      </c>
      <c r="Z2897" s="13">
        <f>SUMPRODUCT(N2897:Y2897,$N$2:$Y$2)*$K2897*$L2897*$M2897</f>
        <v/>
      </c>
      <c r="AA2897" s="14">
        <f>SUM(N2897:Y2897)</f>
        <v/>
      </c>
      <c r="AB2897" s="13">
        <f>SUMPRODUCT(N2897:Y2897,$N$3:$Y$3)*$K2897*$L2897*$M2897</f>
        <v/>
      </c>
      <c r="AC2897" s="13">
        <f>SUMPRODUCT(N2897:Y2897,$N$4:$Y$4)*$K2897*$L2897*$M2897</f>
        <v/>
      </c>
      <c r="AD2897" s="15" t="n">
        <v>3</v>
      </c>
      <c r="AE2897" s="11" t="n">
        <v>1.011296296296296</v>
      </c>
      <c r="AF2897" s="16">
        <f>SUMPRODUCT(N2897:Y2897,$N$5:$Y$5)*$K2897*$L2897*$M2897</f>
        <v/>
      </c>
      <c r="AG2897" s="16">
        <f>SUMPRODUCT(N2897:Y2897,$N$6:$Y$6)*$K2897*$L2897*$M2897</f>
        <v/>
      </c>
      <c r="AH2897" s="20" t="n"/>
    </row>
    <row r="2898">
      <c r="A2898" s="9" t="n">
        <v>663967</v>
      </c>
      <c r="B2898" s="9" t="inlineStr">
        <is>
          <t>César Salazar</t>
        </is>
      </c>
      <c r="C2898" s="9" t="inlineStr">
        <is>
          <t>HOU</t>
        </is>
      </c>
      <c r="D2898" s="9" t="n">
        <v>31</v>
      </c>
      <c r="E2898" s="18" t="inlineStr">
        <is>
          <t>R</t>
        </is>
      </c>
      <c r="F2898" s="18" t="n"/>
      <c r="G2898" s="9" t="n">
        <v>4</v>
      </c>
      <c r="H2898" s="9" t="n">
        <v>8</v>
      </c>
      <c r="I2898" s="9" t="inlineStr">
        <is>
          <t>Depth (no MLB IP)</t>
        </is>
      </c>
      <c r="J2898" s="18" t="inlineStr">
        <is>
          <t>Opening Day</t>
        </is>
      </c>
      <c r="K2898" s="11">
        <f>IFERROR(INDEX(Roles!$B$17:$B$20,MATCH(J2898,Roles!$A$17:$A$20,0)),1)</f>
        <v/>
      </c>
      <c r="L2898" s="19" t="n">
        <v>1</v>
      </c>
      <c r="M2898" s="11" t="n">
        <v>1</v>
      </c>
      <c r="N2898" s="19" t="n"/>
      <c r="O2898" s="19" t="n"/>
      <c r="P2898" s="19" t="n"/>
      <c r="Q2898" s="19" t="n"/>
      <c r="R2898" s="19" t="n"/>
      <c r="S2898" s="19" t="n"/>
      <c r="T2898" s="19" t="n"/>
      <c r="U2898" s="19" t="n"/>
      <c r="V2898" s="19" t="n"/>
      <c r="W2898" s="19" t="n"/>
      <c r="X2898" s="19" t="n"/>
      <c r="Y2898" s="19" t="n">
        <v>1</v>
      </c>
      <c r="Z2898" s="13">
        <f>SUMPRODUCT(N2898:Y2898,$N$2:$Y$2)*$K2898*$L2898*$M2898</f>
        <v/>
      </c>
      <c r="AA2898" s="14">
        <f>SUM(N2898:Y2898)</f>
        <v/>
      </c>
      <c r="AB2898" s="13">
        <f>SUMPRODUCT(N2898:Y2898,$N$3:$Y$3)*$K2898*$L2898*$M2898</f>
        <v/>
      </c>
      <c r="AC2898" s="13">
        <f>SUMPRODUCT(N2898:Y2898,$N$4:$Y$4)*$K2898*$L2898*$M2898</f>
        <v/>
      </c>
      <c r="AD2898" s="15" t="n">
        <v>1.8</v>
      </c>
      <c r="AE2898" s="11" t="n">
        <v>1.007530864197531</v>
      </c>
      <c r="AF2898" s="16">
        <f>SUMPRODUCT(N2898:Y2898,$N$5:$Y$5)*$K2898*$L2898*$M2898</f>
        <v/>
      </c>
      <c r="AG2898" s="16">
        <f>SUMPRODUCT(N2898:Y2898,$N$6:$Y$6)*$K2898*$L2898*$M2898</f>
        <v/>
      </c>
      <c r="AH2898" s="20" t="n"/>
    </row>
    <row r="2899">
      <c r="A2899" s="9" t="n">
        <v>800452</v>
      </c>
      <c r="B2899" s="9" t="inlineStr">
        <is>
          <t>Jose Chirinos</t>
        </is>
      </c>
      <c r="C2899" s="9" t="inlineStr">
        <is>
          <t>NYM</t>
        </is>
      </c>
      <c r="D2899" s="9" t="n">
        <v>25</v>
      </c>
      <c r="E2899" s="18" t="inlineStr">
        <is>
          <t>R</t>
        </is>
      </c>
      <c r="F2899" s="18" t="n"/>
      <c r="G2899" s="9" t="n">
        <v>61.92</v>
      </c>
      <c r="H2899" s="9" t="n">
        <v>61.92</v>
      </c>
      <c r="I2899" s="9" t="inlineStr">
        <is>
          <t>Depth (no MLB IP)</t>
        </is>
      </c>
      <c r="J2899" s="18" t="inlineStr">
        <is>
          <t>Opening Day</t>
        </is>
      </c>
      <c r="K2899" s="11">
        <f>IFERROR(INDEX(Roles!$B$17:$B$20,MATCH(J2899,Roles!$A$17:$A$20,0)),1)</f>
        <v/>
      </c>
      <c r="L2899" s="19" t="n">
        <v>1</v>
      </c>
      <c r="M2899" s="11" t="n">
        <v>1</v>
      </c>
      <c r="N2899" s="19" t="n"/>
      <c r="O2899" s="19" t="n"/>
      <c r="P2899" s="19" t="n"/>
      <c r="Q2899" s="19" t="n"/>
      <c r="R2899" s="19" t="n"/>
      <c r="S2899" s="19" t="n"/>
      <c r="T2899" s="19" t="n"/>
      <c r="U2899" s="19" t="n"/>
      <c r="V2899" s="19" t="n"/>
      <c r="W2899" s="19" t="n"/>
      <c r="X2899" s="19" t="n"/>
      <c r="Y2899" s="19" t="n">
        <v>1</v>
      </c>
      <c r="Z2899" s="13">
        <f>SUMPRODUCT(N2899:Y2899,$N$2:$Y$2)*$K2899*$L2899*$M2899</f>
        <v/>
      </c>
      <c r="AA2899" s="14">
        <f>SUM(N2899:Y2899)</f>
        <v/>
      </c>
      <c r="AB2899" s="13">
        <f>SUMPRODUCT(N2899:Y2899,$N$3:$Y$3)*$K2899*$L2899*$M2899</f>
        <v/>
      </c>
      <c r="AC2899" s="13">
        <f>SUMPRODUCT(N2899:Y2899,$N$4:$Y$4)*$K2899*$L2899*$M2899</f>
        <v/>
      </c>
      <c r="AD2899" s="15" t="n">
        <v>3</v>
      </c>
      <c r="AE2899" s="11" t="n">
        <v>1.011296296296296</v>
      </c>
      <c r="AF2899" s="16">
        <f>SUMPRODUCT(N2899:Y2899,$N$5:$Y$5)*$K2899*$L2899*$M2899</f>
        <v/>
      </c>
      <c r="AG2899" s="16">
        <f>SUMPRODUCT(N2899:Y2899,$N$6:$Y$6)*$K2899*$L2899*$M2899</f>
        <v/>
      </c>
      <c r="AH2899" s="20" t="n"/>
    </row>
    <row r="2900">
      <c r="A2900" s="9" t="n">
        <v>800045</v>
      </c>
      <c r="B2900" s="9" t="inlineStr">
        <is>
          <t>Anthony Cruz</t>
        </is>
      </c>
      <c r="C2900" s="9" t="inlineStr">
        <is>
          <t>HOU</t>
        </is>
      </c>
      <c r="D2900" s="9" t="n">
        <v>25</v>
      </c>
      <c r="E2900" s="18" t="inlineStr">
        <is>
          <t>R</t>
        </is>
      </c>
      <c r="F2900" s="18" t="n"/>
      <c r="G2900" s="9" t="n">
        <v>61.92</v>
      </c>
      <c r="H2900" s="9" t="n">
        <v>61.92</v>
      </c>
      <c r="I2900" s="9" t="inlineStr">
        <is>
          <t>Depth (no MLB IP)</t>
        </is>
      </c>
      <c r="J2900" s="18" t="inlineStr">
        <is>
          <t>Opening Day</t>
        </is>
      </c>
      <c r="K2900" s="11">
        <f>IFERROR(INDEX(Roles!$B$17:$B$20,MATCH(J2900,Roles!$A$17:$A$20,0)),1)</f>
        <v/>
      </c>
      <c r="L2900" s="19" t="n">
        <v>1</v>
      </c>
      <c r="M2900" s="11" t="n">
        <v>1</v>
      </c>
      <c r="N2900" s="19" t="n"/>
      <c r="O2900" s="19" t="n"/>
      <c r="P2900" s="19" t="n"/>
      <c r="Q2900" s="19" t="n"/>
      <c r="R2900" s="19" t="n"/>
      <c r="S2900" s="19" t="n"/>
      <c r="T2900" s="19" t="n"/>
      <c r="U2900" s="19" t="n"/>
      <c r="V2900" s="19" t="n"/>
      <c r="W2900" s="19" t="n"/>
      <c r="X2900" s="19" t="n"/>
      <c r="Y2900" s="19" t="n">
        <v>1</v>
      </c>
      <c r="Z2900" s="13">
        <f>SUMPRODUCT(N2900:Y2900,$N$2:$Y$2)*$K2900*$L2900*$M2900</f>
        <v/>
      </c>
      <c r="AA2900" s="14">
        <f>SUM(N2900:Y2900)</f>
        <v/>
      </c>
      <c r="AB2900" s="13">
        <f>SUMPRODUCT(N2900:Y2900,$N$3:$Y$3)*$K2900*$L2900*$M2900</f>
        <v/>
      </c>
      <c r="AC2900" s="13">
        <f>SUMPRODUCT(N2900:Y2900,$N$4:$Y$4)*$K2900*$L2900*$M2900</f>
        <v/>
      </c>
      <c r="AD2900" s="15" t="n">
        <v>3</v>
      </c>
      <c r="AE2900" s="11" t="n">
        <v>1.011296296296296</v>
      </c>
      <c r="AF2900" s="16">
        <f>SUMPRODUCT(N2900:Y2900,$N$5:$Y$5)*$K2900*$L2900*$M2900</f>
        <v/>
      </c>
      <c r="AG2900" s="16">
        <f>SUMPRODUCT(N2900:Y2900,$N$6:$Y$6)*$K2900*$L2900*$M2900</f>
        <v/>
      </c>
      <c r="AH2900" s="20" t="n"/>
    </row>
    <row r="2901">
      <c r="A2901" s="9" t="n">
        <v>671382</v>
      </c>
      <c r="B2901" s="9" t="inlineStr">
        <is>
          <t>Cameron Foster</t>
        </is>
      </c>
      <c r="C2901" s="9" t="inlineStr">
        <is>
          <t>BAL</t>
        </is>
      </c>
      <c r="D2901" s="9" t="n">
        <v>28</v>
      </c>
      <c r="E2901" s="18" t="inlineStr">
        <is>
          <t>R</t>
        </is>
      </c>
      <c r="F2901" s="18" t="n"/>
      <c r="G2901" s="9" t="n">
        <v>49</v>
      </c>
      <c r="H2901" s="9" t="n">
        <v>49</v>
      </c>
      <c r="I2901" s="9" t="inlineStr">
        <is>
          <t>Bullpen Depth Arm</t>
        </is>
      </c>
      <c r="J2901" s="18" t="inlineStr">
        <is>
          <t>Opening Day</t>
        </is>
      </c>
      <c r="K2901" s="11">
        <f>IFERROR(INDEX(Roles!$B$17:$B$20,MATCH(J2901,Roles!$A$17:$A$20,0)),1)</f>
        <v/>
      </c>
      <c r="L2901" s="19" t="n">
        <v>1</v>
      </c>
      <c r="M2901" s="11" t="n">
        <v>1</v>
      </c>
      <c r="N2901" s="19" t="n"/>
      <c r="O2901" s="19" t="n"/>
      <c r="P2901" s="19" t="n"/>
      <c r="Q2901" s="19" t="n"/>
      <c r="R2901" s="19" t="n"/>
      <c r="S2901" s="19" t="n"/>
      <c r="T2901" s="19" t="n"/>
      <c r="U2901" s="19" t="n"/>
      <c r="V2901" s="19" t="n"/>
      <c r="W2901" s="19" t="n">
        <v>1</v>
      </c>
      <c r="X2901" s="19" t="n"/>
      <c r="Y2901" s="19" t="n"/>
      <c r="Z2901" s="13">
        <f>SUMPRODUCT(N2901:Y2901,$N$2:$Y$2)*$K2901*$L2901*$M2901</f>
        <v/>
      </c>
      <c r="AA2901" s="14">
        <f>SUM(N2901:Y2901)</f>
        <v/>
      </c>
      <c r="AB2901" s="13">
        <f>SUMPRODUCT(N2901:Y2901,$N$3:$Y$3)*$K2901*$L2901*$M2901</f>
        <v/>
      </c>
      <c r="AC2901" s="13">
        <f>SUMPRODUCT(N2901:Y2901,$N$4:$Y$4)*$K2901*$L2901*$M2901</f>
        <v/>
      </c>
      <c r="AD2901" s="15" t="n">
        <v>9.266666666666666</v>
      </c>
      <c r="AE2901" s="11" t="n">
        <v>1.301507134840468</v>
      </c>
      <c r="AF2901" s="16">
        <f>SUMPRODUCT(N2901:Y2901,$N$5:$Y$5)*$K2901*$L2901*$M2901</f>
        <v/>
      </c>
      <c r="AG2901" s="16">
        <f>SUMPRODUCT(N2901:Y2901,$N$6:$Y$6)*$K2901*$L2901*$M2901</f>
        <v/>
      </c>
      <c r="AH2901" s="20" t="n"/>
    </row>
    <row r="2902">
      <c r="A2902" s="9" t="n">
        <v>700933</v>
      </c>
      <c r="B2902" s="9" t="inlineStr">
        <is>
          <t>Chris Cortez</t>
        </is>
      </c>
      <c r="C2902" s="9" t="inlineStr">
        <is>
          <t>LAA</t>
        </is>
      </c>
      <c r="D2902" s="9" t="n">
        <v>25</v>
      </c>
      <c r="E2902" s="18" t="inlineStr">
        <is>
          <t>R</t>
        </is>
      </c>
      <c r="F2902" s="18" t="n"/>
      <c r="G2902" s="9" t="n">
        <v>62.20666666666667</v>
      </c>
      <c r="H2902" s="9" t="n">
        <v>62.20666666666667</v>
      </c>
      <c r="I2902" s="9" t="inlineStr">
        <is>
          <t>Depth (no MLB IP)</t>
        </is>
      </c>
      <c r="J2902" s="18" t="inlineStr">
        <is>
          <t>Opening Day</t>
        </is>
      </c>
      <c r="K2902" s="11">
        <f>IFERROR(INDEX(Roles!$B$17:$B$20,MATCH(J2902,Roles!$A$17:$A$20,0)),1)</f>
        <v/>
      </c>
      <c r="L2902" s="19" t="n">
        <v>1</v>
      </c>
      <c r="M2902" s="11" t="n">
        <v>1</v>
      </c>
      <c r="N2902" s="19" t="n"/>
      <c r="O2902" s="19" t="n"/>
      <c r="P2902" s="19" t="n"/>
      <c r="Q2902" s="19" t="n"/>
      <c r="R2902" s="19" t="n"/>
      <c r="S2902" s="19" t="n"/>
      <c r="T2902" s="19" t="n"/>
      <c r="U2902" s="19" t="n"/>
      <c r="V2902" s="19" t="n"/>
      <c r="W2902" s="19" t="n"/>
      <c r="X2902" s="19" t="n"/>
      <c r="Y2902" s="19" t="n">
        <v>1</v>
      </c>
      <c r="Z2902" s="13">
        <f>SUMPRODUCT(N2902:Y2902,$N$2:$Y$2)*$K2902*$L2902*$M2902</f>
        <v/>
      </c>
      <c r="AA2902" s="14">
        <f>SUM(N2902:Y2902)</f>
        <v/>
      </c>
      <c r="AB2902" s="13">
        <f>SUMPRODUCT(N2902:Y2902,$N$3:$Y$3)*$K2902*$L2902*$M2902</f>
        <v/>
      </c>
      <c r="AC2902" s="13">
        <f>SUMPRODUCT(N2902:Y2902,$N$4:$Y$4)*$K2902*$L2902*$M2902</f>
        <v/>
      </c>
      <c r="AD2902" s="15" t="n">
        <v>3</v>
      </c>
      <c r="AE2902" s="11" t="n">
        <v>1.011296296296296</v>
      </c>
      <c r="AF2902" s="16">
        <f>SUMPRODUCT(N2902:Y2902,$N$5:$Y$5)*$K2902*$L2902*$M2902</f>
        <v/>
      </c>
      <c r="AG2902" s="16">
        <f>SUMPRODUCT(N2902:Y2902,$N$6:$Y$6)*$K2902*$L2902*$M2902</f>
        <v/>
      </c>
      <c r="AH2902" s="20" t="n"/>
    </row>
    <row r="2903">
      <c r="A2903" s="9" t="n">
        <v>823793</v>
      </c>
      <c r="B2903" s="9" t="inlineStr">
        <is>
          <t>Eric Loomis</t>
        </is>
      </c>
      <c r="C2903" s="9" t="inlineStr">
        <is>
          <t>TEX</t>
        </is>
      </c>
      <c r="D2903" s="9" t="n">
        <v>25</v>
      </c>
      <c r="E2903" s="18" t="inlineStr">
        <is>
          <t>R</t>
        </is>
      </c>
      <c r="F2903" s="18" t="n"/>
      <c r="G2903" s="9" t="n">
        <v>62.20666666666667</v>
      </c>
      <c r="H2903" s="9" t="n">
        <v>62.20666666666667</v>
      </c>
      <c r="I2903" s="9" t="inlineStr">
        <is>
          <t>Depth (no MLB IP)</t>
        </is>
      </c>
      <c r="J2903" s="18" t="inlineStr">
        <is>
          <t>Opening Day</t>
        </is>
      </c>
      <c r="K2903" s="11">
        <f>IFERROR(INDEX(Roles!$B$17:$B$20,MATCH(J2903,Roles!$A$17:$A$20,0)),1)</f>
        <v/>
      </c>
      <c r="L2903" s="19" t="n">
        <v>1</v>
      </c>
      <c r="M2903" s="11" t="n">
        <v>1</v>
      </c>
      <c r="N2903" s="19" t="n"/>
      <c r="O2903" s="19" t="n"/>
      <c r="P2903" s="19" t="n"/>
      <c r="Q2903" s="19" t="n"/>
      <c r="R2903" s="19" t="n"/>
      <c r="S2903" s="19" t="n"/>
      <c r="T2903" s="19" t="n"/>
      <c r="U2903" s="19" t="n"/>
      <c r="V2903" s="19" t="n"/>
      <c r="W2903" s="19" t="n"/>
      <c r="X2903" s="19" t="n"/>
      <c r="Y2903" s="19" t="n">
        <v>1</v>
      </c>
      <c r="Z2903" s="13">
        <f>SUMPRODUCT(N2903:Y2903,$N$2:$Y$2)*$K2903*$L2903*$M2903</f>
        <v/>
      </c>
      <c r="AA2903" s="14">
        <f>SUM(N2903:Y2903)</f>
        <v/>
      </c>
      <c r="AB2903" s="13">
        <f>SUMPRODUCT(N2903:Y2903,$N$3:$Y$3)*$K2903*$L2903*$M2903</f>
        <v/>
      </c>
      <c r="AC2903" s="13">
        <f>SUMPRODUCT(N2903:Y2903,$N$4:$Y$4)*$K2903*$L2903*$M2903</f>
        <v/>
      </c>
      <c r="AD2903" s="15" t="n">
        <v>3</v>
      </c>
      <c r="AE2903" s="11" t="n">
        <v>1.011296296296296</v>
      </c>
      <c r="AF2903" s="16">
        <f>SUMPRODUCT(N2903:Y2903,$N$5:$Y$5)*$K2903*$L2903*$M2903</f>
        <v/>
      </c>
      <c r="AG2903" s="16">
        <f>SUMPRODUCT(N2903:Y2903,$N$6:$Y$6)*$K2903*$L2903*$M2903</f>
        <v/>
      </c>
      <c r="AH2903" s="20" t="n"/>
    </row>
    <row r="2904">
      <c r="A2904" s="9" t="n">
        <v>689433</v>
      </c>
      <c r="B2904" s="9" t="inlineStr">
        <is>
          <t>Derrick Edington</t>
        </is>
      </c>
      <c r="C2904" s="9" t="inlineStr">
        <is>
          <t>TB</t>
        </is>
      </c>
      <c r="D2904" s="9" t="n">
        <v>25</v>
      </c>
      <c r="E2904" s="18" t="inlineStr">
        <is>
          <t>R</t>
        </is>
      </c>
      <c r="F2904" s="18" t="n"/>
      <c r="G2904" s="9" t="n">
        <v>62.20666666666667</v>
      </c>
      <c r="H2904" s="9" t="n">
        <v>62.20666666666667</v>
      </c>
      <c r="I2904" s="9" t="inlineStr">
        <is>
          <t>Depth (no MLB IP)</t>
        </is>
      </c>
      <c r="J2904" s="18" t="inlineStr">
        <is>
          <t>Opening Day</t>
        </is>
      </c>
      <c r="K2904" s="11">
        <f>IFERROR(INDEX(Roles!$B$17:$B$20,MATCH(J2904,Roles!$A$17:$A$20,0)),1)</f>
        <v/>
      </c>
      <c r="L2904" s="19" t="n">
        <v>1</v>
      </c>
      <c r="M2904" s="11" t="n">
        <v>1</v>
      </c>
      <c r="N2904" s="19" t="n"/>
      <c r="O2904" s="19" t="n"/>
      <c r="P2904" s="19" t="n"/>
      <c r="Q2904" s="19" t="n"/>
      <c r="R2904" s="19" t="n"/>
      <c r="S2904" s="19" t="n"/>
      <c r="T2904" s="19" t="n"/>
      <c r="U2904" s="19" t="n"/>
      <c r="V2904" s="19" t="n"/>
      <c r="W2904" s="19" t="n"/>
      <c r="X2904" s="19" t="n"/>
      <c r="Y2904" s="19" t="n">
        <v>1</v>
      </c>
      <c r="Z2904" s="13">
        <f>SUMPRODUCT(N2904:Y2904,$N$2:$Y$2)*$K2904*$L2904*$M2904</f>
        <v/>
      </c>
      <c r="AA2904" s="14">
        <f>SUM(N2904:Y2904)</f>
        <v/>
      </c>
      <c r="AB2904" s="13">
        <f>SUMPRODUCT(N2904:Y2904,$N$3:$Y$3)*$K2904*$L2904*$M2904</f>
        <v/>
      </c>
      <c r="AC2904" s="13">
        <f>SUMPRODUCT(N2904:Y2904,$N$4:$Y$4)*$K2904*$L2904*$M2904</f>
        <v/>
      </c>
      <c r="AD2904" s="15" t="n">
        <v>3</v>
      </c>
      <c r="AE2904" s="11" t="n">
        <v>1.011296296296296</v>
      </c>
      <c r="AF2904" s="16">
        <f>SUMPRODUCT(N2904:Y2904,$N$5:$Y$5)*$K2904*$L2904*$M2904</f>
        <v/>
      </c>
      <c r="AG2904" s="16">
        <f>SUMPRODUCT(N2904:Y2904,$N$6:$Y$6)*$K2904*$L2904*$M2904</f>
        <v/>
      </c>
      <c r="AH2904" s="20" t="n"/>
    </row>
    <row r="2905">
      <c r="A2905" s="9" t="n">
        <v>703469</v>
      </c>
      <c r="B2905" s="9" t="inlineStr">
        <is>
          <t>Jackson Humphries</t>
        </is>
      </c>
      <c r="C2905" s="9" t="inlineStr">
        <is>
          <t>CLE</t>
        </is>
      </c>
      <c r="D2905" s="9" t="n">
        <v>25</v>
      </c>
      <c r="E2905" s="18" t="inlineStr">
        <is>
          <t>L</t>
        </is>
      </c>
      <c r="F2905" s="18" t="n"/>
      <c r="G2905" s="9" t="n">
        <v>62.20666666666666</v>
      </c>
      <c r="H2905" s="9" t="n">
        <v>62.20666666666666</v>
      </c>
      <c r="I2905" s="9" t="inlineStr">
        <is>
          <t>Depth (no MLB IP)</t>
        </is>
      </c>
      <c r="J2905" s="18" t="inlineStr">
        <is>
          <t>Opening Day</t>
        </is>
      </c>
      <c r="K2905" s="11">
        <f>IFERROR(INDEX(Roles!$B$17:$B$20,MATCH(J2905,Roles!$A$17:$A$20,0)),1)</f>
        <v/>
      </c>
      <c r="L2905" s="19" t="n">
        <v>1</v>
      </c>
      <c r="M2905" s="11" t="n">
        <v>1</v>
      </c>
      <c r="N2905" s="19" t="n"/>
      <c r="O2905" s="19" t="n"/>
      <c r="P2905" s="19" t="n"/>
      <c r="Q2905" s="19" t="n"/>
      <c r="R2905" s="19" t="n"/>
      <c r="S2905" s="19" t="n"/>
      <c r="T2905" s="19" t="n"/>
      <c r="U2905" s="19" t="n"/>
      <c r="V2905" s="19" t="n"/>
      <c r="W2905" s="19" t="n"/>
      <c r="X2905" s="19" t="n"/>
      <c r="Y2905" s="19" t="n">
        <v>1</v>
      </c>
      <c r="Z2905" s="13">
        <f>SUMPRODUCT(N2905:Y2905,$N$2:$Y$2)*$K2905*$L2905*$M2905</f>
        <v/>
      </c>
      <c r="AA2905" s="14">
        <f>SUM(N2905:Y2905)</f>
        <v/>
      </c>
      <c r="AB2905" s="13">
        <f>SUMPRODUCT(N2905:Y2905,$N$3:$Y$3)*$K2905*$L2905*$M2905</f>
        <v/>
      </c>
      <c r="AC2905" s="13">
        <f>SUMPRODUCT(N2905:Y2905,$N$4:$Y$4)*$K2905*$L2905*$M2905</f>
        <v/>
      </c>
      <c r="AD2905" s="15" t="n">
        <v>3</v>
      </c>
      <c r="AE2905" s="11" t="n">
        <v>1.011296296296296</v>
      </c>
      <c r="AF2905" s="16">
        <f>SUMPRODUCT(N2905:Y2905,$N$5:$Y$5)*$K2905*$L2905*$M2905</f>
        <v/>
      </c>
      <c r="AG2905" s="16">
        <f>SUMPRODUCT(N2905:Y2905,$N$6:$Y$6)*$K2905*$L2905*$M2905</f>
        <v/>
      </c>
      <c r="AH2905" s="20" t="n"/>
    </row>
    <row r="2906">
      <c r="A2906" s="9" t="n">
        <v>809223</v>
      </c>
      <c r="B2906" s="9" t="inlineStr">
        <is>
          <t>Tzu-Chen Sha</t>
        </is>
      </c>
      <c r="C2906" s="9" t="inlineStr">
        <is>
          <t>OAK</t>
        </is>
      </c>
      <c r="D2906" s="9" t="n">
        <v>25</v>
      </c>
      <c r="E2906" s="18" t="inlineStr">
        <is>
          <t>R</t>
        </is>
      </c>
      <c r="F2906" s="18" t="n"/>
      <c r="G2906" s="9" t="n">
        <v>62.20666666666666</v>
      </c>
      <c r="H2906" s="9" t="n">
        <v>62.20666666666666</v>
      </c>
      <c r="I2906" s="9" t="inlineStr">
        <is>
          <t>Depth (no MLB IP)</t>
        </is>
      </c>
      <c r="J2906" s="18" t="inlineStr">
        <is>
          <t>Opening Day</t>
        </is>
      </c>
      <c r="K2906" s="11">
        <f>IFERROR(INDEX(Roles!$B$17:$B$20,MATCH(J2906,Roles!$A$17:$A$20,0)),1)</f>
        <v/>
      </c>
      <c r="L2906" s="19" t="n">
        <v>1</v>
      </c>
      <c r="M2906" s="11" t="n">
        <v>1</v>
      </c>
      <c r="N2906" s="19" t="n"/>
      <c r="O2906" s="19" t="n"/>
      <c r="P2906" s="19" t="n"/>
      <c r="Q2906" s="19" t="n"/>
      <c r="R2906" s="19" t="n"/>
      <c r="S2906" s="19" t="n"/>
      <c r="T2906" s="19" t="n"/>
      <c r="U2906" s="19" t="n"/>
      <c r="V2906" s="19" t="n"/>
      <c r="W2906" s="19" t="n"/>
      <c r="X2906" s="19" t="n"/>
      <c r="Y2906" s="19" t="n">
        <v>1</v>
      </c>
      <c r="Z2906" s="13">
        <f>SUMPRODUCT(N2906:Y2906,$N$2:$Y$2)*$K2906*$L2906*$M2906</f>
        <v/>
      </c>
      <c r="AA2906" s="14">
        <f>SUM(N2906:Y2906)</f>
        <v/>
      </c>
      <c r="AB2906" s="13">
        <f>SUMPRODUCT(N2906:Y2906,$N$3:$Y$3)*$K2906*$L2906*$M2906</f>
        <v/>
      </c>
      <c r="AC2906" s="13">
        <f>SUMPRODUCT(N2906:Y2906,$N$4:$Y$4)*$K2906*$L2906*$M2906</f>
        <v/>
      </c>
      <c r="AD2906" s="15" t="n">
        <v>3</v>
      </c>
      <c r="AE2906" s="11" t="n">
        <v>1.011296296296296</v>
      </c>
      <c r="AF2906" s="16">
        <f>SUMPRODUCT(N2906:Y2906,$N$5:$Y$5)*$K2906*$L2906*$M2906</f>
        <v/>
      </c>
      <c r="AG2906" s="16">
        <f>SUMPRODUCT(N2906:Y2906,$N$6:$Y$6)*$K2906*$L2906*$M2906</f>
        <v/>
      </c>
      <c r="AH2906" s="20" t="n"/>
    </row>
    <row r="2907">
      <c r="A2907" s="9" t="n">
        <v>678215</v>
      </c>
      <c r="B2907" s="9" t="inlineStr">
        <is>
          <t>Luarbert Arias</t>
        </is>
      </c>
      <c r="C2907" s="9" t="inlineStr">
        <is>
          <t>MIA</t>
        </is>
      </c>
      <c r="D2907" s="9" t="n">
        <v>26</v>
      </c>
      <c r="E2907" s="18" t="inlineStr">
        <is>
          <t>R</t>
        </is>
      </c>
      <c r="F2907" s="18" t="n"/>
      <c r="G2907" s="9" t="n">
        <v>55</v>
      </c>
      <c r="H2907" s="9" t="n">
        <v>55</v>
      </c>
      <c r="I2907" s="9" t="inlineStr">
        <is>
          <t>Bullpen Depth Arm</t>
        </is>
      </c>
      <c r="J2907" s="18" t="inlineStr">
        <is>
          <t>Opening Day</t>
        </is>
      </c>
      <c r="K2907" s="11">
        <f>IFERROR(INDEX(Roles!$B$17:$B$20,MATCH(J2907,Roles!$A$17:$A$20,0)),1)</f>
        <v/>
      </c>
      <c r="L2907" s="19" t="n">
        <v>1</v>
      </c>
      <c r="M2907" s="11" t="n">
        <v>1</v>
      </c>
      <c r="N2907" s="19" t="n"/>
      <c r="O2907" s="19" t="n"/>
      <c r="P2907" s="19" t="n"/>
      <c r="Q2907" s="19" t="n"/>
      <c r="R2907" s="19" t="n"/>
      <c r="S2907" s="19" t="n"/>
      <c r="T2907" s="19" t="n"/>
      <c r="U2907" s="19" t="n"/>
      <c r="V2907" s="19" t="n"/>
      <c r="W2907" s="19" t="n">
        <v>1</v>
      </c>
      <c r="X2907" s="19" t="n"/>
      <c r="Y2907" s="19" t="n"/>
      <c r="Z2907" s="13">
        <f>SUMPRODUCT(N2907:Y2907,$N$2:$Y$2)*$K2907*$L2907*$M2907</f>
        <v/>
      </c>
      <c r="AA2907" s="14">
        <f>SUM(N2907:Y2907)</f>
        <v/>
      </c>
      <c r="AB2907" s="13">
        <f>SUMPRODUCT(N2907:Y2907,$N$3:$Y$3)*$K2907*$L2907*$M2907</f>
        <v/>
      </c>
      <c r="AC2907" s="13">
        <f>SUMPRODUCT(N2907:Y2907,$N$4:$Y$4)*$K2907*$L2907*$M2907</f>
        <v/>
      </c>
      <c r="AD2907" s="15" t="n">
        <v>9.866666666666664</v>
      </c>
      <c r="AE2907" s="11" t="n">
        <v>1.29357062690396</v>
      </c>
      <c r="AF2907" s="16">
        <f>SUMPRODUCT(N2907:Y2907,$N$5:$Y$5)*$K2907*$L2907*$M2907</f>
        <v/>
      </c>
      <c r="AG2907" s="16">
        <f>SUMPRODUCT(N2907:Y2907,$N$6:$Y$6)*$K2907*$L2907*$M2907</f>
        <v/>
      </c>
      <c r="AH2907" s="20" t="n"/>
    </row>
    <row r="2908">
      <c r="A2908" s="9" t="n">
        <v>687825</v>
      </c>
      <c r="B2908" s="9" t="inlineStr">
        <is>
          <t>Tyler Santana</t>
        </is>
      </c>
      <c r="C2908" s="9" t="inlineStr">
        <is>
          <t>CHC</t>
        </is>
      </c>
      <c r="D2908" s="9" t="n">
        <v>25</v>
      </c>
      <c r="E2908" s="18" t="inlineStr">
        <is>
          <t>R</t>
        </is>
      </c>
      <c r="F2908" s="18" t="n"/>
      <c r="G2908" s="9" t="n">
        <v>62.27833333333333</v>
      </c>
      <c r="H2908" s="9" t="n">
        <v>62.27833333333333</v>
      </c>
      <c r="I2908" s="9" t="inlineStr">
        <is>
          <t>Depth (no MLB IP)</t>
        </is>
      </c>
      <c r="J2908" s="18" t="inlineStr">
        <is>
          <t>Opening Day</t>
        </is>
      </c>
      <c r="K2908" s="11">
        <f>IFERROR(INDEX(Roles!$B$17:$B$20,MATCH(J2908,Roles!$A$17:$A$20,0)),1)</f>
        <v/>
      </c>
      <c r="L2908" s="19" t="n">
        <v>1</v>
      </c>
      <c r="M2908" s="11" t="n">
        <v>1</v>
      </c>
      <c r="N2908" s="19" t="n"/>
      <c r="O2908" s="19" t="n"/>
      <c r="P2908" s="19" t="n"/>
      <c r="Q2908" s="19" t="n"/>
      <c r="R2908" s="19" t="n"/>
      <c r="S2908" s="19" t="n"/>
      <c r="T2908" s="19" t="n"/>
      <c r="U2908" s="19" t="n"/>
      <c r="V2908" s="19" t="n"/>
      <c r="W2908" s="19" t="n"/>
      <c r="X2908" s="19" t="n"/>
      <c r="Y2908" s="19" t="n">
        <v>1</v>
      </c>
      <c r="Z2908" s="13">
        <f>SUMPRODUCT(N2908:Y2908,$N$2:$Y$2)*$K2908*$L2908*$M2908</f>
        <v/>
      </c>
      <c r="AA2908" s="14">
        <f>SUM(N2908:Y2908)</f>
        <v/>
      </c>
      <c r="AB2908" s="13">
        <f>SUMPRODUCT(N2908:Y2908,$N$3:$Y$3)*$K2908*$L2908*$M2908</f>
        <v/>
      </c>
      <c r="AC2908" s="13">
        <f>SUMPRODUCT(N2908:Y2908,$N$4:$Y$4)*$K2908*$L2908*$M2908</f>
        <v/>
      </c>
      <c r="AD2908" s="15" t="n">
        <v>3</v>
      </c>
      <c r="AE2908" s="11" t="n">
        <v>1.011296296296296</v>
      </c>
      <c r="AF2908" s="16">
        <f>SUMPRODUCT(N2908:Y2908,$N$5:$Y$5)*$K2908*$L2908*$M2908</f>
        <v/>
      </c>
      <c r="AG2908" s="16">
        <f>SUMPRODUCT(N2908:Y2908,$N$6:$Y$6)*$K2908*$L2908*$M2908</f>
        <v/>
      </c>
      <c r="AH2908" s="20" t="n"/>
    </row>
    <row r="2909">
      <c r="A2909" s="9" t="n">
        <v>621107</v>
      </c>
      <c r="B2909" s="9" t="inlineStr">
        <is>
          <t>Zach Eflin</t>
        </is>
      </c>
      <c r="C2909" s="9" t="inlineStr">
        <is>
          <t>BAL</t>
        </is>
      </c>
      <c r="D2909" s="9" t="n">
        <v>33</v>
      </c>
      <c r="E2909" s="18" t="inlineStr">
        <is>
          <t>R</t>
        </is>
      </c>
      <c r="F2909" s="18" t="n"/>
      <c r="G2909" s="9" t="n">
        <v>17</v>
      </c>
      <c r="H2909" s="9" t="n">
        <v>2026</v>
      </c>
      <c r="I2909" s="9" t="inlineStr">
        <is>
          <t>Swing Arm / Long Relief</t>
        </is>
      </c>
      <c r="J2909" s="18" t="inlineStr">
        <is>
          <t>Opening Day</t>
        </is>
      </c>
      <c r="K2909" s="11">
        <f>IFERROR(INDEX(Roles!$B$17:$B$20,MATCH(J2909,Roles!$A$17:$A$20,0)),1)</f>
        <v/>
      </c>
      <c r="L2909" s="19" t="n">
        <v>1</v>
      </c>
      <c r="M2909" s="11" t="n">
        <v>1</v>
      </c>
      <c r="N2909" s="19" t="n"/>
      <c r="O2909" s="19" t="n"/>
      <c r="P2909" s="19" t="n"/>
      <c r="Q2909" s="19" t="n"/>
      <c r="R2909" s="19" t="n">
        <v>0.5</v>
      </c>
      <c r="S2909" s="19" t="n"/>
      <c r="T2909" s="19" t="n"/>
      <c r="U2909" s="19" t="n"/>
      <c r="V2909" s="19" t="n">
        <v>0.5</v>
      </c>
      <c r="W2909" s="19" t="n"/>
      <c r="X2909" s="19" t="n"/>
      <c r="Y2909" s="19" t="n"/>
      <c r="Z2909" s="13">
        <f>SUMPRODUCT(N2909:Y2909,$N$2:$Y$2)*$K2909*$L2909*$M2909</f>
        <v/>
      </c>
      <c r="AA2909" s="14">
        <f>SUM(N2909:Y2909)</f>
        <v/>
      </c>
      <c r="AB2909" s="13">
        <f>SUMPRODUCT(N2909:Y2909,$N$3:$Y$3)*$K2909*$L2909*$M2909</f>
        <v/>
      </c>
      <c r="AC2909" s="13">
        <f>SUMPRODUCT(N2909:Y2909,$N$4:$Y$4)*$K2909*$L2909*$M2909</f>
        <v/>
      </c>
      <c r="AD2909" s="15" t="n">
        <v>14.03333333333333</v>
      </c>
      <c r="AE2909" s="11" t="n">
        <v>3.470748047297089</v>
      </c>
      <c r="AF2909" s="16">
        <f>SUMPRODUCT(N2909:Y2909,$N$5:$Y$5)*$K2909*$L2909*$M2909</f>
        <v/>
      </c>
      <c r="AG2909" s="16">
        <f>SUMPRODUCT(N2909:Y2909,$N$6:$Y$6)*$K2909*$L2909*$M2909</f>
        <v/>
      </c>
      <c r="AH2909" s="20" t="n"/>
    </row>
    <row r="2910">
      <c r="A2910" s="9" t="n">
        <v>696147</v>
      </c>
      <c r="B2910" s="9" t="inlineStr">
        <is>
          <t>Sam Bachman</t>
        </is>
      </c>
      <c r="C2910" s="9" t="inlineStr">
        <is>
          <t>LAA</t>
        </is>
      </c>
      <c r="D2910" s="9" t="n">
        <v>27</v>
      </c>
      <c r="E2910" s="18" t="inlineStr">
        <is>
          <t>R</t>
        </is>
      </c>
      <c r="F2910" s="18" t="n"/>
      <c r="G2910" s="9" t="n">
        <v>217</v>
      </c>
      <c r="H2910" s="9" t="n">
        <v>388</v>
      </c>
      <c r="I2910" s="9" t="inlineStr">
        <is>
          <t>Late Inning RP (Setup)</t>
        </is>
      </c>
      <c r="J2910" s="18" t="inlineStr">
        <is>
          <t>Opening Day</t>
        </is>
      </c>
      <c r="K2910" s="11">
        <f>IFERROR(INDEX(Roles!$B$17:$B$20,MATCH(J2910,Roles!$A$17:$A$20,0)),1)</f>
        <v/>
      </c>
      <c r="L2910" s="19" t="n">
        <v>1</v>
      </c>
      <c r="M2910" s="11" t="n">
        <v>1</v>
      </c>
      <c r="N2910" s="19" t="n"/>
      <c r="O2910" s="19" t="n"/>
      <c r="P2910" s="19" t="n"/>
      <c r="Q2910" s="19" t="n"/>
      <c r="R2910" s="19" t="n"/>
      <c r="S2910" s="19" t="n"/>
      <c r="T2910" s="19" t="n"/>
      <c r="U2910" s="19" t="n">
        <v>0.85</v>
      </c>
      <c r="V2910" s="19" t="n">
        <v>0.15</v>
      </c>
      <c r="W2910" s="19" t="n"/>
      <c r="X2910" s="19" t="n"/>
      <c r="Y2910" s="19" t="n"/>
      <c r="Z2910" s="13">
        <f>SUMPRODUCT(N2910:Y2910,$N$2:$Y$2)*$K2910*$L2910*$M2910</f>
        <v/>
      </c>
      <c r="AA2910" s="14">
        <f>SUM(N2910:Y2910)</f>
        <v/>
      </c>
      <c r="AB2910" s="13">
        <f>SUMPRODUCT(N2910:Y2910,$N$3:$Y$3)*$K2910*$L2910*$M2910</f>
        <v/>
      </c>
      <c r="AC2910" s="13">
        <f>SUMPRODUCT(N2910:Y2910,$N$4:$Y$4)*$K2910*$L2910*$M2910</f>
        <v/>
      </c>
      <c r="AD2910" s="15" t="n">
        <v>40.56</v>
      </c>
      <c r="AE2910" s="11" t="n">
        <v>1.009285268414482</v>
      </c>
      <c r="AF2910" s="16">
        <f>SUMPRODUCT(N2910:Y2910,$N$5:$Y$5)*$K2910*$L2910*$M2910</f>
        <v/>
      </c>
      <c r="AG2910" s="16">
        <f>SUMPRODUCT(N2910:Y2910,$N$6:$Y$6)*$K2910*$L2910*$M2910</f>
        <v/>
      </c>
      <c r="AH2910" s="20" t="n"/>
    </row>
    <row r="2911">
      <c r="A2911" s="9" t="n">
        <v>677334</v>
      </c>
      <c r="B2911" s="9" t="inlineStr">
        <is>
          <t>T.J. Fondtain</t>
        </is>
      </c>
      <c r="C2911" s="9" t="inlineStr">
        <is>
          <t>TB</t>
        </is>
      </c>
      <c r="D2911" s="9" t="n">
        <v>25</v>
      </c>
      <c r="E2911" s="18" t="inlineStr">
        <is>
          <t>L</t>
        </is>
      </c>
      <c r="F2911" s="18" t="n"/>
      <c r="G2911" s="9" t="n">
        <v>62.70833333333333</v>
      </c>
      <c r="H2911" s="9" t="n">
        <v>62.70833333333333</v>
      </c>
      <c r="I2911" s="9" t="inlineStr">
        <is>
          <t>Depth (no MLB IP)</t>
        </is>
      </c>
      <c r="J2911" s="18" t="inlineStr">
        <is>
          <t>Opening Day</t>
        </is>
      </c>
      <c r="K2911" s="11">
        <f>IFERROR(INDEX(Roles!$B$17:$B$20,MATCH(J2911,Roles!$A$17:$A$20,0)),1)</f>
        <v/>
      </c>
      <c r="L2911" s="19" t="n">
        <v>1</v>
      </c>
      <c r="M2911" s="11" t="n">
        <v>1</v>
      </c>
      <c r="N2911" s="19" t="n"/>
      <c r="O2911" s="19" t="n"/>
      <c r="P2911" s="19" t="n"/>
      <c r="Q2911" s="19" t="n"/>
      <c r="R2911" s="19" t="n"/>
      <c r="S2911" s="19" t="n"/>
      <c r="T2911" s="19" t="n"/>
      <c r="U2911" s="19" t="n"/>
      <c r="V2911" s="19" t="n"/>
      <c r="W2911" s="19" t="n"/>
      <c r="X2911" s="19" t="n"/>
      <c r="Y2911" s="19" t="n">
        <v>1</v>
      </c>
      <c r="Z2911" s="13">
        <f>SUMPRODUCT(N2911:Y2911,$N$2:$Y$2)*$K2911*$L2911*$M2911</f>
        <v/>
      </c>
      <c r="AA2911" s="14">
        <f>SUM(N2911:Y2911)</f>
        <v/>
      </c>
      <c r="AB2911" s="13">
        <f>SUMPRODUCT(N2911:Y2911,$N$3:$Y$3)*$K2911*$L2911*$M2911</f>
        <v/>
      </c>
      <c r="AC2911" s="13">
        <f>SUMPRODUCT(N2911:Y2911,$N$4:$Y$4)*$K2911*$L2911*$M2911</f>
        <v/>
      </c>
      <c r="AD2911" s="15" t="n">
        <v>3</v>
      </c>
      <c r="AE2911" s="11" t="n">
        <v>1.011296296296296</v>
      </c>
      <c r="AF2911" s="16">
        <f>SUMPRODUCT(N2911:Y2911,$N$5:$Y$5)*$K2911*$L2911*$M2911</f>
        <v/>
      </c>
      <c r="AG2911" s="16">
        <f>SUMPRODUCT(N2911:Y2911,$N$6:$Y$6)*$K2911*$L2911*$M2911</f>
        <v/>
      </c>
      <c r="AH2911" s="20" t="n"/>
    </row>
    <row r="2912">
      <c r="A2912" s="9" t="n">
        <v>669142</v>
      </c>
      <c r="B2912" s="9" t="inlineStr">
        <is>
          <t>Tanner Burns</t>
        </is>
      </c>
      <c r="C2912" s="9" t="inlineStr">
        <is>
          <t>CLE</t>
        </is>
      </c>
      <c r="D2912" s="9" t="n">
        <v>25</v>
      </c>
      <c r="E2912" s="18" t="inlineStr">
        <is>
          <t>R</t>
        </is>
      </c>
      <c r="F2912" s="18" t="n"/>
      <c r="G2912" s="9" t="n">
        <v>63.06666666666668</v>
      </c>
      <c r="H2912" s="9" t="n">
        <v>63.06666666666668</v>
      </c>
      <c r="I2912" s="9" t="inlineStr">
        <is>
          <t>Depth (no MLB IP)</t>
        </is>
      </c>
      <c r="J2912" s="18" t="inlineStr">
        <is>
          <t>Opening Day</t>
        </is>
      </c>
      <c r="K2912" s="11">
        <f>IFERROR(INDEX(Roles!$B$17:$B$20,MATCH(J2912,Roles!$A$17:$A$20,0)),1)</f>
        <v/>
      </c>
      <c r="L2912" s="19" t="n">
        <v>1</v>
      </c>
      <c r="M2912" s="11" t="n">
        <v>1</v>
      </c>
      <c r="N2912" s="19" t="n"/>
      <c r="O2912" s="19" t="n"/>
      <c r="P2912" s="19" t="n"/>
      <c r="Q2912" s="19" t="n"/>
      <c r="R2912" s="19" t="n"/>
      <c r="S2912" s="19" t="n"/>
      <c r="T2912" s="19" t="n"/>
      <c r="U2912" s="19" t="n"/>
      <c r="V2912" s="19" t="n"/>
      <c r="W2912" s="19" t="n"/>
      <c r="X2912" s="19" t="n"/>
      <c r="Y2912" s="19" t="n">
        <v>1</v>
      </c>
      <c r="Z2912" s="13">
        <f>SUMPRODUCT(N2912:Y2912,$N$2:$Y$2)*$K2912*$L2912*$M2912</f>
        <v/>
      </c>
      <c r="AA2912" s="14">
        <f>SUM(N2912:Y2912)</f>
        <v/>
      </c>
      <c r="AB2912" s="13">
        <f>SUMPRODUCT(N2912:Y2912,$N$3:$Y$3)*$K2912*$L2912*$M2912</f>
        <v/>
      </c>
      <c r="AC2912" s="13">
        <f>SUMPRODUCT(N2912:Y2912,$N$4:$Y$4)*$K2912*$L2912*$M2912</f>
        <v/>
      </c>
      <c r="AD2912" s="15" t="n">
        <v>3</v>
      </c>
      <c r="AE2912" s="11" t="n">
        <v>1.011296296296296</v>
      </c>
      <c r="AF2912" s="16">
        <f>SUMPRODUCT(N2912:Y2912,$N$5:$Y$5)*$K2912*$L2912*$M2912</f>
        <v/>
      </c>
      <c r="AG2912" s="16">
        <f>SUMPRODUCT(N2912:Y2912,$N$6:$Y$6)*$K2912*$L2912*$M2912</f>
        <v/>
      </c>
      <c r="AH2912" s="20" t="n"/>
    </row>
    <row r="2913">
      <c r="A2913" s="9" t="n">
        <v>833439</v>
      </c>
      <c r="B2913" s="9" t="inlineStr">
        <is>
          <t>Peyton Fosher</t>
        </is>
      </c>
      <c r="C2913" s="9" t="inlineStr">
        <is>
          <t>MIA</t>
        </is>
      </c>
      <c r="D2913" s="9" t="n">
        <v>25</v>
      </c>
      <c r="E2913" s="18" t="inlineStr">
        <is>
          <t>R</t>
        </is>
      </c>
      <c r="F2913" s="18" t="n"/>
      <c r="G2913" s="9" t="n">
        <v>63.06666666666666</v>
      </c>
      <c r="H2913" s="9" t="n">
        <v>63.06666666666666</v>
      </c>
      <c r="I2913" s="9" t="inlineStr">
        <is>
          <t>Depth (no MLB IP)</t>
        </is>
      </c>
      <c r="J2913" s="18" t="inlineStr">
        <is>
          <t>Opening Day</t>
        </is>
      </c>
      <c r="K2913" s="11">
        <f>IFERROR(INDEX(Roles!$B$17:$B$20,MATCH(J2913,Roles!$A$17:$A$20,0)),1)</f>
        <v/>
      </c>
      <c r="L2913" s="19" t="n">
        <v>1</v>
      </c>
      <c r="M2913" s="11" t="n">
        <v>1</v>
      </c>
      <c r="N2913" s="19" t="n"/>
      <c r="O2913" s="19" t="n"/>
      <c r="P2913" s="19" t="n"/>
      <c r="Q2913" s="19" t="n"/>
      <c r="R2913" s="19" t="n"/>
      <c r="S2913" s="19" t="n"/>
      <c r="T2913" s="19" t="n"/>
      <c r="U2913" s="19" t="n"/>
      <c r="V2913" s="19" t="n"/>
      <c r="W2913" s="19" t="n"/>
      <c r="X2913" s="19" t="n"/>
      <c r="Y2913" s="19" t="n">
        <v>1</v>
      </c>
      <c r="Z2913" s="13">
        <f>SUMPRODUCT(N2913:Y2913,$N$2:$Y$2)*$K2913*$L2913*$M2913</f>
        <v/>
      </c>
      <c r="AA2913" s="14">
        <f>SUM(N2913:Y2913)</f>
        <v/>
      </c>
      <c r="AB2913" s="13">
        <f>SUMPRODUCT(N2913:Y2913,$N$3:$Y$3)*$K2913*$L2913*$M2913</f>
        <v/>
      </c>
      <c r="AC2913" s="13">
        <f>SUMPRODUCT(N2913:Y2913,$N$4:$Y$4)*$K2913*$L2913*$M2913</f>
        <v/>
      </c>
      <c r="AD2913" s="15" t="n">
        <v>3</v>
      </c>
      <c r="AE2913" s="11" t="n">
        <v>1.011296296296296</v>
      </c>
      <c r="AF2913" s="16">
        <f>SUMPRODUCT(N2913:Y2913,$N$5:$Y$5)*$K2913*$L2913*$M2913</f>
        <v/>
      </c>
      <c r="AG2913" s="16">
        <f>SUMPRODUCT(N2913:Y2913,$N$6:$Y$6)*$K2913*$L2913*$M2913</f>
        <v/>
      </c>
      <c r="AH2913" s="20" t="n"/>
    </row>
    <row r="2914">
      <c r="A2914" s="9" t="n">
        <v>676609</v>
      </c>
      <c r="B2914" s="9" t="inlineStr">
        <is>
          <t>José Caballero</t>
        </is>
      </c>
      <c r="C2914" s="9" t="inlineStr">
        <is>
          <t>TB</t>
        </is>
      </c>
      <c r="D2914" s="9" t="n">
        <v>30</v>
      </c>
      <c r="E2914" s="18" t="inlineStr">
        <is>
          <t>R</t>
        </is>
      </c>
      <c r="F2914" s="18" t="n"/>
      <c r="G2914" s="9" t="n">
        <v>9</v>
      </c>
      <c r="H2914" s="9" t="n">
        <v>9</v>
      </c>
      <c r="I2914" s="9" t="inlineStr">
        <is>
          <t>Depth (no MLB IP)</t>
        </is>
      </c>
      <c r="J2914" s="18" t="inlineStr">
        <is>
          <t>Opening Day</t>
        </is>
      </c>
      <c r="K2914" s="11">
        <f>IFERROR(INDEX(Roles!$B$17:$B$20,MATCH(J2914,Roles!$A$17:$A$20,0)),1)</f>
        <v/>
      </c>
      <c r="L2914" s="19" t="n">
        <v>1</v>
      </c>
      <c r="M2914" s="11" t="n">
        <v>1</v>
      </c>
      <c r="N2914" s="19" t="n"/>
      <c r="O2914" s="19" t="n"/>
      <c r="P2914" s="19" t="n"/>
      <c r="Q2914" s="19" t="n"/>
      <c r="R2914" s="19" t="n"/>
      <c r="S2914" s="19" t="n"/>
      <c r="T2914" s="19" t="n"/>
      <c r="U2914" s="19" t="n"/>
      <c r="V2914" s="19" t="n"/>
      <c r="W2914" s="19" t="n"/>
      <c r="X2914" s="19" t="n"/>
      <c r="Y2914" s="19" t="n">
        <v>1</v>
      </c>
      <c r="Z2914" s="13">
        <f>SUMPRODUCT(N2914:Y2914,$N$2:$Y$2)*$K2914*$L2914*$M2914</f>
        <v/>
      </c>
      <c r="AA2914" s="14">
        <f>SUM(N2914:Y2914)</f>
        <v/>
      </c>
      <c r="AB2914" s="13">
        <f>SUMPRODUCT(N2914:Y2914,$N$3:$Y$3)*$K2914*$L2914*$M2914</f>
        <v/>
      </c>
      <c r="AC2914" s="13">
        <f>SUMPRODUCT(N2914:Y2914,$N$4:$Y$4)*$K2914*$L2914*$M2914</f>
        <v/>
      </c>
      <c r="AD2914" s="15" t="n">
        <v>1.8</v>
      </c>
      <c r="AE2914" s="11" t="n">
        <v>1.007530864197531</v>
      </c>
      <c r="AF2914" s="16">
        <f>SUMPRODUCT(N2914:Y2914,$N$5:$Y$5)*$K2914*$L2914*$M2914</f>
        <v/>
      </c>
      <c r="AG2914" s="16">
        <f>SUMPRODUCT(N2914:Y2914,$N$6:$Y$6)*$K2914*$L2914*$M2914</f>
        <v/>
      </c>
      <c r="AH2914" s="20" t="n"/>
    </row>
    <row r="2915">
      <c r="A2915" s="9" t="n">
        <v>641582</v>
      </c>
      <c r="B2915" s="9" t="inlineStr">
        <is>
          <t>Matt Foster</t>
        </is>
      </c>
      <c r="C2915" s="9" t="inlineStr">
        <is>
          <t>CWS</t>
        </is>
      </c>
      <c r="D2915" s="9" t="n">
        <v>32</v>
      </c>
      <c r="E2915" s="18" t="inlineStr">
        <is>
          <t>R</t>
        </is>
      </c>
      <c r="F2915" s="18" t="n"/>
      <c r="G2915" s="9" t="n">
        <v>30</v>
      </c>
      <c r="H2915" s="9" t="n">
        <v>223</v>
      </c>
      <c r="I2915" s="9" t="inlineStr">
        <is>
          <t>Depth (no MLB IP)</t>
        </is>
      </c>
      <c r="J2915" s="18" t="inlineStr">
        <is>
          <t>Opening Day</t>
        </is>
      </c>
      <c r="K2915" s="11">
        <f>IFERROR(INDEX(Roles!$B$17:$B$20,MATCH(J2915,Roles!$A$17:$A$20,0)),1)</f>
        <v/>
      </c>
      <c r="L2915" s="19" t="n">
        <v>1</v>
      </c>
      <c r="M2915" s="11" t="n">
        <v>1</v>
      </c>
      <c r="N2915" s="19" t="n"/>
      <c r="O2915" s="19" t="n"/>
      <c r="P2915" s="19" t="n"/>
      <c r="Q2915" s="19" t="n"/>
      <c r="R2915" s="19" t="n"/>
      <c r="S2915" s="19" t="n"/>
      <c r="T2915" s="19" t="n"/>
      <c r="U2915" s="19" t="n"/>
      <c r="V2915" s="19" t="n"/>
      <c r="W2915" s="19" t="n"/>
      <c r="X2915" s="19" t="n"/>
      <c r="Y2915" s="19" t="n">
        <v>1</v>
      </c>
      <c r="Z2915" s="13">
        <f>SUMPRODUCT(N2915:Y2915,$N$2:$Y$2)*$K2915*$L2915*$M2915</f>
        <v/>
      </c>
      <c r="AA2915" s="14">
        <f>SUM(N2915:Y2915)</f>
        <v/>
      </c>
      <c r="AB2915" s="13">
        <f>SUMPRODUCT(N2915:Y2915,$N$3:$Y$3)*$K2915*$L2915*$M2915</f>
        <v/>
      </c>
      <c r="AC2915" s="13">
        <f>SUMPRODUCT(N2915:Y2915,$N$4:$Y$4)*$K2915*$L2915*$M2915</f>
        <v/>
      </c>
      <c r="AD2915" s="15" t="n">
        <v>4.8</v>
      </c>
      <c r="AE2915" s="11" t="n">
        <v>1.044567901234568</v>
      </c>
      <c r="AF2915" s="16">
        <f>SUMPRODUCT(N2915:Y2915,$N$5:$Y$5)*$K2915*$L2915*$M2915</f>
        <v/>
      </c>
      <c r="AG2915" s="16">
        <f>SUMPRODUCT(N2915:Y2915,$N$6:$Y$6)*$K2915*$L2915*$M2915</f>
        <v/>
      </c>
      <c r="AH2915" s="20" t="n"/>
    </row>
    <row r="2916">
      <c r="A2916" s="9" t="n">
        <v>669450</v>
      </c>
      <c r="B2916" s="9" t="inlineStr">
        <is>
          <t>Cooper Hummel</t>
        </is>
      </c>
      <c r="C2916" s="9" t="inlineStr">
        <is>
          <t>HOU</t>
        </is>
      </c>
      <c r="D2916" s="9" t="n">
        <v>32</v>
      </c>
      <c r="E2916" s="18" t="inlineStr">
        <is>
          <t>R</t>
        </is>
      </c>
      <c r="F2916" s="18" t="n"/>
      <c r="G2916" s="9" t="n">
        <v>9</v>
      </c>
      <c r="H2916" s="9" t="n">
        <v>9</v>
      </c>
      <c r="I2916" s="9" t="inlineStr">
        <is>
          <t>Depth (no MLB IP)</t>
        </is>
      </c>
      <c r="J2916" s="18" t="inlineStr">
        <is>
          <t>Opening Day</t>
        </is>
      </c>
      <c r="K2916" s="11">
        <f>IFERROR(INDEX(Roles!$B$17:$B$20,MATCH(J2916,Roles!$A$17:$A$20,0)),1)</f>
        <v/>
      </c>
      <c r="L2916" s="19" t="n">
        <v>1</v>
      </c>
      <c r="M2916" s="11" t="n">
        <v>1</v>
      </c>
      <c r="N2916" s="19" t="n"/>
      <c r="O2916" s="19" t="n"/>
      <c r="P2916" s="19" t="n"/>
      <c r="Q2916" s="19" t="n"/>
      <c r="R2916" s="19" t="n"/>
      <c r="S2916" s="19" t="n"/>
      <c r="T2916" s="19" t="n"/>
      <c r="U2916" s="19" t="n"/>
      <c r="V2916" s="19" t="n"/>
      <c r="W2916" s="19" t="n"/>
      <c r="X2916" s="19" t="n"/>
      <c r="Y2916" s="19" t="n">
        <v>1</v>
      </c>
      <c r="Z2916" s="13">
        <f>SUMPRODUCT(N2916:Y2916,$N$2:$Y$2)*$K2916*$L2916*$M2916</f>
        <v/>
      </c>
      <c r="AA2916" s="14">
        <f>SUM(N2916:Y2916)</f>
        <v/>
      </c>
      <c r="AB2916" s="13">
        <f>SUMPRODUCT(N2916:Y2916,$N$3:$Y$3)*$K2916*$L2916*$M2916</f>
        <v/>
      </c>
      <c r="AC2916" s="13">
        <f>SUMPRODUCT(N2916:Y2916,$N$4:$Y$4)*$K2916*$L2916*$M2916</f>
        <v/>
      </c>
      <c r="AD2916" s="15" t="n">
        <v>1.8</v>
      </c>
      <c r="AE2916" s="11" t="n">
        <v>1.007530864197531</v>
      </c>
      <c r="AF2916" s="16">
        <f>SUMPRODUCT(N2916:Y2916,$N$5:$Y$5)*$K2916*$L2916*$M2916</f>
        <v/>
      </c>
      <c r="AG2916" s="16">
        <f>SUMPRODUCT(N2916:Y2916,$N$6:$Y$6)*$K2916*$L2916*$M2916</f>
        <v/>
      </c>
      <c r="AH2916" s="20" t="n"/>
    </row>
    <row r="2917">
      <c r="A2917" s="9" t="n">
        <v>681041</v>
      </c>
      <c r="B2917" s="9" t="inlineStr">
        <is>
          <t>Marcelo Perez</t>
        </is>
      </c>
      <c r="C2917" s="9" t="inlineStr">
        <is>
          <t>SEA</t>
        </is>
      </c>
      <c r="D2917" s="9" t="n">
        <v>25</v>
      </c>
      <c r="E2917" s="18" t="inlineStr">
        <is>
          <t>R</t>
        </is>
      </c>
      <c r="F2917" s="18" t="n"/>
      <c r="G2917" s="9" t="n">
        <v>63.21</v>
      </c>
      <c r="H2917" s="9" t="n">
        <v>63.21</v>
      </c>
      <c r="I2917" s="9" t="inlineStr">
        <is>
          <t>Depth (no MLB IP)</t>
        </is>
      </c>
      <c r="J2917" s="18" t="inlineStr">
        <is>
          <t>Opening Day</t>
        </is>
      </c>
      <c r="K2917" s="11">
        <f>IFERROR(INDEX(Roles!$B$17:$B$20,MATCH(J2917,Roles!$A$17:$A$20,0)),1)</f>
        <v/>
      </c>
      <c r="L2917" s="19" t="n">
        <v>1</v>
      </c>
      <c r="M2917" s="11" t="n">
        <v>1</v>
      </c>
      <c r="N2917" s="19" t="n"/>
      <c r="O2917" s="19" t="n"/>
      <c r="P2917" s="19" t="n"/>
      <c r="Q2917" s="19" t="n"/>
      <c r="R2917" s="19" t="n"/>
      <c r="S2917" s="19" t="n"/>
      <c r="T2917" s="19" t="n"/>
      <c r="U2917" s="19" t="n"/>
      <c r="V2917" s="19" t="n"/>
      <c r="W2917" s="19" t="n"/>
      <c r="X2917" s="19" t="n"/>
      <c r="Y2917" s="19" t="n">
        <v>1</v>
      </c>
      <c r="Z2917" s="13">
        <f>SUMPRODUCT(N2917:Y2917,$N$2:$Y$2)*$K2917*$L2917*$M2917</f>
        <v/>
      </c>
      <c r="AA2917" s="14">
        <f>SUM(N2917:Y2917)</f>
        <v/>
      </c>
      <c r="AB2917" s="13">
        <f>SUMPRODUCT(N2917:Y2917,$N$3:$Y$3)*$K2917*$L2917*$M2917</f>
        <v/>
      </c>
      <c r="AC2917" s="13">
        <f>SUMPRODUCT(N2917:Y2917,$N$4:$Y$4)*$K2917*$L2917*$M2917</f>
        <v/>
      </c>
      <c r="AD2917" s="15" t="n">
        <v>3</v>
      </c>
      <c r="AE2917" s="11" t="n">
        <v>1.011296296296296</v>
      </c>
      <c r="AF2917" s="16">
        <f>SUMPRODUCT(N2917:Y2917,$N$5:$Y$5)*$K2917*$L2917*$M2917</f>
        <v/>
      </c>
      <c r="AG2917" s="16">
        <f>SUMPRODUCT(N2917:Y2917,$N$6:$Y$6)*$K2917*$L2917*$M2917</f>
        <v/>
      </c>
      <c r="AH2917" s="20" t="n"/>
    </row>
    <row r="2918">
      <c r="A2918" s="9" t="n">
        <v>702484</v>
      </c>
      <c r="B2918" s="9" t="inlineStr">
        <is>
          <t>Jackson Cox</t>
        </is>
      </c>
      <c r="C2918" s="9" t="inlineStr">
        <is>
          <t>COL</t>
        </is>
      </c>
      <c r="D2918" s="9" t="n">
        <v>25</v>
      </c>
      <c r="E2918" s="18" t="inlineStr">
        <is>
          <t>R</t>
        </is>
      </c>
      <c r="F2918" s="18" t="n"/>
      <c r="G2918" s="9" t="n">
        <v>63.21</v>
      </c>
      <c r="H2918" s="9" t="n">
        <v>63.21</v>
      </c>
      <c r="I2918" s="9" t="inlineStr">
        <is>
          <t>Depth (no MLB IP)</t>
        </is>
      </c>
      <c r="J2918" s="18" t="inlineStr">
        <is>
          <t>Opening Day</t>
        </is>
      </c>
      <c r="K2918" s="11">
        <f>IFERROR(INDEX(Roles!$B$17:$B$20,MATCH(J2918,Roles!$A$17:$A$20,0)),1)</f>
        <v/>
      </c>
      <c r="L2918" s="19" t="n">
        <v>1</v>
      </c>
      <c r="M2918" s="11" t="n">
        <v>1</v>
      </c>
      <c r="N2918" s="19" t="n"/>
      <c r="O2918" s="19" t="n"/>
      <c r="P2918" s="19" t="n"/>
      <c r="Q2918" s="19" t="n"/>
      <c r="R2918" s="19" t="n"/>
      <c r="S2918" s="19" t="n"/>
      <c r="T2918" s="19" t="n"/>
      <c r="U2918" s="19" t="n"/>
      <c r="V2918" s="19" t="n"/>
      <c r="W2918" s="19" t="n"/>
      <c r="X2918" s="19" t="n"/>
      <c r="Y2918" s="19" t="n">
        <v>1</v>
      </c>
      <c r="Z2918" s="13">
        <f>SUMPRODUCT(N2918:Y2918,$N$2:$Y$2)*$K2918*$L2918*$M2918</f>
        <v/>
      </c>
      <c r="AA2918" s="14">
        <f>SUM(N2918:Y2918)</f>
        <v/>
      </c>
      <c r="AB2918" s="13">
        <f>SUMPRODUCT(N2918:Y2918,$N$3:$Y$3)*$K2918*$L2918*$M2918</f>
        <v/>
      </c>
      <c r="AC2918" s="13">
        <f>SUMPRODUCT(N2918:Y2918,$N$4:$Y$4)*$K2918*$L2918*$M2918</f>
        <v/>
      </c>
      <c r="AD2918" s="15" t="n">
        <v>3</v>
      </c>
      <c r="AE2918" s="11" t="n">
        <v>1.011296296296296</v>
      </c>
      <c r="AF2918" s="16">
        <f>SUMPRODUCT(N2918:Y2918,$N$5:$Y$5)*$K2918*$L2918*$M2918</f>
        <v/>
      </c>
      <c r="AG2918" s="16">
        <f>SUMPRODUCT(N2918:Y2918,$N$6:$Y$6)*$K2918*$L2918*$M2918</f>
        <v/>
      </c>
      <c r="AH2918" s="20" t="n"/>
    </row>
    <row r="2919">
      <c r="A2919" s="9" t="n">
        <v>805266</v>
      </c>
      <c r="B2919" s="9" t="inlineStr">
        <is>
          <t>Jacob Bimbi</t>
        </is>
      </c>
      <c r="C2919" s="9" t="inlineStr">
        <is>
          <t>PIT</t>
        </is>
      </c>
      <c r="D2919" s="9" t="n">
        <v>25</v>
      </c>
      <c r="E2919" s="18" t="inlineStr">
        <is>
          <t>L</t>
        </is>
      </c>
      <c r="F2919" s="18" t="n"/>
      <c r="G2919" s="9" t="n">
        <v>63.35333333333333</v>
      </c>
      <c r="H2919" s="9" t="n">
        <v>63.35333333333333</v>
      </c>
      <c r="I2919" s="9" t="inlineStr">
        <is>
          <t>Depth (no MLB IP)</t>
        </is>
      </c>
      <c r="J2919" s="18" t="inlineStr">
        <is>
          <t>Opening Day</t>
        </is>
      </c>
      <c r="K2919" s="11">
        <f>IFERROR(INDEX(Roles!$B$17:$B$20,MATCH(J2919,Roles!$A$17:$A$20,0)),1)</f>
        <v/>
      </c>
      <c r="L2919" s="19" t="n">
        <v>1</v>
      </c>
      <c r="M2919" s="11" t="n">
        <v>1</v>
      </c>
      <c r="N2919" s="19" t="n"/>
      <c r="O2919" s="19" t="n"/>
      <c r="P2919" s="19" t="n"/>
      <c r="Q2919" s="19" t="n"/>
      <c r="R2919" s="19" t="n"/>
      <c r="S2919" s="19" t="n"/>
      <c r="T2919" s="19" t="n"/>
      <c r="U2919" s="19" t="n"/>
      <c r="V2919" s="19" t="n"/>
      <c r="W2919" s="19" t="n"/>
      <c r="X2919" s="19" t="n"/>
      <c r="Y2919" s="19" t="n">
        <v>1</v>
      </c>
      <c r="Z2919" s="13">
        <f>SUMPRODUCT(N2919:Y2919,$N$2:$Y$2)*$K2919*$L2919*$M2919</f>
        <v/>
      </c>
      <c r="AA2919" s="14">
        <f>SUM(N2919:Y2919)</f>
        <v/>
      </c>
      <c r="AB2919" s="13">
        <f>SUMPRODUCT(N2919:Y2919,$N$3:$Y$3)*$K2919*$L2919*$M2919</f>
        <v/>
      </c>
      <c r="AC2919" s="13">
        <f>SUMPRODUCT(N2919:Y2919,$N$4:$Y$4)*$K2919*$L2919*$M2919</f>
        <v/>
      </c>
      <c r="AD2919" s="15" t="n">
        <v>3</v>
      </c>
      <c r="AE2919" s="11" t="n">
        <v>1.011296296296296</v>
      </c>
      <c r="AF2919" s="16">
        <f>SUMPRODUCT(N2919:Y2919,$N$5:$Y$5)*$K2919*$L2919*$M2919</f>
        <v/>
      </c>
      <c r="AG2919" s="16">
        <f>SUMPRODUCT(N2919:Y2919,$N$6:$Y$6)*$K2919*$L2919*$M2919</f>
        <v/>
      </c>
      <c r="AH2919" s="20" t="n"/>
    </row>
    <row r="2920">
      <c r="A2920" s="9" t="n">
        <v>805702</v>
      </c>
      <c r="B2920" s="9" t="inlineStr">
        <is>
          <t>Jogly García</t>
        </is>
      </c>
      <c r="C2920" s="9" t="inlineStr">
        <is>
          <t>CLE</t>
        </is>
      </c>
      <c r="D2920" s="9" t="n">
        <v>25</v>
      </c>
      <c r="E2920" s="18" t="inlineStr">
        <is>
          <t>R</t>
        </is>
      </c>
      <c r="F2920" s="18" t="n"/>
      <c r="G2920" s="9" t="n">
        <v>63.35333333333333</v>
      </c>
      <c r="H2920" s="9" t="n">
        <v>63.35333333333333</v>
      </c>
      <c r="I2920" s="9" t="inlineStr">
        <is>
          <t>Depth (no MLB IP)</t>
        </is>
      </c>
      <c r="J2920" s="18" t="inlineStr">
        <is>
          <t>Opening Day</t>
        </is>
      </c>
      <c r="K2920" s="11">
        <f>IFERROR(INDEX(Roles!$B$17:$B$20,MATCH(J2920,Roles!$A$17:$A$20,0)),1)</f>
        <v/>
      </c>
      <c r="L2920" s="19" t="n">
        <v>1</v>
      </c>
      <c r="M2920" s="11" t="n">
        <v>1</v>
      </c>
      <c r="N2920" s="19" t="n"/>
      <c r="O2920" s="19" t="n"/>
      <c r="P2920" s="19" t="n"/>
      <c r="Q2920" s="19" t="n"/>
      <c r="R2920" s="19" t="n"/>
      <c r="S2920" s="19" t="n"/>
      <c r="T2920" s="19" t="n"/>
      <c r="U2920" s="19" t="n"/>
      <c r="V2920" s="19" t="n"/>
      <c r="W2920" s="19" t="n"/>
      <c r="X2920" s="19" t="n"/>
      <c r="Y2920" s="19" t="n">
        <v>1</v>
      </c>
      <c r="Z2920" s="13">
        <f>SUMPRODUCT(N2920:Y2920,$N$2:$Y$2)*$K2920*$L2920*$M2920</f>
        <v/>
      </c>
      <c r="AA2920" s="14">
        <f>SUM(N2920:Y2920)</f>
        <v/>
      </c>
      <c r="AB2920" s="13">
        <f>SUMPRODUCT(N2920:Y2920,$N$3:$Y$3)*$K2920*$L2920*$M2920</f>
        <v/>
      </c>
      <c r="AC2920" s="13">
        <f>SUMPRODUCT(N2920:Y2920,$N$4:$Y$4)*$K2920*$L2920*$M2920</f>
        <v/>
      </c>
      <c r="AD2920" s="15" t="n">
        <v>3</v>
      </c>
      <c r="AE2920" s="11" t="n">
        <v>1.011296296296296</v>
      </c>
      <c r="AF2920" s="16">
        <f>SUMPRODUCT(N2920:Y2920,$N$5:$Y$5)*$K2920*$L2920*$M2920</f>
        <v/>
      </c>
      <c r="AG2920" s="16">
        <f>SUMPRODUCT(N2920:Y2920,$N$6:$Y$6)*$K2920*$L2920*$M2920</f>
        <v/>
      </c>
      <c r="AH2920" s="20" t="n"/>
    </row>
    <row r="2921">
      <c r="A2921" s="9" t="n">
        <v>800573</v>
      </c>
      <c r="B2921" s="9" t="inlineStr">
        <is>
          <t>Victor Cabreja</t>
        </is>
      </c>
      <c r="C2921" s="9" t="inlineStr">
        <is>
          <t>PIT</t>
        </is>
      </c>
      <c r="D2921" s="9" t="n">
        <v>25</v>
      </c>
      <c r="E2921" s="18" t="inlineStr">
        <is>
          <t>L</t>
        </is>
      </c>
      <c r="F2921" s="18" t="n"/>
      <c r="G2921" s="9" t="n">
        <v>63.35333333333333</v>
      </c>
      <c r="H2921" s="9" t="n">
        <v>63.35333333333333</v>
      </c>
      <c r="I2921" s="9" t="inlineStr">
        <is>
          <t>Depth (no MLB IP)</t>
        </is>
      </c>
      <c r="J2921" s="18" t="inlineStr">
        <is>
          <t>Opening Day</t>
        </is>
      </c>
      <c r="K2921" s="11">
        <f>IFERROR(INDEX(Roles!$B$17:$B$20,MATCH(J2921,Roles!$A$17:$A$20,0)),1)</f>
        <v/>
      </c>
      <c r="L2921" s="19" t="n">
        <v>1</v>
      </c>
      <c r="M2921" s="11" t="n">
        <v>1</v>
      </c>
      <c r="N2921" s="19" t="n"/>
      <c r="O2921" s="19" t="n"/>
      <c r="P2921" s="19" t="n"/>
      <c r="Q2921" s="19" t="n"/>
      <c r="R2921" s="19" t="n"/>
      <c r="S2921" s="19" t="n"/>
      <c r="T2921" s="19" t="n"/>
      <c r="U2921" s="19" t="n"/>
      <c r="V2921" s="19" t="n"/>
      <c r="W2921" s="19" t="n"/>
      <c r="X2921" s="19" t="n"/>
      <c r="Y2921" s="19" t="n">
        <v>1</v>
      </c>
      <c r="Z2921" s="13">
        <f>SUMPRODUCT(N2921:Y2921,$N$2:$Y$2)*$K2921*$L2921*$M2921</f>
        <v/>
      </c>
      <c r="AA2921" s="14">
        <f>SUM(N2921:Y2921)</f>
        <v/>
      </c>
      <c r="AB2921" s="13">
        <f>SUMPRODUCT(N2921:Y2921,$N$3:$Y$3)*$K2921*$L2921*$M2921</f>
        <v/>
      </c>
      <c r="AC2921" s="13">
        <f>SUMPRODUCT(N2921:Y2921,$N$4:$Y$4)*$K2921*$L2921*$M2921</f>
        <v/>
      </c>
      <c r="AD2921" s="15" t="n">
        <v>3</v>
      </c>
      <c r="AE2921" s="11" t="n">
        <v>1.011296296296296</v>
      </c>
      <c r="AF2921" s="16">
        <f>SUMPRODUCT(N2921:Y2921,$N$5:$Y$5)*$K2921*$L2921*$M2921</f>
        <v/>
      </c>
      <c r="AG2921" s="16">
        <f>SUMPRODUCT(N2921:Y2921,$N$6:$Y$6)*$K2921*$L2921*$M2921</f>
        <v/>
      </c>
      <c r="AH2921" s="20" t="n"/>
    </row>
    <row r="2922">
      <c r="A2922" s="9" t="n">
        <v>823909</v>
      </c>
      <c r="B2922" s="9" t="inlineStr">
        <is>
          <t>Derek Clark</t>
        </is>
      </c>
      <c r="C2922" s="9" t="inlineStr">
        <is>
          <t>LAA</t>
        </is>
      </c>
      <c r="D2922" s="9" t="n">
        <v>25</v>
      </c>
      <c r="E2922" s="18" t="inlineStr">
        <is>
          <t>L</t>
        </is>
      </c>
      <c r="F2922" s="18" t="n"/>
      <c r="G2922" s="9" t="n">
        <v>63.468</v>
      </c>
      <c r="H2922" s="9" t="n">
        <v>63.468</v>
      </c>
      <c r="I2922" s="9" t="inlineStr">
        <is>
          <t>Depth (no MLB IP)</t>
        </is>
      </c>
      <c r="J2922" s="18" t="inlineStr">
        <is>
          <t>Opening Day</t>
        </is>
      </c>
      <c r="K2922" s="11">
        <f>IFERROR(INDEX(Roles!$B$17:$B$20,MATCH(J2922,Roles!$A$17:$A$20,0)),1)</f>
        <v/>
      </c>
      <c r="L2922" s="19" t="n">
        <v>1</v>
      </c>
      <c r="M2922" s="11" t="n">
        <v>1</v>
      </c>
      <c r="N2922" s="19" t="n"/>
      <c r="O2922" s="19" t="n"/>
      <c r="P2922" s="19" t="n"/>
      <c r="Q2922" s="19" t="n"/>
      <c r="R2922" s="19" t="n"/>
      <c r="S2922" s="19" t="n"/>
      <c r="T2922" s="19" t="n"/>
      <c r="U2922" s="19" t="n"/>
      <c r="V2922" s="19" t="n"/>
      <c r="W2922" s="19" t="n"/>
      <c r="X2922" s="19" t="n"/>
      <c r="Y2922" s="19" t="n">
        <v>1</v>
      </c>
      <c r="Z2922" s="13">
        <f>SUMPRODUCT(N2922:Y2922,$N$2:$Y$2)*$K2922*$L2922*$M2922</f>
        <v/>
      </c>
      <c r="AA2922" s="14">
        <f>SUM(N2922:Y2922)</f>
        <v/>
      </c>
      <c r="AB2922" s="13">
        <f>SUMPRODUCT(N2922:Y2922,$N$3:$Y$3)*$K2922*$L2922*$M2922</f>
        <v/>
      </c>
      <c r="AC2922" s="13">
        <f>SUMPRODUCT(N2922:Y2922,$N$4:$Y$4)*$K2922*$L2922*$M2922</f>
        <v/>
      </c>
      <c r="AD2922" s="15" t="n">
        <v>3</v>
      </c>
      <c r="AE2922" s="11" t="n">
        <v>1.011296296296296</v>
      </c>
      <c r="AF2922" s="16">
        <f>SUMPRODUCT(N2922:Y2922,$N$5:$Y$5)*$K2922*$L2922*$M2922</f>
        <v/>
      </c>
      <c r="AG2922" s="16">
        <f>SUMPRODUCT(N2922:Y2922,$N$6:$Y$6)*$K2922*$L2922*$M2922</f>
        <v/>
      </c>
      <c r="AH2922" s="20" t="n"/>
    </row>
    <row r="2923">
      <c r="A2923" s="9" t="n">
        <v>670871</v>
      </c>
      <c r="B2923" s="9" t="inlineStr">
        <is>
          <t>Guillo Zuñiga</t>
        </is>
      </c>
      <c r="C2923" s="9" t="inlineStr">
        <is>
          <t>LAA</t>
        </is>
      </c>
      <c r="D2923" s="9" t="n">
        <v>28</v>
      </c>
      <c r="E2923" s="18" t="inlineStr">
        <is>
          <t>R</t>
        </is>
      </c>
      <c r="F2923" s="18" t="n"/>
      <c r="G2923" s="9" t="n">
        <v>4</v>
      </c>
      <c r="H2923" s="9" t="n">
        <v>88</v>
      </c>
      <c r="I2923" s="9" t="inlineStr">
        <is>
          <t>Depth (no MLB IP)</t>
        </is>
      </c>
      <c r="J2923" s="18" t="inlineStr">
        <is>
          <t>Opening Day</t>
        </is>
      </c>
      <c r="K2923" s="11">
        <f>IFERROR(INDEX(Roles!$B$17:$B$20,MATCH(J2923,Roles!$A$17:$A$20,0)),1)</f>
        <v/>
      </c>
      <c r="L2923" s="19" t="n">
        <v>1</v>
      </c>
      <c r="M2923" s="11" t="n">
        <v>1</v>
      </c>
      <c r="N2923" s="19" t="n"/>
      <c r="O2923" s="19" t="n"/>
      <c r="P2923" s="19" t="n"/>
      <c r="Q2923" s="19" t="n"/>
      <c r="R2923" s="19" t="n"/>
      <c r="S2923" s="19" t="n"/>
      <c r="T2923" s="19" t="n"/>
      <c r="U2923" s="19" t="n"/>
      <c r="V2923" s="19" t="n"/>
      <c r="W2923" s="19" t="n"/>
      <c r="X2923" s="19" t="n"/>
      <c r="Y2923" s="19" t="n">
        <v>1</v>
      </c>
      <c r="Z2923" s="13">
        <f>SUMPRODUCT(N2923:Y2923,$N$2:$Y$2)*$K2923*$L2923*$M2923</f>
        <v/>
      </c>
      <c r="AA2923" s="14">
        <f>SUM(N2923:Y2923)</f>
        <v/>
      </c>
      <c r="AB2923" s="13">
        <f>SUMPRODUCT(N2923:Y2923,$N$3:$Y$3)*$K2923*$L2923*$M2923</f>
        <v/>
      </c>
      <c r="AC2923" s="13">
        <f>SUMPRODUCT(N2923:Y2923,$N$4:$Y$4)*$K2923*$L2923*$M2923</f>
        <v/>
      </c>
      <c r="AD2923" s="15" t="n">
        <v>3.9</v>
      </c>
      <c r="AE2923" s="11" t="n">
        <v>1.056913580246913</v>
      </c>
      <c r="AF2923" s="16">
        <f>SUMPRODUCT(N2923:Y2923,$N$5:$Y$5)*$K2923*$L2923*$M2923</f>
        <v/>
      </c>
      <c r="AG2923" s="16">
        <f>SUMPRODUCT(N2923:Y2923,$N$6:$Y$6)*$K2923*$L2923*$M2923</f>
        <v/>
      </c>
      <c r="AH2923" s="20" t="n"/>
    </row>
    <row r="2924">
      <c r="A2924" s="9" t="n">
        <v>642758</v>
      </c>
      <c r="B2924" s="9" t="inlineStr">
        <is>
          <t>Domingo Acevedo</t>
        </is>
      </c>
      <c r="C2924" s="9" t="inlineStr">
        <is>
          <t>OAK</t>
        </is>
      </c>
      <c r="D2924" s="9" t="n">
        <v>33</v>
      </c>
      <c r="E2924" s="18" t="inlineStr">
        <is>
          <t>R</t>
        </is>
      </c>
      <c r="F2924" s="18" t="n"/>
      <c r="G2924" s="9" t="n">
        <v>47</v>
      </c>
      <c r="H2924" s="9" t="n">
        <v>313</v>
      </c>
      <c r="I2924" s="9" t="inlineStr">
        <is>
          <t>Depth (no MLB IP)</t>
        </is>
      </c>
      <c r="J2924" s="18" t="inlineStr">
        <is>
          <t>Opening Day</t>
        </is>
      </c>
      <c r="K2924" s="11">
        <f>IFERROR(INDEX(Roles!$B$17:$B$20,MATCH(J2924,Roles!$A$17:$A$20,0)),1)</f>
        <v/>
      </c>
      <c r="L2924" s="19" t="n">
        <v>1</v>
      </c>
      <c r="M2924" s="11" t="n">
        <v>1</v>
      </c>
      <c r="N2924" s="19" t="n"/>
      <c r="O2924" s="19" t="n"/>
      <c r="P2924" s="19" t="n"/>
      <c r="Q2924" s="19" t="n"/>
      <c r="R2924" s="19" t="n"/>
      <c r="S2924" s="19" t="n"/>
      <c r="T2924" s="19" t="n"/>
      <c r="U2924" s="19" t="n"/>
      <c r="V2924" s="19" t="n"/>
      <c r="W2924" s="19" t="n"/>
      <c r="X2924" s="19" t="n"/>
      <c r="Y2924" s="19" t="n">
        <v>1</v>
      </c>
      <c r="Z2924" s="13">
        <f>SUMPRODUCT(N2924:Y2924,$N$2:$Y$2)*$K2924*$L2924*$M2924</f>
        <v/>
      </c>
      <c r="AA2924" s="14">
        <f>SUM(N2924:Y2924)</f>
        <v/>
      </c>
      <c r="AB2924" s="13">
        <f>SUMPRODUCT(N2924:Y2924,$N$3:$Y$3)*$K2924*$L2924*$M2924</f>
        <v/>
      </c>
      <c r="AC2924" s="13">
        <f>SUMPRODUCT(N2924:Y2924,$N$4:$Y$4)*$K2924*$L2924*$M2924</f>
        <v/>
      </c>
      <c r="AD2924" s="15" t="n">
        <v>3</v>
      </c>
      <c r="AE2924" s="11" t="n">
        <v>1.011296296296296</v>
      </c>
      <c r="AF2924" s="16">
        <f>SUMPRODUCT(N2924:Y2924,$N$5:$Y$5)*$K2924*$L2924*$M2924</f>
        <v/>
      </c>
      <c r="AG2924" s="16">
        <f>SUMPRODUCT(N2924:Y2924,$N$6:$Y$6)*$K2924*$L2924*$M2924</f>
        <v/>
      </c>
      <c r="AH2924" s="20" t="n"/>
    </row>
    <row r="2925">
      <c r="A2925" s="9" t="n">
        <v>805664</v>
      </c>
      <c r="B2925" s="9" t="inlineStr">
        <is>
          <t>Brody McCullough</t>
        </is>
      </c>
      <c r="C2925" s="9" t="inlineStr">
        <is>
          <t>CHC</t>
        </is>
      </c>
      <c r="D2925" s="9" t="n">
        <v>25</v>
      </c>
      <c r="E2925" s="18" t="inlineStr">
        <is>
          <t>R</t>
        </is>
      </c>
      <c r="F2925" s="18" t="n"/>
      <c r="G2925" s="9" t="n">
        <v>63.71166666666666</v>
      </c>
      <c r="H2925" s="9" t="n">
        <v>63.71166666666666</v>
      </c>
      <c r="I2925" s="9" t="inlineStr">
        <is>
          <t>Depth (no MLB IP)</t>
        </is>
      </c>
      <c r="J2925" s="18" t="inlineStr">
        <is>
          <t>Opening Day</t>
        </is>
      </c>
      <c r="K2925" s="11">
        <f>IFERROR(INDEX(Roles!$B$17:$B$20,MATCH(J2925,Roles!$A$17:$A$20,0)),1)</f>
        <v/>
      </c>
      <c r="L2925" s="19" t="n">
        <v>1</v>
      </c>
      <c r="M2925" s="11" t="n">
        <v>1</v>
      </c>
      <c r="N2925" s="19" t="n"/>
      <c r="O2925" s="19" t="n"/>
      <c r="P2925" s="19" t="n"/>
      <c r="Q2925" s="19" t="n"/>
      <c r="R2925" s="19" t="n"/>
      <c r="S2925" s="19" t="n"/>
      <c r="T2925" s="19" t="n"/>
      <c r="U2925" s="19" t="n"/>
      <c r="V2925" s="19" t="n"/>
      <c r="W2925" s="19" t="n"/>
      <c r="X2925" s="19" t="n"/>
      <c r="Y2925" s="19" t="n">
        <v>1</v>
      </c>
      <c r="Z2925" s="13">
        <f>SUMPRODUCT(N2925:Y2925,$N$2:$Y$2)*$K2925*$L2925*$M2925</f>
        <v/>
      </c>
      <c r="AA2925" s="14">
        <f>SUM(N2925:Y2925)</f>
        <v/>
      </c>
      <c r="AB2925" s="13">
        <f>SUMPRODUCT(N2925:Y2925,$N$3:$Y$3)*$K2925*$L2925*$M2925</f>
        <v/>
      </c>
      <c r="AC2925" s="13">
        <f>SUMPRODUCT(N2925:Y2925,$N$4:$Y$4)*$K2925*$L2925*$M2925</f>
        <v/>
      </c>
      <c r="AD2925" s="15" t="n">
        <v>3</v>
      </c>
      <c r="AE2925" s="11" t="n">
        <v>1.011296296296296</v>
      </c>
      <c r="AF2925" s="16">
        <f>SUMPRODUCT(N2925:Y2925,$N$5:$Y$5)*$K2925*$L2925*$M2925</f>
        <v/>
      </c>
      <c r="AG2925" s="16">
        <f>SUMPRODUCT(N2925:Y2925,$N$6:$Y$6)*$K2925*$L2925*$M2925</f>
        <v/>
      </c>
      <c r="AH2925" s="20" t="n"/>
    </row>
    <row r="2926">
      <c r="A2926" s="9" t="n">
        <v>687122</v>
      </c>
      <c r="B2926" s="9" t="inlineStr">
        <is>
          <t>Sam Highfill</t>
        </is>
      </c>
      <c r="C2926" s="9" t="inlineStr">
        <is>
          <t>PHI</t>
        </is>
      </c>
      <c r="D2926" s="9" t="n">
        <v>25</v>
      </c>
      <c r="E2926" s="18" t="inlineStr">
        <is>
          <t>R</t>
        </is>
      </c>
      <c r="F2926" s="18" t="n"/>
      <c r="G2926" s="9" t="n">
        <v>63.64</v>
      </c>
      <c r="H2926" s="9" t="n">
        <v>63.64</v>
      </c>
      <c r="I2926" s="9" t="inlineStr">
        <is>
          <t>Depth (no MLB IP)</t>
        </is>
      </c>
      <c r="J2926" s="18" t="inlineStr">
        <is>
          <t>Opening Day</t>
        </is>
      </c>
      <c r="K2926" s="11">
        <f>IFERROR(INDEX(Roles!$B$17:$B$20,MATCH(J2926,Roles!$A$17:$A$20,0)),1)</f>
        <v/>
      </c>
      <c r="L2926" s="19" t="n">
        <v>1</v>
      </c>
      <c r="M2926" s="11" t="n">
        <v>1</v>
      </c>
      <c r="N2926" s="19" t="n"/>
      <c r="O2926" s="19" t="n"/>
      <c r="P2926" s="19" t="n"/>
      <c r="Q2926" s="19" t="n"/>
      <c r="R2926" s="19" t="n"/>
      <c r="S2926" s="19" t="n"/>
      <c r="T2926" s="19" t="n"/>
      <c r="U2926" s="19" t="n"/>
      <c r="V2926" s="19" t="n"/>
      <c r="W2926" s="19" t="n"/>
      <c r="X2926" s="19" t="n"/>
      <c r="Y2926" s="19" t="n">
        <v>1</v>
      </c>
      <c r="Z2926" s="13">
        <f>SUMPRODUCT(N2926:Y2926,$N$2:$Y$2)*$K2926*$L2926*$M2926</f>
        <v/>
      </c>
      <c r="AA2926" s="14">
        <f>SUM(N2926:Y2926)</f>
        <v/>
      </c>
      <c r="AB2926" s="13">
        <f>SUMPRODUCT(N2926:Y2926,$N$3:$Y$3)*$K2926*$L2926*$M2926</f>
        <v/>
      </c>
      <c r="AC2926" s="13">
        <f>SUMPRODUCT(N2926:Y2926,$N$4:$Y$4)*$K2926*$L2926*$M2926</f>
        <v/>
      </c>
      <c r="AD2926" s="15" t="n">
        <v>3</v>
      </c>
      <c r="AE2926" s="11" t="n">
        <v>1.011296296296296</v>
      </c>
      <c r="AF2926" s="16">
        <f>SUMPRODUCT(N2926:Y2926,$N$5:$Y$5)*$K2926*$L2926*$M2926</f>
        <v/>
      </c>
      <c r="AG2926" s="16">
        <f>SUMPRODUCT(N2926:Y2926,$N$6:$Y$6)*$K2926*$L2926*$M2926</f>
        <v/>
      </c>
      <c r="AH2926" s="20" t="n"/>
    </row>
    <row r="2927">
      <c r="A2927" s="9" t="n">
        <v>701617</v>
      </c>
      <c r="B2927" s="9" t="inlineStr">
        <is>
          <t>Ian Koenig</t>
        </is>
      </c>
      <c r="C2927" s="9" t="inlineStr">
        <is>
          <t>SD</t>
        </is>
      </c>
      <c r="D2927" s="9" t="n">
        <v>25</v>
      </c>
      <c r="E2927" s="18" t="inlineStr">
        <is>
          <t>R</t>
        </is>
      </c>
      <c r="F2927" s="18" t="n"/>
      <c r="G2927" s="9" t="n">
        <v>63.855</v>
      </c>
      <c r="H2927" s="9" t="n">
        <v>63.855</v>
      </c>
      <c r="I2927" s="9" t="inlineStr">
        <is>
          <t>Depth (no MLB IP)</t>
        </is>
      </c>
      <c r="J2927" s="18" t="inlineStr">
        <is>
          <t>Opening Day</t>
        </is>
      </c>
      <c r="K2927" s="11">
        <f>IFERROR(INDEX(Roles!$B$17:$B$20,MATCH(J2927,Roles!$A$17:$A$20,0)),1)</f>
        <v/>
      </c>
      <c r="L2927" s="19" t="n">
        <v>1</v>
      </c>
      <c r="M2927" s="11" t="n">
        <v>1</v>
      </c>
      <c r="N2927" s="19" t="n"/>
      <c r="O2927" s="19" t="n"/>
      <c r="P2927" s="19" t="n"/>
      <c r="Q2927" s="19" t="n"/>
      <c r="R2927" s="19" t="n"/>
      <c r="S2927" s="19" t="n"/>
      <c r="T2927" s="19" t="n"/>
      <c r="U2927" s="19" t="n"/>
      <c r="V2927" s="19" t="n"/>
      <c r="W2927" s="19" t="n"/>
      <c r="X2927" s="19" t="n"/>
      <c r="Y2927" s="19" t="n">
        <v>1</v>
      </c>
      <c r="Z2927" s="13">
        <f>SUMPRODUCT(N2927:Y2927,$N$2:$Y$2)*$K2927*$L2927*$M2927</f>
        <v/>
      </c>
      <c r="AA2927" s="14">
        <f>SUM(N2927:Y2927)</f>
        <v/>
      </c>
      <c r="AB2927" s="13">
        <f>SUMPRODUCT(N2927:Y2927,$N$3:$Y$3)*$K2927*$L2927*$M2927</f>
        <v/>
      </c>
      <c r="AC2927" s="13">
        <f>SUMPRODUCT(N2927:Y2927,$N$4:$Y$4)*$K2927*$L2927*$M2927</f>
        <v/>
      </c>
      <c r="AD2927" s="15" t="n">
        <v>3</v>
      </c>
      <c r="AE2927" s="11" t="n">
        <v>1.011296296296296</v>
      </c>
      <c r="AF2927" s="16">
        <f>SUMPRODUCT(N2927:Y2927,$N$5:$Y$5)*$K2927*$L2927*$M2927</f>
        <v/>
      </c>
      <c r="AG2927" s="16">
        <f>SUMPRODUCT(N2927:Y2927,$N$6:$Y$6)*$K2927*$L2927*$M2927</f>
        <v/>
      </c>
      <c r="AH2927" s="20" t="n"/>
    </row>
    <row r="2928">
      <c r="A2928" s="9" t="n">
        <v>814783</v>
      </c>
      <c r="B2928" s="9" t="inlineStr">
        <is>
          <t>Casey Anderson</t>
        </is>
      </c>
      <c r="C2928" s="9" t="inlineStr">
        <is>
          <t>ARI</t>
        </is>
      </c>
      <c r="D2928" s="9" t="n">
        <v>25</v>
      </c>
      <c r="E2928" s="18" t="inlineStr">
        <is>
          <t>R</t>
        </is>
      </c>
      <c r="F2928" s="18" t="n"/>
      <c r="G2928" s="9" t="n">
        <v>63.855</v>
      </c>
      <c r="H2928" s="9" t="n">
        <v>63.855</v>
      </c>
      <c r="I2928" s="9" t="inlineStr">
        <is>
          <t>Depth (no MLB IP)</t>
        </is>
      </c>
      <c r="J2928" s="18" t="inlineStr">
        <is>
          <t>Opening Day</t>
        </is>
      </c>
      <c r="K2928" s="11">
        <f>IFERROR(INDEX(Roles!$B$17:$B$20,MATCH(J2928,Roles!$A$17:$A$20,0)),1)</f>
        <v/>
      </c>
      <c r="L2928" s="19" t="n">
        <v>1</v>
      </c>
      <c r="M2928" s="11" t="n">
        <v>1</v>
      </c>
      <c r="N2928" s="19" t="n"/>
      <c r="O2928" s="19" t="n"/>
      <c r="P2928" s="19" t="n"/>
      <c r="Q2928" s="19" t="n"/>
      <c r="R2928" s="19" t="n"/>
      <c r="S2928" s="19" t="n"/>
      <c r="T2928" s="19" t="n"/>
      <c r="U2928" s="19" t="n"/>
      <c r="V2928" s="19" t="n"/>
      <c r="W2928" s="19" t="n"/>
      <c r="X2928" s="19" t="n"/>
      <c r="Y2928" s="19" t="n">
        <v>1</v>
      </c>
      <c r="Z2928" s="13">
        <f>SUMPRODUCT(N2928:Y2928,$N$2:$Y$2)*$K2928*$L2928*$M2928</f>
        <v/>
      </c>
      <c r="AA2928" s="14">
        <f>SUM(N2928:Y2928)</f>
        <v/>
      </c>
      <c r="AB2928" s="13">
        <f>SUMPRODUCT(N2928:Y2928,$N$3:$Y$3)*$K2928*$L2928*$M2928</f>
        <v/>
      </c>
      <c r="AC2928" s="13">
        <f>SUMPRODUCT(N2928:Y2928,$N$4:$Y$4)*$K2928*$L2928*$M2928</f>
        <v/>
      </c>
      <c r="AD2928" s="15" t="n">
        <v>3</v>
      </c>
      <c r="AE2928" s="11" t="n">
        <v>1.011296296296296</v>
      </c>
      <c r="AF2928" s="16">
        <f>SUMPRODUCT(N2928:Y2928,$N$5:$Y$5)*$K2928*$L2928*$M2928</f>
        <v/>
      </c>
      <c r="AG2928" s="16">
        <f>SUMPRODUCT(N2928:Y2928,$N$6:$Y$6)*$K2928*$L2928*$M2928</f>
        <v/>
      </c>
      <c r="AH2928" s="20" t="n"/>
    </row>
    <row r="2929">
      <c r="A2929" s="9" t="n">
        <v>804912</v>
      </c>
      <c r="B2929" s="9" t="inlineStr">
        <is>
          <t>Mason Vinyard</t>
        </is>
      </c>
      <c r="C2929" s="9" t="inlineStr">
        <is>
          <t>MIA</t>
        </is>
      </c>
      <c r="D2929" s="9" t="n">
        <v>25</v>
      </c>
      <c r="E2929" s="18" t="inlineStr">
        <is>
          <t>R</t>
        </is>
      </c>
      <c r="F2929" s="18" t="n"/>
      <c r="G2929" s="9" t="n">
        <v>63.855</v>
      </c>
      <c r="H2929" s="9" t="n">
        <v>63.855</v>
      </c>
      <c r="I2929" s="9" t="inlineStr">
        <is>
          <t>Depth (no MLB IP)</t>
        </is>
      </c>
      <c r="J2929" s="18" t="inlineStr">
        <is>
          <t>Opening Day</t>
        </is>
      </c>
      <c r="K2929" s="11">
        <f>IFERROR(INDEX(Roles!$B$17:$B$20,MATCH(J2929,Roles!$A$17:$A$20,0)),1)</f>
        <v/>
      </c>
      <c r="L2929" s="19" t="n">
        <v>1</v>
      </c>
      <c r="M2929" s="11" t="n">
        <v>1</v>
      </c>
      <c r="N2929" s="19" t="n"/>
      <c r="O2929" s="19" t="n"/>
      <c r="P2929" s="19" t="n"/>
      <c r="Q2929" s="19" t="n"/>
      <c r="R2929" s="19" t="n"/>
      <c r="S2929" s="19" t="n"/>
      <c r="T2929" s="19" t="n"/>
      <c r="U2929" s="19" t="n"/>
      <c r="V2929" s="19" t="n"/>
      <c r="W2929" s="19" t="n"/>
      <c r="X2929" s="19" t="n"/>
      <c r="Y2929" s="19" t="n">
        <v>1</v>
      </c>
      <c r="Z2929" s="13">
        <f>SUMPRODUCT(N2929:Y2929,$N$2:$Y$2)*$K2929*$L2929*$M2929</f>
        <v/>
      </c>
      <c r="AA2929" s="14">
        <f>SUM(N2929:Y2929)</f>
        <v/>
      </c>
      <c r="AB2929" s="13">
        <f>SUMPRODUCT(N2929:Y2929,$N$3:$Y$3)*$K2929*$L2929*$M2929</f>
        <v/>
      </c>
      <c r="AC2929" s="13">
        <f>SUMPRODUCT(N2929:Y2929,$N$4:$Y$4)*$K2929*$L2929*$M2929</f>
        <v/>
      </c>
      <c r="AD2929" s="15" t="n">
        <v>3</v>
      </c>
      <c r="AE2929" s="11" t="n">
        <v>1.011296296296296</v>
      </c>
      <c r="AF2929" s="16">
        <f>SUMPRODUCT(N2929:Y2929,$N$5:$Y$5)*$K2929*$L2929*$M2929</f>
        <v/>
      </c>
      <c r="AG2929" s="16">
        <f>SUMPRODUCT(N2929:Y2929,$N$6:$Y$6)*$K2929*$L2929*$M2929</f>
        <v/>
      </c>
      <c r="AH2929" s="20" t="n"/>
    </row>
    <row r="2930">
      <c r="A2930" s="9" t="n">
        <v>694360</v>
      </c>
      <c r="B2930" s="9" t="inlineStr">
        <is>
          <t>Beck Way</t>
        </is>
      </c>
      <c r="C2930" s="9" t="inlineStr">
        <is>
          <t>KC</t>
        </is>
      </c>
      <c r="D2930" s="9" t="n">
        <v>27</v>
      </c>
      <c r="E2930" s="18" t="inlineStr">
        <is>
          <t>R</t>
        </is>
      </c>
      <c r="F2930" s="18" t="n"/>
      <c r="G2930" s="9" t="n">
        <v>105</v>
      </c>
      <c r="H2930" s="9" t="n">
        <v>105</v>
      </c>
      <c r="I2930" s="9" t="inlineStr">
        <is>
          <t>Middle Relief</t>
        </is>
      </c>
      <c r="J2930" s="18" t="inlineStr">
        <is>
          <t>Opening Day</t>
        </is>
      </c>
      <c r="K2930" s="11">
        <f>IFERROR(INDEX(Roles!$B$17:$B$20,MATCH(J2930,Roles!$A$17:$A$20,0)),1)</f>
        <v/>
      </c>
      <c r="L2930" s="19" t="n">
        <v>1</v>
      </c>
      <c r="M2930" s="11" t="n">
        <v>1</v>
      </c>
      <c r="N2930" s="19" t="n"/>
      <c r="O2930" s="19" t="n"/>
      <c r="P2930" s="19" t="n"/>
      <c r="Q2930" s="19" t="n"/>
      <c r="R2930" s="19" t="n"/>
      <c r="S2930" s="19" t="n"/>
      <c r="T2930" s="19" t="n"/>
      <c r="U2930" s="19" t="n"/>
      <c r="V2930" s="19" t="n">
        <v>0.5</v>
      </c>
      <c r="W2930" s="19" t="n">
        <v>0.5</v>
      </c>
      <c r="X2930" s="19" t="n"/>
      <c r="Y2930" s="19" t="n"/>
      <c r="Z2930" s="13">
        <f>SUMPRODUCT(N2930:Y2930,$N$2:$Y$2)*$K2930*$L2930*$M2930</f>
        <v/>
      </c>
      <c r="AA2930" s="14">
        <f>SUM(N2930:Y2930)</f>
        <v/>
      </c>
      <c r="AB2930" s="13">
        <f>SUMPRODUCT(N2930:Y2930,$N$3:$Y$3)*$K2930*$L2930*$M2930</f>
        <v/>
      </c>
      <c r="AC2930" s="13">
        <f>SUMPRODUCT(N2930:Y2930,$N$4:$Y$4)*$K2930*$L2930*$M2930</f>
        <v/>
      </c>
      <c r="AD2930" s="15" t="n">
        <v>26.13333333333333</v>
      </c>
      <c r="AE2930" s="11" t="n">
        <v>1.098500489921613</v>
      </c>
      <c r="AF2930" s="16">
        <f>SUMPRODUCT(N2930:Y2930,$N$5:$Y$5)*$K2930*$L2930*$M2930</f>
        <v/>
      </c>
      <c r="AG2930" s="16">
        <f>SUMPRODUCT(N2930:Y2930,$N$6:$Y$6)*$K2930*$L2930*$M2930</f>
        <v/>
      </c>
      <c r="AH2930" s="20" t="n"/>
    </row>
    <row r="2931">
      <c r="A2931" s="9" t="n">
        <v>685481</v>
      </c>
      <c r="B2931" s="9" t="inlineStr">
        <is>
          <t>Moises Rodriguez</t>
        </is>
      </c>
      <c r="C2931" s="9" t="inlineStr">
        <is>
          <t>DET</t>
        </is>
      </c>
      <c r="D2931" s="9" t="n">
        <v>25</v>
      </c>
      <c r="E2931" s="18" t="inlineStr">
        <is>
          <t>R</t>
        </is>
      </c>
      <c r="F2931" s="18" t="n"/>
      <c r="G2931" s="9" t="n">
        <v>64.21333333333332</v>
      </c>
      <c r="H2931" s="9" t="n">
        <v>64.21333333333332</v>
      </c>
      <c r="I2931" s="9" t="inlineStr">
        <is>
          <t>Depth (no MLB IP)</t>
        </is>
      </c>
      <c r="J2931" s="18" t="inlineStr">
        <is>
          <t>Opening Day</t>
        </is>
      </c>
      <c r="K2931" s="11">
        <f>IFERROR(INDEX(Roles!$B$17:$B$20,MATCH(J2931,Roles!$A$17:$A$20,0)),1)</f>
        <v/>
      </c>
      <c r="L2931" s="19" t="n">
        <v>1</v>
      </c>
      <c r="M2931" s="11" t="n">
        <v>1</v>
      </c>
      <c r="N2931" s="19" t="n"/>
      <c r="O2931" s="19" t="n"/>
      <c r="P2931" s="19" t="n"/>
      <c r="Q2931" s="19" t="n"/>
      <c r="R2931" s="19" t="n"/>
      <c r="S2931" s="19" t="n"/>
      <c r="T2931" s="19" t="n"/>
      <c r="U2931" s="19" t="n"/>
      <c r="V2931" s="19" t="n"/>
      <c r="W2931" s="19" t="n"/>
      <c r="X2931" s="19" t="n"/>
      <c r="Y2931" s="19" t="n">
        <v>1</v>
      </c>
      <c r="Z2931" s="13">
        <f>SUMPRODUCT(N2931:Y2931,$N$2:$Y$2)*$K2931*$L2931*$M2931</f>
        <v/>
      </c>
      <c r="AA2931" s="14">
        <f>SUM(N2931:Y2931)</f>
        <v/>
      </c>
      <c r="AB2931" s="13">
        <f>SUMPRODUCT(N2931:Y2931,$N$3:$Y$3)*$K2931*$L2931*$M2931</f>
        <v/>
      </c>
      <c r="AC2931" s="13">
        <f>SUMPRODUCT(N2931:Y2931,$N$4:$Y$4)*$K2931*$L2931*$M2931</f>
        <v/>
      </c>
      <c r="AD2931" s="15" t="n">
        <v>3</v>
      </c>
      <c r="AE2931" s="11" t="n">
        <v>1.011296296296296</v>
      </c>
      <c r="AF2931" s="16">
        <f>SUMPRODUCT(N2931:Y2931,$N$5:$Y$5)*$K2931*$L2931*$M2931</f>
        <v/>
      </c>
      <c r="AG2931" s="16">
        <f>SUMPRODUCT(N2931:Y2931,$N$6:$Y$6)*$K2931*$L2931*$M2931</f>
        <v/>
      </c>
      <c r="AH2931" s="20" t="n"/>
    </row>
    <row r="2932">
      <c r="A2932" s="9" t="n">
        <v>690229</v>
      </c>
      <c r="B2932" s="9" t="inlineStr">
        <is>
          <t>LJ McDonough</t>
        </is>
      </c>
      <c r="C2932" s="9" t="inlineStr">
        <is>
          <t>ATL</t>
        </is>
      </c>
      <c r="D2932" s="9" t="n">
        <v>25</v>
      </c>
      <c r="E2932" s="18" t="inlineStr">
        <is>
          <t>R</t>
        </is>
      </c>
      <c r="F2932" s="18" t="n"/>
      <c r="G2932" s="9" t="n">
        <v>64.21333333333332</v>
      </c>
      <c r="H2932" s="9" t="n">
        <v>64.21333333333332</v>
      </c>
      <c r="I2932" s="9" t="inlineStr">
        <is>
          <t>Depth (no MLB IP)</t>
        </is>
      </c>
      <c r="J2932" s="18" t="inlineStr">
        <is>
          <t>Opening Day</t>
        </is>
      </c>
      <c r="K2932" s="11">
        <f>IFERROR(INDEX(Roles!$B$17:$B$20,MATCH(J2932,Roles!$A$17:$A$20,0)),1)</f>
        <v/>
      </c>
      <c r="L2932" s="19" t="n">
        <v>1</v>
      </c>
      <c r="M2932" s="11" t="n">
        <v>1</v>
      </c>
      <c r="N2932" s="19" t="n"/>
      <c r="O2932" s="19" t="n"/>
      <c r="P2932" s="19" t="n"/>
      <c r="Q2932" s="19" t="n"/>
      <c r="R2932" s="19" t="n"/>
      <c r="S2932" s="19" t="n"/>
      <c r="T2932" s="19" t="n"/>
      <c r="U2932" s="19" t="n"/>
      <c r="V2932" s="19" t="n"/>
      <c r="W2932" s="19" t="n"/>
      <c r="X2932" s="19" t="n"/>
      <c r="Y2932" s="19" t="n">
        <v>1</v>
      </c>
      <c r="Z2932" s="13">
        <f>SUMPRODUCT(N2932:Y2932,$N$2:$Y$2)*$K2932*$L2932*$M2932</f>
        <v/>
      </c>
      <c r="AA2932" s="14">
        <f>SUM(N2932:Y2932)</f>
        <v/>
      </c>
      <c r="AB2932" s="13">
        <f>SUMPRODUCT(N2932:Y2932,$N$3:$Y$3)*$K2932*$L2932*$M2932</f>
        <v/>
      </c>
      <c r="AC2932" s="13">
        <f>SUMPRODUCT(N2932:Y2932,$N$4:$Y$4)*$K2932*$L2932*$M2932</f>
        <v/>
      </c>
      <c r="AD2932" s="15" t="n">
        <v>3</v>
      </c>
      <c r="AE2932" s="11" t="n">
        <v>1.011296296296296</v>
      </c>
      <c r="AF2932" s="16">
        <f>SUMPRODUCT(N2932:Y2932,$N$5:$Y$5)*$K2932*$L2932*$M2932</f>
        <v/>
      </c>
      <c r="AG2932" s="16">
        <f>SUMPRODUCT(N2932:Y2932,$N$6:$Y$6)*$K2932*$L2932*$M2932</f>
        <v/>
      </c>
      <c r="AH2932" s="20" t="n"/>
    </row>
    <row r="2933">
      <c r="A2933" s="9" t="n">
        <v>686632</v>
      </c>
      <c r="B2933" s="9" t="inlineStr">
        <is>
          <t>Steven Zobac</t>
        </is>
      </c>
      <c r="C2933" s="9" t="inlineStr">
        <is>
          <t>KC</t>
        </is>
      </c>
      <c r="D2933" s="9" t="n">
        <v>25</v>
      </c>
      <c r="E2933" s="18" t="inlineStr">
        <is>
          <t>R</t>
        </is>
      </c>
      <c r="F2933" s="18" t="n"/>
      <c r="G2933" s="9" t="n">
        <v>64.21333333333332</v>
      </c>
      <c r="H2933" s="9" t="n">
        <v>64.21333333333332</v>
      </c>
      <c r="I2933" s="9" t="inlineStr">
        <is>
          <t>Depth (no MLB IP)</t>
        </is>
      </c>
      <c r="J2933" s="18" t="inlineStr">
        <is>
          <t>Opening Day</t>
        </is>
      </c>
      <c r="K2933" s="11">
        <f>IFERROR(INDEX(Roles!$B$17:$B$20,MATCH(J2933,Roles!$A$17:$A$20,0)),1)</f>
        <v/>
      </c>
      <c r="L2933" s="19" t="n">
        <v>1</v>
      </c>
      <c r="M2933" s="11" t="n">
        <v>1</v>
      </c>
      <c r="N2933" s="19" t="n"/>
      <c r="O2933" s="19" t="n"/>
      <c r="P2933" s="19" t="n"/>
      <c r="Q2933" s="19" t="n"/>
      <c r="R2933" s="19" t="n"/>
      <c r="S2933" s="19" t="n"/>
      <c r="T2933" s="19" t="n"/>
      <c r="U2933" s="19" t="n"/>
      <c r="V2933" s="19" t="n"/>
      <c r="W2933" s="19" t="n"/>
      <c r="X2933" s="19" t="n"/>
      <c r="Y2933" s="19" t="n">
        <v>1</v>
      </c>
      <c r="Z2933" s="13">
        <f>SUMPRODUCT(N2933:Y2933,$N$2:$Y$2)*$K2933*$L2933*$M2933</f>
        <v/>
      </c>
      <c r="AA2933" s="14">
        <f>SUM(N2933:Y2933)</f>
        <v/>
      </c>
      <c r="AB2933" s="13">
        <f>SUMPRODUCT(N2933:Y2933,$N$3:$Y$3)*$K2933*$L2933*$M2933</f>
        <v/>
      </c>
      <c r="AC2933" s="13">
        <f>SUMPRODUCT(N2933:Y2933,$N$4:$Y$4)*$K2933*$L2933*$M2933</f>
        <v/>
      </c>
      <c r="AD2933" s="15" t="n">
        <v>3</v>
      </c>
      <c r="AE2933" s="11" t="n">
        <v>1.011296296296296</v>
      </c>
      <c r="AF2933" s="16">
        <f>SUMPRODUCT(N2933:Y2933,$N$5:$Y$5)*$K2933*$L2933*$M2933</f>
        <v/>
      </c>
      <c r="AG2933" s="16">
        <f>SUMPRODUCT(N2933:Y2933,$N$6:$Y$6)*$K2933*$L2933*$M2933</f>
        <v/>
      </c>
      <c r="AH2933" s="20" t="n"/>
    </row>
    <row r="2934">
      <c r="A2934" s="9" t="n">
        <v>674384</v>
      </c>
      <c r="B2934" s="9" t="inlineStr">
        <is>
          <t>Eduarniel Núñez</t>
        </is>
      </c>
      <c r="C2934" s="9" t="inlineStr">
        <is>
          <t>OAK</t>
        </is>
      </c>
      <c r="D2934" s="9" t="n">
        <v>28</v>
      </c>
      <c r="E2934" s="18" t="inlineStr">
        <is>
          <t>R</t>
        </is>
      </c>
      <c r="F2934" s="18" t="n"/>
      <c r="G2934" s="9" t="n">
        <v>60</v>
      </c>
      <c r="H2934" s="9" t="n">
        <v>60</v>
      </c>
      <c r="I2934" s="9" t="inlineStr">
        <is>
          <t>Bullpen Depth Arm</t>
        </is>
      </c>
      <c r="J2934" s="18" t="inlineStr">
        <is>
          <t>Opening Day</t>
        </is>
      </c>
      <c r="K2934" s="11">
        <f>IFERROR(INDEX(Roles!$B$17:$B$20,MATCH(J2934,Roles!$A$17:$A$20,0)),1)</f>
        <v/>
      </c>
      <c r="L2934" s="19" t="n">
        <v>1</v>
      </c>
      <c r="M2934" s="11" t="n">
        <v>1</v>
      </c>
      <c r="N2934" s="19" t="n"/>
      <c r="O2934" s="19" t="n"/>
      <c r="P2934" s="19" t="n"/>
      <c r="Q2934" s="19" t="n"/>
      <c r="R2934" s="19" t="n"/>
      <c r="S2934" s="19" t="n"/>
      <c r="T2934" s="19" t="n"/>
      <c r="U2934" s="19" t="n"/>
      <c r="V2934" s="19" t="n"/>
      <c r="W2934" s="19" t="n">
        <v>1</v>
      </c>
      <c r="X2934" s="19" t="n"/>
      <c r="Y2934" s="19" t="n"/>
      <c r="Z2934" s="13">
        <f>SUMPRODUCT(N2934:Y2934,$N$2:$Y$2)*$K2934*$L2934*$M2934</f>
        <v/>
      </c>
      <c r="AA2934" s="14">
        <f>SUM(N2934:Y2934)</f>
        <v/>
      </c>
      <c r="AB2934" s="13">
        <f>SUMPRODUCT(N2934:Y2934,$N$3:$Y$3)*$K2934*$L2934*$M2934</f>
        <v/>
      </c>
      <c r="AC2934" s="13">
        <f>SUMPRODUCT(N2934:Y2934,$N$4:$Y$4)*$K2934*$L2934*$M2934</f>
        <v/>
      </c>
      <c r="AD2934" s="15" t="n">
        <v>11.66666666666667</v>
      </c>
      <c r="AE2934" s="11" t="n">
        <v>1.22372935706269</v>
      </c>
      <c r="AF2934" s="16">
        <f>SUMPRODUCT(N2934:Y2934,$N$5:$Y$5)*$K2934*$L2934*$M2934</f>
        <v/>
      </c>
      <c r="AG2934" s="16">
        <f>SUMPRODUCT(N2934:Y2934,$N$6:$Y$6)*$K2934*$L2934*$M2934</f>
        <v/>
      </c>
      <c r="AH2934" s="20" t="n"/>
    </row>
    <row r="2935">
      <c r="A2935" s="9" t="n">
        <v>701512</v>
      </c>
      <c r="B2935" s="9" t="inlineStr">
        <is>
          <t>Tucker Novotny</t>
        </is>
      </c>
      <c r="C2935" s="9" t="inlineStr">
        <is>
          <t>OAK</t>
        </is>
      </c>
      <c r="D2935" s="9" t="n">
        <v>25</v>
      </c>
      <c r="E2935" s="18" t="inlineStr">
        <is>
          <t>L</t>
        </is>
      </c>
      <c r="F2935" s="18" t="n"/>
      <c r="G2935" s="9" t="n">
        <v>64.5</v>
      </c>
      <c r="H2935" s="9" t="n">
        <v>64.5</v>
      </c>
      <c r="I2935" s="9" t="inlineStr">
        <is>
          <t>Depth (no MLB IP)</t>
        </is>
      </c>
      <c r="J2935" s="18" t="inlineStr">
        <is>
          <t>Opening Day</t>
        </is>
      </c>
      <c r="K2935" s="11">
        <f>IFERROR(INDEX(Roles!$B$17:$B$20,MATCH(J2935,Roles!$A$17:$A$20,0)),1)</f>
        <v/>
      </c>
      <c r="L2935" s="19" t="n">
        <v>1</v>
      </c>
      <c r="M2935" s="11" t="n">
        <v>1</v>
      </c>
      <c r="N2935" s="19" t="n"/>
      <c r="O2935" s="19" t="n"/>
      <c r="P2935" s="19" t="n"/>
      <c r="Q2935" s="19" t="n"/>
      <c r="R2935" s="19" t="n"/>
      <c r="S2935" s="19" t="n"/>
      <c r="T2935" s="19" t="n"/>
      <c r="U2935" s="19" t="n"/>
      <c r="V2935" s="19" t="n"/>
      <c r="W2935" s="19" t="n"/>
      <c r="X2935" s="19" t="n"/>
      <c r="Y2935" s="19" t="n">
        <v>1</v>
      </c>
      <c r="Z2935" s="13">
        <f>SUMPRODUCT(N2935:Y2935,$N$2:$Y$2)*$K2935*$L2935*$M2935</f>
        <v/>
      </c>
      <c r="AA2935" s="14">
        <f>SUM(N2935:Y2935)</f>
        <v/>
      </c>
      <c r="AB2935" s="13">
        <f>SUMPRODUCT(N2935:Y2935,$N$3:$Y$3)*$K2935*$L2935*$M2935</f>
        <v/>
      </c>
      <c r="AC2935" s="13">
        <f>SUMPRODUCT(N2935:Y2935,$N$4:$Y$4)*$K2935*$L2935*$M2935</f>
        <v/>
      </c>
      <c r="AD2935" s="15" t="n">
        <v>3</v>
      </c>
      <c r="AE2935" s="11" t="n">
        <v>1.011296296296296</v>
      </c>
      <c r="AF2935" s="16">
        <f>SUMPRODUCT(N2935:Y2935,$N$5:$Y$5)*$K2935*$L2935*$M2935</f>
        <v/>
      </c>
      <c r="AG2935" s="16">
        <f>SUMPRODUCT(N2935:Y2935,$N$6:$Y$6)*$K2935*$L2935*$M2935</f>
        <v/>
      </c>
      <c r="AH2935" s="20" t="n"/>
    </row>
    <row r="2936">
      <c r="A2936" s="9" t="n">
        <v>642086</v>
      </c>
      <c r="B2936" s="9" t="inlineStr">
        <is>
          <t>Dominic Smith</t>
        </is>
      </c>
      <c r="C2936" s="9" t="inlineStr">
        <is>
          <t>BOS</t>
        </is>
      </c>
      <c r="D2936" s="9" t="n">
        <v>32</v>
      </c>
      <c r="E2936" s="18" t="inlineStr">
        <is>
          <t>L</t>
        </is>
      </c>
      <c r="F2936" s="18" t="n"/>
      <c r="G2936" s="9" t="n">
        <v>11</v>
      </c>
      <c r="H2936" s="9" t="n">
        <v>11</v>
      </c>
      <c r="I2936" s="9" t="inlineStr">
        <is>
          <t>Depth (no MLB IP)</t>
        </is>
      </c>
      <c r="J2936" s="18" t="inlineStr">
        <is>
          <t>Opening Day</t>
        </is>
      </c>
      <c r="K2936" s="11">
        <f>IFERROR(INDEX(Roles!$B$17:$B$20,MATCH(J2936,Roles!$A$17:$A$20,0)),1)</f>
        <v/>
      </c>
      <c r="L2936" s="19" t="n">
        <v>1</v>
      </c>
      <c r="M2936" s="11" t="n">
        <v>1</v>
      </c>
      <c r="N2936" s="19" t="n"/>
      <c r="O2936" s="19" t="n"/>
      <c r="P2936" s="19" t="n"/>
      <c r="Q2936" s="19" t="n"/>
      <c r="R2936" s="19" t="n"/>
      <c r="S2936" s="19" t="n"/>
      <c r="T2936" s="19" t="n"/>
      <c r="U2936" s="19" t="n"/>
      <c r="V2936" s="19" t="n"/>
      <c r="W2936" s="19" t="n"/>
      <c r="X2936" s="19" t="n"/>
      <c r="Y2936" s="19" t="n">
        <v>1</v>
      </c>
      <c r="Z2936" s="13">
        <f>SUMPRODUCT(N2936:Y2936,$N$2:$Y$2)*$K2936*$L2936*$M2936</f>
        <v/>
      </c>
      <c r="AA2936" s="14">
        <f>SUM(N2936:Y2936)</f>
        <v/>
      </c>
      <c r="AB2936" s="13">
        <f>SUMPRODUCT(N2936:Y2936,$N$3:$Y$3)*$K2936*$L2936*$M2936</f>
        <v/>
      </c>
      <c r="AC2936" s="13">
        <f>SUMPRODUCT(N2936:Y2936,$N$4:$Y$4)*$K2936*$L2936*$M2936</f>
        <v/>
      </c>
      <c r="AD2936" s="15" t="n">
        <v>3</v>
      </c>
      <c r="AE2936" s="11" t="n">
        <v>1.007530864197531</v>
      </c>
      <c r="AF2936" s="16">
        <f>SUMPRODUCT(N2936:Y2936,$N$5:$Y$5)*$K2936*$L2936*$M2936</f>
        <v/>
      </c>
      <c r="AG2936" s="16">
        <f>SUMPRODUCT(N2936:Y2936,$N$6:$Y$6)*$K2936*$L2936*$M2936</f>
        <v/>
      </c>
      <c r="AH2936" s="20" t="n"/>
    </row>
    <row r="2937">
      <c r="A2937" s="9" t="n">
        <v>621399</v>
      </c>
      <c r="B2937" s="9" t="inlineStr">
        <is>
          <t>Brady Feigl</t>
        </is>
      </c>
      <c r="C2937" s="9" t="inlineStr">
        <is>
          <t>PIT</t>
        </is>
      </c>
      <c r="D2937" s="9" t="n">
        <v>36</v>
      </c>
      <c r="E2937" s="18" t="inlineStr">
        <is>
          <t>L</t>
        </is>
      </c>
      <c r="F2937" s="18" t="n"/>
      <c r="G2937" s="9" t="n">
        <v>11</v>
      </c>
      <c r="H2937" s="9" t="n">
        <v>11</v>
      </c>
      <c r="I2937" s="9" t="inlineStr">
        <is>
          <t>Depth (no MLB IP)</t>
        </is>
      </c>
      <c r="J2937" s="18" t="inlineStr">
        <is>
          <t>Opening Day</t>
        </is>
      </c>
      <c r="K2937" s="11">
        <f>IFERROR(INDEX(Roles!$B$17:$B$20,MATCH(J2937,Roles!$A$17:$A$20,0)),1)</f>
        <v/>
      </c>
      <c r="L2937" s="19" t="n">
        <v>1</v>
      </c>
      <c r="M2937" s="11" t="n">
        <v>1</v>
      </c>
      <c r="N2937" s="19" t="n"/>
      <c r="O2937" s="19" t="n"/>
      <c r="P2937" s="19" t="n"/>
      <c r="Q2937" s="19" t="n"/>
      <c r="R2937" s="19" t="n"/>
      <c r="S2937" s="19" t="n"/>
      <c r="T2937" s="19" t="n"/>
      <c r="U2937" s="19" t="n"/>
      <c r="V2937" s="19" t="n"/>
      <c r="W2937" s="19" t="n"/>
      <c r="X2937" s="19" t="n"/>
      <c r="Y2937" s="19" t="n">
        <v>1</v>
      </c>
      <c r="Z2937" s="13">
        <f>SUMPRODUCT(N2937:Y2937,$N$2:$Y$2)*$K2937*$L2937*$M2937</f>
        <v/>
      </c>
      <c r="AA2937" s="14">
        <f>SUM(N2937:Y2937)</f>
        <v/>
      </c>
      <c r="AB2937" s="13">
        <f>SUMPRODUCT(N2937:Y2937,$N$3:$Y$3)*$K2937*$L2937*$M2937</f>
        <v/>
      </c>
      <c r="AC2937" s="13">
        <f>SUMPRODUCT(N2937:Y2937,$N$4:$Y$4)*$K2937*$L2937*$M2937</f>
        <v/>
      </c>
      <c r="AD2937" s="15" t="n">
        <v>1.8</v>
      </c>
      <c r="AE2937" s="11" t="n">
        <v>1.229753086419753</v>
      </c>
      <c r="AF2937" s="16">
        <f>SUMPRODUCT(N2937:Y2937,$N$5:$Y$5)*$K2937*$L2937*$M2937</f>
        <v/>
      </c>
      <c r="AG2937" s="16">
        <f>SUMPRODUCT(N2937:Y2937,$N$6:$Y$6)*$K2937*$L2937*$M2937</f>
        <v/>
      </c>
      <c r="AH2937" s="20" t="n"/>
    </row>
    <row r="2938">
      <c r="A2938" s="9" t="n">
        <v>673820</v>
      </c>
      <c r="B2938" s="9" t="inlineStr">
        <is>
          <t>Robinson Piña</t>
        </is>
      </c>
      <c r="C2938" s="9" t="inlineStr">
        <is>
          <t>TOR</t>
        </is>
      </c>
      <c r="D2938" s="9" t="n">
        <v>28</v>
      </c>
      <c r="E2938" s="18" t="inlineStr">
        <is>
          <t>R</t>
        </is>
      </c>
      <c r="F2938" s="18" t="n"/>
      <c r="G2938" s="9" t="n">
        <v>14</v>
      </c>
      <c r="H2938" s="9" t="n">
        <v>14</v>
      </c>
      <c r="I2938" s="9" t="inlineStr">
        <is>
          <t>Depth (no MLB IP)</t>
        </is>
      </c>
      <c r="J2938" s="18" t="inlineStr">
        <is>
          <t>Opening Day</t>
        </is>
      </c>
      <c r="K2938" s="11">
        <f>IFERROR(INDEX(Roles!$B$17:$B$20,MATCH(J2938,Roles!$A$17:$A$20,0)),1)</f>
        <v/>
      </c>
      <c r="L2938" s="19" t="n">
        <v>1</v>
      </c>
      <c r="M2938" s="11" t="n">
        <v>1</v>
      </c>
      <c r="N2938" s="19" t="n"/>
      <c r="O2938" s="19" t="n"/>
      <c r="P2938" s="19" t="n"/>
      <c r="Q2938" s="19" t="n"/>
      <c r="R2938" s="19" t="n"/>
      <c r="S2938" s="19" t="n"/>
      <c r="T2938" s="19" t="n"/>
      <c r="U2938" s="19" t="n"/>
      <c r="V2938" s="19" t="n"/>
      <c r="W2938" s="19" t="n"/>
      <c r="X2938" s="19" t="n"/>
      <c r="Y2938" s="19" t="n">
        <v>1</v>
      </c>
      <c r="Z2938" s="13">
        <f>SUMPRODUCT(N2938:Y2938,$N$2:$Y$2)*$K2938*$L2938*$M2938</f>
        <v/>
      </c>
      <c r="AA2938" s="14">
        <f>SUM(N2938:Y2938)</f>
        <v/>
      </c>
      <c r="AB2938" s="13">
        <f>SUMPRODUCT(N2938:Y2938,$N$3:$Y$3)*$K2938*$L2938*$M2938</f>
        <v/>
      </c>
      <c r="AC2938" s="13">
        <f>SUMPRODUCT(N2938:Y2938,$N$4:$Y$4)*$K2938*$L2938*$M2938</f>
        <v/>
      </c>
      <c r="AD2938" s="15" t="n">
        <v>2.4</v>
      </c>
      <c r="AE2938" s="11" t="n">
        <v>1.063086419753086</v>
      </c>
      <c r="AF2938" s="16">
        <f>SUMPRODUCT(N2938:Y2938,$N$5:$Y$5)*$K2938*$L2938*$M2938</f>
        <v/>
      </c>
      <c r="AG2938" s="16">
        <f>SUMPRODUCT(N2938:Y2938,$N$6:$Y$6)*$K2938*$L2938*$M2938</f>
        <v/>
      </c>
      <c r="AH2938" s="20" t="n"/>
    </row>
    <row r="2939">
      <c r="A2939" s="9" t="n">
        <v>663795</v>
      </c>
      <c r="B2939" s="9" t="inlineStr">
        <is>
          <t>Justin Hagenman</t>
        </is>
      </c>
      <c r="C2939" s="9" t="inlineStr">
        <is>
          <t>NYM</t>
        </is>
      </c>
      <c r="D2939" s="9" t="n">
        <v>30</v>
      </c>
      <c r="E2939" s="18" t="inlineStr">
        <is>
          <t>R</t>
        </is>
      </c>
      <c r="F2939" s="18" t="n"/>
      <c r="G2939" s="9" t="n">
        <v>33</v>
      </c>
      <c r="H2939" s="9" t="n">
        <v>132</v>
      </c>
      <c r="I2939" s="9" t="inlineStr">
        <is>
          <t>End-of-Rotation Starter (SP4-5)</t>
        </is>
      </c>
      <c r="J2939" s="18" t="inlineStr">
        <is>
          <t>Opening Day</t>
        </is>
      </c>
      <c r="K2939" s="11">
        <f>IFERROR(INDEX(Roles!$B$17:$B$20,MATCH(J2939,Roles!$A$17:$A$20,0)),1)</f>
        <v/>
      </c>
      <c r="L2939" s="19" t="n">
        <v>1</v>
      </c>
      <c r="M2939" s="11" t="n">
        <v>1</v>
      </c>
      <c r="N2939" s="19" t="n"/>
      <c r="O2939" s="19" t="n"/>
      <c r="P2939" s="19" t="n">
        <v>0.5</v>
      </c>
      <c r="Q2939" s="19" t="n"/>
      <c r="R2939" s="19" t="n">
        <v>0.5</v>
      </c>
      <c r="S2939" s="19" t="n"/>
      <c r="T2939" s="19" t="n"/>
      <c r="U2939" s="19" t="n"/>
      <c r="V2939" s="19" t="n"/>
      <c r="W2939" s="19" t="n"/>
      <c r="X2939" s="19" t="n"/>
      <c r="Y2939" s="19" t="n"/>
      <c r="Z2939" s="13">
        <f>SUMPRODUCT(N2939:Y2939,$N$2:$Y$2)*$K2939*$L2939*$M2939</f>
        <v/>
      </c>
      <c r="AA2939" s="14">
        <f>SUM(N2939:Y2939)</f>
        <v/>
      </c>
      <c r="AB2939" s="13">
        <f>SUMPRODUCT(N2939:Y2939,$N$3:$Y$3)*$K2939*$L2939*$M2939</f>
        <v/>
      </c>
      <c r="AC2939" s="13">
        <f>SUMPRODUCT(N2939:Y2939,$N$4:$Y$4)*$K2939*$L2939*$M2939</f>
        <v/>
      </c>
      <c r="AD2939" s="15" t="n">
        <v>9.640000000000001</v>
      </c>
      <c r="AE2939" s="11" t="n">
        <v>3.917695473251029</v>
      </c>
      <c r="AF2939" s="16">
        <f>SUMPRODUCT(N2939:Y2939,$N$5:$Y$5)*$K2939*$L2939*$M2939</f>
        <v/>
      </c>
      <c r="AG2939" s="16">
        <f>SUMPRODUCT(N2939:Y2939,$N$6:$Y$6)*$K2939*$L2939*$M2939</f>
        <v/>
      </c>
      <c r="AH2939" s="20" t="n"/>
    </row>
    <row r="2940">
      <c r="A2940" s="9" t="n">
        <v>663494</v>
      </c>
      <c r="B2940" s="9" t="inlineStr">
        <is>
          <t>Bryan Torres</t>
        </is>
      </c>
      <c r="C2940" s="9" t="inlineStr">
        <is>
          <t>STL</t>
        </is>
      </c>
      <c r="D2940" s="9" t="n">
        <v>29</v>
      </c>
      <c r="E2940" s="18" t="inlineStr">
        <is>
          <t>R</t>
        </is>
      </c>
      <c r="F2940" s="18" t="n"/>
      <c r="G2940" s="9" t="n">
        <v>8</v>
      </c>
      <c r="H2940" s="9" t="n">
        <v>8</v>
      </c>
      <c r="I2940" s="9" t="inlineStr">
        <is>
          <t>Depth (no MLB IP)</t>
        </is>
      </c>
      <c r="J2940" s="18" t="inlineStr">
        <is>
          <t>Opening Day</t>
        </is>
      </c>
      <c r="K2940" s="11">
        <f>IFERROR(INDEX(Roles!$B$17:$B$20,MATCH(J2940,Roles!$A$17:$A$20,0)),1)</f>
        <v/>
      </c>
      <c r="L2940" s="19" t="n">
        <v>1</v>
      </c>
      <c r="M2940" s="11" t="n">
        <v>1</v>
      </c>
      <c r="N2940" s="19" t="n"/>
      <c r="O2940" s="19" t="n"/>
      <c r="P2940" s="19" t="n"/>
      <c r="Q2940" s="19" t="n"/>
      <c r="R2940" s="19" t="n"/>
      <c r="S2940" s="19" t="n"/>
      <c r="T2940" s="19" t="n"/>
      <c r="U2940" s="19" t="n"/>
      <c r="V2940" s="19" t="n"/>
      <c r="W2940" s="19" t="n"/>
      <c r="X2940" s="19" t="n"/>
      <c r="Y2940" s="19" t="n">
        <v>1</v>
      </c>
      <c r="Z2940" s="13">
        <f>SUMPRODUCT(N2940:Y2940,$N$2:$Y$2)*$K2940*$L2940*$M2940</f>
        <v/>
      </c>
      <c r="AA2940" s="14">
        <f>SUM(N2940:Y2940)</f>
        <v/>
      </c>
      <c r="AB2940" s="13">
        <f>SUMPRODUCT(N2940:Y2940,$N$3:$Y$3)*$K2940*$L2940*$M2940</f>
        <v/>
      </c>
      <c r="AC2940" s="13">
        <f>SUMPRODUCT(N2940:Y2940,$N$4:$Y$4)*$K2940*$L2940*$M2940</f>
        <v/>
      </c>
      <c r="AD2940" s="15" t="n">
        <v>1.8</v>
      </c>
      <c r="AE2940" s="11" t="n">
        <v>1.340864197530864</v>
      </c>
      <c r="AF2940" s="16">
        <f>SUMPRODUCT(N2940:Y2940,$N$5:$Y$5)*$K2940*$L2940*$M2940</f>
        <v/>
      </c>
      <c r="AG2940" s="16">
        <f>SUMPRODUCT(N2940:Y2940,$N$6:$Y$6)*$K2940*$L2940*$M2940</f>
        <v/>
      </c>
      <c r="AH2940" s="20" t="n"/>
    </row>
    <row r="2941">
      <c r="A2941" s="9" t="n">
        <v>800283</v>
      </c>
      <c r="B2941" s="9" t="inlineStr">
        <is>
          <t>Enrique Segura</t>
        </is>
      </c>
      <c r="C2941" s="9" t="inlineStr">
        <is>
          <t>TEX</t>
        </is>
      </c>
      <c r="D2941" s="9" t="n">
        <v>25</v>
      </c>
      <c r="E2941" s="18" t="inlineStr">
        <is>
          <t>R</t>
        </is>
      </c>
      <c r="F2941" s="18" t="n"/>
      <c r="G2941" s="9" t="n">
        <v>64.78666666666666</v>
      </c>
      <c r="H2941" s="9" t="n">
        <v>64.78666666666666</v>
      </c>
      <c r="I2941" s="9" t="inlineStr">
        <is>
          <t>Depth (no MLB IP)</t>
        </is>
      </c>
      <c r="J2941" s="18" t="inlineStr">
        <is>
          <t>Opening Day</t>
        </is>
      </c>
      <c r="K2941" s="11">
        <f>IFERROR(INDEX(Roles!$B$17:$B$20,MATCH(J2941,Roles!$A$17:$A$20,0)),1)</f>
        <v/>
      </c>
      <c r="L2941" s="19" t="n">
        <v>1</v>
      </c>
      <c r="M2941" s="11" t="n">
        <v>1</v>
      </c>
      <c r="N2941" s="19" t="n"/>
      <c r="O2941" s="19" t="n"/>
      <c r="P2941" s="19" t="n"/>
      <c r="Q2941" s="19" t="n"/>
      <c r="R2941" s="19" t="n"/>
      <c r="S2941" s="19" t="n"/>
      <c r="T2941" s="19" t="n"/>
      <c r="U2941" s="19" t="n"/>
      <c r="V2941" s="19" t="n"/>
      <c r="W2941" s="19" t="n"/>
      <c r="X2941" s="19" t="n"/>
      <c r="Y2941" s="19" t="n">
        <v>1</v>
      </c>
      <c r="Z2941" s="13">
        <f>SUMPRODUCT(N2941:Y2941,$N$2:$Y$2)*$K2941*$L2941*$M2941</f>
        <v/>
      </c>
      <c r="AA2941" s="14">
        <f>SUM(N2941:Y2941)</f>
        <v/>
      </c>
      <c r="AB2941" s="13">
        <f>SUMPRODUCT(N2941:Y2941,$N$3:$Y$3)*$K2941*$L2941*$M2941</f>
        <v/>
      </c>
      <c r="AC2941" s="13">
        <f>SUMPRODUCT(N2941:Y2941,$N$4:$Y$4)*$K2941*$L2941*$M2941</f>
        <v/>
      </c>
      <c r="AD2941" s="15" t="n">
        <v>3</v>
      </c>
      <c r="AE2941" s="11" t="n">
        <v>1.011296296296296</v>
      </c>
      <c r="AF2941" s="16">
        <f>SUMPRODUCT(N2941:Y2941,$N$5:$Y$5)*$K2941*$L2941*$M2941</f>
        <v/>
      </c>
      <c r="AG2941" s="16">
        <f>SUMPRODUCT(N2941:Y2941,$N$6:$Y$6)*$K2941*$L2941*$M2941</f>
        <v/>
      </c>
      <c r="AH2941" s="20" t="n"/>
    </row>
    <row r="2942">
      <c r="A2942" s="9" t="n">
        <v>827293</v>
      </c>
      <c r="B2942" s="9" t="inlineStr">
        <is>
          <t>Cade Vernon</t>
        </is>
      </c>
      <c r="C2942" s="9" t="inlineStr">
        <is>
          <t>SF</t>
        </is>
      </c>
      <c r="D2942" s="9" t="n">
        <v>25</v>
      </c>
      <c r="E2942" s="18" t="inlineStr">
        <is>
          <t>R</t>
        </is>
      </c>
      <c r="F2942" s="18" t="n"/>
      <c r="G2942" s="9" t="n">
        <v>65.07333333333334</v>
      </c>
      <c r="H2942" s="9" t="n">
        <v>65.07333333333334</v>
      </c>
      <c r="I2942" s="9" t="inlineStr">
        <is>
          <t>Depth (no MLB IP)</t>
        </is>
      </c>
      <c r="J2942" s="18" t="inlineStr">
        <is>
          <t>Opening Day</t>
        </is>
      </c>
      <c r="K2942" s="11">
        <f>IFERROR(INDEX(Roles!$B$17:$B$20,MATCH(J2942,Roles!$A$17:$A$20,0)),1)</f>
        <v/>
      </c>
      <c r="L2942" s="19" t="n">
        <v>1</v>
      </c>
      <c r="M2942" s="11" t="n">
        <v>1</v>
      </c>
      <c r="N2942" s="19" t="n"/>
      <c r="O2942" s="19" t="n"/>
      <c r="P2942" s="19" t="n"/>
      <c r="Q2942" s="19" t="n"/>
      <c r="R2942" s="19" t="n"/>
      <c r="S2942" s="19" t="n"/>
      <c r="T2942" s="19" t="n"/>
      <c r="U2942" s="19" t="n"/>
      <c r="V2942" s="19" t="n"/>
      <c r="W2942" s="19" t="n"/>
      <c r="X2942" s="19" t="n"/>
      <c r="Y2942" s="19" t="n">
        <v>1</v>
      </c>
      <c r="Z2942" s="13">
        <f>SUMPRODUCT(N2942:Y2942,$N$2:$Y$2)*$K2942*$L2942*$M2942</f>
        <v/>
      </c>
      <c r="AA2942" s="14">
        <f>SUM(N2942:Y2942)</f>
        <v/>
      </c>
      <c r="AB2942" s="13">
        <f>SUMPRODUCT(N2942:Y2942,$N$3:$Y$3)*$K2942*$L2942*$M2942</f>
        <v/>
      </c>
      <c r="AC2942" s="13">
        <f>SUMPRODUCT(N2942:Y2942,$N$4:$Y$4)*$K2942*$L2942*$M2942</f>
        <v/>
      </c>
      <c r="AD2942" s="15" t="n">
        <v>3</v>
      </c>
      <c r="AE2942" s="11" t="n">
        <v>1.011296296296296</v>
      </c>
      <c r="AF2942" s="16">
        <f>SUMPRODUCT(N2942:Y2942,$N$5:$Y$5)*$K2942*$L2942*$M2942</f>
        <v/>
      </c>
      <c r="AG2942" s="16">
        <f>SUMPRODUCT(N2942:Y2942,$N$6:$Y$6)*$K2942*$L2942*$M2942</f>
        <v/>
      </c>
      <c r="AH2942" s="20" t="n"/>
    </row>
    <row r="2943">
      <c r="A2943" s="9" t="n">
        <v>655316</v>
      </c>
      <c r="B2943" s="9" t="inlineStr">
        <is>
          <t>Andruw Monasterio</t>
        </is>
      </c>
      <c r="C2943" s="9" t="inlineStr">
        <is>
          <t>BOS</t>
        </is>
      </c>
      <c r="D2943" s="9" t="n">
        <v>30</v>
      </c>
      <c r="E2943" s="18" t="inlineStr">
        <is>
          <t>R</t>
        </is>
      </c>
      <c r="F2943" s="18" t="n"/>
      <c r="G2943" s="9" t="n">
        <v>8</v>
      </c>
      <c r="H2943" s="9" t="n">
        <v>8</v>
      </c>
      <c r="I2943" s="9" t="inlineStr">
        <is>
          <t>Depth (no MLB IP)</t>
        </is>
      </c>
      <c r="J2943" s="18" t="inlineStr">
        <is>
          <t>Opening Day</t>
        </is>
      </c>
      <c r="K2943" s="11">
        <f>IFERROR(INDEX(Roles!$B$17:$B$20,MATCH(J2943,Roles!$A$17:$A$20,0)),1)</f>
        <v/>
      </c>
      <c r="L2943" s="19" t="n">
        <v>1</v>
      </c>
      <c r="M2943" s="11" t="n">
        <v>1</v>
      </c>
      <c r="N2943" s="19" t="n"/>
      <c r="O2943" s="19" t="n"/>
      <c r="P2943" s="19" t="n"/>
      <c r="Q2943" s="19" t="n"/>
      <c r="R2943" s="19" t="n"/>
      <c r="S2943" s="19" t="n"/>
      <c r="T2943" s="19" t="n"/>
      <c r="U2943" s="19" t="n"/>
      <c r="V2943" s="19" t="n"/>
      <c r="W2943" s="19" t="n"/>
      <c r="X2943" s="19" t="n"/>
      <c r="Y2943" s="19" t="n">
        <v>1</v>
      </c>
      <c r="Z2943" s="13">
        <f>SUMPRODUCT(N2943:Y2943,$N$2:$Y$2)*$K2943*$L2943*$M2943</f>
        <v/>
      </c>
      <c r="AA2943" s="14">
        <f>SUM(N2943:Y2943)</f>
        <v/>
      </c>
      <c r="AB2943" s="13">
        <f>SUMPRODUCT(N2943:Y2943,$N$3:$Y$3)*$K2943*$L2943*$M2943</f>
        <v/>
      </c>
      <c r="AC2943" s="13">
        <f>SUMPRODUCT(N2943:Y2943,$N$4:$Y$4)*$K2943*$L2943*$M2943</f>
        <v/>
      </c>
      <c r="AD2943" s="15" t="n">
        <v>1.8</v>
      </c>
      <c r="AE2943" s="11" t="n">
        <v>0.8964197530864197</v>
      </c>
      <c r="AF2943" s="16">
        <f>SUMPRODUCT(N2943:Y2943,$N$5:$Y$5)*$K2943*$L2943*$M2943</f>
        <v/>
      </c>
      <c r="AG2943" s="16">
        <f>SUMPRODUCT(N2943:Y2943,$N$6:$Y$6)*$K2943*$L2943*$M2943</f>
        <v/>
      </c>
      <c r="AH2943" s="20" t="n"/>
    </row>
    <row r="2944">
      <c r="A2944" s="9" t="n">
        <v>664238</v>
      </c>
      <c r="B2944" s="9" t="inlineStr">
        <is>
          <t>Dylan Moore</t>
        </is>
      </c>
      <c r="C2944" s="9" t="inlineStr">
        <is>
          <t>PHI</t>
        </is>
      </c>
      <c r="D2944" s="9" t="n">
        <v>34</v>
      </c>
      <c r="E2944" s="18" t="inlineStr">
        <is>
          <t>R</t>
        </is>
      </c>
      <c r="F2944" s="18" t="n"/>
      <c r="G2944" s="9" t="n">
        <v>8</v>
      </c>
      <c r="H2944" s="9" t="n">
        <v>8</v>
      </c>
      <c r="I2944" s="9" t="inlineStr">
        <is>
          <t>Depth (no MLB IP)</t>
        </is>
      </c>
      <c r="J2944" s="18" t="inlineStr">
        <is>
          <t>Opening Day</t>
        </is>
      </c>
      <c r="K2944" s="11">
        <f>IFERROR(INDEX(Roles!$B$17:$B$20,MATCH(J2944,Roles!$A$17:$A$20,0)),1)</f>
        <v/>
      </c>
      <c r="L2944" s="19" t="n">
        <v>1</v>
      </c>
      <c r="M2944" s="11" t="n">
        <v>1</v>
      </c>
      <c r="N2944" s="19" t="n"/>
      <c r="O2944" s="19" t="n"/>
      <c r="P2944" s="19" t="n"/>
      <c r="Q2944" s="19" t="n"/>
      <c r="R2944" s="19" t="n"/>
      <c r="S2944" s="19" t="n"/>
      <c r="T2944" s="19" t="n"/>
      <c r="U2944" s="19" t="n"/>
      <c r="V2944" s="19" t="n"/>
      <c r="W2944" s="19" t="n"/>
      <c r="X2944" s="19" t="n"/>
      <c r="Y2944" s="19" t="n">
        <v>1</v>
      </c>
      <c r="Z2944" s="13">
        <f>SUMPRODUCT(N2944:Y2944,$N$2:$Y$2)*$K2944*$L2944*$M2944</f>
        <v/>
      </c>
      <c r="AA2944" s="14">
        <f>SUM(N2944:Y2944)</f>
        <v/>
      </c>
      <c r="AB2944" s="13">
        <f>SUMPRODUCT(N2944:Y2944,$N$3:$Y$3)*$K2944*$L2944*$M2944</f>
        <v/>
      </c>
      <c r="AC2944" s="13">
        <f>SUMPRODUCT(N2944:Y2944,$N$4:$Y$4)*$K2944*$L2944*$M2944</f>
        <v/>
      </c>
      <c r="AD2944" s="15" t="n">
        <v>2.4</v>
      </c>
      <c r="AE2944" s="11" t="n">
        <v>0.9519753086419752</v>
      </c>
      <c r="AF2944" s="16">
        <f>SUMPRODUCT(N2944:Y2944,$N$5:$Y$5)*$K2944*$L2944*$M2944</f>
        <v/>
      </c>
      <c r="AG2944" s="16">
        <f>SUMPRODUCT(N2944:Y2944,$N$6:$Y$6)*$K2944*$L2944*$M2944</f>
        <v/>
      </c>
      <c r="AH2944" s="20" t="n"/>
    </row>
    <row r="2945">
      <c r="A2945" s="9" t="n">
        <v>800624</v>
      </c>
      <c r="B2945" s="9" t="inlineStr">
        <is>
          <t>Ben Jacobs</t>
        </is>
      </c>
      <c r="C2945" s="9" t="inlineStr">
        <is>
          <t>DET</t>
        </is>
      </c>
      <c r="D2945" s="9" t="n">
        <v>23</v>
      </c>
      <c r="E2945" s="18" t="inlineStr">
        <is>
          <t>L</t>
        </is>
      </c>
      <c r="F2945" s="18" t="n"/>
      <c r="G2945" s="9" t="n">
        <v>65.07333333333334</v>
      </c>
      <c r="H2945" s="9" t="n">
        <v>65.07333333333334</v>
      </c>
      <c r="I2945" s="9" t="inlineStr">
        <is>
          <t>Depth (no MLB IP)</t>
        </is>
      </c>
      <c r="J2945" s="18" t="inlineStr">
        <is>
          <t>Opening Day</t>
        </is>
      </c>
      <c r="K2945" s="11">
        <f>IFERROR(INDEX(Roles!$B$17:$B$20,MATCH(J2945,Roles!$A$17:$A$20,0)),1)</f>
        <v/>
      </c>
      <c r="L2945" s="19" t="n">
        <v>1</v>
      </c>
      <c r="M2945" s="11" t="n">
        <v>1</v>
      </c>
      <c r="N2945" s="19" t="n"/>
      <c r="O2945" s="19" t="n"/>
      <c r="P2945" s="19" t="n"/>
      <c r="Q2945" s="19" t="n"/>
      <c r="R2945" s="19" t="n"/>
      <c r="S2945" s="19" t="n"/>
      <c r="T2945" s="19" t="n"/>
      <c r="U2945" s="19" t="n"/>
      <c r="V2945" s="19" t="n"/>
      <c r="W2945" s="19" t="n"/>
      <c r="X2945" s="19" t="n"/>
      <c r="Y2945" s="19" t="n">
        <v>1</v>
      </c>
      <c r="Z2945" s="13">
        <f>SUMPRODUCT(N2945:Y2945,$N$2:$Y$2)*$K2945*$L2945*$M2945</f>
        <v/>
      </c>
      <c r="AA2945" s="14">
        <f>SUM(N2945:Y2945)</f>
        <v/>
      </c>
      <c r="AB2945" s="13">
        <f>SUMPRODUCT(N2945:Y2945,$N$3:$Y$3)*$K2945*$L2945*$M2945</f>
        <v/>
      </c>
      <c r="AC2945" s="13">
        <f>SUMPRODUCT(N2945:Y2945,$N$4:$Y$4)*$K2945*$L2945*$M2945</f>
        <v/>
      </c>
      <c r="AD2945" s="15" t="n">
        <v>3</v>
      </c>
      <c r="AE2945" s="11" t="n">
        <v>1.011296296296296</v>
      </c>
      <c r="AF2945" s="16">
        <f>SUMPRODUCT(N2945:Y2945,$N$5:$Y$5)*$K2945*$L2945*$M2945</f>
        <v/>
      </c>
      <c r="AG2945" s="16">
        <f>SUMPRODUCT(N2945:Y2945,$N$6:$Y$6)*$K2945*$L2945*$M2945</f>
        <v/>
      </c>
      <c r="AH2945" s="20" t="n"/>
    </row>
    <row r="2946">
      <c r="A2946" s="9" t="n">
        <v>806265</v>
      </c>
      <c r="B2946" s="9" t="inlineStr">
        <is>
          <t>Blake Wolters</t>
        </is>
      </c>
      <c r="C2946" s="9" t="inlineStr">
        <is>
          <t>KC</t>
        </is>
      </c>
      <c r="D2946" s="9" t="n">
        <v>25</v>
      </c>
      <c r="E2946" s="18" t="inlineStr">
        <is>
          <t>R</t>
        </is>
      </c>
      <c r="F2946" s="18" t="n"/>
      <c r="G2946" s="9" t="n">
        <v>65.07333333333334</v>
      </c>
      <c r="H2946" s="9" t="n">
        <v>65.07333333333334</v>
      </c>
      <c r="I2946" s="9" t="inlineStr">
        <is>
          <t>Depth (no MLB IP)</t>
        </is>
      </c>
      <c r="J2946" s="18" t="inlineStr">
        <is>
          <t>Opening Day</t>
        </is>
      </c>
      <c r="K2946" s="11">
        <f>IFERROR(INDEX(Roles!$B$17:$B$20,MATCH(J2946,Roles!$A$17:$A$20,0)),1)</f>
        <v/>
      </c>
      <c r="L2946" s="19" t="n">
        <v>1</v>
      </c>
      <c r="M2946" s="11" t="n">
        <v>1</v>
      </c>
      <c r="N2946" s="19" t="n"/>
      <c r="O2946" s="19" t="n"/>
      <c r="P2946" s="19" t="n"/>
      <c r="Q2946" s="19" t="n"/>
      <c r="R2946" s="19" t="n"/>
      <c r="S2946" s="19" t="n"/>
      <c r="T2946" s="19" t="n"/>
      <c r="U2946" s="19" t="n"/>
      <c r="V2946" s="19" t="n"/>
      <c r="W2946" s="19" t="n"/>
      <c r="X2946" s="19" t="n"/>
      <c r="Y2946" s="19" t="n">
        <v>1</v>
      </c>
      <c r="Z2946" s="13">
        <f>SUMPRODUCT(N2946:Y2946,$N$2:$Y$2)*$K2946*$L2946*$M2946</f>
        <v/>
      </c>
      <c r="AA2946" s="14">
        <f>SUM(N2946:Y2946)</f>
        <v/>
      </c>
      <c r="AB2946" s="13">
        <f>SUMPRODUCT(N2946:Y2946,$N$3:$Y$3)*$K2946*$L2946*$M2946</f>
        <v/>
      </c>
      <c r="AC2946" s="13">
        <f>SUMPRODUCT(N2946:Y2946,$N$4:$Y$4)*$K2946*$L2946*$M2946</f>
        <v/>
      </c>
      <c r="AD2946" s="15" t="n">
        <v>3</v>
      </c>
      <c r="AE2946" s="11" t="n">
        <v>1.011296296296296</v>
      </c>
      <c r="AF2946" s="16">
        <f>SUMPRODUCT(N2946:Y2946,$N$5:$Y$5)*$K2946*$L2946*$M2946</f>
        <v/>
      </c>
      <c r="AG2946" s="16">
        <f>SUMPRODUCT(N2946:Y2946,$N$6:$Y$6)*$K2946*$L2946*$M2946</f>
        <v/>
      </c>
      <c r="AH2946" s="20" t="n"/>
    </row>
    <row r="2947">
      <c r="A2947" s="9" t="n">
        <v>694851</v>
      </c>
      <c r="B2947" s="9" t="inlineStr">
        <is>
          <t>Andrew Hoffmann</t>
        </is>
      </c>
      <c r="C2947" s="9" t="inlineStr">
        <is>
          <t>ARI</t>
        </is>
      </c>
      <c r="D2947" s="9" t="n">
        <v>27</v>
      </c>
      <c r="E2947" s="18" t="inlineStr">
        <is>
          <t>R</t>
        </is>
      </c>
      <c r="F2947" s="18" t="n"/>
      <c r="G2947" s="9" t="n">
        <v>59</v>
      </c>
      <c r="H2947" s="9" t="n">
        <v>120</v>
      </c>
      <c r="I2947" s="9" t="inlineStr">
        <is>
          <t>Bullpen Depth Arm</t>
        </is>
      </c>
      <c r="J2947" s="18" t="inlineStr">
        <is>
          <t>Opening Day</t>
        </is>
      </c>
      <c r="K2947" s="11">
        <f>IFERROR(INDEX(Roles!$B$17:$B$20,MATCH(J2947,Roles!$A$17:$A$20,0)),1)</f>
        <v/>
      </c>
      <c r="L2947" s="19" t="n">
        <v>1</v>
      </c>
      <c r="M2947" s="11" t="n">
        <v>1</v>
      </c>
      <c r="N2947" s="19" t="n"/>
      <c r="O2947" s="19" t="n"/>
      <c r="P2947" s="19" t="n"/>
      <c r="Q2947" s="19" t="n"/>
      <c r="R2947" s="19" t="n"/>
      <c r="S2947" s="19" t="n"/>
      <c r="T2947" s="19" t="n"/>
      <c r="U2947" s="19" t="n"/>
      <c r="V2947" s="19" t="n"/>
      <c r="W2947" s="19" t="n">
        <v>1</v>
      </c>
      <c r="X2947" s="19" t="n"/>
      <c r="Y2947" s="19" t="n"/>
      <c r="Z2947" s="13">
        <f>SUMPRODUCT(N2947:Y2947,$N$2:$Y$2)*$K2947*$L2947*$M2947</f>
        <v/>
      </c>
      <c r="AA2947" s="14">
        <f>SUM(N2947:Y2947)</f>
        <v/>
      </c>
      <c r="AB2947" s="13">
        <f>SUMPRODUCT(N2947:Y2947,$N$3:$Y$3)*$K2947*$L2947*$M2947</f>
        <v/>
      </c>
      <c r="AC2947" s="13">
        <f>SUMPRODUCT(N2947:Y2947,$N$4:$Y$4)*$K2947*$L2947*$M2947</f>
        <v/>
      </c>
      <c r="AD2947" s="15" t="n">
        <v>11.18666666666667</v>
      </c>
      <c r="AE2947" s="11" t="n">
        <v>1.229043366724526</v>
      </c>
      <c r="AF2947" s="16">
        <f>SUMPRODUCT(N2947:Y2947,$N$5:$Y$5)*$K2947*$L2947*$M2947</f>
        <v/>
      </c>
      <c r="AG2947" s="16">
        <f>SUMPRODUCT(N2947:Y2947,$N$6:$Y$6)*$K2947*$L2947*$M2947</f>
        <v/>
      </c>
      <c r="AH2947" s="20" t="n"/>
    </row>
    <row r="2948">
      <c r="A2948" s="9" t="n">
        <v>695771</v>
      </c>
      <c r="B2948" s="9" t="inlineStr">
        <is>
          <t>Jacob Kmatz</t>
        </is>
      </c>
      <c r="C2948" s="9" t="inlineStr">
        <is>
          <t>LAD</t>
        </is>
      </c>
      <c r="D2948" s="9" t="n">
        <v>25</v>
      </c>
      <c r="E2948" s="18" t="inlineStr">
        <is>
          <t>R</t>
        </is>
      </c>
      <c r="F2948" s="18" t="n"/>
      <c r="G2948" s="9" t="n">
        <v>65.21666666666667</v>
      </c>
      <c r="H2948" s="9" t="n">
        <v>65.21666666666667</v>
      </c>
      <c r="I2948" s="9" t="inlineStr">
        <is>
          <t>Depth (no MLB IP)</t>
        </is>
      </c>
      <c r="J2948" s="18" t="inlineStr">
        <is>
          <t>Opening Day</t>
        </is>
      </c>
      <c r="K2948" s="11">
        <f>IFERROR(INDEX(Roles!$B$17:$B$20,MATCH(J2948,Roles!$A$17:$A$20,0)),1)</f>
        <v/>
      </c>
      <c r="L2948" s="19" t="n">
        <v>1</v>
      </c>
      <c r="M2948" s="11" t="n">
        <v>1</v>
      </c>
      <c r="N2948" s="19" t="n"/>
      <c r="O2948" s="19" t="n"/>
      <c r="P2948" s="19" t="n"/>
      <c r="Q2948" s="19" t="n"/>
      <c r="R2948" s="19" t="n"/>
      <c r="S2948" s="19" t="n"/>
      <c r="T2948" s="19" t="n"/>
      <c r="U2948" s="19" t="n"/>
      <c r="V2948" s="19" t="n"/>
      <c r="W2948" s="19" t="n"/>
      <c r="X2948" s="19" t="n"/>
      <c r="Y2948" s="19" t="n">
        <v>1</v>
      </c>
      <c r="Z2948" s="13">
        <f>SUMPRODUCT(N2948:Y2948,$N$2:$Y$2)*$K2948*$L2948*$M2948</f>
        <v/>
      </c>
      <c r="AA2948" s="14">
        <f>SUM(N2948:Y2948)</f>
        <v/>
      </c>
      <c r="AB2948" s="13">
        <f>SUMPRODUCT(N2948:Y2948,$N$3:$Y$3)*$K2948*$L2948*$M2948</f>
        <v/>
      </c>
      <c r="AC2948" s="13">
        <f>SUMPRODUCT(N2948:Y2948,$N$4:$Y$4)*$K2948*$L2948*$M2948</f>
        <v/>
      </c>
      <c r="AD2948" s="15" t="n">
        <v>3</v>
      </c>
      <c r="AE2948" s="11" t="n">
        <v>1.011296296296296</v>
      </c>
      <c r="AF2948" s="16">
        <f>SUMPRODUCT(N2948:Y2948,$N$5:$Y$5)*$K2948*$L2948*$M2948</f>
        <v/>
      </c>
      <c r="AG2948" s="16">
        <f>SUMPRODUCT(N2948:Y2948,$N$6:$Y$6)*$K2948*$L2948*$M2948</f>
        <v/>
      </c>
      <c r="AH2948" s="20" t="n"/>
    </row>
    <row r="2949">
      <c r="A2949" s="9" t="n">
        <v>699782</v>
      </c>
      <c r="B2949" s="9" t="inlineStr">
        <is>
          <t>Beau Blanchard</t>
        </is>
      </c>
      <c r="C2949" s="9" t="inlineStr">
        <is>
          <t>CIN</t>
        </is>
      </c>
      <c r="D2949" s="9" t="n">
        <v>25</v>
      </c>
      <c r="E2949" s="18" t="inlineStr">
        <is>
          <t>R</t>
        </is>
      </c>
      <c r="F2949" s="18" t="n"/>
      <c r="G2949" s="9" t="n">
        <v>65.21666666666667</v>
      </c>
      <c r="H2949" s="9" t="n">
        <v>65.21666666666667</v>
      </c>
      <c r="I2949" s="9" t="inlineStr">
        <is>
          <t>Depth (no MLB IP)</t>
        </is>
      </c>
      <c r="J2949" s="18" t="inlineStr">
        <is>
          <t>Opening Day</t>
        </is>
      </c>
      <c r="K2949" s="11">
        <f>IFERROR(INDEX(Roles!$B$17:$B$20,MATCH(J2949,Roles!$A$17:$A$20,0)),1)</f>
        <v/>
      </c>
      <c r="L2949" s="19" t="n">
        <v>1</v>
      </c>
      <c r="M2949" s="11" t="n">
        <v>1</v>
      </c>
      <c r="N2949" s="19" t="n"/>
      <c r="O2949" s="19" t="n"/>
      <c r="P2949" s="19" t="n"/>
      <c r="Q2949" s="19" t="n"/>
      <c r="R2949" s="19" t="n"/>
      <c r="S2949" s="19" t="n"/>
      <c r="T2949" s="19" t="n"/>
      <c r="U2949" s="19" t="n"/>
      <c r="V2949" s="19" t="n"/>
      <c r="W2949" s="19" t="n"/>
      <c r="X2949" s="19" t="n"/>
      <c r="Y2949" s="19" t="n">
        <v>1</v>
      </c>
      <c r="Z2949" s="13">
        <f>SUMPRODUCT(N2949:Y2949,$N$2:$Y$2)*$K2949*$L2949*$M2949</f>
        <v/>
      </c>
      <c r="AA2949" s="14">
        <f>SUM(N2949:Y2949)</f>
        <v/>
      </c>
      <c r="AB2949" s="13">
        <f>SUMPRODUCT(N2949:Y2949,$N$3:$Y$3)*$K2949*$L2949*$M2949</f>
        <v/>
      </c>
      <c r="AC2949" s="13">
        <f>SUMPRODUCT(N2949:Y2949,$N$4:$Y$4)*$K2949*$L2949*$M2949</f>
        <v/>
      </c>
      <c r="AD2949" s="15" t="n">
        <v>3</v>
      </c>
      <c r="AE2949" s="11" t="n">
        <v>1.011296296296296</v>
      </c>
      <c r="AF2949" s="16">
        <f>SUMPRODUCT(N2949:Y2949,$N$5:$Y$5)*$K2949*$L2949*$M2949</f>
        <v/>
      </c>
      <c r="AG2949" s="16">
        <f>SUMPRODUCT(N2949:Y2949,$N$6:$Y$6)*$K2949*$L2949*$M2949</f>
        <v/>
      </c>
      <c r="AH2949" s="20" t="n"/>
    </row>
    <row r="2950">
      <c r="A2950" s="9" t="n">
        <v>815088</v>
      </c>
      <c r="B2950" s="9" t="inlineStr">
        <is>
          <t>Jacob Frost</t>
        </is>
      </c>
      <c r="C2950" s="9" t="inlineStr">
        <is>
          <t>LAD</t>
        </is>
      </c>
      <c r="D2950" s="9" t="n">
        <v>25</v>
      </c>
      <c r="E2950" s="18" t="inlineStr">
        <is>
          <t>L</t>
        </is>
      </c>
      <c r="F2950" s="18" t="n"/>
      <c r="G2950" s="9" t="n">
        <v>65.36</v>
      </c>
      <c r="H2950" s="9" t="n">
        <v>65.36</v>
      </c>
      <c r="I2950" s="9" t="inlineStr">
        <is>
          <t>Depth (no MLB IP)</t>
        </is>
      </c>
      <c r="J2950" s="18" t="inlineStr">
        <is>
          <t>Opening Day</t>
        </is>
      </c>
      <c r="K2950" s="11">
        <f>IFERROR(INDEX(Roles!$B$17:$B$20,MATCH(J2950,Roles!$A$17:$A$20,0)),1)</f>
        <v/>
      </c>
      <c r="L2950" s="19" t="n">
        <v>1</v>
      </c>
      <c r="M2950" s="11" t="n">
        <v>1</v>
      </c>
      <c r="N2950" s="19" t="n"/>
      <c r="O2950" s="19" t="n"/>
      <c r="P2950" s="19" t="n"/>
      <c r="Q2950" s="19" t="n"/>
      <c r="R2950" s="19" t="n"/>
      <c r="S2950" s="19" t="n"/>
      <c r="T2950" s="19" t="n"/>
      <c r="U2950" s="19" t="n"/>
      <c r="V2950" s="19" t="n"/>
      <c r="W2950" s="19" t="n"/>
      <c r="X2950" s="19" t="n"/>
      <c r="Y2950" s="19" t="n">
        <v>1</v>
      </c>
      <c r="Z2950" s="13">
        <f>SUMPRODUCT(N2950:Y2950,$N$2:$Y$2)*$K2950*$L2950*$M2950</f>
        <v/>
      </c>
      <c r="AA2950" s="14">
        <f>SUM(N2950:Y2950)</f>
        <v/>
      </c>
      <c r="AB2950" s="13">
        <f>SUMPRODUCT(N2950:Y2950,$N$3:$Y$3)*$K2950*$L2950*$M2950</f>
        <v/>
      </c>
      <c r="AC2950" s="13">
        <f>SUMPRODUCT(N2950:Y2950,$N$4:$Y$4)*$K2950*$L2950*$M2950</f>
        <v/>
      </c>
      <c r="AD2950" s="15" t="n">
        <v>3</v>
      </c>
      <c r="AE2950" s="11" t="n">
        <v>1.011296296296296</v>
      </c>
      <c r="AF2950" s="16">
        <f>SUMPRODUCT(N2950:Y2950,$N$5:$Y$5)*$K2950*$L2950*$M2950</f>
        <v/>
      </c>
      <c r="AG2950" s="16">
        <f>SUMPRODUCT(N2950:Y2950,$N$6:$Y$6)*$K2950*$L2950*$M2950</f>
        <v/>
      </c>
      <c r="AH2950" s="20" t="n"/>
    </row>
    <row r="2951">
      <c r="A2951" s="9" t="n">
        <v>803035</v>
      </c>
      <c r="B2951" s="9" t="inlineStr">
        <is>
          <t>Riley Gowens</t>
        </is>
      </c>
      <c r="C2951" s="9" t="inlineStr">
        <is>
          <t>CWS</t>
        </is>
      </c>
      <c r="D2951" s="9" t="n">
        <v>25</v>
      </c>
      <c r="E2951" s="18" t="inlineStr">
        <is>
          <t>R</t>
        </is>
      </c>
      <c r="F2951" s="18" t="n"/>
      <c r="G2951" s="9" t="n">
        <v>65.43166666666667</v>
      </c>
      <c r="H2951" s="9" t="n">
        <v>65.43166666666667</v>
      </c>
      <c r="I2951" s="9" t="inlineStr">
        <is>
          <t>Depth (no MLB IP)</t>
        </is>
      </c>
      <c r="J2951" s="18" t="inlineStr">
        <is>
          <t>Opening Day</t>
        </is>
      </c>
      <c r="K2951" s="11">
        <f>IFERROR(INDEX(Roles!$B$17:$B$20,MATCH(J2951,Roles!$A$17:$A$20,0)),1)</f>
        <v/>
      </c>
      <c r="L2951" s="19" t="n">
        <v>1</v>
      </c>
      <c r="M2951" s="11" t="n">
        <v>1</v>
      </c>
      <c r="N2951" s="19" t="n"/>
      <c r="O2951" s="19" t="n"/>
      <c r="P2951" s="19" t="n"/>
      <c r="Q2951" s="19" t="n"/>
      <c r="R2951" s="19" t="n"/>
      <c r="S2951" s="19" t="n"/>
      <c r="T2951" s="19" t="n"/>
      <c r="U2951" s="19" t="n"/>
      <c r="V2951" s="19" t="n"/>
      <c r="W2951" s="19" t="n"/>
      <c r="X2951" s="19" t="n"/>
      <c r="Y2951" s="19" t="n">
        <v>1</v>
      </c>
      <c r="Z2951" s="13">
        <f>SUMPRODUCT(N2951:Y2951,$N$2:$Y$2)*$K2951*$L2951*$M2951</f>
        <v/>
      </c>
      <c r="AA2951" s="14">
        <f>SUM(N2951:Y2951)</f>
        <v/>
      </c>
      <c r="AB2951" s="13">
        <f>SUMPRODUCT(N2951:Y2951,$N$3:$Y$3)*$K2951*$L2951*$M2951</f>
        <v/>
      </c>
      <c r="AC2951" s="13">
        <f>SUMPRODUCT(N2951:Y2951,$N$4:$Y$4)*$K2951*$L2951*$M2951</f>
        <v/>
      </c>
      <c r="AD2951" s="15" t="n">
        <v>3</v>
      </c>
      <c r="AE2951" s="11" t="n">
        <v>1.011296296296296</v>
      </c>
      <c r="AF2951" s="16">
        <f>SUMPRODUCT(N2951:Y2951,$N$5:$Y$5)*$K2951*$L2951*$M2951</f>
        <v/>
      </c>
      <c r="AG2951" s="16">
        <f>SUMPRODUCT(N2951:Y2951,$N$6:$Y$6)*$K2951*$L2951*$M2951</f>
        <v/>
      </c>
      <c r="AH2951" s="20" t="n"/>
    </row>
    <row r="2952">
      <c r="A2952" s="9" t="n">
        <v>828412</v>
      </c>
      <c r="B2952" s="9" t="inlineStr">
        <is>
          <t>Zachary Redner</t>
        </is>
      </c>
      <c r="C2952" s="9" t="inlineStr">
        <is>
          <t>LAA</t>
        </is>
      </c>
      <c r="D2952" s="9" t="n">
        <v>25</v>
      </c>
      <c r="E2952" s="18" t="inlineStr">
        <is>
          <t>R</t>
        </is>
      </c>
      <c r="F2952" s="18" t="n"/>
      <c r="G2952" s="9" t="n">
        <v>65.64666666666666</v>
      </c>
      <c r="H2952" s="9" t="n">
        <v>65.64666666666666</v>
      </c>
      <c r="I2952" s="9" t="inlineStr">
        <is>
          <t>Depth (no MLB IP)</t>
        </is>
      </c>
      <c r="J2952" s="18" t="inlineStr">
        <is>
          <t>Opening Day</t>
        </is>
      </c>
      <c r="K2952" s="11">
        <f>IFERROR(INDEX(Roles!$B$17:$B$20,MATCH(J2952,Roles!$A$17:$A$20,0)),1)</f>
        <v/>
      </c>
      <c r="L2952" s="19" t="n">
        <v>1</v>
      </c>
      <c r="M2952" s="11" t="n">
        <v>1</v>
      </c>
      <c r="N2952" s="19" t="n"/>
      <c r="O2952" s="19" t="n"/>
      <c r="P2952" s="19" t="n"/>
      <c r="Q2952" s="19" t="n"/>
      <c r="R2952" s="19" t="n"/>
      <c r="S2952" s="19" t="n"/>
      <c r="T2952" s="19" t="n"/>
      <c r="U2952" s="19" t="n"/>
      <c r="V2952" s="19" t="n"/>
      <c r="W2952" s="19" t="n"/>
      <c r="X2952" s="19" t="n"/>
      <c r="Y2952" s="19" t="n">
        <v>1</v>
      </c>
      <c r="Z2952" s="13">
        <f>SUMPRODUCT(N2952:Y2952,$N$2:$Y$2)*$K2952*$L2952*$M2952</f>
        <v/>
      </c>
      <c r="AA2952" s="14">
        <f>SUM(N2952:Y2952)</f>
        <v/>
      </c>
      <c r="AB2952" s="13">
        <f>SUMPRODUCT(N2952:Y2952,$N$3:$Y$3)*$K2952*$L2952*$M2952</f>
        <v/>
      </c>
      <c r="AC2952" s="13">
        <f>SUMPRODUCT(N2952:Y2952,$N$4:$Y$4)*$K2952*$L2952*$M2952</f>
        <v/>
      </c>
      <c r="AD2952" s="15" t="n">
        <v>3</v>
      </c>
      <c r="AE2952" s="11" t="n">
        <v>1.011296296296296</v>
      </c>
      <c r="AF2952" s="16">
        <f>SUMPRODUCT(N2952:Y2952,$N$5:$Y$5)*$K2952*$L2952*$M2952</f>
        <v/>
      </c>
      <c r="AG2952" s="16">
        <f>SUMPRODUCT(N2952:Y2952,$N$6:$Y$6)*$K2952*$L2952*$M2952</f>
        <v/>
      </c>
      <c r="AH2952" s="20" t="n"/>
    </row>
    <row r="2953">
      <c r="A2953" s="9" t="n">
        <v>801941</v>
      </c>
      <c r="B2953" s="9" t="inlineStr">
        <is>
          <t>Carson Jacobs</t>
        </is>
      </c>
      <c r="C2953" s="9" t="inlineStr">
        <is>
          <t>CWS</t>
        </is>
      </c>
      <c r="D2953" s="9" t="n">
        <v>25</v>
      </c>
      <c r="E2953" s="18" t="inlineStr">
        <is>
          <t>R</t>
        </is>
      </c>
      <c r="F2953" s="18" t="n"/>
      <c r="G2953" s="9" t="n">
        <v>65.71833333333332</v>
      </c>
      <c r="H2953" s="9" t="n">
        <v>65.71833333333332</v>
      </c>
      <c r="I2953" s="9" t="inlineStr">
        <is>
          <t>Depth (no MLB IP)</t>
        </is>
      </c>
      <c r="J2953" s="18" t="inlineStr">
        <is>
          <t>Opening Day</t>
        </is>
      </c>
      <c r="K2953" s="11">
        <f>IFERROR(INDEX(Roles!$B$17:$B$20,MATCH(J2953,Roles!$A$17:$A$20,0)),1)</f>
        <v/>
      </c>
      <c r="L2953" s="19" t="n">
        <v>1</v>
      </c>
      <c r="M2953" s="11" t="n">
        <v>1</v>
      </c>
      <c r="N2953" s="19" t="n"/>
      <c r="O2953" s="19" t="n"/>
      <c r="P2953" s="19" t="n"/>
      <c r="Q2953" s="19" t="n"/>
      <c r="R2953" s="19" t="n"/>
      <c r="S2953" s="19" t="n"/>
      <c r="T2953" s="19" t="n"/>
      <c r="U2953" s="19" t="n"/>
      <c r="V2953" s="19" t="n"/>
      <c r="W2953" s="19" t="n"/>
      <c r="X2953" s="19" t="n"/>
      <c r="Y2953" s="19" t="n">
        <v>1</v>
      </c>
      <c r="Z2953" s="13">
        <f>SUMPRODUCT(N2953:Y2953,$N$2:$Y$2)*$K2953*$L2953*$M2953</f>
        <v/>
      </c>
      <c r="AA2953" s="14">
        <f>SUM(N2953:Y2953)</f>
        <v/>
      </c>
      <c r="AB2953" s="13">
        <f>SUMPRODUCT(N2953:Y2953,$N$3:$Y$3)*$K2953*$L2953*$M2953</f>
        <v/>
      </c>
      <c r="AC2953" s="13">
        <f>SUMPRODUCT(N2953:Y2953,$N$4:$Y$4)*$K2953*$L2953*$M2953</f>
        <v/>
      </c>
      <c r="AD2953" s="15" t="n">
        <v>3</v>
      </c>
      <c r="AE2953" s="11" t="n">
        <v>1.011296296296296</v>
      </c>
      <c r="AF2953" s="16">
        <f>SUMPRODUCT(N2953:Y2953,$N$5:$Y$5)*$K2953*$L2953*$M2953</f>
        <v/>
      </c>
      <c r="AG2953" s="16">
        <f>SUMPRODUCT(N2953:Y2953,$N$6:$Y$6)*$K2953*$L2953*$M2953</f>
        <v/>
      </c>
      <c r="AH2953" s="20" t="n"/>
    </row>
    <row r="2954">
      <c r="A2954" s="9" t="n">
        <v>801725</v>
      </c>
      <c r="B2954" s="9" t="inlineStr">
        <is>
          <t>Luis De León</t>
        </is>
      </c>
      <c r="C2954" s="9" t="inlineStr">
        <is>
          <t>BAL</t>
        </is>
      </c>
      <c r="D2954" s="9" t="n">
        <v>24</v>
      </c>
      <c r="E2954" s="18" t="inlineStr">
        <is>
          <t>L</t>
        </is>
      </c>
      <c r="F2954" s="18" t="n"/>
      <c r="G2954" s="9" t="n">
        <v>36</v>
      </c>
      <c r="H2954" s="9" t="n">
        <v>36</v>
      </c>
      <c r="I2954" s="9" t="inlineStr">
        <is>
          <t>Bullpen Depth Arm</t>
        </is>
      </c>
      <c r="J2954" s="18" t="inlineStr">
        <is>
          <t>Early Season (~May)</t>
        </is>
      </c>
      <c r="K2954" s="11">
        <f>IFERROR(INDEX(Roles!$B$17:$B$20,MATCH(J2954,Roles!$A$17:$A$20,0)),1)</f>
        <v/>
      </c>
      <c r="L2954" s="19" t="n">
        <v>1</v>
      </c>
      <c r="M2954" s="11" t="n">
        <v>1</v>
      </c>
      <c r="N2954" s="19" t="n"/>
      <c r="O2954" s="19" t="n"/>
      <c r="P2954" s="19" t="n"/>
      <c r="Q2954" s="19" t="n"/>
      <c r="R2954" s="19" t="n"/>
      <c r="S2954" s="19" t="n"/>
      <c r="T2954" s="19" t="n"/>
      <c r="U2954" s="19" t="n"/>
      <c r="V2954" s="19" t="n"/>
      <c r="W2954" s="19" t="n">
        <v>1</v>
      </c>
      <c r="X2954" s="19" t="n"/>
      <c r="Y2954" s="19" t="n"/>
      <c r="Z2954" s="13">
        <f>SUMPRODUCT(N2954:Y2954,$N$2:$Y$2)*$K2954*$L2954*$M2954</f>
        <v/>
      </c>
      <c r="AA2954" s="14">
        <f>SUM(N2954:Y2954)</f>
        <v/>
      </c>
      <c r="AB2954" s="13">
        <f>SUMPRODUCT(N2954:Y2954,$N$3:$Y$3)*$K2954*$L2954*$M2954</f>
        <v/>
      </c>
      <c r="AC2954" s="13">
        <f>SUMPRODUCT(N2954:Y2954,$N$4:$Y$4)*$K2954*$L2954*$M2954</f>
        <v/>
      </c>
      <c r="AD2954" s="15" t="n">
        <v>10.46666666666666</v>
      </c>
      <c r="AE2954" s="11" t="n">
        <v>1.190396023729357</v>
      </c>
      <c r="AF2954" s="16">
        <f>SUMPRODUCT(N2954:Y2954,$N$5:$Y$5)*$K2954*$L2954*$M2954</f>
        <v/>
      </c>
      <c r="AG2954" s="16">
        <f>SUMPRODUCT(N2954:Y2954,$N$6:$Y$6)*$K2954*$L2954*$M2954</f>
        <v/>
      </c>
      <c r="AH2954" s="20" t="n"/>
    </row>
    <row r="2955">
      <c r="A2955" s="9" t="n">
        <v>686651</v>
      </c>
      <c r="B2955" s="9" t="inlineStr">
        <is>
          <t>Levi Stoudt</t>
        </is>
      </c>
      <c r="C2955" s="9" t="inlineStr">
        <is>
          <t>CIN</t>
        </is>
      </c>
      <c r="D2955" s="9" t="n">
        <v>29</v>
      </c>
      <c r="E2955" s="18" t="inlineStr">
        <is>
          <t>R</t>
        </is>
      </c>
      <c r="F2955" s="18" t="n"/>
      <c r="G2955" s="9" t="n">
        <v>55</v>
      </c>
      <c r="H2955" s="9" t="n">
        <v>55</v>
      </c>
      <c r="I2955" s="9" t="inlineStr">
        <is>
          <t>Depth (no MLB IP)</t>
        </is>
      </c>
      <c r="J2955" s="18" t="inlineStr">
        <is>
          <t>Opening Day</t>
        </is>
      </c>
      <c r="K2955" s="11">
        <f>IFERROR(INDEX(Roles!$B$17:$B$20,MATCH(J2955,Roles!$A$17:$A$20,0)),1)</f>
        <v/>
      </c>
      <c r="L2955" s="19" t="n">
        <v>1</v>
      </c>
      <c r="M2955" s="11" t="n">
        <v>1</v>
      </c>
      <c r="N2955" s="19" t="n"/>
      <c r="O2955" s="19" t="n"/>
      <c r="P2955" s="19" t="n"/>
      <c r="Q2955" s="19" t="n"/>
      <c r="R2955" s="19" t="n"/>
      <c r="S2955" s="19" t="n"/>
      <c r="T2955" s="19" t="n"/>
      <c r="U2955" s="19" t="n"/>
      <c r="V2955" s="19" t="n"/>
      <c r="W2955" s="19" t="n"/>
      <c r="X2955" s="19" t="n"/>
      <c r="Y2955" s="19" t="n">
        <v>1</v>
      </c>
      <c r="Z2955" s="13">
        <f>SUMPRODUCT(N2955:Y2955,$N$2:$Y$2)*$K2955*$L2955*$M2955</f>
        <v/>
      </c>
      <c r="AA2955" s="14">
        <f>SUM(N2955:Y2955)</f>
        <v/>
      </c>
      <c r="AB2955" s="13">
        <f>SUMPRODUCT(N2955:Y2955,$N$3:$Y$3)*$K2955*$L2955*$M2955</f>
        <v/>
      </c>
      <c r="AC2955" s="13">
        <f>SUMPRODUCT(N2955:Y2955,$N$4:$Y$4)*$K2955*$L2955*$M2955</f>
        <v/>
      </c>
      <c r="AD2955" s="15" t="n">
        <v>3</v>
      </c>
      <c r="AE2955" s="11" t="n">
        <v>1.011296296296296</v>
      </c>
      <c r="AF2955" s="16">
        <f>SUMPRODUCT(N2955:Y2955,$N$5:$Y$5)*$K2955*$L2955*$M2955</f>
        <v/>
      </c>
      <c r="AG2955" s="16">
        <f>SUMPRODUCT(N2955:Y2955,$N$6:$Y$6)*$K2955*$L2955*$M2955</f>
        <v/>
      </c>
      <c r="AH2955" s="20" t="n"/>
    </row>
    <row r="2956">
      <c r="A2956" s="9" t="n">
        <v>681517</v>
      </c>
      <c r="B2956" s="9" t="inlineStr">
        <is>
          <t>Kyle Leahy</t>
        </is>
      </c>
      <c r="C2956" s="9" t="inlineStr">
        <is>
          <t>STL</t>
        </is>
      </c>
      <c r="D2956" s="9" t="n">
        <v>30</v>
      </c>
      <c r="E2956" s="18" t="inlineStr">
        <is>
          <t>R</t>
        </is>
      </c>
      <c r="F2956" s="18" t="n"/>
      <c r="G2956" s="9" t="n">
        <v>596</v>
      </c>
      <c r="H2956" s="9" t="n">
        <v>1165</v>
      </c>
      <c r="I2956" s="9" t="inlineStr">
        <is>
          <t>Mid-Rotation Starter (SP2-3)</t>
        </is>
      </c>
      <c r="J2956" s="18" t="inlineStr">
        <is>
          <t>Opening Day</t>
        </is>
      </c>
      <c r="K2956" s="11">
        <f>IFERROR(INDEX(Roles!$B$17:$B$20,MATCH(J2956,Roles!$A$17:$A$20,0)),1)</f>
        <v/>
      </c>
      <c r="L2956" s="19" t="n">
        <v>1</v>
      </c>
      <c r="M2956" s="11" t="n">
        <v>1</v>
      </c>
      <c r="N2956" s="19" t="n"/>
      <c r="O2956" s="19" t="n">
        <v>0.5</v>
      </c>
      <c r="P2956" s="19" t="n">
        <v>0.5</v>
      </c>
      <c r="Q2956" s="19" t="n"/>
      <c r="R2956" s="19" t="n"/>
      <c r="S2956" s="19" t="n"/>
      <c r="T2956" s="19" t="n"/>
      <c r="U2956" s="19" t="n"/>
      <c r="V2956" s="19" t="n"/>
      <c r="W2956" s="19" t="n"/>
      <c r="X2956" s="19" t="n"/>
      <c r="Y2956" s="19" t="n"/>
      <c r="Z2956" s="13">
        <f>SUMPRODUCT(N2956:Y2956,$N$2:$Y$2)*$K2956*$L2956*$M2956</f>
        <v/>
      </c>
      <c r="AA2956" s="14">
        <f>SUM(N2956:Y2956)</f>
        <v/>
      </c>
      <c r="AB2956" s="13">
        <f>SUMPRODUCT(N2956:Y2956,$N$3:$Y$3)*$K2956*$L2956*$M2956</f>
        <v/>
      </c>
      <c r="AC2956" s="13">
        <f>SUMPRODUCT(N2956:Y2956,$N$4:$Y$4)*$K2956*$L2956*$M2956</f>
        <v/>
      </c>
      <c r="AD2956" s="15" t="n">
        <v>35.1</v>
      </c>
      <c r="AE2956" s="11" t="n">
        <v>4.339529551753661</v>
      </c>
      <c r="AF2956" s="16">
        <f>SUMPRODUCT(N2956:Y2956,$N$5:$Y$5)*$K2956*$L2956*$M2956</f>
        <v/>
      </c>
      <c r="AG2956" s="16">
        <f>SUMPRODUCT(N2956:Y2956,$N$6:$Y$6)*$K2956*$L2956*$M2956</f>
        <v/>
      </c>
      <c r="AH2956" s="20" t="n"/>
    </row>
    <row r="2957">
      <c r="A2957" s="9" t="n">
        <v>670156</v>
      </c>
      <c r="B2957" s="9" t="inlineStr">
        <is>
          <t>Miles Mastrobuoni</t>
        </is>
      </c>
      <c r="C2957" s="9" t="inlineStr">
        <is>
          <t>SEA</t>
        </is>
      </c>
      <c r="D2957" s="9" t="n">
        <v>31</v>
      </c>
      <c r="E2957" s="18" t="inlineStr">
        <is>
          <t>R</t>
        </is>
      </c>
      <c r="F2957" s="18" t="n"/>
      <c r="G2957" s="9" t="n">
        <v>6</v>
      </c>
      <c r="H2957" s="9" t="n">
        <v>11</v>
      </c>
      <c r="I2957" s="9" t="inlineStr">
        <is>
          <t>Depth (no MLB IP)</t>
        </is>
      </c>
      <c r="J2957" s="18" t="inlineStr">
        <is>
          <t>Opening Day</t>
        </is>
      </c>
      <c r="K2957" s="11">
        <f>IFERROR(INDEX(Roles!$B$17:$B$20,MATCH(J2957,Roles!$A$17:$A$20,0)),1)</f>
        <v/>
      </c>
      <c r="L2957" s="19" t="n">
        <v>1</v>
      </c>
      <c r="M2957" s="11" t="n">
        <v>1</v>
      </c>
      <c r="N2957" s="19" t="n"/>
      <c r="O2957" s="19" t="n"/>
      <c r="P2957" s="19" t="n"/>
      <c r="Q2957" s="19" t="n"/>
      <c r="R2957" s="19" t="n"/>
      <c r="S2957" s="19" t="n"/>
      <c r="T2957" s="19" t="n"/>
      <c r="U2957" s="19" t="n"/>
      <c r="V2957" s="19" t="n"/>
      <c r="W2957" s="19" t="n"/>
      <c r="X2957" s="19" t="n"/>
      <c r="Y2957" s="19" t="n">
        <v>1</v>
      </c>
      <c r="Z2957" s="13">
        <f>SUMPRODUCT(N2957:Y2957,$N$2:$Y$2)*$K2957*$L2957*$M2957</f>
        <v/>
      </c>
      <c r="AA2957" s="14">
        <f>SUM(N2957:Y2957)</f>
        <v/>
      </c>
      <c r="AB2957" s="13">
        <f>SUMPRODUCT(N2957:Y2957,$N$3:$Y$3)*$K2957*$L2957*$M2957</f>
        <v/>
      </c>
      <c r="AC2957" s="13">
        <f>SUMPRODUCT(N2957:Y2957,$N$4:$Y$4)*$K2957*$L2957*$M2957</f>
        <v/>
      </c>
      <c r="AD2957" s="15" t="n">
        <v>1.8</v>
      </c>
      <c r="AE2957" s="11" t="n">
        <v>1.007530864197531</v>
      </c>
      <c r="AF2957" s="16">
        <f>SUMPRODUCT(N2957:Y2957,$N$5:$Y$5)*$K2957*$L2957*$M2957</f>
        <v/>
      </c>
      <c r="AG2957" s="16">
        <f>SUMPRODUCT(N2957:Y2957,$N$6:$Y$6)*$K2957*$L2957*$M2957</f>
        <v/>
      </c>
      <c r="AH2957" s="20" t="n"/>
    </row>
    <row r="2958">
      <c r="A2958" s="9" t="n">
        <v>666201</v>
      </c>
      <c r="B2958" s="9" t="inlineStr">
        <is>
          <t>Alek Manoah</t>
        </is>
      </c>
      <c r="C2958" s="9" t="inlineStr">
        <is>
          <t>LAA</t>
        </is>
      </c>
      <c r="D2958" s="9" t="n">
        <v>29</v>
      </c>
      <c r="E2958" s="18" t="inlineStr">
        <is>
          <t>R</t>
        </is>
      </c>
      <c r="F2958" s="18" t="n"/>
      <c r="G2958" s="9" t="n">
        <v>39</v>
      </c>
      <c r="H2958" s="9" t="n">
        <v>1343</v>
      </c>
      <c r="I2958" s="9" t="inlineStr">
        <is>
          <t>End-of-Rotation Starter (SP4-5)</t>
        </is>
      </c>
      <c r="J2958" s="18" t="inlineStr">
        <is>
          <t>Opening Day</t>
        </is>
      </c>
      <c r="K2958" s="11">
        <f>IFERROR(INDEX(Roles!$B$17:$B$20,MATCH(J2958,Roles!$A$17:$A$20,0)),1)</f>
        <v/>
      </c>
      <c r="L2958" s="19" t="n">
        <v>1</v>
      </c>
      <c r="M2958" s="11" t="n">
        <v>1</v>
      </c>
      <c r="N2958" s="19" t="n"/>
      <c r="O2958" s="19" t="n"/>
      <c r="P2958" s="19" t="n">
        <v>1</v>
      </c>
      <c r="Q2958" s="19" t="n"/>
      <c r="R2958" s="19" t="n"/>
      <c r="S2958" s="19" t="n"/>
      <c r="T2958" s="19" t="n"/>
      <c r="U2958" s="19" t="n"/>
      <c r="V2958" s="19" t="n"/>
      <c r="W2958" s="19" t="n"/>
      <c r="X2958" s="19" t="n"/>
      <c r="Y2958" s="19" t="n"/>
      <c r="Z2958" s="13">
        <f>SUMPRODUCT(N2958:Y2958,$N$2:$Y$2)*$K2958*$L2958*$M2958</f>
        <v/>
      </c>
      <c r="AA2958" s="14">
        <f>SUM(N2958:Y2958)</f>
        <v/>
      </c>
      <c r="AB2958" s="13">
        <f>SUMPRODUCT(N2958:Y2958,$N$3:$Y$3)*$K2958*$L2958*$M2958</f>
        <v/>
      </c>
      <c r="AC2958" s="13">
        <f>SUMPRODUCT(N2958:Y2958,$N$4:$Y$4)*$K2958*$L2958*$M2958</f>
        <v/>
      </c>
      <c r="AD2958" s="15" t="n">
        <v>8.5</v>
      </c>
      <c r="AE2958" s="11" t="n">
        <v>4.14021164021164</v>
      </c>
      <c r="AF2958" s="16">
        <f>SUMPRODUCT(N2958:Y2958,$N$5:$Y$5)*$K2958*$L2958*$M2958</f>
        <v/>
      </c>
      <c r="AG2958" s="16">
        <f>SUMPRODUCT(N2958:Y2958,$N$6:$Y$6)*$K2958*$L2958*$M2958</f>
        <v/>
      </c>
      <c r="AH2958" s="20" t="n"/>
    </row>
    <row r="2959">
      <c r="A2959" s="9" t="n">
        <v>696149</v>
      </c>
      <c r="B2959" s="9" t="inlineStr">
        <is>
          <t>Bubba Chandler</t>
        </is>
      </c>
      <c r="C2959" s="9" t="inlineStr">
        <is>
          <t>PIT</t>
        </is>
      </c>
      <c r="D2959" s="9" t="n">
        <v>24</v>
      </c>
      <c r="E2959" s="18" t="inlineStr">
        <is>
          <t>R</t>
        </is>
      </c>
      <c r="F2959" s="18" t="n"/>
      <c r="G2959" s="9" t="n">
        <v>674</v>
      </c>
      <c r="H2959" s="9" t="n">
        <v>798</v>
      </c>
      <c r="I2959" s="9" t="inlineStr">
        <is>
          <t>Mid-Rotation Starter (SP2-3)</t>
        </is>
      </c>
      <c r="J2959" s="18" t="inlineStr">
        <is>
          <t>Opening Day</t>
        </is>
      </c>
      <c r="K2959" s="11">
        <f>IFERROR(INDEX(Roles!$B$17:$B$20,MATCH(J2959,Roles!$A$17:$A$20,0)),1)</f>
        <v/>
      </c>
      <c r="L2959" s="19" t="n">
        <v>1</v>
      </c>
      <c r="M2959" s="11" t="n">
        <v>1</v>
      </c>
      <c r="N2959" s="19" t="n"/>
      <c r="O2959" s="19" t="n">
        <v>0.5</v>
      </c>
      <c r="P2959" s="19" t="n">
        <v>0.5</v>
      </c>
      <c r="Q2959" s="19" t="n"/>
      <c r="R2959" s="19" t="n"/>
      <c r="S2959" s="19" t="n"/>
      <c r="T2959" s="19" t="n"/>
      <c r="U2959" s="19" t="n"/>
      <c r="V2959" s="19" t="n"/>
      <c r="W2959" s="19" t="n"/>
      <c r="X2959" s="19" t="n"/>
      <c r="Y2959" s="19" t="n"/>
      <c r="Z2959" s="13">
        <f>SUMPRODUCT(N2959:Y2959,$N$2:$Y$2)*$K2959*$L2959*$M2959</f>
        <v/>
      </c>
      <c r="AA2959" s="14">
        <f>SUM(N2959:Y2959)</f>
        <v/>
      </c>
      <c r="AB2959" s="13">
        <f>SUMPRODUCT(N2959:Y2959,$N$3:$Y$3)*$K2959*$L2959*$M2959</f>
        <v/>
      </c>
      <c r="AC2959" s="13">
        <f>SUMPRODUCT(N2959:Y2959,$N$4:$Y$4)*$K2959*$L2959*$M2959</f>
        <v/>
      </c>
      <c r="AD2959" s="15" t="n">
        <v>23.24</v>
      </c>
      <c r="AE2959" s="11" t="n">
        <v>5.104009647271632</v>
      </c>
      <c r="AF2959" s="16">
        <f>SUMPRODUCT(N2959:Y2959,$N$5:$Y$5)*$K2959*$L2959*$M2959</f>
        <v/>
      </c>
      <c r="AG2959" s="16">
        <f>SUMPRODUCT(N2959:Y2959,$N$6:$Y$6)*$K2959*$L2959*$M2959</f>
        <v/>
      </c>
      <c r="AH2959" s="20" t="n"/>
    </row>
    <row r="2960">
      <c r="A2960" s="9" t="n">
        <v>694462</v>
      </c>
      <c r="B2960" s="9" t="inlineStr">
        <is>
          <t>Hurston Waldrep</t>
        </is>
      </c>
      <c r="C2960" s="9" t="inlineStr">
        <is>
          <t>ATL</t>
        </is>
      </c>
      <c r="D2960" s="9" t="n">
        <v>25</v>
      </c>
      <c r="E2960" s="18" t="inlineStr">
        <is>
          <t>R</t>
        </is>
      </c>
      <c r="F2960" s="18" t="n"/>
      <c r="G2960" s="9" t="n">
        <v>56</v>
      </c>
      <c r="H2960" s="9" t="n">
        <v>321</v>
      </c>
      <c r="I2960" s="9" t="inlineStr">
        <is>
          <t>Bullpen Depth Arm</t>
        </is>
      </c>
      <c r="J2960" s="18" t="inlineStr">
        <is>
          <t>Opening Day</t>
        </is>
      </c>
      <c r="K2960" s="11">
        <f>IFERROR(INDEX(Roles!$B$17:$B$20,MATCH(J2960,Roles!$A$17:$A$20,0)),1)</f>
        <v/>
      </c>
      <c r="L2960" s="19" t="n">
        <v>1</v>
      </c>
      <c r="M2960" s="11" t="n">
        <v>1</v>
      </c>
      <c r="N2960" s="19" t="n"/>
      <c r="O2960" s="19" t="n"/>
      <c r="P2960" s="19" t="n"/>
      <c r="Q2960" s="19" t="n"/>
      <c r="R2960" s="19" t="n"/>
      <c r="S2960" s="19" t="n"/>
      <c r="T2960" s="19" t="n"/>
      <c r="U2960" s="19" t="n"/>
      <c r="V2960" s="19" t="n"/>
      <c r="W2960" s="19" t="n">
        <v>1</v>
      </c>
      <c r="X2960" s="19" t="n"/>
      <c r="Y2960" s="19" t="n"/>
      <c r="Z2960" s="13">
        <f>SUMPRODUCT(N2960:Y2960,$N$2:$Y$2)*$K2960*$L2960*$M2960</f>
        <v/>
      </c>
      <c r="AA2960" s="14">
        <f>SUM(N2960:Y2960)</f>
        <v/>
      </c>
      <c r="AB2960" s="13">
        <f>SUMPRODUCT(N2960:Y2960,$N$3:$Y$3)*$K2960*$L2960*$M2960</f>
        <v/>
      </c>
      <c r="AC2960" s="13">
        <f>SUMPRODUCT(N2960:Y2960,$N$4:$Y$4)*$K2960*$L2960*$M2960</f>
        <v/>
      </c>
      <c r="AD2960" s="15" t="n">
        <v>8.766666666666666</v>
      </c>
      <c r="AE2960" s="11" t="n">
        <v>2.432331507600325</v>
      </c>
      <c r="AF2960" s="16">
        <f>SUMPRODUCT(N2960:Y2960,$N$5:$Y$5)*$K2960*$L2960*$M2960</f>
        <v/>
      </c>
      <c r="AG2960" s="16">
        <f>SUMPRODUCT(N2960:Y2960,$N$6:$Y$6)*$K2960*$L2960*$M2960</f>
        <v/>
      </c>
      <c r="AH2960" s="20" t="n"/>
    </row>
    <row r="2961">
      <c r="A2961" s="9" t="n">
        <v>822636</v>
      </c>
      <c r="B2961" s="9" t="inlineStr">
        <is>
          <t>Cole Reynolds</t>
        </is>
      </c>
      <c r="C2961" s="9" t="inlineStr">
        <is>
          <t>CHC</t>
        </is>
      </c>
      <c r="D2961" s="9" t="n">
        <v>25</v>
      </c>
      <c r="E2961" s="18" t="inlineStr">
        <is>
          <t>L</t>
        </is>
      </c>
      <c r="F2961" s="18" t="n"/>
      <c r="G2961" s="9" t="n">
        <v>66.22</v>
      </c>
      <c r="H2961" s="9" t="n">
        <v>66.22</v>
      </c>
      <c r="I2961" s="9" t="inlineStr">
        <is>
          <t>Depth (no MLB IP)</t>
        </is>
      </c>
      <c r="J2961" s="18" t="inlineStr">
        <is>
          <t>Opening Day</t>
        </is>
      </c>
      <c r="K2961" s="11">
        <f>IFERROR(INDEX(Roles!$B$17:$B$20,MATCH(J2961,Roles!$A$17:$A$20,0)),1)</f>
        <v/>
      </c>
      <c r="L2961" s="19" t="n">
        <v>1</v>
      </c>
      <c r="M2961" s="11" t="n">
        <v>1</v>
      </c>
      <c r="N2961" s="19" t="n"/>
      <c r="O2961" s="19" t="n"/>
      <c r="P2961" s="19" t="n"/>
      <c r="Q2961" s="19" t="n"/>
      <c r="R2961" s="19" t="n"/>
      <c r="S2961" s="19" t="n"/>
      <c r="T2961" s="19" t="n"/>
      <c r="U2961" s="19" t="n"/>
      <c r="V2961" s="19" t="n"/>
      <c r="W2961" s="19" t="n"/>
      <c r="X2961" s="19" t="n"/>
      <c r="Y2961" s="19" t="n">
        <v>1</v>
      </c>
      <c r="Z2961" s="13">
        <f>SUMPRODUCT(N2961:Y2961,$N$2:$Y$2)*$K2961*$L2961*$M2961</f>
        <v/>
      </c>
      <c r="AA2961" s="14">
        <f>SUM(N2961:Y2961)</f>
        <v/>
      </c>
      <c r="AB2961" s="13">
        <f>SUMPRODUCT(N2961:Y2961,$N$3:$Y$3)*$K2961*$L2961*$M2961</f>
        <v/>
      </c>
      <c r="AC2961" s="13">
        <f>SUMPRODUCT(N2961:Y2961,$N$4:$Y$4)*$K2961*$L2961*$M2961</f>
        <v/>
      </c>
      <c r="AD2961" s="15" t="n">
        <v>3</v>
      </c>
      <c r="AE2961" s="11" t="n">
        <v>1.011296296296296</v>
      </c>
      <c r="AF2961" s="16">
        <f>SUMPRODUCT(N2961:Y2961,$N$5:$Y$5)*$K2961*$L2961*$M2961</f>
        <v/>
      </c>
      <c r="AG2961" s="16">
        <f>SUMPRODUCT(N2961:Y2961,$N$6:$Y$6)*$K2961*$L2961*$M2961</f>
        <v/>
      </c>
      <c r="AH2961" s="20" t="n"/>
    </row>
    <row r="2962">
      <c r="A2962" s="9" t="n">
        <v>808064</v>
      </c>
      <c r="B2962" s="9" t="inlineStr">
        <is>
          <t>Daviel Hurtado</t>
        </is>
      </c>
      <c r="C2962" s="9" t="inlineStr">
        <is>
          <t>NYM</t>
        </is>
      </c>
      <c r="D2962" s="9" t="n">
        <v>22</v>
      </c>
      <c r="E2962" s="18" t="inlineStr">
        <is>
          <t>L</t>
        </is>
      </c>
      <c r="F2962" s="18" t="n"/>
      <c r="G2962" s="9" t="n">
        <v>66.22</v>
      </c>
      <c r="H2962" s="9" t="n">
        <v>66.22</v>
      </c>
      <c r="I2962" s="9" t="inlineStr">
        <is>
          <t>Depth (no MLB IP)</t>
        </is>
      </c>
      <c r="J2962" s="18" t="inlineStr">
        <is>
          <t>Opening Day</t>
        </is>
      </c>
      <c r="K2962" s="11">
        <f>IFERROR(INDEX(Roles!$B$17:$B$20,MATCH(J2962,Roles!$A$17:$A$20,0)),1)</f>
        <v/>
      </c>
      <c r="L2962" s="19" t="n">
        <v>1</v>
      </c>
      <c r="M2962" s="11" t="n">
        <v>1</v>
      </c>
      <c r="N2962" s="19" t="n"/>
      <c r="O2962" s="19" t="n"/>
      <c r="P2962" s="19" t="n"/>
      <c r="Q2962" s="19" t="n"/>
      <c r="R2962" s="19" t="n"/>
      <c r="S2962" s="19" t="n"/>
      <c r="T2962" s="19" t="n"/>
      <c r="U2962" s="19" t="n"/>
      <c r="V2962" s="19" t="n"/>
      <c r="W2962" s="19" t="n"/>
      <c r="X2962" s="19" t="n"/>
      <c r="Y2962" s="19" t="n">
        <v>1</v>
      </c>
      <c r="Z2962" s="13">
        <f>SUMPRODUCT(N2962:Y2962,$N$2:$Y$2)*$K2962*$L2962*$M2962</f>
        <v/>
      </c>
      <c r="AA2962" s="14">
        <f>SUM(N2962:Y2962)</f>
        <v/>
      </c>
      <c r="AB2962" s="13">
        <f>SUMPRODUCT(N2962:Y2962,$N$3:$Y$3)*$K2962*$L2962*$M2962</f>
        <v/>
      </c>
      <c r="AC2962" s="13">
        <f>SUMPRODUCT(N2962:Y2962,$N$4:$Y$4)*$K2962*$L2962*$M2962</f>
        <v/>
      </c>
      <c r="AD2962" s="15" t="n">
        <v>3</v>
      </c>
      <c r="AE2962" s="11" t="n">
        <v>1.011296296296296</v>
      </c>
      <c r="AF2962" s="16">
        <f>SUMPRODUCT(N2962:Y2962,$N$5:$Y$5)*$K2962*$L2962*$M2962</f>
        <v/>
      </c>
      <c r="AG2962" s="16">
        <f>SUMPRODUCT(N2962:Y2962,$N$6:$Y$6)*$K2962*$L2962*$M2962</f>
        <v/>
      </c>
      <c r="AH2962" s="20" t="n"/>
    </row>
    <row r="2963">
      <c r="A2963" s="9" t="n">
        <v>672712</v>
      </c>
      <c r="B2963" s="9" t="inlineStr">
        <is>
          <t>Luis Palacios</t>
        </is>
      </c>
      <c r="C2963" s="9" t="inlineStr">
        <is>
          <t>MIA</t>
        </is>
      </c>
      <c r="D2963" s="9" t="n">
        <v>25</v>
      </c>
      <c r="E2963" s="18" t="inlineStr">
        <is>
          <t>L</t>
        </is>
      </c>
      <c r="F2963" s="18" t="n"/>
      <c r="G2963" s="9" t="n">
        <v>66.22</v>
      </c>
      <c r="H2963" s="9" t="n">
        <v>66.22</v>
      </c>
      <c r="I2963" s="9" t="inlineStr">
        <is>
          <t>Depth (no MLB IP)</t>
        </is>
      </c>
      <c r="J2963" s="18" t="inlineStr">
        <is>
          <t>Opening Day</t>
        </is>
      </c>
      <c r="K2963" s="11">
        <f>IFERROR(INDEX(Roles!$B$17:$B$20,MATCH(J2963,Roles!$A$17:$A$20,0)),1)</f>
        <v/>
      </c>
      <c r="L2963" s="19" t="n">
        <v>1</v>
      </c>
      <c r="M2963" s="11" t="n">
        <v>1</v>
      </c>
      <c r="N2963" s="19" t="n"/>
      <c r="O2963" s="19" t="n"/>
      <c r="P2963" s="19" t="n"/>
      <c r="Q2963" s="19" t="n"/>
      <c r="R2963" s="19" t="n"/>
      <c r="S2963" s="19" t="n"/>
      <c r="T2963" s="19" t="n"/>
      <c r="U2963" s="19" t="n"/>
      <c r="V2963" s="19" t="n"/>
      <c r="W2963" s="19" t="n"/>
      <c r="X2963" s="19" t="n"/>
      <c r="Y2963" s="19" t="n">
        <v>1</v>
      </c>
      <c r="Z2963" s="13">
        <f>SUMPRODUCT(N2963:Y2963,$N$2:$Y$2)*$K2963*$L2963*$M2963</f>
        <v/>
      </c>
      <c r="AA2963" s="14">
        <f>SUM(N2963:Y2963)</f>
        <v/>
      </c>
      <c r="AB2963" s="13">
        <f>SUMPRODUCT(N2963:Y2963,$N$3:$Y$3)*$K2963*$L2963*$M2963</f>
        <v/>
      </c>
      <c r="AC2963" s="13">
        <f>SUMPRODUCT(N2963:Y2963,$N$4:$Y$4)*$K2963*$L2963*$M2963</f>
        <v/>
      </c>
      <c r="AD2963" s="15" t="n">
        <v>3</v>
      </c>
      <c r="AE2963" s="11" t="n">
        <v>1.011296296296296</v>
      </c>
      <c r="AF2963" s="16">
        <f>SUMPRODUCT(N2963:Y2963,$N$5:$Y$5)*$K2963*$L2963*$M2963</f>
        <v/>
      </c>
      <c r="AG2963" s="16">
        <f>SUMPRODUCT(N2963:Y2963,$N$6:$Y$6)*$K2963*$L2963*$M2963</f>
        <v/>
      </c>
      <c r="AH2963" s="20" t="n"/>
    </row>
    <row r="2964">
      <c r="A2964" s="9" t="n">
        <v>691893</v>
      </c>
      <c r="B2964" s="9" t="inlineStr">
        <is>
          <t>Jean Cabrera</t>
        </is>
      </c>
      <c r="C2964" s="9" t="inlineStr">
        <is>
          <t>PHI</t>
        </is>
      </c>
      <c r="D2964" s="9" t="n">
        <v>25</v>
      </c>
      <c r="E2964" s="18" t="inlineStr">
        <is>
          <t>R</t>
        </is>
      </c>
      <c r="F2964" s="18" t="n"/>
      <c r="G2964" s="9" t="n">
        <v>66.22</v>
      </c>
      <c r="H2964" s="9" t="n">
        <v>66.22</v>
      </c>
      <c r="I2964" s="9" t="inlineStr">
        <is>
          <t>Depth (no MLB IP)</t>
        </is>
      </c>
      <c r="J2964" s="18" t="inlineStr">
        <is>
          <t>Opening Day</t>
        </is>
      </c>
      <c r="K2964" s="11">
        <f>IFERROR(INDEX(Roles!$B$17:$B$20,MATCH(J2964,Roles!$A$17:$A$20,0)),1)</f>
        <v/>
      </c>
      <c r="L2964" s="19" t="n">
        <v>1</v>
      </c>
      <c r="M2964" s="11" t="n">
        <v>1</v>
      </c>
      <c r="N2964" s="19" t="n"/>
      <c r="O2964" s="19" t="n"/>
      <c r="P2964" s="19" t="n"/>
      <c r="Q2964" s="19" t="n"/>
      <c r="R2964" s="19" t="n"/>
      <c r="S2964" s="19" t="n"/>
      <c r="T2964" s="19" t="n"/>
      <c r="U2964" s="19" t="n"/>
      <c r="V2964" s="19" t="n"/>
      <c r="W2964" s="19" t="n"/>
      <c r="X2964" s="19" t="n"/>
      <c r="Y2964" s="19" t="n">
        <v>1</v>
      </c>
      <c r="Z2964" s="13">
        <f>SUMPRODUCT(N2964:Y2964,$N$2:$Y$2)*$K2964*$L2964*$M2964</f>
        <v/>
      </c>
      <c r="AA2964" s="14">
        <f>SUM(N2964:Y2964)</f>
        <v/>
      </c>
      <c r="AB2964" s="13">
        <f>SUMPRODUCT(N2964:Y2964,$N$3:$Y$3)*$K2964*$L2964*$M2964</f>
        <v/>
      </c>
      <c r="AC2964" s="13">
        <f>SUMPRODUCT(N2964:Y2964,$N$4:$Y$4)*$K2964*$L2964*$M2964</f>
        <v/>
      </c>
      <c r="AD2964" s="15" t="n">
        <v>3</v>
      </c>
      <c r="AE2964" s="11" t="n">
        <v>1.011296296296296</v>
      </c>
      <c r="AF2964" s="16">
        <f>SUMPRODUCT(N2964:Y2964,$N$5:$Y$5)*$K2964*$L2964*$M2964</f>
        <v/>
      </c>
      <c r="AG2964" s="16">
        <f>SUMPRODUCT(N2964:Y2964,$N$6:$Y$6)*$K2964*$L2964*$M2964</f>
        <v/>
      </c>
      <c r="AH2964" s="20" t="n"/>
    </row>
    <row r="2965">
      <c r="A2965" s="9" t="n">
        <v>815454</v>
      </c>
      <c r="B2965" s="9" t="inlineStr">
        <is>
          <t>Chris Kean</t>
        </is>
      </c>
      <c r="C2965" s="9" t="inlineStr">
        <is>
          <t>NYY</t>
        </is>
      </c>
      <c r="D2965" s="9" t="n">
        <v>25</v>
      </c>
      <c r="E2965" s="18" t="inlineStr">
        <is>
          <t>R</t>
        </is>
      </c>
      <c r="F2965" s="18" t="n"/>
      <c r="G2965" s="9" t="n">
        <v>66.22</v>
      </c>
      <c r="H2965" s="9" t="n">
        <v>66.22</v>
      </c>
      <c r="I2965" s="9" t="inlineStr">
        <is>
          <t>Depth (no MLB IP)</t>
        </is>
      </c>
      <c r="J2965" s="18" t="inlineStr">
        <is>
          <t>Opening Day</t>
        </is>
      </c>
      <c r="K2965" s="11">
        <f>IFERROR(INDEX(Roles!$B$17:$B$20,MATCH(J2965,Roles!$A$17:$A$20,0)),1)</f>
        <v/>
      </c>
      <c r="L2965" s="19" t="n">
        <v>1</v>
      </c>
      <c r="M2965" s="11" t="n">
        <v>1</v>
      </c>
      <c r="N2965" s="19" t="n"/>
      <c r="O2965" s="19" t="n"/>
      <c r="P2965" s="19" t="n"/>
      <c r="Q2965" s="19" t="n"/>
      <c r="R2965" s="19" t="n"/>
      <c r="S2965" s="19" t="n"/>
      <c r="T2965" s="19" t="n"/>
      <c r="U2965" s="19" t="n"/>
      <c r="V2965" s="19" t="n"/>
      <c r="W2965" s="19" t="n"/>
      <c r="X2965" s="19" t="n"/>
      <c r="Y2965" s="19" t="n">
        <v>1</v>
      </c>
      <c r="Z2965" s="13">
        <f>SUMPRODUCT(N2965:Y2965,$N$2:$Y$2)*$K2965*$L2965*$M2965</f>
        <v/>
      </c>
      <c r="AA2965" s="14">
        <f>SUM(N2965:Y2965)</f>
        <v/>
      </c>
      <c r="AB2965" s="13">
        <f>SUMPRODUCT(N2965:Y2965,$N$3:$Y$3)*$K2965*$L2965*$M2965</f>
        <v/>
      </c>
      <c r="AC2965" s="13">
        <f>SUMPRODUCT(N2965:Y2965,$N$4:$Y$4)*$K2965*$L2965*$M2965</f>
        <v/>
      </c>
      <c r="AD2965" s="15" t="n">
        <v>3</v>
      </c>
      <c r="AE2965" s="11" t="n">
        <v>1.011296296296296</v>
      </c>
      <c r="AF2965" s="16">
        <f>SUMPRODUCT(N2965:Y2965,$N$5:$Y$5)*$K2965*$L2965*$M2965</f>
        <v/>
      </c>
      <c r="AG2965" s="16">
        <f>SUMPRODUCT(N2965:Y2965,$N$6:$Y$6)*$K2965*$L2965*$M2965</f>
        <v/>
      </c>
      <c r="AH2965" s="20" t="n"/>
    </row>
    <row r="2966">
      <c r="A2966" s="9" t="n">
        <v>607755</v>
      </c>
      <c r="B2966" s="9" t="inlineStr">
        <is>
          <t>Andrew Vasquez</t>
        </is>
      </c>
      <c r="C2966" s="9" t="inlineStr">
        <is>
          <t>DET</t>
        </is>
      </c>
      <c r="D2966" s="9" t="n">
        <v>33</v>
      </c>
      <c r="E2966" s="18" t="inlineStr">
        <is>
          <t>L</t>
        </is>
      </c>
      <c r="F2966" s="18" t="n"/>
      <c r="G2966" s="9" t="n">
        <v>219</v>
      </c>
      <c r="H2966" s="9" t="n">
        <v>258</v>
      </c>
      <c r="I2966" s="9" t="inlineStr">
        <is>
          <t>Depth (no MLB IP)</t>
        </is>
      </c>
      <c r="J2966" s="18" t="inlineStr">
        <is>
          <t>Opening Day</t>
        </is>
      </c>
      <c r="K2966" s="11">
        <f>IFERROR(INDEX(Roles!$B$17:$B$20,MATCH(J2966,Roles!$A$17:$A$20,0)),1)</f>
        <v/>
      </c>
      <c r="L2966" s="19" t="n">
        <v>1</v>
      </c>
      <c r="M2966" s="11" t="n">
        <v>1</v>
      </c>
      <c r="N2966" s="19" t="n"/>
      <c r="O2966" s="19" t="n"/>
      <c r="P2966" s="19" t="n"/>
      <c r="Q2966" s="19" t="n"/>
      <c r="R2966" s="19" t="n"/>
      <c r="S2966" s="19" t="n"/>
      <c r="T2966" s="19" t="n"/>
      <c r="U2966" s="19" t="n"/>
      <c r="V2966" s="19" t="n"/>
      <c r="W2966" s="19" t="n"/>
      <c r="X2966" s="19" t="n"/>
      <c r="Y2966" s="19" t="n">
        <v>1</v>
      </c>
      <c r="Z2966" s="13">
        <f>SUMPRODUCT(N2966:Y2966,$N$2:$Y$2)*$K2966*$L2966*$M2966</f>
        <v/>
      </c>
      <c r="AA2966" s="14">
        <f>SUM(N2966:Y2966)</f>
        <v/>
      </c>
      <c r="AB2966" s="13">
        <f>SUMPRODUCT(N2966:Y2966,$N$3:$Y$3)*$K2966*$L2966*$M2966</f>
        <v/>
      </c>
      <c r="AC2966" s="13">
        <f>SUMPRODUCT(N2966:Y2966,$N$4:$Y$4)*$K2966*$L2966*$M2966</f>
        <v/>
      </c>
      <c r="AD2966" s="15" t="n">
        <v>3</v>
      </c>
      <c r="AE2966" s="11" t="n">
        <v>1.011296296296296</v>
      </c>
      <c r="AF2966" s="16">
        <f>SUMPRODUCT(N2966:Y2966,$N$5:$Y$5)*$K2966*$L2966*$M2966</f>
        <v/>
      </c>
      <c r="AG2966" s="16">
        <f>SUMPRODUCT(N2966:Y2966,$N$6:$Y$6)*$K2966*$L2966*$M2966</f>
        <v/>
      </c>
      <c r="AH2966" s="20" t="n"/>
    </row>
    <row r="2967">
      <c r="A2967" s="9" t="n">
        <v>670912</v>
      </c>
      <c r="B2967" s="9" t="inlineStr">
        <is>
          <t>Johan Oviedo</t>
        </is>
      </c>
      <c r="C2967" s="9" t="inlineStr">
        <is>
          <t>PIT</t>
        </is>
      </c>
      <c r="D2967" s="9" t="n">
        <v>29</v>
      </c>
      <c r="E2967" s="18" t="inlineStr">
        <is>
          <t>R</t>
        </is>
      </c>
      <c r="F2967" s="18" t="n"/>
      <c r="G2967" s="9" t="n">
        <v>18</v>
      </c>
      <c r="H2967" s="9" t="n">
        <v>1211</v>
      </c>
      <c r="I2967" s="9" t="inlineStr">
        <is>
          <t>Bullpen Depth Arm</t>
        </is>
      </c>
      <c r="J2967" s="18" t="inlineStr">
        <is>
          <t>Opening Day</t>
        </is>
      </c>
      <c r="K2967" s="11">
        <f>IFERROR(INDEX(Roles!$B$17:$B$20,MATCH(J2967,Roles!$A$17:$A$20,0)),1)</f>
        <v/>
      </c>
      <c r="L2967" s="19" t="n">
        <v>1</v>
      </c>
      <c r="M2967" s="11" t="n">
        <v>1</v>
      </c>
      <c r="N2967" s="19" t="n"/>
      <c r="O2967" s="19" t="n"/>
      <c r="P2967" s="19" t="n"/>
      <c r="Q2967" s="19" t="n"/>
      <c r="R2967" s="19" t="n"/>
      <c r="S2967" s="19" t="n"/>
      <c r="T2967" s="19" t="n"/>
      <c r="U2967" s="19" t="n"/>
      <c r="V2967" s="19" t="n">
        <v>0.15</v>
      </c>
      <c r="W2967" s="19" t="n">
        <v>0.85</v>
      </c>
      <c r="X2967" s="19" t="n"/>
      <c r="Y2967" s="19" t="n"/>
      <c r="Z2967" s="13">
        <f>SUMPRODUCT(N2967:Y2967,$N$2:$Y$2)*$K2967*$L2967*$M2967</f>
        <v/>
      </c>
      <c r="AA2967" s="14">
        <f>SUM(N2967:Y2967)</f>
        <v/>
      </c>
      <c r="AB2967" s="13">
        <f>SUMPRODUCT(N2967:Y2967,$N$3:$Y$3)*$K2967*$L2967*$M2967</f>
        <v/>
      </c>
      <c r="AC2967" s="13">
        <f>SUMPRODUCT(N2967:Y2967,$N$4:$Y$4)*$K2967*$L2967*$M2967</f>
        <v/>
      </c>
      <c r="AD2967" s="15" t="n">
        <v>8.186666666666667</v>
      </c>
      <c r="AE2967" s="11" t="n">
        <v>2.256533589866923</v>
      </c>
      <c r="AF2967" s="16">
        <f>SUMPRODUCT(N2967:Y2967,$N$5:$Y$5)*$K2967*$L2967*$M2967</f>
        <v/>
      </c>
      <c r="AG2967" s="16">
        <f>SUMPRODUCT(N2967:Y2967,$N$6:$Y$6)*$K2967*$L2967*$M2967</f>
        <v/>
      </c>
      <c r="AH2967" s="20" t="n"/>
    </row>
    <row r="2968">
      <c r="A2968" s="9" t="n">
        <v>813676</v>
      </c>
      <c r="B2968" s="9" t="inlineStr">
        <is>
          <t>Ivran Romero</t>
        </is>
      </c>
      <c r="C2968" s="9" t="inlineStr">
        <is>
          <t>MIN</t>
        </is>
      </c>
      <c r="D2968" s="9" t="n">
        <v>25</v>
      </c>
      <c r="E2968" s="18" t="inlineStr">
        <is>
          <t>R</t>
        </is>
      </c>
      <c r="F2968" s="18" t="n"/>
      <c r="G2968" s="9" t="n">
        <v>66.50666666666666</v>
      </c>
      <c r="H2968" s="9" t="n">
        <v>66.50666666666666</v>
      </c>
      <c r="I2968" s="9" t="inlineStr">
        <is>
          <t>Depth (no MLB IP)</t>
        </is>
      </c>
      <c r="J2968" s="18" t="inlineStr">
        <is>
          <t>Opening Day</t>
        </is>
      </c>
      <c r="K2968" s="11">
        <f>IFERROR(INDEX(Roles!$B$17:$B$20,MATCH(J2968,Roles!$A$17:$A$20,0)),1)</f>
        <v/>
      </c>
      <c r="L2968" s="19" t="n">
        <v>1</v>
      </c>
      <c r="M2968" s="11" t="n">
        <v>1</v>
      </c>
      <c r="N2968" s="19" t="n"/>
      <c r="O2968" s="19" t="n"/>
      <c r="P2968" s="19" t="n"/>
      <c r="Q2968" s="19" t="n"/>
      <c r="R2968" s="19" t="n"/>
      <c r="S2968" s="19" t="n"/>
      <c r="T2968" s="19" t="n"/>
      <c r="U2968" s="19" t="n"/>
      <c r="V2968" s="19" t="n"/>
      <c r="W2968" s="19" t="n"/>
      <c r="X2968" s="19" t="n"/>
      <c r="Y2968" s="19" t="n">
        <v>1</v>
      </c>
      <c r="Z2968" s="13">
        <f>SUMPRODUCT(N2968:Y2968,$N$2:$Y$2)*$K2968*$L2968*$M2968</f>
        <v/>
      </c>
      <c r="AA2968" s="14">
        <f>SUM(N2968:Y2968)</f>
        <v/>
      </c>
      <c r="AB2968" s="13">
        <f>SUMPRODUCT(N2968:Y2968,$N$3:$Y$3)*$K2968*$L2968*$M2968</f>
        <v/>
      </c>
      <c r="AC2968" s="13">
        <f>SUMPRODUCT(N2968:Y2968,$N$4:$Y$4)*$K2968*$L2968*$M2968</f>
        <v/>
      </c>
      <c r="AD2968" s="15" t="n">
        <v>3</v>
      </c>
      <c r="AE2968" s="11" t="n">
        <v>1.011296296296296</v>
      </c>
      <c r="AF2968" s="16">
        <f>SUMPRODUCT(N2968:Y2968,$N$5:$Y$5)*$K2968*$L2968*$M2968</f>
        <v/>
      </c>
      <c r="AG2968" s="16">
        <f>SUMPRODUCT(N2968:Y2968,$N$6:$Y$6)*$K2968*$L2968*$M2968</f>
        <v/>
      </c>
      <c r="AH2968" s="20" t="n"/>
    </row>
    <row r="2969">
      <c r="A2969" s="9" t="n">
        <v>605151</v>
      </c>
      <c r="B2969" s="9" t="inlineStr">
        <is>
          <t>Archie Bradley</t>
        </is>
      </c>
      <c r="C2969" s="9" t="inlineStr">
        <is>
          <t>MIA</t>
        </is>
      </c>
      <c r="D2969" s="9" t="n">
        <v>34</v>
      </c>
      <c r="E2969" s="18" t="inlineStr">
        <is>
          <t>R</t>
        </is>
      </c>
      <c r="F2969" s="18" t="n"/>
      <c r="G2969" s="9" t="n">
        <v>39</v>
      </c>
      <c r="H2969" s="9" t="n">
        <v>117</v>
      </c>
      <c r="I2969" s="9" t="inlineStr">
        <is>
          <t>Depth (no MLB IP)</t>
        </is>
      </c>
      <c r="J2969" s="18" t="inlineStr">
        <is>
          <t>Opening Day</t>
        </is>
      </c>
      <c r="K2969" s="11">
        <f>IFERROR(INDEX(Roles!$B$17:$B$20,MATCH(J2969,Roles!$A$17:$A$20,0)),1)</f>
        <v/>
      </c>
      <c r="L2969" s="19" t="n">
        <v>1</v>
      </c>
      <c r="M2969" s="11" t="n">
        <v>1</v>
      </c>
      <c r="N2969" s="19" t="n"/>
      <c r="O2969" s="19" t="n"/>
      <c r="P2969" s="19" t="n"/>
      <c r="Q2969" s="19" t="n"/>
      <c r="R2969" s="19" t="n"/>
      <c r="S2969" s="19" t="n"/>
      <c r="T2969" s="19" t="n"/>
      <c r="U2969" s="19" t="n"/>
      <c r="V2969" s="19" t="n"/>
      <c r="W2969" s="19" t="n"/>
      <c r="X2969" s="19" t="n"/>
      <c r="Y2969" s="19" t="n">
        <v>1</v>
      </c>
      <c r="Z2969" s="13">
        <f>SUMPRODUCT(N2969:Y2969,$N$2:$Y$2)*$K2969*$L2969*$M2969</f>
        <v/>
      </c>
      <c r="AA2969" s="14">
        <f>SUM(N2969:Y2969)</f>
        <v/>
      </c>
      <c r="AB2969" s="13">
        <f>SUMPRODUCT(N2969:Y2969,$N$3:$Y$3)*$K2969*$L2969*$M2969</f>
        <v/>
      </c>
      <c r="AC2969" s="13">
        <f>SUMPRODUCT(N2969:Y2969,$N$4:$Y$4)*$K2969*$L2969*$M2969</f>
        <v/>
      </c>
      <c r="AD2969" s="15" t="n">
        <v>3</v>
      </c>
      <c r="AE2969" s="11" t="n">
        <v>1.011296296296296</v>
      </c>
      <c r="AF2969" s="16">
        <f>SUMPRODUCT(N2969:Y2969,$N$5:$Y$5)*$K2969*$L2969*$M2969</f>
        <v/>
      </c>
      <c r="AG2969" s="16">
        <f>SUMPRODUCT(N2969:Y2969,$N$6:$Y$6)*$K2969*$L2969*$M2969</f>
        <v/>
      </c>
      <c r="AH2969" s="20" t="n"/>
    </row>
    <row r="2970">
      <c r="A2970" s="9" t="n">
        <v>685290</v>
      </c>
      <c r="B2970" s="9" t="inlineStr">
        <is>
          <t>Diego Barrera</t>
        </is>
      </c>
      <c r="C2970" s="9" t="inlineStr">
        <is>
          <t>OAK</t>
        </is>
      </c>
      <c r="D2970" s="9" t="n">
        <v>25</v>
      </c>
      <c r="E2970" s="18" t="inlineStr">
        <is>
          <t>L</t>
        </is>
      </c>
      <c r="F2970" s="18" t="n"/>
      <c r="G2970" s="9" t="n">
        <v>66.72166666666666</v>
      </c>
      <c r="H2970" s="9" t="n">
        <v>66.72166666666666</v>
      </c>
      <c r="I2970" s="9" t="inlineStr">
        <is>
          <t>Depth (no MLB IP)</t>
        </is>
      </c>
      <c r="J2970" s="18" t="inlineStr">
        <is>
          <t>Opening Day</t>
        </is>
      </c>
      <c r="K2970" s="11">
        <f>IFERROR(INDEX(Roles!$B$17:$B$20,MATCH(J2970,Roles!$A$17:$A$20,0)),1)</f>
        <v/>
      </c>
      <c r="L2970" s="19" t="n">
        <v>1</v>
      </c>
      <c r="M2970" s="11" t="n">
        <v>1</v>
      </c>
      <c r="N2970" s="19" t="n"/>
      <c r="O2970" s="19" t="n"/>
      <c r="P2970" s="19" t="n"/>
      <c r="Q2970" s="19" t="n"/>
      <c r="R2970" s="19" t="n"/>
      <c r="S2970" s="19" t="n"/>
      <c r="T2970" s="19" t="n"/>
      <c r="U2970" s="19" t="n"/>
      <c r="V2970" s="19" t="n"/>
      <c r="W2970" s="19" t="n"/>
      <c r="X2970" s="19" t="n"/>
      <c r="Y2970" s="19" t="n">
        <v>1</v>
      </c>
      <c r="Z2970" s="13">
        <f>SUMPRODUCT(N2970:Y2970,$N$2:$Y$2)*$K2970*$L2970*$M2970</f>
        <v/>
      </c>
      <c r="AA2970" s="14">
        <f>SUM(N2970:Y2970)</f>
        <v/>
      </c>
      <c r="AB2970" s="13">
        <f>SUMPRODUCT(N2970:Y2970,$N$3:$Y$3)*$K2970*$L2970*$M2970</f>
        <v/>
      </c>
      <c r="AC2970" s="13">
        <f>SUMPRODUCT(N2970:Y2970,$N$4:$Y$4)*$K2970*$L2970*$M2970</f>
        <v/>
      </c>
      <c r="AD2970" s="15" t="n">
        <v>3</v>
      </c>
      <c r="AE2970" s="11" t="n">
        <v>1.011296296296296</v>
      </c>
      <c r="AF2970" s="16">
        <f>SUMPRODUCT(N2970:Y2970,$N$5:$Y$5)*$K2970*$L2970*$M2970</f>
        <v/>
      </c>
      <c r="AG2970" s="16">
        <f>SUMPRODUCT(N2970:Y2970,$N$6:$Y$6)*$K2970*$L2970*$M2970</f>
        <v/>
      </c>
      <c r="AH2970" s="20" t="n"/>
    </row>
    <row r="2971">
      <c r="A2971" s="9" t="n">
        <v>804525</v>
      </c>
      <c r="B2971" s="9" t="inlineStr">
        <is>
          <t>Aiden Jimenez</t>
        </is>
      </c>
      <c r="C2971" s="9" t="inlineStr">
        <is>
          <t>KC</t>
        </is>
      </c>
      <c r="D2971" s="9" t="n">
        <v>25</v>
      </c>
      <c r="E2971" s="18" t="inlineStr">
        <is>
          <t>R</t>
        </is>
      </c>
      <c r="F2971" s="18" t="n"/>
      <c r="G2971" s="9" t="n">
        <v>66.79333333333334</v>
      </c>
      <c r="H2971" s="9" t="n">
        <v>66.79333333333334</v>
      </c>
      <c r="I2971" s="9" t="inlineStr">
        <is>
          <t>Depth (no MLB IP)</t>
        </is>
      </c>
      <c r="J2971" s="18" t="inlineStr">
        <is>
          <t>Opening Day</t>
        </is>
      </c>
      <c r="K2971" s="11">
        <f>IFERROR(INDEX(Roles!$B$17:$B$20,MATCH(J2971,Roles!$A$17:$A$20,0)),1)</f>
        <v/>
      </c>
      <c r="L2971" s="19" t="n">
        <v>1</v>
      </c>
      <c r="M2971" s="11" t="n">
        <v>1</v>
      </c>
      <c r="N2971" s="19" t="n"/>
      <c r="O2971" s="19" t="n"/>
      <c r="P2971" s="19" t="n"/>
      <c r="Q2971" s="19" t="n"/>
      <c r="R2971" s="19" t="n"/>
      <c r="S2971" s="19" t="n"/>
      <c r="T2971" s="19" t="n"/>
      <c r="U2971" s="19" t="n"/>
      <c r="V2971" s="19" t="n"/>
      <c r="W2971" s="19" t="n"/>
      <c r="X2971" s="19" t="n"/>
      <c r="Y2971" s="19" t="n">
        <v>1</v>
      </c>
      <c r="Z2971" s="13">
        <f>SUMPRODUCT(N2971:Y2971,$N$2:$Y$2)*$K2971*$L2971*$M2971</f>
        <v/>
      </c>
      <c r="AA2971" s="14">
        <f>SUM(N2971:Y2971)</f>
        <v/>
      </c>
      <c r="AB2971" s="13">
        <f>SUMPRODUCT(N2971:Y2971,$N$3:$Y$3)*$K2971*$L2971*$M2971</f>
        <v/>
      </c>
      <c r="AC2971" s="13">
        <f>SUMPRODUCT(N2971:Y2971,$N$4:$Y$4)*$K2971*$L2971*$M2971</f>
        <v/>
      </c>
      <c r="AD2971" s="15" t="n">
        <v>3</v>
      </c>
      <c r="AE2971" s="11" t="n">
        <v>1.011296296296296</v>
      </c>
      <c r="AF2971" s="16">
        <f>SUMPRODUCT(N2971:Y2971,$N$5:$Y$5)*$K2971*$L2971*$M2971</f>
        <v/>
      </c>
      <c r="AG2971" s="16">
        <f>SUMPRODUCT(N2971:Y2971,$N$6:$Y$6)*$K2971*$L2971*$M2971</f>
        <v/>
      </c>
      <c r="AH2971" s="20" t="n"/>
    </row>
    <row r="2972">
      <c r="A2972" s="9" t="n">
        <v>608665</v>
      </c>
      <c r="B2972" s="9" t="inlineStr">
        <is>
          <t>Kendall Graveman</t>
        </is>
      </c>
      <c r="C2972" s="9" t="inlineStr">
        <is>
          <t>ARI</t>
        </is>
      </c>
      <c r="D2972" s="9" t="n">
        <v>36</v>
      </c>
      <c r="E2972" s="18" t="inlineStr">
        <is>
          <t>R</t>
        </is>
      </c>
      <c r="F2972" s="18" t="n"/>
      <c r="G2972" s="9" t="n">
        <v>82</v>
      </c>
      <c r="H2972" s="9" t="n">
        <v>649</v>
      </c>
      <c r="I2972" s="9" t="inlineStr">
        <is>
          <t>Bullpen Depth Arm</t>
        </is>
      </c>
      <c r="J2972" s="18" t="inlineStr">
        <is>
          <t>Opening Day</t>
        </is>
      </c>
      <c r="K2972" s="11">
        <f>IFERROR(INDEX(Roles!$B$17:$B$20,MATCH(J2972,Roles!$A$17:$A$20,0)),1)</f>
        <v/>
      </c>
      <c r="L2972" s="19" t="n">
        <v>1</v>
      </c>
      <c r="M2972" s="11" t="n">
        <v>1</v>
      </c>
      <c r="N2972" s="19" t="n"/>
      <c r="O2972" s="19" t="n"/>
      <c r="P2972" s="19" t="n"/>
      <c r="Q2972" s="19" t="n"/>
      <c r="R2972" s="19" t="n"/>
      <c r="S2972" s="19" t="n"/>
      <c r="T2972" s="19" t="n"/>
      <c r="U2972" s="19" t="n"/>
      <c r="V2972" s="19" t="n"/>
      <c r="W2972" s="19" t="n">
        <v>1</v>
      </c>
      <c r="X2972" s="19" t="n"/>
      <c r="Y2972" s="19" t="n"/>
      <c r="Z2972" s="13">
        <f>SUMPRODUCT(N2972:Y2972,$N$2:$Y$2)*$K2972*$L2972*$M2972</f>
        <v/>
      </c>
      <c r="AA2972" s="14">
        <f>SUM(N2972:Y2972)</f>
        <v/>
      </c>
      <c r="AB2972" s="13">
        <f>SUMPRODUCT(N2972:Y2972,$N$3:$Y$3)*$K2972*$L2972*$M2972</f>
        <v/>
      </c>
      <c r="AC2972" s="13">
        <f>SUMPRODUCT(N2972:Y2972,$N$4:$Y$4)*$K2972*$L2972*$M2972</f>
        <v/>
      </c>
      <c r="AD2972" s="15" t="n">
        <v>17.06666666666667</v>
      </c>
      <c r="AE2972" s="11" t="n">
        <v>1.111448655308305</v>
      </c>
      <c r="AF2972" s="16">
        <f>SUMPRODUCT(N2972:Y2972,$N$5:$Y$5)*$K2972*$L2972*$M2972</f>
        <v/>
      </c>
      <c r="AG2972" s="16">
        <f>SUMPRODUCT(N2972:Y2972,$N$6:$Y$6)*$K2972*$L2972*$M2972</f>
        <v/>
      </c>
      <c r="AH2972" s="20" t="n"/>
    </row>
    <row r="2973">
      <c r="A2973" s="9" t="n">
        <v>808250</v>
      </c>
      <c r="B2973" s="9" t="inlineStr">
        <is>
          <t>Jose Urbina</t>
        </is>
      </c>
      <c r="C2973" s="9" t="inlineStr">
        <is>
          <t>TB</t>
        </is>
      </c>
      <c r="D2973" s="9" t="n">
        <v>25</v>
      </c>
      <c r="E2973" s="18" t="inlineStr">
        <is>
          <t>R</t>
        </is>
      </c>
      <c r="F2973" s="18" t="n"/>
      <c r="G2973" s="9" t="n">
        <v>66.79333333333334</v>
      </c>
      <c r="H2973" s="9" t="n">
        <v>66.79333333333334</v>
      </c>
      <c r="I2973" s="9" t="inlineStr">
        <is>
          <t>Depth (no MLB IP)</t>
        </is>
      </c>
      <c r="J2973" s="18" t="inlineStr">
        <is>
          <t>Opening Day</t>
        </is>
      </c>
      <c r="K2973" s="11">
        <f>IFERROR(INDEX(Roles!$B$17:$B$20,MATCH(J2973,Roles!$A$17:$A$20,0)),1)</f>
        <v/>
      </c>
      <c r="L2973" s="19" t="n">
        <v>1</v>
      </c>
      <c r="M2973" s="11" t="n">
        <v>1</v>
      </c>
      <c r="N2973" s="19" t="n"/>
      <c r="O2973" s="19" t="n"/>
      <c r="P2973" s="19" t="n"/>
      <c r="Q2973" s="19" t="n"/>
      <c r="R2973" s="19" t="n"/>
      <c r="S2973" s="19" t="n"/>
      <c r="T2973" s="19" t="n"/>
      <c r="U2973" s="19" t="n"/>
      <c r="V2973" s="19" t="n"/>
      <c r="W2973" s="19" t="n"/>
      <c r="X2973" s="19" t="n"/>
      <c r="Y2973" s="19" t="n">
        <v>1</v>
      </c>
      <c r="Z2973" s="13">
        <f>SUMPRODUCT(N2973:Y2973,$N$2:$Y$2)*$K2973*$L2973*$M2973</f>
        <v/>
      </c>
      <c r="AA2973" s="14">
        <f>SUM(N2973:Y2973)</f>
        <v/>
      </c>
      <c r="AB2973" s="13">
        <f>SUMPRODUCT(N2973:Y2973,$N$3:$Y$3)*$K2973*$L2973*$M2973</f>
        <v/>
      </c>
      <c r="AC2973" s="13">
        <f>SUMPRODUCT(N2973:Y2973,$N$4:$Y$4)*$K2973*$L2973*$M2973</f>
        <v/>
      </c>
      <c r="AD2973" s="15" t="n">
        <v>3</v>
      </c>
      <c r="AE2973" s="11" t="n">
        <v>1.011296296296296</v>
      </c>
      <c r="AF2973" s="16">
        <f>SUMPRODUCT(N2973:Y2973,$N$5:$Y$5)*$K2973*$L2973*$M2973</f>
        <v/>
      </c>
      <c r="AG2973" s="16">
        <f>SUMPRODUCT(N2973:Y2973,$N$6:$Y$6)*$K2973*$L2973*$M2973</f>
        <v/>
      </c>
      <c r="AH2973" s="20" t="n"/>
    </row>
    <row r="2974">
      <c r="A2974" s="9" t="n">
        <v>684967</v>
      </c>
      <c r="B2974" s="9" t="inlineStr">
        <is>
          <t>Roel Garcia III</t>
        </is>
      </c>
      <c r="C2974" s="9" t="inlineStr">
        <is>
          <t>TB</t>
        </is>
      </c>
      <c r="D2974" s="9" t="n">
        <v>25</v>
      </c>
      <c r="E2974" s="18" t="inlineStr">
        <is>
          <t>R</t>
        </is>
      </c>
      <c r="F2974" s="18" t="n"/>
      <c r="G2974" s="9" t="n">
        <v>66.72166666666666</v>
      </c>
      <c r="H2974" s="9" t="n">
        <v>66.72166666666666</v>
      </c>
      <c r="I2974" s="9" t="inlineStr">
        <is>
          <t>Depth (no MLB IP)</t>
        </is>
      </c>
      <c r="J2974" s="18" t="inlineStr">
        <is>
          <t>Opening Day</t>
        </is>
      </c>
      <c r="K2974" s="11">
        <f>IFERROR(INDEX(Roles!$B$17:$B$20,MATCH(J2974,Roles!$A$17:$A$20,0)),1)</f>
        <v/>
      </c>
      <c r="L2974" s="19" t="n">
        <v>1</v>
      </c>
      <c r="M2974" s="11" t="n">
        <v>1</v>
      </c>
      <c r="N2974" s="19" t="n"/>
      <c r="O2974" s="19" t="n"/>
      <c r="P2974" s="19" t="n"/>
      <c r="Q2974" s="19" t="n"/>
      <c r="R2974" s="19" t="n"/>
      <c r="S2974" s="19" t="n"/>
      <c r="T2974" s="19" t="n"/>
      <c r="U2974" s="19" t="n"/>
      <c r="V2974" s="19" t="n"/>
      <c r="W2974" s="19" t="n"/>
      <c r="X2974" s="19" t="n"/>
      <c r="Y2974" s="19" t="n">
        <v>1</v>
      </c>
      <c r="Z2974" s="13">
        <f>SUMPRODUCT(N2974:Y2974,$N$2:$Y$2)*$K2974*$L2974*$M2974</f>
        <v/>
      </c>
      <c r="AA2974" s="14">
        <f>SUM(N2974:Y2974)</f>
        <v/>
      </c>
      <c r="AB2974" s="13">
        <f>SUMPRODUCT(N2974:Y2974,$N$3:$Y$3)*$K2974*$L2974*$M2974</f>
        <v/>
      </c>
      <c r="AC2974" s="13">
        <f>SUMPRODUCT(N2974:Y2974,$N$4:$Y$4)*$K2974*$L2974*$M2974</f>
        <v/>
      </c>
      <c r="AD2974" s="15" t="n">
        <v>3</v>
      </c>
      <c r="AE2974" s="11" t="n">
        <v>1.011296296296296</v>
      </c>
      <c r="AF2974" s="16">
        <f>SUMPRODUCT(N2974:Y2974,$N$5:$Y$5)*$K2974*$L2974*$M2974</f>
        <v/>
      </c>
      <c r="AG2974" s="16">
        <f>SUMPRODUCT(N2974:Y2974,$N$6:$Y$6)*$K2974*$L2974*$M2974</f>
        <v/>
      </c>
      <c r="AH2974" s="20" t="n"/>
    </row>
    <row r="2975">
      <c r="A2975" s="9" t="n">
        <v>694350</v>
      </c>
      <c r="B2975" s="9" t="inlineStr">
        <is>
          <t>Zach Brzykcy</t>
        </is>
      </c>
      <c r="C2975" s="9" t="inlineStr">
        <is>
          <t>WSH</t>
        </is>
      </c>
      <c r="D2975" s="9" t="n">
        <v>27</v>
      </c>
      <c r="E2975" s="18" t="inlineStr">
        <is>
          <t>R</t>
        </is>
      </c>
      <c r="F2975" s="18" t="n"/>
      <c r="G2975" s="9" t="n">
        <v>12</v>
      </c>
      <c r="H2975" s="9" t="n">
        <v>150</v>
      </c>
      <c r="I2975" s="9" t="inlineStr">
        <is>
          <t>Bullpen Depth Arm</t>
        </is>
      </c>
      <c r="J2975" s="18" t="inlineStr">
        <is>
          <t>Opening Day</t>
        </is>
      </c>
      <c r="K2975" s="11">
        <f>IFERROR(INDEX(Roles!$B$17:$B$20,MATCH(J2975,Roles!$A$17:$A$20,0)),1)</f>
        <v/>
      </c>
      <c r="L2975" s="19" t="n">
        <v>1</v>
      </c>
      <c r="M2975" s="11" t="n">
        <v>1</v>
      </c>
      <c r="N2975" s="19" t="n"/>
      <c r="O2975" s="19" t="n"/>
      <c r="P2975" s="19" t="n"/>
      <c r="Q2975" s="19" t="n"/>
      <c r="R2975" s="19" t="n"/>
      <c r="S2975" s="19" t="n"/>
      <c r="T2975" s="19" t="n"/>
      <c r="U2975" s="19" t="n"/>
      <c r="V2975" s="19" t="n"/>
      <c r="W2975" s="19" t="n">
        <v>1</v>
      </c>
      <c r="X2975" s="19" t="n"/>
      <c r="Y2975" s="19" t="n"/>
      <c r="Z2975" s="13">
        <f>SUMPRODUCT(N2975:Y2975,$N$2:$Y$2)*$K2975*$L2975*$M2975</f>
        <v/>
      </c>
      <c r="AA2975" s="14">
        <f>SUM(N2975:Y2975)</f>
        <v/>
      </c>
      <c r="AB2975" s="13">
        <f>SUMPRODUCT(N2975:Y2975,$N$3:$Y$3)*$K2975*$L2975*$M2975</f>
        <v/>
      </c>
      <c r="AC2975" s="13">
        <f>SUMPRODUCT(N2975:Y2975,$N$4:$Y$4)*$K2975*$L2975*$M2975</f>
        <v/>
      </c>
      <c r="AD2975" s="15" t="n">
        <v>12.06666666666667</v>
      </c>
      <c r="AE2975" s="11" t="n">
        <v>1.11747935706269</v>
      </c>
      <c r="AF2975" s="16">
        <f>SUMPRODUCT(N2975:Y2975,$N$5:$Y$5)*$K2975*$L2975*$M2975</f>
        <v/>
      </c>
      <c r="AG2975" s="16">
        <f>SUMPRODUCT(N2975:Y2975,$N$6:$Y$6)*$K2975*$L2975*$M2975</f>
        <v/>
      </c>
      <c r="AH2975" s="20" t="n"/>
    </row>
    <row r="2976">
      <c r="A2976" s="9" t="n">
        <v>701288</v>
      </c>
      <c r="B2976" s="9" t="inlineStr">
        <is>
          <t>Jacob Webb</t>
        </is>
      </c>
      <c r="C2976" s="9" t="inlineStr">
        <is>
          <t>BOS</t>
        </is>
      </c>
      <c r="D2976" s="9" t="n">
        <v>25</v>
      </c>
      <c r="E2976" s="18" t="inlineStr">
        <is>
          <t>R</t>
        </is>
      </c>
      <c r="F2976" s="18" t="n"/>
      <c r="G2976" s="9" t="n">
        <v>67.00833333333334</v>
      </c>
      <c r="H2976" s="9" t="n">
        <v>67.00833333333334</v>
      </c>
      <c r="I2976" s="9" t="inlineStr">
        <is>
          <t>Depth (no MLB IP)</t>
        </is>
      </c>
      <c r="J2976" s="18" t="inlineStr">
        <is>
          <t>Opening Day</t>
        </is>
      </c>
      <c r="K2976" s="11">
        <f>IFERROR(INDEX(Roles!$B$17:$B$20,MATCH(J2976,Roles!$A$17:$A$20,0)),1)</f>
        <v/>
      </c>
      <c r="L2976" s="19" t="n">
        <v>1</v>
      </c>
      <c r="M2976" s="11" t="n">
        <v>1</v>
      </c>
      <c r="N2976" s="19" t="n"/>
      <c r="O2976" s="19" t="n"/>
      <c r="P2976" s="19" t="n"/>
      <c r="Q2976" s="19" t="n"/>
      <c r="R2976" s="19" t="n"/>
      <c r="S2976" s="19" t="n"/>
      <c r="T2976" s="19" t="n"/>
      <c r="U2976" s="19" t="n"/>
      <c r="V2976" s="19" t="n"/>
      <c r="W2976" s="19" t="n"/>
      <c r="X2976" s="19" t="n"/>
      <c r="Y2976" s="19" t="n">
        <v>1</v>
      </c>
      <c r="Z2976" s="13">
        <f>SUMPRODUCT(N2976:Y2976,$N$2:$Y$2)*$K2976*$L2976*$M2976</f>
        <v/>
      </c>
      <c r="AA2976" s="14">
        <f>SUM(N2976:Y2976)</f>
        <v/>
      </c>
      <c r="AB2976" s="13">
        <f>SUMPRODUCT(N2976:Y2976,$N$3:$Y$3)*$K2976*$L2976*$M2976</f>
        <v/>
      </c>
      <c r="AC2976" s="13">
        <f>SUMPRODUCT(N2976:Y2976,$N$4:$Y$4)*$K2976*$L2976*$M2976</f>
        <v/>
      </c>
      <c r="AD2976" s="15" t="n">
        <v>3</v>
      </c>
      <c r="AE2976" s="11" t="n">
        <v>1.011296296296296</v>
      </c>
      <c r="AF2976" s="16">
        <f>SUMPRODUCT(N2976:Y2976,$N$5:$Y$5)*$K2976*$L2976*$M2976</f>
        <v/>
      </c>
      <c r="AG2976" s="16">
        <f>SUMPRODUCT(N2976:Y2976,$N$6:$Y$6)*$K2976*$L2976*$M2976</f>
        <v/>
      </c>
      <c r="AH2976" s="20" t="n"/>
    </row>
    <row r="2977">
      <c r="A2977" s="9" t="n">
        <v>676012</v>
      </c>
      <c r="B2977" s="9" t="inlineStr">
        <is>
          <t>Gerald Ogando</t>
        </is>
      </c>
      <c r="C2977" s="9" t="inlineStr">
        <is>
          <t>BAL</t>
        </is>
      </c>
      <c r="D2977" s="9" t="n">
        <v>25</v>
      </c>
      <c r="E2977" s="18" t="inlineStr">
        <is>
          <t>R</t>
        </is>
      </c>
      <c r="F2977" s="18" t="n"/>
      <c r="G2977" s="9" t="n">
        <v>67.00833333333334</v>
      </c>
      <c r="H2977" s="9" t="n">
        <v>67.00833333333334</v>
      </c>
      <c r="I2977" s="9" t="inlineStr">
        <is>
          <t>Depth (no MLB IP)</t>
        </is>
      </c>
      <c r="J2977" s="18" t="inlineStr">
        <is>
          <t>Opening Day</t>
        </is>
      </c>
      <c r="K2977" s="11">
        <f>IFERROR(INDEX(Roles!$B$17:$B$20,MATCH(J2977,Roles!$A$17:$A$20,0)),1)</f>
        <v/>
      </c>
      <c r="L2977" s="19" t="n">
        <v>1</v>
      </c>
      <c r="M2977" s="11" t="n">
        <v>1</v>
      </c>
      <c r="N2977" s="19" t="n"/>
      <c r="O2977" s="19" t="n"/>
      <c r="P2977" s="19" t="n"/>
      <c r="Q2977" s="19" t="n"/>
      <c r="R2977" s="19" t="n"/>
      <c r="S2977" s="19" t="n"/>
      <c r="T2977" s="19" t="n"/>
      <c r="U2977" s="19" t="n"/>
      <c r="V2977" s="19" t="n"/>
      <c r="W2977" s="19" t="n"/>
      <c r="X2977" s="19" t="n"/>
      <c r="Y2977" s="19" t="n">
        <v>1</v>
      </c>
      <c r="Z2977" s="13">
        <f>SUMPRODUCT(N2977:Y2977,$N$2:$Y$2)*$K2977*$L2977*$M2977</f>
        <v/>
      </c>
      <c r="AA2977" s="14">
        <f>SUM(N2977:Y2977)</f>
        <v/>
      </c>
      <c r="AB2977" s="13">
        <f>SUMPRODUCT(N2977:Y2977,$N$3:$Y$3)*$K2977*$L2977*$M2977</f>
        <v/>
      </c>
      <c r="AC2977" s="13">
        <f>SUMPRODUCT(N2977:Y2977,$N$4:$Y$4)*$K2977*$L2977*$M2977</f>
        <v/>
      </c>
      <c r="AD2977" s="15" t="n">
        <v>3</v>
      </c>
      <c r="AE2977" s="11" t="n">
        <v>1.011296296296296</v>
      </c>
      <c r="AF2977" s="16">
        <f>SUMPRODUCT(N2977:Y2977,$N$5:$Y$5)*$K2977*$L2977*$M2977</f>
        <v/>
      </c>
      <c r="AG2977" s="16">
        <f>SUMPRODUCT(N2977:Y2977,$N$6:$Y$6)*$K2977*$L2977*$M2977</f>
        <v/>
      </c>
      <c r="AH2977" s="20" t="n"/>
    </row>
    <row r="2978">
      <c r="A2978" s="9" t="n">
        <v>694909</v>
      </c>
      <c r="B2978" s="9" t="inlineStr">
        <is>
          <t>Christian McGowan</t>
        </is>
      </c>
      <c r="C2978" s="9" t="inlineStr">
        <is>
          <t>PHI</t>
        </is>
      </c>
      <c r="D2978" s="9" t="n">
        <v>25</v>
      </c>
      <c r="E2978" s="18" t="inlineStr">
        <is>
          <t>R</t>
        </is>
      </c>
      <c r="F2978" s="18" t="n"/>
      <c r="G2978" s="9" t="n">
        <v>67.22333333333331</v>
      </c>
      <c r="H2978" s="9" t="n">
        <v>67.22333333333331</v>
      </c>
      <c r="I2978" s="9" t="inlineStr">
        <is>
          <t>Depth (no MLB IP)</t>
        </is>
      </c>
      <c r="J2978" s="18" t="inlineStr">
        <is>
          <t>Opening Day</t>
        </is>
      </c>
      <c r="K2978" s="11">
        <f>IFERROR(INDEX(Roles!$B$17:$B$20,MATCH(J2978,Roles!$A$17:$A$20,0)),1)</f>
        <v/>
      </c>
      <c r="L2978" s="19" t="n">
        <v>1</v>
      </c>
      <c r="M2978" s="11" t="n">
        <v>1</v>
      </c>
      <c r="N2978" s="19" t="n"/>
      <c r="O2978" s="19" t="n"/>
      <c r="P2978" s="19" t="n"/>
      <c r="Q2978" s="19" t="n"/>
      <c r="R2978" s="19" t="n"/>
      <c r="S2978" s="19" t="n"/>
      <c r="T2978" s="19" t="n"/>
      <c r="U2978" s="19" t="n"/>
      <c r="V2978" s="19" t="n"/>
      <c r="W2978" s="19" t="n"/>
      <c r="X2978" s="19" t="n"/>
      <c r="Y2978" s="19" t="n">
        <v>1</v>
      </c>
      <c r="Z2978" s="13">
        <f>SUMPRODUCT(N2978:Y2978,$N$2:$Y$2)*$K2978*$L2978*$M2978</f>
        <v/>
      </c>
      <c r="AA2978" s="14">
        <f>SUM(N2978:Y2978)</f>
        <v/>
      </c>
      <c r="AB2978" s="13">
        <f>SUMPRODUCT(N2978:Y2978,$N$3:$Y$3)*$K2978*$L2978*$M2978</f>
        <v/>
      </c>
      <c r="AC2978" s="13">
        <f>SUMPRODUCT(N2978:Y2978,$N$4:$Y$4)*$K2978*$L2978*$M2978</f>
        <v/>
      </c>
      <c r="AD2978" s="15" t="n">
        <v>3</v>
      </c>
      <c r="AE2978" s="11" t="n">
        <v>1.011296296296296</v>
      </c>
      <c r="AF2978" s="16">
        <f>SUMPRODUCT(N2978:Y2978,$N$5:$Y$5)*$K2978*$L2978*$M2978</f>
        <v/>
      </c>
      <c r="AG2978" s="16">
        <f>SUMPRODUCT(N2978:Y2978,$N$6:$Y$6)*$K2978*$L2978*$M2978</f>
        <v/>
      </c>
      <c r="AH2978" s="20" t="n"/>
    </row>
    <row r="2979">
      <c r="A2979" s="9" t="n">
        <v>820888</v>
      </c>
      <c r="B2979" s="9" t="inlineStr">
        <is>
          <t>Emmanuel Chapman</t>
        </is>
      </c>
      <c r="C2979" s="9" t="inlineStr">
        <is>
          <t>PIT</t>
        </is>
      </c>
      <c r="D2979" s="9" t="n">
        <v>25</v>
      </c>
      <c r="E2979" s="18" t="inlineStr">
        <is>
          <t>R</t>
        </is>
      </c>
      <c r="F2979" s="18" t="n"/>
      <c r="G2979" s="9" t="n">
        <v>67.22333333333331</v>
      </c>
      <c r="H2979" s="9" t="n">
        <v>67.22333333333331</v>
      </c>
      <c r="I2979" s="9" t="inlineStr">
        <is>
          <t>Depth (no MLB IP)</t>
        </is>
      </c>
      <c r="J2979" s="18" t="inlineStr">
        <is>
          <t>Opening Day</t>
        </is>
      </c>
      <c r="K2979" s="11">
        <f>IFERROR(INDEX(Roles!$B$17:$B$20,MATCH(J2979,Roles!$A$17:$A$20,0)),1)</f>
        <v/>
      </c>
      <c r="L2979" s="19" t="n">
        <v>1</v>
      </c>
      <c r="M2979" s="11" t="n">
        <v>1</v>
      </c>
      <c r="N2979" s="19" t="n"/>
      <c r="O2979" s="19" t="n"/>
      <c r="P2979" s="19" t="n"/>
      <c r="Q2979" s="19" t="n"/>
      <c r="R2979" s="19" t="n"/>
      <c r="S2979" s="19" t="n"/>
      <c r="T2979" s="19" t="n"/>
      <c r="U2979" s="19" t="n"/>
      <c r="V2979" s="19" t="n"/>
      <c r="W2979" s="19" t="n"/>
      <c r="X2979" s="19" t="n"/>
      <c r="Y2979" s="19" t="n">
        <v>1</v>
      </c>
      <c r="Z2979" s="13">
        <f>SUMPRODUCT(N2979:Y2979,$N$2:$Y$2)*$K2979*$L2979*$M2979</f>
        <v/>
      </c>
      <c r="AA2979" s="14">
        <f>SUM(N2979:Y2979)</f>
        <v/>
      </c>
      <c r="AB2979" s="13">
        <f>SUMPRODUCT(N2979:Y2979,$N$3:$Y$3)*$K2979*$L2979*$M2979</f>
        <v/>
      </c>
      <c r="AC2979" s="13">
        <f>SUMPRODUCT(N2979:Y2979,$N$4:$Y$4)*$K2979*$L2979*$M2979</f>
        <v/>
      </c>
      <c r="AD2979" s="15" t="n">
        <v>3</v>
      </c>
      <c r="AE2979" s="11" t="n">
        <v>1.011296296296296</v>
      </c>
      <c r="AF2979" s="16">
        <f>SUMPRODUCT(N2979:Y2979,$N$5:$Y$5)*$K2979*$L2979*$M2979</f>
        <v/>
      </c>
      <c r="AG2979" s="16">
        <f>SUMPRODUCT(N2979:Y2979,$N$6:$Y$6)*$K2979*$L2979*$M2979</f>
        <v/>
      </c>
      <c r="AH2979" s="20" t="n"/>
    </row>
    <row r="2980">
      <c r="A2980" s="9" t="n">
        <v>701836</v>
      </c>
      <c r="B2980" s="9" t="inlineStr">
        <is>
          <t>Kyle Robinson</t>
        </is>
      </c>
      <c r="C2980" s="9" t="inlineStr">
        <is>
          <t>LAA</t>
        </is>
      </c>
      <c r="D2980" s="9" t="n">
        <v>25</v>
      </c>
      <c r="E2980" s="18" t="inlineStr">
        <is>
          <t>R</t>
        </is>
      </c>
      <c r="F2980" s="18" t="n"/>
      <c r="G2980" s="9" t="n">
        <v>67.22333333333331</v>
      </c>
      <c r="H2980" s="9" t="n">
        <v>67.22333333333331</v>
      </c>
      <c r="I2980" s="9" t="inlineStr">
        <is>
          <t>Depth (no MLB IP)</t>
        </is>
      </c>
      <c r="J2980" s="18" t="inlineStr">
        <is>
          <t>Opening Day</t>
        </is>
      </c>
      <c r="K2980" s="11">
        <f>IFERROR(INDEX(Roles!$B$17:$B$20,MATCH(J2980,Roles!$A$17:$A$20,0)),1)</f>
        <v/>
      </c>
      <c r="L2980" s="19" t="n">
        <v>1</v>
      </c>
      <c r="M2980" s="11" t="n">
        <v>1</v>
      </c>
      <c r="N2980" s="19" t="n"/>
      <c r="O2980" s="19" t="n"/>
      <c r="P2980" s="19" t="n"/>
      <c r="Q2980" s="19" t="n"/>
      <c r="R2980" s="19" t="n"/>
      <c r="S2980" s="19" t="n"/>
      <c r="T2980" s="19" t="n"/>
      <c r="U2980" s="19" t="n"/>
      <c r="V2980" s="19" t="n"/>
      <c r="W2980" s="19" t="n"/>
      <c r="X2980" s="19" t="n"/>
      <c r="Y2980" s="19" t="n">
        <v>1</v>
      </c>
      <c r="Z2980" s="13">
        <f>SUMPRODUCT(N2980:Y2980,$N$2:$Y$2)*$K2980*$L2980*$M2980</f>
        <v/>
      </c>
      <c r="AA2980" s="14">
        <f>SUM(N2980:Y2980)</f>
        <v/>
      </c>
      <c r="AB2980" s="13">
        <f>SUMPRODUCT(N2980:Y2980,$N$3:$Y$3)*$K2980*$L2980*$M2980</f>
        <v/>
      </c>
      <c r="AC2980" s="13">
        <f>SUMPRODUCT(N2980:Y2980,$N$4:$Y$4)*$K2980*$L2980*$M2980</f>
        <v/>
      </c>
      <c r="AD2980" s="15" t="n">
        <v>3</v>
      </c>
      <c r="AE2980" s="11" t="n">
        <v>1.011296296296296</v>
      </c>
      <c r="AF2980" s="16">
        <f>SUMPRODUCT(N2980:Y2980,$N$5:$Y$5)*$K2980*$L2980*$M2980</f>
        <v/>
      </c>
      <c r="AG2980" s="16">
        <f>SUMPRODUCT(N2980:Y2980,$N$6:$Y$6)*$K2980*$L2980*$M2980</f>
        <v/>
      </c>
      <c r="AH2980" s="20" t="n"/>
    </row>
    <row r="2981">
      <c r="A2981" s="9" t="n">
        <v>680862</v>
      </c>
      <c r="B2981" s="9" t="inlineStr">
        <is>
          <t>Willie MacIver</t>
        </is>
      </c>
      <c r="C2981" s="9" t="inlineStr">
        <is>
          <t>OAK</t>
        </is>
      </c>
      <c r="D2981" s="9" t="n">
        <v>30</v>
      </c>
      <c r="E2981" s="18" t="inlineStr">
        <is>
          <t>R</t>
        </is>
      </c>
      <c r="F2981" s="18" t="n"/>
      <c r="G2981" s="9" t="n">
        <v>10</v>
      </c>
      <c r="H2981" s="9" t="n">
        <v>10</v>
      </c>
      <c r="I2981" s="9" t="inlineStr">
        <is>
          <t>Depth (no MLB IP)</t>
        </is>
      </c>
      <c r="J2981" s="18" t="inlineStr">
        <is>
          <t>Opening Day</t>
        </is>
      </c>
      <c r="K2981" s="11">
        <f>IFERROR(INDEX(Roles!$B$17:$B$20,MATCH(J2981,Roles!$A$17:$A$20,0)),1)</f>
        <v/>
      </c>
      <c r="L2981" s="19" t="n">
        <v>1</v>
      </c>
      <c r="M2981" s="11" t="n">
        <v>1</v>
      </c>
      <c r="N2981" s="19" t="n"/>
      <c r="O2981" s="19" t="n"/>
      <c r="P2981" s="19" t="n"/>
      <c r="Q2981" s="19" t="n"/>
      <c r="R2981" s="19" t="n"/>
      <c r="S2981" s="19" t="n"/>
      <c r="T2981" s="19" t="n"/>
      <c r="U2981" s="19" t="n"/>
      <c r="V2981" s="19" t="n"/>
      <c r="W2981" s="19" t="n"/>
      <c r="X2981" s="19" t="n"/>
      <c r="Y2981" s="19" t="n">
        <v>1</v>
      </c>
      <c r="Z2981" s="13">
        <f>SUMPRODUCT(N2981:Y2981,$N$2:$Y$2)*$K2981*$L2981*$M2981</f>
        <v/>
      </c>
      <c r="AA2981" s="14">
        <f>SUM(N2981:Y2981)</f>
        <v/>
      </c>
      <c r="AB2981" s="13">
        <f>SUMPRODUCT(N2981:Y2981,$N$3:$Y$3)*$K2981*$L2981*$M2981</f>
        <v/>
      </c>
      <c r="AC2981" s="13">
        <f>SUMPRODUCT(N2981:Y2981,$N$4:$Y$4)*$K2981*$L2981*$M2981</f>
        <v/>
      </c>
      <c r="AD2981" s="15" t="n">
        <v>2.4</v>
      </c>
      <c r="AE2981" s="11" t="n">
        <v>1.007530864197531</v>
      </c>
      <c r="AF2981" s="16">
        <f>SUMPRODUCT(N2981:Y2981,$N$5:$Y$5)*$K2981*$L2981*$M2981</f>
        <v/>
      </c>
      <c r="AG2981" s="16">
        <f>SUMPRODUCT(N2981:Y2981,$N$6:$Y$6)*$K2981*$L2981*$M2981</f>
        <v/>
      </c>
      <c r="AH2981" s="20" t="n"/>
    </row>
    <row r="2982">
      <c r="A2982" s="9" t="n">
        <v>642708</v>
      </c>
      <c r="B2982" s="9" t="inlineStr">
        <is>
          <t>Amed Rosario</t>
        </is>
      </c>
      <c r="C2982" s="9" t="inlineStr">
        <is>
          <t>WSH</t>
        </is>
      </c>
      <c r="D2982" s="9" t="n">
        <v>31</v>
      </c>
      <c r="E2982" s="18" t="inlineStr">
        <is>
          <t>R</t>
        </is>
      </c>
      <c r="F2982" s="18" t="n"/>
      <c r="G2982" s="9" t="n">
        <v>10</v>
      </c>
      <c r="H2982" s="9" t="n">
        <v>10</v>
      </c>
      <c r="I2982" s="9" t="inlineStr">
        <is>
          <t>Depth (no MLB IP)</t>
        </is>
      </c>
      <c r="J2982" s="18" t="inlineStr">
        <is>
          <t>Opening Day</t>
        </is>
      </c>
      <c r="K2982" s="11">
        <f>IFERROR(INDEX(Roles!$B$17:$B$20,MATCH(J2982,Roles!$A$17:$A$20,0)),1)</f>
        <v/>
      </c>
      <c r="L2982" s="19" t="n">
        <v>1</v>
      </c>
      <c r="M2982" s="11" t="n">
        <v>1</v>
      </c>
      <c r="N2982" s="19" t="n"/>
      <c r="O2982" s="19" t="n"/>
      <c r="P2982" s="19" t="n"/>
      <c r="Q2982" s="19" t="n"/>
      <c r="R2982" s="19" t="n"/>
      <c r="S2982" s="19" t="n"/>
      <c r="T2982" s="19" t="n"/>
      <c r="U2982" s="19" t="n"/>
      <c r="V2982" s="19" t="n"/>
      <c r="W2982" s="19" t="n"/>
      <c r="X2982" s="19" t="n"/>
      <c r="Y2982" s="19" t="n">
        <v>1</v>
      </c>
      <c r="Z2982" s="13">
        <f>SUMPRODUCT(N2982:Y2982,$N$2:$Y$2)*$K2982*$L2982*$M2982</f>
        <v/>
      </c>
      <c r="AA2982" s="14">
        <f>SUM(N2982:Y2982)</f>
        <v/>
      </c>
      <c r="AB2982" s="13">
        <f>SUMPRODUCT(N2982:Y2982,$N$3:$Y$3)*$K2982*$L2982*$M2982</f>
        <v/>
      </c>
      <c r="AC2982" s="13">
        <f>SUMPRODUCT(N2982:Y2982,$N$4:$Y$4)*$K2982*$L2982*$M2982</f>
        <v/>
      </c>
      <c r="AD2982" s="15" t="n">
        <v>1.8</v>
      </c>
      <c r="AE2982" s="11" t="n">
        <v>1.007530864197531</v>
      </c>
      <c r="AF2982" s="16">
        <f>SUMPRODUCT(N2982:Y2982,$N$5:$Y$5)*$K2982*$L2982*$M2982</f>
        <v/>
      </c>
      <c r="AG2982" s="16">
        <f>SUMPRODUCT(N2982:Y2982,$N$6:$Y$6)*$K2982*$L2982*$M2982</f>
        <v/>
      </c>
      <c r="AH2982" s="20" t="n"/>
    </row>
    <row r="2983">
      <c r="A2983" s="9" t="n">
        <v>682989</v>
      </c>
      <c r="B2983" s="9" t="inlineStr">
        <is>
          <t>Victor Mederos</t>
        </is>
      </c>
      <c r="C2983" s="9" t="inlineStr">
        <is>
          <t>ATL</t>
        </is>
      </c>
      <c r="D2983" s="9" t="n">
        <v>26</v>
      </c>
      <c r="E2983" s="18" t="inlineStr">
        <is>
          <t>R</t>
        </is>
      </c>
      <c r="F2983" s="18" t="n"/>
      <c r="G2983" s="9" t="n">
        <v>148</v>
      </c>
      <c r="H2983" s="9" t="n">
        <v>273</v>
      </c>
      <c r="I2983" s="9" t="inlineStr">
        <is>
          <t>Swing Arm / Long Relief</t>
        </is>
      </c>
      <c r="J2983" s="18" t="inlineStr">
        <is>
          <t>Opening Day</t>
        </is>
      </c>
      <c r="K2983" s="11">
        <f>IFERROR(INDEX(Roles!$B$17:$B$20,MATCH(J2983,Roles!$A$17:$A$20,0)),1)</f>
        <v/>
      </c>
      <c r="L2983" s="19" t="n">
        <v>1</v>
      </c>
      <c r="M2983" s="11" t="n">
        <v>1</v>
      </c>
      <c r="N2983" s="19" t="n"/>
      <c r="O2983" s="19" t="n"/>
      <c r="P2983" s="19" t="n"/>
      <c r="Q2983" s="19" t="n"/>
      <c r="R2983" s="19" t="n">
        <v>0.6</v>
      </c>
      <c r="S2983" s="19" t="n"/>
      <c r="T2983" s="19" t="n"/>
      <c r="U2983" s="19" t="n"/>
      <c r="V2983" s="19" t="n"/>
      <c r="W2983" s="19" t="n">
        <v>0.4</v>
      </c>
      <c r="X2983" s="19" t="n"/>
      <c r="Y2983" s="19" t="n"/>
      <c r="Z2983" s="13">
        <f>SUMPRODUCT(N2983:Y2983,$N$2:$Y$2)*$K2983*$L2983*$M2983</f>
        <v/>
      </c>
      <c r="AA2983" s="14">
        <f>SUM(N2983:Y2983)</f>
        <v/>
      </c>
      <c r="AB2983" s="13">
        <f>SUMPRODUCT(N2983:Y2983,$N$3:$Y$3)*$K2983*$L2983*$M2983</f>
        <v/>
      </c>
      <c r="AC2983" s="13">
        <f>SUMPRODUCT(N2983:Y2983,$N$4:$Y$4)*$K2983*$L2983*$M2983</f>
        <v/>
      </c>
      <c r="AD2983" s="15" t="n">
        <v>18.53333333333333</v>
      </c>
      <c r="AE2983" s="11" t="n">
        <v>2.12468474148802</v>
      </c>
      <c r="AF2983" s="16">
        <f>SUMPRODUCT(N2983:Y2983,$N$5:$Y$5)*$K2983*$L2983*$M2983</f>
        <v/>
      </c>
      <c r="AG2983" s="16">
        <f>SUMPRODUCT(N2983:Y2983,$N$6:$Y$6)*$K2983*$L2983*$M2983</f>
        <v/>
      </c>
      <c r="AH2983" s="20" t="n"/>
    </row>
    <row r="2984">
      <c r="A2984" s="9" t="n">
        <v>676475</v>
      </c>
      <c r="B2984" s="9" t="inlineStr">
        <is>
          <t>Alec Burleson</t>
        </is>
      </c>
      <c r="C2984" s="9" t="inlineStr">
        <is>
          <t>STL</t>
        </is>
      </c>
      <c r="D2984" s="9" t="n">
        <v>28</v>
      </c>
      <c r="E2984" s="18" t="inlineStr">
        <is>
          <t>L</t>
        </is>
      </c>
      <c r="F2984" s="18" t="n"/>
      <c r="G2984" s="9" t="n">
        <v>4</v>
      </c>
      <c r="H2984" s="9" t="n">
        <v>17</v>
      </c>
      <c r="I2984" s="9" t="inlineStr">
        <is>
          <t>Depth (no MLB IP)</t>
        </is>
      </c>
      <c r="J2984" s="18" t="inlineStr">
        <is>
          <t>Opening Day</t>
        </is>
      </c>
      <c r="K2984" s="11">
        <f>IFERROR(INDEX(Roles!$B$17:$B$20,MATCH(J2984,Roles!$A$17:$A$20,0)),1)</f>
        <v/>
      </c>
      <c r="L2984" s="19" t="n">
        <v>1</v>
      </c>
      <c r="M2984" s="11" t="n">
        <v>1</v>
      </c>
      <c r="N2984" s="19" t="n"/>
      <c r="O2984" s="19" t="n"/>
      <c r="P2984" s="19" t="n"/>
      <c r="Q2984" s="19" t="n"/>
      <c r="R2984" s="19" t="n"/>
      <c r="S2984" s="19" t="n"/>
      <c r="T2984" s="19" t="n"/>
      <c r="U2984" s="19" t="n"/>
      <c r="V2984" s="19" t="n"/>
      <c r="W2984" s="19" t="n"/>
      <c r="X2984" s="19" t="n"/>
      <c r="Y2984" s="19" t="n">
        <v>1</v>
      </c>
      <c r="Z2984" s="13">
        <f>SUMPRODUCT(N2984:Y2984,$N$2:$Y$2)*$K2984*$L2984*$M2984</f>
        <v/>
      </c>
      <c r="AA2984" s="14">
        <f>SUM(N2984:Y2984)</f>
        <v/>
      </c>
      <c r="AB2984" s="13">
        <f>SUMPRODUCT(N2984:Y2984,$N$3:$Y$3)*$K2984*$L2984*$M2984</f>
        <v/>
      </c>
      <c r="AC2984" s="13">
        <f>SUMPRODUCT(N2984:Y2984,$N$4:$Y$4)*$K2984*$L2984*$M2984</f>
        <v/>
      </c>
      <c r="AD2984" s="15" t="n">
        <v>1.8</v>
      </c>
      <c r="AE2984" s="11" t="n">
        <v>1.007530864197531</v>
      </c>
      <c r="AF2984" s="16">
        <f>SUMPRODUCT(N2984:Y2984,$N$5:$Y$5)*$K2984*$L2984*$M2984</f>
        <v/>
      </c>
      <c r="AG2984" s="16">
        <f>SUMPRODUCT(N2984:Y2984,$N$6:$Y$6)*$K2984*$L2984*$M2984</f>
        <v/>
      </c>
      <c r="AH2984" s="20" t="n"/>
    </row>
    <row r="2985">
      <c r="A2985" s="9" t="n">
        <v>686731</v>
      </c>
      <c r="B2985" s="9" t="inlineStr">
        <is>
          <t>Lucas Knowles</t>
        </is>
      </c>
      <c r="C2985" s="9" t="inlineStr">
        <is>
          <t>LAA</t>
        </is>
      </c>
      <c r="D2985" s="9" t="n">
        <v>25</v>
      </c>
      <c r="E2985" s="18" t="inlineStr">
        <is>
          <t>L</t>
        </is>
      </c>
      <c r="F2985" s="18" t="n"/>
      <c r="G2985" s="9" t="n">
        <v>67.72499999999999</v>
      </c>
      <c r="H2985" s="9" t="n">
        <v>67.72499999999999</v>
      </c>
      <c r="I2985" s="9" t="inlineStr">
        <is>
          <t>Depth (no MLB IP)</t>
        </is>
      </c>
      <c r="J2985" s="18" t="inlineStr">
        <is>
          <t>Opening Day</t>
        </is>
      </c>
      <c r="K2985" s="11">
        <f>IFERROR(INDEX(Roles!$B$17:$B$20,MATCH(J2985,Roles!$A$17:$A$20,0)),1)</f>
        <v/>
      </c>
      <c r="L2985" s="19" t="n">
        <v>1</v>
      </c>
      <c r="M2985" s="11" t="n">
        <v>1</v>
      </c>
      <c r="N2985" s="19" t="n"/>
      <c r="O2985" s="19" t="n"/>
      <c r="P2985" s="19" t="n"/>
      <c r="Q2985" s="19" t="n"/>
      <c r="R2985" s="19" t="n"/>
      <c r="S2985" s="19" t="n"/>
      <c r="T2985" s="19" t="n"/>
      <c r="U2985" s="19" t="n"/>
      <c r="V2985" s="19" t="n"/>
      <c r="W2985" s="19" t="n"/>
      <c r="X2985" s="19" t="n"/>
      <c r="Y2985" s="19" t="n">
        <v>1</v>
      </c>
      <c r="Z2985" s="13">
        <f>SUMPRODUCT(N2985:Y2985,$N$2:$Y$2)*$K2985*$L2985*$M2985</f>
        <v/>
      </c>
      <c r="AA2985" s="14">
        <f>SUM(N2985:Y2985)</f>
        <v/>
      </c>
      <c r="AB2985" s="13">
        <f>SUMPRODUCT(N2985:Y2985,$N$3:$Y$3)*$K2985*$L2985*$M2985</f>
        <v/>
      </c>
      <c r="AC2985" s="13">
        <f>SUMPRODUCT(N2985:Y2985,$N$4:$Y$4)*$K2985*$L2985*$M2985</f>
        <v/>
      </c>
      <c r="AD2985" s="15" t="n">
        <v>3</v>
      </c>
      <c r="AE2985" s="11" t="n">
        <v>1.011296296296296</v>
      </c>
      <c r="AF2985" s="16">
        <f>SUMPRODUCT(N2985:Y2985,$N$5:$Y$5)*$K2985*$L2985*$M2985</f>
        <v/>
      </c>
      <c r="AG2985" s="16">
        <f>SUMPRODUCT(N2985:Y2985,$N$6:$Y$6)*$K2985*$L2985*$M2985</f>
        <v/>
      </c>
      <c r="AH2985" s="20" t="n"/>
    </row>
    <row r="2986">
      <c r="A2986" s="9" t="n">
        <v>641427</v>
      </c>
      <c r="B2986" s="9" t="inlineStr">
        <is>
          <t>Alan Busenitz</t>
        </is>
      </c>
      <c r="C2986" s="9" t="inlineStr">
        <is>
          <t>CIN</t>
        </is>
      </c>
      <c r="D2986" s="9" t="n">
        <v>36</v>
      </c>
      <c r="E2986" s="18" t="inlineStr">
        <is>
          <t>R</t>
        </is>
      </c>
      <c r="F2986" s="18" t="n"/>
      <c r="G2986" s="9" t="n">
        <v>21</v>
      </c>
      <c r="H2986" s="9" t="n">
        <v>50</v>
      </c>
      <c r="I2986" s="9" t="inlineStr">
        <is>
          <t>Depth (no MLB IP)</t>
        </is>
      </c>
      <c r="J2986" s="18" t="inlineStr">
        <is>
          <t>Opening Day</t>
        </is>
      </c>
      <c r="K2986" s="11">
        <f>IFERROR(INDEX(Roles!$B$17:$B$20,MATCH(J2986,Roles!$A$17:$A$20,0)),1)</f>
        <v/>
      </c>
      <c r="L2986" s="19" t="n">
        <v>1</v>
      </c>
      <c r="M2986" s="11" t="n">
        <v>1</v>
      </c>
      <c r="N2986" s="19" t="n"/>
      <c r="O2986" s="19" t="n"/>
      <c r="P2986" s="19" t="n"/>
      <c r="Q2986" s="19" t="n"/>
      <c r="R2986" s="19" t="n"/>
      <c r="S2986" s="19" t="n"/>
      <c r="T2986" s="19" t="n"/>
      <c r="U2986" s="19" t="n"/>
      <c r="V2986" s="19" t="n"/>
      <c r="W2986" s="19" t="n"/>
      <c r="X2986" s="19" t="n"/>
      <c r="Y2986" s="19" t="n">
        <v>1</v>
      </c>
      <c r="Z2986" s="13">
        <f>SUMPRODUCT(N2986:Y2986,$N$2:$Y$2)*$K2986*$L2986*$M2986</f>
        <v/>
      </c>
      <c r="AA2986" s="14">
        <f>SUM(N2986:Y2986)</f>
        <v/>
      </c>
      <c r="AB2986" s="13">
        <f>SUMPRODUCT(N2986:Y2986,$N$3:$Y$3)*$K2986*$L2986*$M2986</f>
        <v/>
      </c>
      <c r="AC2986" s="13">
        <f>SUMPRODUCT(N2986:Y2986,$N$4:$Y$4)*$K2986*$L2986*$M2986</f>
        <v/>
      </c>
      <c r="AD2986" s="15" t="n">
        <v>3</v>
      </c>
      <c r="AE2986" s="11" t="n">
        <v>1.118641975308642</v>
      </c>
      <c r="AF2986" s="16">
        <f>SUMPRODUCT(N2986:Y2986,$N$5:$Y$5)*$K2986*$L2986*$M2986</f>
        <v/>
      </c>
      <c r="AG2986" s="16">
        <f>SUMPRODUCT(N2986:Y2986,$N$6:$Y$6)*$K2986*$L2986*$M2986</f>
        <v/>
      </c>
      <c r="AH2986" s="20" t="n"/>
    </row>
    <row r="2987">
      <c r="A2987" s="9" t="n">
        <v>802984</v>
      </c>
      <c r="B2987" s="9" t="inlineStr">
        <is>
          <t>Livan Reinoso</t>
        </is>
      </c>
      <c r="C2987" s="9" t="inlineStr">
        <is>
          <t>MIA</t>
        </is>
      </c>
      <c r="D2987" s="9" t="n">
        <v>25</v>
      </c>
      <c r="E2987" s="18" t="inlineStr">
        <is>
          <t>R</t>
        </is>
      </c>
      <c r="F2987" s="18" t="n"/>
      <c r="G2987" s="9" t="n">
        <v>67.72499999999999</v>
      </c>
      <c r="H2987" s="9" t="n">
        <v>67.72499999999999</v>
      </c>
      <c r="I2987" s="9" t="inlineStr">
        <is>
          <t>Depth (no MLB IP)</t>
        </is>
      </c>
      <c r="J2987" s="18" t="inlineStr">
        <is>
          <t>Opening Day</t>
        </is>
      </c>
      <c r="K2987" s="11">
        <f>IFERROR(INDEX(Roles!$B$17:$B$20,MATCH(J2987,Roles!$A$17:$A$20,0)),1)</f>
        <v/>
      </c>
      <c r="L2987" s="19" t="n">
        <v>1</v>
      </c>
      <c r="M2987" s="11" t="n">
        <v>1</v>
      </c>
      <c r="N2987" s="19" t="n"/>
      <c r="O2987" s="19" t="n"/>
      <c r="P2987" s="19" t="n"/>
      <c r="Q2987" s="19" t="n"/>
      <c r="R2987" s="19" t="n"/>
      <c r="S2987" s="19" t="n"/>
      <c r="T2987" s="19" t="n"/>
      <c r="U2987" s="19" t="n"/>
      <c r="V2987" s="19" t="n"/>
      <c r="W2987" s="19" t="n"/>
      <c r="X2987" s="19" t="n"/>
      <c r="Y2987" s="19" t="n">
        <v>1</v>
      </c>
      <c r="Z2987" s="13">
        <f>SUMPRODUCT(N2987:Y2987,$N$2:$Y$2)*$K2987*$L2987*$M2987</f>
        <v/>
      </c>
      <c r="AA2987" s="14">
        <f>SUM(N2987:Y2987)</f>
        <v/>
      </c>
      <c r="AB2987" s="13">
        <f>SUMPRODUCT(N2987:Y2987,$N$3:$Y$3)*$K2987*$L2987*$M2987</f>
        <v/>
      </c>
      <c r="AC2987" s="13">
        <f>SUMPRODUCT(N2987:Y2987,$N$4:$Y$4)*$K2987*$L2987*$M2987</f>
        <v/>
      </c>
      <c r="AD2987" s="15" t="n">
        <v>3</v>
      </c>
      <c r="AE2987" s="11" t="n">
        <v>1.011296296296296</v>
      </c>
      <c r="AF2987" s="16">
        <f>SUMPRODUCT(N2987:Y2987,$N$5:$Y$5)*$K2987*$L2987*$M2987</f>
        <v/>
      </c>
      <c r="AG2987" s="16">
        <f>SUMPRODUCT(N2987:Y2987,$N$6:$Y$6)*$K2987*$L2987*$M2987</f>
        <v/>
      </c>
      <c r="AH2987" s="20" t="n"/>
    </row>
    <row r="2988">
      <c r="A2988" s="9" t="n">
        <v>814217</v>
      </c>
      <c r="B2988" s="9" t="inlineStr">
        <is>
          <t>Sam Gardner</t>
        </is>
      </c>
      <c r="C2988" s="9" t="inlineStr">
        <is>
          <t>TOR</t>
        </is>
      </c>
      <c r="D2988" s="9" t="n">
        <v>25</v>
      </c>
      <c r="E2988" s="18" t="inlineStr">
        <is>
          <t>R</t>
        </is>
      </c>
      <c r="F2988" s="18" t="n"/>
      <c r="G2988" s="9" t="n">
        <v>67.79666666666667</v>
      </c>
      <c r="H2988" s="9" t="n">
        <v>67.79666666666667</v>
      </c>
      <c r="I2988" s="9" t="inlineStr">
        <is>
          <t>Depth (no MLB IP)</t>
        </is>
      </c>
      <c r="J2988" s="18" t="inlineStr">
        <is>
          <t>Opening Day</t>
        </is>
      </c>
      <c r="K2988" s="11">
        <f>IFERROR(INDEX(Roles!$B$17:$B$20,MATCH(J2988,Roles!$A$17:$A$20,0)),1)</f>
        <v/>
      </c>
      <c r="L2988" s="19" t="n">
        <v>1</v>
      </c>
      <c r="M2988" s="11" t="n">
        <v>1</v>
      </c>
      <c r="N2988" s="19" t="n"/>
      <c r="O2988" s="19" t="n"/>
      <c r="P2988" s="19" t="n"/>
      <c r="Q2988" s="19" t="n"/>
      <c r="R2988" s="19" t="n"/>
      <c r="S2988" s="19" t="n"/>
      <c r="T2988" s="19" t="n"/>
      <c r="U2988" s="19" t="n"/>
      <c r="V2988" s="19" t="n"/>
      <c r="W2988" s="19" t="n"/>
      <c r="X2988" s="19" t="n"/>
      <c r="Y2988" s="19" t="n">
        <v>1</v>
      </c>
      <c r="Z2988" s="13">
        <f>SUMPRODUCT(N2988:Y2988,$N$2:$Y$2)*$K2988*$L2988*$M2988</f>
        <v/>
      </c>
      <c r="AA2988" s="14">
        <f>SUM(N2988:Y2988)</f>
        <v/>
      </c>
      <c r="AB2988" s="13">
        <f>SUMPRODUCT(N2988:Y2988,$N$3:$Y$3)*$K2988*$L2988*$M2988</f>
        <v/>
      </c>
      <c r="AC2988" s="13">
        <f>SUMPRODUCT(N2988:Y2988,$N$4:$Y$4)*$K2988*$L2988*$M2988</f>
        <v/>
      </c>
      <c r="AD2988" s="15" t="n">
        <v>3</v>
      </c>
      <c r="AE2988" s="11" t="n">
        <v>1.011296296296296</v>
      </c>
      <c r="AF2988" s="16">
        <f>SUMPRODUCT(N2988:Y2988,$N$5:$Y$5)*$K2988*$L2988*$M2988</f>
        <v/>
      </c>
      <c r="AG2988" s="16">
        <f>SUMPRODUCT(N2988:Y2988,$N$6:$Y$6)*$K2988*$L2988*$M2988</f>
        <v/>
      </c>
      <c r="AH2988" s="20" t="n"/>
    </row>
    <row r="2989">
      <c r="A2989" s="9" t="n">
        <v>700280</v>
      </c>
      <c r="B2989" s="9" t="inlineStr">
        <is>
          <t>Miguel Mendez</t>
        </is>
      </c>
      <c r="C2989" s="9" t="inlineStr">
        <is>
          <t>SF</t>
        </is>
      </c>
      <c r="D2989" s="9" t="n">
        <v>25</v>
      </c>
      <c r="E2989" s="18" t="inlineStr">
        <is>
          <t>R</t>
        </is>
      </c>
      <c r="F2989" s="18" t="n"/>
      <c r="G2989" s="9" t="n">
        <v>68.22666666666666</v>
      </c>
      <c r="H2989" s="9" t="n">
        <v>68.22666666666666</v>
      </c>
      <c r="I2989" s="9" t="inlineStr">
        <is>
          <t>Depth (no MLB IP)</t>
        </is>
      </c>
      <c r="J2989" s="18" t="inlineStr">
        <is>
          <t>Opening Day</t>
        </is>
      </c>
      <c r="K2989" s="11">
        <f>IFERROR(INDEX(Roles!$B$17:$B$20,MATCH(J2989,Roles!$A$17:$A$20,0)),1)</f>
        <v/>
      </c>
      <c r="L2989" s="19" t="n">
        <v>1</v>
      </c>
      <c r="M2989" s="11" t="n">
        <v>1</v>
      </c>
      <c r="N2989" s="19" t="n"/>
      <c r="O2989" s="19" t="n"/>
      <c r="P2989" s="19" t="n"/>
      <c r="Q2989" s="19" t="n"/>
      <c r="R2989" s="19" t="n"/>
      <c r="S2989" s="19" t="n"/>
      <c r="T2989" s="19" t="n"/>
      <c r="U2989" s="19" t="n"/>
      <c r="V2989" s="19" t="n"/>
      <c r="W2989" s="19" t="n"/>
      <c r="X2989" s="19" t="n"/>
      <c r="Y2989" s="19" t="n">
        <v>1</v>
      </c>
      <c r="Z2989" s="13">
        <f>SUMPRODUCT(N2989:Y2989,$N$2:$Y$2)*$K2989*$L2989*$M2989</f>
        <v/>
      </c>
      <c r="AA2989" s="14">
        <f>SUM(N2989:Y2989)</f>
        <v/>
      </c>
      <c r="AB2989" s="13">
        <f>SUMPRODUCT(N2989:Y2989,$N$3:$Y$3)*$K2989*$L2989*$M2989</f>
        <v/>
      </c>
      <c r="AC2989" s="13">
        <f>SUMPRODUCT(N2989:Y2989,$N$4:$Y$4)*$K2989*$L2989*$M2989</f>
        <v/>
      </c>
      <c r="AD2989" s="15" t="n">
        <v>3</v>
      </c>
      <c r="AE2989" s="11" t="n">
        <v>1.011296296296296</v>
      </c>
      <c r="AF2989" s="16">
        <f>SUMPRODUCT(N2989:Y2989,$N$5:$Y$5)*$K2989*$L2989*$M2989</f>
        <v/>
      </c>
      <c r="AG2989" s="16">
        <f>SUMPRODUCT(N2989:Y2989,$N$6:$Y$6)*$K2989*$L2989*$M2989</f>
        <v/>
      </c>
      <c r="AH2989" s="20" t="n"/>
    </row>
    <row r="2990">
      <c r="A2990" s="9" t="n">
        <v>679922</v>
      </c>
      <c r="B2990" s="9" t="inlineStr">
        <is>
          <t>Carlos Duran</t>
        </is>
      </c>
      <c r="C2990" s="9" t="inlineStr">
        <is>
          <t>KC</t>
        </is>
      </c>
      <c r="D2990" s="9" t="n">
        <v>25</v>
      </c>
      <c r="E2990" s="18" t="inlineStr">
        <is>
          <t>R</t>
        </is>
      </c>
      <c r="F2990" s="18" t="n"/>
      <c r="G2990" s="9" t="n">
        <v>9</v>
      </c>
      <c r="H2990" s="9" t="n">
        <v>14</v>
      </c>
      <c r="I2990" s="9" t="inlineStr">
        <is>
          <t>Depth (no MLB IP)</t>
        </is>
      </c>
      <c r="J2990" s="18" t="inlineStr">
        <is>
          <t>Opening Day</t>
        </is>
      </c>
      <c r="K2990" s="11">
        <f>IFERROR(INDEX(Roles!$B$17:$B$20,MATCH(J2990,Roles!$A$17:$A$20,0)),1)</f>
        <v/>
      </c>
      <c r="L2990" s="19" t="n">
        <v>1</v>
      </c>
      <c r="M2990" s="11" t="n">
        <v>1</v>
      </c>
      <c r="N2990" s="19" t="n"/>
      <c r="O2990" s="19" t="n"/>
      <c r="P2990" s="19" t="n"/>
      <c r="Q2990" s="19" t="n"/>
      <c r="R2990" s="19" t="n"/>
      <c r="S2990" s="19" t="n"/>
      <c r="T2990" s="19" t="n"/>
      <c r="U2990" s="19" t="n"/>
      <c r="V2990" s="19" t="n"/>
      <c r="W2990" s="19" t="n"/>
      <c r="X2990" s="19" t="n"/>
      <c r="Y2990" s="19" t="n">
        <v>1</v>
      </c>
      <c r="Z2990" s="13">
        <f>SUMPRODUCT(N2990:Y2990,$N$2:$Y$2)*$K2990*$L2990*$M2990</f>
        <v/>
      </c>
      <c r="AA2990" s="14">
        <f>SUM(N2990:Y2990)</f>
        <v/>
      </c>
      <c r="AB2990" s="13">
        <f>SUMPRODUCT(N2990:Y2990,$N$3:$Y$3)*$K2990*$L2990*$M2990</f>
        <v/>
      </c>
      <c r="AC2990" s="13">
        <f>SUMPRODUCT(N2990:Y2990,$N$4:$Y$4)*$K2990*$L2990*$M2990</f>
        <v/>
      </c>
      <c r="AD2990" s="15" t="n">
        <v>2.16</v>
      </c>
      <c r="AE2990" s="11" t="n">
        <v>0.8686419753086418</v>
      </c>
      <c r="AF2990" s="16">
        <f>SUMPRODUCT(N2990:Y2990,$N$5:$Y$5)*$K2990*$L2990*$M2990</f>
        <v/>
      </c>
      <c r="AG2990" s="16">
        <f>SUMPRODUCT(N2990:Y2990,$N$6:$Y$6)*$K2990*$L2990*$M2990</f>
        <v/>
      </c>
      <c r="AH2990" s="20" t="n"/>
    </row>
    <row r="2991">
      <c r="A2991" s="9" t="n">
        <v>656550</v>
      </c>
      <c r="B2991" s="9" t="inlineStr">
        <is>
          <t>Grant Holmes</t>
        </is>
      </c>
      <c r="C2991" s="9" t="inlineStr">
        <is>
          <t>ATL</t>
        </is>
      </c>
      <c r="D2991" s="9" t="n">
        <v>31</v>
      </c>
      <c r="E2991" s="18" t="inlineStr">
        <is>
          <t>R</t>
        </is>
      </c>
      <c r="F2991" s="18" t="n"/>
      <c r="G2991" s="9" t="n">
        <v>642</v>
      </c>
      <c r="H2991" s="9" t="n">
        <v>1416</v>
      </c>
      <c r="I2991" s="9" t="inlineStr">
        <is>
          <t>End-of-Rotation Starter (SP4-5)</t>
        </is>
      </c>
      <c r="J2991" s="18" t="inlineStr">
        <is>
          <t>Opening Day</t>
        </is>
      </c>
      <c r="K2991" s="11">
        <f>IFERROR(INDEX(Roles!$B$17:$B$20,MATCH(J2991,Roles!$A$17:$A$20,0)),1)</f>
        <v/>
      </c>
      <c r="L2991" s="19" t="n">
        <v>1</v>
      </c>
      <c r="M2991" s="11" t="n">
        <v>1</v>
      </c>
      <c r="N2991" s="19" t="n"/>
      <c r="O2991" s="19" t="n"/>
      <c r="P2991" s="19" t="n">
        <v>0.5</v>
      </c>
      <c r="Q2991" s="19" t="n"/>
      <c r="R2991" s="19" t="n">
        <v>0.5</v>
      </c>
      <c r="S2991" s="19" t="n"/>
      <c r="T2991" s="19" t="n"/>
      <c r="U2991" s="19" t="n"/>
      <c r="V2991" s="19" t="n"/>
      <c r="W2991" s="19" t="n"/>
      <c r="X2991" s="19" t="n"/>
      <c r="Y2991" s="19" t="n"/>
      <c r="Z2991" s="13">
        <f>SUMPRODUCT(N2991:Y2991,$N$2:$Y$2)*$K2991*$L2991*$M2991</f>
        <v/>
      </c>
      <c r="AA2991" s="14">
        <f>SUM(N2991:Y2991)</f>
        <v/>
      </c>
      <c r="AB2991" s="13">
        <f>SUMPRODUCT(N2991:Y2991,$N$3:$Y$3)*$K2991*$L2991*$M2991</f>
        <v/>
      </c>
      <c r="AC2991" s="13">
        <f>SUMPRODUCT(N2991:Y2991,$N$4:$Y$4)*$K2991*$L2991*$M2991</f>
        <v/>
      </c>
      <c r="AD2991" s="15" t="n">
        <v>22.7</v>
      </c>
      <c r="AE2991" s="11" t="n">
        <v>4.577596000908884</v>
      </c>
      <c r="AF2991" s="16">
        <f>SUMPRODUCT(N2991:Y2991,$N$5:$Y$5)*$K2991*$L2991*$M2991</f>
        <v/>
      </c>
      <c r="AG2991" s="16">
        <f>SUMPRODUCT(N2991:Y2991,$N$6:$Y$6)*$K2991*$L2991*$M2991</f>
        <v/>
      </c>
      <c r="AH2991" s="20" t="n"/>
    </row>
    <row r="2992">
      <c r="A2992" s="9" t="n">
        <v>814508</v>
      </c>
      <c r="B2992" s="9" t="inlineStr">
        <is>
          <t>Colby Martin</t>
        </is>
      </c>
      <c r="C2992" s="9" t="inlineStr">
        <is>
          <t>MIA</t>
        </is>
      </c>
      <c r="D2992" s="9" t="n">
        <v>25</v>
      </c>
      <c r="E2992" s="18" t="inlineStr">
        <is>
          <t>R</t>
        </is>
      </c>
      <c r="F2992" s="18" t="n"/>
      <c r="G2992" s="9" t="n">
        <v>68.22666666666666</v>
      </c>
      <c r="H2992" s="9" t="n">
        <v>68.22666666666666</v>
      </c>
      <c r="I2992" s="9" t="inlineStr">
        <is>
          <t>Depth (no MLB IP)</t>
        </is>
      </c>
      <c r="J2992" s="18" t="inlineStr">
        <is>
          <t>Opening Day</t>
        </is>
      </c>
      <c r="K2992" s="11">
        <f>IFERROR(INDEX(Roles!$B$17:$B$20,MATCH(J2992,Roles!$A$17:$A$20,0)),1)</f>
        <v/>
      </c>
      <c r="L2992" s="19" t="n">
        <v>1</v>
      </c>
      <c r="M2992" s="11" t="n">
        <v>1</v>
      </c>
      <c r="N2992" s="19" t="n"/>
      <c r="O2992" s="19" t="n"/>
      <c r="P2992" s="19" t="n"/>
      <c r="Q2992" s="19" t="n"/>
      <c r="R2992" s="19" t="n"/>
      <c r="S2992" s="19" t="n"/>
      <c r="T2992" s="19" t="n"/>
      <c r="U2992" s="19" t="n"/>
      <c r="V2992" s="19" t="n"/>
      <c r="W2992" s="19" t="n"/>
      <c r="X2992" s="19" t="n"/>
      <c r="Y2992" s="19" t="n">
        <v>1</v>
      </c>
      <c r="Z2992" s="13">
        <f>SUMPRODUCT(N2992:Y2992,$N$2:$Y$2)*$K2992*$L2992*$M2992</f>
        <v/>
      </c>
      <c r="AA2992" s="14">
        <f>SUM(N2992:Y2992)</f>
        <v/>
      </c>
      <c r="AB2992" s="13">
        <f>SUMPRODUCT(N2992:Y2992,$N$3:$Y$3)*$K2992*$L2992*$M2992</f>
        <v/>
      </c>
      <c r="AC2992" s="13">
        <f>SUMPRODUCT(N2992:Y2992,$N$4:$Y$4)*$K2992*$L2992*$M2992</f>
        <v/>
      </c>
      <c r="AD2992" s="15" t="n">
        <v>3</v>
      </c>
      <c r="AE2992" s="11" t="n">
        <v>1.011296296296296</v>
      </c>
      <c r="AF2992" s="16">
        <f>SUMPRODUCT(N2992:Y2992,$N$5:$Y$5)*$K2992*$L2992*$M2992</f>
        <v/>
      </c>
      <c r="AG2992" s="16">
        <f>SUMPRODUCT(N2992:Y2992,$N$6:$Y$6)*$K2992*$L2992*$M2992</f>
        <v/>
      </c>
      <c r="AH2992" s="20" t="n"/>
    </row>
    <row r="2993">
      <c r="A2993" s="9" t="n">
        <v>680911</v>
      </c>
      <c r="B2993" s="9" t="inlineStr">
        <is>
          <t>Owen Miller</t>
        </is>
      </c>
      <c r="C2993" s="9" t="inlineStr">
        <is>
          <t>MIL</t>
        </is>
      </c>
      <c r="D2993" s="9" t="n">
        <v>30</v>
      </c>
      <c r="E2993" s="18" t="inlineStr">
        <is>
          <t>R</t>
        </is>
      </c>
      <c r="F2993" s="18" t="n"/>
      <c r="G2993" s="9" t="n">
        <v>12</v>
      </c>
      <c r="H2993" s="9" t="n">
        <v>12</v>
      </c>
      <c r="I2993" s="9" t="inlineStr">
        <is>
          <t>Depth (no MLB IP)</t>
        </is>
      </c>
      <c r="J2993" s="18" t="inlineStr">
        <is>
          <t>Opening Day</t>
        </is>
      </c>
      <c r="K2993" s="11">
        <f>IFERROR(INDEX(Roles!$B$17:$B$20,MATCH(J2993,Roles!$A$17:$A$20,0)),1)</f>
        <v/>
      </c>
      <c r="L2993" s="19" t="n">
        <v>1</v>
      </c>
      <c r="M2993" s="11" t="n">
        <v>1</v>
      </c>
      <c r="N2993" s="19" t="n"/>
      <c r="O2993" s="19" t="n"/>
      <c r="P2993" s="19" t="n"/>
      <c r="Q2993" s="19" t="n"/>
      <c r="R2993" s="19" t="n"/>
      <c r="S2993" s="19" t="n"/>
      <c r="T2993" s="19" t="n"/>
      <c r="U2993" s="19" t="n"/>
      <c r="V2993" s="19" t="n"/>
      <c r="W2993" s="19" t="n"/>
      <c r="X2993" s="19" t="n"/>
      <c r="Y2993" s="19" t="n">
        <v>1</v>
      </c>
      <c r="Z2993" s="13">
        <f>SUMPRODUCT(N2993:Y2993,$N$2:$Y$2)*$K2993*$L2993*$M2993</f>
        <v/>
      </c>
      <c r="AA2993" s="14">
        <f>SUM(N2993:Y2993)</f>
        <v/>
      </c>
      <c r="AB2993" s="13">
        <f>SUMPRODUCT(N2993:Y2993,$N$3:$Y$3)*$K2993*$L2993*$M2993</f>
        <v/>
      </c>
      <c r="AC2993" s="13">
        <f>SUMPRODUCT(N2993:Y2993,$N$4:$Y$4)*$K2993*$L2993*$M2993</f>
        <v/>
      </c>
      <c r="AD2993" s="15" t="n">
        <v>1.8</v>
      </c>
      <c r="AE2993" s="11" t="n">
        <v>1.340864197530864</v>
      </c>
      <c r="AF2993" s="16">
        <f>SUMPRODUCT(N2993:Y2993,$N$5:$Y$5)*$K2993*$L2993*$M2993</f>
        <v/>
      </c>
      <c r="AG2993" s="16">
        <f>SUMPRODUCT(N2993:Y2993,$N$6:$Y$6)*$K2993*$L2993*$M2993</f>
        <v/>
      </c>
      <c r="AH2993" s="20" t="n"/>
    </row>
    <row r="2994">
      <c r="A2994" s="9" t="n">
        <v>693781</v>
      </c>
      <c r="B2994" s="9" t="inlineStr">
        <is>
          <t>Wilian Bormie</t>
        </is>
      </c>
      <c r="C2994" s="9" t="inlineStr">
        <is>
          <t>TEX</t>
        </is>
      </c>
      <c r="D2994" s="9" t="n">
        <v>25</v>
      </c>
      <c r="E2994" s="18" t="inlineStr">
        <is>
          <t>R</t>
        </is>
      </c>
      <c r="F2994" s="18" t="n"/>
      <c r="G2994" s="9" t="n">
        <v>68.58499999999999</v>
      </c>
      <c r="H2994" s="9" t="n">
        <v>68.58499999999999</v>
      </c>
      <c r="I2994" s="9" t="inlineStr">
        <is>
          <t>Depth (no MLB IP)</t>
        </is>
      </c>
      <c r="J2994" s="18" t="inlineStr">
        <is>
          <t>Opening Day</t>
        </is>
      </c>
      <c r="K2994" s="11">
        <f>IFERROR(INDEX(Roles!$B$17:$B$20,MATCH(J2994,Roles!$A$17:$A$20,0)),1)</f>
        <v/>
      </c>
      <c r="L2994" s="19" t="n">
        <v>1</v>
      </c>
      <c r="M2994" s="11" t="n">
        <v>1</v>
      </c>
      <c r="N2994" s="19" t="n"/>
      <c r="O2994" s="19" t="n"/>
      <c r="P2994" s="19" t="n"/>
      <c r="Q2994" s="19" t="n"/>
      <c r="R2994" s="19" t="n"/>
      <c r="S2994" s="19" t="n"/>
      <c r="T2994" s="19" t="n"/>
      <c r="U2994" s="19" t="n"/>
      <c r="V2994" s="19" t="n"/>
      <c r="W2994" s="19" t="n"/>
      <c r="X2994" s="19" t="n"/>
      <c r="Y2994" s="19" t="n">
        <v>1</v>
      </c>
      <c r="Z2994" s="13">
        <f>SUMPRODUCT(N2994:Y2994,$N$2:$Y$2)*$K2994*$L2994*$M2994</f>
        <v/>
      </c>
      <c r="AA2994" s="14">
        <f>SUM(N2994:Y2994)</f>
        <v/>
      </c>
      <c r="AB2994" s="13">
        <f>SUMPRODUCT(N2994:Y2994,$N$3:$Y$3)*$K2994*$L2994*$M2994</f>
        <v/>
      </c>
      <c r="AC2994" s="13">
        <f>SUMPRODUCT(N2994:Y2994,$N$4:$Y$4)*$K2994*$L2994*$M2994</f>
        <v/>
      </c>
      <c r="AD2994" s="15" t="n">
        <v>3</v>
      </c>
      <c r="AE2994" s="11" t="n">
        <v>1.011296296296296</v>
      </c>
      <c r="AF2994" s="16">
        <f>SUMPRODUCT(N2994:Y2994,$N$5:$Y$5)*$K2994*$L2994*$M2994</f>
        <v/>
      </c>
      <c r="AG2994" s="16">
        <f>SUMPRODUCT(N2994:Y2994,$N$6:$Y$6)*$K2994*$L2994*$M2994</f>
        <v/>
      </c>
      <c r="AH2994" s="20" t="n"/>
    </row>
    <row r="2995">
      <c r="A2995" s="9" t="n">
        <v>815590</v>
      </c>
      <c r="B2995" s="9" t="inlineStr">
        <is>
          <t>Ryan Lobus</t>
        </is>
      </c>
      <c r="C2995" s="9" t="inlineStr">
        <is>
          <t>TEX</t>
        </is>
      </c>
      <c r="D2995" s="9" t="n">
        <v>25</v>
      </c>
      <c r="E2995" s="18" t="inlineStr">
        <is>
          <t>R</t>
        </is>
      </c>
      <c r="F2995" s="18" t="n"/>
      <c r="G2995" s="9" t="n">
        <v>68.58499999999999</v>
      </c>
      <c r="H2995" s="9" t="n">
        <v>68.58499999999999</v>
      </c>
      <c r="I2995" s="9" t="inlineStr">
        <is>
          <t>Depth (no MLB IP)</t>
        </is>
      </c>
      <c r="J2995" s="18" t="inlineStr">
        <is>
          <t>Opening Day</t>
        </is>
      </c>
      <c r="K2995" s="11">
        <f>IFERROR(INDEX(Roles!$B$17:$B$20,MATCH(J2995,Roles!$A$17:$A$20,0)),1)</f>
        <v/>
      </c>
      <c r="L2995" s="19" t="n">
        <v>1</v>
      </c>
      <c r="M2995" s="11" t="n">
        <v>1</v>
      </c>
      <c r="N2995" s="19" t="n"/>
      <c r="O2995" s="19" t="n"/>
      <c r="P2995" s="19" t="n"/>
      <c r="Q2995" s="19" t="n"/>
      <c r="R2995" s="19" t="n"/>
      <c r="S2995" s="19" t="n"/>
      <c r="T2995" s="19" t="n"/>
      <c r="U2995" s="19" t="n"/>
      <c r="V2995" s="19" t="n"/>
      <c r="W2995" s="19" t="n"/>
      <c r="X2995" s="19" t="n"/>
      <c r="Y2995" s="19" t="n">
        <v>1</v>
      </c>
      <c r="Z2995" s="13">
        <f>SUMPRODUCT(N2995:Y2995,$N$2:$Y$2)*$K2995*$L2995*$M2995</f>
        <v/>
      </c>
      <c r="AA2995" s="14">
        <f>SUM(N2995:Y2995)</f>
        <v/>
      </c>
      <c r="AB2995" s="13">
        <f>SUMPRODUCT(N2995:Y2995,$N$3:$Y$3)*$K2995*$L2995*$M2995</f>
        <v/>
      </c>
      <c r="AC2995" s="13">
        <f>SUMPRODUCT(N2995:Y2995,$N$4:$Y$4)*$K2995*$L2995*$M2995</f>
        <v/>
      </c>
      <c r="AD2995" s="15" t="n">
        <v>3</v>
      </c>
      <c r="AE2995" s="11" t="n">
        <v>1.011296296296296</v>
      </c>
      <c r="AF2995" s="16">
        <f>SUMPRODUCT(N2995:Y2995,$N$5:$Y$5)*$K2995*$L2995*$M2995</f>
        <v/>
      </c>
      <c r="AG2995" s="16">
        <f>SUMPRODUCT(N2995:Y2995,$N$6:$Y$6)*$K2995*$L2995*$M2995</f>
        <v/>
      </c>
      <c r="AH2995" s="20" t="n"/>
    </row>
    <row r="2996">
      <c r="A2996" s="9" t="n">
        <v>657514</v>
      </c>
      <c r="B2996" s="9" t="inlineStr">
        <is>
          <t>Brennan Bernardino</t>
        </is>
      </c>
      <c r="C2996" s="9" t="inlineStr">
        <is>
          <t>COL</t>
        </is>
      </c>
      <c r="D2996" s="9" t="n">
        <v>35</v>
      </c>
      <c r="E2996" s="18" t="inlineStr">
        <is>
          <t>L</t>
        </is>
      </c>
      <c r="F2996" s="18" t="n"/>
      <c r="G2996" s="9" t="n">
        <v>267</v>
      </c>
      <c r="H2996" s="9" t="n">
        <v>946</v>
      </c>
      <c r="I2996" s="9" t="inlineStr">
        <is>
          <t>Late Inning RP (Setup)</t>
        </is>
      </c>
      <c r="J2996" s="18" t="inlineStr">
        <is>
          <t>Opening Day</t>
        </is>
      </c>
      <c r="K2996" s="11">
        <f>IFERROR(INDEX(Roles!$B$17:$B$20,MATCH(J2996,Roles!$A$17:$A$20,0)),1)</f>
        <v/>
      </c>
      <c r="L2996" s="19" t="n">
        <v>1</v>
      </c>
      <c r="M2996" s="11" t="n">
        <v>1</v>
      </c>
      <c r="N2996" s="19" t="n"/>
      <c r="O2996" s="19" t="n"/>
      <c r="P2996" s="19" t="n"/>
      <c r="Q2996" s="19" t="n"/>
      <c r="R2996" s="19" t="n"/>
      <c r="S2996" s="19" t="n"/>
      <c r="T2996" s="19" t="n"/>
      <c r="U2996" s="19" t="n">
        <v>0.85</v>
      </c>
      <c r="V2996" s="19" t="n">
        <v>0.15</v>
      </c>
      <c r="W2996" s="19" t="n"/>
      <c r="X2996" s="19" t="n"/>
      <c r="Y2996" s="19" t="n"/>
      <c r="Z2996" s="13">
        <f>SUMPRODUCT(N2996:Y2996,$N$2:$Y$2)*$K2996*$L2996*$M2996</f>
        <v/>
      </c>
      <c r="AA2996" s="14">
        <f>SUM(N2996:Y2996)</f>
        <v/>
      </c>
      <c r="AB2996" s="13">
        <f>SUMPRODUCT(N2996:Y2996,$N$3:$Y$3)*$K2996*$L2996*$M2996</f>
        <v/>
      </c>
      <c r="AC2996" s="13">
        <f>SUMPRODUCT(N2996:Y2996,$N$4:$Y$4)*$K2996*$L2996*$M2996</f>
        <v/>
      </c>
      <c r="AD2996" s="15" t="n">
        <v>58.1</v>
      </c>
      <c r="AE2996" s="11" t="n">
        <v>0.9564945729791487</v>
      </c>
      <c r="AF2996" s="16">
        <f>SUMPRODUCT(N2996:Y2996,$N$5:$Y$5)*$K2996*$L2996*$M2996</f>
        <v/>
      </c>
      <c r="AG2996" s="16">
        <f>SUMPRODUCT(N2996:Y2996,$N$6:$Y$6)*$K2996*$L2996*$M2996</f>
        <v/>
      </c>
      <c r="AH2996" s="20" t="n"/>
    </row>
    <row r="2997">
      <c r="A2997" s="9" t="n">
        <v>800320</v>
      </c>
      <c r="B2997" s="9" t="inlineStr">
        <is>
          <t>Leonel Sequera</t>
        </is>
      </c>
      <c r="C2997" s="9" t="inlineStr">
        <is>
          <t>STL</t>
        </is>
      </c>
      <c r="D2997" s="9" t="n">
        <v>25</v>
      </c>
      <c r="E2997" s="18" t="inlineStr">
        <is>
          <t>R</t>
        </is>
      </c>
      <c r="F2997" s="18" t="n"/>
      <c r="G2997" s="9" t="n">
        <v>68.51333333333334</v>
      </c>
      <c r="H2997" s="9" t="n">
        <v>68.51333333333334</v>
      </c>
      <c r="I2997" s="9" t="inlineStr">
        <is>
          <t>Depth (no MLB IP)</t>
        </is>
      </c>
      <c r="J2997" s="18" t="inlineStr">
        <is>
          <t>Opening Day</t>
        </is>
      </c>
      <c r="K2997" s="11">
        <f>IFERROR(INDEX(Roles!$B$17:$B$20,MATCH(J2997,Roles!$A$17:$A$20,0)),1)</f>
        <v/>
      </c>
      <c r="L2997" s="19" t="n">
        <v>1</v>
      </c>
      <c r="M2997" s="11" t="n">
        <v>1</v>
      </c>
      <c r="N2997" s="19" t="n"/>
      <c r="O2997" s="19" t="n"/>
      <c r="P2997" s="19" t="n"/>
      <c r="Q2997" s="19" t="n"/>
      <c r="R2997" s="19" t="n"/>
      <c r="S2997" s="19" t="n"/>
      <c r="T2997" s="19" t="n"/>
      <c r="U2997" s="19" t="n"/>
      <c r="V2997" s="19" t="n"/>
      <c r="W2997" s="19" t="n"/>
      <c r="X2997" s="19" t="n"/>
      <c r="Y2997" s="19" t="n">
        <v>1</v>
      </c>
      <c r="Z2997" s="13">
        <f>SUMPRODUCT(N2997:Y2997,$N$2:$Y$2)*$K2997*$L2997*$M2997</f>
        <v/>
      </c>
      <c r="AA2997" s="14">
        <f>SUM(N2997:Y2997)</f>
        <v/>
      </c>
      <c r="AB2997" s="13">
        <f>SUMPRODUCT(N2997:Y2997,$N$3:$Y$3)*$K2997*$L2997*$M2997</f>
        <v/>
      </c>
      <c r="AC2997" s="13">
        <f>SUMPRODUCT(N2997:Y2997,$N$4:$Y$4)*$K2997*$L2997*$M2997</f>
        <v/>
      </c>
      <c r="AD2997" s="15" t="n">
        <v>3</v>
      </c>
      <c r="AE2997" s="11" t="n">
        <v>1.011296296296296</v>
      </c>
      <c r="AF2997" s="16">
        <f>SUMPRODUCT(N2997:Y2997,$N$5:$Y$5)*$K2997*$L2997*$M2997</f>
        <v/>
      </c>
      <c r="AG2997" s="16">
        <f>SUMPRODUCT(N2997:Y2997,$N$6:$Y$6)*$K2997*$L2997*$M2997</f>
        <v/>
      </c>
      <c r="AH2997" s="20" t="n"/>
    </row>
    <row r="2998">
      <c r="A2998" s="9" t="n">
        <v>657697</v>
      </c>
      <c r="B2998" s="9" t="inlineStr">
        <is>
          <t>Vinny Nittoli</t>
        </is>
      </c>
      <c r="C2998" s="9" t="inlineStr">
        <is>
          <t>BAL</t>
        </is>
      </c>
      <c r="D2998" s="9" t="n">
        <v>36</v>
      </c>
      <c r="E2998" s="18" t="inlineStr">
        <is>
          <t>R</t>
        </is>
      </c>
      <c r="F2998" s="18" t="n"/>
      <c r="G2998" s="9" t="n">
        <v>46</v>
      </c>
      <c r="H2998" s="9" t="n">
        <v>69</v>
      </c>
      <c r="I2998" s="9" t="inlineStr">
        <is>
          <t>Depth (no MLB IP)</t>
        </is>
      </c>
      <c r="J2998" s="18" t="inlineStr">
        <is>
          <t>Opening Day</t>
        </is>
      </c>
      <c r="K2998" s="11">
        <f>IFERROR(INDEX(Roles!$B$17:$B$20,MATCH(J2998,Roles!$A$17:$A$20,0)),1)</f>
        <v/>
      </c>
      <c r="L2998" s="19" t="n">
        <v>1</v>
      </c>
      <c r="M2998" s="11" t="n">
        <v>1</v>
      </c>
      <c r="N2998" s="19" t="n"/>
      <c r="O2998" s="19" t="n"/>
      <c r="P2998" s="19" t="n"/>
      <c r="Q2998" s="19" t="n"/>
      <c r="R2998" s="19" t="n"/>
      <c r="S2998" s="19" t="n"/>
      <c r="T2998" s="19" t="n"/>
      <c r="U2998" s="19" t="n"/>
      <c r="V2998" s="19" t="n"/>
      <c r="W2998" s="19" t="n"/>
      <c r="X2998" s="19" t="n"/>
      <c r="Y2998" s="19" t="n">
        <v>1</v>
      </c>
      <c r="Z2998" s="13">
        <f>SUMPRODUCT(N2998:Y2998,$N$2:$Y$2)*$K2998*$L2998*$M2998</f>
        <v/>
      </c>
      <c r="AA2998" s="14">
        <f>SUM(N2998:Y2998)</f>
        <v/>
      </c>
      <c r="AB2998" s="13">
        <f>SUMPRODUCT(N2998:Y2998,$N$3:$Y$3)*$K2998*$L2998*$M2998</f>
        <v/>
      </c>
      <c r="AC2998" s="13">
        <f>SUMPRODUCT(N2998:Y2998,$N$4:$Y$4)*$K2998*$L2998*$M2998</f>
        <v/>
      </c>
      <c r="AD2998" s="15" t="n">
        <v>6.6</v>
      </c>
      <c r="AE2998" s="11" t="n">
        <v>1.118641975308642</v>
      </c>
      <c r="AF2998" s="16">
        <f>SUMPRODUCT(N2998:Y2998,$N$5:$Y$5)*$K2998*$L2998*$M2998</f>
        <v/>
      </c>
      <c r="AG2998" s="16">
        <f>SUMPRODUCT(N2998:Y2998,$N$6:$Y$6)*$K2998*$L2998*$M2998</f>
        <v/>
      </c>
      <c r="AH2998" s="20" t="n"/>
    </row>
    <row r="2999">
      <c r="A2999" s="9" t="n">
        <v>670897</v>
      </c>
      <c r="B2999" s="9" t="inlineStr">
        <is>
          <t>Daison Acosta</t>
        </is>
      </c>
      <c r="C2999" s="9" t="inlineStr">
        <is>
          <t>SD</t>
        </is>
      </c>
      <c r="D2999" s="9" t="n">
        <v>25</v>
      </c>
      <c r="E2999" s="18" t="inlineStr">
        <is>
          <t>R</t>
        </is>
      </c>
      <c r="F2999" s="18" t="n"/>
      <c r="G2999" s="9" t="n">
        <v>68.58499999999999</v>
      </c>
      <c r="H2999" s="9" t="n">
        <v>68.58499999999999</v>
      </c>
      <c r="I2999" s="9" t="inlineStr">
        <is>
          <t>Depth (no MLB IP)</t>
        </is>
      </c>
      <c r="J2999" s="18" t="inlineStr">
        <is>
          <t>Opening Day</t>
        </is>
      </c>
      <c r="K2999" s="11">
        <f>IFERROR(INDEX(Roles!$B$17:$B$20,MATCH(J2999,Roles!$A$17:$A$20,0)),1)</f>
        <v/>
      </c>
      <c r="L2999" s="19" t="n">
        <v>1</v>
      </c>
      <c r="M2999" s="11" t="n">
        <v>1</v>
      </c>
      <c r="N2999" s="19" t="n"/>
      <c r="O2999" s="19" t="n"/>
      <c r="P2999" s="19" t="n"/>
      <c r="Q2999" s="19" t="n"/>
      <c r="R2999" s="19" t="n"/>
      <c r="S2999" s="19" t="n"/>
      <c r="T2999" s="19" t="n"/>
      <c r="U2999" s="19" t="n"/>
      <c r="V2999" s="19" t="n"/>
      <c r="W2999" s="19" t="n"/>
      <c r="X2999" s="19" t="n"/>
      <c r="Y2999" s="19" t="n">
        <v>1</v>
      </c>
      <c r="Z2999" s="13">
        <f>SUMPRODUCT(N2999:Y2999,$N$2:$Y$2)*$K2999*$L2999*$M2999</f>
        <v/>
      </c>
      <c r="AA2999" s="14">
        <f>SUM(N2999:Y2999)</f>
        <v/>
      </c>
      <c r="AB2999" s="13">
        <f>SUMPRODUCT(N2999:Y2999,$N$3:$Y$3)*$K2999*$L2999*$M2999</f>
        <v/>
      </c>
      <c r="AC2999" s="13">
        <f>SUMPRODUCT(N2999:Y2999,$N$4:$Y$4)*$K2999*$L2999*$M2999</f>
        <v/>
      </c>
      <c r="AD2999" s="15" t="n">
        <v>3</v>
      </c>
      <c r="AE2999" s="11" t="n">
        <v>1.011296296296296</v>
      </c>
      <c r="AF2999" s="16">
        <f>SUMPRODUCT(N2999:Y2999,$N$5:$Y$5)*$K2999*$L2999*$M2999</f>
        <v/>
      </c>
      <c r="AG2999" s="16">
        <f>SUMPRODUCT(N2999:Y2999,$N$6:$Y$6)*$K2999*$L2999*$M2999</f>
        <v/>
      </c>
      <c r="AH2999" s="20" t="n"/>
    </row>
    <row r="3000">
      <c r="A3000" s="9" t="n">
        <v>701469</v>
      </c>
      <c r="B3000" s="9" t="inlineStr">
        <is>
          <t>Jack Findlay</t>
        </is>
      </c>
      <c r="C3000" s="9" t="inlineStr">
        <is>
          <t>STL</t>
        </is>
      </c>
      <c r="D3000" s="9" t="n">
        <v>25</v>
      </c>
      <c r="E3000" s="18" t="inlineStr">
        <is>
          <t>L</t>
        </is>
      </c>
      <c r="F3000" s="18" t="n"/>
      <c r="G3000" s="9" t="n">
        <v>68.72833333333332</v>
      </c>
      <c r="H3000" s="9" t="n">
        <v>68.72833333333332</v>
      </c>
      <c r="I3000" s="9" t="inlineStr">
        <is>
          <t>Depth (no MLB IP)</t>
        </is>
      </c>
      <c r="J3000" s="18" t="inlineStr">
        <is>
          <t>Opening Day</t>
        </is>
      </c>
      <c r="K3000" s="11">
        <f>IFERROR(INDEX(Roles!$B$17:$B$20,MATCH(J3000,Roles!$A$17:$A$20,0)),1)</f>
        <v/>
      </c>
      <c r="L3000" s="19" t="n">
        <v>1</v>
      </c>
      <c r="M3000" s="11" t="n">
        <v>1</v>
      </c>
      <c r="N3000" s="19" t="n"/>
      <c r="O3000" s="19" t="n"/>
      <c r="P3000" s="19" t="n"/>
      <c r="Q3000" s="19" t="n"/>
      <c r="R3000" s="19" t="n"/>
      <c r="S3000" s="19" t="n"/>
      <c r="T3000" s="19" t="n"/>
      <c r="U3000" s="19" t="n"/>
      <c r="V3000" s="19" t="n"/>
      <c r="W3000" s="19" t="n"/>
      <c r="X3000" s="19" t="n"/>
      <c r="Y3000" s="19" t="n">
        <v>1</v>
      </c>
      <c r="Z3000" s="13">
        <f>SUMPRODUCT(N3000:Y3000,$N$2:$Y$2)*$K3000*$L3000*$M3000</f>
        <v/>
      </c>
      <c r="AA3000" s="14">
        <f>SUM(N3000:Y3000)</f>
        <v/>
      </c>
      <c r="AB3000" s="13">
        <f>SUMPRODUCT(N3000:Y3000,$N$3:$Y$3)*$K3000*$L3000*$M3000</f>
        <v/>
      </c>
      <c r="AC3000" s="13">
        <f>SUMPRODUCT(N3000:Y3000,$N$4:$Y$4)*$K3000*$L3000*$M3000</f>
        <v/>
      </c>
      <c r="AD3000" s="15" t="n">
        <v>3</v>
      </c>
      <c r="AE3000" s="11" t="n">
        <v>1.011296296296296</v>
      </c>
      <c r="AF3000" s="16">
        <f>SUMPRODUCT(N3000:Y3000,$N$5:$Y$5)*$K3000*$L3000*$M3000</f>
        <v/>
      </c>
      <c r="AG3000" s="16">
        <f>SUMPRODUCT(N3000:Y3000,$N$6:$Y$6)*$K3000*$L3000*$M3000</f>
        <v/>
      </c>
      <c r="AH3000" s="20" t="n"/>
    </row>
    <row r="3001">
      <c r="A3001" s="9" t="n">
        <v>656412</v>
      </c>
      <c r="B3001" s="9" t="inlineStr">
        <is>
          <t>Alex Faedo</t>
        </is>
      </c>
      <c r="C3001" s="9" t="inlineStr">
        <is>
          <t>DET</t>
        </is>
      </c>
      <c r="D3001" s="9" t="n">
        <v>31</v>
      </c>
      <c r="E3001" s="18" t="inlineStr">
        <is>
          <t>R</t>
        </is>
      </c>
      <c r="F3001" s="18" t="n"/>
      <c r="G3001" s="9" t="n">
        <v>246</v>
      </c>
      <c r="H3001" s="9" t="n">
        <v>752</v>
      </c>
      <c r="I3001" s="9" t="inlineStr">
        <is>
          <t>Depth (no MLB IP)</t>
        </is>
      </c>
      <c r="J3001" s="18" t="inlineStr">
        <is>
          <t>Opening Day</t>
        </is>
      </c>
      <c r="K3001" s="11">
        <f>IFERROR(INDEX(Roles!$B$17:$B$20,MATCH(J3001,Roles!$A$17:$A$20,0)),1)</f>
        <v/>
      </c>
      <c r="L3001" s="19" t="n">
        <v>1</v>
      </c>
      <c r="M3001" s="11" t="n">
        <v>1</v>
      </c>
      <c r="N3001" s="19" t="n"/>
      <c r="O3001" s="19" t="n"/>
      <c r="P3001" s="19" t="n"/>
      <c r="Q3001" s="19" t="n"/>
      <c r="R3001" s="19" t="n"/>
      <c r="S3001" s="19" t="n"/>
      <c r="T3001" s="19" t="n"/>
      <c r="U3001" s="19" t="n"/>
      <c r="V3001" s="19" t="n"/>
      <c r="W3001" s="19" t="n"/>
      <c r="X3001" s="19" t="n"/>
      <c r="Y3001" s="19" t="n">
        <v>1</v>
      </c>
      <c r="Z3001" s="13">
        <f>SUMPRODUCT(N3001:Y3001,$N$2:$Y$2)*$K3001*$L3001*$M3001</f>
        <v/>
      </c>
      <c r="AA3001" s="14">
        <f>SUM(N3001:Y3001)</f>
        <v/>
      </c>
      <c r="AB3001" s="13">
        <f>SUMPRODUCT(N3001:Y3001,$N$3:$Y$3)*$K3001*$L3001*$M3001</f>
        <v/>
      </c>
      <c r="AC3001" s="13">
        <f>SUMPRODUCT(N3001:Y3001,$N$4:$Y$4)*$K3001*$L3001*$M3001</f>
        <v/>
      </c>
      <c r="AD3001" s="15" t="n">
        <v>23.4</v>
      </c>
      <c r="AE3001" s="11" t="n">
        <v>1.190714047380714</v>
      </c>
      <c r="AF3001" s="16">
        <f>SUMPRODUCT(N3001:Y3001,$N$5:$Y$5)*$K3001*$L3001*$M3001</f>
        <v/>
      </c>
      <c r="AG3001" s="16">
        <f>SUMPRODUCT(N3001:Y3001,$N$6:$Y$6)*$K3001*$L3001*$M3001</f>
        <v/>
      </c>
      <c r="AH3001" s="20" t="n"/>
    </row>
    <row r="3002">
      <c r="A3002" s="9" t="n">
        <v>670042</v>
      </c>
      <c r="B3002" s="9" t="inlineStr">
        <is>
          <t>Luke Raley</t>
        </is>
      </c>
      <c r="C3002" s="9" t="inlineStr">
        <is>
          <t>TB</t>
        </is>
      </c>
      <c r="D3002" s="9" t="n">
        <v>32</v>
      </c>
      <c r="E3002" s="18" t="inlineStr">
        <is>
          <t>R</t>
        </is>
      </c>
      <c r="F3002" s="18" t="n"/>
      <c r="G3002" s="9" t="n">
        <v>19</v>
      </c>
      <c r="H3002" s="9" t="n">
        <v>19</v>
      </c>
      <c r="I3002" s="9" t="inlineStr">
        <is>
          <t>Depth (no MLB IP)</t>
        </is>
      </c>
      <c r="J3002" s="18" t="inlineStr">
        <is>
          <t>Opening Day</t>
        </is>
      </c>
      <c r="K3002" s="11">
        <f>IFERROR(INDEX(Roles!$B$17:$B$20,MATCH(J3002,Roles!$A$17:$A$20,0)),1)</f>
        <v/>
      </c>
      <c r="L3002" s="19" t="n">
        <v>1</v>
      </c>
      <c r="M3002" s="11" t="n">
        <v>1</v>
      </c>
      <c r="N3002" s="19" t="n"/>
      <c r="O3002" s="19" t="n"/>
      <c r="P3002" s="19" t="n"/>
      <c r="Q3002" s="19" t="n"/>
      <c r="R3002" s="19" t="n"/>
      <c r="S3002" s="19" t="n"/>
      <c r="T3002" s="19" t="n"/>
      <c r="U3002" s="19" t="n"/>
      <c r="V3002" s="19" t="n"/>
      <c r="W3002" s="19" t="n"/>
      <c r="X3002" s="19" t="n"/>
      <c r="Y3002" s="19" t="n">
        <v>1</v>
      </c>
      <c r="Z3002" s="13">
        <f>SUMPRODUCT(N3002:Y3002,$N$2:$Y$2)*$K3002*$L3002*$M3002</f>
        <v/>
      </c>
      <c r="AA3002" s="14">
        <f>SUM(N3002:Y3002)</f>
        <v/>
      </c>
      <c r="AB3002" s="13">
        <f>SUMPRODUCT(N3002:Y3002,$N$3:$Y$3)*$K3002*$L3002*$M3002</f>
        <v/>
      </c>
      <c r="AC3002" s="13">
        <f>SUMPRODUCT(N3002:Y3002,$N$4:$Y$4)*$K3002*$L3002*$M3002</f>
        <v/>
      </c>
      <c r="AD3002" s="15" t="n">
        <v>3</v>
      </c>
      <c r="AE3002" s="11" t="n">
        <v>1.011296296296296</v>
      </c>
      <c r="AF3002" s="16">
        <f>SUMPRODUCT(N3002:Y3002,$N$5:$Y$5)*$K3002*$L3002*$M3002</f>
        <v/>
      </c>
      <c r="AG3002" s="16">
        <f>SUMPRODUCT(N3002:Y3002,$N$6:$Y$6)*$K3002*$L3002*$M3002</f>
        <v/>
      </c>
      <c r="AH3002" s="20" t="n"/>
    </row>
    <row r="3003">
      <c r="A3003" s="9" t="n">
        <v>687074</v>
      </c>
      <c r="B3003" s="9" t="inlineStr">
        <is>
          <t>Tyler Owens</t>
        </is>
      </c>
      <c r="C3003" s="9" t="inlineStr">
        <is>
          <t>DET</t>
        </is>
      </c>
      <c r="D3003" s="9" t="n">
        <v>26</v>
      </c>
      <c r="E3003" s="18" t="inlineStr">
        <is>
          <t>R</t>
        </is>
      </c>
      <c r="F3003" s="18" t="n"/>
      <c r="G3003" s="9" t="n">
        <v>15</v>
      </c>
      <c r="H3003" s="9" t="n">
        <v>15</v>
      </c>
      <c r="I3003" s="9" t="inlineStr">
        <is>
          <t>Depth (no MLB IP)</t>
        </is>
      </c>
      <c r="J3003" s="18" t="inlineStr">
        <is>
          <t>Opening Day</t>
        </is>
      </c>
      <c r="K3003" s="11">
        <f>IFERROR(INDEX(Roles!$B$17:$B$20,MATCH(J3003,Roles!$A$17:$A$20,0)),1)</f>
        <v/>
      </c>
      <c r="L3003" s="19" t="n">
        <v>1</v>
      </c>
      <c r="M3003" s="11" t="n">
        <v>1</v>
      </c>
      <c r="N3003" s="19" t="n"/>
      <c r="O3003" s="19" t="n"/>
      <c r="P3003" s="19" t="n"/>
      <c r="Q3003" s="19" t="n"/>
      <c r="R3003" s="19" t="n"/>
      <c r="S3003" s="19" t="n"/>
      <c r="T3003" s="19" t="n"/>
      <c r="U3003" s="19" t="n"/>
      <c r="V3003" s="19" t="n"/>
      <c r="W3003" s="19" t="n"/>
      <c r="X3003" s="19" t="n"/>
      <c r="Y3003" s="19" t="n">
        <v>1</v>
      </c>
      <c r="Z3003" s="13">
        <f>SUMPRODUCT(N3003:Y3003,$N$2:$Y$2)*$K3003*$L3003*$M3003</f>
        <v/>
      </c>
      <c r="AA3003" s="14">
        <f>SUM(N3003:Y3003)</f>
        <v/>
      </c>
      <c r="AB3003" s="13">
        <f>SUMPRODUCT(N3003:Y3003,$N$3:$Y$3)*$K3003*$L3003*$M3003</f>
        <v/>
      </c>
      <c r="AC3003" s="13">
        <f>SUMPRODUCT(N3003:Y3003,$N$4:$Y$4)*$K3003*$L3003*$M3003</f>
        <v/>
      </c>
      <c r="AD3003" s="15" t="n">
        <v>3</v>
      </c>
      <c r="AE3003" s="11" t="n">
        <v>1.007530864197531</v>
      </c>
      <c r="AF3003" s="16">
        <f>SUMPRODUCT(N3003:Y3003,$N$5:$Y$5)*$K3003*$L3003*$M3003</f>
        <v/>
      </c>
      <c r="AG3003" s="16">
        <f>SUMPRODUCT(N3003:Y3003,$N$6:$Y$6)*$K3003*$L3003*$M3003</f>
        <v/>
      </c>
      <c r="AH3003" s="20" t="n"/>
    </row>
    <row r="3004">
      <c r="A3004" s="9" t="n">
        <v>681962</v>
      </c>
      <c r="B3004" s="9" t="inlineStr">
        <is>
          <t>Vinny Capra</t>
        </is>
      </c>
      <c r="C3004" s="9" t="inlineStr">
        <is>
          <t>CWS</t>
        </is>
      </c>
      <c r="D3004" s="9" t="n">
        <v>30</v>
      </c>
      <c r="E3004" s="18" t="inlineStr">
        <is>
          <t>R</t>
        </is>
      </c>
      <c r="F3004" s="18" t="n"/>
      <c r="G3004" s="9" t="n">
        <v>15</v>
      </c>
      <c r="H3004" s="9" t="n">
        <v>15</v>
      </c>
      <c r="I3004" s="9" t="inlineStr">
        <is>
          <t>Depth (no MLB IP)</t>
        </is>
      </c>
      <c r="J3004" s="18" t="inlineStr">
        <is>
          <t>Opening Day</t>
        </is>
      </c>
      <c r="K3004" s="11">
        <f>IFERROR(INDEX(Roles!$B$17:$B$20,MATCH(J3004,Roles!$A$17:$A$20,0)),1)</f>
        <v/>
      </c>
      <c r="L3004" s="19" t="n">
        <v>1</v>
      </c>
      <c r="M3004" s="11" t="n">
        <v>1</v>
      </c>
      <c r="N3004" s="19" t="n"/>
      <c r="O3004" s="19" t="n"/>
      <c r="P3004" s="19" t="n"/>
      <c r="Q3004" s="19" t="n"/>
      <c r="R3004" s="19" t="n"/>
      <c r="S3004" s="19" t="n"/>
      <c r="T3004" s="19" t="n"/>
      <c r="U3004" s="19" t="n"/>
      <c r="V3004" s="19" t="n"/>
      <c r="W3004" s="19" t="n"/>
      <c r="X3004" s="19" t="n"/>
      <c r="Y3004" s="19" t="n">
        <v>1</v>
      </c>
      <c r="Z3004" s="13">
        <f>SUMPRODUCT(N3004:Y3004,$N$2:$Y$2)*$K3004*$L3004*$M3004</f>
        <v/>
      </c>
      <c r="AA3004" s="14">
        <f>SUM(N3004:Y3004)</f>
        <v/>
      </c>
      <c r="AB3004" s="13">
        <f>SUMPRODUCT(N3004:Y3004,$N$3:$Y$3)*$K3004*$L3004*$M3004</f>
        <v/>
      </c>
      <c r="AC3004" s="13">
        <f>SUMPRODUCT(N3004:Y3004,$N$4:$Y$4)*$K3004*$L3004*$M3004</f>
        <v/>
      </c>
      <c r="AD3004" s="15" t="n">
        <v>3</v>
      </c>
      <c r="AE3004" s="11" t="n">
        <v>1.007530864197531</v>
      </c>
      <c r="AF3004" s="16">
        <f>SUMPRODUCT(N3004:Y3004,$N$5:$Y$5)*$K3004*$L3004*$M3004</f>
        <v/>
      </c>
      <c r="AG3004" s="16">
        <f>SUMPRODUCT(N3004:Y3004,$N$6:$Y$6)*$K3004*$L3004*$M3004</f>
        <v/>
      </c>
      <c r="AH3004" s="20" t="n"/>
    </row>
    <row r="3005">
      <c r="A3005" s="9" t="n">
        <v>668338</v>
      </c>
      <c r="B3005" s="9" t="inlineStr">
        <is>
          <t>Tyson Miller</t>
        </is>
      </c>
      <c r="C3005" s="9" t="inlineStr">
        <is>
          <t>CHC</t>
        </is>
      </c>
      <c r="D3005" s="9" t="n">
        <v>31</v>
      </c>
      <c r="E3005" s="18" t="inlineStr">
        <is>
          <t>R</t>
        </is>
      </c>
      <c r="F3005" s="18" t="n"/>
      <c r="G3005" s="9" t="n">
        <v>235</v>
      </c>
      <c r="H3005" s="9" t="n">
        <v>355</v>
      </c>
      <c r="I3005" s="9" t="inlineStr">
        <is>
          <t>Depth (no MLB IP)</t>
        </is>
      </c>
      <c r="J3005" s="18" t="inlineStr">
        <is>
          <t>Opening Day</t>
        </is>
      </c>
      <c r="K3005" s="11">
        <f>IFERROR(INDEX(Roles!$B$17:$B$20,MATCH(J3005,Roles!$A$17:$A$20,0)),1)</f>
        <v/>
      </c>
      <c r="L3005" s="19" t="n">
        <v>1</v>
      </c>
      <c r="M3005" s="11" t="n">
        <v>1</v>
      </c>
      <c r="N3005" s="19" t="n"/>
      <c r="O3005" s="19" t="n"/>
      <c r="P3005" s="19" t="n"/>
      <c r="Q3005" s="19" t="n"/>
      <c r="R3005" s="19" t="n"/>
      <c r="S3005" s="19" t="n"/>
      <c r="T3005" s="19" t="n"/>
      <c r="U3005" s="19" t="n"/>
      <c r="V3005" s="19" t="n"/>
      <c r="W3005" s="19" t="n"/>
      <c r="X3005" s="19" t="n"/>
      <c r="Y3005" s="19" t="n">
        <v>1</v>
      </c>
      <c r="Z3005" s="13">
        <f>SUMPRODUCT(N3005:Y3005,$N$2:$Y$2)*$K3005*$L3005*$M3005</f>
        <v/>
      </c>
      <c r="AA3005" s="14">
        <f>SUM(N3005:Y3005)</f>
        <v/>
      </c>
      <c r="AB3005" s="13">
        <f>SUMPRODUCT(N3005:Y3005,$N$3:$Y$3)*$K3005*$L3005*$M3005</f>
        <v/>
      </c>
      <c r="AC3005" s="13">
        <f>SUMPRODUCT(N3005:Y3005,$N$4:$Y$4)*$K3005*$L3005*$M3005</f>
        <v/>
      </c>
      <c r="AD3005" s="15" t="n">
        <v>36</v>
      </c>
      <c r="AE3005" s="11" t="n">
        <v>1.030519369944657</v>
      </c>
      <c r="AF3005" s="16">
        <f>SUMPRODUCT(N3005:Y3005,$N$5:$Y$5)*$K3005*$L3005*$M3005</f>
        <v/>
      </c>
      <c r="AG3005" s="16">
        <f>SUMPRODUCT(N3005:Y3005,$N$6:$Y$6)*$K3005*$L3005*$M3005</f>
        <v/>
      </c>
      <c r="AH3005" s="20" t="n"/>
    </row>
    <row r="3006">
      <c r="A3006" s="9" t="n">
        <v>571616</v>
      </c>
      <c r="B3006" s="9" t="inlineStr">
        <is>
          <t>Matt Dermody</t>
        </is>
      </c>
      <c r="C3006" s="9" t="inlineStr">
        <is>
          <t>BOS</t>
        </is>
      </c>
      <c r="D3006" s="9" t="n">
        <v>36</v>
      </c>
      <c r="E3006" s="18" t="inlineStr">
        <is>
          <t>L</t>
        </is>
      </c>
      <c r="F3006" s="18" t="n"/>
      <c r="G3006" s="9" t="n">
        <v>17</v>
      </c>
      <c r="H3006" s="9" t="n">
        <v>24</v>
      </c>
      <c r="I3006" s="9" t="inlineStr">
        <is>
          <t>Depth (no MLB IP)</t>
        </is>
      </c>
      <c r="J3006" s="18" t="inlineStr">
        <is>
          <t>Opening Day</t>
        </is>
      </c>
      <c r="K3006" s="11">
        <f>IFERROR(INDEX(Roles!$B$17:$B$20,MATCH(J3006,Roles!$A$17:$A$20,0)),1)</f>
        <v/>
      </c>
      <c r="L3006" s="19" t="n">
        <v>1</v>
      </c>
      <c r="M3006" s="11" t="n">
        <v>1</v>
      </c>
      <c r="N3006" s="19" t="n"/>
      <c r="O3006" s="19" t="n"/>
      <c r="P3006" s="19" t="n"/>
      <c r="Q3006" s="19" t="n"/>
      <c r="R3006" s="19" t="n"/>
      <c r="S3006" s="19" t="n"/>
      <c r="T3006" s="19" t="n"/>
      <c r="U3006" s="19" t="n"/>
      <c r="V3006" s="19" t="n"/>
      <c r="W3006" s="19" t="n"/>
      <c r="X3006" s="19" t="n"/>
      <c r="Y3006" s="19" t="n">
        <v>1</v>
      </c>
      <c r="Z3006" s="13">
        <f>SUMPRODUCT(N3006:Y3006,$N$2:$Y$2)*$K3006*$L3006*$M3006</f>
        <v/>
      </c>
      <c r="AA3006" s="14">
        <f>SUM(N3006:Y3006)</f>
        <v/>
      </c>
      <c r="AB3006" s="13">
        <f>SUMPRODUCT(N3006:Y3006,$N$3:$Y$3)*$K3006*$L3006*$M3006</f>
        <v/>
      </c>
      <c r="AC3006" s="13">
        <f>SUMPRODUCT(N3006:Y3006,$N$4:$Y$4)*$K3006*$L3006*$M3006</f>
        <v/>
      </c>
      <c r="AD3006" s="15" t="n">
        <v>3</v>
      </c>
      <c r="AE3006" s="11" t="n">
        <v>1.011296296296296</v>
      </c>
      <c r="AF3006" s="16">
        <f>SUMPRODUCT(N3006:Y3006,$N$5:$Y$5)*$K3006*$L3006*$M3006</f>
        <v/>
      </c>
      <c r="AG3006" s="16">
        <f>SUMPRODUCT(N3006:Y3006,$N$6:$Y$6)*$K3006*$L3006*$M3006</f>
        <v/>
      </c>
      <c r="AH3006" s="20" t="n"/>
    </row>
    <row r="3007">
      <c r="A3007" s="9" t="n">
        <v>680253</v>
      </c>
      <c r="B3007" s="9" t="inlineStr">
        <is>
          <t>Kyle Bischoff</t>
        </is>
      </c>
      <c r="C3007" s="9" t="inlineStr">
        <is>
          <t>MIN</t>
        </is>
      </c>
      <c r="D3007" s="9" t="n">
        <v>25</v>
      </c>
      <c r="E3007" s="18" t="inlineStr">
        <is>
          <t>R</t>
        </is>
      </c>
      <c r="F3007" s="18" t="n"/>
      <c r="G3007" s="9" t="n">
        <v>69.22999999999999</v>
      </c>
      <c r="H3007" s="9" t="n">
        <v>69.22999999999999</v>
      </c>
      <c r="I3007" s="9" t="inlineStr">
        <is>
          <t>Depth (no MLB IP)</t>
        </is>
      </c>
      <c r="J3007" s="18" t="inlineStr">
        <is>
          <t>Opening Day</t>
        </is>
      </c>
      <c r="K3007" s="11">
        <f>IFERROR(INDEX(Roles!$B$17:$B$20,MATCH(J3007,Roles!$A$17:$A$20,0)),1)</f>
        <v/>
      </c>
      <c r="L3007" s="19" t="n">
        <v>1</v>
      </c>
      <c r="M3007" s="11" t="n">
        <v>1</v>
      </c>
      <c r="N3007" s="19" t="n"/>
      <c r="O3007" s="19" t="n"/>
      <c r="P3007" s="19" t="n"/>
      <c r="Q3007" s="19" t="n"/>
      <c r="R3007" s="19" t="n"/>
      <c r="S3007" s="19" t="n"/>
      <c r="T3007" s="19" t="n"/>
      <c r="U3007" s="19" t="n"/>
      <c r="V3007" s="19" t="n"/>
      <c r="W3007" s="19" t="n"/>
      <c r="X3007" s="19" t="n"/>
      <c r="Y3007" s="19" t="n">
        <v>1</v>
      </c>
      <c r="Z3007" s="13">
        <f>SUMPRODUCT(N3007:Y3007,$N$2:$Y$2)*$K3007*$L3007*$M3007</f>
        <v/>
      </c>
      <c r="AA3007" s="14">
        <f>SUM(N3007:Y3007)</f>
        <v/>
      </c>
      <c r="AB3007" s="13">
        <f>SUMPRODUCT(N3007:Y3007,$N$3:$Y$3)*$K3007*$L3007*$M3007</f>
        <v/>
      </c>
      <c r="AC3007" s="13">
        <f>SUMPRODUCT(N3007:Y3007,$N$4:$Y$4)*$K3007*$L3007*$M3007</f>
        <v/>
      </c>
      <c r="AD3007" s="15" t="n">
        <v>3</v>
      </c>
      <c r="AE3007" s="11" t="n">
        <v>1.011296296296296</v>
      </c>
      <c r="AF3007" s="16">
        <f>SUMPRODUCT(N3007:Y3007,$N$5:$Y$5)*$K3007*$L3007*$M3007</f>
        <v/>
      </c>
      <c r="AG3007" s="16">
        <f>SUMPRODUCT(N3007:Y3007,$N$6:$Y$6)*$K3007*$L3007*$M3007</f>
        <v/>
      </c>
      <c r="AH3007" s="20" t="n"/>
    </row>
    <row r="3008">
      <c r="A3008" s="9" t="n">
        <v>801842</v>
      </c>
      <c r="B3008" s="9" t="inlineStr">
        <is>
          <t>Fidel Ulloa</t>
        </is>
      </c>
      <c r="C3008" s="9" t="inlineStr">
        <is>
          <t>COL</t>
        </is>
      </c>
      <c r="D3008" s="9" t="n">
        <v>25</v>
      </c>
      <c r="E3008" s="18" t="inlineStr">
        <is>
          <t>R</t>
        </is>
      </c>
      <c r="F3008" s="18" t="n"/>
      <c r="G3008" s="9" t="n">
        <v>69.22999999999999</v>
      </c>
      <c r="H3008" s="9" t="n">
        <v>69.22999999999999</v>
      </c>
      <c r="I3008" s="9" t="inlineStr">
        <is>
          <t>Depth (no MLB IP)</t>
        </is>
      </c>
      <c r="J3008" s="18" t="inlineStr">
        <is>
          <t>Opening Day</t>
        </is>
      </c>
      <c r="K3008" s="11">
        <f>IFERROR(INDEX(Roles!$B$17:$B$20,MATCH(J3008,Roles!$A$17:$A$20,0)),1)</f>
        <v/>
      </c>
      <c r="L3008" s="19" t="n">
        <v>1</v>
      </c>
      <c r="M3008" s="11" t="n">
        <v>1</v>
      </c>
      <c r="N3008" s="19" t="n"/>
      <c r="O3008" s="19" t="n"/>
      <c r="P3008" s="19" t="n"/>
      <c r="Q3008" s="19" t="n"/>
      <c r="R3008" s="19" t="n"/>
      <c r="S3008" s="19" t="n"/>
      <c r="T3008" s="19" t="n"/>
      <c r="U3008" s="19" t="n"/>
      <c r="V3008" s="19" t="n"/>
      <c r="W3008" s="19" t="n"/>
      <c r="X3008" s="19" t="n"/>
      <c r="Y3008" s="19" t="n">
        <v>1</v>
      </c>
      <c r="Z3008" s="13">
        <f>SUMPRODUCT(N3008:Y3008,$N$2:$Y$2)*$K3008*$L3008*$M3008</f>
        <v/>
      </c>
      <c r="AA3008" s="14">
        <f>SUM(N3008:Y3008)</f>
        <v/>
      </c>
      <c r="AB3008" s="13">
        <f>SUMPRODUCT(N3008:Y3008,$N$3:$Y$3)*$K3008*$L3008*$M3008</f>
        <v/>
      </c>
      <c r="AC3008" s="13">
        <f>SUMPRODUCT(N3008:Y3008,$N$4:$Y$4)*$K3008*$L3008*$M3008</f>
        <v/>
      </c>
      <c r="AD3008" s="15" t="n">
        <v>3</v>
      </c>
      <c r="AE3008" s="11" t="n">
        <v>1.011296296296296</v>
      </c>
      <c r="AF3008" s="16">
        <f>SUMPRODUCT(N3008:Y3008,$N$5:$Y$5)*$K3008*$L3008*$M3008</f>
        <v/>
      </c>
      <c r="AG3008" s="16">
        <f>SUMPRODUCT(N3008:Y3008,$N$6:$Y$6)*$K3008*$L3008*$M3008</f>
        <v/>
      </c>
      <c r="AH3008" s="20" t="n"/>
    </row>
    <row r="3009">
      <c r="A3009" s="9" t="n">
        <v>695378</v>
      </c>
      <c r="B3009" s="9" t="inlineStr">
        <is>
          <t>Jack Sinclair</t>
        </is>
      </c>
      <c r="C3009" s="9" t="inlineStr">
        <is>
          <t>WSH</t>
        </is>
      </c>
      <c r="D3009" s="9" t="n">
        <v>28</v>
      </c>
      <c r="E3009" s="18" t="inlineStr">
        <is>
          <t>R</t>
        </is>
      </c>
      <c r="F3009" s="18" t="n"/>
      <c r="G3009" s="9" t="n">
        <v>46</v>
      </c>
      <c r="H3009" s="9" t="n">
        <v>46</v>
      </c>
      <c r="I3009" s="9" t="inlineStr">
        <is>
          <t>Closer</t>
        </is>
      </c>
      <c r="J3009" s="18" t="inlineStr">
        <is>
          <t>Opening Day</t>
        </is>
      </c>
      <c r="K3009" s="11">
        <f>IFERROR(INDEX(Roles!$B$17:$B$20,MATCH(J3009,Roles!$A$17:$A$20,0)),1)</f>
        <v/>
      </c>
      <c r="L3009" s="19" t="n">
        <v>1</v>
      </c>
      <c r="M3009" s="11" t="n">
        <v>1</v>
      </c>
      <c r="N3009" s="19" t="n"/>
      <c r="O3009" s="19" t="n"/>
      <c r="P3009" s="19" t="n"/>
      <c r="Q3009" s="19" t="n"/>
      <c r="R3009" s="19" t="n"/>
      <c r="S3009" s="19" t="n"/>
      <c r="T3009" s="19" t="n">
        <v>0.5</v>
      </c>
      <c r="U3009" s="19" t="n">
        <v>0.5</v>
      </c>
      <c r="V3009" s="19" t="n"/>
      <c r="W3009" s="19" t="n"/>
      <c r="X3009" s="19" t="n"/>
      <c r="Y3009" s="19" t="n"/>
      <c r="Z3009" s="13">
        <f>SUMPRODUCT(N3009:Y3009,$N$2:$Y$2)*$K3009*$L3009*$M3009</f>
        <v/>
      </c>
      <c r="AA3009" s="14">
        <f>SUM(N3009:Y3009)</f>
        <v/>
      </c>
      <c r="AB3009" s="13">
        <f>SUMPRODUCT(N3009:Y3009,$N$3:$Y$3)*$K3009*$L3009*$M3009</f>
        <v/>
      </c>
      <c r="AC3009" s="13">
        <f>SUMPRODUCT(N3009:Y3009,$N$4:$Y$4)*$K3009*$L3009*$M3009</f>
        <v/>
      </c>
      <c r="AD3009" s="15" t="n">
        <v>26.76</v>
      </c>
      <c r="AE3009" s="11" t="n">
        <v>1.002496878901373</v>
      </c>
      <c r="AF3009" s="16">
        <f>SUMPRODUCT(N3009:Y3009,$N$5:$Y$5)*$K3009*$L3009*$M3009</f>
        <v/>
      </c>
      <c r="AG3009" s="16">
        <f>SUMPRODUCT(N3009:Y3009,$N$6:$Y$6)*$K3009*$L3009*$M3009</f>
        <v/>
      </c>
      <c r="AH3009" s="20" t="n"/>
    </row>
    <row r="3010">
      <c r="A3010" s="9" t="n">
        <v>656814</v>
      </c>
      <c r="B3010" s="9" t="inlineStr">
        <is>
          <t>Luis Ortiz</t>
        </is>
      </c>
      <c r="C3010" s="9" t="inlineStr">
        <is>
          <t>PHI</t>
        </is>
      </c>
      <c r="D3010" s="9" t="n">
        <v>31</v>
      </c>
      <c r="E3010" s="18" t="inlineStr">
        <is>
          <t>R</t>
        </is>
      </c>
      <c r="F3010" s="18" t="n"/>
      <c r="G3010" s="9" t="n">
        <v>4</v>
      </c>
      <c r="H3010" s="9" t="n">
        <v>117</v>
      </c>
      <c r="I3010" s="9" t="inlineStr">
        <is>
          <t>Depth (no MLB IP)</t>
        </is>
      </c>
      <c r="J3010" s="18" t="inlineStr">
        <is>
          <t>Opening Day</t>
        </is>
      </c>
      <c r="K3010" s="11">
        <f>IFERROR(INDEX(Roles!$B$17:$B$20,MATCH(J3010,Roles!$A$17:$A$20,0)),1)</f>
        <v/>
      </c>
      <c r="L3010" s="19" t="n">
        <v>1</v>
      </c>
      <c r="M3010" s="11" t="n">
        <v>1</v>
      </c>
      <c r="N3010" s="19" t="n"/>
      <c r="O3010" s="19" t="n"/>
      <c r="P3010" s="19" t="n"/>
      <c r="Q3010" s="19" t="n"/>
      <c r="R3010" s="19" t="n"/>
      <c r="S3010" s="19" t="n"/>
      <c r="T3010" s="19" t="n"/>
      <c r="U3010" s="19" t="n"/>
      <c r="V3010" s="19" t="n"/>
      <c r="W3010" s="19" t="n"/>
      <c r="X3010" s="19" t="n"/>
      <c r="Y3010" s="19" t="n">
        <v>1</v>
      </c>
      <c r="Z3010" s="13">
        <f>SUMPRODUCT(N3010:Y3010,$N$2:$Y$2)*$K3010*$L3010*$M3010</f>
        <v/>
      </c>
      <c r="AA3010" s="14">
        <f>SUM(N3010:Y3010)</f>
        <v/>
      </c>
      <c r="AB3010" s="13">
        <f>SUMPRODUCT(N3010:Y3010,$N$3:$Y$3)*$K3010*$L3010*$M3010</f>
        <v/>
      </c>
      <c r="AC3010" s="13">
        <f>SUMPRODUCT(N3010:Y3010,$N$4:$Y$4)*$K3010*$L3010*$M3010</f>
        <v/>
      </c>
      <c r="AD3010" s="15" t="n">
        <v>1.8</v>
      </c>
      <c r="AE3010" s="11" t="n">
        <v>0.8964197530864197</v>
      </c>
      <c r="AF3010" s="16">
        <f>SUMPRODUCT(N3010:Y3010,$N$5:$Y$5)*$K3010*$L3010*$M3010</f>
        <v/>
      </c>
      <c r="AG3010" s="16">
        <f>SUMPRODUCT(N3010:Y3010,$N$6:$Y$6)*$K3010*$L3010*$M3010</f>
        <v/>
      </c>
      <c r="AH3010" s="20" t="n"/>
    </row>
    <row r="3011">
      <c r="A3011" s="9" t="n">
        <v>676801</v>
      </c>
      <c r="B3011" s="9" t="inlineStr">
        <is>
          <t>Chas McCormick</t>
        </is>
      </c>
      <c r="C3011" s="9" t="inlineStr">
        <is>
          <t>HOU</t>
        </is>
      </c>
      <c r="D3011" s="9" t="n">
        <v>32</v>
      </c>
      <c r="E3011" s="18" t="inlineStr">
        <is>
          <t>L</t>
        </is>
      </c>
      <c r="F3011" s="18" t="n"/>
      <c r="G3011" s="9" t="n">
        <v>15</v>
      </c>
      <c r="H3011" s="9" t="n">
        <v>15</v>
      </c>
      <c r="I3011" s="9" t="inlineStr">
        <is>
          <t>Depth (no MLB IP)</t>
        </is>
      </c>
      <c r="J3011" s="18" t="inlineStr">
        <is>
          <t>Opening Day</t>
        </is>
      </c>
      <c r="K3011" s="11">
        <f>IFERROR(INDEX(Roles!$B$17:$B$20,MATCH(J3011,Roles!$A$17:$A$20,0)),1)</f>
        <v/>
      </c>
      <c r="L3011" s="19" t="n">
        <v>1</v>
      </c>
      <c r="M3011" s="11" t="n">
        <v>1</v>
      </c>
      <c r="N3011" s="19" t="n"/>
      <c r="O3011" s="19" t="n"/>
      <c r="P3011" s="19" t="n"/>
      <c r="Q3011" s="19" t="n"/>
      <c r="R3011" s="19" t="n"/>
      <c r="S3011" s="19" t="n"/>
      <c r="T3011" s="19" t="n"/>
      <c r="U3011" s="19" t="n"/>
      <c r="V3011" s="19" t="n"/>
      <c r="W3011" s="19" t="n"/>
      <c r="X3011" s="19" t="n"/>
      <c r="Y3011" s="19" t="n">
        <v>1</v>
      </c>
      <c r="Z3011" s="13">
        <f>SUMPRODUCT(N3011:Y3011,$N$2:$Y$2)*$K3011*$L3011*$M3011</f>
        <v/>
      </c>
      <c r="AA3011" s="14">
        <f>SUM(N3011:Y3011)</f>
        <v/>
      </c>
      <c r="AB3011" s="13">
        <f>SUMPRODUCT(N3011:Y3011,$N$3:$Y$3)*$K3011*$L3011*$M3011</f>
        <v/>
      </c>
      <c r="AC3011" s="13">
        <f>SUMPRODUCT(N3011:Y3011,$N$4:$Y$4)*$K3011*$L3011*$M3011</f>
        <v/>
      </c>
      <c r="AD3011" s="15" t="n">
        <v>3</v>
      </c>
      <c r="AE3011" s="11" t="n">
        <v>1.007530864197531</v>
      </c>
      <c r="AF3011" s="16">
        <f>SUMPRODUCT(N3011:Y3011,$N$5:$Y$5)*$K3011*$L3011*$M3011</f>
        <v/>
      </c>
      <c r="AG3011" s="16">
        <f>SUMPRODUCT(N3011:Y3011,$N$6:$Y$6)*$K3011*$L3011*$M3011</f>
        <v/>
      </c>
      <c r="AH3011" s="20" t="n"/>
    </row>
    <row r="3012">
      <c r="A3012" s="9" t="n">
        <v>681077</v>
      </c>
      <c r="B3012" s="9" t="inlineStr">
        <is>
          <t>Michael Knorr</t>
        </is>
      </c>
      <c r="C3012" s="9" t="inlineStr">
        <is>
          <t>HOU</t>
        </is>
      </c>
      <c r="D3012" s="9" t="n">
        <v>25</v>
      </c>
      <c r="E3012" s="18" t="inlineStr">
        <is>
          <t>R</t>
        </is>
      </c>
      <c r="F3012" s="18" t="n"/>
      <c r="G3012" s="9" t="n">
        <v>69.37333333333333</v>
      </c>
      <c r="H3012" s="9" t="n">
        <v>69.37333333333333</v>
      </c>
      <c r="I3012" s="9" t="inlineStr">
        <is>
          <t>Depth (no MLB IP)</t>
        </is>
      </c>
      <c r="J3012" s="18" t="inlineStr">
        <is>
          <t>Opening Day</t>
        </is>
      </c>
      <c r="K3012" s="11">
        <f>IFERROR(INDEX(Roles!$B$17:$B$20,MATCH(J3012,Roles!$A$17:$A$20,0)),1)</f>
        <v/>
      </c>
      <c r="L3012" s="19" t="n">
        <v>1</v>
      </c>
      <c r="M3012" s="11" t="n">
        <v>1</v>
      </c>
      <c r="N3012" s="19" t="n"/>
      <c r="O3012" s="19" t="n"/>
      <c r="P3012" s="19" t="n"/>
      <c r="Q3012" s="19" t="n"/>
      <c r="R3012" s="19" t="n"/>
      <c r="S3012" s="19" t="n"/>
      <c r="T3012" s="19" t="n"/>
      <c r="U3012" s="19" t="n"/>
      <c r="V3012" s="19" t="n"/>
      <c r="W3012" s="19" t="n"/>
      <c r="X3012" s="19" t="n"/>
      <c r="Y3012" s="19" t="n">
        <v>1</v>
      </c>
      <c r="Z3012" s="13">
        <f>SUMPRODUCT(N3012:Y3012,$N$2:$Y$2)*$K3012*$L3012*$M3012</f>
        <v/>
      </c>
      <c r="AA3012" s="14">
        <f>SUM(N3012:Y3012)</f>
        <v/>
      </c>
      <c r="AB3012" s="13">
        <f>SUMPRODUCT(N3012:Y3012,$N$3:$Y$3)*$K3012*$L3012*$M3012</f>
        <v/>
      </c>
      <c r="AC3012" s="13">
        <f>SUMPRODUCT(N3012:Y3012,$N$4:$Y$4)*$K3012*$L3012*$M3012</f>
        <v/>
      </c>
      <c r="AD3012" s="15" t="n">
        <v>3</v>
      </c>
      <c r="AE3012" s="11" t="n">
        <v>1.011296296296296</v>
      </c>
      <c r="AF3012" s="16">
        <f>SUMPRODUCT(N3012:Y3012,$N$5:$Y$5)*$K3012*$L3012*$M3012</f>
        <v/>
      </c>
      <c r="AG3012" s="16">
        <f>SUMPRODUCT(N3012:Y3012,$N$6:$Y$6)*$K3012*$L3012*$M3012</f>
        <v/>
      </c>
      <c r="AH3012" s="20" t="n"/>
    </row>
    <row r="3013">
      <c r="A3013" s="9" t="n">
        <v>663567</v>
      </c>
      <c r="B3013" s="9" t="inlineStr">
        <is>
          <t>Peter Lambert</t>
        </is>
      </c>
      <c r="C3013" s="9" t="inlineStr">
        <is>
          <t>HOU</t>
        </is>
      </c>
      <c r="D3013" s="9" t="n">
        <v>30</v>
      </c>
      <c r="E3013" s="18" t="inlineStr">
        <is>
          <t>R</t>
        </is>
      </c>
      <c r="F3013" s="18" t="n"/>
      <c r="G3013" s="9" t="n">
        <v>664</v>
      </c>
      <c r="H3013" s="9" t="n">
        <v>1319</v>
      </c>
      <c r="I3013" s="9" t="inlineStr">
        <is>
          <t>Mid-Rotation Starter (SP2-3)</t>
        </is>
      </c>
      <c r="J3013" s="18" t="inlineStr">
        <is>
          <t>Opening Day</t>
        </is>
      </c>
      <c r="K3013" s="11">
        <f>IFERROR(INDEX(Roles!$B$17:$B$20,MATCH(J3013,Roles!$A$17:$A$20,0)),1)</f>
        <v/>
      </c>
      <c r="L3013" s="19" t="n">
        <v>1</v>
      </c>
      <c r="M3013" s="11" t="n">
        <v>1</v>
      </c>
      <c r="N3013" s="19" t="n"/>
      <c r="O3013" s="19" t="n">
        <v>0.5</v>
      </c>
      <c r="P3013" s="19" t="n">
        <v>0.5</v>
      </c>
      <c r="Q3013" s="19" t="n"/>
      <c r="R3013" s="19" t="n"/>
      <c r="S3013" s="19" t="n"/>
      <c r="T3013" s="19" t="n"/>
      <c r="U3013" s="19" t="n"/>
      <c r="V3013" s="19" t="n"/>
      <c r="W3013" s="19" t="n"/>
      <c r="X3013" s="19" t="n"/>
      <c r="Y3013" s="19" t="n"/>
      <c r="Z3013" s="13">
        <f>SUMPRODUCT(N3013:Y3013,$N$2:$Y$2)*$K3013*$L3013*$M3013</f>
        <v/>
      </c>
      <c r="AA3013" s="14">
        <f>SUM(N3013:Y3013)</f>
        <v/>
      </c>
      <c r="AB3013" s="13">
        <f>SUMPRODUCT(N3013:Y3013,$N$3:$Y$3)*$K3013*$L3013*$M3013</f>
        <v/>
      </c>
      <c r="AC3013" s="13">
        <f>SUMPRODUCT(N3013:Y3013,$N$4:$Y$4)*$K3013*$L3013*$M3013</f>
        <v/>
      </c>
      <c r="AD3013" s="15" t="n">
        <v>27.65</v>
      </c>
      <c r="AE3013" s="11" t="n">
        <v>5.000935016362787</v>
      </c>
      <c r="AF3013" s="16">
        <f>SUMPRODUCT(N3013:Y3013,$N$5:$Y$5)*$K3013*$L3013*$M3013</f>
        <v/>
      </c>
      <c r="AG3013" s="16">
        <f>SUMPRODUCT(N3013:Y3013,$N$6:$Y$6)*$K3013*$L3013*$M3013</f>
        <v/>
      </c>
      <c r="AH3013" s="20" t="n"/>
    </row>
    <row r="3014">
      <c r="A3014" s="9" t="n">
        <v>623433</v>
      </c>
      <c r="B3014" s="9" t="inlineStr">
        <is>
          <t>Nick Anderson</t>
        </is>
      </c>
      <c r="C3014" s="9" t="inlineStr">
        <is>
          <t>COL</t>
        </is>
      </c>
      <c r="D3014" s="9" t="n">
        <v>36</v>
      </c>
      <c r="E3014" s="18" t="inlineStr">
        <is>
          <t>R</t>
        </is>
      </c>
      <c r="F3014" s="18" t="n"/>
      <c r="G3014" s="9" t="n">
        <v>61</v>
      </c>
      <c r="H3014" s="9" t="n">
        <v>355</v>
      </c>
      <c r="I3014" s="9" t="inlineStr">
        <is>
          <t>Bullpen Depth Arm</t>
        </is>
      </c>
      <c r="J3014" s="18" t="inlineStr">
        <is>
          <t>Opening Day</t>
        </is>
      </c>
      <c r="K3014" s="11">
        <f>IFERROR(INDEX(Roles!$B$17:$B$20,MATCH(J3014,Roles!$A$17:$A$20,0)),1)</f>
        <v/>
      </c>
      <c r="L3014" s="19" t="n">
        <v>1</v>
      </c>
      <c r="M3014" s="11" t="n">
        <v>1</v>
      </c>
      <c r="N3014" s="19" t="n"/>
      <c r="O3014" s="19" t="n"/>
      <c r="P3014" s="19" t="n"/>
      <c r="Q3014" s="19" t="n"/>
      <c r="R3014" s="19" t="n"/>
      <c r="S3014" s="19" t="n"/>
      <c r="T3014" s="19" t="n"/>
      <c r="U3014" s="19" t="n"/>
      <c r="V3014" s="19" t="n"/>
      <c r="W3014" s="19" t="n">
        <v>1</v>
      </c>
      <c r="X3014" s="19" t="n"/>
      <c r="Y3014" s="19" t="n"/>
      <c r="Z3014" s="13">
        <f>SUMPRODUCT(N3014:Y3014,$N$2:$Y$2)*$K3014*$L3014*$M3014</f>
        <v/>
      </c>
      <c r="AA3014" s="14">
        <f>SUM(N3014:Y3014)</f>
        <v/>
      </c>
      <c r="AB3014" s="13">
        <f>SUMPRODUCT(N3014:Y3014,$N$3:$Y$3)*$K3014*$L3014*$M3014</f>
        <v/>
      </c>
      <c r="AC3014" s="13">
        <f>SUMPRODUCT(N3014:Y3014,$N$4:$Y$4)*$K3014*$L3014*$M3014</f>
        <v/>
      </c>
      <c r="AD3014" s="15" t="n">
        <v>17.86666666666667</v>
      </c>
      <c r="AE3014" s="11" t="n">
        <v>1.156698391671069</v>
      </c>
      <c r="AF3014" s="16">
        <f>SUMPRODUCT(N3014:Y3014,$N$5:$Y$5)*$K3014*$L3014*$M3014</f>
        <v/>
      </c>
      <c r="AG3014" s="16">
        <f>SUMPRODUCT(N3014:Y3014,$N$6:$Y$6)*$K3014*$L3014*$M3014</f>
        <v/>
      </c>
      <c r="AH3014" s="20" t="n"/>
    </row>
    <row r="3015">
      <c r="A3015" s="9" t="n">
        <v>702465</v>
      </c>
      <c r="B3015" s="9" t="inlineStr">
        <is>
          <t>Ryan Long</t>
        </is>
      </c>
      <c r="C3015" s="9" t="inlineStr">
        <is>
          <t>BAL</t>
        </is>
      </c>
      <c r="D3015" s="9" t="n">
        <v>25</v>
      </c>
      <c r="E3015" s="18" t="inlineStr">
        <is>
          <t>R</t>
        </is>
      </c>
      <c r="F3015" s="18" t="n"/>
      <c r="G3015" s="9" t="n">
        <v>69.37333333333333</v>
      </c>
      <c r="H3015" s="9" t="n">
        <v>69.37333333333333</v>
      </c>
      <c r="I3015" s="9" t="inlineStr">
        <is>
          <t>Depth (no MLB IP)</t>
        </is>
      </c>
      <c r="J3015" s="18" t="inlineStr">
        <is>
          <t>Opening Day</t>
        </is>
      </c>
      <c r="K3015" s="11">
        <f>IFERROR(INDEX(Roles!$B$17:$B$20,MATCH(J3015,Roles!$A$17:$A$20,0)),1)</f>
        <v/>
      </c>
      <c r="L3015" s="19" t="n">
        <v>1</v>
      </c>
      <c r="M3015" s="11" t="n">
        <v>1</v>
      </c>
      <c r="N3015" s="19" t="n"/>
      <c r="O3015" s="19" t="n"/>
      <c r="P3015" s="19" t="n"/>
      <c r="Q3015" s="19" t="n"/>
      <c r="R3015" s="19" t="n"/>
      <c r="S3015" s="19" t="n"/>
      <c r="T3015" s="19" t="n"/>
      <c r="U3015" s="19" t="n"/>
      <c r="V3015" s="19" t="n"/>
      <c r="W3015" s="19" t="n"/>
      <c r="X3015" s="19" t="n"/>
      <c r="Y3015" s="19" t="n">
        <v>1</v>
      </c>
      <c r="Z3015" s="13">
        <f>SUMPRODUCT(N3015:Y3015,$N$2:$Y$2)*$K3015*$L3015*$M3015</f>
        <v/>
      </c>
      <c r="AA3015" s="14">
        <f>SUM(N3015:Y3015)</f>
        <v/>
      </c>
      <c r="AB3015" s="13">
        <f>SUMPRODUCT(N3015:Y3015,$N$3:$Y$3)*$K3015*$L3015*$M3015</f>
        <v/>
      </c>
      <c r="AC3015" s="13">
        <f>SUMPRODUCT(N3015:Y3015,$N$4:$Y$4)*$K3015*$L3015*$M3015</f>
        <v/>
      </c>
      <c r="AD3015" s="15" t="n">
        <v>3</v>
      </c>
      <c r="AE3015" s="11" t="n">
        <v>1.011296296296296</v>
      </c>
      <c r="AF3015" s="16">
        <f>SUMPRODUCT(N3015:Y3015,$N$5:$Y$5)*$K3015*$L3015*$M3015</f>
        <v/>
      </c>
      <c r="AG3015" s="16">
        <f>SUMPRODUCT(N3015:Y3015,$N$6:$Y$6)*$K3015*$L3015*$M3015</f>
        <v/>
      </c>
      <c r="AH3015" s="20" t="n"/>
    </row>
    <row r="3016">
      <c r="A3016" s="9" t="n">
        <v>663630</v>
      </c>
      <c r="B3016" s="9" t="inlineStr">
        <is>
          <t>Ryan McKenna</t>
        </is>
      </c>
      <c r="C3016" s="9" t="inlineStr">
        <is>
          <t>BAL</t>
        </is>
      </c>
      <c r="D3016" s="9" t="n">
        <v>30</v>
      </c>
      <c r="E3016" s="18" t="inlineStr">
        <is>
          <t>R</t>
        </is>
      </c>
      <c r="F3016" s="18" t="n"/>
      <c r="G3016" s="9" t="n">
        <v>6</v>
      </c>
      <c r="H3016" s="9" t="n">
        <v>16</v>
      </c>
      <c r="I3016" s="9" t="inlineStr">
        <is>
          <t>Depth (no MLB IP)</t>
        </is>
      </c>
      <c r="J3016" s="18" t="inlineStr">
        <is>
          <t>Opening Day</t>
        </is>
      </c>
      <c r="K3016" s="11">
        <f>IFERROR(INDEX(Roles!$B$17:$B$20,MATCH(J3016,Roles!$A$17:$A$20,0)),1)</f>
        <v/>
      </c>
      <c r="L3016" s="19" t="n">
        <v>1</v>
      </c>
      <c r="M3016" s="11" t="n">
        <v>1</v>
      </c>
      <c r="N3016" s="19" t="n"/>
      <c r="O3016" s="19" t="n"/>
      <c r="P3016" s="19" t="n"/>
      <c r="Q3016" s="19" t="n"/>
      <c r="R3016" s="19" t="n"/>
      <c r="S3016" s="19" t="n"/>
      <c r="T3016" s="19" t="n"/>
      <c r="U3016" s="19" t="n"/>
      <c r="V3016" s="19" t="n"/>
      <c r="W3016" s="19" t="n"/>
      <c r="X3016" s="19" t="n"/>
      <c r="Y3016" s="19" t="n">
        <v>1</v>
      </c>
      <c r="Z3016" s="13">
        <f>SUMPRODUCT(N3016:Y3016,$N$2:$Y$2)*$K3016*$L3016*$M3016</f>
        <v/>
      </c>
      <c r="AA3016" s="14">
        <f>SUM(N3016:Y3016)</f>
        <v/>
      </c>
      <c r="AB3016" s="13">
        <f>SUMPRODUCT(N3016:Y3016,$N$3:$Y$3)*$K3016*$L3016*$M3016</f>
        <v/>
      </c>
      <c r="AC3016" s="13">
        <f>SUMPRODUCT(N3016:Y3016,$N$4:$Y$4)*$K3016*$L3016*$M3016</f>
        <v/>
      </c>
      <c r="AD3016" s="15" t="n">
        <v>3</v>
      </c>
      <c r="AE3016" s="11" t="n">
        <v>1.011296296296296</v>
      </c>
      <c r="AF3016" s="16">
        <f>SUMPRODUCT(N3016:Y3016,$N$5:$Y$5)*$K3016*$L3016*$M3016</f>
        <v/>
      </c>
      <c r="AG3016" s="16">
        <f>SUMPRODUCT(N3016:Y3016,$N$6:$Y$6)*$K3016*$L3016*$M3016</f>
        <v/>
      </c>
      <c r="AH3016" s="20" t="n"/>
    </row>
    <row r="3017">
      <c r="A3017" s="9" t="n">
        <v>681387</v>
      </c>
      <c r="B3017" s="9" t="inlineStr">
        <is>
          <t>Caden Monke</t>
        </is>
      </c>
      <c r="C3017" s="9" t="inlineStr">
        <is>
          <t>KC</t>
        </is>
      </c>
      <c r="D3017" s="9" t="n">
        <v>25</v>
      </c>
      <c r="E3017" s="18" t="inlineStr">
        <is>
          <t>L</t>
        </is>
      </c>
      <c r="F3017" s="18" t="n"/>
      <c r="G3017" s="9" t="n">
        <v>69.73166666666667</v>
      </c>
      <c r="H3017" s="9" t="n">
        <v>69.73166666666667</v>
      </c>
      <c r="I3017" s="9" t="inlineStr">
        <is>
          <t>Depth (no MLB IP)</t>
        </is>
      </c>
      <c r="J3017" s="18" t="inlineStr">
        <is>
          <t>Opening Day</t>
        </is>
      </c>
      <c r="K3017" s="11">
        <f>IFERROR(INDEX(Roles!$B$17:$B$20,MATCH(J3017,Roles!$A$17:$A$20,0)),1)</f>
        <v/>
      </c>
      <c r="L3017" s="19" t="n">
        <v>1</v>
      </c>
      <c r="M3017" s="11" t="n">
        <v>1</v>
      </c>
      <c r="N3017" s="19" t="n"/>
      <c r="O3017" s="19" t="n"/>
      <c r="P3017" s="19" t="n"/>
      <c r="Q3017" s="19" t="n"/>
      <c r="R3017" s="19" t="n"/>
      <c r="S3017" s="19" t="n"/>
      <c r="T3017" s="19" t="n"/>
      <c r="U3017" s="19" t="n"/>
      <c r="V3017" s="19" t="n"/>
      <c r="W3017" s="19" t="n"/>
      <c r="X3017" s="19" t="n"/>
      <c r="Y3017" s="19" t="n">
        <v>1</v>
      </c>
      <c r="Z3017" s="13">
        <f>SUMPRODUCT(N3017:Y3017,$N$2:$Y$2)*$K3017*$L3017*$M3017</f>
        <v/>
      </c>
      <c r="AA3017" s="14">
        <f>SUM(N3017:Y3017)</f>
        <v/>
      </c>
      <c r="AB3017" s="13">
        <f>SUMPRODUCT(N3017:Y3017,$N$3:$Y$3)*$K3017*$L3017*$M3017</f>
        <v/>
      </c>
      <c r="AC3017" s="13">
        <f>SUMPRODUCT(N3017:Y3017,$N$4:$Y$4)*$K3017*$L3017*$M3017</f>
        <v/>
      </c>
      <c r="AD3017" s="15" t="n">
        <v>3</v>
      </c>
      <c r="AE3017" s="11" t="n">
        <v>1.011296296296296</v>
      </c>
      <c r="AF3017" s="16">
        <f>SUMPRODUCT(N3017:Y3017,$N$5:$Y$5)*$K3017*$L3017*$M3017</f>
        <v/>
      </c>
      <c r="AG3017" s="16">
        <f>SUMPRODUCT(N3017:Y3017,$N$6:$Y$6)*$K3017*$L3017*$M3017</f>
        <v/>
      </c>
      <c r="AH3017" s="20" t="n"/>
    </row>
    <row r="3018">
      <c r="A3018" s="9" t="n">
        <v>815143</v>
      </c>
      <c r="B3018" s="9" t="inlineStr">
        <is>
          <t>Joe Vogatsky</t>
        </is>
      </c>
      <c r="C3018" s="9" t="inlineStr">
        <is>
          <t>BOS</t>
        </is>
      </c>
      <c r="D3018" s="9" t="n">
        <v>25</v>
      </c>
      <c r="E3018" s="18" t="inlineStr">
        <is>
          <t>R</t>
        </is>
      </c>
      <c r="F3018" s="18" t="n"/>
      <c r="G3018" s="9" t="n">
        <v>69.73166666666667</v>
      </c>
      <c r="H3018" s="9" t="n">
        <v>69.73166666666667</v>
      </c>
      <c r="I3018" s="9" t="inlineStr">
        <is>
          <t>Depth (no MLB IP)</t>
        </is>
      </c>
      <c r="J3018" s="18" t="inlineStr">
        <is>
          <t>Opening Day</t>
        </is>
      </c>
      <c r="K3018" s="11">
        <f>IFERROR(INDEX(Roles!$B$17:$B$20,MATCH(J3018,Roles!$A$17:$A$20,0)),1)</f>
        <v/>
      </c>
      <c r="L3018" s="19" t="n">
        <v>1</v>
      </c>
      <c r="M3018" s="11" t="n">
        <v>1</v>
      </c>
      <c r="N3018" s="19" t="n"/>
      <c r="O3018" s="19" t="n"/>
      <c r="P3018" s="19" t="n"/>
      <c r="Q3018" s="19" t="n"/>
      <c r="R3018" s="19" t="n"/>
      <c r="S3018" s="19" t="n"/>
      <c r="T3018" s="19" t="n"/>
      <c r="U3018" s="19" t="n"/>
      <c r="V3018" s="19" t="n"/>
      <c r="W3018" s="19" t="n"/>
      <c r="X3018" s="19" t="n"/>
      <c r="Y3018" s="19" t="n">
        <v>1</v>
      </c>
      <c r="Z3018" s="13">
        <f>SUMPRODUCT(N3018:Y3018,$N$2:$Y$2)*$K3018*$L3018*$M3018</f>
        <v/>
      </c>
      <c r="AA3018" s="14">
        <f>SUM(N3018:Y3018)</f>
        <v/>
      </c>
      <c r="AB3018" s="13">
        <f>SUMPRODUCT(N3018:Y3018,$N$3:$Y$3)*$K3018*$L3018*$M3018</f>
        <v/>
      </c>
      <c r="AC3018" s="13">
        <f>SUMPRODUCT(N3018:Y3018,$N$4:$Y$4)*$K3018*$L3018*$M3018</f>
        <v/>
      </c>
      <c r="AD3018" s="15" t="n">
        <v>3</v>
      </c>
      <c r="AE3018" s="11" t="n">
        <v>1.011296296296296</v>
      </c>
      <c r="AF3018" s="16">
        <f>SUMPRODUCT(N3018:Y3018,$N$5:$Y$5)*$K3018*$L3018*$M3018</f>
        <v/>
      </c>
      <c r="AG3018" s="16">
        <f>SUMPRODUCT(N3018:Y3018,$N$6:$Y$6)*$K3018*$L3018*$M3018</f>
        <v/>
      </c>
      <c r="AH3018" s="20" t="n"/>
    </row>
    <row r="3019">
      <c r="A3019" s="9" t="n">
        <v>676082</v>
      </c>
      <c r="B3019" s="9" t="inlineStr">
        <is>
          <t>Gabriel Rodriguez</t>
        </is>
      </c>
      <c r="C3019" s="9" t="inlineStr">
        <is>
          <t>NYM</t>
        </is>
      </c>
      <c r="D3019" s="9" t="n">
        <v>25</v>
      </c>
      <c r="E3019" s="18" t="inlineStr">
        <is>
          <t>L</t>
        </is>
      </c>
      <c r="F3019" s="18" t="n"/>
      <c r="G3019" s="9" t="n">
        <v>69.73166666666667</v>
      </c>
      <c r="H3019" s="9" t="n">
        <v>69.73166666666667</v>
      </c>
      <c r="I3019" s="9" t="inlineStr">
        <is>
          <t>Depth (no MLB IP)</t>
        </is>
      </c>
      <c r="J3019" s="18" t="inlineStr">
        <is>
          <t>Opening Day</t>
        </is>
      </c>
      <c r="K3019" s="11">
        <f>IFERROR(INDEX(Roles!$B$17:$B$20,MATCH(J3019,Roles!$A$17:$A$20,0)),1)</f>
        <v/>
      </c>
      <c r="L3019" s="19" t="n">
        <v>1</v>
      </c>
      <c r="M3019" s="11" t="n">
        <v>1</v>
      </c>
      <c r="N3019" s="19" t="n"/>
      <c r="O3019" s="19" t="n"/>
      <c r="P3019" s="19" t="n"/>
      <c r="Q3019" s="19" t="n"/>
      <c r="R3019" s="19" t="n"/>
      <c r="S3019" s="19" t="n"/>
      <c r="T3019" s="19" t="n"/>
      <c r="U3019" s="19" t="n"/>
      <c r="V3019" s="19" t="n"/>
      <c r="W3019" s="19" t="n"/>
      <c r="X3019" s="19" t="n"/>
      <c r="Y3019" s="19" t="n">
        <v>1</v>
      </c>
      <c r="Z3019" s="13">
        <f>SUMPRODUCT(N3019:Y3019,$N$2:$Y$2)*$K3019*$L3019*$M3019</f>
        <v/>
      </c>
      <c r="AA3019" s="14">
        <f>SUM(N3019:Y3019)</f>
        <v/>
      </c>
      <c r="AB3019" s="13">
        <f>SUMPRODUCT(N3019:Y3019,$N$3:$Y$3)*$K3019*$L3019*$M3019</f>
        <v/>
      </c>
      <c r="AC3019" s="13">
        <f>SUMPRODUCT(N3019:Y3019,$N$4:$Y$4)*$K3019*$L3019*$M3019</f>
        <v/>
      </c>
      <c r="AD3019" s="15" t="n">
        <v>3</v>
      </c>
      <c r="AE3019" s="11" t="n">
        <v>1.011296296296296</v>
      </c>
      <c r="AF3019" s="16">
        <f>SUMPRODUCT(N3019:Y3019,$N$5:$Y$5)*$K3019*$L3019*$M3019</f>
        <v/>
      </c>
      <c r="AG3019" s="16">
        <f>SUMPRODUCT(N3019:Y3019,$N$6:$Y$6)*$K3019*$L3019*$M3019</f>
        <v/>
      </c>
      <c r="AH3019" s="20" t="n"/>
    </row>
    <row r="3020">
      <c r="A3020" s="9" t="n">
        <v>800260</v>
      </c>
      <c r="B3020" s="9" t="inlineStr">
        <is>
          <t>Anthony Flores</t>
        </is>
      </c>
      <c r="C3020" s="9" t="inlineStr">
        <is>
          <t>MIL</t>
        </is>
      </c>
      <c r="D3020" s="9" t="n">
        <v>25</v>
      </c>
      <c r="E3020" s="18" t="inlineStr">
        <is>
          <t>L</t>
        </is>
      </c>
      <c r="F3020" s="18" t="n"/>
      <c r="G3020" s="9" t="n">
        <v>69.73166666666667</v>
      </c>
      <c r="H3020" s="9" t="n">
        <v>69.73166666666667</v>
      </c>
      <c r="I3020" s="9" t="inlineStr">
        <is>
          <t>Depth (no MLB IP)</t>
        </is>
      </c>
      <c r="J3020" s="18" t="inlineStr">
        <is>
          <t>Opening Day</t>
        </is>
      </c>
      <c r="K3020" s="11">
        <f>IFERROR(INDEX(Roles!$B$17:$B$20,MATCH(J3020,Roles!$A$17:$A$20,0)),1)</f>
        <v/>
      </c>
      <c r="L3020" s="19" t="n">
        <v>1</v>
      </c>
      <c r="M3020" s="11" t="n">
        <v>1</v>
      </c>
      <c r="N3020" s="19" t="n"/>
      <c r="O3020" s="19" t="n"/>
      <c r="P3020" s="19" t="n"/>
      <c r="Q3020" s="19" t="n"/>
      <c r="R3020" s="19" t="n"/>
      <c r="S3020" s="19" t="n"/>
      <c r="T3020" s="19" t="n"/>
      <c r="U3020" s="19" t="n"/>
      <c r="V3020" s="19" t="n"/>
      <c r="W3020" s="19" t="n"/>
      <c r="X3020" s="19" t="n"/>
      <c r="Y3020" s="19" t="n">
        <v>1</v>
      </c>
      <c r="Z3020" s="13">
        <f>SUMPRODUCT(N3020:Y3020,$N$2:$Y$2)*$K3020*$L3020*$M3020</f>
        <v/>
      </c>
      <c r="AA3020" s="14">
        <f>SUM(N3020:Y3020)</f>
        <v/>
      </c>
      <c r="AB3020" s="13">
        <f>SUMPRODUCT(N3020:Y3020,$N$3:$Y$3)*$K3020*$L3020*$M3020</f>
        <v/>
      </c>
      <c r="AC3020" s="13">
        <f>SUMPRODUCT(N3020:Y3020,$N$4:$Y$4)*$K3020*$L3020*$M3020</f>
        <v/>
      </c>
      <c r="AD3020" s="15" t="n">
        <v>3</v>
      </c>
      <c r="AE3020" s="11" t="n">
        <v>1.011296296296296</v>
      </c>
      <c r="AF3020" s="16">
        <f>SUMPRODUCT(N3020:Y3020,$N$5:$Y$5)*$K3020*$L3020*$M3020</f>
        <v/>
      </c>
      <c r="AG3020" s="16">
        <f>SUMPRODUCT(N3020:Y3020,$N$6:$Y$6)*$K3020*$L3020*$M3020</f>
        <v/>
      </c>
      <c r="AH3020" s="20" t="n"/>
    </row>
    <row r="3021">
      <c r="A3021" s="9" t="n">
        <v>693388</v>
      </c>
      <c r="B3021" s="9" t="inlineStr">
        <is>
          <t>Shohei Tomioka</t>
        </is>
      </c>
      <c r="C3021" s="9" t="inlineStr">
        <is>
          <t>OAK</t>
        </is>
      </c>
      <c r="D3021" s="9" t="n">
        <v>25</v>
      </c>
      <c r="E3021" s="18" t="inlineStr">
        <is>
          <t>R</t>
        </is>
      </c>
      <c r="F3021" s="18" t="n"/>
      <c r="G3021" s="9" t="n">
        <v>69.73166666666667</v>
      </c>
      <c r="H3021" s="9" t="n">
        <v>69.73166666666667</v>
      </c>
      <c r="I3021" s="9" t="inlineStr">
        <is>
          <t>Depth (no MLB IP)</t>
        </is>
      </c>
      <c r="J3021" s="18" t="inlineStr">
        <is>
          <t>Opening Day</t>
        </is>
      </c>
      <c r="K3021" s="11">
        <f>IFERROR(INDEX(Roles!$B$17:$B$20,MATCH(J3021,Roles!$A$17:$A$20,0)),1)</f>
        <v/>
      </c>
      <c r="L3021" s="19" t="n">
        <v>1</v>
      </c>
      <c r="M3021" s="11" t="n">
        <v>1</v>
      </c>
      <c r="N3021" s="19" t="n"/>
      <c r="O3021" s="19" t="n"/>
      <c r="P3021" s="19" t="n"/>
      <c r="Q3021" s="19" t="n"/>
      <c r="R3021" s="19" t="n"/>
      <c r="S3021" s="19" t="n"/>
      <c r="T3021" s="19" t="n"/>
      <c r="U3021" s="19" t="n"/>
      <c r="V3021" s="19" t="n"/>
      <c r="W3021" s="19" t="n"/>
      <c r="X3021" s="19" t="n"/>
      <c r="Y3021" s="19" t="n">
        <v>1</v>
      </c>
      <c r="Z3021" s="13">
        <f>SUMPRODUCT(N3021:Y3021,$N$2:$Y$2)*$K3021*$L3021*$M3021</f>
        <v/>
      </c>
      <c r="AA3021" s="14">
        <f>SUM(N3021:Y3021)</f>
        <v/>
      </c>
      <c r="AB3021" s="13">
        <f>SUMPRODUCT(N3021:Y3021,$N$3:$Y$3)*$K3021*$L3021*$M3021</f>
        <v/>
      </c>
      <c r="AC3021" s="13">
        <f>SUMPRODUCT(N3021:Y3021,$N$4:$Y$4)*$K3021*$L3021*$M3021</f>
        <v/>
      </c>
      <c r="AD3021" s="15" t="n">
        <v>3</v>
      </c>
      <c r="AE3021" s="11" t="n">
        <v>1.011296296296296</v>
      </c>
      <c r="AF3021" s="16">
        <f>SUMPRODUCT(N3021:Y3021,$N$5:$Y$5)*$K3021*$L3021*$M3021</f>
        <v/>
      </c>
      <c r="AG3021" s="16">
        <f>SUMPRODUCT(N3021:Y3021,$N$6:$Y$6)*$K3021*$L3021*$M3021</f>
        <v/>
      </c>
      <c r="AH3021" s="20" t="n"/>
    </row>
    <row r="3022">
      <c r="A3022" s="9" t="n">
        <v>645302</v>
      </c>
      <c r="B3022" s="9" t="inlineStr">
        <is>
          <t>Victor Robles</t>
        </is>
      </c>
      <c r="C3022" s="9" t="inlineStr">
        <is>
          <t>SEA</t>
        </is>
      </c>
      <c r="D3022" s="9" t="n">
        <v>30</v>
      </c>
      <c r="E3022" s="18" t="inlineStr">
        <is>
          <t>R</t>
        </is>
      </c>
      <c r="F3022" s="18" t="n"/>
      <c r="G3022" s="9" t="n">
        <v>9</v>
      </c>
      <c r="H3022" s="9" t="n">
        <v>9</v>
      </c>
      <c r="I3022" s="9" t="inlineStr">
        <is>
          <t>Depth (no MLB IP)</t>
        </is>
      </c>
      <c r="J3022" s="18" t="inlineStr">
        <is>
          <t>Opening Day</t>
        </is>
      </c>
      <c r="K3022" s="11">
        <f>IFERROR(INDEX(Roles!$B$17:$B$20,MATCH(J3022,Roles!$A$17:$A$20,0)),1)</f>
        <v/>
      </c>
      <c r="L3022" s="19" t="n">
        <v>1</v>
      </c>
      <c r="M3022" s="11" t="n">
        <v>1</v>
      </c>
      <c r="N3022" s="19" t="n"/>
      <c r="O3022" s="19" t="n"/>
      <c r="P3022" s="19" t="n"/>
      <c r="Q3022" s="19" t="n"/>
      <c r="R3022" s="19" t="n"/>
      <c r="S3022" s="19" t="n"/>
      <c r="T3022" s="19" t="n"/>
      <c r="U3022" s="19" t="n"/>
      <c r="V3022" s="19" t="n"/>
      <c r="W3022" s="19" t="n"/>
      <c r="X3022" s="19" t="n"/>
      <c r="Y3022" s="19" t="n">
        <v>1</v>
      </c>
      <c r="Z3022" s="13">
        <f>SUMPRODUCT(N3022:Y3022,$N$2:$Y$2)*$K3022*$L3022*$M3022</f>
        <v/>
      </c>
      <c r="AA3022" s="14">
        <f>SUM(N3022:Y3022)</f>
        <v/>
      </c>
      <c r="AB3022" s="13">
        <f>SUMPRODUCT(N3022:Y3022,$N$3:$Y$3)*$K3022*$L3022*$M3022</f>
        <v/>
      </c>
      <c r="AC3022" s="13">
        <f>SUMPRODUCT(N3022:Y3022,$N$4:$Y$4)*$K3022*$L3022*$M3022</f>
        <v/>
      </c>
      <c r="AD3022" s="15" t="n">
        <v>1.8</v>
      </c>
      <c r="AE3022" s="11" t="n">
        <v>1.007530864197531</v>
      </c>
      <c r="AF3022" s="16">
        <f>SUMPRODUCT(N3022:Y3022,$N$5:$Y$5)*$K3022*$L3022*$M3022</f>
        <v/>
      </c>
      <c r="AG3022" s="16">
        <f>SUMPRODUCT(N3022:Y3022,$N$6:$Y$6)*$K3022*$L3022*$M3022</f>
        <v/>
      </c>
      <c r="AH3022" s="20" t="n"/>
    </row>
    <row r="3023">
      <c r="A3023" s="9" t="n">
        <v>826536</v>
      </c>
      <c r="B3023" s="9" t="inlineStr">
        <is>
          <t>Brian Curley</t>
        </is>
      </c>
      <c r="C3023" s="9" t="inlineStr">
        <is>
          <t>ARI</t>
        </is>
      </c>
      <c r="D3023" s="9" t="n">
        <v>25</v>
      </c>
      <c r="E3023" s="18" t="inlineStr">
        <is>
          <t>R</t>
        </is>
      </c>
      <c r="F3023" s="18" t="n"/>
      <c r="G3023" s="9" t="n">
        <v>69.73166666666667</v>
      </c>
      <c r="H3023" s="9" t="n">
        <v>69.73166666666667</v>
      </c>
      <c r="I3023" s="9" t="inlineStr">
        <is>
          <t>Depth (no MLB IP)</t>
        </is>
      </c>
      <c r="J3023" s="18" t="inlineStr">
        <is>
          <t>Opening Day</t>
        </is>
      </c>
      <c r="K3023" s="11">
        <f>IFERROR(INDEX(Roles!$B$17:$B$20,MATCH(J3023,Roles!$A$17:$A$20,0)),1)</f>
        <v/>
      </c>
      <c r="L3023" s="19" t="n">
        <v>1</v>
      </c>
      <c r="M3023" s="11" t="n">
        <v>1</v>
      </c>
      <c r="N3023" s="19" t="n"/>
      <c r="O3023" s="19" t="n"/>
      <c r="P3023" s="19" t="n"/>
      <c r="Q3023" s="19" t="n"/>
      <c r="R3023" s="19" t="n"/>
      <c r="S3023" s="19" t="n"/>
      <c r="T3023" s="19" t="n"/>
      <c r="U3023" s="19" t="n"/>
      <c r="V3023" s="19" t="n"/>
      <c r="W3023" s="19" t="n"/>
      <c r="X3023" s="19" t="n"/>
      <c r="Y3023" s="19" t="n">
        <v>1</v>
      </c>
      <c r="Z3023" s="13">
        <f>SUMPRODUCT(N3023:Y3023,$N$2:$Y$2)*$K3023*$L3023*$M3023</f>
        <v/>
      </c>
      <c r="AA3023" s="14">
        <f>SUM(N3023:Y3023)</f>
        <v/>
      </c>
      <c r="AB3023" s="13">
        <f>SUMPRODUCT(N3023:Y3023,$N$3:$Y$3)*$K3023*$L3023*$M3023</f>
        <v/>
      </c>
      <c r="AC3023" s="13">
        <f>SUMPRODUCT(N3023:Y3023,$N$4:$Y$4)*$K3023*$L3023*$M3023</f>
        <v/>
      </c>
      <c r="AD3023" s="15" t="n">
        <v>3</v>
      </c>
      <c r="AE3023" s="11" t="n">
        <v>1.011296296296296</v>
      </c>
      <c r="AF3023" s="16">
        <f>SUMPRODUCT(N3023:Y3023,$N$5:$Y$5)*$K3023*$L3023*$M3023</f>
        <v/>
      </c>
      <c r="AG3023" s="16">
        <f>SUMPRODUCT(N3023:Y3023,$N$6:$Y$6)*$K3023*$L3023*$M3023</f>
        <v/>
      </c>
      <c r="AH3023" s="20" t="n"/>
    </row>
    <row r="3024">
      <c r="A3024" s="9" t="n">
        <v>687060</v>
      </c>
      <c r="B3024" s="9" t="inlineStr">
        <is>
          <t>Blake Adams</t>
        </is>
      </c>
      <c r="C3024" s="9" t="inlineStr">
        <is>
          <t>COL</t>
        </is>
      </c>
      <c r="D3024" s="9" t="n">
        <v>26</v>
      </c>
      <c r="E3024" s="18" t="inlineStr">
        <is>
          <t>R</t>
        </is>
      </c>
      <c r="F3024" s="18" t="n"/>
      <c r="G3024" s="9" t="n">
        <v>9</v>
      </c>
      <c r="H3024" s="9" t="n">
        <v>9</v>
      </c>
      <c r="I3024" s="9" t="inlineStr">
        <is>
          <t>Depth (no MLB IP)</t>
        </is>
      </c>
      <c r="J3024" s="18" t="inlineStr">
        <is>
          <t>Opening Day</t>
        </is>
      </c>
      <c r="K3024" s="11">
        <f>IFERROR(INDEX(Roles!$B$17:$B$20,MATCH(J3024,Roles!$A$17:$A$20,0)),1)</f>
        <v/>
      </c>
      <c r="L3024" s="19" t="n">
        <v>1</v>
      </c>
      <c r="M3024" s="11" t="n">
        <v>1</v>
      </c>
      <c r="N3024" s="19" t="n"/>
      <c r="O3024" s="19" t="n"/>
      <c r="P3024" s="19" t="n"/>
      <c r="Q3024" s="19" t="n"/>
      <c r="R3024" s="19" t="n"/>
      <c r="S3024" s="19" t="n"/>
      <c r="T3024" s="19" t="n"/>
      <c r="U3024" s="19" t="n"/>
      <c r="V3024" s="19" t="n"/>
      <c r="W3024" s="19" t="n"/>
      <c r="X3024" s="19" t="n"/>
      <c r="Y3024" s="19" t="n">
        <v>1</v>
      </c>
      <c r="Z3024" s="13">
        <f>SUMPRODUCT(N3024:Y3024,$N$2:$Y$2)*$K3024*$L3024*$M3024</f>
        <v/>
      </c>
      <c r="AA3024" s="14">
        <f>SUM(N3024:Y3024)</f>
        <v/>
      </c>
      <c r="AB3024" s="13">
        <f>SUMPRODUCT(N3024:Y3024,$N$3:$Y$3)*$K3024*$L3024*$M3024</f>
        <v/>
      </c>
      <c r="AC3024" s="13">
        <f>SUMPRODUCT(N3024:Y3024,$N$4:$Y$4)*$K3024*$L3024*$M3024</f>
        <v/>
      </c>
      <c r="AD3024" s="15" t="n">
        <v>1.8</v>
      </c>
      <c r="AE3024" s="11" t="n">
        <v>1.007530864197531</v>
      </c>
      <c r="AF3024" s="16">
        <f>SUMPRODUCT(N3024:Y3024,$N$5:$Y$5)*$K3024*$L3024*$M3024</f>
        <v/>
      </c>
      <c r="AG3024" s="16">
        <f>SUMPRODUCT(N3024:Y3024,$N$6:$Y$6)*$K3024*$L3024*$M3024</f>
        <v/>
      </c>
      <c r="AH3024" s="20" t="n"/>
    </row>
    <row r="3025">
      <c r="A3025" s="9" t="n">
        <v>671083</v>
      </c>
      <c r="B3025" s="9" t="inlineStr">
        <is>
          <t>Buddy Kennedy</t>
        </is>
      </c>
      <c r="C3025" s="9" t="inlineStr">
        <is>
          <t>SF</t>
        </is>
      </c>
      <c r="D3025" s="9" t="n">
        <v>28</v>
      </c>
      <c r="E3025" s="18" t="inlineStr">
        <is>
          <t>R</t>
        </is>
      </c>
      <c r="F3025" s="18" t="n"/>
      <c r="G3025" s="9" t="n">
        <v>9</v>
      </c>
      <c r="H3025" s="9" t="n">
        <v>9</v>
      </c>
      <c r="I3025" s="9" t="inlineStr">
        <is>
          <t>Depth (no MLB IP)</t>
        </is>
      </c>
      <c r="J3025" s="18" t="inlineStr">
        <is>
          <t>Opening Day</t>
        </is>
      </c>
      <c r="K3025" s="11">
        <f>IFERROR(INDEX(Roles!$B$17:$B$20,MATCH(J3025,Roles!$A$17:$A$20,0)),1)</f>
        <v/>
      </c>
      <c r="L3025" s="19" t="n">
        <v>1</v>
      </c>
      <c r="M3025" s="11" t="n">
        <v>1</v>
      </c>
      <c r="N3025" s="19" t="n"/>
      <c r="O3025" s="19" t="n"/>
      <c r="P3025" s="19" t="n"/>
      <c r="Q3025" s="19" t="n"/>
      <c r="R3025" s="19" t="n"/>
      <c r="S3025" s="19" t="n"/>
      <c r="T3025" s="19" t="n"/>
      <c r="U3025" s="19" t="n"/>
      <c r="V3025" s="19" t="n"/>
      <c r="W3025" s="19" t="n"/>
      <c r="X3025" s="19" t="n"/>
      <c r="Y3025" s="19" t="n">
        <v>1</v>
      </c>
      <c r="Z3025" s="13">
        <f>SUMPRODUCT(N3025:Y3025,$N$2:$Y$2)*$K3025*$L3025*$M3025</f>
        <v/>
      </c>
      <c r="AA3025" s="14">
        <f>SUM(N3025:Y3025)</f>
        <v/>
      </c>
      <c r="AB3025" s="13">
        <f>SUMPRODUCT(N3025:Y3025,$N$3:$Y$3)*$K3025*$L3025*$M3025</f>
        <v/>
      </c>
      <c r="AC3025" s="13">
        <f>SUMPRODUCT(N3025:Y3025,$N$4:$Y$4)*$K3025*$L3025*$M3025</f>
        <v/>
      </c>
      <c r="AD3025" s="15" t="n">
        <v>1.8</v>
      </c>
      <c r="AE3025" s="11" t="n">
        <v>1.007530864197531</v>
      </c>
      <c r="AF3025" s="16">
        <f>SUMPRODUCT(N3025:Y3025,$N$5:$Y$5)*$K3025*$L3025*$M3025</f>
        <v/>
      </c>
      <c r="AG3025" s="16">
        <f>SUMPRODUCT(N3025:Y3025,$N$6:$Y$6)*$K3025*$L3025*$M3025</f>
        <v/>
      </c>
      <c r="AH3025" s="20" t="n"/>
    </row>
    <row r="3026">
      <c r="A3026" s="9" t="n">
        <v>687859</v>
      </c>
      <c r="B3026" s="9" t="inlineStr">
        <is>
          <t>Troy Johnston</t>
        </is>
      </c>
      <c r="C3026" s="9" t="inlineStr">
        <is>
          <t>COL</t>
        </is>
      </c>
      <c r="D3026" s="9" t="n">
        <v>30</v>
      </c>
      <c r="E3026" s="18" t="inlineStr">
        <is>
          <t>L</t>
        </is>
      </c>
      <c r="F3026" s="18" t="n"/>
      <c r="G3026" s="9" t="n">
        <v>9</v>
      </c>
      <c r="H3026" s="9" t="n">
        <v>9</v>
      </c>
      <c r="I3026" s="9" t="inlineStr">
        <is>
          <t>Depth (no MLB IP)</t>
        </is>
      </c>
      <c r="J3026" s="18" t="inlineStr">
        <is>
          <t>Opening Day</t>
        </is>
      </c>
      <c r="K3026" s="11">
        <f>IFERROR(INDEX(Roles!$B$17:$B$20,MATCH(J3026,Roles!$A$17:$A$20,0)),1)</f>
        <v/>
      </c>
      <c r="L3026" s="19" t="n">
        <v>1</v>
      </c>
      <c r="M3026" s="11" t="n">
        <v>1</v>
      </c>
      <c r="N3026" s="19" t="n"/>
      <c r="O3026" s="19" t="n"/>
      <c r="P3026" s="19" t="n"/>
      <c r="Q3026" s="19" t="n"/>
      <c r="R3026" s="19" t="n"/>
      <c r="S3026" s="19" t="n"/>
      <c r="T3026" s="19" t="n"/>
      <c r="U3026" s="19" t="n"/>
      <c r="V3026" s="19" t="n"/>
      <c r="W3026" s="19" t="n"/>
      <c r="X3026" s="19" t="n"/>
      <c r="Y3026" s="19" t="n">
        <v>1</v>
      </c>
      <c r="Z3026" s="13">
        <f>SUMPRODUCT(N3026:Y3026,$N$2:$Y$2)*$K3026*$L3026*$M3026</f>
        <v/>
      </c>
      <c r="AA3026" s="14">
        <f>SUM(N3026:Y3026)</f>
        <v/>
      </c>
      <c r="AB3026" s="13">
        <f>SUMPRODUCT(N3026:Y3026,$N$3:$Y$3)*$K3026*$L3026*$M3026</f>
        <v/>
      </c>
      <c r="AC3026" s="13">
        <f>SUMPRODUCT(N3026:Y3026,$N$4:$Y$4)*$K3026*$L3026*$M3026</f>
        <v/>
      </c>
      <c r="AD3026" s="15" t="n">
        <v>2.4</v>
      </c>
      <c r="AE3026" s="11" t="n">
        <v>1.007530864197531</v>
      </c>
      <c r="AF3026" s="16">
        <f>SUMPRODUCT(N3026:Y3026,$N$5:$Y$5)*$K3026*$L3026*$M3026</f>
        <v/>
      </c>
      <c r="AG3026" s="16">
        <f>SUMPRODUCT(N3026:Y3026,$N$6:$Y$6)*$K3026*$L3026*$M3026</f>
        <v/>
      </c>
      <c r="AH3026" s="20" t="n"/>
    </row>
    <row r="3027">
      <c r="A3027" s="9" t="n">
        <v>670103</v>
      </c>
      <c r="B3027" s="9" t="inlineStr">
        <is>
          <t>Raymond Burgos</t>
        </is>
      </c>
      <c r="C3027" s="9" t="inlineStr">
        <is>
          <t>BOS</t>
        </is>
      </c>
      <c r="D3027" s="9" t="n">
        <v>28</v>
      </c>
      <c r="E3027" s="18" t="inlineStr">
        <is>
          <t>L</t>
        </is>
      </c>
      <c r="F3027" s="18" t="n"/>
      <c r="G3027" s="9" t="n">
        <v>82</v>
      </c>
      <c r="H3027" s="9" t="n">
        <v>89</v>
      </c>
      <c r="I3027" s="9" t="inlineStr">
        <is>
          <t>Bullpen Depth Arm</t>
        </is>
      </c>
      <c r="J3027" s="18" t="inlineStr">
        <is>
          <t>Opening Day</t>
        </is>
      </c>
      <c r="K3027" s="11">
        <f>IFERROR(INDEX(Roles!$B$17:$B$20,MATCH(J3027,Roles!$A$17:$A$20,0)),1)</f>
        <v/>
      </c>
      <c r="L3027" s="19" t="n">
        <v>1</v>
      </c>
      <c r="M3027" s="11" t="n">
        <v>1</v>
      </c>
      <c r="N3027" s="19" t="n"/>
      <c r="O3027" s="19" t="n"/>
      <c r="P3027" s="19" t="n"/>
      <c r="Q3027" s="19" t="n"/>
      <c r="R3027" s="19" t="n"/>
      <c r="S3027" s="19" t="n"/>
      <c r="T3027" s="19" t="n"/>
      <c r="U3027" s="19" t="n"/>
      <c r="V3027" s="19" t="n"/>
      <c r="W3027" s="19" t="n">
        <v>1</v>
      </c>
      <c r="X3027" s="19" t="n"/>
      <c r="Y3027" s="19" t="n"/>
      <c r="Z3027" s="13">
        <f>SUMPRODUCT(N3027:Y3027,$N$2:$Y$2)*$K3027*$L3027*$M3027</f>
        <v/>
      </c>
      <c r="AA3027" s="14">
        <f>SUM(N3027:Y3027)</f>
        <v/>
      </c>
      <c r="AB3027" s="13">
        <f>SUMPRODUCT(N3027:Y3027,$N$3:$Y$3)*$K3027*$L3027*$M3027</f>
        <v/>
      </c>
      <c r="AC3027" s="13">
        <f>SUMPRODUCT(N3027:Y3027,$N$4:$Y$4)*$K3027*$L3027*$M3027</f>
        <v/>
      </c>
      <c r="AD3027" s="15" t="n">
        <v>9.866666666666664</v>
      </c>
      <c r="AE3027" s="11" t="n">
        <v>1.575316658649992</v>
      </c>
      <c r="AF3027" s="16">
        <f>SUMPRODUCT(N3027:Y3027,$N$5:$Y$5)*$K3027*$L3027*$M3027</f>
        <v/>
      </c>
      <c r="AG3027" s="16">
        <f>SUMPRODUCT(N3027:Y3027,$N$6:$Y$6)*$K3027*$L3027*$M3027</f>
        <v/>
      </c>
      <c r="AH3027" s="20" t="n"/>
    </row>
    <row r="3028">
      <c r="A3028" s="9" t="n">
        <v>686953</v>
      </c>
      <c r="B3028" s="9" t="inlineStr">
        <is>
          <t>Nick Dean</t>
        </is>
      </c>
      <c r="C3028" s="9" t="inlineStr">
        <is>
          <t>CHC</t>
        </is>
      </c>
      <c r="D3028" s="9" t="n">
        <v>25</v>
      </c>
      <c r="E3028" s="18" t="inlineStr">
        <is>
          <t>R</t>
        </is>
      </c>
      <c r="F3028" s="18" t="n"/>
      <c r="G3028" s="9" t="n">
        <v>70.23333333333332</v>
      </c>
      <c r="H3028" s="9" t="n">
        <v>70.23333333333332</v>
      </c>
      <c r="I3028" s="9" t="inlineStr">
        <is>
          <t>Depth (no MLB IP)</t>
        </is>
      </c>
      <c r="J3028" s="18" t="inlineStr">
        <is>
          <t>Opening Day</t>
        </is>
      </c>
      <c r="K3028" s="11">
        <f>IFERROR(INDEX(Roles!$B$17:$B$20,MATCH(J3028,Roles!$A$17:$A$20,0)),1)</f>
        <v/>
      </c>
      <c r="L3028" s="19" t="n">
        <v>1</v>
      </c>
      <c r="M3028" s="11" t="n">
        <v>1</v>
      </c>
      <c r="N3028" s="19" t="n"/>
      <c r="O3028" s="19" t="n"/>
      <c r="P3028" s="19" t="n"/>
      <c r="Q3028" s="19" t="n"/>
      <c r="R3028" s="19" t="n"/>
      <c r="S3028" s="19" t="n"/>
      <c r="T3028" s="19" t="n"/>
      <c r="U3028" s="19" t="n"/>
      <c r="V3028" s="19" t="n"/>
      <c r="W3028" s="19" t="n"/>
      <c r="X3028" s="19" t="n"/>
      <c r="Y3028" s="19" t="n">
        <v>1</v>
      </c>
      <c r="Z3028" s="13">
        <f>SUMPRODUCT(N3028:Y3028,$N$2:$Y$2)*$K3028*$L3028*$M3028</f>
        <v/>
      </c>
      <c r="AA3028" s="14">
        <f>SUM(N3028:Y3028)</f>
        <v/>
      </c>
      <c r="AB3028" s="13">
        <f>SUMPRODUCT(N3028:Y3028,$N$3:$Y$3)*$K3028*$L3028*$M3028</f>
        <v/>
      </c>
      <c r="AC3028" s="13">
        <f>SUMPRODUCT(N3028:Y3028,$N$4:$Y$4)*$K3028*$L3028*$M3028</f>
        <v/>
      </c>
      <c r="AD3028" s="15" t="n">
        <v>3</v>
      </c>
      <c r="AE3028" s="11" t="n">
        <v>1.011296296296296</v>
      </c>
      <c r="AF3028" s="16">
        <f>SUMPRODUCT(N3028:Y3028,$N$5:$Y$5)*$K3028*$L3028*$M3028</f>
        <v/>
      </c>
      <c r="AG3028" s="16">
        <f>SUMPRODUCT(N3028:Y3028,$N$6:$Y$6)*$K3028*$L3028*$M3028</f>
        <v/>
      </c>
      <c r="AH3028" s="20" t="n"/>
    </row>
    <row r="3029">
      <c r="A3029" s="9" t="n">
        <v>828520</v>
      </c>
      <c r="B3029" s="9" t="inlineStr">
        <is>
          <t>Twine Palmer</t>
        </is>
      </c>
      <c r="C3029" s="9" t="inlineStr">
        <is>
          <t>BAL</t>
        </is>
      </c>
      <c r="D3029" s="9" t="n">
        <v>25</v>
      </c>
      <c r="E3029" s="18" t="inlineStr">
        <is>
          <t>R</t>
        </is>
      </c>
      <c r="F3029" s="18" t="n"/>
      <c r="G3029" s="9" t="n">
        <v>70.23333333333333</v>
      </c>
      <c r="H3029" s="9" t="n">
        <v>70.23333333333333</v>
      </c>
      <c r="I3029" s="9" t="inlineStr">
        <is>
          <t>Depth (no MLB IP)</t>
        </is>
      </c>
      <c r="J3029" s="18" t="inlineStr">
        <is>
          <t>Opening Day</t>
        </is>
      </c>
      <c r="K3029" s="11">
        <f>IFERROR(INDEX(Roles!$B$17:$B$20,MATCH(J3029,Roles!$A$17:$A$20,0)),1)</f>
        <v/>
      </c>
      <c r="L3029" s="19" t="n">
        <v>1</v>
      </c>
      <c r="M3029" s="11" t="n">
        <v>1</v>
      </c>
      <c r="N3029" s="19" t="n"/>
      <c r="O3029" s="19" t="n"/>
      <c r="P3029" s="19" t="n"/>
      <c r="Q3029" s="19" t="n"/>
      <c r="R3029" s="19" t="n"/>
      <c r="S3029" s="19" t="n"/>
      <c r="T3029" s="19" t="n"/>
      <c r="U3029" s="19" t="n"/>
      <c r="V3029" s="19" t="n"/>
      <c r="W3029" s="19" t="n"/>
      <c r="X3029" s="19" t="n"/>
      <c r="Y3029" s="19" t="n">
        <v>1</v>
      </c>
      <c r="Z3029" s="13">
        <f>SUMPRODUCT(N3029:Y3029,$N$2:$Y$2)*$K3029*$L3029*$M3029</f>
        <v/>
      </c>
      <c r="AA3029" s="14">
        <f>SUM(N3029:Y3029)</f>
        <v/>
      </c>
      <c r="AB3029" s="13">
        <f>SUMPRODUCT(N3029:Y3029,$N$3:$Y$3)*$K3029*$L3029*$M3029</f>
        <v/>
      </c>
      <c r="AC3029" s="13">
        <f>SUMPRODUCT(N3029:Y3029,$N$4:$Y$4)*$K3029*$L3029*$M3029</f>
        <v/>
      </c>
      <c r="AD3029" s="15" t="n">
        <v>3</v>
      </c>
      <c r="AE3029" s="11" t="n">
        <v>1.011296296296296</v>
      </c>
      <c r="AF3029" s="16">
        <f>SUMPRODUCT(N3029:Y3029,$N$5:$Y$5)*$K3029*$L3029*$M3029</f>
        <v/>
      </c>
      <c r="AG3029" s="16">
        <f>SUMPRODUCT(N3029:Y3029,$N$6:$Y$6)*$K3029*$L3029*$M3029</f>
        <v/>
      </c>
      <c r="AH3029" s="20" t="n"/>
    </row>
    <row r="3030">
      <c r="A3030" s="9" t="n">
        <v>803247</v>
      </c>
      <c r="B3030" s="9" t="inlineStr">
        <is>
          <t>Jose Guedez</t>
        </is>
      </c>
      <c r="C3030" s="9" t="inlineStr">
        <is>
          <t>HOU</t>
        </is>
      </c>
      <c r="D3030" s="9" t="n">
        <v>25</v>
      </c>
      <c r="E3030" s="18" t="inlineStr">
        <is>
          <t>R</t>
        </is>
      </c>
      <c r="F3030" s="18" t="n"/>
      <c r="G3030" s="9" t="n">
        <v>70.23333333333332</v>
      </c>
      <c r="H3030" s="9" t="n">
        <v>70.23333333333332</v>
      </c>
      <c r="I3030" s="9" t="inlineStr">
        <is>
          <t>Depth (no MLB IP)</t>
        </is>
      </c>
      <c r="J3030" s="18" t="inlineStr">
        <is>
          <t>Opening Day</t>
        </is>
      </c>
      <c r="K3030" s="11">
        <f>IFERROR(INDEX(Roles!$B$17:$B$20,MATCH(J3030,Roles!$A$17:$A$20,0)),1)</f>
        <v/>
      </c>
      <c r="L3030" s="19" t="n">
        <v>1</v>
      </c>
      <c r="M3030" s="11" t="n">
        <v>1</v>
      </c>
      <c r="N3030" s="19" t="n"/>
      <c r="O3030" s="19" t="n"/>
      <c r="P3030" s="19" t="n"/>
      <c r="Q3030" s="19" t="n"/>
      <c r="R3030" s="19" t="n"/>
      <c r="S3030" s="19" t="n"/>
      <c r="T3030" s="19" t="n"/>
      <c r="U3030" s="19" t="n"/>
      <c r="V3030" s="19" t="n"/>
      <c r="W3030" s="19" t="n"/>
      <c r="X3030" s="19" t="n"/>
      <c r="Y3030" s="19" t="n">
        <v>1</v>
      </c>
      <c r="Z3030" s="13">
        <f>SUMPRODUCT(N3030:Y3030,$N$2:$Y$2)*$K3030*$L3030*$M3030</f>
        <v/>
      </c>
      <c r="AA3030" s="14">
        <f>SUM(N3030:Y3030)</f>
        <v/>
      </c>
      <c r="AB3030" s="13">
        <f>SUMPRODUCT(N3030:Y3030,$N$3:$Y$3)*$K3030*$L3030*$M3030</f>
        <v/>
      </c>
      <c r="AC3030" s="13">
        <f>SUMPRODUCT(N3030:Y3030,$N$4:$Y$4)*$K3030*$L3030*$M3030</f>
        <v/>
      </c>
      <c r="AD3030" s="15" t="n">
        <v>3</v>
      </c>
      <c r="AE3030" s="11" t="n">
        <v>1.011296296296296</v>
      </c>
      <c r="AF3030" s="16">
        <f>SUMPRODUCT(N3030:Y3030,$N$5:$Y$5)*$K3030*$L3030*$M3030</f>
        <v/>
      </c>
      <c r="AG3030" s="16">
        <f>SUMPRODUCT(N3030:Y3030,$N$6:$Y$6)*$K3030*$L3030*$M3030</f>
        <v/>
      </c>
      <c r="AH3030" s="20" t="n"/>
    </row>
    <row r="3031">
      <c r="A3031" s="9" t="n">
        <v>664948</v>
      </c>
      <c r="B3031" s="9" t="inlineStr">
        <is>
          <t>Anthony Misiewicz</t>
        </is>
      </c>
      <c r="C3031" s="9" t="inlineStr">
        <is>
          <t>NYY</t>
        </is>
      </c>
      <c r="D3031" s="9" t="n">
        <v>32</v>
      </c>
      <c r="E3031" s="18" t="inlineStr">
        <is>
          <t>L</t>
        </is>
      </c>
      <c r="F3031" s="18" t="n"/>
      <c r="G3031" s="9" t="n">
        <v>23</v>
      </c>
      <c r="H3031" s="9" t="n">
        <v>205</v>
      </c>
      <c r="I3031" s="9" t="inlineStr">
        <is>
          <t>Depth (no MLB IP)</t>
        </is>
      </c>
      <c r="J3031" s="18" t="inlineStr">
        <is>
          <t>Opening Day</t>
        </is>
      </c>
      <c r="K3031" s="11">
        <f>IFERROR(INDEX(Roles!$B$17:$B$20,MATCH(J3031,Roles!$A$17:$A$20,0)),1)</f>
        <v/>
      </c>
      <c r="L3031" s="19" t="n">
        <v>1</v>
      </c>
      <c r="M3031" s="11" t="n">
        <v>1</v>
      </c>
      <c r="N3031" s="19" t="n"/>
      <c r="O3031" s="19" t="n"/>
      <c r="P3031" s="19" t="n"/>
      <c r="Q3031" s="19" t="n"/>
      <c r="R3031" s="19" t="n"/>
      <c r="S3031" s="19" t="n"/>
      <c r="T3031" s="19" t="n"/>
      <c r="U3031" s="19" t="n"/>
      <c r="V3031" s="19" t="n"/>
      <c r="W3031" s="19" t="n"/>
      <c r="X3031" s="19" t="n"/>
      <c r="Y3031" s="19" t="n">
        <v>1</v>
      </c>
      <c r="Z3031" s="13">
        <f>SUMPRODUCT(N3031:Y3031,$N$2:$Y$2)*$K3031*$L3031*$M3031</f>
        <v/>
      </c>
      <c r="AA3031" s="14">
        <f>SUM(N3031:Y3031)</f>
        <v/>
      </c>
      <c r="AB3031" s="13">
        <f>SUMPRODUCT(N3031:Y3031,$N$3:$Y$3)*$K3031*$L3031*$M3031</f>
        <v/>
      </c>
      <c r="AC3031" s="13">
        <f>SUMPRODUCT(N3031:Y3031,$N$4:$Y$4)*$K3031*$L3031*$M3031</f>
        <v/>
      </c>
      <c r="AD3031" s="15" t="n">
        <v>3.4</v>
      </c>
      <c r="AE3031" s="11" t="n">
        <v>0.9873288439955104</v>
      </c>
      <c r="AF3031" s="16">
        <f>SUMPRODUCT(N3031:Y3031,$N$5:$Y$5)*$K3031*$L3031*$M3031</f>
        <v/>
      </c>
      <c r="AG3031" s="16">
        <f>SUMPRODUCT(N3031:Y3031,$N$6:$Y$6)*$K3031*$L3031*$M3031</f>
        <v/>
      </c>
      <c r="AH3031" s="20" t="n"/>
    </row>
    <row r="3032">
      <c r="A3032" s="9" t="n">
        <v>656222</v>
      </c>
      <c r="B3032" s="9" t="inlineStr">
        <is>
          <t>Jalen Beeks</t>
        </is>
      </c>
      <c r="C3032" s="9" t="inlineStr">
        <is>
          <t>TEX</t>
        </is>
      </c>
      <c r="D3032" s="9" t="n">
        <v>33</v>
      </c>
      <c r="E3032" s="18" t="inlineStr">
        <is>
          <t>L</t>
        </is>
      </c>
      <c r="F3032" s="18" t="n"/>
      <c r="G3032" s="9" t="n">
        <v>113</v>
      </c>
      <c r="H3032" s="9" t="n">
        <v>1098</v>
      </c>
      <c r="I3032" s="9" t="inlineStr">
        <is>
          <t>Bullpen Depth Arm</t>
        </is>
      </c>
      <c r="J3032" s="18" t="inlineStr">
        <is>
          <t>Opening Day</t>
        </is>
      </c>
      <c r="K3032" s="11">
        <f>IFERROR(INDEX(Roles!$B$17:$B$20,MATCH(J3032,Roles!$A$17:$A$20,0)),1)</f>
        <v/>
      </c>
      <c r="L3032" s="19" t="n">
        <v>1</v>
      </c>
      <c r="M3032" s="11" t="n">
        <v>1</v>
      </c>
      <c r="N3032" s="19" t="n"/>
      <c r="O3032" s="19" t="n"/>
      <c r="P3032" s="19" t="n"/>
      <c r="Q3032" s="19" t="n"/>
      <c r="R3032" s="19" t="n"/>
      <c r="S3032" s="19" t="n"/>
      <c r="T3032" s="19" t="n"/>
      <c r="U3032" s="19" t="n"/>
      <c r="V3032" s="19" t="n">
        <v>0.15</v>
      </c>
      <c r="W3032" s="19" t="n">
        <v>0.85</v>
      </c>
      <c r="X3032" s="19" t="n"/>
      <c r="Y3032" s="19" t="n"/>
      <c r="Z3032" s="13">
        <f>SUMPRODUCT(N3032:Y3032,$N$2:$Y$2)*$K3032*$L3032*$M3032</f>
        <v/>
      </c>
      <c r="AA3032" s="14">
        <f>SUM(N3032:Y3032)</f>
        <v/>
      </c>
      <c r="AB3032" s="13">
        <f>SUMPRODUCT(N3032:Y3032,$N$3:$Y$3)*$K3032*$L3032*$M3032</f>
        <v/>
      </c>
      <c r="AC3032" s="13">
        <f>SUMPRODUCT(N3032:Y3032,$N$4:$Y$4)*$K3032*$L3032*$M3032</f>
        <v/>
      </c>
      <c r="AD3032" s="15" t="n">
        <v>33.66666666666667</v>
      </c>
      <c r="AE3032" s="11" t="n">
        <v>1.114205547538881</v>
      </c>
      <c r="AF3032" s="16">
        <f>SUMPRODUCT(N3032:Y3032,$N$5:$Y$5)*$K3032*$L3032*$M3032</f>
        <v/>
      </c>
      <c r="AG3032" s="16">
        <f>SUMPRODUCT(N3032:Y3032,$N$6:$Y$6)*$K3032*$L3032*$M3032</f>
        <v/>
      </c>
      <c r="AH3032" s="20" t="n"/>
    </row>
    <row r="3033">
      <c r="A3033" s="9" t="n">
        <v>692632</v>
      </c>
      <c r="B3033" s="9" t="inlineStr">
        <is>
          <t>Yujanyer Herrera</t>
        </is>
      </c>
      <c r="C3033" s="9" t="inlineStr">
        <is>
          <t>COL</t>
        </is>
      </c>
      <c r="D3033" s="9" t="n">
        <v>25</v>
      </c>
      <c r="E3033" s="18" t="inlineStr">
        <is>
          <t>R</t>
        </is>
      </c>
      <c r="F3033" s="18" t="n"/>
      <c r="G3033" s="9" t="n">
        <v>70.52</v>
      </c>
      <c r="H3033" s="9" t="n">
        <v>70.52</v>
      </c>
      <c r="I3033" s="9" t="inlineStr">
        <is>
          <t>Depth (no MLB IP)</t>
        </is>
      </c>
      <c r="J3033" s="18" t="inlineStr">
        <is>
          <t>Opening Day</t>
        </is>
      </c>
      <c r="K3033" s="11">
        <f>IFERROR(INDEX(Roles!$B$17:$B$20,MATCH(J3033,Roles!$A$17:$A$20,0)),1)</f>
        <v/>
      </c>
      <c r="L3033" s="19" t="n">
        <v>1</v>
      </c>
      <c r="M3033" s="11" t="n">
        <v>1</v>
      </c>
      <c r="N3033" s="19" t="n"/>
      <c r="O3033" s="19" t="n"/>
      <c r="P3033" s="19" t="n"/>
      <c r="Q3033" s="19" t="n"/>
      <c r="R3033" s="19" t="n"/>
      <c r="S3033" s="19" t="n"/>
      <c r="T3033" s="19" t="n"/>
      <c r="U3033" s="19" t="n"/>
      <c r="V3033" s="19" t="n"/>
      <c r="W3033" s="19" t="n"/>
      <c r="X3033" s="19" t="n"/>
      <c r="Y3033" s="19" t="n">
        <v>1</v>
      </c>
      <c r="Z3033" s="13">
        <f>SUMPRODUCT(N3033:Y3033,$N$2:$Y$2)*$K3033*$L3033*$M3033</f>
        <v/>
      </c>
      <c r="AA3033" s="14">
        <f>SUM(N3033:Y3033)</f>
        <v/>
      </c>
      <c r="AB3033" s="13">
        <f>SUMPRODUCT(N3033:Y3033,$N$3:$Y$3)*$K3033*$L3033*$M3033</f>
        <v/>
      </c>
      <c r="AC3033" s="13">
        <f>SUMPRODUCT(N3033:Y3033,$N$4:$Y$4)*$K3033*$L3033*$M3033</f>
        <v/>
      </c>
      <c r="AD3033" s="15" t="n">
        <v>3</v>
      </c>
      <c r="AE3033" s="11" t="n">
        <v>1.011296296296296</v>
      </c>
      <c r="AF3033" s="16">
        <f>SUMPRODUCT(N3033:Y3033,$N$5:$Y$5)*$K3033*$L3033*$M3033</f>
        <v/>
      </c>
      <c r="AG3033" s="16">
        <f>SUMPRODUCT(N3033:Y3033,$N$6:$Y$6)*$K3033*$L3033*$M3033</f>
        <v/>
      </c>
      <c r="AH3033" s="20" t="n"/>
    </row>
    <row r="3034">
      <c r="A3034" s="9" t="n">
        <v>701549</v>
      </c>
      <c r="B3034" s="9" t="inlineStr">
        <is>
          <t>Jaylen Nowlin</t>
        </is>
      </c>
      <c r="C3034" s="9" t="inlineStr">
        <is>
          <t>MIN</t>
        </is>
      </c>
      <c r="D3034" s="9" t="n">
        <v>25</v>
      </c>
      <c r="E3034" s="18" t="inlineStr">
        <is>
          <t>L</t>
        </is>
      </c>
      <c r="F3034" s="18" t="n"/>
      <c r="G3034" s="9" t="n">
        <v>70.735</v>
      </c>
      <c r="H3034" s="9" t="n">
        <v>70.735</v>
      </c>
      <c r="I3034" s="9" t="inlineStr">
        <is>
          <t>Depth (no MLB IP)</t>
        </is>
      </c>
      <c r="J3034" s="18" t="inlineStr">
        <is>
          <t>Opening Day</t>
        </is>
      </c>
      <c r="K3034" s="11">
        <f>IFERROR(INDEX(Roles!$B$17:$B$20,MATCH(J3034,Roles!$A$17:$A$20,0)),1)</f>
        <v/>
      </c>
      <c r="L3034" s="19" t="n">
        <v>1</v>
      </c>
      <c r="M3034" s="11" t="n">
        <v>1</v>
      </c>
      <c r="N3034" s="19" t="n"/>
      <c r="O3034" s="19" t="n"/>
      <c r="P3034" s="19" t="n"/>
      <c r="Q3034" s="19" t="n"/>
      <c r="R3034" s="19" t="n"/>
      <c r="S3034" s="19" t="n"/>
      <c r="T3034" s="19" t="n"/>
      <c r="U3034" s="19" t="n"/>
      <c r="V3034" s="19" t="n"/>
      <c r="W3034" s="19" t="n"/>
      <c r="X3034" s="19" t="n"/>
      <c r="Y3034" s="19" t="n">
        <v>1</v>
      </c>
      <c r="Z3034" s="13">
        <f>SUMPRODUCT(N3034:Y3034,$N$2:$Y$2)*$K3034*$L3034*$M3034</f>
        <v/>
      </c>
      <c r="AA3034" s="14">
        <f>SUM(N3034:Y3034)</f>
        <v/>
      </c>
      <c r="AB3034" s="13">
        <f>SUMPRODUCT(N3034:Y3034,$N$3:$Y$3)*$K3034*$L3034*$M3034</f>
        <v/>
      </c>
      <c r="AC3034" s="13">
        <f>SUMPRODUCT(N3034:Y3034,$N$4:$Y$4)*$K3034*$L3034*$M3034</f>
        <v/>
      </c>
      <c r="AD3034" s="15" t="n">
        <v>3</v>
      </c>
      <c r="AE3034" s="11" t="n">
        <v>1.011296296296296</v>
      </c>
      <c r="AF3034" s="16">
        <f>SUMPRODUCT(N3034:Y3034,$N$5:$Y$5)*$K3034*$L3034*$M3034</f>
        <v/>
      </c>
      <c r="AG3034" s="16">
        <f>SUMPRODUCT(N3034:Y3034,$N$6:$Y$6)*$K3034*$L3034*$M3034</f>
        <v/>
      </c>
      <c r="AH3034" s="20" t="n"/>
    </row>
    <row r="3035">
      <c r="A3035" s="9" t="n">
        <v>679883</v>
      </c>
      <c r="B3035" s="9" t="inlineStr">
        <is>
          <t>Luinder Avila</t>
        </is>
      </c>
      <c r="C3035" s="9" t="inlineStr">
        <is>
          <t>KC</t>
        </is>
      </c>
      <c r="D3035" s="9" t="n">
        <v>25</v>
      </c>
      <c r="E3035" s="18" t="inlineStr">
        <is>
          <t>R</t>
        </is>
      </c>
      <c r="F3035" s="18" t="n"/>
      <c r="G3035" s="9" t="n">
        <v>309</v>
      </c>
      <c r="H3035" s="9" t="n">
        <v>365</v>
      </c>
      <c r="I3035" s="9" t="inlineStr">
        <is>
          <t>Bullpen Depth Arm</t>
        </is>
      </c>
      <c r="J3035" s="18" t="inlineStr">
        <is>
          <t>Opening Day</t>
        </is>
      </c>
      <c r="K3035" s="11">
        <f>IFERROR(INDEX(Roles!$B$17:$B$20,MATCH(J3035,Roles!$A$17:$A$20,0)),1)</f>
        <v/>
      </c>
      <c r="L3035" s="19" t="n">
        <v>1</v>
      </c>
      <c r="M3035" s="11" t="n">
        <v>1</v>
      </c>
      <c r="N3035" s="19" t="n"/>
      <c r="O3035" s="19" t="n"/>
      <c r="P3035" s="19" t="n"/>
      <c r="Q3035" s="19" t="n"/>
      <c r="R3035" s="19" t="n"/>
      <c r="S3035" s="19" t="n"/>
      <c r="T3035" s="19" t="n"/>
      <c r="U3035" s="19" t="n"/>
      <c r="V3035" s="19" t="n"/>
      <c r="W3035" s="19" t="n">
        <v>1</v>
      </c>
      <c r="X3035" s="19" t="n"/>
      <c r="Y3035" s="19" t="n"/>
      <c r="Z3035" s="13">
        <f>SUMPRODUCT(N3035:Y3035,$N$2:$Y$2)*$K3035*$L3035*$M3035</f>
        <v/>
      </c>
      <c r="AA3035" s="14">
        <f>SUM(N3035:Y3035)</f>
        <v/>
      </c>
      <c r="AB3035" s="13">
        <f>SUMPRODUCT(N3035:Y3035,$N$3:$Y$3)*$K3035*$L3035*$M3035</f>
        <v/>
      </c>
      <c r="AC3035" s="13">
        <f>SUMPRODUCT(N3035:Y3035,$N$4:$Y$4)*$K3035*$L3035*$M3035</f>
        <v/>
      </c>
      <c r="AD3035" s="15" t="n">
        <v>16.34666666666667</v>
      </c>
      <c r="AE3035" s="11" t="n">
        <v>1.69289290263073</v>
      </c>
      <c r="AF3035" s="16">
        <f>SUMPRODUCT(N3035:Y3035,$N$5:$Y$5)*$K3035*$L3035*$M3035</f>
        <v/>
      </c>
      <c r="AG3035" s="16">
        <f>SUMPRODUCT(N3035:Y3035,$N$6:$Y$6)*$K3035*$L3035*$M3035</f>
        <v/>
      </c>
      <c r="AH3035" s="20" t="n"/>
    </row>
    <row r="3036">
      <c r="A3036" s="9" t="n">
        <v>676510</v>
      </c>
      <c r="B3036" s="9" t="inlineStr">
        <is>
          <t>Nolan Hoffman</t>
        </is>
      </c>
      <c r="C3036" s="9" t="inlineStr">
        <is>
          <t>KC</t>
        </is>
      </c>
      <c r="D3036" s="9" t="n">
        <v>29</v>
      </c>
      <c r="E3036" s="18" t="inlineStr">
        <is>
          <t>R</t>
        </is>
      </c>
      <c r="F3036" s="18" t="n"/>
      <c r="G3036" s="9" t="n">
        <v>67</v>
      </c>
      <c r="H3036" s="9" t="n">
        <v>74</v>
      </c>
      <c r="I3036" s="9" t="inlineStr">
        <is>
          <t>Swing Arm / Long Relief</t>
        </is>
      </c>
      <c r="J3036" s="18" t="inlineStr">
        <is>
          <t>Opening Day</t>
        </is>
      </c>
      <c r="K3036" s="11">
        <f>IFERROR(INDEX(Roles!$B$17:$B$20,MATCH(J3036,Roles!$A$17:$A$20,0)),1)</f>
        <v/>
      </c>
      <c r="L3036" s="19" t="n">
        <v>1</v>
      </c>
      <c r="M3036" s="11" t="n">
        <v>1</v>
      </c>
      <c r="N3036" s="19" t="n"/>
      <c r="O3036" s="19" t="n"/>
      <c r="P3036" s="19" t="n"/>
      <c r="Q3036" s="19" t="n"/>
      <c r="R3036" s="19" t="n">
        <v>0.6</v>
      </c>
      <c r="S3036" s="19" t="n"/>
      <c r="T3036" s="19" t="n"/>
      <c r="U3036" s="19" t="n"/>
      <c r="V3036" s="19" t="n"/>
      <c r="W3036" s="19" t="n">
        <v>0.4</v>
      </c>
      <c r="X3036" s="19" t="n"/>
      <c r="Y3036" s="19" t="n"/>
      <c r="Z3036" s="13">
        <f>SUMPRODUCT(N3036:Y3036,$N$2:$Y$2)*$K3036*$L3036*$M3036</f>
        <v/>
      </c>
      <c r="AA3036" s="14">
        <f>SUM(N3036:Y3036)</f>
        <v/>
      </c>
      <c r="AB3036" s="13">
        <f>SUMPRODUCT(N3036:Y3036,$N$3:$Y$3)*$K3036*$L3036*$M3036</f>
        <v/>
      </c>
      <c r="AC3036" s="13">
        <f>SUMPRODUCT(N3036:Y3036,$N$4:$Y$4)*$K3036*$L3036*$M3036</f>
        <v/>
      </c>
      <c r="AD3036" s="15" t="n">
        <v>13.77333333333334</v>
      </c>
      <c r="AE3036" s="11" t="n">
        <v>2.001821493624773</v>
      </c>
      <c r="AF3036" s="16">
        <f>SUMPRODUCT(N3036:Y3036,$N$5:$Y$5)*$K3036*$L3036*$M3036</f>
        <v/>
      </c>
      <c r="AG3036" s="16">
        <f>SUMPRODUCT(N3036:Y3036,$N$6:$Y$6)*$K3036*$L3036*$M3036</f>
        <v/>
      </c>
      <c r="AH3036" s="20" t="n"/>
    </row>
    <row r="3037">
      <c r="A3037" s="9" t="n">
        <v>802105</v>
      </c>
      <c r="B3037" s="9" t="inlineStr">
        <is>
          <t>Yeriel Santos</t>
        </is>
      </c>
      <c r="C3037" s="9" t="inlineStr">
        <is>
          <t>HOU</t>
        </is>
      </c>
      <c r="D3037" s="9" t="n">
        <v>25</v>
      </c>
      <c r="E3037" s="18" t="inlineStr">
        <is>
          <t>R</t>
        </is>
      </c>
      <c r="F3037" s="18" t="n"/>
      <c r="G3037" s="9" t="n">
        <v>70.80666666666666</v>
      </c>
      <c r="H3037" s="9" t="n">
        <v>70.80666666666666</v>
      </c>
      <c r="I3037" s="9" t="inlineStr">
        <is>
          <t>Depth (no MLB IP)</t>
        </is>
      </c>
      <c r="J3037" s="18" t="inlineStr">
        <is>
          <t>Opening Day</t>
        </is>
      </c>
      <c r="K3037" s="11">
        <f>IFERROR(INDEX(Roles!$B$17:$B$20,MATCH(J3037,Roles!$A$17:$A$20,0)),1)</f>
        <v/>
      </c>
      <c r="L3037" s="19" t="n">
        <v>1</v>
      </c>
      <c r="M3037" s="11" t="n">
        <v>1</v>
      </c>
      <c r="N3037" s="19" t="n"/>
      <c r="O3037" s="19" t="n"/>
      <c r="P3037" s="19" t="n"/>
      <c r="Q3037" s="19" t="n"/>
      <c r="R3037" s="19" t="n"/>
      <c r="S3037" s="19" t="n"/>
      <c r="T3037" s="19" t="n"/>
      <c r="U3037" s="19" t="n"/>
      <c r="V3037" s="19" t="n"/>
      <c r="W3037" s="19" t="n"/>
      <c r="X3037" s="19" t="n"/>
      <c r="Y3037" s="19" t="n">
        <v>1</v>
      </c>
      <c r="Z3037" s="13">
        <f>SUMPRODUCT(N3037:Y3037,$N$2:$Y$2)*$K3037*$L3037*$M3037</f>
        <v/>
      </c>
      <c r="AA3037" s="14">
        <f>SUM(N3037:Y3037)</f>
        <v/>
      </c>
      <c r="AB3037" s="13">
        <f>SUMPRODUCT(N3037:Y3037,$N$3:$Y$3)*$K3037*$L3037*$M3037</f>
        <v/>
      </c>
      <c r="AC3037" s="13">
        <f>SUMPRODUCT(N3037:Y3037,$N$4:$Y$4)*$K3037*$L3037*$M3037</f>
        <v/>
      </c>
      <c r="AD3037" s="15" t="n">
        <v>3</v>
      </c>
      <c r="AE3037" s="11" t="n">
        <v>1.011296296296296</v>
      </c>
      <c r="AF3037" s="16">
        <f>SUMPRODUCT(N3037:Y3037,$N$5:$Y$5)*$K3037*$L3037*$M3037</f>
        <v/>
      </c>
      <c r="AG3037" s="16">
        <f>SUMPRODUCT(N3037:Y3037,$N$6:$Y$6)*$K3037*$L3037*$M3037</f>
        <v/>
      </c>
      <c r="AH3037" s="20" t="n"/>
    </row>
    <row r="3038">
      <c r="A3038" s="9" t="n">
        <v>673858</v>
      </c>
      <c r="B3038" s="9" t="inlineStr">
        <is>
          <t>Jake Wong</t>
        </is>
      </c>
      <c r="C3038" s="9" t="inlineStr">
        <is>
          <t>CIN</t>
        </is>
      </c>
      <c r="D3038" s="9" t="n">
        <v>30</v>
      </c>
      <c r="E3038" s="18" t="inlineStr">
        <is>
          <t>R</t>
        </is>
      </c>
      <c r="F3038" s="18" t="n"/>
      <c r="G3038" s="9" t="n">
        <v>15</v>
      </c>
      <c r="H3038" s="9" t="n">
        <v>15</v>
      </c>
      <c r="I3038" s="9" t="inlineStr">
        <is>
          <t>Depth (no MLB IP)</t>
        </is>
      </c>
      <c r="J3038" s="18" t="inlineStr">
        <is>
          <t>Opening Day</t>
        </is>
      </c>
      <c r="K3038" s="11">
        <f>IFERROR(INDEX(Roles!$B$17:$B$20,MATCH(J3038,Roles!$A$17:$A$20,0)),1)</f>
        <v/>
      </c>
      <c r="L3038" s="19" t="n">
        <v>1</v>
      </c>
      <c r="M3038" s="11" t="n">
        <v>1</v>
      </c>
      <c r="N3038" s="19" t="n"/>
      <c r="O3038" s="19" t="n"/>
      <c r="P3038" s="19" t="n"/>
      <c r="Q3038" s="19" t="n"/>
      <c r="R3038" s="19" t="n"/>
      <c r="S3038" s="19" t="n"/>
      <c r="T3038" s="19" t="n"/>
      <c r="U3038" s="19" t="n"/>
      <c r="V3038" s="19" t="n"/>
      <c r="W3038" s="19" t="n"/>
      <c r="X3038" s="19" t="n"/>
      <c r="Y3038" s="19" t="n">
        <v>1</v>
      </c>
      <c r="Z3038" s="13">
        <f>SUMPRODUCT(N3038:Y3038,$N$2:$Y$2)*$K3038*$L3038*$M3038</f>
        <v/>
      </c>
      <c r="AA3038" s="14">
        <f>SUM(N3038:Y3038)</f>
        <v/>
      </c>
      <c r="AB3038" s="13">
        <f>SUMPRODUCT(N3038:Y3038,$N$3:$Y$3)*$K3038*$L3038*$M3038</f>
        <v/>
      </c>
      <c r="AC3038" s="13">
        <f>SUMPRODUCT(N3038:Y3038,$N$4:$Y$4)*$K3038*$L3038*$M3038</f>
        <v/>
      </c>
      <c r="AD3038" s="15" t="n">
        <v>3</v>
      </c>
      <c r="AE3038" s="11" t="n">
        <v>1.011296296296296</v>
      </c>
      <c r="AF3038" s="16">
        <f>SUMPRODUCT(N3038:Y3038,$N$5:$Y$5)*$K3038*$L3038*$M3038</f>
        <v/>
      </c>
      <c r="AG3038" s="16">
        <f>SUMPRODUCT(N3038:Y3038,$N$6:$Y$6)*$K3038*$L3038*$M3038</f>
        <v/>
      </c>
      <c r="AH3038" s="20" t="n"/>
    </row>
    <row r="3039">
      <c r="A3039" s="9" t="n">
        <v>689297</v>
      </c>
      <c r="B3039" s="9" t="inlineStr">
        <is>
          <t>Brody Jessee</t>
        </is>
      </c>
      <c r="C3039" s="9" t="inlineStr">
        <is>
          <t>CIN</t>
        </is>
      </c>
      <c r="D3039" s="9" t="n">
        <v>25</v>
      </c>
      <c r="E3039" s="18" t="inlineStr">
        <is>
          <t>R</t>
        </is>
      </c>
      <c r="F3039" s="18" t="n"/>
      <c r="G3039" s="9" t="n">
        <v>70.735</v>
      </c>
      <c r="H3039" s="9" t="n">
        <v>70.735</v>
      </c>
      <c r="I3039" s="9" t="inlineStr">
        <is>
          <t>Depth (no MLB IP)</t>
        </is>
      </c>
      <c r="J3039" s="18" t="inlineStr">
        <is>
          <t>Opening Day</t>
        </is>
      </c>
      <c r="K3039" s="11">
        <f>IFERROR(INDEX(Roles!$B$17:$B$20,MATCH(J3039,Roles!$A$17:$A$20,0)),1)</f>
        <v/>
      </c>
      <c r="L3039" s="19" t="n">
        <v>1</v>
      </c>
      <c r="M3039" s="11" t="n">
        <v>1</v>
      </c>
      <c r="N3039" s="19" t="n"/>
      <c r="O3039" s="19" t="n"/>
      <c r="P3039" s="19" t="n"/>
      <c r="Q3039" s="19" t="n"/>
      <c r="R3039" s="19" t="n"/>
      <c r="S3039" s="19" t="n"/>
      <c r="T3039" s="19" t="n"/>
      <c r="U3039" s="19" t="n"/>
      <c r="V3039" s="19" t="n"/>
      <c r="W3039" s="19" t="n"/>
      <c r="X3039" s="19" t="n"/>
      <c r="Y3039" s="19" t="n">
        <v>1</v>
      </c>
      <c r="Z3039" s="13">
        <f>SUMPRODUCT(N3039:Y3039,$N$2:$Y$2)*$K3039*$L3039*$M3039</f>
        <v/>
      </c>
      <c r="AA3039" s="14">
        <f>SUM(N3039:Y3039)</f>
        <v/>
      </c>
      <c r="AB3039" s="13">
        <f>SUMPRODUCT(N3039:Y3039,$N$3:$Y$3)*$K3039*$L3039*$M3039</f>
        <v/>
      </c>
      <c r="AC3039" s="13">
        <f>SUMPRODUCT(N3039:Y3039,$N$4:$Y$4)*$K3039*$L3039*$M3039</f>
        <v/>
      </c>
      <c r="AD3039" s="15" t="n">
        <v>3</v>
      </c>
      <c r="AE3039" s="11" t="n">
        <v>1.011296296296296</v>
      </c>
      <c r="AF3039" s="16">
        <f>SUMPRODUCT(N3039:Y3039,$N$5:$Y$5)*$K3039*$L3039*$M3039</f>
        <v/>
      </c>
      <c r="AG3039" s="16">
        <f>SUMPRODUCT(N3039:Y3039,$N$6:$Y$6)*$K3039*$L3039*$M3039</f>
        <v/>
      </c>
      <c r="AH3039" s="20" t="n"/>
    </row>
    <row r="3040">
      <c r="A3040" s="9" t="n">
        <v>687268</v>
      </c>
      <c r="B3040" s="9" t="inlineStr">
        <is>
          <t>K.C. Hunt</t>
        </is>
      </c>
      <c r="C3040" s="9" t="inlineStr">
        <is>
          <t>TB</t>
        </is>
      </c>
      <c r="D3040" s="9" t="n">
        <v>25</v>
      </c>
      <c r="E3040" s="18" t="inlineStr">
        <is>
          <t>R</t>
        </is>
      </c>
      <c r="F3040" s="18" t="n"/>
      <c r="G3040" s="9" t="n">
        <v>70.95</v>
      </c>
      <c r="H3040" s="9" t="n">
        <v>70.95</v>
      </c>
      <c r="I3040" s="9" t="inlineStr">
        <is>
          <t>Depth (no MLB IP)</t>
        </is>
      </c>
      <c r="J3040" s="18" t="inlineStr">
        <is>
          <t>Opening Day</t>
        </is>
      </c>
      <c r="K3040" s="11">
        <f>IFERROR(INDEX(Roles!$B$17:$B$20,MATCH(J3040,Roles!$A$17:$A$20,0)),1)</f>
        <v/>
      </c>
      <c r="L3040" s="19" t="n">
        <v>1</v>
      </c>
      <c r="M3040" s="11" t="n">
        <v>1</v>
      </c>
      <c r="N3040" s="19" t="n"/>
      <c r="O3040" s="19" t="n"/>
      <c r="P3040" s="19" t="n"/>
      <c r="Q3040" s="19" t="n"/>
      <c r="R3040" s="19" t="n"/>
      <c r="S3040" s="19" t="n"/>
      <c r="T3040" s="19" t="n"/>
      <c r="U3040" s="19" t="n"/>
      <c r="V3040" s="19" t="n"/>
      <c r="W3040" s="19" t="n"/>
      <c r="X3040" s="19" t="n"/>
      <c r="Y3040" s="19" t="n">
        <v>1</v>
      </c>
      <c r="Z3040" s="13">
        <f>SUMPRODUCT(N3040:Y3040,$N$2:$Y$2)*$K3040*$L3040*$M3040</f>
        <v/>
      </c>
      <c r="AA3040" s="14">
        <f>SUM(N3040:Y3040)</f>
        <v/>
      </c>
      <c r="AB3040" s="13">
        <f>SUMPRODUCT(N3040:Y3040,$N$3:$Y$3)*$K3040*$L3040*$M3040</f>
        <v/>
      </c>
      <c r="AC3040" s="13">
        <f>SUMPRODUCT(N3040:Y3040,$N$4:$Y$4)*$K3040*$L3040*$M3040</f>
        <v/>
      </c>
      <c r="AD3040" s="15" t="n">
        <v>3</v>
      </c>
      <c r="AE3040" s="11" t="n">
        <v>1.011296296296296</v>
      </c>
      <c r="AF3040" s="16">
        <f>SUMPRODUCT(N3040:Y3040,$N$5:$Y$5)*$K3040*$L3040*$M3040</f>
        <v/>
      </c>
      <c r="AG3040" s="16">
        <f>SUMPRODUCT(N3040:Y3040,$N$6:$Y$6)*$K3040*$L3040*$M3040</f>
        <v/>
      </c>
      <c r="AH3040" s="20" t="n"/>
    </row>
    <row r="3041">
      <c r="A3041" s="9" t="n">
        <v>694364</v>
      </c>
      <c r="B3041" s="9" t="inlineStr">
        <is>
          <t>Caden Grice</t>
        </is>
      </c>
      <c r="C3041" s="9" t="inlineStr">
        <is>
          <t>ARI</t>
        </is>
      </c>
      <c r="D3041" s="9" t="n">
        <v>25</v>
      </c>
      <c r="E3041" s="18" t="inlineStr">
        <is>
          <t>L</t>
        </is>
      </c>
      <c r="F3041" s="18" t="n"/>
      <c r="G3041" s="9" t="n">
        <v>71.09333333333335</v>
      </c>
      <c r="H3041" s="9" t="n">
        <v>71.09333333333335</v>
      </c>
      <c r="I3041" s="9" t="inlineStr">
        <is>
          <t>Depth (no MLB IP)</t>
        </is>
      </c>
      <c r="J3041" s="18" t="inlineStr">
        <is>
          <t>Opening Day</t>
        </is>
      </c>
      <c r="K3041" s="11">
        <f>IFERROR(INDEX(Roles!$B$17:$B$20,MATCH(J3041,Roles!$A$17:$A$20,0)),1)</f>
        <v/>
      </c>
      <c r="L3041" s="19" t="n">
        <v>1</v>
      </c>
      <c r="M3041" s="11" t="n">
        <v>1</v>
      </c>
      <c r="N3041" s="19" t="n"/>
      <c r="O3041" s="19" t="n"/>
      <c r="P3041" s="19" t="n"/>
      <c r="Q3041" s="19" t="n"/>
      <c r="R3041" s="19" t="n"/>
      <c r="S3041" s="19" t="n"/>
      <c r="T3041" s="19" t="n"/>
      <c r="U3041" s="19" t="n"/>
      <c r="V3041" s="19" t="n"/>
      <c r="W3041" s="19" t="n"/>
      <c r="X3041" s="19" t="n"/>
      <c r="Y3041" s="19" t="n">
        <v>1</v>
      </c>
      <c r="Z3041" s="13">
        <f>SUMPRODUCT(N3041:Y3041,$N$2:$Y$2)*$K3041*$L3041*$M3041</f>
        <v/>
      </c>
      <c r="AA3041" s="14">
        <f>SUM(N3041:Y3041)</f>
        <v/>
      </c>
      <c r="AB3041" s="13">
        <f>SUMPRODUCT(N3041:Y3041,$N$3:$Y$3)*$K3041*$L3041*$M3041</f>
        <v/>
      </c>
      <c r="AC3041" s="13">
        <f>SUMPRODUCT(N3041:Y3041,$N$4:$Y$4)*$K3041*$L3041*$M3041</f>
        <v/>
      </c>
      <c r="AD3041" s="15" t="n">
        <v>3</v>
      </c>
      <c r="AE3041" s="11" t="n">
        <v>1.011296296296296</v>
      </c>
      <c r="AF3041" s="16">
        <f>SUMPRODUCT(N3041:Y3041,$N$5:$Y$5)*$K3041*$L3041*$M3041</f>
        <v/>
      </c>
      <c r="AG3041" s="16">
        <f>SUMPRODUCT(N3041:Y3041,$N$6:$Y$6)*$K3041*$L3041*$M3041</f>
        <v/>
      </c>
      <c r="AH3041" s="20" t="n"/>
    </row>
    <row r="3042">
      <c r="A3042" s="9" t="n">
        <v>702275</v>
      </c>
      <c r="B3042" s="9" t="inlineStr">
        <is>
          <t>JR Ritchie</t>
        </is>
      </c>
      <c r="C3042" s="9" t="inlineStr">
        <is>
          <t>ATL</t>
        </is>
      </c>
      <c r="D3042" s="9" t="n">
        <v>24</v>
      </c>
      <c r="E3042" s="18" t="inlineStr">
        <is>
          <t>R</t>
        </is>
      </c>
      <c r="F3042" s="18" t="n"/>
      <c r="G3042" s="9" t="n">
        <v>326</v>
      </c>
      <c r="H3042" s="9" t="n">
        <v>326</v>
      </c>
      <c r="I3042" s="9" t="inlineStr">
        <is>
          <t>Swing Arm / Long Relief</t>
        </is>
      </c>
      <c r="J3042" s="18" t="inlineStr">
        <is>
          <t>Opening Day</t>
        </is>
      </c>
      <c r="K3042" s="11">
        <f>IFERROR(INDEX(Roles!$B$17:$B$20,MATCH(J3042,Roles!$A$17:$A$20,0)),1)</f>
        <v/>
      </c>
      <c r="L3042" s="19" t="n">
        <v>1</v>
      </c>
      <c r="M3042" s="11" t="n">
        <v>1</v>
      </c>
      <c r="N3042" s="19" t="n"/>
      <c r="O3042" s="19" t="n"/>
      <c r="P3042" s="19" t="n"/>
      <c r="Q3042" s="19" t="n"/>
      <c r="R3042" s="19" t="n">
        <v>0.5</v>
      </c>
      <c r="S3042" s="19" t="n"/>
      <c r="T3042" s="19" t="n"/>
      <c r="U3042" s="19" t="n"/>
      <c r="V3042" s="19" t="n">
        <v>0.5</v>
      </c>
      <c r="W3042" s="19" t="n"/>
      <c r="X3042" s="19" t="n"/>
      <c r="Y3042" s="19" t="n"/>
      <c r="Z3042" s="13">
        <f>SUMPRODUCT(N3042:Y3042,$N$2:$Y$2)*$K3042*$L3042*$M3042</f>
        <v/>
      </c>
      <c r="AA3042" s="14">
        <f>SUM(N3042:Y3042)</f>
        <v/>
      </c>
      <c r="AB3042" s="13">
        <f>SUMPRODUCT(N3042:Y3042,$N$3:$Y$3)*$K3042*$L3042*$M3042</f>
        <v/>
      </c>
      <c r="AC3042" s="13">
        <f>SUMPRODUCT(N3042:Y3042,$N$4:$Y$4)*$K3042*$L3042*$M3042</f>
        <v/>
      </c>
      <c r="AD3042" s="15" t="n">
        <v>18.33333333333333</v>
      </c>
      <c r="AE3042" s="11" t="n">
        <v>3.106396657023465</v>
      </c>
      <c r="AF3042" s="16">
        <f>SUMPRODUCT(N3042:Y3042,$N$5:$Y$5)*$K3042*$L3042*$M3042</f>
        <v/>
      </c>
      <c r="AG3042" s="16">
        <f>SUMPRODUCT(N3042:Y3042,$N$6:$Y$6)*$K3042*$L3042*$M3042</f>
        <v/>
      </c>
      <c r="AH3042" s="20" t="n"/>
    </row>
    <row r="3043">
      <c r="A3043" s="9" t="n">
        <v>608334</v>
      </c>
      <c r="B3043" s="9" t="inlineStr">
        <is>
          <t>Carson Fulmer</t>
        </is>
      </c>
      <c r="C3043" s="9" t="inlineStr">
        <is>
          <t>LAA</t>
        </is>
      </c>
      <c r="D3043" s="9" t="n">
        <v>33</v>
      </c>
      <c r="E3043" s="18" t="inlineStr">
        <is>
          <t>R</t>
        </is>
      </c>
      <c r="F3043" s="18" t="n"/>
      <c r="G3043" s="9" t="n">
        <v>123</v>
      </c>
      <c r="H3043" s="9" t="n">
        <v>541</v>
      </c>
      <c r="I3043" s="9" t="inlineStr">
        <is>
          <t>Middle Relief</t>
        </is>
      </c>
      <c r="J3043" s="18" t="inlineStr">
        <is>
          <t>Opening Day</t>
        </is>
      </c>
      <c r="K3043" s="11">
        <f>IFERROR(INDEX(Roles!$B$17:$B$20,MATCH(J3043,Roles!$A$17:$A$20,0)),1)</f>
        <v/>
      </c>
      <c r="L3043" s="19" t="n">
        <v>1</v>
      </c>
      <c r="M3043" s="11" t="n">
        <v>1</v>
      </c>
      <c r="N3043" s="19" t="n"/>
      <c r="O3043" s="19" t="n"/>
      <c r="P3043" s="19" t="n"/>
      <c r="Q3043" s="19" t="n"/>
      <c r="R3043" s="19" t="n"/>
      <c r="S3043" s="19" t="n"/>
      <c r="T3043" s="19" t="n"/>
      <c r="U3043" s="19" t="n"/>
      <c r="V3043" s="19" t="n">
        <v>1</v>
      </c>
      <c r="W3043" s="19" t="n"/>
      <c r="X3043" s="19" t="n"/>
      <c r="Y3043" s="19" t="n"/>
      <c r="Z3043" s="13">
        <f>SUMPRODUCT(N3043:Y3043,$N$2:$Y$2)*$K3043*$L3043*$M3043</f>
        <v/>
      </c>
      <c r="AA3043" s="14">
        <f>SUM(N3043:Y3043)</f>
        <v/>
      </c>
      <c r="AB3043" s="13">
        <f>SUMPRODUCT(N3043:Y3043,$N$3:$Y$3)*$K3043*$L3043*$M3043</f>
        <v/>
      </c>
      <c r="AC3043" s="13">
        <f>SUMPRODUCT(N3043:Y3043,$N$4:$Y$4)*$K3043*$L3043*$M3043</f>
        <v/>
      </c>
      <c r="AD3043" s="15" t="n">
        <v>27.33333333333333</v>
      </c>
      <c r="AE3043" s="11" t="n">
        <v>1.458103200401516</v>
      </c>
      <c r="AF3043" s="16">
        <f>SUMPRODUCT(N3043:Y3043,$N$5:$Y$5)*$K3043*$L3043*$M3043</f>
        <v/>
      </c>
      <c r="AG3043" s="16">
        <f>SUMPRODUCT(N3043:Y3043,$N$6:$Y$6)*$K3043*$L3043*$M3043</f>
        <v/>
      </c>
      <c r="AH3043" s="20" t="n"/>
    </row>
    <row r="3044">
      <c r="A3044" s="9" t="n">
        <v>692352</v>
      </c>
      <c r="B3044" s="9" t="inlineStr">
        <is>
          <t>Manuel Mercedes</t>
        </is>
      </c>
      <c r="C3044" s="9" t="inlineStr">
        <is>
          <t>SF</t>
        </is>
      </c>
      <c r="D3044" s="9" t="n">
        <v>25</v>
      </c>
      <c r="E3044" s="18" t="inlineStr">
        <is>
          <t>R</t>
        </is>
      </c>
      <c r="F3044" s="18" t="n"/>
      <c r="G3044" s="9" t="n">
        <v>71.23666666666666</v>
      </c>
      <c r="H3044" s="9" t="n">
        <v>71.23666666666666</v>
      </c>
      <c r="I3044" s="9" t="inlineStr">
        <is>
          <t>Depth (no MLB IP)</t>
        </is>
      </c>
      <c r="J3044" s="18" t="inlineStr">
        <is>
          <t>Opening Day</t>
        </is>
      </c>
      <c r="K3044" s="11">
        <f>IFERROR(INDEX(Roles!$B$17:$B$20,MATCH(J3044,Roles!$A$17:$A$20,0)),1)</f>
        <v/>
      </c>
      <c r="L3044" s="19" t="n">
        <v>1</v>
      </c>
      <c r="M3044" s="11" t="n">
        <v>1</v>
      </c>
      <c r="N3044" s="19" t="n"/>
      <c r="O3044" s="19" t="n"/>
      <c r="P3044" s="19" t="n"/>
      <c r="Q3044" s="19" t="n"/>
      <c r="R3044" s="19" t="n"/>
      <c r="S3044" s="19" t="n"/>
      <c r="T3044" s="19" t="n"/>
      <c r="U3044" s="19" t="n"/>
      <c r="V3044" s="19" t="n"/>
      <c r="W3044" s="19" t="n"/>
      <c r="X3044" s="19" t="n"/>
      <c r="Y3044" s="19" t="n">
        <v>1</v>
      </c>
      <c r="Z3044" s="13">
        <f>SUMPRODUCT(N3044:Y3044,$N$2:$Y$2)*$K3044*$L3044*$M3044</f>
        <v/>
      </c>
      <c r="AA3044" s="14">
        <f>SUM(N3044:Y3044)</f>
        <v/>
      </c>
      <c r="AB3044" s="13">
        <f>SUMPRODUCT(N3044:Y3044,$N$3:$Y$3)*$K3044*$L3044*$M3044</f>
        <v/>
      </c>
      <c r="AC3044" s="13">
        <f>SUMPRODUCT(N3044:Y3044,$N$4:$Y$4)*$K3044*$L3044*$M3044</f>
        <v/>
      </c>
      <c r="AD3044" s="15" t="n">
        <v>3</v>
      </c>
      <c r="AE3044" s="11" t="n">
        <v>1.011296296296296</v>
      </c>
      <c r="AF3044" s="16">
        <f>SUMPRODUCT(N3044:Y3044,$N$5:$Y$5)*$K3044*$L3044*$M3044</f>
        <v/>
      </c>
      <c r="AG3044" s="16">
        <f>SUMPRODUCT(N3044:Y3044,$N$6:$Y$6)*$K3044*$L3044*$M3044</f>
        <v/>
      </c>
      <c r="AH3044" s="20" t="n"/>
    </row>
    <row r="3045">
      <c r="A3045" s="9" t="n">
        <v>699546</v>
      </c>
      <c r="B3045" s="9" t="inlineStr">
        <is>
          <t>Jamie Hitt</t>
        </is>
      </c>
      <c r="C3045" s="9" t="inlineStr">
        <is>
          <t>SD</t>
        </is>
      </c>
      <c r="D3045" s="9" t="n">
        <v>25</v>
      </c>
      <c r="E3045" s="18" t="inlineStr">
        <is>
          <t>L</t>
        </is>
      </c>
      <c r="F3045" s="18" t="n"/>
      <c r="G3045" s="9" t="n">
        <v>71.23666666666666</v>
      </c>
      <c r="H3045" s="9" t="n">
        <v>71.23666666666666</v>
      </c>
      <c r="I3045" s="9" t="inlineStr">
        <is>
          <t>Depth (no MLB IP)</t>
        </is>
      </c>
      <c r="J3045" s="18" t="inlineStr">
        <is>
          <t>Opening Day</t>
        </is>
      </c>
      <c r="K3045" s="11">
        <f>IFERROR(INDEX(Roles!$B$17:$B$20,MATCH(J3045,Roles!$A$17:$A$20,0)),1)</f>
        <v/>
      </c>
      <c r="L3045" s="19" t="n">
        <v>1</v>
      </c>
      <c r="M3045" s="11" t="n">
        <v>1</v>
      </c>
      <c r="N3045" s="19" t="n"/>
      <c r="O3045" s="19" t="n"/>
      <c r="P3045" s="19" t="n"/>
      <c r="Q3045" s="19" t="n"/>
      <c r="R3045" s="19" t="n"/>
      <c r="S3045" s="19" t="n"/>
      <c r="T3045" s="19" t="n"/>
      <c r="U3045" s="19" t="n"/>
      <c r="V3045" s="19" t="n"/>
      <c r="W3045" s="19" t="n"/>
      <c r="X3045" s="19" t="n"/>
      <c r="Y3045" s="19" t="n">
        <v>1</v>
      </c>
      <c r="Z3045" s="13">
        <f>SUMPRODUCT(N3045:Y3045,$N$2:$Y$2)*$K3045*$L3045*$M3045</f>
        <v/>
      </c>
      <c r="AA3045" s="14">
        <f>SUM(N3045:Y3045)</f>
        <v/>
      </c>
      <c r="AB3045" s="13">
        <f>SUMPRODUCT(N3045:Y3045,$N$3:$Y$3)*$K3045*$L3045*$M3045</f>
        <v/>
      </c>
      <c r="AC3045" s="13">
        <f>SUMPRODUCT(N3045:Y3045,$N$4:$Y$4)*$K3045*$L3045*$M3045</f>
        <v/>
      </c>
      <c r="AD3045" s="15" t="n">
        <v>3</v>
      </c>
      <c r="AE3045" s="11" t="n">
        <v>1.011296296296296</v>
      </c>
      <c r="AF3045" s="16">
        <f>SUMPRODUCT(N3045:Y3045,$N$5:$Y$5)*$K3045*$L3045*$M3045</f>
        <v/>
      </c>
      <c r="AG3045" s="16">
        <f>SUMPRODUCT(N3045:Y3045,$N$6:$Y$6)*$K3045*$L3045*$M3045</f>
        <v/>
      </c>
      <c r="AH3045" s="20" t="n"/>
    </row>
    <row r="3046">
      <c r="A3046" s="9" t="n">
        <v>681458</v>
      </c>
      <c r="B3046" s="9" t="inlineStr">
        <is>
          <t>Yosber Sanchez</t>
        </is>
      </c>
      <c r="C3046" s="9" t="inlineStr">
        <is>
          <t>DET</t>
        </is>
      </c>
      <c r="D3046" s="9" t="n">
        <v>25</v>
      </c>
      <c r="E3046" s="18" t="inlineStr">
        <is>
          <t>R</t>
        </is>
      </c>
      <c r="F3046" s="18" t="n"/>
      <c r="G3046" s="9" t="n">
        <v>71.23666666666666</v>
      </c>
      <c r="H3046" s="9" t="n">
        <v>71.23666666666666</v>
      </c>
      <c r="I3046" s="9" t="inlineStr">
        <is>
          <t>Depth (no MLB IP)</t>
        </is>
      </c>
      <c r="J3046" s="18" t="inlineStr">
        <is>
          <t>Opening Day</t>
        </is>
      </c>
      <c r="K3046" s="11">
        <f>IFERROR(INDEX(Roles!$B$17:$B$20,MATCH(J3046,Roles!$A$17:$A$20,0)),1)</f>
        <v/>
      </c>
      <c r="L3046" s="19" t="n">
        <v>1</v>
      </c>
      <c r="M3046" s="11" t="n">
        <v>1</v>
      </c>
      <c r="N3046" s="19" t="n"/>
      <c r="O3046" s="19" t="n"/>
      <c r="P3046" s="19" t="n"/>
      <c r="Q3046" s="19" t="n"/>
      <c r="R3046" s="19" t="n"/>
      <c r="S3046" s="19" t="n"/>
      <c r="T3046" s="19" t="n"/>
      <c r="U3046" s="19" t="n"/>
      <c r="V3046" s="19" t="n"/>
      <c r="W3046" s="19" t="n"/>
      <c r="X3046" s="19" t="n"/>
      <c r="Y3046" s="19" t="n">
        <v>1</v>
      </c>
      <c r="Z3046" s="13">
        <f>SUMPRODUCT(N3046:Y3046,$N$2:$Y$2)*$K3046*$L3046*$M3046</f>
        <v/>
      </c>
      <c r="AA3046" s="14">
        <f>SUM(N3046:Y3046)</f>
        <v/>
      </c>
      <c r="AB3046" s="13">
        <f>SUMPRODUCT(N3046:Y3046,$N$3:$Y$3)*$K3046*$L3046*$M3046</f>
        <v/>
      </c>
      <c r="AC3046" s="13">
        <f>SUMPRODUCT(N3046:Y3046,$N$4:$Y$4)*$K3046*$L3046*$M3046</f>
        <v/>
      </c>
      <c r="AD3046" s="15" t="n">
        <v>3</v>
      </c>
      <c r="AE3046" s="11" t="n">
        <v>1.011296296296296</v>
      </c>
      <c r="AF3046" s="16">
        <f>SUMPRODUCT(N3046:Y3046,$N$5:$Y$5)*$K3046*$L3046*$M3046</f>
        <v/>
      </c>
      <c r="AG3046" s="16">
        <f>SUMPRODUCT(N3046:Y3046,$N$6:$Y$6)*$K3046*$L3046*$M3046</f>
        <v/>
      </c>
      <c r="AH3046" s="20" t="n"/>
    </row>
    <row r="3047">
      <c r="A3047" s="9" t="n">
        <v>701695</v>
      </c>
      <c r="B3047" s="9" t="inlineStr">
        <is>
          <t>Tommy Molsky</t>
        </is>
      </c>
      <c r="C3047" s="9" t="inlineStr">
        <is>
          <t>KC</t>
        </is>
      </c>
      <c r="D3047" s="9" t="n">
        <v>25</v>
      </c>
      <c r="E3047" s="18" t="inlineStr">
        <is>
          <t>R</t>
        </is>
      </c>
      <c r="F3047" s="18" t="n"/>
      <c r="G3047" s="9" t="n">
        <v>71.23666666666666</v>
      </c>
      <c r="H3047" s="9" t="n">
        <v>71.23666666666666</v>
      </c>
      <c r="I3047" s="9" t="inlineStr">
        <is>
          <t>Depth (no MLB IP)</t>
        </is>
      </c>
      <c r="J3047" s="18" t="inlineStr">
        <is>
          <t>Opening Day</t>
        </is>
      </c>
      <c r="K3047" s="11">
        <f>IFERROR(INDEX(Roles!$B$17:$B$20,MATCH(J3047,Roles!$A$17:$A$20,0)),1)</f>
        <v/>
      </c>
      <c r="L3047" s="19" t="n">
        <v>1</v>
      </c>
      <c r="M3047" s="11" t="n">
        <v>1</v>
      </c>
      <c r="N3047" s="19" t="n"/>
      <c r="O3047" s="19" t="n"/>
      <c r="P3047" s="19" t="n"/>
      <c r="Q3047" s="19" t="n"/>
      <c r="R3047" s="19" t="n"/>
      <c r="S3047" s="19" t="n"/>
      <c r="T3047" s="19" t="n"/>
      <c r="U3047" s="19" t="n"/>
      <c r="V3047" s="19" t="n"/>
      <c r="W3047" s="19" t="n"/>
      <c r="X3047" s="19" t="n"/>
      <c r="Y3047" s="19" t="n">
        <v>1</v>
      </c>
      <c r="Z3047" s="13">
        <f>SUMPRODUCT(N3047:Y3047,$N$2:$Y$2)*$K3047*$L3047*$M3047</f>
        <v/>
      </c>
      <c r="AA3047" s="14">
        <f>SUM(N3047:Y3047)</f>
        <v/>
      </c>
      <c r="AB3047" s="13">
        <f>SUMPRODUCT(N3047:Y3047,$N$3:$Y$3)*$K3047*$L3047*$M3047</f>
        <v/>
      </c>
      <c r="AC3047" s="13">
        <f>SUMPRODUCT(N3047:Y3047,$N$4:$Y$4)*$K3047*$L3047*$M3047</f>
        <v/>
      </c>
      <c r="AD3047" s="15" t="n">
        <v>3</v>
      </c>
      <c r="AE3047" s="11" t="n">
        <v>1.011296296296296</v>
      </c>
      <c r="AF3047" s="16">
        <f>SUMPRODUCT(N3047:Y3047,$N$5:$Y$5)*$K3047*$L3047*$M3047</f>
        <v/>
      </c>
      <c r="AG3047" s="16">
        <f>SUMPRODUCT(N3047:Y3047,$N$6:$Y$6)*$K3047*$L3047*$M3047</f>
        <v/>
      </c>
      <c r="AH3047" s="20" t="n"/>
    </row>
    <row r="3048">
      <c r="A3048" s="9" t="n">
        <v>682967</v>
      </c>
      <c r="B3048" s="9" t="inlineStr">
        <is>
          <t>Devin Sweet</t>
        </is>
      </c>
      <c r="C3048" s="9" t="inlineStr">
        <is>
          <t>OAK</t>
        </is>
      </c>
      <c r="D3048" s="9" t="n">
        <v>30</v>
      </c>
      <c r="E3048" s="18" t="inlineStr">
        <is>
          <t>R</t>
        </is>
      </c>
      <c r="F3048" s="18" t="n"/>
      <c r="G3048" s="9" t="n">
        <v>43</v>
      </c>
      <c r="H3048" s="9" t="n">
        <v>43</v>
      </c>
      <c r="I3048" s="9" t="inlineStr">
        <is>
          <t>Depth (no MLB IP)</t>
        </is>
      </c>
      <c r="J3048" s="18" t="inlineStr">
        <is>
          <t>Opening Day</t>
        </is>
      </c>
      <c r="K3048" s="11">
        <f>IFERROR(INDEX(Roles!$B$17:$B$20,MATCH(J3048,Roles!$A$17:$A$20,0)),1)</f>
        <v/>
      </c>
      <c r="L3048" s="19" t="n">
        <v>1</v>
      </c>
      <c r="M3048" s="11" t="n">
        <v>1</v>
      </c>
      <c r="N3048" s="19" t="n"/>
      <c r="O3048" s="19" t="n"/>
      <c r="P3048" s="19" t="n"/>
      <c r="Q3048" s="19" t="n"/>
      <c r="R3048" s="19" t="n"/>
      <c r="S3048" s="19" t="n"/>
      <c r="T3048" s="19" t="n"/>
      <c r="U3048" s="19" t="n"/>
      <c r="V3048" s="19" t="n"/>
      <c r="W3048" s="19" t="n"/>
      <c r="X3048" s="19" t="n"/>
      <c r="Y3048" s="19" t="n">
        <v>1</v>
      </c>
      <c r="Z3048" s="13">
        <f>SUMPRODUCT(N3048:Y3048,$N$2:$Y$2)*$K3048*$L3048*$M3048</f>
        <v/>
      </c>
      <c r="AA3048" s="14">
        <f>SUM(N3048:Y3048)</f>
        <v/>
      </c>
      <c r="AB3048" s="13">
        <f>SUMPRODUCT(N3048:Y3048,$N$3:$Y$3)*$K3048*$L3048*$M3048</f>
        <v/>
      </c>
      <c r="AC3048" s="13">
        <f>SUMPRODUCT(N3048:Y3048,$N$4:$Y$4)*$K3048*$L3048*$M3048</f>
        <v/>
      </c>
      <c r="AD3048" s="15" t="n">
        <v>3</v>
      </c>
      <c r="AE3048" s="11" t="n">
        <v>1.011296296296296</v>
      </c>
      <c r="AF3048" s="16">
        <f>SUMPRODUCT(N3048:Y3048,$N$5:$Y$5)*$K3048*$L3048*$M3048</f>
        <v/>
      </c>
      <c r="AG3048" s="16">
        <f>SUMPRODUCT(N3048:Y3048,$N$6:$Y$6)*$K3048*$L3048*$M3048</f>
        <v/>
      </c>
      <c r="AH3048" s="20" t="n"/>
    </row>
    <row r="3049">
      <c r="A3049" s="9" t="n">
        <v>677649</v>
      </c>
      <c r="B3049" s="9" t="inlineStr">
        <is>
          <t>Ezequiel Duran</t>
        </is>
      </c>
      <c r="C3049" s="9" t="inlineStr">
        <is>
          <t>TEX</t>
        </is>
      </c>
      <c r="D3049" s="9" t="n">
        <v>28</v>
      </c>
      <c r="E3049" s="18" t="inlineStr">
        <is>
          <t>R</t>
        </is>
      </c>
      <c r="F3049" s="18" t="n"/>
      <c r="G3049" s="9" t="n">
        <v>11</v>
      </c>
      <c r="H3049" s="9" t="n">
        <v>11</v>
      </c>
      <c r="I3049" s="9" t="inlineStr">
        <is>
          <t>Depth (no MLB IP)</t>
        </is>
      </c>
      <c r="J3049" s="18" t="inlineStr">
        <is>
          <t>Opening Day</t>
        </is>
      </c>
      <c r="K3049" s="11">
        <f>IFERROR(INDEX(Roles!$B$17:$B$20,MATCH(J3049,Roles!$A$17:$A$20,0)),1)</f>
        <v/>
      </c>
      <c r="L3049" s="19" t="n">
        <v>1</v>
      </c>
      <c r="M3049" s="11" t="n">
        <v>1</v>
      </c>
      <c r="N3049" s="19" t="n"/>
      <c r="O3049" s="19" t="n"/>
      <c r="P3049" s="19" t="n"/>
      <c r="Q3049" s="19" t="n"/>
      <c r="R3049" s="19" t="n"/>
      <c r="S3049" s="19" t="n"/>
      <c r="T3049" s="19" t="n"/>
      <c r="U3049" s="19" t="n"/>
      <c r="V3049" s="19" t="n"/>
      <c r="W3049" s="19" t="n"/>
      <c r="X3049" s="19" t="n"/>
      <c r="Y3049" s="19" t="n">
        <v>1</v>
      </c>
      <c r="Z3049" s="13">
        <f>SUMPRODUCT(N3049:Y3049,$N$2:$Y$2)*$K3049*$L3049*$M3049</f>
        <v/>
      </c>
      <c r="AA3049" s="14">
        <f>SUM(N3049:Y3049)</f>
        <v/>
      </c>
      <c r="AB3049" s="13">
        <f>SUMPRODUCT(N3049:Y3049,$N$3:$Y$3)*$K3049*$L3049*$M3049</f>
        <v/>
      </c>
      <c r="AC3049" s="13">
        <f>SUMPRODUCT(N3049:Y3049,$N$4:$Y$4)*$K3049*$L3049*$M3049</f>
        <v/>
      </c>
      <c r="AD3049" s="15" t="n">
        <v>3.6</v>
      </c>
      <c r="AE3049" s="11" t="n">
        <v>0.9519753086419752</v>
      </c>
      <c r="AF3049" s="16">
        <f>SUMPRODUCT(N3049:Y3049,$N$5:$Y$5)*$K3049*$L3049*$M3049</f>
        <v/>
      </c>
      <c r="AG3049" s="16">
        <f>SUMPRODUCT(N3049:Y3049,$N$6:$Y$6)*$K3049*$L3049*$M3049</f>
        <v/>
      </c>
      <c r="AH3049" s="20" t="n"/>
    </row>
    <row r="3050">
      <c r="A3050" s="9" t="n">
        <v>571510</v>
      </c>
      <c r="B3050" s="9" t="inlineStr">
        <is>
          <t>Matthew Boyd</t>
        </is>
      </c>
      <c r="C3050" s="9" t="inlineStr">
        <is>
          <t>CHC</t>
        </is>
      </c>
      <c r="D3050" s="9" t="n">
        <v>36</v>
      </c>
      <c r="E3050" s="18" t="inlineStr">
        <is>
          <t>L</t>
        </is>
      </c>
      <c r="F3050" s="18" t="n"/>
      <c r="G3050" s="9" t="n">
        <v>520</v>
      </c>
      <c r="H3050" s="9" t="n">
        <v>1760</v>
      </c>
      <c r="I3050" s="9" t="inlineStr">
        <is>
          <t>Ace (SP1)</t>
        </is>
      </c>
      <c r="J3050" s="18" t="inlineStr">
        <is>
          <t>Opening Day</t>
        </is>
      </c>
      <c r="K3050" s="11">
        <f>IFERROR(INDEX(Roles!$B$17:$B$20,MATCH(J3050,Roles!$A$17:$A$20,0)),1)</f>
        <v/>
      </c>
      <c r="L3050" s="19" t="n">
        <v>1</v>
      </c>
      <c r="M3050" s="11" t="n">
        <v>1</v>
      </c>
      <c r="N3050" s="19" t="n">
        <v>0.5</v>
      </c>
      <c r="O3050" s="19" t="n">
        <v>0.5</v>
      </c>
      <c r="P3050" s="19" t="n"/>
      <c r="Q3050" s="19" t="n"/>
      <c r="R3050" s="19" t="n"/>
      <c r="S3050" s="19" t="n"/>
      <c r="T3050" s="19" t="n"/>
      <c r="U3050" s="19" t="n"/>
      <c r="V3050" s="19" t="n"/>
      <c r="W3050" s="19" t="n"/>
      <c r="X3050" s="19" t="n"/>
      <c r="Y3050" s="19" t="n"/>
      <c r="Z3050" s="13">
        <f>SUMPRODUCT(N3050:Y3050,$N$2:$Y$2)*$K3050*$L3050*$M3050</f>
        <v/>
      </c>
      <c r="AA3050" s="14">
        <f>SUM(N3050:Y3050)</f>
        <v/>
      </c>
      <c r="AB3050" s="13">
        <f>SUMPRODUCT(N3050:Y3050,$N$3:$Y$3)*$K3050*$L3050*$M3050</f>
        <v/>
      </c>
      <c r="AC3050" s="13">
        <f>SUMPRODUCT(N3050:Y3050,$N$4:$Y$4)*$K3050*$L3050*$M3050</f>
        <v/>
      </c>
      <c r="AD3050" s="15" t="n">
        <v>23.8</v>
      </c>
      <c r="AE3050" s="11" t="n">
        <v>5.655345471521942</v>
      </c>
      <c r="AF3050" s="16">
        <f>SUMPRODUCT(N3050:Y3050,$N$5:$Y$5)*$K3050*$L3050*$M3050</f>
        <v/>
      </c>
      <c r="AG3050" s="16">
        <f>SUMPRODUCT(N3050:Y3050,$N$6:$Y$6)*$K3050*$L3050*$M3050</f>
        <v/>
      </c>
      <c r="AH3050" s="20" t="n"/>
    </row>
    <row r="3051">
      <c r="A3051" s="9" t="n">
        <v>800292</v>
      </c>
      <c r="B3051" s="9" t="inlineStr">
        <is>
          <t>Melkis Hernández</t>
        </is>
      </c>
      <c r="C3051" s="9" t="inlineStr">
        <is>
          <t>CLE</t>
        </is>
      </c>
      <c r="D3051" s="9" t="n">
        <v>25</v>
      </c>
      <c r="E3051" s="18" t="inlineStr">
        <is>
          <t>L</t>
        </is>
      </c>
      <c r="F3051" s="18" t="n"/>
      <c r="G3051" s="9" t="n">
        <v>71.66666666666667</v>
      </c>
      <c r="H3051" s="9" t="n">
        <v>71.66666666666667</v>
      </c>
      <c r="I3051" s="9" t="inlineStr">
        <is>
          <t>Depth (no MLB IP)</t>
        </is>
      </c>
      <c r="J3051" s="18" t="inlineStr">
        <is>
          <t>Opening Day</t>
        </is>
      </c>
      <c r="K3051" s="11">
        <f>IFERROR(INDEX(Roles!$B$17:$B$20,MATCH(J3051,Roles!$A$17:$A$20,0)),1)</f>
        <v/>
      </c>
      <c r="L3051" s="19" t="n">
        <v>1</v>
      </c>
      <c r="M3051" s="11" t="n">
        <v>1</v>
      </c>
      <c r="N3051" s="19" t="n"/>
      <c r="O3051" s="19" t="n"/>
      <c r="P3051" s="19" t="n"/>
      <c r="Q3051" s="19" t="n"/>
      <c r="R3051" s="19" t="n"/>
      <c r="S3051" s="19" t="n"/>
      <c r="T3051" s="19" t="n"/>
      <c r="U3051" s="19" t="n"/>
      <c r="V3051" s="19" t="n"/>
      <c r="W3051" s="19" t="n"/>
      <c r="X3051" s="19" t="n"/>
      <c r="Y3051" s="19" t="n">
        <v>1</v>
      </c>
      <c r="Z3051" s="13">
        <f>SUMPRODUCT(N3051:Y3051,$N$2:$Y$2)*$K3051*$L3051*$M3051</f>
        <v/>
      </c>
      <c r="AA3051" s="14">
        <f>SUM(N3051:Y3051)</f>
        <v/>
      </c>
      <c r="AB3051" s="13">
        <f>SUMPRODUCT(N3051:Y3051,$N$3:$Y$3)*$K3051*$L3051*$M3051</f>
        <v/>
      </c>
      <c r="AC3051" s="13">
        <f>SUMPRODUCT(N3051:Y3051,$N$4:$Y$4)*$K3051*$L3051*$M3051</f>
        <v/>
      </c>
      <c r="AD3051" s="15" t="n">
        <v>3</v>
      </c>
      <c r="AE3051" s="11" t="n">
        <v>1.011296296296296</v>
      </c>
      <c r="AF3051" s="16">
        <f>SUMPRODUCT(N3051:Y3051,$N$5:$Y$5)*$K3051*$L3051*$M3051</f>
        <v/>
      </c>
      <c r="AG3051" s="16">
        <f>SUMPRODUCT(N3051:Y3051,$N$6:$Y$6)*$K3051*$L3051*$M3051</f>
        <v/>
      </c>
      <c r="AH3051" s="20" t="n"/>
    </row>
    <row r="3052">
      <c r="A3052" s="9" t="n">
        <v>832562</v>
      </c>
      <c r="B3052" s="9" t="inlineStr">
        <is>
          <t>Dylan Brown</t>
        </is>
      </c>
      <c r="C3052" s="9" t="inlineStr">
        <is>
          <t>BOS</t>
        </is>
      </c>
      <c r="D3052" s="9" t="n">
        <v>23</v>
      </c>
      <c r="E3052" s="18" t="inlineStr">
        <is>
          <t>L</t>
        </is>
      </c>
      <c r="F3052" s="18" t="n"/>
      <c r="G3052" s="9" t="n">
        <v>71.66666666666667</v>
      </c>
      <c r="H3052" s="9" t="n">
        <v>71.66666666666667</v>
      </c>
      <c r="I3052" s="9" t="inlineStr">
        <is>
          <t>Depth (no MLB IP)</t>
        </is>
      </c>
      <c r="J3052" s="18" t="inlineStr">
        <is>
          <t>Opening Day</t>
        </is>
      </c>
      <c r="K3052" s="11">
        <f>IFERROR(INDEX(Roles!$B$17:$B$20,MATCH(J3052,Roles!$A$17:$A$20,0)),1)</f>
        <v/>
      </c>
      <c r="L3052" s="19" t="n">
        <v>1</v>
      </c>
      <c r="M3052" s="11" t="n">
        <v>1</v>
      </c>
      <c r="N3052" s="19" t="n"/>
      <c r="O3052" s="19" t="n"/>
      <c r="P3052" s="19" t="n"/>
      <c r="Q3052" s="19" t="n"/>
      <c r="R3052" s="19" t="n"/>
      <c r="S3052" s="19" t="n"/>
      <c r="T3052" s="19" t="n"/>
      <c r="U3052" s="19" t="n"/>
      <c r="V3052" s="19" t="n"/>
      <c r="W3052" s="19" t="n"/>
      <c r="X3052" s="19" t="n"/>
      <c r="Y3052" s="19" t="n">
        <v>1</v>
      </c>
      <c r="Z3052" s="13">
        <f>SUMPRODUCT(N3052:Y3052,$N$2:$Y$2)*$K3052*$L3052*$M3052</f>
        <v/>
      </c>
      <c r="AA3052" s="14">
        <f>SUM(N3052:Y3052)</f>
        <v/>
      </c>
      <c r="AB3052" s="13">
        <f>SUMPRODUCT(N3052:Y3052,$N$3:$Y$3)*$K3052*$L3052*$M3052</f>
        <v/>
      </c>
      <c r="AC3052" s="13">
        <f>SUMPRODUCT(N3052:Y3052,$N$4:$Y$4)*$K3052*$L3052*$M3052</f>
        <v/>
      </c>
      <c r="AD3052" s="15" t="n">
        <v>3</v>
      </c>
      <c r="AE3052" s="11" t="n">
        <v>1.011296296296296</v>
      </c>
      <c r="AF3052" s="16">
        <f>SUMPRODUCT(N3052:Y3052,$N$5:$Y$5)*$K3052*$L3052*$M3052</f>
        <v/>
      </c>
      <c r="AG3052" s="16">
        <f>SUMPRODUCT(N3052:Y3052,$N$6:$Y$6)*$K3052*$L3052*$M3052</f>
        <v/>
      </c>
      <c r="AH3052" s="20" t="n"/>
    </row>
    <row r="3053">
      <c r="A3053" s="9" t="n">
        <v>642546</v>
      </c>
      <c r="B3053" s="9" t="inlineStr">
        <is>
          <t>Jonathan Hernández</t>
        </is>
      </c>
      <c r="C3053" s="9" t="inlineStr">
        <is>
          <t>LAD</t>
        </is>
      </c>
      <c r="D3053" s="9" t="n">
        <v>30</v>
      </c>
      <c r="E3053" s="18" t="inlineStr">
        <is>
          <t>R</t>
        </is>
      </c>
      <c r="F3053" s="18" t="n"/>
      <c r="G3053" s="9" t="n">
        <v>109</v>
      </c>
      <c r="H3053" s="9" t="n">
        <v>579</v>
      </c>
      <c r="I3053" s="9" t="inlineStr">
        <is>
          <t>Bullpen Depth Arm</t>
        </is>
      </c>
      <c r="J3053" s="18" t="inlineStr">
        <is>
          <t>Opening Day</t>
        </is>
      </c>
      <c r="K3053" s="11">
        <f>IFERROR(INDEX(Roles!$B$17:$B$20,MATCH(J3053,Roles!$A$17:$A$20,0)),1)</f>
        <v/>
      </c>
      <c r="L3053" s="19" t="n">
        <v>1</v>
      </c>
      <c r="M3053" s="11" t="n">
        <v>1</v>
      </c>
      <c r="N3053" s="19" t="n"/>
      <c r="O3053" s="19" t="n"/>
      <c r="P3053" s="19" t="n"/>
      <c r="Q3053" s="19" t="n"/>
      <c r="R3053" s="19" t="n"/>
      <c r="S3053" s="19" t="n"/>
      <c r="T3053" s="19" t="n"/>
      <c r="U3053" s="19" t="n"/>
      <c r="V3053" s="19" t="n"/>
      <c r="W3053" s="19" t="n">
        <v>1</v>
      </c>
      <c r="X3053" s="19" t="n"/>
      <c r="Y3053" s="19" t="n"/>
      <c r="Z3053" s="13">
        <f>SUMPRODUCT(N3053:Y3053,$N$2:$Y$2)*$K3053*$L3053*$M3053</f>
        <v/>
      </c>
      <c r="AA3053" s="14">
        <f>SUM(N3053:Y3053)</f>
        <v/>
      </c>
      <c r="AB3053" s="13">
        <f>SUMPRODUCT(N3053:Y3053,$N$3:$Y$3)*$K3053*$L3053*$M3053</f>
        <v/>
      </c>
      <c r="AC3053" s="13">
        <f>SUMPRODUCT(N3053:Y3053,$N$4:$Y$4)*$K3053*$L3053*$M3053</f>
        <v/>
      </c>
      <c r="AD3053" s="15" t="n">
        <v>17.21666666666667</v>
      </c>
      <c r="AE3053" s="11" t="n">
        <v>1.318101651434985</v>
      </c>
      <c r="AF3053" s="16">
        <f>SUMPRODUCT(N3053:Y3053,$N$5:$Y$5)*$K3053*$L3053*$M3053</f>
        <v/>
      </c>
      <c r="AG3053" s="16">
        <f>SUMPRODUCT(N3053:Y3053,$N$6:$Y$6)*$K3053*$L3053*$M3053</f>
        <v/>
      </c>
      <c r="AH3053" s="20" t="n"/>
    </row>
    <row r="3054">
      <c r="A3054" s="9" t="n">
        <v>695229</v>
      </c>
      <c r="B3054" s="9" t="inlineStr">
        <is>
          <t>Camden Minacci</t>
        </is>
      </c>
      <c r="C3054" s="9" t="inlineStr">
        <is>
          <t>LAA</t>
        </is>
      </c>
      <c r="D3054" s="9" t="n">
        <v>25</v>
      </c>
      <c r="E3054" s="18" t="inlineStr">
        <is>
          <t>R</t>
        </is>
      </c>
      <c r="F3054" s="18" t="n"/>
      <c r="G3054" s="9" t="n">
        <v>71.73833333333332</v>
      </c>
      <c r="H3054" s="9" t="n">
        <v>71.73833333333332</v>
      </c>
      <c r="I3054" s="9" t="inlineStr">
        <is>
          <t>Depth (no MLB IP)</t>
        </is>
      </c>
      <c r="J3054" s="18" t="inlineStr">
        <is>
          <t>Opening Day</t>
        </is>
      </c>
      <c r="K3054" s="11">
        <f>IFERROR(INDEX(Roles!$B$17:$B$20,MATCH(J3054,Roles!$A$17:$A$20,0)),1)</f>
        <v/>
      </c>
      <c r="L3054" s="19" t="n">
        <v>1</v>
      </c>
      <c r="M3054" s="11" t="n">
        <v>1</v>
      </c>
      <c r="N3054" s="19" t="n"/>
      <c r="O3054" s="19" t="n"/>
      <c r="P3054" s="19" t="n"/>
      <c r="Q3054" s="19" t="n"/>
      <c r="R3054" s="19" t="n"/>
      <c r="S3054" s="19" t="n"/>
      <c r="T3054" s="19" t="n"/>
      <c r="U3054" s="19" t="n"/>
      <c r="V3054" s="19" t="n"/>
      <c r="W3054" s="19" t="n"/>
      <c r="X3054" s="19" t="n"/>
      <c r="Y3054" s="19" t="n">
        <v>1</v>
      </c>
      <c r="Z3054" s="13">
        <f>SUMPRODUCT(N3054:Y3054,$N$2:$Y$2)*$K3054*$L3054*$M3054</f>
        <v/>
      </c>
      <c r="AA3054" s="14">
        <f>SUM(N3054:Y3054)</f>
        <v/>
      </c>
      <c r="AB3054" s="13">
        <f>SUMPRODUCT(N3054:Y3054,$N$3:$Y$3)*$K3054*$L3054*$M3054</f>
        <v/>
      </c>
      <c r="AC3054" s="13">
        <f>SUMPRODUCT(N3054:Y3054,$N$4:$Y$4)*$K3054*$L3054*$M3054</f>
        <v/>
      </c>
      <c r="AD3054" s="15" t="n">
        <v>3</v>
      </c>
      <c r="AE3054" s="11" t="n">
        <v>1.011296296296296</v>
      </c>
      <c r="AF3054" s="16">
        <f>SUMPRODUCT(N3054:Y3054,$N$5:$Y$5)*$K3054*$L3054*$M3054</f>
        <v/>
      </c>
      <c r="AG3054" s="16">
        <f>SUMPRODUCT(N3054:Y3054,$N$6:$Y$6)*$K3054*$L3054*$M3054</f>
        <v/>
      </c>
      <c r="AH3054" s="20" t="n"/>
    </row>
    <row r="3055">
      <c r="A3055" s="9" t="n">
        <v>681673</v>
      </c>
      <c r="B3055" s="9" t="inlineStr">
        <is>
          <t>Kohl Franklin</t>
        </is>
      </c>
      <c r="C3055" s="9" t="inlineStr">
        <is>
          <t>CHC</t>
        </is>
      </c>
      <c r="D3055" s="9" t="n">
        <v>25</v>
      </c>
      <c r="E3055" s="18" t="inlineStr">
        <is>
          <t>R</t>
        </is>
      </c>
      <c r="F3055" s="18" t="n"/>
      <c r="G3055" s="9" t="n">
        <v>71.73833333333333</v>
      </c>
      <c r="H3055" s="9" t="n">
        <v>71.73833333333333</v>
      </c>
      <c r="I3055" s="9" t="inlineStr">
        <is>
          <t>Depth (no MLB IP)</t>
        </is>
      </c>
      <c r="J3055" s="18" t="inlineStr">
        <is>
          <t>Opening Day</t>
        </is>
      </c>
      <c r="K3055" s="11">
        <f>IFERROR(INDEX(Roles!$B$17:$B$20,MATCH(J3055,Roles!$A$17:$A$20,0)),1)</f>
        <v/>
      </c>
      <c r="L3055" s="19" t="n">
        <v>1</v>
      </c>
      <c r="M3055" s="11" t="n">
        <v>1</v>
      </c>
      <c r="N3055" s="19" t="n"/>
      <c r="O3055" s="19" t="n"/>
      <c r="P3055" s="19" t="n"/>
      <c r="Q3055" s="19" t="n"/>
      <c r="R3055" s="19" t="n"/>
      <c r="S3055" s="19" t="n"/>
      <c r="T3055" s="19" t="n"/>
      <c r="U3055" s="19" t="n"/>
      <c r="V3055" s="19" t="n"/>
      <c r="W3055" s="19" t="n"/>
      <c r="X3055" s="19" t="n"/>
      <c r="Y3055" s="19" t="n">
        <v>1</v>
      </c>
      <c r="Z3055" s="13">
        <f>SUMPRODUCT(N3055:Y3055,$N$2:$Y$2)*$K3055*$L3055*$M3055</f>
        <v/>
      </c>
      <c r="AA3055" s="14">
        <f>SUM(N3055:Y3055)</f>
        <v/>
      </c>
      <c r="AB3055" s="13">
        <f>SUMPRODUCT(N3055:Y3055,$N$3:$Y$3)*$K3055*$L3055*$M3055</f>
        <v/>
      </c>
      <c r="AC3055" s="13">
        <f>SUMPRODUCT(N3055:Y3055,$N$4:$Y$4)*$K3055*$L3055*$M3055</f>
        <v/>
      </c>
      <c r="AD3055" s="15" t="n">
        <v>3</v>
      </c>
      <c r="AE3055" s="11" t="n">
        <v>1.011296296296296</v>
      </c>
      <c r="AF3055" s="16">
        <f>SUMPRODUCT(N3055:Y3055,$N$5:$Y$5)*$K3055*$L3055*$M3055</f>
        <v/>
      </c>
      <c r="AG3055" s="16">
        <f>SUMPRODUCT(N3055:Y3055,$N$6:$Y$6)*$K3055*$L3055*$M3055</f>
        <v/>
      </c>
      <c r="AH3055" s="20" t="n"/>
    </row>
    <row r="3056">
      <c r="A3056" s="9" t="n">
        <v>543592</v>
      </c>
      <c r="B3056" s="9" t="inlineStr">
        <is>
          <t>Austin Nola</t>
        </is>
      </c>
      <c r="C3056" s="9" t="inlineStr">
        <is>
          <t>COL</t>
        </is>
      </c>
      <c r="D3056" s="9" t="n">
        <v>37</v>
      </c>
      <c r="E3056" s="18" t="inlineStr">
        <is>
          <t>R</t>
        </is>
      </c>
      <c r="F3056" s="18" t="n"/>
      <c r="G3056" s="9" t="n">
        <v>11</v>
      </c>
      <c r="H3056" s="9" t="n">
        <v>11</v>
      </c>
      <c r="I3056" s="9" t="inlineStr">
        <is>
          <t>Depth (no MLB IP)</t>
        </is>
      </c>
      <c r="J3056" s="18" t="inlineStr">
        <is>
          <t>Opening Day</t>
        </is>
      </c>
      <c r="K3056" s="11">
        <f>IFERROR(INDEX(Roles!$B$17:$B$20,MATCH(J3056,Roles!$A$17:$A$20,0)),1)</f>
        <v/>
      </c>
      <c r="L3056" s="19" t="n">
        <v>1</v>
      </c>
      <c r="M3056" s="11" t="n">
        <v>1</v>
      </c>
      <c r="N3056" s="19" t="n"/>
      <c r="O3056" s="19" t="n"/>
      <c r="P3056" s="19" t="n"/>
      <c r="Q3056" s="19" t="n"/>
      <c r="R3056" s="19" t="n"/>
      <c r="S3056" s="19" t="n"/>
      <c r="T3056" s="19" t="n"/>
      <c r="U3056" s="19" t="n"/>
      <c r="V3056" s="19" t="n"/>
      <c r="W3056" s="19" t="n"/>
      <c r="X3056" s="19" t="n"/>
      <c r="Y3056" s="19" t="n">
        <v>1</v>
      </c>
      <c r="Z3056" s="13">
        <f>SUMPRODUCT(N3056:Y3056,$N$2:$Y$2)*$K3056*$L3056*$M3056</f>
        <v/>
      </c>
      <c r="AA3056" s="14">
        <f>SUM(N3056:Y3056)</f>
        <v/>
      </c>
      <c r="AB3056" s="13">
        <f>SUMPRODUCT(N3056:Y3056,$N$3:$Y$3)*$K3056*$L3056*$M3056</f>
        <v/>
      </c>
      <c r="AC3056" s="13">
        <f>SUMPRODUCT(N3056:Y3056,$N$4:$Y$4)*$K3056*$L3056*$M3056</f>
        <v/>
      </c>
      <c r="AD3056" s="15" t="n">
        <v>1.8</v>
      </c>
      <c r="AE3056" s="11" t="n">
        <v>1.007530864197531</v>
      </c>
      <c r="AF3056" s="16">
        <f>SUMPRODUCT(N3056:Y3056,$N$5:$Y$5)*$K3056*$L3056*$M3056</f>
        <v/>
      </c>
      <c r="AG3056" s="16">
        <f>SUMPRODUCT(N3056:Y3056,$N$6:$Y$6)*$K3056*$L3056*$M3056</f>
        <v/>
      </c>
      <c r="AH3056" s="20" t="n"/>
    </row>
    <row r="3057">
      <c r="A3057" s="9" t="n">
        <v>688730</v>
      </c>
      <c r="B3057" s="9" t="inlineStr">
        <is>
          <t>Marques Johnson</t>
        </is>
      </c>
      <c r="C3057" s="9" t="inlineStr">
        <is>
          <t>SF</t>
        </is>
      </c>
      <c r="D3057" s="9" t="n">
        <v>25</v>
      </c>
      <c r="E3057" s="18" t="inlineStr">
        <is>
          <t>R</t>
        </is>
      </c>
      <c r="F3057" s="18" t="n"/>
      <c r="G3057" s="9" t="n">
        <v>71.73833333333333</v>
      </c>
      <c r="H3057" s="9" t="n">
        <v>71.73833333333333</v>
      </c>
      <c r="I3057" s="9" t="inlineStr">
        <is>
          <t>Depth (no MLB IP)</t>
        </is>
      </c>
      <c r="J3057" s="18" t="inlineStr">
        <is>
          <t>Opening Day</t>
        </is>
      </c>
      <c r="K3057" s="11">
        <f>IFERROR(INDEX(Roles!$B$17:$B$20,MATCH(J3057,Roles!$A$17:$A$20,0)),1)</f>
        <v/>
      </c>
      <c r="L3057" s="19" t="n">
        <v>1</v>
      </c>
      <c r="M3057" s="11" t="n">
        <v>1</v>
      </c>
      <c r="N3057" s="19" t="n"/>
      <c r="O3057" s="19" t="n"/>
      <c r="P3057" s="19" t="n"/>
      <c r="Q3057" s="19" t="n"/>
      <c r="R3057" s="19" t="n"/>
      <c r="S3057" s="19" t="n"/>
      <c r="T3057" s="19" t="n"/>
      <c r="U3057" s="19" t="n"/>
      <c r="V3057" s="19" t="n"/>
      <c r="W3057" s="19" t="n"/>
      <c r="X3057" s="19" t="n"/>
      <c r="Y3057" s="19" t="n">
        <v>1</v>
      </c>
      <c r="Z3057" s="13">
        <f>SUMPRODUCT(N3057:Y3057,$N$2:$Y$2)*$K3057*$L3057*$M3057</f>
        <v/>
      </c>
      <c r="AA3057" s="14">
        <f>SUM(N3057:Y3057)</f>
        <v/>
      </c>
      <c r="AB3057" s="13">
        <f>SUMPRODUCT(N3057:Y3057,$N$3:$Y$3)*$K3057*$L3057*$M3057</f>
        <v/>
      </c>
      <c r="AC3057" s="13">
        <f>SUMPRODUCT(N3057:Y3057,$N$4:$Y$4)*$K3057*$L3057*$M3057</f>
        <v/>
      </c>
      <c r="AD3057" s="15" t="n">
        <v>3</v>
      </c>
      <c r="AE3057" s="11" t="n">
        <v>1.011296296296296</v>
      </c>
      <c r="AF3057" s="16">
        <f>SUMPRODUCT(N3057:Y3057,$N$5:$Y$5)*$K3057*$L3057*$M3057</f>
        <v/>
      </c>
      <c r="AG3057" s="16">
        <f>SUMPRODUCT(N3057:Y3057,$N$6:$Y$6)*$K3057*$L3057*$M3057</f>
        <v/>
      </c>
      <c r="AH3057" s="20" t="n"/>
    </row>
    <row r="3058">
      <c r="A3058" s="9" t="n">
        <v>812431</v>
      </c>
      <c r="B3058" s="9" t="inlineStr">
        <is>
          <t>Rory Fox</t>
        </is>
      </c>
      <c r="C3058" s="9" t="inlineStr">
        <is>
          <t>NYY</t>
        </is>
      </c>
      <c r="D3058" s="9" t="n">
        <v>25</v>
      </c>
      <c r="E3058" s="18" t="inlineStr">
        <is>
          <t>R</t>
        </is>
      </c>
      <c r="F3058" s="18" t="n"/>
      <c r="G3058" s="9" t="n">
        <v>71.73833333333332</v>
      </c>
      <c r="H3058" s="9" t="n">
        <v>71.73833333333332</v>
      </c>
      <c r="I3058" s="9" t="inlineStr">
        <is>
          <t>Depth (no MLB IP)</t>
        </is>
      </c>
      <c r="J3058" s="18" t="inlineStr">
        <is>
          <t>Opening Day</t>
        </is>
      </c>
      <c r="K3058" s="11">
        <f>IFERROR(INDEX(Roles!$B$17:$B$20,MATCH(J3058,Roles!$A$17:$A$20,0)),1)</f>
        <v/>
      </c>
      <c r="L3058" s="19" t="n">
        <v>1</v>
      </c>
      <c r="M3058" s="11" t="n">
        <v>1</v>
      </c>
      <c r="N3058" s="19" t="n"/>
      <c r="O3058" s="19" t="n"/>
      <c r="P3058" s="19" t="n"/>
      <c r="Q3058" s="19" t="n"/>
      <c r="R3058" s="19" t="n"/>
      <c r="S3058" s="19" t="n"/>
      <c r="T3058" s="19" t="n"/>
      <c r="U3058" s="19" t="n"/>
      <c r="V3058" s="19" t="n"/>
      <c r="W3058" s="19" t="n"/>
      <c r="X3058" s="19" t="n"/>
      <c r="Y3058" s="19" t="n">
        <v>1</v>
      </c>
      <c r="Z3058" s="13">
        <f>SUMPRODUCT(N3058:Y3058,$N$2:$Y$2)*$K3058*$L3058*$M3058</f>
        <v/>
      </c>
      <c r="AA3058" s="14">
        <f>SUM(N3058:Y3058)</f>
        <v/>
      </c>
      <c r="AB3058" s="13">
        <f>SUMPRODUCT(N3058:Y3058,$N$3:$Y$3)*$K3058*$L3058*$M3058</f>
        <v/>
      </c>
      <c r="AC3058" s="13">
        <f>SUMPRODUCT(N3058:Y3058,$N$4:$Y$4)*$K3058*$L3058*$M3058</f>
        <v/>
      </c>
      <c r="AD3058" s="15" t="n">
        <v>3</v>
      </c>
      <c r="AE3058" s="11" t="n">
        <v>1.011296296296296</v>
      </c>
      <c r="AF3058" s="16">
        <f>SUMPRODUCT(N3058:Y3058,$N$5:$Y$5)*$K3058*$L3058*$M3058</f>
        <v/>
      </c>
      <c r="AG3058" s="16">
        <f>SUMPRODUCT(N3058:Y3058,$N$6:$Y$6)*$K3058*$L3058*$M3058</f>
        <v/>
      </c>
      <c r="AH3058" s="20" t="n"/>
    </row>
    <row r="3059">
      <c r="A3059" s="9" t="n">
        <v>800223</v>
      </c>
      <c r="B3059" s="9" t="inlineStr">
        <is>
          <t>Yorman Galindez</t>
        </is>
      </c>
      <c r="C3059" s="9" t="inlineStr">
        <is>
          <t>MIL</t>
        </is>
      </c>
      <c r="D3059" s="9" t="n">
        <v>25</v>
      </c>
      <c r="E3059" s="18" t="inlineStr">
        <is>
          <t>R</t>
        </is>
      </c>
      <c r="F3059" s="18" t="n"/>
      <c r="G3059" s="9" t="n">
        <v>71.73833333333332</v>
      </c>
      <c r="H3059" s="9" t="n">
        <v>71.73833333333332</v>
      </c>
      <c r="I3059" s="9" t="inlineStr">
        <is>
          <t>Depth (no MLB IP)</t>
        </is>
      </c>
      <c r="J3059" s="18" t="inlineStr">
        <is>
          <t>Opening Day</t>
        </is>
      </c>
      <c r="K3059" s="11">
        <f>IFERROR(INDEX(Roles!$B$17:$B$20,MATCH(J3059,Roles!$A$17:$A$20,0)),1)</f>
        <v/>
      </c>
      <c r="L3059" s="19" t="n">
        <v>1</v>
      </c>
      <c r="M3059" s="11" t="n">
        <v>1</v>
      </c>
      <c r="N3059" s="19" t="n"/>
      <c r="O3059" s="19" t="n"/>
      <c r="P3059" s="19" t="n"/>
      <c r="Q3059" s="19" t="n"/>
      <c r="R3059" s="19" t="n"/>
      <c r="S3059" s="19" t="n"/>
      <c r="T3059" s="19" t="n"/>
      <c r="U3059" s="19" t="n"/>
      <c r="V3059" s="19" t="n"/>
      <c r="W3059" s="19" t="n"/>
      <c r="X3059" s="19" t="n"/>
      <c r="Y3059" s="19" t="n">
        <v>1</v>
      </c>
      <c r="Z3059" s="13">
        <f>SUMPRODUCT(N3059:Y3059,$N$2:$Y$2)*$K3059*$L3059*$M3059</f>
        <v/>
      </c>
      <c r="AA3059" s="14">
        <f>SUM(N3059:Y3059)</f>
        <v/>
      </c>
      <c r="AB3059" s="13">
        <f>SUMPRODUCT(N3059:Y3059,$N$3:$Y$3)*$K3059*$L3059*$M3059</f>
        <v/>
      </c>
      <c r="AC3059" s="13">
        <f>SUMPRODUCT(N3059:Y3059,$N$4:$Y$4)*$K3059*$L3059*$M3059</f>
        <v/>
      </c>
      <c r="AD3059" s="15" t="n">
        <v>3</v>
      </c>
      <c r="AE3059" s="11" t="n">
        <v>1.011296296296296</v>
      </c>
      <c r="AF3059" s="16">
        <f>SUMPRODUCT(N3059:Y3059,$N$5:$Y$5)*$K3059*$L3059*$M3059</f>
        <v/>
      </c>
      <c r="AG3059" s="16">
        <f>SUMPRODUCT(N3059:Y3059,$N$6:$Y$6)*$K3059*$L3059*$M3059</f>
        <v/>
      </c>
      <c r="AH3059" s="20" t="n"/>
    </row>
    <row r="3060">
      <c r="A3060" s="9" t="n">
        <v>534910</v>
      </c>
      <c r="B3060" s="9" t="inlineStr">
        <is>
          <t>Jesse Hahn</t>
        </is>
      </c>
      <c r="C3060" s="9" t="inlineStr">
        <is>
          <t>SEA</t>
        </is>
      </c>
      <c r="D3060" s="9" t="n">
        <v>37</v>
      </c>
      <c r="E3060" s="18" t="inlineStr">
        <is>
          <t>R</t>
        </is>
      </c>
      <c r="F3060" s="18" t="n"/>
      <c r="G3060" s="9" t="n">
        <v>25</v>
      </c>
      <c r="H3060" s="9" t="n">
        <v>25</v>
      </c>
      <c r="I3060" s="9" t="inlineStr">
        <is>
          <t>Bullpen Depth Arm</t>
        </is>
      </c>
      <c r="J3060" s="18" t="inlineStr">
        <is>
          <t>Opening Day</t>
        </is>
      </c>
      <c r="K3060" s="11">
        <f>IFERROR(INDEX(Roles!$B$17:$B$20,MATCH(J3060,Roles!$A$17:$A$20,0)),1)</f>
        <v/>
      </c>
      <c r="L3060" s="19" t="n">
        <v>1</v>
      </c>
      <c r="M3060" s="11" t="n">
        <v>1</v>
      </c>
      <c r="N3060" s="19" t="n"/>
      <c r="O3060" s="19" t="n"/>
      <c r="P3060" s="19" t="n"/>
      <c r="Q3060" s="19" t="n"/>
      <c r="R3060" s="19" t="n"/>
      <c r="S3060" s="19" t="n"/>
      <c r="T3060" s="19" t="n"/>
      <c r="U3060" s="19" t="n"/>
      <c r="V3060" s="19" t="n"/>
      <c r="W3060" s="19" t="n">
        <v>1</v>
      </c>
      <c r="X3060" s="19" t="n"/>
      <c r="Y3060" s="19" t="n"/>
      <c r="Z3060" s="13">
        <f>SUMPRODUCT(N3060:Y3060,$N$2:$Y$2)*$K3060*$L3060*$M3060</f>
        <v/>
      </c>
      <c r="AA3060" s="14">
        <f>SUM(N3060:Y3060)</f>
        <v/>
      </c>
      <c r="AB3060" s="13">
        <f>SUMPRODUCT(N3060:Y3060,$N$3:$Y$3)*$K3060*$L3060*$M3060</f>
        <v/>
      </c>
      <c r="AC3060" s="13">
        <f>SUMPRODUCT(N3060:Y3060,$N$4:$Y$4)*$K3060*$L3060*$M3060</f>
        <v/>
      </c>
      <c r="AD3060" s="15" t="n">
        <v>7.466666666666666</v>
      </c>
      <c r="AE3060" s="11" t="n">
        <v>1.357062690396024</v>
      </c>
      <c r="AF3060" s="16">
        <f>SUMPRODUCT(N3060:Y3060,$N$5:$Y$5)*$K3060*$L3060*$M3060</f>
        <v/>
      </c>
      <c r="AG3060" s="16">
        <f>SUMPRODUCT(N3060:Y3060,$N$6:$Y$6)*$K3060*$L3060*$M3060</f>
        <v/>
      </c>
      <c r="AH3060" s="20" t="n"/>
    </row>
    <row r="3061">
      <c r="A3061" s="9" t="n">
        <v>694518</v>
      </c>
      <c r="B3061" s="9" t="inlineStr">
        <is>
          <t>Austin Smith</t>
        </is>
      </c>
      <c r="C3061" s="9" t="inlineStr">
        <is>
          <t>COL</t>
        </is>
      </c>
      <c r="D3061" s="9" t="n">
        <v>25</v>
      </c>
      <c r="E3061" s="18" t="inlineStr">
        <is>
          <t>R</t>
        </is>
      </c>
      <c r="F3061" s="18" t="n"/>
      <c r="G3061" s="9" t="n">
        <v>72.23999999999998</v>
      </c>
      <c r="H3061" s="9" t="n">
        <v>72.23999999999998</v>
      </c>
      <c r="I3061" s="9" t="inlineStr">
        <is>
          <t>Depth (no MLB IP)</t>
        </is>
      </c>
      <c r="J3061" s="18" t="inlineStr">
        <is>
          <t>Opening Day</t>
        </is>
      </c>
      <c r="K3061" s="11">
        <f>IFERROR(INDEX(Roles!$B$17:$B$20,MATCH(J3061,Roles!$A$17:$A$20,0)),1)</f>
        <v/>
      </c>
      <c r="L3061" s="19" t="n">
        <v>1</v>
      </c>
      <c r="M3061" s="11" t="n">
        <v>1</v>
      </c>
      <c r="N3061" s="19" t="n"/>
      <c r="O3061" s="19" t="n"/>
      <c r="P3061" s="19" t="n"/>
      <c r="Q3061" s="19" t="n"/>
      <c r="R3061" s="19" t="n"/>
      <c r="S3061" s="19" t="n"/>
      <c r="T3061" s="19" t="n"/>
      <c r="U3061" s="19" t="n"/>
      <c r="V3061" s="19" t="n"/>
      <c r="W3061" s="19" t="n"/>
      <c r="X3061" s="19" t="n"/>
      <c r="Y3061" s="19" t="n">
        <v>1</v>
      </c>
      <c r="Z3061" s="13">
        <f>SUMPRODUCT(N3061:Y3061,$N$2:$Y$2)*$K3061*$L3061*$M3061</f>
        <v/>
      </c>
      <c r="AA3061" s="14">
        <f>SUM(N3061:Y3061)</f>
        <v/>
      </c>
      <c r="AB3061" s="13">
        <f>SUMPRODUCT(N3061:Y3061,$N$3:$Y$3)*$K3061*$L3061*$M3061</f>
        <v/>
      </c>
      <c r="AC3061" s="13">
        <f>SUMPRODUCT(N3061:Y3061,$N$4:$Y$4)*$K3061*$L3061*$M3061</f>
        <v/>
      </c>
      <c r="AD3061" s="15" t="n">
        <v>3</v>
      </c>
      <c r="AE3061" s="11" t="n">
        <v>1.011296296296296</v>
      </c>
      <c r="AF3061" s="16">
        <f>SUMPRODUCT(N3061:Y3061,$N$5:$Y$5)*$K3061*$L3061*$M3061</f>
        <v/>
      </c>
      <c r="AG3061" s="16">
        <f>SUMPRODUCT(N3061:Y3061,$N$6:$Y$6)*$K3061*$L3061*$M3061</f>
        <v/>
      </c>
      <c r="AH3061" s="20" t="n"/>
    </row>
    <row r="3062">
      <c r="A3062" s="9" t="n">
        <v>687362</v>
      </c>
      <c r="B3062" s="9" t="inlineStr">
        <is>
          <t>Connor Gillispie</t>
        </is>
      </c>
      <c r="C3062" s="9" t="inlineStr">
        <is>
          <t>MIA</t>
        </is>
      </c>
      <c r="D3062" s="9" t="n">
        <v>29</v>
      </c>
      <c r="E3062" s="18" t="inlineStr">
        <is>
          <t>R</t>
        </is>
      </c>
      <c r="F3062" s="18" t="n"/>
      <c r="G3062" s="9" t="n">
        <v>123</v>
      </c>
      <c r="H3062" s="9" t="n">
        <v>155</v>
      </c>
      <c r="I3062" s="9" t="inlineStr">
        <is>
          <t>End-of-Rotation Starter (SP4-5)</t>
        </is>
      </c>
      <c r="J3062" s="18" t="inlineStr">
        <is>
          <t>Opening Day</t>
        </is>
      </c>
      <c r="K3062" s="11">
        <f>IFERROR(INDEX(Roles!$B$17:$B$20,MATCH(J3062,Roles!$A$17:$A$20,0)),1)</f>
        <v/>
      </c>
      <c r="L3062" s="19" t="n">
        <v>1</v>
      </c>
      <c r="M3062" s="11" t="n">
        <v>1</v>
      </c>
      <c r="N3062" s="19" t="n"/>
      <c r="O3062" s="19" t="n"/>
      <c r="P3062" s="19" t="n">
        <v>1</v>
      </c>
      <c r="Q3062" s="19" t="n"/>
      <c r="R3062" s="19" t="n"/>
      <c r="S3062" s="19" t="n"/>
      <c r="T3062" s="19" t="n"/>
      <c r="U3062" s="19" t="n"/>
      <c r="V3062" s="19" t="n"/>
      <c r="W3062" s="19" t="n"/>
      <c r="X3062" s="19" t="n"/>
      <c r="Y3062" s="19" t="n"/>
      <c r="Z3062" s="13">
        <f>SUMPRODUCT(N3062:Y3062,$N$2:$Y$2)*$K3062*$L3062*$M3062</f>
        <v/>
      </c>
      <c r="AA3062" s="14">
        <f>SUM(N3062:Y3062)</f>
        <v/>
      </c>
      <c r="AB3062" s="13">
        <f>SUMPRODUCT(N3062:Y3062,$N$3:$Y$3)*$K3062*$L3062*$M3062</f>
        <v/>
      </c>
      <c r="AC3062" s="13">
        <f>SUMPRODUCT(N3062:Y3062,$N$4:$Y$4)*$K3062*$L3062*$M3062</f>
        <v/>
      </c>
      <c r="AD3062" s="15" t="n">
        <v>9.4</v>
      </c>
      <c r="AE3062" s="11" t="n">
        <v>4.37037037037037</v>
      </c>
      <c r="AF3062" s="16">
        <f>SUMPRODUCT(N3062:Y3062,$N$5:$Y$5)*$K3062*$L3062*$M3062</f>
        <v/>
      </c>
      <c r="AG3062" s="16">
        <f>SUMPRODUCT(N3062:Y3062,$N$6:$Y$6)*$K3062*$L3062*$M3062</f>
        <v/>
      </c>
      <c r="AH3062" s="20" t="n"/>
    </row>
    <row r="3063">
      <c r="A3063" s="9" t="n">
        <v>703821</v>
      </c>
      <c r="B3063" s="9" t="inlineStr">
        <is>
          <t>Myles Caba</t>
        </is>
      </c>
      <c r="C3063" s="9" t="inlineStr">
        <is>
          <t>LAD</t>
        </is>
      </c>
      <c r="D3063" s="9" t="n">
        <v>25</v>
      </c>
      <c r="E3063" s="18" t="inlineStr">
        <is>
          <t>L</t>
        </is>
      </c>
      <c r="F3063" s="18" t="n"/>
      <c r="G3063" s="9" t="n">
        <v>72.23999999999998</v>
      </c>
      <c r="H3063" s="9" t="n">
        <v>72.23999999999998</v>
      </c>
      <c r="I3063" s="9" t="inlineStr">
        <is>
          <t>Depth (no MLB IP)</t>
        </is>
      </c>
      <c r="J3063" s="18" t="inlineStr">
        <is>
          <t>Opening Day</t>
        </is>
      </c>
      <c r="K3063" s="11">
        <f>IFERROR(INDEX(Roles!$B$17:$B$20,MATCH(J3063,Roles!$A$17:$A$20,0)),1)</f>
        <v/>
      </c>
      <c r="L3063" s="19" t="n">
        <v>1</v>
      </c>
      <c r="M3063" s="11" t="n">
        <v>1</v>
      </c>
      <c r="N3063" s="19" t="n"/>
      <c r="O3063" s="19" t="n"/>
      <c r="P3063" s="19" t="n"/>
      <c r="Q3063" s="19" t="n"/>
      <c r="R3063" s="19" t="n"/>
      <c r="S3063" s="19" t="n"/>
      <c r="T3063" s="19" t="n"/>
      <c r="U3063" s="19" t="n"/>
      <c r="V3063" s="19" t="n"/>
      <c r="W3063" s="19" t="n"/>
      <c r="X3063" s="19" t="n"/>
      <c r="Y3063" s="19" t="n">
        <v>1</v>
      </c>
      <c r="Z3063" s="13">
        <f>SUMPRODUCT(N3063:Y3063,$N$2:$Y$2)*$K3063*$L3063*$M3063</f>
        <v/>
      </c>
      <c r="AA3063" s="14">
        <f>SUM(N3063:Y3063)</f>
        <v/>
      </c>
      <c r="AB3063" s="13">
        <f>SUMPRODUCT(N3063:Y3063,$N$3:$Y$3)*$K3063*$L3063*$M3063</f>
        <v/>
      </c>
      <c r="AC3063" s="13">
        <f>SUMPRODUCT(N3063:Y3063,$N$4:$Y$4)*$K3063*$L3063*$M3063</f>
        <v/>
      </c>
      <c r="AD3063" s="15" t="n">
        <v>3</v>
      </c>
      <c r="AE3063" s="11" t="n">
        <v>1.011296296296296</v>
      </c>
      <c r="AF3063" s="16">
        <f>SUMPRODUCT(N3063:Y3063,$N$5:$Y$5)*$K3063*$L3063*$M3063</f>
        <v/>
      </c>
      <c r="AG3063" s="16">
        <f>SUMPRODUCT(N3063:Y3063,$N$6:$Y$6)*$K3063*$L3063*$M3063</f>
        <v/>
      </c>
      <c r="AH3063" s="20" t="n"/>
    </row>
    <row r="3064">
      <c r="A3064" s="9" t="n">
        <v>622065</v>
      </c>
      <c r="B3064" s="9" t="inlineStr">
        <is>
          <t>Alex Young</t>
        </is>
      </c>
      <c r="C3064" s="9" t="inlineStr">
        <is>
          <t>NYM</t>
        </is>
      </c>
      <c r="D3064" s="9" t="n">
        <v>33</v>
      </c>
      <c r="E3064" s="18" t="inlineStr">
        <is>
          <t>L</t>
        </is>
      </c>
      <c r="F3064" s="18" t="n"/>
      <c r="G3064" s="9" t="n">
        <v>68</v>
      </c>
      <c r="H3064" s="9" t="n">
        <v>420</v>
      </c>
      <c r="I3064" s="9" t="inlineStr">
        <is>
          <t>Depth (no MLB IP)</t>
        </is>
      </c>
      <c r="J3064" s="18" t="inlineStr">
        <is>
          <t>Opening Day</t>
        </is>
      </c>
      <c r="K3064" s="11">
        <f>IFERROR(INDEX(Roles!$B$17:$B$20,MATCH(J3064,Roles!$A$17:$A$20,0)),1)</f>
        <v/>
      </c>
      <c r="L3064" s="19" t="n">
        <v>1</v>
      </c>
      <c r="M3064" s="11" t="n">
        <v>1</v>
      </c>
      <c r="N3064" s="19" t="n"/>
      <c r="O3064" s="19" t="n"/>
      <c r="P3064" s="19" t="n"/>
      <c r="Q3064" s="19" t="n"/>
      <c r="R3064" s="19" t="n"/>
      <c r="S3064" s="19" t="n"/>
      <c r="T3064" s="19" t="n"/>
      <c r="U3064" s="19" t="n"/>
      <c r="V3064" s="19" t="n"/>
      <c r="W3064" s="19" t="n"/>
      <c r="X3064" s="19" t="n"/>
      <c r="Y3064" s="19" t="n">
        <v>1</v>
      </c>
      <c r="Z3064" s="13">
        <f>SUMPRODUCT(N3064:Y3064,$N$2:$Y$2)*$K3064*$L3064*$M3064</f>
        <v/>
      </c>
      <c r="AA3064" s="14">
        <f>SUM(N3064:Y3064)</f>
        <v/>
      </c>
      <c r="AB3064" s="13">
        <f>SUMPRODUCT(N3064:Y3064,$N$3:$Y$3)*$K3064*$L3064*$M3064</f>
        <v/>
      </c>
      <c r="AC3064" s="13">
        <f>SUMPRODUCT(N3064:Y3064,$N$4:$Y$4)*$K3064*$L3064*$M3064</f>
        <v/>
      </c>
      <c r="AD3064" s="15" t="n">
        <v>11.4</v>
      </c>
      <c r="AE3064" s="11" t="n">
        <v>0.9813870733478576</v>
      </c>
      <c r="AF3064" s="16">
        <f>SUMPRODUCT(N3064:Y3064,$N$5:$Y$5)*$K3064*$L3064*$M3064</f>
        <v/>
      </c>
      <c r="AG3064" s="16">
        <f>SUMPRODUCT(N3064:Y3064,$N$6:$Y$6)*$K3064*$L3064*$M3064</f>
        <v/>
      </c>
      <c r="AH3064" s="20" t="n"/>
    </row>
    <row r="3065">
      <c r="A3065" s="9" t="n">
        <v>813706</v>
      </c>
      <c r="B3065" s="9" t="inlineStr">
        <is>
          <t>Owen Hackman</t>
        </is>
      </c>
      <c r="C3065" s="9" t="inlineStr">
        <is>
          <t>ATL</t>
        </is>
      </c>
      <c r="D3065" s="9" t="n">
        <v>25</v>
      </c>
      <c r="E3065" s="18" t="inlineStr">
        <is>
          <t>R</t>
        </is>
      </c>
      <c r="F3065" s="18" t="n"/>
      <c r="G3065" s="9" t="n">
        <v>72.23999999999998</v>
      </c>
      <c r="H3065" s="9" t="n">
        <v>72.23999999999998</v>
      </c>
      <c r="I3065" s="9" t="inlineStr">
        <is>
          <t>Depth (no MLB IP)</t>
        </is>
      </c>
      <c r="J3065" s="18" t="inlineStr">
        <is>
          <t>Opening Day</t>
        </is>
      </c>
      <c r="K3065" s="11">
        <f>IFERROR(INDEX(Roles!$B$17:$B$20,MATCH(J3065,Roles!$A$17:$A$20,0)),1)</f>
        <v/>
      </c>
      <c r="L3065" s="19" t="n">
        <v>1</v>
      </c>
      <c r="M3065" s="11" t="n">
        <v>1</v>
      </c>
      <c r="N3065" s="19" t="n"/>
      <c r="O3065" s="19" t="n"/>
      <c r="P3065" s="19" t="n"/>
      <c r="Q3065" s="19" t="n"/>
      <c r="R3065" s="19" t="n"/>
      <c r="S3065" s="19" t="n"/>
      <c r="T3065" s="19" t="n"/>
      <c r="U3065" s="19" t="n"/>
      <c r="V3065" s="19" t="n"/>
      <c r="W3065" s="19" t="n"/>
      <c r="X3065" s="19" t="n"/>
      <c r="Y3065" s="19" t="n">
        <v>1</v>
      </c>
      <c r="Z3065" s="13">
        <f>SUMPRODUCT(N3065:Y3065,$N$2:$Y$2)*$K3065*$L3065*$M3065</f>
        <v/>
      </c>
      <c r="AA3065" s="14">
        <f>SUM(N3065:Y3065)</f>
        <v/>
      </c>
      <c r="AB3065" s="13">
        <f>SUMPRODUCT(N3065:Y3065,$N$3:$Y$3)*$K3065*$L3065*$M3065</f>
        <v/>
      </c>
      <c r="AC3065" s="13">
        <f>SUMPRODUCT(N3065:Y3065,$N$4:$Y$4)*$K3065*$L3065*$M3065</f>
        <v/>
      </c>
      <c r="AD3065" s="15" t="n">
        <v>3</v>
      </c>
      <c r="AE3065" s="11" t="n">
        <v>1.011296296296296</v>
      </c>
      <c r="AF3065" s="16">
        <f>SUMPRODUCT(N3065:Y3065,$N$5:$Y$5)*$K3065*$L3065*$M3065</f>
        <v/>
      </c>
      <c r="AG3065" s="16">
        <f>SUMPRODUCT(N3065:Y3065,$N$6:$Y$6)*$K3065*$L3065*$M3065</f>
        <v/>
      </c>
      <c r="AH3065" s="20" t="n"/>
    </row>
    <row r="3066">
      <c r="A3066" s="9" t="n">
        <v>683085</v>
      </c>
      <c r="B3066" s="9" t="inlineStr">
        <is>
          <t>Landon Sims</t>
        </is>
      </c>
      <c r="C3066" s="9" t="inlineStr">
        <is>
          <t>ARI</t>
        </is>
      </c>
      <c r="D3066" s="9" t="n">
        <v>25</v>
      </c>
      <c r="E3066" s="18" t="inlineStr">
        <is>
          <t>R</t>
        </is>
      </c>
      <c r="F3066" s="18" t="n"/>
      <c r="G3066" s="9" t="n">
        <v>72.52666666666667</v>
      </c>
      <c r="H3066" s="9" t="n">
        <v>72.52666666666667</v>
      </c>
      <c r="I3066" s="9" t="inlineStr">
        <is>
          <t>Depth (no MLB IP)</t>
        </is>
      </c>
      <c r="J3066" s="18" t="inlineStr">
        <is>
          <t>Opening Day</t>
        </is>
      </c>
      <c r="K3066" s="11">
        <f>IFERROR(INDEX(Roles!$B$17:$B$20,MATCH(J3066,Roles!$A$17:$A$20,0)),1)</f>
        <v/>
      </c>
      <c r="L3066" s="19" t="n">
        <v>1</v>
      </c>
      <c r="M3066" s="11" t="n">
        <v>1</v>
      </c>
      <c r="N3066" s="19" t="n"/>
      <c r="O3066" s="19" t="n"/>
      <c r="P3066" s="19" t="n"/>
      <c r="Q3066" s="19" t="n"/>
      <c r="R3066" s="19" t="n"/>
      <c r="S3066" s="19" t="n"/>
      <c r="T3066" s="19" t="n"/>
      <c r="U3066" s="19" t="n"/>
      <c r="V3066" s="19" t="n"/>
      <c r="W3066" s="19" t="n"/>
      <c r="X3066" s="19" t="n"/>
      <c r="Y3066" s="19" t="n">
        <v>1</v>
      </c>
      <c r="Z3066" s="13">
        <f>SUMPRODUCT(N3066:Y3066,$N$2:$Y$2)*$K3066*$L3066*$M3066</f>
        <v/>
      </c>
      <c r="AA3066" s="14">
        <f>SUM(N3066:Y3066)</f>
        <v/>
      </c>
      <c r="AB3066" s="13">
        <f>SUMPRODUCT(N3066:Y3066,$N$3:$Y$3)*$K3066*$L3066*$M3066</f>
        <v/>
      </c>
      <c r="AC3066" s="13">
        <f>SUMPRODUCT(N3066:Y3066,$N$4:$Y$4)*$K3066*$L3066*$M3066</f>
        <v/>
      </c>
      <c r="AD3066" s="15" t="n">
        <v>3</v>
      </c>
      <c r="AE3066" s="11" t="n">
        <v>1.011296296296296</v>
      </c>
      <c r="AF3066" s="16">
        <f>SUMPRODUCT(N3066:Y3066,$N$5:$Y$5)*$K3066*$L3066*$M3066</f>
        <v/>
      </c>
      <c r="AG3066" s="16">
        <f>SUMPRODUCT(N3066:Y3066,$N$6:$Y$6)*$K3066*$L3066*$M3066</f>
        <v/>
      </c>
      <c r="AH3066" s="20" t="n"/>
    </row>
    <row r="3067">
      <c r="A3067" s="9" t="n">
        <v>668800</v>
      </c>
      <c r="B3067" s="9" t="inlineStr">
        <is>
          <t>Andrew Knizner</t>
        </is>
      </c>
      <c r="C3067" s="9" t="inlineStr">
        <is>
          <t>TEX</t>
        </is>
      </c>
      <c r="D3067" s="9" t="n">
        <v>32</v>
      </c>
      <c r="E3067" s="18" t="inlineStr">
        <is>
          <t>R</t>
        </is>
      </c>
      <c r="F3067" s="18" t="n"/>
      <c r="G3067" s="9" t="n">
        <v>11</v>
      </c>
      <c r="H3067" s="9" t="n">
        <v>14</v>
      </c>
      <c r="I3067" s="9" t="inlineStr">
        <is>
          <t>Depth (no MLB IP)</t>
        </is>
      </c>
      <c r="J3067" s="18" t="inlineStr">
        <is>
          <t>Opening Day</t>
        </is>
      </c>
      <c r="K3067" s="11">
        <f>IFERROR(INDEX(Roles!$B$17:$B$20,MATCH(J3067,Roles!$A$17:$A$20,0)),1)</f>
        <v/>
      </c>
      <c r="L3067" s="19" t="n">
        <v>1</v>
      </c>
      <c r="M3067" s="11" t="n">
        <v>1</v>
      </c>
      <c r="N3067" s="19" t="n"/>
      <c r="O3067" s="19" t="n"/>
      <c r="P3067" s="19" t="n"/>
      <c r="Q3067" s="19" t="n"/>
      <c r="R3067" s="19" t="n"/>
      <c r="S3067" s="19" t="n"/>
      <c r="T3067" s="19" t="n"/>
      <c r="U3067" s="19" t="n"/>
      <c r="V3067" s="19" t="n"/>
      <c r="W3067" s="19" t="n"/>
      <c r="X3067" s="19" t="n"/>
      <c r="Y3067" s="19" t="n">
        <v>1</v>
      </c>
      <c r="Z3067" s="13">
        <f>SUMPRODUCT(N3067:Y3067,$N$2:$Y$2)*$K3067*$L3067*$M3067</f>
        <v/>
      </c>
      <c r="AA3067" s="14">
        <f>SUM(N3067:Y3067)</f>
        <v/>
      </c>
      <c r="AB3067" s="13">
        <f>SUMPRODUCT(N3067:Y3067,$N$3:$Y$3)*$K3067*$L3067*$M3067</f>
        <v/>
      </c>
      <c r="AC3067" s="13">
        <f>SUMPRODUCT(N3067:Y3067,$N$4:$Y$4)*$K3067*$L3067*$M3067</f>
        <v/>
      </c>
      <c r="AD3067" s="15" t="n">
        <v>2.4</v>
      </c>
      <c r="AE3067" s="11" t="n">
        <v>1.174197530864197</v>
      </c>
      <c r="AF3067" s="16">
        <f>SUMPRODUCT(N3067:Y3067,$N$5:$Y$5)*$K3067*$L3067*$M3067</f>
        <v/>
      </c>
      <c r="AG3067" s="16">
        <f>SUMPRODUCT(N3067:Y3067,$N$6:$Y$6)*$K3067*$L3067*$M3067</f>
        <v/>
      </c>
      <c r="AH3067" s="20" t="n"/>
    </row>
    <row r="3068">
      <c r="A3068" s="9" t="n">
        <v>686223</v>
      </c>
      <c r="B3068" s="9" t="inlineStr">
        <is>
          <t>Joey Mancini</t>
        </is>
      </c>
      <c r="C3068" s="9" t="inlineStr">
        <is>
          <t>HOU</t>
        </is>
      </c>
      <c r="D3068" s="9" t="n">
        <v>25</v>
      </c>
      <c r="E3068" s="18" t="inlineStr">
        <is>
          <t>R</t>
        </is>
      </c>
      <c r="F3068" s="18" t="n"/>
      <c r="G3068" s="9" t="n">
        <v>72.52666666666667</v>
      </c>
      <c r="H3068" s="9" t="n">
        <v>72.52666666666667</v>
      </c>
      <c r="I3068" s="9" t="inlineStr">
        <is>
          <t>Depth (no MLB IP)</t>
        </is>
      </c>
      <c r="J3068" s="18" t="inlineStr">
        <is>
          <t>Opening Day</t>
        </is>
      </c>
      <c r="K3068" s="11">
        <f>IFERROR(INDEX(Roles!$B$17:$B$20,MATCH(J3068,Roles!$A$17:$A$20,0)),1)</f>
        <v/>
      </c>
      <c r="L3068" s="19" t="n">
        <v>1</v>
      </c>
      <c r="M3068" s="11" t="n">
        <v>1</v>
      </c>
      <c r="N3068" s="19" t="n"/>
      <c r="O3068" s="19" t="n"/>
      <c r="P3068" s="19" t="n"/>
      <c r="Q3068" s="19" t="n"/>
      <c r="R3068" s="19" t="n"/>
      <c r="S3068" s="19" t="n"/>
      <c r="T3068" s="19" t="n"/>
      <c r="U3068" s="19" t="n"/>
      <c r="V3068" s="19" t="n"/>
      <c r="W3068" s="19" t="n"/>
      <c r="X3068" s="19" t="n"/>
      <c r="Y3068" s="19" t="n">
        <v>1</v>
      </c>
      <c r="Z3068" s="13">
        <f>SUMPRODUCT(N3068:Y3068,$N$2:$Y$2)*$K3068*$L3068*$M3068</f>
        <v/>
      </c>
      <c r="AA3068" s="14">
        <f>SUM(N3068:Y3068)</f>
        <v/>
      </c>
      <c r="AB3068" s="13">
        <f>SUMPRODUCT(N3068:Y3068,$N$3:$Y$3)*$K3068*$L3068*$M3068</f>
        <v/>
      </c>
      <c r="AC3068" s="13">
        <f>SUMPRODUCT(N3068:Y3068,$N$4:$Y$4)*$K3068*$L3068*$M3068</f>
        <v/>
      </c>
      <c r="AD3068" s="15" t="n">
        <v>3</v>
      </c>
      <c r="AE3068" s="11" t="n">
        <v>1.011296296296296</v>
      </c>
      <c r="AF3068" s="16">
        <f>SUMPRODUCT(N3068:Y3068,$N$5:$Y$5)*$K3068*$L3068*$M3068</f>
        <v/>
      </c>
      <c r="AG3068" s="16">
        <f>SUMPRODUCT(N3068:Y3068,$N$6:$Y$6)*$K3068*$L3068*$M3068</f>
        <v/>
      </c>
      <c r="AH3068" s="20" t="n"/>
    </row>
    <row r="3069">
      <c r="A3069" s="9" t="n">
        <v>666214</v>
      </c>
      <c r="B3069" s="9" t="inlineStr">
        <is>
          <t>Joey Wentz</t>
        </is>
      </c>
      <c r="C3069" s="9" t="inlineStr">
        <is>
          <t>ATL</t>
        </is>
      </c>
      <c r="D3069" s="9" t="n">
        <v>29</v>
      </c>
      <c r="E3069" s="18" t="inlineStr">
        <is>
          <t>L</t>
        </is>
      </c>
      <c r="F3069" s="18" t="n"/>
      <c r="G3069" s="9" t="n">
        <v>442</v>
      </c>
      <c r="H3069" s="9" t="n">
        <v>1373</v>
      </c>
      <c r="I3069" s="9" t="inlineStr">
        <is>
          <t>Bullpen Depth Arm</t>
        </is>
      </c>
      <c r="J3069" s="18" t="inlineStr">
        <is>
          <t>Opening Day</t>
        </is>
      </c>
      <c r="K3069" s="11">
        <f>IFERROR(INDEX(Roles!$B$17:$B$20,MATCH(J3069,Roles!$A$17:$A$20,0)),1)</f>
        <v/>
      </c>
      <c r="L3069" s="19" t="n">
        <v>1</v>
      </c>
      <c r="M3069" s="11" t="n">
        <v>1</v>
      </c>
      <c r="N3069" s="19" t="n"/>
      <c r="O3069" s="19" t="n"/>
      <c r="P3069" s="19" t="n"/>
      <c r="Q3069" s="19" t="n"/>
      <c r="R3069" s="19" t="n"/>
      <c r="S3069" s="19" t="n"/>
      <c r="T3069" s="19" t="n"/>
      <c r="U3069" s="19" t="n"/>
      <c r="V3069" s="19" t="n"/>
      <c r="W3069" s="19" t="n">
        <v>1</v>
      </c>
      <c r="X3069" s="19" t="n"/>
      <c r="Y3069" s="19" t="n"/>
      <c r="Z3069" s="13">
        <f>SUMPRODUCT(N3069:Y3069,$N$2:$Y$2)*$K3069*$L3069*$M3069</f>
        <v/>
      </c>
      <c r="AA3069" s="14">
        <f>SUM(N3069:Y3069)</f>
        <v/>
      </c>
      <c r="AB3069" s="13">
        <f>SUMPRODUCT(N3069:Y3069,$N$3:$Y$3)*$K3069*$L3069*$M3069</f>
        <v/>
      </c>
      <c r="AC3069" s="13">
        <f>SUMPRODUCT(N3069:Y3069,$N$4:$Y$4)*$K3069*$L3069*$M3069</f>
        <v/>
      </c>
      <c r="AD3069" s="15" t="n">
        <v>30.46666666666667</v>
      </c>
      <c r="AE3069" s="11" t="n">
        <v>1.509392439499966</v>
      </c>
      <c r="AF3069" s="16">
        <f>SUMPRODUCT(N3069:Y3069,$N$5:$Y$5)*$K3069*$L3069*$M3069</f>
        <v/>
      </c>
      <c r="AG3069" s="16">
        <f>SUMPRODUCT(N3069:Y3069,$N$6:$Y$6)*$K3069*$L3069*$M3069</f>
        <v/>
      </c>
      <c r="AH3069" s="20" t="n"/>
    </row>
    <row r="3070">
      <c r="A3070" s="9" t="n">
        <v>657508</v>
      </c>
      <c r="B3070" s="9" t="inlineStr">
        <is>
          <t>Mike Baumann</t>
        </is>
      </c>
      <c r="C3070" s="9" t="inlineStr">
        <is>
          <t>MIA</t>
        </is>
      </c>
      <c r="D3070" s="9" t="n">
        <v>31</v>
      </c>
      <c r="E3070" s="18" t="inlineStr">
        <is>
          <t>R</t>
        </is>
      </c>
      <c r="F3070" s="18" t="n"/>
      <c r="G3070" s="9" t="n">
        <v>264</v>
      </c>
      <c r="H3070" s="9" t="n">
        <v>686</v>
      </c>
      <c r="I3070" s="9" t="inlineStr">
        <is>
          <t>Depth (no MLB IP)</t>
        </is>
      </c>
      <c r="J3070" s="18" t="inlineStr">
        <is>
          <t>Opening Day</t>
        </is>
      </c>
      <c r="K3070" s="11">
        <f>IFERROR(INDEX(Roles!$B$17:$B$20,MATCH(J3070,Roles!$A$17:$A$20,0)),1)</f>
        <v/>
      </c>
      <c r="L3070" s="19" t="n">
        <v>1</v>
      </c>
      <c r="M3070" s="11" t="n">
        <v>1</v>
      </c>
      <c r="N3070" s="19" t="n"/>
      <c r="O3070" s="19" t="n"/>
      <c r="P3070" s="19" t="n"/>
      <c r="Q3070" s="19" t="n"/>
      <c r="R3070" s="19" t="n"/>
      <c r="S3070" s="19" t="n"/>
      <c r="T3070" s="19" t="n"/>
      <c r="U3070" s="19" t="n"/>
      <c r="V3070" s="19" t="n"/>
      <c r="W3070" s="19" t="n"/>
      <c r="X3070" s="19" t="n"/>
      <c r="Y3070" s="19" t="n">
        <v>1</v>
      </c>
      <c r="Z3070" s="13">
        <f>SUMPRODUCT(N3070:Y3070,$N$2:$Y$2)*$K3070*$L3070*$M3070</f>
        <v/>
      </c>
      <c r="AA3070" s="14">
        <f>SUM(N3070:Y3070)</f>
        <v/>
      </c>
      <c r="AB3070" s="13">
        <f>SUMPRODUCT(N3070:Y3070,$N$3:$Y$3)*$K3070*$L3070*$M3070</f>
        <v/>
      </c>
      <c r="AC3070" s="13">
        <f>SUMPRODUCT(N3070:Y3070,$N$4:$Y$4)*$K3070*$L3070*$M3070</f>
        <v/>
      </c>
      <c r="AD3070" s="15" t="n">
        <v>35.4</v>
      </c>
      <c r="AE3070" s="11" t="n">
        <v>1.015328135152696</v>
      </c>
      <c r="AF3070" s="16">
        <f>SUMPRODUCT(N3070:Y3070,$N$5:$Y$5)*$K3070*$L3070*$M3070</f>
        <v/>
      </c>
      <c r="AG3070" s="16">
        <f>SUMPRODUCT(N3070:Y3070,$N$6:$Y$6)*$K3070*$L3070*$M3070</f>
        <v/>
      </c>
      <c r="AH3070" s="20" t="n"/>
    </row>
    <row r="3071">
      <c r="A3071" s="9" t="n">
        <v>624512</v>
      </c>
      <c r="B3071" s="9" t="inlineStr">
        <is>
          <t>Reese McGuire</t>
        </is>
      </c>
      <c r="C3071" s="9" t="inlineStr">
        <is>
          <t>CWS</t>
        </is>
      </c>
      <c r="D3071" s="9" t="n">
        <v>32</v>
      </c>
      <c r="E3071" s="18" t="inlineStr">
        <is>
          <t>R</t>
        </is>
      </c>
      <c r="F3071" s="18" t="n"/>
      <c r="G3071" s="9" t="n">
        <v>3</v>
      </c>
      <c r="H3071" s="9" t="n">
        <v>12</v>
      </c>
      <c r="I3071" s="9" t="inlineStr">
        <is>
          <t>Depth (no MLB IP)</t>
        </is>
      </c>
      <c r="J3071" s="18" t="inlineStr">
        <is>
          <t>Opening Day</t>
        </is>
      </c>
      <c r="K3071" s="11">
        <f>IFERROR(INDEX(Roles!$B$17:$B$20,MATCH(J3071,Roles!$A$17:$A$20,0)),1)</f>
        <v/>
      </c>
      <c r="L3071" s="19" t="n">
        <v>1</v>
      </c>
      <c r="M3071" s="11" t="n">
        <v>1</v>
      </c>
      <c r="N3071" s="19" t="n"/>
      <c r="O3071" s="19" t="n"/>
      <c r="P3071" s="19" t="n"/>
      <c r="Q3071" s="19" t="n"/>
      <c r="R3071" s="19" t="n"/>
      <c r="S3071" s="19" t="n"/>
      <c r="T3071" s="19" t="n"/>
      <c r="U3071" s="19" t="n"/>
      <c r="V3071" s="19" t="n"/>
      <c r="W3071" s="19" t="n"/>
      <c r="X3071" s="19" t="n"/>
      <c r="Y3071" s="19" t="n">
        <v>1</v>
      </c>
      <c r="Z3071" s="13">
        <f>SUMPRODUCT(N3071:Y3071,$N$2:$Y$2)*$K3071*$L3071*$M3071</f>
        <v/>
      </c>
      <c r="AA3071" s="14">
        <f>SUM(N3071:Y3071)</f>
        <v/>
      </c>
      <c r="AB3071" s="13">
        <f>SUMPRODUCT(N3071:Y3071,$N$3:$Y$3)*$K3071*$L3071*$M3071</f>
        <v/>
      </c>
      <c r="AC3071" s="13">
        <f>SUMPRODUCT(N3071:Y3071,$N$4:$Y$4)*$K3071*$L3071*$M3071</f>
        <v/>
      </c>
      <c r="AD3071" s="15" t="n">
        <v>1.8</v>
      </c>
      <c r="AE3071" s="11" t="n">
        <v>1.007530864197531</v>
      </c>
      <c r="AF3071" s="16">
        <f>SUMPRODUCT(N3071:Y3071,$N$5:$Y$5)*$K3071*$L3071*$M3071</f>
        <v/>
      </c>
      <c r="AG3071" s="16">
        <f>SUMPRODUCT(N3071:Y3071,$N$6:$Y$6)*$K3071*$L3071*$M3071</f>
        <v/>
      </c>
      <c r="AH3071" s="20" t="n"/>
    </row>
    <row r="3072">
      <c r="A3072" s="9" t="n">
        <v>813266</v>
      </c>
      <c r="B3072" s="9" t="inlineStr">
        <is>
          <t>Mitch White</t>
        </is>
      </c>
      <c r="C3072" s="9" t="inlineStr">
        <is>
          <t>SF</t>
        </is>
      </c>
      <c r="D3072" s="9" t="n">
        <v>25</v>
      </c>
      <c r="E3072" s="18" t="inlineStr">
        <is>
          <t>R</t>
        </is>
      </c>
      <c r="F3072" s="18" t="n"/>
      <c r="G3072" s="9" t="n">
        <v>73.24333333333333</v>
      </c>
      <c r="H3072" s="9" t="n">
        <v>73.24333333333333</v>
      </c>
      <c r="I3072" s="9" t="inlineStr">
        <is>
          <t>Depth (no MLB IP)</t>
        </is>
      </c>
      <c r="J3072" s="18" t="inlineStr">
        <is>
          <t>Opening Day</t>
        </is>
      </c>
      <c r="K3072" s="11">
        <f>IFERROR(INDEX(Roles!$B$17:$B$20,MATCH(J3072,Roles!$A$17:$A$20,0)),1)</f>
        <v/>
      </c>
      <c r="L3072" s="19" t="n">
        <v>1</v>
      </c>
      <c r="M3072" s="11" t="n">
        <v>1</v>
      </c>
      <c r="N3072" s="19" t="n"/>
      <c r="O3072" s="19" t="n"/>
      <c r="P3072" s="19" t="n"/>
      <c r="Q3072" s="19" t="n"/>
      <c r="R3072" s="19" t="n"/>
      <c r="S3072" s="19" t="n"/>
      <c r="T3072" s="19" t="n"/>
      <c r="U3072" s="19" t="n"/>
      <c r="V3072" s="19" t="n"/>
      <c r="W3072" s="19" t="n"/>
      <c r="X3072" s="19" t="n"/>
      <c r="Y3072" s="19" t="n">
        <v>1</v>
      </c>
      <c r="Z3072" s="13">
        <f>SUMPRODUCT(N3072:Y3072,$N$2:$Y$2)*$K3072*$L3072*$M3072</f>
        <v/>
      </c>
      <c r="AA3072" s="14">
        <f>SUM(N3072:Y3072)</f>
        <v/>
      </c>
      <c r="AB3072" s="13">
        <f>SUMPRODUCT(N3072:Y3072,$N$3:$Y$3)*$K3072*$L3072*$M3072</f>
        <v/>
      </c>
      <c r="AC3072" s="13">
        <f>SUMPRODUCT(N3072:Y3072,$N$4:$Y$4)*$K3072*$L3072*$M3072</f>
        <v/>
      </c>
      <c r="AD3072" s="15" t="n">
        <v>3</v>
      </c>
      <c r="AE3072" s="11" t="n">
        <v>1.011296296296296</v>
      </c>
      <c r="AF3072" s="16">
        <f>SUMPRODUCT(N3072:Y3072,$N$5:$Y$5)*$K3072*$L3072*$M3072</f>
        <v/>
      </c>
      <c r="AG3072" s="16">
        <f>SUMPRODUCT(N3072:Y3072,$N$6:$Y$6)*$K3072*$L3072*$M3072</f>
        <v/>
      </c>
      <c r="AH3072" s="20" t="n"/>
    </row>
    <row r="3073">
      <c r="A3073" s="9" t="n">
        <v>686588</v>
      </c>
      <c r="B3073" s="9" t="inlineStr">
        <is>
          <t>Blane Abeyta</t>
        </is>
      </c>
      <c r="C3073" s="9" t="inlineStr">
        <is>
          <t>ATL</t>
        </is>
      </c>
      <c r="D3073" s="9" t="n">
        <v>25</v>
      </c>
      <c r="E3073" s="18" t="inlineStr">
        <is>
          <t>R</t>
        </is>
      </c>
      <c r="F3073" s="18" t="n"/>
      <c r="G3073" s="9" t="n">
        <v>73.24333333333333</v>
      </c>
      <c r="H3073" s="9" t="n">
        <v>73.24333333333333</v>
      </c>
      <c r="I3073" s="9" t="inlineStr">
        <is>
          <t>Depth (no MLB IP)</t>
        </is>
      </c>
      <c r="J3073" s="18" t="inlineStr">
        <is>
          <t>Opening Day</t>
        </is>
      </c>
      <c r="K3073" s="11">
        <f>IFERROR(INDEX(Roles!$B$17:$B$20,MATCH(J3073,Roles!$A$17:$A$20,0)),1)</f>
        <v/>
      </c>
      <c r="L3073" s="19" t="n">
        <v>1</v>
      </c>
      <c r="M3073" s="11" t="n">
        <v>1</v>
      </c>
      <c r="N3073" s="19" t="n"/>
      <c r="O3073" s="19" t="n"/>
      <c r="P3073" s="19" t="n"/>
      <c r="Q3073" s="19" t="n"/>
      <c r="R3073" s="19" t="n"/>
      <c r="S3073" s="19" t="n"/>
      <c r="T3073" s="19" t="n"/>
      <c r="U3073" s="19" t="n"/>
      <c r="V3073" s="19" t="n"/>
      <c r="W3073" s="19" t="n"/>
      <c r="X3073" s="19" t="n"/>
      <c r="Y3073" s="19" t="n">
        <v>1</v>
      </c>
      <c r="Z3073" s="13">
        <f>SUMPRODUCT(N3073:Y3073,$N$2:$Y$2)*$K3073*$L3073*$M3073</f>
        <v/>
      </c>
      <c r="AA3073" s="14">
        <f>SUM(N3073:Y3073)</f>
        <v/>
      </c>
      <c r="AB3073" s="13">
        <f>SUMPRODUCT(N3073:Y3073,$N$3:$Y$3)*$K3073*$L3073*$M3073</f>
        <v/>
      </c>
      <c r="AC3073" s="13">
        <f>SUMPRODUCT(N3073:Y3073,$N$4:$Y$4)*$K3073*$L3073*$M3073</f>
        <v/>
      </c>
      <c r="AD3073" s="15" t="n">
        <v>3</v>
      </c>
      <c r="AE3073" s="11" t="n">
        <v>1.011296296296296</v>
      </c>
      <c r="AF3073" s="16">
        <f>SUMPRODUCT(N3073:Y3073,$N$5:$Y$5)*$K3073*$L3073*$M3073</f>
        <v/>
      </c>
      <c r="AG3073" s="16">
        <f>SUMPRODUCT(N3073:Y3073,$N$6:$Y$6)*$K3073*$L3073*$M3073</f>
        <v/>
      </c>
      <c r="AH3073" s="20" t="n"/>
    </row>
    <row r="3074">
      <c r="A3074" s="9" t="n">
        <v>687287</v>
      </c>
      <c r="B3074" s="9" t="inlineStr">
        <is>
          <t>Patrick Monteverde</t>
        </is>
      </c>
      <c r="C3074" s="9" t="inlineStr">
        <is>
          <t>MIA</t>
        </is>
      </c>
      <c r="D3074" s="9" t="n">
        <v>29</v>
      </c>
      <c r="E3074" s="18" t="inlineStr">
        <is>
          <t>L</t>
        </is>
      </c>
      <c r="F3074" s="18" t="n"/>
      <c r="G3074" s="9" t="n">
        <v>18</v>
      </c>
      <c r="H3074" s="9" t="n">
        <v>38</v>
      </c>
      <c r="I3074" s="9" t="inlineStr">
        <is>
          <t>Depth (no MLB IP)</t>
        </is>
      </c>
      <c r="J3074" s="18" t="inlineStr">
        <is>
          <t>Opening Day</t>
        </is>
      </c>
      <c r="K3074" s="11">
        <f>IFERROR(INDEX(Roles!$B$17:$B$20,MATCH(J3074,Roles!$A$17:$A$20,0)),1)</f>
        <v/>
      </c>
      <c r="L3074" s="19" t="n">
        <v>1</v>
      </c>
      <c r="M3074" s="11" t="n">
        <v>1</v>
      </c>
      <c r="N3074" s="19" t="n"/>
      <c r="O3074" s="19" t="n"/>
      <c r="P3074" s="19" t="n"/>
      <c r="Q3074" s="19" t="n"/>
      <c r="R3074" s="19" t="n"/>
      <c r="S3074" s="19" t="n"/>
      <c r="T3074" s="19" t="n"/>
      <c r="U3074" s="19" t="n"/>
      <c r="V3074" s="19" t="n"/>
      <c r="W3074" s="19" t="n"/>
      <c r="X3074" s="19" t="n"/>
      <c r="Y3074" s="19" t="n">
        <v>1</v>
      </c>
      <c r="Z3074" s="13">
        <f>SUMPRODUCT(N3074:Y3074,$N$2:$Y$2)*$K3074*$L3074*$M3074</f>
        <v/>
      </c>
      <c r="AA3074" s="14">
        <f>SUM(N3074:Y3074)</f>
        <v/>
      </c>
      <c r="AB3074" s="13">
        <f>SUMPRODUCT(N3074:Y3074,$N$3:$Y$3)*$K3074*$L3074*$M3074</f>
        <v/>
      </c>
      <c r="AC3074" s="13">
        <f>SUMPRODUCT(N3074:Y3074,$N$4:$Y$4)*$K3074*$L3074*$M3074</f>
        <v/>
      </c>
      <c r="AD3074" s="15" t="n">
        <v>1.8</v>
      </c>
      <c r="AE3074" s="11" t="n">
        <v>1.963086419753086</v>
      </c>
      <c r="AF3074" s="16">
        <f>SUMPRODUCT(N3074:Y3074,$N$5:$Y$5)*$K3074*$L3074*$M3074</f>
        <v/>
      </c>
      <c r="AG3074" s="16">
        <f>SUMPRODUCT(N3074:Y3074,$N$6:$Y$6)*$K3074*$L3074*$M3074</f>
        <v/>
      </c>
      <c r="AH3074" s="20" t="n"/>
    </row>
    <row r="3075">
      <c r="A3075" s="9" t="n">
        <v>656288</v>
      </c>
      <c r="B3075" s="9" t="inlineStr">
        <is>
          <t>Griffin Canning</t>
        </is>
      </c>
      <c r="C3075" s="9" t="inlineStr">
        <is>
          <t>SD</t>
        </is>
      </c>
      <c r="D3075" s="9" t="n">
        <v>31</v>
      </c>
      <c r="E3075" s="18" t="inlineStr">
        <is>
          <t>R</t>
        </is>
      </c>
      <c r="F3075" s="18" t="n"/>
      <c r="G3075" s="9" t="n">
        <v>391</v>
      </c>
      <c r="H3075" s="9" t="n">
        <v>1994</v>
      </c>
      <c r="I3075" s="9" t="inlineStr">
        <is>
          <t>Swing Arm / Long Relief</t>
        </is>
      </c>
      <c r="J3075" s="18" t="inlineStr">
        <is>
          <t>Opening Day</t>
        </is>
      </c>
      <c r="K3075" s="11">
        <f>IFERROR(INDEX(Roles!$B$17:$B$20,MATCH(J3075,Roles!$A$17:$A$20,0)),1)</f>
        <v/>
      </c>
      <c r="L3075" s="19" t="n">
        <v>1</v>
      </c>
      <c r="M3075" s="11" t="n">
        <v>1</v>
      </c>
      <c r="N3075" s="19" t="n"/>
      <c r="O3075" s="19" t="n"/>
      <c r="P3075" s="19" t="n"/>
      <c r="Q3075" s="19" t="n"/>
      <c r="R3075" s="19" t="n">
        <v>0.6</v>
      </c>
      <c r="S3075" s="19" t="n"/>
      <c r="T3075" s="19" t="n"/>
      <c r="U3075" s="19" t="n"/>
      <c r="V3075" s="19" t="n"/>
      <c r="W3075" s="19" t="n">
        <v>0.4</v>
      </c>
      <c r="X3075" s="19" t="n"/>
      <c r="Y3075" s="19" t="n"/>
      <c r="Z3075" s="13">
        <f>SUMPRODUCT(N3075:Y3075,$N$2:$Y$2)*$K3075*$L3075*$M3075</f>
        <v/>
      </c>
      <c r="AA3075" s="14">
        <f>SUM(N3075:Y3075)</f>
        <v/>
      </c>
      <c r="AB3075" s="13">
        <f>SUMPRODUCT(N3075:Y3075,$N$3:$Y$3)*$K3075*$L3075*$M3075</f>
        <v/>
      </c>
      <c r="AC3075" s="13">
        <f>SUMPRODUCT(N3075:Y3075,$N$4:$Y$4)*$K3075*$L3075*$M3075</f>
        <v/>
      </c>
      <c r="AD3075" s="15" t="n">
        <v>23.53333333333333</v>
      </c>
      <c r="AE3075" s="11" t="n">
        <v>2.946265938069217</v>
      </c>
      <c r="AF3075" s="16">
        <f>SUMPRODUCT(N3075:Y3075,$N$5:$Y$5)*$K3075*$L3075*$M3075</f>
        <v/>
      </c>
      <c r="AG3075" s="16">
        <f>SUMPRODUCT(N3075:Y3075,$N$6:$Y$6)*$K3075*$L3075*$M3075</f>
        <v/>
      </c>
      <c r="AH3075" s="20" t="n"/>
    </row>
    <row r="3076">
      <c r="A3076" s="9" t="n">
        <v>688540</v>
      </c>
      <c r="B3076" s="9" t="inlineStr">
        <is>
          <t>Kade Bragg</t>
        </is>
      </c>
      <c r="C3076" s="9" t="inlineStr">
        <is>
          <t>MIA</t>
        </is>
      </c>
      <c r="D3076" s="9" t="n">
        <v>25</v>
      </c>
      <c r="E3076" s="18" t="inlineStr">
        <is>
          <t>L</t>
        </is>
      </c>
      <c r="F3076" s="18" t="n"/>
      <c r="G3076" s="9" t="n">
        <v>73.74499999999999</v>
      </c>
      <c r="H3076" s="9" t="n">
        <v>73.74499999999999</v>
      </c>
      <c r="I3076" s="9" t="inlineStr">
        <is>
          <t>Depth (no MLB IP)</t>
        </is>
      </c>
      <c r="J3076" s="18" t="inlineStr">
        <is>
          <t>Opening Day</t>
        </is>
      </c>
      <c r="K3076" s="11">
        <f>IFERROR(INDEX(Roles!$B$17:$B$20,MATCH(J3076,Roles!$A$17:$A$20,0)),1)</f>
        <v/>
      </c>
      <c r="L3076" s="19" t="n">
        <v>1</v>
      </c>
      <c r="M3076" s="11" t="n">
        <v>1</v>
      </c>
      <c r="N3076" s="19" t="n"/>
      <c r="O3076" s="19" t="n"/>
      <c r="P3076" s="19" t="n"/>
      <c r="Q3076" s="19" t="n"/>
      <c r="R3076" s="19" t="n"/>
      <c r="S3076" s="19" t="n"/>
      <c r="T3076" s="19" t="n"/>
      <c r="U3076" s="19" t="n"/>
      <c r="V3076" s="19" t="n"/>
      <c r="W3076" s="19" t="n"/>
      <c r="X3076" s="19" t="n"/>
      <c r="Y3076" s="19" t="n">
        <v>1</v>
      </c>
      <c r="Z3076" s="13">
        <f>SUMPRODUCT(N3076:Y3076,$N$2:$Y$2)*$K3076*$L3076*$M3076</f>
        <v/>
      </c>
      <c r="AA3076" s="14">
        <f>SUM(N3076:Y3076)</f>
        <v/>
      </c>
      <c r="AB3076" s="13">
        <f>SUMPRODUCT(N3076:Y3076,$N$3:$Y$3)*$K3076*$L3076*$M3076</f>
        <v/>
      </c>
      <c r="AC3076" s="13">
        <f>SUMPRODUCT(N3076:Y3076,$N$4:$Y$4)*$K3076*$L3076*$M3076</f>
        <v/>
      </c>
      <c r="AD3076" s="15" t="n">
        <v>3</v>
      </c>
      <c r="AE3076" s="11" t="n">
        <v>1.011296296296296</v>
      </c>
      <c r="AF3076" s="16">
        <f>SUMPRODUCT(N3076:Y3076,$N$5:$Y$5)*$K3076*$L3076*$M3076</f>
        <v/>
      </c>
      <c r="AG3076" s="16">
        <f>SUMPRODUCT(N3076:Y3076,$N$6:$Y$6)*$K3076*$L3076*$M3076</f>
        <v/>
      </c>
      <c r="AH3076" s="20" t="n"/>
    </row>
    <row r="3077">
      <c r="A3077" s="9" t="n">
        <v>679489</v>
      </c>
      <c r="B3077" s="9" t="inlineStr">
        <is>
          <t>Tyler LaPorte</t>
        </is>
      </c>
      <c r="C3077" s="9" t="inlineStr">
        <is>
          <t>ATL</t>
        </is>
      </c>
      <c r="D3077" s="9" t="n">
        <v>25</v>
      </c>
      <c r="E3077" s="18" t="inlineStr">
        <is>
          <t>R</t>
        </is>
      </c>
      <c r="F3077" s="18" t="n"/>
      <c r="G3077" s="9" t="n">
        <v>73.74499999999999</v>
      </c>
      <c r="H3077" s="9" t="n">
        <v>73.74499999999999</v>
      </c>
      <c r="I3077" s="9" t="inlineStr">
        <is>
          <t>Depth (no MLB IP)</t>
        </is>
      </c>
      <c r="J3077" s="18" t="inlineStr">
        <is>
          <t>Opening Day</t>
        </is>
      </c>
      <c r="K3077" s="11">
        <f>IFERROR(INDEX(Roles!$B$17:$B$20,MATCH(J3077,Roles!$A$17:$A$20,0)),1)</f>
        <v/>
      </c>
      <c r="L3077" s="19" t="n">
        <v>1</v>
      </c>
      <c r="M3077" s="11" t="n">
        <v>1</v>
      </c>
      <c r="N3077" s="19" t="n"/>
      <c r="O3077" s="19" t="n"/>
      <c r="P3077" s="19" t="n"/>
      <c r="Q3077" s="19" t="n"/>
      <c r="R3077" s="19" t="n"/>
      <c r="S3077" s="19" t="n"/>
      <c r="T3077" s="19" t="n"/>
      <c r="U3077" s="19" t="n"/>
      <c r="V3077" s="19" t="n"/>
      <c r="W3077" s="19" t="n"/>
      <c r="X3077" s="19" t="n"/>
      <c r="Y3077" s="19" t="n">
        <v>1</v>
      </c>
      <c r="Z3077" s="13">
        <f>SUMPRODUCT(N3077:Y3077,$N$2:$Y$2)*$K3077*$L3077*$M3077</f>
        <v/>
      </c>
      <c r="AA3077" s="14">
        <f>SUM(N3077:Y3077)</f>
        <v/>
      </c>
      <c r="AB3077" s="13">
        <f>SUMPRODUCT(N3077:Y3077,$N$3:$Y$3)*$K3077*$L3077*$M3077</f>
        <v/>
      </c>
      <c r="AC3077" s="13">
        <f>SUMPRODUCT(N3077:Y3077,$N$4:$Y$4)*$K3077*$L3077*$M3077</f>
        <v/>
      </c>
      <c r="AD3077" s="15" t="n">
        <v>3</v>
      </c>
      <c r="AE3077" s="11" t="n">
        <v>1.011296296296296</v>
      </c>
      <c r="AF3077" s="16">
        <f>SUMPRODUCT(N3077:Y3077,$N$5:$Y$5)*$K3077*$L3077*$M3077</f>
        <v/>
      </c>
      <c r="AG3077" s="16">
        <f>SUMPRODUCT(N3077:Y3077,$N$6:$Y$6)*$K3077*$L3077*$M3077</f>
        <v/>
      </c>
      <c r="AH3077" s="20" t="n"/>
    </row>
    <row r="3078">
      <c r="A3078" s="9" t="n">
        <v>640902</v>
      </c>
      <c r="B3078" s="9" t="inlineStr">
        <is>
          <t>Jhonny Pereda</t>
        </is>
      </c>
      <c r="C3078" s="9" t="inlineStr">
        <is>
          <t>SEA</t>
        </is>
      </c>
      <c r="D3078" s="9" t="n">
        <v>31</v>
      </c>
      <c r="E3078" s="18" t="inlineStr">
        <is>
          <t>R</t>
        </is>
      </c>
      <c r="F3078" s="18" t="n"/>
      <c r="G3078" s="9" t="n">
        <v>4</v>
      </c>
      <c r="H3078" s="9" t="n">
        <v>25</v>
      </c>
      <c r="I3078" s="9" t="inlineStr">
        <is>
          <t>Depth (no MLB IP)</t>
        </is>
      </c>
      <c r="J3078" s="18" t="inlineStr">
        <is>
          <t>Opening Day</t>
        </is>
      </c>
      <c r="K3078" s="11">
        <f>IFERROR(INDEX(Roles!$B$17:$B$20,MATCH(J3078,Roles!$A$17:$A$20,0)),1)</f>
        <v/>
      </c>
      <c r="L3078" s="19" t="n">
        <v>1</v>
      </c>
      <c r="M3078" s="11" t="n">
        <v>1</v>
      </c>
      <c r="N3078" s="19" t="n"/>
      <c r="O3078" s="19" t="n"/>
      <c r="P3078" s="19" t="n"/>
      <c r="Q3078" s="19" t="n"/>
      <c r="R3078" s="19" t="n"/>
      <c r="S3078" s="19" t="n"/>
      <c r="T3078" s="19" t="n"/>
      <c r="U3078" s="19" t="n"/>
      <c r="V3078" s="19" t="n"/>
      <c r="W3078" s="19" t="n"/>
      <c r="X3078" s="19" t="n"/>
      <c r="Y3078" s="19" t="n">
        <v>1</v>
      </c>
      <c r="Z3078" s="13">
        <f>SUMPRODUCT(N3078:Y3078,$N$2:$Y$2)*$K3078*$L3078*$M3078</f>
        <v/>
      </c>
      <c r="AA3078" s="14">
        <f>SUM(N3078:Y3078)</f>
        <v/>
      </c>
      <c r="AB3078" s="13">
        <f>SUMPRODUCT(N3078:Y3078,$N$3:$Y$3)*$K3078*$L3078*$M3078</f>
        <v/>
      </c>
      <c r="AC3078" s="13">
        <f>SUMPRODUCT(N3078:Y3078,$N$4:$Y$4)*$K3078*$L3078*$M3078</f>
        <v/>
      </c>
      <c r="AD3078" s="15" t="n">
        <v>2.2</v>
      </c>
      <c r="AE3078" s="11" t="n">
        <v>0.918641975308642</v>
      </c>
      <c r="AF3078" s="16">
        <f>SUMPRODUCT(N3078:Y3078,$N$5:$Y$5)*$K3078*$L3078*$M3078</f>
        <v/>
      </c>
      <c r="AG3078" s="16">
        <f>SUMPRODUCT(N3078:Y3078,$N$6:$Y$6)*$K3078*$L3078*$M3078</f>
        <v/>
      </c>
      <c r="AH3078" s="20" t="n"/>
    </row>
    <row r="3079">
      <c r="A3079" s="9" t="n">
        <v>572193</v>
      </c>
      <c r="B3079" s="9" t="inlineStr">
        <is>
          <t>Ryan Tepera</t>
        </is>
      </c>
      <c r="C3079" s="9" t="inlineStr">
        <is>
          <t>STL</t>
        </is>
      </c>
      <c r="D3079" s="9" t="n">
        <v>39</v>
      </c>
      <c r="E3079" s="18" t="inlineStr">
        <is>
          <t>R</t>
        </is>
      </c>
      <c r="F3079" s="18" t="n"/>
      <c r="G3079" s="9" t="n">
        <v>57</v>
      </c>
      <c r="H3079" s="9" t="n">
        <v>289</v>
      </c>
      <c r="I3079" s="9" t="inlineStr">
        <is>
          <t>Depth (no MLB IP)</t>
        </is>
      </c>
      <c r="J3079" s="18" t="inlineStr">
        <is>
          <t>Opening Day</t>
        </is>
      </c>
      <c r="K3079" s="11">
        <f>IFERROR(INDEX(Roles!$B$17:$B$20,MATCH(J3079,Roles!$A$17:$A$20,0)),1)</f>
        <v/>
      </c>
      <c r="L3079" s="19" t="n">
        <v>1</v>
      </c>
      <c r="M3079" s="11" t="n">
        <v>1</v>
      </c>
      <c r="N3079" s="19" t="n"/>
      <c r="O3079" s="19" t="n"/>
      <c r="P3079" s="19" t="n"/>
      <c r="Q3079" s="19" t="n"/>
      <c r="R3079" s="19" t="n"/>
      <c r="S3079" s="19" t="n"/>
      <c r="T3079" s="19" t="n"/>
      <c r="U3079" s="19" t="n"/>
      <c r="V3079" s="19" t="n"/>
      <c r="W3079" s="19" t="n"/>
      <c r="X3079" s="19" t="n"/>
      <c r="Y3079" s="19" t="n">
        <v>1</v>
      </c>
      <c r="Z3079" s="13">
        <f>SUMPRODUCT(N3079:Y3079,$N$2:$Y$2)*$K3079*$L3079*$M3079</f>
        <v/>
      </c>
      <c r="AA3079" s="14">
        <f>SUM(N3079:Y3079)</f>
        <v/>
      </c>
      <c r="AB3079" s="13">
        <f>SUMPRODUCT(N3079:Y3079,$N$3:$Y$3)*$K3079*$L3079*$M3079</f>
        <v/>
      </c>
      <c r="AC3079" s="13">
        <f>SUMPRODUCT(N3079:Y3079,$N$4:$Y$4)*$K3079*$L3079*$M3079</f>
        <v/>
      </c>
      <c r="AD3079" s="15" t="n">
        <v>3</v>
      </c>
      <c r="AE3079" s="11" t="n">
        <v>1.011296296296296</v>
      </c>
      <c r="AF3079" s="16">
        <f>SUMPRODUCT(N3079:Y3079,$N$5:$Y$5)*$K3079*$L3079*$M3079</f>
        <v/>
      </c>
      <c r="AG3079" s="16">
        <f>SUMPRODUCT(N3079:Y3079,$N$6:$Y$6)*$K3079*$L3079*$M3079</f>
        <v/>
      </c>
      <c r="AH3079" s="20" t="n"/>
    </row>
    <row r="3080">
      <c r="A3080" s="9" t="n">
        <v>664918</v>
      </c>
      <c r="B3080" s="9" t="inlineStr">
        <is>
          <t>Kyle Keller</t>
        </is>
      </c>
      <c r="C3080" s="9" t="inlineStr">
        <is>
          <t>BOS</t>
        </is>
      </c>
      <c r="D3080" s="9" t="n">
        <v>25</v>
      </c>
      <c r="E3080" s="18" t="inlineStr">
        <is>
          <t>R</t>
        </is>
      </c>
      <c r="F3080" s="18" t="n"/>
      <c r="G3080" s="9" t="n">
        <v>74.10333333333334</v>
      </c>
      <c r="H3080" s="9" t="n">
        <v>74.10333333333334</v>
      </c>
      <c r="I3080" s="9" t="inlineStr">
        <is>
          <t>Depth (no MLB IP)</t>
        </is>
      </c>
      <c r="J3080" s="18" t="inlineStr">
        <is>
          <t>Opening Day</t>
        </is>
      </c>
      <c r="K3080" s="11">
        <f>IFERROR(INDEX(Roles!$B$17:$B$20,MATCH(J3080,Roles!$A$17:$A$20,0)),1)</f>
        <v/>
      </c>
      <c r="L3080" s="19" t="n">
        <v>1</v>
      </c>
      <c r="M3080" s="11" t="n">
        <v>1</v>
      </c>
      <c r="N3080" s="19" t="n"/>
      <c r="O3080" s="19" t="n"/>
      <c r="P3080" s="19" t="n"/>
      <c r="Q3080" s="19" t="n"/>
      <c r="R3080" s="19" t="n"/>
      <c r="S3080" s="19" t="n"/>
      <c r="T3080" s="19" t="n"/>
      <c r="U3080" s="19" t="n"/>
      <c r="V3080" s="19" t="n"/>
      <c r="W3080" s="19" t="n"/>
      <c r="X3080" s="19" t="n"/>
      <c r="Y3080" s="19" t="n">
        <v>1</v>
      </c>
      <c r="Z3080" s="13">
        <f>SUMPRODUCT(N3080:Y3080,$N$2:$Y$2)*$K3080*$L3080*$M3080</f>
        <v/>
      </c>
      <c r="AA3080" s="14">
        <f>SUM(N3080:Y3080)</f>
        <v/>
      </c>
      <c r="AB3080" s="13">
        <f>SUMPRODUCT(N3080:Y3080,$N$3:$Y$3)*$K3080*$L3080*$M3080</f>
        <v/>
      </c>
      <c r="AC3080" s="13">
        <f>SUMPRODUCT(N3080:Y3080,$N$4:$Y$4)*$K3080*$L3080*$M3080</f>
        <v/>
      </c>
      <c r="AD3080" s="15" t="n">
        <v>3</v>
      </c>
      <c r="AE3080" s="11" t="n">
        <v>1.011296296296296</v>
      </c>
      <c r="AF3080" s="16">
        <f>SUMPRODUCT(N3080:Y3080,$N$5:$Y$5)*$K3080*$L3080*$M3080</f>
        <v/>
      </c>
      <c r="AG3080" s="16">
        <f>SUMPRODUCT(N3080:Y3080,$N$6:$Y$6)*$K3080*$L3080*$M3080</f>
        <v/>
      </c>
      <c r="AH3080" s="20" t="n"/>
    </row>
    <row r="3081">
      <c r="A3081" s="9" t="n">
        <v>678184</v>
      </c>
      <c r="B3081" s="9" t="inlineStr">
        <is>
          <t>Garrett Hawkins</t>
        </is>
      </c>
      <c r="C3081" s="9" t="inlineStr">
        <is>
          <t>SD</t>
        </is>
      </c>
      <c r="D3081" s="9" t="n">
        <v>25</v>
      </c>
      <c r="E3081" s="18" t="inlineStr">
        <is>
          <t>R</t>
        </is>
      </c>
      <c r="F3081" s="18" t="n"/>
      <c r="G3081" s="9" t="n">
        <v>74.10333333333334</v>
      </c>
      <c r="H3081" s="9" t="n">
        <v>74.10333333333334</v>
      </c>
      <c r="I3081" s="9" t="inlineStr">
        <is>
          <t>Depth (no MLB IP)</t>
        </is>
      </c>
      <c r="J3081" s="18" t="inlineStr">
        <is>
          <t>Opening Day</t>
        </is>
      </c>
      <c r="K3081" s="11">
        <f>IFERROR(INDEX(Roles!$B$17:$B$20,MATCH(J3081,Roles!$A$17:$A$20,0)),1)</f>
        <v/>
      </c>
      <c r="L3081" s="19" t="n">
        <v>1</v>
      </c>
      <c r="M3081" s="11" t="n">
        <v>1</v>
      </c>
      <c r="N3081" s="19" t="n"/>
      <c r="O3081" s="19" t="n"/>
      <c r="P3081" s="19" t="n"/>
      <c r="Q3081" s="19" t="n"/>
      <c r="R3081" s="19" t="n"/>
      <c r="S3081" s="19" t="n"/>
      <c r="T3081" s="19" t="n"/>
      <c r="U3081" s="19" t="n"/>
      <c r="V3081" s="19" t="n"/>
      <c r="W3081" s="19" t="n"/>
      <c r="X3081" s="19" t="n"/>
      <c r="Y3081" s="19" t="n">
        <v>1</v>
      </c>
      <c r="Z3081" s="13">
        <f>SUMPRODUCT(N3081:Y3081,$N$2:$Y$2)*$K3081*$L3081*$M3081</f>
        <v/>
      </c>
      <c r="AA3081" s="14">
        <f>SUM(N3081:Y3081)</f>
        <v/>
      </c>
      <c r="AB3081" s="13">
        <f>SUMPRODUCT(N3081:Y3081,$N$3:$Y$3)*$K3081*$L3081*$M3081</f>
        <v/>
      </c>
      <c r="AC3081" s="13">
        <f>SUMPRODUCT(N3081:Y3081,$N$4:$Y$4)*$K3081*$L3081*$M3081</f>
        <v/>
      </c>
      <c r="AD3081" s="15" t="n">
        <v>3</v>
      </c>
      <c r="AE3081" s="11" t="n">
        <v>1.011296296296296</v>
      </c>
      <c r="AF3081" s="16">
        <f>SUMPRODUCT(N3081:Y3081,$N$5:$Y$5)*$K3081*$L3081*$M3081</f>
        <v/>
      </c>
      <c r="AG3081" s="16">
        <f>SUMPRODUCT(N3081:Y3081,$N$6:$Y$6)*$K3081*$L3081*$M3081</f>
        <v/>
      </c>
      <c r="AH3081" s="20" t="n"/>
    </row>
    <row r="3082">
      <c r="A3082" s="9" t="n">
        <v>690148</v>
      </c>
      <c r="B3082" s="9" t="inlineStr">
        <is>
          <t>Chris Kachmar</t>
        </is>
      </c>
      <c r="C3082" s="9" t="inlineStr">
        <is>
          <t>BAL</t>
        </is>
      </c>
      <c r="D3082" s="9" t="n">
        <v>25</v>
      </c>
      <c r="E3082" s="18" t="inlineStr">
        <is>
          <t>R</t>
        </is>
      </c>
      <c r="F3082" s="18" t="n"/>
      <c r="G3082" s="9" t="n">
        <v>74.10333333333334</v>
      </c>
      <c r="H3082" s="9" t="n">
        <v>74.10333333333334</v>
      </c>
      <c r="I3082" s="9" t="inlineStr">
        <is>
          <t>Depth (no MLB IP)</t>
        </is>
      </c>
      <c r="J3082" s="18" t="inlineStr">
        <is>
          <t>Opening Day</t>
        </is>
      </c>
      <c r="K3082" s="11">
        <f>IFERROR(INDEX(Roles!$B$17:$B$20,MATCH(J3082,Roles!$A$17:$A$20,0)),1)</f>
        <v/>
      </c>
      <c r="L3082" s="19" t="n">
        <v>1</v>
      </c>
      <c r="M3082" s="11" t="n">
        <v>1</v>
      </c>
      <c r="N3082" s="19" t="n"/>
      <c r="O3082" s="19" t="n"/>
      <c r="P3082" s="19" t="n"/>
      <c r="Q3082" s="19" t="n"/>
      <c r="R3082" s="19" t="n"/>
      <c r="S3082" s="19" t="n"/>
      <c r="T3082" s="19" t="n"/>
      <c r="U3082" s="19" t="n"/>
      <c r="V3082" s="19" t="n"/>
      <c r="W3082" s="19" t="n"/>
      <c r="X3082" s="19" t="n"/>
      <c r="Y3082" s="19" t="n">
        <v>1</v>
      </c>
      <c r="Z3082" s="13">
        <f>SUMPRODUCT(N3082:Y3082,$N$2:$Y$2)*$K3082*$L3082*$M3082</f>
        <v/>
      </c>
      <c r="AA3082" s="14">
        <f>SUM(N3082:Y3082)</f>
        <v/>
      </c>
      <c r="AB3082" s="13">
        <f>SUMPRODUCT(N3082:Y3082,$N$3:$Y$3)*$K3082*$L3082*$M3082</f>
        <v/>
      </c>
      <c r="AC3082" s="13">
        <f>SUMPRODUCT(N3082:Y3082,$N$4:$Y$4)*$K3082*$L3082*$M3082</f>
        <v/>
      </c>
      <c r="AD3082" s="15" t="n">
        <v>3</v>
      </c>
      <c r="AE3082" s="11" t="n">
        <v>1.011296296296296</v>
      </c>
      <c r="AF3082" s="16">
        <f>SUMPRODUCT(N3082:Y3082,$N$5:$Y$5)*$K3082*$L3082*$M3082</f>
        <v/>
      </c>
      <c r="AG3082" s="16">
        <f>SUMPRODUCT(N3082:Y3082,$N$6:$Y$6)*$K3082*$L3082*$M3082</f>
        <v/>
      </c>
      <c r="AH3082" s="20" t="n"/>
    </row>
    <row r="3083">
      <c r="A3083" s="9" t="n">
        <v>800723</v>
      </c>
      <c r="B3083" s="9" t="inlineStr">
        <is>
          <t>Trevin Michael</t>
        </is>
      </c>
      <c r="C3083" s="9" t="inlineStr">
        <is>
          <t>DET</t>
        </is>
      </c>
      <c r="D3083" s="9" t="n">
        <v>25</v>
      </c>
      <c r="E3083" s="18" t="inlineStr">
        <is>
          <t>R</t>
        </is>
      </c>
      <c r="F3083" s="18" t="n"/>
      <c r="G3083" s="9" t="n">
        <v>74.24666666666666</v>
      </c>
      <c r="H3083" s="9" t="n">
        <v>74.24666666666666</v>
      </c>
      <c r="I3083" s="9" t="inlineStr">
        <is>
          <t>Depth (no MLB IP)</t>
        </is>
      </c>
      <c r="J3083" s="18" t="inlineStr">
        <is>
          <t>Opening Day</t>
        </is>
      </c>
      <c r="K3083" s="11">
        <f>IFERROR(INDEX(Roles!$B$17:$B$20,MATCH(J3083,Roles!$A$17:$A$20,0)),1)</f>
        <v/>
      </c>
      <c r="L3083" s="19" t="n">
        <v>1</v>
      </c>
      <c r="M3083" s="11" t="n">
        <v>1</v>
      </c>
      <c r="N3083" s="19" t="n"/>
      <c r="O3083" s="19" t="n"/>
      <c r="P3083" s="19" t="n"/>
      <c r="Q3083" s="19" t="n"/>
      <c r="R3083" s="19" t="n"/>
      <c r="S3083" s="19" t="n"/>
      <c r="T3083" s="19" t="n"/>
      <c r="U3083" s="19" t="n"/>
      <c r="V3083" s="19" t="n"/>
      <c r="W3083" s="19" t="n"/>
      <c r="X3083" s="19" t="n"/>
      <c r="Y3083" s="19" t="n">
        <v>1</v>
      </c>
      <c r="Z3083" s="13">
        <f>SUMPRODUCT(N3083:Y3083,$N$2:$Y$2)*$K3083*$L3083*$M3083</f>
        <v/>
      </c>
      <c r="AA3083" s="14">
        <f>SUM(N3083:Y3083)</f>
        <v/>
      </c>
      <c r="AB3083" s="13">
        <f>SUMPRODUCT(N3083:Y3083,$N$3:$Y$3)*$K3083*$L3083*$M3083</f>
        <v/>
      </c>
      <c r="AC3083" s="13">
        <f>SUMPRODUCT(N3083:Y3083,$N$4:$Y$4)*$K3083*$L3083*$M3083</f>
        <v/>
      </c>
      <c r="AD3083" s="15" t="n">
        <v>3</v>
      </c>
      <c r="AE3083" s="11" t="n">
        <v>1.011296296296296</v>
      </c>
      <c r="AF3083" s="16">
        <f>SUMPRODUCT(N3083:Y3083,$N$5:$Y$5)*$K3083*$L3083*$M3083</f>
        <v/>
      </c>
      <c r="AG3083" s="16">
        <f>SUMPRODUCT(N3083:Y3083,$N$6:$Y$6)*$K3083*$L3083*$M3083</f>
        <v/>
      </c>
      <c r="AH3083" s="20" t="n"/>
    </row>
    <row r="3084">
      <c r="A3084" s="9" t="n">
        <v>815348</v>
      </c>
      <c r="B3084" s="9" t="inlineStr">
        <is>
          <t>Boston Bateman</t>
        </is>
      </c>
      <c r="C3084" s="9" t="inlineStr">
        <is>
          <t>BAL</t>
        </is>
      </c>
      <c r="D3084" s="9" t="n">
        <v>25</v>
      </c>
      <c r="E3084" s="18" t="inlineStr">
        <is>
          <t>L</t>
        </is>
      </c>
      <c r="F3084" s="18" t="n"/>
      <c r="G3084" s="9" t="n">
        <v>74.24666666666666</v>
      </c>
      <c r="H3084" s="9" t="n">
        <v>74.24666666666666</v>
      </c>
      <c r="I3084" s="9" t="inlineStr">
        <is>
          <t>Depth (no MLB IP)</t>
        </is>
      </c>
      <c r="J3084" s="18" t="inlineStr">
        <is>
          <t>Opening Day</t>
        </is>
      </c>
      <c r="K3084" s="11">
        <f>IFERROR(INDEX(Roles!$B$17:$B$20,MATCH(J3084,Roles!$A$17:$A$20,0)),1)</f>
        <v/>
      </c>
      <c r="L3084" s="19" t="n">
        <v>1</v>
      </c>
      <c r="M3084" s="11" t="n">
        <v>1</v>
      </c>
      <c r="N3084" s="19" t="n"/>
      <c r="O3084" s="19" t="n"/>
      <c r="P3084" s="19" t="n"/>
      <c r="Q3084" s="19" t="n"/>
      <c r="R3084" s="19" t="n"/>
      <c r="S3084" s="19" t="n"/>
      <c r="T3084" s="19" t="n"/>
      <c r="U3084" s="19" t="n"/>
      <c r="V3084" s="19" t="n"/>
      <c r="W3084" s="19" t="n"/>
      <c r="X3084" s="19" t="n"/>
      <c r="Y3084" s="19" t="n">
        <v>1</v>
      </c>
      <c r="Z3084" s="13">
        <f>SUMPRODUCT(N3084:Y3084,$N$2:$Y$2)*$K3084*$L3084*$M3084</f>
        <v/>
      </c>
      <c r="AA3084" s="14">
        <f>SUM(N3084:Y3084)</f>
        <v/>
      </c>
      <c r="AB3084" s="13">
        <f>SUMPRODUCT(N3084:Y3084,$N$3:$Y$3)*$K3084*$L3084*$M3084</f>
        <v/>
      </c>
      <c r="AC3084" s="13">
        <f>SUMPRODUCT(N3084:Y3084,$N$4:$Y$4)*$K3084*$L3084*$M3084</f>
        <v/>
      </c>
      <c r="AD3084" s="15" t="n">
        <v>3</v>
      </c>
      <c r="AE3084" s="11" t="n">
        <v>1.011296296296296</v>
      </c>
      <c r="AF3084" s="16">
        <f>SUMPRODUCT(N3084:Y3084,$N$5:$Y$5)*$K3084*$L3084*$M3084</f>
        <v/>
      </c>
      <c r="AG3084" s="16">
        <f>SUMPRODUCT(N3084:Y3084,$N$6:$Y$6)*$K3084*$L3084*$M3084</f>
        <v/>
      </c>
      <c r="AH3084" s="20" t="n"/>
    </row>
    <row r="3085">
      <c r="A3085" s="9" t="n">
        <v>500871</v>
      </c>
      <c r="B3085" s="9" t="inlineStr">
        <is>
          <t>Eduardo Escobar</t>
        </is>
      </c>
      <c r="C3085" s="9" t="inlineStr">
        <is>
          <t>LAA</t>
        </is>
      </c>
      <c r="D3085" s="9" t="n">
        <v>38</v>
      </c>
      <c r="E3085" s="18" t="inlineStr">
        <is>
          <t>R</t>
        </is>
      </c>
      <c r="F3085" s="18" t="n"/>
      <c r="G3085" s="9" t="n">
        <v>16</v>
      </c>
      <c r="H3085" s="9" t="n">
        <v>16</v>
      </c>
      <c r="I3085" s="9" t="inlineStr">
        <is>
          <t>Depth (no MLB IP)</t>
        </is>
      </c>
      <c r="J3085" s="18" t="inlineStr">
        <is>
          <t>Opening Day</t>
        </is>
      </c>
      <c r="K3085" s="11">
        <f>IFERROR(INDEX(Roles!$B$17:$B$20,MATCH(J3085,Roles!$A$17:$A$20,0)),1)</f>
        <v/>
      </c>
      <c r="L3085" s="19" t="n">
        <v>1</v>
      </c>
      <c r="M3085" s="11" t="n">
        <v>1</v>
      </c>
      <c r="N3085" s="19" t="n"/>
      <c r="O3085" s="19" t="n"/>
      <c r="P3085" s="19" t="n"/>
      <c r="Q3085" s="19" t="n"/>
      <c r="R3085" s="19" t="n"/>
      <c r="S3085" s="19" t="n"/>
      <c r="T3085" s="19" t="n"/>
      <c r="U3085" s="19" t="n"/>
      <c r="V3085" s="19" t="n"/>
      <c r="W3085" s="19" t="n"/>
      <c r="X3085" s="19" t="n"/>
      <c r="Y3085" s="19" t="n">
        <v>1</v>
      </c>
      <c r="Z3085" s="13">
        <f>SUMPRODUCT(N3085:Y3085,$N$2:$Y$2)*$K3085*$L3085*$M3085</f>
        <v/>
      </c>
      <c r="AA3085" s="14">
        <f>SUM(N3085:Y3085)</f>
        <v/>
      </c>
      <c r="AB3085" s="13">
        <f>SUMPRODUCT(N3085:Y3085,$N$3:$Y$3)*$K3085*$L3085*$M3085</f>
        <v/>
      </c>
      <c r="AC3085" s="13">
        <f>SUMPRODUCT(N3085:Y3085,$N$4:$Y$4)*$K3085*$L3085*$M3085</f>
        <v/>
      </c>
      <c r="AD3085" s="15" t="n">
        <v>3</v>
      </c>
      <c r="AE3085" s="11" t="n">
        <v>1.011296296296296</v>
      </c>
      <c r="AF3085" s="16">
        <f>SUMPRODUCT(N3085:Y3085,$N$5:$Y$5)*$K3085*$L3085*$M3085</f>
        <v/>
      </c>
      <c r="AG3085" s="16">
        <f>SUMPRODUCT(N3085:Y3085,$N$6:$Y$6)*$K3085*$L3085*$M3085</f>
        <v/>
      </c>
      <c r="AH3085" s="20" t="n"/>
    </row>
    <row r="3086">
      <c r="A3086" s="9" t="n">
        <v>702165</v>
      </c>
      <c r="B3086" s="9" t="inlineStr">
        <is>
          <t>Jonathan Clark</t>
        </is>
      </c>
      <c r="C3086" s="9" t="inlineStr">
        <is>
          <t>CWS</t>
        </is>
      </c>
      <c r="D3086" s="9" t="n">
        <v>25</v>
      </c>
      <c r="E3086" s="18" t="inlineStr">
        <is>
          <t>R</t>
        </is>
      </c>
      <c r="F3086" s="18" t="n"/>
      <c r="G3086" s="9" t="n">
        <v>74.24666666666666</v>
      </c>
      <c r="H3086" s="9" t="n">
        <v>74.24666666666666</v>
      </c>
      <c r="I3086" s="9" t="inlineStr">
        <is>
          <t>Depth (no MLB IP)</t>
        </is>
      </c>
      <c r="J3086" s="18" t="inlineStr">
        <is>
          <t>Opening Day</t>
        </is>
      </c>
      <c r="K3086" s="11">
        <f>IFERROR(INDEX(Roles!$B$17:$B$20,MATCH(J3086,Roles!$A$17:$A$20,0)),1)</f>
        <v/>
      </c>
      <c r="L3086" s="19" t="n">
        <v>1</v>
      </c>
      <c r="M3086" s="11" t="n">
        <v>1</v>
      </c>
      <c r="N3086" s="19" t="n"/>
      <c r="O3086" s="19" t="n"/>
      <c r="P3086" s="19" t="n"/>
      <c r="Q3086" s="19" t="n"/>
      <c r="R3086" s="19" t="n"/>
      <c r="S3086" s="19" t="n"/>
      <c r="T3086" s="19" t="n"/>
      <c r="U3086" s="19" t="n"/>
      <c r="V3086" s="19" t="n"/>
      <c r="W3086" s="19" t="n"/>
      <c r="X3086" s="19" t="n"/>
      <c r="Y3086" s="19" t="n">
        <v>1</v>
      </c>
      <c r="Z3086" s="13">
        <f>SUMPRODUCT(N3086:Y3086,$N$2:$Y$2)*$K3086*$L3086*$M3086</f>
        <v/>
      </c>
      <c r="AA3086" s="14">
        <f>SUM(N3086:Y3086)</f>
        <v/>
      </c>
      <c r="AB3086" s="13">
        <f>SUMPRODUCT(N3086:Y3086,$N$3:$Y$3)*$K3086*$L3086*$M3086</f>
        <v/>
      </c>
      <c r="AC3086" s="13">
        <f>SUMPRODUCT(N3086:Y3086,$N$4:$Y$4)*$K3086*$L3086*$M3086</f>
        <v/>
      </c>
      <c r="AD3086" s="15" t="n">
        <v>3</v>
      </c>
      <c r="AE3086" s="11" t="n">
        <v>1.011296296296296</v>
      </c>
      <c r="AF3086" s="16">
        <f>SUMPRODUCT(N3086:Y3086,$N$5:$Y$5)*$K3086*$L3086*$M3086</f>
        <v/>
      </c>
      <c r="AG3086" s="16">
        <f>SUMPRODUCT(N3086:Y3086,$N$6:$Y$6)*$K3086*$L3086*$M3086</f>
        <v/>
      </c>
      <c r="AH3086" s="20" t="n"/>
    </row>
    <row r="3087">
      <c r="A3087" s="9" t="n">
        <v>695003</v>
      </c>
      <c r="B3087" s="9" t="inlineStr">
        <is>
          <t>Randel Clemente</t>
        </is>
      </c>
      <c r="C3087" s="9" t="inlineStr">
        <is>
          <t>STL</t>
        </is>
      </c>
      <c r="D3087" s="9" t="n">
        <v>25</v>
      </c>
      <c r="E3087" s="18" t="inlineStr">
        <is>
          <t>R</t>
        </is>
      </c>
      <c r="F3087" s="18" t="n"/>
      <c r="G3087" s="9" t="n">
        <v>74.24666666666666</v>
      </c>
      <c r="H3087" s="9" t="n">
        <v>74.24666666666666</v>
      </c>
      <c r="I3087" s="9" t="inlineStr">
        <is>
          <t>Depth (no MLB IP)</t>
        </is>
      </c>
      <c r="J3087" s="18" t="inlineStr">
        <is>
          <t>Opening Day</t>
        </is>
      </c>
      <c r="K3087" s="11">
        <f>IFERROR(INDEX(Roles!$B$17:$B$20,MATCH(J3087,Roles!$A$17:$A$20,0)),1)</f>
        <v/>
      </c>
      <c r="L3087" s="19" t="n">
        <v>1</v>
      </c>
      <c r="M3087" s="11" t="n">
        <v>1</v>
      </c>
      <c r="N3087" s="19" t="n"/>
      <c r="O3087" s="19" t="n"/>
      <c r="P3087" s="19" t="n"/>
      <c r="Q3087" s="19" t="n"/>
      <c r="R3087" s="19" t="n"/>
      <c r="S3087" s="19" t="n"/>
      <c r="T3087" s="19" t="n"/>
      <c r="U3087" s="19" t="n"/>
      <c r="V3087" s="19" t="n"/>
      <c r="W3087" s="19" t="n"/>
      <c r="X3087" s="19" t="n"/>
      <c r="Y3087" s="19" t="n">
        <v>1</v>
      </c>
      <c r="Z3087" s="13">
        <f>SUMPRODUCT(N3087:Y3087,$N$2:$Y$2)*$K3087*$L3087*$M3087</f>
        <v/>
      </c>
      <c r="AA3087" s="14">
        <f>SUM(N3087:Y3087)</f>
        <v/>
      </c>
      <c r="AB3087" s="13">
        <f>SUMPRODUCT(N3087:Y3087,$N$3:$Y$3)*$K3087*$L3087*$M3087</f>
        <v/>
      </c>
      <c r="AC3087" s="13">
        <f>SUMPRODUCT(N3087:Y3087,$N$4:$Y$4)*$K3087*$L3087*$M3087</f>
        <v/>
      </c>
      <c r="AD3087" s="15" t="n">
        <v>3</v>
      </c>
      <c r="AE3087" s="11" t="n">
        <v>1.011296296296296</v>
      </c>
      <c r="AF3087" s="16">
        <f>SUMPRODUCT(N3087:Y3087,$N$5:$Y$5)*$K3087*$L3087*$M3087</f>
        <v/>
      </c>
      <c r="AG3087" s="16">
        <f>SUMPRODUCT(N3087:Y3087,$N$6:$Y$6)*$K3087*$L3087*$M3087</f>
        <v/>
      </c>
      <c r="AH3087" s="20" t="n"/>
    </row>
    <row r="3088">
      <c r="A3088" s="9" t="n">
        <v>542194</v>
      </c>
      <c r="B3088" s="9" t="inlineStr">
        <is>
          <t>Christian Bethancourt</t>
        </is>
      </c>
      <c r="C3088" s="9" t="inlineStr">
        <is>
          <t>TB</t>
        </is>
      </c>
      <c r="D3088" s="9" t="n">
        <v>35</v>
      </c>
      <c r="E3088" s="18" t="inlineStr">
        <is>
          <t>R</t>
        </is>
      </c>
      <c r="F3088" s="18" t="n"/>
      <c r="G3088" s="9" t="n">
        <v>4</v>
      </c>
      <c r="H3088" s="9" t="n">
        <v>23</v>
      </c>
      <c r="I3088" s="9" t="inlineStr">
        <is>
          <t>Depth (no MLB IP)</t>
        </is>
      </c>
      <c r="J3088" s="18" t="inlineStr">
        <is>
          <t>Opening Day</t>
        </is>
      </c>
      <c r="K3088" s="11">
        <f>IFERROR(INDEX(Roles!$B$17:$B$20,MATCH(J3088,Roles!$A$17:$A$20,0)),1)</f>
        <v/>
      </c>
      <c r="L3088" s="19" t="n">
        <v>1</v>
      </c>
      <c r="M3088" s="11" t="n">
        <v>1</v>
      </c>
      <c r="N3088" s="19" t="n"/>
      <c r="O3088" s="19" t="n"/>
      <c r="P3088" s="19" t="n"/>
      <c r="Q3088" s="19" t="n"/>
      <c r="R3088" s="19" t="n"/>
      <c r="S3088" s="19" t="n"/>
      <c r="T3088" s="19" t="n"/>
      <c r="U3088" s="19" t="n"/>
      <c r="V3088" s="19" t="n"/>
      <c r="W3088" s="19" t="n"/>
      <c r="X3088" s="19" t="n"/>
      <c r="Y3088" s="19" t="n">
        <v>1</v>
      </c>
      <c r="Z3088" s="13">
        <f>SUMPRODUCT(N3088:Y3088,$N$2:$Y$2)*$K3088*$L3088*$M3088</f>
        <v/>
      </c>
      <c r="AA3088" s="14">
        <f>SUM(N3088:Y3088)</f>
        <v/>
      </c>
      <c r="AB3088" s="13">
        <f>SUMPRODUCT(N3088:Y3088,$N$3:$Y$3)*$K3088*$L3088*$M3088</f>
        <v/>
      </c>
      <c r="AC3088" s="13">
        <f>SUMPRODUCT(N3088:Y3088,$N$4:$Y$4)*$K3088*$L3088*$M3088</f>
        <v/>
      </c>
      <c r="AD3088" s="15" t="n">
        <v>3</v>
      </c>
      <c r="AE3088" s="11" t="n">
        <v>1.011296296296296</v>
      </c>
      <c r="AF3088" s="16">
        <f>SUMPRODUCT(N3088:Y3088,$N$5:$Y$5)*$K3088*$L3088*$M3088</f>
        <v/>
      </c>
      <c r="AG3088" s="16">
        <f>SUMPRODUCT(N3088:Y3088,$N$6:$Y$6)*$K3088*$L3088*$M3088</f>
        <v/>
      </c>
      <c r="AH3088" s="20" t="n"/>
    </row>
    <row r="3089">
      <c r="A3089" s="9" t="n">
        <v>622694</v>
      </c>
      <c r="B3089" s="9" t="inlineStr">
        <is>
          <t>Elieser Hernández</t>
        </is>
      </c>
      <c r="C3089" s="9" t="inlineStr">
        <is>
          <t>ATL</t>
        </is>
      </c>
      <c r="D3089" s="9" t="n">
        <v>32</v>
      </c>
      <c r="E3089" s="18" t="inlineStr">
        <is>
          <t>R</t>
        </is>
      </c>
      <c r="F3089" s="18" t="n"/>
      <c r="G3089" s="9" t="n">
        <v>53</v>
      </c>
      <c r="H3089" s="9" t="n">
        <v>395</v>
      </c>
      <c r="I3089" s="9" t="inlineStr">
        <is>
          <t>Bullpen Depth Arm</t>
        </is>
      </c>
      <c r="J3089" s="18" t="inlineStr">
        <is>
          <t>Opening Day</t>
        </is>
      </c>
      <c r="K3089" s="11">
        <f>IFERROR(INDEX(Roles!$B$17:$B$20,MATCH(J3089,Roles!$A$17:$A$20,0)),1)</f>
        <v/>
      </c>
      <c r="L3089" s="19" t="n">
        <v>1</v>
      </c>
      <c r="M3089" s="11" t="n">
        <v>1</v>
      </c>
      <c r="N3089" s="19" t="n"/>
      <c r="O3089" s="19" t="n"/>
      <c r="P3089" s="19" t="n"/>
      <c r="Q3089" s="19" t="n"/>
      <c r="R3089" s="19" t="n"/>
      <c r="S3089" s="19" t="n"/>
      <c r="T3089" s="19" t="n"/>
      <c r="U3089" s="19" t="n"/>
      <c r="V3089" s="19" t="n"/>
      <c r="W3089" s="19" t="n">
        <v>1</v>
      </c>
      <c r="X3089" s="19" t="n"/>
      <c r="Y3089" s="19" t="n"/>
      <c r="Z3089" s="13">
        <f>SUMPRODUCT(N3089:Y3089,$N$2:$Y$2)*$K3089*$L3089*$M3089</f>
        <v/>
      </c>
      <c r="AA3089" s="14">
        <f>SUM(N3089:Y3089)</f>
        <v/>
      </c>
      <c r="AB3089" s="13">
        <f>SUMPRODUCT(N3089:Y3089,$N$3:$Y$3)*$K3089*$L3089*$M3089</f>
        <v/>
      </c>
      <c r="AC3089" s="13">
        <f>SUMPRODUCT(N3089:Y3089,$N$4:$Y$4)*$K3089*$L3089*$M3089</f>
        <v/>
      </c>
      <c r="AD3089" s="15" t="n">
        <v>9.266666666666666</v>
      </c>
      <c r="AE3089" s="11" t="n">
        <v>1.519099727433061</v>
      </c>
      <c r="AF3089" s="16">
        <f>SUMPRODUCT(N3089:Y3089,$N$5:$Y$5)*$K3089*$L3089*$M3089</f>
        <v/>
      </c>
      <c r="AG3089" s="16">
        <f>SUMPRODUCT(N3089:Y3089,$N$6:$Y$6)*$K3089*$L3089*$M3089</f>
        <v/>
      </c>
      <c r="AH3089" s="20" t="n"/>
    </row>
    <row r="3090">
      <c r="A3090" s="9" t="n">
        <v>596082</v>
      </c>
      <c r="B3090" s="9" t="inlineStr">
        <is>
          <t>Jake Reed</t>
        </is>
      </c>
      <c r="C3090" s="9" t="inlineStr">
        <is>
          <t>BAL</t>
        </is>
      </c>
      <c r="D3090" s="9" t="n">
        <v>34</v>
      </c>
      <c r="E3090" s="18" t="inlineStr">
        <is>
          <t>R</t>
        </is>
      </c>
      <c r="F3090" s="18" t="n"/>
      <c r="G3090" s="9" t="n">
        <v>7</v>
      </c>
      <c r="H3090" s="9" t="n">
        <v>84</v>
      </c>
      <c r="I3090" s="9" t="inlineStr">
        <is>
          <t>Depth (no MLB IP)</t>
        </is>
      </c>
      <c r="J3090" s="18" t="inlineStr">
        <is>
          <t>Opening Day</t>
        </is>
      </c>
      <c r="K3090" s="11">
        <f>IFERROR(INDEX(Roles!$B$17:$B$20,MATCH(J3090,Roles!$A$17:$A$20,0)),1)</f>
        <v/>
      </c>
      <c r="L3090" s="19" t="n">
        <v>1</v>
      </c>
      <c r="M3090" s="11" t="n">
        <v>1</v>
      </c>
      <c r="N3090" s="19" t="n"/>
      <c r="O3090" s="19" t="n"/>
      <c r="P3090" s="19" t="n"/>
      <c r="Q3090" s="19" t="n"/>
      <c r="R3090" s="19" t="n"/>
      <c r="S3090" s="19" t="n"/>
      <c r="T3090" s="19" t="n"/>
      <c r="U3090" s="19" t="n"/>
      <c r="V3090" s="19" t="n"/>
      <c r="W3090" s="19" t="n"/>
      <c r="X3090" s="19" t="n"/>
      <c r="Y3090" s="19" t="n">
        <v>1</v>
      </c>
      <c r="Z3090" s="13">
        <f>SUMPRODUCT(N3090:Y3090,$N$2:$Y$2)*$K3090*$L3090*$M3090</f>
        <v/>
      </c>
      <c r="AA3090" s="14">
        <f>SUM(N3090:Y3090)</f>
        <v/>
      </c>
      <c r="AB3090" s="13">
        <f>SUMPRODUCT(N3090:Y3090,$N$3:$Y$3)*$K3090*$L3090*$M3090</f>
        <v/>
      </c>
      <c r="AC3090" s="13">
        <f>SUMPRODUCT(N3090:Y3090,$N$4:$Y$4)*$K3090*$L3090*$M3090</f>
        <v/>
      </c>
      <c r="AD3090" s="15" t="n">
        <v>3</v>
      </c>
      <c r="AE3090" s="11" t="n">
        <v>1.011296296296296</v>
      </c>
      <c r="AF3090" s="16">
        <f>SUMPRODUCT(N3090:Y3090,$N$5:$Y$5)*$K3090*$L3090*$M3090</f>
        <v/>
      </c>
      <c r="AG3090" s="16">
        <f>SUMPRODUCT(N3090:Y3090,$N$6:$Y$6)*$K3090*$L3090*$M3090</f>
        <v/>
      </c>
      <c r="AH3090" s="20" t="n"/>
    </row>
    <row r="3091">
      <c r="A3091" s="9" t="n">
        <v>645801</v>
      </c>
      <c r="B3091" s="9" t="inlineStr">
        <is>
          <t>Mike Ford</t>
        </is>
      </c>
      <c r="C3091" s="9" t="inlineStr">
        <is>
          <t>SEA</t>
        </is>
      </c>
      <c r="D3091" s="9" t="n">
        <v>34</v>
      </c>
      <c r="E3091" s="18" t="inlineStr">
        <is>
          <t>R</t>
        </is>
      </c>
      <c r="F3091" s="18" t="n"/>
      <c r="G3091" s="9" t="n">
        <v>12</v>
      </c>
      <c r="H3091" s="9" t="n">
        <v>17</v>
      </c>
      <c r="I3091" s="9" t="inlineStr">
        <is>
          <t>Depth (no MLB IP)</t>
        </is>
      </c>
      <c r="J3091" s="18" t="inlineStr">
        <is>
          <t>Opening Day</t>
        </is>
      </c>
      <c r="K3091" s="11">
        <f>IFERROR(INDEX(Roles!$B$17:$B$20,MATCH(J3091,Roles!$A$17:$A$20,0)),1)</f>
        <v/>
      </c>
      <c r="L3091" s="19" t="n">
        <v>1</v>
      </c>
      <c r="M3091" s="11" t="n">
        <v>1</v>
      </c>
      <c r="N3091" s="19" t="n"/>
      <c r="O3091" s="19" t="n"/>
      <c r="P3091" s="19" t="n"/>
      <c r="Q3091" s="19" t="n"/>
      <c r="R3091" s="19" t="n"/>
      <c r="S3091" s="19" t="n"/>
      <c r="T3091" s="19" t="n"/>
      <c r="U3091" s="19" t="n"/>
      <c r="V3091" s="19" t="n"/>
      <c r="W3091" s="19" t="n"/>
      <c r="X3091" s="19" t="n"/>
      <c r="Y3091" s="19" t="n">
        <v>1</v>
      </c>
      <c r="Z3091" s="13">
        <f>SUMPRODUCT(N3091:Y3091,$N$2:$Y$2)*$K3091*$L3091*$M3091</f>
        <v/>
      </c>
      <c r="AA3091" s="14">
        <f>SUM(N3091:Y3091)</f>
        <v/>
      </c>
      <c r="AB3091" s="13">
        <f>SUMPRODUCT(N3091:Y3091,$N$3:$Y$3)*$K3091*$L3091*$M3091</f>
        <v/>
      </c>
      <c r="AC3091" s="13">
        <f>SUMPRODUCT(N3091:Y3091,$N$4:$Y$4)*$K3091*$L3091*$M3091</f>
        <v/>
      </c>
      <c r="AD3091" s="15" t="n">
        <v>3</v>
      </c>
      <c r="AE3091" s="11" t="n">
        <v>1.011296296296296</v>
      </c>
      <c r="AF3091" s="16">
        <f>SUMPRODUCT(N3091:Y3091,$N$5:$Y$5)*$K3091*$L3091*$M3091</f>
        <v/>
      </c>
      <c r="AG3091" s="16">
        <f>SUMPRODUCT(N3091:Y3091,$N$6:$Y$6)*$K3091*$L3091*$M3091</f>
        <v/>
      </c>
      <c r="AH3091" s="20" t="n"/>
    </row>
    <row r="3092">
      <c r="A3092" s="9" t="n">
        <v>682668</v>
      </c>
      <c r="B3092" s="9" t="inlineStr">
        <is>
          <t>Luisangel Acuña</t>
        </is>
      </c>
      <c r="C3092" s="9" t="inlineStr">
        <is>
          <t>CWS</t>
        </is>
      </c>
      <c r="D3092" s="9" t="n">
        <v>25</v>
      </c>
      <c r="E3092" s="18" t="inlineStr">
        <is>
          <t>R</t>
        </is>
      </c>
      <c r="F3092" s="18" t="n"/>
      <c r="G3092" s="9" t="n">
        <v>10</v>
      </c>
      <c r="H3092" s="9" t="n">
        <v>10</v>
      </c>
      <c r="I3092" s="9" t="inlineStr">
        <is>
          <t>Depth (no MLB IP)</t>
        </is>
      </c>
      <c r="J3092" s="18" t="inlineStr">
        <is>
          <t>Opening Day</t>
        </is>
      </c>
      <c r="K3092" s="11">
        <f>IFERROR(INDEX(Roles!$B$17:$B$20,MATCH(J3092,Roles!$A$17:$A$20,0)),1)</f>
        <v/>
      </c>
      <c r="L3092" s="19" t="n">
        <v>1</v>
      </c>
      <c r="M3092" s="11" t="n">
        <v>1</v>
      </c>
      <c r="N3092" s="19" t="n"/>
      <c r="O3092" s="19" t="n"/>
      <c r="P3092" s="19" t="n"/>
      <c r="Q3092" s="19" t="n"/>
      <c r="R3092" s="19" t="n"/>
      <c r="S3092" s="19" t="n"/>
      <c r="T3092" s="19" t="n"/>
      <c r="U3092" s="19" t="n"/>
      <c r="V3092" s="19" t="n"/>
      <c r="W3092" s="19" t="n"/>
      <c r="X3092" s="19" t="n"/>
      <c r="Y3092" s="19" t="n">
        <v>1</v>
      </c>
      <c r="Z3092" s="13">
        <f>SUMPRODUCT(N3092:Y3092,$N$2:$Y$2)*$K3092*$L3092*$M3092</f>
        <v/>
      </c>
      <c r="AA3092" s="14">
        <f>SUM(N3092:Y3092)</f>
        <v/>
      </c>
      <c r="AB3092" s="13">
        <f>SUMPRODUCT(N3092:Y3092,$N$3:$Y$3)*$K3092*$L3092*$M3092</f>
        <v/>
      </c>
      <c r="AC3092" s="13">
        <f>SUMPRODUCT(N3092:Y3092,$N$4:$Y$4)*$K3092*$L3092*$M3092</f>
        <v/>
      </c>
      <c r="AD3092" s="15" t="n">
        <v>3</v>
      </c>
      <c r="AE3092" s="11" t="n">
        <v>0.9334567901234566</v>
      </c>
      <c r="AF3092" s="16">
        <f>SUMPRODUCT(N3092:Y3092,$N$5:$Y$5)*$K3092*$L3092*$M3092</f>
        <v/>
      </c>
      <c r="AG3092" s="16">
        <f>SUMPRODUCT(N3092:Y3092,$N$6:$Y$6)*$K3092*$L3092*$M3092</f>
        <v/>
      </c>
      <c r="AH3092" s="20" t="n"/>
    </row>
    <row r="3093">
      <c r="A3093" s="9" t="n">
        <v>801252</v>
      </c>
      <c r="B3093" s="9" t="inlineStr">
        <is>
          <t>Alfredo Romero</t>
        </is>
      </c>
      <c r="C3093" s="9" t="inlineStr">
        <is>
          <t>CHC</t>
        </is>
      </c>
      <c r="D3093" s="9" t="n">
        <v>25</v>
      </c>
      <c r="E3093" s="18" t="inlineStr">
        <is>
          <t>R</t>
        </is>
      </c>
      <c r="F3093" s="18" t="n"/>
      <c r="G3093" s="9" t="n">
        <v>74.81999999999999</v>
      </c>
      <c r="H3093" s="9" t="n">
        <v>74.81999999999999</v>
      </c>
      <c r="I3093" s="9" t="inlineStr">
        <is>
          <t>Depth (no MLB IP)</t>
        </is>
      </c>
      <c r="J3093" s="18" t="inlineStr">
        <is>
          <t>Opening Day</t>
        </is>
      </c>
      <c r="K3093" s="11">
        <f>IFERROR(INDEX(Roles!$B$17:$B$20,MATCH(J3093,Roles!$A$17:$A$20,0)),1)</f>
        <v/>
      </c>
      <c r="L3093" s="19" t="n">
        <v>1</v>
      </c>
      <c r="M3093" s="11" t="n">
        <v>1</v>
      </c>
      <c r="N3093" s="19" t="n"/>
      <c r="O3093" s="19" t="n"/>
      <c r="P3093" s="19" t="n"/>
      <c r="Q3093" s="19" t="n"/>
      <c r="R3093" s="19" t="n"/>
      <c r="S3093" s="19" t="n"/>
      <c r="T3093" s="19" t="n"/>
      <c r="U3093" s="19" t="n"/>
      <c r="V3093" s="19" t="n"/>
      <c r="W3093" s="19" t="n"/>
      <c r="X3093" s="19" t="n"/>
      <c r="Y3093" s="19" t="n">
        <v>1</v>
      </c>
      <c r="Z3093" s="13">
        <f>SUMPRODUCT(N3093:Y3093,$N$2:$Y$2)*$K3093*$L3093*$M3093</f>
        <v/>
      </c>
      <c r="AA3093" s="14">
        <f>SUM(N3093:Y3093)</f>
        <v/>
      </c>
      <c r="AB3093" s="13">
        <f>SUMPRODUCT(N3093:Y3093,$N$3:$Y$3)*$K3093*$L3093*$M3093</f>
        <v/>
      </c>
      <c r="AC3093" s="13">
        <f>SUMPRODUCT(N3093:Y3093,$N$4:$Y$4)*$K3093*$L3093*$M3093</f>
        <v/>
      </c>
      <c r="AD3093" s="15" t="n">
        <v>3</v>
      </c>
      <c r="AE3093" s="11" t="n">
        <v>1.011296296296296</v>
      </c>
      <c r="AF3093" s="16">
        <f>SUMPRODUCT(N3093:Y3093,$N$5:$Y$5)*$K3093*$L3093*$M3093</f>
        <v/>
      </c>
      <c r="AG3093" s="16">
        <f>SUMPRODUCT(N3093:Y3093,$N$6:$Y$6)*$K3093*$L3093*$M3093</f>
        <v/>
      </c>
      <c r="AH3093" s="20" t="n"/>
    </row>
    <row r="3094">
      <c r="A3094" s="9" t="n">
        <v>676046</v>
      </c>
      <c r="B3094" s="9" t="inlineStr">
        <is>
          <t>Griff McGarry</t>
        </is>
      </c>
      <c r="C3094" s="9" t="inlineStr">
        <is>
          <t>LAD</t>
        </is>
      </c>
      <c r="D3094" s="9" t="n">
        <v>25</v>
      </c>
      <c r="E3094" s="18" t="inlineStr">
        <is>
          <t>R</t>
        </is>
      </c>
      <c r="F3094" s="18" t="n"/>
      <c r="G3094" s="9" t="n">
        <v>74.89166666666667</v>
      </c>
      <c r="H3094" s="9" t="n">
        <v>74.89166666666667</v>
      </c>
      <c r="I3094" s="9" t="inlineStr">
        <is>
          <t>Depth (no MLB IP)</t>
        </is>
      </c>
      <c r="J3094" s="18" t="inlineStr">
        <is>
          <t>Opening Day</t>
        </is>
      </c>
      <c r="K3094" s="11">
        <f>IFERROR(INDEX(Roles!$B$17:$B$20,MATCH(J3094,Roles!$A$17:$A$20,0)),1)</f>
        <v/>
      </c>
      <c r="L3094" s="19" t="n">
        <v>1</v>
      </c>
      <c r="M3094" s="11" t="n">
        <v>1</v>
      </c>
      <c r="N3094" s="19" t="n"/>
      <c r="O3094" s="19" t="n"/>
      <c r="P3094" s="19" t="n"/>
      <c r="Q3094" s="19" t="n"/>
      <c r="R3094" s="19" t="n"/>
      <c r="S3094" s="19" t="n"/>
      <c r="T3094" s="19" t="n"/>
      <c r="U3094" s="19" t="n"/>
      <c r="V3094" s="19" t="n"/>
      <c r="W3094" s="19" t="n"/>
      <c r="X3094" s="19" t="n"/>
      <c r="Y3094" s="19" t="n">
        <v>1</v>
      </c>
      <c r="Z3094" s="13">
        <f>SUMPRODUCT(N3094:Y3094,$N$2:$Y$2)*$K3094*$L3094*$M3094</f>
        <v/>
      </c>
      <c r="AA3094" s="14">
        <f>SUM(N3094:Y3094)</f>
        <v/>
      </c>
      <c r="AB3094" s="13">
        <f>SUMPRODUCT(N3094:Y3094,$N$3:$Y$3)*$K3094*$L3094*$M3094</f>
        <v/>
      </c>
      <c r="AC3094" s="13">
        <f>SUMPRODUCT(N3094:Y3094,$N$4:$Y$4)*$K3094*$L3094*$M3094</f>
        <v/>
      </c>
      <c r="AD3094" s="15" t="n">
        <v>3</v>
      </c>
      <c r="AE3094" s="11" t="n">
        <v>1.011296296296296</v>
      </c>
      <c r="AF3094" s="16">
        <f>SUMPRODUCT(N3094:Y3094,$N$5:$Y$5)*$K3094*$L3094*$M3094</f>
        <v/>
      </c>
      <c r="AG3094" s="16">
        <f>SUMPRODUCT(N3094:Y3094,$N$6:$Y$6)*$K3094*$L3094*$M3094</f>
        <v/>
      </c>
      <c r="AH3094" s="20" t="n"/>
    </row>
    <row r="3095">
      <c r="A3095" s="9" t="n">
        <v>815292</v>
      </c>
      <c r="B3095" s="9" t="inlineStr">
        <is>
          <t>Luis Martinez-Gomez</t>
        </is>
      </c>
      <c r="C3095" s="9" t="inlineStr">
        <is>
          <t>CHC</t>
        </is>
      </c>
      <c r="D3095" s="9" t="n">
        <v>25</v>
      </c>
      <c r="E3095" s="18" t="inlineStr">
        <is>
          <t>R</t>
        </is>
      </c>
      <c r="F3095" s="18" t="n"/>
      <c r="G3095" s="9" t="n">
        <v>74.74833333333332</v>
      </c>
      <c r="H3095" s="9" t="n">
        <v>74.74833333333332</v>
      </c>
      <c r="I3095" s="9" t="inlineStr">
        <is>
          <t>Depth (no MLB IP)</t>
        </is>
      </c>
      <c r="J3095" s="18" t="inlineStr">
        <is>
          <t>Opening Day</t>
        </is>
      </c>
      <c r="K3095" s="11">
        <f>IFERROR(INDEX(Roles!$B$17:$B$20,MATCH(J3095,Roles!$A$17:$A$20,0)),1)</f>
        <v/>
      </c>
      <c r="L3095" s="19" t="n">
        <v>1</v>
      </c>
      <c r="M3095" s="11" t="n">
        <v>1</v>
      </c>
      <c r="N3095" s="19" t="n"/>
      <c r="O3095" s="19" t="n"/>
      <c r="P3095" s="19" t="n"/>
      <c r="Q3095" s="19" t="n"/>
      <c r="R3095" s="19" t="n"/>
      <c r="S3095" s="19" t="n"/>
      <c r="T3095" s="19" t="n"/>
      <c r="U3095" s="19" t="n"/>
      <c r="V3095" s="19" t="n"/>
      <c r="W3095" s="19" t="n"/>
      <c r="X3095" s="19" t="n"/>
      <c r="Y3095" s="19" t="n">
        <v>1</v>
      </c>
      <c r="Z3095" s="13">
        <f>SUMPRODUCT(N3095:Y3095,$N$2:$Y$2)*$K3095*$L3095*$M3095</f>
        <v/>
      </c>
      <c r="AA3095" s="14">
        <f>SUM(N3095:Y3095)</f>
        <v/>
      </c>
      <c r="AB3095" s="13">
        <f>SUMPRODUCT(N3095:Y3095,$N$3:$Y$3)*$K3095*$L3095*$M3095</f>
        <v/>
      </c>
      <c r="AC3095" s="13">
        <f>SUMPRODUCT(N3095:Y3095,$N$4:$Y$4)*$K3095*$L3095*$M3095</f>
        <v/>
      </c>
      <c r="AD3095" s="15" t="n">
        <v>3</v>
      </c>
      <c r="AE3095" s="11" t="n">
        <v>1.011296296296296</v>
      </c>
      <c r="AF3095" s="16">
        <f>SUMPRODUCT(N3095:Y3095,$N$5:$Y$5)*$K3095*$L3095*$M3095</f>
        <v/>
      </c>
      <c r="AG3095" s="16">
        <f>SUMPRODUCT(N3095:Y3095,$N$6:$Y$6)*$K3095*$L3095*$M3095</f>
        <v/>
      </c>
      <c r="AH3095" s="20" t="n"/>
    </row>
    <row r="3096">
      <c r="A3096" s="9" t="n">
        <v>672487</v>
      </c>
      <c r="B3096" s="9" t="inlineStr">
        <is>
          <t>Helcris Olivárez</t>
        </is>
      </c>
      <c r="C3096" s="9" t="inlineStr">
        <is>
          <t>KC</t>
        </is>
      </c>
      <c r="D3096" s="9" t="n">
        <v>25</v>
      </c>
      <c r="E3096" s="18" t="inlineStr">
        <is>
          <t>L</t>
        </is>
      </c>
      <c r="F3096" s="18" t="n"/>
      <c r="G3096" s="9" t="n">
        <v>74.89166666666667</v>
      </c>
      <c r="H3096" s="9" t="n">
        <v>74.89166666666667</v>
      </c>
      <c r="I3096" s="9" t="inlineStr">
        <is>
          <t>Depth (no MLB IP)</t>
        </is>
      </c>
      <c r="J3096" s="18" t="inlineStr">
        <is>
          <t>Opening Day</t>
        </is>
      </c>
      <c r="K3096" s="11">
        <f>IFERROR(INDEX(Roles!$B$17:$B$20,MATCH(J3096,Roles!$A$17:$A$20,0)),1)</f>
        <v/>
      </c>
      <c r="L3096" s="19" t="n">
        <v>1</v>
      </c>
      <c r="M3096" s="11" t="n">
        <v>1</v>
      </c>
      <c r="N3096" s="19" t="n"/>
      <c r="O3096" s="19" t="n"/>
      <c r="P3096" s="19" t="n"/>
      <c r="Q3096" s="19" t="n"/>
      <c r="R3096" s="19" t="n"/>
      <c r="S3096" s="19" t="n"/>
      <c r="T3096" s="19" t="n"/>
      <c r="U3096" s="19" t="n"/>
      <c r="V3096" s="19" t="n"/>
      <c r="W3096" s="19" t="n"/>
      <c r="X3096" s="19" t="n"/>
      <c r="Y3096" s="19" t="n">
        <v>1</v>
      </c>
      <c r="Z3096" s="13">
        <f>SUMPRODUCT(N3096:Y3096,$N$2:$Y$2)*$K3096*$L3096*$M3096</f>
        <v/>
      </c>
      <c r="AA3096" s="14">
        <f>SUM(N3096:Y3096)</f>
        <v/>
      </c>
      <c r="AB3096" s="13">
        <f>SUMPRODUCT(N3096:Y3096,$N$3:$Y$3)*$K3096*$L3096*$M3096</f>
        <v/>
      </c>
      <c r="AC3096" s="13">
        <f>SUMPRODUCT(N3096:Y3096,$N$4:$Y$4)*$K3096*$L3096*$M3096</f>
        <v/>
      </c>
      <c r="AD3096" s="15" t="n">
        <v>3</v>
      </c>
      <c r="AE3096" s="11" t="n">
        <v>1.011296296296296</v>
      </c>
      <c r="AF3096" s="16">
        <f>SUMPRODUCT(N3096:Y3096,$N$5:$Y$5)*$K3096*$L3096*$M3096</f>
        <v/>
      </c>
      <c r="AG3096" s="16">
        <f>SUMPRODUCT(N3096:Y3096,$N$6:$Y$6)*$K3096*$L3096*$M3096</f>
        <v/>
      </c>
      <c r="AH3096" s="20" t="n"/>
    </row>
    <row r="3097">
      <c r="A3097" s="9" t="n">
        <v>695294</v>
      </c>
      <c r="B3097" s="9" t="inlineStr">
        <is>
          <t>Tommy McCollum</t>
        </is>
      </c>
      <c r="C3097" s="9" t="inlineStr">
        <is>
          <t>TB</t>
        </is>
      </c>
      <c r="D3097" s="9" t="n">
        <v>25</v>
      </c>
      <c r="E3097" s="18" t="inlineStr">
        <is>
          <t>R</t>
        </is>
      </c>
      <c r="F3097" s="18" t="n"/>
      <c r="G3097" s="9" t="n">
        <v>74.74833333333332</v>
      </c>
      <c r="H3097" s="9" t="n">
        <v>74.74833333333332</v>
      </c>
      <c r="I3097" s="9" t="inlineStr">
        <is>
          <t>Depth (no MLB IP)</t>
        </is>
      </c>
      <c r="J3097" s="18" t="inlineStr">
        <is>
          <t>Opening Day</t>
        </is>
      </c>
      <c r="K3097" s="11">
        <f>IFERROR(INDEX(Roles!$B$17:$B$20,MATCH(J3097,Roles!$A$17:$A$20,0)),1)</f>
        <v/>
      </c>
      <c r="L3097" s="19" t="n">
        <v>1</v>
      </c>
      <c r="M3097" s="11" t="n">
        <v>1</v>
      </c>
      <c r="N3097" s="19" t="n"/>
      <c r="O3097" s="19" t="n"/>
      <c r="P3097" s="19" t="n"/>
      <c r="Q3097" s="19" t="n"/>
      <c r="R3097" s="19" t="n"/>
      <c r="S3097" s="19" t="n"/>
      <c r="T3097" s="19" t="n"/>
      <c r="U3097" s="19" t="n"/>
      <c r="V3097" s="19" t="n"/>
      <c r="W3097" s="19" t="n"/>
      <c r="X3097" s="19" t="n"/>
      <c r="Y3097" s="19" t="n">
        <v>1</v>
      </c>
      <c r="Z3097" s="13">
        <f>SUMPRODUCT(N3097:Y3097,$N$2:$Y$2)*$K3097*$L3097*$M3097</f>
        <v/>
      </c>
      <c r="AA3097" s="14">
        <f>SUM(N3097:Y3097)</f>
        <v/>
      </c>
      <c r="AB3097" s="13">
        <f>SUMPRODUCT(N3097:Y3097,$N$3:$Y$3)*$K3097*$L3097*$M3097</f>
        <v/>
      </c>
      <c r="AC3097" s="13">
        <f>SUMPRODUCT(N3097:Y3097,$N$4:$Y$4)*$K3097*$L3097*$M3097</f>
        <v/>
      </c>
      <c r="AD3097" s="15" t="n">
        <v>3</v>
      </c>
      <c r="AE3097" s="11" t="n">
        <v>1.011296296296296</v>
      </c>
      <c r="AF3097" s="16">
        <f>SUMPRODUCT(N3097:Y3097,$N$5:$Y$5)*$K3097*$L3097*$M3097</f>
        <v/>
      </c>
      <c r="AG3097" s="16">
        <f>SUMPRODUCT(N3097:Y3097,$N$6:$Y$6)*$K3097*$L3097*$M3097</f>
        <v/>
      </c>
      <c r="AH3097" s="20" t="n"/>
    </row>
    <row r="3098">
      <c r="A3098" s="9" t="n">
        <v>693739</v>
      </c>
      <c r="B3098" s="9" t="inlineStr">
        <is>
          <t>Alexander Alberto</t>
        </is>
      </c>
      <c r="C3098" s="9" t="inlineStr">
        <is>
          <t>TB</t>
        </is>
      </c>
      <c r="D3098" s="9" t="n">
        <v>25</v>
      </c>
      <c r="E3098" s="18" t="inlineStr">
        <is>
          <t>R</t>
        </is>
      </c>
      <c r="F3098" s="18" t="n"/>
      <c r="G3098" s="9" t="n">
        <v>74.89166666666667</v>
      </c>
      <c r="H3098" s="9" t="n">
        <v>74.89166666666667</v>
      </c>
      <c r="I3098" s="9" t="inlineStr">
        <is>
          <t>Depth (no MLB IP)</t>
        </is>
      </c>
      <c r="J3098" s="18" t="inlineStr">
        <is>
          <t>Opening Day</t>
        </is>
      </c>
      <c r="K3098" s="11">
        <f>IFERROR(INDEX(Roles!$B$17:$B$20,MATCH(J3098,Roles!$A$17:$A$20,0)),1)</f>
        <v/>
      </c>
      <c r="L3098" s="19" t="n">
        <v>1</v>
      </c>
      <c r="M3098" s="11" t="n">
        <v>1</v>
      </c>
      <c r="N3098" s="19" t="n"/>
      <c r="O3098" s="19" t="n"/>
      <c r="P3098" s="19" t="n"/>
      <c r="Q3098" s="19" t="n"/>
      <c r="R3098" s="19" t="n"/>
      <c r="S3098" s="19" t="n"/>
      <c r="T3098" s="19" t="n"/>
      <c r="U3098" s="19" t="n"/>
      <c r="V3098" s="19" t="n"/>
      <c r="W3098" s="19" t="n"/>
      <c r="X3098" s="19" t="n"/>
      <c r="Y3098" s="19" t="n">
        <v>1</v>
      </c>
      <c r="Z3098" s="13">
        <f>SUMPRODUCT(N3098:Y3098,$N$2:$Y$2)*$K3098*$L3098*$M3098</f>
        <v/>
      </c>
      <c r="AA3098" s="14">
        <f>SUM(N3098:Y3098)</f>
        <v/>
      </c>
      <c r="AB3098" s="13">
        <f>SUMPRODUCT(N3098:Y3098,$N$3:$Y$3)*$K3098*$L3098*$M3098</f>
        <v/>
      </c>
      <c r="AC3098" s="13">
        <f>SUMPRODUCT(N3098:Y3098,$N$4:$Y$4)*$K3098*$L3098*$M3098</f>
        <v/>
      </c>
      <c r="AD3098" s="15" t="n">
        <v>3</v>
      </c>
      <c r="AE3098" s="11" t="n">
        <v>1.011296296296296</v>
      </c>
      <c r="AF3098" s="16">
        <f>SUMPRODUCT(N3098:Y3098,$N$5:$Y$5)*$K3098*$L3098*$M3098</f>
        <v/>
      </c>
      <c r="AG3098" s="16">
        <f>SUMPRODUCT(N3098:Y3098,$N$6:$Y$6)*$K3098*$L3098*$M3098</f>
        <v/>
      </c>
      <c r="AH3098" s="20" t="n"/>
    </row>
    <row r="3099">
      <c r="A3099" s="9" t="n">
        <v>680728</v>
      </c>
      <c r="B3099" s="9" t="inlineStr">
        <is>
          <t>Adrian Del Castillo</t>
        </is>
      </c>
      <c r="C3099" s="9" t="inlineStr">
        <is>
          <t>ARI</t>
        </is>
      </c>
      <c r="D3099" s="9" t="n">
        <v>27</v>
      </c>
      <c r="E3099" s="18" t="inlineStr">
        <is>
          <t>R</t>
        </is>
      </c>
      <c r="F3099" s="18" t="n"/>
      <c r="G3099" s="9" t="n">
        <v>10</v>
      </c>
      <c r="H3099" s="9" t="n">
        <v>10</v>
      </c>
      <c r="I3099" s="9" t="inlineStr">
        <is>
          <t>Depth (no MLB IP)</t>
        </is>
      </c>
      <c r="J3099" s="18" t="inlineStr">
        <is>
          <t>Opening Day</t>
        </is>
      </c>
      <c r="K3099" s="11">
        <f>IFERROR(INDEX(Roles!$B$17:$B$20,MATCH(J3099,Roles!$A$17:$A$20,0)),1)</f>
        <v/>
      </c>
      <c r="L3099" s="19" t="n">
        <v>1</v>
      </c>
      <c r="M3099" s="11" t="n">
        <v>1</v>
      </c>
      <c r="N3099" s="19" t="n"/>
      <c r="O3099" s="19" t="n"/>
      <c r="P3099" s="19" t="n"/>
      <c r="Q3099" s="19" t="n"/>
      <c r="R3099" s="19" t="n"/>
      <c r="S3099" s="19" t="n"/>
      <c r="T3099" s="19" t="n"/>
      <c r="U3099" s="19" t="n"/>
      <c r="V3099" s="19" t="n"/>
      <c r="W3099" s="19" t="n"/>
      <c r="X3099" s="19" t="n"/>
      <c r="Y3099" s="19" t="n">
        <v>1</v>
      </c>
      <c r="Z3099" s="13">
        <f>SUMPRODUCT(N3099:Y3099,$N$2:$Y$2)*$K3099*$L3099*$M3099</f>
        <v/>
      </c>
      <c r="AA3099" s="14">
        <f>SUM(N3099:Y3099)</f>
        <v/>
      </c>
      <c r="AB3099" s="13">
        <f>SUMPRODUCT(N3099:Y3099,$N$3:$Y$3)*$K3099*$L3099*$M3099</f>
        <v/>
      </c>
      <c r="AC3099" s="13">
        <f>SUMPRODUCT(N3099:Y3099,$N$4:$Y$4)*$K3099*$L3099*$M3099</f>
        <v/>
      </c>
      <c r="AD3099" s="15" t="n">
        <v>1.8</v>
      </c>
      <c r="AE3099" s="11" t="n">
        <v>1.229753086419753</v>
      </c>
      <c r="AF3099" s="16">
        <f>SUMPRODUCT(N3099:Y3099,$N$5:$Y$5)*$K3099*$L3099*$M3099</f>
        <v/>
      </c>
      <c r="AG3099" s="16">
        <f>SUMPRODUCT(N3099:Y3099,$N$6:$Y$6)*$K3099*$L3099*$M3099</f>
        <v/>
      </c>
      <c r="AH3099" s="20" t="n"/>
    </row>
    <row r="3100">
      <c r="A3100" s="9" t="n">
        <v>807625</v>
      </c>
      <c r="B3100" s="9" t="inlineStr">
        <is>
          <t>Gilberto Batista</t>
        </is>
      </c>
      <c r="C3100" s="9" t="inlineStr">
        <is>
          <t>TOR</t>
        </is>
      </c>
      <c r="D3100" s="9" t="n">
        <v>25</v>
      </c>
      <c r="E3100" s="18" t="inlineStr">
        <is>
          <t>R</t>
        </is>
      </c>
      <c r="F3100" s="18" t="n"/>
      <c r="G3100" s="9" t="n">
        <v>74.81999999999999</v>
      </c>
      <c r="H3100" s="9" t="n">
        <v>74.81999999999999</v>
      </c>
      <c r="I3100" s="9" t="inlineStr">
        <is>
          <t>Depth (no MLB IP)</t>
        </is>
      </c>
      <c r="J3100" s="18" t="inlineStr">
        <is>
          <t>Opening Day</t>
        </is>
      </c>
      <c r="K3100" s="11">
        <f>IFERROR(INDEX(Roles!$B$17:$B$20,MATCH(J3100,Roles!$A$17:$A$20,0)),1)</f>
        <v/>
      </c>
      <c r="L3100" s="19" t="n">
        <v>1</v>
      </c>
      <c r="M3100" s="11" t="n">
        <v>1</v>
      </c>
      <c r="N3100" s="19" t="n"/>
      <c r="O3100" s="19" t="n"/>
      <c r="P3100" s="19" t="n"/>
      <c r="Q3100" s="19" t="n"/>
      <c r="R3100" s="19" t="n"/>
      <c r="S3100" s="19" t="n"/>
      <c r="T3100" s="19" t="n"/>
      <c r="U3100" s="19" t="n"/>
      <c r="V3100" s="19" t="n"/>
      <c r="W3100" s="19" t="n"/>
      <c r="X3100" s="19" t="n"/>
      <c r="Y3100" s="19" t="n">
        <v>1</v>
      </c>
      <c r="Z3100" s="13">
        <f>SUMPRODUCT(N3100:Y3100,$N$2:$Y$2)*$K3100*$L3100*$M3100</f>
        <v/>
      </c>
      <c r="AA3100" s="14">
        <f>SUM(N3100:Y3100)</f>
        <v/>
      </c>
      <c r="AB3100" s="13">
        <f>SUMPRODUCT(N3100:Y3100,$N$3:$Y$3)*$K3100*$L3100*$M3100</f>
        <v/>
      </c>
      <c r="AC3100" s="13">
        <f>SUMPRODUCT(N3100:Y3100,$N$4:$Y$4)*$K3100*$L3100*$M3100</f>
        <v/>
      </c>
      <c r="AD3100" s="15" t="n">
        <v>3</v>
      </c>
      <c r="AE3100" s="11" t="n">
        <v>1.011296296296296</v>
      </c>
      <c r="AF3100" s="16">
        <f>SUMPRODUCT(N3100:Y3100,$N$5:$Y$5)*$K3100*$L3100*$M3100</f>
        <v/>
      </c>
      <c r="AG3100" s="16">
        <f>SUMPRODUCT(N3100:Y3100,$N$6:$Y$6)*$K3100*$L3100*$M3100</f>
        <v/>
      </c>
      <c r="AH3100" s="20" t="n"/>
    </row>
    <row r="3101">
      <c r="A3101" s="9" t="n">
        <v>815785</v>
      </c>
      <c r="B3101" s="9" t="inlineStr">
        <is>
          <t>Braylon Doughty</t>
        </is>
      </c>
      <c r="C3101" s="9" t="inlineStr">
        <is>
          <t>CLE</t>
        </is>
      </c>
      <c r="D3101" s="9" t="n">
        <v>22</v>
      </c>
      <c r="E3101" s="18" t="inlineStr">
        <is>
          <t>R</t>
        </is>
      </c>
      <c r="F3101" s="18" t="n"/>
      <c r="G3101" s="9" t="n">
        <v>75.25</v>
      </c>
      <c r="H3101" s="9" t="n">
        <v>75.25</v>
      </c>
      <c r="I3101" s="9" t="inlineStr">
        <is>
          <t>Innings-Limited Starter</t>
        </is>
      </c>
      <c r="J3101" s="18" t="inlineStr">
        <is>
          <t>Mid Season (~July)</t>
        </is>
      </c>
      <c r="K3101" s="11">
        <f>IFERROR(INDEX(Roles!$B$17:$B$20,MATCH(J3101,Roles!$A$17:$A$20,0)),1)</f>
        <v/>
      </c>
      <c r="L3101" s="19" t="n">
        <v>1</v>
      </c>
      <c r="M3101" s="11" t="n">
        <v>1</v>
      </c>
      <c r="N3101" s="19" t="n"/>
      <c r="O3101" s="19" t="n"/>
      <c r="P3101" s="19" t="n"/>
      <c r="Q3101" s="19" t="n">
        <v>0.46</v>
      </c>
      <c r="R3101" s="19" t="n">
        <v>0.3</v>
      </c>
      <c r="S3101" s="19" t="n"/>
      <c r="T3101" s="19" t="n"/>
      <c r="U3101" s="19" t="n"/>
      <c r="V3101" s="19" t="n"/>
      <c r="W3101" s="19" t="n">
        <v>0.24</v>
      </c>
      <c r="X3101" s="19" t="n"/>
      <c r="Y3101" s="19" t="n"/>
      <c r="Z3101" s="13">
        <f>SUMPRODUCT(N3101:Y3101,$N$2:$Y$2)*$K3101*$L3101*$M3101</f>
        <v/>
      </c>
      <c r="AA3101" s="14">
        <f>SUM(N3101:Y3101)</f>
        <v/>
      </c>
      <c r="AB3101" s="13">
        <f>SUMPRODUCT(N3101:Y3101,$N$3:$Y$3)*$K3101*$L3101*$M3101</f>
        <v/>
      </c>
      <c r="AC3101" s="13">
        <f>SUMPRODUCT(N3101:Y3101,$N$4:$Y$4)*$K3101*$L3101*$M3101</f>
        <v/>
      </c>
      <c r="AD3101" s="15" t="n">
        <v>27.52</v>
      </c>
      <c r="AE3101" s="11" t="n">
        <v>3.223110465116278</v>
      </c>
      <c r="AF3101" s="16">
        <f>SUMPRODUCT(N3101:Y3101,$N$5:$Y$5)*$K3101*$L3101*$M3101</f>
        <v/>
      </c>
      <c r="AG3101" s="16">
        <f>SUMPRODUCT(N3101:Y3101,$N$6:$Y$6)*$K3101*$L3101*$M3101</f>
        <v/>
      </c>
      <c r="AH3101" s="20" t="n"/>
    </row>
    <row r="3102">
      <c r="A3102" s="9" t="n">
        <v>804670</v>
      </c>
      <c r="B3102" s="9" t="inlineStr">
        <is>
          <t>Ryan Birchard</t>
        </is>
      </c>
      <c r="C3102" s="9" t="inlineStr">
        <is>
          <t>MIL</t>
        </is>
      </c>
      <c r="D3102" s="9" t="n">
        <v>25</v>
      </c>
      <c r="E3102" s="18" t="inlineStr">
        <is>
          <t>R</t>
        </is>
      </c>
      <c r="F3102" s="18" t="n"/>
      <c r="G3102" s="9" t="n">
        <v>75.25</v>
      </c>
      <c r="H3102" s="9" t="n">
        <v>75.25</v>
      </c>
      <c r="I3102" s="9" t="inlineStr">
        <is>
          <t>Depth (no MLB IP)</t>
        </is>
      </c>
      <c r="J3102" s="18" t="inlineStr">
        <is>
          <t>Opening Day</t>
        </is>
      </c>
      <c r="K3102" s="11">
        <f>IFERROR(INDEX(Roles!$B$17:$B$20,MATCH(J3102,Roles!$A$17:$A$20,0)),1)</f>
        <v/>
      </c>
      <c r="L3102" s="19" t="n">
        <v>1</v>
      </c>
      <c r="M3102" s="11" t="n">
        <v>1</v>
      </c>
      <c r="N3102" s="19" t="n"/>
      <c r="O3102" s="19" t="n"/>
      <c r="P3102" s="19" t="n"/>
      <c r="Q3102" s="19" t="n"/>
      <c r="R3102" s="19" t="n"/>
      <c r="S3102" s="19" t="n"/>
      <c r="T3102" s="19" t="n"/>
      <c r="U3102" s="19" t="n"/>
      <c r="V3102" s="19" t="n"/>
      <c r="W3102" s="19" t="n"/>
      <c r="X3102" s="19" t="n"/>
      <c r="Y3102" s="19" t="n">
        <v>1</v>
      </c>
      <c r="Z3102" s="13">
        <f>SUMPRODUCT(N3102:Y3102,$N$2:$Y$2)*$K3102*$L3102*$M3102</f>
        <v/>
      </c>
      <c r="AA3102" s="14">
        <f>SUM(N3102:Y3102)</f>
        <v/>
      </c>
      <c r="AB3102" s="13">
        <f>SUMPRODUCT(N3102:Y3102,$N$3:$Y$3)*$K3102*$L3102*$M3102</f>
        <v/>
      </c>
      <c r="AC3102" s="13">
        <f>SUMPRODUCT(N3102:Y3102,$N$4:$Y$4)*$K3102*$L3102*$M3102</f>
        <v/>
      </c>
      <c r="AD3102" s="15" t="n">
        <v>3</v>
      </c>
      <c r="AE3102" s="11" t="n">
        <v>1.011296296296296</v>
      </c>
      <c r="AF3102" s="16">
        <f>SUMPRODUCT(N3102:Y3102,$N$5:$Y$5)*$K3102*$L3102*$M3102</f>
        <v/>
      </c>
      <c r="AG3102" s="16">
        <f>SUMPRODUCT(N3102:Y3102,$N$6:$Y$6)*$K3102*$L3102*$M3102</f>
        <v/>
      </c>
      <c r="AH3102" s="20" t="n"/>
    </row>
    <row r="3103">
      <c r="A3103" s="9" t="n">
        <v>698982</v>
      </c>
      <c r="B3103" s="9" t="inlineStr">
        <is>
          <t>Rayner Castillo</t>
        </is>
      </c>
      <c r="C3103" s="9" t="inlineStr">
        <is>
          <t>DET</t>
        </is>
      </c>
      <c r="D3103" s="9" t="n">
        <v>25</v>
      </c>
      <c r="E3103" s="18" t="inlineStr">
        <is>
          <t>R</t>
        </is>
      </c>
      <c r="F3103" s="18" t="n"/>
      <c r="G3103" s="9" t="n">
        <v>75.10666666666667</v>
      </c>
      <c r="H3103" s="9" t="n">
        <v>75.10666666666667</v>
      </c>
      <c r="I3103" s="9" t="inlineStr">
        <is>
          <t>Depth (no MLB IP)</t>
        </is>
      </c>
      <c r="J3103" s="18" t="inlineStr">
        <is>
          <t>Opening Day</t>
        </is>
      </c>
      <c r="K3103" s="11">
        <f>IFERROR(INDEX(Roles!$B$17:$B$20,MATCH(J3103,Roles!$A$17:$A$20,0)),1)</f>
        <v/>
      </c>
      <c r="L3103" s="19" t="n">
        <v>1</v>
      </c>
      <c r="M3103" s="11" t="n">
        <v>1</v>
      </c>
      <c r="N3103" s="19" t="n"/>
      <c r="O3103" s="19" t="n"/>
      <c r="P3103" s="19" t="n"/>
      <c r="Q3103" s="19" t="n"/>
      <c r="R3103" s="19" t="n"/>
      <c r="S3103" s="19" t="n"/>
      <c r="T3103" s="19" t="n"/>
      <c r="U3103" s="19" t="n"/>
      <c r="V3103" s="19" t="n"/>
      <c r="W3103" s="19" t="n"/>
      <c r="X3103" s="19" t="n"/>
      <c r="Y3103" s="19" t="n">
        <v>1</v>
      </c>
      <c r="Z3103" s="13">
        <f>SUMPRODUCT(N3103:Y3103,$N$2:$Y$2)*$K3103*$L3103*$M3103</f>
        <v/>
      </c>
      <c r="AA3103" s="14">
        <f>SUM(N3103:Y3103)</f>
        <v/>
      </c>
      <c r="AB3103" s="13">
        <f>SUMPRODUCT(N3103:Y3103,$N$3:$Y$3)*$K3103*$L3103*$M3103</f>
        <v/>
      </c>
      <c r="AC3103" s="13">
        <f>SUMPRODUCT(N3103:Y3103,$N$4:$Y$4)*$K3103*$L3103*$M3103</f>
        <v/>
      </c>
      <c r="AD3103" s="15" t="n">
        <v>3</v>
      </c>
      <c r="AE3103" s="11" t="n">
        <v>1.011296296296296</v>
      </c>
      <c r="AF3103" s="16">
        <f>SUMPRODUCT(N3103:Y3103,$N$5:$Y$5)*$K3103*$L3103*$M3103</f>
        <v/>
      </c>
      <c r="AG3103" s="16">
        <f>SUMPRODUCT(N3103:Y3103,$N$6:$Y$6)*$K3103*$L3103*$M3103</f>
        <v/>
      </c>
      <c r="AH3103" s="20" t="n"/>
    </row>
    <row r="3104">
      <c r="A3104" s="9" t="n">
        <v>825756</v>
      </c>
      <c r="B3104" s="9" t="inlineStr">
        <is>
          <t>Will Cannon</t>
        </is>
      </c>
      <c r="C3104" s="9" t="inlineStr">
        <is>
          <t>CIN</t>
        </is>
      </c>
      <c r="D3104" s="9" t="n">
        <v>25</v>
      </c>
      <c r="E3104" s="18" t="inlineStr">
        <is>
          <t>R</t>
        </is>
      </c>
      <c r="F3104" s="18" t="n"/>
      <c r="G3104" s="9" t="n">
        <v>75.25</v>
      </c>
      <c r="H3104" s="9" t="n">
        <v>75.25</v>
      </c>
      <c r="I3104" s="9" t="inlineStr">
        <is>
          <t>Depth (no MLB IP)</t>
        </is>
      </c>
      <c r="J3104" s="18" t="inlineStr">
        <is>
          <t>Opening Day</t>
        </is>
      </c>
      <c r="K3104" s="11">
        <f>IFERROR(INDEX(Roles!$B$17:$B$20,MATCH(J3104,Roles!$A$17:$A$20,0)),1)</f>
        <v/>
      </c>
      <c r="L3104" s="19" t="n">
        <v>1</v>
      </c>
      <c r="M3104" s="11" t="n">
        <v>1</v>
      </c>
      <c r="N3104" s="19" t="n"/>
      <c r="O3104" s="19" t="n"/>
      <c r="P3104" s="19" t="n"/>
      <c r="Q3104" s="19" t="n"/>
      <c r="R3104" s="19" t="n"/>
      <c r="S3104" s="19" t="n"/>
      <c r="T3104" s="19" t="n"/>
      <c r="U3104" s="19" t="n"/>
      <c r="V3104" s="19" t="n"/>
      <c r="W3104" s="19" t="n"/>
      <c r="X3104" s="19" t="n"/>
      <c r="Y3104" s="19" t="n">
        <v>1</v>
      </c>
      <c r="Z3104" s="13">
        <f>SUMPRODUCT(N3104:Y3104,$N$2:$Y$2)*$K3104*$L3104*$M3104</f>
        <v/>
      </c>
      <c r="AA3104" s="14">
        <f>SUM(N3104:Y3104)</f>
        <v/>
      </c>
      <c r="AB3104" s="13">
        <f>SUMPRODUCT(N3104:Y3104,$N$3:$Y$3)*$K3104*$L3104*$M3104</f>
        <v/>
      </c>
      <c r="AC3104" s="13">
        <f>SUMPRODUCT(N3104:Y3104,$N$4:$Y$4)*$K3104*$L3104*$M3104</f>
        <v/>
      </c>
      <c r="AD3104" s="15" t="n">
        <v>3</v>
      </c>
      <c r="AE3104" s="11" t="n">
        <v>1.011296296296296</v>
      </c>
      <c r="AF3104" s="16">
        <f>SUMPRODUCT(N3104:Y3104,$N$5:$Y$5)*$K3104*$L3104*$M3104</f>
        <v/>
      </c>
      <c r="AG3104" s="16">
        <f>SUMPRODUCT(N3104:Y3104,$N$6:$Y$6)*$K3104*$L3104*$M3104</f>
        <v/>
      </c>
      <c r="AH3104" s="20" t="n"/>
    </row>
    <row r="3105">
      <c r="A3105" s="9" t="n">
        <v>660730</v>
      </c>
      <c r="B3105" s="9" t="inlineStr">
        <is>
          <t>Elvin Rodríguez</t>
        </is>
      </c>
      <c r="C3105" s="9" t="inlineStr">
        <is>
          <t>BAL</t>
        </is>
      </c>
      <c r="D3105" s="9" t="n">
        <v>29</v>
      </c>
      <c r="E3105" s="18" t="inlineStr">
        <is>
          <t>R</t>
        </is>
      </c>
      <c r="F3105" s="18" t="n"/>
      <c r="G3105" s="9" t="n">
        <v>90</v>
      </c>
      <c r="H3105" s="9" t="n">
        <v>243</v>
      </c>
      <c r="I3105" s="9" t="inlineStr">
        <is>
          <t>Bullpen Depth Arm</t>
        </is>
      </c>
      <c r="J3105" s="18" t="inlineStr">
        <is>
          <t>Opening Day</t>
        </is>
      </c>
      <c r="K3105" s="11">
        <f>IFERROR(INDEX(Roles!$B$17:$B$20,MATCH(J3105,Roles!$A$17:$A$20,0)),1)</f>
        <v/>
      </c>
      <c r="L3105" s="19" t="n">
        <v>1</v>
      </c>
      <c r="M3105" s="11" t="n">
        <v>1</v>
      </c>
      <c r="N3105" s="19" t="n"/>
      <c r="O3105" s="19" t="n"/>
      <c r="P3105" s="19" t="n"/>
      <c r="Q3105" s="19" t="n"/>
      <c r="R3105" s="19" t="n"/>
      <c r="S3105" s="19" t="n"/>
      <c r="T3105" s="19" t="n"/>
      <c r="U3105" s="19" t="n"/>
      <c r="V3105" s="19" t="n"/>
      <c r="W3105" s="19" t="n">
        <v>1</v>
      </c>
      <c r="X3105" s="19" t="n"/>
      <c r="Y3105" s="19" t="n"/>
      <c r="Z3105" s="13">
        <f>SUMPRODUCT(N3105:Y3105,$N$2:$Y$2)*$K3105*$L3105*$M3105</f>
        <v/>
      </c>
      <c r="AA3105" s="14">
        <f>SUM(N3105:Y3105)</f>
        <v/>
      </c>
      <c r="AB3105" s="13">
        <f>SUMPRODUCT(N3105:Y3105,$N$3:$Y$3)*$K3105*$L3105*$M3105</f>
        <v/>
      </c>
      <c r="AC3105" s="13">
        <f>SUMPRODUCT(N3105:Y3105,$N$4:$Y$4)*$K3105*$L3105*$M3105</f>
        <v/>
      </c>
      <c r="AD3105" s="15" t="n">
        <v>9.866666666666664</v>
      </c>
      <c r="AE3105" s="11" t="n">
        <v>1.738015071348405</v>
      </c>
      <c r="AF3105" s="16">
        <f>SUMPRODUCT(N3105:Y3105,$N$5:$Y$5)*$K3105*$L3105*$M3105</f>
        <v/>
      </c>
      <c r="AG3105" s="16">
        <f>SUMPRODUCT(N3105:Y3105,$N$6:$Y$6)*$K3105*$L3105*$M3105</f>
        <v/>
      </c>
      <c r="AH3105" s="20" t="n"/>
    </row>
    <row r="3106">
      <c r="A3106" s="9" t="n">
        <v>666149</v>
      </c>
      <c r="B3106" s="9" t="inlineStr">
        <is>
          <t>Tyler Fitzgerald</t>
        </is>
      </c>
      <c r="C3106" s="9" t="inlineStr">
        <is>
          <t>SF</t>
        </is>
      </c>
      <c r="D3106" s="9" t="n">
        <v>29</v>
      </c>
      <c r="E3106" s="18" t="inlineStr">
        <is>
          <t>R</t>
        </is>
      </c>
      <c r="F3106" s="18" t="n"/>
      <c r="G3106" s="9" t="n">
        <v>14</v>
      </c>
      <c r="H3106" s="9" t="n">
        <v>14</v>
      </c>
      <c r="I3106" s="9" t="inlineStr">
        <is>
          <t>Depth (no MLB IP)</t>
        </is>
      </c>
      <c r="J3106" s="18" t="inlineStr">
        <is>
          <t>Opening Day</t>
        </is>
      </c>
      <c r="K3106" s="11">
        <f>IFERROR(INDEX(Roles!$B$17:$B$20,MATCH(J3106,Roles!$A$17:$A$20,0)),1)</f>
        <v/>
      </c>
      <c r="L3106" s="19" t="n">
        <v>1</v>
      </c>
      <c r="M3106" s="11" t="n">
        <v>1</v>
      </c>
      <c r="N3106" s="19" t="n"/>
      <c r="O3106" s="19" t="n"/>
      <c r="P3106" s="19" t="n"/>
      <c r="Q3106" s="19" t="n"/>
      <c r="R3106" s="19" t="n"/>
      <c r="S3106" s="19" t="n"/>
      <c r="T3106" s="19" t="n"/>
      <c r="U3106" s="19" t="n"/>
      <c r="V3106" s="19" t="n"/>
      <c r="W3106" s="19" t="n"/>
      <c r="X3106" s="19" t="n"/>
      <c r="Y3106" s="19" t="n">
        <v>1</v>
      </c>
      <c r="Z3106" s="13">
        <f>SUMPRODUCT(N3106:Y3106,$N$2:$Y$2)*$K3106*$L3106*$M3106</f>
        <v/>
      </c>
      <c r="AA3106" s="14">
        <f>SUM(N3106:Y3106)</f>
        <v/>
      </c>
      <c r="AB3106" s="13">
        <f>SUMPRODUCT(N3106:Y3106,$N$3:$Y$3)*$K3106*$L3106*$M3106</f>
        <v/>
      </c>
      <c r="AC3106" s="13">
        <f>SUMPRODUCT(N3106:Y3106,$N$4:$Y$4)*$K3106*$L3106*$M3106</f>
        <v/>
      </c>
      <c r="AD3106" s="15" t="n">
        <v>3</v>
      </c>
      <c r="AE3106" s="11" t="n">
        <v>1.007530864197531</v>
      </c>
      <c r="AF3106" s="16">
        <f>SUMPRODUCT(N3106:Y3106,$N$5:$Y$5)*$K3106*$L3106*$M3106</f>
        <v/>
      </c>
      <c r="AG3106" s="16">
        <f>SUMPRODUCT(N3106:Y3106,$N$6:$Y$6)*$K3106*$L3106*$M3106</f>
        <v/>
      </c>
      <c r="AH3106" s="20" t="n"/>
    </row>
    <row r="3107">
      <c r="A3107" s="9" t="n">
        <v>605135</v>
      </c>
      <c r="B3107" s="9" t="inlineStr">
        <is>
          <t>Chris Bassitt</t>
        </is>
      </c>
      <c r="C3107" s="9" t="inlineStr">
        <is>
          <t>BAL</t>
        </is>
      </c>
      <c r="D3107" s="9" t="n">
        <v>38</v>
      </c>
      <c r="E3107" s="18" t="inlineStr">
        <is>
          <t>R</t>
        </is>
      </c>
      <c r="F3107" s="18" t="n"/>
      <c r="G3107" s="9" t="n">
        <v>460</v>
      </c>
      <c r="H3107" s="9" t="n">
        <v>3525</v>
      </c>
      <c r="I3107" s="9" t="inlineStr">
        <is>
          <t>End-of-Rotation Starter (SP4-5)</t>
        </is>
      </c>
      <c r="J3107" s="18" t="inlineStr">
        <is>
          <t>Opening Day</t>
        </is>
      </c>
      <c r="K3107" s="11">
        <f>IFERROR(INDEX(Roles!$B$17:$B$20,MATCH(J3107,Roles!$A$17:$A$20,0)),1)</f>
        <v/>
      </c>
      <c r="L3107" s="19" t="n">
        <v>1</v>
      </c>
      <c r="M3107" s="11" t="n">
        <v>1</v>
      </c>
      <c r="N3107" s="19" t="n"/>
      <c r="O3107" s="19" t="n"/>
      <c r="P3107" s="19" t="n">
        <v>0.5</v>
      </c>
      <c r="Q3107" s="19" t="n"/>
      <c r="R3107" s="19" t="n">
        <v>0.5</v>
      </c>
      <c r="S3107" s="19" t="n"/>
      <c r="T3107" s="19" t="n"/>
      <c r="U3107" s="19" t="n"/>
      <c r="V3107" s="19" t="n"/>
      <c r="W3107" s="19" t="n"/>
      <c r="X3107" s="19" t="n"/>
      <c r="Y3107" s="19" t="n"/>
      <c r="Z3107" s="13">
        <f>SUMPRODUCT(N3107:Y3107,$N$2:$Y$2)*$K3107*$L3107*$M3107</f>
        <v/>
      </c>
      <c r="AA3107" s="14">
        <f>SUM(N3107:Y3107)</f>
        <v/>
      </c>
      <c r="AB3107" s="13">
        <f>SUMPRODUCT(N3107:Y3107,$N$3:$Y$3)*$K3107*$L3107*$M3107</f>
        <v/>
      </c>
      <c r="AC3107" s="13">
        <f>SUMPRODUCT(N3107:Y3107,$N$4:$Y$4)*$K3107*$L3107*$M3107</f>
        <v/>
      </c>
      <c r="AD3107" s="15" t="n">
        <v>21.9</v>
      </c>
      <c r="AE3107" s="11" t="n">
        <v>4.795459976105137</v>
      </c>
      <c r="AF3107" s="16">
        <f>SUMPRODUCT(N3107:Y3107,$N$5:$Y$5)*$K3107*$L3107*$M3107</f>
        <v/>
      </c>
      <c r="AG3107" s="16">
        <f>SUMPRODUCT(N3107:Y3107,$N$6:$Y$6)*$K3107*$L3107*$M3107</f>
        <v/>
      </c>
      <c r="AH3107" s="20" t="n"/>
    </row>
    <row r="3108">
      <c r="A3108" s="9" t="n">
        <v>640444</v>
      </c>
      <c r="B3108" s="9" t="inlineStr">
        <is>
          <t>Wil Crowe</t>
        </is>
      </c>
      <c r="C3108" s="9" t="inlineStr">
        <is>
          <t>PIT</t>
        </is>
      </c>
      <c r="D3108" s="9" t="n">
        <v>32</v>
      </c>
      <c r="E3108" s="18" t="inlineStr">
        <is>
          <t>R</t>
        </is>
      </c>
      <c r="F3108" s="18" t="n"/>
      <c r="G3108" s="9" t="n">
        <v>47</v>
      </c>
      <c r="H3108" s="9" t="n">
        <v>379</v>
      </c>
      <c r="I3108" s="9" t="inlineStr">
        <is>
          <t>Depth (no MLB IP)</t>
        </is>
      </c>
      <c r="J3108" s="18" t="inlineStr">
        <is>
          <t>Opening Day</t>
        </is>
      </c>
      <c r="K3108" s="11">
        <f>IFERROR(INDEX(Roles!$B$17:$B$20,MATCH(J3108,Roles!$A$17:$A$20,0)),1)</f>
        <v/>
      </c>
      <c r="L3108" s="19" t="n">
        <v>1</v>
      </c>
      <c r="M3108" s="11" t="n">
        <v>1</v>
      </c>
      <c r="N3108" s="19" t="n"/>
      <c r="O3108" s="19" t="n"/>
      <c r="P3108" s="19" t="n"/>
      <c r="Q3108" s="19" t="n"/>
      <c r="R3108" s="19" t="n"/>
      <c r="S3108" s="19" t="n"/>
      <c r="T3108" s="19" t="n"/>
      <c r="U3108" s="19" t="n"/>
      <c r="V3108" s="19" t="n"/>
      <c r="W3108" s="19" t="n"/>
      <c r="X3108" s="19" t="n"/>
      <c r="Y3108" s="19" t="n">
        <v>1</v>
      </c>
      <c r="Z3108" s="13">
        <f>SUMPRODUCT(N3108:Y3108,$N$2:$Y$2)*$K3108*$L3108*$M3108</f>
        <v/>
      </c>
      <c r="AA3108" s="14">
        <f>SUM(N3108:Y3108)</f>
        <v/>
      </c>
      <c r="AB3108" s="13">
        <f>SUMPRODUCT(N3108:Y3108,$N$3:$Y$3)*$K3108*$L3108*$M3108</f>
        <v/>
      </c>
      <c r="AC3108" s="13">
        <f>SUMPRODUCT(N3108:Y3108,$N$4:$Y$4)*$K3108*$L3108*$M3108</f>
        <v/>
      </c>
      <c r="AD3108" s="15" t="n">
        <v>3</v>
      </c>
      <c r="AE3108" s="11" t="n">
        <v>1.011296296296296</v>
      </c>
      <c r="AF3108" s="16">
        <f>SUMPRODUCT(N3108:Y3108,$N$5:$Y$5)*$K3108*$L3108*$M3108</f>
        <v/>
      </c>
      <c r="AG3108" s="16">
        <f>SUMPRODUCT(N3108:Y3108,$N$6:$Y$6)*$K3108*$L3108*$M3108</f>
        <v/>
      </c>
      <c r="AH3108" s="20" t="n"/>
    </row>
    <row r="3109">
      <c r="A3109" s="9" t="n">
        <v>809840</v>
      </c>
      <c r="B3109" s="9" t="inlineStr">
        <is>
          <t>Micah Ashman</t>
        </is>
      </c>
      <c r="C3109" s="9" t="inlineStr">
        <is>
          <t>BAL</t>
        </is>
      </c>
      <c r="D3109" s="9" t="n">
        <v>25</v>
      </c>
      <c r="E3109" s="18" t="inlineStr">
        <is>
          <t>L</t>
        </is>
      </c>
      <c r="F3109" s="18" t="n"/>
      <c r="G3109" s="9" t="n">
        <v>75.75166666666667</v>
      </c>
      <c r="H3109" s="9" t="n">
        <v>75.75166666666667</v>
      </c>
      <c r="I3109" s="9" t="inlineStr">
        <is>
          <t>Depth (no MLB IP)</t>
        </is>
      </c>
      <c r="J3109" s="18" t="inlineStr">
        <is>
          <t>Opening Day</t>
        </is>
      </c>
      <c r="K3109" s="11">
        <f>IFERROR(INDEX(Roles!$B$17:$B$20,MATCH(J3109,Roles!$A$17:$A$20,0)),1)</f>
        <v/>
      </c>
      <c r="L3109" s="19" t="n">
        <v>1</v>
      </c>
      <c r="M3109" s="11" t="n">
        <v>1</v>
      </c>
      <c r="N3109" s="19" t="n"/>
      <c r="O3109" s="19" t="n"/>
      <c r="P3109" s="19" t="n"/>
      <c r="Q3109" s="19" t="n"/>
      <c r="R3109" s="19" t="n"/>
      <c r="S3109" s="19" t="n"/>
      <c r="T3109" s="19" t="n"/>
      <c r="U3109" s="19" t="n"/>
      <c r="V3109" s="19" t="n"/>
      <c r="W3109" s="19" t="n"/>
      <c r="X3109" s="19" t="n"/>
      <c r="Y3109" s="19" t="n">
        <v>1</v>
      </c>
      <c r="Z3109" s="13">
        <f>SUMPRODUCT(N3109:Y3109,$N$2:$Y$2)*$K3109*$L3109*$M3109</f>
        <v/>
      </c>
      <c r="AA3109" s="14">
        <f>SUM(N3109:Y3109)</f>
        <v/>
      </c>
      <c r="AB3109" s="13">
        <f>SUMPRODUCT(N3109:Y3109,$N$3:$Y$3)*$K3109*$L3109*$M3109</f>
        <v/>
      </c>
      <c r="AC3109" s="13">
        <f>SUMPRODUCT(N3109:Y3109,$N$4:$Y$4)*$K3109*$L3109*$M3109</f>
        <v/>
      </c>
      <c r="AD3109" s="15" t="n">
        <v>3</v>
      </c>
      <c r="AE3109" s="11" t="n">
        <v>1.011296296296296</v>
      </c>
      <c r="AF3109" s="16">
        <f>SUMPRODUCT(N3109:Y3109,$N$5:$Y$5)*$K3109*$L3109*$M3109</f>
        <v/>
      </c>
      <c r="AG3109" s="16">
        <f>SUMPRODUCT(N3109:Y3109,$N$6:$Y$6)*$K3109*$L3109*$M3109</f>
        <v/>
      </c>
      <c r="AH3109" s="20" t="n"/>
    </row>
    <row r="3110">
      <c r="A3110" s="9" t="n">
        <v>694788</v>
      </c>
      <c r="B3110" s="9" t="inlineStr">
        <is>
          <t>Carlson Reed</t>
        </is>
      </c>
      <c r="C3110" s="9" t="inlineStr">
        <is>
          <t>PIT</t>
        </is>
      </c>
      <c r="D3110" s="9" t="n">
        <v>25</v>
      </c>
      <c r="E3110" s="18" t="inlineStr">
        <is>
          <t>R</t>
        </is>
      </c>
      <c r="F3110" s="18" t="n"/>
      <c r="G3110" s="9" t="n">
        <v>75.67999999999999</v>
      </c>
      <c r="H3110" s="9" t="n">
        <v>75.67999999999999</v>
      </c>
      <c r="I3110" s="9" t="inlineStr">
        <is>
          <t>Depth (no MLB IP)</t>
        </is>
      </c>
      <c r="J3110" s="18" t="inlineStr">
        <is>
          <t>Opening Day</t>
        </is>
      </c>
      <c r="K3110" s="11">
        <f>IFERROR(INDEX(Roles!$B$17:$B$20,MATCH(J3110,Roles!$A$17:$A$20,0)),1)</f>
        <v/>
      </c>
      <c r="L3110" s="19" t="n">
        <v>1</v>
      </c>
      <c r="M3110" s="11" t="n">
        <v>1</v>
      </c>
      <c r="N3110" s="19" t="n"/>
      <c r="O3110" s="19" t="n"/>
      <c r="P3110" s="19" t="n"/>
      <c r="Q3110" s="19" t="n"/>
      <c r="R3110" s="19" t="n"/>
      <c r="S3110" s="19" t="n"/>
      <c r="T3110" s="19" t="n"/>
      <c r="U3110" s="19" t="n"/>
      <c r="V3110" s="19" t="n"/>
      <c r="W3110" s="19" t="n"/>
      <c r="X3110" s="19" t="n"/>
      <c r="Y3110" s="19" t="n">
        <v>1</v>
      </c>
      <c r="Z3110" s="13">
        <f>SUMPRODUCT(N3110:Y3110,$N$2:$Y$2)*$K3110*$L3110*$M3110</f>
        <v/>
      </c>
      <c r="AA3110" s="14">
        <f>SUM(N3110:Y3110)</f>
        <v/>
      </c>
      <c r="AB3110" s="13">
        <f>SUMPRODUCT(N3110:Y3110,$N$3:$Y$3)*$K3110*$L3110*$M3110</f>
        <v/>
      </c>
      <c r="AC3110" s="13">
        <f>SUMPRODUCT(N3110:Y3110,$N$4:$Y$4)*$K3110*$L3110*$M3110</f>
        <v/>
      </c>
      <c r="AD3110" s="15" t="n">
        <v>3</v>
      </c>
      <c r="AE3110" s="11" t="n">
        <v>1.011296296296296</v>
      </c>
      <c r="AF3110" s="16">
        <f>SUMPRODUCT(N3110:Y3110,$N$5:$Y$5)*$K3110*$L3110*$M3110</f>
        <v/>
      </c>
      <c r="AG3110" s="16">
        <f>SUMPRODUCT(N3110:Y3110,$N$6:$Y$6)*$K3110*$L3110*$M3110</f>
        <v/>
      </c>
      <c r="AH3110" s="20" t="n"/>
    </row>
    <row r="3111">
      <c r="A3111" s="9" t="n">
        <v>702273</v>
      </c>
      <c r="B3111" s="9" t="inlineStr">
        <is>
          <t>Noah Schultz</t>
        </is>
      </c>
      <c r="C3111" s="9" t="inlineStr">
        <is>
          <t>CWS</t>
        </is>
      </c>
      <c r="D3111" s="9" t="n">
        <v>23</v>
      </c>
      <c r="E3111" s="18" t="inlineStr">
        <is>
          <t>L</t>
        </is>
      </c>
      <c r="F3111" s="18" t="n"/>
      <c r="G3111" s="9" t="n">
        <v>324</v>
      </c>
      <c r="H3111" s="9" t="n">
        <v>324</v>
      </c>
      <c r="I3111" s="9" t="inlineStr">
        <is>
          <t>Swing Arm / Long Relief</t>
        </is>
      </c>
      <c r="J3111" s="18" t="inlineStr">
        <is>
          <t>Opening Day</t>
        </is>
      </c>
      <c r="K3111" s="11">
        <f>IFERROR(INDEX(Roles!$B$17:$B$20,MATCH(J3111,Roles!$A$17:$A$20,0)),1)</f>
        <v/>
      </c>
      <c r="L3111" s="19" t="n">
        <v>1</v>
      </c>
      <c r="M3111" s="11" t="n">
        <v>1</v>
      </c>
      <c r="N3111" s="19" t="n"/>
      <c r="O3111" s="19" t="n"/>
      <c r="P3111" s="19" t="n"/>
      <c r="Q3111" s="19" t="n"/>
      <c r="R3111" s="19" t="n">
        <v>0.6</v>
      </c>
      <c r="S3111" s="19" t="n"/>
      <c r="T3111" s="19" t="n"/>
      <c r="U3111" s="19" t="n"/>
      <c r="V3111" s="19" t="n"/>
      <c r="W3111" s="19" t="n">
        <v>0.4</v>
      </c>
      <c r="X3111" s="19" t="n"/>
      <c r="Y3111" s="19" t="n"/>
      <c r="Z3111" s="13">
        <f>SUMPRODUCT(N3111:Y3111,$N$2:$Y$2)*$K3111*$L3111*$M3111</f>
        <v/>
      </c>
      <c r="AA3111" s="14">
        <f>SUM(N3111:Y3111)</f>
        <v/>
      </c>
      <c r="AB3111" s="13">
        <f>SUMPRODUCT(N3111:Y3111,$N$3:$Y$3)*$K3111*$L3111*$M3111</f>
        <v/>
      </c>
      <c r="AC3111" s="13">
        <f>SUMPRODUCT(N3111:Y3111,$N$4:$Y$4)*$K3111*$L3111*$M3111</f>
        <v/>
      </c>
      <c r="AD3111" s="15" t="n">
        <v>19.53333333333333</v>
      </c>
      <c r="AE3111" s="11" t="n">
        <v>2.972581727542901</v>
      </c>
      <c r="AF3111" s="16">
        <f>SUMPRODUCT(N3111:Y3111,$N$5:$Y$5)*$K3111*$L3111*$M3111</f>
        <v/>
      </c>
      <c r="AG3111" s="16">
        <f>SUMPRODUCT(N3111:Y3111,$N$6:$Y$6)*$K3111*$L3111*$M3111</f>
        <v/>
      </c>
      <c r="AH3111" s="20" t="n"/>
    </row>
    <row r="3112">
      <c r="A3112" s="9" t="n">
        <v>801219</v>
      </c>
      <c r="B3112" s="9" t="inlineStr">
        <is>
          <t>Alfred Morillo</t>
        </is>
      </c>
      <c r="C3112" s="9" t="inlineStr">
        <is>
          <t>ARI</t>
        </is>
      </c>
      <c r="D3112" s="9" t="n">
        <v>25</v>
      </c>
      <c r="E3112" s="18" t="inlineStr">
        <is>
          <t>R</t>
        </is>
      </c>
      <c r="F3112" s="18" t="n"/>
      <c r="G3112" s="9" t="n">
        <v>75.75166666666667</v>
      </c>
      <c r="H3112" s="9" t="n">
        <v>75.75166666666667</v>
      </c>
      <c r="I3112" s="9" t="inlineStr">
        <is>
          <t>Depth (no MLB IP)</t>
        </is>
      </c>
      <c r="J3112" s="18" t="inlineStr">
        <is>
          <t>Opening Day</t>
        </is>
      </c>
      <c r="K3112" s="11">
        <f>IFERROR(INDEX(Roles!$B$17:$B$20,MATCH(J3112,Roles!$A$17:$A$20,0)),1)</f>
        <v/>
      </c>
      <c r="L3112" s="19" t="n">
        <v>1</v>
      </c>
      <c r="M3112" s="11" t="n">
        <v>1</v>
      </c>
      <c r="N3112" s="19" t="n"/>
      <c r="O3112" s="19" t="n"/>
      <c r="P3112" s="19" t="n"/>
      <c r="Q3112" s="19" t="n"/>
      <c r="R3112" s="19" t="n"/>
      <c r="S3112" s="19" t="n"/>
      <c r="T3112" s="19" t="n"/>
      <c r="U3112" s="19" t="n"/>
      <c r="V3112" s="19" t="n"/>
      <c r="W3112" s="19" t="n"/>
      <c r="X3112" s="19" t="n"/>
      <c r="Y3112" s="19" t="n">
        <v>1</v>
      </c>
      <c r="Z3112" s="13">
        <f>SUMPRODUCT(N3112:Y3112,$N$2:$Y$2)*$K3112*$L3112*$M3112</f>
        <v/>
      </c>
      <c r="AA3112" s="14">
        <f>SUM(N3112:Y3112)</f>
        <v/>
      </c>
      <c r="AB3112" s="13">
        <f>SUMPRODUCT(N3112:Y3112,$N$3:$Y$3)*$K3112*$L3112*$M3112</f>
        <v/>
      </c>
      <c r="AC3112" s="13">
        <f>SUMPRODUCT(N3112:Y3112,$N$4:$Y$4)*$K3112*$L3112*$M3112</f>
        <v/>
      </c>
      <c r="AD3112" s="15" t="n">
        <v>3</v>
      </c>
      <c r="AE3112" s="11" t="n">
        <v>1.011296296296296</v>
      </c>
      <c r="AF3112" s="16">
        <f>SUMPRODUCT(N3112:Y3112,$N$5:$Y$5)*$K3112*$L3112*$M3112</f>
        <v/>
      </c>
      <c r="AG3112" s="16">
        <f>SUMPRODUCT(N3112:Y3112,$N$6:$Y$6)*$K3112*$L3112*$M3112</f>
        <v/>
      </c>
      <c r="AH3112" s="20" t="n"/>
    </row>
    <row r="3113">
      <c r="A3113" s="9" t="n">
        <v>802686</v>
      </c>
      <c r="B3113" s="9" t="inlineStr">
        <is>
          <t>Hayden Harris</t>
        </is>
      </c>
      <c r="C3113" s="9" t="inlineStr">
        <is>
          <t>ATL</t>
        </is>
      </c>
      <c r="D3113" s="9" t="n">
        <v>28</v>
      </c>
      <c r="E3113" s="18" t="inlineStr">
        <is>
          <t>L</t>
        </is>
      </c>
      <c r="F3113" s="18" t="n"/>
      <c r="G3113" s="9" t="n">
        <v>12</v>
      </c>
      <c r="H3113" s="9" t="n">
        <v>12</v>
      </c>
      <c r="I3113" s="9" t="inlineStr">
        <is>
          <t>Depth (no MLB IP)</t>
        </is>
      </c>
      <c r="J3113" s="18" t="inlineStr">
        <is>
          <t>Opening Day</t>
        </is>
      </c>
      <c r="K3113" s="11">
        <f>IFERROR(INDEX(Roles!$B$17:$B$20,MATCH(J3113,Roles!$A$17:$A$20,0)),1)</f>
        <v/>
      </c>
      <c r="L3113" s="19" t="n">
        <v>1</v>
      </c>
      <c r="M3113" s="11" t="n">
        <v>1</v>
      </c>
      <c r="N3113" s="19" t="n"/>
      <c r="O3113" s="19" t="n"/>
      <c r="P3113" s="19" t="n"/>
      <c r="Q3113" s="19" t="n"/>
      <c r="R3113" s="19" t="n"/>
      <c r="S3113" s="19" t="n"/>
      <c r="T3113" s="19" t="n"/>
      <c r="U3113" s="19" t="n"/>
      <c r="V3113" s="19" t="n"/>
      <c r="W3113" s="19" t="n"/>
      <c r="X3113" s="19" t="n"/>
      <c r="Y3113" s="19" t="n">
        <v>1</v>
      </c>
      <c r="Z3113" s="13">
        <f>SUMPRODUCT(N3113:Y3113,$N$2:$Y$2)*$K3113*$L3113*$M3113</f>
        <v/>
      </c>
      <c r="AA3113" s="14">
        <f>SUM(N3113:Y3113)</f>
        <v/>
      </c>
      <c r="AB3113" s="13">
        <f>SUMPRODUCT(N3113:Y3113,$N$3:$Y$3)*$K3113*$L3113*$M3113</f>
        <v/>
      </c>
      <c r="AC3113" s="13">
        <f>SUMPRODUCT(N3113:Y3113,$N$4:$Y$4)*$K3113*$L3113*$M3113</f>
        <v/>
      </c>
      <c r="AD3113" s="15" t="n">
        <v>3</v>
      </c>
      <c r="AE3113" s="11" t="n">
        <v>0.9704938271604936</v>
      </c>
      <c r="AF3113" s="16">
        <f>SUMPRODUCT(N3113:Y3113,$N$5:$Y$5)*$K3113*$L3113*$M3113</f>
        <v/>
      </c>
      <c r="AG3113" s="16">
        <f>SUMPRODUCT(N3113:Y3113,$N$6:$Y$6)*$K3113*$L3113*$M3113</f>
        <v/>
      </c>
      <c r="AH3113" s="20" t="n"/>
    </row>
    <row r="3114">
      <c r="A3114" s="9" t="n">
        <v>640454</v>
      </c>
      <c r="B3114" s="9" t="inlineStr">
        <is>
          <t>Matt Krook</t>
        </is>
      </c>
      <c r="C3114" s="9" t="inlineStr">
        <is>
          <t>WSH</t>
        </is>
      </c>
      <c r="D3114" s="9" t="n">
        <v>32</v>
      </c>
      <c r="E3114" s="18" t="inlineStr">
        <is>
          <t>L</t>
        </is>
      </c>
      <c r="F3114" s="18" t="n"/>
      <c r="G3114" s="9" t="n">
        <v>46</v>
      </c>
      <c r="H3114" s="9" t="n">
        <v>94</v>
      </c>
      <c r="I3114" s="9" t="inlineStr">
        <is>
          <t>Bullpen Depth Arm</t>
        </is>
      </c>
      <c r="J3114" s="18" t="inlineStr">
        <is>
          <t>Opening Day</t>
        </is>
      </c>
      <c r="K3114" s="11">
        <f>IFERROR(INDEX(Roles!$B$17:$B$20,MATCH(J3114,Roles!$A$17:$A$20,0)),1)</f>
        <v/>
      </c>
      <c r="L3114" s="19" t="n">
        <v>1</v>
      </c>
      <c r="M3114" s="11" t="n">
        <v>1</v>
      </c>
      <c r="N3114" s="19" t="n"/>
      <c r="O3114" s="19" t="n"/>
      <c r="P3114" s="19" t="n"/>
      <c r="Q3114" s="19" t="n"/>
      <c r="R3114" s="19" t="n"/>
      <c r="S3114" s="19" t="n"/>
      <c r="T3114" s="19" t="n"/>
      <c r="U3114" s="19" t="n"/>
      <c r="V3114" s="19" t="n"/>
      <c r="W3114" s="19" t="n">
        <v>1</v>
      </c>
      <c r="X3114" s="19" t="n"/>
      <c r="Y3114" s="19" t="n"/>
      <c r="Z3114" s="13">
        <f>SUMPRODUCT(N3114:Y3114,$N$2:$Y$2)*$K3114*$L3114*$M3114</f>
        <v/>
      </c>
      <c r="AA3114" s="14">
        <f>SUM(N3114:Y3114)</f>
        <v/>
      </c>
      <c r="AB3114" s="13">
        <f>SUMPRODUCT(N3114:Y3114,$N$3:$Y$3)*$K3114*$L3114*$M3114</f>
        <v/>
      </c>
      <c r="AC3114" s="13">
        <f>SUMPRODUCT(N3114:Y3114,$N$4:$Y$4)*$K3114*$L3114*$M3114</f>
        <v/>
      </c>
      <c r="AD3114" s="15" t="n">
        <v>9.666666666666666</v>
      </c>
      <c r="AE3114" s="11" t="n">
        <v>1.07372935706269</v>
      </c>
      <c r="AF3114" s="16">
        <f>SUMPRODUCT(N3114:Y3114,$N$5:$Y$5)*$K3114*$L3114*$M3114</f>
        <v/>
      </c>
      <c r="AG3114" s="16">
        <f>SUMPRODUCT(N3114:Y3114,$N$6:$Y$6)*$K3114*$L3114*$M3114</f>
        <v/>
      </c>
      <c r="AH3114" s="20" t="n"/>
    </row>
    <row r="3115">
      <c r="A3115" s="9" t="n">
        <v>665001</v>
      </c>
      <c r="B3115" s="9" t="inlineStr">
        <is>
          <t>Trevor Kelley</t>
        </is>
      </c>
      <c r="C3115" s="9" t="inlineStr">
        <is>
          <t>TB</t>
        </is>
      </c>
      <c r="D3115" s="9" t="n">
        <v>34</v>
      </c>
      <c r="E3115" s="18" t="inlineStr">
        <is>
          <t>R</t>
        </is>
      </c>
      <c r="F3115" s="18" t="n"/>
      <c r="G3115" s="9" t="n">
        <v>69</v>
      </c>
      <c r="H3115" s="9" t="n">
        <v>176</v>
      </c>
      <c r="I3115" s="9" t="inlineStr">
        <is>
          <t>Depth (no MLB IP)</t>
        </is>
      </c>
      <c r="J3115" s="18" t="inlineStr">
        <is>
          <t>Opening Day</t>
        </is>
      </c>
      <c r="K3115" s="11">
        <f>IFERROR(INDEX(Roles!$B$17:$B$20,MATCH(J3115,Roles!$A$17:$A$20,0)),1)</f>
        <v/>
      </c>
      <c r="L3115" s="19" t="n">
        <v>1</v>
      </c>
      <c r="M3115" s="11" t="n">
        <v>1</v>
      </c>
      <c r="N3115" s="19" t="n"/>
      <c r="O3115" s="19" t="n"/>
      <c r="P3115" s="19" t="n"/>
      <c r="Q3115" s="19" t="n"/>
      <c r="R3115" s="19" t="n"/>
      <c r="S3115" s="19" t="n"/>
      <c r="T3115" s="19" t="n"/>
      <c r="U3115" s="19" t="n"/>
      <c r="V3115" s="19" t="n"/>
      <c r="W3115" s="19" t="n"/>
      <c r="X3115" s="19" t="n"/>
      <c r="Y3115" s="19" t="n">
        <v>1</v>
      </c>
      <c r="Z3115" s="13">
        <f>SUMPRODUCT(N3115:Y3115,$N$2:$Y$2)*$K3115*$L3115*$M3115</f>
        <v/>
      </c>
      <c r="AA3115" s="14">
        <f>SUM(N3115:Y3115)</f>
        <v/>
      </c>
      <c r="AB3115" s="13">
        <f>SUMPRODUCT(N3115:Y3115,$N$3:$Y$3)*$K3115*$L3115*$M3115</f>
        <v/>
      </c>
      <c r="AC3115" s="13">
        <f>SUMPRODUCT(N3115:Y3115,$N$4:$Y$4)*$K3115*$L3115*$M3115</f>
        <v/>
      </c>
      <c r="AD3115" s="15" t="n">
        <v>3</v>
      </c>
      <c r="AE3115" s="11" t="n">
        <v>1.011296296296296</v>
      </c>
      <c r="AF3115" s="16">
        <f>SUMPRODUCT(N3115:Y3115,$N$5:$Y$5)*$K3115*$L3115*$M3115</f>
        <v/>
      </c>
      <c r="AG3115" s="16">
        <f>SUMPRODUCT(N3115:Y3115,$N$6:$Y$6)*$K3115*$L3115*$M3115</f>
        <v/>
      </c>
      <c r="AH3115" s="20" t="n"/>
    </row>
    <row r="3116">
      <c r="A3116" s="9" t="n">
        <v>678821</v>
      </c>
      <c r="B3116" s="9" t="inlineStr">
        <is>
          <t>Luis Peralta</t>
        </is>
      </c>
      <c r="C3116" s="9" t="inlineStr">
        <is>
          <t>COL</t>
        </is>
      </c>
      <c r="D3116" s="9" t="n">
        <v>26</v>
      </c>
      <c r="E3116" s="18" t="inlineStr">
        <is>
          <t>L</t>
        </is>
      </c>
      <c r="F3116" s="18" t="n"/>
      <c r="G3116" s="9" t="n">
        <v>101</v>
      </c>
      <c r="H3116" s="9" t="n">
        <v>150</v>
      </c>
      <c r="I3116" s="9" t="inlineStr">
        <is>
          <t>Bullpen Depth Arm</t>
        </is>
      </c>
      <c r="J3116" s="18" t="inlineStr">
        <is>
          <t>Opening Day</t>
        </is>
      </c>
      <c r="K3116" s="11">
        <f>IFERROR(INDEX(Roles!$B$17:$B$20,MATCH(J3116,Roles!$A$17:$A$20,0)),1)</f>
        <v/>
      </c>
      <c r="L3116" s="19" t="n">
        <v>1</v>
      </c>
      <c r="M3116" s="11" t="n">
        <v>1</v>
      </c>
      <c r="N3116" s="19" t="n"/>
      <c r="O3116" s="19" t="n"/>
      <c r="P3116" s="19" t="n"/>
      <c r="Q3116" s="19" t="n"/>
      <c r="R3116" s="19" t="n"/>
      <c r="S3116" s="19" t="n"/>
      <c r="T3116" s="19" t="n"/>
      <c r="U3116" s="19" t="n"/>
      <c r="V3116" s="19" t="n"/>
      <c r="W3116" s="19" t="n">
        <v>1</v>
      </c>
      <c r="X3116" s="19" t="n"/>
      <c r="Y3116" s="19" t="n"/>
      <c r="Z3116" s="13">
        <f>SUMPRODUCT(N3116:Y3116,$N$2:$Y$2)*$K3116*$L3116*$M3116</f>
        <v/>
      </c>
      <c r="AA3116" s="14">
        <f>SUM(N3116:Y3116)</f>
        <v/>
      </c>
      <c r="AB3116" s="13">
        <f>SUMPRODUCT(N3116:Y3116,$N$3:$Y$3)*$K3116*$L3116*$M3116</f>
        <v/>
      </c>
      <c r="AC3116" s="13">
        <f>SUMPRODUCT(N3116:Y3116,$N$4:$Y$4)*$K3116*$L3116*$M3116</f>
        <v/>
      </c>
      <c r="AD3116" s="15" t="n">
        <v>17.46666666666667</v>
      </c>
      <c r="AE3116" s="11" t="n">
        <v>1.085876249718058</v>
      </c>
      <c r="AF3116" s="16">
        <f>SUMPRODUCT(N3116:Y3116,$N$5:$Y$5)*$K3116*$L3116*$M3116</f>
        <v/>
      </c>
      <c r="AG3116" s="16">
        <f>SUMPRODUCT(N3116:Y3116,$N$6:$Y$6)*$K3116*$L3116*$M3116</f>
        <v/>
      </c>
      <c r="AH3116" s="20" t="n"/>
    </row>
    <row r="3117">
      <c r="A3117" s="9" t="n">
        <v>694436</v>
      </c>
      <c r="B3117" s="9" t="inlineStr">
        <is>
          <t>Samuel Strickland</t>
        </is>
      </c>
      <c r="C3117" s="9" t="inlineStr">
        <is>
          <t>ATL</t>
        </is>
      </c>
      <c r="D3117" s="9" t="n">
        <v>25</v>
      </c>
      <c r="E3117" s="18" t="inlineStr">
        <is>
          <t>L</t>
        </is>
      </c>
      <c r="F3117" s="18" t="n"/>
      <c r="G3117" s="9" t="n">
        <v>76.25333333333332</v>
      </c>
      <c r="H3117" s="9" t="n">
        <v>76.25333333333332</v>
      </c>
      <c r="I3117" s="9" t="inlineStr">
        <is>
          <t>Depth (no MLB IP)</t>
        </is>
      </c>
      <c r="J3117" s="18" t="inlineStr">
        <is>
          <t>Opening Day</t>
        </is>
      </c>
      <c r="K3117" s="11">
        <f>IFERROR(INDEX(Roles!$B$17:$B$20,MATCH(J3117,Roles!$A$17:$A$20,0)),1)</f>
        <v/>
      </c>
      <c r="L3117" s="19" t="n">
        <v>1</v>
      </c>
      <c r="M3117" s="11" t="n">
        <v>1</v>
      </c>
      <c r="N3117" s="19" t="n"/>
      <c r="O3117" s="19" t="n"/>
      <c r="P3117" s="19" t="n"/>
      <c r="Q3117" s="19" t="n"/>
      <c r="R3117" s="19" t="n"/>
      <c r="S3117" s="19" t="n"/>
      <c r="T3117" s="19" t="n"/>
      <c r="U3117" s="19" t="n"/>
      <c r="V3117" s="19" t="n"/>
      <c r="W3117" s="19" t="n"/>
      <c r="X3117" s="19" t="n"/>
      <c r="Y3117" s="19" t="n">
        <v>1</v>
      </c>
      <c r="Z3117" s="13">
        <f>SUMPRODUCT(N3117:Y3117,$N$2:$Y$2)*$K3117*$L3117*$M3117</f>
        <v/>
      </c>
      <c r="AA3117" s="14">
        <f>SUM(N3117:Y3117)</f>
        <v/>
      </c>
      <c r="AB3117" s="13">
        <f>SUMPRODUCT(N3117:Y3117,$N$3:$Y$3)*$K3117*$L3117*$M3117</f>
        <v/>
      </c>
      <c r="AC3117" s="13">
        <f>SUMPRODUCT(N3117:Y3117,$N$4:$Y$4)*$K3117*$L3117*$M3117</f>
        <v/>
      </c>
      <c r="AD3117" s="15" t="n">
        <v>3</v>
      </c>
      <c r="AE3117" s="11" t="n">
        <v>1.011296296296296</v>
      </c>
      <c r="AF3117" s="16">
        <f>SUMPRODUCT(N3117:Y3117,$N$5:$Y$5)*$K3117*$L3117*$M3117</f>
        <v/>
      </c>
      <c r="AG3117" s="16">
        <f>SUMPRODUCT(N3117:Y3117,$N$6:$Y$6)*$K3117*$L3117*$M3117</f>
        <v/>
      </c>
      <c r="AH3117" s="20" t="n"/>
    </row>
    <row r="3118">
      <c r="A3118" s="9" t="n">
        <v>679775</v>
      </c>
      <c r="B3118" s="9" t="inlineStr">
        <is>
          <t>Kyle Backhus</t>
        </is>
      </c>
      <c r="C3118" s="9" t="inlineStr">
        <is>
          <t>PHI</t>
        </is>
      </c>
      <c r="D3118" s="9" t="n">
        <v>29</v>
      </c>
      <c r="E3118" s="18" t="inlineStr">
        <is>
          <t>L</t>
        </is>
      </c>
      <c r="F3118" s="18" t="n"/>
      <c r="G3118" s="9" t="n">
        <v>94</v>
      </c>
      <c r="H3118" s="9" t="n">
        <v>209</v>
      </c>
      <c r="I3118" s="9" t="inlineStr">
        <is>
          <t>Middle Relief</t>
        </is>
      </c>
      <c r="J3118" s="18" t="inlineStr">
        <is>
          <t>Opening Day</t>
        </is>
      </c>
      <c r="K3118" s="11">
        <f>IFERROR(INDEX(Roles!$B$17:$B$20,MATCH(J3118,Roles!$A$17:$A$20,0)),1)</f>
        <v/>
      </c>
      <c r="L3118" s="19" t="n">
        <v>1</v>
      </c>
      <c r="M3118" s="11" t="n">
        <v>1</v>
      </c>
      <c r="N3118" s="19" t="n"/>
      <c r="O3118" s="19" t="n"/>
      <c r="P3118" s="19" t="n"/>
      <c r="Q3118" s="19" t="n"/>
      <c r="R3118" s="19" t="n"/>
      <c r="S3118" s="19" t="n"/>
      <c r="T3118" s="19" t="n"/>
      <c r="U3118" s="19" t="n"/>
      <c r="V3118" s="19" t="n">
        <v>0.8</v>
      </c>
      <c r="W3118" s="19" t="n">
        <v>0.2</v>
      </c>
      <c r="X3118" s="19" t="n"/>
      <c r="Y3118" s="19" t="n"/>
      <c r="Z3118" s="13">
        <f>SUMPRODUCT(N3118:Y3118,$N$2:$Y$2)*$K3118*$L3118*$M3118</f>
        <v/>
      </c>
      <c r="AA3118" s="14">
        <f>SUM(N3118:Y3118)</f>
        <v/>
      </c>
      <c r="AB3118" s="13">
        <f>SUMPRODUCT(N3118:Y3118,$N$3:$Y$3)*$K3118*$L3118*$M3118</f>
        <v/>
      </c>
      <c r="AC3118" s="13">
        <f>SUMPRODUCT(N3118:Y3118,$N$4:$Y$4)*$K3118*$L3118*$M3118</f>
        <v/>
      </c>
      <c r="AD3118" s="15" t="n">
        <v>29.97333333333333</v>
      </c>
      <c r="AE3118" s="11" t="n">
        <v>0.979607456813909</v>
      </c>
      <c r="AF3118" s="16">
        <f>SUMPRODUCT(N3118:Y3118,$N$5:$Y$5)*$K3118*$L3118*$M3118</f>
        <v/>
      </c>
      <c r="AG3118" s="16">
        <f>SUMPRODUCT(N3118:Y3118,$N$6:$Y$6)*$K3118*$L3118*$M3118</f>
        <v/>
      </c>
      <c r="AH3118" s="20" t="n"/>
    </row>
    <row r="3119">
      <c r="A3119" s="9" t="n">
        <v>830894</v>
      </c>
      <c r="B3119" s="9" t="inlineStr">
        <is>
          <t>Carson Laws</t>
        </is>
      </c>
      <c r="C3119" s="9" t="inlineStr">
        <is>
          <t>MIA</t>
        </is>
      </c>
      <c r="D3119" s="9" t="n">
        <v>25</v>
      </c>
      <c r="E3119" s="18" t="inlineStr">
        <is>
          <t>R</t>
        </is>
      </c>
      <c r="F3119" s="18" t="n"/>
      <c r="G3119" s="9" t="n">
        <v>76.25333333333333</v>
      </c>
      <c r="H3119" s="9" t="n">
        <v>76.25333333333333</v>
      </c>
      <c r="I3119" s="9" t="inlineStr">
        <is>
          <t>Depth (no MLB IP)</t>
        </is>
      </c>
      <c r="J3119" s="18" t="inlineStr">
        <is>
          <t>Opening Day</t>
        </is>
      </c>
      <c r="K3119" s="11">
        <f>IFERROR(INDEX(Roles!$B$17:$B$20,MATCH(J3119,Roles!$A$17:$A$20,0)),1)</f>
        <v/>
      </c>
      <c r="L3119" s="19" t="n">
        <v>1</v>
      </c>
      <c r="M3119" s="11" t="n">
        <v>1</v>
      </c>
      <c r="N3119" s="19" t="n"/>
      <c r="O3119" s="19" t="n"/>
      <c r="P3119" s="19" t="n"/>
      <c r="Q3119" s="19" t="n"/>
      <c r="R3119" s="19" t="n"/>
      <c r="S3119" s="19" t="n"/>
      <c r="T3119" s="19" t="n"/>
      <c r="U3119" s="19" t="n"/>
      <c r="V3119" s="19" t="n"/>
      <c r="W3119" s="19" t="n"/>
      <c r="X3119" s="19" t="n"/>
      <c r="Y3119" s="19" t="n">
        <v>1</v>
      </c>
      <c r="Z3119" s="13">
        <f>SUMPRODUCT(N3119:Y3119,$N$2:$Y$2)*$K3119*$L3119*$M3119</f>
        <v/>
      </c>
      <c r="AA3119" s="14">
        <f>SUM(N3119:Y3119)</f>
        <v/>
      </c>
      <c r="AB3119" s="13">
        <f>SUMPRODUCT(N3119:Y3119,$N$3:$Y$3)*$K3119*$L3119*$M3119</f>
        <v/>
      </c>
      <c r="AC3119" s="13">
        <f>SUMPRODUCT(N3119:Y3119,$N$4:$Y$4)*$K3119*$L3119*$M3119</f>
        <v/>
      </c>
      <c r="AD3119" s="15" t="n">
        <v>3</v>
      </c>
      <c r="AE3119" s="11" t="n">
        <v>1.011296296296296</v>
      </c>
      <c r="AF3119" s="16">
        <f>SUMPRODUCT(N3119:Y3119,$N$5:$Y$5)*$K3119*$L3119*$M3119</f>
        <v/>
      </c>
      <c r="AG3119" s="16">
        <f>SUMPRODUCT(N3119:Y3119,$N$6:$Y$6)*$K3119*$L3119*$M3119</f>
        <v/>
      </c>
      <c r="AH3119" s="20" t="n"/>
    </row>
    <row r="3120">
      <c r="A3120" s="9" t="n">
        <v>700167</v>
      </c>
      <c r="B3120" s="9" t="inlineStr">
        <is>
          <t>Bryan Mena</t>
        </is>
      </c>
      <c r="C3120" s="9" t="inlineStr">
        <is>
          <t>PIT</t>
        </is>
      </c>
      <c r="D3120" s="9" t="n">
        <v>25</v>
      </c>
      <c r="E3120" s="18" t="inlineStr">
        <is>
          <t>R</t>
        </is>
      </c>
      <c r="F3120" s="18" t="n"/>
      <c r="G3120" s="9" t="n">
        <v>76.25333333333333</v>
      </c>
      <c r="H3120" s="9" t="n">
        <v>76.25333333333333</v>
      </c>
      <c r="I3120" s="9" t="inlineStr">
        <is>
          <t>Depth (no MLB IP)</t>
        </is>
      </c>
      <c r="J3120" s="18" t="inlineStr">
        <is>
          <t>Opening Day</t>
        </is>
      </c>
      <c r="K3120" s="11">
        <f>IFERROR(INDEX(Roles!$B$17:$B$20,MATCH(J3120,Roles!$A$17:$A$20,0)),1)</f>
        <v/>
      </c>
      <c r="L3120" s="19" t="n">
        <v>1</v>
      </c>
      <c r="M3120" s="11" t="n">
        <v>1</v>
      </c>
      <c r="N3120" s="19" t="n"/>
      <c r="O3120" s="19" t="n"/>
      <c r="P3120" s="19" t="n"/>
      <c r="Q3120" s="19" t="n"/>
      <c r="R3120" s="19" t="n"/>
      <c r="S3120" s="19" t="n"/>
      <c r="T3120" s="19" t="n"/>
      <c r="U3120" s="19" t="n"/>
      <c r="V3120" s="19" t="n"/>
      <c r="W3120" s="19" t="n"/>
      <c r="X3120" s="19" t="n"/>
      <c r="Y3120" s="19" t="n">
        <v>1</v>
      </c>
      <c r="Z3120" s="13">
        <f>SUMPRODUCT(N3120:Y3120,$N$2:$Y$2)*$K3120*$L3120*$M3120</f>
        <v/>
      </c>
      <c r="AA3120" s="14">
        <f>SUM(N3120:Y3120)</f>
        <v/>
      </c>
      <c r="AB3120" s="13">
        <f>SUMPRODUCT(N3120:Y3120,$N$3:$Y$3)*$K3120*$L3120*$M3120</f>
        <v/>
      </c>
      <c r="AC3120" s="13">
        <f>SUMPRODUCT(N3120:Y3120,$N$4:$Y$4)*$K3120*$L3120*$M3120</f>
        <v/>
      </c>
      <c r="AD3120" s="15" t="n">
        <v>3</v>
      </c>
      <c r="AE3120" s="11" t="n">
        <v>1.011296296296296</v>
      </c>
      <c r="AF3120" s="16">
        <f>SUMPRODUCT(N3120:Y3120,$N$5:$Y$5)*$K3120*$L3120*$M3120</f>
        <v/>
      </c>
      <c r="AG3120" s="16">
        <f>SUMPRODUCT(N3120:Y3120,$N$6:$Y$6)*$K3120*$L3120*$M3120</f>
        <v/>
      </c>
      <c r="AH3120" s="20" t="n"/>
    </row>
    <row r="3121">
      <c r="A3121" s="9" t="n">
        <v>678576</v>
      </c>
      <c r="B3121" s="9" t="inlineStr">
        <is>
          <t>Wilkin Ramos</t>
        </is>
      </c>
      <c r="C3121" s="9" t="inlineStr">
        <is>
          <t>SF</t>
        </is>
      </c>
      <c r="D3121" s="9" t="n">
        <v>26</v>
      </c>
      <c r="E3121" s="18" t="inlineStr">
        <is>
          <t>R</t>
        </is>
      </c>
      <c r="F3121" s="18" t="n"/>
      <c r="G3121" s="9" t="n">
        <v>15</v>
      </c>
      <c r="H3121" s="9" t="n">
        <v>15</v>
      </c>
      <c r="I3121" s="9" t="inlineStr">
        <is>
          <t>Depth (no MLB IP)</t>
        </is>
      </c>
      <c r="J3121" s="18" t="inlineStr">
        <is>
          <t>Opening Day</t>
        </is>
      </c>
      <c r="K3121" s="11">
        <f>IFERROR(INDEX(Roles!$B$17:$B$20,MATCH(J3121,Roles!$A$17:$A$20,0)),1)</f>
        <v/>
      </c>
      <c r="L3121" s="19" t="n">
        <v>1</v>
      </c>
      <c r="M3121" s="11" t="n">
        <v>1</v>
      </c>
      <c r="N3121" s="19" t="n"/>
      <c r="O3121" s="19" t="n"/>
      <c r="P3121" s="19" t="n"/>
      <c r="Q3121" s="19" t="n"/>
      <c r="R3121" s="19" t="n"/>
      <c r="S3121" s="19" t="n"/>
      <c r="T3121" s="19" t="n"/>
      <c r="U3121" s="19" t="n"/>
      <c r="V3121" s="19" t="n"/>
      <c r="W3121" s="19" t="n"/>
      <c r="X3121" s="19" t="n"/>
      <c r="Y3121" s="19" t="n">
        <v>1</v>
      </c>
      <c r="Z3121" s="13">
        <f>SUMPRODUCT(N3121:Y3121,$N$2:$Y$2)*$K3121*$L3121*$M3121</f>
        <v/>
      </c>
      <c r="AA3121" s="14">
        <f>SUM(N3121:Y3121)</f>
        <v/>
      </c>
      <c r="AB3121" s="13">
        <f>SUMPRODUCT(N3121:Y3121,$N$3:$Y$3)*$K3121*$L3121*$M3121</f>
        <v/>
      </c>
      <c r="AC3121" s="13">
        <f>SUMPRODUCT(N3121:Y3121,$N$4:$Y$4)*$K3121*$L3121*$M3121</f>
        <v/>
      </c>
      <c r="AD3121" s="15" t="n">
        <v>2.4</v>
      </c>
      <c r="AE3121" s="11" t="n">
        <v>1.007530864197531</v>
      </c>
      <c r="AF3121" s="16">
        <f>SUMPRODUCT(N3121:Y3121,$N$5:$Y$5)*$K3121*$L3121*$M3121</f>
        <v/>
      </c>
      <c r="AG3121" s="16">
        <f>SUMPRODUCT(N3121:Y3121,$N$6:$Y$6)*$K3121*$L3121*$M3121</f>
        <v/>
      </c>
      <c r="AH3121" s="20" t="n"/>
    </row>
    <row r="3122">
      <c r="A3122" s="9" t="n">
        <v>701719</v>
      </c>
      <c r="B3122" s="9" t="inlineStr">
        <is>
          <t>Tyler Samaniego</t>
        </is>
      </c>
      <c r="C3122" s="9" t="inlineStr">
        <is>
          <t>BOS</t>
        </is>
      </c>
      <c r="D3122" s="9" t="n">
        <v>28</v>
      </c>
      <c r="E3122" s="18" t="inlineStr">
        <is>
          <t>L</t>
        </is>
      </c>
      <c r="F3122" s="18" t="n"/>
      <c r="G3122" s="9" t="n">
        <v>90</v>
      </c>
      <c r="H3122" s="9" t="n">
        <v>90</v>
      </c>
      <c r="I3122" s="9" t="inlineStr">
        <is>
          <t>Bullpen Depth Arm</t>
        </is>
      </c>
      <c r="J3122" s="18" t="inlineStr">
        <is>
          <t>Opening Day</t>
        </is>
      </c>
      <c r="K3122" s="11">
        <f>IFERROR(INDEX(Roles!$B$17:$B$20,MATCH(J3122,Roles!$A$17:$A$20,0)),1)</f>
        <v/>
      </c>
      <c r="L3122" s="19" t="n">
        <v>1</v>
      </c>
      <c r="M3122" s="11" t="n">
        <v>1</v>
      </c>
      <c r="N3122" s="19" t="n"/>
      <c r="O3122" s="19" t="n"/>
      <c r="P3122" s="19" t="n"/>
      <c r="Q3122" s="19" t="n"/>
      <c r="R3122" s="19" t="n"/>
      <c r="S3122" s="19" t="n"/>
      <c r="T3122" s="19" t="n"/>
      <c r="U3122" s="19" t="n"/>
      <c r="V3122" s="19" t="n"/>
      <c r="W3122" s="19" t="n">
        <v>1</v>
      </c>
      <c r="X3122" s="19" t="n"/>
      <c r="Y3122" s="19" t="n"/>
      <c r="Z3122" s="13">
        <f>SUMPRODUCT(N3122:Y3122,$N$2:$Y$2)*$K3122*$L3122*$M3122</f>
        <v/>
      </c>
      <c r="AA3122" s="14">
        <f>SUM(N3122:Y3122)</f>
        <v/>
      </c>
      <c r="AB3122" s="13">
        <f>SUMPRODUCT(N3122:Y3122,$N$3:$Y$3)*$K3122*$L3122*$M3122</f>
        <v/>
      </c>
      <c r="AC3122" s="13">
        <f>SUMPRODUCT(N3122:Y3122,$N$4:$Y$4)*$K3122*$L3122*$M3122</f>
        <v/>
      </c>
      <c r="AD3122" s="15" t="n">
        <v>17.66666666666666</v>
      </c>
      <c r="AE3122" s="11" t="n">
        <v>1.140396023729357</v>
      </c>
      <c r="AF3122" s="16">
        <f>SUMPRODUCT(N3122:Y3122,$N$5:$Y$5)*$K3122*$L3122*$M3122</f>
        <v/>
      </c>
      <c r="AG3122" s="16">
        <f>SUMPRODUCT(N3122:Y3122,$N$6:$Y$6)*$K3122*$L3122*$M3122</f>
        <v/>
      </c>
      <c r="AH3122" s="20" t="n"/>
    </row>
    <row r="3123">
      <c r="A3123" s="9" t="n">
        <v>543063</v>
      </c>
      <c r="B3123" s="9" t="inlineStr">
        <is>
          <t>Brandon Crawford</t>
        </is>
      </c>
      <c r="C3123" s="9" t="inlineStr">
        <is>
          <t>STL</t>
        </is>
      </c>
      <c r="D3123" s="9" t="n">
        <v>40</v>
      </c>
      <c r="E3123" s="18" t="inlineStr">
        <is>
          <t>R</t>
        </is>
      </c>
      <c r="F3123" s="18" t="n"/>
      <c r="G3123" s="9" t="n">
        <v>10</v>
      </c>
      <c r="H3123" s="9" t="n">
        <v>15</v>
      </c>
      <c r="I3123" s="9" t="inlineStr">
        <is>
          <t>Depth (no MLB IP)</t>
        </is>
      </c>
      <c r="J3123" s="18" t="inlineStr">
        <is>
          <t>Opening Day</t>
        </is>
      </c>
      <c r="K3123" s="11">
        <f>IFERROR(INDEX(Roles!$B$17:$B$20,MATCH(J3123,Roles!$A$17:$A$20,0)),1)</f>
        <v/>
      </c>
      <c r="L3123" s="19" t="n">
        <v>1</v>
      </c>
      <c r="M3123" s="11" t="n">
        <v>1</v>
      </c>
      <c r="N3123" s="19" t="n"/>
      <c r="O3123" s="19" t="n"/>
      <c r="P3123" s="19" t="n"/>
      <c r="Q3123" s="19" t="n"/>
      <c r="R3123" s="19" t="n"/>
      <c r="S3123" s="19" t="n"/>
      <c r="T3123" s="19" t="n"/>
      <c r="U3123" s="19" t="n"/>
      <c r="V3123" s="19" t="n"/>
      <c r="W3123" s="19" t="n"/>
      <c r="X3123" s="19" t="n"/>
      <c r="Y3123" s="19" t="n">
        <v>1</v>
      </c>
      <c r="Z3123" s="13">
        <f>SUMPRODUCT(N3123:Y3123,$N$2:$Y$2)*$K3123*$L3123*$M3123</f>
        <v/>
      </c>
      <c r="AA3123" s="14">
        <f>SUM(N3123:Y3123)</f>
        <v/>
      </c>
      <c r="AB3123" s="13">
        <f>SUMPRODUCT(N3123:Y3123,$N$3:$Y$3)*$K3123*$L3123*$M3123</f>
        <v/>
      </c>
      <c r="AC3123" s="13">
        <f>SUMPRODUCT(N3123:Y3123,$N$4:$Y$4)*$K3123*$L3123*$M3123</f>
        <v/>
      </c>
      <c r="AD3123" s="15" t="n">
        <v>1.8</v>
      </c>
      <c r="AE3123" s="11" t="n">
        <v>1.118641975308642</v>
      </c>
      <c r="AF3123" s="16">
        <f>SUMPRODUCT(N3123:Y3123,$N$5:$Y$5)*$K3123*$L3123*$M3123</f>
        <v/>
      </c>
      <c r="AG3123" s="16">
        <f>SUMPRODUCT(N3123:Y3123,$N$6:$Y$6)*$K3123*$L3123*$M3123</f>
        <v/>
      </c>
      <c r="AH3123" s="20" t="n"/>
    </row>
    <row r="3124">
      <c r="A3124" s="9" t="n">
        <v>682997</v>
      </c>
      <c r="B3124" s="9" t="inlineStr">
        <is>
          <t>Tyler Callihan</t>
        </is>
      </c>
      <c r="C3124" s="9" t="inlineStr">
        <is>
          <t>PIT</t>
        </is>
      </c>
      <c r="D3124" s="9" t="n">
        <v>27</v>
      </c>
      <c r="E3124" s="18" t="inlineStr">
        <is>
          <t>R</t>
        </is>
      </c>
      <c r="F3124" s="18" t="n"/>
      <c r="G3124" s="9" t="n">
        <v>15</v>
      </c>
      <c r="H3124" s="9" t="n">
        <v>15</v>
      </c>
      <c r="I3124" s="9" t="inlineStr">
        <is>
          <t>Depth (no MLB IP)</t>
        </is>
      </c>
      <c r="J3124" s="18" t="inlineStr">
        <is>
          <t>Opening Day</t>
        </is>
      </c>
      <c r="K3124" s="11">
        <f>IFERROR(INDEX(Roles!$B$17:$B$20,MATCH(J3124,Roles!$A$17:$A$20,0)),1)</f>
        <v/>
      </c>
      <c r="L3124" s="19" t="n">
        <v>1</v>
      </c>
      <c r="M3124" s="11" t="n">
        <v>1</v>
      </c>
      <c r="N3124" s="19" t="n"/>
      <c r="O3124" s="19" t="n"/>
      <c r="P3124" s="19" t="n"/>
      <c r="Q3124" s="19" t="n"/>
      <c r="R3124" s="19" t="n"/>
      <c r="S3124" s="19" t="n"/>
      <c r="T3124" s="19" t="n"/>
      <c r="U3124" s="19" t="n"/>
      <c r="V3124" s="19" t="n"/>
      <c r="W3124" s="19" t="n"/>
      <c r="X3124" s="19" t="n"/>
      <c r="Y3124" s="19" t="n">
        <v>1</v>
      </c>
      <c r="Z3124" s="13">
        <f>SUMPRODUCT(N3124:Y3124,$N$2:$Y$2)*$K3124*$L3124*$M3124</f>
        <v/>
      </c>
      <c r="AA3124" s="14">
        <f>SUM(N3124:Y3124)</f>
        <v/>
      </c>
      <c r="AB3124" s="13">
        <f>SUMPRODUCT(N3124:Y3124,$N$3:$Y$3)*$K3124*$L3124*$M3124</f>
        <v/>
      </c>
      <c r="AC3124" s="13">
        <f>SUMPRODUCT(N3124:Y3124,$N$4:$Y$4)*$K3124*$L3124*$M3124</f>
        <v/>
      </c>
      <c r="AD3124" s="15" t="n">
        <v>3.6</v>
      </c>
      <c r="AE3124" s="11" t="n">
        <v>0.9241975308641976</v>
      </c>
      <c r="AF3124" s="16">
        <f>SUMPRODUCT(N3124:Y3124,$N$5:$Y$5)*$K3124*$L3124*$M3124</f>
        <v/>
      </c>
      <c r="AG3124" s="16">
        <f>SUMPRODUCT(N3124:Y3124,$N$6:$Y$6)*$K3124*$L3124*$M3124</f>
        <v/>
      </c>
      <c r="AH3124" s="20" t="n"/>
    </row>
    <row r="3125">
      <c r="A3125" s="9" t="n">
        <v>642834</v>
      </c>
      <c r="B3125" s="9" t="inlineStr">
        <is>
          <t>Jonathan Bermúdez</t>
        </is>
      </c>
      <c r="C3125" s="9" t="inlineStr">
        <is>
          <t>MIA</t>
        </is>
      </c>
      <c r="D3125" s="9" t="n">
        <v>31</v>
      </c>
      <c r="E3125" s="18" t="inlineStr">
        <is>
          <t>L</t>
        </is>
      </c>
      <c r="F3125" s="18" t="n"/>
      <c r="G3125" s="9" t="n">
        <v>33</v>
      </c>
      <c r="H3125" s="9" t="n">
        <v>33</v>
      </c>
      <c r="I3125" s="9" t="inlineStr">
        <is>
          <t>Depth (no MLB IP)</t>
        </is>
      </c>
      <c r="J3125" s="18" t="inlineStr">
        <is>
          <t>Opening Day</t>
        </is>
      </c>
      <c r="K3125" s="11">
        <f>IFERROR(INDEX(Roles!$B$17:$B$20,MATCH(J3125,Roles!$A$17:$A$20,0)),1)</f>
        <v/>
      </c>
      <c r="L3125" s="19" t="n">
        <v>1</v>
      </c>
      <c r="M3125" s="11" t="n">
        <v>1</v>
      </c>
      <c r="N3125" s="19" t="n"/>
      <c r="O3125" s="19" t="n"/>
      <c r="P3125" s="19" t="n"/>
      <c r="Q3125" s="19" t="n"/>
      <c r="R3125" s="19" t="n"/>
      <c r="S3125" s="19" t="n"/>
      <c r="T3125" s="19" t="n"/>
      <c r="U3125" s="19" t="n"/>
      <c r="V3125" s="19" t="n"/>
      <c r="W3125" s="19" t="n"/>
      <c r="X3125" s="19" t="n"/>
      <c r="Y3125" s="19" t="n">
        <v>1</v>
      </c>
      <c r="Z3125" s="13">
        <f>SUMPRODUCT(N3125:Y3125,$N$2:$Y$2)*$K3125*$L3125*$M3125</f>
        <v/>
      </c>
      <c r="AA3125" s="14">
        <f>SUM(N3125:Y3125)</f>
        <v/>
      </c>
      <c r="AB3125" s="13">
        <f>SUMPRODUCT(N3125:Y3125,$N$3:$Y$3)*$K3125*$L3125*$M3125</f>
        <v/>
      </c>
      <c r="AC3125" s="13">
        <f>SUMPRODUCT(N3125:Y3125,$N$4:$Y$4)*$K3125*$L3125*$M3125</f>
        <v/>
      </c>
      <c r="AD3125" s="15" t="n">
        <v>3</v>
      </c>
      <c r="AE3125" s="11" t="n">
        <v>1.414938271604938</v>
      </c>
      <c r="AF3125" s="16">
        <f>SUMPRODUCT(N3125:Y3125,$N$5:$Y$5)*$K3125*$L3125*$M3125</f>
        <v/>
      </c>
      <c r="AG3125" s="16">
        <f>SUMPRODUCT(N3125:Y3125,$N$6:$Y$6)*$K3125*$L3125*$M3125</f>
        <v/>
      </c>
      <c r="AH3125" s="20" t="n"/>
    </row>
    <row r="3126">
      <c r="A3126" s="9" t="n">
        <v>608717</v>
      </c>
      <c r="B3126" s="9" t="inlineStr">
        <is>
          <t>Chris Stratton</t>
        </is>
      </c>
      <c r="C3126" s="9" t="inlineStr">
        <is>
          <t>LAD</t>
        </is>
      </c>
      <c r="D3126" s="9" t="n">
        <v>36</v>
      </c>
      <c r="E3126" s="18" t="inlineStr">
        <is>
          <t>R</t>
        </is>
      </c>
      <c r="F3126" s="18" t="n"/>
      <c r="G3126" s="9" t="n">
        <v>104</v>
      </c>
      <c r="H3126" s="9" t="n">
        <v>978</v>
      </c>
      <c r="I3126" s="9" t="inlineStr">
        <is>
          <t>Bullpen Depth Arm</t>
        </is>
      </c>
      <c r="J3126" s="18" t="inlineStr">
        <is>
          <t>Opening Day</t>
        </is>
      </c>
      <c r="K3126" s="11">
        <f>IFERROR(INDEX(Roles!$B$17:$B$20,MATCH(J3126,Roles!$A$17:$A$20,0)),1)</f>
        <v/>
      </c>
      <c r="L3126" s="19" t="n">
        <v>1</v>
      </c>
      <c r="M3126" s="11" t="n">
        <v>1</v>
      </c>
      <c r="N3126" s="19" t="n"/>
      <c r="O3126" s="19" t="n"/>
      <c r="P3126" s="19" t="n"/>
      <c r="Q3126" s="19" t="n"/>
      <c r="R3126" s="19" t="n"/>
      <c r="S3126" s="19" t="n"/>
      <c r="T3126" s="19" t="n"/>
      <c r="U3126" s="19" t="n"/>
      <c r="V3126" s="19" t="n"/>
      <c r="W3126" s="19" t="n">
        <v>1</v>
      </c>
      <c r="X3126" s="19" t="n"/>
      <c r="Y3126" s="19" t="n"/>
      <c r="Z3126" s="13">
        <f>SUMPRODUCT(N3126:Y3126,$N$2:$Y$2)*$K3126*$L3126*$M3126</f>
        <v/>
      </c>
      <c r="AA3126" s="14">
        <f>SUM(N3126:Y3126)</f>
        <v/>
      </c>
      <c r="AB3126" s="13">
        <f>SUMPRODUCT(N3126:Y3126,$N$3:$Y$3)*$K3126*$L3126*$M3126</f>
        <v/>
      </c>
      <c r="AC3126" s="13">
        <f>SUMPRODUCT(N3126:Y3126,$N$4:$Y$4)*$K3126*$L3126*$M3126</f>
        <v/>
      </c>
      <c r="AD3126" s="15" t="n">
        <v>23.06666666666666</v>
      </c>
      <c r="AE3126" s="11" t="n">
        <v>1.185926036500749</v>
      </c>
      <c r="AF3126" s="16">
        <f>SUMPRODUCT(N3126:Y3126,$N$5:$Y$5)*$K3126*$L3126*$M3126</f>
        <v/>
      </c>
      <c r="AG3126" s="16">
        <f>SUMPRODUCT(N3126:Y3126,$N$6:$Y$6)*$K3126*$L3126*$M3126</f>
        <v/>
      </c>
      <c r="AH3126" s="20" t="n"/>
    </row>
    <row r="3127">
      <c r="A3127" s="9" t="n">
        <v>683988</v>
      </c>
      <c r="B3127" s="9" t="inlineStr">
        <is>
          <t>Railin Perez</t>
        </is>
      </c>
      <c r="C3127" s="9" t="inlineStr">
        <is>
          <t>HOU</t>
        </is>
      </c>
      <c r="D3127" s="9" t="n">
        <v>25</v>
      </c>
      <c r="E3127" s="18" t="inlineStr">
        <is>
          <t>R</t>
        </is>
      </c>
      <c r="F3127" s="18" t="n"/>
      <c r="G3127" s="9" t="n">
        <v>76.755</v>
      </c>
      <c r="H3127" s="9" t="n">
        <v>76.755</v>
      </c>
      <c r="I3127" s="9" t="inlineStr">
        <is>
          <t>Depth (no MLB IP)</t>
        </is>
      </c>
      <c r="J3127" s="18" t="inlineStr">
        <is>
          <t>Opening Day</t>
        </is>
      </c>
      <c r="K3127" s="11">
        <f>IFERROR(INDEX(Roles!$B$17:$B$20,MATCH(J3127,Roles!$A$17:$A$20,0)),1)</f>
        <v/>
      </c>
      <c r="L3127" s="19" t="n">
        <v>1</v>
      </c>
      <c r="M3127" s="11" t="n">
        <v>1</v>
      </c>
      <c r="N3127" s="19" t="n"/>
      <c r="O3127" s="19" t="n"/>
      <c r="P3127" s="19" t="n"/>
      <c r="Q3127" s="19" t="n"/>
      <c r="R3127" s="19" t="n"/>
      <c r="S3127" s="19" t="n"/>
      <c r="T3127" s="19" t="n"/>
      <c r="U3127" s="19" t="n"/>
      <c r="V3127" s="19" t="n"/>
      <c r="W3127" s="19" t="n"/>
      <c r="X3127" s="19" t="n"/>
      <c r="Y3127" s="19" t="n">
        <v>1</v>
      </c>
      <c r="Z3127" s="13">
        <f>SUMPRODUCT(N3127:Y3127,$N$2:$Y$2)*$K3127*$L3127*$M3127</f>
        <v/>
      </c>
      <c r="AA3127" s="14">
        <f>SUM(N3127:Y3127)</f>
        <v/>
      </c>
      <c r="AB3127" s="13">
        <f>SUMPRODUCT(N3127:Y3127,$N$3:$Y$3)*$K3127*$L3127*$M3127</f>
        <v/>
      </c>
      <c r="AC3127" s="13">
        <f>SUMPRODUCT(N3127:Y3127,$N$4:$Y$4)*$K3127*$L3127*$M3127</f>
        <v/>
      </c>
      <c r="AD3127" s="15" t="n">
        <v>3</v>
      </c>
      <c r="AE3127" s="11" t="n">
        <v>1.011296296296296</v>
      </c>
      <c r="AF3127" s="16">
        <f>SUMPRODUCT(N3127:Y3127,$N$5:$Y$5)*$K3127*$L3127*$M3127</f>
        <v/>
      </c>
      <c r="AG3127" s="16">
        <f>SUMPRODUCT(N3127:Y3127,$N$6:$Y$6)*$K3127*$L3127*$M3127</f>
        <v/>
      </c>
      <c r="AH3127" s="20" t="n"/>
    </row>
    <row r="3128">
      <c r="A3128" s="9" t="n">
        <v>689233</v>
      </c>
      <c r="B3128" s="9" t="inlineStr">
        <is>
          <t>Lucas Wepf</t>
        </is>
      </c>
      <c r="C3128" s="9" t="inlineStr">
        <is>
          <t>LAD</t>
        </is>
      </c>
      <c r="D3128" s="9" t="n">
        <v>25</v>
      </c>
      <c r="E3128" s="18" t="inlineStr">
        <is>
          <t>R</t>
        </is>
      </c>
      <c r="F3128" s="18" t="n"/>
      <c r="G3128" s="9" t="n">
        <v>76.755</v>
      </c>
      <c r="H3128" s="9" t="n">
        <v>76.755</v>
      </c>
      <c r="I3128" s="9" t="inlineStr">
        <is>
          <t>Depth (no MLB IP)</t>
        </is>
      </c>
      <c r="J3128" s="18" t="inlineStr">
        <is>
          <t>Opening Day</t>
        </is>
      </c>
      <c r="K3128" s="11">
        <f>IFERROR(INDEX(Roles!$B$17:$B$20,MATCH(J3128,Roles!$A$17:$A$20,0)),1)</f>
        <v/>
      </c>
      <c r="L3128" s="19" t="n">
        <v>1</v>
      </c>
      <c r="M3128" s="11" t="n">
        <v>1</v>
      </c>
      <c r="N3128" s="19" t="n"/>
      <c r="O3128" s="19" t="n"/>
      <c r="P3128" s="19" t="n"/>
      <c r="Q3128" s="19" t="n"/>
      <c r="R3128" s="19" t="n"/>
      <c r="S3128" s="19" t="n"/>
      <c r="T3128" s="19" t="n"/>
      <c r="U3128" s="19" t="n"/>
      <c r="V3128" s="19" t="n"/>
      <c r="W3128" s="19" t="n"/>
      <c r="X3128" s="19" t="n"/>
      <c r="Y3128" s="19" t="n">
        <v>1</v>
      </c>
      <c r="Z3128" s="13">
        <f>SUMPRODUCT(N3128:Y3128,$N$2:$Y$2)*$K3128*$L3128*$M3128</f>
        <v/>
      </c>
      <c r="AA3128" s="14">
        <f>SUM(N3128:Y3128)</f>
        <v/>
      </c>
      <c r="AB3128" s="13">
        <f>SUMPRODUCT(N3128:Y3128,$N$3:$Y$3)*$K3128*$L3128*$M3128</f>
        <v/>
      </c>
      <c r="AC3128" s="13">
        <f>SUMPRODUCT(N3128:Y3128,$N$4:$Y$4)*$K3128*$L3128*$M3128</f>
        <v/>
      </c>
      <c r="AD3128" s="15" t="n">
        <v>3</v>
      </c>
      <c r="AE3128" s="11" t="n">
        <v>1.011296296296296</v>
      </c>
      <c r="AF3128" s="16">
        <f>SUMPRODUCT(N3128:Y3128,$N$5:$Y$5)*$K3128*$L3128*$M3128</f>
        <v/>
      </c>
      <c r="AG3128" s="16">
        <f>SUMPRODUCT(N3128:Y3128,$N$6:$Y$6)*$K3128*$L3128*$M3128</f>
        <v/>
      </c>
      <c r="AH3128" s="20" t="n"/>
    </row>
    <row r="3129">
      <c r="A3129" s="9" t="n">
        <v>669105</v>
      </c>
      <c r="B3129" s="9" t="inlineStr">
        <is>
          <t>Zach Muckenhirn</t>
        </is>
      </c>
      <c r="C3129" s="9" t="inlineStr">
        <is>
          <t>NYM</t>
        </is>
      </c>
      <c r="D3129" s="9" t="n">
        <v>32</v>
      </c>
      <c r="E3129" s="18" t="inlineStr">
        <is>
          <t>L</t>
        </is>
      </c>
      <c r="F3129" s="18" t="n"/>
      <c r="G3129" s="9" t="n">
        <v>31</v>
      </c>
      <c r="H3129" s="9" t="n">
        <v>31</v>
      </c>
      <c r="I3129" s="9" t="inlineStr">
        <is>
          <t>Depth (no MLB IP)</t>
        </is>
      </c>
      <c r="J3129" s="18" t="inlineStr">
        <is>
          <t>Opening Day</t>
        </is>
      </c>
      <c r="K3129" s="11">
        <f>IFERROR(INDEX(Roles!$B$17:$B$20,MATCH(J3129,Roles!$A$17:$A$20,0)),1)</f>
        <v/>
      </c>
      <c r="L3129" s="19" t="n">
        <v>1</v>
      </c>
      <c r="M3129" s="11" t="n">
        <v>1</v>
      </c>
      <c r="N3129" s="19" t="n"/>
      <c r="O3129" s="19" t="n"/>
      <c r="P3129" s="19" t="n"/>
      <c r="Q3129" s="19" t="n"/>
      <c r="R3129" s="19" t="n"/>
      <c r="S3129" s="19" t="n"/>
      <c r="T3129" s="19" t="n"/>
      <c r="U3129" s="19" t="n"/>
      <c r="V3129" s="19" t="n"/>
      <c r="W3129" s="19" t="n"/>
      <c r="X3129" s="19" t="n"/>
      <c r="Y3129" s="19" t="n">
        <v>1</v>
      </c>
      <c r="Z3129" s="13">
        <f>SUMPRODUCT(N3129:Y3129,$N$2:$Y$2)*$K3129*$L3129*$M3129</f>
        <v/>
      </c>
      <c r="AA3129" s="14">
        <f>SUM(N3129:Y3129)</f>
        <v/>
      </c>
      <c r="AB3129" s="13">
        <f>SUMPRODUCT(N3129:Y3129,$N$3:$Y$3)*$K3129*$L3129*$M3129</f>
        <v/>
      </c>
      <c r="AC3129" s="13">
        <f>SUMPRODUCT(N3129:Y3129,$N$4:$Y$4)*$K3129*$L3129*$M3129</f>
        <v/>
      </c>
      <c r="AD3129" s="15" t="n">
        <v>3</v>
      </c>
      <c r="AE3129" s="11" t="n">
        <v>1.011296296296296</v>
      </c>
      <c r="AF3129" s="16">
        <f>SUMPRODUCT(N3129:Y3129,$N$5:$Y$5)*$K3129*$L3129*$M3129</f>
        <v/>
      </c>
      <c r="AG3129" s="16">
        <f>SUMPRODUCT(N3129:Y3129,$N$6:$Y$6)*$K3129*$L3129*$M3129</f>
        <v/>
      </c>
      <c r="AH3129" s="20" t="n"/>
    </row>
    <row r="3130">
      <c r="A3130" s="9" t="n">
        <v>677958</v>
      </c>
      <c r="B3130" s="9" t="inlineStr">
        <is>
          <t>Kumar Rocker</t>
        </is>
      </c>
      <c r="C3130" s="9" t="inlineStr">
        <is>
          <t>TEX</t>
        </is>
      </c>
      <c r="D3130" s="9" t="n">
        <v>27</v>
      </c>
      <c r="E3130" s="18" t="inlineStr">
        <is>
          <t>R</t>
        </is>
      </c>
      <c r="F3130" s="18" t="n"/>
      <c r="G3130" s="9" t="n">
        <v>645</v>
      </c>
      <c r="H3130" s="9" t="n">
        <v>987</v>
      </c>
      <c r="I3130" s="9" t="inlineStr">
        <is>
          <t>End-of-Rotation Starter (SP4-5)</t>
        </is>
      </c>
      <c r="J3130" s="18" t="inlineStr">
        <is>
          <t>Opening Day</t>
        </is>
      </c>
      <c r="K3130" s="11">
        <f>IFERROR(INDEX(Roles!$B$17:$B$20,MATCH(J3130,Roles!$A$17:$A$20,0)),1)</f>
        <v/>
      </c>
      <c r="L3130" s="19" t="n">
        <v>1</v>
      </c>
      <c r="M3130" s="11" t="n">
        <v>1</v>
      </c>
      <c r="N3130" s="19" t="n"/>
      <c r="O3130" s="19" t="n"/>
      <c r="P3130" s="19" t="n">
        <v>0.5</v>
      </c>
      <c r="Q3130" s="19" t="n"/>
      <c r="R3130" s="19" t="n">
        <v>0.5</v>
      </c>
      <c r="S3130" s="19" t="n"/>
      <c r="T3130" s="19" t="n"/>
      <c r="U3130" s="19" t="n"/>
      <c r="V3130" s="19" t="n"/>
      <c r="W3130" s="19" t="n"/>
      <c r="X3130" s="19" t="n"/>
      <c r="Y3130" s="19" t="n"/>
      <c r="Z3130" s="13">
        <f>SUMPRODUCT(N3130:Y3130,$N$2:$Y$2)*$K3130*$L3130*$M3130</f>
        <v/>
      </c>
      <c r="AA3130" s="14">
        <f>SUM(N3130:Y3130)</f>
        <v/>
      </c>
      <c r="AB3130" s="13">
        <f>SUMPRODUCT(N3130:Y3130,$N$3:$Y$3)*$K3130*$L3130*$M3130</f>
        <v/>
      </c>
      <c r="AC3130" s="13">
        <f>SUMPRODUCT(N3130:Y3130,$N$4:$Y$4)*$K3130*$L3130*$M3130</f>
        <v/>
      </c>
      <c r="AD3130" s="15" t="n">
        <v>18.5</v>
      </c>
      <c r="AE3130" s="11" t="n">
        <v>4.646770737679828</v>
      </c>
      <c r="AF3130" s="16">
        <f>SUMPRODUCT(N3130:Y3130,$N$5:$Y$5)*$K3130*$L3130*$M3130</f>
        <v/>
      </c>
      <c r="AG3130" s="16">
        <f>SUMPRODUCT(N3130:Y3130,$N$6:$Y$6)*$K3130*$L3130*$M3130</f>
        <v/>
      </c>
      <c r="AH3130" s="20" t="n"/>
    </row>
    <row r="3131">
      <c r="A3131" s="9" t="n">
        <v>804817</v>
      </c>
      <c r="B3131" s="9" t="inlineStr">
        <is>
          <t>Kyson Witherspoon</t>
        </is>
      </c>
      <c r="C3131" s="9" t="inlineStr">
        <is>
          <t>BAL</t>
        </is>
      </c>
      <c r="D3131" s="9" t="n">
        <v>23</v>
      </c>
      <c r="E3131" s="18" t="inlineStr">
        <is>
          <t>R</t>
        </is>
      </c>
      <c r="F3131" s="18" t="n"/>
      <c r="G3131" s="9" t="n">
        <v>77.11333333333334</v>
      </c>
      <c r="H3131" s="9" t="n">
        <v>77.11333333333334</v>
      </c>
      <c r="I3131" s="9" t="inlineStr">
        <is>
          <t>Depth (no MLB IP)</t>
        </is>
      </c>
      <c r="J3131" s="18" t="inlineStr">
        <is>
          <t>Opening Day</t>
        </is>
      </c>
      <c r="K3131" s="11">
        <f>IFERROR(INDEX(Roles!$B$17:$B$20,MATCH(J3131,Roles!$A$17:$A$20,0)),1)</f>
        <v/>
      </c>
      <c r="L3131" s="19" t="n">
        <v>1</v>
      </c>
      <c r="M3131" s="11" t="n">
        <v>1</v>
      </c>
      <c r="N3131" s="19" t="n"/>
      <c r="O3131" s="19" t="n"/>
      <c r="P3131" s="19" t="n"/>
      <c r="Q3131" s="19" t="n"/>
      <c r="R3131" s="19" t="n"/>
      <c r="S3131" s="19" t="n"/>
      <c r="T3131" s="19" t="n"/>
      <c r="U3131" s="19" t="n"/>
      <c r="V3131" s="19" t="n"/>
      <c r="W3131" s="19" t="n"/>
      <c r="X3131" s="19" t="n"/>
      <c r="Y3131" s="19" t="n">
        <v>1</v>
      </c>
      <c r="Z3131" s="13">
        <f>SUMPRODUCT(N3131:Y3131,$N$2:$Y$2)*$K3131*$L3131*$M3131</f>
        <v/>
      </c>
      <c r="AA3131" s="14">
        <f>SUM(N3131:Y3131)</f>
        <v/>
      </c>
      <c r="AB3131" s="13">
        <f>SUMPRODUCT(N3131:Y3131,$N$3:$Y$3)*$K3131*$L3131*$M3131</f>
        <v/>
      </c>
      <c r="AC3131" s="13">
        <f>SUMPRODUCT(N3131:Y3131,$N$4:$Y$4)*$K3131*$L3131*$M3131</f>
        <v/>
      </c>
      <c r="AD3131" s="15" t="n">
        <v>3</v>
      </c>
      <c r="AE3131" s="11" t="n">
        <v>1.011296296296296</v>
      </c>
      <c r="AF3131" s="16">
        <f>SUMPRODUCT(N3131:Y3131,$N$5:$Y$5)*$K3131*$L3131*$M3131</f>
        <v/>
      </c>
      <c r="AG3131" s="16">
        <f>SUMPRODUCT(N3131:Y3131,$N$6:$Y$6)*$K3131*$L3131*$M3131</f>
        <v/>
      </c>
      <c r="AH3131" s="20" t="n"/>
    </row>
    <row r="3132">
      <c r="A3132" s="9" t="n">
        <v>676153</v>
      </c>
      <c r="B3132" s="9" t="inlineStr">
        <is>
          <t>Austin Love</t>
        </is>
      </c>
      <c r="C3132" s="9" t="inlineStr">
        <is>
          <t>STL</t>
        </is>
      </c>
      <c r="D3132" s="9" t="n">
        <v>25</v>
      </c>
      <c r="E3132" s="18" t="inlineStr">
        <is>
          <t>R</t>
        </is>
      </c>
      <c r="F3132" s="18" t="n"/>
      <c r="G3132" s="9" t="n">
        <v>77.25666666666666</v>
      </c>
      <c r="H3132" s="9" t="n">
        <v>77.25666666666666</v>
      </c>
      <c r="I3132" s="9" t="inlineStr">
        <is>
          <t>Depth (no MLB IP)</t>
        </is>
      </c>
      <c r="J3132" s="18" t="inlineStr">
        <is>
          <t>Opening Day</t>
        </is>
      </c>
      <c r="K3132" s="11">
        <f>IFERROR(INDEX(Roles!$B$17:$B$20,MATCH(J3132,Roles!$A$17:$A$20,0)),1)</f>
        <v/>
      </c>
      <c r="L3132" s="19" t="n">
        <v>1</v>
      </c>
      <c r="M3132" s="11" t="n">
        <v>1</v>
      </c>
      <c r="N3132" s="19" t="n"/>
      <c r="O3132" s="19" t="n"/>
      <c r="P3132" s="19" t="n"/>
      <c r="Q3132" s="19" t="n"/>
      <c r="R3132" s="19" t="n"/>
      <c r="S3132" s="19" t="n"/>
      <c r="T3132" s="19" t="n"/>
      <c r="U3132" s="19" t="n"/>
      <c r="V3132" s="19" t="n"/>
      <c r="W3132" s="19" t="n"/>
      <c r="X3132" s="19" t="n"/>
      <c r="Y3132" s="19" t="n">
        <v>1</v>
      </c>
      <c r="Z3132" s="13">
        <f>SUMPRODUCT(N3132:Y3132,$N$2:$Y$2)*$K3132*$L3132*$M3132</f>
        <v/>
      </c>
      <c r="AA3132" s="14">
        <f>SUM(N3132:Y3132)</f>
        <v/>
      </c>
      <c r="AB3132" s="13">
        <f>SUMPRODUCT(N3132:Y3132,$N$3:$Y$3)*$K3132*$L3132*$M3132</f>
        <v/>
      </c>
      <c r="AC3132" s="13">
        <f>SUMPRODUCT(N3132:Y3132,$N$4:$Y$4)*$K3132*$L3132*$M3132</f>
        <v/>
      </c>
      <c r="AD3132" s="15" t="n">
        <v>3</v>
      </c>
      <c r="AE3132" s="11" t="n">
        <v>1.011296296296296</v>
      </c>
      <c r="AF3132" s="16">
        <f>SUMPRODUCT(N3132:Y3132,$N$5:$Y$5)*$K3132*$L3132*$M3132</f>
        <v/>
      </c>
      <c r="AG3132" s="16">
        <f>SUMPRODUCT(N3132:Y3132,$N$6:$Y$6)*$K3132*$L3132*$M3132</f>
        <v/>
      </c>
      <c r="AH3132" s="20" t="n"/>
    </row>
    <row r="3133">
      <c r="A3133" s="9" t="n">
        <v>805257</v>
      </c>
      <c r="B3133" s="9" t="inlineStr">
        <is>
          <t>Jack Choate</t>
        </is>
      </c>
      <c r="C3133" s="9" t="inlineStr">
        <is>
          <t>SF</t>
        </is>
      </c>
      <c r="D3133" s="9" t="n">
        <v>25</v>
      </c>
      <c r="E3133" s="18" t="inlineStr">
        <is>
          <t>L</t>
        </is>
      </c>
      <c r="F3133" s="18" t="n"/>
      <c r="G3133" s="9" t="n">
        <v>77.25666666666666</v>
      </c>
      <c r="H3133" s="9" t="n">
        <v>77.25666666666666</v>
      </c>
      <c r="I3133" s="9" t="inlineStr">
        <is>
          <t>Depth (no MLB IP)</t>
        </is>
      </c>
      <c r="J3133" s="18" t="inlineStr">
        <is>
          <t>Opening Day</t>
        </is>
      </c>
      <c r="K3133" s="11">
        <f>IFERROR(INDEX(Roles!$B$17:$B$20,MATCH(J3133,Roles!$A$17:$A$20,0)),1)</f>
        <v/>
      </c>
      <c r="L3133" s="19" t="n">
        <v>1</v>
      </c>
      <c r="M3133" s="11" t="n">
        <v>1</v>
      </c>
      <c r="N3133" s="19" t="n"/>
      <c r="O3133" s="19" t="n"/>
      <c r="P3133" s="19" t="n"/>
      <c r="Q3133" s="19" t="n"/>
      <c r="R3133" s="19" t="n"/>
      <c r="S3133" s="19" t="n"/>
      <c r="T3133" s="19" t="n"/>
      <c r="U3133" s="19" t="n"/>
      <c r="V3133" s="19" t="n"/>
      <c r="W3133" s="19" t="n"/>
      <c r="X3133" s="19" t="n"/>
      <c r="Y3133" s="19" t="n">
        <v>1</v>
      </c>
      <c r="Z3133" s="13">
        <f>SUMPRODUCT(N3133:Y3133,$N$2:$Y$2)*$K3133*$L3133*$M3133</f>
        <v/>
      </c>
      <c r="AA3133" s="14">
        <f>SUM(N3133:Y3133)</f>
        <v/>
      </c>
      <c r="AB3133" s="13">
        <f>SUMPRODUCT(N3133:Y3133,$N$3:$Y$3)*$K3133*$L3133*$M3133</f>
        <v/>
      </c>
      <c r="AC3133" s="13">
        <f>SUMPRODUCT(N3133:Y3133,$N$4:$Y$4)*$K3133*$L3133*$M3133</f>
        <v/>
      </c>
      <c r="AD3133" s="15" t="n">
        <v>3</v>
      </c>
      <c r="AE3133" s="11" t="n">
        <v>1.011296296296296</v>
      </c>
      <c r="AF3133" s="16">
        <f>SUMPRODUCT(N3133:Y3133,$N$5:$Y$5)*$K3133*$L3133*$M3133</f>
        <v/>
      </c>
      <c r="AG3133" s="16">
        <f>SUMPRODUCT(N3133:Y3133,$N$6:$Y$6)*$K3133*$L3133*$M3133</f>
        <v/>
      </c>
      <c r="AH3133" s="20" t="n"/>
    </row>
    <row r="3134">
      <c r="A3134" s="9" t="n">
        <v>554431</v>
      </c>
      <c r="B3134" s="9" t="inlineStr">
        <is>
          <t>Tyler Matzek</t>
        </is>
      </c>
      <c r="C3134" s="9" t="inlineStr">
        <is>
          <t>NYY</t>
        </is>
      </c>
      <c r="D3134" s="9" t="n">
        <v>36</v>
      </c>
      <c r="E3134" s="18" t="inlineStr">
        <is>
          <t>L</t>
        </is>
      </c>
      <c r="F3134" s="18" t="n"/>
      <c r="G3134" s="9" t="n">
        <v>35</v>
      </c>
      <c r="H3134" s="9" t="n">
        <v>267</v>
      </c>
      <c r="I3134" s="9" t="inlineStr">
        <is>
          <t>Bullpen Depth Arm</t>
        </is>
      </c>
      <c r="J3134" s="18" t="inlineStr">
        <is>
          <t>Opening Day</t>
        </is>
      </c>
      <c r="K3134" s="11">
        <f>IFERROR(INDEX(Roles!$B$17:$B$20,MATCH(J3134,Roles!$A$17:$A$20,0)),1)</f>
        <v/>
      </c>
      <c r="L3134" s="19" t="n">
        <v>1</v>
      </c>
      <c r="M3134" s="11" t="n">
        <v>1</v>
      </c>
      <c r="N3134" s="19" t="n"/>
      <c r="O3134" s="19" t="n"/>
      <c r="P3134" s="19" t="n"/>
      <c r="Q3134" s="19" t="n"/>
      <c r="R3134" s="19" t="n"/>
      <c r="S3134" s="19" t="n"/>
      <c r="T3134" s="19" t="n"/>
      <c r="U3134" s="19" t="n"/>
      <c r="V3134" s="19" t="n"/>
      <c r="W3134" s="19" t="n">
        <v>1</v>
      </c>
      <c r="X3134" s="19" t="n"/>
      <c r="Y3134" s="19" t="n"/>
      <c r="Z3134" s="13">
        <f>SUMPRODUCT(N3134:Y3134,$N$2:$Y$2)*$K3134*$L3134*$M3134</f>
        <v/>
      </c>
      <c r="AA3134" s="14">
        <f>SUM(N3134:Y3134)</f>
        <v/>
      </c>
      <c r="AB3134" s="13">
        <f>SUMPRODUCT(N3134:Y3134,$N$3:$Y$3)*$K3134*$L3134*$M3134</f>
        <v/>
      </c>
      <c r="AC3134" s="13">
        <f>SUMPRODUCT(N3134:Y3134,$N$4:$Y$4)*$K3134*$L3134*$M3134</f>
        <v/>
      </c>
      <c r="AD3134" s="15" t="n">
        <v>10.66666666666667</v>
      </c>
      <c r="AE3134" s="11" t="n">
        <v>1.10372935706269</v>
      </c>
      <c r="AF3134" s="16">
        <f>SUMPRODUCT(N3134:Y3134,$N$5:$Y$5)*$K3134*$L3134*$M3134</f>
        <v/>
      </c>
      <c r="AG3134" s="16">
        <f>SUMPRODUCT(N3134:Y3134,$N$6:$Y$6)*$K3134*$L3134*$M3134</f>
        <v/>
      </c>
      <c r="AH3134" s="20" t="n"/>
    </row>
    <row r="3135">
      <c r="A3135" s="9" t="n">
        <v>696091</v>
      </c>
      <c r="B3135" s="9" t="inlineStr">
        <is>
          <t>Marino Santy</t>
        </is>
      </c>
      <c r="C3135" s="9" t="inlineStr">
        <is>
          <t>CHC</t>
        </is>
      </c>
      <c r="D3135" s="9" t="n">
        <v>25</v>
      </c>
      <c r="E3135" s="18" t="inlineStr">
        <is>
          <t>L</t>
        </is>
      </c>
      <c r="F3135" s="18" t="n"/>
      <c r="G3135" s="9" t="n">
        <v>77.75833333333333</v>
      </c>
      <c r="H3135" s="9" t="n">
        <v>77.75833333333333</v>
      </c>
      <c r="I3135" s="9" t="inlineStr">
        <is>
          <t>Depth (no MLB IP)</t>
        </is>
      </c>
      <c r="J3135" s="18" t="inlineStr">
        <is>
          <t>Opening Day</t>
        </is>
      </c>
      <c r="K3135" s="11">
        <f>IFERROR(INDEX(Roles!$B$17:$B$20,MATCH(J3135,Roles!$A$17:$A$20,0)),1)</f>
        <v/>
      </c>
      <c r="L3135" s="19" t="n">
        <v>1</v>
      </c>
      <c r="M3135" s="11" t="n">
        <v>1</v>
      </c>
      <c r="N3135" s="19" t="n"/>
      <c r="O3135" s="19" t="n"/>
      <c r="P3135" s="19" t="n"/>
      <c r="Q3135" s="19" t="n"/>
      <c r="R3135" s="19" t="n"/>
      <c r="S3135" s="19" t="n"/>
      <c r="T3135" s="19" t="n"/>
      <c r="U3135" s="19" t="n"/>
      <c r="V3135" s="19" t="n"/>
      <c r="W3135" s="19" t="n"/>
      <c r="X3135" s="19" t="n"/>
      <c r="Y3135" s="19" t="n">
        <v>1</v>
      </c>
      <c r="Z3135" s="13">
        <f>SUMPRODUCT(N3135:Y3135,$N$2:$Y$2)*$K3135*$L3135*$M3135</f>
        <v/>
      </c>
      <c r="AA3135" s="14">
        <f>SUM(N3135:Y3135)</f>
        <v/>
      </c>
      <c r="AB3135" s="13">
        <f>SUMPRODUCT(N3135:Y3135,$N$3:$Y$3)*$K3135*$L3135*$M3135</f>
        <v/>
      </c>
      <c r="AC3135" s="13">
        <f>SUMPRODUCT(N3135:Y3135,$N$4:$Y$4)*$K3135*$L3135*$M3135</f>
        <v/>
      </c>
      <c r="AD3135" s="15" t="n">
        <v>3</v>
      </c>
      <c r="AE3135" s="11" t="n">
        <v>1.011296296296296</v>
      </c>
      <c r="AF3135" s="16">
        <f>SUMPRODUCT(N3135:Y3135,$N$5:$Y$5)*$K3135*$L3135*$M3135</f>
        <v/>
      </c>
      <c r="AG3135" s="16">
        <f>SUMPRODUCT(N3135:Y3135,$N$6:$Y$6)*$K3135*$L3135*$M3135</f>
        <v/>
      </c>
      <c r="AH3135" s="20" t="n"/>
    </row>
    <row r="3136">
      <c r="A3136" s="9" t="n">
        <v>680232</v>
      </c>
      <c r="B3136" s="9" t="inlineStr">
        <is>
          <t>Jackson Wolf</t>
        </is>
      </c>
      <c r="C3136" s="9" t="inlineStr">
        <is>
          <t>SD</t>
        </is>
      </c>
      <c r="D3136" s="9" t="n">
        <v>28</v>
      </c>
      <c r="E3136" s="18" t="inlineStr">
        <is>
          <t>L</t>
        </is>
      </c>
      <c r="F3136" s="18" t="n"/>
      <c r="G3136" s="9" t="n">
        <v>22</v>
      </c>
      <c r="H3136" s="9" t="n">
        <v>22</v>
      </c>
      <c r="I3136" s="9" t="inlineStr">
        <is>
          <t>Depth (no MLB IP)</t>
        </is>
      </c>
      <c r="J3136" s="18" t="inlineStr">
        <is>
          <t>Opening Day</t>
        </is>
      </c>
      <c r="K3136" s="11">
        <f>IFERROR(INDEX(Roles!$B$17:$B$20,MATCH(J3136,Roles!$A$17:$A$20,0)),1)</f>
        <v/>
      </c>
      <c r="L3136" s="19" t="n">
        <v>1</v>
      </c>
      <c r="M3136" s="11" t="n">
        <v>1</v>
      </c>
      <c r="N3136" s="19" t="n"/>
      <c r="O3136" s="19" t="n"/>
      <c r="P3136" s="19" t="n"/>
      <c r="Q3136" s="19" t="n"/>
      <c r="R3136" s="19" t="n"/>
      <c r="S3136" s="19" t="n"/>
      <c r="T3136" s="19" t="n"/>
      <c r="U3136" s="19" t="n"/>
      <c r="V3136" s="19" t="n"/>
      <c r="W3136" s="19" t="n"/>
      <c r="X3136" s="19" t="n"/>
      <c r="Y3136" s="19" t="n">
        <v>1</v>
      </c>
      <c r="Z3136" s="13">
        <f>SUMPRODUCT(N3136:Y3136,$N$2:$Y$2)*$K3136*$L3136*$M3136</f>
        <v/>
      </c>
      <c r="AA3136" s="14">
        <f>SUM(N3136:Y3136)</f>
        <v/>
      </c>
      <c r="AB3136" s="13">
        <f>SUMPRODUCT(N3136:Y3136,$N$3:$Y$3)*$K3136*$L3136*$M3136</f>
        <v/>
      </c>
      <c r="AC3136" s="13">
        <f>SUMPRODUCT(N3136:Y3136,$N$4:$Y$4)*$K3136*$L3136*$M3136</f>
        <v/>
      </c>
      <c r="AD3136" s="15" t="n">
        <v>3</v>
      </c>
      <c r="AE3136" s="11" t="n">
        <v>1.011296296296296</v>
      </c>
      <c r="AF3136" s="16">
        <f>SUMPRODUCT(N3136:Y3136,$N$5:$Y$5)*$K3136*$L3136*$M3136</f>
        <v/>
      </c>
      <c r="AG3136" s="16">
        <f>SUMPRODUCT(N3136:Y3136,$N$6:$Y$6)*$K3136*$L3136*$M3136</f>
        <v/>
      </c>
      <c r="AH3136" s="20" t="n"/>
    </row>
    <row r="3137">
      <c r="A3137" s="9" t="n">
        <v>605347</v>
      </c>
      <c r="B3137" s="9" t="inlineStr">
        <is>
          <t>Jorge López</t>
        </is>
      </c>
      <c r="C3137" s="9" t="inlineStr">
        <is>
          <t>WSH</t>
        </is>
      </c>
      <c r="D3137" s="9" t="n">
        <v>34</v>
      </c>
      <c r="E3137" s="18" t="inlineStr">
        <is>
          <t>R</t>
        </is>
      </c>
      <c r="F3137" s="18" t="n"/>
      <c r="G3137" s="9" t="n">
        <v>106</v>
      </c>
      <c r="H3137" s="9" t="n">
        <v>887</v>
      </c>
      <c r="I3137" s="9" t="inlineStr">
        <is>
          <t>Middle Relief</t>
        </is>
      </c>
      <c r="J3137" s="18" t="inlineStr">
        <is>
          <t>Opening Day</t>
        </is>
      </c>
      <c r="K3137" s="11">
        <f>IFERROR(INDEX(Roles!$B$17:$B$20,MATCH(J3137,Roles!$A$17:$A$20,0)),1)</f>
        <v/>
      </c>
      <c r="L3137" s="19" t="n">
        <v>1</v>
      </c>
      <c r="M3137" s="11" t="n">
        <v>1</v>
      </c>
      <c r="N3137" s="19" t="n"/>
      <c r="O3137" s="19" t="n"/>
      <c r="P3137" s="19" t="n"/>
      <c r="Q3137" s="19" t="n"/>
      <c r="R3137" s="19" t="n"/>
      <c r="S3137" s="19" t="n"/>
      <c r="T3137" s="19" t="n"/>
      <c r="U3137" s="19" t="n"/>
      <c r="V3137" s="19" t="n">
        <v>1</v>
      </c>
      <c r="W3137" s="19" t="n"/>
      <c r="X3137" s="19" t="n"/>
      <c r="Y3137" s="19" t="n"/>
      <c r="Z3137" s="13">
        <f>SUMPRODUCT(N3137:Y3137,$N$2:$Y$2)*$K3137*$L3137*$M3137</f>
        <v/>
      </c>
      <c r="AA3137" s="14">
        <f>SUM(N3137:Y3137)</f>
        <v/>
      </c>
      <c r="AB3137" s="13">
        <f>SUMPRODUCT(N3137:Y3137,$N$3:$Y$3)*$K3137*$L3137*$M3137</f>
        <v/>
      </c>
      <c r="AC3137" s="13">
        <f>SUMPRODUCT(N3137:Y3137,$N$4:$Y$4)*$K3137*$L3137*$M3137</f>
        <v/>
      </c>
      <c r="AD3137" s="15" t="n">
        <v>35.53333333333333</v>
      </c>
      <c r="AE3137" s="11" t="n">
        <v>1.017135217766867</v>
      </c>
      <c r="AF3137" s="16">
        <f>SUMPRODUCT(N3137:Y3137,$N$5:$Y$5)*$K3137*$L3137*$M3137</f>
        <v/>
      </c>
      <c r="AG3137" s="16">
        <f>SUMPRODUCT(N3137:Y3137,$N$6:$Y$6)*$K3137*$L3137*$M3137</f>
        <v/>
      </c>
      <c r="AH3137" s="20" t="n"/>
    </row>
    <row r="3138">
      <c r="A3138" s="9" t="n">
        <v>683101</v>
      </c>
      <c r="B3138" s="9" t="inlineStr">
        <is>
          <t>JJ Goss</t>
        </is>
      </c>
      <c r="C3138" s="9" t="inlineStr">
        <is>
          <t>OAK</t>
        </is>
      </c>
      <c r="D3138" s="9" t="n">
        <v>25</v>
      </c>
      <c r="E3138" s="18" t="inlineStr">
        <is>
          <t>R</t>
        </is>
      </c>
      <c r="F3138" s="18" t="n"/>
      <c r="G3138" s="9" t="n">
        <v>77.75833333333333</v>
      </c>
      <c r="H3138" s="9" t="n">
        <v>77.75833333333333</v>
      </c>
      <c r="I3138" s="9" t="inlineStr">
        <is>
          <t>Depth (no MLB IP)</t>
        </is>
      </c>
      <c r="J3138" s="18" t="inlineStr">
        <is>
          <t>Opening Day</t>
        </is>
      </c>
      <c r="K3138" s="11">
        <f>IFERROR(INDEX(Roles!$B$17:$B$20,MATCH(J3138,Roles!$A$17:$A$20,0)),1)</f>
        <v/>
      </c>
      <c r="L3138" s="19" t="n">
        <v>1</v>
      </c>
      <c r="M3138" s="11" t="n">
        <v>1</v>
      </c>
      <c r="N3138" s="19" t="n"/>
      <c r="O3138" s="19" t="n"/>
      <c r="P3138" s="19" t="n"/>
      <c r="Q3138" s="19" t="n"/>
      <c r="R3138" s="19" t="n"/>
      <c r="S3138" s="19" t="n"/>
      <c r="T3138" s="19" t="n"/>
      <c r="U3138" s="19" t="n"/>
      <c r="V3138" s="19" t="n"/>
      <c r="W3138" s="19" t="n"/>
      <c r="X3138" s="19" t="n"/>
      <c r="Y3138" s="19" t="n">
        <v>1</v>
      </c>
      <c r="Z3138" s="13">
        <f>SUMPRODUCT(N3138:Y3138,$N$2:$Y$2)*$K3138*$L3138*$M3138</f>
        <v/>
      </c>
      <c r="AA3138" s="14">
        <f>SUM(N3138:Y3138)</f>
        <v/>
      </c>
      <c r="AB3138" s="13">
        <f>SUMPRODUCT(N3138:Y3138,$N$3:$Y$3)*$K3138*$L3138*$M3138</f>
        <v/>
      </c>
      <c r="AC3138" s="13">
        <f>SUMPRODUCT(N3138:Y3138,$N$4:$Y$4)*$K3138*$L3138*$M3138</f>
        <v/>
      </c>
      <c r="AD3138" s="15" t="n">
        <v>3</v>
      </c>
      <c r="AE3138" s="11" t="n">
        <v>1.011296296296296</v>
      </c>
      <c r="AF3138" s="16">
        <f>SUMPRODUCT(N3138:Y3138,$N$5:$Y$5)*$K3138*$L3138*$M3138</f>
        <v/>
      </c>
      <c r="AG3138" s="16">
        <f>SUMPRODUCT(N3138:Y3138,$N$6:$Y$6)*$K3138*$L3138*$M3138</f>
        <v/>
      </c>
      <c r="AH3138" s="20" t="n"/>
    </row>
    <row r="3139">
      <c r="A3139" s="9" t="n">
        <v>702877</v>
      </c>
      <c r="B3139" s="9" t="inlineStr">
        <is>
          <t>Bryan Polanco</t>
        </is>
      </c>
      <c r="C3139" s="9" t="inlineStr">
        <is>
          <t>WSH</t>
        </is>
      </c>
      <c r="D3139" s="9" t="n">
        <v>25</v>
      </c>
      <c r="E3139" s="18" t="inlineStr">
        <is>
          <t>R</t>
        </is>
      </c>
      <c r="F3139" s="18" t="n"/>
      <c r="G3139" s="9" t="n">
        <v>77.68666666666667</v>
      </c>
      <c r="H3139" s="9" t="n">
        <v>77.68666666666667</v>
      </c>
      <c r="I3139" s="9" t="inlineStr">
        <is>
          <t>Depth (no MLB IP)</t>
        </is>
      </c>
      <c r="J3139" s="18" t="inlineStr">
        <is>
          <t>Opening Day</t>
        </is>
      </c>
      <c r="K3139" s="11">
        <f>IFERROR(INDEX(Roles!$B$17:$B$20,MATCH(J3139,Roles!$A$17:$A$20,0)),1)</f>
        <v/>
      </c>
      <c r="L3139" s="19" t="n">
        <v>1</v>
      </c>
      <c r="M3139" s="11" t="n">
        <v>1</v>
      </c>
      <c r="N3139" s="19" t="n"/>
      <c r="O3139" s="19" t="n"/>
      <c r="P3139" s="19" t="n"/>
      <c r="Q3139" s="19" t="n"/>
      <c r="R3139" s="19" t="n"/>
      <c r="S3139" s="19" t="n"/>
      <c r="T3139" s="19" t="n"/>
      <c r="U3139" s="19" t="n"/>
      <c r="V3139" s="19" t="n"/>
      <c r="W3139" s="19" t="n"/>
      <c r="X3139" s="19" t="n"/>
      <c r="Y3139" s="19" t="n">
        <v>1</v>
      </c>
      <c r="Z3139" s="13">
        <f>SUMPRODUCT(N3139:Y3139,$N$2:$Y$2)*$K3139*$L3139*$M3139</f>
        <v/>
      </c>
      <c r="AA3139" s="14">
        <f>SUM(N3139:Y3139)</f>
        <v/>
      </c>
      <c r="AB3139" s="13">
        <f>SUMPRODUCT(N3139:Y3139,$N$3:$Y$3)*$K3139*$L3139*$M3139</f>
        <v/>
      </c>
      <c r="AC3139" s="13">
        <f>SUMPRODUCT(N3139:Y3139,$N$4:$Y$4)*$K3139*$L3139*$M3139</f>
        <v/>
      </c>
      <c r="AD3139" s="15" t="n">
        <v>3</v>
      </c>
      <c r="AE3139" s="11" t="n">
        <v>1.011296296296296</v>
      </c>
      <c r="AF3139" s="16">
        <f>SUMPRODUCT(N3139:Y3139,$N$5:$Y$5)*$K3139*$L3139*$M3139</f>
        <v/>
      </c>
      <c r="AG3139" s="16">
        <f>SUMPRODUCT(N3139:Y3139,$N$6:$Y$6)*$K3139*$L3139*$M3139</f>
        <v/>
      </c>
      <c r="AH3139" s="20" t="n"/>
    </row>
    <row r="3140">
      <c r="A3140" s="9" t="n">
        <v>687062</v>
      </c>
      <c r="B3140" s="9" t="inlineStr">
        <is>
          <t>Ramsey David</t>
        </is>
      </c>
      <c r="C3140" s="9" t="inlineStr">
        <is>
          <t>HOU</t>
        </is>
      </c>
      <c r="D3140" s="9" t="n">
        <v>25</v>
      </c>
      <c r="E3140" s="18" t="inlineStr">
        <is>
          <t>R</t>
        </is>
      </c>
      <c r="F3140" s="18" t="n"/>
      <c r="G3140" s="9" t="n">
        <v>77.75833333333333</v>
      </c>
      <c r="H3140" s="9" t="n">
        <v>77.75833333333333</v>
      </c>
      <c r="I3140" s="9" t="inlineStr">
        <is>
          <t>Depth (no MLB IP)</t>
        </is>
      </c>
      <c r="J3140" s="18" t="inlineStr">
        <is>
          <t>Opening Day</t>
        </is>
      </c>
      <c r="K3140" s="11">
        <f>IFERROR(INDEX(Roles!$B$17:$B$20,MATCH(J3140,Roles!$A$17:$A$20,0)),1)</f>
        <v/>
      </c>
      <c r="L3140" s="19" t="n">
        <v>1</v>
      </c>
      <c r="M3140" s="11" t="n">
        <v>1</v>
      </c>
      <c r="N3140" s="19" t="n"/>
      <c r="O3140" s="19" t="n"/>
      <c r="P3140" s="19" t="n"/>
      <c r="Q3140" s="19" t="n"/>
      <c r="R3140" s="19" t="n"/>
      <c r="S3140" s="19" t="n"/>
      <c r="T3140" s="19" t="n"/>
      <c r="U3140" s="19" t="n"/>
      <c r="V3140" s="19" t="n"/>
      <c r="W3140" s="19" t="n"/>
      <c r="X3140" s="19" t="n"/>
      <c r="Y3140" s="19" t="n">
        <v>1</v>
      </c>
      <c r="Z3140" s="13">
        <f>SUMPRODUCT(N3140:Y3140,$N$2:$Y$2)*$K3140*$L3140*$M3140</f>
        <v/>
      </c>
      <c r="AA3140" s="14">
        <f>SUM(N3140:Y3140)</f>
        <v/>
      </c>
      <c r="AB3140" s="13">
        <f>SUMPRODUCT(N3140:Y3140,$N$3:$Y$3)*$K3140*$L3140*$M3140</f>
        <v/>
      </c>
      <c r="AC3140" s="13">
        <f>SUMPRODUCT(N3140:Y3140,$N$4:$Y$4)*$K3140*$L3140*$M3140</f>
        <v/>
      </c>
      <c r="AD3140" s="15" t="n">
        <v>3</v>
      </c>
      <c r="AE3140" s="11" t="n">
        <v>1.011296296296296</v>
      </c>
      <c r="AF3140" s="16">
        <f>SUMPRODUCT(N3140:Y3140,$N$5:$Y$5)*$K3140*$L3140*$M3140</f>
        <v/>
      </c>
      <c r="AG3140" s="16">
        <f>SUMPRODUCT(N3140:Y3140,$N$6:$Y$6)*$K3140*$L3140*$M3140</f>
        <v/>
      </c>
      <c r="AH3140" s="20" t="n"/>
    </row>
    <row r="3141">
      <c r="A3141" s="9" t="n">
        <v>686610</v>
      </c>
      <c r="B3141" s="9" t="inlineStr">
        <is>
          <t>Ken Waldichuk</t>
        </is>
      </c>
      <c r="C3141" s="9" t="inlineStr">
        <is>
          <t>WSH</t>
        </is>
      </c>
      <c r="D3141" s="9" t="n">
        <v>29</v>
      </c>
      <c r="E3141" s="18" t="inlineStr">
        <is>
          <t>L</t>
        </is>
      </c>
      <c r="F3141" s="18" t="n"/>
      <c r="G3141" s="9" t="n">
        <v>41</v>
      </c>
      <c r="H3141" s="9" t="n">
        <v>826</v>
      </c>
      <c r="I3141" s="9" t="inlineStr">
        <is>
          <t>Bullpen Depth Arm</t>
        </is>
      </c>
      <c r="J3141" s="18" t="inlineStr">
        <is>
          <t>Opening Day</t>
        </is>
      </c>
      <c r="K3141" s="11">
        <f>IFERROR(INDEX(Roles!$B$17:$B$20,MATCH(J3141,Roles!$A$17:$A$20,0)),1)</f>
        <v/>
      </c>
      <c r="L3141" s="19" t="n">
        <v>1</v>
      </c>
      <c r="M3141" s="11" t="n">
        <v>1</v>
      </c>
      <c r="N3141" s="19" t="n"/>
      <c r="O3141" s="19" t="n"/>
      <c r="P3141" s="19" t="n"/>
      <c r="Q3141" s="19" t="n"/>
      <c r="R3141" s="19" t="n"/>
      <c r="S3141" s="19" t="n"/>
      <c r="T3141" s="19" t="n"/>
      <c r="U3141" s="19" t="n"/>
      <c r="V3141" s="19" t="n">
        <v>0.15</v>
      </c>
      <c r="W3141" s="19" t="n">
        <v>0.85</v>
      </c>
      <c r="X3141" s="19" t="n"/>
      <c r="Y3141" s="19" t="n"/>
      <c r="Z3141" s="13">
        <f>SUMPRODUCT(N3141:Y3141,$N$2:$Y$2)*$K3141*$L3141*$M3141</f>
        <v/>
      </c>
      <c r="AA3141" s="14">
        <f>SUM(N3141:Y3141)</f>
        <v/>
      </c>
      <c r="AB3141" s="13">
        <f>SUMPRODUCT(N3141:Y3141,$N$3:$Y$3)*$K3141*$L3141*$M3141</f>
        <v/>
      </c>
      <c r="AC3141" s="13">
        <f>SUMPRODUCT(N3141:Y3141,$N$4:$Y$4)*$K3141*$L3141*$M3141</f>
        <v/>
      </c>
      <c r="AD3141" s="15" t="n">
        <v>8.666666666666666</v>
      </c>
      <c r="AE3141" s="11" t="n">
        <v>1.42372935706269</v>
      </c>
      <c r="AF3141" s="16">
        <f>SUMPRODUCT(N3141:Y3141,$N$5:$Y$5)*$K3141*$L3141*$M3141</f>
        <v/>
      </c>
      <c r="AG3141" s="16">
        <f>SUMPRODUCT(N3141:Y3141,$N$6:$Y$6)*$K3141*$L3141*$M3141</f>
        <v/>
      </c>
      <c r="AH3141" s="20" t="n"/>
    </row>
    <row r="3142">
      <c r="A3142" s="9" t="n">
        <v>665620</v>
      </c>
      <c r="B3142" s="9" t="inlineStr">
        <is>
          <t>Deivi García</t>
        </is>
      </c>
      <c r="C3142" s="9" t="inlineStr">
        <is>
          <t>CWS</t>
        </is>
      </c>
      <c r="D3142" s="9" t="n">
        <v>28</v>
      </c>
      <c r="E3142" s="18" t="inlineStr">
        <is>
          <t>R</t>
        </is>
      </c>
      <c r="F3142" s="18" t="n"/>
      <c r="G3142" s="9" t="n">
        <v>68</v>
      </c>
      <c r="H3142" s="9" t="n">
        <v>135</v>
      </c>
      <c r="I3142" s="9" t="inlineStr">
        <is>
          <t>Depth (no MLB IP)</t>
        </is>
      </c>
      <c r="J3142" s="18" t="inlineStr">
        <is>
          <t>Opening Day</t>
        </is>
      </c>
      <c r="K3142" s="11">
        <f>IFERROR(INDEX(Roles!$B$17:$B$20,MATCH(J3142,Roles!$A$17:$A$20,0)),1)</f>
        <v/>
      </c>
      <c r="L3142" s="19" t="n">
        <v>1</v>
      </c>
      <c r="M3142" s="11" t="n">
        <v>1</v>
      </c>
      <c r="N3142" s="19" t="n"/>
      <c r="O3142" s="19" t="n"/>
      <c r="P3142" s="19" t="n"/>
      <c r="Q3142" s="19" t="n"/>
      <c r="R3142" s="19" t="n"/>
      <c r="S3142" s="19" t="n"/>
      <c r="T3142" s="19" t="n"/>
      <c r="U3142" s="19" t="n"/>
      <c r="V3142" s="19" t="n"/>
      <c r="W3142" s="19" t="n"/>
      <c r="X3142" s="19" t="n"/>
      <c r="Y3142" s="19" t="n">
        <v>1</v>
      </c>
      <c r="Z3142" s="13">
        <f>SUMPRODUCT(N3142:Y3142,$N$2:$Y$2)*$K3142*$L3142*$M3142</f>
        <v/>
      </c>
      <c r="AA3142" s="14">
        <f>SUM(N3142:Y3142)</f>
        <v/>
      </c>
      <c r="AB3142" s="13">
        <f>SUMPRODUCT(N3142:Y3142,$N$3:$Y$3)*$K3142*$L3142*$M3142</f>
        <v/>
      </c>
      <c r="AC3142" s="13">
        <f>SUMPRODUCT(N3142:Y3142,$N$4:$Y$4)*$K3142*$L3142*$M3142</f>
        <v/>
      </c>
      <c r="AD3142" s="15" t="n">
        <v>9.6</v>
      </c>
      <c r="AE3142" s="11" t="n">
        <v>1.007530864197531</v>
      </c>
      <c r="AF3142" s="16">
        <f>SUMPRODUCT(N3142:Y3142,$N$5:$Y$5)*$K3142*$L3142*$M3142</f>
        <v/>
      </c>
      <c r="AG3142" s="16">
        <f>SUMPRODUCT(N3142:Y3142,$N$6:$Y$6)*$K3142*$L3142*$M3142</f>
        <v/>
      </c>
      <c r="AH3142" s="20" t="n"/>
    </row>
    <row r="3143">
      <c r="A3143" s="9" t="n">
        <v>687077</v>
      </c>
      <c r="B3143" s="9" t="inlineStr">
        <is>
          <t>Drew McDaniel</t>
        </is>
      </c>
      <c r="C3143" s="9" t="inlineStr">
        <is>
          <t>CWS</t>
        </is>
      </c>
      <c r="D3143" s="9" t="n">
        <v>25</v>
      </c>
      <c r="E3143" s="18" t="inlineStr">
        <is>
          <t>R</t>
        </is>
      </c>
      <c r="F3143" s="18" t="n"/>
      <c r="G3143" s="9" t="n">
        <v>77.97333333333334</v>
      </c>
      <c r="H3143" s="9" t="n">
        <v>77.97333333333334</v>
      </c>
      <c r="I3143" s="9" t="inlineStr">
        <is>
          <t>Depth (no MLB IP)</t>
        </is>
      </c>
      <c r="J3143" s="18" t="inlineStr">
        <is>
          <t>Opening Day</t>
        </is>
      </c>
      <c r="K3143" s="11">
        <f>IFERROR(INDEX(Roles!$B$17:$B$20,MATCH(J3143,Roles!$A$17:$A$20,0)),1)</f>
        <v/>
      </c>
      <c r="L3143" s="19" t="n">
        <v>1</v>
      </c>
      <c r="M3143" s="11" t="n">
        <v>1</v>
      </c>
      <c r="N3143" s="19" t="n"/>
      <c r="O3143" s="19" t="n"/>
      <c r="P3143" s="19" t="n"/>
      <c r="Q3143" s="19" t="n"/>
      <c r="R3143" s="19" t="n"/>
      <c r="S3143" s="19" t="n"/>
      <c r="T3143" s="19" t="n"/>
      <c r="U3143" s="19" t="n"/>
      <c r="V3143" s="19" t="n"/>
      <c r="W3143" s="19" t="n"/>
      <c r="X3143" s="19" t="n"/>
      <c r="Y3143" s="19" t="n">
        <v>1</v>
      </c>
      <c r="Z3143" s="13">
        <f>SUMPRODUCT(N3143:Y3143,$N$2:$Y$2)*$K3143*$L3143*$M3143</f>
        <v/>
      </c>
      <c r="AA3143" s="14">
        <f>SUM(N3143:Y3143)</f>
        <v/>
      </c>
      <c r="AB3143" s="13">
        <f>SUMPRODUCT(N3143:Y3143,$N$3:$Y$3)*$K3143*$L3143*$M3143</f>
        <v/>
      </c>
      <c r="AC3143" s="13">
        <f>SUMPRODUCT(N3143:Y3143,$N$4:$Y$4)*$K3143*$L3143*$M3143</f>
        <v/>
      </c>
      <c r="AD3143" s="15" t="n">
        <v>3</v>
      </c>
      <c r="AE3143" s="11" t="n">
        <v>1.011296296296296</v>
      </c>
      <c r="AF3143" s="16">
        <f>SUMPRODUCT(N3143:Y3143,$N$5:$Y$5)*$K3143*$L3143*$M3143</f>
        <v/>
      </c>
      <c r="AG3143" s="16">
        <f>SUMPRODUCT(N3143:Y3143,$N$6:$Y$6)*$K3143*$L3143*$M3143</f>
        <v/>
      </c>
      <c r="AH3143" s="20" t="n"/>
    </row>
    <row r="3144">
      <c r="A3144" s="9" t="n">
        <v>800213</v>
      </c>
      <c r="B3144" s="9" t="inlineStr">
        <is>
          <t>Hung-Leng Chang</t>
        </is>
      </c>
      <c r="C3144" s="9" t="inlineStr">
        <is>
          <t>PIT</t>
        </is>
      </c>
      <c r="D3144" s="9" t="n">
        <v>25</v>
      </c>
      <c r="E3144" s="18" t="inlineStr">
        <is>
          <t>R</t>
        </is>
      </c>
      <c r="F3144" s="18" t="n"/>
      <c r="G3144" s="9" t="n">
        <v>77.97333333333334</v>
      </c>
      <c r="H3144" s="9" t="n">
        <v>77.97333333333334</v>
      </c>
      <c r="I3144" s="9" t="inlineStr">
        <is>
          <t>Depth (no MLB IP)</t>
        </is>
      </c>
      <c r="J3144" s="18" t="inlineStr">
        <is>
          <t>Opening Day</t>
        </is>
      </c>
      <c r="K3144" s="11">
        <f>IFERROR(INDEX(Roles!$B$17:$B$20,MATCH(J3144,Roles!$A$17:$A$20,0)),1)</f>
        <v/>
      </c>
      <c r="L3144" s="19" t="n">
        <v>1</v>
      </c>
      <c r="M3144" s="11" t="n">
        <v>1</v>
      </c>
      <c r="N3144" s="19" t="n"/>
      <c r="O3144" s="19" t="n"/>
      <c r="P3144" s="19" t="n"/>
      <c r="Q3144" s="19" t="n"/>
      <c r="R3144" s="19" t="n"/>
      <c r="S3144" s="19" t="n"/>
      <c r="T3144" s="19" t="n"/>
      <c r="U3144" s="19" t="n"/>
      <c r="V3144" s="19" t="n"/>
      <c r="W3144" s="19" t="n"/>
      <c r="X3144" s="19" t="n"/>
      <c r="Y3144" s="19" t="n">
        <v>1</v>
      </c>
      <c r="Z3144" s="13">
        <f>SUMPRODUCT(N3144:Y3144,$N$2:$Y$2)*$K3144*$L3144*$M3144</f>
        <v/>
      </c>
      <c r="AA3144" s="14">
        <f>SUM(N3144:Y3144)</f>
        <v/>
      </c>
      <c r="AB3144" s="13">
        <f>SUMPRODUCT(N3144:Y3144,$N$3:$Y$3)*$K3144*$L3144*$M3144</f>
        <v/>
      </c>
      <c r="AC3144" s="13">
        <f>SUMPRODUCT(N3144:Y3144,$N$4:$Y$4)*$K3144*$L3144*$M3144</f>
        <v/>
      </c>
      <c r="AD3144" s="15" t="n">
        <v>3</v>
      </c>
      <c r="AE3144" s="11" t="n">
        <v>1.011296296296296</v>
      </c>
      <c r="AF3144" s="16">
        <f>SUMPRODUCT(N3144:Y3144,$N$5:$Y$5)*$K3144*$L3144*$M3144</f>
        <v/>
      </c>
      <c r="AG3144" s="16">
        <f>SUMPRODUCT(N3144:Y3144,$N$6:$Y$6)*$K3144*$L3144*$M3144</f>
        <v/>
      </c>
      <c r="AH3144" s="20" t="n"/>
    </row>
    <row r="3145">
      <c r="A3145" s="9" t="n">
        <v>676666</v>
      </c>
      <c r="B3145" s="9" t="inlineStr">
        <is>
          <t>Matt Turner</t>
        </is>
      </c>
      <c r="C3145" s="9" t="inlineStr">
        <is>
          <t>NYM</t>
        </is>
      </c>
      <c r="D3145" s="9" t="n">
        <v>25</v>
      </c>
      <c r="E3145" s="18" t="inlineStr">
        <is>
          <t>L</t>
        </is>
      </c>
      <c r="F3145" s="18" t="n"/>
      <c r="G3145" s="9" t="n">
        <v>78.04500000000002</v>
      </c>
      <c r="H3145" s="9" t="n">
        <v>78.04500000000002</v>
      </c>
      <c r="I3145" s="9" t="inlineStr">
        <is>
          <t>Depth (no MLB IP)</t>
        </is>
      </c>
      <c r="J3145" s="18" t="inlineStr">
        <is>
          <t>Opening Day</t>
        </is>
      </c>
      <c r="K3145" s="11">
        <f>IFERROR(INDEX(Roles!$B$17:$B$20,MATCH(J3145,Roles!$A$17:$A$20,0)),1)</f>
        <v/>
      </c>
      <c r="L3145" s="19" t="n">
        <v>1</v>
      </c>
      <c r="M3145" s="11" t="n">
        <v>1</v>
      </c>
      <c r="N3145" s="19" t="n"/>
      <c r="O3145" s="19" t="n"/>
      <c r="P3145" s="19" t="n"/>
      <c r="Q3145" s="19" t="n"/>
      <c r="R3145" s="19" t="n"/>
      <c r="S3145" s="19" t="n"/>
      <c r="T3145" s="19" t="n"/>
      <c r="U3145" s="19" t="n"/>
      <c r="V3145" s="19" t="n"/>
      <c r="W3145" s="19" t="n"/>
      <c r="X3145" s="19" t="n"/>
      <c r="Y3145" s="19" t="n">
        <v>1</v>
      </c>
      <c r="Z3145" s="13">
        <f>SUMPRODUCT(N3145:Y3145,$N$2:$Y$2)*$K3145*$L3145*$M3145</f>
        <v/>
      </c>
      <c r="AA3145" s="14">
        <f>SUM(N3145:Y3145)</f>
        <v/>
      </c>
      <c r="AB3145" s="13">
        <f>SUMPRODUCT(N3145:Y3145,$N$3:$Y$3)*$K3145*$L3145*$M3145</f>
        <v/>
      </c>
      <c r="AC3145" s="13">
        <f>SUMPRODUCT(N3145:Y3145,$N$4:$Y$4)*$K3145*$L3145*$M3145</f>
        <v/>
      </c>
      <c r="AD3145" s="15" t="n">
        <v>3</v>
      </c>
      <c r="AE3145" s="11" t="n">
        <v>1.011296296296296</v>
      </c>
      <c r="AF3145" s="16">
        <f>SUMPRODUCT(N3145:Y3145,$N$5:$Y$5)*$K3145*$L3145*$M3145</f>
        <v/>
      </c>
      <c r="AG3145" s="16">
        <f>SUMPRODUCT(N3145:Y3145,$N$6:$Y$6)*$K3145*$L3145*$M3145</f>
        <v/>
      </c>
      <c r="AH3145" s="20" t="n"/>
    </row>
    <row r="3146">
      <c r="A3146" s="9" t="n">
        <v>814489</v>
      </c>
      <c r="B3146" s="9" t="inlineStr">
        <is>
          <t>Brett Wichrowski</t>
        </is>
      </c>
      <c r="C3146" s="9" t="inlineStr">
        <is>
          <t>MIL</t>
        </is>
      </c>
      <c r="D3146" s="9" t="n">
        <v>25</v>
      </c>
      <c r="E3146" s="18" t="inlineStr">
        <is>
          <t>R</t>
        </is>
      </c>
      <c r="F3146" s="18" t="n"/>
      <c r="G3146" s="9" t="n">
        <v>78.04500000000002</v>
      </c>
      <c r="H3146" s="9" t="n">
        <v>78.04500000000002</v>
      </c>
      <c r="I3146" s="9" t="inlineStr">
        <is>
          <t>Depth (no MLB IP)</t>
        </is>
      </c>
      <c r="J3146" s="18" t="inlineStr">
        <is>
          <t>Opening Day</t>
        </is>
      </c>
      <c r="K3146" s="11">
        <f>IFERROR(INDEX(Roles!$B$17:$B$20,MATCH(J3146,Roles!$A$17:$A$20,0)),1)</f>
        <v/>
      </c>
      <c r="L3146" s="19" t="n">
        <v>1</v>
      </c>
      <c r="M3146" s="11" t="n">
        <v>1</v>
      </c>
      <c r="N3146" s="19" t="n"/>
      <c r="O3146" s="19" t="n"/>
      <c r="P3146" s="19" t="n"/>
      <c r="Q3146" s="19" t="n"/>
      <c r="R3146" s="19" t="n"/>
      <c r="S3146" s="19" t="n"/>
      <c r="T3146" s="19" t="n"/>
      <c r="U3146" s="19" t="n"/>
      <c r="V3146" s="19" t="n"/>
      <c r="W3146" s="19" t="n"/>
      <c r="X3146" s="19" t="n"/>
      <c r="Y3146" s="19" t="n">
        <v>1</v>
      </c>
      <c r="Z3146" s="13">
        <f>SUMPRODUCT(N3146:Y3146,$N$2:$Y$2)*$K3146*$L3146*$M3146</f>
        <v/>
      </c>
      <c r="AA3146" s="14">
        <f>SUM(N3146:Y3146)</f>
        <v/>
      </c>
      <c r="AB3146" s="13">
        <f>SUMPRODUCT(N3146:Y3146,$N$3:$Y$3)*$K3146*$L3146*$M3146</f>
        <v/>
      </c>
      <c r="AC3146" s="13">
        <f>SUMPRODUCT(N3146:Y3146,$N$4:$Y$4)*$K3146*$L3146*$M3146</f>
        <v/>
      </c>
      <c r="AD3146" s="15" t="n">
        <v>3</v>
      </c>
      <c r="AE3146" s="11" t="n">
        <v>1.011296296296296</v>
      </c>
      <c r="AF3146" s="16">
        <f>SUMPRODUCT(N3146:Y3146,$N$5:$Y$5)*$K3146*$L3146*$M3146</f>
        <v/>
      </c>
      <c r="AG3146" s="16">
        <f>SUMPRODUCT(N3146:Y3146,$N$6:$Y$6)*$K3146*$L3146*$M3146</f>
        <v/>
      </c>
      <c r="AH3146" s="20" t="n"/>
    </row>
    <row r="3147">
      <c r="A3147" s="9" t="n">
        <v>684384</v>
      </c>
      <c r="B3147" s="9" t="inlineStr">
        <is>
          <t>Chase Plymell</t>
        </is>
      </c>
      <c r="C3147" s="9" t="inlineStr">
        <is>
          <t>CWS</t>
        </is>
      </c>
      <c r="D3147" s="9" t="n">
        <v>25</v>
      </c>
      <c r="E3147" s="18" t="inlineStr">
        <is>
          <t>R</t>
        </is>
      </c>
      <c r="F3147" s="18" t="n"/>
      <c r="G3147" s="9" t="n">
        <v>78.04500000000002</v>
      </c>
      <c r="H3147" s="9" t="n">
        <v>78.04500000000002</v>
      </c>
      <c r="I3147" s="9" t="inlineStr">
        <is>
          <t>Depth (no MLB IP)</t>
        </is>
      </c>
      <c r="J3147" s="18" t="inlineStr">
        <is>
          <t>Opening Day</t>
        </is>
      </c>
      <c r="K3147" s="11">
        <f>IFERROR(INDEX(Roles!$B$17:$B$20,MATCH(J3147,Roles!$A$17:$A$20,0)),1)</f>
        <v/>
      </c>
      <c r="L3147" s="19" t="n">
        <v>1</v>
      </c>
      <c r="M3147" s="11" t="n">
        <v>1</v>
      </c>
      <c r="N3147" s="19" t="n"/>
      <c r="O3147" s="19" t="n"/>
      <c r="P3147" s="19" t="n"/>
      <c r="Q3147" s="19" t="n"/>
      <c r="R3147" s="19" t="n"/>
      <c r="S3147" s="19" t="n"/>
      <c r="T3147" s="19" t="n"/>
      <c r="U3147" s="19" t="n"/>
      <c r="V3147" s="19" t="n"/>
      <c r="W3147" s="19" t="n"/>
      <c r="X3147" s="19" t="n"/>
      <c r="Y3147" s="19" t="n">
        <v>1</v>
      </c>
      <c r="Z3147" s="13">
        <f>SUMPRODUCT(N3147:Y3147,$N$2:$Y$2)*$K3147*$L3147*$M3147</f>
        <v/>
      </c>
      <c r="AA3147" s="14">
        <f>SUM(N3147:Y3147)</f>
        <v/>
      </c>
      <c r="AB3147" s="13">
        <f>SUMPRODUCT(N3147:Y3147,$N$3:$Y$3)*$K3147*$L3147*$M3147</f>
        <v/>
      </c>
      <c r="AC3147" s="13">
        <f>SUMPRODUCT(N3147:Y3147,$N$4:$Y$4)*$K3147*$L3147*$M3147</f>
        <v/>
      </c>
      <c r="AD3147" s="15" t="n">
        <v>3</v>
      </c>
      <c r="AE3147" s="11" t="n">
        <v>1.011296296296296</v>
      </c>
      <c r="AF3147" s="16">
        <f>SUMPRODUCT(N3147:Y3147,$N$5:$Y$5)*$K3147*$L3147*$M3147</f>
        <v/>
      </c>
      <c r="AG3147" s="16">
        <f>SUMPRODUCT(N3147:Y3147,$N$6:$Y$6)*$K3147*$L3147*$M3147</f>
        <v/>
      </c>
      <c r="AH3147" s="20" t="n"/>
    </row>
    <row r="3148">
      <c r="A3148" s="9" t="n">
        <v>801995</v>
      </c>
      <c r="B3148" s="9" t="inlineStr">
        <is>
          <t>Aiden May</t>
        </is>
      </c>
      <c r="C3148" s="9" t="inlineStr">
        <is>
          <t>COL</t>
        </is>
      </c>
      <c r="D3148" s="9" t="n">
        <v>25</v>
      </c>
      <c r="E3148" s="18" t="inlineStr">
        <is>
          <t>R</t>
        </is>
      </c>
      <c r="F3148" s="18" t="n"/>
      <c r="G3148" s="9" t="n">
        <v>78.26000000000001</v>
      </c>
      <c r="H3148" s="9" t="n">
        <v>78.26000000000001</v>
      </c>
      <c r="I3148" s="9" t="inlineStr">
        <is>
          <t>Depth (no MLB IP)</t>
        </is>
      </c>
      <c r="J3148" s="18" t="inlineStr">
        <is>
          <t>Opening Day</t>
        </is>
      </c>
      <c r="K3148" s="11">
        <f>IFERROR(INDEX(Roles!$B$17:$B$20,MATCH(J3148,Roles!$A$17:$A$20,0)),1)</f>
        <v/>
      </c>
      <c r="L3148" s="19" t="n">
        <v>1</v>
      </c>
      <c r="M3148" s="11" t="n">
        <v>1</v>
      </c>
      <c r="N3148" s="19" t="n"/>
      <c r="O3148" s="19" t="n"/>
      <c r="P3148" s="19" t="n"/>
      <c r="Q3148" s="19" t="n"/>
      <c r="R3148" s="19" t="n"/>
      <c r="S3148" s="19" t="n"/>
      <c r="T3148" s="19" t="n"/>
      <c r="U3148" s="19" t="n"/>
      <c r="V3148" s="19" t="n"/>
      <c r="W3148" s="19" t="n"/>
      <c r="X3148" s="19" t="n"/>
      <c r="Y3148" s="19" t="n">
        <v>1</v>
      </c>
      <c r="Z3148" s="13">
        <f>SUMPRODUCT(N3148:Y3148,$N$2:$Y$2)*$K3148*$L3148*$M3148</f>
        <v/>
      </c>
      <c r="AA3148" s="14">
        <f>SUM(N3148:Y3148)</f>
        <v/>
      </c>
      <c r="AB3148" s="13">
        <f>SUMPRODUCT(N3148:Y3148,$N$3:$Y$3)*$K3148*$L3148*$M3148</f>
        <v/>
      </c>
      <c r="AC3148" s="13">
        <f>SUMPRODUCT(N3148:Y3148,$N$4:$Y$4)*$K3148*$L3148*$M3148</f>
        <v/>
      </c>
      <c r="AD3148" s="15" t="n">
        <v>3</v>
      </c>
      <c r="AE3148" s="11" t="n">
        <v>1.011296296296296</v>
      </c>
      <c r="AF3148" s="16">
        <f>SUMPRODUCT(N3148:Y3148,$N$5:$Y$5)*$K3148*$L3148*$M3148</f>
        <v/>
      </c>
      <c r="AG3148" s="16">
        <f>SUMPRODUCT(N3148:Y3148,$N$6:$Y$6)*$K3148*$L3148*$M3148</f>
        <v/>
      </c>
      <c r="AH3148" s="20" t="n"/>
    </row>
    <row r="3149">
      <c r="A3149" s="9" t="n">
        <v>686930</v>
      </c>
      <c r="B3149" s="9" t="inlineStr">
        <is>
          <t>Mason Barnett</t>
        </is>
      </c>
      <c r="C3149" s="9" t="inlineStr">
        <is>
          <t>OAK</t>
        </is>
      </c>
      <c r="D3149" s="9" t="n">
        <v>26</v>
      </c>
      <c r="E3149" s="18" t="inlineStr">
        <is>
          <t>R</t>
        </is>
      </c>
      <c r="F3149" s="18" t="n"/>
      <c r="G3149" s="9" t="n">
        <v>229</v>
      </c>
      <c r="H3149" s="9" t="n">
        <v>333</v>
      </c>
      <c r="I3149" s="9" t="inlineStr">
        <is>
          <t>End-of-Rotation Starter (SP4-5)</t>
        </is>
      </c>
      <c r="J3149" s="18" t="inlineStr">
        <is>
          <t>Opening Day</t>
        </is>
      </c>
      <c r="K3149" s="11">
        <f>IFERROR(INDEX(Roles!$B$17:$B$20,MATCH(J3149,Roles!$A$17:$A$20,0)),1)</f>
        <v/>
      </c>
      <c r="L3149" s="19" t="n">
        <v>1</v>
      </c>
      <c r="M3149" s="11" t="n">
        <v>1</v>
      </c>
      <c r="N3149" s="19" t="n"/>
      <c r="O3149" s="19" t="n"/>
      <c r="P3149" s="19" t="n">
        <v>0.5</v>
      </c>
      <c r="Q3149" s="19" t="n"/>
      <c r="R3149" s="19" t="n">
        <v>0.5</v>
      </c>
      <c r="S3149" s="19" t="n"/>
      <c r="T3149" s="19" t="n"/>
      <c r="U3149" s="19" t="n"/>
      <c r="V3149" s="19" t="n"/>
      <c r="W3149" s="19" t="n"/>
      <c r="X3149" s="19" t="n"/>
      <c r="Y3149" s="19" t="n"/>
      <c r="Z3149" s="13">
        <f>SUMPRODUCT(N3149:Y3149,$N$2:$Y$2)*$K3149*$L3149*$M3149</f>
        <v/>
      </c>
      <c r="AA3149" s="14">
        <f>SUM(N3149:Y3149)</f>
        <v/>
      </c>
      <c r="AB3149" s="13">
        <f>SUMPRODUCT(N3149:Y3149,$N$3:$Y$3)*$K3149*$L3149*$M3149</f>
        <v/>
      </c>
      <c r="AC3149" s="13">
        <f>SUMPRODUCT(N3149:Y3149,$N$4:$Y$4)*$K3149*$L3149*$M3149</f>
        <v/>
      </c>
      <c r="AD3149" s="15" t="n">
        <v>14.8</v>
      </c>
      <c r="AE3149" s="11" t="n">
        <v>3.964021164021164</v>
      </c>
      <c r="AF3149" s="16">
        <f>SUMPRODUCT(N3149:Y3149,$N$5:$Y$5)*$K3149*$L3149*$M3149</f>
        <v/>
      </c>
      <c r="AG3149" s="16">
        <f>SUMPRODUCT(N3149:Y3149,$N$6:$Y$6)*$K3149*$L3149*$M3149</f>
        <v/>
      </c>
      <c r="AH3149" s="20" t="n"/>
    </row>
    <row r="3150">
      <c r="A3150" s="9" t="n">
        <v>809343</v>
      </c>
      <c r="B3150" s="9" t="inlineStr">
        <is>
          <t>Bryce Mayer</t>
        </is>
      </c>
      <c r="C3150" s="9" t="inlineStr">
        <is>
          <t>HOU</t>
        </is>
      </c>
      <c r="D3150" s="9" t="n">
        <v>25</v>
      </c>
      <c r="E3150" s="18" t="inlineStr">
        <is>
          <t>R</t>
        </is>
      </c>
      <c r="F3150" s="18" t="n"/>
      <c r="G3150" s="9" t="n">
        <v>78.04500000000002</v>
      </c>
      <c r="H3150" s="9" t="n">
        <v>78.04500000000002</v>
      </c>
      <c r="I3150" s="9" t="inlineStr">
        <is>
          <t>Depth (no MLB IP)</t>
        </is>
      </c>
      <c r="J3150" s="18" t="inlineStr">
        <is>
          <t>Opening Day</t>
        </is>
      </c>
      <c r="K3150" s="11">
        <f>IFERROR(INDEX(Roles!$B$17:$B$20,MATCH(J3150,Roles!$A$17:$A$20,0)),1)</f>
        <v/>
      </c>
      <c r="L3150" s="19" t="n">
        <v>1</v>
      </c>
      <c r="M3150" s="11" t="n">
        <v>1</v>
      </c>
      <c r="N3150" s="19" t="n"/>
      <c r="O3150" s="19" t="n"/>
      <c r="P3150" s="19" t="n"/>
      <c r="Q3150" s="19" t="n"/>
      <c r="R3150" s="19" t="n"/>
      <c r="S3150" s="19" t="n"/>
      <c r="T3150" s="19" t="n"/>
      <c r="U3150" s="19" t="n"/>
      <c r="V3150" s="19" t="n"/>
      <c r="W3150" s="19" t="n"/>
      <c r="X3150" s="19" t="n"/>
      <c r="Y3150" s="19" t="n">
        <v>1</v>
      </c>
      <c r="Z3150" s="13">
        <f>SUMPRODUCT(N3150:Y3150,$N$2:$Y$2)*$K3150*$L3150*$M3150</f>
        <v/>
      </c>
      <c r="AA3150" s="14">
        <f>SUM(N3150:Y3150)</f>
        <v/>
      </c>
      <c r="AB3150" s="13">
        <f>SUMPRODUCT(N3150:Y3150,$N$3:$Y$3)*$K3150*$L3150*$M3150</f>
        <v/>
      </c>
      <c r="AC3150" s="13">
        <f>SUMPRODUCT(N3150:Y3150,$N$4:$Y$4)*$K3150*$L3150*$M3150</f>
        <v/>
      </c>
      <c r="AD3150" s="15" t="n">
        <v>3</v>
      </c>
      <c r="AE3150" s="11" t="n">
        <v>1.011296296296296</v>
      </c>
      <c r="AF3150" s="16">
        <f>SUMPRODUCT(N3150:Y3150,$N$5:$Y$5)*$K3150*$L3150*$M3150</f>
        <v/>
      </c>
      <c r="AG3150" s="16">
        <f>SUMPRODUCT(N3150:Y3150,$N$6:$Y$6)*$K3150*$L3150*$M3150</f>
        <v/>
      </c>
      <c r="AH3150" s="20" t="n"/>
    </row>
    <row r="3151">
      <c r="A3151" s="9" t="n">
        <v>612434</v>
      </c>
      <c r="B3151" s="9" t="inlineStr">
        <is>
          <t>Miguel Castro</t>
        </is>
      </c>
      <c r="C3151" s="9" t="inlineStr">
        <is>
          <t>CWS</t>
        </is>
      </c>
      <c r="D3151" s="9" t="n">
        <v>32</v>
      </c>
      <c r="E3151" s="18" t="inlineStr">
        <is>
          <t>R</t>
        </is>
      </c>
      <c r="F3151" s="18" t="n"/>
      <c r="G3151" s="9" t="n">
        <v>28</v>
      </c>
      <c r="H3151" s="9" t="n">
        <v>491</v>
      </c>
      <c r="I3151" s="9" t="inlineStr">
        <is>
          <t>Bullpen Depth Arm</t>
        </is>
      </c>
      <c r="J3151" s="18" t="inlineStr">
        <is>
          <t>Opening Day</t>
        </is>
      </c>
      <c r="K3151" s="11">
        <f>IFERROR(INDEX(Roles!$B$17:$B$20,MATCH(J3151,Roles!$A$17:$A$20,0)),1)</f>
        <v/>
      </c>
      <c r="L3151" s="19" t="n">
        <v>1</v>
      </c>
      <c r="M3151" s="11" t="n">
        <v>1</v>
      </c>
      <c r="N3151" s="19" t="n"/>
      <c r="O3151" s="19" t="n"/>
      <c r="P3151" s="19" t="n"/>
      <c r="Q3151" s="19" t="n"/>
      <c r="R3151" s="19" t="n"/>
      <c r="S3151" s="19" t="n"/>
      <c r="T3151" s="19" t="n"/>
      <c r="U3151" s="19" t="n"/>
      <c r="V3151" s="19" t="n"/>
      <c r="W3151" s="19" t="n">
        <v>1</v>
      </c>
      <c r="X3151" s="19" t="n"/>
      <c r="Y3151" s="19" t="n"/>
      <c r="Z3151" s="13">
        <f>SUMPRODUCT(N3151:Y3151,$N$2:$Y$2)*$K3151*$L3151*$M3151</f>
        <v/>
      </c>
      <c r="AA3151" s="14">
        <f>SUM(N3151:Y3151)</f>
        <v/>
      </c>
      <c r="AB3151" s="13">
        <f>SUMPRODUCT(N3151:Y3151,$N$3:$Y$3)*$K3151*$L3151*$M3151</f>
        <v/>
      </c>
      <c r="AC3151" s="13">
        <f>SUMPRODUCT(N3151:Y3151,$N$4:$Y$4)*$K3151*$L3151*$M3151</f>
        <v/>
      </c>
      <c r="AD3151" s="15" t="n">
        <v>10.26666666666667</v>
      </c>
      <c r="AE3151" s="11" t="n">
        <v>1.173487811168971</v>
      </c>
      <c r="AF3151" s="16">
        <f>SUMPRODUCT(N3151:Y3151,$N$5:$Y$5)*$K3151*$L3151*$M3151</f>
        <v/>
      </c>
      <c r="AG3151" s="16">
        <f>SUMPRODUCT(N3151:Y3151,$N$6:$Y$6)*$K3151*$L3151*$M3151</f>
        <v/>
      </c>
      <c r="AH3151" s="20" t="n"/>
    </row>
    <row r="3152">
      <c r="A3152" s="9" t="n">
        <v>620454</v>
      </c>
      <c r="B3152" s="9" t="inlineStr">
        <is>
          <t>José Castillo</t>
        </is>
      </c>
      <c r="C3152" s="9" t="inlineStr">
        <is>
          <t>BAL</t>
        </is>
      </c>
      <c r="D3152" s="9" t="n">
        <v>31</v>
      </c>
      <c r="E3152" s="18" t="inlineStr">
        <is>
          <t>L</t>
        </is>
      </c>
      <c r="F3152" s="18" t="n"/>
      <c r="G3152" s="9" t="n">
        <v>149</v>
      </c>
      <c r="H3152" s="9" t="n">
        <v>160</v>
      </c>
      <c r="I3152" s="9" t="inlineStr">
        <is>
          <t>Bullpen Depth Arm</t>
        </is>
      </c>
      <c r="J3152" s="18" t="inlineStr">
        <is>
          <t>Opening Day</t>
        </is>
      </c>
      <c r="K3152" s="11">
        <f>IFERROR(INDEX(Roles!$B$17:$B$20,MATCH(J3152,Roles!$A$17:$A$20,0)),1)</f>
        <v/>
      </c>
      <c r="L3152" s="19" t="n">
        <v>1</v>
      </c>
      <c r="M3152" s="11" t="n">
        <v>1</v>
      </c>
      <c r="N3152" s="19" t="n"/>
      <c r="O3152" s="19" t="n"/>
      <c r="P3152" s="19" t="n"/>
      <c r="Q3152" s="19" t="n"/>
      <c r="R3152" s="19" t="n"/>
      <c r="S3152" s="19" t="n"/>
      <c r="T3152" s="19" t="n"/>
      <c r="U3152" s="19" t="n"/>
      <c r="V3152" s="19" t="n"/>
      <c r="W3152" s="19" t="n">
        <v>1</v>
      </c>
      <c r="X3152" s="19" t="n"/>
      <c r="Y3152" s="19" t="n"/>
      <c r="Z3152" s="13">
        <f>SUMPRODUCT(N3152:Y3152,$N$2:$Y$2)*$K3152*$L3152*$M3152</f>
        <v/>
      </c>
      <c r="AA3152" s="14">
        <f>SUM(N3152:Y3152)</f>
        <v/>
      </c>
      <c r="AB3152" s="13">
        <f>SUMPRODUCT(N3152:Y3152,$N$3:$Y$3)*$K3152*$L3152*$M3152</f>
        <v/>
      </c>
      <c r="AC3152" s="13">
        <f>SUMPRODUCT(N3152:Y3152,$N$4:$Y$4)*$K3152*$L3152*$M3152</f>
        <v/>
      </c>
      <c r="AD3152" s="15" t="n">
        <v>23.06666666666666</v>
      </c>
      <c r="AE3152" s="11" t="n">
        <v>1.169323226794491</v>
      </c>
      <c r="AF3152" s="16">
        <f>SUMPRODUCT(N3152:Y3152,$N$5:$Y$5)*$K3152*$L3152*$M3152</f>
        <v/>
      </c>
      <c r="AG3152" s="16">
        <f>SUMPRODUCT(N3152:Y3152,$N$6:$Y$6)*$K3152*$L3152*$M3152</f>
        <v/>
      </c>
      <c r="AH3152" s="20" t="n"/>
    </row>
    <row r="3153">
      <c r="A3153" s="9" t="n">
        <v>669721</v>
      </c>
      <c r="B3153" s="9" t="inlineStr">
        <is>
          <t>Davis Daniel</t>
        </is>
      </c>
      <c r="C3153" s="9" t="inlineStr">
        <is>
          <t>ATL</t>
        </is>
      </c>
      <c r="D3153" s="9" t="n">
        <v>30</v>
      </c>
      <c r="E3153" s="18" t="inlineStr">
        <is>
          <t>R</t>
        </is>
      </c>
      <c r="F3153" s="18" t="n"/>
      <c r="G3153" s="9" t="n">
        <v>46</v>
      </c>
      <c r="H3153" s="9" t="n">
        <v>232</v>
      </c>
      <c r="I3153" s="9" t="inlineStr">
        <is>
          <t>End-of-Rotation Starter (SP4-5)</t>
        </is>
      </c>
      <c r="J3153" s="18" t="inlineStr">
        <is>
          <t>Opening Day</t>
        </is>
      </c>
      <c r="K3153" s="11">
        <f>IFERROR(INDEX(Roles!$B$17:$B$20,MATCH(J3153,Roles!$A$17:$A$20,0)),1)</f>
        <v/>
      </c>
      <c r="L3153" s="19" t="n">
        <v>1</v>
      </c>
      <c r="M3153" s="11" t="n">
        <v>1</v>
      </c>
      <c r="N3153" s="19" t="n"/>
      <c r="O3153" s="19" t="n"/>
      <c r="P3153" s="19" t="n">
        <v>1</v>
      </c>
      <c r="Q3153" s="19" t="n"/>
      <c r="R3153" s="19" t="n"/>
      <c r="S3153" s="19" t="n"/>
      <c r="T3153" s="19" t="n"/>
      <c r="U3153" s="19" t="n"/>
      <c r="V3153" s="19" t="n"/>
      <c r="W3153" s="19" t="n"/>
      <c r="X3153" s="19" t="n"/>
      <c r="Y3153" s="19" t="n"/>
      <c r="Z3153" s="13">
        <f>SUMPRODUCT(N3153:Y3153,$N$2:$Y$2)*$K3153*$L3153*$M3153</f>
        <v/>
      </c>
      <c r="AA3153" s="14">
        <f>SUM(N3153:Y3153)</f>
        <v/>
      </c>
      <c r="AB3153" s="13">
        <f>SUMPRODUCT(N3153:Y3153,$N$3:$Y$3)*$K3153*$L3153*$M3153</f>
        <v/>
      </c>
      <c r="AC3153" s="13">
        <f>SUMPRODUCT(N3153:Y3153,$N$4:$Y$4)*$K3153*$L3153*$M3153</f>
        <v/>
      </c>
      <c r="AD3153" s="15" t="n">
        <v>8.800000000000001</v>
      </c>
      <c r="AE3153" s="11" t="n">
        <v>4.435185185185185</v>
      </c>
      <c r="AF3153" s="16">
        <f>SUMPRODUCT(N3153:Y3153,$N$5:$Y$5)*$K3153*$L3153*$M3153</f>
        <v/>
      </c>
      <c r="AG3153" s="16">
        <f>SUMPRODUCT(N3153:Y3153,$N$6:$Y$6)*$K3153*$L3153*$M3153</f>
        <v/>
      </c>
      <c r="AH3153" s="20" t="n"/>
    </row>
    <row r="3154">
      <c r="A3154" s="9" t="n">
        <v>656620</v>
      </c>
      <c r="B3154" s="9" t="inlineStr">
        <is>
          <t>Gabe Klobosits</t>
        </is>
      </c>
      <c r="C3154" s="9" t="inlineStr">
        <is>
          <t>CHC</t>
        </is>
      </c>
      <c r="D3154" s="9" t="n">
        <v>25</v>
      </c>
      <c r="E3154" s="18" t="inlineStr">
        <is>
          <t>R</t>
        </is>
      </c>
      <c r="F3154" s="18" t="n"/>
      <c r="G3154" s="9" t="n">
        <v>78.83333333333334</v>
      </c>
      <c r="H3154" s="9" t="n">
        <v>78.83333333333334</v>
      </c>
      <c r="I3154" s="9" t="inlineStr">
        <is>
          <t>Depth (no MLB IP)</t>
        </is>
      </c>
      <c r="J3154" s="18" t="inlineStr">
        <is>
          <t>Opening Day</t>
        </is>
      </c>
      <c r="K3154" s="11">
        <f>IFERROR(INDEX(Roles!$B$17:$B$20,MATCH(J3154,Roles!$A$17:$A$20,0)),1)</f>
        <v/>
      </c>
      <c r="L3154" s="19" t="n">
        <v>1</v>
      </c>
      <c r="M3154" s="11" t="n">
        <v>1</v>
      </c>
      <c r="N3154" s="19" t="n"/>
      <c r="O3154" s="19" t="n"/>
      <c r="P3154" s="19" t="n"/>
      <c r="Q3154" s="19" t="n"/>
      <c r="R3154" s="19" t="n"/>
      <c r="S3154" s="19" t="n"/>
      <c r="T3154" s="19" t="n"/>
      <c r="U3154" s="19" t="n"/>
      <c r="V3154" s="19" t="n"/>
      <c r="W3154" s="19" t="n"/>
      <c r="X3154" s="19" t="n"/>
      <c r="Y3154" s="19" t="n">
        <v>1</v>
      </c>
      <c r="Z3154" s="13">
        <f>SUMPRODUCT(N3154:Y3154,$N$2:$Y$2)*$K3154*$L3154*$M3154</f>
        <v/>
      </c>
      <c r="AA3154" s="14">
        <f>SUM(N3154:Y3154)</f>
        <v/>
      </c>
      <c r="AB3154" s="13">
        <f>SUMPRODUCT(N3154:Y3154,$N$3:$Y$3)*$K3154*$L3154*$M3154</f>
        <v/>
      </c>
      <c r="AC3154" s="13">
        <f>SUMPRODUCT(N3154:Y3154,$N$4:$Y$4)*$K3154*$L3154*$M3154</f>
        <v/>
      </c>
      <c r="AD3154" s="15" t="n">
        <v>3</v>
      </c>
      <c r="AE3154" s="11" t="n">
        <v>1.011296296296296</v>
      </c>
      <c r="AF3154" s="16">
        <f>SUMPRODUCT(N3154:Y3154,$N$5:$Y$5)*$K3154*$L3154*$M3154</f>
        <v/>
      </c>
      <c r="AG3154" s="16">
        <f>SUMPRODUCT(N3154:Y3154,$N$6:$Y$6)*$K3154*$L3154*$M3154</f>
        <v/>
      </c>
      <c r="AH3154" s="20" t="n"/>
    </row>
    <row r="3155">
      <c r="A3155" s="9" t="n">
        <v>606965</v>
      </c>
      <c r="B3155" s="9" t="inlineStr">
        <is>
          <t>Chris Devenski</t>
        </is>
      </c>
      <c r="C3155" s="9" t="inlineStr">
        <is>
          <t>NYM</t>
        </is>
      </c>
      <c r="D3155" s="9" t="n">
        <v>36</v>
      </c>
      <c r="E3155" s="18" t="inlineStr">
        <is>
          <t>R</t>
        </is>
      </c>
      <c r="F3155" s="18" t="n"/>
      <c r="G3155" s="9" t="n">
        <v>38</v>
      </c>
      <c r="H3155" s="9" t="n">
        <v>465</v>
      </c>
      <c r="I3155" s="9" t="inlineStr">
        <is>
          <t>Bullpen Depth Arm</t>
        </is>
      </c>
      <c r="J3155" s="18" t="inlineStr">
        <is>
          <t>Opening Day</t>
        </is>
      </c>
      <c r="K3155" s="11">
        <f>IFERROR(INDEX(Roles!$B$17:$B$20,MATCH(J3155,Roles!$A$17:$A$20,0)),1)</f>
        <v/>
      </c>
      <c r="L3155" s="19" t="n">
        <v>1</v>
      </c>
      <c r="M3155" s="11" t="n">
        <v>1</v>
      </c>
      <c r="N3155" s="19" t="n"/>
      <c r="O3155" s="19" t="n"/>
      <c r="P3155" s="19" t="n"/>
      <c r="Q3155" s="19" t="n"/>
      <c r="R3155" s="19" t="n"/>
      <c r="S3155" s="19" t="n"/>
      <c r="T3155" s="19" t="n"/>
      <c r="U3155" s="19" t="n"/>
      <c r="V3155" s="19" t="n"/>
      <c r="W3155" s="19" t="n">
        <v>1</v>
      </c>
      <c r="X3155" s="19" t="n"/>
      <c r="Y3155" s="19" t="n"/>
      <c r="Z3155" s="13">
        <f>SUMPRODUCT(N3155:Y3155,$N$2:$Y$2)*$K3155*$L3155*$M3155</f>
        <v/>
      </c>
      <c r="AA3155" s="14">
        <f>SUM(N3155:Y3155)</f>
        <v/>
      </c>
      <c r="AB3155" s="13">
        <f>SUMPRODUCT(N3155:Y3155,$N$3:$Y$3)*$K3155*$L3155*$M3155</f>
        <v/>
      </c>
      <c r="AC3155" s="13">
        <f>SUMPRODUCT(N3155:Y3155,$N$4:$Y$4)*$K3155*$L3155*$M3155</f>
        <v/>
      </c>
      <c r="AD3155" s="15" t="n">
        <v>12.86666666666666</v>
      </c>
      <c r="AE3155" s="11" t="n">
        <v>1.185766394099727</v>
      </c>
      <c r="AF3155" s="16">
        <f>SUMPRODUCT(N3155:Y3155,$N$5:$Y$5)*$K3155*$L3155*$M3155</f>
        <v/>
      </c>
      <c r="AG3155" s="16">
        <f>SUMPRODUCT(N3155:Y3155,$N$6:$Y$6)*$K3155*$L3155*$M3155</f>
        <v/>
      </c>
      <c r="AH3155" s="20" t="n"/>
    </row>
    <row r="3156">
      <c r="A3156" s="9" t="n">
        <v>694968</v>
      </c>
      <c r="B3156" s="9" t="inlineStr">
        <is>
          <t>Jack Mahoney</t>
        </is>
      </c>
      <c r="C3156" s="9" t="inlineStr">
        <is>
          <t>COL</t>
        </is>
      </c>
      <c r="D3156" s="9" t="n">
        <v>25</v>
      </c>
      <c r="E3156" s="18" t="inlineStr">
        <is>
          <t>R</t>
        </is>
      </c>
      <c r="F3156" s="18" t="n"/>
      <c r="G3156" s="9" t="n">
        <v>78.83333333333334</v>
      </c>
      <c r="H3156" s="9" t="n">
        <v>78.83333333333334</v>
      </c>
      <c r="I3156" s="9" t="inlineStr">
        <is>
          <t>Depth (no MLB IP)</t>
        </is>
      </c>
      <c r="J3156" s="18" t="inlineStr">
        <is>
          <t>Opening Day</t>
        </is>
      </c>
      <c r="K3156" s="11">
        <f>IFERROR(INDEX(Roles!$B$17:$B$20,MATCH(J3156,Roles!$A$17:$A$20,0)),1)</f>
        <v/>
      </c>
      <c r="L3156" s="19" t="n">
        <v>1</v>
      </c>
      <c r="M3156" s="11" t="n">
        <v>1</v>
      </c>
      <c r="N3156" s="19" t="n"/>
      <c r="O3156" s="19" t="n"/>
      <c r="P3156" s="19" t="n"/>
      <c r="Q3156" s="19" t="n"/>
      <c r="R3156" s="19" t="n"/>
      <c r="S3156" s="19" t="n"/>
      <c r="T3156" s="19" t="n"/>
      <c r="U3156" s="19" t="n"/>
      <c r="V3156" s="19" t="n"/>
      <c r="W3156" s="19" t="n"/>
      <c r="X3156" s="19" t="n"/>
      <c r="Y3156" s="19" t="n">
        <v>1</v>
      </c>
      <c r="Z3156" s="13">
        <f>SUMPRODUCT(N3156:Y3156,$N$2:$Y$2)*$K3156*$L3156*$M3156</f>
        <v/>
      </c>
      <c r="AA3156" s="14">
        <f>SUM(N3156:Y3156)</f>
        <v/>
      </c>
      <c r="AB3156" s="13">
        <f>SUMPRODUCT(N3156:Y3156,$N$3:$Y$3)*$K3156*$L3156*$M3156</f>
        <v/>
      </c>
      <c r="AC3156" s="13">
        <f>SUMPRODUCT(N3156:Y3156,$N$4:$Y$4)*$K3156*$L3156*$M3156</f>
        <v/>
      </c>
      <c r="AD3156" s="15" t="n">
        <v>3</v>
      </c>
      <c r="AE3156" s="11" t="n">
        <v>1.011296296296296</v>
      </c>
      <c r="AF3156" s="16">
        <f>SUMPRODUCT(N3156:Y3156,$N$5:$Y$5)*$K3156*$L3156*$M3156</f>
        <v/>
      </c>
      <c r="AG3156" s="16">
        <f>SUMPRODUCT(N3156:Y3156,$N$6:$Y$6)*$K3156*$L3156*$M3156</f>
        <v/>
      </c>
      <c r="AH3156" s="20" t="n"/>
    </row>
    <row r="3157">
      <c r="A3157" s="9" t="n">
        <v>694393</v>
      </c>
      <c r="B3157" s="9" t="inlineStr">
        <is>
          <t>Jaxon Wiggins</t>
        </is>
      </c>
      <c r="C3157" s="9" t="inlineStr">
        <is>
          <t>CHC</t>
        </is>
      </c>
      <c r="D3157" s="9" t="n">
        <v>26</v>
      </c>
      <c r="E3157" s="18" t="inlineStr">
        <is>
          <t>R</t>
        </is>
      </c>
      <c r="F3157" s="18" t="n"/>
      <c r="G3157" s="9" t="n">
        <v>78.83333333333334</v>
      </c>
      <c r="H3157" s="9" t="n">
        <v>78.83333333333334</v>
      </c>
      <c r="I3157" s="9" t="inlineStr">
        <is>
          <t>Depth (no MLB IP)</t>
        </is>
      </c>
      <c r="J3157" s="18" t="inlineStr">
        <is>
          <t>Opening Day</t>
        </is>
      </c>
      <c r="K3157" s="11">
        <f>IFERROR(INDEX(Roles!$B$17:$B$20,MATCH(J3157,Roles!$A$17:$A$20,0)),1)</f>
        <v/>
      </c>
      <c r="L3157" s="19" t="n">
        <v>1</v>
      </c>
      <c r="M3157" s="11" t="n">
        <v>1</v>
      </c>
      <c r="N3157" s="19" t="n"/>
      <c r="O3157" s="19" t="n"/>
      <c r="P3157" s="19" t="n"/>
      <c r="Q3157" s="19" t="n"/>
      <c r="R3157" s="19" t="n"/>
      <c r="S3157" s="19" t="n"/>
      <c r="T3157" s="19" t="n"/>
      <c r="U3157" s="19" t="n"/>
      <c r="V3157" s="19" t="n"/>
      <c r="W3157" s="19" t="n"/>
      <c r="X3157" s="19" t="n"/>
      <c r="Y3157" s="19" t="n">
        <v>1</v>
      </c>
      <c r="Z3157" s="13">
        <f>SUMPRODUCT(N3157:Y3157,$N$2:$Y$2)*$K3157*$L3157*$M3157</f>
        <v/>
      </c>
      <c r="AA3157" s="14">
        <f>SUM(N3157:Y3157)</f>
        <v/>
      </c>
      <c r="AB3157" s="13">
        <f>SUMPRODUCT(N3157:Y3157,$N$3:$Y$3)*$K3157*$L3157*$M3157</f>
        <v/>
      </c>
      <c r="AC3157" s="13">
        <f>SUMPRODUCT(N3157:Y3157,$N$4:$Y$4)*$K3157*$L3157*$M3157</f>
        <v/>
      </c>
      <c r="AD3157" s="15" t="n">
        <v>3</v>
      </c>
      <c r="AE3157" s="11" t="n">
        <v>1.011296296296296</v>
      </c>
      <c r="AF3157" s="16">
        <f>SUMPRODUCT(N3157:Y3157,$N$5:$Y$5)*$K3157*$L3157*$M3157</f>
        <v/>
      </c>
      <c r="AG3157" s="16">
        <f>SUMPRODUCT(N3157:Y3157,$N$6:$Y$6)*$K3157*$L3157*$M3157</f>
        <v/>
      </c>
      <c r="AH3157" s="20" t="n"/>
    </row>
    <row r="3158">
      <c r="A3158" s="9" t="n">
        <v>682999</v>
      </c>
      <c r="B3158" s="9" t="inlineStr">
        <is>
          <t>Will Childers</t>
        </is>
      </c>
      <c r="C3158" s="9" t="inlineStr">
        <is>
          <t>MIL</t>
        </is>
      </c>
      <c r="D3158" s="9" t="n">
        <v>25</v>
      </c>
      <c r="E3158" s="18" t="inlineStr">
        <is>
          <t>R</t>
        </is>
      </c>
      <c r="F3158" s="18" t="n"/>
      <c r="G3158" s="9" t="n">
        <v>78.83333333333334</v>
      </c>
      <c r="H3158" s="9" t="n">
        <v>78.83333333333334</v>
      </c>
      <c r="I3158" s="9" t="inlineStr">
        <is>
          <t>Depth (no MLB IP)</t>
        </is>
      </c>
      <c r="J3158" s="18" t="inlineStr">
        <is>
          <t>Opening Day</t>
        </is>
      </c>
      <c r="K3158" s="11">
        <f>IFERROR(INDEX(Roles!$B$17:$B$20,MATCH(J3158,Roles!$A$17:$A$20,0)),1)</f>
        <v/>
      </c>
      <c r="L3158" s="19" t="n">
        <v>1</v>
      </c>
      <c r="M3158" s="11" t="n">
        <v>1</v>
      </c>
      <c r="N3158" s="19" t="n"/>
      <c r="O3158" s="19" t="n"/>
      <c r="P3158" s="19" t="n"/>
      <c r="Q3158" s="19" t="n"/>
      <c r="R3158" s="19" t="n"/>
      <c r="S3158" s="19" t="n"/>
      <c r="T3158" s="19" t="n"/>
      <c r="U3158" s="19" t="n"/>
      <c r="V3158" s="19" t="n"/>
      <c r="W3158" s="19" t="n"/>
      <c r="X3158" s="19" t="n"/>
      <c r="Y3158" s="19" t="n">
        <v>1</v>
      </c>
      <c r="Z3158" s="13">
        <f>SUMPRODUCT(N3158:Y3158,$N$2:$Y$2)*$K3158*$L3158*$M3158</f>
        <v/>
      </c>
      <c r="AA3158" s="14">
        <f>SUM(N3158:Y3158)</f>
        <v/>
      </c>
      <c r="AB3158" s="13">
        <f>SUMPRODUCT(N3158:Y3158,$N$3:$Y$3)*$K3158*$L3158*$M3158</f>
        <v/>
      </c>
      <c r="AC3158" s="13">
        <f>SUMPRODUCT(N3158:Y3158,$N$4:$Y$4)*$K3158*$L3158*$M3158</f>
        <v/>
      </c>
      <c r="AD3158" s="15" t="n">
        <v>3</v>
      </c>
      <c r="AE3158" s="11" t="n">
        <v>1.011296296296296</v>
      </c>
      <c r="AF3158" s="16">
        <f>SUMPRODUCT(N3158:Y3158,$N$5:$Y$5)*$K3158*$L3158*$M3158</f>
        <v/>
      </c>
      <c r="AG3158" s="16">
        <f>SUMPRODUCT(N3158:Y3158,$N$6:$Y$6)*$K3158*$L3158*$M3158</f>
        <v/>
      </c>
      <c r="AH3158" s="20" t="n"/>
    </row>
    <row r="3159">
      <c r="A3159" s="9" t="n">
        <v>592390</v>
      </c>
      <c r="B3159" s="9" t="inlineStr">
        <is>
          <t>Heath Hembree</t>
        </is>
      </c>
      <c r="C3159" s="9" t="inlineStr">
        <is>
          <t>LAD</t>
        </is>
      </c>
      <c r="D3159" s="9" t="n">
        <v>38</v>
      </c>
      <c r="E3159" s="18" t="inlineStr">
        <is>
          <t>R</t>
        </is>
      </c>
      <c r="F3159" s="18" t="n"/>
      <c r="G3159" s="9" t="n">
        <v>4</v>
      </c>
      <c r="H3159" s="9" t="n">
        <v>111</v>
      </c>
      <c r="I3159" s="9" t="inlineStr">
        <is>
          <t>Depth (no MLB IP)</t>
        </is>
      </c>
      <c r="J3159" s="18" t="inlineStr">
        <is>
          <t>Opening Day</t>
        </is>
      </c>
      <c r="K3159" s="11">
        <f>IFERROR(INDEX(Roles!$B$17:$B$20,MATCH(J3159,Roles!$A$17:$A$20,0)),1)</f>
        <v/>
      </c>
      <c r="L3159" s="19" t="n">
        <v>1</v>
      </c>
      <c r="M3159" s="11" t="n">
        <v>1</v>
      </c>
      <c r="N3159" s="19" t="n"/>
      <c r="O3159" s="19" t="n"/>
      <c r="P3159" s="19" t="n"/>
      <c r="Q3159" s="19" t="n"/>
      <c r="R3159" s="19" t="n"/>
      <c r="S3159" s="19" t="n"/>
      <c r="T3159" s="19" t="n"/>
      <c r="U3159" s="19" t="n"/>
      <c r="V3159" s="19" t="n"/>
      <c r="W3159" s="19" t="n"/>
      <c r="X3159" s="19" t="n"/>
      <c r="Y3159" s="19" t="n">
        <v>1</v>
      </c>
      <c r="Z3159" s="13">
        <f>SUMPRODUCT(N3159:Y3159,$N$2:$Y$2)*$K3159*$L3159*$M3159</f>
        <v/>
      </c>
      <c r="AA3159" s="14">
        <f>SUM(N3159:Y3159)</f>
        <v/>
      </c>
      <c r="AB3159" s="13">
        <f>SUMPRODUCT(N3159:Y3159,$N$3:$Y$3)*$K3159*$L3159*$M3159</f>
        <v/>
      </c>
      <c r="AC3159" s="13">
        <f>SUMPRODUCT(N3159:Y3159,$N$4:$Y$4)*$K3159*$L3159*$M3159</f>
        <v/>
      </c>
      <c r="AD3159" s="15" t="n">
        <v>3</v>
      </c>
      <c r="AE3159" s="11" t="n">
        <v>1.011296296296296</v>
      </c>
      <c r="AF3159" s="16">
        <f>SUMPRODUCT(N3159:Y3159,$N$5:$Y$5)*$K3159*$L3159*$M3159</f>
        <v/>
      </c>
      <c r="AG3159" s="16">
        <f>SUMPRODUCT(N3159:Y3159,$N$6:$Y$6)*$K3159*$L3159*$M3159</f>
        <v/>
      </c>
      <c r="AH3159" s="20" t="n"/>
    </row>
    <row r="3160">
      <c r="A3160" s="9" t="n">
        <v>682225</v>
      </c>
      <c r="B3160" s="9" t="inlineStr">
        <is>
          <t>Billy Corcoran</t>
        </is>
      </c>
      <c r="C3160" s="9" t="inlineStr">
        <is>
          <t>ARI</t>
        </is>
      </c>
      <c r="D3160" s="9" t="n">
        <v>25</v>
      </c>
      <c r="E3160" s="18" t="inlineStr">
        <is>
          <t>R</t>
        </is>
      </c>
      <c r="F3160" s="18" t="n"/>
      <c r="G3160" s="9" t="n">
        <v>78.76166666666666</v>
      </c>
      <c r="H3160" s="9" t="n">
        <v>78.76166666666666</v>
      </c>
      <c r="I3160" s="9" t="inlineStr">
        <is>
          <t>Depth (no MLB IP)</t>
        </is>
      </c>
      <c r="J3160" s="18" t="inlineStr">
        <is>
          <t>Opening Day</t>
        </is>
      </c>
      <c r="K3160" s="11">
        <f>IFERROR(INDEX(Roles!$B$17:$B$20,MATCH(J3160,Roles!$A$17:$A$20,0)),1)</f>
        <v/>
      </c>
      <c r="L3160" s="19" t="n">
        <v>1</v>
      </c>
      <c r="M3160" s="11" t="n">
        <v>1</v>
      </c>
      <c r="N3160" s="19" t="n"/>
      <c r="O3160" s="19" t="n"/>
      <c r="P3160" s="19" t="n"/>
      <c r="Q3160" s="19" t="n"/>
      <c r="R3160" s="19" t="n"/>
      <c r="S3160" s="19" t="n"/>
      <c r="T3160" s="19" t="n"/>
      <c r="U3160" s="19" t="n"/>
      <c r="V3160" s="19" t="n"/>
      <c r="W3160" s="19" t="n"/>
      <c r="X3160" s="19" t="n"/>
      <c r="Y3160" s="19" t="n">
        <v>1</v>
      </c>
      <c r="Z3160" s="13">
        <f>SUMPRODUCT(N3160:Y3160,$N$2:$Y$2)*$K3160*$L3160*$M3160</f>
        <v/>
      </c>
      <c r="AA3160" s="14">
        <f>SUM(N3160:Y3160)</f>
        <v/>
      </c>
      <c r="AB3160" s="13">
        <f>SUMPRODUCT(N3160:Y3160,$N$3:$Y$3)*$K3160*$L3160*$M3160</f>
        <v/>
      </c>
      <c r="AC3160" s="13">
        <f>SUMPRODUCT(N3160:Y3160,$N$4:$Y$4)*$K3160*$L3160*$M3160</f>
        <v/>
      </c>
      <c r="AD3160" s="15" t="n">
        <v>3</v>
      </c>
      <c r="AE3160" s="11" t="n">
        <v>1.011296296296296</v>
      </c>
      <c r="AF3160" s="16">
        <f>SUMPRODUCT(N3160:Y3160,$N$5:$Y$5)*$K3160*$L3160*$M3160</f>
        <v/>
      </c>
      <c r="AG3160" s="16">
        <f>SUMPRODUCT(N3160:Y3160,$N$6:$Y$6)*$K3160*$L3160*$M3160</f>
        <v/>
      </c>
      <c r="AH3160" s="20" t="n"/>
    </row>
    <row r="3161">
      <c r="A3161" s="9" t="n">
        <v>660600</v>
      </c>
      <c r="B3161" s="9" t="inlineStr">
        <is>
          <t>Enoli Paredes</t>
        </is>
      </c>
      <c r="C3161" s="9" t="inlineStr">
        <is>
          <t>CHC</t>
        </is>
      </c>
      <c r="D3161" s="9" t="n">
        <v>31</v>
      </c>
      <c r="E3161" s="18" t="inlineStr">
        <is>
          <t>R</t>
        </is>
      </c>
      <c r="F3161" s="18" t="n"/>
      <c r="G3161" s="9" t="n">
        <v>87</v>
      </c>
      <c r="H3161" s="9" t="n">
        <v>101</v>
      </c>
      <c r="I3161" s="9" t="inlineStr">
        <is>
          <t>Depth (no MLB IP)</t>
        </is>
      </c>
      <c r="J3161" s="18" t="inlineStr">
        <is>
          <t>Opening Day</t>
        </is>
      </c>
      <c r="K3161" s="11">
        <f>IFERROR(INDEX(Roles!$B$17:$B$20,MATCH(J3161,Roles!$A$17:$A$20,0)),1)</f>
        <v/>
      </c>
      <c r="L3161" s="19" t="n">
        <v>1</v>
      </c>
      <c r="M3161" s="11" t="n">
        <v>1</v>
      </c>
      <c r="N3161" s="19" t="n"/>
      <c r="O3161" s="19" t="n"/>
      <c r="P3161" s="19" t="n"/>
      <c r="Q3161" s="19" t="n"/>
      <c r="R3161" s="19" t="n"/>
      <c r="S3161" s="19" t="n"/>
      <c r="T3161" s="19" t="n"/>
      <c r="U3161" s="19" t="n"/>
      <c r="V3161" s="19" t="n"/>
      <c r="W3161" s="19" t="n"/>
      <c r="X3161" s="19" t="n"/>
      <c r="Y3161" s="19" t="n">
        <v>1</v>
      </c>
      <c r="Z3161" s="13">
        <f>SUMPRODUCT(N3161:Y3161,$N$2:$Y$2)*$K3161*$L3161*$M3161</f>
        <v/>
      </c>
      <c r="AA3161" s="14">
        <f>SUM(N3161:Y3161)</f>
        <v/>
      </c>
      <c r="AB3161" s="13">
        <f>SUMPRODUCT(N3161:Y3161,$N$3:$Y$3)*$K3161*$L3161*$M3161</f>
        <v/>
      </c>
      <c r="AC3161" s="13">
        <f>SUMPRODUCT(N3161:Y3161,$N$4:$Y$4)*$K3161*$L3161*$M3161</f>
        <v/>
      </c>
      <c r="AD3161" s="15" t="n">
        <v>12</v>
      </c>
      <c r="AE3161" s="11" t="n">
        <v>1.075432098765432</v>
      </c>
      <c r="AF3161" s="16">
        <f>SUMPRODUCT(N3161:Y3161,$N$5:$Y$5)*$K3161*$L3161*$M3161</f>
        <v/>
      </c>
      <c r="AG3161" s="16">
        <f>SUMPRODUCT(N3161:Y3161,$N$6:$Y$6)*$K3161*$L3161*$M3161</f>
        <v/>
      </c>
      <c r="AH3161" s="20" t="n"/>
    </row>
    <row r="3162">
      <c r="A3162" s="9" t="n">
        <v>699214</v>
      </c>
      <c r="B3162" s="9" t="inlineStr">
        <is>
          <t>Leandro Lopez</t>
        </is>
      </c>
      <c r="C3162" s="9" t="inlineStr">
        <is>
          <t>TEX</t>
        </is>
      </c>
      <c r="D3162" s="9" t="n">
        <v>25</v>
      </c>
      <c r="E3162" s="18" t="inlineStr">
        <is>
          <t>R</t>
        </is>
      </c>
      <c r="F3162" s="18" t="n"/>
      <c r="G3162" s="9" t="n">
        <v>79.26333333333332</v>
      </c>
      <c r="H3162" s="9" t="n">
        <v>79.26333333333332</v>
      </c>
      <c r="I3162" s="9" t="inlineStr">
        <is>
          <t>Depth (no MLB IP)</t>
        </is>
      </c>
      <c r="J3162" s="18" t="inlineStr">
        <is>
          <t>Opening Day</t>
        </is>
      </c>
      <c r="K3162" s="11">
        <f>IFERROR(INDEX(Roles!$B$17:$B$20,MATCH(J3162,Roles!$A$17:$A$20,0)),1)</f>
        <v/>
      </c>
      <c r="L3162" s="19" t="n">
        <v>1</v>
      </c>
      <c r="M3162" s="11" t="n">
        <v>1</v>
      </c>
      <c r="N3162" s="19" t="n"/>
      <c r="O3162" s="19" t="n"/>
      <c r="P3162" s="19" t="n"/>
      <c r="Q3162" s="19" t="n"/>
      <c r="R3162" s="19" t="n"/>
      <c r="S3162" s="19" t="n"/>
      <c r="T3162" s="19" t="n"/>
      <c r="U3162" s="19" t="n"/>
      <c r="V3162" s="19" t="n"/>
      <c r="W3162" s="19" t="n"/>
      <c r="X3162" s="19" t="n"/>
      <c r="Y3162" s="19" t="n">
        <v>1</v>
      </c>
      <c r="Z3162" s="13">
        <f>SUMPRODUCT(N3162:Y3162,$N$2:$Y$2)*$K3162*$L3162*$M3162</f>
        <v/>
      </c>
      <c r="AA3162" s="14">
        <f>SUM(N3162:Y3162)</f>
        <v/>
      </c>
      <c r="AB3162" s="13">
        <f>SUMPRODUCT(N3162:Y3162,$N$3:$Y$3)*$K3162*$L3162*$M3162</f>
        <v/>
      </c>
      <c r="AC3162" s="13">
        <f>SUMPRODUCT(N3162:Y3162,$N$4:$Y$4)*$K3162*$L3162*$M3162</f>
        <v/>
      </c>
      <c r="AD3162" s="15" t="n">
        <v>3</v>
      </c>
      <c r="AE3162" s="11" t="n">
        <v>1.011296296296296</v>
      </c>
      <c r="AF3162" s="16">
        <f>SUMPRODUCT(N3162:Y3162,$N$5:$Y$5)*$K3162*$L3162*$M3162</f>
        <v/>
      </c>
      <c r="AG3162" s="16">
        <f>SUMPRODUCT(N3162:Y3162,$N$6:$Y$6)*$K3162*$L3162*$M3162</f>
        <v/>
      </c>
      <c r="AH3162" s="20" t="n"/>
    </row>
    <row r="3163">
      <c r="A3163" s="9" t="n">
        <v>828594</v>
      </c>
      <c r="B3163" s="9" t="inlineStr">
        <is>
          <t>Michael Watson</t>
        </is>
      </c>
      <c r="C3163" s="9" t="inlineStr">
        <is>
          <t>STL</t>
        </is>
      </c>
      <c r="D3163" s="9" t="n">
        <v>25</v>
      </c>
      <c r="E3163" s="18" t="inlineStr">
        <is>
          <t>L</t>
        </is>
      </c>
      <c r="F3163" s="18" t="n"/>
      <c r="G3163" s="9" t="n">
        <v>79.26333333333332</v>
      </c>
      <c r="H3163" s="9" t="n">
        <v>79.26333333333332</v>
      </c>
      <c r="I3163" s="9" t="inlineStr">
        <is>
          <t>Depth (no MLB IP)</t>
        </is>
      </c>
      <c r="J3163" s="18" t="inlineStr">
        <is>
          <t>Opening Day</t>
        </is>
      </c>
      <c r="K3163" s="11">
        <f>IFERROR(INDEX(Roles!$B$17:$B$20,MATCH(J3163,Roles!$A$17:$A$20,0)),1)</f>
        <v/>
      </c>
      <c r="L3163" s="19" t="n">
        <v>1</v>
      </c>
      <c r="M3163" s="11" t="n">
        <v>1</v>
      </c>
      <c r="N3163" s="19" t="n"/>
      <c r="O3163" s="19" t="n"/>
      <c r="P3163" s="19" t="n"/>
      <c r="Q3163" s="19" t="n"/>
      <c r="R3163" s="19" t="n"/>
      <c r="S3163" s="19" t="n"/>
      <c r="T3163" s="19" t="n"/>
      <c r="U3163" s="19" t="n"/>
      <c r="V3163" s="19" t="n"/>
      <c r="W3163" s="19" t="n"/>
      <c r="X3163" s="19" t="n"/>
      <c r="Y3163" s="19" t="n">
        <v>1</v>
      </c>
      <c r="Z3163" s="13">
        <f>SUMPRODUCT(N3163:Y3163,$N$2:$Y$2)*$K3163*$L3163*$M3163</f>
        <v/>
      </c>
      <c r="AA3163" s="14">
        <f>SUM(N3163:Y3163)</f>
        <v/>
      </c>
      <c r="AB3163" s="13">
        <f>SUMPRODUCT(N3163:Y3163,$N$3:$Y$3)*$K3163*$L3163*$M3163</f>
        <v/>
      </c>
      <c r="AC3163" s="13">
        <f>SUMPRODUCT(N3163:Y3163,$N$4:$Y$4)*$K3163*$L3163*$M3163</f>
        <v/>
      </c>
      <c r="AD3163" s="15" t="n">
        <v>3</v>
      </c>
      <c r="AE3163" s="11" t="n">
        <v>1.011296296296296</v>
      </c>
      <c r="AF3163" s="16">
        <f>SUMPRODUCT(N3163:Y3163,$N$5:$Y$5)*$K3163*$L3163*$M3163</f>
        <v/>
      </c>
      <c r="AG3163" s="16">
        <f>SUMPRODUCT(N3163:Y3163,$N$6:$Y$6)*$K3163*$L3163*$M3163</f>
        <v/>
      </c>
      <c r="AH3163" s="20" t="n"/>
    </row>
    <row r="3164">
      <c r="A3164" s="9" t="n">
        <v>694820</v>
      </c>
      <c r="B3164" s="9" t="inlineStr">
        <is>
          <t>Braxton Roxby</t>
        </is>
      </c>
      <c r="C3164" s="9" t="inlineStr">
        <is>
          <t>SF</t>
        </is>
      </c>
      <c r="D3164" s="9" t="n">
        <v>28</v>
      </c>
      <c r="E3164" s="18" t="inlineStr">
        <is>
          <t>R</t>
        </is>
      </c>
      <c r="F3164" s="18" t="n"/>
      <c r="G3164" s="9" t="n">
        <v>25</v>
      </c>
      <c r="H3164" s="9" t="n">
        <v>25</v>
      </c>
      <c r="I3164" s="9" t="inlineStr">
        <is>
          <t>Bullpen Depth Arm</t>
        </is>
      </c>
      <c r="J3164" s="18" t="inlineStr">
        <is>
          <t>Opening Day</t>
        </is>
      </c>
      <c r="K3164" s="11">
        <f>IFERROR(INDEX(Roles!$B$17:$B$20,MATCH(J3164,Roles!$A$17:$A$20,0)),1)</f>
        <v/>
      </c>
      <c r="L3164" s="19" t="n">
        <v>1</v>
      </c>
      <c r="M3164" s="11" t="n">
        <v>1</v>
      </c>
      <c r="N3164" s="19" t="n"/>
      <c r="O3164" s="19" t="n"/>
      <c r="P3164" s="19" t="n"/>
      <c r="Q3164" s="19" t="n"/>
      <c r="R3164" s="19" t="n"/>
      <c r="S3164" s="19" t="n"/>
      <c r="T3164" s="19" t="n"/>
      <c r="U3164" s="19" t="n"/>
      <c r="V3164" s="19" t="n">
        <v>0.15</v>
      </c>
      <c r="W3164" s="19" t="n">
        <v>0.85</v>
      </c>
      <c r="X3164" s="19" t="n"/>
      <c r="Y3164" s="19" t="n"/>
      <c r="Z3164" s="13">
        <f>SUMPRODUCT(N3164:Y3164,$N$2:$Y$2)*$K3164*$L3164*$M3164</f>
        <v/>
      </c>
      <c r="AA3164" s="14">
        <f>SUM(N3164:Y3164)</f>
        <v/>
      </c>
      <c r="AB3164" s="13">
        <f>SUMPRODUCT(N3164:Y3164,$N$3:$Y$3)*$K3164*$L3164*$M3164</f>
        <v/>
      </c>
      <c r="AC3164" s="13">
        <f>SUMPRODUCT(N3164:Y3164,$N$4:$Y$4)*$K3164*$L3164*$M3164</f>
        <v/>
      </c>
      <c r="AD3164" s="15" t="n">
        <v>8.066666666666666</v>
      </c>
      <c r="AE3164" s="11" t="n">
        <v>1.245951579284912</v>
      </c>
      <c r="AF3164" s="16">
        <f>SUMPRODUCT(N3164:Y3164,$N$5:$Y$5)*$K3164*$L3164*$M3164</f>
        <v/>
      </c>
      <c r="AG3164" s="16">
        <f>SUMPRODUCT(N3164:Y3164,$N$6:$Y$6)*$K3164*$L3164*$M3164</f>
        <v/>
      </c>
      <c r="AH3164" s="20" t="n"/>
    </row>
    <row r="3165">
      <c r="A3165" s="9" t="n">
        <v>641149</v>
      </c>
      <c r="B3165" s="9" t="inlineStr">
        <is>
          <t>Wes Parsons</t>
        </is>
      </c>
      <c r="C3165" s="9" t="inlineStr">
        <is>
          <t>CLE</t>
        </is>
      </c>
      <c r="D3165" s="9" t="n">
        <v>34</v>
      </c>
      <c r="E3165" s="18" t="inlineStr">
        <is>
          <t>R</t>
        </is>
      </c>
      <c r="F3165" s="18" t="n"/>
      <c r="G3165" s="9" t="n">
        <v>38</v>
      </c>
      <c r="H3165" s="9" t="n">
        <v>64</v>
      </c>
      <c r="I3165" s="9" t="inlineStr">
        <is>
          <t>Depth (no MLB IP)</t>
        </is>
      </c>
      <c r="J3165" s="18" t="inlineStr">
        <is>
          <t>Opening Day</t>
        </is>
      </c>
      <c r="K3165" s="11">
        <f>IFERROR(INDEX(Roles!$B$17:$B$20,MATCH(J3165,Roles!$A$17:$A$20,0)),1)</f>
        <v/>
      </c>
      <c r="L3165" s="19" t="n">
        <v>1</v>
      </c>
      <c r="M3165" s="11" t="n">
        <v>1</v>
      </c>
      <c r="N3165" s="19" t="n"/>
      <c r="O3165" s="19" t="n"/>
      <c r="P3165" s="19" t="n"/>
      <c r="Q3165" s="19" t="n"/>
      <c r="R3165" s="19" t="n"/>
      <c r="S3165" s="19" t="n"/>
      <c r="T3165" s="19" t="n"/>
      <c r="U3165" s="19" t="n"/>
      <c r="V3165" s="19" t="n"/>
      <c r="W3165" s="19" t="n"/>
      <c r="X3165" s="19" t="n"/>
      <c r="Y3165" s="19" t="n">
        <v>1</v>
      </c>
      <c r="Z3165" s="13">
        <f>SUMPRODUCT(N3165:Y3165,$N$2:$Y$2)*$K3165*$L3165*$M3165</f>
        <v/>
      </c>
      <c r="AA3165" s="14">
        <f>SUM(N3165:Y3165)</f>
        <v/>
      </c>
      <c r="AB3165" s="13">
        <f>SUMPRODUCT(N3165:Y3165,$N$3:$Y$3)*$K3165*$L3165*$M3165</f>
        <v/>
      </c>
      <c r="AC3165" s="13">
        <f>SUMPRODUCT(N3165:Y3165,$N$4:$Y$4)*$K3165*$L3165*$M3165</f>
        <v/>
      </c>
      <c r="AD3165" s="15" t="n">
        <v>3.6</v>
      </c>
      <c r="AE3165" s="11" t="n">
        <v>1.424197530864197</v>
      </c>
      <c r="AF3165" s="16">
        <f>SUMPRODUCT(N3165:Y3165,$N$5:$Y$5)*$K3165*$L3165*$M3165</f>
        <v/>
      </c>
      <c r="AG3165" s="16">
        <f>SUMPRODUCT(N3165:Y3165,$N$6:$Y$6)*$K3165*$L3165*$M3165</f>
        <v/>
      </c>
      <c r="AH3165" s="20" t="n"/>
    </row>
    <row r="3166">
      <c r="A3166" s="9" t="n">
        <v>701207</v>
      </c>
      <c r="B3166" s="9" t="inlineStr">
        <is>
          <t>Dennis Colleran Jr.</t>
        </is>
      </c>
      <c r="C3166" s="9" t="inlineStr">
        <is>
          <t>KC</t>
        </is>
      </c>
      <c r="D3166" s="9" t="n">
        <v>25</v>
      </c>
      <c r="E3166" s="18" t="inlineStr">
        <is>
          <t>R</t>
        </is>
      </c>
      <c r="F3166" s="18" t="n"/>
      <c r="G3166" s="9" t="n">
        <v>79.26333333333332</v>
      </c>
      <c r="H3166" s="9" t="n">
        <v>79.26333333333332</v>
      </c>
      <c r="I3166" s="9" t="inlineStr">
        <is>
          <t>Depth (no MLB IP)</t>
        </is>
      </c>
      <c r="J3166" s="18" t="inlineStr">
        <is>
          <t>Opening Day</t>
        </is>
      </c>
      <c r="K3166" s="11">
        <f>IFERROR(INDEX(Roles!$B$17:$B$20,MATCH(J3166,Roles!$A$17:$A$20,0)),1)</f>
        <v/>
      </c>
      <c r="L3166" s="19" t="n">
        <v>1</v>
      </c>
      <c r="M3166" s="11" t="n">
        <v>1</v>
      </c>
      <c r="N3166" s="19" t="n"/>
      <c r="O3166" s="19" t="n"/>
      <c r="P3166" s="19" t="n"/>
      <c r="Q3166" s="19" t="n"/>
      <c r="R3166" s="19" t="n"/>
      <c r="S3166" s="19" t="n"/>
      <c r="T3166" s="19" t="n"/>
      <c r="U3166" s="19" t="n"/>
      <c r="V3166" s="19" t="n"/>
      <c r="W3166" s="19" t="n"/>
      <c r="X3166" s="19" t="n"/>
      <c r="Y3166" s="19" t="n">
        <v>1</v>
      </c>
      <c r="Z3166" s="13">
        <f>SUMPRODUCT(N3166:Y3166,$N$2:$Y$2)*$K3166*$L3166*$M3166</f>
        <v/>
      </c>
      <c r="AA3166" s="14">
        <f>SUM(N3166:Y3166)</f>
        <v/>
      </c>
      <c r="AB3166" s="13">
        <f>SUMPRODUCT(N3166:Y3166,$N$3:$Y$3)*$K3166*$L3166*$M3166</f>
        <v/>
      </c>
      <c r="AC3166" s="13">
        <f>SUMPRODUCT(N3166:Y3166,$N$4:$Y$4)*$K3166*$L3166*$M3166</f>
        <v/>
      </c>
      <c r="AD3166" s="15" t="n">
        <v>3</v>
      </c>
      <c r="AE3166" s="11" t="n">
        <v>1.011296296296296</v>
      </c>
      <c r="AF3166" s="16">
        <f>SUMPRODUCT(N3166:Y3166,$N$5:$Y$5)*$K3166*$L3166*$M3166</f>
        <v/>
      </c>
      <c r="AG3166" s="16">
        <f>SUMPRODUCT(N3166:Y3166,$N$6:$Y$6)*$K3166*$L3166*$M3166</f>
        <v/>
      </c>
      <c r="AH3166" s="20" t="n"/>
    </row>
    <row r="3167">
      <c r="A3167" s="9" t="n">
        <v>691725</v>
      </c>
      <c r="B3167" s="9" t="inlineStr">
        <is>
          <t>Andrew Painter</t>
        </is>
      </c>
      <c r="C3167" s="9" t="inlineStr">
        <is>
          <t>PHI</t>
        </is>
      </c>
      <c r="D3167" s="9" t="n">
        <v>24</v>
      </c>
      <c r="E3167" s="18" t="inlineStr">
        <is>
          <t>R</t>
        </is>
      </c>
      <c r="F3167" s="18" t="n"/>
      <c r="G3167" s="9" t="n">
        <v>552</v>
      </c>
      <c r="H3167" s="9" t="n">
        <v>552</v>
      </c>
      <c r="I3167" s="9" t="inlineStr">
        <is>
          <t>End-of-Rotation Starter (SP4-5)</t>
        </is>
      </c>
      <c r="J3167" s="18" t="inlineStr">
        <is>
          <t>Opening Day</t>
        </is>
      </c>
      <c r="K3167" s="11">
        <f>IFERROR(INDEX(Roles!$B$17:$B$20,MATCH(J3167,Roles!$A$17:$A$20,0)),1)</f>
        <v/>
      </c>
      <c r="L3167" s="19" t="n">
        <v>1</v>
      </c>
      <c r="M3167" s="11" t="n">
        <v>1</v>
      </c>
      <c r="N3167" s="19" t="n"/>
      <c r="O3167" s="19" t="n"/>
      <c r="P3167" s="19" t="n">
        <v>0.5</v>
      </c>
      <c r="Q3167" s="19" t="n"/>
      <c r="R3167" s="19" t="n">
        <v>0.5</v>
      </c>
      <c r="S3167" s="19" t="n"/>
      <c r="T3167" s="19" t="n"/>
      <c r="U3167" s="19" t="n"/>
      <c r="V3167" s="19" t="n"/>
      <c r="W3167" s="19" t="n"/>
      <c r="X3167" s="19" t="n"/>
      <c r="Y3167" s="19" t="n"/>
      <c r="Z3167" s="13">
        <f>SUMPRODUCT(N3167:Y3167,$N$2:$Y$2)*$K3167*$L3167*$M3167</f>
        <v/>
      </c>
      <c r="AA3167" s="14">
        <f>SUM(N3167:Y3167)</f>
        <v/>
      </c>
      <c r="AB3167" s="13">
        <f>SUMPRODUCT(N3167:Y3167,$N$3:$Y$3)*$K3167*$L3167*$M3167</f>
        <v/>
      </c>
      <c r="AC3167" s="13">
        <f>SUMPRODUCT(N3167:Y3167,$N$4:$Y$4)*$K3167*$L3167*$M3167</f>
        <v/>
      </c>
      <c r="AD3167" s="15" t="n">
        <v>21.4</v>
      </c>
      <c r="AE3167" s="11" t="n">
        <v>4.725925925925925</v>
      </c>
      <c r="AF3167" s="16">
        <f>SUMPRODUCT(N3167:Y3167,$N$5:$Y$5)*$K3167*$L3167*$M3167</f>
        <v/>
      </c>
      <c r="AG3167" s="16">
        <f>SUMPRODUCT(N3167:Y3167,$N$6:$Y$6)*$K3167*$L3167*$M3167</f>
        <v/>
      </c>
      <c r="AH3167" s="20" t="n"/>
    </row>
    <row r="3168">
      <c r="A3168" s="9" t="n">
        <v>800471</v>
      </c>
      <c r="B3168" s="9" t="inlineStr">
        <is>
          <t>Franyer Herrera</t>
        </is>
      </c>
      <c r="C3168" s="9" t="inlineStr">
        <is>
          <t>NYY</t>
        </is>
      </c>
      <c r="D3168" s="9" t="n">
        <v>25</v>
      </c>
      <c r="E3168" s="18" t="inlineStr">
        <is>
          <t>L</t>
        </is>
      </c>
      <c r="F3168" s="18" t="n"/>
      <c r="G3168" s="9" t="n">
        <v>79.40666666666667</v>
      </c>
      <c r="H3168" s="9" t="n">
        <v>79.40666666666667</v>
      </c>
      <c r="I3168" s="9" t="inlineStr">
        <is>
          <t>Depth (no MLB IP)</t>
        </is>
      </c>
      <c r="J3168" s="18" t="inlineStr">
        <is>
          <t>Opening Day</t>
        </is>
      </c>
      <c r="K3168" s="11">
        <f>IFERROR(INDEX(Roles!$B$17:$B$20,MATCH(J3168,Roles!$A$17:$A$20,0)),1)</f>
        <v/>
      </c>
      <c r="L3168" s="19" t="n">
        <v>1</v>
      </c>
      <c r="M3168" s="11" t="n">
        <v>1</v>
      </c>
      <c r="N3168" s="19" t="n"/>
      <c r="O3168" s="19" t="n"/>
      <c r="P3168" s="19" t="n"/>
      <c r="Q3168" s="19" t="n"/>
      <c r="R3168" s="19" t="n"/>
      <c r="S3168" s="19" t="n"/>
      <c r="T3168" s="19" t="n"/>
      <c r="U3168" s="19" t="n"/>
      <c r="V3168" s="19" t="n"/>
      <c r="W3168" s="19" t="n"/>
      <c r="X3168" s="19" t="n"/>
      <c r="Y3168" s="19" t="n">
        <v>1</v>
      </c>
      <c r="Z3168" s="13">
        <f>SUMPRODUCT(N3168:Y3168,$N$2:$Y$2)*$K3168*$L3168*$M3168</f>
        <v/>
      </c>
      <c r="AA3168" s="14">
        <f>SUM(N3168:Y3168)</f>
        <v/>
      </c>
      <c r="AB3168" s="13">
        <f>SUMPRODUCT(N3168:Y3168,$N$3:$Y$3)*$K3168*$L3168*$M3168</f>
        <v/>
      </c>
      <c r="AC3168" s="13">
        <f>SUMPRODUCT(N3168:Y3168,$N$4:$Y$4)*$K3168*$L3168*$M3168</f>
        <v/>
      </c>
      <c r="AD3168" s="15" t="n">
        <v>3</v>
      </c>
      <c r="AE3168" s="11" t="n">
        <v>1.011296296296296</v>
      </c>
      <c r="AF3168" s="16">
        <f>SUMPRODUCT(N3168:Y3168,$N$5:$Y$5)*$K3168*$L3168*$M3168</f>
        <v/>
      </c>
      <c r="AG3168" s="16">
        <f>SUMPRODUCT(N3168:Y3168,$N$6:$Y$6)*$K3168*$L3168*$M3168</f>
        <v/>
      </c>
      <c r="AH3168" s="20" t="n"/>
    </row>
    <row r="3169">
      <c r="A3169" s="9" t="n">
        <v>688107</v>
      </c>
      <c r="B3169" s="9" t="inlineStr">
        <is>
          <t>Robert Gasser</t>
        </is>
      </c>
      <c r="C3169" s="9" t="inlineStr">
        <is>
          <t>MIL</t>
        </is>
      </c>
      <c r="D3169" s="9" t="n">
        <v>28</v>
      </c>
      <c r="E3169" s="18" t="inlineStr">
        <is>
          <t>L</t>
        </is>
      </c>
      <c r="F3169" s="18" t="n"/>
      <c r="G3169" s="9" t="n">
        <v>463</v>
      </c>
      <c r="H3169" s="9" t="n">
        <v>606</v>
      </c>
      <c r="I3169" s="9" t="inlineStr">
        <is>
          <t>End-of-Rotation Starter (SP4-5)</t>
        </is>
      </c>
      <c r="J3169" s="18" t="inlineStr">
        <is>
          <t>Opening Day</t>
        </is>
      </c>
      <c r="K3169" s="11">
        <f>IFERROR(INDEX(Roles!$B$17:$B$20,MATCH(J3169,Roles!$A$17:$A$20,0)),1)</f>
        <v/>
      </c>
      <c r="L3169" s="19" t="n">
        <v>1</v>
      </c>
      <c r="M3169" s="11" t="n">
        <v>1</v>
      </c>
      <c r="N3169" s="19" t="n"/>
      <c r="O3169" s="19" t="n"/>
      <c r="P3169" s="19" t="n">
        <v>0.5</v>
      </c>
      <c r="Q3169" s="19" t="n"/>
      <c r="R3169" s="19" t="n">
        <v>0.5</v>
      </c>
      <c r="S3169" s="19" t="n"/>
      <c r="T3169" s="19" t="n"/>
      <c r="U3169" s="19" t="n"/>
      <c r="V3169" s="19" t="n"/>
      <c r="W3169" s="19" t="n"/>
      <c r="X3169" s="19" t="n"/>
      <c r="Y3169" s="19" t="n"/>
      <c r="Z3169" s="13">
        <f>SUMPRODUCT(N3169:Y3169,$N$2:$Y$2)*$K3169*$L3169*$M3169</f>
        <v/>
      </c>
      <c r="AA3169" s="14">
        <f>SUM(N3169:Y3169)</f>
        <v/>
      </c>
      <c r="AB3169" s="13">
        <f>SUMPRODUCT(N3169:Y3169,$N$3:$Y$3)*$K3169*$L3169*$M3169</f>
        <v/>
      </c>
      <c r="AC3169" s="13">
        <f>SUMPRODUCT(N3169:Y3169,$N$4:$Y$4)*$K3169*$L3169*$M3169</f>
        <v/>
      </c>
      <c r="AD3169" s="15" t="n">
        <v>13.6</v>
      </c>
      <c r="AE3169" s="11" t="n">
        <v>4.737654320987654</v>
      </c>
      <c r="AF3169" s="16">
        <f>SUMPRODUCT(N3169:Y3169,$N$5:$Y$5)*$K3169*$L3169*$M3169</f>
        <v/>
      </c>
      <c r="AG3169" s="16">
        <f>SUMPRODUCT(N3169:Y3169,$N$6:$Y$6)*$K3169*$L3169*$M3169</f>
        <v/>
      </c>
      <c r="AH3169" s="20" t="n"/>
    </row>
    <row r="3170">
      <c r="A3170" s="9" t="n">
        <v>694346</v>
      </c>
      <c r="B3170" s="9" t="inlineStr">
        <is>
          <t>Trey Gibson</t>
        </is>
      </c>
      <c r="C3170" s="9" t="inlineStr">
        <is>
          <t>BAL</t>
        </is>
      </c>
      <c r="D3170" s="9" t="n">
        <v>25</v>
      </c>
      <c r="E3170" s="18" t="inlineStr">
        <is>
          <t>R</t>
        </is>
      </c>
      <c r="F3170" s="18" t="n"/>
      <c r="G3170" s="9" t="n">
        <v>185</v>
      </c>
      <c r="H3170" s="9" t="n">
        <v>185</v>
      </c>
      <c r="I3170" s="9" t="inlineStr">
        <is>
          <t>Bullpen Depth Arm</t>
        </is>
      </c>
      <c r="J3170" s="18" t="inlineStr">
        <is>
          <t>Late Season (~Sept)</t>
        </is>
      </c>
      <c r="K3170" s="11">
        <f>IFERROR(INDEX(Roles!$B$17:$B$20,MATCH(J3170,Roles!$A$17:$A$20,0)),1)</f>
        <v/>
      </c>
      <c r="L3170" s="19" t="n">
        <v>1</v>
      </c>
      <c r="M3170" s="11" t="n">
        <v>1</v>
      </c>
      <c r="N3170" s="19" t="n"/>
      <c r="O3170" s="19" t="n"/>
      <c r="P3170" s="19" t="n"/>
      <c r="Q3170" s="19" t="n"/>
      <c r="R3170" s="19" t="n"/>
      <c r="S3170" s="19" t="n"/>
      <c r="T3170" s="19" t="n"/>
      <c r="U3170" s="19" t="n"/>
      <c r="V3170" s="19" t="n"/>
      <c r="W3170" s="19" t="n">
        <v>1</v>
      </c>
      <c r="X3170" s="19" t="n"/>
      <c r="Y3170" s="19" t="n"/>
      <c r="Z3170" s="13">
        <f>SUMPRODUCT(N3170:Y3170,$N$2:$Y$2)*$K3170*$L3170*$M3170</f>
        <v/>
      </c>
      <c r="AA3170" s="14">
        <f>SUM(N3170:Y3170)</f>
        <v/>
      </c>
      <c r="AB3170" s="13">
        <f>SUMPRODUCT(N3170:Y3170,$N$3:$Y$3)*$K3170*$L3170*$M3170</f>
        <v/>
      </c>
      <c r="AC3170" s="13">
        <f>SUMPRODUCT(N3170:Y3170,$N$4:$Y$4)*$K3170*$L3170*$M3170</f>
        <v/>
      </c>
      <c r="AD3170" s="15" t="n">
        <v>11.06666666666667</v>
      </c>
      <c r="AE3170" s="11" t="n">
        <v>2.270642937309604</v>
      </c>
      <c r="AF3170" s="16">
        <f>SUMPRODUCT(N3170:Y3170,$N$5:$Y$5)*$K3170*$L3170*$M3170</f>
        <v/>
      </c>
      <c r="AG3170" s="16">
        <f>SUMPRODUCT(N3170:Y3170,$N$6:$Y$6)*$K3170*$L3170*$M3170</f>
        <v/>
      </c>
      <c r="AH3170" s="20" t="n"/>
    </row>
    <row r="3171">
      <c r="A3171" s="9" t="n">
        <v>834978</v>
      </c>
      <c r="B3171" s="9" t="inlineStr">
        <is>
          <t>Danny Thompson Jr.</t>
        </is>
      </c>
      <c r="C3171" s="9" t="inlineStr">
        <is>
          <t>TOR</t>
        </is>
      </c>
      <c r="D3171" s="9" t="n">
        <v>25</v>
      </c>
      <c r="E3171" s="18" t="inlineStr">
        <is>
          <t>R</t>
        </is>
      </c>
      <c r="F3171" s="18" t="n"/>
      <c r="G3171" s="9" t="n">
        <v>79.76499999999999</v>
      </c>
      <c r="H3171" s="9" t="n">
        <v>79.76499999999999</v>
      </c>
      <c r="I3171" s="9" t="inlineStr">
        <is>
          <t>Depth (no MLB IP)</t>
        </is>
      </c>
      <c r="J3171" s="18" t="inlineStr">
        <is>
          <t>Opening Day</t>
        </is>
      </c>
      <c r="K3171" s="11">
        <f>IFERROR(INDEX(Roles!$B$17:$B$20,MATCH(J3171,Roles!$A$17:$A$20,0)),1)</f>
        <v/>
      </c>
      <c r="L3171" s="19" t="n">
        <v>1</v>
      </c>
      <c r="M3171" s="11" t="n">
        <v>1</v>
      </c>
      <c r="N3171" s="19" t="n"/>
      <c r="O3171" s="19" t="n"/>
      <c r="P3171" s="19" t="n"/>
      <c r="Q3171" s="19" t="n"/>
      <c r="R3171" s="19" t="n"/>
      <c r="S3171" s="19" t="n"/>
      <c r="T3171" s="19" t="n"/>
      <c r="U3171" s="19" t="n"/>
      <c r="V3171" s="19" t="n"/>
      <c r="W3171" s="19" t="n"/>
      <c r="X3171" s="19" t="n"/>
      <c r="Y3171" s="19" t="n">
        <v>1</v>
      </c>
      <c r="Z3171" s="13">
        <f>SUMPRODUCT(N3171:Y3171,$N$2:$Y$2)*$K3171*$L3171*$M3171</f>
        <v/>
      </c>
      <c r="AA3171" s="14">
        <f>SUM(N3171:Y3171)</f>
        <v/>
      </c>
      <c r="AB3171" s="13">
        <f>SUMPRODUCT(N3171:Y3171,$N$3:$Y$3)*$K3171*$L3171*$M3171</f>
        <v/>
      </c>
      <c r="AC3171" s="13">
        <f>SUMPRODUCT(N3171:Y3171,$N$4:$Y$4)*$K3171*$L3171*$M3171</f>
        <v/>
      </c>
      <c r="AD3171" s="15" t="n">
        <v>3</v>
      </c>
      <c r="AE3171" s="11" t="n">
        <v>1.011296296296296</v>
      </c>
      <c r="AF3171" s="16">
        <f>SUMPRODUCT(N3171:Y3171,$N$5:$Y$5)*$K3171*$L3171*$M3171</f>
        <v/>
      </c>
      <c r="AG3171" s="16">
        <f>SUMPRODUCT(N3171:Y3171,$N$6:$Y$6)*$K3171*$L3171*$M3171</f>
        <v/>
      </c>
      <c r="AH3171" s="20" t="n"/>
    </row>
    <row r="3172">
      <c r="A3172" s="9" t="n">
        <v>683264</v>
      </c>
      <c r="B3172" s="9" t="inlineStr">
        <is>
          <t>Adam Maier</t>
        </is>
      </c>
      <c r="C3172" s="9" t="inlineStr">
        <is>
          <t>SEA</t>
        </is>
      </c>
      <c r="D3172" s="9" t="n">
        <v>25</v>
      </c>
      <c r="E3172" s="18" t="inlineStr">
        <is>
          <t>R</t>
        </is>
      </c>
      <c r="F3172" s="18" t="n"/>
      <c r="G3172" s="9" t="n">
        <v>79.69333333333334</v>
      </c>
      <c r="H3172" s="9" t="n">
        <v>79.69333333333334</v>
      </c>
      <c r="I3172" s="9" t="inlineStr">
        <is>
          <t>Depth (no MLB IP)</t>
        </is>
      </c>
      <c r="J3172" s="18" t="inlineStr">
        <is>
          <t>Opening Day</t>
        </is>
      </c>
      <c r="K3172" s="11">
        <f>IFERROR(INDEX(Roles!$B$17:$B$20,MATCH(J3172,Roles!$A$17:$A$20,0)),1)</f>
        <v/>
      </c>
      <c r="L3172" s="19" t="n">
        <v>1</v>
      </c>
      <c r="M3172" s="11" t="n">
        <v>1</v>
      </c>
      <c r="N3172" s="19" t="n"/>
      <c r="O3172" s="19" t="n"/>
      <c r="P3172" s="19" t="n"/>
      <c r="Q3172" s="19" t="n"/>
      <c r="R3172" s="19" t="n"/>
      <c r="S3172" s="19" t="n"/>
      <c r="T3172" s="19" t="n"/>
      <c r="U3172" s="19" t="n"/>
      <c r="V3172" s="19" t="n"/>
      <c r="W3172" s="19" t="n"/>
      <c r="X3172" s="19" t="n"/>
      <c r="Y3172" s="19" t="n">
        <v>1</v>
      </c>
      <c r="Z3172" s="13">
        <f>SUMPRODUCT(N3172:Y3172,$N$2:$Y$2)*$K3172*$L3172*$M3172</f>
        <v/>
      </c>
      <c r="AA3172" s="14">
        <f>SUM(N3172:Y3172)</f>
        <v/>
      </c>
      <c r="AB3172" s="13">
        <f>SUMPRODUCT(N3172:Y3172,$N$3:$Y$3)*$K3172*$L3172*$M3172</f>
        <v/>
      </c>
      <c r="AC3172" s="13">
        <f>SUMPRODUCT(N3172:Y3172,$N$4:$Y$4)*$K3172*$L3172*$M3172</f>
        <v/>
      </c>
      <c r="AD3172" s="15" t="n">
        <v>3</v>
      </c>
      <c r="AE3172" s="11" t="n">
        <v>1.011296296296296</v>
      </c>
      <c r="AF3172" s="16">
        <f>SUMPRODUCT(N3172:Y3172,$N$5:$Y$5)*$K3172*$L3172*$M3172</f>
        <v/>
      </c>
      <c r="AG3172" s="16">
        <f>SUMPRODUCT(N3172:Y3172,$N$6:$Y$6)*$K3172*$L3172*$M3172</f>
        <v/>
      </c>
      <c r="AH3172" s="20" t="n"/>
    </row>
    <row r="3173">
      <c r="A3173" s="9" t="n">
        <v>827626</v>
      </c>
      <c r="B3173" s="9" t="inlineStr">
        <is>
          <t>Nate Payne</t>
        </is>
      </c>
      <c r="C3173" s="9" t="inlineStr">
        <is>
          <t>MIA</t>
        </is>
      </c>
      <c r="D3173" s="9" t="n">
        <v>22</v>
      </c>
      <c r="E3173" s="18" t="inlineStr">
        <is>
          <t>L</t>
        </is>
      </c>
      <c r="F3173" s="18" t="n"/>
      <c r="G3173" s="9" t="n">
        <v>79.98</v>
      </c>
      <c r="H3173" s="9" t="n">
        <v>79.98</v>
      </c>
      <c r="I3173" s="9" t="inlineStr">
        <is>
          <t>Depth (no MLB IP)</t>
        </is>
      </c>
      <c r="J3173" s="18" t="inlineStr">
        <is>
          <t>Opening Day</t>
        </is>
      </c>
      <c r="K3173" s="11">
        <f>IFERROR(INDEX(Roles!$B$17:$B$20,MATCH(J3173,Roles!$A$17:$A$20,0)),1)</f>
        <v/>
      </c>
      <c r="L3173" s="19" t="n">
        <v>1</v>
      </c>
      <c r="M3173" s="11" t="n">
        <v>1</v>
      </c>
      <c r="N3173" s="19" t="n"/>
      <c r="O3173" s="19" t="n"/>
      <c r="P3173" s="19" t="n"/>
      <c r="Q3173" s="19" t="n"/>
      <c r="R3173" s="19" t="n"/>
      <c r="S3173" s="19" t="n"/>
      <c r="T3173" s="19" t="n"/>
      <c r="U3173" s="19" t="n"/>
      <c r="V3173" s="19" t="n"/>
      <c r="W3173" s="19" t="n"/>
      <c r="X3173" s="19" t="n"/>
      <c r="Y3173" s="19" t="n">
        <v>1</v>
      </c>
      <c r="Z3173" s="13">
        <f>SUMPRODUCT(N3173:Y3173,$N$2:$Y$2)*$K3173*$L3173*$M3173</f>
        <v/>
      </c>
      <c r="AA3173" s="14">
        <f>SUM(N3173:Y3173)</f>
        <v/>
      </c>
      <c r="AB3173" s="13">
        <f>SUMPRODUCT(N3173:Y3173,$N$3:$Y$3)*$K3173*$L3173*$M3173</f>
        <v/>
      </c>
      <c r="AC3173" s="13">
        <f>SUMPRODUCT(N3173:Y3173,$N$4:$Y$4)*$K3173*$L3173*$M3173</f>
        <v/>
      </c>
      <c r="AD3173" s="15" t="n">
        <v>3</v>
      </c>
      <c r="AE3173" s="11" t="n">
        <v>1.011296296296296</v>
      </c>
      <c r="AF3173" s="16">
        <f>SUMPRODUCT(N3173:Y3173,$N$5:$Y$5)*$K3173*$L3173*$M3173</f>
        <v/>
      </c>
      <c r="AG3173" s="16">
        <f>SUMPRODUCT(N3173:Y3173,$N$6:$Y$6)*$K3173*$L3173*$M3173</f>
        <v/>
      </c>
      <c r="AH3173" s="20" t="n"/>
    </row>
    <row r="3174">
      <c r="A3174" s="9" t="n">
        <v>687922</v>
      </c>
      <c r="B3174" s="9" t="inlineStr">
        <is>
          <t>Easton Lucas</t>
        </is>
      </c>
      <c r="C3174" s="9" t="inlineStr">
        <is>
          <t>TOR</t>
        </is>
      </c>
      <c r="D3174" s="9" t="n">
        <v>30</v>
      </c>
      <c r="E3174" s="18" t="inlineStr">
        <is>
          <t>L</t>
        </is>
      </c>
      <c r="F3174" s="18" t="n"/>
      <c r="G3174" s="9" t="n">
        <v>108</v>
      </c>
      <c r="H3174" s="9" t="n">
        <v>204</v>
      </c>
      <c r="I3174" s="9" t="inlineStr">
        <is>
          <t>Bullpen Depth Arm</t>
        </is>
      </c>
      <c r="J3174" s="18" t="inlineStr">
        <is>
          <t>Opening Day</t>
        </is>
      </c>
      <c r="K3174" s="11">
        <f>IFERROR(INDEX(Roles!$B$17:$B$20,MATCH(J3174,Roles!$A$17:$A$20,0)),1)</f>
        <v/>
      </c>
      <c r="L3174" s="19" t="n">
        <v>1</v>
      </c>
      <c r="M3174" s="11" t="n">
        <v>1</v>
      </c>
      <c r="N3174" s="19" t="n"/>
      <c r="O3174" s="19" t="n"/>
      <c r="P3174" s="19" t="n"/>
      <c r="Q3174" s="19" t="n"/>
      <c r="R3174" s="19" t="n"/>
      <c r="S3174" s="19" t="n"/>
      <c r="T3174" s="19" t="n"/>
      <c r="U3174" s="19" t="n"/>
      <c r="V3174" s="19" t="n"/>
      <c r="W3174" s="19" t="n">
        <v>1</v>
      </c>
      <c r="X3174" s="19" t="n"/>
      <c r="Y3174" s="19" t="n"/>
      <c r="Z3174" s="13">
        <f>SUMPRODUCT(N3174:Y3174,$N$2:$Y$2)*$K3174*$L3174*$M3174</f>
        <v/>
      </c>
      <c r="AA3174" s="14">
        <f>SUM(N3174:Y3174)</f>
        <v/>
      </c>
      <c r="AB3174" s="13">
        <f>SUMPRODUCT(N3174:Y3174,$N$3:$Y$3)*$K3174*$L3174*$M3174</f>
        <v/>
      </c>
      <c r="AC3174" s="13">
        <f>SUMPRODUCT(N3174:Y3174,$N$4:$Y$4)*$K3174*$L3174*$M3174</f>
        <v/>
      </c>
      <c r="AD3174" s="15" t="n">
        <v>9.666666666666666</v>
      </c>
      <c r="AE3174" s="11" t="n">
        <v>1.807062690396024</v>
      </c>
      <c r="AF3174" s="16">
        <f>SUMPRODUCT(N3174:Y3174,$N$5:$Y$5)*$K3174*$L3174*$M3174</f>
        <v/>
      </c>
      <c r="AG3174" s="16">
        <f>SUMPRODUCT(N3174:Y3174,$N$6:$Y$6)*$K3174*$L3174*$M3174</f>
        <v/>
      </c>
      <c r="AH3174" s="20" t="n"/>
    </row>
    <row r="3175">
      <c r="A3175" s="9" t="n">
        <v>692013</v>
      </c>
      <c r="B3175" s="9" t="inlineStr">
        <is>
          <t>Henry Baez</t>
        </is>
      </c>
      <c r="C3175" s="9" t="inlineStr">
        <is>
          <t>OAK</t>
        </is>
      </c>
      <c r="D3175" s="9" t="n">
        <v>25</v>
      </c>
      <c r="E3175" s="18" t="inlineStr">
        <is>
          <t>R</t>
        </is>
      </c>
      <c r="F3175" s="18" t="n"/>
      <c r="G3175" s="9" t="n">
        <v>80.26666666666667</v>
      </c>
      <c r="H3175" s="9" t="n">
        <v>80.26666666666667</v>
      </c>
      <c r="I3175" s="9" t="inlineStr">
        <is>
          <t>Depth (no MLB IP)</t>
        </is>
      </c>
      <c r="J3175" s="18" t="inlineStr">
        <is>
          <t>Opening Day</t>
        </is>
      </c>
      <c r="K3175" s="11">
        <f>IFERROR(INDEX(Roles!$B$17:$B$20,MATCH(J3175,Roles!$A$17:$A$20,0)),1)</f>
        <v/>
      </c>
      <c r="L3175" s="19" t="n">
        <v>1</v>
      </c>
      <c r="M3175" s="11" t="n">
        <v>1</v>
      </c>
      <c r="N3175" s="19" t="n"/>
      <c r="O3175" s="19" t="n"/>
      <c r="P3175" s="19" t="n"/>
      <c r="Q3175" s="19" t="n"/>
      <c r="R3175" s="19" t="n"/>
      <c r="S3175" s="19" t="n"/>
      <c r="T3175" s="19" t="n"/>
      <c r="U3175" s="19" t="n"/>
      <c r="V3175" s="19" t="n"/>
      <c r="W3175" s="19" t="n"/>
      <c r="X3175" s="19" t="n"/>
      <c r="Y3175" s="19" t="n">
        <v>1</v>
      </c>
      <c r="Z3175" s="13">
        <f>SUMPRODUCT(N3175:Y3175,$N$2:$Y$2)*$K3175*$L3175*$M3175</f>
        <v/>
      </c>
      <c r="AA3175" s="14">
        <f>SUM(N3175:Y3175)</f>
        <v/>
      </c>
      <c r="AB3175" s="13">
        <f>SUMPRODUCT(N3175:Y3175,$N$3:$Y$3)*$K3175*$L3175*$M3175</f>
        <v/>
      </c>
      <c r="AC3175" s="13">
        <f>SUMPRODUCT(N3175:Y3175,$N$4:$Y$4)*$K3175*$L3175*$M3175</f>
        <v/>
      </c>
      <c r="AD3175" s="15" t="n">
        <v>3</v>
      </c>
      <c r="AE3175" s="11" t="n">
        <v>1.011296296296296</v>
      </c>
      <c r="AF3175" s="16">
        <f>SUMPRODUCT(N3175:Y3175,$N$5:$Y$5)*$K3175*$L3175*$M3175</f>
        <v/>
      </c>
      <c r="AG3175" s="16">
        <f>SUMPRODUCT(N3175:Y3175,$N$6:$Y$6)*$K3175*$L3175*$M3175</f>
        <v/>
      </c>
      <c r="AH3175" s="20" t="n"/>
    </row>
    <row r="3176">
      <c r="A3176" s="9" t="n">
        <v>682624</v>
      </c>
      <c r="B3176" s="9" t="inlineStr">
        <is>
          <t>Sandy Gaston</t>
        </is>
      </c>
      <c r="C3176" s="9" t="inlineStr">
        <is>
          <t>WSH</t>
        </is>
      </c>
      <c r="D3176" s="9" t="n">
        <v>25</v>
      </c>
      <c r="E3176" s="18" t="inlineStr">
        <is>
          <t>R</t>
        </is>
      </c>
      <c r="F3176" s="18" t="n"/>
      <c r="G3176" s="9" t="n">
        <v>80.26666666666667</v>
      </c>
      <c r="H3176" s="9" t="n">
        <v>80.26666666666667</v>
      </c>
      <c r="I3176" s="9" t="inlineStr">
        <is>
          <t>Depth (no MLB IP)</t>
        </is>
      </c>
      <c r="J3176" s="18" t="inlineStr">
        <is>
          <t>Opening Day</t>
        </is>
      </c>
      <c r="K3176" s="11">
        <f>IFERROR(INDEX(Roles!$B$17:$B$20,MATCH(J3176,Roles!$A$17:$A$20,0)),1)</f>
        <v/>
      </c>
      <c r="L3176" s="19" t="n">
        <v>1</v>
      </c>
      <c r="M3176" s="11" t="n">
        <v>1</v>
      </c>
      <c r="N3176" s="19" t="n"/>
      <c r="O3176" s="19" t="n"/>
      <c r="P3176" s="19" t="n"/>
      <c r="Q3176" s="19" t="n"/>
      <c r="R3176" s="19" t="n"/>
      <c r="S3176" s="19" t="n"/>
      <c r="T3176" s="19" t="n"/>
      <c r="U3176" s="19" t="n"/>
      <c r="V3176" s="19" t="n"/>
      <c r="W3176" s="19" t="n"/>
      <c r="X3176" s="19" t="n"/>
      <c r="Y3176" s="19" t="n">
        <v>1</v>
      </c>
      <c r="Z3176" s="13">
        <f>SUMPRODUCT(N3176:Y3176,$N$2:$Y$2)*$K3176*$L3176*$M3176</f>
        <v/>
      </c>
      <c r="AA3176" s="14">
        <f>SUM(N3176:Y3176)</f>
        <v/>
      </c>
      <c r="AB3176" s="13">
        <f>SUMPRODUCT(N3176:Y3176,$N$3:$Y$3)*$K3176*$L3176*$M3176</f>
        <v/>
      </c>
      <c r="AC3176" s="13">
        <f>SUMPRODUCT(N3176:Y3176,$N$4:$Y$4)*$K3176*$L3176*$M3176</f>
        <v/>
      </c>
      <c r="AD3176" s="15" t="n">
        <v>3</v>
      </c>
      <c r="AE3176" s="11" t="n">
        <v>1.011296296296296</v>
      </c>
      <c r="AF3176" s="16">
        <f>SUMPRODUCT(N3176:Y3176,$N$5:$Y$5)*$K3176*$L3176*$M3176</f>
        <v/>
      </c>
      <c r="AG3176" s="16">
        <f>SUMPRODUCT(N3176:Y3176,$N$6:$Y$6)*$K3176*$L3176*$M3176</f>
        <v/>
      </c>
      <c r="AH3176" s="20" t="n"/>
    </row>
    <row r="3177">
      <c r="A3177" s="9" t="n">
        <v>693440</v>
      </c>
      <c r="B3177" s="9" t="inlineStr">
        <is>
          <t>Taylor Dollard</t>
        </is>
      </c>
      <c r="C3177" s="9" t="inlineStr">
        <is>
          <t>SEA</t>
        </is>
      </c>
      <c r="D3177" s="9" t="n">
        <v>25</v>
      </c>
      <c r="E3177" s="18" t="inlineStr">
        <is>
          <t>R</t>
        </is>
      </c>
      <c r="F3177" s="18" t="n"/>
      <c r="G3177" s="9" t="n">
        <v>80.26666666666667</v>
      </c>
      <c r="H3177" s="9" t="n">
        <v>80.26666666666667</v>
      </c>
      <c r="I3177" s="9" t="inlineStr">
        <is>
          <t>Depth (no MLB IP)</t>
        </is>
      </c>
      <c r="J3177" s="18" t="inlineStr">
        <is>
          <t>Opening Day</t>
        </is>
      </c>
      <c r="K3177" s="11">
        <f>IFERROR(INDEX(Roles!$B$17:$B$20,MATCH(J3177,Roles!$A$17:$A$20,0)),1)</f>
        <v/>
      </c>
      <c r="L3177" s="19" t="n">
        <v>1</v>
      </c>
      <c r="M3177" s="11" t="n">
        <v>1</v>
      </c>
      <c r="N3177" s="19" t="n"/>
      <c r="O3177" s="19" t="n"/>
      <c r="P3177" s="19" t="n"/>
      <c r="Q3177" s="19" t="n"/>
      <c r="R3177" s="19" t="n"/>
      <c r="S3177" s="19" t="n"/>
      <c r="T3177" s="19" t="n"/>
      <c r="U3177" s="19" t="n"/>
      <c r="V3177" s="19" t="n"/>
      <c r="W3177" s="19" t="n"/>
      <c r="X3177" s="19" t="n"/>
      <c r="Y3177" s="19" t="n">
        <v>1</v>
      </c>
      <c r="Z3177" s="13">
        <f>SUMPRODUCT(N3177:Y3177,$N$2:$Y$2)*$K3177*$L3177*$M3177</f>
        <v/>
      </c>
      <c r="AA3177" s="14">
        <f>SUM(N3177:Y3177)</f>
        <v/>
      </c>
      <c r="AB3177" s="13">
        <f>SUMPRODUCT(N3177:Y3177,$N$3:$Y$3)*$K3177*$L3177*$M3177</f>
        <v/>
      </c>
      <c r="AC3177" s="13">
        <f>SUMPRODUCT(N3177:Y3177,$N$4:$Y$4)*$K3177*$L3177*$M3177</f>
        <v/>
      </c>
      <c r="AD3177" s="15" t="n">
        <v>3</v>
      </c>
      <c r="AE3177" s="11" t="n">
        <v>1.011296296296296</v>
      </c>
      <c r="AF3177" s="16">
        <f>SUMPRODUCT(N3177:Y3177,$N$5:$Y$5)*$K3177*$L3177*$M3177</f>
        <v/>
      </c>
      <c r="AG3177" s="16">
        <f>SUMPRODUCT(N3177:Y3177,$N$6:$Y$6)*$K3177*$L3177*$M3177</f>
        <v/>
      </c>
      <c r="AH3177" s="20" t="n"/>
    </row>
    <row r="3178">
      <c r="A3178" s="9" t="n">
        <v>642520</v>
      </c>
      <c r="B3178" s="9" t="inlineStr">
        <is>
          <t>Gerson Garabito</t>
        </is>
      </c>
      <c r="C3178" s="9" t="inlineStr">
        <is>
          <t>TEX</t>
        </is>
      </c>
      <c r="D3178" s="9" t="n">
        <v>31</v>
      </c>
      <c r="E3178" s="18" t="inlineStr">
        <is>
          <t>R</t>
        </is>
      </c>
      <c r="F3178" s="18" t="n"/>
      <c r="G3178" s="9" t="n">
        <v>41</v>
      </c>
      <c r="H3178" s="9" t="n">
        <v>156</v>
      </c>
      <c r="I3178" s="9" t="inlineStr">
        <is>
          <t>Bullpen Depth Arm</t>
        </is>
      </c>
      <c r="J3178" s="18" t="inlineStr">
        <is>
          <t>Opening Day</t>
        </is>
      </c>
      <c r="K3178" s="11">
        <f>IFERROR(INDEX(Roles!$B$17:$B$20,MATCH(J3178,Roles!$A$17:$A$20,0)),1)</f>
        <v/>
      </c>
      <c r="L3178" s="19" t="n">
        <v>1</v>
      </c>
      <c r="M3178" s="11" t="n">
        <v>1</v>
      </c>
      <c r="N3178" s="19" t="n"/>
      <c r="O3178" s="19" t="n"/>
      <c r="P3178" s="19" t="n"/>
      <c r="Q3178" s="19" t="n"/>
      <c r="R3178" s="19" t="n"/>
      <c r="S3178" s="19" t="n"/>
      <c r="T3178" s="19" t="n"/>
      <c r="U3178" s="19" t="n"/>
      <c r="V3178" s="19" t="n"/>
      <c r="W3178" s="19" t="n">
        <v>1</v>
      </c>
      <c r="X3178" s="19" t="n"/>
      <c r="Y3178" s="19" t="n"/>
      <c r="Z3178" s="13">
        <f>SUMPRODUCT(N3178:Y3178,$N$2:$Y$2)*$K3178*$L3178*$M3178</f>
        <v/>
      </c>
      <c r="AA3178" s="14">
        <f>SUM(N3178:Y3178)</f>
        <v/>
      </c>
      <c r="AB3178" s="13">
        <f>SUMPRODUCT(N3178:Y3178,$N$3:$Y$3)*$K3178*$L3178*$M3178</f>
        <v/>
      </c>
      <c r="AC3178" s="13">
        <f>SUMPRODUCT(N3178:Y3178,$N$4:$Y$4)*$K3178*$L3178*$M3178</f>
        <v/>
      </c>
      <c r="AD3178" s="15" t="n">
        <v>10.46666666666666</v>
      </c>
      <c r="AE3178" s="11" t="n">
        <v>1.389470097803431</v>
      </c>
      <c r="AF3178" s="16">
        <f>SUMPRODUCT(N3178:Y3178,$N$5:$Y$5)*$K3178*$L3178*$M3178</f>
        <v/>
      </c>
      <c r="AG3178" s="16">
        <f>SUMPRODUCT(N3178:Y3178,$N$6:$Y$6)*$K3178*$L3178*$M3178</f>
        <v/>
      </c>
      <c r="AH3178" s="20" t="n"/>
    </row>
    <row r="3179">
      <c r="A3179" s="9" t="n">
        <v>656382</v>
      </c>
      <c r="B3179" s="9" t="inlineStr">
        <is>
          <t>Tommy Doyle</t>
        </is>
      </c>
      <c r="C3179" s="9" t="inlineStr">
        <is>
          <t>COL</t>
        </is>
      </c>
      <c r="D3179" s="9" t="n">
        <v>31</v>
      </c>
      <c r="E3179" s="18" t="inlineStr">
        <is>
          <t>R</t>
        </is>
      </c>
      <c r="F3179" s="18" t="n"/>
      <c r="G3179" s="9" t="n">
        <v>103</v>
      </c>
      <c r="H3179" s="9" t="n">
        <v>103</v>
      </c>
      <c r="I3179" s="9" t="inlineStr">
        <is>
          <t>Depth (no MLB IP)</t>
        </is>
      </c>
      <c r="J3179" s="18" t="inlineStr">
        <is>
          <t>Opening Day</t>
        </is>
      </c>
      <c r="K3179" s="11">
        <f>IFERROR(INDEX(Roles!$B$17:$B$20,MATCH(J3179,Roles!$A$17:$A$20,0)),1)</f>
        <v/>
      </c>
      <c r="L3179" s="19" t="n">
        <v>1</v>
      </c>
      <c r="M3179" s="11" t="n">
        <v>1</v>
      </c>
      <c r="N3179" s="19" t="n"/>
      <c r="O3179" s="19" t="n"/>
      <c r="P3179" s="19" t="n"/>
      <c r="Q3179" s="19" t="n"/>
      <c r="R3179" s="19" t="n"/>
      <c r="S3179" s="19" t="n"/>
      <c r="T3179" s="19" t="n"/>
      <c r="U3179" s="19" t="n"/>
      <c r="V3179" s="19" t="n"/>
      <c r="W3179" s="19" t="n"/>
      <c r="X3179" s="19" t="n"/>
      <c r="Y3179" s="19" t="n">
        <v>1</v>
      </c>
      <c r="Z3179" s="13">
        <f>SUMPRODUCT(N3179:Y3179,$N$2:$Y$2)*$K3179*$L3179*$M3179</f>
        <v/>
      </c>
      <c r="AA3179" s="14">
        <f>SUM(N3179:Y3179)</f>
        <v/>
      </c>
      <c r="AB3179" s="13">
        <f>SUMPRODUCT(N3179:Y3179,$N$3:$Y$3)*$K3179*$L3179*$M3179</f>
        <v/>
      </c>
      <c r="AC3179" s="13">
        <f>SUMPRODUCT(N3179:Y3179,$N$4:$Y$4)*$K3179*$L3179*$M3179</f>
        <v/>
      </c>
      <c r="AD3179" s="15" t="n">
        <v>3</v>
      </c>
      <c r="AE3179" s="11" t="n">
        <v>1.011296296296296</v>
      </c>
      <c r="AF3179" s="16">
        <f>SUMPRODUCT(N3179:Y3179,$N$5:$Y$5)*$K3179*$L3179*$M3179</f>
        <v/>
      </c>
      <c r="AG3179" s="16">
        <f>SUMPRODUCT(N3179:Y3179,$N$6:$Y$6)*$K3179*$L3179*$M3179</f>
        <v/>
      </c>
      <c r="AH3179" s="20" t="n"/>
    </row>
    <row r="3180">
      <c r="A3180" s="9" t="n">
        <v>683522</v>
      </c>
      <c r="B3180" s="9" t="inlineStr">
        <is>
          <t>Michael Arias</t>
        </is>
      </c>
      <c r="C3180" s="9" t="inlineStr">
        <is>
          <t>NYY</t>
        </is>
      </c>
      <c r="D3180" s="9" t="n">
        <v>25</v>
      </c>
      <c r="E3180" s="18" t="inlineStr">
        <is>
          <t>R</t>
        </is>
      </c>
      <c r="F3180" s="18" t="n"/>
      <c r="G3180" s="9" t="n">
        <v>80.76833333333332</v>
      </c>
      <c r="H3180" s="9" t="n">
        <v>80.76833333333332</v>
      </c>
      <c r="I3180" s="9" t="inlineStr">
        <is>
          <t>Depth (no MLB IP)</t>
        </is>
      </c>
      <c r="J3180" s="18" t="inlineStr">
        <is>
          <t>Opening Day</t>
        </is>
      </c>
      <c r="K3180" s="11">
        <f>IFERROR(INDEX(Roles!$B$17:$B$20,MATCH(J3180,Roles!$A$17:$A$20,0)),1)</f>
        <v/>
      </c>
      <c r="L3180" s="19" t="n">
        <v>1</v>
      </c>
      <c r="M3180" s="11" t="n">
        <v>1</v>
      </c>
      <c r="N3180" s="19" t="n"/>
      <c r="O3180" s="19" t="n"/>
      <c r="P3180" s="19" t="n"/>
      <c r="Q3180" s="19" t="n"/>
      <c r="R3180" s="19" t="n"/>
      <c r="S3180" s="19" t="n"/>
      <c r="T3180" s="19" t="n"/>
      <c r="U3180" s="19" t="n"/>
      <c r="V3180" s="19" t="n"/>
      <c r="W3180" s="19" t="n"/>
      <c r="X3180" s="19" t="n"/>
      <c r="Y3180" s="19" t="n">
        <v>1</v>
      </c>
      <c r="Z3180" s="13">
        <f>SUMPRODUCT(N3180:Y3180,$N$2:$Y$2)*$K3180*$L3180*$M3180</f>
        <v/>
      </c>
      <c r="AA3180" s="14">
        <f>SUM(N3180:Y3180)</f>
        <v/>
      </c>
      <c r="AB3180" s="13">
        <f>SUMPRODUCT(N3180:Y3180,$N$3:$Y$3)*$K3180*$L3180*$M3180</f>
        <v/>
      </c>
      <c r="AC3180" s="13">
        <f>SUMPRODUCT(N3180:Y3180,$N$4:$Y$4)*$K3180*$L3180*$M3180</f>
        <v/>
      </c>
      <c r="AD3180" s="15" t="n">
        <v>3</v>
      </c>
      <c r="AE3180" s="11" t="n">
        <v>1.011296296296296</v>
      </c>
      <c r="AF3180" s="16">
        <f>SUMPRODUCT(N3180:Y3180,$N$5:$Y$5)*$K3180*$L3180*$M3180</f>
        <v/>
      </c>
      <c r="AG3180" s="16">
        <f>SUMPRODUCT(N3180:Y3180,$N$6:$Y$6)*$K3180*$L3180*$M3180</f>
        <v/>
      </c>
      <c r="AH3180" s="20" t="n"/>
    </row>
    <row r="3181">
      <c r="A3181" s="9" t="n">
        <v>664068</v>
      </c>
      <c r="B3181" s="9" t="inlineStr">
        <is>
          <t>Scott Kingery</t>
        </is>
      </c>
      <c r="C3181" s="9" t="inlineStr">
        <is>
          <t>LAA</t>
        </is>
      </c>
      <c r="D3181" s="9" t="n">
        <v>33</v>
      </c>
      <c r="E3181" s="18" t="inlineStr">
        <is>
          <t>R</t>
        </is>
      </c>
      <c r="F3181" s="18" t="n"/>
      <c r="G3181" s="9" t="n">
        <v>18</v>
      </c>
      <c r="H3181" s="9" t="n">
        <v>18</v>
      </c>
      <c r="I3181" s="9" t="inlineStr">
        <is>
          <t>Depth (no MLB IP)</t>
        </is>
      </c>
      <c r="J3181" s="18" t="inlineStr">
        <is>
          <t>Opening Day</t>
        </is>
      </c>
      <c r="K3181" s="11">
        <f>IFERROR(INDEX(Roles!$B$17:$B$20,MATCH(J3181,Roles!$A$17:$A$20,0)),1)</f>
        <v/>
      </c>
      <c r="L3181" s="19" t="n">
        <v>1</v>
      </c>
      <c r="M3181" s="11" t="n">
        <v>1</v>
      </c>
      <c r="N3181" s="19" t="n"/>
      <c r="O3181" s="19" t="n"/>
      <c r="P3181" s="19" t="n"/>
      <c r="Q3181" s="19" t="n"/>
      <c r="R3181" s="19" t="n"/>
      <c r="S3181" s="19" t="n"/>
      <c r="T3181" s="19" t="n"/>
      <c r="U3181" s="19" t="n"/>
      <c r="V3181" s="19" t="n"/>
      <c r="W3181" s="19" t="n"/>
      <c r="X3181" s="19" t="n"/>
      <c r="Y3181" s="19" t="n">
        <v>1</v>
      </c>
      <c r="Z3181" s="13">
        <f>SUMPRODUCT(N3181:Y3181,$N$2:$Y$2)*$K3181*$L3181*$M3181</f>
        <v/>
      </c>
      <c r="AA3181" s="14">
        <f>SUM(N3181:Y3181)</f>
        <v/>
      </c>
      <c r="AB3181" s="13">
        <f>SUMPRODUCT(N3181:Y3181,$N$3:$Y$3)*$K3181*$L3181*$M3181</f>
        <v/>
      </c>
      <c r="AC3181" s="13">
        <f>SUMPRODUCT(N3181:Y3181,$N$4:$Y$4)*$K3181*$L3181*$M3181</f>
        <v/>
      </c>
      <c r="AD3181" s="15" t="n">
        <v>1.8</v>
      </c>
      <c r="AE3181" s="11" t="n">
        <v>1.340864197530864</v>
      </c>
      <c r="AF3181" s="16">
        <f>SUMPRODUCT(N3181:Y3181,$N$5:$Y$5)*$K3181*$L3181*$M3181</f>
        <v/>
      </c>
      <c r="AG3181" s="16">
        <f>SUMPRODUCT(N3181:Y3181,$N$6:$Y$6)*$K3181*$L3181*$M3181</f>
        <v/>
      </c>
      <c r="AH3181" s="20" t="n"/>
    </row>
    <row r="3182">
      <c r="A3182" s="9" t="n">
        <v>676333</v>
      </c>
      <c r="B3182" s="9" t="inlineStr">
        <is>
          <t>Sam Weatherly</t>
        </is>
      </c>
      <c r="C3182" s="9" t="inlineStr">
        <is>
          <t>COL</t>
        </is>
      </c>
      <c r="D3182" s="9" t="n">
        <v>25</v>
      </c>
      <c r="E3182" s="18" t="inlineStr">
        <is>
          <t>L</t>
        </is>
      </c>
      <c r="F3182" s="18" t="n"/>
      <c r="G3182" s="9" t="n">
        <v>80.76833333333332</v>
      </c>
      <c r="H3182" s="9" t="n">
        <v>80.76833333333332</v>
      </c>
      <c r="I3182" s="9" t="inlineStr">
        <is>
          <t>Depth (no MLB IP)</t>
        </is>
      </c>
      <c r="J3182" s="18" t="inlineStr">
        <is>
          <t>Opening Day</t>
        </is>
      </c>
      <c r="K3182" s="11">
        <f>IFERROR(INDEX(Roles!$B$17:$B$20,MATCH(J3182,Roles!$A$17:$A$20,0)),1)</f>
        <v/>
      </c>
      <c r="L3182" s="19" t="n">
        <v>1</v>
      </c>
      <c r="M3182" s="11" t="n">
        <v>1</v>
      </c>
      <c r="N3182" s="19" t="n"/>
      <c r="O3182" s="19" t="n"/>
      <c r="P3182" s="19" t="n"/>
      <c r="Q3182" s="19" t="n"/>
      <c r="R3182" s="19" t="n"/>
      <c r="S3182" s="19" t="n"/>
      <c r="T3182" s="19" t="n"/>
      <c r="U3182" s="19" t="n"/>
      <c r="V3182" s="19" t="n"/>
      <c r="W3182" s="19" t="n"/>
      <c r="X3182" s="19" t="n"/>
      <c r="Y3182" s="19" t="n">
        <v>1</v>
      </c>
      <c r="Z3182" s="13">
        <f>SUMPRODUCT(N3182:Y3182,$N$2:$Y$2)*$K3182*$L3182*$M3182</f>
        <v/>
      </c>
      <c r="AA3182" s="14">
        <f>SUM(N3182:Y3182)</f>
        <v/>
      </c>
      <c r="AB3182" s="13">
        <f>SUMPRODUCT(N3182:Y3182,$N$3:$Y$3)*$K3182*$L3182*$M3182</f>
        <v/>
      </c>
      <c r="AC3182" s="13">
        <f>SUMPRODUCT(N3182:Y3182,$N$4:$Y$4)*$K3182*$L3182*$M3182</f>
        <v/>
      </c>
      <c r="AD3182" s="15" t="n">
        <v>3</v>
      </c>
      <c r="AE3182" s="11" t="n">
        <v>1.011296296296296</v>
      </c>
      <c r="AF3182" s="16">
        <f>SUMPRODUCT(N3182:Y3182,$N$5:$Y$5)*$K3182*$L3182*$M3182</f>
        <v/>
      </c>
      <c r="AG3182" s="16">
        <f>SUMPRODUCT(N3182:Y3182,$N$6:$Y$6)*$K3182*$L3182*$M3182</f>
        <v/>
      </c>
      <c r="AH3182" s="20" t="n"/>
    </row>
    <row r="3183">
      <c r="A3183" s="9" t="n">
        <v>573009</v>
      </c>
      <c r="B3183" s="9" t="inlineStr">
        <is>
          <t>Joe Mantiply</t>
        </is>
      </c>
      <c r="C3183" s="9" t="inlineStr">
        <is>
          <t>TOR</t>
        </is>
      </c>
      <c r="D3183" s="9" t="n">
        <v>36</v>
      </c>
      <c r="E3183" s="18" t="inlineStr">
        <is>
          <t>L</t>
        </is>
      </c>
      <c r="F3183" s="18" t="n"/>
      <c r="G3183" s="9" t="n">
        <v>111</v>
      </c>
      <c r="H3183" s="9" t="n">
        <v>812</v>
      </c>
      <c r="I3183" s="9" t="inlineStr">
        <is>
          <t>Bullpen Depth Arm</t>
        </is>
      </c>
      <c r="J3183" s="18" t="inlineStr">
        <is>
          <t>Opening Day</t>
        </is>
      </c>
      <c r="K3183" s="11">
        <f>IFERROR(INDEX(Roles!$B$17:$B$20,MATCH(J3183,Roles!$A$17:$A$20,0)),1)</f>
        <v/>
      </c>
      <c r="L3183" s="19" t="n">
        <v>1</v>
      </c>
      <c r="M3183" s="11" t="n">
        <v>1</v>
      </c>
      <c r="N3183" s="19" t="n"/>
      <c r="O3183" s="19" t="n"/>
      <c r="P3183" s="19" t="n"/>
      <c r="Q3183" s="19" t="n"/>
      <c r="R3183" s="19" t="n"/>
      <c r="S3183" s="19" t="n"/>
      <c r="T3183" s="19" t="n"/>
      <c r="U3183" s="19" t="n"/>
      <c r="V3183" s="19" t="n"/>
      <c r="W3183" s="19" t="n">
        <v>1</v>
      </c>
      <c r="X3183" s="19" t="n"/>
      <c r="Y3183" s="19" t="n"/>
      <c r="Z3183" s="13">
        <f>SUMPRODUCT(N3183:Y3183,$N$2:$Y$2)*$K3183*$L3183*$M3183</f>
        <v/>
      </c>
      <c r="AA3183" s="14">
        <f>SUM(N3183:Y3183)</f>
        <v/>
      </c>
      <c r="AB3183" s="13">
        <f>SUMPRODUCT(N3183:Y3183,$N$3:$Y$3)*$K3183*$L3183*$M3183</f>
        <v/>
      </c>
      <c r="AC3183" s="13">
        <f>SUMPRODUCT(N3183:Y3183,$N$4:$Y$4)*$K3183*$L3183*$M3183</f>
        <v/>
      </c>
      <c r="AD3183" s="15" t="n">
        <v>22.66666666666666</v>
      </c>
      <c r="AE3183" s="11" t="n">
        <v>1.115232625036546</v>
      </c>
      <c r="AF3183" s="16">
        <f>SUMPRODUCT(N3183:Y3183,$N$5:$Y$5)*$K3183*$L3183*$M3183</f>
        <v/>
      </c>
      <c r="AG3183" s="16">
        <f>SUMPRODUCT(N3183:Y3183,$N$6:$Y$6)*$K3183*$L3183*$M3183</f>
        <v/>
      </c>
      <c r="AH3183" s="20" t="n"/>
    </row>
    <row r="3184">
      <c r="A3184" s="9" t="n">
        <v>801432</v>
      </c>
      <c r="B3184" s="9" t="inlineStr">
        <is>
          <t>Eric Reyzelman</t>
        </is>
      </c>
      <c r="C3184" s="9" t="inlineStr">
        <is>
          <t>NYY</t>
        </is>
      </c>
      <c r="D3184" s="9" t="n">
        <v>25</v>
      </c>
      <c r="E3184" s="18" t="inlineStr">
        <is>
          <t>R</t>
        </is>
      </c>
      <c r="F3184" s="18" t="n"/>
      <c r="G3184" s="9" t="n">
        <v>81.19833333333334</v>
      </c>
      <c r="H3184" s="9" t="n">
        <v>81.19833333333334</v>
      </c>
      <c r="I3184" s="9" t="inlineStr">
        <is>
          <t>Depth (no MLB IP)</t>
        </is>
      </c>
      <c r="J3184" s="18" t="inlineStr">
        <is>
          <t>Opening Day</t>
        </is>
      </c>
      <c r="K3184" s="11">
        <f>IFERROR(INDEX(Roles!$B$17:$B$20,MATCH(J3184,Roles!$A$17:$A$20,0)),1)</f>
        <v/>
      </c>
      <c r="L3184" s="19" t="n">
        <v>1</v>
      </c>
      <c r="M3184" s="11" t="n">
        <v>1</v>
      </c>
      <c r="N3184" s="19" t="n"/>
      <c r="O3184" s="19" t="n"/>
      <c r="P3184" s="19" t="n"/>
      <c r="Q3184" s="19" t="n"/>
      <c r="R3184" s="19" t="n"/>
      <c r="S3184" s="19" t="n"/>
      <c r="T3184" s="19" t="n"/>
      <c r="U3184" s="19" t="n"/>
      <c r="V3184" s="19" t="n"/>
      <c r="W3184" s="19" t="n"/>
      <c r="X3184" s="19" t="n"/>
      <c r="Y3184" s="19" t="n">
        <v>1</v>
      </c>
      <c r="Z3184" s="13">
        <f>SUMPRODUCT(N3184:Y3184,$N$2:$Y$2)*$K3184*$L3184*$M3184</f>
        <v/>
      </c>
      <c r="AA3184" s="14">
        <f>SUM(N3184:Y3184)</f>
        <v/>
      </c>
      <c r="AB3184" s="13">
        <f>SUMPRODUCT(N3184:Y3184,$N$3:$Y$3)*$K3184*$L3184*$M3184</f>
        <v/>
      </c>
      <c r="AC3184" s="13">
        <f>SUMPRODUCT(N3184:Y3184,$N$4:$Y$4)*$K3184*$L3184*$M3184</f>
        <v/>
      </c>
      <c r="AD3184" s="15" t="n">
        <v>3</v>
      </c>
      <c r="AE3184" s="11" t="n">
        <v>1.011296296296296</v>
      </c>
      <c r="AF3184" s="16">
        <f>SUMPRODUCT(N3184:Y3184,$N$5:$Y$5)*$K3184*$L3184*$M3184</f>
        <v/>
      </c>
      <c r="AG3184" s="16">
        <f>SUMPRODUCT(N3184:Y3184,$N$6:$Y$6)*$K3184*$L3184*$M3184</f>
        <v/>
      </c>
      <c r="AH3184" s="20" t="n"/>
    </row>
    <row r="3185">
      <c r="A3185" s="9" t="n">
        <v>660813</v>
      </c>
      <c r="B3185" s="9" t="inlineStr">
        <is>
          <t>Brusdar Graterol</t>
        </is>
      </c>
      <c r="C3185" s="9" t="inlineStr">
        <is>
          <t>LAD</t>
        </is>
      </c>
      <c r="D3185" s="9" t="n">
        <v>28</v>
      </c>
      <c r="E3185" s="18" t="inlineStr">
        <is>
          <t>R</t>
        </is>
      </c>
      <c r="F3185" s="18" t="n"/>
      <c r="G3185" s="9" t="n">
        <v>27</v>
      </c>
      <c r="H3185" s="9" t="n">
        <v>481</v>
      </c>
      <c r="I3185" s="9" t="inlineStr">
        <is>
          <t>Bullpen Depth Arm</t>
        </is>
      </c>
      <c r="J3185" s="18" t="inlineStr">
        <is>
          <t>Opening Day</t>
        </is>
      </c>
      <c r="K3185" s="11">
        <f>IFERROR(INDEX(Roles!$B$17:$B$20,MATCH(J3185,Roles!$A$17:$A$20,0)),1)</f>
        <v/>
      </c>
      <c r="L3185" s="19" t="n">
        <v>1</v>
      </c>
      <c r="M3185" s="11" t="n">
        <v>1</v>
      </c>
      <c r="N3185" s="19" t="n"/>
      <c r="O3185" s="19" t="n"/>
      <c r="P3185" s="19" t="n"/>
      <c r="Q3185" s="19" t="n"/>
      <c r="R3185" s="19" t="n"/>
      <c r="S3185" s="19" t="n"/>
      <c r="T3185" s="19" t="n"/>
      <c r="U3185" s="19" t="n"/>
      <c r="V3185" s="19" t="n"/>
      <c r="W3185" s="19" t="n">
        <v>0.5</v>
      </c>
      <c r="X3185" s="19" t="n"/>
      <c r="Y3185" s="19" t="n">
        <v>0.5</v>
      </c>
      <c r="Z3185" s="13">
        <f>SUMPRODUCT(N3185:Y3185,$N$2:$Y$2)*$K3185*$L3185*$M3185</f>
        <v/>
      </c>
      <c r="AA3185" s="14">
        <f>SUM(N3185:Y3185)</f>
        <v/>
      </c>
      <c r="AB3185" s="13">
        <f>SUMPRODUCT(N3185:Y3185,$N$3:$Y$3)*$K3185*$L3185*$M3185</f>
        <v/>
      </c>
      <c r="AC3185" s="13">
        <f>SUMPRODUCT(N3185:Y3185,$N$4:$Y$4)*$K3185*$L3185*$M3185</f>
        <v/>
      </c>
      <c r="AD3185" s="15" t="n">
        <v>9.866666666666664</v>
      </c>
      <c r="AE3185" s="11" t="n">
        <v>1.150713484046817</v>
      </c>
      <c r="AF3185" s="16">
        <f>SUMPRODUCT(N3185:Y3185,$N$5:$Y$5)*$K3185*$L3185*$M3185</f>
        <v/>
      </c>
      <c r="AG3185" s="16">
        <f>SUMPRODUCT(N3185:Y3185,$N$6:$Y$6)*$K3185*$L3185*$M3185</f>
        <v/>
      </c>
      <c r="AH3185" s="20" t="n"/>
    </row>
    <row r="3186">
      <c r="A3186" s="9" t="n">
        <v>686763</v>
      </c>
      <c r="B3186" s="9" t="inlineStr">
        <is>
          <t>Gunner Mayer</t>
        </is>
      </c>
      <c r="C3186" s="9" t="inlineStr">
        <is>
          <t>SEA</t>
        </is>
      </c>
      <c r="D3186" s="9" t="n">
        <v>25</v>
      </c>
      <c r="E3186" s="18" t="inlineStr">
        <is>
          <t>R</t>
        </is>
      </c>
      <c r="F3186" s="18" t="n"/>
      <c r="G3186" s="9" t="n">
        <v>81.19833333333334</v>
      </c>
      <c r="H3186" s="9" t="n">
        <v>81.19833333333334</v>
      </c>
      <c r="I3186" s="9" t="inlineStr">
        <is>
          <t>Depth (no MLB IP)</t>
        </is>
      </c>
      <c r="J3186" s="18" t="inlineStr">
        <is>
          <t>Opening Day</t>
        </is>
      </c>
      <c r="K3186" s="11">
        <f>IFERROR(INDEX(Roles!$B$17:$B$20,MATCH(J3186,Roles!$A$17:$A$20,0)),1)</f>
        <v/>
      </c>
      <c r="L3186" s="19" t="n">
        <v>1</v>
      </c>
      <c r="M3186" s="11" t="n">
        <v>1</v>
      </c>
      <c r="N3186" s="19" t="n"/>
      <c r="O3186" s="19" t="n"/>
      <c r="P3186" s="19" t="n"/>
      <c r="Q3186" s="19" t="n"/>
      <c r="R3186" s="19" t="n"/>
      <c r="S3186" s="19" t="n"/>
      <c r="T3186" s="19" t="n"/>
      <c r="U3186" s="19" t="n"/>
      <c r="V3186" s="19" t="n"/>
      <c r="W3186" s="19" t="n"/>
      <c r="X3186" s="19" t="n"/>
      <c r="Y3186" s="19" t="n">
        <v>1</v>
      </c>
      <c r="Z3186" s="13">
        <f>SUMPRODUCT(N3186:Y3186,$N$2:$Y$2)*$K3186*$L3186*$M3186</f>
        <v/>
      </c>
      <c r="AA3186" s="14">
        <f>SUM(N3186:Y3186)</f>
        <v/>
      </c>
      <c r="AB3186" s="13">
        <f>SUMPRODUCT(N3186:Y3186,$N$3:$Y$3)*$K3186*$L3186*$M3186</f>
        <v/>
      </c>
      <c r="AC3186" s="13">
        <f>SUMPRODUCT(N3186:Y3186,$N$4:$Y$4)*$K3186*$L3186*$M3186</f>
        <v/>
      </c>
      <c r="AD3186" s="15" t="n">
        <v>3</v>
      </c>
      <c r="AE3186" s="11" t="n">
        <v>1.011296296296296</v>
      </c>
      <c r="AF3186" s="16">
        <f>SUMPRODUCT(N3186:Y3186,$N$5:$Y$5)*$K3186*$L3186*$M3186</f>
        <v/>
      </c>
      <c r="AG3186" s="16">
        <f>SUMPRODUCT(N3186:Y3186,$N$6:$Y$6)*$K3186*$L3186*$M3186</f>
        <v/>
      </c>
      <c r="AH3186" s="20" t="n"/>
    </row>
    <row r="3187">
      <c r="A3187" s="9" t="n">
        <v>695558</v>
      </c>
      <c r="B3187" s="9" t="inlineStr">
        <is>
          <t>Jonathan Santucci</t>
        </is>
      </c>
      <c r="C3187" s="9" t="inlineStr">
        <is>
          <t>NYM</t>
        </is>
      </c>
      <c r="D3187" s="9" t="n">
        <v>25</v>
      </c>
      <c r="E3187" s="18" t="inlineStr">
        <is>
          <t>L</t>
        </is>
      </c>
      <c r="F3187" s="18" t="n"/>
      <c r="G3187" s="9" t="n">
        <v>81.19833333333334</v>
      </c>
      <c r="H3187" s="9" t="n">
        <v>81.19833333333334</v>
      </c>
      <c r="I3187" s="9" t="inlineStr">
        <is>
          <t>Innings-Limited Starter</t>
        </is>
      </c>
      <c r="J3187" s="18" t="inlineStr">
        <is>
          <t>Mid Season (~July)</t>
        </is>
      </c>
      <c r="K3187" s="11">
        <f>IFERROR(INDEX(Roles!$B$17:$B$20,MATCH(J3187,Roles!$A$17:$A$20,0)),1)</f>
        <v/>
      </c>
      <c r="L3187" s="19" t="n">
        <v>1</v>
      </c>
      <c r="M3187" s="11" t="n">
        <v>1</v>
      </c>
      <c r="N3187" s="19" t="n"/>
      <c r="O3187" s="19" t="n"/>
      <c r="P3187" s="19" t="n"/>
      <c r="Q3187" s="19" t="n">
        <v>0.47</v>
      </c>
      <c r="R3187" s="19" t="n">
        <v>0.3</v>
      </c>
      <c r="S3187" s="19" t="n"/>
      <c r="T3187" s="19" t="n"/>
      <c r="U3187" s="19" t="n"/>
      <c r="V3187" s="19" t="n"/>
      <c r="W3187" s="19" t="n">
        <v>0.23</v>
      </c>
      <c r="X3187" s="19" t="n"/>
      <c r="Y3187" s="19" t="n"/>
      <c r="Z3187" s="13">
        <f>SUMPRODUCT(N3187:Y3187,$N$2:$Y$2)*$K3187*$L3187*$M3187</f>
        <v/>
      </c>
      <c r="AA3187" s="14">
        <f>SUM(N3187:Y3187)</f>
        <v/>
      </c>
      <c r="AB3187" s="13">
        <f>SUMPRODUCT(N3187:Y3187,$N$3:$Y$3)*$K3187*$L3187*$M3187</f>
        <v/>
      </c>
      <c r="AC3187" s="13">
        <f>SUMPRODUCT(N3187:Y3187,$N$4:$Y$4)*$K3187*$L3187*$M3187</f>
        <v/>
      </c>
      <c r="AD3187" s="15" t="n">
        <v>27.39</v>
      </c>
      <c r="AE3187" s="11" t="n">
        <v>3.263964950711938</v>
      </c>
      <c r="AF3187" s="16">
        <f>SUMPRODUCT(N3187:Y3187,$N$5:$Y$5)*$K3187*$L3187*$M3187</f>
        <v/>
      </c>
      <c r="AG3187" s="16">
        <f>SUMPRODUCT(N3187:Y3187,$N$6:$Y$6)*$K3187*$L3187*$M3187</f>
        <v/>
      </c>
      <c r="AH3187" s="20" t="n"/>
    </row>
    <row r="3188">
      <c r="A3188" s="9" t="n">
        <v>686463</v>
      </c>
      <c r="B3188" s="9" t="inlineStr">
        <is>
          <t>Thomas Schultz</t>
        </is>
      </c>
      <c r="C3188" s="9" t="inlineStr">
        <is>
          <t>WSH</t>
        </is>
      </c>
      <c r="D3188" s="9" t="n">
        <v>25</v>
      </c>
      <c r="E3188" s="18" t="inlineStr">
        <is>
          <t>R</t>
        </is>
      </c>
      <c r="F3188" s="18" t="n"/>
      <c r="G3188" s="9" t="n">
        <v>81.27</v>
      </c>
      <c r="H3188" s="9" t="n">
        <v>81.27</v>
      </c>
      <c r="I3188" s="9" t="inlineStr">
        <is>
          <t>Depth (no MLB IP)</t>
        </is>
      </c>
      <c r="J3188" s="18" t="inlineStr">
        <is>
          <t>Opening Day</t>
        </is>
      </c>
      <c r="K3188" s="11">
        <f>IFERROR(INDEX(Roles!$B$17:$B$20,MATCH(J3188,Roles!$A$17:$A$20,0)),1)</f>
        <v/>
      </c>
      <c r="L3188" s="19" t="n">
        <v>1</v>
      </c>
      <c r="M3188" s="11" t="n">
        <v>1</v>
      </c>
      <c r="N3188" s="19" t="n"/>
      <c r="O3188" s="19" t="n"/>
      <c r="P3188" s="19" t="n"/>
      <c r="Q3188" s="19" t="n"/>
      <c r="R3188" s="19" t="n"/>
      <c r="S3188" s="19" t="n"/>
      <c r="T3188" s="19" t="n"/>
      <c r="U3188" s="19" t="n"/>
      <c r="V3188" s="19" t="n"/>
      <c r="W3188" s="19" t="n"/>
      <c r="X3188" s="19" t="n"/>
      <c r="Y3188" s="19" t="n">
        <v>1</v>
      </c>
      <c r="Z3188" s="13">
        <f>SUMPRODUCT(N3188:Y3188,$N$2:$Y$2)*$K3188*$L3188*$M3188</f>
        <v/>
      </c>
      <c r="AA3188" s="14">
        <f>SUM(N3188:Y3188)</f>
        <v/>
      </c>
      <c r="AB3188" s="13">
        <f>SUMPRODUCT(N3188:Y3188,$N$3:$Y$3)*$K3188*$L3188*$M3188</f>
        <v/>
      </c>
      <c r="AC3188" s="13">
        <f>SUMPRODUCT(N3188:Y3188,$N$4:$Y$4)*$K3188*$L3188*$M3188</f>
        <v/>
      </c>
      <c r="AD3188" s="15" t="n">
        <v>3</v>
      </c>
      <c r="AE3188" s="11" t="n">
        <v>1.011296296296296</v>
      </c>
      <c r="AF3188" s="16">
        <f>SUMPRODUCT(N3188:Y3188,$N$5:$Y$5)*$K3188*$L3188*$M3188</f>
        <v/>
      </c>
      <c r="AG3188" s="16">
        <f>SUMPRODUCT(N3188:Y3188,$N$6:$Y$6)*$K3188*$L3188*$M3188</f>
        <v/>
      </c>
      <c r="AH3188" s="20" t="n"/>
    </row>
    <row r="3189">
      <c r="A3189" s="9" t="n">
        <v>820832</v>
      </c>
      <c r="B3189" s="9" t="inlineStr">
        <is>
          <t>Blake Aita</t>
        </is>
      </c>
      <c r="C3189" s="9" t="inlineStr">
        <is>
          <t>STL</t>
        </is>
      </c>
      <c r="D3189" s="9" t="n">
        <v>25</v>
      </c>
      <c r="E3189" s="18" t="inlineStr">
        <is>
          <t>R</t>
        </is>
      </c>
      <c r="F3189" s="18" t="n"/>
      <c r="G3189" s="9" t="n">
        <v>81.27</v>
      </c>
      <c r="H3189" s="9" t="n">
        <v>81.27</v>
      </c>
      <c r="I3189" s="9" t="inlineStr">
        <is>
          <t>Depth (no MLB IP)</t>
        </is>
      </c>
      <c r="J3189" s="18" t="inlineStr">
        <is>
          <t>Opening Day</t>
        </is>
      </c>
      <c r="K3189" s="11">
        <f>IFERROR(INDEX(Roles!$B$17:$B$20,MATCH(J3189,Roles!$A$17:$A$20,0)),1)</f>
        <v/>
      </c>
      <c r="L3189" s="19" t="n">
        <v>1</v>
      </c>
      <c r="M3189" s="11" t="n">
        <v>1</v>
      </c>
      <c r="N3189" s="19" t="n"/>
      <c r="O3189" s="19" t="n"/>
      <c r="P3189" s="19" t="n"/>
      <c r="Q3189" s="19" t="n"/>
      <c r="R3189" s="19" t="n"/>
      <c r="S3189" s="19" t="n"/>
      <c r="T3189" s="19" t="n"/>
      <c r="U3189" s="19" t="n"/>
      <c r="V3189" s="19" t="n"/>
      <c r="W3189" s="19" t="n"/>
      <c r="X3189" s="19" t="n"/>
      <c r="Y3189" s="19" t="n">
        <v>1</v>
      </c>
      <c r="Z3189" s="13">
        <f>SUMPRODUCT(N3189:Y3189,$N$2:$Y$2)*$K3189*$L3189*$M3189</f>
        <v/>
      </c>
      <c r="AA3189" s="14">
        <f>SUM(N3189:Y3189)</f>
        <v/>
      </c>
      <c r="AB3189" s="13">
        <f>SUMPRODUCT(N3189:Y3189,$N$3:$Y$3)*$K3189*$L3189*$M3189</f>
        <v/>
      </c>
      <c r="AC3189" s="13">
        <f>SUMPRODUCT(N3189:Y3189,$N$4:$Y$4)*$K3189*$L3189*$M3189</f>
        <v/>
      </c>
      <c r="AD3189" s="15" t="n">
        <v>3</v>
      </c>
      <c r="AE3189" s="11" t="n">
        <v>1.011296296296296</v>
      </c>
      <c r="AF3189" s="16">
        <f>SUMPRODUCT(N3189:Y3189,$N$5:$Y$5)*$K3189*$L3189*$M3189</f>
        <v/>
      </c>
      <c r="AG3189" s="16">
        <f>SUMPRODUCT(N3189:Y3189,$N$6:$Y$6)*$K3189*$L3189*$M3189</f>
        <v/>
      </c>
      <c r="AH3189" s="20" t="n"/>
    </row>
    <row r="3190">
      <c r="A3190" s="9" t="n">
        <v>694207</v>
      </c>
      <c r="B3190" s="9" t="inlineStr">
        <is>
          <t>Brayan Mendoza</t>
        </is>
      </c>
      <c r="C3190" s="9" t="inlineStr">
        <is>
          <t>MIA</t>
        </is>
      </c>
      <c r="D3190" s="9" t="n">
        <v>25</v>
      </c>
      <c r="E3190" s="18" t="inlineStr">
        <is>
          <t>L</t>
        </is>
      </c>
      <c r="F3190" s="18" t="n"/>
      <c r="G3190" s="9" t="n">
        <v>81.41333333333334</v>
      </c>
      <c r="H3190" s="9" t="n">
        <v>81.41333333333334</v>
      </c>
      <c r="I3190" s="9" t="inlineStr">
        <is>
          <t>Depth (no MLB IP)</t>
        </is>
      </c>
      <c r="J3190" s="18" t="inlineStr">
        <is>
          <t>Opening Day</t>
        </is>
      </c>
      <c r="K3190" s="11">
        <f>IFERROR(INDEX(Roles!$B$17:$B$20,MATCH(J3190,Roles!$A$17:$A$20,0)),1)</f>
        <v/>
      </c>
      <c r="L3190" s="19" t="n">
        <v>1</v>
      </c>
      <c r="M3190" s="11" t="n">
        <v>1</v>
      </c>
      <c r="N3190" s="19" t="n"/>
      <c r="O3190" s="19" t="n"/>
      <c r="P3190" s="19" t="n"/>
      <c r="Q3190" s="19" t="n"/>
      <c r="R3190" s="19" t="n"/>
      <c r="S3190" s="19" t="n"/>
      <c r="T3190" s="19" t="n"/>
      <c r="U3190" s="19" t="n"/>
      <c r="V3190" s="19" t="n"/>
      <c r="W3190" s="19" t="n"/>
      <c r="X3190" s="19" t="n"/>
      <c r="Y3190" s="19" t="n">
        <v>1</v>
      </c>
      <c r="Z3190" s="13">
        <f>SUMPRODUCT(N3190:Y3190,$N$2:$Y$2)*$K3190*$L3190*$M3190</f>
        <v/>
      </c>
      <c r="AA3190" s="14">
        <f>SUM(N3190:Y3190)</f>
        <v/>
      </c>
      <c r="AB3190" s="13">
        <f>SUMPRODUCT(N3190:Y3190,$N$3:$Y$3)*$K3190*$L3190*$M3190</f>
        <v/>
      </c>
      <c r="AC3190" s="13">
        <f>SUMPRODUCT(N3190:Y3190,$N$4:$Y$4)*$K3190*$L3190*$M3190</f>
        <v/>
      </c>
      <c r="AD3190" s="15" t="n">
        <v>3</v>
      </c>
      <c r="AE3190" s="11" t="n">
        <v>1.011296296296296</v>
      </c>
      <c r="AF3190" s="16">
        <f>SUMPRODUCT(N3190:Y3190,$N$5:$Y$5)*$K3190*$L3190*$M3190</f>
        <v/>
      </c>
      <c r="AG3190" s="16">
        <f>SUMPRODUCT(N3190:Y3190,$N$6:$Y$6)*$K3190*$L3190*$M3190</f>
        <v/>
      </c>
      <c r="AH3190" s="20" t="n"/>
    </row>
    <row r="3191">
      <c r="A3191" s="9" t="n">
        <v>685410</v>
      </c>
      <c r="B3191" s="9" t="inlineStr">
        <is>
          <t>Peyton Battenfield</t>
        </is>
      </c>
      <c r="C3191" s="9" t="inlineStr">
        <is>
          <t>CLE</t>
        </is>
      </c>
      <c r="D3191" s="9" t="n">
        <v>29</v>
      </c>
      <c r="E3191" s="18" t="inlineStr">
        <is>
          <t>R</t>
        </is>
      </c>
      <c r="F3191" s="18" t="n"/>
      <c r="G3191" s="9" t="n">
        <v>146</v>
      </c>
      <c r="H3191" s="9" t="n">
        <v>146</v>
      </c>
      <c r="I3191" s="9" t="inlineStr">
        <is>
          <t>Depth (no MLB IP)</t>
        </is>
      </c>
      <c r="J3191" s="18" t="inlineStr">
        <is>
          <t>Opening Day</t>
        </is>
      </c>
      <c r="K3191" s="11">
        <f>IFERROR(INDEX(Roles!$B$17:$B$20,MATCH(J3191,Roles!$A$17:$A$20,0)),1)</f>
        <v/>
      </c>
      <c r="L3191" s="19" t="n">
        <v>1</v>
      </c>
      <c r="M3191" s="11" t="n">
        <v>1</v>
      </c>
      <c r="N3191" s="19" t="n"/>
      <c r="O3191" s="19" t="n"/>
      <c r="P3191" s="19" t="n"/>
      <c r="Q3191" s="19" t="n"/>
      <c r="R3191" s="19" t="n"/>
      <c r="S3191" s="19" t="n"/>
      <c r="T3191" s="19" t="n"/>
      <c r="U3191" s="19" t="n"/>
      <c r="V3191" s="19" t="n"/>
      <c r="W3191" s="19" t="n"/>
      <c r="X3191" s="19" t="n"/>
      <c r="Y3191" s="19" t="n">
        <v>1</v>
      </c>
      <c r="Z3191" s="13">
        <f>SUMPRODUCT(N3191:Y3191,$N$2:$Y$2)*$K3191*$L3191*$M3191</f>
        <v/>
      </c>
      <c r="AA3191" s="14">
        <f>SUM(N3191:Y3191)</f>
        <v/>
      </c>
      <c r="AB3191" s="13">
        <f>SUMPRODUCT(N3191:Y3191,$N$3:$Y$3)*$K3191*$L3191*$M3191</f>
        <v/>
      </c>
      <c r="AC3191" s="13">
        <f>SUMPRODUCT(N3191:Y3191,$N$4:$Y$4)*$K3191*$L3191*$M3191</f>
        <v/>
      </c>
      <c r="AD3191" s="15" t="n">
        <v>3</v>
      </c>
      <c r="AE3191" s="11" t="n">
        <v>1.011296296296296</v>
      </c>
      <c r="AF3191" s="16">
        <f>SUMPRODUCT(N3191:Y3191,$N$5:$Y$5)*$K3191*$L3191*$M3191</f>
        <v/>
      </c>
      <c r="AG3191" s="16">
        <f>SUMPRODUCT(N3191:Y3191,$N$6:$Y$6)*$K3191*$L3191*$M3191</f>
        <v/>
      </c>
      <c r="AH3191" s="20" t="n"/>
    </row>
    <row r="3192">
      <c r="A3192" s="9" t="n">
        <v>663658</v>
      </c>
      <c r="B3192" s="9" t="inlineStr">
        <is>
          <t>Thaddeus Ward</t>
        </is>
      </c>
      <c r="C3192" s="9" t="inlineStr">
        <is>
          <t>WSH</t>
        </is>
      </c>
      <c r="D3192" s="9" t="n">
        <v>30</v>
      </c>
      <c r="E3192" s="18" t="inlineStr">
        <is>
          <t>R</t>
        </is>
      </c>
      <c r="F3192" s="18" t="n"/>
      <c r="G3192" s="9" t="n">
        <v>160</v>
      </c>
      <c r="H3192" s="9" t="n">
        <v>160</v>
      </c>
      <c r="I3192" s="9" t="inlineStr">
        <is>
          <t>Depth (no MLB IP)</t>
        </is>
      </c>
      <c r="J3192" s="18" t="inlineStr">
        <is>
          <t>Opening Day</t>
        </is>
      </c>
      <c r="K3192" s="11">
        <f>IFERROR(INDEX(Roles!$B$17:$B$20,MATCH(J3192,Roles!$A$17:$A$20,0)),1)</f>
        <v/>
      </c>
      <c r="L3192" s="19" t="n">
        <v>1</v>
      </c>
      <c r="M3192" s="11" t="n">
        <v>1</v>
      </c>
      <c r="N3192" s="19" t="n"/>
      <c r="O3192" s="19" t="n"/>
      <c r="P3192" s="19" t="n"/>
      <c r="Q3192" s="19" t="n"/>
      <c r="R3192" s="19" t="n"/>
      <c r="S3192" s="19" t="n"/>
      <c r="T3192" s="19" t="n"/>
      <c r="U3192" s="19" t="n"/>
      <c r="V3192" s="19" t="n"/>
      <c r="W3192" s="19" t="n"/>
      <c r="X3192" s="19" t="n"/>
      <c r="Y3192" s="19" t="n">
        <v>1</v>
      </c>
      <c r="Z3192" s="13">
        <f>SUMPRODUCT(N3192:Y3192,$N$2:$Y$2)*$K3192*$L3192*$M3192</f>
        <v/>
      </c>
      <c r="AA3192" s="14">
        <f>SUM(N3192:Y3192)</f>
        <v/>
      </c>
      <c r="AB3192" s="13">
        <f>SUMPRODUCT(N3192:Y3192,$N$3:$Y$3)*$K3192*$L3192*$M3192</f>
        <v/>
      </c>
      <c r="AC3192" s="13">
        <f>SUMPRODUCT(N3192:Y3192,$N$4:$Y$4)*$K3192*$L3192*$M3192</f>
        <v/>
      </c>
      <c r="AD3192" s="15" t="n">
        <v>3</v>
      </c>
      <c r="AE3192" s="11" t="n">
        <v>1.011296296296296</v>
      </c>
      <c r="AF3192" s="16">
        <f>SUMPRODUCT(N3192:Y3192,$N$5:$Y$5)*$K3192*$L3192*$M3192</f>
        <v/>
      </c>
      <c r="AG3192" s="16">
        <f>SUMPRODUCT(N3192:Y3192,$N$6:$Y$6)*$K3192*$L3192*$M3192</f>
        <v/>
      </c>
      <c r="AH3192" s="20" t="n"/>
    </row>
    <row r="3193">
      <c r="A3193" s="9" t="n">
        <v>822472</v>
      </c>
      <c r="B3193" s="9" t="inlineStr">
        <is>
          <t>Domenic Picone</t>
        </is>
      </c>
      <c r="C3193" s="9" t="inlineStr">
        <is>
          <t>STL</t>
        </is>
      </c>
      <c r="D3193" s="9" t="n">
        <v>25</v>
      </c>
      <c r="E3193" s="18" t="inlineStr">
        <is>
          <t>R</t>
        </is>
      </c>
      <c r="F3193" s="18" t="n"/>
      <c r="G3193" s="9" t="n">
        <v>81.77166666666666</v>
      </c>
      <c r="H3193" s="9" t="n">
        <v>81.77166666666666</v>
      </c>
      <c r="I3193" s="9" t="inlineStr">
        <is>
          <t>Depth (no MLB IP)</t>
        </is>
      </c>
      <c r="J3193" s="18" t="inlineStr">
        <is>
          <t>Opening Day</t>
        </is>
      </c>
      <c r="K3193" s="11">
        <f>IFERROR(INDEX(Roles!$B$17:$B$20,MATCH(J3193,Roles!$A$17:$A$20,0)),1)</f>
        <v/>
      </c>
      <c r="L3193" s="19" t="n">
        <v>1</v>
      </c>
      <c r="M3193" s="11" t="n">
        <v>1</v>
      </c>
      <c r="N3193" s="19" t="n"/>
      <c r="O3193" s="19" t="n"/>
      <c r="P3193" s="19" t="n"/>
      <c r="Q3193" s="19" t="n"/>
      <c r="R3193" s="19" t="n"/>
      <c r="S3193" s="19" t="n"/>
      <c r="T3193" s="19" t="n"/>
      <c r="U3193" s="19" t="n"/>
      <c r="V3193" s="19" t="n"/>
      <c r="W3193" s="19" t="n"/>
      <c r="X3193" s="19" t="n"/>
      <c r="Y3193" s="19" t="n">
        <v>1</v>
      </c>
      <c r="Z3193" s="13">
        <f>SUMPRODUCT(N3193:Y3193,$N$2:$Y$2)*$K3193*$L3193*$M3193</f>
        <v/>
      </c>
      <c r="AA3193" s="14">
        <f>SUM(N3193:Y3193)</f>
        <v/>
      </c>
      <c r="AB3193" s="13">
        <f>SUMPRODUCT(N3193:Y3193,$N$3:$Y$3)*$K3193*$L3193*$M3193</f>
        <v/>
      </c>
      <c r="AC3193" s="13">
        <f>SUMPRODUCT(N3193:Y3193,$N$4:$Y$4)*$K3193*$L3193*$M3193</f>
        <v/>
      </c>
      <c r="AD3193" s="15" t="n">
        <v>3</v>
      </c>
      <c r="AE3193" s="11" t="n">
        <v>1.011296296296296</v>
      </c>
      <c r="AF3193" s="16">
        <f>SUMPRODUCT(N3193:Y3193,$N$5:$Y$5)*$K3193*$L3193*$M3193</f>
        <v/>
      </c>
      <c r="AG3193" s="16">
        <f>SUMPRODUCT(N3193:Y3193,$N$6:$Y$6)*$K3193*$L3193*$M3193</f>
        <v/>
      </c>
      <c r="AH3193" s="20" t="n"/>
    </row>
    <row r="3194">
      <c r="A3194" s="9" t="n">
        <v>687776</v>
      </c>
      <c r="B3194" s="9" t="inlineStr">
        <is>
          <t>Alejandro Torres</t>
        </is>
      </c>
      <c r="C3194" s="9" t="inlineStr">
        <is>
          <t>HOU</t>
        </is>
      </c>
      <c r="D3194" s="9" t="n">
        <v>25</v>
      </c>
      <c r="E3194" s="18" t="inlineStr">
        <is>
          <t>R</t>
        </is>
      </c>
      <c r="F3194" s="18" t="n"/>
      <c r="G3194" s="9" t="n">
        <v>81.77166666666666</v>
      </c>
      <c r="H3194" s="9" t="n">
        <v>81.77166666666666</v>
      </c>
      <c r="I3194" s="9" t="inlineStr">
        <is>
          <t>Depth (no MLB IP)</t>
        </is>
      </c>
      <c r="J3194" s="18" t="inlineStr">
        <is>
          <t>Opening Day</t>
        </is>
      </c>
      <c r="K3194" s="11">
        <f>IFERROR(INDEX(Roles!$B$17:$B$20,MATCH(J3194,Roles!$A$17:$A$20,0)),1)</f>
        <v/>
      </c>
      <c r="L3194" s="19" t="n">
        <v>1</v>
      </c>
      <c r="M3194" s="11" t="n">
        <v>1</v>
      </c>
      <c r="N3194" s="19" t="n"/>
      <c r="O3194" s="19" t="n"/>
      <c r="P3194" s="19" t="n"/>
      <c r="Q3194" s="19" t="n"/>
      <c r="R3194" s="19" t="n"/>
      <c r="S3194" s="19" t="n"/>
      <c r="T3194" s="19" t="n"/>
      <c r="U3194" s="19" t="n"/>
      <c r="V3194" s="19" t="n"/>
      <c r="W3194" s="19" t="n"/>
      <c r="X3194" s="19" t="n"/>
      <c r="Y3194" s="19" t="n">
        <v>1</v>
      </c>
      <c r="Z3194" s="13">
        <f>SUMPRODUCT(N3194:Y3194,$N$2:$Y$2)*$K3194*$L3194*$M3194</f>
        <v/>
      </c>
      <c r="AA3194" s="14">
        <f>SUM(N3194:Y3194)</f>
        <v/>
      </c>
      <c r="AB3194" s="13">
        <f>SUMPRODUCT(N3194:Y3194,$N$3:$Y$3)*$K3194*$L3194*$M3194</f>
        <v/>
      </c>
      <c r="AC3194" s="13">
        <f>SUMPRODUCT(N3194:Y3194,$N$4:$Y$4)*$K3194*$L3194*$M3194</f>
        <v/>
      </c>
      <c r="AD3194" s="15" t="n">
        <v>3</v>
      </c>
      <c r="AE3194" s="11" t="n">
        <v>1.011296296296296</v>
      </c>
      <c r="AF3194" s="16">
        <f>SUMPRODUCT(N3194:Y3194,$N$5:$Y$5)*$K3194*$L3194*$M3194</f>
        <v/>
      </c>
      <c r="AG3194" s="16">
        <f>SUMPRODUCT(N3194:Y3194,$N$6:$Y$6)*$K3194*$L3194*$M3194</f>
        <v/>
      </c>
      <c r="AH3194" s="20" t="n"/>
    </row>
    <row r="3195">
      <c r="A3195" s="9" t="n">
        <v>668670</v>
      </c>
      <c r="B3195" s="9" t="inlineStr">
        <is>
          <t>Jake Rogers</t>
        </is>
      </c>
      <c r="C3195" s="9" t="inlineStr">
        <is>
          <t>DET</t>
        </is>
      </c>
      <c r="D3195" s="9" t="n">
        <v>32</v>
      </c>
      <c r="E3195" s="18" t="inlineStr">
        <is>
          <t>R</t>
        </is>
      </c>
      <c r="F3195" s="18" t="n"/>
      <c r="G3195" s="9" t="n">
        <v>12</v>
      </c>
      <c r="H3195" s="9" t="n">
        <v>28</v>
      </c>
      <c r="I3195" s="9" t="inlineStr">
        <is>
          <t>Depth (no MLB IP)</t>
        </is>
      </c>
      <c r="J3195" s="18" t="inlineStr">
        <is>
          <t>Opening Day</t>
        </is>
      </c>
      <c r="K3195" s="11">
        <f>IFERROR(INDEX(Roles!$B$17:$B$20,MATCH(J3195,Roles!$A$17:$A$20,0)),1)</f>
        <v/>
      </c>
      <c r="L3195" s="19" t="n">
        <v>1</v>
      </c>
      <c r="M3195" s="11" t="n">
        <v>1</v>
      </c>
      <c r="N3195" s="19" t="n"/>
      <c r="O3195" s="19" t="n"/>
      <c r="P3195" s="19" t="n"/>
      <c r="Q3195" s="19" t="n"/>
      <c r="R3195" s="19" t="n"/>
      <c r="S3195" s="19" t="n"/>
      <c r="T3195" s="19" t="n"/>
      <c r="U3195" s="19" t="n"/>
      <c r="V3195" s="19" t="n"/>
      <c r="W3195" s="19" t="n"/>
      <c r="X3195" s="19" t="n"/>
      <c r="Y3195" s="19" t="n">
        <v>1</v>
      </c>
      <c r="Z3195" s="13">
        <f>SUMPRODUCT(N3195:Y3195,$N$2:$Y$2)*$K3195*$L3195*$M3195</f>
        <v/>
      </c>
      <c r="AA3195" s="14">
        <f>SUM(N3195:Y3195)</f>
        <v/>
      </c>
      <c r="AB3195" s="13">
        <f>SUMPRODUCT(N3195:Y3195,$N$3:$Y$3)*$K3195*$L3195*$M3195</f>
        <v/>
      </c>
      <c r="AC3195" s="13">
        <f>SUMPRODUCT(N3195:Y3195,$N$4:$Y$4)*$K3195*$L3195*$M3195</f>
        <v/>
      </c>
      <c r="AD3195" s="15" t="n">
        <v>3.24</v>
      </c>
      <c r="AE3195" s="11" t="n">
        <v>0.9552432824981842</v>
      </c>
      <c r="AF3195" s="16">
        <f>SUMPRODUCT(N3195:Y3195,$N$5:$Y$5)*$K3195*$L3195*$M3195</f>
        <v/>
      </c>
      <c r="AG3195" s="16">
        <f>SUMPRODUCT(N3195:Y3195,$N$6:$Y$6)*$K3195*$L3195*$M3195</f>
        <v/>
      </c>
      <c r="AH3195" s="20" t="n"/>
    </row>
    <row r="3196">
      <c r="A3196" s="9" t="n">
        <v>692179</v>
      </c>
      <c r="B3196" s="9" t="inlineStr">
        <is>
          <t>Thomas Ireland</t>
        </is>
      </c>
      <c r="C3196" s="9" t="inlineStr">
        <is>
          <t>TEX</t>
        </is>
      </c>
      <c r="D3196" s="9" t="n">
        <v>25</v>
      </c>
      <c r="E3196" s="18" t="inlineStr">
        <is>
          <t>L</t>
        </is>
      </c>
      <c r="F3196" s="18" t="n"/>
      <c r="G3196" s="9" t="n">
        <v>81.98666666666666</v>
      </c>
      <c r="H3196" s="9" t="n">
        <v>81.98666666666666</v>
      </c>
      <c r="I3196" s="9" t="inlineStr">
        <is>
          <t>Depth (no MLB IP)</t>
        </is>
      </c>
      <c r="J3196" s="18" t="inlineStr">
        <is>
          <t>Opening Day</t>
        </is>
      </c>
      <c r="K3196" s="11">
        <f>IFERROR(INDEX(Roles!$B$17:$B$20,MATCH(J3196,Roles!$A$17:$A$20,0)),1)</f>
        <v/>
      </c>
      <c r="L3196" s="19" t="n">
        <v>1</v>
      </c>
      <c r="M3196" s="11" t="n">
        <v>1</v>
      </c>
      <c r="N3196" s="19" t="n"/>
      <c r="O3196" s="19" t="n"/>
      <c r="P3196" s="19" t="n"/>
      <c r="Q3196" s="19" t="n"/>
      <c r="R3196" s="19" t="n"/>
      <c r="S3196" s="19" t="n"/>
      <c r="T3196" s="19" t="n"/>
      <c r="U3196" s="19" t="n"/>
      <c r="V3196" s="19" t="n"/>
      <c r="W3196" s="19" t="n"/>
      <c r="X3196" s="19" t="n"/>
      <c r="Y3196" s="19" t="n">
        <v>1</v>
      </c>
      <c r="Z3196" s="13">
        <f>SUMPRODUCT(N3196:Y3196,$N$2:$Y$2)*$K3196*$L3196*$M3196</f>
        <v/>
      </c>
      <c r="AA3196" s="14">
        <f>SUM(N3196:Y3196)</f>
        <v/>
      </c>
      <c r="AB3196" s="13">
        <f>SUMPRODUCT(N3196:Y3196,$N$3:$Y$3)*$K3196*$L3196*$M3196</f>
        <v/>
      </c>
      <c r="AC3196" s="13">
        <f>SUMPRODUCT(N3196:Y3196,$N$4:$Y$4)*$K3196*$L3196*$M3196</f>
        <v/>
      </c>
      <c r="AD3196" s="15" t="n">
        <v>3</v>
      </c>
      <c r="AE3196" s="11" t="n">
        <v>1.011296296296296</v>
      </c>
      <c r="AF3196" s="16">
        <f>SUMPRODUCT(N3196:Y3196,$N$5:$Y$5)*$K3196*$L3196*$M3196</f>
        <v/>
      </c>
      <c r="AG3196" s="16">
        <f>SUMPRODUCT(N3196:Y3196,$N$6:$Y$6)*$K3196*$L3196*$M3196</f>
        <v/>
      </c>
      <c r="AH3196" s="20" t="n"/>
    </row>
    <row r="3197">
      <c r="A3197" s="9" t="n">
        <v>608638</v>
      </c>
      <c r="B3197" s="9" t="inlineStr">
        <is>
          <t>JT Chargois</t>
        </is>
      </c>
      <c r="C3197" s="9" t="inlineStr">
        <is>
          <t>SEA</t>
        </is>
      </c>
      <c r="D3197" s="9" t="n">
        <v>36</v>
      </c>
      <c r="E3197" s="18" t="inlineStr">
        <is>
          <t>R</t>
        </is>
      </c>
      <c r="F3197" s="18" t="n"/>
      <c r="G3197" s="9" t="n">
        <v>146</v>
      </c>
      <c r="H3197" s="9" t="n">
        <v>406</v>
      </c>
      <c r="I3197" s="9" t="inlineStr">
        <is>
          <t>Depth (no MLB IP)</t>
        </is>
      </c>
      <c r="J3197" s="18" t="inlineStr">
        <is>
          <t>Opening Day</t>
        </is>
      </c>
      <c r="K3197" s="11">
        <f>IFERROR(INDEX(Roles!$B$17:$B$20,MATCH(J3197,Roles!$A$17:$A$20,0)),1)</f>
        <v/>
      </c>
      <c r="L3197" s="19" t="n">
        <v>1</v>
      </c>
      <c r="M3197" s="11" t="n">
        <v>1</v>
      </c>
      <c r="N3197" s="19" t="n"/>
      <c r="O3197" s="19" t="n"/>
      <c r="P3197" s="19" t="n"/>
      <c r="Q3197" s="19" t="n"/>
      <c r="R3197" s="19" t="n"/>
      <c r="S3197" s="19" t="n"/>
      <c r="T3197" s="19" t="n"/>
      <c r="U3197" s="19" t="n"/>
      <c r="V3197" s="19" t="n"/>
      <c r="W3197" s="19" t="n"/>
      <c r="X3197" s="19" t="n"/>
      <c r="Y3197" s="19" t="n">
        <v>1</v>
      </c>
      <c r="Z3197" s="13">
        <f>SUMPRODUCT(N3197:Y3197,$N$2:$Y$2)*$K3197*$L3197*$M3197</f>
        <v/>
      </c>
      <c r="AA3197" s="14">
        <f>SUM(N3197:Y3197)</f>
        <v/>
      </c>
      <c r="AB3197" s="13">
        <f>SUMPRODUCT(N3197:Y3197,$N$3:$Y$3)*$K3197*$L3197*$M3197</f>
        <v/>
      </c>
      <c r="AC3197" s="13">
        <f>SUMPRODUCT(N3197:Y3197,$N$4:$Y$4)*$K3197*$L3197*$M3197</f>
        <v/>
      </c>
      <c r="AD3197" s="15" t="n">
        <v>22.8</v>
      </c>
      <c r="AE3197" s="11" t="n">
        <v>1.010617283950617</v>
      </c>
      <c r="AF3197" s="16">
        <f>SUMPRODUCT(N3197:Y3197,$N$5:$Y$5)*$K3197*$L3197*$M3197</f>
        <v/>
      </c>
      <c r="AG3197" s="16">
        <f>SUMPRODUCT(N3197:Y3197,$N$6:$Y$6)*$K3197*$L3197*$M3197</f>
        <v/>
      </c>
      <c r="AH3197" s="20" t="n"/>
    </row>
    <row r="3198">
      <c r="A3198" s="9" t="n">
        <v>692229</v>
      </c>
      <c r="B3198" s="9" t="inlineStr">
        <is>
          <t>Carlos Rey</t>
        </is>
      </c>
      <c r="C3198" s="9" t="inlineStr">
        <is>
          <t>ARI</t>
        </is>
      </c>
      <c r="D3198" s="9" t="n">
        <v>25</v>
      </c>
      <c r="E3198" s="18" t="inlineStr">
        <is>
          <t>L</t>
        </is>
      </c>
      <c r="F3198" s="18" t="n"/>
      <c r="G3198" s="9" t="n">
        <v>82.27333333333331</v>
      </c>
      <c r="H3198" s="9" t="n">
        <v>82.27333333333331</v>
      </c>
      <c r="I3198" s="9" t="inlineStr">
        <is>
          <t>Depth (no MLB IP)</t>
        </is>
      </c>
      <c r="J3198" s="18" t="inlineStr">
        <is>
          <t>Opening Day</t>
        </is>
      </c>
      <c r="K3198" s="11">
        <f>IFERROR(INDEX(Roles!$B$17:$B$20,MATCH(J3198,Roles!$A$17:$A$20,0)),1)</f>
        <v/>
      </c>
      <c r="L3198" s="19" t="n">
        <v>1</v>
      </c>
      <c r="M3198" s="11" t="n">
        <v>1</v>
      </c>
      <c r="N3198" s="19" t="n"/>
      <c r="O3198" s="19" t="n"/>
      <c r="P3198" s="19" t="n"/>
      <c r="Q3198" s="19" t="n"/>
      <c r="R3198" s="19" t="n"/>
      <c r="S3198" s="19" t="n"/>
      <c r="T3198" s="19" t="n"/>
      <c r="U3198" s="19" t="n"/>
      <c r="V3198" s="19" t="n"/>
      <c r="W3198" s="19" t="n"/>
      <c r="X3198" s="19" t="n"/>
      <c r="Y3198" s="19" t="n">
        <v>1</v>
      </c>
      <c r="Z3198" s="13">
        <f>SUMPRODUCT(N3198:Y3198,$N$2:$Y$2)*$K3198*$L3198*$M3198</f>
        <v/>
      </c>
      <c r="AA3198" s="14">
        <f>SUM(N3198:Y3198)</f>
        <v/>
      </c>
      <c r="AB3198" s="13">
        <f>SUMPRODUCT(N3198:Y3198,$N$3:$Y$3)*$K3198*$L3198*$M3198</f>
        <v/>
      </c>
      <c r="AC3198" s="13">
        <f>SUMPRODUCT(N3198:Y3198,$N$4:$Y$4)*$K3198*$L3198*$M3198</f>
        <v/>
      </c>
      <c r="AD3198" s="15" t="n">
        <v>3</v>
      </c>
      <c r="AE3198" s="11" t="n">
        <v>1.011296296296296</v>
      </c>
      <c r="AF3198" s="16">
        <f>SUMPRODUCT(N3198:Y3198,$N$5:$Y$5)*$K3198*$L3198*$M3198</f>
        <v/>
      </c>
      <c r="AG3198" s="16">
        <f>SUMPRODUCT(N3198:Y3198,$N$6:$Y$6)*$K3198*$L3198*$M3198</f>
        <v/>
      </c>
      <c r="AH3198" s="20" t="n"/>
    </row>
    <row r="3199">
      <c r="A3199" s="9" t="n">
        <v>805955</v>
      </c>
      <c r="B3199" s="9" t="inlineStr">
        <is>
          <t>Carson Dorsey</t>
        </is>
      </c>
      <c r="C3199" s="9" t="inlineStr">
        <is>
          <t>BAL</t>
        </is>
      </c>
      <c r="D3199" s="9" t="n">
        <v>25</v>
      </c>
      <c r="E3199" s="18" t="inlineStr">
        <is>
          <t>L</t>
        </is>
      </c>
      <c r="F3199" s="18" t="n"/>
      <c r="G3199" s="9" t="n">
        <v>82.27333333333334</v>
      </c>
      <c r="H3199" s="9" t="n">
        <v>82.27333333333334</v>
      </c>
      <c r="I3199" s="9" t="inlineStr">
        <is>
          <t>Depth (no MLB IP)</t>
        </is>
      </c>
      <c r="J3199" s="18" t="inlineStr">
        <is>
          <t>Opening Day</t>
        </is>
      </c>
      <c r="K3199" s="11">
        <f>IFERROR(INDEX(Roles!$B$17:$B$20,MATCH(J3199,Roles!$A$17:$A$20,0)),1)</f>
        <v/>
      </c>
      <c r="L3199" s="19" t="n">
        <v>1</v>
      </c>
      <c r="M3199" s="11" t="n">
        <v>1</v>
      </c>
      <c r="N3199" s="19" t="n"/>
      <c r="O3199" s="19" t="n"/>
      <c r="P3199" s="19" t="n"/>
      <c r="Q3199" s="19" t="n"/>
      <c r="R3199" s="19" t="n"/>
      <c r="S3199" s="19" t="n"/>
      <c r="T3199" s="19" t="n"/>
      <c r="U3199" s="19" t="n"/>
      <c r="V3199" s="19" t="n"/>
      <c r="W3199" s="19" t="n"/>
      <c r="X3199" s="19" t="n"/>
      <c r="Y3199" s="19" t="n">
        <v>1</v>
      </c>
      <c r="Z3199" s="13">
        <f>SUMPRODUCT(N3199:Y3199,$N$2:$Y$2)*$K3199*$L3199*$M3199</f>
        <v/>
      </c>
      <c r="AA3199" s="14">
        <f>SUM(N3199:Y3199)</f>
        <v/>
      </c>
      <c r="AB3199" s="13">
        <f>SUMPRODUCT(N3199:Y3199,$N$3:$Y$3)*$K3199*$L3199*$M3199</f>
        <v/>
      </c>
      <c r="AC3199" s="13">
        <f>SUMPRODUCT(N3199:Y3199,$N$4:$Y$4)*$K3199*$L3199*$M3199</f>
        <v/>
      </c>
      <c r="AD3199" s="15" t="n">
        <v>3</v>
      </c>
      <c r="AE3199" s="11" t="n">
        <v>1.011296296296296</v>
      </c>
      <c r="AF3199" s="16">
        <f>SUMPRODUCT(N3199:Y3199,$N$5:$Y$5)*$K3199*$L3199*$M3199</f>
        <v/>
      </c>
      <c r="AG3199" s="16">
        <f>SUMPRODUCT(N3199:Y3199,$N$6:$Y$6)*$K3199*$L3199*$M3199</f>
        <v/>
      </c>
      <c r="AH3199" s="20" t="n"/>
    </row>
    <row r="3200">
      <c r="A3200" s="9" t="n">
        <v>690921</v>
      </c>
      <c r="B3200" s="9" t="inlineStr">
        <is>
          <t>Micah Dallas</t>
        </is>
      </c>
      <c r="C3200" s="9" t="inlineStr">
        <is>
          <t>OAK</t>
        </is>
      </c>
      <c r="D3200" s="9" t="n">
        <v>25</v>
      </c>
      <c r="E3200" s="18" t="inlineStr">
        <is>
          <t>R</t>
        </is>
      </c>
      <c r="F3200" s="18" t="n"/>
      <c r="G3200" s="9" t="n">
        <v>82.27333333333331</v>
      </c>
      <c r="H3200" s="9" t="n">
        <v>82.27333333333331</v>
      </c>
      <c r="I3200" s="9" t="inlineStr">
        <is>
          <t>Depth (no MLB IP)</t>
        </is>
      </c>
      <c r="J3200" s="18" t="inlineStr">
        <is>
          <t>Opening Day</t>
        </is>
      </c>
      <c r="K3200" s="11">
        <f>IFERROR(INDEX(Roles!$B$17:$B$20,MATCH(J3200,Roles!$A$17:$A$20,0)),1)</f>
        <v/>
      </c>
      <c r="L3200" s="19" t="n">
        <v>1</v>
      </c>
      <c r="M3200" s="11" t="n">
        <v>1</v>
      </c>
      <c r="N3200" s="19" t="n"/>
      <c r="O3200" s="19" t="n"/>
      <c r="P3200" s="19" t="n"/>
      <c r="Q3200" s="19" t="n"/>
      <c r="R3200" s="19" t="n"/>
      <c r="S3200" s="19" t="n"/>
      <c r="T3200" s="19" t="n"/>
      <c r="U3200" s="19" t="n"/>
      <c r="V3200" s="19" t="n"/>
      <c r="W3200" s="19" t="n"/>
      <c r="X3200" s="19" t="n"/>
      <c r="Y3200" s="19" t="n">
        <v>1</v>
      </c>
      <c r="Z3200" s="13">
        <f>SUMPRODUCT(N3200:Y3200,$N$2:$Y$2)*$K3200*$L3200*$M3200</f>
        <v/>
      </c>
      <c r="AA3200" s="14">
        <f>SUM(N3200:Y3200)</f>
        <v/>
      </c>
      <c r="AB3200" s="13">
        <f>SUMPRODUCT(N3200:Y3200,$N$3:$Y$3)*$K3200*$L3200*$M3200</f>
        <v/>
      </c>
      <c r="AC3200" s="13">
        <f>SUMPRODUCT(N3200:Y3200,$N$4:$Y$4)*$K3200*$L3200*$M3200</f>
        <v/>
      </c>
      <c r="AD3200" s="15" t="n">
        <v>3</v>
      </c>
      <c r="AE3200" s="11" t="n">
        <v>1.011296296296296</v>
      </c>
      <c r="AF3200" s="16">
        <f>SUMPRODUCT(N3200:Y3200,$N$5:$Y$5)*$K3200*$L3200*$M3200</f>
        <v/>
      </c>
      <c r="AG3200" s="16">
        <f>SUMPRODUCT(N3200:Y3200,$N$6:$Y$6)*$K3200*$L3200*$M3200</f>
        <v/>
      </c>
      <c r="AH3200" s="20" t="n"/>
    </row>
    <row r="3201">
      <c r="A3201" s="9" t="n">
        <v>676680</v>
      </c>
      <c r="B3201" s="9" t="inlineStr">
        <is>
          <t>Tom Cosgrove</t>
        </is>
      </c>
      <c r="C3201" s="9" t="inlineStr">
        <is>
          <t>WSH</t>
        </is>
      </c>
      <c r="D3201" s="9" t="n">
        <v>31</v>
      </c>
      <c r="E3201" s="18" t="inlineStr">
        <is>
          <t>L</t>
        </is>
      </c>
      <c r="F3201" s="18" t="n"/>
      <c r="G3201" s="9" t="n">
        <v>74</v>
      </c>
      <c r="H3201" s="9" t="n">
        <v>371</v>
      </c>
      <c r="I3201" s="9" t="inlineStr">
        <is>
          <t>Bullpen Depth Arm</t>
        </is>
      </c>
      <c r="J3201" s="18" t="inlineStr">
        <is>
          <t>Opening Day</t>
        </is>
      </c>
      <c r="K3201" s="11">
        <f>IFERROR(INDEX(Roles!$B$17:$B$20,MATCH(J3201,Roles!$A$17:$A$20,0)),1)</f>
        <v/>
      </c>
      <c r="L3201" s="19" t="n">
        <v>1</v>
      </c>
      <c r="M3201" s="11" t="n">
        <v>1</v>
      </c>
      <c r="N3201" s="19" t="n"/>
      <c r="O3201" s="19" t="n"/>
      <c r="P3201" s="19" t="n"/>
      <c r="Q3201" s="19" t="n"/>
      <c r="R3201" s="19" t="n"/>
      <c r="S3201" s="19" t="n"/>
      <c r="T3201" s="19" t="n"/>
      <c r="U3201" s="19" t="n"/>
      <c r="V3201" s="19" t="n"/>
      <c r="W3201" s="19" t="n">
        <v>1</v>
      </c>
      <c r="X3201" s="19" t="n"/>
      <c r="Y3201" s="19" t="n"/>
      <c r="Z3201" s="13">
        <f>SUMPRODUCT(N3201:Y3201,$N$2:$Y$2)*$K3201*$L3201*$M3201</f>
        <v/>
      </c>
      <c r="AA3201" s="14">
        <f>SUM(N3201:Y3201)</f>
        <v/>
      </c>
      <c r="AB3201" s="13">
        <f>SUMPRODUCT(N3201:Y3201,$N$3:$Y$3)*$K3201*$L3201*$M3201</f>
        <v/>
      </c>
      <c r="AC3201" s="13">
        <f>SUMPRODUCT(N3201:Y3201,$N$4:$Y$4)*$K3201*$L3201*$M3201</f>
        <v/>
      </c>
      <c r="AD3201" s="15" t="n">
        <v>13.26666666666667</v>
      </c>
      <c r="AE3201" s="11" t="n">
        <v>1.115834620220585</v>
      </c>
      <c r="AF3201" s="16">
        <f>SUMPRODUCT(N3201:Y3201,$N$5:$Y$5)*$K3201*$L3201*$M3201</f>
        <v/>
      </c>
      <c r="AG3201" s="16">
        <f>SUMPRODUCT(N3201:Y3201,$N$6:$Y$6)*$K3201*$L3201*$M3201</f>
        <v/>
      </c>
      <c r="AH3201" s="20" t="n"/>
    </row>
    <row r="3202">
      <c r="A3202" s="9" t="n">
        <v>701590</v>
      </c>
      <c r="B3202" s="9" t="inlineStr">
        <is>
          <t>Khal Stephen</t>
        </is>
      </c>
      <c r="C3202" s="9" t="inlineStr">
        <is>
          <t>CLE</t>
        </is>
      </c>
      <c r="D3202" s="9" t="n">
        <v>25</v>
      </c>
      <c r="E3202" s="18" t="inlineStr">
        <is>
          <t>R</t>
        </is>
      </c>
      <c r="F3202" s="18" t="n"/>
      <c r="G3202" s="9" t="n">
        <v>82.77499999999999</v>
      </c>
      <c r="H3202" s="9" t="n">
        <v>82.77499999999999</v>
      </c>
      <c r="I3202" s="9" t="inlineStr">
        <is>
          <t>Depth (no MLB IP)</t>
        </is>
      </c>
      <c r="J3202" s="18" t="inlineStr">
        <is>
          <t>Opening Day</t>
        </is>
      </c>
      <c r="K3202" s="11">
        <f>IFERROR(INDEX(Roles!$B$17:$B$20,MATCH(J3202,Roles!$A$17:$A$20,0)),1)</f>
        <v/>
      </c>
      <c r="L3202" s="19" t="n">
        <v>1</v>
      </c>
      <c r="M3202" s="11" t="n">
        <v>1</v>
      </c>
      <c r="N3202" s="19" t="n"/>
      <c r="O3202" s="19" t="n"/>
      <c r="P3202" s="19" t="n"/>
      <c r="Q3202" s="19" t="n"/>
      <c r="R3202" s="19" t="n"/>
      <c r="S3202" s="19" t="n"/>
      <c r="T3202" s="19" t="n"/>
      <c r="U3202" s="19" t="n"/>
      <c r="V3202" s="19" t="n"/>
      <c r="W3202" s="19" t="n"/>
      <c r="X3202" s="19" t="n"/>
      <c r="Y3202" s="19" t="n">
        <v>1</v>
      </c>
      <c r="Z3202" s="13">
        <f>SUMPRODUCT(N3202:Y3202,$N$2:$Y$2)*$K3202*$L3202*$M3202</f>
        <v/>
      </c>
      <c r="AA3202" s="14">
        <f>SUM(N3202:Y3202)</f>
        <v/>
      </c>
      <c r="AB3202" s="13">
        <f>SUMPRODUCT(N3202:Y3202,$N$3:$Y$3)*$K3202*$L3202*$M3202</f>
        <v/>
      </c>
      <c r="AC3202" s="13">
        <f>SUMPRODUCT(N3202:Y3202,$N$4:$Y$4)*$K3202*$L3202*$M3202</f>
        <v/>
      </c>
      <c r="AD3202" s="15" t="n">
        <v>3</v>
      </c>
      <c r="AE3202" s="11" t="n">
        <v>1.011296296296296</v>
      </c>
      <c r="AF3202" s="16">
        <f>SUMPRODUCT(N3202:Y3202,$N$5:$Y$5)*$K3202*$L3202*$M3202</f>
        <v/>
      </c>
      <c r="AG3202" s="16">
        <f>SUMPRODUCT(N3202:Y3202,$N$6:$Y$6)*$K3202*$L3202*$M3202</f>
        <v/>
      </c>
      <c r="AH3202" s="20" t="n"/>
    </row>
    <row r="3203">
      <c r="A3203" s="9" t="n">
        <v>660781</v>
      </c>
      <c r="B3203" s="9" t="inlineStr">
        <is>
          <t>Domingo Robles</t>
        </is>
      </c>
      <c r="C3203" s="9" t="inlineStr">
        <is>
          <t>OAK</t>
        </is>
      </c>
      <c r="D3203" s="9" t="n">
        <v>25</v>
      </c>
      <c r="E3203" s="18" t="inlineStr">
        <is>
          <t>L</t>
        </is>
      </c>
      <c r="F3203" s="18" t="n"/>
      <c r="G3203" s="9" t="n">
        <v>82.77500000000001</v>
      </c>
      <c r="H3203" s="9" t="n">
        <v>82.77500000000001</v>
      </c>
      <c r="I3203" s="9" t="inlineStr">
        <is>
          <t>Depth (no MLB IP)</t>
        </is>
      </c>
      <c r="J3203" s="18" t="inlineStr">
        <is>
          <t>Opening Day</t>
        </is>
      </c>
      <c r="K3203" s="11">
        <f>IFERROR(INDEX(Roles!$B$17:$B$20,MATCH(J3203,Roles!$A$17:$A$20,0)),1)</f>
        <v/>
      </c>
      <c r="L3203" s="19" t="n">
        <v>1</v>
      </c>
      <c r="M3203" s="11" t="n">
        <v>1</v>
      </c>
      <c r="N3203" s="19" t="n"/>
      <c r="O3203" s="19" t="n"/>
      <c r="P3203" s="19" t="n"/>
      <c r="Q3203" s="19" t="n"/>
      <c r="R3203" s="19" t="n"/>
      <c r="S3203" s="19" t="n"/>
      <c r="T3203" s="19" t="n"/>
      <c r="U3203" s="19" t="n"/>
      <c r="V3203" s="19" t="n"/>
      <c r="W3203" s="19" t="n"/>
      <c r="X3203" s="19" t="n"/>
      <c r="Y3203" s="19" t="n">
        <v>1</v>
      </c>
      <c r="Z3203" s="13">
        <f>SUMPRODUCT(N3203:Y3203,$N$2:$Y$2)*$K3203*$L3203*$M3203</f>
        <v/>
      </c>
      <c r="AA3203" s="14">
        <f>SUM(N3203:Y3203)</f>
        <v/>
      </c>
      <c r="AB3203" s="13">
        <f>SUMPRODUCT(N3203:Y3203,$N$3:$Y$3)*$K3203*$L3203*$M3203</f>
        <v/>
      </c>
      <c r="AC3203" s="13">
        <f>SUMPRODUCT(N3203:Y3203,$N$4:$Y$4)*$K3203*$L3203*$M3203</f>
        <v/>
      </c>
      <c r="AD3203" s="15" t="n">
        <v>3</v>
      </c>
      <c r="AE3203" s="11" t="n">
        <v>1.011296296296296</v>
      </c>
      <c r="AF3203" s="16">
        <f>SUMPRODUCT(N3203:Y3203,$N$5:$Y$5)*$K3203*$L3203*$M3203</f>
        <v/>
      </c>
      <c r="AG3203" s="16">
        <f>SUMPRODUCT(N3203:Y3203,$N$6:$Y$6)*$K3203*$L3203*$M3203</f>
        <v/>
      </c>
      <c r="AH3203" s="20" t="n"/>
    </row>
    <row r="3204">
      <c r="A3204" s="9" t="n">
        <v>687900</v>
      </c>
      <c r="B3204" s="9" t="inlineStr">
        <is>
          <t>Andrew Baker</t>
        </is>
      </c>
      <c r="C3204" s="9" t="inlineStr">
        <is>
          <t>COL</t>
        </is>
      </c>
      <c r="D3204" s="9" t="n">
        <v>25</v>
      </c>
      <c r="E3204" s="18" t="inlineStr">
        <is>
          <t>R</t>
        </is>
      </c>
      <c r="F3204" s="18" t="n"/>
      <c r="G3204" s="9" t="n">
        <v>82.77500000000001</v>
      </c>
      <c r="H3204" s="9" t="n">
        <v>82.77500000000001</v>
      </c>
      <c r="I3204" s="9" t="inlineStr">
        <is>
          <t>Depth (no MLB IP)</t>
        </is>
      </c>
      <c r="J3204" s="18" t="inlineStr">
        <is>
          <t>Opening Day</t>
        </is>
      </c>
      <c r="K3204" s="11">
        <f>IFERROR(INDEX(Roles!$B$17:$B$20,MATCH(J3204,Roles!$A$17:$A$20,0)),1)</f>
        <v/>
      </c>
      <c r="L3204" s="19" t="n">
        <v>1</v>
      </c>
      <c r="M3204" s="11" t="n">
        <v>1</v>
      </c>
      <c r="N3204" s="19" t="n"/>
      <c r="O3204" s="19" t="n"/>
      <c r="P3204" s="19" t="n"/>
      <c r="Q3204" s="19" t="n"/>
      <c r="R3204" s="19" t="n"/>
      <c r="S3204" s="19" t="n"/>
      <c r="T3204" s="19" t="n"/>
      <c r="U3204" s="19" t="n"/>
      <c r="V3204" s="19" t="n"/>
      <c r="W3204" s="19" t="n"/>
      <c r="X3204" s="19" t="n"/>
      <c r="Y3204" s="19" t="n">
        <v>1</v>
      </c>
      <c r="Z3204" s="13">
        <f>SUMPRODUCT(N3204:Y3204,$N$2:$Y$2)*$K3204*$L3204*$M3204</f>
        <v/>
      </c>
      <c r="AA3204" s="14">
        <f>SUM(N3204:Y3204)</f>
        <v/>
      </c>
      <c r="AB3204" s="13">
        <f>SUMPRODUCT(N3204:Y3204,$N$3:$Y$3)*$K3204*$L3204*$M3204</f>
        <v/>
      </c>
      <c r="AC3204" s="13">
        <f>SUMPRODUCT(N3204:Y3204,$N$4:$Y$4)*$K3204*$L3204*$M3204</f>
        <v/>
      </c>
      <c r="AD3204" s="15" t="n">
        <v>3</v>
      </c>
      <c r="AE3204" s="11" t="n">
        <v>1.011296296296296</v>
      </c>
      <c r="AF3204" s="16">
        <f>SUMPRODUCT(N3204:Y3204,$N$5:$Y$5)*$K3204*$L3204*$M3204</f>
        <v/>
      </c>
      <c r="AG3204" s="16">
        <f>SUMPRODUCT(N3204:Y3204,$N$6:$Y$6)*$K3204*$L3204*$M3204</f>
        <v/>
      </c>
      <c r="AH3204" s="20" t="n"/>
    </row>
    <row r="3205">
      <c r="A3205" s="9" t="n">
        <v>800537</v>
      </c>
      <c r="B3205" s="9" t="inlineStr">
        <is>
          <t>Christian Zazueta</t>
        </is>
      </c>
      <c r="C3205" s="9" t="inlineStr">
        <is>
          <t>LAD</t>
        </is>
      </c>
      <c r="D3205" s="9" t="n">
        <v>23</v>
      </c>
      <c r="E3205" s="18" t="inlineStr">
        <is>
          <t>R</t>
        </is>
      </c>
      <c r="F3205" s="18" t="n"/>
      <c r="G3205" s="9" t="n">
        <v>82.77499999999999</v>
      </c>
      <c r="H3205" s="9" t="n">
        <v>82.77499999999999</v>
      </c>
      <c r="I3205" s="9" t="inlineStr">
        <is>
          <t>Innings-Limited Starter</t>
        </is>
      </c>
      <c r="J3205" s="18" t="inlineStr">
        <is>
          <t>Mid Season (~July)</t>
        </is>
      </c>
      <c r="K3205" s="11">
        <f>IFERROR(INDEX(Roles!$B$17:$B$20,MATCH(J3205,Roles!$A$17:$A$20,0)),1)</f>
        <v/>
      </c>
      <c r="L3205" s="19" t="n">
        <v>1</v>
      </c>
      <c r="M3205" s="11" t="n">
        <v>1</v>
      </c>
      <c r="N3205" s="19" t="n"/>
      <c r="O3205" s="19" t="n"/>
      <c r="P3205" s="19" t="n"/>
      <c r="Q3205" s="19" t="n">
        <v>0.46</v>
      </c>
      <c r="R3205" s="19" t="n">
        <v>0.3</v>
      </c>
      <c r="S3205" s="19" t="n"/>
      <c r="T3205" s="19" t="n"/>
      <c r="U3205" s="19" t="n"/>
      <c r="V3205" s="19" t="n"/>
      <c r="W3205" s="19" t="n">
        <v>0.24</v>
      </c>
      <c r="X3205" s="19" t="n"/>
      <c r="Y3205" s="19" t="n"/>
      <c r="Z3205" s="13">
        <f>SUMPRODUCT(N3205:Y3205,$N$2:$Y$2)*$K3205*$L3205*$M3205</f>
        <v/>
      </c>
      <c r="AA3205" s="14">
        <f>SUM(N3205:Y3205)</f>
        <v/>
      </c>
      <c r="AB3205" s="13">
        <f>SUMPRODUCT(N3205:Y3205,$N$3:$Y$3)*$K3205*$L3205*$M3205</f>
        <v/>
      </c>
      <c r="AC3205" s="13">
        <f>SUMPRODUCT(N3205:Y3205,$N$4:$Y$4)*$K3205*$L3205*$M3205</f>
        <v/>
      </c>
      <c r="AD3205" s="15" t="n">
        <v>27.52</v>
      </c>
      <c r="AE3205" s="11" t="n">
        <v>3.223110465116278</v>
      </c>
      <c r="AF3205" s="16">
        <f>SUMPRODUCT(N3205:Y3205,$N$5:$Y$5)*$K3205*$L3205*$M3205</f>
        <v/>
      </c>
      <c r="AG3205" s="16">
        <f>SUMPRODUCT(N3205:Y3205,$N$6:$Y$6)*$K3205*$L3205*$M3205</f>
        <v/>
      </c>
      <c r="AH3205" s="20" t="n"/>
    </row>
    <row r="3206">
      <c r="A3206" s="9" t="n">
        <v>691946</v>
      </c>
      <c r="B3206" s="9" t="inlineStr">
        <is>
          <t>George Klassen</t>
        </is>
      </c>
      <c r="C3206" s="9" t="inlineStr">
        <is>
          <t>LAA</t>
        </is>
      </c>
      <c r="D3206" s="9" t="n">
        <v>25</v>
      </c>
      <c r="E3206" s="18" t="inlineStr">
        <is>
          <t>R</t>
        </is>
      </c>
      <c r="F3206" s="18" t="n"/>
      <c r="G3206" s="9" t="n">
        <v>125</v>
      </c>
      <c r="H3206" s="9" t="n">
        <v>125</v>
      </c>
      <c r="I3206" s="9" t="inlineStr">
        <is>
          <t>End-of-Rotation Starter (SP4-5)</t>
        </is>
      </c>
      <c r="J3206" s="18" t="inlineStr">
        <is>
          <t>Opening Day</t>
        </is>
      </c>
      <c r="K3206" s="11">
        <f>IFERROR(INDEX(Roles!$B$17:$B$20,MATCH(J3206,Roles!$A$17:$A$20,0)),1)</f>
        <v/>
      </c>
      <c r="L3206" s="19" t="n">
        <v>1</v>
      </c>
      <c r="M3206" s="11" t="n">
        <v>1</v>
      </c>
      <c r="N3206" s="19" t="n"/>
      <c r="O3206" s="19" t="n"/>
      <c r="P3206" s="19" t="n">
        <v>0.5</v>
      </c>
      <c r="Q3206" s="19" t="n"/>
      <c r="R3206" s="19" t="n">
        <v>0.5</v>
      </c>
      <c r="S3206" s="19" t="n"/>
      <c r="T3206" s="19" t="n"/>
      <c r="U3206" s="19" t="n"/>
      <c r="V3206" s="19" t="n"/>
      <c r="W3206" s="19" t="n"/>
      <c r="X3206" s="19" t="n"/>
      <c r="Y3206" s="19" t="n"/>
      <c r="Z3206" s="13">
        <f>SUMPRODUCT(N3206:Y3206,$N$2:$Y$2)*$K3206*$L3206*$M3206</f>
        <v/>
      </c>
      <c r="AA3206" s="14">
        <f>SUM(N3206:Y3206)</f>
        <v/>
      </c>
      <c r="AB3206" s="13">
        <f>SUMPRODUCT(N3206:Y3206,$N$3:$Y$3)*$K3206*$L3206*$M3206</f>
        <v/>
      </c>
      <c r="AC3206" s="13">
        <f>SUMPRODUCT(N3206:Y3206,$N$4:$Y$4)*$K3206*$L3206*$M3206</f>
        <v/>
      </c>
      <c r="AD3206" s="15" t="n">
        <v>10</v>
      </c>
      <c r="AE3206" s="11" t="n">
        <v>4.537037037037036</v>
      </c>
      <c r="AF3206" s="16">
        <f>SUMPRODUCT(N3206:Y3206,$N$5:$Y$5)*$K3206*$L3206*$M3206</f>
        <v/>
      </c>
      <c r="AG3206" s="16">
        <f>SUMPRODUCT(N3206:Y3206,$N$6:$Y$6)*$K3206*$L3206*$M3206</f>
        <v/>
      </c>
      <c r="AH3206" s="20" t="n"/>
    </row>
    <row r="3207">
      <c r="A3207" s="9" t="n">
        <v>650644</v>
      </c>
      <c r="B3207" s="9" t="inlineStr">
        <is>
          <t>Aaron Civale</t>
        </is>
      </c>
      <c r="C3207" s="9" t="inlineStr">
        <is>
          <t>CHC</t>
        </is>
      </c>
      <c r="D3207" s="9" t="n">
        <v>32</v>
      </c>
      <c r="E3207" s="18" t="inlineStr">
        <is>
          <t>R</t>
        </is>
      </c>
      <c r="F3207" s="18" t="n"/>
      <c r="G3207" s="9" t="n">
        <v>493</v>
      </c>
      <c r="H3207" s="9" t="n">
        <v>2528</v>
      </c>
      <c r="I3207" s="9" t="inlineStr">
        <is>
          <t>Swing Arm / Long Relief</t>
        </is>
      </c>
      <c r="J3207" s="18" t="inlineStr">
        <is>
          <t>Opening Day</t>
        </is>
      </c>
      <c r="K3207" s="11">
        <f>IFERROR(INDEX(Roles!$B$17:$B$20,MATCH(J3207,Roles!$A$17:$A$20,0)),1)</f>
        <v/>
      </c>
      <c r="L3207" s="19" t="n">
        <v>1</v>
      </c>
      <c r="M3207" s="11" t="n">
        <v>1</v>
      </c>
      <c r="N3207" s="19" t="n"/>
      <c r="O3207" s="19" t="n"/>
      <c r="P3207" s="19" t="n"/>
      <c r="Q3207" s="19" t="n"/>
      <c r="R3207" s="19" t="n">
        <v>0.6</v>
      </c>
      <c r="S3207" s="19" t="n"/>
      <c r="T3207" s="19" t="n"/>
      <c r="U3207" s="19" t="n"/>
      <c r="V3207" s="19" t="n"/>
      <c r="W3207" s="19" t="n">
        <v>0.4</v>
      </c>
      <c r="X3207" s="19" t="n"/>
      <c r="Y3207" s="19" t="n"/>
      <c r="Z3207" s="13">
        <f>SUMPRODUCT(N3207:Y3207,$N$2:$Y$2)*$K3207*$L3207*$M3207</f>
        <v/>
      </c>
      <c r="AA3207" s="14">
        <f>SUM(N3207:Y3207)</f>
        <v/>
      </c>
      <c r="AB3207" s="13">
        <f>SUMPRODUCT(N3207:Y3207,$N$3:$Y$3)*$K3207*$L3207*$M3207</f>
        <v/>
      </c>
      <c r="AC3207" s="13">
        <f>SUMPRODUCT(N3207:Y3207,$N$4:$Y$4)*$K3207*$L3207*$M3207</f>
        <v/>
      </c>
      <c r="AD3207" s="15" t="n">
        <v>26.03333333333333</v>
      </c>
      <c r="AE3207" s="11" t="n">
        <v>2.970164137945071</v>
      </c>
      <c r="AF3207" s="16">
        <f>SUMPRODUCT(N3207:Y3207,$N$5:$Y$5)*$K3207*$L3207*$M3207</f>
        <v/>
      </c>
      <c r="AG3207" s="16">
        <f>SUMPRODUCT(N3207:Y3207,$N$6:$Y$6)*$K3207*$L3207*$M3207</f>
        <v/>
      </c>
      <c r="AH3207" s="20" t="n"/>
    </row>
    <row r="3208">
      <c r="A3208" s="9" t="n">
        <v>805793</v>
      </c>
      <c r="B3208" s="9" t="inlineStr">
        <is>
          <t>Landen Maroudis</t>
        </is>
      </c>
      <c r="C3208" s="9" t="inlineStr">
        <is>
          <t>TOR</t>
        </is>
      </c>
      <c r="D3208" s="9" t="n">
        <v>25</v>
      </c>
      <c r="E3208" s="18" t="inlineStr">
        <is>
          <t>R</t>
        </is>
      </c>
      <c r="F3208" s="18" t="n"/>
      <c r="G3208" s="9" t="n">
        <v>83.13333333333334</v>
      </c>
      <c r="H3208" s="9" t="n">
        <v>83.13333333333334</v>
      </c>
      <c r="I3208" s="9" t="inlineStr">
        <is>
          <t>Depth (no MLB IP)</t>
        </is>
      </c>
      <c r="J3208" s="18" t="inlineStr">
        <is>
          <t>Opening Day</t>
        </is>
      </c>
      <c r="K3208" s="11">
        <f>IFERROR(INDEX(Roles!$B$17:$B$20,MATCH(J3208,Roles!$A$17:$A$20,0)),1)</f>
        <v/>
      </c>
      <c r="L3208" s="19" t="n">
        <v>1</v>
      </c>
      <c r="M3208" s="11" t="n">
        <v>1</v>
      </c>
      <c r="N3208" s="19" t="n"/>
      <c r="O3208" s="19" t="n"/>
      <c r="P3208" s="19" t="n"/>
      <c r="Q3208" s="19" t="n"/>
      <c r="R3208" s="19" t="n"/>
      <c r="S3208" s="19" t="n"/>
      <c r="T3208" s="19" t="n"/>
      <c r="U3208" s="19" t="n"/>
      <c r="V3208" s="19" t="n"/>
      <c r="W3208" s="19" t="n"/>
      <c r="X3208" s="19" t="n"/>
      <c r="Y3208" s="19" t="n">
        <v>1</v>
      </c>
      <c r="Z3208" s="13">
        <f>SUMPRODUCT(N3208:Y3208,$N$2:$Y$2)*$K3208*$L3208*$M3208</f>
        <v/>
      </c>
      <c r="AA3208" s="14">
        <f>SUM(N3208:Y3208)</f>
        <v/>
      </c>
      <c r="AB3208" s="13">
        <f>SUMPRODUCT(N3208:Y3208,$N$3:$Y$3)*$K3208*$L3208*$M3208</f>
        <v/>
      </c>
      <c r="AC3208" s="13">
        <f>SUMPRODUCT(N3208:Y3208,$N$4:$Y$4)*$K3208*$L3208*$M3208</f>
        <v/>
      </c>
      <c r="AD3208" s="15" t="n">
        <v>3</v>
      </c>
      <c r="AE3208" s="11" t="n">
        <v>1.011296296296296</v>
      </c>
      <c r="AF3208" s="16">
        <f>SUMPRODUCT(N3208:Y3208,$N$5:$Y$5)*$K3208*$L3208*$M3208</f>
        <v/>
      </c>
      <c r="AG3208" s="16">
        <f>SUMPRODUCT(N3208:Y3208,$N$6:$Y$6)*$K3208*$L3208*$M3208</f>
        <v/>
      </c>
      <c r="AH3208" s="20" t="n"/>
    </row>
    <row r="3209">
      <c r="A3209" s="9" t="n">
        <v>668719</v>
      </c>
      <c r="B3209" s="9" t="inlineStr">
        <is>
          <t>Kenyon Yovan</t>
        </is>
      </c>
      <c r="C3209" s="9" t="inlineStr">
        <is>
          <t>LAA</t>
        </is>
      </c>
      <c r="D3209" s="9" t="n">
        <v>25</v>
      </c>
      <c r="E3209" s="18" t="inlineStr">
        <is>
          <t>R</t>
        </is>
      </c>
      <c r="F3209" s="18" t="n"/>
      <c r="G3209" s="9" t="n">
        <v>83.27666666666666</v>
      </c>
      <c r="H3209" s="9" t="n">
        <v>83.27666666666666</v>
      </c>
      <c r="I3209" s="9" t="inlineStr">
        <is>
          <t>Depth (no MLB IP)</t>
        </is>
      </c>
      <c r="J3209" s="18" t="inlineStr">
        <is>
          <t>Opening Day</t>
        </is>
      </c>
      <c r="K3209" s="11">
        <f>IFERROR(INDEX(Roles!$B$17:$B$20,MATCH(J3209,Roles!$A$17:$A$20,0)),1)</f>
        <v/>
      </c>
      <c r="L3209" s="19" t="n">
        <v>1</v>
      </c>
      <c r="M3209" s="11" t="n">
        <v>1</v>
      </c>
      <c r="N3209" s="19" t="n"/>
      <c r="O3209" s="19" t="n"/>
      <c r="P3209" s="19" t="n"/>
      <c r="Q3209" s="19" t="n"/>
      <c r="R3209" s="19" t="n"/>
      <c r="S3209" s="19" t="n"/>
      <c r="T3209" s="19" t="n"/>
      <c r="U3209" s="19" t="n"/>
      <c r="V3209" s="19" t="n"/>
      <c r="W3209" s="19" t="n"/>
      <c r="X3209" s="19" t="n"/>
      <c r="Y3209" s="19" t="n">
        <v>1</v>
      </c>
      <c r="Z3209" s="13">
        <f>SUMPRODUCT(N3209:Y3209,$N$2:$Y$2)*$K3209*$L3209*$M3209</f>
        <v/>
      </c>
      <c r="AA3209" s="14">
        <f>SUM(N3209:Y3209)</f>
        <v/>
      </c>
      <c r="AB3209" s="13">
        <f>SUMPRODUCT(N3209:Y3209,$N$3:$Y$3)*$K3209*$L3209*$M3209</f>
        <v/>
      </c>
      <c r="AC3209" s="13">
        <f>SUMPRODUCT(N3209:Y3209,$N$4:$Y$4)*$K3209*$L3209*$M3209</f>
        <v/>
      </c>
      <c r="AD3209" s="15" t="n">
        <v>3</v>
      </c>
      <c r="AE3209" s="11" t="n">
        <v>1.011296296296296</v>
      </c>
      <c r="AF3209" s="16">
        <f>SUMPRODUCT(N3209:Y3209,$N$5:$Y$5)*$K3209*$L3209*$M3209</f>
        <v/>
      </c>
      <c r="AG3209" s="16">
        <f>SUMPRODUCT(N3209:Y3209,$N$6:$Y$6)*$K3209*$L3209*$M3209</f>
        <v/>
      </c>
      <c r="AH3209" s="20" t="n"/>
    </row>
    <row r="3210">
      <c r="A3210" s="9" t="n">
        <v>696059</v>
      </c>
      <c r="B3210" s="9" t="inlineStr">
        <is>
          <t>Johan Simon</t>
        </is>
      </c>
      <c r="C3210" s="9" t="inlineStr">
        <is>
          <t>DET</t>
        </is>
      </c>
      <c r="D3210" s="9" t="n">
        <v>25</v>
      </c>
      <c r="E3210" s="18" t="inlineStr">
        <is>
          <t>L</t>
        </is>
      </c>
      <c r="F3210" s="18" t="n"/>
      <c r="G3210" s="9" t="n">
        <v>83.27666666666666</v>
      </c>
      <c r="H3210" s="9" t="n">
        <v>83.27666666666666</v>
      </c>
      <c r="I3210" s="9" t="inlineStr">
        <is>
          <t>Depth (no MLB IP)</t>
        </is>
      </c>
      <c r="J3210" s="18" t="inlineStr">
        <is>
          <t>Opening Day</t>
        </is>
      </c>
      <c r="K3210" s="11">
        <f>IFERROR(INDEX(Roles!$B$17:$B$20,MATCH(J3210,Roles!$A$17:$A$20,0)),1)</f>
        <v/>
      </c>
      <c r="L3210" s="19" t="n">
        <v>1</v>
      </c>
      <c r="M3210" s="11" t="n">
        <v>1</v>
      </c>
      <c r="N3210" s="19" t="n"/>
      <c r="O3210" s="19" t="n"/>
      <c r="P3210" s="19" t="n"/>
      <c r="Q3210" s="19" t="n"/>
      <c r="R3210" s="19" t="n"/>
      <c r="S3210" s="19" t="n"/>
      <c r="T3210" s="19" t="n"/>
      <c r="U3210" s="19" t="n"/>
      <c r="V3210" s="19" t="n"/>
      <c r="W3210" s="19" t="n"/>
      <c r="X3210" s="19" t="n"/>
      <c r="Y3210" s="19" t="n">
        <v>1</v>
      </c>
      <c r="Z3210" s="13">
        <f>SUMPRODUCT(N3210:Y3210,$N$2:$Y$2)*$K3210*$L3210*$M3210</f>
        <v/>
      </c>
      <c r="AA3210" s="14">
        <f>SUM(N3210:Y3210)</f>
        <v/>
      </c>
      <c r="AB3210" s="13">
        <f>SUMPRODUCT(N3210:Y3210,$N$3:$Y$3)*$K3210*$L3210*$M3210</f>
        <v/>
      </c>
      <c r="AC3210" s="13">
        <f>SUMPRODUCT(N3210:Y3210,$N$4:$Y$4)*$K3210*$L3210*$M3210</f>
        <v/>
      </c>
      <c r="AD3210" s="15" t="n">
        <v>3</v>
      </c>
      <c r="AE3210" s="11" t="n">
        <v>1.011296296296296</v>
      </c>
      <c r="AF3210" s="16">
        <f>SUMPRODUCT(N3210:Y3210,$N$5:$Y$5)*$K3210*$L3210*$M3210</f>
        <v/>
      </c>
      <c r="AG3210" s="16">
        <f>SUMPRODUCT(N3210:Y3210,$N$6:$Y$6)*$K3210*$L3210*$M3210</f>
        <v/>
      </c>
      <c r="AH3210" s="20" t="n"/>
    </row>
    <row r="3211">
      <c r="A3211" s="9" t="n">
        <v>813829</v>
      </c>
      <c r="B3211" s="9" t="inlineStr">
        <is>
          <t>Zane Barnhart</t>
        </is>
      </c>
      <c r="C3211" s="9" t="inlineStr">
        <is>
          <t>DET</t>
        </is>
      </c>
      <c r="D3211" s="9" t="n">
        <v>25</v>
      </c>
      <c r="E3211" s="18" t="inlineStr">
        <is>
          <t>R</t>
        </is>
      </c>
      <c r="F3211" s="18" t="n"/>
      <c r="G3211" s="9" t="n">
        <v>83.27666666666666</v>
      </c>
      <c r="H3211" s="9" t="n">
        <v>83.27666666666666</v>
      </c>
      <c r="I3211" s="9" t="inlineStr">
        <is>
          <t>Depth (no MLB IP)</t>
        </is>
      </c>
      <c r="J3211" s="18" t="inlineStr">
        <is>
          <t>Opening Day</t>
        </is>
      </c>
      <c r="K3211" s="11">
        <f>IFERROR(INDEX(Roles!$B$17:$B$20,MATCH(J3211,Roles!$A$17:$A$20,0)),1)</f>
        <v/>
      </c>
      <c r="L3211" s="19" t="n">
        <v>1</v>
      </c>
      <c r="M3211" s="11" t="n">
        <v>1</v>
      </c>
      <c r="N3211" s="19" t="n"/>
      <c r="O3211" s="19" t="n"/>
      <c r="P3211" s="19" t="n"/>
      <c r="Q3211" s="19" t="n"/>
      <c r="R3211" s="19" t="n"/>
      <c r="S3211" s="19" t="n"/>
      <c r="T3211" s="19" t="n"/>
      <c r="U3211" s="19" t="n"/>
      <c r="V3211" s="19" t="n"/>
      <c r="W3211" s="19" t="n"/>
      <c r="X3211" s="19" t="n"/>
      <c r="Y3211" s="19" t="n">
        <v>1</v>
      </c>
      <c r="Z3211" s="13">
        <f>SUMPRODUCT(N3211:Y3211,$N$2:$Y$2)*$K3211*$L3211*$M3211</f>
        <v/>
      </c>
      <c r="AA3211" s="14">
        <f>SUM(N3211:Y3211)</f>
        <v/>
      </c>
      <c r="AB3211" s="13">
        <f>SUMPRODUCT(N3211:Y3211,$N$3:$Y$3)*$K3211*$L3211*$M3211</f>
        <v/>
      </c>
      <c r="AC3211" s="13">
        <f>SUMPRODUCT(N3211:Y3211,$N$4:$Y$4)*$K3211*$L3211*$M3211</f>
        <v/>
      </c>
      <c r="AD3211" s="15" t="n">
        <v>3</v>
      </c>
      <c r="AE3211" s="11" t="n">
        <v>1.011296296296296</v>
      </c>
      <c r="AF3211" s="16">
        <f>SUMPRODUCT(N3211:Y3211,$N$5:$Y$5)*$K3211*$L3211*$M3211</f>
        <v/>
      </c>
      <c r="AG3211" s="16">
        <f>SUMPRODUCT(N3211:Y3211,$N$6:$Y$6)*$K3211*$L3211*$M3211</f>
        <v/>
      </c>
      <c r="AH3211" s="20" t="n"/>
    </row>
    <row r="3212">
      <c r="A3212" s="9" t="n">
        <v>800017</v>
      </c>
      <c r="B3212" s="9" t="inlineStr">
        <is>
          <t>Jose Montero</t>
        </is>
      </c>
      <c r="C3212" s="9" t="inlineStr">
        <is>
          <t>CIN</t>
        </is>
      </c>
      <c r="D3212" s="9" t="n">
        <v>25</v>
      </c>
      <c r="E3212" s="18" t="inlineStr">
        <is>
          <t>R</t>
        </is>
      </c>
      <c r="F3212" s="18" t="n"/>
      <c r="G3212" s="9" t="n">
        <v>83.27666666666666</v>
      </c>
      <c r="H3212" s="9" t="n">
        <v>83.27666666666666</v>
      </c>
      <c r="I3212" s="9" t="inlineStr">
        <is>
          <t>Depth (no MLB IP)</t>
        </is>
      </c>
      <c r="J3212" s="18" t="inlineStr">
        <is>
          <t>Opening Day</t>
        </is>
      </c>
      <c r="K3212" s="11">
        <f>IFERROR(INDEX(Roles!$B$17:$B$20,MATCH(J3212,Roles!$A$17:$A$20,0)),1)</f>
        <v/>
      </c>
      <c r="L3212" s="19" t="n">
        <v>1</v>
      </c>
      <c r="M3212" s="11" t="n">
        <v>1</v>
      </c>
      <c r="N3212" s="19" t="n"/>
      <c r="O3212" s="19" t="n"/>
      <c r="P3212" s="19" t="n"/>
      <c r="Q3212" s="19" t="n"/>
      <c r="R3212" s="19" t="n"/>
      <c r="S3212" s="19" t="n"/>
      <c r="T3212" s="19" t="n"/>
      <c r="U3212" s="19" t="n"/>
      <c r="V3212" s="19" t="n"/>
      <c r="W3212" s="19" t="n"/>
      <c r="X3212" s="19" t="n"/>
      <c r="Y3212" s="19" t="n">
        <v>1</v>
      </c>
      <c r="Z3212" s="13">
        <f>SUMPRODUCT(N3212:Y3212,$N$2:$Y$2)*$K3212*$L3212*$M3212</f>
        <v/>
      </c>
      <c r="AA3212" s="14">
        <f>SUM(N3212:Y3212)</f>
        <v/>
      </c>
      <c r="AB3212" s="13">
        <f>SUMPRODUCT(N3212:Y3212,$N$3:$Y$3)*$K3212*$L3212*$M3212</f>
        <v/>
      </c>
      <c r="AC3212" s="13">
        <f>SUMPRODUCT(N3212:Y3212,$N$4:$Y$4)*$K3212*$L3212*$M3212</f>
        <v/>
      </c>
      <c r="AD3212" s="15" t="n">
        <v>3</v>
      </c>
      <c r="AE3212" s="11" t="n">
        <v>1.011296296296296</v>
      </c>
      <c r="AF3212" s="16">
        <f>SUMPRODUCT(N3212:Y3212,$N$5:$Y$5)*$K3212*$L3212*$M3212</f>
        <v/>
      </c>
      <c r="AG3212" s="16">
        <f>SUMPRODUCT(N3212:Y3212,$N$6:$Y$6)*$K3212*$L3212*$M3212</f>
        <v/>
      </c>
      <c r="AH3212" s="20" t="n"/>
    </row>
    <row r="3213">
      <c r="A3213" s="9" t="n">
        <v>573262</v>
      </c>
      <c r="B3213" s="9" t="inlineStr">
        <is>
          <t>Mike Yastrzemski</t>
        </is>
      </c>
      <c r="C3213" s="9" t="inlineStr">
        <is>
          <t>SF</t>
        </is>
      </c>
      <c r="D3213" s="9" t="n">
        <v>36</v>
      </c>
      <c r="E3213" s="18" t="inlineStr">
        <is>
          <t>L</t>
        </is>
      </c>
      <c r="F3213" s="18" t="n"/>
      <c r="G3213" s="9" t="n">
        <v>7</v>
      </c>
      <c r="H3213" s="9" t="n">
        <v>15</v>
      </c>
      <c r="I3213" s="9" t="inlineStr">
        <is>
          <t>Depth (no MLB IP)</t>
        </is>
      </c>
      <c r="J3213" s="18" t="inlineStr">
        <is>
          <t>Opening Day</t>
        </is>
      </c>
      <c r="K3213" s="11">
        <f>IFERROR(INDEX(Roles!$B$17:$B$20,MATCH(J3213,Roles!$A$17:$A$20,0)),1)</f>
        <v/>
      </c>
      <c r="L3213" s="19" t="n">
        <v>1</v>
      </c>
      <c r="M3213" s="11" t="n">
        <v>1</v>
      </c>
      <c r="N3213" s="19" t="n"/>
      <c r="O3213" s="19" t="n"/>
      <c r="P3213" s="19" t="n"/>
      <c r="Q3213" s="19" t="n"/>
      <c r="R3213" s="19" t="n"/>
      <c r="S3213" s="19" t="n"/>
      <c r="T3213" s="19" t="n"/>
      <c r="U3213" s="19" t="n"/>
      <c r="V3213" s="19" t="n"/>
      <c r="W3213" s="19" t="n"/>
      <c r="X3213" s="19" t="n"/>
      <c r="Y3213" s="19" t="n">
        <v>1</v>
      </c>
      <c r="Z3213" s="13">
        <f>SUMPRODUCT(N3213:Y3213,$N$2:$Y$2)*$K3213*$L3213*$M3213</f>
        <v/>
      </c>
      <c r="AA3213" s="14">
        <f>SUM(N3213:Y3213)</f>
        <v/>
      </c>
      <c r="AB3213" s="13">
        <f>SUMPRODUCT(N3213:Y3213,$N$3:$Y$3)*$K3213*$L3213*$M3213</f>
        <v/>
      </c>
      <c r="AC3213" s="13">
        <f>SUMPRODUCT(N3213:Y3213,$N$4:$Y$4)*$K3213*$L3213*$M3213</f>
        <v/>
      </c>
      <c r="AD3213" s="15" t="n">
        <v>1.8</v>
      </c>
      <c r="AE3213" s="11" t="n">
        <v>1.007530864197531</v>
      </c>
      <c r="AF3213" s="16">
        <f>SUMPRODUCT(N3213:Y3213,$N$5:$Y$5)*$K3213*$L3213*$M3213</f>
        <v/>
      </c>
      <c r="AG3213" s="16">
        <f>SUMPRODUCT(N3213:Y3213,$N$6:$Y$6)*$K3213*$L3213*$M3213</f>
        <v/>
      </c>
      <c r="AH3213" s="20" t="n"/>
    </row>
    <row r="3214">
      <c r="A3214" s="9" t="n">
        <v>814305</v>
      </c>
      <c r="B3214" s="9" t="inlineStr">
        <is>
          <t>Yunior Tur</t>
        </is>
      </c>
      <c r="C3214" s="9" t="inlineStr">
        <is>
          <t>OAK</t>
        </is>
      </c>
      <c r="D3214" s="9" t="n">
        <v>27</v>
      </c>
      <c r="E3214" s="18" t="inlineStr">
        <is>
          <t>R</t>
        </is>
      </c>
      <c r="F3214" s="18" t="n"/>
      <c r="G3214" s="9" t="n">
        <v>78</v>
      </c>
      <c r="H3214" s="9" t="n">
        <v>78</v>
      </c>
      <c r="I3214" s="9" t="inlineStr">
        <is>
          <t>Swing Arm / Long Relief</t>
        </is>
      </c>
      <c r="J3214" s="18" t="inlineStr">
        <is>
          <t>Opening Day</t>
        </is>
      </c>
      <c r="K3214" s="11">
        <f>IFERROR(INDEX(Roles!$B$17:$B$20,MATCH(J3214,Roles!$A$17:$A$20,0)),1)</f>
        <v/>
      </c>
      <c r="L3214" s="19" t="n">
        <v>1</v>
      </c>
      <c r="M3214" s="11" t="n">
        <v>1</v>
      </c>
      <c r="N3214" s="19" t="n"/>
      <c r="O3214" s="19" t="n"/>
      <c r="P3214" s="19" t="n"/>
      <c r="Q3214" s="19" t="n"/>
      <c r="R3214" s="19" t="n">
        <v>0.6</v>
      </c>
      <c r="S3214" s="19" t="n"/>
      <c r="T3214" s="19" t="n"/>
      <c r="U3214" s="19" t="n"/>
      <c r="V3214" s="19" t="n">
        <v>0.4</v>
      </c>
      <c r="W3214" s="19" t="n"/>
      <c r="X3214" s="19" t="n"/>
      <c r="Y3214" s="19" t="n"/>
      <c r="Z3214" s="13">
        <f>SUMPRODUCT(N3214:Y3214,$N$2:$Y$2)*$K3214*$L3214*$M3214</f>
        <v/>
      </c>
      <c r="AA3214" s="14">
        <f>SUM(N3214:Y3214)</f>
        <v/>
      </c>
      <c r="AB3214" s="13">
        <f>SUMPRODUCT(N3214:Y3214,$N$3:$Y$3)*$K3214*$L3214*$M3214</f>
        <v/>
      </c>
      <c r="AC3214" s="13">
        <f>SUMPRODUCT(N3214:Y3214,$N$4:$Y$4)*$K3214*$L3214*$M3214</f>
        <v/>
      </c>
      <c r="AD3214" s="15" t="n">
        <v>12.93333333333333</v>
      </c>
      <c r="AE3214" s="11" t="n">
        <v>2.196265938069217</v>
      </c>
      <c r="AF3214" s="16">
        <f>SUMPRODUCT(N3214:Y3214,$N$5:$Y$5)*$K3214*$L3214*$M3214</f>
        <v/>
      </c>
      <c r="AG3214" s="16">
        <f>SUMPRODUCT(N3214:Y3214,$N$6:$Y$6)*$K3214*$L3214*$M3214</f>
        <v/>
      </c>
      <c r="AH3214" s="20" t="n"/>
    </row>
    <row r="3215">
      <c r="A3215" s="9" t="n">
        <v>681415</v>
      </c>
      <c r="B3215" s="9" t="inlineStr">
        <is>
          <t>Jack Sellinger</t>
        </is>
      </c>
      <c r="C3215" s="9" t="inlineStr">
        <is>
          <t>MIA</t>
        </is>
      </c>
      <c r="D3215" s="9" t="n">
        <v>25</v>
      </c>
      <c r="E3215" s="18" t="inlineStr">
        <is>
          <t>L</t>
        </is>
      </c>
      <c r="F3215" s="18" t="n"/>
      <c r="G3215" s="9" t="n">
        <v>83.77833333333332</v>
      </c>
      <c r="H3215" s="9" t="n">
        <v>83.77833333333332</v>
      </c>
      <c r="I3215" s="9" t="inlineStr">
        <is>
          <t>Depth (no MLB IP)</t>
        </is>
      </c>
      <c r="J3215" s="18" t="inlineStr">
        <is>
          <t>Opening Day</t>
        </is>
      </c>
      <c r="K3215" s="11">
        <f>IFERROR(INDEX(Roles!$B$17:$B$20,MATCH(J3215,Roles!$A$17:$A$20,0)),1)</f>
        <v/>
      </c>
      <c r="L3215" s="19" t="n">
        <v>1</v>
      </c>
      <c r="M3215" s="11" t="n">
        <v>1</v>
      </c>
      <c r="N3215" s="19" t="n"/>
      <c r="O3215" s="19" t="n"/>
      <c r="P3215" s="19" t="n"/>
      <c r="Q3215" s="19" t="n"/>
      <c r="R3215" s="19" t="n"/>
      <c r="S3215" s="19" t="n"/>
      <c r="T3215" s="19" t="n"/>
      <c r="U3215" s="19" t="n"/>
      <c r="V3215" s="19" t="n"/>
      <c r="W3215" s="19" t="n"/>
      <c r="X3215" s="19" t="n"/>
      <c r="Y3215" s="19" t="n">
        <v>1</v>
      </c>
      <c r="Z3215" s="13">
        <f>SUMPRODUCT(N3215:Y3215,$N$2:$Y$2)*$K3215*$L3215*$M3215</f>
        <v/>
      </c>
      <c r="AA3215" s="14">
        <f>SUM(N3215:Y3215)</f>
        <v/>
      </c>
      <c r="AB3215" s="13">
        <f>SUMPRODUCT(N3215:Y3215,$N$3:$Y$3)*$K3215*$L3215*$M3215</f>
        <v/>
      </c>
      <c r="AC3215" s="13">
        <f>SUMPRODUCT(N3215:Y3215,$N$4:$Y$4)*$K3215*$L3215*$M3215</f>
        <v/>
      </c>
      <c r="AD3215" s="15" t="n">
        <v>3</v>
      </c>
      <c r="AE3215" s="11" t="n">
        <v>1.011296296296296</v>
      </c>
      <c r="AF3215" s="16">
        <f>SUMPRODUCT(N3215:Y3215,$N$5:$Y$5)*$K3215*$L3215*$M3215</f>
        <v/>
      </c>
      <c r="AG3215" s="16">
        <f>SUMPRODUCT(N3215:Y3215,$N$6:$Y$6)*$K3215*$L3215*$M3215</f>
        <v/>
      </c>
      <c r="AH3215" s="20" t="n"/>
    </row>
    <row r="3216">
      <c r="A3216" s="9" t="n">
        <v>676679</v>
      </c>
      <c r="B3216" s="9" t="inlineStr">
        <is>
          <t>Luis Vázquez</t>
        </is>
      </c>
      <c r="C3216" s="9" t="inlineStr">
        <is>
          <t>BAL</t>
        </is>
      </c>
      <c r="D3216" s="9" t="n">
        <v>27</v>
      </c>
      <c r="E3216" s="18" t="inlineStr">
        <is>
          <t>R</t>
        </is>
      </c>
      <c r="F3216" s="18" t="n"/>
      <c r="G3216" s="9" t="n">
        <v>14</v>
      </c>
      <c r="H3216" s="9" t="n">
        <v>14</v>
      </c>
      <c r="I3216" s="9" t="inlineStr">
        <is>
          <t>Depth (no MLB IP)</t>
        </is>
      </c>
      <c r="J3216" s="18" t="inlineStr">
        <is>
          <t>Opening Day</t>
        </is>
      </c>
      <c r="K3216" s="11">
        <f>IFERROR(INDEX(Roles!$B$17:$B$20,MATCH(J3216,Roles!$A$17:$A$20,0)),1)</f>
        <v/>
      </c>
      <c r="L3216" s="19" t="n">
        <v>1</v>
      </c>
      <c r="M3216" s="11" t="n">
        <v>1</v>
      </c>
      <c r="N3216" s="19" t="n"/>
      <c r="O3216" s="19" t="n"/>
      <c r="P3216" s="19" t="n"/>
      <c r="Q3216" s="19" t="n"/>
      <c r="R3216" s="19" t="n"/>
      <c r="S3216" s="19" t="n"/>
      <c r="T3216" s="19" t="n"/>
      <c r="U3216" s="19" t="n"/>
      <c r="V3216" s="19" t="n"/>
      <c r="W3216" s="19" t="n"/>
      <c r="X3216" s="19" t="n"/>
      <c r="Y3216" s="19" t="n">
        <v>1</v>
      </c>
      <c r="Z3216" s="13">
        <f>SUMPRODUCT(N3216:Y3216,$N$2:$Y$2)*$K3216*$L3216*$M3216</f>
        <v/>
      </c>
      <c r="AA3216" s="14">
        <f>SUM(N3216:Y3216)</f>
        <v/>
      </c>
      <c r="AB3216" s="13">
        <f>SUMPRODUCT(N3216:Y3216,$N$3:$Y$3)*$K3216*$L3216*$M3216</f>
        <v/>
      </c>
      <c r="AC3216" s="13">
        <f>SUMPRODUCT(N3216:Y3216,$N$4:$Y$4)*$K3216*$L3216*$M3216</f>
        <v/>
      </c>
      <c r="AD3216" s="15" t="n">
        <v>3.6</v>
      </c>
      <c r="AE3216" s="11" t="n">
        <v>1.035308641975309</v>
      </c>
      <c r="AF3216" s="16">
        <f>SUMPRODUCT(N3216:Y3216,$N$5:$Y$5)*$K3216*$L3216*$M3216</f>
        <v/>
      </c>
      <c r="AG3216" s="16">
        <f>SUMPRODUCT(N3216:Y3216,$N$6:$Y$6)*$K3216*$L3216*$M3216</f>
        <v/>
      </c>
      <c r="AH3216" s="20" t="n"/>
    </row>
    <row r="3217">
      <c r="A3217" s="9" t="n">
        <v>678868</v>
      </c>
      <c r="B3217" s="9" t="inlineStr">
        <is>
          <t>Eddy Yean</t>
        </is>
      </c>
      <c r="C3217" s="9" t="inlineStr">
        <is>
          <t>WSH</t>
        </is>
      </c>
      <c r="D3217" s="9" t="n">
        <v>26</v>
      </c>
      <c r="E3217" s="18" t="inlineStr">
        <is>
          <t>R</t>
        </is>
      </c>
      <c r="F3217" s="18" t="n"/>
      <c r="G3217" s="9" t="n">
        <v>45</v>
      </c>
      <c r="H3217" s="9" t="n">
        <v>45</v>
      </c>
      <c r="I3217" s="9" t="inlineStr">
        <is>
          <t>Bullpen Depth Arm</t>
        </is>
      </c>
      <c r="J3217" s="18" t="inlineStr">
        <is>
          <t>Opening Day</t>
        </is>
      </c>
      <c r="K3217" s="11">
        <f>IFERROR(INDEX(Roles!$B$17:$B$20,MATCH(J3217,Roles!$A$17:$A$20,0)),1)</f>
        <v/>
      </c>
      <c r="L3217" s="19" t="n">
        <v>1</v>
      </c>
      <c r="M3217" s="11" t="n">
        <v>1</v>
      </c>
      <c r="N3217" s="19" t="n"/>
      <c r="O3217" s="19" t="n"/>
      <c r="P3217" s="19" t="n"/>
      <c r="Q3217" s="19" t="n"/>
      <c r="R3217" s="19" t="n"/>
      <c r="S3217" s="19" t="n"/>
      <c r="T3217" s="19" t="n"/>
      <c r="U3217" s="19" t="n"/>
      <c r="V3217" s="19" t="n"/>
      <c r="W3217" s="19" t="n">
        <v>1</v>
      </c>
      <c r="X3217" s="19" t="n"/>
      <c r="Y3217" s="19" t="n"/>
      <c r="Z3217" s="13">
        <f>SUMPRODUCT(N3217:Y3217,$N$2:$Y$2)*$K3217*$L3217*$M3217</f>
        <v/>
      </c>
      <c r="AA3217" s="14">
        <f>SUM(N3217:Y3217)</f>
        <v/>
      </c>
      <c r="AB3217" s="13">
        <f>SUMPRODUCT(N3217:Y3217,$N$3:$Y$3)*$K3217*$L3217*$M3217</f>
        <v/>
      </c>
      <c r="AC3217" s="13">
        <f>SUMPRODUCT(N3217:Y3217,$N$4:$Y$4)*$K3217*$L3217*$M3217</f>
        <v/>
      </c>
      <c r="AD3217" s="15" t="n">
        <v>10.46666666666666</v>
      </c>
      <c r="AE3217" s="11" t="n">
        <v>1.259840468173802</v>
      </c>
      <c r="AF3217" s="16">
        <f>SUMPRODUCT(N3217:Y3217,$N$5:$Y$5)*$K3217*$L3217*$M3217</f>
        <v/>
      </c>
      <c r="AG3217" s="16">
        <f>SUMPRODUCT(N3217:Y3217,$N$6:$Y$6)*$K3217*$L3217*$M3217</f>
        <v/>
      </c>
      <c r="AH3217" s="20" t="n"/>
    </row>
    <row r="3218">
      <c r="A3218" s="9" t="n">
        <v>828374</v>
      </c>
      <c r="B3218" s="9" t="inlineStr">
        <is>
          <t>Michael Ross</t>
        </is>
      </c>
      <c r="C3218" s="9" t="inlineStr">
        <is>
          <t>MIN</t>
        </is>
      </c>
      <c r="D3218" s="9" t="n">
        <v>25</v>
      </c>
      <c r="E3218" s="18" t="inlineStr">
        <is>
          <t>R</t>
        </is>
      </c>
      <c r="F3218" s="18" t="n"/>
      <c r="G3218" s="9" t="n">
        <v>83.70666666666666</v>
      </c>
      <c r="H3218" s="9" t="n">
        <v>83.70666666666666</v>
      </c>
      <c r="I3218" s="9" t="inlineStr">
        <is>
          <t>Depth (no MLB IP)</t>
        </is>
      </c>
      <c r="J3218" s="18" t="inlineStr">
        <is>
          <t>Opening Day</t>
        </is>
      </c>
      <c r="K3218" s="11">
        <f>IFERROR(INDEX(Roles!$B$17:$B$20,MATCH(J3218,Roles!$A$17:$A$20,0)),1)</f>
        <v/>
      </c>
      <c r="L3218" s="19" t="n">
        <v>1</v>
      </c>
      <c r="M3218" s="11" t="n">
        <v>1</v>
      </c>
      <c r="N3218" s="19" t="n"/>
      <c r="O3218" s="19" t="n"/>
      <c r="P3218" s="19" t="n"/>
      <c r="Q3218" s="19" t="n"/>
      <c r="R3218" s="19" t="n"/>
      <c r="S3218" s="19" t="n"/>
      <c r="T3218" s="19" t="n"/>
      <c r="U3218" s="19" t="n"/>
      <c r="V3218" s="19" t="n"/>
      <c r="W3218" s="19" t="n"/>
      <c r="X3218" s="19" t="n"/>
      <c r="Y3218" s="19" t="n">
        <v>1</v>
      </c>
      <c r="Z3218" s="13">
        <f>SUMPRODUCT(N3218:Y3218,$N$2:$Y$2)*$K3218*$L3218*$M3218</f>
        <v/>
      </c>
      <c r="AA3218" s="14">
        <f>SUM(N3218:Y3218)</f>
        <v/>
      </c>
      <c r="AB3218" s="13">
        <f>SUMPRODUCT(N3218:Y3218,$N$3:$Y$3)*$K3218*$L3218*$M3218</f>
        <v/>
      </c>
      <c r="AC3218" s="13">
        <f>SUMPRODUCT(N3218:Y3218,$N$4:$Y$4)*$K3218*$L3218*$M3218</f>
        <v/>
      </c>
      <c r="AD3218" s="15" t="n">
        <v>3</v>
      </c>
      <c r="AE3218" s="11" t="n">
        <v>1.011296296296296</v>
      </c>
      <c r="AF3218" s="16">
        <f>SUMPRODUCT(N3218:Y3218,$N$5:$Y$5)*$K3218*$L3218*$M3218</f>
        <v/>
      </c>
      <c r="AG3218" s="16">
        <f>SUMPRODUCT(N3218:Y3218,$N$6:$Y$6)*$K3218*$L3218*$M3218</f>
        <v/>
      </c>
      <c r="AH3218" s="20" t="n"/>
    </row>
    <row r="3219">
      <c r="A3219" s="9" t="n">
        <v>827620</v>
      </c>
      <c r="B3219" s="9" t="inlineStr">
        <is>
          <t>Jake Shirk</t>
        </is>
      </c>
      <c r="C3219" s="9" t="inlineStr">
        <is>
          <t>PIT</t>
        </is>
      </c>
      <c r="D3219" s="9" t="n">
        <v>25</v>
      </c>
      <c r="E3219" s="18" t="inlineStr">
        <is>
          <t>R</t>
        </is>
      </c>
      <c r="F3219" s="18" t="n"/>
      <c r="G3219" s="9" t="n">
        <v>83.77833333333332</v>
      </c>
      <c r="H3219" s="9" t="n">
        <v>83.77833333333332</v>
      </c>
      <c r="I3219" s="9" t="inlineStr">
        <is>
          <t>Depth (no MLB IP)</t>
        </is>
      </c>
      <c r="J3219" s="18" t="inlineStr">
        <is>
          <t>Opening Day</t>
        </is>
      </c>
      <c r="K3219" s="11">
        <f>IFERROR(INDEX(Roles!$B$17:$B$20,MATCH(J3219,Roles!$A$17:$A$20,0)),1)</f>
        <v/>
      </c>
      <c r="L3219" s="19" t="n">
        <v>1</v>
      </c>
      <c r="M3219" s="11" t="n">
        <v>1</v>
      </c>
      <c r="N3219" s="19" t="n"/>
      <c r="O3219" s="19" t="n"/>
      <c r="P3219" s="19" t="n"/>
      <c r="Q3219" s="19" t="n"/>
      <c r="R3219" s="19" t="n"/>
      <c r="S3219" s="19" t="n"/>
      <c r="T3219" s="19" t="n"/>
      <c r="U3219" s="19" t="n"/>
      <c r="V3219" s="19" t="n"/>
      <c r="W3219" s="19" t="n"/>
      <c r="X3219" s="19" t="n"/>
      <c r="Y3219" s="19" t="n">
        <v>1</v>
      </c>
      <c r="Z3219" s="13">
        <f>SUMPRODUCT(N3219:Y3219,$N$2:$Y$2)*$K3219*$L3219*$M3219</f>
        <v/>
      </c>
      <c r="AA3219" s="14">
        <f>SUM(N3219:Y3219)</f>
        <v/>
      </c>
      <c r="AB3219" s="13">
        <f>SUMPRODUCT(N3219:Y3219,$N$3:$Y$3)*$K3219*$L3219*$M3219</f>
        <v/>
      </c>
      <c r="AC3219" s="13">
        <f>SUMPRODUCT(N3219:Y3219,$N$4:$Y$4)*$K3219*$L3219*$M3219</f>
        <v/>
      </c>
      <c r="AD3219" s="15" t="n">
        <v>3</v>
      </c>
      <c r="AE3219" s="11" t="n">
        <v>1.011296296296296</v>
      </c>
      <c r="AF3219" s="16">
        <f>SUMPRODUCT(N3219:Y3219,$N$5:$Y$5)*$K3219*$L3219*$M3219</f>
        <v/>
      </c>
      <c r="AG3219" s="16">
        <f>SUMPRODUCT(N3219:Y3219,$N$6:$Y$6)*$K3219*$L3219*$M3219</f>
        <v/>
      </c>
      <c r="AH3219" s="20" t="n"/>
    </row>
    <row r="3220">
      <c r="A3220" s="9" t="n">
        <v>686676</v>
      </c>
      <c r="B3220" s="9" t="inlineStr">
        <is>
          <t>Korey Lee</t>
        </is>
      </c>
      <c r="C3220" s="9" t="inlineStr">
        <is>
          <t>CWS</t>
        </is>
      </c>
      <c r="D3220" s="9" t="n">
        <v>28</v>
      </c>
      <c r="E3220" s="18" t="inlineStr">
        <is>
          <t>R</t>
        </is>
      </c>
      <c r="F3220" s="18" t="n"/>
      <c r="G3220" s="9" t="n">
        <v>14</v>
      </c>
      <c r="H3220" s="9" t="n">
        <v>14</v>
      </c>
      <c r="I3220" s="9" t="inlineStr">
        <is>
          <t>Depth (no MLB IP)</t>
        </is>
      </c>
      <c r="J3220" s="18" t="inlineStr">
        <is>
          <t>Opening Day</t>
        </is>
      </c>
      <c r="K3220" s="11">
        <f>IFERROR(INDEX(Roles!$B$17:$B$20,MATCH(J3220,Roles!$A$17:$A$20,0)),1)</f>
        <v/>
      </c>
      <c r="L3220" s="19" t="n">
        <v>1</v>
      </c>
      <c r="M3220" s="11" t="n">
        <v>1</v>
      </c>
      <c r="N3220" s="19" t="n"/>
      <c r="O3220" s="19" t="n"/>
      <c r="P3220" s="19" t="n"/>
      <c r="Q3220" s="19" t="n"/>
      <c r="R3220" s="19" t="n"/>
      <c r="S3220" s="19" t="n"/>
      <c r="T3220" s="19" t="n"/>
      <c r="U3220" s="19" t="n"/>
      <c r="V3220" s="19" t="n"/>
      <c r="W3220" s="19" t="n"/>
      <c r="X3220" s="19" t="n"/>
      <c r="Y3220" s="19" t="n">
        <v>1</v>
      </c>
      <c r="Z3220" s="13">
        <f>SUMPRODUCT(N3220:Y3220,$N$2:$Y$2)*$K3220*$L3220*$M3220</f>
        <v/>
      </c>
      <c r="AA3220" s="14">
        <f>SUM(N3220:Y3220)</f>
        <v/>
      </c>
      <c r="AB3220" s="13">
        <f>SUMPRODUCT(N3220:Y3220,$N$3:$Y$3)*$K3220*$L3220*$M3220</f>
        <v/>
      </c>
      <c r="AC3220" s="13">
        <f>SUMPRODUCT(N3220:Y3220,$N$4:$Y$4)*$K3220*$L3220*$M3220</f>
        <v/>
      </c>
      <c r="AD3220" s="15" t="n">
        <v>2.4</v>
      </c>
      <c r="AE3220" s="11" t="n">
        <v>1.174197530864197</v>
      </c>
      <c r="AF3220" s="16">
        <f>SUMPRODUCT(N3220:Y3220,$N$5:$Y$5)*$K3220*$L3220*$M3220</f>
        <v/>
      </c>
      <c r="AG3220" s="16">
        <f>SUMPRODUCT(N3220:Y3220,$N$6:$Y$6)*$K3220*$L3220*$M3220</f>
        <v/>
      </c>
      <c r="AH3220" s="20" t="n"/>
    </row>
    <row r="3221">
      <c r="A3221" s="9" t="n">
        <v>694833</v>
      </c>
      <c r="B3221" s="9" t="inlineStr">
        <is>
          <t>Rio Britton</t>
        </is>
      </c>
      <c r="C3221" s="9" t="inlineStr">
        <is>
          <t>ARI</t>
        </is>
      </c>
      <c r="D3221" s="9" t="n">
        <v>25</v>
      </c>
      <c r="E3221" s="18" t="inlineStr">
        <is>
          <t>L</t>
        </is>
      </c>
      <c r="F3221" s="18" t="n"/>
      <c r="G3221" s="9" t="n">
        <v>83.99333333333334</v>
      </c>
      <c r="H3221" s="9" t="n">
        <v>83.99333333333334</v>
      </c>
      <c r="I3221" s="9" t="inlineStr">
        <is>
          <t>Depth (no MLB IP)</t>
        </is>
      </c>
      <c r="J3221" s="18" t="inlineStr">
        <is>
          <t>Opening Day</t>
        </is>
      </c>
      <c r="K3221" s="11">
        <f>IFERROR(INDEX(Roles!$B$17:$B$20,MATCH(J3221,Roles!$A$17:$A$20,0)),1)</f>
        <v/>
      </c>
      <c r="L3221" s="19" t="n">
        <v>1</v>
      </c>
      <c r="M3221" s="11" t="n">
        <v>1</v>
      </c>
      <c r="N3221" s="19" t="n"/>
      <c r="O3221" s="19" t="n"/>
      <c r="P3221" s="19" t="n"/>
      <c r="Q3221" s="19" t="n"/>
      <c r="R3221" s="19" t="n"/>
      <c r="S3221" s="19" t="n"/>
      <c r="T3221" s="19" t="n"/>
      <c r="U3221" s="19" t="n"/>
      <c r="V3221" s="19" t="n"/>
      <c r="W3221" s="19" t="n"/>
      <c r="X3221" s="19" t="n"/>
      <c r="Y3221" s="19" t="n">
        <v>1</v>
      </c>
      <c r="Z3221" s="13">
        <f>SUMPRODUCT(N3221:Y3221,$N$2:$Y$2)*$K3221*$L3221*$M3221</f>
        <v/>
      </c>
      <c r="AA3221" s="14">
        <f>SUM(N3221:Y3221)</f>
        <v/>
      </c>
      <c r="AB3221" s="13">
        <f>SUMPRODUCT(N3221:Y3221,$N$3:$Y$3)*$K3221*$L3221*$M3221</f>
        <v/>
      </c>
      <c r="AC3221" s="13">
        <f>SUMPRODUCT(N3221:Y3221,$N$4:$Y$4)*$K3221*$L3221*$M3221</f>
        <v/>
      </c>
      <c r="AD3221" s="15" t="n">
        <v>3</v>
      </c>
      <c r="AE3221" s="11" t="n">
        <v>1.011296296296296</v>
      </c>
      <c r="AF3221" s="16">
        <f>SUMPRODUCT(N3221:Y3221,$N$5:$Y$5)*$K3221*$L3221*$M3221</f>
        <v/>
      </c>
      <c r="AG3221" s="16">
        <f>SUMPRODUCT(N3221:Y3221,$N$6:$Y$6)*$K3221*$L3221*$M3221</f>
        <v/>
      </c>
      <c r="AH3221" s="20" t="n"/>
    </row>
    <row r="3222">
      <c r="A3222" s="9" t="n">
        <v>807314</v>
      </c>
      <c r="B3222" s="9" t="inlineStr">
        <is>
          <t>Trevor Harrison</t>
        </is>
      </c>
      <c r="C3222" s="9" t="inlineStr">
        <is>
          <t>TB</t>
        </is>
      </c>
      <c r="D3222" s="9" t="n">
        <v>25</v>
      </c>
      <c r="E3222" s="18" t="inlineStr">
        <is>
          <t>R</t>
        </is>
      </c>
      <c r="F3222" s="18" t="n"/>
      <c r="G3222" s="9" t="n">
        <v>83.99333333333334</v>
      </c>
      <c r="H3222" s="9" t="n">
        <v>83.99333333333334</v>
      </c>
      <c r="I3222" s="9" t="inlineStr">
        <is>
          <t>Depth (no MLB IP)</t>
        </is>
      </c>
      <c r="J3222" s="18" t="inlineStr">
        <is>
          <t>Opening Day</t>
        </is>
      </c>
      <c r="K3222" s="11">
        <f>IFERROR(INDEX(Roles!$B$17:$B$20,MATCH(J3222,Roles!$A$17:$A$20,0)),1)</f>
        <v/>
      </c>
      <c r="L3222" s="19" t="n">
        <v>1</v>
      </c>
      <c r="M3222" s="11" t="n">
        <v>1</v>
      </c>
      <c r="N3222" s="19" t="n"/>
      <c r="O3222" s="19" t="n"/>
      <c r="P3222" s="19" t="n"/>
      <c r="Q3222" s="19" t="n"/>
      <c r="R3222" s="19" t="n"/>
      <c r="S3222" s="19" t="n"/>
      <c r="T3222" s="19" t="n"/>
      <c r="U3222" s="19" t="n"/>
      <c r="V3222" s="19" t="n"/>
      <c r="W3222" s="19" t="n"/>
      <c r="X3222" s="19" t="n"/>
      <c r="Y3222" s="19" t="n">
        <v>1</v>
      </c>
      <c r="Z3222" s="13">
        <f>SUMPRODUCT(N3222:Y3222,$N$2:$Y$2)*$K3222*$L3222*$M3222</f>
        <v/>
      </c>
      <c r="AA3222" s="14">
        <f>SUM(N3222:Y3222)</f>
        <v/>
      </c>
      <c r="AB3222" s="13">
        <f>SUMPRODUCT(N3222:Y3222,$N$3:$Y$3)*$K3222*$L3222*$M3222</f>
        <v/>
      </c>
      <c r="AC3222" s="13">
        <f>SUMPRODUCT(N3222:Y3222,$N$4:$Y$4)*$K3222*$L3222*$M3222</f>
        <v/>
      </c>
      <c r="AD3222" s="15" t="n">
        <v>3</v>
      </c>
      <c r="AE3222" s="11" t="n">
        <v>1.011296296296296</v>
      </c>
      <c r="AF3222" s="16">
        <f>SUMPRODUCT(N3222:Y3222,$N$5:$Y$5)*$K3222*$L3222*$M3222</f>
        <v/>
      </c>
      <c r="AG3222" s="16">
        <f>SUMPRODUCT(N3222:Y3222,$N$6:$Y$6)*$K3222*$L3222*$M3222</f>
        <v/>
      </c>
      <c r="AH3222" s="20" t="n"/>
    </row>
    <row r="3223">
      <c r="A3223" s="9" t="n">
        <v>692404</v>
      </c>
      <c r="B3223" s="9" t="inlineStr">
        <is>
          <t>Darlin Saladin</t>
        </is>
      </c>
      <c r="C3223" s="9" t="inlineStr">
        <is>
          <t>STL</t>
        </is>
      </c>
      <c r="D3223" s="9" t="n">
        <v>25</v>
      </c>
      <c r="E3223" s="18" t="inlineStr">
        <is>
          <t>R</t>
        </is>
      </c>
      <c r="F3223" s="18" t="n"/>
      <c r="G3223" s="9" t="n">
        <v>84.27999999999999</v>
      </c>
      <c r="H3223" s="9" t="n">
        <v>84.27999999999999</v>
      </c>
      <c r="I3223" s="9" t="inlineStr">
        <is>
          <t>Depth (no MLB IP)</t>
        </is>
      </c>
      <c r="J3223" s="18" t="inlineStr">
        <is>
          <t>Opening Day</t>
        </is>
      </c>
      <c r="K3223" s="11">
        <f>IFERROR(INDEX(Roles!$B$17:$B$20,MATCH(J3223,Roles!$A$17:$A$20,0)),1)</f>
        <v/>
      </c>
      <c r="L3223" s="19" t="n">
        <v>1</v>
      </c>
      <c r="M3223" s="11" t="n">
        <v>1</v>
      </c>
      <c r="N3223" s="19" t="n"/>
      <c r="O3223" s="19" t="n"/>
      <c r="P3223" s="19" t="n"/>
      <c r="Q3223" s="19" t="n"/>
      <c r="R3223" s="19" t="n"/>
      <c r="S3223" s="19" t="n"/>
      <c r="T3223" s="19" t="n"/>
      <c r="U3223" s="19" t="n"/>
      <c r="V3223" s="19" t="n"/>
      <c r="W3223" s="19" t="n"/>
      <c r="X3223" s="19" t="n"/>
      <c r="Y3223" s="19" t="n">
        <v>1</v>
      </c>
      <c r="Z3223" s="13">
        <f>SUMPRODUCT(N3223:Y3223,$N$2:$Y$2)*$K3223*$L3223*$M3223</f>
        <v/>
      </c>
      <c r="AA3223" s="14">
        <f>SUM(N3223:Y3223)</f>
        <v/>
      </c>
      <c r="AB3223" s="13">
        <f>SUMPRODUCT(N3223:Y3223,$N$3:$Y$3)*$K3223*$L3223*$M3223</f>
        <v/>
      </c>
      <c r="AC3223" s="13">
        <f>SUMPRODUCT(N3223:Y3223,$N$4:$Y$4)*$K3223*$L3223*$M3223</f>
        <v/>
      </c>
      <c r="AD3223" s="15" t="n">
        <v>3</v>
      </c>
      <c r="AE3223" s="11" t="n">
        <v>1.011296296296296</v>
      </c>
      <c r="AF3223" s="16">
        <f>SUMPRODUCT(N3223:Y3223,$N$5:$Y$5)*$K3223*$L3223*$M3223</f>
        <v/>
      </c>
      <c r="AG3223" s="16">
        <f>SUMPRODUCT(N3223:Y3223,$N$6:$Y$6)*$K3223*$L3223*$M3223</f>
        <v/>
      </c>
      <c r="AH3223" s="20" t="n"/>
    </row>
    <row r="3224">
      <c r="A3224" s="9" t="n">
        <v>692447</v>
      </c>
      <c r="B3224" s="9" t="inlineStr">
        <is>
          <t>Bryan Magdaleno</t>
        </is>
      </c>
      <c r="C3224" s="9" t="inlineStr">
        <is>
          <t>TEX</t>
        </is>
      </c>
      <c r="D3224" s="9" t="n">
        <v>25</v>
      </c>
      <c r="E3224" s="18" t="inlineStr">
        <is>
          <t>L</t>
        </is>
      </c>
      <c r="F3224" s="18" t="n"/>
      <c r="G3224" s="9" t="n">
        <v>84.27999999999999</v>
      </c>
      <c r="H3224" s="9" t="n">
        <v>84.27999999999999</v>
      </c>
      <c r="I3224" s="9" t="inlineStr">
        <is>
          <t>Depth (no MLB IP)</t>
        </is>
      </c>
      <c r="J3224" s="18" t="inlineStr">
        <is>
          <t>Opening Day</t>
        </is>
      </c>
      <c r="K3224" s="11">
        <f>IFERROR(INDEX(Roles!$B$17:$B$20,MATCH(J3224,Roles!$A$17:$A$20,0)),1)</f>
        <v/>
      </c>
      <c r="L3224" s="19" t="n">
        <v>1</v>
      </c>
      <c r="M3224" s="11" t="n">
        <v>1</v>
      </c>
      <c r="N3224" s="19" t="n"/>
      <c r="O3224" s="19" t="n"/>
      <c r="P3224" s="19" t="n"/>
      <c r="Q3224" s="19" t="n"/>
      <c r="R3224" s="19" t="n"/>
      <c r="S3224" s="19" t="n"/>
      <c r="T3224" s="19" t="n"/>
      <c r="U3224" s="19" t="n"/>
      <c r="V3224" s="19" t="n"/>
      <c r="W3224" s="19" t="n"/>
      <c r="X3224" s="19" t="n"/>
      <c r="Y3224" s="19" t="n">
        <v>1</v>
      </c>
      <c r="Z3224" s="13">
        <f>SUMPRODUCT(N3224:Y3224,$N$2:$Y$2)*$K3224*$L3224*$M3224</f>
        <v/>
      </c>
      <c r="AA3224" s="14">
        <f>SUM(N3224:Y3224)</f>
        <v/>
      </c>
      <c r="AB3224" s="13">
        <f>SUMPRODUCT(N3224:Y3224,$N$3:$Y$3)*$K3224*$L3224*$M3224</f>
        <v/>
      </c>
      <c r="AC3224" s="13">
        <f>SUMPRODUCT(N3224:Y3224,$N$4:$Y$4)*$K3224*$L3224*$M3224</f>
        <v/>
      </c>
      <c r="AD3224" s="15" t="n">
        <v>3</v>
      </c>
      <c r="AE3224" s="11" t="n">
        <v>1.011296296296296</v>
      </c>
      <c r="AF3224" s="16">
        <f>SUMPRODUCT(N3224:Y3224,$N$5:$Y$5)*$K3224*$L3224*$M3224</f>
        <v/>
      </c>
      <c r="AG3224" s="16">
        <f>SUMPRODUCT(N3224:Y3224,$N$6:$Y$6)*$K3224*$L3224*$M3224</f>
        <v/>
      </c>
      <c r="AH3224" s="20" t="n"/>
    </row>
    <row r="3225">
      <c r="A3225" s="9" t="n">
        <v>801403</v>
      </c>
      <c r="B3225" s="9" t="inlineStr">
        <is>
          <t>Chase Dollander</t>
        </is>
      </c>
      <c r="C3225" s="9" t="inlineStr">
        <is>
          <t>COL</t>
        </is>
      </c>
      <c r="D3225" s="9" t="n">
        <v>25</v>
      </c>
      <c r="E3225" s="18" t="inlineStr">
        <is>
          <t>R</t>
        </is>
      </c>
      <c r="F3225" s="18" t="n"/>
      <c r="G3225" s="9" t="n">
        <v>189</v>
      </c>
      <c r="H3225" s="9" t="n">
        <v>630</v>
      </c>
      <c r="I3225" s="9" t="inlineStr">
        <is>
          <t>Swing Arm / Long Relief</t>
        </is>
      </c>
      <c r="J3225" s="18" t="inlineStr">
        <is>
          <t>Opening Day</t>
        </is>
      </c>
      <c r="K3225" s="11">
        <f>IFERROR(INDEX(Roles!$B$17:$B$20,MATCH(J3225,Roles!$A$17:$A$20,0)),1)</f>
        <v/>
      </c>
      <c r="L3225" s="19" t="n">
        <v>1</v>
      </c>
      <c r="M3225" s="11" t="n">
        <v>1</v>
      </c>
      <c r="N3225" s="19" t="n"/>
      <c r="O3225" s="19" t="n"/>
      <c r="P3225" s="19" t="n"/>
      <c r="Q3225" s="19" t="n"/>
      <c r="R3225" s="19" t="n">
        <v>0.5</v>
      </c>
      <c r="S3225" s="19" t="n"/>
      <c r="T3225" s="19" t="n"/>
      <c r="U3225" s="19" t="n"/>
      <c r="V3225" s="19" t="n">
        <v>0.5</v>
      </c>
      <c r="W3225" s="19" t="n"/>
      <c r="X3225" s="19" t="n"/>
      <c r="Y3225" s="19" t="n"/>
      <c r="Z3225" s="13">
        <f>SUMPRODUCT(N3225:Y3225,$N$2:$Y$2)*$K3225*$L3225*$M3225</f>
        <v/>
      </c>
      <c r="AA3225" s="14">
        <f>SUM(N3225:Y3225)</f>
        <v/>
      </c>
      <c r="AB3225" s="13">
        <f>SUMPRODUCT(N3225:Y3225,$N$3:$Y$3)*$K3225*$L3225*$M3225</f>
        <v/>
      </c>
      <c r="AC3225" s="13">
        <f>SUMPRODUCT(N3225:Y3225,$N$4:$Y$4)*$K3225*$L3225*$M3225</f>
        <v/>
      </c>
      <c r="AD3225" s="15" t="n">
        <v>16.77333333333333</v>
      </c>
      <c r="AE3225" s="11" t="n">
        <v>3.187006678809958</v>
      </c>
      <c r="AF3225" s="16">
        <f>SUMPRODUCT(N3225:Y3225,$N$5:$Y$5)*$K3225*$L3225*$M3225</f>
        <v/>
      </c>
      <c r="AG3225" s="16">
        <f>SUMPRODUCT(N3225:Y3225,$N$6:$Y$6)*$K3225*$L3225*$M3225</f>
        <v/>
      </c>
      <c r="AH3225" s="20" t="n"/>
    </row>
    <row r="3226">
      <c r="A3226" s="9" t="n">
        <v>813882</v>
      </c>
      <c r="B3226" s="9" t="inlineStr">
        <is>
          <t>Brady Choban</t>
        </is>
      </c>
      <c r="C3226" s="9" t="inlineStr">
        <is>
          <t>LAA</t>
        </is>
      </c>
      <c r="D3226" s="9" t="n">
        <v>25</v>
      </c>
      <c r="E3226" s="18" t="inlineStr">
        <is>
          <t>R</t>
        </is>
      </c>
      <c r="F3226" s="18" t="n"/>
      <c r="G3226" s="9" t="n">
        <v>84.35166666666666</v>
      </c>
      <c r="H3226" s="9" t="n">
        <v>84.35166666666666</v>
      </c>
      <c r="I3226" s="9" t="inlineStr">
        <is>
          <t>Depth (no MLB IP)</t>
        </is>
      </c>
      <c r="J3226" s="18" t="inlineStr">
        <is>
          <t>Opening Day</t>
        </is>
      </c>
      <c r="K3226" s="11">
        <f>IFERROR(INDEX(Roles!$B$17:$B$20,MATCH(J3226,Roles!$A$17:$A$20,0)),1)</f>
        <v/>
      </c>
      <c r="L3226" s="19" t="n">
        <v>1</v>
      </c>
      <c r="M3226" s="11" t="n">
        <v>1</v>
      </c>
      <c r="N3226" s="19" t="n"/>
      <c r="O3226" s="19" t="n"/>
      <c r="P3226" s="19" t="n"/>
      <c r="Q3226" s="19" t="n"/>
      <c r="R3226" s="19" t="n"/>
      <c r="S3226" s="19" t="n"/>
      <c r="T3226" s="19" t="n"/>
      <c r="U3226" s="19" t="n"/>
      <c r="V3226" s="19" t="n"/>
      <c r="W3226" s="19" t="n"/>
      <c r="X3226" s="19" t="n"/>
      <c r="Y3226" s="19" t="n">
        <v>1</v>
      </c>
      <c r="Z3226" s="13">
        <f>SUMPRODUCT(N3226:Y3226,$N$2:$Y$2)*$K3226*$L3226*$M3226</f>
        <v/>
      </c>
      <c r="AA3226" s="14">
        <f>SUM(N3226:Y3226)</f>
        <v/>
      </c>
      <c r="AB3226" s="13">
        <f>SUMPRODUCT(N3226:Y3226,$N$3:$Y$3)*$K3226*$L3226*$M3226</f>
        <v/>
      </c>
      <c r="AC3226" s="13">
        <f>SUMPRODUCT(N3226:Y3226,$N$4:$Y$4)*$K3226*$L3226*$M3226</f>
        <v/>
      </c>
      <c r="AD3226" s="15" t="n">
        <v>3</v>
      </c>
      <c r="AE3226" s="11" t="n">
        <v>1.011296296296296</v>
      </c>
      <c r="AF3226" s="16">
        <f>SUMPRODUCT(N3226:Y3226,$N$5:$Y$5)*$K3226*$L3226*$M3226</f>
        <v/>
      </c>
      <c r="AG3226" s="16">
        <f>SUMPRODUCT(N3226:Y3226,$N$6:$Y$6)*$K3226*$L3226*$M3226</f>
        <v/>
      </c>
      <c r="AH3226" s="20" t="n"/>
    </row>
    <row r="3227">
      <c r="A3227" s="9" t="n">
        <v>809789</v>
      </c>
      <c r="B3227" s="9" t="inlineStr">
        <is>
          <t>Parker Smith</t>
        </is>
      </c>
      <c r="C3227" s="9" t="inlineStr">
        <is>
          <t>HOU</t>
        </is>
      </c>
      <c r="D3227" s="9" t="n">
        <v>25</v>
      </c>
      <c r="E3227" s="18" t="inlineStr">
        <is>
          <t>R</t>
        </is>
      </c>
      <c r="F3227" s="18" t="n"/>
      <c r="G3227" s="9" t="n">
        <v>84.28</v>
      </c>
      <c r="H3227" s="9" t="n">
        <v>84.28</v>
      </c>
      <c r="I3227" s="9" t="inlineStr">
        <is>
          <t>Depth (no MLB IP)</t>
        </is>
      </c>
      <c r="J3227" s="18" t="inlineStr">
        <is>
          <t>Opening Day</t>
        </is>
      </c>
      <c r="K3227" s="11">
        <f>IFERROR(INDEX(Roles!$B$17:$B$20,MATCH(J3227,Roles!$A$17:$A$20,0)),1)</f>
        <v/>
      </c>
      <c r="L3227" s="19" t="n">
        <v>1</v>
      </c>
      <c r="M3227" s="11" t="n">
        <v>1</v>
      </c>
      <c r="N3227" s="19" t="n"/>
      <c r="O3227" s="19" t="n"/>
      <c r="P3227" s="19" t="n"/>
      <c r="Q3227" s="19" t="n"/>
      <c r="R3227" s="19" t="n"/>
      <c r="S3227" s="19" t="n"/>
      <c r="T3227" s="19" t="n"/>
      <c r="U3227" s="19" t="n"/>
      <c r="V3227" s="19" t="n"/>
      <c r="W3227" s="19" t="n"/>
      <c r="X3227" s="19" t="n"/>
      <c r="Y3227" s="19" t="n">
        <v>1</v>
      </c>
      <c r="Z3227" s="13">
        <f>SUMPRODUCT(N3227:Y3227,$N$2:$Y$2)*$K3227*$L3227*$M3227</f>
        <v/>
      </c>
      <c r="AA3227" s="14">
        <f>SUM(N3227:Y3227)</f>
        <v/>
      </c>
      <c r="AB3227" s="13">
        <f>SUMPRODUCT(N3227:Y3227,$N$3:$Y$3)*$K3227*$L3227*$M3227</f>
        <v/>
      </c>
      <c r="AC3227" s="13">
        <f>SUMPRODUCT(N3227:Y3227,$N$4:$Y$4)*$K3227*$L3227*$M3227</f>
        <v/>
      </c>
      <c r="AD3227" s="15" t="n">
        <v>3</v>
      </c>
      <c r="AE3227" s="11" t="n">
        <v>1.011296296296296</v>
      </c>
      <c r="AF3227" s="16">
        <f>SUMPRODUCT(N3227:Y3227,$N$5:$Y$5)*$K3227*$L3227*$M3227</f>
        <v/>
      </c>
      <c r="AG3227" s="16">
        <f>SUMPRODUCT(N3227:Y3227,$N$6:$Y$6)*$K3227*$L3227*$M3227</f>
        <v/>
      </c>
      <c r="AH3227" s="20" t="n"/>
    </row>
    <row r="3228">
      <c r="A3228" s="9" t="n">
        <v>623451</v>
      </c>
      <c r="B3228" s="9" t="inlineStr">
        <is>
          <t>Jackson Stephens</t>
        </is>
      </c>
      <c r="C3228" s="9" t="inlineStr">
        <is>
          <t>ATL</t>
        </is>
      </c>
      <c r="D3228" s="9" t="n">
        <v>33</v>
      </c>
      <c r="E3228" s="18" t="inlineStr">
        <is>
          <t>R</t>
        </is>
      </c>
      <c r="F3228" s="18" t="n"/>
      <c r="G3228" s="9" t="n">
        <v>17</v>
      </c>
      <c r="H3228" s="9" t="n">
        <v>304</v>
      </c>
      <c r="I3228" s="9" t="inlineStr">
        <is>
          <t>Depth (no MLB IP)</t>
        </is>
      </c>
      <c r="J3228" s="18" t="inlineStr">
        <is>
          <t>Opening Day</t>
        </is>
      </c>
      <c r="K3228" s="11">
        <f>IFERROR(INDEX(Roles!$B$17:$B$20,MATCH(J3228,Roles!$A$17:$A$20,0)),1)</f>
        <v/>
      </c>
      <c r="L3228" s="19" t="n">
        <v>1</v>
      </c>
      <c r="M3228" s="11" t="n">
        <v>1</v>
      </c>
      <c r="N3228" s="19" t="n"/>
      <c r="O3228" s="19" t="n"/>
      <c r="P3228" s="19" t="n"/>
      <c r="Q3228" s="19" t="n"/>
      <c r="R3228" s="19" t="n"/>
      <c r="S3228" s="19" t="n"/>
      <c r="T3228" s="19" t="n"/>
      <c r="U3228" s="19" t="n"/>
      <c r="V3228" s="19" t="n"/>
      <c r="W3228" s="19" t="n"/>
      <c r="X3228" s="19" t="n"/>
      <c r="Y3228" s="19" t="n">
        <v>1</v>
      </c>
      <c r="Z3228" s="13">
        <f>SUMPRODUCT(N3228:Y3228,$N$2:$Y$2)*$K3228*$L3228*$M3228</f>
        <v/>
      </c>
      <c r="AA3228" s="14">
        <f>SUM(N3228:Y3228)</f>
        <v/>
      </c>
      <c r="AB3228" s="13">
        <f>SUMPRODUCT(N3228:Y3228,$N$3:$Y$3)*$K3228*$L3228*$M3228</f>
        <v/>
      </c>
      <c r="AC3228" s="13">
        <f>SUMPRODUCT(N3228:Y3228,$N$4:$Y$4)*$K3228*$L3228*$M3228</f>
        <v/>
      </c>
      <c r="AD3228" s="15" t="n">
        <v>3</v>
      </c>
      <c r="AE3228" s="11" t="n">
        <v>1.044567901234568</v>
      </c>
      <c r="AF3228" s="16">
        <f>SUMPRODUCT(N3228:Y3228,$N$5:$Y$5)*$K3228*$L3228*$M3228</f>
        <v/>
      </c>
      <c r="AG3228" s="16">
        <f>SUMPRODUCT(N3228:Y3228,$N$6:$Y$6)*$K3228*$L3228*$M3228</f>
        <v/>
      </c>
      <c r="AH3228" s="20" t="n"/>
    </row>
    <row r="3229">
      <c r="A3229" s="9" t="n">
        <v>702070</v>
      </c>
      <c r="B3229" s="9" t="inlineStr">
        <is>
          <t>Noah Cameron</t>
        </is>
      </c>
      <c r="C3229" s="9" t="inlineStr">
        <is>
          <t>KC</t>
        </is>
      </c>
      <c r="D3229" s="9" t="n">
        <v>27</v>
      </c>
      <c r="E3229" s="18" t="inlineStr">
        <is>
          <t>L</t>
        </is>
      </c>
      <c r="F3229" s="18" t="n"/>
      <c r="G3229" s="9" t="n">
        <v>746</v>
      </c>
      <c r="H3229" s="9" t="n">
        <v>1302</v>
      </c>
      <c r="I3229" s="9" t="inlineStr">
        <is>
          <t>Mid-Rotation Starter (SP2-3)</t>
        </is>
      </c>
      <c r="J3229" s="18" t="inlineStr">
        <is>
          <t>Opening Day</t>
        </is>
      </c>
      <c r="K3229" s="11">
        <f>IFERROR(INDEX(Roles!$B$17:$B$20,MATCH(J3229,Roles!$A$17:$A$20,0)),1)</f>
        <v/>
      </c>
      <c r="L3229" s="19" t="n">
        <v>1</v>
      </c>
      <c r="M3229" s="11" t="n">
        <v>1</v>
      </c>
      <c r="N3229" s="19" t="n"/>
      <c r="O3229" s="19" t="n">
        <v>0.5</v>
      </c>
      <c r="P3229" s="19" t="n">
        <v>0.5</v>
      </c>
      <c r="Q3229" s="19" t="n"/>
      <c r="R3229" s="19" t="n"/>
      <c r="S3229" s="19" t="n"/>
      <c r="T3229" s="19" t="n"/>
      <c r="U3229" s="19" t="n"/>
      <c r="V3229" s="19" t="n"/>
      <c r="W3229" s="19" t="n"/>
      <c r="X3229" s="19" t="n"/>
      <c r="Y3229" s="19" t="n"/>
      <c r="Z3229" s="13">
        <f>SUMPRODUCT(N3229:Y3229,$N$2:$Y$2)*$K3229*$L3229*$M3229</f>
        <v/>
      </c>
      <c r="AA3229" s="14">
        <f>SUM(N3229:Y3229)</f>
        <v/>
      </c>
      <c r="AB3229" s="13">
        <f>SUMPRODUCT(N3229:Y3229,$N$3:$Y$3)*$K3229*$L3229*$M3229</f>
        <v/>
      </c>
      <c r="AC3229" s="13">
        <f>SUMPRODUCT(N3229:Y3229,$N$4:$Y$4)*$K3229*$L3229*$M3229</f>
        <v/>
      </c>
      <c r="AD3229" s="15" t="n">
        <v>27.32</v>
      </c>
      <c r="AE3229" s="11" t="n">
        <v>5.381275578942017</v>
      </c>
      <c r="AF3229" s="16">
        <f>SUMPRODUCT(N3229:Y3229,$N$5:$Y$5)*$K3229*$L3229*$M3229</f>
        <v/>
      </c>
      <c r="AG3229" s="16">
        <f>SUMPRODUCT(N3229:Y3229,$N$6:$Y$6)*$K3229*$L3229*$M3229</f>
        <v/>
      </c>
      <c r="AH3229" s="20" t="n"/>
    </row>
    <row r="3230">
      <c r="A3230" s="9" t="n">
        <v>543766</v>
      </c>
      <c r="B3230" s="9" t="inlineStr">
        <is>
          <t>Bryan Shaw</t>
        </is>
      </c>
      <c r="C3230" s="9" t="inlineStr">
        <is>
          <t>CWS</t>
        </is>
      </c>
      <c r="D3230" s="9" t="n">
        <v>39</v>
      </c>
      <c r="E3230" s="18" t="inlineStr">
        <is>
          <t>R</t>
        </is>
      </c>
      <c r="F3230" s="18" t="n"/>
      <c r="G3230" s="9" t="n">
        <v>24</v>
      </c>
      <c r="H3230" s="9" t="n">
        <v>475</v>
      </c>
      <c r="I3230" s="9" t="inlineStr">
        <is>
          <t>Depth (no MLB IP)</t>
        </is>
      </c>
      <c r="J3230" s="18" t="inlineStr">
        <is>
          <t>Opening Day</t>
        </is>
      </c>
      <c r="K3230" s="11">
        <f>IFERROR(INDEX(Roles!$B$17:$B$20,MATCH(J3230,Roles!$A$17:$A$20,0)),1)</f>
        <v/>
      </c>
      <c r="L3230" s="19" t="n">
        <v>1</v>
      </c>
      <c r="M3230" s="11" t="n">
        <v>1</v>
      </c>
      <c r="N3230" s="19" t="n"/>
      <c r="O3230" s="19" t="n"/>
      <c r="P3230" s="19" t="n"/>
      <c r="Q3230" s="19" t="n"/>
      <c r="R3230" s="19" t="n"/>
      <c r="S3230" s="19" t="n"/>
      <c r="T3230" s="19" t="n"/>
      <c r="U3230" s="19" t="n"/>
      <c r="V3230" s="19" t="n"/>
      <c r="W3230" s="19" t="n"/>
      <c r="X3230" s="19" t="n"/>
      <c r="Y3230" s="19" t="n">
        <v>1</v>
      </c>
      <c r="Z3230" s="13">
        <f>SUMPRODUCT(N3230:Y3230,$N$2:$Y$2)*$K3230*$L3230*$M3230</f>
        <v/>
      </c>
      <c r="AA3230" s="14">
        <f>SUM(N3230:Y3230)</f>
        <v/>
      </c>
      <c r="AB3230" s="13">
        <f>SUMPRODUCT(N3230:Y3230,$N$3:$Y$3)*$K3230*$L3230*$M3230</f>
        <v/>
      </c>
      <c r="AC3230" s="13">
        <f>SUMPRODUCT(N3230:Y3230,$N$4:$Y$4)*$K3230*$L3230*$M3230</f>
        <v/>
      </c>
      <c r="AD3230" s="15" t="n">
        <v>4.2</v>
      </c>
      <c r="AE3230" s="11" t="n">
        <v>0.940864197530864</v>
      </c>
      <c r="AF3230" s="16">
        <f>SUMPRODUCT(N3230:Y3230,$N$5:$Y$5)*$K3230*$L3230*$M3230</f>
        <v/>
      </c>
      <c r="AG3230" s="16">
        <f>SUMPRODUCT(N3230:Y3230,$N$6:$Y$6)*$K3230*$L3230*$M3230</f>
        <v/>
      </c>
      <c r="AH3230" s="20" t="n"/>
    </row>
    <row r="3231">
      <c r="A3231" s="9" t="n">
        <v>805031</v>
      </c>
      <c r="B3231" s="9" t="inlineStr">
        <is>
          <t>Gabe Davis</t>
        </is>
      </c>
      <c r="C3231" s="9" t="inlineStr">
        <is>
          <t>NYM</t>
        </is>
      </c>
      <c r="D3231" s="9" t="n">
        <v>25</v>
      </c>
      <c r="E3231" s="18" t="inlineStr">
        <is>
          <t>R</t>
        </is>
      </c>
      <c r="F3231" s="18" t="n"/>
      <c r="G3231" s="9" t="n">
        <v>84.27999999999999</v>
      </c>
      <c r="H3231" s="9" t="n">
        <v>84.27999999999999</v>
      </c>
      <c r="I3231" s="9" t="inlineStr">
        <is>
          <t>Depth (no MLB IP)</t>
        </is>
      </c>
      <c r="J3231" s="18" t="inlineStr">
        <is>
          <t>Opening Day</t>
        </is>
      </c>
      <c r="K3231" s="11">
        <f>IFERROR(INDEX(Roles!$B$17:$B$20,MATCH(J3231,Roles!$A$17:$A$20,0)),1)</f>
        <v/>
      </c>
      <c r="L3231" s="19" t="n">
        <v>1</v>
      </c>
      <c r="M3231" s="11" t="n">
        <v>1</v>
      </c>
      <c r="N3231" s="19" t="n"/>
      <c r="O3231" s="19" t="n"/>
      <c r="P3231" s="19" t="n"/>
      <c r="Q3231" s="19" t="n"/>
      <c r="R3231" s="19" t="n"/>
      <c r="S3231" s="19" t="n"/>
      <c r="T3231" s="19" t="n"/>
      <c r="U3231" s="19" t="n"/>
      <c r="V3231" s="19" t="n"/>
      <c r="W3231" s="19" t="n"/>
      <c r="X3231" s="19" t="n"/>
      <c r="Y3231" s="19" t="n">
        <v>1</v>
      </c>
      <c r="Z3231" s="13">
        <f>SUMPRODUCT(N3231:Y3231,$N$2:$Y$2)*$K3231*$L3231*$M3231</f>
        <v/>
      </c>
      <c r="AA3231" s="14">
        <f>SUM(N3231:Y3231)</f>
        <v/>
      </c>
      <c r="AB3231" s="13">
        <f>SUMPRODUCT(N3231:Y3231,$N$3:$Y$3)*$K3231*$L3231*$M3231</f>
        <v/>
      </c>
      <c r="AC3231" s="13">
        <f>SUMPRODUCT(N3231:Y3231,$N$4:$Y$4)*$K3231*$L3231*$M3231</f>
        <v/>
      </c>
      <c r="AD3231" s="15" t="n">
        <v>3</v>
      </c>
      <c r="AE3231" s="11" t="n">
        <v>1.011296296296296</v>
      </c>
      <c r="AF3231" s="16">
        <f>SUMPRODUCT(N3231:Y3231,$N$5:$Y$5)*$K3231*$L3231*$M3231</f>
        <v/>
      </c>
      <c r="AG3231" s="16">
        <f>SUMPRODUCT(N3231:Y3231,$N$6:$Y$6)*$K3231*$L3231*$M3231</f>
        <v/>
      </c>
      <c r="AH3231" s="20" t="n"/>
    </row>
    <row r="3232">
      <c r="A3232" s="9" t="n">
        <v>805871</v>
      </c>
      <c r="B3232" s="9" t="inlineStr">
        <is>
          <t>Joel Hurtado</t>
        </is>
      </c>
      <c r="C3232" s="9" t="inlineStr">
        <is>
          <t>LAA</t>
        </is>
      </c>
      <c r="D3232" s="9" t="n">
        <v>25</v>
      </c>
      <c r="E3232" s="18" t="inlineStr">
        <is>
          <t>R</t>
        </is>
      </c>
      <c r="F3232" s="18" t="n"/>
      <c r="G3232" s="9" t="n">
        <v>84.35166666666666</v>
      </c>
      <c r="H3232" s="9" t="n">
        <v>84.35166666666666</v>
      </c>
      <c r="I3232" s="9" t="inlineStr">
        <is>
          <t>Depth (no MLB IP)</t>
        </is>
      </c>
      <c r="J3232" s="18" t="inlineStr">
        <is>
          <t>Opening Day</t>
        </is>
      </c>
      <c r="K3232" s="11">
        <f>IFERROR(INDEX(Roles!$B$17:$B$20,MATCH(J3232,Roles!$A$17:$A$20,0)),1)</f>
        <v/>
      </c>
      <c r="L3232" s="19" t="n">
        <v>1</v>
      </c>
      <c r="M3232" s="11" t="n">
        <v>1</v>
      </c>
      <c r="N3232" s="19" t="n"/>
      <c r="O3232" s="19" t="n"/>
      <c r="P3232" s="19" t="n"/>
      <c r="Q3232" s="19" t="n"/>
      <c r="R3232" s="19" t="n"/>
      <c r="S3232" s="19" t="n"/>
      <c r="T3232" s="19" t="n"/>
      <c r="U3232" s="19" t="n"/>
      <c r="V3232" s="19" t="n"/>
      <c r="W3232" s="19" t="n"/>
      <c r="X3232" s="19" t="n"/>
      <c r="Y3232" s="19" t="n">
        <v>1</v>
      </c>
      <c r="Z3232" s="13">
        <f>SUMPRODUCT(N3232:Y3232,$N$2:$Y$2)*$K3232*$L3232*$M3232</f>
        <v/>
      </c>
      <c r="AA3232" s="14">
        <f>SUM(N3232:Y3232)</f>
        <v/>
      </c>
      <c r="AB3232" s="13">
        <f>SUMPRODUCT(N3232:Y3232,$N$3:$Y$3)*$K3232*$L3232*$M3232</f>
        <v/>
      </c>
      <c r="AC3232" s="13">
        <f>SUMPRODUCT(N3232:Y3232,$N$4:$Y$4)*$K3232*$L3232*$M3232</f>
        <v/>
      </c>
      <c r="AD3232" s="15" t="n">
        <v>3</v>
      </c>
      <c r="AE3232" s="11" t="n">
        <v>1.011296296296296</v>
      </c>
      <c r="AF3232" s="16">
        <f>SUMPRODUCT(N3232:Y3232,$N$5:$Y$5)*$K3232*$L3232*$M3232</f>
        <v/>
      </c>
      <c r="AG3232" s="16">
        <f>SUMPRODUCT(N3232:Y3232,$N$6:$Y$6)*$K3232*$L3232*$M3232</f>
        <v/>
      </c>
      <c r="AH3232" s="20" t="n"/>
    </row>
    <row r="3233">
      <c r="A3233" s="9" t="n">
        <v>703440</v>
      </c>
      <c r="B3233" s="9" t="inlineStr">
        <is>
          <t>Dylan Howard</t>
        </is>
      </c>
      <c r="C3233" s="9" t="inlineStr">
        <is>
          <t>HOU</t>
        </is>
      </c>
      <c r="D3233" s="9" t="n">
        <v>25</v>
      </c>
      <c r="E3233" s="18" t="inlineStr">
        <is>
          <t>R</t>
        </is>
      </c>
      <c r="F3233" s="18" t="n"/>
      <c r="G3233" s="9" t="n">
        <v>84.28</v>
      </c>
      <c r="H3233" s="9" t="n">
        <v>84.28</v>
      </c>
      <c r="I3233" s="9" t="inlineStr">
        <is>
          <t>Depth (no MLB IP)</t>
        </is>
      </c>
      <c r="J3233" s="18" t="inlineStr">
        <is>
          <t>Opening Day</t>
        </is>
      </c>
      <c r="K3233" s="11">
        <f>IFERROR(INDEX(Roles!$B$17:$B$20,MATCH(J3233,Roles!$A$17:$A$20,0)),1)</f>
        <v/>
      </c>
      <c r="L3233" s="19" t="n">
        <v>1</v>
      </c>
      <c r="M3233" s="11" t="n">
        <v>1</v>
      </c>
      <c r="N3233" s="19" t="n"/>
      <c r="O3233" s="19" t="n"/>
      <c r="P3233" s="19" t="n"/>
      <c r="Q3233" s="19" t="n"/>
      <c r="R3233" s="19" t="n"/>
      <c r="S3233" s="19" t="n"/>
      <c r="T3233" s="19" t="n"/>
      <c r="U3233" s="19" t="n"/>
      <c r="V3233" s="19" t="n"/>
      <c r="W3233" s="19" t="n"/>
      <c r="X3233" s="19" t="n"/>
      <c r="Y3233" s="19" t="n">
        <v>1</v>
      </c>
      <c r="Z3233" s="13">
        <f>SUMPRODUCT(N3233:Y3233,$N$2:$Y$2)*$K3233*$L3233*$M3233</f>
        <v/>
      </c>
      <c r="AA3233" s="14">
        <f>SUM(N3233:Y3233)</f>
        <v/>
      </c>
      <c r="AB3233" s="13">
        <f>SUMPRODUCT(N3233:Y3233,$N$3:$Y$3)*$K3233*$L3233*$M3233</f>
        <v/>
      </c>
      <c r="AC3233" s="13">
        <f>SUMPRODUCT(N3233:Y3233,$N$4:$Y$4)*$K3233*$L3233*$M3233</f>
        <v/>
      </c>
      <c r="AD3233" s="15" t="n">
        <v>3</v>
      </c>
      <c r="AE3233" s="11" t="n">
        <v>1.011296296296296</v>
      </c>
      <c r="AF3233" s="16">
        <f>SUMPRODUCT(N3233:Y3233,$N$5:$Y$5)*$K3233*$L3233*$M3233</f>
        <v/>
      </c>
      <c r="AG3233" s="16">
        <f>SUMPRODUCT(N3233:Y3233,$N$6:$Y$6)*$K3233*$L3233*$M3233</f>
        <v/>
      </c>
      <c r="AH3233" s="20" t="n"/>
    </row>
    <row r="3234">
      <c r="A3234" s="9" t="n">
        <v>664901</v>
      </c>
      <c r="B3234" s="9" t="inlineStr">
        <is>
          <t>Danny Mendick</t>
        </is>
      </c>
      <c r="C3234" s="9" t="inlineStr">
        <is>
          <t>CWS</t>
        </is>
      </c>
      <c r="D3234" s="9" t="n">
        <v>33</v>
      </c>
      <c r="E3234" s="18" t="inlineStr">
        <is>
          <t>R</t>
        </is>
      </c>
      <c r="F3234" s="18" t="n"/>
      <c r="G3234" s="9" t="n">
        <v>4</v>
      </c>
      <c r="H3234" s="9" t="n">
        <v>19</v>
      </c>
      <c r="I3234" s="9" t="inlineStr">
        <is>
          <t>Depth (no MLB IP)</t>
        </is>
      </c>
      <c r="J3234" s="18" t="inlineStr">
        <is>
          <t>Opening Day</t>
        </is>
      </c>
      <c r="K3234" s="11">
        <f>IFERROR(INDEX(Roles!$B$17:$B$20,MATCH(J3234,Roles!$A$17:$A$20,0)),1)</f>
        <v/>
      </c>
      <c r="L3234" s="19" t="n">
        <v>1</v>
      </c>
      <c r="M3234" s="11" t="n">
        <v>1</v>
      </c>
      <c r="N3234" s="19" t="n"/>
      <c r="O3234" s="19" t="n"/>
      <c r="P3234" s="19" t="n"/>
      <c r="Q3234" s="19" t="n"/>
      <c r="R3234" s="19" t="n"/>
      <c r="S3234" s="19" t="n"/>
      <c r="T3234" s="19" t="n"/>
      <c r="U3234" s="19" t="n"/>
      <c r="V3234" s="19" t="n"/>
      <c r="W3234" s="19" t="n"/>
      <c r="X3234" s="19" t="n"/>
      <c r="Y3234" s="19" t="n">
        <v>1</v>
      </c>
      <c r="Z3234" s="13">
        <f>SUMPRODUCT(N3234:Y3234,$N$2:$Y$2)*$K3234*$L3234*$M3234</f>
        <v/>
      </c>
      <c r="AA3234" s="14">
        <f>SUM(N3234:Y3234)</f>
        <v/>
      </c>
      <c r="AB3234" s="13">
        <f>SUMPRODUCT(N3234:Y3234,$N$3:$Y$3)*$K3234*$L3234*$M3234</f>
        <v/>
      </c>
      <c r="AC3234" s="13">
        <f>SUMPRODUCT(N3234:Y3234,$N$4:$Y$4)*$K3234*$L3234*$M3234</f>
        <v/>
      </c>
      <c r="AD3234" s="15" t="n">
        <v>1.8</v>
      </c>
      <c r="AE3234" s="11" t="n">
        <v>1.007530864197531</v>
      </c>
      <c r="AF3234" s="16">
        <f>SUMPRODUCT(N3234:Y3234,$N$5:$Y$5)*$K3234*$L3234*$M3234</f>
        <v/>
      </c>
      <c r="AG3234" s="16">
        <f>SUMPRODUCT(N3234:Y3234,$N$6:$Y$6)*$K3234*$L3234*$M3234</f>
        <v/>
      </c>
      <c r="AH3234" s="20" t="n"/>
    </row>
    <row r="3235">
      <c r="A3235" s="9" t="n">
        <v>622379</v>
      </c>
      <c r="B3235" s="9" t="inlineStr">
        <is>
          <t>Luis F. Castillo</t>
        </is>
      </c>
      <c r="C3235" s="9" t="inlineStr">
        <is>
          <t>SEA</t>
        </is>
      </c>
      <c r="D3235" s="9" t="n">
        <v>32</v>
      </c>
      <c r="E3235" s="18" t="inlineStr">
        <is>
          <t>R</t>
        </is>
      </c>
      <c r="F3235" s="18" t="n"/>
      <c r="G3235" s="9" t="n">
        <v>41</v>
      </c>
      <c r="H3235" s="9" t="n">
        <v>55</v>
      </c>
      <c r="I3235" s="9" t="inlineStr">
        <is>
          <t>End-of-Rotation Starter (SP4-5)</t>
        </is>
      </c>
      <c r="J3235" s="18" t="inlineStr">
        <is>
          <t>Opening Day</t>
        </is>
      </c>
      <c r="K3235" s="11">
        <f>IFERROR(INDEX(Roles!$B$17:$B$20,MATCH(J3235,Roles!$A$17:$A$20,0)),1)</f>
        <v/>
      </c>
      <c r="L3235" s="19" t="n">
        <v>1</v>
      </c>
      <c r="M3235" s="11" t="n">
        <v>1</v>
      </c>
      <c r="N3235" s="19" t="n"/>
      <c r="O3235" s="19" t="n"/>
      <c r="P3235" s="19" t="n">
        <v>1</v>
      </c>
      <c r="Q3235" s="19" t="n"/>
      <c r="R3235" s="19" t="n"/>
      <c r="S3235" s="19" t="n"/>
      <c r="T3235" s="19" t="n"/>
      <c r="U3235" s="19" t="n"/>
      <c r="V3235" s="19" t="n"/>
      <c r="W3235" s="19" t="n"/>
      <c r="X3235" s="19" t="n"/>
      <c r="Y3235" s="19" t="n"/>
      <c r="Z3235" s="13">
        <f>SUMPRODUCT(N3235:Y3235,$N$2:$Y$2)*$K3235*$L3235*$M3235</f>
        <v/>
      </c>
      <c r="AA3235" s="14">
        <f>SUM(N3235:Y3235)</f>
        <v/>
      </c>
      <c r="AB3235" s="13">
        <f>SUMPRODUCT(N3235:Y3235,$N$3:$Y$3)*$K3235*$L3235*$M3235</f>
        <v/>
      </c>
      <c r="AC3235" s="13">
        <f>SUMPRODUCT(N3235:Y3235,$N$4:$Y$4)*$K3235*$L3235*$M3235</f>
        <v/>
      </c>
      <c r="AD3235" s="15" t="n">
        <v>7.6</v>
      </c>
      <c r="AE3235" s="11" t="n">
        <v>4.203703703703703</v>
      </c>
      <c r="AF3235" s="16">
        <f>SUMPRODUCT(N3235:Y3235,$N$5:$Y$5)*$K3235*$L3235*$M3235</f>
        <v/>
      </c>
      <c r="AG3235" s="16">
        <f>SUMPRODUCT(N3235:Y3235,$N$6:$Y$6)*$K3235*$L3235*$M3235</f>
        <v/>
      </c>
      <c r="AH3235" s="20" t="n"/>
    </row>
    <row r="3236">
      <c r="A3236" s="9" t="n">
        <v>665152</v>
      </c>
      <c r="B3236" s="9" t="inlineStr">
        <is>
          <t>Dean Kremer</t>
        </is>
      </c>
      <c r="C3236" s="9" t="inlineStr">
        <is>
          <t>MIN</t>
        </is>
      </c>
      <c r="D3236" s="9" t="n">
        <v>31</v>
      </c>
      <c r="E3236" s="18" t="inlineStr">
        <is>
          <t>R</t>
        </is>
      </c>
      <c r="F3236" s="18" t="n"/>
      <c r="G3236" s="9" t="n">
        <v>364</v>
      </c>
      <c r="H3236" s="9" t="n">
        <v>2872</v>
      </c>
      <c r="I3236" s="9" t="inlineStr">
        <is>
          <t>Mid-Rotation Starter (SP2-3)</t>
        </is>
      </c>
      <c r="J3236" s="18" t="inlineStr">
        <is>
          <t>Opening Day</t>
        </is>
      </c>
      <c r="K3236" s="11">
        <f>IFERROR(INDEX(Roles!$B$17:$B$20,MATCH(J3236,Roles!$A$17:$A$20,0)),1)</f>
        <v/>
      </c>
      <c r="L3236" s="19" t="n">
        <v>1</v>
      </c>
      <c r="M3236" s="11" t="n">
        <v>1</v>
      </c>
      <c r="N3236" s="19" t="n"/>
      <c r="O3236" s="19" t="n">
        <v>0.5</v>
      </c>
      <c r="P3236" s="19" t="n">
        <v>0.5</v>
      </c>
      <c r="Q3236" s="19" t="n"/>
      <c r="R3236" s="19" t="n"/>
      <c r="S3236" s="19" t="n"/>
      <c r="T3236" s="19" t="n"/>
      <c r="U3236" s="19" t="n"/>
      <c r="V3236" s="19" t="n"/>
      <c r="W3236" s="19" t="n"/>
      <c r="X3236" s="19" t="n"/>
      <c r="Y3236" s="19" t="n"/>
      <c r="Z3236" s="13">
        <f>SUMPRODUCT(N3236:Y3236,$N$2:$Y$2)*$K3236*$L3236*$M3236</f>
        <v/>
      </c>
      <c r="AA3236" s="14">
        <f>SUM(N3236:Y3236)</f>
        <v/>
      </c>
      <c r="AB3236" s="13">
        <f>SUMPRODUCT(N3236:Y3236,$N$3:$Y$3)*$K3236*$L3236*$M3236</f>
        <v/>
      </c>
      <c r="AC3236" s="13">
        <f>SUMPRODUCT(N3236:Y3236,$N$4:$Y$4)*$K3236*$L3236*$M3236</f>
        <v/>
      </c>
      <c r="AD3236" s="15" t="n">
        <v>24.1</v>
      </c>
      <c r="AE3236" s="11" t="n">
        <v>5.279753028281402</v>
      </c>
      <c r="AF3236" s="16">
        <f>SUMPRODUCT(N3236:Y3236,$N$5:$Y$5)*$K3236*$L3236*$M3236</f>
        <v/>
      </c>
      <c r="AG3236" s="16">
        <f>SUMPRODUCT(N3236:Y3236,$N$6:$Y$6)*$K3236*$L3236*$M3236</f>
        <v/>
      </c>
      <c r="AH3236" s="20" t="n"/>
    </row>
    <row r="3237">
      <c r="A3237" s="9" t="n">
        <v>694370</v>
      </c>
      <c r="B3237" s="9" t="inlineStr">
        <is>
          <t>Levi Wells</t>
        </is>
      </c>
      <c r="C3237" s="9" t="inlineStr">
        <is>
          <t>BAL</t>
        </is>
      </c>
      <c r="D3237" s="9" t="n">
        <v>25</v>
      </c>
      <c r="E3237" s="18" t="inlineStr">
        <is>
          <t>R</t>
        </is>
      </c>
      <c r="F3237" s="18" t="n"/>
      <c r="G3237" s="9" t="n">
        <v>85.14</v>
      </c>
      <c r="H3237" s="9" t="n">
        <v>85.14</v>
      </c>
      <c r="I3237" s="9" t="inlineStr">
        <is>
          <t>Depth (no MLB IP)</t>
        </is>
      </c>
      <c r="J3237" s="18" t="inlineStr">
        <is>
          <t>Opening Day</t>
        </is>
      </c>
      <c r="K3237" s="11">
        <f>IFERROR(INDEX(Roles!$B$17:$B$20,MATCH(J3237,Roles!$A$17:$A$20,0)),1)</f>
        <v/>
      </c>
      <c r="L3237" s="19" t="n">
        <v>1</v>
      </c>
      <c r="M3237" s="11" t="n">
        <v>1</v>
      </c>
      <c r="N3237" s="19" t="n"/>
      <c r="O3237" s="19" t="n"/>
      <c r="P3237" s="19" t="n"/>
      <c r="Q3237" s="19" t="n"/>
      <c r="R3237" s="19" t="n"/>
      <c r="S3237" s="19" t="n"/>
      <c r="T3237" s="19" t="n"/>
      <c r="U3237" s="19" t="n"/>
      <c r="V3237" s="19" t="n"/>
      <c r="W3237" s="19" t="n"/>
      <c r="X3237" s="19" t="n"/>
      <c r="Y3237" s="19" t="n">
        <v>1</v>
      </c>
      <c r="Z3237" s="13">
        <f>SUMPRODUCT(N3237:Y3237,$N$2:$Y$2)*$K3237*$L3237*$M3237</f>
        <v/>
      </c>
      <c r="AA3237" s="14">
        <f>SUM(N3237:Y3237)</f>
        <v/>
      </c>
      <c r="AB3237" s="13">
        <f>SUMPRODUCT(N3237:Y3237,$N$3:$Y$3)*$K3237*$L3237*$M3237</f>
        <v/>
      </c>
      <c r="AC3237" s="13">
        <f>SUMPRODUCT(N3237:Y3237,$N$4:$Y$4)*$K3237*$L3237*$M3237</f>
        <v/>
      </c>
      <c r="AD3237" s="15" t="n">
        <v>3</v>
      </c>
      <c r="AE3237" s="11" t="n">
        <v>1.011296296296296</v>
      </c>
      <c r="AF3237" s="16">
        <f>SUMPRODUCT(N3237:Y3237,$N$5:$Y$5)*$K3237*$L3237*$M3237</f>
        <v/>
      </c>
      <c r="AG3237" s="16">
        <f>SUMPRODUCT(N3237:Y3237,$N$6:$Y$6)*$K3237*$L3237*$M3237</f>
        <v/>
      </c>
      <c r="AH3237" s="20" t="n"/>
    </row>
    <row r="3238">
      <c r="A3238" s="9" t="n">
        <v>692243</v>
      </c>
      <c r="B3238" s="9" t="inlineStr">
        <is>
          <t>Jaden Woods</t>
        </is>
      </c>
      <c r="C3238" s="9" t="inlineStr">
        <is>
          <t>CWS</t>
        </is>
      </c>
      <c r="D3238" s="9" t="n">
        <v>25</v>
      </c>
      <c r="E3238" s="18" t="inlineStr">
        <is>
          <t>L</t>
        </is>
      </c>
      <c r="F3238" s="18" t="n"/>
      <c r="G3238" s="9" t="n">
        <v>85.14</v>
      </c>
      <c r="H3238" s="9" t="n">
        <v>85.14</v>
      </c>
      <c r="I3238" s="9" t="inlineStr">
        <is>
          <t>Depth (no MLB IP)</t>
        </is>
      </c>
      <c r="J3238" s="18" t="inlineStr">
        <is>
          <t>Opening Day</t>
        </is>
      </c>
      <c r="K3238" s="11">
        <f>IFERROR(INDEX(Roles!$B$17:$B$20,MATCH(J3238,Roles!$A$17:$A$20,0)),1)</f>
        <v/>
      </c>
      <c r="L3238" s="19" t="n">
        <v>1</v>
      </c>
      <c r="M3238" s="11" t="n">
        <v>1</v>
      </c>
      <c r="N3238" s="19" t="n"/>
      <c r="O3238" s="19" t="n"/>
      <c r="P3238" s="19" t="n"/>
      <c r="Q3238" s="19" t="n"/>
      <c r="R3238" s="19" t="n"/>
      <c r="S3238" s="19" t="n"/>
      <c r="T3238" s="19" t="n"/>
      <c r="U3238" s="19" t="n"/>
      <c r="V3238" s="19" t="n"/>
      <c r="W3238" s="19" t="n"/>
      <c r="X3238" s="19" t="n"/>
      <c r="Y3238" s="19" t="n">
        <v>1</v>
      </c>
      <c r="Z3238" s="13">
        <f>SUMPRODUCT(N3238:Y3238,$N$2:$Y$2)*$K3238*$L3238*$M3238</f>
        <v/>
      </c>
      <c r="AA3238" s="14">
        <f>SUM(N3238:Y3238)</f>
        <v/>
      </c>
      <c r="AB3238" s="13">
        <f>SUMPRODUCT(N3238:Y3238,$N$3:$Y$3)*$K3238*$L3238*$M3238</f>
        <v/>
      </c>
      <c r="AC3238" s="13">
        <f>SUMPRODUCT(N3238:Y3238,$N$4:$Y$4)*$K3238*$L3238*$M3238</f>
        <v/>
      </c>
      <c r="AD3238" s="15" t="n">
        <v>3</v>
      </c>
      <c r="AE3238" s="11" t="n">
        <v>1.011296296296296</v>
      </c>
      <c r="AF3238" s="16">
        <f>SUMPRODUCT(N3238:Y3238,$N$5:$Y$5)*$K3238*$L3238*$M3238</f>
        <v/>
      </c>
      <c r="AG3238" s="16">
        <f>SUMPRODUCT(N3238:Y3238,$N$6:$Y$6)*$K3238*$L3238*$M3238</f>
        <v/>
      </c>
      <c r="AH3238" s="20" t="n"/>
    </row>
    <row r="3239">
      <c r="A3239" s="9" t="n">
        <v>592473</v>
      </c>
      <c r="B3239" s="9" t="inlineStr">
        <is>
          <t>Adam Kolarek</t>
        </is>
      </c>
      <c r="C3239" s="9" t="inlineStr">
        <is>
          <t>OAK</t>
        </is>
      </c>
      <c r="D3239" s="9" t="n">
        <v>38</v>
      </c>
      <c r="E3239" s="18" t="inlineStr">
        <is>
          <t>L</t>
        </is>
      </c>
      <c r="F3239" s="18" t="n"/>
      <c r="G3239" s="9" t="n">
        <v>22</v>
      </c>
      <c r="H3239" s="9" t="n">
        <v>101</v>
      </c>
      <c r="I3239" s="9" t="inlineStr">
        <is>
          <t>Depth (no MLB IP)</t>
        </is>
      </c>
      <c r="J3239" s="18" t="inlineStr">
        <is>
          <t>Opening Day</t>
        </is>
      </c>
      <c r="K3239" s="11">
        <f>IFERROR(INDEX(Roles!$B$17:$B$20,MATCH(J3239,Roles!$A$17:$A$20,0)),1)</f>
        <v/>
      </c>
      <c r="L3239" s="19" t="n">
        <v>1</v>
      </c>
      <c r="M3239" s="11" t="n">
        <v>1</v>
      </c>
      <c r="N3239" s="19" t="n"/>
      <c r="O3239" s="19" t="n"/>
      <c r="P3239" s="19" t="n"/>
      <c r="Q3239" s="19" t="n"/>
      <c r="R3239" s="19" t="n"/>
      <c r="S3239" s="19" t="n"/>
      <c r="T3239" s="19" t="n"/>
      <c r="U3239" s="19" t="n"/>
      <c r="V3239" s="19" t="n"/>
      <c r="W3239" s="19" t="n"/>
      <c r="X3239" s="19" t="n"/>
      <c r="Y3239" s="19" t="n">
        <v>1</v>
      </c>
      <c r="Z3239" s="13">
        <f>SUMPRODUCT(N3239:Y3239,$N$2:$Y$2)*$K3239*$L3239*$M3239</f>
        <v/>
      </c>
      <c r="AA3239" s="14">
        <f>SUM(N3239:Y3239)</f>
        <v/>
      </c>
      <c r="AB3239" s="13">
        <f>SUMPRODUCT(N3239:Y3239,$N$3:$Y$3)*$K3239*$L3239*$M3239</f>
        <v/>
      </c>
      <c r="AC3239" s="13">
        <f>SUMPRODUCT(N3239:Y3239,$N$4:$Y$4)*$K3239*$L3239*$M3239</f>
        <v/>
      </c>
      <c r="AD3239" s="15" t="n">
        <v>3</v>
      </c>
      <c r="AE3239" s="11" t="n">
        <v>1.011296296296296</v>
      </c>
      <c r="AF3239" s="16">
        <f>SUMPRODUCT(N3239:Y3239,$N$5:$Y$5)*$K3239*$L3239*$M3239</f>
        <v/>
      </c>
      <c r="AG3239" s="16">
        <f>SUMPRODUCT(N3239:Y3239,$N$6:$Y$6)*$K3239*$L3239*$M3239</f>
        <v/>
      </c>
      <c r="AH3239" s="20" t="n"/>
    </row>
    <row r="3240">
      <c r="A3240" s="9" t="n">
        <v>814279</v>
      </c>
      <c r="B3240" s="9" t="inlineStr">
        <is>
          <t>Yeferson Vargas</t>
        </is>
      </c>
      <c r="C3240" s="9" t="inlineStr">
        <is>
          <t>LAA</t>
        </is>
      </c>
      <c r="D3240" s="9" t="n">
        <v>25</v>
      </c>
      <c r="E3240" s="18" t="inlineStr">
        <is>
          <t>R</t>
        </is>
      </c>
      <c r="F3240" s="18" t="n"/>
      <c r="G3240" s="9" t="n">
        <v>85.14</v>
      </c>
      <c r="H3240" s="9" t="n">
        <v>85.14</v>
      </c>
      <c r="I3240" s="9" t="inlineStr">
        <is>
          <t>Depth (no MLB IP)</t>
        </is>
      </c>
      <c r="J3240" s="18" t="inlineStr">
        <is>
          <t>Opening Day</t>
        </is>
      </c>
      <c r="K3240" s="11">
        <f>IFERROR(INDEX(Roles!$B$17:$B$20,MATCH(J3240,Roles!$A$17:$A$20,0)),1)</f>
        <v/>
      </c>
      <c r="L3240" s="19" t="n">
        <v>1</v>
      </c>
      <c r="M3240" s="11" t="n">
        <v>1</v>
      </c>
      <c r="N3240" s="19" t="n"/>
      <c r="O3240" s="19" t="n"/>
      <c r="P3240" s="19" t="n"/>
      <c r="Q3240" s="19" t="n"/>
      <c r="R3240" s="19" t="n"/>
      <c r="S3240" s="19" t="n"/>
      <c r="T3240" s="19" t="n"/>
      <c r="U3240" s="19" t="n"/>
      <c r="V3240" s="19" t="n"/>
      <c r="W3240" s="19" t="n"/>
      <c r="X3240" s="19" t="n"/>
      <c r="Y3240" s="19" t="n">
        <v>1</v>
      </c>
      <c r="Z3240" s="13">
        <f>SUMPRODUCT(N3240:Y3240,$N$2:$Y$2)*$K3240*$L3240*$M3240</f>
        <v/>
      </c>
      <c r="AA3240" s="14">
        <f>SUM(N3240:Y3240)</f>
        <v/>
      </c>
      <c r="AB3240" s="13">
        <f>SUMPRODUCT(N3240:Y3240,$N$3:$Y$3)*$K3240*$L3240*$M3240</f>
        <v/>
      </c>
      <c r="AC3240" s="13">
        <f>SUMPRODUCT(N3240:Y3240,$N$4:$Y$4)*$K3240*$L3240*$M3240</f>
        <v/>
      </c>
      <c r="AD3240" s="15" t="n">
        <v>3</v>
      </c>
      <c r="AE3240" s="11" t="n">
        <v>1.011296296296296</v>
      </c>
      <c r="AF3240" s="16">
        <f>SUMPRODUCT(N3240:Y3240,$N$5:$Y$5)*$K3240*$L3240*$M3240</f>
        <v/>
      </c>
      <c r="AG3240" s="16">
        <f>SUMPRODUCT(N3240:Y3240,$N$6:$Y$6)*$K3240*$L3240*$M3240</f>
        <v/>
      </c>
      <c r="AH3240" s="20" t="n"/>
    </row>
    <row r="3241">
      <c r="A3241" s="9" t="n">
        <v>696292</v>
      </c>
      <c r="B3241" s="9" t="inlineStr">
        <is>
          <t>Ben Hess</t>
        </is>
      </c>
      <c r="C3241" s="9" t="inlineStr">
        <is>
          <t>NYY</t>
        </is>
      </c>
      <c r="D3241" s="9" t="n">
        <v>25</v>
      </c>
      <c r="E3241" s="18" t="inlineStr">
        <is>
          <t>R</t>
        </is>
      </c>
      <c r="F3241" s="18" t="n"/>
      <c r="G3241" s="9" t="n">
        <v>85.28333333333333</v>
      </c>
      <c r="H3241" s="9" t="n">
        <v>85.28333333333333</v>
      </c>
      <c r="I3241" s="9" t="inlineStr">
        <is>
          <t>Depth (no MLB IP)</t>
        </is>
      </c>
      <c r="J3241" s="18" t="inlineStr">
        <is>
          <t>Opening Day</t>
        </is>
      </c>
      <c r="K3241" s="11">
        <f>IFERROR(INDEX(Roles!$B$17:$B$20,MATCH(J3241,Roles!$A$17:$A$20,0)),1)</f>
        <v/>
      </c>
      <c r="L3241" s="19" t="n">
        <v>1</v>
      </c>
      <c r="M3241" s="11" t="n">
        <v>1</v>
      </c>
      <c r="N3241" s="19" t="n"/>
      <c r="O3241" s="19" t="n"/>
      <c r="P3241" s="19" t="n"/>
      <c r="Q3241" s="19" t="n"/>
      <c r="R3241" s="19" t="n"/>
      <c r="S3241" s="19" t="n"/>
      <c r="T3241" s="19" t="n"/>
      <c r="U3241" s="19" t="n"/>
      <c r="V3241" s="19" t="n"/>
      <c r="W3241" s="19" t="n"/>
      <c r="X3241" s="19" t="n"/>
      <c r="Y3241" s="19" t="n">
        <v>1</v>
      </c>
      <c r="Z3241" s="13">
        <f>SUMPRODUCT(N3241:Y3241,$N$2:$Y$2)*$K3241*$L3241*$M3241</f>
        <v/>
      </c>
      <c r="AA3241" s="14">
        <f>SUM(N3241:Y3241)</f>
        <v/>
      </c>
      <c r="AB3241" s="13">
        <f>SUMPRODUCT(N3241:Y3241,$N$3:$Y$3)*$K3241*$L3241*$M3241</f>
        <v/>
      </c>
      <c r="AC3241" s="13">
        <f>SUMPRODUCT(N3241:Y3241,$N$4:$Y$4)*$K3241*$L3241*$M3241</f>
        <v/>
      </c>
      <c r="AD3241" s="15" t="n">
        <v>3</v>
      </c>
      <c r="AE3241" s="11" t="n">
        <v>1.011296296296296</v>
      </c>
      <c r="AF3241" s="16">
        <f>SUMPRODUCT(N3241:Y3241,$N$5:$Y$5)*$K3241*$L3241*$M3241</f>
        <v/>
      </c>
      <c r="AG3241" s="16">
        <f>SUMPRODUCT(N3241:Y3241,$N$6:$Y$6)*$K3241*$L3241*$M3241</f>
        <v/>
      </c>
      <c r="AH3241" s="20" t="n"/>
    </row>
    <row r="3242">
      <c r="A3242" s="9" t="n">
        <v>702098</v>
      </c>
      <c r="B3242" s="9" t="inlineStr">
        <is>
          <t>Allen Facundo</t>
        </is>
      </c>
      <c r="C3242" s="9" t="inlineStr">
        <is>
          <t>NYY</t>
        </is>
      </c>
      <c r="D3242" s="9" t="n">
        <v>25</v>
      </c>
      <c r="E3242" s="18" t="inlineStr">
        <is>
          <t>L</t>
        </is>
      </c>
      <c r="F3242" s="18" t="n"/>
      <c r="G3242" s="9" t="n">
        <v>85.42666666666666</v>
      </c>
      <c r="H3242" s="9" t="n">
        <v>85.42666666666666</v>
      </c>
      <c r="I3242" s="9" t="inlineStr">
        <is>
          <t>Depth (no MLB IP)</t>
        </is>
      </c>
      <c r="J3242" s="18" t="inlineStr">
        <is>
          <t>Opening Day</t>
        </is>
      </c>
      <c r="K3242" s="11">
        <f>IFERROR(INDEX(Roles!$B$17:$B$20,MATCH(J3242,Roles!$A$17:$A$20,0)),1)</f>
        <v/>
      </c>
      <c r="L3242" s="19" t="n">
        <v>1</v>
      </c>
      <c r="M3242" s="11" t="n">
        <v>1</v>
      </c>
      <c r="N3242" s="19" t="n"/>
      <c r="O3242" s="19" t="n"/>
      <c r="P3242" s="19" t="n"/>
      <c r="Q3242" s="19" t="n"/>
      <c r="R3242" s="19" t="n"/>
      <c r="S3242" s="19" t="n"/>
      <c r="T3242" s="19" t="n"/>
      <c r="U3242" s="19" t="n"/>
      <c r="V3242" s="19" t="n"/>
      <c r="W3242" s="19" t="n"/>
      <c r="X3242" s="19" t="n"/>
      <c r="Y3242" s="19" t="n">
        <v>1</v>
      </c>
      <c r="Z3242" s="13">
        <f>SUMPRODUCT(N3242:Y3242,$N$2:$Y$2)*$K3242*$L3242*$M3242</f>
        <v/>
      </c>
      <c r="AA3242" s="14">
        <f>SUM(N3242:Y3242)</f>
        <v/>
      </c>
      <c r="AB3242" s="13">
        <f>SUMPRODUCT(N3242:Y3242,$N$3:$Y$3)*$K3242*$L3242*$M3242</f>
        <v/>
      </c>
      <c r="AC3242" s="13">
        <f>SUMPRODUCT(N3242:Y3242,$N$4:$Y$4)*$K3242*$L3242*$M3242</f>
        <v/>
      </c>
      <c r="AD3242" s="15" t="n">
        <v>3</v>
      </c>
      <c r="AE3242" s="11" t="n">
        <v>1.011296296296296</v>
      </c>
      <c r="AF3242" s="16">
        <f>SUMPRODUCT(N3242:Y3242,$N$5:$Y$5)*$K3242*$L3242*$M3242</f>
        <v/>
      </c>
      <c r="AG3242" s="16">
        <f>SUMPRODUCT(N3242:Y3242,$N$6:$Y$6)*$K3242*$L3242*$M3242</f>
        <v/>
      </c>
      <c r="AH3242" s="20" t="n"/>
    </row>
    <row r="3243">
      <c r="A3243" s="9" t="n">
        <v>665896</v>
      </c>
      <c r="B3243" s="9" t="inlineStr">
        <is>
          <t>José Marte</t>
        </is>
      </c>
      <c r="C3243" s="9" t="inlineStr">
        <is>
          <t>LAA</t>
        </is>
      </c>
      <c r="D3243" s="9" t="n">
        <v>31</v>
      </c>
      <c r="E3243" s="18" t="inlineStr">
        <is>
          <t>R</t>
        </is>
      </c>
      <c r="F3243" s="18" t="n"/>
      <c r="G3243" s="9" t="n">
        <v>80</v>
      </c>
      <c r="H3243" s="9" t="n">
        <v>186</v>
      </c>
      <c r="I3243" s="9" t="inlineStr">
        <is>
          <t>Depth (no MLB IP)</t>
        </is>
      </c>
      <c r="J3243" s="18" t="inlineStr">
        <is>
          <t>Opening Day</t>
        </is>
      </c>
      <c r="K3243" s="11">
        <f>IFERROR(INDEX(Roles!$B$17:$B$20,MATCH(J3243,Roles!$A$17:$A$20,0)),1)</f>
        <v/>
      </c>
      <c r="L3243" s="19" t="n">
        <v>1</v>
      </c>
      <c r="M3243" s="11" t="n">
        <v>1</v>
      </c>
      <c r="N3243" s="19" t="n"/>
      <c r="O3243" s="19" t="n"/>
      <c r="P3243" s="19" t="n"/>
      <c r="Q3243" s="19" t="n"/>
      <c r="R3243" s="19" t="n"/>
      <c r="S3243" s="19" t="n"/>
      <c r="T3243" s="19" t="n"/>
      <c r="U3243" s="19" t="n"/>
      <c r="V3243" s="19" t="n"/>
      <c r="W3243" s="19" t="n"/>
      <c r="X3243" s="19" t="n"/>
      <c r="Y3243" s="19" t="n">
        <v>1</v>
      </c>
      <c r="Z3243" s="13">
        <f>SUMPRODUCT(N3243:Y3243,$N$2:$Y$2)*$K3243*$L3243*$M3243</f>
        <v/>
      </c>
      <c r="AA3243" s="14">
        <f>SUM(N3243:Y3243)</f>
        <v/>
      </c>
      <c r="AB3243" s="13">
        <f>SUMPRODUCT(N3243:Y3243,$N$3:$Y$3)*$K3243*$L3243*$M3243</f>
        <v/>
      </c>
      <c r="AC3243" s="13">
        <f>SUMPRODUCT(N3243:Y3243,$N$4:$Y$4)*$K3243*$L3243*$M3243</f>
        <v/>
      </c>
      <c r="AD3243" s="15" t="n">
        <v>9.6</v>
      </c>
      <c r="AE3243" s="11" t="n">
        <v>1.134514991181658</v>
      </c>
      <c r="AF3243" s="16">
        <f>SUMPRODUCT(N3243:Y3243,$N$5:$Y$5)*$K3243*$L3243*$M3243</f>
        <v/>
      </c>
      <c r="AG3243" s="16">
        <f>SUMPRODUCT(N3243:Y3243,$N$6:$Y$6)*$K3243*$L3243*$M3243</f>
        <v/>
      </c>
      <c r="AH3243" s="20" t="n"/>
    </row>
    <row r="3244">
      <c r="A3244" s="9" t="n">
        <v>682445</v>
      </c>
      <c r="B3244" s="9" t="inlineStr">
        <is>
          <t>Domingo Gonzalez</t>
        </is>
      </c>
      <c r="C3244" s="9" t="inlineStr">
        <is>
          <t>SEA</t>
        </is>
      </c>
      <c r="D3244" s="9" t="n">
        <v>27</v>
      </c>
      <c r="E3244" s="18" t="inlineStr">
        <is>
          <t>R</t>
        </is>
      </c>
      <c r="F3244" s="18" t="n"/>
      <c r="G3244" s="9" t="n">
        <v>36</v>
      </c>
      <c r="H3244" s="9" t="n">
        <v>36</v>
      </c>
      <c r="I3244" s="9" t="inlineStr">
        <is>
          <t>Bullpen Depth Arm</t>
        </is>
      </c>
      <c r="J3244" s="18" t="inlineStr">
        <is>
          <t>Opening Day</t>
        </is>
      </c>
      <c r="K3244" s="11">
        <f>IFERROR(INDEX(Roles!$B$17:$B$20,MATCH(J3244,Roles!$A$17:$A$20,0)),1)</f>
        <v/>
      </c>
      <c r="L3244" s="19" t="n">
        <v>1</v>
      </c>
      <c r="M3244" s="11" t="n">
        <v>1</v>
      </c>
      <c r="N3244" s="19" t="n"/>
      <c r="O3244" s="19" t="n"/>
      <c r="P3244" s="19" t="n"/>
      <c r="Q3244" s="19" t="n"/>
      <c r="R3244" s="19" t="n"/>
      <c r="S3244" s="19" t="n"/>
      <c r="T3244" s="19" t="n"/>
      <c r="U3244" s="19" t="n"/>
      <c r="V3244" s="19" t="n"/>
      <c r="W3244" s="19" t="n">
        <v>1</v>
      </c>
      <c r="X3244" s="19" t="n"/>
      <c r="Y3244" s="19" t="n"/>
      <c r="Z3244" s="13">
        <f>SUMPRODUCT(N3244:Y3244,$N$2:$Y$2)*$K3244*$L3244*$M3244</f>
        <v/>
      </c>
      <c r="AA3244" s="14">
        <f>SUM(N3244:Y3244)</f>
        <v/>
      </c>
      <c r="AB3244" s="13">
        <f>SUMPRODUCT(N3244:Y3244,$N$3:$Y$3)*$K3244*$L3244*$M3244</f>
        <v/>
      </c>
      <c r="AC3244" s="13">
        <f>SUMPRODUCT(N3244:Y3244,$N$4:$Y$4)*$K3244*$L3244*$M3244</f>
        <v/>
      </c>
      <c r="AD3244" s="15" t="n">
        <v>8.666666666666666</v>
      </c>
      <c r="AE3244" s="11" t="n">
        <v>1.312618245951579</v>
      </c>
      <c r="AF3244" s="16">
        <f>SUMPRODUCT(N3244:Y3244,$N$5:$Y$5)*$K3244*$L3244*$M3244</f>
        <v/>
      </c>
      <c r="AG3244" s="16">
        <f>SUMPRODUCT(N3244:Y3244,$N$6:$Y$6)*$K3244*$L3244*$M3244</f>
        <v/>
      </c>
      <c r="AH3244" s="20" t="n"/>
    </row>
    <row r="3245">
      <c r="A3245" s="9" t="n">
        <v>670712</v>
      </c>
      <c r="B3245" s="9" t="inlineStr">
        <is>
          <t>Mike Brosseau</t>
        </is>
      </c>
      <c r="C3245" s="9" t="inlineStr">
        <is>
          <t>MIL</t>
        </is>
      </c>
      <c r="D3245" s="9" t="n">
        <v>33</v>
      </c>
      <c r="E3245" s="18" t="inlineStr">
        <is>
          <t>R</t>
        </is>
      </c>
      <c r="F3245" s="18" t="n"/>
      <c r="G3245" s="9" t="n">
        <v>9</v>
      </c>
      <c r="H3245" s="9" t="n">
        <v>22</v>
      </c>
      <c r="I3245" s="9" t="inlineStr">
        <is>
          <t>Depth (no MLB IP)</t>
        </is>
      </c>
      <c r="J3245" s="18" t="inlineStr">
        <is>
          <t>Opening Day</t>
        </is>
      </c>
      <c r="K3245" s="11">
        <f>IFERROR(INDEX(Roles!$B$17:$B$20,MATCH(J3245,Roles!$A$17:$A$20,0)),1)</f>
        <v/>
      </c>
      <c r="L3245" s="19" t="n">
        <v>1</v>
      </c>
      <c r="M3245" s="11" t="n">
        <v>1</v>
      </c>
      <c r="N3245" s="19" t="n"/>
      <c r="O3245" s="19" t="n"/>
      <c r="P3245" s="19" t="n"/>
      <c r="Q3245" s="19" t="n"/>
      <c r="R3245" s="19" t="n"/>
      <c r="S3245" s="19" t="n"/>
      <c r="T3245" s="19" t="n"/>
      <c r="U3245" s="19" t="n"/>
      <c r="V3245" s="19" t="n"/>
      <c r="W3245" s="19" t="n"/>
      <c r="X3245" s="19" t="n"/>
      <c r="Y3245" s="19" t="n">
        <v>1</v>
      </c>
      <c r="Z3245" s="13">
        <f>SUMPRODUCT(N3245:Y3245,$N$2:$Y$2)*$K3245*$L3245*$M3245</f>
        <v/>
      </c>
      <c r="AA3245" s="14">
        <f>SUM(N3245:Y3245)</f>
        <v/>
      </c>
      <c r="AB3245" s="13">
        <f>SUMPRODUCT(N3245:Y3245,$N$3:$Y$3)*$K3245*$L3245*$M3245</f>
        <v/>
      </c>
      <c r="AC3245" s="13">
        <f>SUMPRODUCT(N3245:Y3245,$N$4:$Y$4)*$K3245*$L3245*$M3245</f>
        <v/>
      </c>
      <c r="AD3245" s="15" t="n">
        <v>3</v>
      </c>
      <c r="AE3245" s="11" t="n">
        <v>1.011296296296296</v>
      </c>
      <c r="AF3245" s="16">
        <f>SUMPRODUCT(N3245:Y3245,$N$5:$Y$5)*$K3245*$L3245*$M3245</f>
        <v/>
      </c>
      <c r="AG3245" s="16">
        <f>SUMPRODUCT(N3245:Y3245,$N$6:$Y$6)*$K3245*$L3245*$M3245</f>
        <v/>
      </c>
      <c r="AH3245" s="20" t="n"/>
    </row>
    <row r="3246">
      <c r="A3246" s="9" t="n">
        <v>702847</v>
      </c>
      <c r="B3246" s="9" t="inlineStr">
        <is>
          <t>Amilcar Chirinos</t>
        </is>
      </c>
      <c r="C3246" s="9" t="inlineStr">
        <is>
          <t>HOU</t>
        </is>
      </c>
      <c r="D3246" s="9" t="n">
        <v>25</v>
      </c>
      <c r="E3246" s="18" t="inlineStr">
        <is>
          <t>R</t>
        </is>
      </c>
      <c r="F3246" s="18" t="n"/>
      <c r="G3246" s="9" t="n">
        <v>85.785</v>
      </c>
      <c r="H3246" s="9" t="n">
        <v>85.785</v>
      </c>
      <c r="I3246" s="9" t="inlineStr">
        <is>
          <t>Depth (no MLB IP)</t>
        </is>
      </c>
      <c r="J3246" s="18" t="inlineStr">
        <is>
          <t>Opening Day</t>
        </is>
      </c>
      <c r="K3246" s="11">
        <f>IFERROR(INDEX(Roles!$B$17:$B$20,MATCH(J3246,Roles!$A$17:$A$20,0)),1)</f>
        <v/>
      </c>
      <c r="L3246" s="19" t="n">
        <v>1</v>
      </c>
      <c r="M3246" s="11" t="n">
        <v>1</v>
      </c>
      <c r="N3246" s="19" t="n"/>
      <c r="O3246" s="19" t="n"/>
      <c r="P3246" s="19" t="n"/>
      <c r="Q3246" s="19" t="n"/>
      <c r="R3246" s="19" t="n"/>
      <c r="S3246" s="19" t="n"/>
      <c r="T3246" s="19" t="n"/>
      <c r="U3246" s="19" t="n"/>
      <c r="V3246" s="19" t="n"/>
      <c r="W3246" s="19" t="n"/>
      <c r="X3246" s="19" t="n"/>
      <c r="Y3246" s="19" t="n">
        <v>1</v>
      </c>
      <c r="Z3246" s="13">
        <f>SUMPRODUCT(N3246:Y3246,$N$2:$Y$2)*$K3246*$L3246*$M3246</f>
        <v/>
      </c>
      <c r="AA3246" s="14">
        <f>SUM(N3246:Y3246)</f>
        <v/>
      </c>
      <c r="AB3246" s="13">
        <f>SUMPRODUCT(N3246:Y3246,$N$3:$Y$3)*$K3246*$L3246*$M3246</f>
        <v/>
      </c>
      <c r="AC3246" s="13">
        <f>SUMPRODUCT(N3246:Y3246,$N$4:$Y$4)*$K3246*$L3246*$M3246</f>
        <v/>
      </c>
      <c r="AD3246" s="15" t="n">
        <v>3</v>
      </c>
      <c r="AE3246" s="11" t="n">
        <v>1.011296296296296</v>
      </c>
      <c r="AF3246" s="16">
        <f>SUMPRODUCT(N3246:Y3246,$N$5:$Y$5)*$K3246*$L3246*$M3246</f>
        <v/>
      </c>
      <c r="AG3246" s="16">
        <f>SUMPRODUCT(N3246:Y3246,$N$6:$Y$6)*$K3246*$L3246*$M3246</f>
        <v/>
      </c>
      <c r="AH3246" s="20" t="n"/>
    </row>
    <row r="3247">
      <c r="A3247" s="9" t="n">
        <v>828705</v>
      </c>
      <c r="B3247" s="9" t="inlineStr">
        <is>
          <t>Tanner Gillis</t>
        </is>
      </c>
      <c r="C3247" s="9" t="inlineStr">
        <is>
          <t>MIL</t>
        </is>
      </c>
      <c r="D3247" s="9" t="n">
        <v>25</v>
      </c>
      <c r="E3247" s="18" t="inlineStr">
        <is>
          <t>R</t>
        </is>
      </c>
      <c r="F3247" s="18" t="n"/>
      <c r="G3247" s="9" t="n">
        <v>85.785</v>
      </c>
      <c r="H3247" s="9" t="n">
        <v>85.785</v>
      </c>
      <c r="I3247" s="9" t="inlineStr">
        <is>
          <t>Depth (no MLB IP)</t>
        </is>
      </c>
      <c r="J3247" s="18" t="inlineStr">
        <is>
          <t>Opening Day</t>
        </is>
      </c>
      <c r="K3247" s="11">
        <f>IFERROR(INDEX(Roles!$B$17:$B$20,MATCH(J3247,Roles!$A$17:$A$20,0)),1)</f>
        <v/>
      </c>
      <c r="L3247" s="19" t="n">
        <v>1</v>
      </c>
      <c r="M3247" s="11" t="n">
        <v>1</v>
      </c>
      <c r="N3247" s="19" t="n"/>
      <c r="O3247" s="19" t="n"/>
      <c r="P3247" s="19" t="n"/>
      <c r="Q3247" s="19" t="n"/>
      <c r="R3247" s="19" t="n"/>
      <c r="S3247" s="19" t="n"/>
      <c r="T3247" s="19" t="n"/>
      <c r="U3247" s="19" t="n"/>
      <c r="V3247" s="19" t="n"/>
      <c r="W3247" s="19" t="n"/>
      <c r="X3247" s="19" t="n"/>
      <c r="Y3247" s="19" t="n">
        <v>1</v>
      </c>
      <c r="Z3247" s="13">
        <f>SUMPRODUCT(N3247:Y3247,$N$2:$Y$2)*$K3247*$L3247*$M3247</f>
        <v/>
      </c>
      <c r="AA3247" s="14">
        <f>SUM(N3247:Y3247)</f>
        <v/>
      </c>
      <c r="AB3247" s="13">
        <f>SUMPRODUCT(N3247:Y3247,$N$3:$Y$3)*$K3247*$L3247*$M3247</f>
        <v/>
      </c>
      <c r="AC3247" s="13">
        <f>SUMPRODUCT(N3247:Y3247,$N$4:$Y$4)*$K3247*$L3247*$M3247</f>
        <v/>
      </c>
      <c r="AD3247" s="15" t="n">
        <v>3</v>
      </c>
      <c r="AE3247" s="11" t="n">
        <v>1.011296296296296</v>
      </c>
      <c r="AF3247" s="16">
        <f>SUMPRODUCT(N3247:Y3247,$N$5:$Y$5)*$K3247*$L3247*$M3247</f>
        <v/>
      </c>
      <c r="AG3247" s="16">
        <f>SUMPRODUCT(N3247:Y3247,$N$6:$Y$6)*$K3247*$L3247*$M3247</f>
        <v/>
      </c>
      <c r="AH3247" s="20" t="n"/>
    </row>
    <row r="3248">
      <c r="A3248" s="9" t="n">
        <v>695065</v>
      </c>
      <c r="B3248" s="9" t="inlineStr">
        <is>
          <t>Ryan Costeiu</t>
        </is>
      </c>
      <c r="C3248" s="9" t="inlineStr">
        <is>
          <t>LAA</t>
        </is>
      </c>
      <c r="D3248" s="9" t="n">
        <v>25</v>
      </c>
      <c r="E3248" s="18" t="inlineStr">
        <is>
          <t>R</t>
        </is>
      </c>
      <c r="F3248" s="18" t="n"/>
      <c r="G3248" s="9" t="n">
        <v>85.92833333333334</v>
      </c>
      <c r="H3248" s="9" t="n">
        <v>85.92833333333334</v>
      </c>
      <c r="I3248" s="9" t="inlineStr">
        <is>
          <t>Depth (no MLB IP)</t>
        </is>
      </c>
      <c r="J3248" s="18" t="inlineStr">
        <is>
          <t>Opening Day</t>
        </is>
      </c>
      <c r="K3248" s="11">
        <f>IFERROR(INDEX(Roles!$B$17:$B$20,MATCH(J3248,Roles!$A$17:$A$20,0)),1)</f>
        <v/>
      </c>
      <c r="L3248" s="19" t="n">
        <v>1</v>
      </c>
      <c r="M3248" s="11" t="n">
        <v>1</v>
      </c>
      <c r="N3248" s="19" t="n"/>
      <c r="O3248" s="19" t="n"/>
      <c r="P3248" s="19" t="n"/>
      <c r="Q3248" s="19" t="n"/>
      <c r="R3248" s="19" t="n"/>
      <c r="S3248" s="19" t="n"/>
      <c r="T3248" s="19" t="n"/>
      <c r="U3248" s="19" t="n"/>
      <c r="V3248" s="19" t="n"/>
      <c r="W3248" s="19" t="n"/>
      <c r="X3248" s="19" t="n"/>
      <c r="Y3248" s="19" t="n">
        <v>1</v>
      </c>
      <c r="Z3248" s="13">
        <f>SUMPRODUCT(N3248:Y3248,$N$2:$Y$2)*$K3248*$L3248*$M3248</f>
        <v/>
      </c>
      <c r="AA3248" s="14">
        <f>SUM(N3248:Y3248)</f>
        <v/>
      </c>
      <c r="AB3248" s="13">
        <f>SUMPRODUCT(N3248:Y3248,$N$3:$Y$3)*$K3248*$L3248*$M3248</f>
        <v/>
      </c>
      <c r="AC3248" s="13">
        <f>SUMPRODUCT(N3248:Y3248,$N$4:$Y$4)*$K3248*$L3248*$M3248</f>
        <v/>
      </c>
      <c r="AD3248" s="15" t="n">
        <v>3</v>
      </c>
      <c r="AE3248" s="11" t="n">
        <v>1.011296296296296</v>
      </c>
      <c r="AF3248" s="16">
        <f>SUMPRODUCT(N3248:Y3248,$N$5:$Y$5)*$K3248*$L3248*$M3248</f>
        <v/>
      </c>
      <c r="AG3248" s="16">
        <f>SUMPRODUCT(N3248:Y3248,$N$6:$Y$6)*$K3248*$L3248*$M3248</f>
        <v/>
      </c>
      <c r="AH3248" s="20" t="n"/>
    </row>
    <row r="3249">
      <c r="A3249" s="9" t="n">
        <v>672277</v>
      </c>
      <c r="B3249" s="9" t="inlineStr">
        <is>
          <t>Sam Carlson</t>
        </is>
      </c>
      <c r="C3249" s="9" t="inlineStr">
        <is>
          <t>HOU</t>
        </is>
      </c>
      <c r="D3249" s="9" t="n">
        <v>25</v>
      </c>
      <c r="E3249" s="18" t="inlineStr">
        <is>
          <t>R</t>
        </is>
      </c>
      <c r="F3249" s="18" t="n"/>
      <c r="G3249" s="9" t="n">
        <v>85.92833333333334</v>
      </c>
      <c r="H3249" s="9" t="n">
        <v>85.92833333333334</v>
      </c>
      <c r="I3249" s="9" t="inlineStr">
        <is>
          <t>Depth (no MLB IP)</t>
        </is>
      </c>
      <c r="J3249" s="18" t="inlineStr">
        <is>
          <t>Opening Day</t>
        </is>
      </c>
      <c r="K3249" s="11">
        <f>IFERROR(INDEX(Roles!$B$17:$B$20,MATCH(J3249,Roles!$A$17:$A$20,0)),1)</f>
        <v/>
      </c>
      <c r="L3249" s="19" t="n">
        <v>1</v>
      </c>
      <c r="M3249" s="11" t="n">
        <v>1</v>
      </c>
      <c r="N3249" s="19" t="n"/>
      <c r="O3249" s="19" t="n"/>
      <c r="P3249" s="19" t="n"/>
      <c r="Q3249" s="19" t="n"/>
      <c r="R3249" s="19" t="n"/>
      <c r="S3249" s="19" t="n"/>
      <c r="T3249" s="19" t="n"/>
      <c r="U3249" s="19" t="n"/>
      <c r="V3249" s="19" t="n"/>
      <c r="W3249" s="19" t="n"/>
      <c r="X3249" s="19" t="n"/>
      <c r="Y3249" s="19" t="n">
        <v>1</v>
      </c>
      <c r="Z3249" s="13">
        <f>SUMPRODUCT(N3249:Y3249,$N$2:$Y$2)*$K3249*$L3249*$M3249</f>
        <v/>
      </c>
      <c r="AA3249" s="14">
        <f>SUM(N3249:Y3249)</f>
        <v/>
      </c>
      <c r="AB3249" s="13">
        <f>SUMPRODUCT(N3249:Y3249,$N$3:$Y$3)*$K3249*$L3249*$M3249</f>
        <v/>
      </c>
      <c r="AC3249" s="13">
        <f>SUMPRODUCT(N3249:Y3249,$N$4:$Y$4)*$K3249*$L3249*$M3249</f>
        <v/>
      </c>
      <c r="AD3249" s="15" t="n">
        <v>3</v>
      </c>
      <c r="AE3249" s="11" t="n">
        <v>1.011296296296296</v>
      </c>
      <c r="AF3249" s="16">
        <f>SUMPRODUCT(N3249:Y3249,$N$5:$Y$5)*$K3249*$L3249*$M3249</f>
        <v/>
      </c>
      <c r="AG3249" s="16">
        <f>SUMPRODUCT(N3249:Y3249,$N$6:$Y$6)*$K3249*$L3249*$M3249</f>
        <v/>
      </c>
      <c r="AH3249" s="20" t="n"/>
    </row>
    <row r="3250">
      <c r="A3250" s="9" t="n">
        <v>684949</v>
      </c>
      <c r="B3250" s="9" t="inlineStr">
        <is>
          <t>Zac Leigh</t>
        </is>
      </c>
      <c r="C3250" s="9" t="inlineStr">
        <is>
          <t>CHC</t>
        </is>
      </c>
      <c r="D3250" s="9" t="n">
        <v>25</v>
      </c>
      <c r="E3250" s="18" t="inlineStr">
        <is>
          <t>R</t>
        </is>
      </c>
      <c r="F3250" s="18" t="n"/>
      <c r="G3250" s="9" t="n">
        <v>85.92833333333334</v>
      </c>
      <c r="H3250" s="9" t="n">
        <v>85.92833333333334</v>
      </c>
      <c r="I3250" s="9" t="inlineStr">
        <is>
          <t>Depth (no MLB IP)</t>
        </is>
      </c>
      <c r="J3250" s="18" t="inlineStr">
        <is>
          <t>Opening Day</t>
        </is>
      </c>
      <c r="K3250" s="11">
        <f>IFERROR(INDEX(Roles!$B$17:$B$20,MATCH(J3250,Roles!$A$17:$A$20,0)),1)</f>
        <v/>
      </c>
      <c r="L3250" s="19" t="n">
        <v>1</v>
      </c>
      <c r="M3250" s="11" t="n">
        <v>1</v>
      </c>
      <c r="N3250" s="19" t="n"/>
      <c r="O3250" s="19" t="n"/>
      <c r="P3250" s="19" t="n"/>
      <c r="Q3250" s="19" t="n"/>
      <c r="R3250" s="19" t="n"/>
      <c r="S3250" s="19" t="n"/>
      <c r="T3250" s="19" t="n"/>
      <c r="U3250" s="19" t="n"/>
      <c r="V3250" s="19" t="n"/>
      <c r="W3250" s="19" t="n"/>
      <c r="X3250" s="19" t="n"/>
      <c r="Y3250" s="19" t="n">
        <v>1</v>
      </c>
      <c r="Z3250" s="13">
        <f>SUMPRODUCT(N3250:Y3250,$N$2:$Y$2)*$K3250*$L3250*$M3250</f>
        <v/>
      </c>
      <c r="AA3250" s="14">
        <f>SUM(N3250:Y3250)</f>
        <v/>
      </c>
      <c r="AB3250" s="13">
        <f>SUMPRODUCT(N3250:Y3250,$N$3:$Y$3)*$K3250*$L3250*$M3250</f>
        <v/>
      </c>
      <c r="AC3250" s="13">
        <f>SUMPRODUCT(N3250:Y3250,$N$4:$Y$4)*$K3250*$L3250*$M3250</f>
        <v/>
      </c>
      <c r="AD3250" s="15" t="n">
        <v>3</v>
      </c>
      <c r="AE3250" s="11" t="n">
        <v>1.011296296296296</v>
      </c>
      <c r="AF3250" s="16">
        <f>SUMPRODUCT(N3250:Y3250,$N$5:$Y$5)*$K3250*$L3250*$M3250</f>
        <v/>
      </c>
      <c r="AG3250" s="16">
        <f>SUMPRODUCT(N3250:Y3250,$N$6:$Y$6)*$K3250*$L3250*$M3250</f>
        <v/>
      </c>
      <c r="AH3250" s="20" t="n"/>
    </row>
    <row r="3251">
      <c r="A3251" s="9" t="n">
        <v>701533</v>
      </c>
      <c r="B3251" s="9" t="inlineStr">
        <is>
          <t>Hunter Stanley</t>
        </is>
      </c>
      <c r="C3251" s="9" t="inlineStr">
        <is>
          <t>CLE</t>
        </is>
      </c>
      <c r="D3251" s="9" t="n">
        <v>25</v>
      </c>
      <c r="E3251" s="18" t="inlineStr">
        <is>
          <t>R</t>
        </is>
      </c>
      <c r="F3251" s="18" t="n"/>
      <c r="G3251" s="9" t="n">
        <v>85.92833333333334</v>
      </c>
      <c r="H3251" s="9" t="n">
        <v>85.92833333333334</v>
      </c>
      <c r="I3251" s="9" t="inlineStr">
        <is>
          <t>Depth (no MLB IP)</t>
        </is>
      </c>
      <c r="J3251" s="18" t="inlineStr">
        <is>
          <t>Opening Day</t>
        </is>
      </c>
      <c r="K3251" s="11">
        <f>IFERROR(INDEX(Roles!$B$17:$B$20,MATCH(J3251,Roles!$A$17:$A$20,0)),1)</f>
        <v/>
      </c>
      <c r="L3251" s="19" t="n">
        <v>1</v>
      </c>
      <c r="M3251" s="11" t="n">
        <v>1</v>
      </c>
      <c r="N3251" s="19" t="n"/>
      <c r="O3251" s="19" t="n"/>
      <c r="P3251" s="19" t="n"/>
      <c r="Q3251" s="19" t="n"/>
      <c r="R3251" s="19" t="n"/>
      <c r="S3251" s="19" t="n"/>
      <c r="T3251" s="19" t="n"/>
      <c r="U3251" s="19" t="n"/>
      <c r="V3251" s="19" t="n"/>
      <c r="W3251" s="19" t="n"/>
      <c r="X3251" s="19" t="n"/>
      <c r="Y3251" s="19" t="n">
        <v>1</v>
      </c>
      <c r="Z3251" s="13">
        <f>SUMPRODUCT(N3251:Y3251,$N$2:$Y$2)*$K3251*$L3251*$M3251</f>
        <v/>
      </c>
      <c r="AA3251" s="14">
        <f>SUM(N3251:Y3251)</f>
        <v/>
      </c>
      <c r="AB3251" s="13">
        <f>SUMPRODUCT(N3251:Y3251,$N$3:$Y$3)*$K3251*$L3251*$M3251</f>
        <v/>
      </c>
      <c r="AC3251" s="13">
        <f>SUMPRODUCT(N3251:Y3251,$N$4:$Y$4)*$K3251*$L3251*$M3251</f>
        <v/>
      </c>
      <c r="AD3251" s="15" t="n">
        <v>3</v>
      </c>
      <c r="AE3251" s="11" t="n">
        <v>1.011296296296296</v>
      </c>
      <c r="AF3251" s="16">
        <f>SUMPRODUCT(N3251:Y3251,$N$5:$Y$5)*$K3251*$L3251*$M3251</f>
        <v/>
      </c>
      <c r="AG3251" s="16">
        <f>SUMPRODUCT(N3251:Y3251,$N$6:$Y$6)*$K3251*$L3251*$M3251</f>
        <v/>
      </c>
      <c r="AH3251" s="20" t="n"/>
    </row>
    <row r="3252">
      <c r="A3252" s="9" t="n">
        <v>828334</v>
      </c>
      <c r="B3252" s="9" t="inlineStr">
        <is>
          <t>Holden Wilkerson</t>
        </is>
      </c>
      <c r="C3252" s="9" t="inlineStr">
        <is>
          <t>TOR</t>
        </is>
      </c>
      <c r="D3252" s="9" t="n">
        <v>25</v>
      </c>
      <c r="E3252" s="18" t="inlineStr">
        <is>
          <t>R</t>
        </is>
      </c>
      <c r="F3252" s="18" t="n"/>
      <c r="G3252" s="9" t="n">
        <v>86</v>
      </c>
      <c r="H3252" s="9" t="n">
        <v>86</v>
      </c>
      <c r="I3252" s="9" t="inlineStr">
        <is>
          <t>Depth (no MLB IP)</t>
        </is>
      </c>
      <c r="J3252" s="18" t="inlineStr">
        <is>
          <t>Opening Day</t>
        </is>
      </c>
      <c r="K3252" s="11">
        <f>IFERROR(INDEX(Roles!$B$17:$B$20,MATCH(J3252,Roles!$A$17:$A$20,0)),1)</f>
        <v/>
      </c>
      <c r="L3252" s="19" t="n">
        <v>1</v>
      </c>
      <c r="M3252" s="11" t="n">
        <v>1</v>
      </c>
      <c r="N3252" s="19" t="n"/>
      <c r="O3252" s="19" t="n"/>
      <c r="P3252" s="19" t="n"/>
      <c r="Q3252" s="19" t="n"/>
      <c r="R3252" s="19" t="n"/>
      <c r="S3252" s="19" t="n"/>
      <c r="T3252" s="19" t="n"/>
      <c r="U3252" s="19" t="n"/>
      <c r="V3252" s="19" t="n"/>
      <c r="W3252" s="19" t="n"/>
      <c r="X3252" s="19" t="n"/>
      <c r="Y3252" s="19" t="n">
        <v>1</v>
      </c>
      <c r="Z3252" s="13">
        <f>SUMPRODUCT(N3252:Y3252,$N$2:$Y$2)*$K3252*$L3252*$M3252</f>
        <v/>
      </c>
      <c r="AA3252" s="14">
        <f>SUM(N3252:Y3252)</f>
        <v/>
      </c>
      <c r="AB3252" s="13">
        <f>SUMPRODUCT(N3252:Y3252,$N$3:$Y$3)*$K3252*$L3252*$M3252</f>
        <v/>
      </c>
      <c r="AC3252" s="13">
        <f>SUMPRODUCT(N3252:Y3252,$N$4:$Y$4)*$K3252*$L3252*$M3252</f>
        <v/>
      </c>
      <c r="AD3252" s="15" t="n">
        <v>3</v>
      </c>
      <c r="AE3252" s="11" t="n">
        <v>1.011296296296296</v>
      </c>
      <c r="AF3252" s="16">
        <f>SUMPRODUCT(N3252:Y3252,$N$5:$Y$5)*$K3252*$L3252*$M3252</f>
        <v/>
      </c>
      <c r="AG3252" s="16">
        <f>SUMPRODUCT(N3252:Y3252,$N$6:$Y$6)*$K3252*$L3252*$M3252</f>
        <v/>
      </c>
      <c r="AH3252" s="20" t="n"/>
    </row>
    <row r="3253">
      <c r="A3253" s="9" t="n">
        <v>518876</v>
      </c>
      <c r="B3253" s="9" t="inlineStr">
        <is>
          <t>Merrill Kelly</t>
        </is>
      </c>
      <c r="C3253" s="9" t="inlineStr">
        <is>
          <t>ARI</t>
        </is>
      </c>
      <c r="D3253" s="9" t="n">
        <v>38</v>
      </c>
      <c r="E3253" s="18" t="inlineStr">
        <is>
          <t>R</t>
        </is>
      </c>
      <c r="F3253" s="18" t="n"/>
      <c r="G3253" s="9" t="n">
        <v>704</v>
      </c>
      <c r="H3253" s="9" t="n">
        <v>3278</v>
      </c>
      <c r="I3253" s="9" t="inlineStr">
        <is>
          <t>End-of-Rotation Starter (SP4-5)</t>
        </is>
      </c>
      <c r="J3253" s="18" t="inlineStr">
        <is>
          <t>Opening Day</t>
        </is>
      </c>
      <c r="K3253" s="11">
        <f>IFERROR(INDEX(Roles!$B$17:$B$20,MATCH(J3253,Roles!$A$17:$A$20,0)),1)</f>
        <v/>
      </c>
      <c r="L3253" s="19" t="n">
        <v>1</v>
      </c>
      <c r="M3253" s="11" t="n">
        <v>1</v>
      </c>
      <c r="N3253" s="19" t="n"/>
      <c r="O3253" s="19" t="n"/>
      <c r="P3253" s="19" t="n">
        <v>0.5</v>
      </c>
      <c r="Q3253" s="19" t="n"/>
      <c r="R3253" s="19" t="n">
        <v>0.5</v>
      </c>
      <c r="S3253" s="19" t="n"/>
      <c r="T3253" s="19" t="n"/>
      <c r="U3253" s="19" t="n"/>
      <c r="V3253" s="19" t="n"/>
      <c r="W3253" s="19" t="n"/>
      <c r="X3253" s="19" t="n"/>
      <c r="Y3253" s="19" t="n"/>
      <c r="Z3253" s="13">
        <f>SUMPRODUCT(N3253:Y3253,$N$2:$Y$2)*$K3253*$L3253*$M3253</f>
        <v/>
      </c>
      <c r="AA3253" s="14">
        <f>SUM(N3253:Y3253)</f>
        <v/>
      </c>
      <c r="AB3253" s="13">
        <f>SUMPRODUCT(N3253:Y3253,$N$3:$Y$3)*$K3253*$L3253*$M3253</f>
        <v/>
      </c>
      <c r="AC3253" s="13">
        <f>SUMPRODUCT(N3253:Y3253,$N$4:$Y$4)*$K3253*$L3253*$M3253</f>
        <v/>
      </c>
      <c r="AD3253" s="15" t="n">
        <v>22.8</v>
      </c>
      <c r="AE3253" s="11" t="n">
        <v>4.922538392050587</v>
      </c>
      <c r="AF3253" s="16">
        <f>SUMPRODUCT(N3253:Y3253,$N$5:$Y$5)*$K3253*$L3253*$M3253</f>
        <v/>
      </c>
      <c r="AG3253" s="16">
        <f>SUMPRODUCT(N3253:Y3253,$N$6:$Y$6)*$K3253*$L3253*$M3253</f>
        <v/>
      </c>
      <c r="AH3253" s="20" t="n"/>
    </row>
    <row r="3254">
      <c r="A3254" s="9" t="n">
        <v>822652</v>
      </c>
      <c r="B3254" s="9" t="inlineStr">
        <is>
          <t>Lucas Mahlstedt</t>
        </is>
      </c>
      <c r="C3254" s="9" t="inlineStr">
        <is>
          <t>LAA</t>
        </is>
      </c>
      <c r="D3254" s="9" t="n">
        <v>25</v>
      </c>
      <c r="E3254" s="18" t="inlineStr">
        <is>
          <t>R</t>
        </is>
      </c>
      <c r="F3254" s="18" t="n"/>
      <c r="G3254" s="9" t="n">
        <v>86.28666666666666</v>
      </c>
      <c r="H3254" s="9" t="n">
        <v>86.28666666666666</v>
      </c>
      <c r="I3254" s="9" t="inlineStr">
        <is>
          <t>Depth (no MLB IP)</t>
        </is>
      </c>
      <c r="J3254" s="18" t="inlineStr">
        <is>
          <t>Opening Day</t>
        </is>
      </c>
      <c r="K3254" s="11">
        <f>IFERROR(INDEX(Roles!$B$17:$B$20,MATCH(J3254,Roles!$A$17:$A$20,0)),1)</f>
        <v/>
      </c>
      <c r="L3254" s="19" t="n">
        <v>1</v>
      </c>
      <c r="M3254" s="11" t="n">
        <v>1</v>
      </c>
      <c r="N3254" s="19" t="n"/>
      <c r="O3254" s="19" t="n"/>
      <c r="P3254" s="19" t="n"/>
      <c r="Q3254" s="19" t="n"/>
      <c r="R3254" s="19" t="n"/>
      <c r="S3254" s="19" t="n"/>
      <c r="T3254" s="19" t="n"/>
      <c r="U3254" s="19" t="n"/>
      <c r="V3254" s="19" t="n"/>
      <c r="W3254" s="19" t="n"/>
      <c r="X3254" s="19" t="n"/>
      <c r="Y3254" s="19" t="n">
        <v>1</v>
      </c>
      <c r="Z3254" s="13">
        <f>SUMPRODUCT(N3254:Y3254,$N$2:$Y$2)*$K3254*$L3254*$M3254</f>
        <v/>
      </c>
      <c r="AA3254" s="14">
        <f>SUM(N3254:Y3254)</f>
        <v/>
      </c>
      <c r="AB3254" s="13">
        <f>SUMPRODUCT(N3254:Y3254,$N$3:$Y$3)*$K3254*$L3254*$M3254</f>
        <v/>
      </c>
      <c r="AC3254" s="13">
        <f>SUMPRODUCT(N3254:Y3254,$N$4:$Y$4)*$K3254*$L3254*$M3254</f>
        <v/>
      </c>
      <c r="AD3254" s="15" t="n">
        <v>3</v>
      </c>
      <c r="AE3254" s="11" t="n">
        <v>1.011296296296296</v>
      </c>
      <c r="AF3254" s="16">
        <f>SUMPRODUCT(N3254:Y3254,$N$5:$Y$5)*$K3254*$L3254*$M3254</f>
        <v/>
      </c>
      <c r="AG3254" s="16">
        <f>SUMPRODUCT(N3254:Y3254,$N$6:$Y$6)*$K3254*$L3254*$M3254</f>
        <v/>
      </c>
      <c r="AH3254" s="20" t="n"/>
    </row>
    <row r="3255">
      <c r="A3255" s="9" t="n">
        <v>687926</v>
      </c>
      <c r="B3255" s="9" t="inlineStr">
        <is>
          <t>Zach Bryant</t>
        </is>
      </c>
      <c r="C3255" s="9" t="inlineStr">
        <is>
          <t>TEX</t>
        </is>
      </c>
      <c r="D3255" s="9" t="n">
        <v>25</v>
      </c>
      <c r="E3255" s="18" t="inlineStr">
        <is>
          <t>R</t>
        </is>
      </c>
      <c r="F3255" s="18" t="n"/>
      <c r="G3255" s="9" t="n">
        <v>86.28666666666666</v>
      </c>
      <c r="H3255" s="9" t="n">
        <v>86.28666666666666</v>
      </c>
      <c r="I3255" s="9" t="inlineStr">
        <is>
          <t>Depth (no MLB IP)</t>
        </is>
      </c>
      <c r="J3255" s="18" t="inlineStr">
        <is>
          <t>Opening Day</t>
        </is>
      </c>
      <c r="K3255" s="11">
        <f>IFERROR(INDEX(Roles!$B$17:$B$20,MATCH(J3255,Roles!$A$17:$A$20,0)),1)</f>
        <v/>
      </c>
      <c r="L3255" s="19" t="n">
        <v>1</v>
      </c>
      <c r="M3255" s="11" t="n">
        <v>1</v>
      </c>
      <c r="N3255" s="19" t="n"/>
      <c r="O3255" s="19" t="n"/>
      <c r="P3255" s="19" t="n"/>
      <c r="Q3255" s="19" t="n"/>
      <c r="R3255" s="19" t="n"/>
      <c r="S3255" s="19" t="n"/>
      <c r="T3255" s="19" t="n"/>
      <c r="U3255" s="19" t="n"/>
      <c r="V3255" s="19" t="n"/>
      <c r="W3255" s="19" t="n"/>
      <c r="X3255" s="19" t="n"/>
      <c r="Y3255" s="19" t="n">
        <v>1</v>
      </c>
      <c r="Z3255" s="13">
        <f>SUMPRODUCT(N3255:Y3255,$N$2:$Y$2)*$K3255*$L3255*$M3255</f>
        <v/>
      </c>
      <c r="AA3255" s="14">
        <f>SUM(N3255:Y3255)</f>
        <v/>
      </c>
      <c r="AB3255" s="13">
        <f>SUMPRODUCT(N3255:Y3255,$N$3:$Y$3)*$K3255*$L3255*$M3255</f>
        <v/>
      </c>
      <c r="AC3255" s="13">
        <f>SUMPRODUCT(N3255:Y3255,$N$4:$Y$4)*$K3255*$L3255*$M3255</f>
        <v/>
      </c>
      <c r="AD3255" s="15" t="n">
        <v>3</v>
      </c>
      <c r="AE3255" s="11" t="n">
        <v>1.011296296296296</v>
      </c>
      <c r="AF3255" s="16">
        <f>SUMPRODUCT(N3255:Y3255,$N$5:$Y$5)*$K3255*$L3255*$M3255</f>
        <v/>
      </c>
      <c r="AG3255" s="16">
        <f>SUMPRODUCT(N3255:Y3255,$N$6:$Y$6)*$K3255*$L3255*$M3255</f>
        <v/>
      </c>
      <c r="AH3255" s="20" t="n"/>
    </row>
    <row r="3256">
      <c r="A3256" s="9" t="n">
        <v>660906</v>
      </c>
      <c r="B3256" s="9" t="inlineStr">
        <is>
          <t>Francisco Pérez</t>
        </is>
      </c>
      <c r="C3256" s="9" t="inlineStr">
        <is>
          <t>OAK</t>
        </is>
      </c>
      <c r="D3256" s="9" t="n">
        <v>29</v>
      </c>
      <c r="E3256" s="18" t="inlineStr">
        <is>
          <t>L</t>
        </is>
      </c>
      <c r="F3256" s="18" t="n"/>
      <c r="G3256" s="9" t="n">
        <v>74</v>
      </c>
      <c r="H3256" s="9" t="n">
        <v>122</v>
      </c>
      <c r="I3256" s="9" t="inlineStr">
        <is>
          <t>Depth (no MLB IP)</t>
        </is>
      </c>
      <c r="J3256" s="18" t="inlineStr">
        <is>
          <t>Opening Day</t>
        </is>
      </c>
      <c r="K3256" s="11">
        <f>IFERROR(INDEX(Roles!$B$17:$B$20,MATCH(J3256,Roles!$A$17:$A$20,0)),1)</f>
        <v/>
      </c>
      <c r="L3256" s="19" t="n">
        <v>1</v>
      </c>
      <c r="M3256" s="11" t="n">
        <v>1</v>
      </c>
      <c r="N3256" s="19" t="n"/>
      <c r="O3256" s="19" t="n"/>
      <c r="P3256" s="19" t="n"/>
      <c r="Q3256" s="19" t="n"/>
      <c r="R3256" s="19" t="n"/>
      <c r="S3256" s="19" t="n"/>
      <c r="T3256" s="19" t="n"/>
      <c r="U3256" s="19" t="n"/>
      <c r="V3256" s="19" t="n"/>
      <c r="W3256" s="19" t="n"/>
      <c r="X3256" s="19" t="n"/>
      <c r="Y3256" s="19" t="n">
        <v>1</v>
      </c>
      <c r="Z3256" s="13">
        <f>SUMPRODUCT(N3256:Y3256,$N$2:$Y$2)*$K3256*$L3256*$M3256</f>
        <v/>
      </c>
      <c r="AA3256" s="14">
        <f>SUM(N3256:Y3256)</f>
        <v/>
      </c>
      <c r="AB3256" s="13">
        <f>SUMPRODUCT(N3256:Y3256,$N$3:$Y$3)*$K3256*$L3256*$M3256</f>
        <v/>
      </c>
      <c r="AC3256" s="13">
        <f>SUMPRODUCT(N3256:Y3256,$N$4:$Y$4)*$K3256*$L3256*$M3256</f>
        <v/>
      </c>
      <c r="AD3256" s="15" t="n">
        <v>3</v>
      </c>
      <c r="AE3256" s="11" t="n">
        <v>1.011296296296296</v>
      </c>
      <c r="AF3256" s="16">
        <f>SUMPRODUCT(N3256:Y3256,$N$5:$Y$5)*$K3256*$L3256*$M3256</f>
        <v/>
      </c>
      <c r="AG3256" s="16">
        <f>SUMPRODUCT(N3256:Y3256,$N$6:$Y$6)*$K3256*$L3256*$M3256</f>
        <v/>
      </c>
      <c r="AH3256" s="20" t="n"/>
    </row>
    <row r="3257">
      <c r="A3257" s="9" t="n">
        <v>815317</v>
      </c>
      <c r="B3257" s="9" t="inlineStr">
        <is>
          <t>Aaron Munson</t>
        </is>
      </c>
      <c r="C3257" s="9" t="inlineStr">
        <is>
          <t>TOR</t>
        </is>
      </c>
      <c r="D3257" s="9" t="n">
        <v>25</v>
      </c>
      <c r="E3257" s="18" t="inlineStr">
        <is>
          <t>R</t>
        </is>
      </c>
      <c r="F3257" s="18" t="n"/>
      <c r="G3257" s="9" t="n">
        <v>86.28666666666666</v>
      </c>
      <c r="H3257" s="9" t="n">
        <v>86.28666666666666</v>
      </c>
      <c r="I3257" s="9" t="inlineStr">
        <is>
          <t>Depth (no MLB IP)</t>
        </is>
      </c>
      <c r="J3257" s="18" t="inlineStr">
        <is>
          <t>Opening Day</t>
        </is>
      </c>
      <c r="K3257" s="11">
        <f>IFERROR(INDEX(Roles!$B$17:$B$20,MATCH(J3257,Roles!$A$17:$A$20,0)),1)</f>
        <v/>
      </c>
      <c r="L3257" s="19" t="n">
        <v>1</v>
      </c>
      <c r="M3257" s="11" t="n">
        <v>1</v>
      </c>
      <c r="N3257" s="19" t="n"/>
      <c r="O3257" s="19" t="n"/>
      <c r="P3257" s="19" t="n"/>
      <c r="Q3257" s="19" t="n"/>
      <c r="R3257" s="19" t="n"/>
      <c r="S3257" s="19" t="n"/>
      <c r="T3257" s="19" t="n"/>
      <c r="U3257" s="19" t="n"/>
      <c r="V3257" s="19" t="n"/>
      <c r="W3257" s="19" t="n"/>
      <c r="X3257" s="19" t="n"/>
      <c r="Y3257" s="19" t="n">
        <v>1</v>
      </c>
      <c r="Z3257" s="13">
        <f>SUMPRODUCT(N3257:Y3257,$N$2:$Y$2)*$K3257*$L3257*$M3257</f>
        <v/>
      </c>
      <c r="AA3257" s="14">
        <f>SUM(N3257:Y3257)</f>
        <v/>
      </c>
      <c r="AB3257" s="13">
        <f>SUMPRODUCT(N3257:Y3257,$N$3:$Y$3)*$K3257*$L3257*$M3257</f>
        <v/>
      </c>
      <c r="AC3257" s="13">
        <f>SUMPRODUCT(N3257:Y3257,$N$4:$Y$4)*$K3257*$L3257*$M3257</f>
        <v/>
      </c>
      <c r="AD3257" s="15" t="n">
        <v>3</v>
      </c>
      <c r="AE3257" s="11" t="n">
        <v>1.011296296296296</v>
      </c>
      <c r="AF3257" s="16">
        <f>SUMPRODUCT(N3257:Y3257,$N$5:$Y$5)*$K3257*$L3257*$M3257</f>
        <v/>
      </c>
      <c r="AG3257" s="16">
        <f>SUMPRODUCT(N3257:Y3257,$N$6:$Y$6)*$K3257*$L3257*$M3257</f>
        <v/>
      </c>
      <c r="AH3257" s="20" t="n"/>
    </row>
    <row r="3258">
      <c r="A3258" s="9" t="n">
        <v>675502</v>
      </c>
      <c r="B3258" s="9" t="inlineStr">
        <is>
          <t>Kelly Austin</t>
        </is>
      </c>
      <c r="C3258" s="9" t="inlineStr">
        <is>
          <t>NYY</t>
        </is>
      </c>
      <c r="D3258" s="9" t="n">
        <v>25</v>
      </c>
      <c r="E3258" s="18" t="inlineStr">
        <is>
          <t>R</t>
        </is>
      </c>
      <c r="F3258" s="18" t="n"/>
      <c r="G3258" s="9" t="n">
        <v>86.28666666666666</v>
      </c>
      <c r="H3258" s="9" t="n">
        <v>86.28666666666666</v>
      </c>
      <c r="I3258" s="9" t="inlineStr">
        <is>
          <t>Depth (no MLB IP)</t>
        </is>
      </c>
      <c r="J3258" s="18" t="inlineStr">
        <is>
          <t>Opening Day</t>
        </is>
      </c>
      <c r="K3258" s="11">
        <f>IFERROR(INDEX(Roles!$B$17:$B$20,MATCH(J3258,Roles!$A$17:$A$20,0)),1)</f>
        <v/>
      </c>
      <c r="L3258" s="19" t="n">
        <v>1</v>
      </c>
      <c r="M3258" s="11" t="n">
        <v>1</v>
      </c>
      <c r="N3258" s="19" t="n"/>
      <c r="O3258" s="19" t="n"/>
      <c r="P3258" s="19" t="n"/>
      <c r="Q3258" s="19" t="n"/>
      <c r="R3258" s="19" t="n"/>
      <c r="S3258" s="19" t="n"/>
      <c r="T3258" s="19" t="n"/>
      <c r="U3258" s="19" t="n"/>
      <c r="V3258" s="19" t="n"/>
      <c r="W3258" s="19" t="n"/>
      <c r="X3258" s="19" t="n"/>
      <c r="Y3258" s="19" t="n">
        <v>1</v>
      </c>
      <c r="Z3258" s="13">
        <f>SUMPRODUCT(N3258:Y3258,$N$2:$Y$2)*$K3258*$L3258*$M3258</f>
        <v/>
      </c>
      <c r="AA3258" s="14">
        <f>SUM(N3258:Y3258)</f>
        <v/>
      </c>
      <c r="AB3258" s="13">
        <f>SUMPRODUCT(N3258:Y3258,$N$3:$Y$3)*$K3258*$L3258*$M3258</f>
        <v/>
      </c>
      <c r="AC3258" s="13">
        <f>SUMPRODUCT(N3258:Y3258,$N$4:$Y$4)*$K3258*$L3258*$M3258</f>
        <v/>
      </c>
      <c r="AD3258" s="15" t="n">
        <v>3</v>
      </c>
      <c r="AE3258" s="11" t="n">
        <v>1.011296296296296</v>
      </c>
      <c r="AF3258" s="16">
        <f>SUMPRODUCT(N3258:Y3258,$N$5:$Y$5)*$K3258*$L3258*$M3258</f>
        <v/>
      </c>
      <c r="AG3258" s="16">
        <f>SUMPRODUCT(N3258:Y3258,$N$6:$Y$6)*$K3258*$L3258*$M3258</f>
        <v/>
      </c>
      <c r="AH3258" s="20" t="n"/>
    </row>
    <row r="3259">
      <c r="A3259" s="9" t="n">
        <v>692230</v>
      </c>
      <c r="B3259" s="9" t="inlineStr">
        <is>
          <t>Carlos Rodriguez</t>
        </is>
      </c>
      <c r="C3259" s="9" t="inlineStr">
        <is>
          <t>MIL</t>
        </is>
      </c>
      <c r="D3259" s="9" t="n">
        <v>25</v>
      </c>
      <c r="E3259" s="18" t="inlineStr">
        <is>
          <t>R</t>
        </is>
      </c>
      <c r="F3259" s="18" t="n"/>
      <c r="G3259" s="9" t="n">
        <v>42</v>
      </c>
      <c r="H3259" s="9" t="n">
        <v>149</v>
      </c>
      <c r="I3259" s="9" t="inlineStr">
        <is>
          <t>Bullpen Depth Arm</t>
        </is>
      </c>
      <c r="J3259" s="18" t="inlineStr">
        <is>
          <t>Opening Day</t>
        </is>
      </c>
      <c r="K3259" s="11">
        <f>IFERROR(INDEX(Roles!$B$17:$B$20,MATCH(J3259,Roles!$A$17:$A$20,0)),1)</f>
        <v/>
      </c>
      <c r="L3259" s="19" t="n">
        <v>1</v>
      </c>
      <c r="M3259" s="11" t="n">
        <v>1</v>
      </c>
      <c r="N3259" s="19" t="n"/>
      <c r="O3259" s="19" t="n"/>
      <c r="P3259" s="19" t="n"/>
      <c r="Q3259" s="19" t="n"/>
      <c r="R3259" s="19" t="n"/>
      <c r="S3259" s="19" t="n"/>
      <c r="T3259" s="19" t="n"/>
      <c r="U3259" s="19" t="n"/>
      <c r="V3259" s="19" t="n"/>
      <c r="W3259" s="19" t="n">
        <v>1</v>
      </c>
      <c r="X3259" s="19" t="n"/>
      <c r="Y3259" s="19" t="n"/>
      <c r="Z3259" s="13">
        <f>SUMPRODUCT(N3259:Y3259,$N$2:$Y$2)*$K3259*$L3259*$M3259</f>
        <v/>
      </c>
      <c r="AA3259" s="14">
        <f>SUM(N3259:Y3259)</f>
        <v/>
      </c>
      <c r="AB3259" s="13">
        <f>SUMPRODUCT(N3259:Y3259,$N$3:$Y$3)*$K3259*$L3259*$M3259</f>
        <v/>
      </c>
      <c r="AC3259" s="13">
        <f>SUMPRODUCT(N3259:Y3259,$N$4:$Y$4)*$K3259*$L3259*$M3259</f>
        <v/>
      </c>
      <c r="AD3259" s="15" t="n">
        <v>7.966666666666666</v>
      </c>
      <c r="AE3259" s="11" t="n">
        <v>1.666241434357377</v>
      </c>
      <c r="AF3259" s="16">
        <f>SUMPRODUCT(N3259:Y3259,$N$5:$Y$5)*$K3259*$L3259*$M3259</f>
        <v/>
      </c>
      <c r="AG3259" s="16">
        <f>SUMPRODUCT(N3259:Y3259,$N$6:$Y$6)*$K3259*$L3259*$M3259</f>
        <v/>
      </c>
      <c r="AH3259" s="20" t="n"/>
    </row>
    <row r="3260">
      <c r="A3260" s="9" t="n">
        <v>815219</v>
      </c>
      <c r="B3260" s="9" t="inlineStr">
        <is>
          <t>Luis De La Torre</t>
        </is>
      </c>
      <c r="C3260" s="9" t="inlineStr">
        <is>
          <t>SF</t>
        </is>
      </c>
      <c r="D3260" s="9" t="n">
        <v>25</v>
      </c>
      <c r="E3260" s="18" t="inlineStr">
        <is>
          <t>L</t>
        </is>
      </c>
      <c r="F3260" s="18" t="n"/>
      <c r="G3260" s="9" t="n">
        <v>86.57333333333334</v>
      </c>
      <c r="H3260" s="9" t="n">
        <v>86.57333333333334</v>
      </c>
      <c r="I3260" s="9" t="inlineStr">
        <is>
          <t>Depth (no MLB IP)</t>
        </is>
      </c>
      <c r="J3260" s="18" t="inlineStr">
        <is>
          <t>Opening Day</t>
        </is>
      </c>
      <c r="K3260" s="11">
        <f>IFERROR(INDEX(Roles!$B$17:$B$20,MATCH(J3260,Roles!$A$17:$A$20,0)),1)</f>
        <v/>
      </c>
      <c r="L3260" s="19" t="n">
        <v>1</v>
      </c>
      <c r="M3260" s="11" t="n">
        <v>1</v>
      </c>
      <c r="N3260" s="19" t="n"/>
      <c r="O3260" s="19" t="n"/>
      <c r="P3260" s="19" t="n"/>
      <c r="Q3260" s="19" t="n"/>
      <c r="R3260" s="19" t="n"/>
      <c r="S3260" s="19" t="n"/>
      <c r="T3260" s="19" t="n"/>
      <c r="U3260" s="19" t="n"/>
      <c r="V3260" s="19" t="n"/>
      <c r="W3260" s="19" t="n"/>
      <c r="X3260" s="19" t="n"/>
      <c r="Y3260" s="19" t="n">
        <v>1</v>
      </c>
      <c r="Z3260" s="13">
        <f>SUMPRODUCT(N3260:Y3260,$N$2:$Y$2)*$K3260*$L3260*$M3260</f>
        <v/>
      </c>
      <c r="AA3260" s="14">
        <f>SUM(N3260:Y3260)</f>
        <v/>
      </c>
      <c r="AB3260" s="13">
        <f>SUMPRODUCT(N3260:Y3260,$N$3:$Y$3)*$K3260*$L3260*$M3260</f>
        <v/>
      </c>
      <c r="AC3260" s="13">
        <f>SUMPRODUCT(N3260:Y3260,$N$4:$Y$4)*$K3260*$L3260*$M3260</f>
        <v/>
      </c>
      <c r="AD3260" s="15" t="n">
        <v>3</v>
      </c>
      <c r="AE3260" s="11" t="n">
        <v>1.011296296296296</v>
      </c>
      <c r="AF3260" s="16">
        <f>SUMPRODUCT(N3260:Y3260,$N$5:$Y$5)*$K3260*$L3260*$M3260</f>
        <v/>
      </c>
      <c r="AG3260" s="16">
        <f>SUMPRODUCT(N3260:Y3260,$N$6:$Y$6)*$K3260*$L3260*$M3260</f>
        <v/>
      </c>
      <c r="AH3260" s="20" t="n"/>
    </row>
    <row r="3261">
      <c r="A3261" s="9" t="n">
        <v>702281</v>
      </c>
      <c r="B3261" s="9" t="inlineStr">
        <is>
          <t>Robby Snelling</t>
        </is>
      </c>
      <c r="C3261" s="9" t="inlineStr">
        <is>
          <t>MIA</t>
        </is>
      </c>
      <c r="D3261" s="9" t="n">
        <v>23</v>
      </c>
      <c r="E3261" s="18" t="inlineStr">
        <is>
          <t>L</t>
        </is>
      </c>
      <c r="F3261" s="18" t="n"/>
      <c r="G3261" s="9" t="n">
        <v>22</v>
      </c>
      <c r="H3261" s="9" t="n">
        <v>22</v>
      </c>
      <c r="I3261" s="9" t="inlineStr">
        <is>
          <t>Depth (no MLB IP)</t>
        </is>
      </c>
      <c r="J3261" s="18" t="inlineStr">
        <is>
          <t>Opening Day</t>
        </is>
      </c>
      <c r="K3261" s="11">
        <f>IFERROR(INDEX(Roles!$B$17:$B$20,MATCH(J3261,Roles!$A$17:$A$20,0)),1)</f>
        <v/>
      </c>
      <c r="L3261" s="19" t="n">
        <v>1</v>
      </c>
      <c r="M3261" s="11" t="n">
        <v>1</v>
      </c>
      <c r="N3261" s="19" t="n"/>
      <c r="O3261" s="19" t="n"/>
      <c r="P3261" s="19" t="n"/>
      <c r="Q3261" s="19" t="n"/>
      <c r="R3261" s="19" t="n"/>
      <c r="S3261" s="19" t="n"/>
      <c r="T3261" s="19" t="n"/>
      <c r="U3261" s="19" t="n"/>
      <c r="V3261" s="19" t="n"/>
      <c r="W3261" s="19" t="n"/>
      <c r="X3261" s="19" t="n"/>
      <c r="Y3261" s="19" t="n">
        <v>1</v>
      </c>
      <c r="Z3261" s="13">
        <f>SUMPRODUCT(N3261:Y3261,$N$2:$Y$2)*$K3261*$L3261*$M3261</f>
        <v/>
      </c>
      <c r="AA3261" s="14">
        <f>SUM(N3261:Y3261)</f>
        <v/>
      </c>
      <c r="AB3261" s="13">
        <f>SUMPRODUCT(N3261:Y3261,$N$3:$Y$3)*$K3261*$L3261*$M3261</f>
        <v/>
      </c>
      <c r="AC3261" s="13">
        <f>SUMPRODUCT(N3261:Y3261,$N$4:$Y$4)*$K3261*$L3261*$M3261</f>
        <v/>
      </c>
      <c r="AD3261" s="15" t="n">
        <v>1.8</v>
      </c>
      <c r="AE3261" s="11" t="n">
        <v>2.340864197530864</v>
      </c>
      <c r="AF3261" s="16">
        <f>SUMPRODUCT(N3261:Y3261,$N$5:$Y$5)*$K3261*$L3261*$M3261</f>
        <v/>
      </c>
      <c r="AG3261" s="16">
        <f>SUMPRODUCT(N3261:Y3261,$N$6:$Y$6)*$K3261*$L3261*$M3261</f>
        <v/>
      </c>
      <c r="AH3261" s="20" t="n"/>
    </row>
    <row r="3262">
      <c r="A3262" s="9" t="n">
        <v>676702</v>
      </c>
      <c r="B3262" s="9" t="inlineStr">
        <is>
          <t>Hunter Stratton</t>
        </is>
      </c>
      <c r="C3262" s="9" t="inlineStr">
        <is>
          <t>ATL</t>
        </is>
      </c>
      <c r="D3262" s="9" t="n">
        <v>30</v>
      </c>
      <c r="E3262" s="18" t="inlineStr">
        <is>
          <t>R</t>
        </is>
      </c>
      <c r="F3262" s="18" t="n"/>
      <c r="G3262" s="9" t="n">
        <v>15</v>
      </c>
      <c r="H3262" s="9" t="n">
        <v>309</v>
      </c>
      <c r="I3262" s="9" t="inlineStr">
        <is>
          <t>Bullpen Depth Arm</t>
        </is>
      </c>
      <c r="J3262" s="18" t="inlineStr">
        <is>
          <t>Opening Day</t>
        </is>
      </c>
      <c r="K3262" s="11">
        <f>IFERROR(INDEX(Roles!$B$17:$B$20,MATCH(J3262,Roles!$A$17:$A$20,0)),1)</f>
        <v/>
      </c>
      <c r="L3262" s="19" t="n">
        <v>1</v>
      </c>
      <c r="M3262" s="11" t="n">
        <v>1</v>
      </c>
      <c r="N3262" s="19" t="n"/>
      <c r="O3262" s="19" t="n"/>
      <c r="P3262" s="19" t="n"/>
      <c r="Q3262" s="19" t="n"/>
      <c r="R3262" s="19" t="n"/>
      <c r="S3262" s="19" t="n"/>
      <c r="T3262" s="19" t="n"/>
      <c r="U3262" s="19" t="n"/>
      <c r="V3262" s="19" t="n"/>
      <c r="W3262" s="19" t="n">
        <v>1</v>
      </c>
      <c r="X3262" s="19" t="n"/>
      <c r="Y3262" s="19" t="n"/>
      <c r="Z3262" s="13">
        <f>SUMPRODUCT(N3262:Y3262,$N$2:$Y$2)*$K3262*$L3262*$M3262</f>
        <v/>
      </c>
      <c r="AA3262" s="14">
        <f>SUM(N3262:Y3262)</f>
        <v/>
      </c>
      <c r="AB3262" s="13">
        <f>SUMPRODUCT(N3262:Y3262,$N$3:$Y$3)*$K3262*$L3262*$M3262</f>
        <v/>
      </c>
      <c r="AC3262" s="13">
        <f>SUMPRODUCT(N3262:Y3262,$N$4:$Y$4)*$K3262*$L3262*$M3262</f>
        <v/>
      </c>
      <c r="AD3262" s="15" t="n">
        <v>13.16666666666667</v>
      </c>
      <c r="AE3262" s="11" t="n">
        <v>1.182247875581209</v>
      </c>
      <c r="AF3262" s="16">
        <f>SUMPRODUCT(N3262:Y3262,$N$5:$Y$5)*$K3262*$L3262*$M3262</f>
        <v/>
      </c>
      <c r="AG3262" s="16">
        <f>SUMPRODUCT(N3262:Y3262,$N$6:$Y$6)*$K3262*$L3262*$M3262</f>
        <v/>
      </c>
      <c r="AH3262" s="20" t="n"/>
    </row>
    <row r="3263">
      <c r="A3263" s="9" t="n">
        <v>701056</v>
      </c>
      <c r="B3263" s="9" t="inlineStr">
        <is>
          <t>Josh Grosz</t>
        </is>
      </c>
      <c r="C3263" s="9" t="inlineStr">
        <is>
          <t>ARI</t>
        </is>
      </c>
      <c r="D3263" s="9" t="n">
        <v>25</v>
      </c>
      <c r="E3263" s="18" t="inlineStr">
        <is>
          <t>R</t>
        </is>
      </c>
      <c r="F3263" s="18" t="n"/>
      <c r="G3263" s="9" t="n">
        <v>86.78833333333331</v>
      </c>
      <c r="H3263" s="9" t="n">
        <v>86.78833333333331</v>
      </c>
      <c r="I3263" s="9" t="inlineStr">
        <is>
          <t>Depth (no MLB IP)</t>
        </is>
      </c>
      <c r="J3263" s="18" t="inlineStr">
        <is>
          <t>Opening Day</t>
        </is>
      </c>
      <c r="K3263" s="11">
        <f>IFERROR(INDEX(Roles!$B$17:$B$20,MATCH(J3263,Roles!$A$17:$A$20,0)),1)</f>
        <v/>
      </c>
      <c r="L3263" s="19" t="n">
        <v>1</v>
      </c>
      <c r="M3263" s="11" t="n">
        <v>1</v>
      </c>
      <c r="N3263" s="19" t="n"/>
      <c r="O3263" s="19" t="n"/>
      <c r="P3263" s="19" t="n"/>
      <c r="Q3263" s="19" t="n"/>
      <c r="R3263" s="19" t="n"/>
      <c r="S3263" s="19" t="n"/>
      <c r="T3263" s="19" t="n"/>
      <c r="U3263" s="19" t="n"/>
      <c r="V3263" s="19" t="n"/>
      <c r="W3263" s="19" t="n"/>
      <c r="X3263" s="19" t="n"/>
      <c r="Y3263" s="19" t="n">
        <v>1</v>
      </c>
      <c r="Z3263" s="13">
        <f>SUMPRODUCT(N3263:Y3263,$N$2:$Y$2)*$K3263*$L3263*$M3263</f>
        <v/>
      </c>
      <c r="AA3263" s="14">
        <f>SUM(N3263:Y3263)</f>
        <v/>
      </c>
      <c r="AB3263" s="13">
        <f>SUMPRODUCT(N3263:Y3263,$N$3:$Y$3)*$K3263*$L3263*$M3263</f>
        <v/>
      </c>
      <c r="AC3263" s="13">
        <f>SUMPRODUCT(N3263:Y3263,$N$4:$Y$4)*$K3263*$L3263*$M3263</f>
        <v/>
      </c>
      <c r="AD3263" s="15" t="n">
        <v>3</v>
      </c>
      <c r="AE3263" s="11" t="n">
        <v>1.011296296296296</v>
      </c>
      <c r="AF3263" s="16">
        <f>SUMPRODUCT(N3263:Y3263,$N$5:$Y$5)*$K3263*$L3263*$M3263</f>
        <v/>
      </c>
      <c r="AG3263" s="16">
        <f>SUMPRODUCT(N3263:Y3263,$N$6:$Y$6)*$K3263*$L3263*$M3263</f>
        <v/>
      </c>
      <c r="AH3263" s="20" t="n"/>
    </row>
    <row r="3264">
      <c r="A3264" s="9" t="n">
        <v>656605</v>
      </c>
      <c r="B3264" s="9" t="inlineStr">
        <is>
          <t>Mitch Keller</t>
        </is>
      </c>
      <c r="C3264" s="9" t="inlineStr">
        <is>
          <t>PIT</t>
        </is>
      </c>
      <c r="D3264" s="9" t="n">
        <v>31</v>
      </c>
      <c r="E3264" s="18" t="inlineStr">
        <is>
          <t>R</t>
        </is>
      </c>
      <c r="F3264" s="18" t="n"/>
      <c r="G3264" s="9" t="n">
        <v>503</v>
      </c>
      <c r="H3264" s="9" t="n">
        <v>3537</v>
      </c>
      <c r="I3264" s="9" t="inlineStr">
        <is>
          <t>End-of-Rotation Starter (SP4-5)</t>
        </is>
      </c>
      <c r="J3264" s="18" t="inlineStr">
        <is>
          <t>Opening Day</t>
        </is>
      </c>
      <c r="K3264" s="11">
        <f>IFERROR(INDEX(Roles!$B$17:$B$20,MATCH(J3264,Roles!$A$17:$A$20,0)),1)</f>
        <v/>
      </c>
      <c r="L3264" s="19" t="n">
        <v>1</v>
      </c>
      <c r="M3264" s="11" t="n">
        <v>1</v>
      </c>
      <c r="N3264" s="19" t="n"/>
      <c r="O3264" s="19" t="n"/>
      <c r="P3264" s="19" t="n">
        <v>0.5</v>
      </c>
      <c r="Q3264" s="19" t="n"/>
      <c r="R3264" s="19" t="n">
        <v>0.5</v>
      </c>
      <c r="S3264" s="19" t="n"/>
      <c r="T3264" s="19" t="n"/>
      <c r="U3264" s="19" t="n"/>
      <c r="V3264" s="19" t="n"/>
      <c r="W3264" s="19" t="n"/>
      <c r="X3264" s="19" t="n"/>
      <c r="Y3264" s="19" t="n"/>
      <c r="Z3264" s="13">
        <f>SUMPRODUCT(N3264:Y3264,$N$2:$Y$2)*$K3264*$L3264*$M3264</f>
        <v/>
      </c>
      <c r="AA3264" s="14">
        <f>SUM(N3264:Y3264)</f>
        <v/>
      </c>
      <c r="AB3264" s="13">
        <f>SUMPRODUCT(N3264:Y3264,$N$3:$Y$3)*$K3264*$L3264*$M3264</f>
        <v/>
      </c>
      <c r="AC3264" s="13">
        <f>SUMPRODUCT(N3264:Y3264,$N$4:$Y$4)*$K3264*$L3264*$M3264</f>
        <v/>
      </c>
      <c r="AD3264" s="15" t="n">
        <v>22.5</v>
      </c>
      <c r="AE3264" s="11" t="n">
        <v>4.854152288934898</v>
      </c>
      <c r="AF3264" s="16">
        <f>SUMPRODUCT(N3264:Y3264,$N$5:$Y$5)*$K3264*$L3264*$M3264</f>
        <v/>
      </c>
      <c r="AG3264" s="16">
        <f>SUMPRODUCT(N3264:Y3264,$N$6:$Y$6)*$K3264*$L3264*$M3264</f>
        <v/>
      </c>
      <c r="AH3264" s="20" t="n"/>
    </row>
    <row r="3265">
      <c r="A3265" s="9" t="n">
        <v>823017</v>
      </c>
      <c r="B3265" s="9" t="inlineStr">
        <is>
          <t>Tanner Jones</t>
        </is>
      </c>
      <c r="C3265" s="9" t="inlineStr">
        <is>
          <t>KC</t>
        </is>
      </c>
      <c r="D3265" s="9" t="n">
        <v>25</v>
      </c>
      <c r="E3265" s="18" t="inlineStr">
        <is>
          <t>R</t>
        </is>
      </c>
      <c r="F3265" s="18" t="n"/>
      <c r="G3265" s="9" t="n">
        <v>87.14666666666666</v>
      </c>
      <c r="H3265" s="9" t="n">
        <v>87.14666666666666</v>
      </c>
      <c r="I3265" s="9" t="inlineStr">
        <is>
          <t>Depth (no MLB IP)</t>
        </is>
      </c>
      <c r="J3265" s="18" t="inlineStr">
        <is>
          <t>Opening Day</t>
        </is>
      </c>
      <c r="K3265" s="11">
        <f>IFERROR(INDEX(Roles!$B$17:$B$20,MATCH(J3265,Roles!$A$17:$A$20,0)),1)</f>
        <v/>
      </c>
      <c r="L3265" s="19" t="n">
        <v>1</v>
      </c>
      <c r="M3265" s="11" t="n">
        <v>1</v>
      </c>
      <c r="N3265" s="19" t="n"/>
      <c r="O3265" s="19" t="n"/>
      <c r="P3265" s="19" t="n"/>
      <c r="Q3265" s="19" t="n"/>
      <c r="R3265" s="19" t="n"/>
      <c r="S3265" s="19" t="n"/>
      <c r="T3265" s="19" t="n"/>
      <c r="U3265" s="19" t="n"/>
      <c r="V3265" s="19" t="n"/>
      <c r="W3265" s="19" t="n"/>
      <c r="X3265" s="19" t="n"/>
      <c r="Y3265" s="19" t="n">
        <v>1</v>
      </c>
      <c r="Z3265" s="13">
        <f>SUMPRODUCT(N3265:Y3265,$N$2:$Y$2)*$K3265*$L3265*$M3265</f>
        <v/>
      </c>
      <c r="AA3265" s="14">
        <f>SUM(N3265:Y3265)</f>
        <v/>
      </c>
      <c r="AB3265" s="13">
        <f>SUMPRODUCT(N3265:Y3265,$N$3:$Y$3)*$K3265*$L3265*$M3265</f>
        <v/>
      </c>
      <c r="AC3265" s="13">
        <f>SUMPRODUCT(N3265:Y3265,$N$4:$Y$4)*$K3265*$L3265*$M3265</f>
        <v/>
      </c>
      <c r="AD3265" s="15" t="n">
        <v>3</v>
      </c>
      <c r="AE3265" s="11" t="n">
        <v>1.011296296296296</v>
      </c>
      <c r="AF3265" s="16">
        <f>SUMPRODUCT(N3265:Y3265,$N$5:$Y$5)*$K3265*$L3265*$M3265</f>
        <v/>
      </c>
      <c r="AG3265" s="16">
        <f>SUMPRODUCT(N3265:Y3265,$N$6:$Y$6)*$K3265*$L3265*$M3265</f>
        <v/>
      </c>
      <c r="AH3265" s="20" t="n"/>
    </row>
    <row r="3266">
      <c r="A3266" s="9" t="n">
        <v>692030</v>
      </c>
      <c r="B3266" s="9" t="inlineStr">
        <is>
          <t>Jose Corniell</t>
        </is>
      </c>
      <c r="C3266" s="9" t="inlineStr">
        <is>
          <t>TEX</t>
        </is>
      </c>
      <c r="D3266" s="9" t="n">
        <v>24</v>
      </c>
      <c r="E3266" s="18" t="inlineStr">
        <is>
          <t>R</t>
        </is>
      </c>
      <c r="F3266" s="18" t="n"/>
      <c r="G3266" s="9" t="n">
        <v>28</v>
      </c>
      <c r="H3266" s="9" t="n">
        <v>37</v>
      </c>
      <c r="I3266" s="9" t="inlineStr">
        <is>
          <t>Bullpen Depth Arm</t>
        </is>
      </c>
      <c r="J3266" s="18" t="inlineStr">
        <is>
          <t>Opening Day</t>
        </is>
      </c>
      <c r="K3266" s="11">
        <f>IFERROR(INDEX(Roles!$B$17:$B$20,MATCH(J3266,Roles!$A$17:$A$20,0)),1)</f>
        <v/>
      </c>
      <c r="L3266" s="19" t="n">
        <v>1</v>
      </c>
      <c r="M3266" s="11" t="n">
        <v>1</v>
      </c>
      <c r="N3266" s="19" t="n"/>
      <c r="O3266" s="19" t="n"/>
      <c r="P3266" s="19" t="n"/>
      <c r="Q3266" s="19" t="n"/>
      <c r="R3266" s="19" t="n"/>
      <c r="S3266" s="19" t="n"/>
      <c r="T3266" s="19" t="n"/>
      <c r="U3266" s="19" t="n"/>
      <c r="V3266" s="19" t="n">
        <v>0.15</v>
      </c>
      <c r="W3266" s="19" t="n">
        <v>0.85</v>
      </c>
      <c r="X3266" s="19" t="n"/>
      <c r="Y3266" s="19" t="n"/>
      <c r="Z3266" s="13">
        <f>SUMPRODUCT(N3266:Y3266,$N$2:$Y$2)*$K3266*$L3266*$M3266</f>
        <v/>
      </c>
      <c r="AA3266" s="14">
        <f>SUM(N3266:Y3266)</f>
        <v/>
      </c>
      <c r="AB3266" s="13">
        <f>SUMPRODUCT(N3266:Y3266,$N$3:$Y$3)*$K3266*$L3266*$M3266</f>
        <v/>
      </c>
      <c r="AC3266" s="13">
        <f>SUMPRODUCT(N3266:Y3266,$N$4:$Y$4)*$K3266*$L3266*$M3266</f>
        <v/>
      </c>
      <c r="AD3266" s="15" t="n">
        <v>6.626666666666667</v>
      </c>
      <c r="AE3266" s="11" t="n">
        <v>1.482062690396024</v>
      </c>
      <c r="AF3266" s="16">
        <f>SUMPRODUCT(N3266:Y3266,$N$5:$Y$5)*$K3266*$L3266*$M3266</f>
        <v/>
      </c>
      <c r="AG3266" s="16">
        <f>SUMPRODUCT(N3266:Y3266,$N$6:$Y$6)*$K3266*$L3266*$M3266</f>
        <v/>
      </c>
      <c r="AH3266" s="20" t="n"/>
    </row>
    <row r="3267">
      <c r="A3267" s="9" t="n">
        <v>679358</v>
      </c>
      <c r="B3267" s="9" t="inlineStr">
        <is>
          <t>Eric Orze</t>
        </is>
      </c>
      <c r="C3267" s="9" t="inlineStr">
        <is>
          <t>MIN</t>
        </is>
      </c>
      <c r="D3267" s="9" t="n">
        <v>29</v>
      </c>
      <c r="E3267" s="18" t="inlineStr">
        <is>
          <t>R</t>
        </is>
      </c>
      <c r="F3267" s="18" t="n"/>
      <c r="G3267" s="9" t="n">
        <v>189</v>
      </c>
      <c r="H3267" s="9" t="n">
        <v>378</v>
      </c>
      <c r="I3267" s="9" t="inlineStr">
        <is>
          <t>Bullpen Depth Arm</t>
        </is>
      </c>
      <c r="J3267" s="18" t="inlineStr">
        <is>
          <t>Opening Day</t>
        </is>
      </c>
      <c r="K3267" s="11">
        <f>IFERROR(INDEX(Roles!$B$17:$B$20,MATCH(J3267,Roles!$A$17:$A$20,0)),1)</f>
        <v/>
      </c>
      <c r="L3267" s="19" t="n">
        <v>1</v>
      </c>
      <c r="M3267" s="11" t="n">
        <v>1</v>
      </c>
      <c r="N3267" s="19" t="n"/>
      <c r="O3267" s="19" t="n"/>
      <c r="P3267" s="19" t="n"/>
      <c r="Q3267" s="19" t="n"/>
      <c r="R3267" s="19" t="n"/>
      <c r="S3267" s="19" t="n"/>
      <c r="T3267" s="19" t="n"/>
      <c r="U3267" s="19" t="n"/>
      <c r="V3267" s="19" t="n"/>
      <c r="W3267" s="19" t="n">
        <v>1</v>
      </c>
      <c r="X3267" s="19" t="n"/>
      <c r="Y3267" s="19" t="n"/>
      <c r="Z3267" s="13">
        <f>SUMPRODUCT(N3267:Y3267,$N$2:$Y$2)*$K3267*$L3267*$M3267</f>
        <v/>
      </c>
      <c r="AA3267" s="14">
        <f>SUM(N3267:Y3267)</f>
        <v/>
      </c>
      <c r="AB3267" s="13">
        <f>SUMPRODUCT(N3267:Y3267,$N$3:$Y$3)*$K3267*$L3267*$M3267</f>
        <v/>
      </c>
      <c r="AC3267" s="13">
        <f>SUMPRODUCT(N3267:Y3267,$N$4:$Y$4)*$K3267*$L3267*$M3267</f>
        <v/>
      </c>
      <c r="AD3267" s="15" t="n">
        <v>23.26666666666667</v>
      </c>
      <c r="AE3267" s="11" t="n">
        <v>1.197340468173802</v>
      </c>
      <c r="AF3267" s="16">
        <f>SUMPRODUCT(N3267:Y3267,$N$5:$Y$5)*$K3267*$L3267*$M3267</f>
        <v/>
      </c>
      <c r="AG3267" s="16">
        <f>SUMPRODUCT(N3267:Y3267,$N$6:$Y$6)*$K3267*$L3267*$M3267</f>
        <v/>
      </c>
      <c r="AH3267" s="20" t="n"/>
    </row>
    <row r="3268">
      <c r="A3268" s="9" t="n">
        <v>659381</v>
      </c>
      <c r="B3268" s="9" t="inlineStr">
        <is>
          <t>Justin King</t>
        </is>
      </c>
      <c r="C3268" s="9" t="inlineStr">
        <is>
          <t>MIA</t>
        </is>
      </c>
      <c r="D3268" s="9" t="n">
        <v>25</v>
      </c>
      <c r="E3268" s="18" t="inlineStr">
        <is>
          <t>L</t>
        </is>
      </c>
      <c r="F3268" s="18" t="n"/>
      <c r="G3268" s="9" t="n">
        <v>87.50500000000001</v>
      </c>
      <c r="H3268" s="9" t="n">
        <v>87.50500000000001</v>
      </c>
      <c r="I3268" s="9" t="inlineStr">
        <is>
          <t>Depth (no MLB IP)</t>
        </is>
      </c>
      <c r="J3268" s="18" t="inlineStr">
        <is>
          <t>Opening Day</t>
        </is>
      </c>
      <c r="K3268" s="11">
        <f>IFERROR(INDEX(Roles!$B$17:$B$20,MATCH(J3268,Roles!$A$17:$A$20,0)),1)</f>
        <v/>
      </c>
      <c r="L3268" s="19" t="n">
        <v>1</v>
      </c>
      <c r="M3268" s="11" t="n">
        <v>1</v>
      </c>
      <c r="N3268" s="19" t="n"/>
      <c r="O3268" s="19" t="n"/>
      <c r="P3268" s="19" t="n"/>
      <c r="Q3268" s="19" t="n"/>
      <c r="R3268" s="19" t="n"/>
      <c r="S3268" s="19" t="n"/>
      <c r="T3268" s="19" t="n"/>
      <c r="U3268" s="19" t="n"/>
      <c r="V3268" s="19" t="n"/>
      <c r="W3268" s="19" t="n"/>
      <c r="X3268" s="19" t="n"/>
      <c r="Y3268" s="19" t="n">
        <v>1</v>
      </c>
      <c r="Z3268" s="13">
        <f>SUMPRODUCT(N3268:Y3268,$N$2:$Y$2)*$K3268*$L3268*$M3268</f>
        <v/>
      </c>
      <c r="AA3268" s="14">
        <f>SUM(N3268:Y3268)</f>
        <v/>
      </c>
      <c r="AB3268" s="13">
        <f>SUMPRODUCT(N3268:Y3268,$N$3:$Y$3)*$K3268*$L3268*$M3268</f>
        <v/>
      </c>
      <c r="AC3268" s="13">
        <f>SUMPRODUCT(N3268:Y3268,$N$4:$Y$4)*$K3268*$L3268*$M3268</f>
        <v/>
      </c>
      <c r="AD3268" s="15" t="n">
        <v>3</v>
      </c>
      <c r="AE3268" s="11" t="n">
        <v>1.011296296296296</v>
      </c>
      <c r="AF3268" s="16">
        <f>SUMPRODUCT(N3268:Y3268,$N$5:$Y$5)*$K3268*$L3268*$M3268</f>
        <v/>
      </c>
      <c r="AG3268" s="16">
        <f>SUMPRODUCT(N3268:Y3268,$N$6:$Y$6)*$K3268*$L3268*$M3268</f>
        <v/>
      </c>
      <c r="AH3268" s="20" t="n"/>
    </row>
    <row r="3269">
      <c r="A3269" s="9" t="n">
        <v>695033</v>
      </c>
      <c r="B3269" s="9" t="inlineStr">
        <is>
          <t>Juaron Watts-Brown</t>
        </is>
      </c>
      <c r="C3269" s="9" t="inlineStr">
        <is>
          <t>BAL</t>
        </is>
      </c>
      <c r="D3269" s="9" t="n">
        <v>25</v>
      </c>
      <c r="E3269" s="18" t="inlineStr">
        <is>
          <t>R</t>
        </is>
      </c>
      <c r="F3269" s="18" t="n"/>
      <c r="G3269" s="9" t="n">
        <v>87.50500000000001</v>
      </c>
      <c r="H3269" s="9" t="n">
        <v>87.50500000000001</v>
      </c>
      <c r="I3269" s="9" t="inlineStr">
        <is>
          <t>Depth (no MLB IP)</t>
        </is>
      </c>
      <c r="J3269" s="18" t="inlineStr">
        <is>
          <t>Opening Day</t>
        </is>
      </c>
      <c r="K3269" s="11">
        <f>IFERROR(INDEX(Roles!$B$17:$B$20,MATCH(J3269,Roles!$A$17:$A$20,0)),1)</f>
        <v/>
      </c>
      <c r="L3269" s="19" t="n">
        <v>1</v>
      </c>
      <c r="M3269" s="11" t="n">
        <v>1</v>
      </c>
      <c r="N3269" s="19" t="n"/>
      <c r="O3269" s="19" t="n"/>
      <c r="P3269" s="19" t="n"/>
      <c r="Q3269" s="19" t="n"/>
      <c r="R3269" s="19" t="n"/>
      <c r="S3269" s="19" t="n"/>
      <c r="T3269" s="19" t="n"/>
      <c r="U3269" s="19" t="n"/>
      <c r="V3269" s="19" t="n"/>
      <c r="W3269" s="19" t="n"/>
      <c r="X3269" s="19" t="n"/>
      <c r="Y3269" s="19" t="n">
        <v>1</v>
      </c>
      <c r="Z3269" s="13">
        <f>SUMPRODUCT(N3269:Y3269,$N$2:$Y$2)*$K3269*$L3269*$M3269</f>
        <v/>
      </c>
      <c r="AA3269" s="14">
        <f>SUM(N3269:Y3269)</f>
        <v/>
      </c>
      <c r="AB3269" s="13">
        <f>SUMPRODUCT(N3269:Y3269,$N$3:$Y$3)*$K3269*$L3269*$M3269</f>
        <v/>
      </c>
      <c r="AC3269" s="13">
        <f>SUMPRODUCT(N3269:Y3269,$N$4:$Y$4)*$K3269*$L3269*$M3269</f>
        <v/>
      </c>
      <c r="AD3269" s="15" t="n">
        <v>3</v>
      </c>
      <c r="AE3269" s="11" t="n">
        <v>1.011296296296296</v>
      </c>
      <c r="AF3269" s="16">
        <f>SUMPRODUCT(N3269:Y3269,$N$5:$Y$5)*$K3269*$L3269*$M3269</f>
        <v/>
      </c>
      <c r="AG3269" s="16">
        <f>SUMPRODUCT(N3269:Y3269,$N$6:$Y$6)*$K3269*$L3269*$M3269</f>
        <v/>
      </c>
      <c r="AH3269" s="20" t="n"/>
    </row>
    <row r="3270">
      <c r="A3270" s="9" t="n">
        <v>571948</v>
      </c>
      <c r="B3270" s="9" t="inlineStr">
        <is>
          <t>Hoby Milner</t>
        </is>
      </c>
      <c r="C3270" s="9" t="inlineStr">
        <is>
          <t>SEA</t>
        </is>
      </c>
      <c r="D3270" s="9" t="n">
        <v>36</v>
      </c>
      <c r="E3270" s="18" t="inlineStr">
        <is>
          <t>L</t>
        </is>
      </c>
      <c r="F3270" s="18" t="n"/>
      <c r="G3270" s="9" t="n">
        <v>177</v>
      </c>
      <c r="H3270" s="9" t="n">
        <v>1262</v>
      </c>
      <c r="I3270" s="9" t="inlineStr">
        <is>
          <t>Middle Relief</t>
        </is>
      </c>
      <c r="J3270" s="18" t="inlineStr">
        <is>
          <t>Opening Day</t>
        </is>
      </c>
      <c r="K3270" s="11">
        <f>IFERROR(INDEX(Roles!$B$17:$B$20,MATCH(J3270,Roles!$A$17:$A$20,0)),1)</f>
        <v/>
      </c>
      <c r="L3270" s="19" t="n">
        <v>1</v>
      </c>
      <c r="M3270" s="11" t="n">
        <v>1</v>
      </c>
      <c r="N3270" s="19" t="n"/>
      <c r="O3270" s="19" t="n"/>
      <c r="P3270" s="19" t="n"/>
      <c r="Q3270" s="19" t="n"/>
      <c r="R3270" s="19" t="n"/>
      <c r="S3270" s="19" t="n"/>
      <c r="T3270" s="19" t="n"/>
      <c r="U3270" s="19" t="n"/>
      <c r="V3270" s="19" t="n">
        <v>0.6</v>
      </c>
      <c r="W3270" s="19" t="n">
        <v>0.4</v>
      </c>
      <c r="X3270" s="19" t="n"/>
      <c r="Y3270" s="19" t="n"/>
      <c r="Z3270" s="13">
        <f>SUMPRODUCT(N3270:Y3270,$N$2:$Y$2)*$K3270*$L3270*$M3270</f>
        <v/>
      </c>
      <c r="AA3270" s="14">
        <f>SUM(N3270:Y3270)</f>
        <v/>
      </c>
      <c r="AB3270" s="13">
        <f>SUMPRODUCT(N3270:Y3270,$N$3:$Y$3)*$K3270*$L3270*$M3270</f>
        <v/>
      </c>
      <c r="AC3270" s="13">
        <f>SUMPRODUCT(N3270:Y3270,$N$4:$Y$4)*$K3270*$L3270*$M3270</f>
        <v/>
      </c>
      <c r="AD3270" s="15" t="n">
        <v>48.63333333333333</v>
      </c>
      <c r="AE3270" s="11" t="n">
        <v>1.014938586145456</v>
      </c>
      <c r="AF3270" s="16">
        <f>SUMPRODUCT(N3270:Y3270,$N$5:$Y$5)*$K3270*$L3270*$M3270</f>
        <v/>
      </c>
      <c r="AG3270" s="16">
        <f>SUMPRODUCT(N3270:Y3270,$N$6:$Y$6)*$K3270*$L3270*$M3270</f>
        <v/>
      </c>
      <c r="AH3270" s="20" t="n"/>
    </row>
    <row r="3271">
      <c r="A3271" s="9" t="n">
        <v>700675</v>
      </c>
      <c r="B3271" s="9" t="inlineStr">
        <is>
          <t>Jimmy Kingsbury</t>
        </is>
      </c>
      <c r="C3271" s="9" t="inlineStr">
        <is>
          <t>SEA</t>
        </is>
      </c>
      <c r="D3271" s="9" t="n">
        <v>25</v>
      </c>
      <c r="E3271" s="18" t="inlineStr">
        <is>
          <t>R</t>
        </is>
      </c>
      <c r="F3271" s="18" t="n"/>
      <c r="G3271" s="9" t="n">
        <v>87.79166666666667</v>
      </c>
      <c r="H3271" s="9" t="n">
        <v>87.79166666666667</v>
      </c>
      <c r="I3271" s="9" t="inlineStr">
        <is>
          <t>Depth (no MLB IP)</t>
        </is>
      </c>
      <c r="J3271" s="18" t="inlineStr">
        <is>
          <t>Opening Day</t>
        </is>
      </c>
      <c r="K3271" s="11">
        <f>IFERROR(INDEX(Roles!$B$17:$B$20,MATCH(J3271,Roles!$A$17:$A$20,0)),1)</f>
        <v/>
      </c>
      <c r="L3271" s="19" t="n">
        <v>1</v>
      </c>
      <c r="M3271" s="11" t="n">
        <v>1</v>
      </c>
      <c r="N3271" s="19" t="n"/>
      <c r="O3271" s="19" t="n"/>
      <c r="P3271" s="19" t="n"/>
      <c r="Q3271" s="19" t="n"/>
      <c r="R3271" s="19" t="n"/>
      <c r="S3271" s="19" t="n"/>
      <c r="T3271" s="19" t="n"/>
      <c r="U3271" s="19" t="n"/>
      <c r="V3271" s="19" t="n"/>
      <c r="W3271" s="19" t="n"/>
      <c r="X3271" s="19" t="n"/>
      <c r="Y3271" s="19" t="n">
        <v>1</v>
      </c>
      <c r="Z3271" s="13">
        <f>SUMPRODUCT(N3271:Y3271,$N$2:$Y$2)*$K3271*$L3271*$M3271</f>
        <v/>
      </c>
      <c r="AA3271" s="14">
        <f>SUM(N3271:Y3271)</f>
        <v/>
      </c>
      <c r="AB3271" s="13">
        <f>SUMPRODUCT(N3271:Y3271,$N$3:$Y$3)*$K3271*$L3271*$M3271</f>
        <v/>
      </c>
      <c r="AC3271" s="13">
        <f>SUMPRODUCT(N3271:Y3271,$N$4:$Y$4)*$K3271*$L3271*$M3271</f>
        <v/>
      </c>
      <c r="AD3271" s="15" t="n">
        <v>3</v>
      </c>
      <c r="AE3271" s="11" t="n">
        <v>1.011296296296296</v>
      </c>
      <c r="AF3271" s="16">
        <f>SUMPRODUCT(N3271:Y3271,$N$5:$Y$5)*$K3271*$L3271*$M3271</f>
        <v/>
      </c>
      <c r="AG3271" s="16">
        <f>SUMPRODUCT(N3271:Y3271,$N$6:$Y$6)*$K3271*$L3271*$M3271</f>
        <v/>
      </c>
      <c r="AH3271" s="20" t="n"/>
    </row>
    <row r="3272">
      <c r="A3272" s="9" t="n">
        <v>685005</v>
      </c>
      <c r="B3272" s="9" t="inlineStr">
        <is>
          <t>Christian Roa</t>
        </is>
      </c>
      <c r="C3272" s="9" t="inlineStr">
        <is>
          <t>HOU</t>
        </is>
      </c>
      <c r="D3272" s="9" t="n">
        <v>28</v>
      </c>
      <c r="E3272" s="18" t="inlineStr">
        <is>
          <t>R</t>
        </is>
      </c>
      <c r="F3272" s="18" t="n"/>
      <c r="G3272" s="9" t="n">
        <v>43</v>
      </c>
      <c r="H3272" s="9" t="n">
        <v>55</v>
      </c>
      <c r="I3272" s="9" t="inlineStr">
        <is>
          <t>Bullpen Depth Arm</t>
        </is>
      </c>
      <c r="J3272" s="18" t="inlineStr">
        <is>
          <t>Opening Day</t>
        </is>
      </c>
      <c r="K3272" s="11">
        <f>IFERROR(INDEX(Roles!$B$17:$B$20,MATCH(J3272,Roles!$A$17:$A$20,0)),1)</f>
        <v/>
      </c>
      <c r="L3272" s="19" t="n">
        <v>1</v>
      </c>
      <c r="M3272" s="11" t="n">
        <v>1</v>
      </c>
      <c r="N3272" s="19" t="n"/>
      <c r="O3272" s="19" t="n"/>
      <c r="P3272" s="19" t="n"/>
      <c r="Q3272" s="19" t="n"/>
      <c r="R3272" s="19" t="n"/>
      <c r="S3272" s="19" t="n"/>
      <c r="T3272" s="19" t="n"/>
      <c r="U3272" s="19" t="n"/>
      <c r="V3272" s="19" t="n"/>
      <c r="W3272" s="19" t="n">
        <v>1</v>
      </c>
      <c r="X3272" s="19" t="n"/>
      <c r="Y3272" s="19" t="n"/>
      <c r="Z3272" s="13">
        <f>SUMPRODUCT(N3272:Y3272,$N$2:$Y$2)*$K3272*$L3272*$M3272</f>
        <v/>
      </c>
      <c r="AA3272" s="14">
        <f>SUM(N3272:Y3272)</f>
        <v/>
      </c>
      <c r="AB3272" s="13">
        <f>SUMPRODUCT(N3272:Y3272,$N$3:$Y$3)*$K3272*$L3272*$M3272</f>
        <v/>
      </c>
      <c r="AC3272" s="13">
        <f>SUMPRODUCT(N3272:Y3272,$N$4:$Y$4)*$K3272*$L3272*$M3272</f>
        <v/>
      </c>
      <c r="AD3272" s="15" t="n">
        <v>8.666666666666666</v>
      </c>
      <c r="AE3272" s="11" t="n">
        <v>1.228173801507135</v>
      </c>
      <c r="AF3272" s="16">
        <f>SUMPRODUCT(N3272:Y3272,$N$5:$Y$5)*$K3272*$L3272*$M3272</f>
        <v/>
      </c>
      <c r="AG3272" s="16">
        <f>SUMPRODUCT(N3272:Y3272,$N$6:$Y$6)*$K3272*$L3272*$M3272</f>
        <v/>
      </c>
      <c r="AH3272" s="20" t="n"/>
    </row>
    <row r="3273">
      <c r="A3273" s="9" t="n">
        <v>695486</v>
      </c>
      <c r="B3273" s="9" t="inlineStr">
        <is>
          <t>Kyle Ayers</t>
        </is>
      </c>
      <c r="C3273" s="9" t="inlineStr">
        <is>
          <t>ARI</t>
        </is>
      </c>
      <c r="D3273" s="9" t="n">
        <v>25</v>
      </c>
      <c r="E3273" s="18" t="inlineStr">
        <is>
          <t>R</t>
        </is>
      </c>
      <c r="F3273" s="18" t="n"/>
      <c r="G3273" s="9" t="n">
        <v>87.72</v>
      </c>
      <c r="H3273" s="9" t="n">
        <v>87.72</v>
      </c>
      <c r="I3273" s="9" t="inlineStr">
        <is>
          <t>Depth (no MLB IP)</t>
        </is>
      </c>
      <c r="J3273" s="18" t="inlineStr">
        <is>
          <t>Opening Day</t>
        </is>
      </c>
      <c r="K3273" s="11">
        <f>IFERROR(INDEX(Roles!$B$17:$B$20,MATCH(J3273,Roles!$A$17:$A$20,0)),1)</f>
        <v/>
      </c>
      <c r="L3273" s="19" t="n">
        <v>1</v>
      </c>
      <c r="M3273" s="11" t="n">
        <v>1</v>
      </c>
      <c r="N3273" s="19" t="n"/>
      <c r="O3273" s="19" t="n"/>
      <c r="P3273" s="19" t="n"/>
      <c r="Q3273" s="19" t="n"/>
      <c r="R3273" s="19" t="n"/>
      <c r="S3273" s="19" t="n"/>
      <c r="T3273" s="19" t="n"/>
      <c r="U3273" s="19" t="n"/>
      <c r="V3273" s="19" t="n"/>
      <c r="W3273" s="19" t="n"/>
      <c r="X3273" s="19" t="n"/>
      <c r="Y3273" s="19" t="n">
        <v>1</v>
      </c>
      <c r="Z3273" s="13">
        <f>SUMPRODUCT(N3273:Y3273,$N$2:$Y$2)*$K3273*$L3273*$M3273</f>
        <v/>
      </c>
      <c r="AA3273" s="14">
        <f>SUM(N3273:Y3273)</f>
        <v/>
      </c>
      <c r="AB3273" s="13">
        <f>SUMPRODUCT(N3273:Y3273,$N$3:$Y$3)*$K3273*$L3273*$M3273</f>
        <v/>
      </c>
      <c r="AC3273" s="13">
        <f>SUMPRODUCT(N3273:Y3273,$N$4:$Y$4)*$K3273*$L3273*$M3273</f>
        <v/>
      </c>
      <c r="AD3273" s="15" t="n">
        <v>3</v>
      </c>
      <c r="AE3273" s="11" t="n">
        <v>1.011296296296296</v>
      </c>
      <c r="AF3273" s="16">
        <f>SUMPRODUCT(N3273:Y3273,$N$5:$Y$5)*$K3273*$L3273*$M3273</f>
        <v/>
      </c>
      <c r="AG3273" s="16">
        <f>SUMPRODUCT(N3273:Y3273,$N$6:$Y$6)*$K3273*$L3273*$M3273</f>
        <v/>
      </c>
      <c r="AH3273" s="20" t="n"/>
    </row>
    <row r="3274">
      <c r="A3274" s="9" t="n">
        <v>695871</v>
      </c>
      <c r="B3274" s="9" t="inlineStr">
        <is>
          <t>Jesús Broca</t>
        </is>
      </c>
      <c r="C3274" s="9" t="inlineStr">
        <is>
          <t>MIL</t>
        </is>
      </c>
      <c r="D3274" s="9" t="n">
        <v>25</v>
      </c>
      <c r="E3274" s="18" t="inlineStr">
        <is>
          <t>L</t>
        </is>
      </c>
      <c r="F3274" s="18" t="n"/>
      <c r="G3274" s="9" t="n">
        <v>87.79166666666667</v>
      </c>
      <c r="H3274" s="9" t="n">
        <v>87.79166666666667</v>
      </c>
      <c r="I3274" s="9" t="inlineStr">
        <is>
          <t>Depth (no MLB IP)</t>
        </is>
      </c>
      <c r="J3274" s="18" t="inlineStr">
        <is>
          <t>Opening Day</t>
        </is>
      </c>
      <c r="K3274" s="11">
        <f>IFERROR(INDEX(Roles!$B$17:$B$20,MATCH(J3274,Roles!$A$17:$A$20,0)),1)</f>
        <v/>
      </c>
      <c r="L3274" s="19" t="n">
        <v>1</v>
      </c>
      <c r="M3274" s="11" t="n">
        <v>1</v>
      </c>
      <c r="N3274" s="19" t="n"/>
      <c r="O3274" s="19" t="n"/>
      <c r="P3274" s="19" t="n"/>
      <c r="Q3274" s="19" t="n"/>
      <c r="R3274" s="19" t="n"/>
      <c r="S3274" s="19" t="n"/>
      <c r="T3274" s="19" t="n"/>
      <c r="U3274" s="19" t="n"/>
      <c r="V3274" s="19" t="n"/>
      <c r="W3274" s="19" t="n"/>
      <c r="X3274" s="19" t="n"/>
      <c r="Y3274" s="19" t="n">
        <v>1</v>
      </c>
      <c r="Z3274" s="13">
        <f>SUMPRODUCT(N3274:Y3274,$N$2:$Y$2)*$K3274*$L3274*$M3274</f>
        <v/>
      </c>
      <c r="AA3274" s="14">
        <f>SUM(N3274:Y3274)</f>
        <v/>
      </c>
      <c r="AB3274" s="13">
        <f>SUMPRODUCT(N3274:Y3274,$N$3:$Y$3)*$K3274*$L3274*$M3274</f>
        <v/>
      </c>
      <c r="AC3274" s="13">
        <f>SUMPRODUCT(N3274:Y3274,$N$4:$Y$4)*$K3274*$L3274*$M3274</f>
        <v/>
      </c>
      <c r="AD3274" s="15" t="n">
        <v>3</v>
      </c>
      <c r="AE3274" s="11" t="n">
        <v>1.011296296296296</v>
      </c>
      <c r="AF3274" s="16">
        <f>SUMPRODUCT(N3274:Y3274,$N$5:$Y$5)*$K3274*$L3274*$M3274</f>
        <v/>
      </c>
      <c r="AG3274" s="16">
        <f>SUMPRODUCT(N3274:Y3274,$N$6:$Y$6)*$K3274*$L3274*$M3274</f>
        <v/>
      </c>
      <c r="AH3274" s="20" t="n"/>
    </row>
    <row r="3275">
      <c r="A3275" s="9" t="n">
        <v>801737</v>
      </c>
      <c r="B3275" s="9" t="inlineStr">
        <is>
          <t>Liomar Martinez</t>
        </is>
      </c>
      <c r="C3275" s="9" t="inlineStr">
        <is>
          <t>MIA</t>
        </is>
      </c>
      <c r="D3275" s="9" t="n">
        <v>25</v>
      </c>
      <c r="E3275" s="18" t="inlineStr">
        <is>
          <t>R</t>
        </is>
      </c>
      <c r="F3275" s="18" t="n"/>
      <c r="G3275" s="9" t="n">
        <v>88.00666666666666</v>
      </c>
      <c r="H3275" s="9" t="n">
        <v>88.00666666666666</v>
      </c>
      <c r="I3275" s="9" t="inlineStr">
        <is>
          <t>Depth (no MLB IP)</t>
        </is>
      </c>
      <c r="J3275" s="18" t="inlineStr">
        <is>
          <t>Opening Day</t>
        </is>
      </c>
      <c r="K3275" s="11">
        <f>IFERROR(INDEX(Roles!$B$17:$B$20,MATCH(J3275,Roles!$A$17:$A$20,0)),1)</f>
        <v/>
      </c>
      <c r="L3275" s="19" t="n">
        <v>1</v>
      </c>
      <c r="M3275" s="11" t="n">
        <v>1</v>
      </c>
      <c r="N3275" s="19" t="n"/>
      <c r="O3275" s="19" t="n"/>
      <c r="P3275" s="19" t="n"/>
      <c r="Q3275" s="19" t="n"/>
      <c r="R3275" s="19" t="n"/>
      <c r="S3275" s="19" t="n"/>
      <c r="T3275" s="19" t="n"/>
      <c r="U3275" s="19" t="n"/>
      <c r="V3275" s="19" t="n"/>
      <c r="W3275" s="19" t="n"/>
      <c r="X3275" s="19" t="n"/>
      <c r="Y3275" s="19" t="n">
        <v>1</v>
      </c>
      <c r="Z3275" s="13">
        <f>SUMPRODUCT(N3275:Y3275,$N$2:$Y$2)*$K3275*$L3275*$M3275</f>
        <v/>
      </c>
      <c r="AA3275" s="14">
        <f>SUM(N3275:Y3275)</f>
        <v/>
      </c>
      <c r="AB3275" s="13">
        <f>SUMPRODUCT(N3275:Y3275,$N$3:$Y$3)*$K3275*$L3275*$M3275</f>
        <v/>
      </c>
      <c r="AC3275" s="13">
        <f>SUMPRODUCT(N3275:Y3275,$N$4:$Y$4)*$K3275*$L3275*$M3275</f>
        <v/>
      </c>
      <c r="AD3275" s="15" t="n">
        <v>3</v>
      </c>
      <c r="AE3275" s="11" t="n">
        <v>1.011296296296296</v>
      </c>
      <c r="AF3275" s="16">
        <f>SUMPRODUCT(N3275:Y3275,$N$5:$Y$5)*$K3275*$L3275*$M3275</f>
        <v/>
      </c>
      <c r="AG3275" s="16">
        <f>SUMPRODUCT(N3275:Y3275,$N$6:$Y$6)*$K3275*$L3275*$M3275</f>
        <v/>
      </c>
      <c r="AH3275" s="20" t="n"/>
    </row>
    <row r="3276">
      <c r="A3276" s="9" t="n">
        <v>607216</v>
      </c>
      <c r="B3276" s="9" t="inlineStr">
        <is>
          <t>Joey Krehbiel</t>
        </is>
      </c>
      <c r="C3276" s="9" t="inlineStr">
        <is>
          <t>BAL</t>
        </is>
      </c>
      <c r="D3276" s="9" t="n">
        <v>34</v>
      </c>
      <c r="E3276" s="18" t="inlineStr">
        <is>
          <t>R</t>
        </is>
      </c>
      <c r="F3276" s="18" t="n"/>
      <c r="G3276" s="9" t="n">
        <v>19</v>
      </c>
      <c r="H3276" s="9" t="n">
        <v>263</v>
      </c>
      <c r="I3276" s="9" t="inlineStr">
        <is>
          <t>Depth (no MLB IP)</t>
        </is>
      </c>
      <c r="J3276" s="18" t="inlineStr">
        <is>
          <t>Opening Day</t>
        </is>
      </c>
      <c r="K3276" s="11">
        <f>IFERROR(INDEX(Roles!$B$17:$B$20,MATCH(J3276,Roles!$A$17:$A$20,0)),1)</f>
        <v/>
      </c>
      <c r="L3276" s="19" t="n">
        <v>1</v>
      </c>
      <c r="M3276" s="11" t="n">
        <v>1</v>
      </c>
      <c r="N3276" s="19" t="n"/>
      <c r="O3276" s="19" t="n"/>
      <c r="P3276" s="19" t="n"/>
      <c r="Q3276" s="19" t="n"/>
      <c r="R3276" s="19" t="n"/>
      <c r="S3276" s="19" t="n"/>
      <c r="T3276" s="19" t="n"/>
      <c r="U3276" s="19" t="n"/>
      <c r="V3276" s="19" t="n"/>
      <c r="W3276" s="19" t="n"/>
      <c r="X3276" s="19" t="n"/>
      <c r="Y3276" s="19" t="n">
        <v>1</v>
      </c>
      <c r="Z3276" s="13">
        <f>SUMPRODUCT(N3276:Y3276,$N$2:$Y$2)*$K3276*$L3276*$M3276</f>
        <v/>
      </c>
      <c r="AA3276" s="14">
        <f>SUM(N3276:Y3276)</f>
        <v/>
      </c>
      <c r="AB3276" s="13">
        <f>SUMPRODUCT(N3276:Y3276,$N$3:$Y$3)*$K3276*$L3276*$M3276</f>
        <v/>
      </c>
      <c r="AC3276" s="13">
        <f>SUMPRODUCT(N3276:Y3276,$N$4:$Y$4)*$K3276*$L3276*$M3276</f>
        <v/>
      </c>
      <c r="AD3276" s="15" t="n">
        <v>3</v>
      </c>
      <c r="AE3276" s="11" t="n">
        <v>1.011296296296296</v>
      </c>
      <c r="AF3276" s="16">
        <f>SUMPRODUCT(N3276:Y3276,$N$5:$Y$5)*$K3276*$L3276*$M3276</f>
        <v/>
      </c>
      <c r="AG3276" s="16">
        <f>SUMPRODUCT(N3276:Y3276,$N$6:$Y$6)*$K3276*$L3276*$M3276</f>
        <v/>
      </c>
      <c r="AH3276" s="20" t="n"/>
    </row>
    <row r="3277">
      <c r="A3277" s="9" t="n">
        <v>675650</v>
      </c>
      <c r="B3277" s="9" t="inlineStr">
        <is>
          <t>Michael Mercado</t>
        </is>
      </c>
      <c r="C3277" s="9" t="inlineStr">
        <is>
          <t>PHI</t>
        </is>
      </c>
      <c r="D3277" s="9" t="n">
        <v>28</v>
      </c>
      <c r="E3277" s="18" t="inlineStr">
        <is>
          <t>R</t>
        </is>
      </c>
      <c r="F3277" s="18" t="n"/>
      <c r="G3277" s="9" t="n">
        <v>20</v>
      </c>
      <c r="H3277" s="9" t="n">
        <v>84</v>
      </c>
      <c r="I3277" s="9" t="inlineStr">
        <is>
          <t>Depth (no MLB IP)</t>
        </is>
      </c>
      <c r="J3277" s="18" t="inlineStr">
        <is>
          <t>Opening Day</t>
        </is>
      </c>
      <c r="K3277" s="11">
        <f>IFERROR(INDEX(Roles!$B$17:$B$20,MATCH(J3277,Roles!$A$17:$A$20,0)),1)</f>
        <v/>
      </c>
      <c r="L3277" s="19" t="n">
        <v>1</v>
      </c>
      <c r="M3277" s="11" t="n">
        <v>1</v>
      </c>
      <c r="N3277" s="19" t="n"/>
      <c r="O3277" s="19" t="n"/>
      <c r="P3277" s="19" t="n"/>
      <c r="Q3277" s="19" t="n"/>
      <c r="R3277" s="19" t="n"/>
      <c r="S3277" s="19" t="n"/>
      <c r="T3277" s="19" t="n"/>
      <c r="U3277" s="19" t="n"/>
      <c r="V3277" s="19" t="n"/>
      <c r="W3277" s="19" t="n"/>
      <c r="X3277" s="19" t="n"/>
      <c r="Y3277" s="19" t="n">
        <v>1</v>
      </c>
      <c r="Z3277" s="13">
        <f>SUMPRODUCT(N3277:Y3277,$N$2:$Y$2)*$K3277*$L3277*$M3277</f>
        <v/>
      </c>
      <c r="AA3277" s="14">
        <f>SUM(N3277:Y3277)</f>
        <v/>
      </c>
      <c r="AB3277" s="13">
        <f>SUMPRODUCT(N3277:Y3277,$N$3:$Y$3)*$K3277*$L3277*$M3277</f>
        <v/>
      </c>
      <c r="AC3277" s="13">
        <f>SUMPRODUCT(N3277:Y3277,$N$4:$Y$4)*$K3277*$L3277*$M3277</f>
        <v/>
      </c>
      <c r="AD3277" s="15" t="n">
        <v>3.4</v>
      </c>
      <c r="AE3277" s="11" t="n">
        <v>1.249955106621773</v>
      </c>
      <c r="AF3277" s="16">
        <f>SUMPRODUCT(N3277:Y3277,$N$5:$Y$5)*$K3277*$L3277*$M3277</f>
        <v/>
      </c>
      <c r="AG3277" s="16">
        <f>SUMPRODUCT(N3277:Y3277,$N$6:$Y$6)*$K3277*$L3277*$M3277</f>
        <v/>
      </c>
      <c r="AH3277" s="20" t="n"/>
    </row>
    <row r="3278">
      <c r="A3278" s="9" t="n">
        <v>703609</v>
      </c>
      <c r="B3278" s="9" t="inlineStr">
        <is>
          <t>Walter Ford</t>
        </is>
      </c>
      <c r="C3278" s="9" t="inlineStr">
        <is>
          <t>SEA</t>
        </is>
      </c>
      <c r="D3278" s="9" t="n">
        <v>25</v>
      </c>
      <c r="E3278" s="18" t="inlineStr">
        <is>
          <t>R</t>
        </is>
      </c>
      <c r="F3278" s="18" t="n"/>
      <c r="G3278" s="9" t="n">
        <v>88.00666666666666</v>
      </c>
      <c r="H3278" s="9" t="n">
        <v>88.00666666666666</v>
      </c>
      <c r="I3278" s="9" t="inlineStr">
        <is>
          <t>Depth (no MLB IP)</t>
        </is>
      </c>
      <c r="J3278" s="18" t="inlineStr">
        <is>
          <t>Opening Day</t>
        </is>
      </c>
      <c r="K3278" s="11">
        <f>IFERROR(INDEX(Roles!$B$17:$B$20,MATCH(J3278,Roles!$A$17:$A$20,0)),1)</f>
        <v/>
      </c>
      <c r="L3278" s="19" t="n">
        <v>1</v>
      </c>
      <c r="M3278" s="11" t="n">
        <v>1</v>
      </c>
      <c r="N3278" s="19" t="n"/>
      <c r="O3278" s="19" t="n"/>
      <c r="P3278" s="19" t="n"/>
      <c r="Q3278" s="19" t="n"/>
      <c r="R3278" s="19" t="n"/>
      <c r="S3278" s="19" t="n"/>
      <c r="T3278" s="19" t="n"/>
      <c r="U3278" s="19" t="n"/>
      <c r="V3278" s="19" t="n"/>
      <c r="W3278" s="19" t="n"/>
      <c r="X3278" s="19" t="n"/>
      <c r="Y3278" s="19" t="n">
        <v>1</v>
      </c>
      <c r="Z3278" s="13">
        <f>SUMPRODUCT(N3278:Y3278,$N$2:$Y$2)*$K3278*$L3278*$M3278</f>
        <v/>
      </c>
      <c r="AA3278" s="14">
        <f>SUM(N3278:Y3278)</f>
        <v/>
      </c>
      <c r="AB3278" s="13">
        <f>SUMPRODUCT(N3278:Y3278,$N$3:$Y$3)*$K3278*$L3278*$M3278</f>
        <v/>
      </c>
      <c r="AC3278" s="13">
        <f>SUMPRODUCT(N3278:Y3278,$N$4:$Y$4)*$K3278*$L3278*$M3278</f>
        <v/>
      </c>
      <c r="AD3278" s="15" t="n">
        <v>3</v>
      </c>
      <c r="AE3278" s="11" t="n">
        <v>1.011296296296296</v>
      </c>
      <c r="AF3278" s="16">
        <f>SUMPRODUCT(N3278:Y3278,$N$5:$Y$5)*$K3278*$L3278*$M3278</f>
        <v/>
      </c>
      <c r="AG3278" s="16">
        <f>SUMPRODUCT(N3278:Y3278,$N$6:$Y$6)*$K3278*$L3278*$M3278</f>
        <v/>
      </c>
      <c r="AH3278" s="20" t="n"/>
    </row>
    <row r="3279">
      <c r="A3279" s="9" t="n">
        <v>807716</v>
      </c>
      <c r="B3279" s="9" t="inlineStr">
        <is>
          <t>Ty Langenberg</t>
        </is>
      </c>
      <c r="C3279" s="9" t="inlineStr">
        <is>
          <t>MIN</t>
        </is>
      </c>
      <c r="D3279" s="9" t="n">
        <v>25</v>
      </c>
      <c r="E3279" s="18" t="inlineStr">
        <is>
          <t>R</t>
        </is>
      </c>
      <c r="F3279" s="18" t="n"/>
      <c r="G3279" s="9" t="n">
        <v>88.29333333333334</v>
      </c>
      <c r="H3279" s="9" t="n">
        <v>88.29333333333334</v>
      </c>
      <c r="I3279" s="9" t="inlineStr">
        <is>
          <t>Depth (no MLB IP)</t>
        </is>
      </c>
      <c r="J3279" s="18" t="inlineStr">
        <is>
          <t>Opening Day</t>
        </is>
      </c>
      <c r="K3279" s="11">
        <f>IFERROR(INDEX(Roles!$B$17:$B$20,MATCH(J3279,Roles!$A$17:$A$20,0)),1)</f>
        <v/>
      </c>
      <c r="L3279" s="19" t="n">
        <v>1</v>
      </c>
      <c r="M3279" s="11" t="n">
        <v>1</v>
      </c>
      <c r="N3279" s="19" t="n"/>
      <c r="O3279" s="19" t="n"/>
      <c r="P3279" s="19" t="n"/>
      <c r="Q3279" s="19" t="n"/>
      <c r="R3279" s="19" t="n"/>
      <c r="S3279" s="19" t="n"/>
      <c r="T3279" s="19" t="n"/>
      <c r="U3279" s="19" t="n"/>
      <c r="V3279" s="19" t="n"/>
      <c r="W3279" s="19" t="n"/>
      <c r="X3279" s="19" t="n"/>
      <c r="Y3279" s="19" t="n">
        <v>1</v>
      </c>
      <c r="Z3279" s="13">
        <f>SUMPRODUCT(N3279:Y3279,$N$2:$Y$2)*$K3279*$L3279*$M3279</f>
        <v/>
      </c>
      <c r="AA3279" s="14">
        <f>SUM(N3279:Y3279)</f>
        <v/>
      </c>
      <c r="AB3279" s="13">
        <f>SUMPRODUCT(N3279:Y3279,$N$3:$Y$3)*$K3279*$L3279*$M3279</f>
        <v/>
      </c>
      <c r="AC3279" s="13">
        <f>SUMPRODUCT(N3279:Y3279,$N$4:$Y$4)*$K3279*$L3279*$M3279</f>
        <v/>
      </c>
      <c r="AD3279" s="15" t="n">
        <v>3</v>
      </c>
      <c r="AE3279" s="11" t="n">
        <v>1.011296296296296</v>
      </c>
      <c r="AF3279" s="16">
        <f>SUMPRODUCT(N3279:Y3279,$N$5:$Y$5)*$K3279*$L3279*$M3279</f>
        <v/>
      </c>
      <c r="AG3279" s="16">
        <f>SUMPRODUCT(N3279:Y3279,$N$6:$Y$6)*$K3279*$L3279*$M3279</f>
        <v/>
      </c>
      <c r="AH3279" s="20" t="n"/>
    </row>
    <row r="3280">
      <c r="A3280" s="9" t="n">
        <v>687195</v>
      </c>
      <c r="B3280" s="9" t="inlineStr">
        <is>
          <t>Jake Garland</t>
        </is>
      </c>
      <c r="C3280" s="9" t="inlineStr">
        <is>
          <t>OAK</t>
        </is>
      </c>
      <c r="D3280" s="9" t="n">
        <v>25</v>
      </c>
      <c r="E3280" s="18" t="inlineStr">
        <is>
          <t>R</t>
        </is>
      </c>
      <c r="F3280" s="18" t="n"/>
      <c r="G3280" s="9" t="n">
        <v>88.29333333333334</v>
      </c>
      <c r="H3280" s="9" t="n">
        <v>88.29333333333334</v>
      </c>
      <c r="I3280" s="9" t="inlineStr">
        <is>
          <t>Depth (no MLB IP)</t>
        </is>
      </c>
      <c r="J3280" s="18" t="inlineStr">
        <is>
          <t>Opening Day</t>
        </is>
      </c>
      <c r="K3280" s="11">
        <f>IFERROR(INDEX(Roles!$B$17:$B$20,MATCH(J3280,Roles!$A$17:$A$20,0)),1)</f>
        <v/>
      </c>
      <c r="L3280" s="19" t="n">
        <v>1</v>
      </c>
      <c r="M3280" s="11" t="n">
        <v>1</v>
      </c>
      <c r="N3280" s="19" t="n"/>
      <c r="O3280" s="19" t="n"/>
      <c r="P3280" s="19" t="n"/>
      <c r="Q3280" s="19" t="n"/>
      <c r="R3280" s="19" t="n"/>
      <c r="S3280" s="19" t="n"/>
      <c r="T3280" s="19" t="n"/>
      <c r="U3280" s="19" t="n"/>
      <c r="V3280" s="19" t="n"/>
      <c r="W3280" s="19" t="n"/>
      <c r="X3280" s="19" t="n"/>
      <c r="Y3280" s="19" t="n">
        <v>1</v>
      </c>
      <c r="Z3280" s="13">
        <f>SUMPRODUCT(N3280:Y3280,$N$2:$Y$2)*$K3280*$L3280*$M3280</f>
        <v/>
      </c>
      <c r="AA3280" s="14">
        <f>SUM(N3280:Y3280)</f>
        <v/>
      </c>
      <c r="AB3280" s="13">
        <f>SUMPRODUCT(N3280:Y3280,$N$3:$Y$3)*$K3280*$L3280*$M3280</f>
        <v/>
      </c>
      <c r="AC3280" s="13">
        <f>SUMPRODUCT(N3280:Y3280,$N$4:$Y$4)*$K3280*$L3280*$M3280</f>
        <v/>
      </c>
      <c r="AD3280" s="15" t="n">
        <v>3</v>
      </c>
      <c r="AE3280" s="11" t="n">
        <v>1.011296296296296</v>
      </c>
      <c r="AF3280" s="16">
        <f>SUMPRODUCT(N3280:Y3280,$N$5:$Y$5)*$K3280*$L3280*$M3280</f>
        <v/>
      </c>
      <c r="AG3280" s="16">
        <f>SUMPRODUCT(N3280:Y3280,$N$6:$Y$6)*$K3280*$L3280*$M3280</f>
        <v/>
      </c>
      <c r="AH3280" s="20" t="n"/>
    </row>
    <row r="3281">
      <c r="A3281" s="9" t="n">
        <v>814507</v>
      </c>
      <c r="B3281" s="9" t="inlineStr">
        <is>
          <t>Sterling Patick</t>
        </is>
      </c>
      <c r="C3281" s="9" t="inlineStr">
        <is>
          <t>LAD</t>
        </is>
      </c>
      <c r="D3281" s="9" t="n">
        <v>25</v>
      </c>
      <c r="E3281" s="18" t="inlineStr">
        <is>
          <t>L</t>
        </is>
      </c>
      <c r="F3281" s="18" t="n"/>
      <c r="G3281" s="9" t="n">
        <v>88.29333333333335</v>
      </c>
      <c r="H3281" s="9" t="n">
        <v>88.29333333333335</v>
      </c>
      <c r="I3281" s="9" t="inlineStr">
        <is>
          <t>Depth (no MLB IP)</t>
        </is>
      </c>
      <c r="J3281" s="18" t="inlineStr">
        <is>
          <t>Opening Day</t>
        </is>
      </c>
      <c r="K3281" s="11">
        <f>IFERROR(INDEX(Roles!$B$17:$B$20,MATCH(J3281,Roles!$A$17:$A$20,0)),1)</f>
        <v/>
      </c>
      <c r="L3281" s="19" t="n">
        <v>1</v>
      </c>
      <c r="M3281" s="11" t="n">
        <v>1</v>
      </c>
      <c r="N3281" s="19" t="n"/>
      <c r="O3281" s="19" t="n"/>
      <c r="P3281" s="19" t="n"/>
      <c r="Q3281" s="19" t="n"/>
      <c r="R3281" s="19" t="n"/>
      <c r="S3281" s="19" t="n"/>
      <c r="T3281" s="19" t="n"/>
      <c r="U3281" s="19" t="n"/>
      <c r="V3281" s="19" t="n"/>
      <c r="W3281" s="19" t="n"/>
      <c r="X3281" s="19" t="n"/>
      <c r="Y3281" s="19" t="n">
        <v>1</v>
      </c>
      <c r="Z3281" s="13">
        <f>SUMPRODUCT(N3281:Y3281,$N$2:$Y$2)*$K3281*$L3281*$M3281</f>
        <v/>
      </c>
      <c r="AA3281" s="14">
        <f>SUM(N3281:Y3281)</f>
        <v/>
      </c>
      <c r="AB3281" s="13">
        <f>SUMPRODUCT(N3281:Y3281,$N$3:$Y$3)*$K3281*$L3281*$M3281</f>
        <v/>
      </c>
      <c r="AC3281" s="13">
        <f>SUMPRODUCT(N3281:Y3281,$N$4:$Y$4)*$K3281*$L3281*$M3281</f>
        <v/>
      </c>
      <c r="AD3281" s="15" t="n">
        <v>3</v>
      </c>
      <c r="AE3281" s="11" t="n">
        <v>1.011296296296296</v>
      </c>
      <c r="AF3281" s="16">
        <f>SUMPRODUCT(N3281:Y3281,$N$5:$Y$5)*$K3281*$L3281*$M3281</f>
        <v/>
      </c>
      <c r="AG3281" s="16">
        <f>SUMPRODUCT(N3281:Y3281,$N$6:$Y$6)*$K3281*$L3281*$M3281</f>
        <v/>
      </c>
      <c r="AH3281" s="20" t="n"/>
    </row>
    <row r="3282">
      <c r="A3282" s="9" t="n">
        <v>800212</v>
      </c>
      <c r="B3282" s="9" t="inlineStr">
        <is>
          <t>Francis Peña</t>
        </is>
      </c>
      <c r="C3282" s="9" t="inlineStr">
        <is>
          <t>SD</t>
        </is>
      </c>
      <c r="D3282" s="9" t="n">
        <v>25</v>
      </c>
      <c r="E3282" s="18" t="inlineStr">
        <is>
          <t>R</t>
        </is>
      </c>
      <c r="F3282" s="18" t="n"/>
      <c r="G3282" s="9" t="n">
        <v>88.79499999999999</v>
      </c>
      <c r="H3282" s="9" t="n">
        <v>88.79499999999999</v>
      </c>
      <c r="I3282" s="9" t="inlineStr">
        <is>
          <t>Depth (no MLB IP)</t>
        </is>
      </c>
      <c r="J3282" s="18" t="inlineStr">
        <is>
          <t>Opening Day</t>
        </is>
      </c>
      <c r="K3282" s="11">
        <f>IFERROR(INDEX(Roles!$B$17:$B$20,MATCH(J3282,Roles!$A$17:$A$20,0)),1)</f>
        <v/>
      </c>
      <c r="L3282" s="19" t="n">
        <v>1</v>
      </c>
      <c r="M3282" s="11" t="n">
        <v>1</v>
      </c>
      <c r="N3282" s="19" t="n"/>
      <c r="O3282" s="19" t="n"/>
      <c r="P3282" s="19" t="n"/>
      <c r="Q3282" s="19" t="n"/>
      <c r="R3282" s="19" t="n"/>
      <c r="S3282" s="19" t="n"/>
      <c r="T3282" s="19" t="n"/>
      <c r="U3282" s="19" t="n"/>
      <c r="V3282" s="19" t="n"/>
      <c r="W3282" s="19" t="n"/>
      <c r="X3282" s="19" t="n"/>
      <c r="Y3282" s="19" t="n">
        <v>1</v>
      </c>
      <c r="Z3282" s="13">
        <f>SUMPRODUCT(N3282:Y3282,$N$2:$Y$2)*$K3282*$L3282*$M3282</f>
        <v/>
      </c>
      <c r="AA3282" s="14">
        <f>SUM(N3282:Y3282)</f>
        <v/>
      </c>
      <c r="AB3282" s="13">
        <f>SUMPRODUCT(N3282:Y3282,$N$3:$Y$3)*$K3282*$L3282*$M3282</f>
        <v/>
      </c>
      <c r="AC3282" s="13">
        <f>SUMPRODUCT(N3282:Y3282,$N$4:$Y$4)*$K3282*$L3282*$M3282</f>
        <v/>
      </c>
      <c r="AD3282" s="15" t="n">
        <v>3</v>
      </c>
      <c r="AE3282" s="11" t="n">
        <v>1.011296296296296</v>
      </c>
      <c r="AF3282" s="16">
        <f>SUMPRODUCT(N3282:Y3282,$N$5:$Y$5)*$K3282*$L3282*$M3282</f>
        <v/>
      </c>
      <c r="AG3282" s="16">
        <f>SUMPRODUCT(N3282:Y3282,$N$6:$Y$6)*$K3282*$L3282*$M3282</f>
        <v/>
      </c>
      <c r="AH3282" s="20" t="n"/>
    </row>
    <row r="3283">
      <c r="A3283" s="9" t="n">
        <v>680723</v>
      </c>
      <c r="B3283" s="9" t="inlineStr">
        <is>
          <t>Drew Rom</t>
        </is>
      </c>
      <c r="C3283" s="9" t="inlineStr">
        <is>
          <t>OAK</t>
        </is>
      </c>
      <c r="D3283" s="9" t="n">
        <v>27</v>
      </c>
      <c r="E3283" s="18" t="inlineStr">
        <is>
          <t>L</t>
        </is>
      </c>
      <c r="F3283" s="18" t="n"/>
      <c r="G3283" s="9" t="n">
        <v>83</v>
      </c>
      <c r="H3283" s="9" t="n">
        <v>253</v>
      </c>
      <c r="I3283" s="9" t="inlineStr">
        <is>
          <t>Swing Arm / Long Relief</t>
        </is>
      </c>
      <c r="J3283" s="18" t="inlineStr">
        <is>
          <t>Opening Day</t>
        </is>
      </c>
      <c r="K3283" s="11">
        <f>IFERROR(INDEX(Roles!$B$17:$B$20,MATCH(J3283,Roles!$A$17:$A$20,0)),1)</f>
        <v/>
      </c>
      <c r="L3283" s="19" t="n">
        <v>1</v>
      </c>
      <c r="M3283" s="11" t="n">
        <v>1</v>
      </c>
      <c r="N3283" s="19" t="n"/>
      <c r="O3283" s="19" t="n"/>
      <c r="P3283" s="19" t="n"/>
      <c r="Q3283" s="19" t="n"/>
      <c r="R3283" s="19" t="n">
        <v>0.6</v>
      </c>
      <c r="S3283" s="19" t="n"/>
      <c r="T3283" s="19" t="n"/>
      <c r="U3283" s="19" t="n"/>
      <c r="V3283" s="19" t="n"/>
      <c r="W3283" s="19" t="n">
        <v>0.4</v>
      </c>
      <c r="X3283" s="19" t="n"/>
      <c r="Y3283" s="19" t="n"/>
      <c r="Z3283" s="13">
        <f>SUMPRODUCT(N3283:Y3283,$N$2:$Y$2)*$K3283*$L3283*$M3283</f>
        <v/>
      </c>
      <c r="AA3283" s="14">
        <f>SUM(N3283:Y3283)</f>
        <v/>
      </c>
      <c r="AB3283" s="13">
        <f>SUMPRODUCT(N3283:Y3283,$N$3:$Y$3)*$K3283*$L3283*$M3283</f>
        <v/>
      </c>
      <c r="AC3283" s="13">
        <f>SUMPRODUCT(N3283:Y3283,$N$4:$Y$4)*$K3283*$L3283*$M3283</f>
        <v/>
      </c>
      <c r="AD3283" s="15" t="n">
        <v>18.93333333333333</v>
      </c>
      <c r="AE3283" s="11" t="n">
        <v>1.9956486541186</v>
      </c>
      <c r="AF3283" s="16">
        <f>SUMPRODUCT(N3283:Y3283,$N$5:$Y$5)*$K3283*$L3283*$M3283</f>
        <v/>
      </c>
      <c r="AG3283" s="16">
        <f>SUMPRODUCT(N3283:Y3283,$N$6:$Y$6)*$K3283*$L3283*$M3283</f>
        <v/>
      </c>
      <c r="AH3283" s="20" t="n"/>
    </row>
    <row r="3284">
      <c r="A3284" s="9" t="n">
        <v>605488</v>
      </c>
      <c r="B3284" s="9" t="inlineStr">
        <is>
          <t>Jeffrey Springs</t>
        </is>
      </c>
      <c r="C3284" s="9" t="inlineStr">
        <is>
          <t>OAK</t>
        </is>
      </c>
      <c r="D3284" s="9" t="n">
        <v>34</v>
      </c>
      <c r="E3284" s="18" t="inlineStr">
        <is>
          <t>L</t>
        </is>
      </c>
      <c r="F3284" s="18" t="n"/>
      <c r="G3284" s="9" t="n">
        <v>630</v>
      </c>
      <c r="H3284" s="9" t="n">
        <v>2089</v>
      </c>
      <c r="I3284" s="9" t="inlineStr">
        <is>
          <t>Mid-Rotation Starter (SP2-3)</t>
        </is>
      </c>
      <c r="J3284" s="18" t="inlineStr">
        <is>
          <t>Opening Day</t>
        </is>
      </c>
      <c r="K3284" s="11">
        <f>IFERROR(INDEX(Roles!$B$17:$B$20,MATCH(J3284,Roles!$A$17:$A$20,0)),1)</f>
        <v/>
      </c>
      <c r="L3284" s="19" t="n">
        <v>1</v>
      </c>
      <c r="M3284" s="11" t="n">
        <v>1</v>
      </c>
      <c r="N3284" s="19" t="n"/>
      <c r="O3284" s="19" t="n">
        <v>0.5</v>
      </c>
      <c r="P3284" s="19" t="n">
        <v>0.5</v>
      </c>
      <c r="Q3284" s="19" t="n"/>
      <c r="R3284" s="19" t="n"/>
      <c r="S3284" s="19" t="n"/>
      <c r="T3284" s="19" t="n"/>
      <c r="U3284" s="19" t="n"/>
      <c r="V3284" s="19" t="n"/>
      <c r="W3284" s="19" t="n"/>
      <c r="X3284" s="19" t="n"/>
      <c r="Y3284" s="19" t="n"/>
      <c r="Z3284" s="13">
        <f>SUMPRODUCT(N3284:Y3284,$N$2:$Y$2)*$K3284*$L3284*$M3284</f>
        <v/>
      </c>
      <c r="AA3284" s="14">
        <f>SUM(N3284:Y3284)</f>
        <v/>
      </c>
      <c r="AB3284" s="13">
        <f>SUMPRODUCT(N3284:Y3284,$N$3:$Y$3)*$K3284*$L3284*$M3284</f>
        <v/>
      </c>
      <c r="AC3284" s="13">
        <f>SUMPRODUCT(N3284:Y3284,$N$4:$Y$4)*$K3284*$L3284*$M3284</f>
        <v/>
      </c>
      <c r="AD3284" s="15" t="n">
        <v>26.2</v>
      </c>
      <c r="AE3284" s="11" t="n">
        <v>5.163626877183432</v>
      </c>
      <c r="AF3284" s="16">
        <f>SUMPRODUCT(N3284:Y3284,$N$5:$Y$5)*$K3284*$L3284*$M3284</f>
        <v/>
      </c>
      <c r="AG3284" s="16">
        <f>SUMPRODUCT(N3284:Y3284,$N$6:$Y$6)*$K3284*$L3284*$M3284</f>
        <v/>
      </c>
      <c r="AH3284" s="20" t="n"/>
    </row>
    <row r="3285">
      <c r="A3285" s="9" t="n">
        <v>694545</v>
      </c>
      <c r="B3285" s="9" t="inlineStr">
        <is>
          <t>Jackson Nezuh</t>
        </is>
      </c>
      <c r="C3285" s="9" t="inlineStr">
        <is>
          <t>HOU</t>
        </is>
      </c>
      <c r="D3285" s="9" t="n">
        <v>25</v>
      </c>
      <c r="E3285" s="18" t="inlineStr">
        <is>
          <t>R</t>
        </is>
      </c>
      <c r="F3285" s="18" t="n"/>
      <c r="G3285" s="9" t="n">
        <v>89.08166666666666</v>
      </c>
      <c r="H3285" s="9" t="n">
        <v>89.08166666666666</v>
      </c>
      <c r="I3285" s="9" t="inlineStr">
        <is>
          <t>Depth (no MLB IP)</t>
        </is>
      </c>
      <c r="J3285" s="18" t="inlineStr">
        <is>
          <t>Opening Day</t>
        </is>
      </c>
      <c r="K3285" s="11">
        <f>IFERROR(INDEX(Roles!$B$17:$B$20,MATCH(J3285,Roles!$A$17:$A$20,0)),1)</f>
        <v/>
      </c>
      <c r="L3285" s="19" t="n">
        <v>1</v>
      </c>
      <c r="M3285" s="11" t="n">
        <v>1</v>
      </c>
      <c r="N3285" s="19" t="n"/>
      <c r="O3285" s="19" t="n"/>
      <c r="P3285" s="19" t="n"/>
      <c r="Q3285" s="19" t="n"/>
      <c r="R3285" s="19" t="n"/>
      <c r="S3285" s="19" t="n"/>
      <c r="T3285" s="19" t="n"/>
      <c r="U3285" s="19" t="n"/>
      <c r="V3285" s="19" t="n"/>
      <c r="W3285" s="19" t="n"/>
      <c r="X3285" s="19" t="n"/>
      <c r="Y3285" s="19" t="n">
        <v>1</v>
      </c>
      <c r="Z3285" s="13">
        <f>SUMPRODUCT(N3285:Y3285,$N$2:$Y$2)*$K3285*$L3285*$M3285</f>
        <v/>
      </c>
      <c r="AA3285" s="14">
        <f>SUM(N3285:Y3285)</f>
        <v/>
      </c>
      <c r="AB3285" s="13">
        <f>SUMPRODUCT(N3285:Y3285,$N$3:$Y$3)*$K3285*$L3285*$M3285</f>
        <v/>
      </c>
      <c r="AC3285" s="13">
        <f>SUMPRODUCT(N3285:Y3285,$N$4:$Y$4)*$K3285*$L3285*$M3285</f>
        <v/>
      </c>
      <c r="AD3285" s="15" t="n">
        <v>3</v>
      </c>
      <c r="AE3285" s="11" t="n">
        <v>1.011296296296296</v>
      </c>
      <c r="AF3285" s="16">
        <f>SUMPRODUCT(N3285:Y3285,$N$5:$Y$5)*$K3285*$L3285*$M3285</f>
        <v/>
      </c>
      <c r="AG3285" s="16">
        <f>SUMPRODUCT(N3285:Y3285,$N$6:$Y$6)*$K3285*$L3285*$M3285</f>
        <v/>
      </c>
      <c r="AH3285" s="20" t="n"/>
    </row>
    <row r="3286">
      <c r="A3286" s="9" t="n">
        <v>650489</v>
      </c>
      <c r="B3286" s="9" t="inlineStr">
        <is>
          <t>Willi Castro</t>
        </is>
      </c>
      <c r="C3286" s="9" t="inlineStr">
        <is>
          <t>MIN</t>
        </is>
      </c>
      <c r="D3286" s="9" t="n">
        <v>30</v>
      </c>
      <c r="E3286" s="18" t="inlineStr">
        <is>
          <t>R</t>
        </is>
      </c>
      <c r="F3286" s="18" t="n"/>
      <c r="G3286" s="9" t="n">
        <v>4</v>
      </c>
      <c r="H3286" s="9" t="n">
        <v>19</v>
      </c>
      <c r="I3286" s="9" t="inlineStr">
        <is>
          <t>Depth (no MLB IP)</t>
        </is>
      </c>
      <c r="J3286" s="18" t="inlineStr">
        <is>
          <t>Opening Day</t>
        </is>
      </c>
      <c r="K3286" s="11">
        <f>IFERROR(INDEX(Roles!$B$17:$B$20,MATCH(J3286,Roles!$A$17:$A$20,0)),1)</f>
        <v/>
      </c>
      <c r="L3286" s="19" t="n">
        <v>1</v>
      </c>
      <c r="M3286" s="11" t="n">
        <v>1</v>
      </c>
      <c r="N3286" s="19" t="n"/>
      <c r="O3286" s="19" t="n"/>
      <c r="P3286" s="19" t="n"/>
      <c r="Q3286" s="19" t="n"/>
      <c r="R3286" s="19" t="n"/>
      <c r="S3286" s="19" t="n"/>
      <c r="T3286" s="19" t="n"/>
      <c r="U3286" s="19" t="n"/>
      <c r="V3286" s="19" t="n"/>
      <c r="W3286" s="19" t="n"/>
      <c r="X3286" s="19" t="n"/>
      <c r="Y3286" s="19" t="n">
        <v>1</v>
      </c>
      <c r="Z3286" s="13">
        <f>SUMPRODUCT(N3286:Y3286,$N$2:$Y$2)*$K3286*$L3286*$M3286</f>
        <v/>
      </c>
      <c r="AA3286" s="14">
        <f>SUM(N3286:Y3286)</f>
        <v/>
      </c>
      <c r="AB3286" s="13">
        <f>SUMPRODUCT(N3286:Y3286,$N$3:$Y$3)*$K3286*$L3286*$M3286</f>
        <v/>
      </c>
      <c r="AC3286" s="13">
        <f>SUMPRODUCT(N3286:Y3286,$N$4:$Y$4)*$K3286*$L3286*$M3286</f>
        <v/>
      </c>
      <c r="AD3286" s="15" t="n">
        <v>2</v>
      </c>
      <c r="AE3286" s="11" t="n">
        <v>0.9519753086419752</v>
      </c>
      <c r="AF3286" s="16">
        <f>SUMPRODUCT(N3286:Y3286,$N$5:$Y$5)*$K3286*$L3286*$M3286</f>
        <v/>
      </c>
      <c r="AG3286" s="16">
        <f>SUMPRODUCT(N3286:Y3286,$N$6:$Y$6)*$K3286*$L3286*$M3286</f>
        <v/>
      </c>
      <c r="AH3286" s="20" t="n"/>
    </row>
    <row r="3287">
      <c r="A3287" s="9" t="n">
        <v>702878</v>
      </c>
      <c r="B3287" s="9" t="inlineStr">
        <is>
          <t>Douglas Orellana</t>
        </is>
      </c>
      <c r="C3287" s="9" t="inlineStr">
        <is>
          <t>NYM</t>
        </is>
      </c>
      <c r="D3287" s="9" t="n">
        <v>25</v>
      </c>
      <c r="E3287" s="18" t="inlineStr">
        <is>
          <t>R</t>
        </is>
      </c>
      <c r="F3287" s="18" t="n"/>
      <c r="G3287" s="9" t="n">
        <v>89.29666666666665</v>
      </c>
      <c r="H3287" s="9" t="n">
        <v>89.29666666666665</v>
      </c>
      <c r="I3287" s="9" t="inlineStr">
        <is>
          <t>Depth (no MLB IP)</t>
        </is>
      </c>
      <c r="J3287" s="18" t="inlineStr">
        <is>
          <t>Opening Day</t>
        </is>
      </c>
      <c r="K3287" s="11">
        <f>IFERROR(INDEX(Roles!$B$17:$B$20,MATCH(J3287,Roles!$A$17:$A$20,0)),1)</f>
        <v/>
      </c>
      <c r="L3287" s="19" t="n">
        <v>1</v>
      </c>
      <c r="M3287" s="11" t="n">
        <v>1</v>
      </c>
      <c r="N3287" s="19" t="n"/>
      <c r="O3287" s="19" t="n"/>
      <c r="P3287" s="19" t="n"/>
      <c r="Q3287" s="19" t="n"/>
      <c r="R3287" s="19" t="n"/>
      <c r="S3287" s="19" t="n"/>
      <c r="T3287" s="19" t="n"/>
      <c r="U3287" s="19" t="n"/>
      <c r="V3287" s="19" t="n"/>
      <c r="W3287" s="19" t="n"/>
      <c r="X3287" s="19" t="n"/>
      <c r="Y3287" s="19" t="n">
        <v>1</v>
      </c>
      <c r="Z3287" s="13">
        <f>SUMPRODUCT(N3287:Y3287,$N$2:$Y$2)*$K3287*$L3287*$M3287</f>
        <v/>
      </c>
      <c r="AA3287" s="14">
        <f>SUM(N3287:Y3287)</f>
        <v/>
      </c>
      <c r="AB3287" s="13">
        <f>SUMPRODUCT(N3287:Y3287,$N$3:$Y$3)*$K3287*$L3287*$M3287</f>
        <v/>
      </c>
      <c r="AC3287" s="13">
        <f>SUMPRODUCT(N3287:Y3287,$N$4:$Y$4)*$K3287*$L3287*$M3287</f>
        <v/>
      </c>
      <c r="AD3287" s="15" t="n">
        <v>3</v>
      </c>
      <c r="AE3287" s="11" t="n">
        <v>1.011296296296296</v>
      </c>
      <c r="AF3287" s="16">
        <f>SUMPRODUCT(N3287:Y3287,$N$5:$Y$5)*$K3287*$L3287*$M3287</f>
        <v/>
      </c>
      <c r="AG3287" s="16">
        <f>SUMPRODUCT(N3287:Y3287,$N$6:$Y$6)*$K3287*$L3287*$M3287</f>
        <v/>
      </c>
      <c r="AH3287" s="20" t="n"/>
    </row>
    <row r="3288">
      <c r="A3288" s="9" t="n">
        <v>702566</v>
      </c>
      <c r="B3288" s="9" t="inlineStr">
        <is>
          <t>Owen Murphy</t>
        </is>
      </c>
      <c r="C3288" s="9" t="inlineStr">
        <is>
          <t>ATL</t>
        </is>
      </c>
      <c r="D3288" s="9" t="n">
        <v>23</v>
      </c>
      <c r="E3288" s="18" t="inlineStr">
        <is>
          <t>R</t>
        </is>
      </c>
      <c r="F3288" s="18" t="n"/>
      <c r="G3288" s="9" t="n">
        <v>56</v>
      </c>
      <c r="H3288" s="9" t="n">
        <v>56</v>
      </c>
      <c r="I3288" s="9" t="inlineStr">
        <is>
          <t>Swing Arm / Long Relief</t>
        </is>
      </c>
      <c r="J3288" s="18" t="inlineStr">
        <is>
          <t>Early Season (~May)</t>
        </is>
      </c>
      <c r="K3288" s="11">
        <f>IFERROR(INDEX(Roles!$B$17:$B$20,MATCH(J3288,Roles!$A$17:$A$20,0)),1)</f>
        <v/>
      </c>
      <c r="L3288" s="19" t="n">
        <v>1</v>
      </c>
      <c r="M3288" s="11" t="n">
        <v>1</v>
      </c>
      <c r="N3288" s="19" t="n"/>
      <c r="O3288" s="19" t="n"/>
      <c r="P3288" s="19" t="n"/>
      <c r="Q3288" s="19" t="n"/>
      <c r="R3288" s="19" t="n">
        <v>0.6</v>
      </c>
      <c r="S3288" s="19" t="n"/>
      <c r="T3288" s="19" t="n"/>
      <c r="U3288" s="19" t="n"/>
      <c r="V3288" s="19" t="n"/>
      <c r="W3288" s="19" t="n">
        <v>0.4</v>
      </c>
      <c r="X3288" s="19" t="n"/>
      <c r="Y3288" s="19" t="n"/>
      <c r="Z3288" s="13">
        <f>SUMPRODUCT(N3288:Y3288,$N$2:$Y$2)*$K3288*$L3288*$M3288</f>
        <v/>
      </c>
      <c r="AA3288" s="14">
        <f>SUM(N3288:Y3288)</f>
        <v/>
      </c>
      <c r="AB3288" s="13">
        <f>SUMPRODUCT(N3288:Y3288,$N$3:$Y$3)*$K3288*$L3288*$M3288</f>
        <v/>
      </c>
      <c r="AC3288" s="13">
        <f>SUMPRODUCT(N3288:Y3288,$N$4:$Y$4)*$K3288*$L3288*$M3288</f>
        <v/>
      </c>
      <c r="AD3288" s="15" t="n">
        <v>11.13333333333333</v>
      </c>
      <c r="AE3288" s="11" t="n">
        <v>2.468488160291439</v>
      </c>
      <c r="AF3288" s="16">
        <f>SUMPRODUCT(N3288:Y3288,$N$5:$Y$5)*$K3288*$L3288*$M3288</f>
        <v/>
      </c>
      <c r="AG3288" s="16">
        <f>SUMPRODUCT(N3288:Y3288,$N$6:$Y$6)*$K3288*$L3288*$M3288</f>
        <v/>
      </c>
      <c r="AH3288" s="20" t="n"/>
    </row>
    <row r="3289">
      <c r="A3289" s="9" t="n">
        <v>676614</v>
      </c>
      <c r="B3289" s="9" t="inlineStr">
        <is>
          <t>Bryan Sammons</t>
        </is>
      </c>
      <c r="C3289" s="9" t="inlineStr">
        <is>
          <t>DET</t>
        </is>
      </c>
      <c r="D3289" s="9" t="n">
        <v>32</v>
      </c>
      <c r="E3289" s="18" t="inlineStr">
        <is>
          <t>L</t>
        </is>
      </c>
      <c r="F3289" s="18" t="n"/>
      <c r="G3289" s="9" t="n">
        <v>104</v>
      </c>
      <c r="H3289" s="9" t="n">
        <v>104</v>
      </c>
      <c r="I3289" s="9" t="inlineStr">
        <is>
          <t>Depth (no MLB IP)</t>
        </is>
      </c>
      <c r="J3289" s="18" t="inlineStr">
        <is>
          <t>Opening Day</t>
        </is>
      </c>
      <c r="K3289" s="11">
        <f>IFERROR(INDEX(Roles!$B$17:$B$20,MATCH(J3289,Roles!$A$17:$A$20,0)),1)</f>
        <v/>
      </c>
      <c r="L3289" s="19" t="n">
        <v>1</v>
      </c>
      <c r="M3289" s="11" t="n">
        <v>1</v>
      </c>
      <c r="N3289" s="19" t="n"/>
      <c r="O3289" s="19" t="n"/>
      <c r="P3289" s="19" t="n"/>
      <c r="Q3289" s="19" t="n"/>
      <c r="R3289" s="19" t="n"/>
      <c r="S3289" s="19" t="n"/>
      <c r="T3289" s="19" t="n"/>
      <c r="U3289" s="19" t="n"/>
      <c r="V3289" s="19" t="n"/>
      <c r="W3289" s="19" t="n"/>
      <c r="X3289" s="19" t="n"/>
      <c r="Y3289" s="19" t="n">
        <v>1</v>
      </c>
      <c r="Z3289" s="13">
        <f>SUMPRODUCT(N3289:Y3289,$N$2:$Y$2)*$K3289*$L3289*$M3289</f>
        <v/>
      </c>
      <c r="AA3289" s="14">
        <f>SUM(N3289:Y3289)</f>
        <v/>
      </c>
      <c r="AB3289" s="13">
        <f>SUMPRODUCT(N3289:Y3289,$N$3:$Y$3)*$K3289*$L3289*$M3289</f>
        <v/>
      </c>
      <c r="AC3289" s="13">
        <f>SUMPRODUCT(N3289:Y3289,$N$4:$Y$4)*$K3289*$L3289*$M3289</f>
        <v/>
      </c>
      <c r="AD3289" s="15" t="n">
        <v>4.8</v>
      </c>
      <c r="AE3289" s="11" t="n">
        <v>2.192716049382716</v>
      </c>
      <c r="AF3289" s="16">
        <f>SUMPRODUCT(N3289:Y3289,$N$5:$Y$5)*$K3289*$L3289*$M3289</f>
        <v/>
      </c>
      <c r="AG3289" s="16">
        <f>SUMPRODUCT(N3289:Y3289,$N$6:$Y$6)*$K3289*$L3289*$M3289</f>
        <v/>
      </c>
      <c r="AH3289" s="20" t="n"/>
    </row>
    <row r="3290">
      <c r="A3290" s="9" t="n">
        <v>622663</v>
      </c>
      <c r="B3290" s="9" t="inlineStr">
        <is>
          <t>Luis Severino</t>
        </is>
      </c>
      <c r="C3290" s="9" t="inlineStr">
        <is>
          <t>OAK</t>
        </is>
      </c>
      <c r="D3290" s="9" t="n">
        <v>33</v>
      </c>
      <c r="E3290" s="18" t="inlineStr">
        <is>
          <t>R</t>
        </is>
      </c>
      <c r="F3290" s="18" t="n"/>
      <c r="G3290" s="9" t="n">
        <v>271</v>
      </c>
      <c r="H3290" s="9" t="n">
        <v>2559</v>
      </c>
      <c r="I3290" s="9" t="inlineStr">
        <is>
          <t>Swing Arm / Long Relief</t>
        </is>
      </c>
      <c r="J3290" s="18" t="inlineStr">
        <is>
          <t>Opening Day</t>
        </is>
      </c>
      <c r="K3290" s="11">
        <f>IFERROR(INDEX(Roles!$B$17:$B$20,MATCH(J3290,Roles!$A$17:$A$20,0)),1)</f>
        <v/>
      </c>
      <c r="L3290" s="19" t="n">
        <v>1</v>
      </c>
      <c r="M3290" s="11" t="n">
        <v>1</v>
      </c>
      <c r="N3290" s="19" t="n"/>
      <c r="O3290" s="19" t="n"/>
      <c r="P3290" s="19" t="n"/>
      <c r="Q3290" s="19" t="n"/>
      <c r="R3290" s="19" t="n">
        <v>0.5</v>
      </c>
      <c r="S3290" s="19" t="n"/>
      <c r="T3290" s="19" t="n"/>
      <c r="U3290" s="19" t="n"/>
      <c r="V3290" s="19" t="n">
        <v>0.5</v>
      </c>
      <c r="W3290" s="19" t="n"/>
      <c r="X3290" s="19" t="n"/>
      <c r="Y3290" s="19" t="n"/>
      <c r="Z3290" s="13">
        <f>SUMPRODUCT(N3290:Y3290,$N$2:$Y$2)*$K3290*$L3290*$M3290</f>
        <v/>
      </c>
      <c r="AA3290" s="14">
        <f>SUM(N3290:Y3290)</f>
        <v/>
      </c>
      <c r="AB3290" s="13">
        <f>SUMPRODUCT(N3290:Y3290,$N$3:$Y$3)*$K3290*$L3290*$M3290</f>
        <v/>
      </c>
      <c r="AC3290" s="13">
        <f>SUMPRODUCT(N3290:Y3290,$N$4:$Y$4)*$K3290*$L3290*$M3290</f>
        <v/>
      </c>
      <c r="AD3290" s="15" t="n">
        <v>20.63333333333333</v>
      </c>
      <c r="AE3290" s="11" t="n">
        <v>3.522710382513661</v>
      </c>
      <c r="AF3290" s="16">
        <f>SUMPRODUCT(N3290:Y3290,$N$5:$Y$5)*$K3290*$L3290*$M3290</f>
        <v/>
      </c>
      <c r="AG3290" s="16">
        <f>SUMPRODUCT(N3290:Y3290,$N$6:$Y$6)*$K3290*$L3290*$M3290</f>
        <v/>
      </c>
      <c r="AH3290" s="20" t="n"/>
    </row>
    <row r="3291">
      <c r="A3291" s="9" t="n">
        <v>701474</v>
      </c>
      <c r="B3291" s="9" t="inlineStr">
        <is>
          <t>Duncan Davitt</t>
        </is>
      </c>
      <c r="C3291" s="9" t="inlineStr">
        <is>
          <t>SF</t>
        </is>
      </c>
      <c r="D3291" s="9" t="n">
        <v>27</v>
      </c>
      <c r="E3291" s="18" t="inlineStr">
        <is>
          <t>R</t>
        </is>
      </c>
      <c r="F3291" s="18" t="n"/>
      <c r="G3291" s="9" t="n">
        <v>37</v>
      </c>
      <c r="H3291" s="9" t="n">
        <v>37</v>
      </c>
      <c r="I3291" s="9" t="inlineStr">
        <is>
          <t>Bullpen Depth Arm</t>
        </is>
      </c>
      <c r="J3291" s="18" t="inlineStr">
        <is>
          <t>Opening Day</t>
        </is>
      </c>
      <c r="K3291" s="11">
        <f>IFERROR(INDEX(Roles!$B$17:$B$20,MATCH(J3291,Roles!$A$17:$A$20,0)),1)</f>
        <v/>
      </c>
      <c r="L3291" s="19" t="n">
        <v>1</v>
      </c>
      <c r="M3291" s="11" t="n">
        <v>1</v>
      </c>
      <c r="N3291" s="19" t="n"/>
      <c r="O3291" s="19" t="n"/>
      <c r="P3291" s="19" t="n"/>
      <c r="Q3291" s="19" t="n"/>
      <c r="R3291" s="19" t="n"/>
      <c r="S3291" s="19" t="n"/>
      <c r="T3291" s="19" t="n"/>
      <c r="U3291" s="19" t="n"/>
      <c r="V3291" s="19" t="n">
        <v>0.15</v>
      </c>
      <c r="W3291" s="19" t="n">
        <v>0.85</v>
      </c>
      <c r="X3291" s="19" t="n"/>
      <c r="Y3291" s="19" t="n"/>
      <c r="Z3291" s="13">
        <f>SUMPRODUCT(N3291:Y3291,$N$2:$Y$2)*$K3291*$L3291*$M3291</f>
        <v/>
      </c>
      <c r="AA3291" s="14">
        <f>SUM(N3291:Y3291)</f>
        <v/>
      </c>
      <c r="AB3291" s="13">
        <f>SUMPRODUCT(N3291:Y3291,$N$3:$Y$3)*$K3291*$L3291*$M3291</f>
        <v/>
      </c>
      <c r="AC3291" s="13">
        <f>SUMPRODUCT(N3291:Y3291,$N$4:$Y$4)*$K3291*$L3291*$M3291</f>
        <v/>
      </c>
      <c r="AD3291" s="15" t="n">
        <v>9.266666666666666</v>
      </c>
      <c r="AE3291" s="11" t="n">
        <v>1.245951579284912</v>
      </c>
      <c r="AF3291" s="16">
        <f>SUMPRODUCT(N3291:Y3291,$N$5:$Y$5)*$K3291*$L3291*$M3291</f>
        <v/>
      </c>
      <c r="AG3291" s="16">
        <f>SUMPRODUCT(N3291:Y3291,$N$6:$Y$6)*$K3291*$L3291*$M3291</f>
        <v/>
      </c>
      <c r="AH3291" s="20" t="n"/>
    </row>
    <row r="3292">
      <c r="A3292" s="9" t="n">
        <v>804663</v>
      </c>
      <c r="B3292" s="9" t="inlineStr">
        <is>
          <t>Tyler Cleveland</t>
        </is>
      </c>
      <c r="C3292" s="9" t="inlineStr">
        <is>
          <t>SEA</t>
        </is>
      </c>
      <c r="D3292" s="9" t="n">
        <v>25</v>
      </c>
      <c r="E3292" s="18" t="inlineStr">
        <is>
          <t>R</t>
        </is>
      </c>
      <c r="F3292" s="18" t="n"/>
      <c r="G3292" s="9" t="n">
        <v>89.79833333333333</v>
      </c>
      <c r="H3292" s="9" t="n">
        <v>89.79833333333333</v>
      </c>
      <c r="I3292" s="9" t="inlineStr">
        <is>
          <t>Depth (no MLB IP)</t>
        </is>
      </c>
      <c r="J3292" s="18" t="inlineStr">
        <is>
          <t>Opening Day</t>
        </is>
      </c>
      <c r="K3292" s="11">
        <f>IFERROR(INDEX(Roles!$B$17:$B$20,MATCH(J3292,Roles!$A$17:$A$20,0)),1)</f>
        <v/>
      </c>
      <c r="L3292" s="19" t="n">
        <v>1</v>
      </c>
      <c r="M3292" s="11" t="n">
        <v>1</v>
      </c>
      <c r="N3292" s="19" t="n"/>
      <c r="O3292" s="19" t="n"/>
      <c r="P3292" s="19" t="n"/>
      <c r="Q3292" s="19" t="n"/>
      <c r="R3292" s="19" t="n"/>
      <c r="S3292" s="19" t="n"/>
      <c r="T3292" s="19" t="n"/>
      <c r="U3292" s="19" t="n"/>
      <c r="V3292" s="19" t="n"/>
      <c r="W3292" s="19" t="n"/>
      <c r="X3292" s="19" t="n"/>
      <c r="Y3292" s="19" t="n">
        <v>1</v>
      </c>
      <c r="Z3292" s="13">
        <f>SUMPRODUCT(N3292:Y3292,$N$2:$Y$2)*$K3292*$L3292*$M3292</f>
        <v/>
      </c>
      <c r="AA3292" s="14">
        <f>SUM(N3292:Y3292)</f>
        <v/>
      </c>
      <c r="AB3292" s="13">
        <f>SUMPRODUCT(N3292:Y3292,$N$3:$Y$3)*$K3292*$L3292*$M3292</f>
        <v/>
      </c>
      <c r="AC3292" s="13">
        <f>SUMPRODUCT(N3292:Y3292,$N$4:$Y$4)*$K3292*$L3292*$M3292</f>
        <v/>
      </c>
      <c r="AD3292" s="15" t="n">
        <v>3</v>
      </c>
      <c r="AE3292" s="11" t="n">
        <v>1.011296296296296</v>
      </c>
      <c r="AF3292" s="16">
        <f>SUMPRODUCT(N3292:Y3292,$N$5:$Y$5)*$K3292*$L3292*$M3292</f>
        <v/>
      </c>
      <c r="AG3292" s="16">
        <f>SUMPRODUCT(N3292:Y3292,$N$6:$Y$6)*$K3292*$L3292*$M3292</f>
        <v/>
      </c>
      <c r="AH3292" s="20" t="n"/>
    </row>
    <row r="3293">
      <c r="A3293" s="9" t="n">
        <v>677614</v>
      </c>
      <c r="B3293" s="9" t="inlineStr">
        <is>
          <t>Sadrac Franco</t>
        </is>
      </c>
      <c r="C3293" s="9" t="inlineStr">
        <is>
          <t>SD</t>
        </is>
      </c>
      <c r="D3293" s="9" t="n">
        <v>25</v>
      </c>
      <c r="E3293" s="18" t="inlineStr">
        <is>
          <t>R</t>
        </is>
      </c>
      <c r="F3293" s="18" t="n"/>
      <c r="G3293" s="9" t="n">
        <v>89.79833333333333</v>
      </c>
      <c r="H3293" s="9" t="n">
        <v>89.79833333333333</v>
      </c>
      <c r="I3293" s="9" t="inlineStr">
        <is>
          <t>Depth (no MLB IP)</t>
        </is>
      </c>
      <c r="J3293" s="18" t="inlineStr">
        <is>
          <t>Opening Day</t>
        </is>
      </c>
      <c r="K3293" s="11">
        <f>IFERROR(INDEX(Roles!$B$17:$B$20,MATCH(J3293,Roles!$A$17:$A$20,0)),1)</f>
        <v/>
      </c>
      <c r="L3293" s="19" t="n">
        <v>1</v>
      </c>
      <c r="M3293" s="11" t="n">
        <v>1</v>
      </c>
      <c r="N3293" s="19" t="n"/>
      <c r="O3293" s="19" t="n"/>
      <c r="P3293" s="19" t="n"/>
      <c r="Q3293" s="19" t="n"/>
      <c r="R3293" s="19" t="n"/>
      <c r="S3293" s="19" t="n"/>
      <c r="T3293" s="19" t="n"/>
      <c r="U3293" s="19" t="n"/>
      <c r="V3293" s="19" t="n"/>
      <c r="W3293" s="19" t="n"/>
      <c r="X3293" s="19" t="n"/>
      <c r="Y3293" s="19" t="n">
        <v>1</v>
      </c>
      <c r="Z3293" s="13">
        <f>SUMPRODUCT(N3293:Y3293,$N$2:$Y$2)*$K3293*$L3293*$M3293</f>
        <v/>
      </c>
      <c r="AA3293" s="14">
        <f>SUM(N3293:Y3293)</f>
        <v/>
      </c>
      <c r="AB3293" s="13">
        <f>SUMPRODUCT(N3293:Y3293,$N$3:$Y$3)*$K3293*$L3293*$M3293</f>
        <v/>
      </c>
      <c r="AC3293" s="13">
        <f>SUMPRODUCT(N3293:Y3293,$N$4:$Y$4)*$K3293*$L3293*$M3293</f>
        <v/>
      </c>
      <c r="AD3293" s="15" t="n">
        <v>3</v>
      </c>
      <c r="AE3293" s="11" t="n">
        <v>1.011296296296296</v>
      </c>
      <c r="AF3293" s="16">
        <f>SUMPRODUCT(N3293:Y3293,$N$5:$Y$5)*$K3293*$L3293*$M3293</f>
        <v/>
      </c>
      <c r="AG3293" s="16">
        <f>SUMPRODUCT(N3293:Y3293,$N$6:$Y$6)*$K3293*$L3293*$M3293</f>
        <v/>
      </c>
      <c r="AH3293" s="20" t="n"/>
    </row>
    <row r="3294">
      <c r="A3294" s="9" t="n">
        <v>671600</v>
      </c>
      <c r="B3294" s="9" t="inlineStr">
        <is>
          <t>Jaycob Deese</t>
        </is>
      </c>
      <c r="C3294" s="9" t="inlineStr">
        <is>
          <t>PIT</t>
        </is>
      </c>
      <c r="D3294" s="9" t="n">
        <v>25</v>
      </c>
      <c r="E3294" s="18" t="inlineStr">
        <is>
          <t>R</t>
        </is>
      </c>
      <c r="F3294" s="18" t="n"/>
      <c r="G3294" s="9" t="n">
        <v>89.79833333333333</v>
      </c>
      <c r="H3294" s="9" t="n">
        <v>89.79833333333333</v>
      </c>
      <c r="I3294" s="9" t="inlineStr">
        <is>
          <t>Depth (no MLB IP)</t>
        </is>
      </c>
      <c r="J3294" s="18" t="inlineStr">
        <is>
          <t>Opening Day</t>
        </is>
      </c>
      <c r="K3294" s="11">
        <f>IFERROR(INDEX(Roles!$B$17:$B$20,MATCH(J3294,Roles!$A$17:$A$20,0)),1)</f>
        <v/>
      </c>
      <c r="L3294" s="19" t="n">
        <v>1</v>
      </c>
      <c r="M3294" s="11" t="n">
        <v>1</v>
      </c>
      <c r="N3294" s="19" t="n"/>
      <c r="O3294" s="19" t="n"/>
      <c r="P3294" s="19" t="n"/>
      <c r="Q3294" s="19" t="n"/>
      <c r="R3294" s="19" t="n"/>
      <c r="S3294" s="19" t="n"/>
      <c r="T3294" s="19" t="n"/>
      <c r="U3294" s="19" t="n"/>
      <c r="V3294" s="19" t="n"/>
      <c r="W3294" s="19" t="n"/>
      <c r="X3294" s="19" t="n"/>
      <c r="Y3294" s="19" t="n">
        <v>1</v>
      </c>
      <c r="Z3294" s="13">
        <f>SUMPRODUCT(N3294:Y3294,$N$2:$Y$2)*$K3294*$L3294*$M3294</f>
        <v/>
      </c>
      <c r="AA3294" s="14">
        <f>SUM(N3294:Y3294)</f>
        <v/>
      </c>
      <c r="AB3294" s="13">
        <f>SUMPRODUCT(N3294:Y3294,$N$3:$Y$3)*$K3294*$L3294*$M3294</f>
        <v/>
      </c>
      <c r="AC3294" s="13">
        <f>SUMPRODUCT(N3294:Y3294,$N$4:$Y$4)*$K3294*$L3294*$M3294</f>
        <v/>
      </c>
      <c r="AD3294" s="15" t="n">
        <v>3</v>
      </c>
      <c r="AE3294" s="11" t="n">
        <v>1.011296296296296</v>
      </c>
      <c r="AF3294" s="16">
        <f>SUMPRODUCT(N3294:Y3294,$N$5:$Y$5)*$K3294*$L3294*$M3294</f>
        <v/>
      </c>
      <c r="AG3294" s="16">
        <f>SUMPRODUCT(N3294:Y3294,$N$6:$Y$6)*$K3294*$L3294*$M3294</f>
        <v/>
      </c>
      <c r="AH3294" s="20" t="n"/>
    </row>
    <row r="3295">
      <c r="A3295" s="9" t="n">
        <v>814480</v>
      </c>
      <c r="B3295" s="9" t="inlineStr">
        <is>
          <t>Harry Gustin</t>
        </is>
      </c>
      <c r="C3295" s="9" t="inlineStr">
        <is>
          <t>SD</t>
        </is>
      </c>
      <c r="D3295" s="9" t="n">
        <v>25</v>
      </c>
      <c r="E3295" s="18" t="inlineStr">
        <is>
          <t>L</t>
        </is>
      </c>
      <c r="F3295" s="18" t="n"/>
      <c r="G3295" s="9" t="n">
        <v>89.79833333333333</v>
      </c>
      <c r="H3295" s="9" t="n">
        <v>89.79833333333333</v>
      </c>
      <c r="I3295" s="9" t="inlineStr">
        <is>
          <t>Depth (no MLB IP)</t>
        </is>
      </c>
      <c r="J3295" s="18" t="inlineStr">
        <is>
          <t>Opening Day</t>
        </is>
      </c>
      <c r="K3295" s="11">
        <f>IFERROR(INDEX(Roles!$B$17:$B$20,MATCH(J3295,Roles!$A$17:$A$20,0)),1)</f>
        <v/>
      </c>
      <c r="L3295" s="19" t="n">
        <v>1</v>
      </c>
      <c r="M3295" s="11" t="n">
        <v>1</v>
      </c>
      <c r="N3295" s="19" t="n"/>
      <c r="O3295" s="19" t="n"/>
      <c r="P3295" s="19" t="n"/>
      <c r="Q3295" s="19" t="n"/>
      <c r="R3295" s="19" t="n"/>
      <c r="S3295" s="19" t="n"/>
      <c r="T3295" s="19" t="n"/>
      <c r="U3295" s="19" t="n"/>
      <c r="V3295" s="19" t="n"/>
      <c r="W3295" s="19" t="n"/>
      <c r="X3295" s="19" t="n"/>
      <c r="Y3295" s="19" t="n">
        <v>1</v>
      </c>
      <c r="Z3295" s="13">
        <f>SUMPRODUCT(N3295:Y3295,$N$2:$Y$2)*$K3295*$L3295*$M3295</f>
        <v/>
      </c>
      <c r="AA3295" s="14">
        <f>SUM(N3295:Y3295)</f>
        <v/>
      </c>
      <c r="AB3295" s="13">
        <f>SUMPRODUCT(N3295:Y3295,$N$3:$Y$3)*$K3295*$L3295*$M3295</f>
        <v/>
      </c>
      <c r="AC3295" s="13">
        <f>SUMPRODUCT(N3295:Y3295,$N$4:$Y$4)*$K3295*$L3295*$M3295</f>
        <v/>
      </c>
      <c r="AD3295" s="15" t="n">
        <v>3</v>
      </c>
      <c r="AE3295" s="11" t="n">
        <v>1.011296296296296</v>
      </c>
      <c r="AF3295" s="16">
        <f>SUMPRODUCT(N3295:Y3295,$N$5:$Y$5)*$K3295*$L3295*$M3295</f>
        <v/>
      </c>
      <c r="AG3295" s="16">
        <f>SUMPRODUCT(N3295:Y3295,$N$6:$Y$6)*$K3295*$L3295*$M3295</f>
        <v/>
      </c>
      <c r="AH3295" s="20" t="n"/>
    </row>
    <row r="3296">
      <c r="A3296" s="9" t="n">
        <v>672552</v>
      </c>
      <c r="B3296" s="9" t="inlineStr">
        <is>
          <t>Jack O'Loughlin</t>
        </is>
      </c>
      <c r="C3296" s="9" t="inlineStr">
        <is>
          <t>OAK</t>
        </is>
      </c>
      <c r="D3296" s="9" t="n">
        <v>27</v>
      </c>
      <c r="E3296" s="18" t="inlineStr">
        <is>
          <t>L</t>
        </is>
      </c>
      <c r="F3296" s="18" t="n"/>
      <c r="G3296" s="9" t="n">
        <v>47</v>
      </c>
      <c r="H3296" s="9" t="n">
        <v>47</v>
      </c>
      <c r="I3296" s="9" t="inlineStr">
        <is>
          <t>Depth (no MLB IP)</t>
        </is>
      </c>
      <c r="J3296" s="18" t="inlineStr">
        <is>
          <t>Opening Day</t>
        </is>
      </c>
      <c r="K3296" s="11">
        <f>IFERROR(INDEX(Roles!$B$17:$B$20,MATCH(J3296,Roles!$A$17:$A$20,0)),1)</f>
        <v/>
      </c>
      <c r="L3296" s="19" t="n">
        <v>1</v>
      </c>
      <c r="M3296" s="11" t="n">
        <v>1</v>
      </c>
      <c r="N3296" s="19" t="n"/>
      <c r="O3296" s="19" t="n"/>
      <c r="P3296" s="19" t="n"/>
      <c r="Q3296" s="19" t="n"/>
      <c r="R3296" s="19" t="n"/>
      <c r="S3296" s="19" t="n"/>
      <c r="T3296" s="19" t="n"/>
      <c r="U3296" s="19" t="n"/>
      <c r="V3296" s="19" t="n"/>
      <c r="W3296" s="19" t="n"/>
      <c r="X3296" s="19" t="n"/>
      <c r="Y3296" s="19" t="n">
        <v>1</v>
      </c>
      <c r="Z3296" s="13">
        <f>SUMPRODUCT(N3296:Y3296,$N$2:$Y$2)*$K3296*$L3296*$M3296</f>
        <v/>
      </c>
      <c r="AA3296" s="14">
        <f>SUM(N3296:Y3296)</f>
        <v/>
      </c>
      <c r="AB3296" s="13">
        <f>SUMPRODUCT(N3296:Y3296,$N$3:$Y$3)*$K3296*$L3296*$M3296</f>
        <v/>
      </c>
      <c r="AC3296" s="13">
        <f>SUMPRODUCT(N3296:Y3296,$N$4:$Y$4)*$K3296*$L3296*$M3296</f>
        <v/>
      </c>
      <c r="AD3296" s="15" t="n">
        <v>3.6</v>
      </c>
      <c r="AE3296" s="11" t="n">
        <v>1.479753086419753</v>
      </c>
      <c r="AF3296" s="16">
        <f>SUMPRODUCT(N3296:Y3296,$N$5:$Y$5)*$K3296*$L3296*$M3296</f>
        <v/>
      </c>
      <c r="AG3296" s="16">
        <f>SUMPRODUCT(N3296:Y3296,$N$6:$Y$6)*$K3296*$L3296*$M3296</f>
        <v/>
      </c>
      <c r="AH3296" s="20" t="n"/>
    </row>
    <row r="3297">
      <c r="A3297" s="9" t="n">
        <v>641645</v>
      </c>
      <c r="B3297" s="9" t="inlineStr">
        <is>
          <t>Luis Guillorme</t>
        </is>
      </c>
      <c r="C3297" s="9" t="inlineStr">
        <is>
          <t>LAA</t>
        </is>
      </c>
      <c r="D3297" s="9" t="n">
        <v>32</v>
      </c>
      <c r="E3297" s="18" t="inlineStr">
        <is>
          <t>R</t>
        </is>
      </c>
      <c r="F3297" s="18" t="n"/>
      <c r="G3297" s="9" t="n">
        <v>15</v>
      </c>
      <c r="H3297" s="9" t="n">
        <v>19</v>
      </c>
      <c r="I3297" s="9" t="inlineStr">
        <is>
          <t>Depth (no MLB IP)</t>
        </is>
      </c>
      <c r="J3297" s="18" t="inlineStr">
        <is>
          <t>Opening Day</t>
        </is>
      </c>
      <c r="K3297" s="11">
        <f>IFERROR(INDEX(Roles!$B$17:$B$20,MATCH(J3297,Roles!$A$17:$A$20,0)),1)</f>
        <v/>
      </c>
      <c r="L3297" s="19" t="n">
        <v>1</v>
      </c>
      <c r="M3297" s="11" t="n">
        <v>1</v>
      </c>
      <c r="N3297" s="19" t="n"/>
      <c r="O3297" s="19" t="n"/>
      <c r="P3297" s="19" t="n"/>
      <c r="Q3297" s="19" t="n"/>
      <c r="R3297" s="19" t="n"/>
      <c r="S3297" s="19" t="n"/>
      <c r="T3297" s="19" t="n"/>
      <c r="U3297" s="19" t="n"/>
      <c r="V3297" s="19" t="n"/>
      <c r="W3297" s="19" t="n"/>
      <c r="X3297" s="19" t="n"/>
      <c r="Y3297" s="19" t="n">
        <v>1</v>
      </c>
      <c r="Z3297" s="13">
        <f>SUMPRODUCT(N3297:Y3297,$N$2:$Y$2)*$K3297*$L3297*$M3297</f>
        <v/>
      </c>
      <c r="AA3297" s="14">
        <f>SUM(N3297:Y3297)</f>
        <v/>
      </c>
      <c r="AB3297" s="13">
        <f>SUMPRODUCT(N3297:Y3297,$N$3:$Y$3)*$K3297*$L3297*$M3297</f>
        <v/>
      </c>
      <c r="AC3297" s="13">
        <f>SUMPRODUCT(N3297:Y3297,$N$4:$Y$4)*$K3297*$L3297*$M3297</f>
        <v/>
      </c>
      <c r="AD3297" s="15" t="n">
        <v>3</v>
      </c>
      <c r="AE3297" s="11" t="n">
        <v>1.007530864197531</v>
      </c>
      <c r="AF3297" s="16">
        <f>SUMPRODUCT(N3297:Y3297,$N$5:$Y$5)*$K3297*$L3297*$M3297</f>
        <v/>
      </c>
      <c r="AG3297" s="16">
        <f>SUMPRODUCT(N3297:Y3297,$N$6:$Y$6)*$K3297*$L3297*$M3297</f>
        <v/>
      </c>
      <c r="AH3297" s="20" t="n"/>
    </row>
    <row r="3298">
      <c r="A3298" s="9" t="n">
        <v>622103</v>
      </c>
      <c r="B3298" s="9" t="inlineStr">
        <is>
          <t>Gerardo Reyes</t>
        </is>
      </c>
      <c r="C3298" s="9" t="inlineStr">
        <is>
          <t>LAA</t>
        </is>
      </c>
      <c r="D3298" s="9" t="n">
        <v>34</v>
      </c>
      <c r="E3298" s="18" t="inlineStr">
        <is>
          <t>R</t>
        </is>
      </c>
      <c r="F3298" s="18" t="n"/>
      <c r="G3298" s="9" t="n">
        <v>18</v>
      </c>
      <c r="H3298" s="9" t="n">
        <v>79</v>
      </c>
      <c r="I3298" s="9" t="inlineStr">
        <is>
          <t>Depth (no MLB IP)</t>
        </is>
      </c>
      <c r="J3298" s="18" t="inlineStr">
        <is>
          <t>Opening Day</t>
        </is>
      </c>
      <c r="K3298" s="11">
        <f>IFERROR(INDEX(Roles!$B$17:$B$20,MATCH(J3298,Roles!$A$17:$A$20,0)),1)</f>
        <v/>
      </c>
      <c r="L3298" s="19" t="n">
        <v>1</v>
      </c>
      <c r="M3298" s="11" t="n">
        <v>1</v>
      </c>
      <c r="N3298" s="19" t="n"/>
      <c r="O3298" s="19" t="n"/>
      <c r="P3298" s="19" t="n"/>
      <c r="Q3298" s="19" t="n"/>
      <c r="R3298" s="19" t="n"/>
      <c r="S3298" s="19" t="n"/>
      <c r="T3298" s="19" t="n"/>
      <c r="U3298" s="19" t="n"/>
      <c r="V3298" s="19" t="n"/>
      <c r="W3298" s="19" t="n"/>
      <c r="X3298" s="19" t="n"/>
      <c r="Y3298" s="19" t="n">
        <v>1</v>
      </c>
      <c r="Z3298" s="13">
        <f>SUMPRODUCT(N3298:Y3298,$N$2:$Y$2)*$K3298*$L3298*$M3298</f>
        <v/>
      </c>
      <c r="AA3298" s="14">
        <f>SUM(N3298:Y3298)</f>
        <v/>
      </c>
      <c r="AB3298" s="13">
        <f>SUMPRODUCT(N3298:Y3298,$N$3:$Y$3)*$K3298*$L3298*$M3298</f>
        <v/>
      </c>
      <c r="AC3298" s="13">
        <f>SUMPRODUCT(N3298:Y3298,$N$4:$Y$4)*$K3298*$L3298*$M3298</f>
        <v/>
      </c>
      <c r="AD3298" s="15" t="n">
        <v>3</v>
      </c>
      <c r="AE3298" s="11" t="n">
        <v>1.118641975308642</v>
      </c>
      <c r="AF3298" s="16">
        <f>SUMPRODUCT(N3298:Y3298,$N$5:$Y$5)*$K3298*$L3298*$M3298</f>
        <v/>
      </c>
      <c r="AG3298" s="16">
        <f>SUMPRODUCT(N3298:Y3298,$N$6:$Y$6)*$K3298*$L3298*$M3298</f>
        <v/>
      </c>
      <c r="AH3298" s="20" t="n"/>
    </row>
    <row r="3299">
      <c r="A3299" s="9" t="n">
        <v>621433</v>
      </c>
      <c r="B3299" s="9" t="inlineStr">
        <is>
          <t>Brett Phillips</t>
        </is>
      </c>
      <c r="C3299" s="9" t="inlineStr">
        <is>
          <t>LAA</t>
        </is>
      </c>
      <c r="D3299" s="9" t="n">
        <v>33</v>
      </c>
      <c r="E3299" s="18" t="inlineStr">
        <is>
          <t>R</t>
        </is>
      </c>
      <c r="F3299" s="18" t="n"/>
      <c r="G3299" s="9" t="n">
        <v>3</v>
      </c>
      <c r="H3299" s="9" t="n">
        <v>25</v>
      </c>
      <c r="I3299" s="9" t="inlineStr">
        <is>
          <t>Depth (no MLB IP)</t>
        </is>
      </c>
      <c r="J3299" s="18" t="inlineStr">
        <is>
          <t>Opening Day</t>
        </is>
      </c>
      <c r="K3299" s="11">
        <f>IFERROR(INDEX(Roles!$B$17:$B$20,MATCH(J3299,Roles!$A$17:$A$20,0)),1)</f>
        <v/>
      </c>
      <c r="L3299" s="19" t="n">
        <v>1</v>
      </c>
      <c r="M3299" s="11" t="n">
        <v>1</v>
      </c>
      <c r="N3299" s="19" t="n"/>
      <c r="O3299" s="19" t="n"/>
      <c r="P3299" s="19" t="n"/>
      <c r="Q3299" s="19" t="n"/>
      <c r="R3299" s="19" t="n"/>
      <c r="S3299" s="19" t="n"/>
      <c r="T3299" s="19" t="n"/>
      <c r="U3299" s="19" t="n"/>
      <c r="V3299" s="19" t="n"/>
      <c r="W3299" s="19" t="n"/>
      <c r="X3299" s="19" t="n"/>
      <c r="Y3299" s="19" t="n">
        <v>1</v>
      </c>
      <c r="Z3299" s="13">
        <f>SUMPRODUCT(N3299:Y3299,$N$2:$Y$2)*$K3299*$L3299*$M3299</f>
        <v/>
      </c>
      <c r="AA3299" s="14">
        <f>SUM(N3299:Y3299)</f>
        <v/>
      </c>
      <c r="AB3299" s="13">
        <f>SUMPRODUCT(N3299:Y3299,$N$3:$Y$3)*$K3299*$L3299*$M3299</f>
        <v/>
      </c>
      <c r="AC3299" s="13">
        <f>SUMPRODUCT(N3299:Y3299,$N$4:$Y$4)*$K3299*$L3299*$M3299</f>
        <v/>
      </c>
      <c r="AD3299" s="15" t="n">
        <v>3</v>
      </c>
      <c r="AE3299" s="11" t="n">
        <v>1.011296296296296</v>
      </c>
      <c r="AF3299" s="16">
        <f>SUMPRODUCT(N3299:Y3299,$N$5:$Y$5)*$K3299*$L3299*$M3299</f>
        <v/>
      </c>
      <c r="AG3299" s="16">
        <f>SUMPRODUCT(N3299:Y3299,$N$6:$Y$6)*$K3299*$L3299*$M3299</f>
        <v/>
      </c>
      <c r="AH3299" s="20" t="n"/>
    </row>
    <row r="3300">
      <c r="A3300" s="9" t="n">
        <v>805321</v>
      </c>
      <c r="B3300" s="9" t="inlineStr">
        <is>
          <t>Trevor Kuncl</t>
        </is>
      </c>
      <c r="C3300" s="9" t="inlineStr">
        <is>
          <t>CIN</t>
        </is>
      </c>
      <c r="D3300" s="9" t="n">
        <v>25</v>
      </c>
      <c r="E3300" s="18" t="inlineStr">
        <is>
          <t>R</t>
        </is>
      </c>
      <c r="F3300" s="18" t="n"/>
      <c r="G3300" s="9" t="n">
        <v>90.65833333333336</v>
      </c>
      <c r="H3300" s="9" t="n">
        <v>90.65833333333336</v>
      </c>
      <c r="I3300" s="9" t="inlineStr">
        <is>
          <t>Depth (no MLB IP)</t>
        </is>
      </c>
      <c r="J3300" s="18" t="inlineStr">
        <is>
          <t>Opening Day</t>
        </is>
      </c>
      <c r="K3300" s="11">
        <f>IFERROR(INDEX(Roles!$B$17:$B$20,MATCH(J3300,Roles!$A$17:$A$20,0)),1)</f>
        <v/>
      </c>
      <c r="L3300" s="19" t="n">
        <v>1</v>
      </c>
      <c r="M3300" s="11" t="n">
        <v>1</v>
      </c>
      <c r="N3300" s="19" t="n"/>
      <c r="O3300" s="19" t="n"/>
      <c r="P3300" s="19" t="n"/>
      <c r="Q3300" s="19" t="n"/>
      <c r="R3300" s="19" t="n"/>
      <c r="S3300" s="19" t="n"/>
      <c r="T3300" s="19" t="n"/>
      <c r="U3300" s="19" t="n"/>
      <c r="V3300" s="19" t="n"/>
      <c r="W3300" s="19" t="n"/>
      <c r="X3300" s="19" t="n"/>
      <c r="Y3300" s="19" t="n">
        <v>1</v>
      </c>
      <c r="Z3300" s="13">
        <f>SUMPRODUCT(N3300:Y3300,$N$2:$Y$2)*$K3300*$L3300*$M3300</f>
        <v/>
      </c>
      <c r="AA3300" s="14">
        <f>SUM(N3300:Y3300)</f>
        <v/>
      </c>
      <c r="AB3300" s="13">
        <f>SUMPRODUCT(N3300:Y3300,$N$3:$Y$3)*$K3300*$L3300*$M3300</f>
        <v/>
      </c>
      <c r="AC3300" s="13">
        <f>SUMPRODUCT(N3300:Y3300,$N$4:$Y$4)*$K3300*$L3300*$M3300</f>
        <v/>
      </c>
      <c r="AD3300" s="15" t="n">
        <v>3</v>
      </c>
      <c r="AE3300" s="11" t="n">
        <v>1.011296296296296</v>
      </c>
      <c r="AF3300" s="16">
        <f>SUMPRODUCT(N3300:Y3300,$N$5:$Y$5)*$K3300*$L3300*$M3300</f>
        <v/>
      </c>
      <c r="AG3300" s="16">
        <f>SUMPRODUCT(N3300:Y3300,$N$6:$Y$6)*$K3300*$L3300*$M3300</f>
        <v/>
      </c>
      <c r="AH3300" s="20" t="n"/>
    </row>
    <row r="3301">
      <c r="A3301" s="9" t="n">
        <v>701764</v>
      </c>
      <c r="B3301" s="9" t="inlineStr">
        <is>
          <t>Cam Day</t>
        </is>
      </c>
      <c r="C3301" s="9" t="inlineStr">
        <is>
          <t>LAD</t>
        </is>
      </c>
      <c r="D3301" s="9" t="n">
        <v>25</v>
      </c>
      <c r="E3301" s="18" t="inlineStr">
        <is>
          <t>R</t>
        </is>
      </c>
      <c r="F3301" s="18" t="n"/>
      <c r="G3301" s="9" t="n">
        <v>90.80166666666666</v>
      </c>
      <c r="H3301" s="9" t="n">
        <v>90.80166666666666</v>
      </c>
      <c r="I3301" s="9" t="inlineStr">
        <is>
          <t>Depth (no MLB IP)</t>
        </is>
      </c>
      <c r="J3301" s="18" t="inlineStr">
        <is>
          <t>Opening Day</t>
        </is>
      </c>
      <c r="K3301" s="11">
        <f>IFERROR(INDEX(Roles!$B$17:$B$20,MATCH(J3301,Roles!$A$17:$A$20,0)),1)</f>
        <v/>
      </c>
      <c r="L3301" s="19" t="n">
        <v>1</v>
      </c>
      <c r="M3301" s="11" t="n">
        <v>1</v>
      </c>
      <c r="N3301" s="19" t="n"/>
      <c r="O3301" s="19" t="n"/>
      <c r="P3301" s="19" t="n"/>
      <c r="Q3301" s="19" t="n"/>
      <c r="R3301" s="19" t="n"/>
      <c r="S3301" s="19" t="n"/>
      <c r="T3301" s="19" t="n"/>
      <c r="U3301" s="19" t="n"/>
      <c r="V3301" s="19" t="n"/>
      <c r="W3301" s="19" t="n"/>
      <c r="X3301" s="19" t="n"/>
      <c r="Y3301" s="19" t="n">
        <v>1</v>
      </c>
      <c r="Z3301" s="13">
        <f>SUMPRODUCT(N3301:Y3301,$N$2:$Y$2)*$K3301*$L3301*$M3301</f>
        <v/>
      </c>
      <c r="AA3301" s="14">
        <f>SUM(N3301:Y3301)</f>
        <v/>
      </c>
      <c r="AB3301" s="13">
        <f>SUMPRODUCT(N3301:Y3301,$N$3:$Y$3)*$K3301*$L3301*$M3301</f>
        <v/>
      </c>
      <c r="AC3301" s="13">
        <f>SUMPRODUCT(N3301:Y3301,$N$4:$Y$4)*$K3301*$L3301*$M3301</f>
        <v/>
      </c>
      <c r="AD3301" s="15" t="n">
        <v>3</v>
      </c>
      <c r="AE3301" s="11" t="n">
        <v>1.011296296296296</v>
      </c>
      <c r="AF3301" s="16">
        <f>SUMPRODUCT(N3301:Y3301,$N$5:$Y$5)*$K3301*$L3301*$M3301</f>
        <v/>
      </c>
      <c r="AG3301" s="16">
        <f>SUMPRODUCT(N3301:Y3301,$N$6:$Y$6)*$K3301*$L3301*$M3301</f>
        <v/>
      </c>
      <c r="AH3301" s="20" t="n"/>
    </row>
    <row r="3302">
      <c r="A3302" s="9" t="n">
        <v>700363</v>
      </c>
      <c r="B3302" s="9" t="inlineStr">
        <is>
          <t>AJ Smith-Shawver</t>
        </is>
      </c>
      <c r="C3302" s="9" t="inlineStr">
        <is>
          <t>ATL</t>
        </is>
      </c>
      <c r="D3302" s="9" t="n">
        <v>24</v>
      </c>
      <c r="E3302" s="18" t="inlineStr">
        <is>
          <t>R</t>
        </is>
      </c>
      <c r="F3302" s="18" t="n"/>
      <c r="G3302" s="9" t="n">
        <v>144</v>
      </c>
      <c r="H3302" s="9" t="n">
        <v>459</v>
      </c>
      <c r="I3302" s="9" t="inlineStr">
        <is>
          <t>Swing Arm / Long Relief</t>
        </is>
      </c>
      <c r="J3302" s="18" t="inlineStr">
        <is>
          <t>Opening Day</t>
        </is>
      </c>
      <c r="K3302" s="11">
        <f>IFERROR(INDEX(Roles!$B$17:$B$20,MATCH(J3302,Roles!$A$17:$A$20,0)),1)</f>
        <v/>
      </c>
      <c r="L3302" s="19" t="n">
        <v>1</v>
      </c>
      <c r="M3302" s="11" t="n">
        <v>1</v>
      </c>
      <c r="N3302" s="19" t="n"/>
      <c r="O3302" s="19" t="n"/>
      <c r="P3302" s="19" t="n"/>
      <c r="Q3302" s="19" t="n"/>
      <c r="R3302" s="19" t="n">
        <v>0.6</v>
      </c>
      <c r="S3302" s="19" t="n"/>
      <c r="T3302" s="19" t="n"/>
      <c r="U3302" s="19" t="n"/>
      <c r="V3302" s="19" t="n"/>
      <c r="W3302" s="19" t="n">
        <v>0.4</v>
      </c>
      <c r="X3302" s="19" t="n"/>
      <c r="Y3302" s="19" t="n"/>
      <c r="Z3302" s="13">
        <f>SUMPRODUCT(N3302:Y3302,$N$2:$Y$2)*$K3302*$L3302*$M3302</f>
        <v/>
      </c>
      <c r="AA3302" s="14">
        <f>SUM(N3302:Y3302)</f>
        <v/>
      </c>
      <c r="AB3302" s="13">
        <f>SUMPRODUCT(N3302:Y3302,$N$3:$Y$3)*$K3302*$L3302*$M3302</f>
        <v/>
      </c>
      <c r="AC3302" s="13">
        <f>SUMPRODUCT(N3302:Y3302,$N$4:$Y$4)*$K3302*$L3302*$M3302</f>
        <v/>
      </c>
      <c r="AD3302" s="15" t="n">
        <v>12.73333333333333</v>
      </c>
      <c r="AE3302" s="11" t="n">
        <v>3.023560624059555</v>
      </c>
      <c r="AF3302" s="16">
        <f>SUMPRODUCT(N3302:Y3302,$N$5:$Y$5)*$K3302*$L3302*$M3302</f>
        <v/>
      </c>
      <c r="AG3302" s="16">
        <f>SUMPRODUCT(N3302:Y3302,$N$6:$Y$6)*$K3302*$L3302*$M3302</f>
        <v/>
      </c>
      <c r="AH3302" s="20" t="n"/>
    </row>
    <row r="3303">
      <c r="A3303" s="9" t="n">
        <v>666720</v>
      </c>
      <c r="B3303" s="9" t="inlineStr">
        <is>
          <t>Yerry Rodríguez</t>
        </is>
      </c>
      <c r="C3303" s="9" t="inlineStr">
        <is>
          <t>TOR</t>
        </is>
      </c>
      <c r="D3303" s="9" t="n">
        <v>29</v>
      </c>
      <c r="E3303" s="18" t="inlineStr">
        <is>
          <t>R</t>
        </is>
      </c>
      <c r="F3303" s="18" t="n"/>
      <c r="G3303" s="9" t="n">
        <v>105</v>
      </c>
      <c r="H3303" s="9" t="n">
        <v>175</v>
      </c>
      <c r="I3303" s="9" t="inlineStr">
        <is>
          <t>Depth (no MLB IP)</t>
        </is>
      </c>
      <c r="J3303" s="18" t="inlineStr">
        <is>
          <t>Opening Day</t>
        </is>
      </c>
      <c r="K3303" s="11">
        <f>IFERROR(INDEX(Roles!$B$17:$B$20,MATCH(J3303,Roles!$A$17:$A$20,0)),1)</f>
        <v/>
      </c>
      <c r="L3303" s="19" t="n">
        <v>1</v>
      </c>
      <c r="M3303" s="11" t="n">
        <v>1</v>
      </c>
      <c r="N3303" s="19" t="n"/>
      <c r="O3303" s="19" t="n"/>
      <c r="P3303" s="19" t="n"/>
      <c r="Q3303" s="19" t="n"/>
      <c r="R3303" s="19" t="n"/>
      <c r="S3303" s="19" t="n"/>
      <c r="T3303" s="19" t="n"/>
      <c r="U3303" s="19" t="n"/>
      <c r="V3303" s="19" t="n"/>
      <c r="W3303" s="19" t="n"/>
      <c r="X3303" s="19" t="n"/>
      <c r="Y3303" s="19" t="n">
        <v>1</v>
      </c>
      <c r="Z3303" s="13">
        <f>SUMPRODUCT(N3303:Y3303,$N$2:$Y$2)*$K3303*$L3303*$M3303</f>
        <v/>
      </c>
      <c r="AA3303" s="14">
        <f>SUM(N3303:Y3303)</f>
        <v/>
      </c>
      <c r="AB3303" s="13">
        <f>SUMPRODUCT(N3303:Y3303,$N$3:$Y$3)*$K3303*$L3303*$M3303</f>
        <v/>
      </c>
      <c r="AC3303" s="13">
        <f>SUMPRODUCT(N3303:Y3303,$N$4:$Y$4)*$K3303*$L3303*$M3303</f>
        <v/>
      </c>
      <c r="AD3303" s="15" t="n">
        <v>10.8</v>
      </c>
      <c r="AE3303" s="11" t="n">
        <v>1.125586419753086</v>
      </c>
      <c r="AF3303" s="16">
        <f>SUMPRODUCT(N3303:Y3303,$N$5:$Y$5)*$K3303*$L3303*$M3303</f>
        <v/>
      </c>
      <c r="AG3303" s="16">
        <f>SUMPRODUCT(N3303:Y3303,$N$6:$Y$6)*$K3303*$L3303*$M3303</f>
        <v/>
      </c>
      <c r="AH3303" s="20" t="n"/>
    </row>
    <row r="3304">
      <c r="A3304" s="9" t="n">
        <v>688445</v>
      </c>
      <c r="B3304" s="9" t="inlineStr">
        <is>
          <t>Jake Walkinshaw</t>
        </is>
      </c>
      <c r="C3304" s="9" t="inlineStr">
        <is>
          <t>MIA</t>
        </is>
      </c>
      <c r="D3304" s="9" t="n">
        <v>25</v>
      </c>
      <c r="E3304" s="18" t="inlineStr">
        <is>
          <t>R</t>
        </is>
      </c>
      <c r="F3304" s="18" t="n"/>
      <c r="G3304" s="9" t="n">
        <v>91.44666666666669</v>
      </c>
      <c r="H3304" s="9" t="n">
        <v>91.44666666666669</v>
      </c>
      <c r="I3304" s="9" t="inlineStr">
        <is>
          <t>Depth (no MLB IP)</t>
        </is>
      </c>
      <c r="J3304" s="18" t="inlineStr">
        <is>
          <t>Opening Day</t>
        </is>
      </c>
      <c r="K3304" s="11">
        <f>IFERROR(INDEX(Roles!$B$17:$B$20,MATCH(J3304,Roles!$A$17:$A$20,0)),1)</f>
        <v/>
      </c>
      <c r="L3304" s="19" t="n">
        <v>1</v>
      </c>
      <c r="M3304" s="11" t="n">
        <v>1</v>
      </c>
      <c r="N3304" s="19" t="n"/>
      <c r="O3304" s="19" t="n"/>
      <c r="P3304" s="19" t="n"/>
      <c r="Q3304" s="19" t="n"/>
      <c r="R3304" s="19" t="n"/>
      <c r="S3304" s="19" t="n"/>
      <c r="T3304" s="19" t="n"/>
      <c r="U3304" s="19" t="n"/>
      <c r="V3304" s="19" t="n"/>
      <c r="W3304" s="19" t="n"/>
      <c r="X3304" s="19" t="n"/>
      <c r="Y3304" s="19" t="n">
        <v>1</v>
      </c>
      <c r="Z3304" s="13">
        <f>SUMPRODUCT(N3304:Y3304,$N$2:$Y$2)*$K3304*$L3304*$M3304</f>
        <v/>
      </c>
      <c r="AA3304" s="14">
        <f>SUM(N3304:Y3304)</f>
        <v/>
      </c>
      <c r="AB3304" s="13">
        <f>SUMPRODUCT(N3304:Y3304,$N$3:$Y$3)*$K3304*$L3304*$M3304</f>
        <v/>
      </c>
      <c r="AC3304" s="13">
        <f>SUMPRODUCT(N3304:Y3304,$N$4:$Y$4)*$K3304*$L3304*$M3304</f>
        <v/>
      </c>
      <c r="AD3304" s="15" t="n">
        <v>3</v>
      </c>
      <c r="AE3304" s="11" t="n">
        <v>1.011296296296296</v>
      </c>
      <c r="AF3304" s="16">
        <f>SUMPRODUCT(N3304:Y3304,$N$5:$Y$5)*$K3304*$L3304*$M3304</f>
        <v/>
      </c>
      <c r="AG3304" s="16">
        <f>SUMPRODUCT(N3304:Y3304,$N$6:$Y$6)*$K3304*$L3304*$M3304</f>
        <v/>
      </c>
      <c r="AH3304" s="20" t="n"/>
    </row>
    <row r="3305">
      <c r="A3305" s="9" t="n">
        <v>661309</v>
      </c>
      <c r="B3305" s="9" t="inlineStr">
        <is>
          <t>Adrián Martinez</t>
        </is>
      </c>
      <c r="C3305" s="9" t="inlineStr">
        <is>
          <t>OAK</t>
        </is>
      </c>
      <c r="D3305" s="9" t="n">
        <v>30</v>
      </c>
      <c r="E3305" s="18" t="inlineStr">
        <is>
          <t>R</t>
        </is>
      </c>
      <c r="F3305" s="18" t="n"/>
      <c r="G3305" s="9" t="n">
        <v>241</v>
      </c>
      <c r="H3305" s="9" t="n">
        <v>500</v>
      </c>
      <c r="I3305" s="9" t="inlineStr">
        <is>
          <t>Depth (no MLB IP)</t>
        </is>
      </c>
      <c r="J3305" s="18" t="inlineStr">
        <is>
          <t>Opening Day</t>
        </is>
      </c>
      <c r="K3305" s="11">
        <f>IFERROR(INDEX(Roles!$B$17:$B$20,MATCH(J3305,Roles!$A$17:$A$20,0)),1)</f>
        <v/>
      </c>
      <c r="L3305" s="19" t="n">
        <v>1</v>
      </c>
      <c r="M3305" s="11" t="n">
        <v>1</v>
      </c>
      <c r="N3305" s="19" t="n"/>
      <c r="O3305" s="19" t="n"/>
      <c r="P3305" s="19" t="n"/>
      <c r="Q3305" s="19" t="n"/>
      <c r="R3305" s="19" t="n"/>
      <c r="S3305" s="19" t="n"/>
      <c r="T3305" s="19" t="n"/>
      <c r="U3305" s="19" t="n"/>
      <c r="V3305" s="19" t="n"/>
      <c r="W3305" s="19" t="n"/>
      <c r="X3305" s="19" t="n"/>
      <c r="Y3305" s="19" t="n">
        <v>1</v>
      </c>
      <c r="Z3305" s="13">
        <f>SUMPRODUCT(N3305:Y3305,$N$2:$Y$2)*$K3305*$L3305*$M3305</f>
        <v/>
      </c>
      <c r="AA3305" s="14">
        <f>SUM(N3305:Y3305)</f>
        <v/>
      </c>
      <c r="AB3305" s="13">
        <f>SUMPRODUCT(N3305:Y3305,$N$3:$Y$3)*$K3305*$L3305*$M3305</f>
        <v/>
      </c>
      <c r="AC3305" s="13">
        <f>SUMPRODUCT(N3305:Y3305,$N$4:$Y$4)*$K3305*$L3305*$M3305</f>
        <v/>
      </c>
      <c r="AD3305" s="15" t="n">
        <v>3</v>
      </c>
      <c r="AE3305" s="11" t="n">
        <v>1.011296296296296</v>
      </c>
      <c r="AF3305" s="16">
        <f>SUMPRODUCT(N3305:Y3305,$N$5:$Y$5)*$K3305*$L3305*$M3305</f>
        <v/>
      </c>
      <c r="AG3305" s="16">
        <f>SUMPRODUCT(N3305:Y3305,$N$6:$Y$6)*$K3305*$L3305*$M3305</f>
        <v/>
      </c>
      <c r="AH3305" s="20" t="n"/>
    </row>
    <row r="3306">
      <c r="A3306" s="9" t="n">
        <v>681212</v>
      </c>
      <c r="B3306" s="9" t="inlineStr">
        <is>
          <t>Shay Schanaman</t>
        </is>
      </c>
      <c r="C3306" s="9" t="inlineStr">
        <is>
          <t>ATL</t>
        </is>
      </c>
      <c r="D3306" s="9" t="n">
        <v>25</v>
      </c>
      <c r="E3306" s="18" t="inlineStr">
        <is>
          <t>R</t>
        </is>
      </c>
      <c r="F3306" s="18" t="n"/>
      <c r="G3306" s="9" t="n">
        <v>91.30333333333331</v>
      </c>
      <c r="H3306" s="9" t="n">
        <v>91.30333333333331</v>
      </c>
      <c r="I3306" s="9" t="inlineStr">
        <is>
          <t>Depth (no MLB IP)</t>
        </is>
      </c>
      <c r="J3306" s="18" t="inlineStr">
        <is>
          <t>Opening Day</t>
        </is>
      </c>
      <c r="K3306" s="11">
        <f>IFERROR(INDEX(Roles!$B$17:$B$20,MATCH(J3306,Roles!$A$17:$A$20,0)),1)</f>
        <v/>
      </c>
      <c r="L3306" s="19" t="n">
        <v>1</v>
      </c>
      <c r="M3306" s="11" t="n">
        <v>1</v>
      </c>
      <c r="N3306" s="19" t="n"/>
      <c r="O3306" s="19" t="n"/>
      <c r="P3306" s="19" t="n"/>
      <c r="Q3306" s="19" t="n"/>
      <c r="R3306" s="19" t="n"/>
      <c r="S3306" s="19" t="n"/>
      <c r="T3306" s="19" t="n"/>
      <c r="U3306" s="19" t="n"/>
      <c r="V3306" s="19" t="n"/>
      <c r="W3306" s="19" t="n"/>
      <c r="X3306" s="19" t="n"/>
      <c r="Y3306" s="19" t="n">
        <v>1</v>
      </c>
      <c r="Z3306" s="13">
        <f>SUMPRODUCT(N3306:Y3306,$N$2:$Y$2)*$K3306*$L3306*$M3306</f>
        <v/>
      </c>
      <c r="AA3306" s="14">
        <f>SUM(N3306:Y3306)</f>
        <v/>
      </c>
      <c r="AB3306" s="13">
        <f>SUMPRODUCT(N3306:Y3306,$N$3:$Y$3)*$K3306*$L3306*$M3306</f>
        <v/>
      </c>
      <c r="AC3306" s="13">
        <f>SUMPRODUCT(N3306:Y3306,$N$4:$Y$4)*$K3306*$L3306*$M3306</f>
        <v/>
      </c>
      <c r="AD3306" s="15" t="n">
        <v>3</v>
      </c>
      <c r="AE3306" s="11" t="n">
        <v>1.011296296296296</v>
      </c>
      <c r="AF3306" s="16">
        <f>SUMPRODUCT(N3306:Y3306,$N$5:$Y$5)*$K3306*$L3306*$M3306</f>
        <v/>
      </c>
      <c r="AG3306" s="16">
        <f>SUMPRODUCT(N3306:Y3306,$N$6:$Y$6)*$K3306*$L3306*$M3306</f>
        <v/>
      </c>
      <c r="AH3306" s="20" t="n"/>
    </row>
    <row r="3307">
      <c r="A3307" s="9" t="n">
        <v>701717</v>
      </c>
      <c r="B3307" s="9" t="inlineStr">
        <is>
          <t>Dalton Pence</t>
        </is>
      </c>
      <c r="C3307" s="9" t="inlineStr">
        <is>
          <t>TEX</t>
        </is>
      </c>
      <c r="D3307" s="9" t="n">
        <v>25</v>
      </c>
      <c r="E3307" s="18" t="inlineStr">
        <is>
          <t>L</t>
        </is>
      </c>
      <c r="F3307" s="18" t="n"/>
      <c r="G3307" s="9" t="n">
        <v>91.44666666666669</v>
      </c>
      <c r="H3307" s="9" t="n">
        <v>91.44666666666669</v>
      </c>
      <c r="I3307" s="9" t="inlineStr">
        <is>
          <t>Depth (no MLB IP)</t>
        </is>
      </c>
      <c r="J3307" s="18" t="inlineStr">
        <is>
          <t>Opening Day</t>
        </is>
      </c>
      <c r="K3307" s="11">
        <f>IFERROR(INDEX(Roles!$B$17:$B$20,MATCH(J3307,Roles!$A$17:$A$20,0)),1)</f>
        <v/>
      </c>
      <c r="L3307" s="19" t="n">
        <v>1</v>
      </c>
      <c r="M3307" s="11" t="n">
        <v>1</v>
      </c>
      <c r="N3307" s="19" t="n"/>
      <c r="O3307" s="19" t="n"/>
      <c r="P3307" s="19" t="n"/>
      <c r="Q3307" s="19" t="n"/>
      <c r="R3307" s="19" t="n"/>
      <c r="S3307" s="19" t="n"/>
      <c r="T3307" s="19" t="n"/>
      <c r="U3307" s="19" t="n"/>
      <c r="V3307" s="19" t="n"/>
      <c r="W3307" s="19" t="n"/>
      <c r="X3307" s="19" t="n"/>
      <c r="Y3307" s="19" t="n">
        <v>1</v>
      </c>
      <c r="Z3307" s="13">
        <f>SUMPRODUCT(N3307:Y3307,$N$2:$Y$2)*$K3307*$L3307*$M3307</f>
        <v/>
      </c>
      <c r="AA3307" s="14">
        <f>SUM(N3307:Y3307)</f>
        <v/>
      </c>
      <c r="AB3307" s="13">
        <f>SUMPRODUCT(N3307:Y3307,$N$3:$Y$3)*$K3307*$L3307*$M3307</f>
        <v/>
      </c>
      <c r="AC3307" s="13">
        <f>SUMPRODUCT(N3307:Y3307,$N$4:$Y$4)*$K3307*$L3307*$M3307</f>
        <v/>
      </c>
      <c r="AD3307" s="15" t="n">
        <v>3</v>
      </c>
      <c r="AE3307" s="11" t="n">
        <v>1.011296296296296</v>
      </c>
      <c r="AF3307" s="16">
        <f>SUMPRODUCT(N3307:Y3307,$N$5:$Y$5)*$K3307*$L3307*$M3307</f>
        <v/>
      </c>
      <c r="AG3307" s="16">
        <f>SUMPRODUCT(N3307:Y3307,$N$6:$Y$6)*$K3307*$L3307*$M3307</f>
        <v/>
      </c>
      <c r="AH3307" s="20" t="n"/>
    </row>
    <row r="3308">
      <c r="A3308" s="9" t="n">
        <v>657272</v>
      </c>
      <c r="B3308" s="9" t="inlineStr">
        <is>
          <t>Erich Uelmen</t>
        </is>
      </c>
      <c r="C3308" s="9" t="inlineStr">
        <is>
          <t>CHC</t>
        </is>
      </c>
      <c r="D3308" s="9" t="n">
        <v>31</v>
      </c>
      <c r="E3308" s="18" t="inlineStr">
        <is>
          <t>R</t>
        </is>
      </c>
      <c r="F3308" s="18" t="n"/>
      <c r="G3308" s="9" t="n">
        <v>8</v>
      </c>
      <c r="H3308" s="9" t="n">
        <v>130</v>
      </c>
      <c r="I3308" s="9" t="inlineStr">
        <is>
          <t>Depth (no MLB IP)</t>
        </is>
      </c>
      <c r="J3308" s="18" t="inlineStr">
        <is>
          <t>Opening Day</t>
        </is>
      </c>
      <c r="K3308" s="11">
        <f>IFERROR(INDEX(Roles!$B$17:$B$20,MATCH(J3308,Roles!$A$17:$A$20,0)),1)</f>
        <v/>
      </c>
      <c r="L3308" s="19" t="n">
        <v>1</v>
      </c>
      <c r="M3308" s="11" t="n">
        <v>1</v>
      </c>
      <c r="N3308" s="19" t="n"/>
      <c r="O3308" s="19" t="n"/>
      <c r="P3308" s="19" t="n"/>
      <c r="Q3308" s="19" t="n"/>
      <c r="R3308" s="19" t="n"/>
      <c r="S3308" s="19" t="n"/>
      <c r="T3308" s="19" t="n"/>
      <c r="U3308" s="19" t="n"/>
      <c r="V3308" s="19" t="n"/>
      <c r="W3308" s="19" t="n"/>
      <c r="X3308" s="19" t="n"/>
      <c r="Y3308" s="19" t="n">
        <v>1</v>
      </c>
      <c r="Z3308" s="13">
        <f>SUMPRODUCT(N3308:Y3308,$N$2:$Y$2)*$K3308*$L3308*$M3308</f>
        <v/>
      </c>
      <c r="AA3308" s="14">
        <f>SUM(N3308:Y3308)</f>
        <v/>
      </c>
      <c r="AB3308" s="13">
        <f>SUMPRODUCT(N3308:Y3308,$N$3:$Y$3)*$K3308*$L3308*$M3308</f>
        <v/>
      </c>
      <c r="AC3308" s="13">
        <f>SUMPRODUCT(N3308:Y3308,$N$4:$Y$4)*$K3308*$L3308*$M3308</f>
        <v/>
      </c>
      <c r="AD3308" s="15" t="n">
        <v>3</v>
      </c>
      <c r="AE3308" s="11" t="n">
        <v>1.011296296296296</v>
      </c>
      <c r="AF3308" s="16">
        <f>SUMPRODUCT(N3308:Y3308,$N$5:$Y$5)*$K3308*$L3308*$M3308</f>
        <v/>
      </c>
      <c r="AG3308" s="16">
        <f>SUMPRODUCT(N3308:Y3308,$N$6:$Y$6)*$K3308*$L3308*$M3308</f>
        <v/>
      </c>
      <c r="AH3308" s="20" t="n"/>
    </row>
    <row r="3309">
      <c r="A3309" s="9" t="n">
        <v>571670</v>
      </c>
      <c r="B3309" s="9" t="inlineStr">
        <is>
          <t>Dylan Floro</t>
        </is>
      </c>
      <c r="C3309" s="9" t="inlineStr">
        <is>
          <t>ARI</t>
        </is>
      </c>
      <c r="D3309" s="9" t="n">
        <v>36</v>
      </c>
      <c r="E3309" s="18" t="inlineStr">
        <is>
          <t>R</t>
        </is>
      </c>
      <c r="F3309" s="18" t="n"/>
      <c r="G3309" s="9" t="n">
        <v>279</v>
      </c>
      <c r="H3309" s="9" t="n">
        <v>747</v>
      </c>
      <c r="I3309" s="9" t="inlineStr">
        <is>
          <t>Depth (no MLB IP)</t>
        </is>
      </c>
      <c r="J3309" s="18" t="inlineStr">
        <is>
          <t>Opening Day</t>
        </is>
      </c>
      <c r="K3309" s="11">
        <f>IFERROR(INDEX(Roles!$B$17:$B$20,MATCH(J3309,Roles!$A$17:$A$20,0)),1)</f>
        <v/>
      </c>
      <c r="L3309" s="19" t="n">
        <v>1</v>
      </c>
      <c r="M3309" s="11" t="n">
        <v>1</v>
      </c>
      <c r="N3309" s="19" t="n"/>
      <c r="O3309" s="19" t="n"/>
      <c r="P3309" s="19" t="n"/>
      <c r="Q3309" s="19" t="n"/>
      <c r="R3309" s="19" t="n"/>
      <c r="S3309" s="19" t="n"/>
      <c r="T3309" s="19" t="n"/>
      <c r="U3309" s="19" t="n"/>
      <c r="V3309" s="19" t="n"/>
      <c r="W3309" s="19" t="n"/>
      <c r="X3309" s="19" t="n"/>
      <c r="Y3309" s="19" t="n">
        <v>1</v>
      </c>
      <c r="Z3309" s="13">
        <f>SUMPRODUCT(N3309:Y3309,$N$2:$Y$2)*$K3309*$L3309*$M3309</f>
        <v/>
      </c>
      <c r="AA3309" s="14">
        <f>SUM(N3309:Y3309)</f>
        <v/>
      </c>
      <c r="AB3309" s="13">
        <f>SUMPRODUCT(N3309:Y3309,$N$3:$Y$3)*$K3309*$L3309*$M3309</f>
        <v/>
      </c>
      <c r="AC3309" s="13">
        <f>SUMPRODUCT(N3309:Y3309,$N$4:$Y$4)*$K3309*$L3309*$M3309</f>
        <v/>
      </c>
      <c r="AD3309" s="15" t="n">
        <v>40.8</v>
      </c>
      <c r="AE3309" s="11" t="n">
        <v>1.020998877665544</v>
      </c>
      <c r="AF3309" s="16">
        <f>SUMPRODUCT(N3309:Y3309,$N$5:$Y$5)*$K3309*$L3309*$M3309</f>
        <v/>
      </c>
      <c r="AG3309" s="16">
        <f>SUMPRODUCT(N3309:Y3309,$N$6:$Y$6)*$K3309*$L3309*$M3309</f>
        <v/>
      </c>
      <c r="AH3309" s="20" t="n"/>
    </row>
    <row r="3310">
      <c r="A3310" s="9" t="n">
        <v>621028</v>
      </c>
      <c r="B3310" s="9" t="inlineStr">
        <is>
          <t>Kevin Newman</t>
        </is>
      </c>
      <c r="C3310" s="9" t="inlineStr">
        <is>
          <t>LAA</t>
        </is>
      </c>
      <c r="D3310" s="9" t="n">
        <v>33</v>
      </c>
      <c r="E3310" s="18" t="inlineStr">
        <is>
          <t>R</t>
        </is>
      </c>
      <c r="F3310" s="18" t="n"/>
      <c r="G3310" s="9" t="n">
        <v>16</v>
      </c>
      <c r="H3310" s="9" t="n">
        <v>16</v>
      </c>
      <c r="I3310" s="9" t="inlineStr">
        <is>
          <t>Depth (no MLB IP)</t>
        </is>
      </c>
      <c r="J3310" s="18" t="inlineStr">
        <is>
          <t>Opening Day</t>
        </is>
      </c>
      <c r="K3310" s="11">
        <f>IFERROR(INDEX(Roles!$B$17:$B$20,MATCH(J3310,Roles!$A$17:$A$20,0)),1)</f>
        <v/>
      </c>
      <c r="L3310" s="19" t="n">
        <v>1</v>
      </c>
      <c r="M3310" s="11" t="n">
        <v>1</v>
      </c>
      <c r="N3310" s="19" t="n"/>
      <c r="O3310" s="19" t="n"/>
      <c r="P3310" s="19" t="n"/>
      <c r="Q3310" s="19" t="n"/>
      <c r="R3310" s="19" t="n"/>
      <c r="S3310" s="19" t="n"/>
      <c r="T3310" s="19" t="n"/>
      <c r="U3310" s="19" t="n"/>
      <c r="V3310" s="19" t="n"/>
      <c r="W3310" s="19" t="n"/>
      <c r="X3310" s="19" t="n"/>
      <c r="Y3310" s="19" t="n">
        <v>1</v>
      </c>
      <c r="Z3310" s="13">
        <f>SUMPRODUCT(N3310:Y3310,$N$2:$Y$2)*$K3310*$L3310*$M3310</f>
        <v/>
      </c>
      <c r="AA3310" s="14">
        <f>SUM(N3310:Y3310)</f>
        <v/>
      </c>
      <c r="AB3310" s="13">
        <f>SUMPRODUCT(N3310:Y3310,$N$3:$Y$3)*$K3310*$L3310*$M3310</f>
        <v/>
      </c>
      <c r="AC3310" s="13">
        <f>SUMPRODUCT(N3310:Y3310,$N$4:$Y$4)*$K3310*$L3310*$M3310</f>
        <v/>
      </c>
      <c r="AD3310" s="15" t="n">
        <v>2.4</v>
      </c>
      <c r="AE3310" s="11" t="n">
        <v>1.340864197530864</v>
      </c>
      <c r="AF3310" s="16">
        <f>SUMPRODUCT(N3310:Y3310,$N$5:$Y$5)*$K3310*$L3310*$M3310</f>
        <v/>
      </c>
      <c r="AG3310" s="16">
        <f>SUMPRODUCT(N3310:Y3310,$N$6:$Y$6)*$K3310*$L3310*$M3310</f>
        <v/>
      </c>
      <c r="AH3310" s="20" t="n"/>
    </row>
    <row r="3311">
      <c r="A3311" s="9" t="n">
        <v>607457</v>
      </c>
      <c r="B3311" s="9" t="inlineStr">
        <is>
          <t>Kyle Barraclough</t>
        </is>
      </c>
      <c r="C3311" s="9" t="inlineStr">
        <is>
          <t>BOS</t>
        </is>
      </c>
      <c r="D3311" s="9" t="n">
        <v>37</v>
      </c>
      <c r="E3311" s="18" t="inlineStr">
        <is>
          <t>R</t>
        </is>
      </c>
      <c r="F3311" s="18" t="n"/>
      <c r="G3311" s="9" t="n">
        <v>46</v>
      </c>
      <c r="H3311" s="9" t="n">
        <v>83</v>
      </c>
      <c r="I3311" s="9" t="inlineStr">
        <is>
          <t>Depth (no MLB IP)</t>
        </is>
      </c>
      <c r="J3311" s="18" t="inlineStr">
        <is>
          <t>Opening Day</t>
        </is>
      </c>
      <c r="K3311" s="11">
        <f>IFERROR(INDEX(Roles!$B$17:$B$20,MATCH(J3311,Roles!$A$17:$A$20,0)),1)</f>
        <v/>
      </c>
      <c r="L3311" s="19" t="n">
        <v>1</v>
      </c>
      <c r="M3311" s="11" t="n">
        <v>1</v>
      </c>
      <c r="N3311" s="19" t="n"/>
      <c r="O3311" s="19" t="n"/>
      <c r="P3311" s="19" t="n"/>
      <c r="Q3311" s="19" t="n"/>
      <c r="R3311" s="19" t="n"/>
      <c r="S3311" s="19" t="n"/>
      <c r="T3311" s="19" t="n"/>
      <c r="U3311" s="19" t="n"/>
      <c r="V3311" s="19" t="n"/>
      <c r="W3311" s="19" t="n"/>
      <c r="X3311" s="19" t="n"/>
      <c r="Y3311" s="19" t="n">
        <v>1</v>
      </c>
      <c r="Z3311" s="13">
        <f>SUMPRODUCT(N3311:Y3311,$N$2:$Y$2)*$K3311*$L3311*$M3311</f>
        <v/>
      </c>
      <c r="AA3311" s="14">
        <f>SUM(N3311:Y3311)</f>
        <v/>
      </c>
      <c r="AB3311" s="13">
        <f>SUMPRODUCT(N3311:Y3311,$N$3:$Y$3)*$K3311*$L3311*$M3311</f>
        <v/>
      </c>
      <c r="AC3311" s="13">
        <f>SUMPRODUCT(N3311:Y3311,$N$4:$Y$4)*$K3311*$L3311*$M3311</f>
        <v/>
      </c>
      <c r="AD3311" s="15" t="n">
        <v>3</v>
      </c>
      <c r="AE3311" s="11" t="n">
        <v>1.011296296296296</v>
      </c>
      <c r="AF3311" s="16">
        <f>SUMPRODUCT(N3311:Y3311,$N$5:$Y$5)*$K3311*$L3311*$M3311</f>
        <v/>
      </c>
      <c r="AG3311" s="16">
        <f>SUMPRODUCT(N3311:Y3311,$N$6:$Y$6)*$K3311*$L3311*$M3311</f>
        <v/>
      </c>
      <c r="AH3311" s="20" t="n"/>
    </row>
    <row r="3312">
      <c r="A3312" s="9" t="n">
        <v>605280</v>
      </c>
      <c r="B3312" s="9" t="inlineStr">
        <is>
          <t>Clay Holmes</t>
        </is>
      </c>
      <c r="C3312" s="9" t="inlineStr">
        <is>
          <t>CHC</t>
        </is>
      </c>
      <c r="D3312" s="9" t="n">
        <v>34</v>
      </c>
      <c r="E3312" s="18" t="inlineStr">
        <is>
          <t>R</t>
        </is>
      </c>
      <c r="F3312" s="18" t="n"/>
      <c r="G3312" s="9" t="n">
        <v>419</v>
      </c>
      <c r="H3312" s="9" t="n">
        <v>1920</v>
      </c>
      <c r="I3312" s="9" t="inlineStr">
        <is>
          <t>End-of-Rotation Starter (SP4-5)</t>
        </is>
      </c>
      <c r="J3312" s="18" t="inlineStr">
        <is>
          <t>Opening Day</t>
        </is>
      </c>
      <c r="K3312" s="11">
        <f>IFERROR(INDEX(Roles!$B$17:$B$20,MATCH(J3312,Roles!$A$17:$A$20,0)),1)</f>
        <v/>
      </c>
      <c r="L3312" s="19" t="n">
        <v>1</v>
      </c>
      <c r="M3312" s="11" t="n">
        <v>1</v>
      </c>
      <c r="N3312" s="19" t="n"/>
      <c r="O3312" s="19" t="n"/>
      <c r="P3312" s="19" t="n">
        <v>0.5</v>
      </c>
      <c r="Q3312" s="19" t="n"/>
      <c r="R3312" s="19" t="n">
        <v>0.5</v>
      </c>
      <c r="S3312" s="19" t="n"/>
      <c r="T3312" s="19" t="n"/>
      <c r="U3312" s="19" t="n"/>
      <c r="V3312" s="19" t="n"/>
      <c r="W3312" s="19" t="n"/>
      <c r="X3312" s="19" t="n"/>
      <c r="Y3312" s="19" t="n"/>
      <c r="Z3312" s="13">
        <f>SUMPRODUCT(N3312:Y3312,$N$2:$Y$2)*$K3312*$L3312*$M3312</f>
        <v/>
      </c>
      <c r="AA3312" s="14">
        <f>SUM(N3312:Y3312)</f>
        <v/>
      </c>
      <c r="AB3312" s="13">
        <f>SUMPRODUCT(N3312:Y3312,$N$3:$Y$3)*$K3312*$L3312*$M3312</f>
        <v/>
      </c>
      <c r="AC3312" s="13">
        <f>SUMPRODUCT(N3312:Y3312,$N$4:$Y$4)*$K3312*$L3312*$M3312</f>
        <v/>
      </c>
      <c r="AD3312" s="15" t="n">
        <v>25.1</v>
      </c>
      <c r="AE3312" s="11" t="n">
        <v>4.281837987720341</v>
      </c>
      <c r="AF3312" s="16">
        <f>SUMPRODUCT(N3312:Y3312,$N$5:$Y$5)*$K3312*$L3312*$M3312</f>
        <v/>
      </c>
      <c r="AG3312" s="16">
        <f>SUMPRODUCT(N3312:Y3312,$N$6:$Y$6)*$K3312*$L3312*$M3312</f>
        <v/>
      </c>
      <c r="AH3312" s="20" t="n"/>
    </row>
    <row r="3313">
      <c r="A3313" s="9" t="n">
        <v>803021</v>
      </c>
      <c r="B3313" s="9" t="inlineStr">
        <is>
          <t>Peyton Olejnik</t>
        </is>
      </c>
      <c r="C3313" s="9" t="inlineStr">
        <is>
          <t>LAA</t>
        </is>
      </c>
      <c r="D3313" s="9" t="n">
        <v>25</v>
      </c>
      <c r="E3313" s="18" t="inlineStr">
        <is>
          <t>R</t>
        </is>
      </c>
      <c r="F3313" s="18" t="n"/>
      <c r="G3313" s="9" t="n">
        <v>91.73333333333336</v>
      </c>
      <c r="H3313" s="9" t="n">
        <v>91.73333333333336</v>
      </c>
      <c r="I3313" s="9" t="inlineStr">
        <is>
          <t>Depth (no MLB IP)</t>
        </is>
      </c>
      <c r="J3313" s="18" t="inlineStr">
        <is>
          <t>Opening Day</t>
        </is>
      </c>
      <c r="K3313" s="11">
        <f>IFERROR(INDEX(Roles!$B$17:$B$20,MATCH(J3313,Roles!$A$17:$A$20,0)),1)</f>
        <v/>
      </c>
      <c r="L3313" s="19" t="n">
        <v>1</v>
      </c>
      <c r="M3313" s="11" t="n">
        <v>1</v>
      </c>
      <c r="N3313" s="19" t="n"/>
      <c r="O3313" s="19" t="n"/>
      <c r="P3313" s="19" t="n"/>
      <c r="Q3313" s="19" t="n"/>
      <c r="R3313" s="19" t="n"/>
      <c r="S3313" s="19" t="n"/>
      <c r="T3313" s="19" t="n"/>
      <c r="U3313" s="19" t="n"/>
      <c r="V3313" s="19" t="n"/>
      <c r="W3313" s="19" t="n"/>
      <c r="X3313" s="19" t="n"/>
      <c r="Y3313" s="19" t="n">
        <v>1</v>
      </c>
      <c r="Z3313" s="13">
        <f>SUMPRODUCT(N3313:Y3313,$N$2:$Y$2)*$K3313*$L3313*$M3313</f>
        <v/>
      </c>
      <c r="AA3313" s="14">
        <f>SUM(N3313:Y3313)</f>
        <v/>
      </c>
      <c r="AB3313" s="13">
        <f>SUMPRODUCT(N3313:Y3313,$N$3:$Y$3)*$K3313*$L3313*$M3313</f>
        <v/>
      </c>
      <c r="AC3313" s="13">
        <f>SUMPRODUCT(N3313:Y3313,$N$4:$Y$4)*$K3313*$L3313*$M3313</f>
        <v/>
      </c>
      <c r="AD3313" s="15" t="n">
        <v>3</v>
      </c>
      <c r="AE3313" s="11" t="n">
        <v>1.011296296296296</v>
      </c>
      <c r="AF3313" s="16">
        <f>SUMPRODUCT(N3313:Y3313,$N$5:$Y$5)*$K3313*$L3313*$M3313</f>
        <v/>
      </c>
      <c r="AG3313" s="16">
        <f>SUMPRODUCT(N3313:Y3313,$N$6:$Y$6)*$K3313*$L3313*$M3313</f>
        <v/>
      </c>
      <c r="AH3313" s="20" t="n"/>
    </row>
    <row r="3314">
      <c r="A3314" s="9" t="n">
        <v>621249</v>
      </c>
      <c r="B3314" s="9" t="inlineStr">
        <is>
          <t>Duane Underwood Jr.</t>
        </is>
      </c>
      <c r="C3314" s="9" t="inlineStr">
        <is>
          <t>PIT</t>
        </is>
      </c>
      <c r="D3314" s="9" t="n">
        <v>32</v>
      </c>
      <c r="E3314" s="18" t="inlineStr">
        <is>
          <t>R</t>
        </is>
      </c>
      <c r="F3314" s="18" t="n"/>
      <c r="G3314" s="9" t="n">
        <v>100</v>
      </c>
      <c r="H3314" s="9" t="n">
        <v>359</v>
      </c>
      <c r="I3314" s="9" t="inlineStr">
        <is>
          <t>Depth (no MLB IP)</t>
        </is>
      </c>
      <c r="J3314" s="18" t="inlineStr">
        <is>
          <t>Opening Day</t>
        </is>
      </c>
      <c r="K3314" s="11">
        <f>IFERROR(INDEX(Roles!$B$17:$B$20,MATCH(J3314,Roles!$A$17:$A$20,0)),1)</f>
        <v/>
      </c>
      <c r="L3314" s="19" t="n">
        <v>1</v>
      </c>
      <c r="M3314" s="11" t="n">
        <v>1</v>
      </c>
      <c r="N3314" s="19" t="n"/>
      <c r="O3314" s="19" t="n"/>
      <c r="P3314" s="19" t="n"/>
      <c r="Q3314" s="19" t="n"/>
      <c r="R3314" s="19" t="n"/>
      <c r="S3314" s="19" t="n"/>
      <c r="T3314" s="19" t="n"/>
      <c r="U3314" s="19" t="n"/>
      <c r="V3314" s="19" t="n"/>
      <c r="W3314" s="19" t="n"/>
      <c r="X3314" s="19" t="n"/>
      <c r="Y3314" s="19" t="n">
        <v>1</v>
      </c>
      <c r="Z3314" s="13">
        <f>SUMPRODUCT(N3314:Y3314,$N$2:$Y$2)*$K3314*$L3314*$M3314</f>
        <v/>
      </c>
      <c r="AA3314" s="14">
        <f>SUM(N3314:Y3314)</f>
        <v/>
      </c>
      <c r="AB3314" s="13">
        <f>SUMPRODUCT(N3314:Y3314,$N$3:$Y$3)*$K3314*$L3314*$M3314</f>
        <v/>
      </c>
      <c r="AC3314" s="13">
        <f>SUMPRODUCT(N3314:Y3314,$N$4:$Y$4)*$K3314*$L3314*$M3314</f>
        <v/>
      </c>
      <c r="AD3314" s="15" t="n">
        <v>3</v>
      </c>
      <c r="AE3314" s="11" t="n">
        <v>1.011296296296296</v>
      </c>
      <c r="AF3314" s="16">
        <f>SUMPRODUCT(N3314:Y3314,$N$5:$Y$5)*$K3314*$L3314*$M3314</f>
        <v/>
      </c>
      <c r="AG3314" s="16">
        <f>SUMPRODUCT(N3314:Y3314,$N$6:$Y$6)*$K3314*$L3314*$M3314</f>
        <v/>
      </c>
      <c r="AH3314" s="20" t="n"/>
    </row>
    <row r="3315">
      <c r="A3315" s="9" t="n">
        <v>672724</v>
      </c>
      <c r="B3315" s="9" t="inlineStr">
        <is>
          <t>Oswald Peraza</t>
        </is>
      </c>
      <c r="C3315" s="9" t="inlineStr">
        <is>
          <t>LAA</t>
        </is>
      </c>
      <c r="D3315" s="9" t="n">
        <v>27</v>
      </c>
      <c r="E3315" s="18" t="inlineStr">
        <is>
          <t>R</t>
        </is>
      </c>
      <c r="F3315" s="18" t="n"/>
      <c r="G3315" s="9" t="n">
        <v>16</v>
      </c>
      <c r="H3315" s="9" t="n">
        <v>16</v>
      </c>
      <c r="I3315" s="9" t="inlineStr">
        <is>
          <t>Depth (no MLB IP)</t>
        </is>
      </c>
      <c r="J3315" s="18" t="inlineStr">
        <is>
          <t>Opening Day</t>
        </is>
      </c>
      <c r="K3315" s="11">
        <f>IFERROR(INDEX(Roles!$B$17:$B$20,MATCH(J3315,Roles!$A$17:$A$20,0)),1)</f>
        <v/>
      </c>
      <c r="L3315" s="19" t="n">
        <v>1</v>
      </c>
      <c r="M3315" s="11" t="n">
        <v>1</v>
      </c>
      <c r="N3315" s="19" t="n"/>
      <c r="O3315" s="19" t="n"/>
      <c r="P3315" s="19" t="n"/>
      <c r="Q3315" s="19" t="n"/>
      <c r="R3315" s="19" t="n"/>
      <c r="S3315" s="19" t="n"/>
      <c r="T3315" s="19" t="n"/>
      <c r="U3315" s="19" t="n"/>
      <c r="V3315" s="19" t="n"/>
      <c r="W3315" s="19" t="n"/>
      <c r="X3315" s="19" t="n"/>
      <c r="Y3315" s="19" t="n">
        <v>1</v>
      </c>
      <c r="Z3315" s="13">
        <f>SUMPRODUCT(N3315:Y3315,$N$2:$Y$2)*$K3315*$L3315*$M3315</f>
        <v/>
      </c>
      <c r="AA3315" s="14">
        <f>SUM(N3315:Y3315)</f>
        <v/>
      </c>
      <c r="AB3315" s="13">
        <f>SUMPRODUCT(N3315:Y3315,$N$3:$Y$3)*$K3315*$L3315*$M3315</f>
        <v/>
      </c>
      <c r="AC3315" s="13">
        <f>SUMPRODUCT(N3315:Y3315,$N$4:$Y$4)*$K3315*$L3315*$M3315</f>
        <v/>
      </c>
      <c r="AD3315" s="15" t="n">
        <v>2.4</v>
      </c>
      <c r="AE3315" s="11" t="n">
        <v>1.063086419753086</v>
      </c>
      <c r="AF3315" s="16">
        <f>SUMPRODUCT(N3315:Y3315,$N$5:$Y$5)*$K3315*$L3315*$M3315</f>
        <v/>
      </c>
      <c r="AG3315" s="16">
        <f>SUMPRODUCT(N3315:Y3315,$N$6:$Y$6)*$K3315*$L3315*$M3315</f>
        <v/>
      </c>
      <c r="AH3315" s="20" t="n"/>
    </row>
    <row r="3316">
      <c r="A3316" s="9" t="n">
        <v>827500</v>
      </c>
      <c r="B3316" s="9" t="inlineStr">
        <is>
          <t>Hunter Dryden</t>
        </is>
      </c>
      <c r="C3316" s="9" t="inlineStr">
        <is>
          <t>SF</t>
        </is>
      </c>
      <c r="D3316" s="9" t="n">
        <v>25</v>
      </c>
      <c r="E3316" s="18" t="inlineStr">
        <is>
          <t>R</t>
        </is>
      </c>
      <c r="F3316" s="18" t="n"/>
      <c r="G3316" s="9" t="n">
        <v>91.73333333333336</v>
      </c>
      <c r="H3316" s="9" t="n">
        <v>91.73333333333336</v>
      </c>
      <c r="I3316" s="9" t="inlineStr">
        <is>
          <t>Depth (no MLB IP)</t>
        </is>
      </c>
      <c r="J3316" s="18" t="inlineStr">
        <is>
          <t>Opening Day</t>
        </is>
      </c>
      <c r="K3316" s="11">
        <f>IFERROR(INDEX(Roles!$B$17:$B$20,MATCH(J3316,Roles!$A$17:$A$20,0)),1)</f>
        <v/>
      </c>
      <c r="L3316" s="19" t="n">
        <v>1</v>
      </c>
      <c r="M3316" s="11" t="n">
        <v>1</v>
      </c>
      <c r="N3316" s="19" t="n"/>
      <c r="O3316" s="19" t="n"/>
      <c r="P3316" s="19" t="n"/>
      <c r="Q3316" s="19" t="n"/>
      <c r="R3316" s="19" t="n"/>
      <c r="S3316" s="19" t="n"/>
      <c r="T3316" s="19" t="n"/>
      <c r="U3316" s="19" t="n"/>
      <c r="V3316" s="19" t="n"/>
      <c r="W3316" s="19" t="n"/>
      <c r="X3316" s="19" t="n"/>
      <c r="Y3316" s="19" t="n">
        <v>1</v>
      </c>
      <c r="Z3316" s="13">
        <f>SUMPRODUCT(N3316:Y3316,$N$2:$Y$2)*$K3316*$L3316*$M3316</f>
        <v/>
      </c>
      <c r="AA3316" s="14">
        <f>SUM(N3316:Y3316)</f>
        <v/>
      </c>
      <c r="AB3316" s="13">
        <f>SUMPRODUCT(N3316:Y3316,$N$3:$Y$3)*$K3316*$L3316*$M3316</f>
        <v/>
      </c>
      <c r="AC3316" s="13">
        <f>SUMPRODUCT(N3316:Y3316,$N$4:$Y$4)*$K3316*$L3316*$M3316</f>
        <v/>
      </c>
      <c r="AD3316" s="15" t="n">
        <v>3</v>
      </c>
      <c r="AE3316" s="11" t="n">
        <v>1.011296296296296</v>
      </c>
      <c r="AF3316" s="16">
        <f>SUMPRODUCT(N3316:Y3316,$N$5:$Y$5)*$K3316*$L3316*$M3316</f>
        <v/>
      </c>
      <c r="AG3316" s="16">
        <f>SUMPRODUCT(N3316:Y3316,$N$6:$Y$6)*$K3316*$L3316*$M3316</f>
        <v/>
      </c>
      <c r="AH3316" s="20" t="n"/>
    </row>
    <row r="3317">
      <c r="A3317" s="9" t="n">
        <v>543281</v>
      </c>
      <c r="B3317" s="9" t="inlineStr">
        <is>
          <t>Josh Harrison</t>
        </is>
      </c>
      <c r="C3317" s="9" t="inlineStr">
        <is>
          <t>PHI</t>
        </is>
      </c>
      <c r="D3317" s="9" t="n">
        <v>39</v>
      </c>
      <c r="E3317" s="18" t="inlineStr">
        <is>
          <t>R</t>
        </is>
      </c>
      <c r="F3317" s="18" t="n"/>
      <c r="G3317" s="9" t="n">
        <v>15</v>
      </c>
      <c r="H3317" s="9" t="n">
        <v>33</v>
      </c>
      <c r="I3317" s="9" t="inlineStr">
        <is>
          <t>Depth (no MLB IP)</t>
        </is>
      </c>
      <c r="J3317" s="18" t="inlineStr">
        <is>
          <t>Opening Day</t>
        </is>
      </c>
      <c r="K3317" s="11">
        <f>IFERROR(INDEX(Roles!$B$17:$B$20,MATCH(J3317,Roles!$A$17:$A$20,0)),1)</f>
        <v/>
      </c>
      <c r="L3317" s="19" t="n">
        <v>1</v>
      </c>
      <c r="M3317" s="11" t="n">
        <v>1</v>
      </c>
      <c r="N3317" s="19" t="n"/>
      <c r="O3317" s="19" t="n"/>
      <c r="P3317" s="19" t="n"/>
      <c r="Q3317" s="19" t="n"/>
      <c r="R3317" s="19" t="n"/>
      <c r="S3317" s="19" t="n"/>
      <c r="T3317" s="19" t="n"/>
      <c r="U3317" s="19" t="n"/>
      <c r="V3317" s="19" t="n"/>
      <c r="W3317" s="19" t="n"/>
      <c r="X3317" s="19" t="n"/>
      <c r="Y3317" s="19" t="n">
        <v>1</v>
      </c>
      <c r="Z3317" s="13">
        <f>SUMPRODUCT(N3317:Y3317,$N$2:$Y$2)*$K3317*$L3317*$M3317</f>
        <v/>
      </c>
      <c r="AA3317" s="14">
        <f>SUM(N3317:Y3317)</f>
        <v/>
      </c>
      <c r="AB3317" s="13">
        <f>SUMPRODUCT(N3317:Y3317,$N$3:$Y$3)*$K3317*$L3317*$M3317</f>
        <v/>
      </c>
      <c r="AC3317" s="13">
        <f>SUMPRODUCT(N3317:Y3317,$N$4:$Y$4)*$K3317*$L3317*$M3317</f>
        <v/>
      </c>
      <c r="AD3317" s="15" t="n">
        <v>3</v>
      </c>
      <c r="AE3317" s="11" t="n">
        <v>1.011296296296296</v>
      </c>
      <c r="AF3317" s="16">
        <f>SUMPRODUCT(N3317:Y3317,$N$5:$Y$5)*$K3317*$L3317*$M3317</f>
        <v/>
      </c>
      <c r="AG3317" s="16">
        <f>SUMPRODUCT(N3317:Y3317,$N$6:$Y$6)*$K3317*$L3317*$M3317</f>
        <v/>
      </c>
      <c r="AH3317" s="20" t="n"/>
    </row>
    <row r="3318">
      <c r="A3318" s="9" t="n">
        <v>676391</v>
      </c>
      <c r="B3318" s="9" t="inlineStr">
        <is>
          <t>Ernie Clement</t>
        </is>
      </c>
      <c r="C3318" s="9" t="inlineStr">
        <is>
          <t>TOR</t>
        </is>
      </c>
      <c r="D3318" s="9" t="n">
        <v>31</v>
      </c>
      <c r="E3318" s="18" t="inlineStr">
        <is>
          <t>R</t>
        </is>
      </c>
      <c r="F3318" s="18" t="n"/>
      <c r="G3318" s="9" t="n">
        <v>5</v>
      </c>
      <c r="H3318" s="9" t="n">
        <v>23</v>
      </c>
      <c r="I3318" s="9" t="inlineStr">
        <is>
          <t>Depth (no MLB IP)</t>
        </is>
      </c>
      <c r="J3318" s="18" t="inlineStr">
        <is>
          <t>Opening Day</t>
        </is>
      </c>
      <c r="K3318" s="11">
        <f>IFERROR(INDEX(Roles!$B$17:$B$20,MATCH(J3318,Roles!$A$17:$A$20,0)),1)</f>
        <v/>
      </c>
      <c r="L3318" s="19" t="n">
        <v>1</v>
      </c>
      <c r="M3318" s="11" t="n">
        <v>1</v>
      </c>
      <c r="N3318" s="19" t="n"/>
      <c r="O3318" s="19" t="n"/>
      <c r="P3318" s="19" t="n"/>
      <c r="Q3318" s="19" t="n"/>
      <c r="R3318" s="19" t="n"/>
      <c r="S3318" s="19" t="n"/>
      <c r="T3318" s="19" t="n"/>
      <c r="U3318" s="19" t="n"/>
      <c r="V3318" s="19" t="n"/>
      <c r="W3318" s="19" t="n"/>
      <c r="X3318" s="19" t="n"/>
      <c r="Y3318" s="19" t="n">
        <v>1</v>
      </c>
      <c r="Z3318" s="13">
        <f>SUMPRODUCT(N3318:Y3318,$N$2:$Y$2)*$K3318*$L3318*$M3318</f>
        <v/>
      </c>
      <c r="AA3318" s="14">
        <f>SUM(N3318:Y3318)</f>
        <v/>
      </c>
      <c r="AB3318" s="13">
        <f>SUMPRODUCT(N3318:Y3318,$N$3:$Y$3)*$K3318*$L3318*$M3318</f>
        <v/>
      </c>
      <c r="AC3318" s="13">
        <f>SUMPRODUCT(N3318:Y3318,$N$4:$Y$4)*$K3318*$L3318*$M3318</f>
        <v/>
      </c>
      <c r="AD3318" s="15" t="n">
        <v>1.8</v>
      </c>
      <c r="AE3318" s="11" t="n">
        <v>1.007530864197531</v>
      </c>
      <c r="AF3318" s="16">
        <f>SUMPRODUCT(N3318:Y3318,$N$5:$Y$5)*$K3318*$L3318*$M3318</f>
        <v/>
      </c>
      <c r="AG3318" s="16">
        <f>SUMPRODUCT(N3318:Y3318,$N$6:$Y$6)*$K3318*$L3318*$M3318</f>
        <v/>
      </c>
      <c r="AH3318" s="20" t="n"/>
    </row>
    <row r="3319">
      <c r="A3319" s="9" t="n">
        <v>676092</v>
      </c>
      <c r="B3319" s="9" t="inlineStr">
        <is>
          <t>Collin Snider</t>
        </is>
      </c>
      <c r="C3319" s="9" t="inlineStr">
        <is>
          <t>SEA</t>
        </is>
      </c>
      <c r="D3319" s="9" t="n">
        <v>31</v>
      </c>
      <c r="E3319" s="18" t="inlineStr">
        <is>
          <t>R</t>
        </is>
      </c>
      <c r="F3319" s="18" t="n"/>
      <c r="G3319" s="9" t="n">
        <v>119</v>
      </c>
      <c r="H3319" s="9" t="n">
        <v>534</v>
      </c>
      <c r="I3319" s="9" t="inlineStr">
        <is>
          <t>Bullpen Depth Arm</t>
        </is>
      </c>
      <c r="J3319" s="18" t="inlineStr">
        <is>
          <t>Opening Day</t>
        </is>
      </c>
      <c r="K3319" s="11">
        <f>IFERROR(INDEX(Roles!$B$17:$B$20,MATCH(J3319,Roles!$A$17:$A$20,0)),1)</f>
        <v/>
      </c>
      <c r="L3319" s="19" t="n">
        <v>1</v>
      </c>
      <c r="M3319" s="11" t="n">
        <v>1</v>
      </c>
      <c r="N3319" s="19" t="n"/>
      <c r="O3319" s="19" t="n"/>
      <c r="P3319" s="19" t="n"/>
      <c r="Q3319" s="19" t="n"/>
      <c r="R3319" s="19" t="n"/>
      <c r="S3319" s="19" t="n"/>
      <c r="T3319" s="19" t="n"/>
      <c r="U3319" s="19" t="n"/>
      <c r="V3319" s="19" t="n"/>
      <c r="W3319" s="19" t="n">
        <v>1</v>
      </c>
      <c r="X3319" s="19" t="n"/>
      <c r="Y3319" s="19" t="n"/>
      <c r="Z3319" s="13">
        <f>SUMPRODUCT(N3319:Y3319,$N$2:$Y$2)*$K3319*$L3319*$M3319</f>
        <v/>
      </c>
      <c r="AA3319" s="14">
        <f>SUM(N3319:Y3319)</f>
        <v/>
      </c>
      <c r="AB3319" s="13">
        <f>SUMPRODUCT(N3319:Y3319,$N$3:$Y$3)*$K3319*$L3319*$M3319</f>
        <v/>
      </c>
      <c r="AC3319" s="13">
        <f>SUMPRODUCT(N3319:Y3319,$N$4:$Y$4)*$K3319*$L3319*$M3319</f>
        <v/>
      </c>
      <c r="AD3319" s="15" t="n">
        <v>23.66666666666666</v>
      </c>
      <c r="AE3319" s="11" t="n">
        <v>1.150889850889851</v>
      </c>
      <c r="AF3319" s="16">
        <f>SUMPRODUCT(N3319:Y3319,$N$5:$Y$5)*$K3319*$L3319*$M3319</f>
        <v/>
      </c>
      <c r="AG3319" s="16">
        <f>SUMPRODUCT(N3319:Y3319,$N$6:$Y$6)*$K3319*$L3319*$M3319</f>
        <v/>
      </c>
      <c r="AH3319" s="20" t="n"/>
    </row>
    <row r="3320">
      <c r="A3320" s="9" t="n">
        <v>605612</v>
      </c>
      <c r="B3320" s="9" t="inlineStr">
        <is>
          <t>Harold Castro</t>
        </is>
      </c>
      <c r="C3320" s="9" t="inlineStr">
        <is>
          <t>COL</t>
        </is>
      </c>
      <c r="D3320" s="9" t="n">
        <v>33</v>
      </c>
      <c r="E3320" s="18" t="inlineStr">
        <is>
          <t>R</t>
        </is>
      </c>
      <c r="F3320" s="18" t="n"/>
      <c r="G3320" s="9" t="n">
        <v>11</v>
      </c>
      <c r="H3320" s="9" t="n">
        <v>29</v>
      </c>
      <c r="I3320" s="9" t="inlineStr">
        <is>
          <t>Depth (no MLB IP)</t>
        </is>
      </c>
      <c r="J3320" s="18" t="inlineStr">
        <is>
          <t>Opening Day</t>
        </is>
      </c>
      <c r="K3320" s="11">
        <f>IFERROR(INDEX(Roles!$B$17:$B$20,MATCH(J3320,Roles!$A$17:$A$20,0)),1)</f>
        <v/>
      </c>
      <c r="L3320" s="19" t="n">
        <v>1</v>
      </c>
      <c r="M3320" s="11" t="n">
        <v>1</v>
      </c>
      <c r="N3320" s="19" t="n"/>
      <c r="O3320" s="19" t="n"/>
      <c r="P3320" s="19" t="n"/>
      <c r="Q3320" s="19" t="n"/>
      <c r="R3320" s="19" t="n"/>
      <c r="S3320" s="19" t="n"/>
      <c r="T3320" s="19" t="n"/>
      <c r="U3320" s="19" t="n"/>
      <c r="V3320" s="19" t="n"/>
      <c r="W3320" s="19" t="n"/>
      <c r="X3320" s="19" t="n"/>
      <c r="Y3320" s="19" t="n">
        <v>1</v>
      </c>
      <c r="Z3320" s="13">
        <f>SUMPRODUCT(N3320:Y3320,$N$2:$Y$2)*$K3320*$L3320*$M3320</f>
        <v/>
      </c>
      <c r="AA3320" s="14">
        <f>SUM(N3320:Y3320)</f>
        <v/>
      </c>
      <c r="AB3320" s="13">
        <f>SUMPRODUCT(N3320:Y3320,$N$3:$Y$3)*$K3320*$L3320*$M3320</f>
        <v/>
      </c>
      <c r="AC3320" s="13">
        <f>SUMPRODUCT(N3320:Y3320,$N$4:$Y$4)*$K3320*$L3320*$M3320</f>
        <v/>
      </c>
      <c r="AD3320" s="15" t="n">
        <v>3</v>
      </c>
      <c r="AE3320" s="11" t="n">
        <v>1.011296296296296</v>
      </c>
      <c r="AF3320" s="16">
        <f>SUMPRODUCT(N3320:Y3320,$N$5:$Y$5)*$K3320*$L3320*$M3320</f>
        <v/>
      </c>
      <c r="AG3320" s="16">
        <f>SUMPRODUCT(N3320:Y3320,$N$6:$Y$6)*$K3320*$L3320*$M3320</f>
        <v/>
      </c>
      <c r="AH3320" s="20" t="n"/>
    </row>
    <row r="3321">
      <c r="A3321" s="9" t="n">
        <v>675248</v>
      </c>
      <c r="B3321" s="9" t="inlineStr">
        <is>
          <t>Spencer Bengard</t>
        </is>
      </c>
      <c r="C3321" s="9" t="inlineStr">
        <is>
          <t>MIN</t>
        </is>
      </c>
      <c r="D3321" s="9" t="n">
        <v>25</v>
      </c>
      <c r="E3321" s="18" t="inlineStr">
        <is>
          <t>R</t>
        </is>
      </c>
      <c r="F3321" s="18" t="n"/>
      <c r="G3321" s="9" t="n">
        <v>92.30666666666669</v>
      </c>
      <c r="H3321" s="9" t="n">
        <v>92.30666666666669</v>
      </c>
      <c r="I3321" s="9" t="inlineStr">
        <is>
          <t>Depth (no MLB IP)</t>
        </is>
      </c>
      <c r="J3321" s="18" t="inlineStr">
        <is>
          <t>Opening Day</t>
        </is>
      </c>
      <c r="K3321" s="11">
        <f>IFERROR(INDEX(Roles!$B$17:$B$20,MATCH(J3321,Roles!$A$17:$A$20,0)),1)</f>
        <v/>
      </c>
      <c r="L3321" s="19" t="n">
        <v>1</v>
      </c>
      <c r="M3321" s="11" t="n">
        <v>1</v>
      </c>
      <c r="N3321" s="19" t="n"/>
      <c r="O3321" s="19" t="n"/>
      <c r="P3321" s="19" t="n"/>
      <c r="Q3321" s="19" t="n"/>
      <c r="R3321" s="19" t="n"/>
      <c r="S3321" s="19" t="n"/>
      <c r="T3321" s="19" t="n"/>
      <c r="U3321" s="19" t="n"/>
      <c r="V3321" s="19" t="n"/>
      <c r="W3321" s="19" t="n"/>
      <c r="X3321" s="19" t="n"/>
      <c r="Y3321" s="19" t="n">
        <v>1</v>
      </c>
      <c r="Z3321" s="13">
        <f>SUMPRODUCT(N3321:Y3321,$N$2:$Y$2)*$K3321*$L3321*$M3321</f>
        <v/>
      </c>
      <c r="AA3321" s="14">
        <f>SUM(N3321:Y3321)</f>
        <v/>
      </c>
      <c r="AB3321" s="13">
        <f>SUMPRODUCT(N3321:Y3321,$N$3:$Y$3)*$K3321*$L3321*$M3321</f>
        <v/>
      </c>
      <c r="AC3321" s="13">
        <f>SUMPRODUCT(N3321:Y3321,$N$4:$Y$4)*$K3321*$L3321*$M3321</f>
        <v/>
      </c>
      <c r="AD3321" s="15" t="n">
        <v>3</v>
      </c>
      <c r="AE3321" s="11" t="n">
        <v>1.011296296296296</v>
      </c>
      <c r="AF3321" s="16">
        <f>SUMPRODUCT(N3321:Y3321,$N$5:$Y$5)*$K3321*$L3321*$M3321</f>
        <v/>
      </c>
      <c r="AG3321" s="16">
        <f>SUMPRODUCT(N3321:Y3321,$N$6:$Y$6)*$K3321*$L3321*$M3321</f>
        <v/>
      </c>
      <c r="AH3321" s="20" t="n"/>
    </row>
    <row r="3322">
      <c r="A3322" s="9" t="n">
        <v>472551</v>
      </c>
      <c r="B3322" s="9" t="inlineStr">
        <is>
          <t>Fernando Abad</t>
        </is>
      </c>
      <c r="C3322" s="9" t="inlineStr">
        <is>
          <t>COL</t>
        </is>
      </c>
      <c r="D3322" s="9" t="n">
        <v>41</v>
      </c>
      <c r="E3322" s="18" t="inlineStr">
        <is>
          <t>L</t>
        </is>
      </c>
      <c r="F3322" s="18" t="n"/>
      <c r="G3322" s="9" t="n">
        <v>32</v>
      </c>
      <c r="H3322" s="9" t="n">
        <v>32</v>
      </c>
      <c r="I3322" s="9" t="inlineStr">
        <is>
          <t>Depth (no MLB IP)</t>
        </is>
      </c>
      <c r="J3322" s="18" t="inlineStr">
        <is>
          <t>Opening Day</t>
        </is>
      </c>
      <c r="K3322" s="11">
        <f>IFERROR(INDEX(Roles!$B$17:$B$20,MATCH(J3322,Roles!$A$17:$A$20,0)),1)</f>
        <v/>
      </c>
      <c r="L3322" s="19" t="n">
        <v>1</v>
      </c>
      <c r="M3322" s="11" t="n">
        <v>1</v>
      </c>
      <c r="N3322" s="19" t="n"/>
      <c r="O3322" s="19" t="n"/>
      <c r="P3322" s="19" t="n"/>
      <c r="Q3322" s="19" t="n"/>
      <c r="R3322" s="19" t="n"/>
      <c r="S3322" s="19" t="n"/>
      <c r="T3322" s="19" t="n"/>
      <c r="U3322" s="19" t="n"/>
      <c r="V3322" s="19" t="n"/>
      <c r="W3322" s="19" t="n"/>
      <c r="X3322" s="19" t="n"/>
      <c r="Y3322" s="19" t="n">
        <v>1</v>
      </c>
      <c r="Z3322" s="13">
        <f>SUMPRODUCT(N3322:Y3322,$N$2:$Y$2)*$K3322*$L3322*$M3322</f>
        <v/>
      </c>
      <c r="AA3322" s="14">
        <f>SUM(N3322:Y3322)</f>
        <v/>
      </c>
      <c r="AB3322" s="13">
        <f>SUMPRODUCT(N3322:Y3322,$N$3:$Y$3)*$K3322*$L3322*$M3322</f>
        <v/>
      </c>
      <c r="AC3322" s="13">
        <f>SUMPRODUCT(N3322:Y3322,$N$4:$Y$4)*$K3322*$L3322*$M3322</f>
        <v/>
      </c>
      <c r="AD3322" s="15" t="n">
        <v>3</v>
      </c>
      <c r="AE3322" s="11" t="n">
        <v>1.011296296296296</v>
      </c>
      <c r="AF3322" s="16">
        <f>SUMPRODUCT(N3322:Y3322,$N$5:$Y$5)*$K3322*$L3322*$M3322</f>
        <v/>
      </c>
      <c r="AG3322" s="16">
        <f>SUMPRODUCT(N3322:Y3322,$N$6:$Y$6)*$K3322*$L3322*$M3322</f>
        <v/>
      </c>
      <c r="AH3322" s="20" t="n"/>
    </row>
    <row r="3323">
      <c r="A3323" s="9" t="n">
        <v>695256</v>
      </c>
      <c r="B3323" s="9" t="inlineStr">
        <is>
          <t>Josh Mallitz</t>
        </is>
      </c>
      <c r="C3323" s="9" t="inlineStr">
        <is>
          <t>SD</t>
        </is>
      </c>
      <c r="D3323" s="9" t="n">
        <v>25</v>
      </c>
      <c r="E3323" s="18" t="inlineStr">
        <is>
          <t>R</t>
        </is>
      </c>
      <c r="F3323" s="18" t="n"/>
      <c r="G3323" s="9" t="n">
        <v>92.80833333333332</v>
      </c>
      <c r="H3323" s="9" t="n">
        <v>92.80833333333332</v>
      </c>
      <c r="I3323" s="9" t="inlineStr">
        <is>
          <t>Depth (no MLB IP)</t>
        </is>
      </c>
      <c r="J3323" s="18" t="inlineStr">
        <is>
          <t>Opening Day</t>
        </is>
      </c>
      <c r="K3323" s="11">
        <f>IFERROR(INDEX(Roles!$B$17:$B$20,MATCH(J3323,Roles!$A$17:$A$20,0)),1)</f>
        <v/>
      </c>
      <c r="L3323" s="19" t="n">
        <v>1</v>
      </c>
      <c r="M3323" s="11" t="n">
        <v>1</v>
      </c>
      <c r="N3323" s="19" t="n"/>
      <c r="O3323" s="19" t="n"/>
      <c r="P3323" s="19" t="n"/>
      <c r="Q3323" s="19" t="n"/>
      <c r="R3323" s="19" t="n"/>
      <c r="S3323" s="19" t="n"/>
      <c r="T3323" s="19" t="n"/>
      <c r="U3323" s="19" t="n"/>
      <c r="V3323" s="19" t="n"/>
      <c r="W3323" s="19" t="n"/>
      <c r="X3323" s="19" t="n"/>
      <c r="Y3323" s="19" t="n">
        <v>1</v>
      </c>
      <c r="Z3323" s="13">
        <f>SUMPRODUCT(N3323:Y3323,$N$2:$Y$2)*$K3323*$L3323*$M3323</f>
        <v/>
      </c>
      <c r="AA3323" s="14">
        <f>SUM(N3323:Y3323)</f>
        <v/>
      </c>
      <c r="AB3323" s="13">
        <f>SUMPRODUCT(N3323:Y3323,$N$3:$Y$3)*$K3323*$L3323*$M3323</f>
        <v/>
      </c>
      <c r="AC3323" s="13">
        <f>SUMPRODUCT(N3323:Y3323,$N$4:$Y$4)*$K3323*$L3323*$M3323</f>
        <v/>
      </c>
      <c r="AD3323" s="15" t="n">
        <v>3</v>
      </c>
      <c r="AE3323" s="11" t="n">
        <v>1.011296296296296</v>
      </c>
      <c r="AF3323" s="16">
        <f>SUMPRODUCT(N3323:Y3323,$N$5:$Y$5)*$K3323*$L3323*$M3323</f>
        <v/>
      </c>
      <c r="AG3323" s="16">
        <f>SUMPRODUCT(N3323:Y3323,$N$6:$Y$6)*$K3323*$L3323*$M3323</f>
        <v/>
      </c>
      <c r="AH3323" s="20" t="n"/>
    </row>
    <row r="3324">
      <c r="A3324" s="9" t="n">
        <v>663753</v>
      </c>
      <c r="B3324" s="9" t="inlineStr">
        <is>
          <t>Reiss Knehr</t>
        </is>
      </c>
      <c r="C3324" s="9" t="inlineStr">
        <is>
          <t>SD</t>
        </is>
      </c>
      <c r="D3324" s="9" t="n">
        <v>30</v>
      </c>
      <c r="E3324" s="18" t="inlineStr">
        <is>
          <t>R</t>
        </is>
      </c>
      <c r="F3324" s="18" t="n"/>
      <c r="G3324" s="9" t="n">
        <v>32</v>
      </c>
      <c r="H3324" s="9" t="n">
        <v>91</v>
      </c>
      <c r="I3324" s="9" t="inlineStr">
        <is>
          <t>Depth (no MLB IP)</t>
        </is>
      </c>
      <c r="J3324" s="18" t="inlineStr">
        <is>
          <t>Opening Day</t>
        </is>
      </c>
      <c r="K3324" s="11">
        <f>IFERROR(INDEX(Roles!$B$17:$B$20,MATCH(J3324,Roles!$A$17:$A$20,0)),1)</f>
        <v/>
      </c>
      <c r="L3324" s="19" t="n">
        <v>1</v>
      </c>
      <c r="M3324" s="11" t="n">
        <v>1</v>
      </c>
      <c r="N3324" s="19" t="n"/>
      <c r="O3324" s="19" t="n"/>
      <c r="P3324" s="19" t="n"/>
      <c r="Q3324" s="19" t="n"/>
      <c r="R3324" s="19" t="n"/>
      <c r="S3324" s="19" t="n"/>
      <c r="T3324" s="19" t="n"/>
      <c r="U3324" s="19" t="n"/>
      <c r="V3324" s="19" t="n"/>
      <c r="W3324" s="19" t="n"/>
      <c r="X3324" s="19" t="n"/>
      <c r="Y3324" s="19" t="n">
        <v>1</v>
      </c>
      <c r="Z3324" s="13">
        <f>SUMPRODUCT(N3324:Y3324,$N$2:$Y$2)*$K3324*$L3324*$M3324</f>
        <v/>
      </c>
      <c r="AA3324" s="14">
        <f>SUM(N3324:Y3324)</f>
        <v/>
      </c>
      <c r="AB3324" s="13">
        <f>SUMPRODUCT(N3324:Y3324,$N$3:$Y$3)*$K3324*$L3324*$M3324</f>
        <v/>
      </c>
      <c r="AC3324" s="13">
        <f>SUMPRODUCT(N3324:Y3324,$N$4:$Y$4)*$K3324*$L3324*$M3324</f>
        <v/>
      </c>
      <c r="AD3324" s="15" t="n">
        <v>3</v>
      </c>
      <c r="AE3324" s="11" t="n">
        <v>1.011296296296296</v>
      </c>
      <c r="AF3324" s="16">
        <f>SUMPRODUCT(N3324:Y3324,$N$5:$Y$5)*$K3324*$L3324*$M3324</f>
        <v/>
      </c>
      <c r="AG3324" s="16">
        <f>SUMPRODUCT(N3324:Y3324,$N$6:$Y$6)*$K3324*$L3324*$M3324</f>
        <v/>
      </c>
      <c r="AH3324" s="20" t="n"/>
    </row>
    <row r="3325">
      <c r="A3325" s="9" t="n">
        <v>685321</v>
      </c>
      <c r="B3325" s="9" t="inlineStr">
        <is>
          <t>Gabe Bierman</t>
        </is>
      </c>
      <c r="C3325" s="9" t="inlineStr">
        <is>
          <t>MIA</t>
        </is>
      </c>
      <c r="D3325" s="9" t="n">
        <v>25</v>
      </c>
      <c r="E3325" s="18" t="inlineStr">
        <is>
          <t>R</t>
        </is>
      </c>
      <c r="F3325" s="18" t="n"/>
      <c r="G3325" s="9" t="n">
        <v>92.80833333333332</v>
      </c>
      <c r="H3325" s="9" t="n">
        <v>92.80833333333332</v>
      </c>
      <c r="I3325" s="9" t="inlineStr">
        <is>
          <t>Depth (no MLB IP)</t>
        </is>
      </c>
      <c r="J3325" s="18" t="inlineStr">
        <is>
          <t>Opening Day</t>
        </is>
      </c>
      <c r="K3325" s="11">
        <f>IFERROR(INDEX(Roles!$B$17:$B$20,MATCH(J3325,Roles!$A$17:$A$20,0)),1)</f>
        <v/>
      </c>
      <c r="L3325" s="19" t="n">
        <v>1</v>
      </c>
      <c r="M3325" s="11" t="n">
        <v>1</v>
      </c>
      <c r="N3325" s="19" t="n"/>
      <c r="O3325" s="19" t="n"/>
      <c r="P3325" s="19" t="n"/>
      <c r="Q3325" s="19" t="n"/>
      <c r="R3325" s="19" t="n"/>
      <c r="S3325" s="19" t="n"/>
      <c r="T3325" s="19" t="n"/>
      <c r="U3325" s="19" t="n"/>
      <c r="V3325" s="19" t="n"/>
      <c r="W3325" s="19" t="n"/>
      <c r="X3325" s="19" t="n"/>
      <c r="Y3325" s="19" t="n">
        <v>1</v>
      </c>
      <c r="Z3325" s="13">
        <f>SUMPRODUCT(N3325:Y3325,$N$2:$Y$2)*$K3325*$L3325*$M3325</f>
        <v/>
      </c>
      <c r="AA3325" s="14">
        <f>SUM(N3325:Y3325)</f>
        <v/>
      </c>
      <c r="AB3325" s="13">
        <f>SUMPRODUCT(N3325:Y3325,$N$3:$Y$3)*$K3325*$L3325*$M3325</f>
        <v/>
      </c>
      <c r="AC3325" s="13">
        <f>SUMPRODUCT(N3325:Y3325,$N$4:$Y$4)*$K3325*$L3325*$M3325</f>
        <v/>
      </c>
      <c r="AD3325" s="15" t="n">
        <v>3</v>
      </c>
      <c r="AE3325" s="11" t="n">
        <v>1.011296296296296</v>
      </c>
      <c r="AF3325" s="16">
        <f>SUMPRODUCT(N3325:Y3325,$N$5:$Y$5)*$K3325*$L3325*$M3325</f>
        <v/>
      </c>
      <c r="AG3325" s="16">
        <f>SUMPRODUCT(N3325:Y3325,$N$6:$Y$6)*$K3325*$L3325*$M3325</f>
        <v/>
      </c>
      <c r="AH3325" s="20" t="n"/>
    </row>
    <row r="3326">
      <c r="A3326" s="9" t="n">
        <v>685326</v>
      </c>
      <c r="B3326" s="9" t="inlineStr">
        <is>
          <t>McCade Brown</t>
        </is>
      </c>
      <c r="C3326" s="9" t="inlineStr">
        <is>
          <t>COL</t>
        </is>
      </c>
      <c r="D3326" s="9" t="n">
        <v>26</v>
      </c>
      <c r="E3326" s="18" t="inlineStr">
        <is>
          <t>R</t>
        </is>
      </c>
      <c r="F3326" s="18" t="n"/>
      <c r="G3326" s="9" t="n">
        <v>126</v>
      </c>
      <c r="H3326" s="9" t="n">
        <v>126</v>
      </c>
      <c r="I3326" s="9" t="inlineStr">
        <is>
          <t>Bullpen Depth Arm</t>
        </is>
      </c>
      <c r="J3326" s="18" t="inlineStr">
        <is>
          <t>Opening Day</t>
        </is>
      </c>
      <c r="K3326" s="11">
        <f>IFERROR(INDEX(Roles!$B$17:$B$20,MATCH(J3326,Roles!$A$17:$A$20,0)),1)</f>
        <v/>
      </c>
      <c r="L3326" s="19" t="n">
        <v>1</v>
      </c>
      <c r="M3326" s="11" t="n">
        <v>1</v>
      </c>
      <c r="N3326" s="19" t="n"/>
      <c r="O3326" s="19" t="n"/>
      <c r="P3326" s="19" t="n"/>
      <c r="Q3326" s="19" t="n"/>
      <c r="R3326" s="19" t="n"/>
      <c r="S3326" s="19" t="n"/>
      <c r="T3326" s="19" t="n"/>
      <c r="U3326" s="19" t="n"/>
      <c r="V3326" s="19" t="n"/>
      <c r="W3326" s="19" t="n">
        <v>1</v>
      </c>
      <c r="X3326" s="19" t="n"/>
      <c r="Y3326" s="19" t="n"/>
      <c r="Z3326" s="13">
        <f>SUMPRODUCT(N3326:Y3326,$N$2:$Y$2)*$K3326*$L3326*$M3326</f>
        <v/>
      </c>
      <c r="AA3326" s="14">
        <f>SUM(N3326:Y3326)</f>
        <v/>
      </c>
      <c r="AB3326" s="13">
        <f>SUMPRODUCT(N3326:Y3326,$N$3:$Y$3)*$K3326*$L3326*$M3326</f>
        <v/>
      </c>
      <c r="AC3326" s="13">
        <f>SUMPRODUCT(N3326:Y3326,$N$4:$Y$4)*$K3326*$L3326*$M3326</f>
        <v/>
      </c>
      <c r="AD3326" s="15" t="n">
        <v>9.866666666666664</v>
      </c>
      <c r="AE3326" s="11" t="n">
        <v>2.02372935706269</v>
      </c>
      <c r="AF3326" s="16">
        <f>SUMPRODUCT(N3326:Y3326,$N$5:$Y$5)*$K3326*$L3326*$M3326</f>
        <v/>
      </c>
      <c r="AG3326" s="16">
        <f>SUMPRODUCT(N3326:Y3326,$N$6:$Y$6)*$K3326*$L3326*$M3326</f>
        <v/>
      </c>
      <c r="AH3326" s="20" t="n"/>
    </row>
    <row r="3327">
      <c r="A3327" s="9" t="n">
        <v>684442</v>
      </c>
      <c r="B3327" s="9" t="inlineStr">
        <is>
          <t>Kohl Drake</t>
        </is>
      </c>
      <c r="C3327" s="9" t="inlineStr">
        <is>
          <t>ARI</t>
        </is>
      </c>
      <c r="D3327" s="9" t="n">
        <v>26</v>
      </c>
      <c r="E3327" s="18" t="inlineStr">
        <is>
          <t>L</t>
        </is>
      </c>
      <c r="F3327" s="18" t="n"/>
      <c r="G3327" s="9" t="n">
        <v>95</v>
      </c>
      <c r="H3327" s="9" t="n">
        <v>95</v>
      </c>
      <c r="I3327" s="9" t="inlineStr">
        <is>
          <t>End-of-Rotation Starter (SP4-5)</t>
        </is>
      </c>
      <c r="J3327" s="18" t="inlineStr">
        <is>
          <t>Opening Day</t>
        </is>
      </c>
      <c r="K3327" s="11">
        <f>IFERROR(INDEX(Roles!$B$17:$B$20,MATCH(J3327,Roles!$A$17:$A$20,0)),1)</f>
        <v/>
      </c>
      <c r="L3327" s="19" t="n">
        <v>1</v>
      </c>
      <c r="M3327" s="11" t="n">
        <v>1</v>
      </c>
      <c r="N3327" s="19" t="n"/>
      <c r="O3327" s="19" t="n"/>
      <c r="P3327" s="19" t="n">
        <v>1</v>
      </c>
      <c r="Q3327" s="19" t="n"/>
      <c r="R3327" s="19" t="n"/>
      <c r="S3327" s="19" t="n"/>
      <c r="T3327" s="19" t="n"/>
      <c r="U3327" s="19" t="n"/>
      <c r="V3327" s="19" t="n"/>
      <c r="W3327" s="19" t="n"/>
      <c r="X3327" s="19" t="n"/>
      <c r="Y3327" s="19" t="n"/>
      <c r="Z3327" s="13">
        <f>SUMPRODUCT(N3327:Y3327,$N$2:$Y$2)*$K3327*$L3327*$M3327</f>
        <v/>
      </c>
      <c r="AA3327" s="14">
        <f>SUM(N3327:Y3327)</f>
        <v/>
      </c>
      <c r="AB3327" s="13">
        <f>SUMPRODUCT(N3327:Y3327,$N$3:$Y$3)*$K3327*$L3327*$M3327</f>
        <v/>
      </c>
      <c r="AC3327" s="13">
        <f>SUMPRODUCT(N3327:Y3327,$N$4:$Y$4)*$K3327*$L3327*$M3327</f>
        <v/>
      </c>
      <c r="AD3327" s="15" t="n">
        <v>9.4</v>
      </c>
      <c r="AE3327" s="11" t="n">
        <v>4.414814814814815</v>
      </c>
      <c r="AF3327" s="16">
        <f>SUMPRODUCT(N3327:Y3327,$N$5:$Y$5)*$K3327*$L3327*$M3327</f>
        <v/>
      </c>
      <c r="AG3327" s="16">
        <f>SUMPRODUCT(N3327:Y3327,$N$6:$Y$6)*$K3327*$L3327*$M3327</f>
        <v/>
      </c>
      <c r="AH3327" s="20" t="n"/>
    </row>
    <row r="3328">
      <c r="A3328" s="9" t="n">
        <v>689476</v>
      </c>
      <c r="B3328" s="9" t="inlineStr">
        <is>
          <t>Jace Beck</t>
        </is>
      </c>
      <c r="C3328" s="9" t="inlineStr">
        <is>
          <t>MIA</t>
        </is>
      </c>
      <c r="D3328" s="9" t="n">
        <v>25</v>
      </c>
      <c r="E3328" s="18" t="inlineStr">
        <is>
          <t>R</t>
        </is>
      </c>
      <c r="F3328" s="18" t="n"/>
      <c r="G3328" s="9" t="n">
        <v>93.02333333333334</v>
      </c>
      <c r="H3328" s="9" t="n">
        <v>93.02333333333334</v>
      </c>
      <c r="I3328" s="9" t="inlineStr">
        <is>
          <t>Depth (no MLB IP)</t>
        </is>
      </c>
      <c r="J3328" s="18" t="inlineStr">
        <is>
          <t>Opening Day</t>
        </is>
      </c>
      <c r="K3328" s="11">
        <f>IFERROR(INDEX(Roles!$B$17:$B$20,MATCH(J3328,Roles!$A$17:$A$20,0)),1)</f>
        <v/>
      </c>
      <c r="L3328" s="19" t="n">
        <v>1</v>
      </c>
      <c r="M3328" s="11" t="n">
        <v>1</v>
      </c>
      <c r="N3328" s="19" t="n"/>
      <c r="O3328" s="19" t="n"/>
      <c r="P3328" s="19" t="n"/>
      <c r="Q3328" s="19" t="n"/>
      <c r="R3328" s="19" t="n"/>
      <c r="S3328" s="19" t="n"/>
      <c r="T3328" s="19" t="n"/>
      <c r="U3328" s="19" t="n"/>
      <c r="V3328" s="19" t="n"/>
      <c r="W3328" s="19" t="n"/>
      <c r="X3328" s="19" t="n"/>
      <c r="Y3328" s="19" t="n">
        <v>1</v>
      </c>
      <c r="Z3328" s="13">
        <f>SUMPRODUCT(N3328:Y3328,$N$2:$Y$2)*$K3328*$L3328*$M3328</f>
        <v/>
      </c>
      <c r="AA3328" s="14">
        <f>SUM(N3328:Y3328)</f>
        <v/>
      </c>
      <c r="AB3328" s="13">
        <f>SUMPRODUCT(N3328:Y3328,$N$3:$Y$3)*$K3328*$L3328*$M3328</f>
        <v/>
      </c>
      <c r="AC3328" s="13">
        <f>SUMPRODUCT(N3328:Y3328,$N$4:$Y$4)*$K3328*$L3328*$M3328</f>
        <v/>
      </c>
      <c r="AD3328" s="15" t="n">
        <v>3</v>
      </c>
      <c r="AE3328" s="11" t="n">
        <v>1.011296296296296</v>
      </c>
      <c r="AF3328" s="16">
        <f>SUMPRODUCT(N3328:Y3328,$N$5:$Y$5)*$K3328*$L3328*$M3328</f>
        <v/>
      </c>
      <c r="AG3328" s="16">
        <f>SUMPRODUCT(N3328:Y3328,$N$6:$Y$6)*$K3328*$L3328*$M3328</f>
        <v/>
      </c>
      <c r="AH3328" s="20" t="n"/>
    </row>
    <row r="3329">
      <c r="A3329" s="9" t="n">
        <v>695418</v>
      </c>
      <c r="B3329" s="9" t="inlineStr">
        <is>
          <t>Brad Lord</t>
        </is>
      </c>
      <c r="C3329" s="9" t="inlineStr">
        <is>
          <t>WSH</t>
        </is>
      </c>
      <c r="D3329" s="9" t="n">
        <v>27</v>
      </c>
      <c r="E3329" s="18" t="inlineStr">
        <is>
          <t>R</t>
        </is>
      </c>
      <c r="F3329" s="18" t="n"/>
      <c r="G3329" s="9" t="n">
        <v>357</v>
      </c>
      <c r="H3329" s="9" t="n">
        <v>903</v>
      </c>
      <c r="I3329" s="9" t="inlineStr">
        <is>
          <t>Swing Arm / Long Relief</t>
        </is>
      </c>
      <c r="J3329" s="18" t="inlineStr">
        <is>
          <t>Opening Day</t>
        </is>
      </c>
      <c r="K3329" s="11">
        <f>IFERROR(INDEX(Roles!$B$17:$B$20,MATCH(J3329,Roles!$A$17:$A$20,0)),1)</f>
        <v/>
      </c>
      <c r="L3329" s="19" t="n">
        <v>1</v>
      </c>
      <c r="M3329" s="11" t="n">
        <v>1</v>
      </c>
      <c r="N3329" s="19" t="n"/>
      <c r="O3329" s="19" t="n"/>
      <c r="P3329" s="19" t="n"/>
      <c r="Q3329" s="19" t="n"/>
      <c r="R3329" s="19" t="n">
        <v>0.6</v>
      </c>
      <c r="S3329" s="19" t="n"/>
      <c r="T3329" s="19" t="n"/>
      <c r="U3329" s="19" t="n"/>
      <c r="V3329" s="19" t="n">
        <v>0.4</v>
      </c>
      <c r="W3329" s="19" t="n"/>
      <c r="X3329" s="19" t="n"/>
      <c r="Y3329" s="19" t="n"/>
      <c r="Z3329" s="13">
        <f>SUMPRODUCT(N3329:Y3329,$N$2:$Y$2)*$K3329*$L3329*$M3329</f>
        <v/>
      </c>
      <c r="AA3329" s="14">
        <f>SUM(N3329:Y3329)</f>
        <v/>
      </c>
      <c r="AB3329" s="13">
        <f>SUMPRODUCT(N3329:Y3329,$N$3:$Y$3)*$K3329*$L3329*$M3329</f>
        <v/>
      </c>
      <c r="AC3329" s="13">
        <f>SUMPRODUCT(N3329:Y3329,$N$4:$Y$4)*$K3329*$L3329*$M3329</f>
        <v/>
      </c>
      <c r="AD3329" s="15" t="n">
        <v>34.05333333333333</v>
      </c>
      <c r="AE3329" s="11" t="n">
        <v>2.4575828104972</v>
      </c>
      <c r="AF3329" s="16">
        <f>SUMPRODUCT(N3329:Y3329,$N$5:$Y$5)*$K3329*$L3329*$M3329</f>
        <v/>
      </c>
      <c r="AG3329" s="16">
        <f>SUMPRODUCT(N3329:Y3329,$N$6:$Y$6)*$K3329*$L3329*$M3329</f>
        <v/>
      </c>
      <c r="AH3329" s="20" t="n"/>
    </row>
    <row r="3330">
      <c r="A3330" s="9" t="n">
        <v>660593</v>
      </c>
      <c r="B3330" s="9" t="inlineStr">
        <is>
          <t>Denyi Reyes</t>
        </is>
      </c>
      <c r="C3330" s="9" t="inlineStr">
        <is>
          <t>NYM</t>
        </is>
      </c>
      <c r="D3330" s="9" t="n">
        <v>30</v>
      </c>
      <c r="E3330" s="18" t="inlineStr">
        <is>
          <t>R</t>
        </is>
      </c>
      <c r="F3330" s="18" t="n"/>
      <c r="G3330" s="9" t="n">
        <v>90</v>
      </c>
      <c r="H3330" s="9" t="n">
        <v>121</v>
      </c>
      <c r="I3330" s="9" t="inlineStr">
        <is>
          <t>Depth (no MLB IP)</t>
        </is>
      </c>
      <c r="J3330" s="18" t="inlineStr">
        <is>
          <t>Opening Day</t>
        </is>
      </c>
      <c r="K3330" s="11">
        <f>IFERROR(INDEX(Roles!$B$17:$B$20,MATCH(J3330,Roles!$A$17:$A$20,0)),1)</f>
        <v/>
      </c>
      <c r="L3330" s="19" t="n">
        <v>1</v>
      </c>
      <c r="M3330" s="11" t="n">
        <v>1</v>
      </c>
      <c r="N3330" s="19" t="n"/>
      <c r="O3330" s="19" t="n"/>
      <c r="P3330" s="19" t="n"/>
      <c r="Q3330" s="19" t="n"/>
      <c r="R3330" s="19" t="n"/>
      <c r="S3330" s="19" t="n"/>
      <c r="T3330" s="19" t="n"/>
      <c r="U3330" s="19" t="n"/>
      <c r="V3330" s="19" t="n"/>
      <c r="W3330" s="19" t="n"/>
      <c r="X3330" s="19" t="n"/>
      <c r="Y3330" s="19" t="n">
        <v>1</v>
      </c>
      <c r="Z3330" s="13">
        <f>SUMPRODUCT(N3330:Y3330,$N$2:$Y$2)*$K3330*$L3330*$M3330</f>
        <v/>
      </c>
      <c r="AA3330" s="14">
        <f>SUM(N3330:Y3330)</f>
        <v/>
      </c>
      <c r="AB3330" s="13">
        <f>SUMPRODUCT(N3330:Y3330,$N$3:$Y$3)*$K3330*$L3330*$M3330</f>
        <v/>
      </c>
      <c r="AC3330" s="13">
        <f>SUMPRODUCT(N3330:Y3330,$N$4:$Y$4)*$K3330*$L3330*$M3330</f>
        <v/>
      </c>
      <c r="AD3330" s="15" t="n">
        <v>3</v>
      </c>
      <c r="AE3330" s="11" t="n">
        <v>1.011296296296296</v>
      </c>
      <c r="AF3330" s="16">
        <f>SUMPRODUCT(N3330:Y3330,$N$5:$Y$5)*$K3330*$L3330*$M3330</f>
        <v/>
      </c>
      <c r="AG3330" s="16">
        <f>SUMPRODUCT(N3330:Y3330,$N$6:$Y$6)*$K3330*$L3330*$M3330</f>
        <v/>
      </c>
      <c r="AH3330" s="20" t="n"/>
    </row>
    <row r="3331">
      <c r="A3331" s="9" t="n">
        <v>807744</v>
      </c>
      <c r="B3331" s="9" t="inlineStr">
        <is>
          <t>Ty Cummings</t>
        </is>
      </c>
      <c r="C3331" s="9" t="inlineStr">
        <is>
          <t>SEA</t>
        </is>
      </c>
      <c r="D3331" s="9" t="n">
        <v>25</v>
      </c>
      <c r="E3331" s="18" t="inlineStr">
        <is>
          <t>R</t>
        </is>
      </c>
      <c r="F3331" s="18" t="n"/>
      <c r="G3331" s="9" t="n">
        <v>93.31</v>
      </c>
      <c r="H3331" s="9" t="n">
        <v>93.31</v>
      </c>
      <c r="I3331" s="9" t="inlineStr">
        <is>
          <t>Depth (no MLB IP)</t>
        </is>
      </c>
      <c r="J3331" s="18" t="inlineStr">
        <is>
          <t>Opening Day</t>
        </is>
      </c>
      <c r="K3331" s="11">
        <f>IFERROR(INDEX(Roles!$B$17:$B$20,MATCH(J3331,Roles!$A$17:$A$20,0)),1)</f>
        <v/>
      </c>
      <c r="L3331" s="19" t="n">
        <v>1</v>
      </c>
      <c r="M3331" s="11" t="n">
        <v>1</v>
      </c>
      <c r="N3331" s="19" t="n"/>
      <c r="O3331" s="19" t="n"/>
      <c r="P3331" s="19" t="n"/>
      <c r="Q3331" s="19" t="n"/>
      <c r="R3331" s="19" t="n"/>
      <c r="S3331" s="19" t="n"/>
      <c r="T3331" s="19" t="n"/>
      <c r="U3331" s="19" t="n"/>
      <c r="V3331" s="19" t="n"/>
      <c r="W3331" s="19" t="n"/>
      <c r="X3331" s="19" t="n"/>
      <c r="Y3331" s="19" t="n">
        <v>1</v>
      </c>
      <c r="Z3331" s="13">
        <f>SUMPRODUCT(N3331:Y3331,$N$2:$Y$2)*$K3331*$L3331*$M3331</f>
        <v/>
      </c>
      <c r="AA3331" s="14">
        <f>SUM(N3331:Y3331)</f>
        <v/>
      </c>
      <c r="AB3331" s="13">
        <f>SUMPRODUCT(N3331:Y3331,$N$3:$Y$3)*$K3331*$L3331*$M3331</f>
        <v/>
      </c>
      <c r="AC3331" s="13">
        <f>SUMPRODUCT(N3331:Y3331,$N$4:$Y$4)*$K3331*$L3331*$M3331</f>
        <v/>
      </c>
      <c r="AD3331" s="15" t="n">
        <v>3</v>
      </c>
      <c r="AE3331" s="11" t="n">
        <v>1.011296296296296</v>
      </c>
      <c r="AF3331" s="16">
        <f>SUMPRODUCT(N3331:Y3331,$N$5:$Y$5)*$K3331*$L3331*$M3331</f>
        <v/>
      </c>
      <c r="AG3331" s="16">
        <f>SUMPRODUCT(N3331:Y3331,$N$6:$Y$6)*$K3331*$L3331*$M3331</f>
        <v/>
      </c>
      <c r="AH3331" s="20" t="n"/>
    </row>
    <row r="3332">
      <c r="A3332" s="9" t="n">
        <v>815045</v>
      </c>
      <c r="B3332" s="9" t="inlineStr">
        <is>
          <t>Zachary Cawyer</t>
        </is>
      </c>
      <c r="C3332" s="9" t="inlineStr">
        <is>
          <t>KC</t>
        </is>
      </c>
      <c r="D3332" s="9" t="n">
        <v>25</v>
      </c>
      <c r="E3332" s="18" t="inlineStr">
        <is>
          <t>R</t>
        </is>
      </c>
      <c r="F3332" s="18" t="n"/>
      <c r="G3332" s="9" t="n">
        <v>93.31</v>
      </c>
      <c r="H3332" s="9" t="n">
        <v>93.31</v>
      </c>
      <c r="I3332" s="9" t="inlineStr">
        <is>
          <t>Depth (no MLB IP)</t>
        </is>
      </c>
      <c r="J3332" s="18" t="inlineStr">
        <is>
          <t>Opening Day</t>
        </is>
      </c>
      <c r="K3332" s="11">
        <f>IFERROR(INDEX(Roles!$B$17:$B$20,MATCH(J3332,Roles!$A$17:$A$20,0)),1)</f>
        <v/>
      </c>
      <c r="L3332" s="19" t="n">
        <v>1</v>
      </c>
      <c r="M3332" s="11" t="n">
        <v>1</v>
      </c>
      <c r="N3332" s="19" t="n"/>
      <c r="O3332" s="19" t="n"/>
      <c r="P3332" s="19" t="n"/>
      <c r="Q3332" s="19" t="n"/>
      <c r="R3332" s="19" t="n"/>
      <c r="S3332" s="19" t="n"/>
      <c r="T3332" s="19" t="n"/>
      <c r="U3332" s="19" t="n"/>
      <c r="V3332" s="19" t="n"/>
      <c r="W3332" s="19" t="n"/>
      <c r="X3332" s="19" t="n"/>
      <c r="Y3332" s="19" t="n">
        <v>1</v>
      </c>
      <c r="Z3332" s="13">
        <f>SUMPRODUCT(N3332:Y3332,$N$2:$Y$2)*$K3332*$L3332*$M3332</f>
        <v/>
      </c>
      <c r="AA3332" s="14">
        <f>SUM(N3332:Y3332)</f>
        <v/>
      </c>
      <c r="AB3332" s="13">
        <f>SUMPRODUCT(N3332:Y3332,$N$3:$Y$3)*$K3332*$L3332*$M3332</f>
        <v/>
      </c>
      <c r="AC3332" s="13">
        <f>SUMPRODUCT(N3332:Y3332,$N$4:$Y$4)*$K3332*$L3332*$M3332</f>
        <v/>
      </c>
      <c r="AD3332" s="15" t="n">
        <v>3</v>
      </c>
      <c r="AE3332" s="11" t="n">
        <v>1.011296296296296</v>
      </c>
      <c r="AF3332" s="16">
        <f>SUMPRODUCT(N3332:Y3332,$N$5:$Y$5)*$K3332*$L3332*$M3332</f>
        <v/>
      </c>
      <c r="AG3332" s="16">
        <f>SUMPRODUCT(N3332:Y3332,$N$6:$Y$6)*$K3332*$L3332*$M3332</f>
        <v/>
      </c>
      <c r="AH3332" s="20" t="n"/>
    </row>
    <row r="3333">
      <c r="A3333" s="9" t="n">
        <v>624428</v>
      </c>
      <c r="B3333" s="9" t="inlineStr">
        <is>
          <t>Adam Frazier</t>
        </is>
      </c>
      <c r="C3333" s="9" t="inlineStr">
        <is>
          <t>LAA</t>
        </is>
      </c>
      <c r="D3333" s="9" t="n">
        <v>35</v>
      </c>
      <c r="E3333" s="18" t="inlineStr">
        <is>
          <t>R</t>
        </is>
      </c>
      <c r="F3333" s="18" t="n"/>
      <c r="G3333" s="9" t="n">
        <v>14</v>
      </c>
      <c r="H3333" s="9" t="n">
        <v>14</v>
      </c>
      <c r="I3333" s="9" t="inlineStr">
        <is>
          <t>Depth (no MLB IP)</t>
        </is>
      </c>
      <c r="J3333" s="18" t="inlineStr">
        <is>
          <t>Opening Day</t>
        </is>
      </c>
      <c r="K3333" s="11">
        <f>IFERROR(INDEX(Roles!$B$17:$B$20,MATCH(J3333,Roles!$A$17:$A$20,0)),1)</f>
        <v/>
      </c>
      <c r="L3333" s="19" t="n">
        <v>1</v>
      </c>
      <c r="M3333" s="11" t="n">
        <v>1</v>
      </c>
      <c r="N3333" s="19" t="n"/>
      <c r="O3333" s="19" t="n"/>
      <c r="P3333" s="19" t="n"/>
      <c r="Q3333" s="19" t="n"/>
      <c r="R3333" s="19" t="n"/>
      <c r="S3333" s="19" t="n"/>
      <c r="T3333" s="19" t="n"/>
      <c r="U3333" s="19" t="n"/>
      <c r="V3333" s="19" t="n"/>
      <c r="W3333" s="19" t="n"/>
      <c r="X3333" s="19" t="n"/>
      <c r="Y3333" s="19" t="n">
        <v>1</v>
      </c>
      <c r="Z3333" s="13">
        <f>SUMPRODUCT(N3333:Y3333,$N$2:$Y$2)*$K3333*$L3333*$M3333</f>
        <v/>
      </c>
      <c r="AA3333" s="14">
        <f>SUM(N3333:Y3333)</f>
        <v/>
      </c>
      <c r="AB3333" s="13">
        <f>SUMPRODUCT(N3333:Y3333,$N$3:$Y$3)*$K3333*$L3333*$M3333</f>
        <v/>
      </c>
      <c r="AC3333" s="13">
        <f>SUMPRODUCT(N3333:Y3333,$N$4:$Y$4)*$K3333*$L3333*$M3333</f>
        <v/>
      </c>
      <c r="AD3333" s="15" t="n">
        <v>3</v>
      </c>
      <c r="AE3333" s="11" t="n">
        <v>0.8964197530864197</v>
      </c>
      <c r="AF3333" s="16">
        <f>SUMPRODUCT(N3333:Y3333,$N$5:$Y$5)*$K3333*$L3333*$M3333</f>
        <v/>
      </c>
      <c r="AG3333" s="16">
        <f>SUMPRODUCT(N3333:Y3333,$N$6:$Y$6)*$K3333*$L3333*$M3333</f>
        <v/>
      </c>
      <c r="AH3333" s="20" t="n"/>
    </row>
    <row r="3334">
      <c r="A3334" s="9" t="n">
        <v>802419</v>
      </c>
      <c r="B3334" s="9" t="inlineStr">
        <is>
          <t>Thomas Harrington</t>
        </is>
      </c>
      <c r="C3334" s="9" t="inlineStr">
        <is>
          <t>PIT</t>
        </is>
      </c>
      <c r="D3334" s="9" t="n">
        <v>25</v>
      </c>
      <c r="E3334" s="18" t="inlineStr">
        <is>
          <t>R</t>
        </is>
      </c>
      <c r="F3334" s="18" t="n"/>
      <c r="G3334" s="9" t="n">
        <v>50</v>
      </c>
      <c r="H3334" s="9" t="n">
        <v>50</v>
      </c>
      <c r="I3334" s="9" t="inlineStr">
        <is>
          <t>Bullpen Depth Arm</t>
        </is>
      </c>
      <c r="J3334" s="18" t="inlineStr">
        <is>
          <t>Opening Day</t>
        </is>
      </c>
      <c r="K3334" s="11">
        <f>IFERROR(INDEX(Roles!$B$17:$B$20,MATCH(J3334,Roles!$A$17:$A$20,0)),1)</f>
        <v/>
      </c>
      <c r="L3334" s="19" t="n">
        <v>1</v>
      </c>
      <c r="M3334" s="11" t="n">
        <v>1</v>
      </c>
      <c r="N3334" s="19" t="n"/>
      <c r="O3334" s="19" t="n"/>
      <c r="P3334" s="19" t="n"/>
      <c r="Q3334" s="19" t="n"/>
      <c r="R3334" s="19" t="n"/>
      <c r="S3334" s="19" t="n"/>
      <c r="T3334" s="19" t="n"/>
      <c r="U3334" s="19" t="n"/>
      <c r="V3334" s="19" t="n"/>
      <c r="W3334" s="19" t="n">
        <v>1</v>
      </c>
      <c r="X3334" s="19" t="n"/>
      <c r="Y3334" s="19" t="n"/>
      <c r="Z3334" s="13">
        <f>SUMPRODUCT(N3334:Y3334,$N$2:$Y$2)*$K3334*$L3334*$M3334</f>
        <v/>
      </c>
      <c r="AA3334" s="14">
        <f>SUM(N3334:Y3334)</f>
        <v/>
      </c>
      <c r="AB3334" s="13">
        <f>SUMPRODUCT(N3334:Y3334,$N$3:$Y$3)*$K3334*$L3334*$M3334</f>
        <v/>
      </c>
      <c r="AC3334" s="13">
        <f>SUMPRODUCT(N3334:Y3334,$N$4:$Y$4)*$K3334*$L3334*$M3334</f>
        <v/>
      </c>
      <c r="AD3334" s="15" t="n">
        <v>7.466666666666666</v>
      </c>
      <c r="AE3334" s="11" t="n">
        <v>1.764470097803431</v>
      </c>
      <c r="AF3334" s="16">
        <f>SUMPRODUCT(N3334:Y3334,$N$5:$Y$5)*$K3334*$L3334*$M3334</f>
        <v/>
      </c>
      <c r="AG3334" s="16">
        <f>SUMPRODUCT(N3334:Y3334,$N$6:$Y$6)*$K3334*$L3334*$M3334</f>
        <v/>
      </c>
      <c r="AH3334" s="20" t="n"/>
    </row>
    <row r="3335">
      <c r="A3335" s="9" t="n">
        <v>699008</v>
      </c>
      <c r="B3335" s="9" t="inlineStr">
        <is>
          <t>Antwone Kelly</t>
        </is>
      </c>
      <c r="C3335" s="9" t="inlineStr">
        <is>
          <t>PIT</t>
        </is>
      </c>
      <c r="D3335" s="9" t="n">
        <v>23</v>
      </c>
      <c r="E3335" s="18" t="inlineStr">
        <is>
          <t>R</t>
        </is>
      </c>
      <c r="F3335" s="18" t="n"/>
      <c r="G3335" s="9" t="n">
        <v>81</v>
      </c>
      <c r="H3335" s="9" t="n">
        <v>81</v>
      </c>
      <c r="I3335" s="9" t="inlineStr">
        <is>
          <t>Swing Arm / Long Relief</t>
        </is>
      </c>
      <c r="J3335" s="18" t="inlineStr">
        <is>
          <t>Opening Day</t>
        </is>
      </c>
      <c r="K3335" s="11">
        <f>IFERROR(INDEX(Roles!$B$17:$B$20,MATCH(J3335,Roles!$A$17:$A$20,0)),1)</f>
        <v/>
      </c>
      <c r="L3335" s="19" t="n">
        <v>1</v>
      </c>
      <c r="M3335" s="11" t="n">
        <v>1</v>
      </c>
      <c r="N3335" s="19" t="n"/>
      <c r="O3335" s="19" t="n"/>
      <c r="P3335" s="19" t="n"/>
      <c r="Q3335" s="19" t="n"/>
      <c r="R3335" s="19" t="n">
        <v>0.6</v>
      </c>
      <c r="S3335" s="19" t="n"/>
      <c r="T3335" s="19" t="n"/>
      <c r="U3335" s="19" t="n"/>
      <c r="V3335" s="19" t="n"/>
      <c r="W3335" s="19" t="n">
        <v>0.4</v>
      </c>
      <c r="X3335" s="19" t="n"/>
      <c r="Y3335" s="19" t="n"/>
      <c r="Z3335" s="13">
        <f>SUMPRODUCT(N3335:Y3335,$N$2:$Y$2)*$K3335*$L3335*$M3335</f>
        <v/>
      </c>
      <c r="AA3335" s="14">
        <f>SUM(N3335:Y3335)</f>
        <v/>
      </c>
      <c r="AB3335" s="13">
        <f>SUMPRODUCT(N3335:Y3335,$N$3:$Y$3)*$K3335*$L3335*$M3335</f>
        <v/>
      </c>
      <c r="AC3335" s="13">
        <f>SUMPRODUCT(N3335:Y3335,$N$4:$Y$4)*$K3335*$L3335*$M3335</f>
        <v/>
      </c>
      <c r="AD3335" s="15" t="n">
        <v>12.93333333333333</v>
      </c>
      <c r="AE3335" s="11" t="n">
        <v>2.446265938069217</v>
      </c>
      <c r="AF3335" s="16">
        <f>SUMPRODUCT(N3335:Y3335,$N$5:$Y$5)*$K3335*$L3335*$M3335</f>
        <v/>
      </c>
      <c r="AG3335" s="16">
        <f>SUMPRODUCT(N3335:Y3335,$N$6:$Y$6)*$K3335*$L3335*$M3335</f>
        <v/>
      </c>
      <c r="AH3335" s="20" t="n"/>
    </row>
    <row r="3336">
      <c r="A3336" s="9" t="n">
        <v>700174</v>
      </c>
      <c r="B3336" s="9" t="inlineStr">
        <is>
          <t>Jordy Vargas</t>
        </is>
      </c>
      <c r="C3336" s="9" t="inlineStr">
        <is>
          <t>COL</t>
        </is>
      </c>
      <c r="D3336" s="9" t="n">
        <v>25</v>
      </c>
      <c r="E3336" s="18" t="inlineStr">
        <is>
          <t>R</t>
        </is>
      </c>
      <c r="F3336" s="18" t="n"/>
      <c r="G3336" s="9" t="n">
        <v>93.73999999999999</v>
      </c>
      <c r="H3336" s="9" t="n">
        <v>93.73999999999999</v>
      </c>
      <c r="I3336" s="9" t="inlineStr">
        <is>
          <t>Depth (no MLB IP)</t>
        </is>
      </c>
      <c r="J3336" s="18" t="inlineStr">
        <is>
          <t>Opening Day</t>
        </is>
      </c>
      <c r="K3336" s="11">
        <f>IFERROR(INDEX(Roles!$B$17:$B$20,MATCH(J3336,Roles!$A$17:$A$20,0)),1)</f>
        <v/>
      </c>
      <c r="L3336" s="19" t="n">
        <v>1</v>
      </c>
      <c r="M3336" s="11" t="n">
        <v>1</v>
      </c>
      <c r="N3336" s="19" t="n"/>
      <c r="O3336" s="19" t="n"/>
      <c r="P3336" s="19" t="n"/>
      <c r="Q3336" s="19" t="n"/>
      <c r="R3336" s="19" t="n"/>
      <c r="S3336" s="19" t="n"/>
      <c r="T3336" s="19" t="n"/>
      <c r="U3336" s="19" t="n"/>
      <c r="V3336" s="19" t="n"/>
      <c r="W3336" s="19" t="n"/>
      <c r="X3336" s="19" t="n"/>
      <c r="Y3336" s="19" t="n">
        <v>1</v>
      </c>
      <c r="Z3336" s="13">
        <f>SUMPRODUCT(N3336:Y3336,$N$2:$Y$2)*$K3336*$L3336*$M3336</f>
        <v/>
      </c>
      <c r="AA3336" s="14">
        <f>SUM(N3336:Y3336)</f>
        <v/>
      </c>
      <c r="AB3336" s="13">
        <f>SUMPRODUCT(N3336:Y3336,$N$3:$Y$3)*$K3336*$L3336*$M3336</f>
        <v/>
      </c>
      <c r="AC3336" s="13">
        <f>SUMPRODUCT(N3336:Y3336,$N$4:$Y$4)*$K3336*$L3336*$M3336</f>
        <v/>
      </c>
      <c r="AD3336" s="15" t="n">
        <v>3</v>
      </c>
      <c r="AE3336" s="11" t="n">
        <v>1.011296296296296</v>
      </c>
      <c r="AF3336" s="16">
        <f>SUMPRODUCT(N3336:Y3336,$N$5:$Y$5)*$K3336*$L3336*$M3336</f>
        <v/>
      </c>
      <c r="AG3336" s="16">
        <f>SUMPRODUCT(N3336:Y3336,$N$6:$Y$6)*$K3336*$L3336*$M3336</f>
        <v/>
      </c>
      <c r="AH3336" s="20" t="n"/>
    </row>
    <row r="3337">
      <c r="A3337" s="9" t="n">
        <v>679712</v>
      </c>
      <c r="B3337" s="9" t="inlineStr">
        <is>
          <t>Lael Lockhart</t>
        </is>
      </c>
      <c r="C3337" s="9" t="inlineStr">
        <is>
          <t>DET</t>
        </is>
      </c>
      <c r="D3337" s="9" t="n">
        <v>25</v>
      </c>
      <c r="E3337" s="18" t="inlineStr">
        <is>
          <t>L</t>
        </is>
      </c>
      <c r="F3337" s="18" t="n"/>
      <c r="G3337" s="9" t="n">
        <v>93.81166666666668</v>
      </c>
      <c r="H3337" s="9" t="n">
        <v>93.81166666666668</v>
      </c>
      <c r="I3337" s="9" t="inlineStr">
        <is>
          <t>Depth (no MLB IP)</t>
        </is>
      </c>
      <c r="J3337" s="18" t="inlineStr">
        <is>
          <t>Opening Day</t>
        </is>
      </c>
      <c r="K3337" s="11">
        <f>IFERROR(INDEX(Roles!$B$17:$B$20,MATCH(J3337,Roles!$A$17:$A$20,0)),1)</f>
        <v/>
      </c>
      <c r="L3337" s="19" t="n">
        <v>1</v>
      </c>
      <c r="M3337" s="11" t="n">
        <v>1</v>
      </c>
      <c r="N3337" s="19" t="n"/>
      <c r="O3337" s="19" t="n"/>
      <c r="P3337" s="19" t="n"/>
      <c r="Q3337" s="19" t="n"/>
      <c r="R3337" s="19" t="n"/>
      <c r="S3337" s="19" t="n"/>
      <c r="T3337" s="19" t="n"/>
      <c r="U3337" s="19" t="n"/>
      <c r="V3337" s="19" t="n"/>
      <c r="W3337" s="19" t="n"/>
      <c r="X3337" s="19" t="n"/>
      <c r="Y3337" s="19" t="n">
        <v>1</v>
      </c>
      <c r="Z3337" s="13">
        <f>SUMPRODUCT(N3337:Y3337,$N$2:$Y$2)*$K3337*$L3337*$M3337</f>
        <v/>
      </c>
      <c r="AA3337" s="14">
        <f>SUM(N3337:Y3337)</f>
        <v/>
      </c>
      <c r="AB3337" s="13">
        <f>SUMPRODUCT(N3337:Y3337,$N$3:$Y$3)*$K3337*$L3337*$M3337</f>
        <v/>
      </c>
      <c r="AC3337" s="13">
        <f>SUMPRODUCT(N3337:Y3337,$N$4:$Y$4)*$K3337*$L3337*$M3337</f>
        <v/>
      </c>
      <c r="AD3337" s="15" t="n">
        <v>3</v>
      </c>
      <c r="AE3337" s="11" t="n">
        <v>1.011296296296296</v>
      </c>
      <c r="AF3337" s="16">
        <f>SUMPRODUCT(N3337:Y3337,$N$5:$Y$5)*$K3337*$L3337*$M3337</f>
        <v/>
      </c>
      <c r="AG3337" s="16">
        <f>SUMPRODUCT(N3337:Y3337,$N$6:$Y$6)*$K3337*$L3337*$M3337</f>
        <v/>
      </c>
      <c r="AH3337" s="20" t="n"/>
    </row>
    <row r="3338">
      <c r="A3338" s="9" t="n">
        <v>801643</v>
      </c>
      <c r="B3338" s="9" t="inlineStr">
        <is>
          <t>Owen Wild</t>
        </is>
      </c>
      <c r="C3338" s="9" t="inlineStr">
        <is>
          <t>TB</t>
        </is>
      </c>
      <c r="D3338" s="9" t="n">
        <v>25</v>
      </c>
      <c r="E3338" s="18" t="inlineStr">
        <is>
          <t>R</t>
        </is>
      </c>
      <c r="F3338" s="18" t="n"/>
      <c r="G3338" s="9" t="n">
        <v>93.81166666666668</v>
      </c>
      <c r="H3338" s="9" t="n">
        <v>93.81166666666668</v>
      </c>
      <c r="I3338" s="9" t="inlineStr">
        <is>
          <t>Depth (no MLB IP)</t>
        </is>
      </c>
      <c r="J3338" s="18" t="inlineStr">
        <is>
          <t>Opening Day</t>
        </is>
      </c>
      <c r="K3338" s="11">
        <f>IFERROR(INDEX(Roles!$B$17:$B$20,MATCH(J3338,Roles!$A$17:$A$20,0)),1)</f>
        <v/>
      </c>
      <c r="L3338" s="19" t="n">
        <v>1</v>
      </c>
      <c r="M3338" s="11" t="n">
        <v>1</v>
      </c>
      <c r="N3338" s="19" t="n"/>
      <c r="O3338" s="19" t="n"/>
      <c r="P3338" s="19" t="n"/>
      <c r="Q3338" s="19" t="n"/>
      <c r="R3338" s="19" t="n"/>
      <c r="S3338" s="19" t="n"/>
      <c r="T3338" s="19" t="n"/>
      <c r="U3338" s="19" t="n"/>
      <c r="V3338" s="19" t="n"/>
      <c r="W3338" s="19" t="n"/>
      <c r="X3338" s="19" t="n"/>
      <c r="Y3338" s="19" t="n">
        <v>1</v>
      </c>
      <c r="Z3338" s="13">
        <f>SUMPRODUCT(N3338:Y3338,$N$2:$Y$2)*$K3338*$L3338*$M3338</f>
        <v/>
      </c>
      <c r="AA3338" s="14">
        <f>SUM(N3338:Y3338)</f>
        <v/>
      </c>
      <c r="AB3338" s="13">
        <f>SUMPRODUCT(N3338:Y3338,$N$3:$Y$3)*$K3338*$L3338*$M3338</f>
        <v/>
      </c>
      <c r="AC3338" s="13">
        <f>SUMPRODUCT(N3338:Y3338,$N$4:$Y$4)*$K3338*$L3338*$M3338</f>
        <v/>
      </c>
      <c r="AD3338" s="15" t="n">
        <v>3</v>
      </c>
      <c r="AE3338" s="11" t="n">
        <v>1.011296296296296</v>
      </c>
      <c r="AF3338" s="16">
        <f>SUMPRODUCT(N3338:Y3338,$N$5:$Y$5)*$K3338*$L3338*$M3338</f>
        <v/>
      </c>
      <c r="AG3338" s="16">
        <f>SUMPRODUCT(N3338:Y3338,$N$6:$Y$6)*$K3338*$L3338*$M3338</f>
        <v/>
      </c>
      <c r="AH3338" s="20" t="n"/>
    </row>
    <row r="3339">
      <c r="A3339" s="9" t="n">
        <v>822462</v>
      </c>
      <c r="B3339" s="9" t="inlineStr">
        <is>
          <t>Evan Truitt</t>
        </is>
      </c>
      <c r="C3339" s="9" t="inlineStr">
        <is>
          <t>SEA</t>
        </is>
      </c>
      <c r="D3339" s="9" t="n">
        <v>25</v>
      </c>
      <c r="E3339" s="18" t="inlineStr">
        <is>
          <t>R</t>
        </is>
      </c>
      <c r="F3339" s="18" t="n"/>
      <c r="G3339" s="9" t="n">
        <v>93.73999999999999</v>
      </c>
      <c r="H3339" s="9" t="n">
        <v>93.73999999999999</v>
      </c>
      <c r="I3339" s="9" t="inlineStr">
        <is>
          <t>Depth (no MLB IP)</t>
        </is>
      </c>
      <c r="J3339" s="18" t="inlineStr">
        <is>
          <t>Opening Day</t>
        </is>
      </c>
      <c r="K3339" s="11">
        <f>IFERROR(INDEX(Roles!$B$17:$B$20,MATCH(J3339,Roles!$A$17:$A$20,0)),1)</f>
        <v/>
      </c>
      <c r="L3339" s="19" t="n">
        <v>1</v>
      </c>
      <c r="M3339" s="11" t="n">
        <v>1</v>
      </c>
      <c r="N3339" s="19" t="n"/>
      <c r="O3339" s="19" t="n"/>
      <c r="P3339" s="19" t="n"/>
      <c r="Q3339" s="19" t="n"/>
      <c r="R3339" s="19" t="n"/>
      <c r="S3339" s="19" t="n"/>
      <c r="T3339" s="19" t="n"/>
      <c r="U3339" s="19" t="n"/>
      <c r="V3339" s="19" t="n"/>
      <c r="W3339" s="19" t="n"/>
      <c r="X3339" s="19" t="n"/>
      <c r="Y3339" s="19" t="n">
        <v>1</v>
      </c>
      <c r="Z3339" s="13">
        <f>SUMPRODUCT(N3339:Y3339,$N$2:$Y$2)*$K3339*$L3339*$M3339</f>
        <v/>
      </c>
      <c r="AA3339" s="14">
        <f>SUM(N3339:Y3339)</f>
        <v/>
      </c>
      <c r="AB3339" s="13">
        <f>SUMPRODUCT(N3339:Y3339,$N$3:$Y$3)*$K3339*$L3339*$M3339</f>
        <v/>
      </c>
      <c r="AC3339" s="13">
        <f>SUMPRODUCT(N3339:Y3339,$N$4:$Y$4)*$K3339*$L3339*$M3339</f>
        <v/>
      </c>
      <c r="AD3339" s="15" t="n">
        <v>3</v>
      </c>
      <c r="AE3339" s="11" t="n">
        <v>1.011296296296296</v>
      </c>
      <c r="AF3339" s="16">
        <f>SUMPRODUCT(N3339:Y3339,$N$5:$Y$5)*$K3339*$L3339*$M3339</f>
        <v/>
      </c>
      <c r="AG3339" s="16">
        <f>SUMPRODUCT(N3339:Y3339,$N$6:$Y$6)*$K3339*$L3339*$M3339</f>
        <v/>
      </c>
      <c r="AH3339" s="20" t="n"/>
    </row>
    <row r="3340">
      <c r="A3340" s="9" t="n">
        <v>675919</v>
      </c>
      <c r="B3340" s="9" t="inlineStr">
        <is>
          <t>Nick Raquet</t>
        </is>
      </c>
      <c r="C3340" s="9" t="inlineStr">
        <is>
          <t>BAL</t>
        </is>
      </c>
      <c r="D3340" s="9" t="n">
        <v>31</v>
      </c>
      <c r="E3340" s="18" t="inlineStr">
        <is>
          <t>L</t>
        </is>
      </c>
      <c r="F3340" s="18" t="n"/>
      <c r="G3340" s="9" t="n">
        <v>17</v>
      </c>
      <c r="H3340" s="9" t="n">
        <v>24</v>
      </c>
      <c r="I3340" s="9" t="inlineStr">
        <is>
          <t>Depth (no MLB IP)</t>
        </is>
      </c>
      <c r="J3340" s="18" t="inlineStr">
        <is>
          <t>Opening Day</t>
        </is>
      </c>
      <c r="K3340" s="11">
        <f>IFERROR(INDEX(Roles!$B$17:$B$20,MATCH(J3340,Roles!$A$17:$A$20,0)),1)</f>
        <v/>
      </c>
      <c r="L3340" s="19" t="n">
        <v>1</v>
      </c>
      <c r="M3340" s="11" t="n">
        <v>1</v>
      </c>
      <c r="N3340" s="19" t="n"/>
      <c r="O3340" s="19" t="n"/>
      <c r="P3340" s="19" t="n"/>
      <c r="Q3340" s="19" t="n"/>
      <c r="R3340" s="19" t="n"/>
      <c r="S3340" s="19" t="n"/>
      <c r="T3340" s="19" t="n"/>
      <c r="U3340" s="19" t="n"/>
      <c r="V3340" s="19" t="n"/>
      <c r="W3340" s="19" t="n"/>
      <c r="X3340" s="19" t="n"/>
      <c r="Y3340" s="19" t="n">
        <v>1</v>
      </c>
      <c r="Z3340" s="13">
        <f>SUMPRODUCT(N3340:Y3340,$N$2:$Y$2)*$K3340*$L3340*$M3340</f>
        <v/>
      </c>
      <c r="AA3340" s="14">
        <f>SUM(N3340:Y3340)</f>
        <v/>
      </c>
      <c r="AB3340" s="13">
        <f>SUMPRODUCT(N3340:Y3340,$N$3:$Y$3)*$K3340*$L3340*$M3340</f>
        <v/>
      </c>
      <c r="AC3340" s="13">
        <f>SUMPRODUCT(N3340:Y3340,$N$4:$Y$4)*$K3340*$L3340*$M3340</f>
        <v/>
      </c>
      <c r="AD3340" s="15" t="n">
        <v>3.12</v>
      </c>
      <c r="AE3340" s="11" t="n">
        <v>0.9866975308641976</v>
      </c>
      <c r="AF3340" s="16">
        <f>SUMPRODUCT(N3340:Y3340,$N$5:$Y$5)*$K3340*$L3340*$M3340</f>
        <v/>
      </c>
      <c r="AG3340" s="16">
        <f>SUMPRODUCT(N3340:Y3340,$N$6:$Y$6)*$K3340*$L3340*$M3340</f>
        <v/>
      </c>
      <c r="AH3340" s="20" t="n"/>
    </row>
    <row r="3341">
      <c r="A3341" s="9" t="n">
        <v>608723</v>
      </c>
      <c r="B3341" s="9" t="inlineStr">
        <is>
          <t>Austin Voth</t>
        </is>
      </c>
      <c r="C3341" s="9" t="inlineStr">
        <is>
          <t>MIN</t>
        </is>
      </c>
      <c r="D3341" s="9" t="n">
        <v>35</v>
      </c>
      <c r="E3341" s="18" t="inlineStr">
        <is>
          <t>R</t>
        </is>
      </c>
      <c r="F3341" s="18" t="n"/>
      <c r="G3341" s="9" t="n">
        <v>56</v>
      </c>
      <c r="H3341" s="9" t="n">
        <v>906</v>
      </c>
      <c r="I3341" s="9" t="inlineStr">
        <is>
          <t>Bullpen Depth Arm</t>
        </is>
      </c>
      <c r="J3341" s="18" t="inlineStr">
        <is>
          <t>Opening Day</t>
        </is>
      </c>
      <c r="K3341" s="11">
        <f>IFERROR(INDEX(Roles!$B$17:$B$20,MATCH(J3341,Roles!$A$17:$A$20,0)),1)</f>
        <v/>
      </c>
      <c r="L3341" s="19" t="n">
        <v>1</v>
      </c>
      <c r="M3341" s="11" t="n">
        <v>1</v>
      </c>
      <c r="N3341" s="19" t="n"/>
      <c r="O3341" s="19" t="n"/>
      <c r="P3341" s="19" t="n"/>
      <c r="Q3341" s="19" t="n"/>
      <c r="R3341" s="19" t="n"/>
      <c r="S3341" s="19" t="n"/>
      <c r="T3341" s="19" t="n"/>
      <c r="U3341" s="19" t="n"/>
      <c r="V3341" s="19" t="n"/>
      <c r="W3341" s="19" t="n">
        <v>1</v>
      </c>
      <c r="X3341" s="19" t="n"/>
      <c r="Y3341" s="19" t="n"/>
      <c r="Z3341" s="13">
        <f>SUMPRODUCT(N3341:Y3341,$N$2:$Y$2)*$K3341*$L3341*$M3341</f>
        <v/>
      </c>
      <c r="AA3341" s="14">
        <f>SUM(N3341:Y3341)</f>
        <v/>
      </c>
      <c r="AB3341" s="13">
        <f>SUMPRODUCT(N3341:Y3341,$N$3:$Y$3)*$K3341*$L3341*$M3341</f>
        <v/>
      </c>
      <c r="AC3341" s="13">
        <f>SUMPRODUCT(N3341:Y3341,$N$4:$Y$4)*$K3341*$L3341*$M3341</f>
        <v/>
      </c>
      <c r="AD3341" s="15" t="n">
        <v>17.21666666666667</v>
      </c>
      <c r="AE3341" s="11" t="n">
        <v>1.195446528779862</v>
      </c>
      <c r="AF3341" s="16">
        <f>SUMPRODUCT(N3341:Y3341,$N$5:$Y$5)*$K3341*$L3341*$M3341</f>
        <v/>
      </c>
      <c r="AG3341" s="16">
        <f>SUMPRODUCT(N3341:Y3341,$N$6:$Y$6)*$K3341*$L3341*$M3341</f>
        <v/>
      </c>
      <c r="AH3341" s="20" t="n"/>
    </row>
    <row r="3342">
      <c r="A3342" s="9" t="n">
        <v>683363</v>
      </c>
      <c r="B3342" s="9" t="inlineStr">
        <is>
          <t>Matt Wilkinson</t>
        </is>
      </c>
      <c r="C3342" s="9" t="inlineStr">
        <is>
          <t>SF</t>
        </is>
      </c>
      <c r="D3342" s="9" t="n">
        <v>24</v>
      </c>
      <c r="E3342" s="18" t="inlineStr">
        <is>
          <t>L</t>
        </is>
      </c>
      <c r="F3342" s="18" t="n"/>
      <c r="G3342" s="9" t="n">
        <v>110</v>
      </c>
      <c r="H3342" s="9" t="n">
        <v>110</v>
      </c>
      <c r="I3342" s="9" t="inlineStr">
        <is>
          <t>Mid-Rotation Starter (SP2-3)</t>
        </is>
      </c>
      <c r="J3342" s="18" t="inlineStr">
        <is>
          <t>Opening Day</t>
        </is>
      </c>
      <c r="K3342" s="11">
        <f>IFERROR(INDEX(Roles!$B$17:$B$20,MATCH(J3342,Roles!$A$17:$A$20,0)),1)</f>
        <v/>
      </c>
      <c r="L3342" s="19" t="n">
        <v>1</v>
      </c>
      <c r="M3342" s="11" t="n">
        <v>1</v>
      </c>
      <c r="N3342" s="19" t="n"/>
      <c r="O3342" s="19" t="n">
        <v>0.5</v>
      </c>
      <c r="P3342" s="19" t="n">
        <v>0.5</v>
      </c>
      <c r="Q3342" s="19" t="n"/>
      <c r="R3342" s="19" t="n"/>
      <c r="S3342" s="19" t="n"/>
      <c r="T3342" s="19" t="n"/>
      <c r="U3342" s="19" t="n"/>
      <c r="V3342" s="19" t="n"/>
      <c r="W3342" s="19" t="n"/>
      <c r="X3342" s="19" t="n"/>
      <c r="Y3342" s="19" t="n"/>
      <c r="Z3342" s="13">
        <f>SUMPRODUCT(N3342:Y3342,$N$2:$Y$2)*$K3342*$L3342*$M3342</f>
        <v/>
      </c>
      <c r="AA3342" s="14">
        <f>SUM(N3342:Y3342)</f>
        <v/>
      </c>
      <c r="AB3342" s="13">
        <f>SUMPRODUCT(N3342:Y3342,$N$3:$Y$3)*$K3342*$L3342*$M3342</f>
        <v/>
      </c>
      <c r="AC3342" s="13">
        <f>SUMPRODUCT(N3342:Y3342,$N$4:$Y$4)*$K3342*$L3342*$M3342</f>
        <v/>
      </c>
      <c r="AD3342" s="15" t="n">
        <v>15.2</v>
      </c>
      <c r="AE3342" s="11" t="n">
        <v>4.62231182795699</v>
      </c>
      <c r="AF3342" s="16">
        <f>SUMPRODUCT(N3342:Y3342,$N$5:$Y$5)*$K3342*$L3342*$M3342</f>
        <v/>
      </c>
      <c r="AG3342" s="16">
        <f>SUMPRODUCT(N3342:Y3342,$N$6:$Y$6)*$K3342*$L3342*$M3342</f>
        <v/>
      </c>
      <c r="AH3342" s="20" t="n"/>
    </row>
    <row r="3343">
      <c r="A3343" s="9" t="n">
        <v>670090</v>
      </c>
      <c r="B3343" s="9" t="inlineStr">
        <is>
          <t>Wyatt Mills</t>
        </is>
      </c>
      <c r="C3343" s="9" t="inlineStr">
        <is>
          <t>LAD</t>
        </is>
      </c>
      <c r="D3343" s="9" t="n">
        <v>32</v>
      </c>
      <c r="E3343" s="18" t="inlineStr">
        <is>
          <t>R</t>
        </is>
      </c>
      <c r="F3343" s="18" t="n"/>
      <c r="G3343" s="9" t="n">
        <v>36</v>
      </c>
      <c r="H3343" s="9" t="n">
        <v>164</v>
      </c>
      <c r="I3343" s="9" t="inlineStr">
        <is>
          <t>Bullpen Depth Arm</t>
        </is>
      </c>
      <c r="J3343" s="18" t="inlineStr">
        <is>
          <t>Opening Day</t>
        </is>
      </c>
      <c r="K3343" s="11">
        <f>IFERROR(INDEX(Roles!$B$17:$B$20,MATCH(J3343,Roles!$A$17:$A$20,0)),1)</f>
        <v/>
      </c>
      <c r="L3343" s="19" t="n">
        <v>1</v>
      </c>
      <c r="M3343" s="11" t="n">
        <v>1</v>
      </c>
      <c r="N3343" s="19" t="n"/>
      <c r="O3343" s="19" t="n"/>
      <c r="P3343" s="19" t="n"/>
      <c r="Q3343" s="19" t="n"/>
      <c r="R3343" s="19" t="n"/>
      <c r="S3343" s="19" t="n"/>
      <c r="T3343" s="19" t="n"/>
      <c r="U3343" s="19" t="n"/>
      <c r="V3343" s="19" t="n"/>
      <c r="W3343" s="19" t="n">
        <v>1</v>
      </c>
      <c r="X3343" s="19" t="n"/>
      <c r="Y3343" s="19" t="n"/>
      <c r="Z3343" s="13">
        <f>SUMPRODUCT(N3343:Y3343,$N$2:$Y$2)*$K3343*$L3343*$M3343</f>
        <v/>
      </c>
      <c r="AA3343" s="14">
        <f>SUM(N3343:Y3343)</f>
        <v/>
      </c>
      <c r="AB3343" s="13">
        <f>SUMPRODUCT(N3343:Y3343,$N$3:$Y$3)*$K3343*$L3343*$M3343</f>
        <v/>
      </c>
      <c r="AC3343" s="13">
        <f>SUMPRODUCT(N3343:Y3343,$N$4:$Y$4)*$K3343*$L3343*$M3343</f>
        <v/>
      </c>
      <c r="AD3343" s="15" t="n">
        <v>9.266666666666666</v>
      </c>
      <c r="AE3343" s="11" t="n">
        <v>1.15335898669232</v>
      </c>
      <c r="AF3343" s="16">
        <f>SUMPRODUCT(N3343:Y3343,$N$5:$Y$5)*$K3343*$L3343*$M3343</f>
        <v/>
      </c>
      <c r="AG3343" s="16">
        <f>SUMPRODUCT(N3343:Y3343,$N$6:$Y$6)*$K3343*$L3343*$M3343</f>
        <v/>
      </c>
      <c r="AH3343" s="20" t="n"/>
    </row>
    <row r="3344">
      <c r="A3344" s="9" t="n">
        <v>805780</v>
      </c>
      <c r="B3344" s="9" t="inlineStr">
        <is>
          <t>Cade Kuehler</t>
        </is>
      </c>
      <c r="C3344" s="9" t="inlineStr">
        <is>
          <t>ATL</t>
        </is>
      </c>
      <c r="D3344" s="9" t="n">
        <v>25</v>
      </c>
      <c r="E3344" s="18" t="inlineStr">
        <is>
          <t>R</t>
        </is>
      </c>
      <c r="F3344" s="18" t="n"/>
      <c r="G3344" s="9" t="n">
        <v>94.02666666666666</v>
      </c>
      <c r="H3344" s="9" t="n">
        <v>94.02666666666666</v>
      </c>
      <c r="I3344" s="9" t="inlineStr">
        <is>
          <t>Depth (no MLB IP)</t>
        </is>
      </c>
      <c r="J3344" s="18" t="inlineStr">
        <is>
          <t>Opening Day</t>
        </is>
      </c>
      <c r="K3344" s="11">
        <f>IFERROR(INDEX(Roles!$B$17:$B$20,MATCH(J3344,Roles!$A$17:$A$20,0)),1)</f>
        <v/>
      </c>
      <c r="L3344" s="19" t="n">
        <v>1</v>
      </c>
      <c r="M3344" s="11" t="n">
        <v>1</v>
      </c>
      <c r="N3344" s="19" t="n"/>
      <c r="O3344" s="19" t="n"/>
      <c r="P3344" s="19" t="n"/>
      <c r="Q3344" s="19" t="n"/>
      <c r="R3344" s="19" t="n"/>
      <c r="S3344" s="19" t="n"/>
      <c r="T3344" s="19" t="n"/>
      <c r="U3344" s="19" t="n"/>
      <c r="V3344" s="19" t="n"/>
      <c r="W3344" s="19" t="n"/>
      <c r="X3344" s="19" t="n"/>
      <c r="Y3344" s="19" t="n">
        <v>1</v>
      </c>
      <c r="Z3344" s="13">
        <f>SUMPRODUCT(N3344:Y3344,$N$2:$Y$2)*$K3344*$L3344*$M3344</f>
        <v/>
      </c>
      <c r="AA3344" s="14">
        <f>SUM(N3344:Y3344)</f>
        <v/>
      </c>
      <c r="AB3344" s="13">
        <f>SUMPRODUCT(N3344:Y3344,$N$3:$Y$3)*$K3344*$L3344*$M3344</f>
        <v/>
      </c>
      <c r="AC3344" s="13">
        <f>SUMPRODUCT(N3344:Y3344,$N$4:$Y$4)*$K3344*$L3344*$M3344</f>
        <v/>
      </c>
      <c r="AD3344" s="15" t="n">
        <v>3</v>
      </c>
      <c r="AE3344" s="11" t="n">
        <v>1.011296296296296</v>
      </c>
      <c r="AF3344" s="16">
        <f>SUMPRODUCT(N3344:Y3344,$N$5:$Y$5)*$K3344*$L3344*$M3344</f>
        <v/>
      </c>
      <c r="AG3344" s="16">
        <f>SUMPRODUCT(N3344:Y3344,$N$6:$Y$6)*$K3344*$L3344*$M3344</f>
        <v/>
      </c>
      <c r="AH3344" s="20" t="n"/>
    </row>
    <row r="3345">
      <c r="A3345" s="9" t="n">
        <v>681347</v>
      </c>
      <c r="B3345" s="9" t="inlineStr">
        <is>
          <t>Mike Burrows</t>
        </is>
      </c>
      <c r="C3345" s="9" t="inlineStr">
        <is>
          <t>HOU</t>
        </is>
      </c>
      <c r="D3345" s="9" t="n">
        <v>27</v>
      </c>
      <c r="E3345" s="18" t="inlineStr">
        <is>
          <t>R</t>
        </is>
      </c>
      <c r="F3345" s="18" t="n"/>
      <c r="G3345" s="9" t="n">
        <v>423</v>
      </c>
      <c r="H3345" s="9" t="n">
        <v>839</v>
      </c>
      <c r="I3345" s="9" t="inlineStr">
        <is>
          <t>End-of-Rotation Starter (SP4-5)</t>
        </is>
      </c>
      <c r="J3345" s="18" t="inlineStr">
        <is>
          <t>Opening Day</t>
        </is>
      </c>
      <c r="K3345" s="11">
        <f>IFERROR(INDEX(Roles!$B$17:$B$20,MATCH(J3345,Roles!$A$17:$A$20,0)),1)</f>
        <v/>
      </c>
      <c r="L3345" s="19" t="n">
        <v>1</v>
      </c>
      <c r="M3345" s="11" t="n">
        <v>1</v>
      </c>
      <c r="N3345" s="19" t="n"/>
      <c r="O3345" s="19" t="n"/>
      <c r="P3345" s="19" t="n">
        <v>0.5</v>
      </c>
      <c r="Q3345" s="19" t="n"/>
      <c r="R3345" s="19" t="n">
        <v>0.5</v>
      </c>
      <c r="S3345" s="19" t="n"/>
      <c r="T3345" s="19" t="n"/>
      <c r="U3345" s="19" t="n"/>
      <c r="V3345" s="19" t="n"/>
      <c r="W3345" s="19" t="n"/>
      <c r="X3345" s="19" t="n"/>
      <c r="Y3345" s="19" t="n"/>
      <c r="Z3345" s="13">
        <f>SUMPRODUCT(N3345:Y3345,$N$2:$Y$2)*$K3345*$L3345*$M3345</f>
        <v/>
      </c>
      <c r="AA3345" s="14">
        <f>SUM(N3345:Y3345)</f>
        <v/>
      </c>
      <c r="AB3345" s="13">
        <f>SUMPRODUCT(N3345:Y3345,$N$3:$Y$3)*$K3345*$L3345*$M3345</f>
        <v/>
      </c>
      <c r="AC3345" s="13">
        <f>SUMPRODUCT(N3345:Y3345,$N$4:$Y$4)*$K3345*$L3345*$M3345</f>
        <v/>
      </c>
      <c r="AD3345" s="15" t="n">
        <v>16.5</v>
      </c>
      <c r="AE3345" s="11" t="n">
        <v>4.618995232856619</v>
      </c>
      <c r="AF3345" s="16">
        <f>SUMPRODUCT(N3345:Y3345,$N$5:$Y$5)*$K3345*$L3345*$M3345</f>
        <v/>
      </c>
      <c r="AG3345" s="16">
        <f>SUMPRODUCT(N3345:Y3345,$N$6:$Y$6)*$K3345*$L3345*$M3345</f>
        <v/>
      </c>
      <c r="AH3345" s="20" t="n"/>
    </row>
    <row r="3346">
      <c r="A3346" s="9" t="n">
        <v>688876</v>
      </c>
      <c r="B3346" s="9" t="inlineStr">
        <is>
          <t>Carlos Torres</t>
        </is>
      </c>
      <c r="C3346" s="9" t="inlineStr">
        <is>
          <t>COL</t>
        </is>
      </c>
      <c r="D3346" s="9" t="n">
        <v>25</v>
      </c>
      <c r="E3346" s="18" t="inlineStr">
        <is>
          <t>R</t>
        </is>
      </c>
      <c r="F3346" s="18" t="n"/>
      <c r="G3346" s="9" t="n">
        <v>94.31333333333332</v>
      </c>
      <c r="H3346" s="9" t="n">
        <v>94.31333333333332</v>
      </c>
      <c r="I3346" s="9" t="inlineStr">
        <is>
          <t>Depth (no MLB IP)</t>
        </is>
      </c>
      <c r="J3346" s="18" t="inlineStr">
        <is>
          <t>Opening Day</t>
        </is>
      </c>
      <c r="K3346" s="11">
        <f>IFERROR(INDEX(Roles!$B$17:$B$20,MATCH(J3346,Roles!$A$17:$A$20,0)),1)</f>
        <v/>
      </c>
      <c r="L3346" s="19" t="n">
        <v>1</v>
      </c>
      <c r="M3346" s="11" t="n">
        <v>1</v>
      </c>
      <c r="N3346" s="19" t="n"/>
      <c r="O3346" s="19" t="n"/>
      <c r="P3346" s="19" t="n"/>
      <c r="Q3346" s="19" t="n"/>
      <c r="R3346" s="19" t="n"/>
      <c r="S3346" s="19" t="n"/>
      <c r="T3346" s="19" t="n"/>
      <c r="U3346" s="19" t="n"/>
      <c r="V3346" s="19" t="n"/>
      <c r="W3346" s="19" t="n"/>
      <c r="X3346" s="19" t="n"/>
      <c r="Y3346" s="19" t="n">
        <v>1</v>
      </c>
      <c r="Z3346" s="13">
        <f>SUMPRODUCT(N3346:Y3346,$N$2:$Y$2)*$K3346*$L3346*$M3346</f>
        <v/>
      </c>
      <c r="AA3346" s="14">
        <f>SUM(N3346:Y3346)</f>
        <v/>
      </c>
      <c r="AB3346" s="13">
        <f>SUMPRODUCT(N3346:Y3346,$N$3:$Y$3)*$K3346*$L3346*$M3346</f>
        <v/>
      </c>
      <c r="AC3346" s="13">
        <f>SUMPRODUCT(N3346:Y3346,$N$4:$Y$4)*$K3346*$L3346*$M3346</f>
        <v/>
      </c>
      <c r="AD3346" s="15" t="n">
        <v>3</v>
      </c>
      <c r="AE3346" s="11" t="n">
        <v>1.011296296296296</v>
      </c>
      <c r="AF3346" s="16">
        <f>SUMPRODUCT(N3346:Y3346,$N$5:$Y$5)*$K3346*$L3346*$M3346</f>
        <v/>
      </c>
      <c r="AG3346" s="16">
        <f>SUMPRODUCT(N3346:Y3346,$N$6:$Y$6)*$K3346*$L3346*$M3346</f>
        <v/>
      </c>
      <c r="AH3346" s="20" t="n"/>
    </row>
    <row r="3347">
      <c r="A3347" s="9" t="n">
        <v>621097</v>
      </c>
      <c r="B3347" s="9" t="inlineStr">
        <is>
          <t>Jacob Waguespack</t>
        </is>
      </c>
      <c r="C3347" s="9" t="inlineStr">
        <is>
          <t>DET</t>
        </is>
      </c>
      <c r="D3347" s="9" t="n">
        <v>33</v>
      </c>
      <c r="E3347" s="18" t="inlineStr">
        <is>
          <t>R</t>
        </is>
      </c>
      <c r="F3347" s="18" t="n"/>
      <c r="G3347" s="9" t="n">
        <v>183</v>
      </c>
      <c r="H3347" s="9" t="n">
        <v>234</v>
      </c>
      <c r="I3347" s="9" t="inlineStr">
        <is>
          <t>Swing Arm / Long Relief</t>
        </is>
      </c>
      <c r="J3347" s="18" t="inlineStr">
        <is>
          <t>Opening Day</t>
        </is>
      </c>
      <c r="K3347" s="11">
        <f>IFERROR(INDEX(Roles!$B$17:$B$20,MATCH(J3347,Roles!$A$17:$A$20,0)),1)</f>
        <v/>
      </c>
      <c r="L3347" s="19" t="n">
        <v>1</v>
      </c>
      <c r="M3347" s="11" t="n">
        <v>1</v>
      </c>
      <c r="N3347" s="19" t="n"/>
      <c r="O3347" s="19" t="n"/>
      <c r="P3347" s="19" t="n"/>
      <c r="Q3347" s="19" t="n"/>
      <c r="R3347" s="19" t="n">
        <v>0.6</v>
      </c>
      <c r="S3347" s="19" t="n"/>
      <c r="T3347" s="19" t="n"/>
      <c r="U3347" s="19" t="n"/>
      <c r="V3347" s="19" t="n">
        <v>0.4</v>
      </c>
      <c r="W3347" s="19" t="n"/>
      <c r="X3347" s="19" t="n"/>
      <c r="Y3347" s="19" t="n"/>
      <c r="Z3347" s="13">
        <f>SUMPRODUCT(N3347:Y3347,$N$2:$Y$2)*$K3347*$L3347*$M3347</f>
        <v/>
      </c>
      <c r="AA3347" s="14">
        <f>SUM(N3347:Y3347)</f>
        <v/>
      </c>
      <c r="AB3347" s="13">
        <f>SUMPRODUCT(N3347:Y3347,$N$3:$Y$3)*$K3347*$L3347*$M3347</f>
        <v/>
      </c>
      <c r="AC3347" s="13">
        <f>SUMPRODUCT(N3347:Y3347,$N$4:$Y$4)*$K3347*$L3347*$M3347</f>
        <v/>
      </c>
      <c r="AD3347" s="15" t="n">
        <v>24.48333333333333</v>
      </c>
      <c r="AE3347" s="11" t="n">
        <v>2.130261860597249</v>
      </c>
      <c r="AF3347" s="16">
        <f>SUMPRODUCT(N3347:Y3347,$N$5:$Y$5)*$K3347*$L3347*$M3347</f>
        <v/>
      </c>
      <c r="AG3347" s="16">
        <f>SUMPRODUCT(N3347:Y3347,$N$6:$Y$6)*$K3347*$L3347*$M3347</f>
        <v/>
      </c>
      <c r="AH3347" s="20" t="n"/>
    </row>
    <row r="3348">
      <c r="A3348" s="9" t="n">
        <v>689167</v>
      </c>
      <c r="B3348" s="9" t="inlineStr">
        <is>
          <t>Jeff Lindgren</t>
        </is>
      </c>
      <c r="C3348" s="9" t="inlineStr">
        <is>
          <t>MIA</t>
        </is>
      </c>
      <c r="D3348" s="9" t="n">
        <v>30</v>
      </c>
      <c r="E3348" s="18" t="inlineStr">
        <is>
          <t>R</t>
        </is>
      </c>
      <c r="F3348" s="18" t="n"/>
      <c r="G3348" s="9" t="n">
        <v>28</v>
      </c>
      <c r="H3348" s="9" t="n">
        <v>28</v>
      </c>
      <c r="I3348" s="9" t="inlineStr">
        <is>
          <t>Depth (no MLB IP)</t>
        </is>
      </c>
      <c r="J3348" s="18" t="inlineStr">
        <is>
          <t>Opening Day</t>
        </is>
      </c>
      <c r="K3348" s="11">
        <f>IFERROR(INDEX(Roles!$B$17:$B$20,MATCH(J3348,Roles!$A$17:$A$20,0)),1)</f>
        <v/>
      </c>
      <c r="L3348" s="19" t="n">
        <v>1</v>
      </c>
      <c r="M3348" s="11" t="n">
        <v>1</v>
      </c>
      <c r="N3348" s="19" t="n"/>
      <c r="O3348" s="19" t="n"/>
      <c r="P3348" s="19" t="n"/>
      <c r="Q3348" s="19" t="n"/>
      <c r="R3348" s="19" t="n"/>
      <c r="S3348" s="19" t="n"/>
      <c r="T3348" s="19" t="n"/>
      <c r="U3348" s="19" t="n"/>
      <c r="V3348" s="19" t="n"/>
      <c r="W3348" s="19" t="n"/>
      <c r="X3348" s="19" t="n"/>
      <c r="Y3348" s="19" t="n">
        <v>1</v>
      </c>
      <c r="Z3348" s="13">
        <f>SUMPRODUCT(N3348:Y3348,$N$2:$Y$2)*$K3348*$L3348*$M3348</f>
        <v/>
      </c>
      <c r="AA3348" s="14">
        <f>SUM(N3348:Y3348)</f>
        <v/>
      </c>
      <c r="AB3348" s="13">
        <f>SUMPRODUCT(N3348:Y3348,$N$3:$Y$3)*$K3348*$L3348*$M3348</f>
        <v/>
      </c>
      <c r="AC3348" s="13">
        <f>SUMPRODUCT(N3348:Y3348,$N$4:$Y$4)*$K3348*$L3348*$M3348</f>
        <v/>
      </c>
      <c r="AD3348" s="15" t="n">
        <v>3</v>
      </c>
      <c r="AE3348" s="11" t="n">
        <v>1.011296296296296</v>
      </c>
      <c r="AF3348" s="16">
        <f>SUMPRODUCT(N3348:Y3348,$N$5:$Y$5)*$K3348*$L3348*$M3348</f>
        <v/>
      </c>
      <c r="AG3348" s="16">
        <f>SUMPRODUCT(N3348:Y3348,$N$6:$Y$6)*$K3348*$L3348*$M3348</f>
        <v/>
      </c>
      <c r="AH3348" s="20" t="n"/>
    </row>
    <row r="3349">
      <c r="A3349" s="9" t="n">
        <v>596001</v>
      </c>
      <c r="B3349" s="9" t="inlineStr">
        <is>
          <t>Jakob Junis</t>
        </is>
      </c>
      <c r="C3349" s="9" t="inlineStr">
        <is>
          <t>TEX</t>
        </is>
      </c>
      <c r="D3349" s="9" t="n">
        <v>34</v>
      </c>
      <c r="E3349" s="18" t="inlineStr">
        <is>
          <t>R</t>
        </is>
      </c>
      <c r="F3349" s="18" t="n"/>
      <c r="G3349" s="9" t="n">
        <v>234</v>
      </c>
      <c r="H3349" s="9" t="n">
        <v>1606</v>
      </c>
      <c r="I3349" s="9" t="inlineStr">
        <is>
          <t>Late Inning RP (Setup)</t>
        </is>
      </c>
      <c r="J3349" s="18" t="inlineStr">
        <is>
          <t>Opening Day</t>
        </is>
      </c>
      <c r="K3349" s="11">
        <f>IFERROR(INDEX(Roles!$B$17:$B$20,MATCH(J3349,Roles!$A$17:$A$20,0)),1)</f>
        <v/>
      </c>
      <c r="L3349" s="19" t="n">
        <v>1</v>
      </c>
      <c r="M3349" s="11" t="n">
        <v>1</v>
      </c>
      <c r="N3349" s="19" t="n"/>
      <c r="O3349" s="19" t="n"/>
      <c r="P3349" s="19" t="n"/>
      <c r="Q3349" s="19" t="n"/>
      <c r="R3349" s="19" t="n"/>
      <c r="S3349" s="19" t="n"/>
      <c r="T3349" s="19" t="n"/>
      <c r="U3349" s="19" t="n">
        <v>0.6</v>
      </c>
      <c r="V3349" s="19" t="n">
        <v>0.4</v>
      </c>
      <c r="W3349" s="19" t="n"/>
      <c r="X3349" s="19" t="n"/>
      <c r="Y3349" s="19" t="n"/>
      <c r="Z3349" s="13">
        <f>SUMPRODUCT(N3349:Y3349,$N$2:$Y$2)*$K3349*$L3349*$M3349</f>
        <v/>
      </c>
      <c r="AA3349" s="14">
        <f>SUM(N3349:Y3349)</f>
        <v/>
      </c>
      <c r="AB3349" s="13">
        <f>SUMPRODUCT(N3349:Y3349,$N$3:$Y$3)*$K3349*$L3349*$M3349</f>
        <v/>
      </c>
      <c r="AC3349" s="13">
        <f>SUMPRODUCT(N3349:Y3349,$N$4:$Y$4)*$K3349*$L3349*$M3349</f>
        <v/>
      </c>
      <c r="AD3349" s="15" t="n">
        <v>48.9</v>
      </c>
      <c r="AE3349" s="11" t="n">
        <v>1.067503741114852</v>
      </c>
      <c r="AF3349" s="16">
        <f>SUMPRODUCT(N3349:Y3349,$N$5:$Y$5)*$K3349*$L3349*$M3349</f>
        <v/>
      </c>
      <c r="AG3349" s="16">
        <f>SUMPRODUCT(N3349:Y3349,$N$6:$Y$6)*$K3349*$L3349*$M3349</f>
        <v/>
      </c>
      <c r="AH3349" s="20" t="n"/>
    </row>
    <row r="3350">
      <c r="A3350" s="9" t="n">
        <v>678789</v>
      </c>
      <c r="B3350" s="9" t="inlineStr">
        <is>
          <t>Julio Robaina</t>
        </is>
      </c>
      <c r="C3350" s="9" t="inlineStr">
        <is>
          <t>ATL</t>
        </is>
      </c>
      <c r="D3350" s="9" t="n">
        <v>25</v>
      </c>
      <c r="E3350" s="18" t="inlineStr">
        <is>
          <t>L</t>
        </is>
      </c>
      <c r="F3350" s="18" t="n"/>
      <c r="G3350" s="9" t="n">
        <v>94.81499999999998</v>
      </c>
      <c r="H3350" s="9" t="n">
        <v>94.81499999999998</v>
      </c>
      <c r="I3350" s="9" t="inlineStr">
        <is>
          <t>Depth (no MLB IP)</t>
        </is>
      </c>
      <c r="J3350" s="18" t="inlineStr">
        <is>
          <t>Opening Day</t>
        </is>
      </c>
      <c r="K3350" s="11">
        <f>IFERROR(INDEX(Roles!$B$17:$B$20,MATCH(J3350,Roles!$A$17:$A$20,0)),1)</f>
        <v/>
      </c>
      <c r="L3350" s="19" t="n">
        <v>1</v>
      </c>
      <c r="M3350" s="11" t="n">
        <v>1</v>
      </c>
      <c r="N3350" s="19" t="n"/>
      <c r="O3350" s="19" t="n"/>
      <c r="P3350" s="19" t="n"/>
      <c r="Q3350" s="19" t="n"/>
      <c r="R3350" s="19" t="n"/>
      <c r="S3350" s="19" t="n"/>
      <c r="T3350" s="19" t="n"/>
      <c r="U3350" s="19" t="n"/>
      <c r="V3350" s="19" t="n"/>
      <c r="W3350" s="19" t="n"/>
      <c r="X3350" s="19" t="n"/>
      <c r="Y3350" s="19" t="n">
        <v>1</v>
      </c>
      <c r="Z3350" s="13">
        <f>SUMPRODUCT(N3350:Y3350,$N$2:$Y$2)*$K3350*$L3350*$M3350</f>
        <v/>
      </c>
      <c r="AA3350" s="14">
        <f>SUM(N3350:Y3350)</f>
        <v/>
      </c>
      <c r="AB3350" s="13">
        <f>SUMPRODUCT(N3350:Y3350,$N$3:$Y$3)*$K3350*$L3350*$M3350</f>
        <v/>
      </c>
      <c r="AC3350" s="13">
        <f>SUMPRODUCT(N3350:Y3350,$N$4:$Y$4)*$K3350*$L3350*$M3350</f>
        <v/>
      </c>
      <c r="AD3350" s="15" t="n">
        <v>3</v>
      </c>
      <c r="AE3350" s="11" t="n">
        <v>1.011296296296296</v>
      </c>
      <c r="AF3350" s="16">
        <f>SUMPRODUCT(N3350:Y3350,$N$5:$Y$5)*$K3350*$L3350*$M3350</f>
        <v/>
      </c>
      <c r="AG3350" s="16">
        <f>SUMPRODUCT(N3350:Y3350,$N$6:$Y$6)*$K3350*$L3350*$M3350</f>
        <v/>
      </c>
      <c r="AH3350" s="20" t="n"/>
    </row>
    <row r="3351">
      <c r="A3351" s="9" t="n">
        <v>681289</v>
      </c>
      <c r="B3351" s="9" t="inlineStr">
        <is>
          <t>Tanner Kohlhepp</t>
        </is>
      </c>
      <c r="C3351" s="9" t="inlineStr">
        <is>
          <t>DET</t>
        </is>
      </c>
      <c r="D3351" s="9" t="n">
        <v>25</v>
      </c>
      <c r="E3351" s="18" t="inlineStr">
        <is>
          <t>R</t>
        </is>
      </c>
      <c r="F3351" s="18" t="n"/>
      <c r="G3351" s="9" t="n">
        <v>94.81499999999998</v>
      </c>
      <c r="H3351" s="9" t="n">
        <v>94.81499999999998</v>
      </c>
      <c r="I3351" s="9" t="inlineStr">
        <is>
          <t>Depth (no MLB IP)</t>
        </is>
      </c>
      <c r="J3351" s="18" t="inlineStr">
        <is>
          <t>Opening Day</t>
        </is>
      </c>
      <c r="K3351" s="11">
        <f>IFERROR(INDEX(Roles!$B$17:$B$20,MATCH(J3351,Roles!$A$17:$A$20,0)),1)</f>
        <v/>
      </c>
      <c r="L3351" s="19" t="n">
        <v>1</v>
      </c>
      <c r="M3351" s="11" t="n">
        <v>1</v>
      </c>
      <c r="N3351" s="19" t="n"/>
      <c r="O3351" s="19" t="n"/>
      <c r="P3351" s="19" t="n"/>
      <c r="Q3351" s="19" t="n"/>
      <c r="R3351" s="19" t="n"/>
      <c r="S3351" s="19" t="n"/>
      <c r="T3351" s="19" t="n"/>
      <c r="U3351" s="19" t="n"/>
      <c r="V3351" s="19" t="n"/>
      <c r="W3351" s="19" t="n"/>
      <c r="X3351" s="19" t="n"/>
      <c r="Y3351" s="19" t="n">
        <v>1</v>
      </c>
      <c r="Z3351" s="13">
        <f>SUMPRODUCT(N3351:Y3351,$N$2:$Y$2)*$K3351*$L3351*$M3351</f>
        <v/>
      </c>
      <c r="AA3351" s="14">
        <f>SUM(N3351:Y3351)</f>
        <v/>
      </c>
      <c r="AB3351" s="13">
        <f>SUMPRODUCT(N3351:Y3351,$N$3:$Y$3)*$K3351*$L3351*$M3351</f>
        <v/>
      </c>
      <c r="AC3351" s="13">
        <f>SUMPRODUCT(N3351:Y3351,$N$4:$Y$4)*$K3351*$L3351*$M3351</f>
        <v/>
      </c>
      <c r="AD3351" s="15" t="n">
        <v>3</v>
      </c>
      <c r="AE3351" s="11" t="n">
        <v>1.011296296296296</v>
      </c>
      <c r="AF3351" s="16">
        <f>SUMPRODUCT(N3351:Y3351,$N$5:$Y$5)*$K3351*$L3351*$M3351</f>
        <v/>
      </c>
      <c r="AG3351" s="16">
        <f>SUMPRODUCT(N3351:Y3351,$N$6:$Y$6)*$K3351*$L3351*$M3351</f>
        <v/>
      </c>
      <c r="AH3351" s="20" t="n"/>
    </row>
    <row r="3352">
      <c r="A3352" s="9" t="n">
        <v>700380</v>
      </c>
      <c r="B3352" s="9" t="inlineStr">
        <is>
          <t>Joshua Loeschorn</t>
        </is>
      </c>
      <c r="C3352" s="9" t="inlineStr">
        <is>
          <t>PIT</t>
        </is>
      </c>
      <c r="D3352" s="9" t="n">
        <v>25</v>
      </c>
      <c r="E3352" s="18" t="inlineStr">
        <is>
          <t>R</t>
        </is>
      </c>
      <c r="F3352" s="18" t="n"/>
      <c r="G3352" s="9" t="n">
        <v>94.81499999999998</v>
      </c>
      <c r="H3352" s="9" t="n">
        <v>94.81499999999998</v>
      </c>
      <c r="I3352" s="9" t="inlineStr">
        <is>
          <t>Depth (no MLB IP)</t>
        </is>
      </c>
      <c r="J3352" s="18" t="inlineStr">
        <is>
          <t>Opening Day</t>
        </is>
      </c>
      <c r="K3352" s="11">
        <f>IFERROR(INDEX(Roles!$B$17:$B$20,MATCH(J3352,Roles!$A$17:$A$20,0)),1)</f>
        <v/>
      </c>
      <c r="L3352" s="19" t="n">
        <v>1</v>
      </c>
      <c r="M3352" s="11" t="n">
        <v>1</v>
      </c>
      <c r="N3352" s="19" t="n"/>
      <c r="O3352" s="19" t="n"/>
      <c r="P3352" s="19" t="n"/>
      <c r="Q3352" s="19" t="n"/>
      <c r="R3352" s="19" t="n"/>
      <c r="S3352" s="19" t="n"/>
      <c r="T3352" s="19" t="n"/>
      <c r="U3352" s="19" t="n"/>
      <c r="V3352" s="19" t="n"/>
      <c r="W3352" s="19" t="n"/>
      <c r="X3352" s="19" t="n"/>
      <c r="Y3352" s="19" t="n">
        <v>1</v>
      </c>
      <c r="Z3352" s="13">
        <f>SUMPRODUCT(N3352:Y3352,$N$2:$Y$2)*$K3352*$L3352*$M3352</f>
        <v/>
      </c>
      <c r="AA3352" s="14">
        <f>SUM(N3352:Y3352)</f>
        <v/>
      </c>
      <c r="AB3352" s="13">
        <f>SUMPRODUCT(N3352:Y3352,$N$3:$Y$3)*$K3352*$L3352*$M3352</f>
        <v/>
      </c>
      <c r="AC3352" s="13">
        <f>SUMPRODUCT(N3352:Y3352,$N$4:$Y$4)*$K3352*$L3352*$M3352</f>
        <v/>
      </c>
      <c r="AD3352" s="15" t="n">
        <v>3</v>
      </c>
      <c r="AE3352" s="11" t="n">
        <v>1.011296296296296</v>
      </c>
      <c r="AF3352" s="16">
        <f>SUMPRODUCT(N3352:Y3352,$N$5:$Y$5)*$K3352*$L3352*$M3352</f>
        <v/>
      </c>
      <c r="AG3352" s="16">
        <f>SUMPRODUCT(N3352:Y3352,$N$6:$Y$6)*$K3352*$L3352*$M3352</f>
        <v/>
      </c>
      <c r="AH3352" s="20" t="n"/>
    </row>
    <row r="3353">
      <c r="A3353" s="9" t="n">
        <v>622503</v>
      </c>
      <c r="B3353" s="9" t="inlineStr">
        <is>
          <t>Nabil Crismatt</t>
        </is>
      </c>
      <c r="C3353" s="9" t="inlineStr">
        <is>
          <t>ARI</t>
        </is>
      </c>
      <c r="D3353" s="9" t="n">
        <v>32</v>
      </c>
      <c r="E3353" s="18" t="inlineStr">
        <is>
          <t>R</t>
        </is>
      </c>
      <c r="F3353" s="18" t="n"/>
      <c r="G3353" s="9" t="n">
        <v>153</v>
      </c>
      <c r="H3353" s="9" t="n">
        <v>524</v>
      </c>
      <c r="I3353" s="9" t="inlineStr">
        <is>
          <t>End-of-Rotation Starter (SP4-5)</t>
        </is>
      </c>
      <c r="J3353" s="18" t="inlineStr">
        <is>
          <t>Opening Day</t>
        </is>
      </c>
      <c r="K3353" s="11">
        <f>IFERROR(INDEX(Roles!$B$17:$B$20,MATCH(J3353,Roles!$A$17:$A$20,0)),1)</f>
        <v/>
      </c>
      <c r="L3353" s="19" t="n">
        <v>1</v>
      </c>
      <c r="M3353" s="11" t="n">
        <v>1</v>
      </c>
      <c r="N3353" s="19" t="n"/>
      <c r="O3353" s="19" t="n"/>
      <c r="P3353" s="19" t="n">
        <v>1</v>
      </c>
      <c r="Q3353" s="19" t="n"/>
      <c r="R3353" s="19" t="n"/>
      <c r="S3353" s="19" t="n"/>
      <c r="T3353" s="19" t="n"/>
      <c r="U3353" s="19" t="n"/>
      <c r="V3353" s="19" t="n"/>
      <c r="W3353" s="19" t="n"/>
      <c r="X3353" s="19" t="n"/>
      <c r="Y3353" s="19" t="n"/>
      <c r="Z3353" s="13">
        <f>SUMPRODUCT(N3353:Y3353,$N$2:$Y$2)*$K3353*$L3353*$M3353</f>
        <v/>
      </c>
      <c r="AA3353" s="14">
        <f>SUM(N3353:Y3353)</f>
        <v/>
      </c>
      <c r="AB3353" s="13">
        <f>SUMPRODUCT(N3353:Y3353,$N$3:$Y$3)*$K3353*$L3353*$M3353</f>
        <v/>
      </c>
      <c r="AC3353" s="13">
        <f>SUMPRODUCT(N3353:Y3353,$N$4:$Y$4)*$K3353*$L3353*$M3353</f>
        <v/>
      </c>
      <c r="AD3353" s="15" t="n">
        <v>10.6</v>
      </c>
      <c r="AE3353" s="11" t="n">
        <v>4.227513227513228</v>
      </c>
      <c r="AF3353" s="16">
        <f>SUMPRODUCT(N3353:Y3353,$N$5:$Y$5)*$K3353*$L3353*$M3353</f>
        <v/>
      </c>
      <c r="AG3353" s="16">
        <f>SUMPRODUCT(N3353:Y3353,$N$6:$Y$6)*$K3353*$L3353*$M3353</f>
        <v/>
      </c>
      <c r="AH3353" s="20" t="n"/>
    </row>
    <row r="3354">
      <c r="A3354" s="9" t="n">
        <v>695247</v>
      </c>
      <c r="B3354" s="9" t="inlineStr">
        <is>
          <t>Jagger Haynes</t>
        </is>
      </c>
      <c r="C3354" s="9" t="inlineStr">
        <is>
          <t>SD</t>
        </is>
      </c>
      <c r="D3354" s="9" t="n">
        <v>25</v>
      </c>
      <c r="E3354" s="18" t="inlineStr">
        <is>
          <t>L</t>
        </is>
      </c>
      <c r="F3354" s="18" t="n"/>
      <c r="G3354" s="9" t="n">
        <v>95.38833333333336</v>
      </c>
      <c r="H3354" s="9" t="n">
        <v>95.38833333333336</v>
      </c>
      <c r="I3354" s="9" t="inlineStr">
        <is>
          <t>Depth (no MLB IP)</t>
        </is>
      </c>
      <c r="J3354" s="18" t="inlineStr">
        <is>
          <t>Opening Day</t>
        </is>
      </c>
      <c r="K3354" s="11">
        <f>IFERROR(INDEX(Roles!$B$17:$B$20,MATCH(J3354,Roles!$A$17:$A$20,0)),1)</f>
        <v/>
      </c>
      <c r="L3354" s="19" t="n">
        <v>1</v>
      </c>
      <c r="M3354" s="11" t="n">
        <v>1</v>
      </c>
      <c r="N3354" s="19" t="n"/>
      <c r="O3354" s="19" t="n"/>
      <c r="P3354" s="19" t="n"/>
      <c r="Q3354" s="19" t="n"/>
      <c r="R3354" s="19" t="n"/>
      <c r="S3354" s="19" t="n"/>
      <c r="T3354" s="19" t="n"/>
      <c r="U3354" s="19" t="n"/>
      <c r="V3354" s="19" t="n"/>
      <c r="W3354" s="19" t="n"/>
      <c r="X3354" s="19" t="n"/>
      <c r="Y3354" s="19" t="n">
        <v>1</v>
      </c>
      <c r="Z3354" s="13">
        <f>SUMPRODUCT(N3354:Y3354,$N$2:$Y$2)*$K3354*$L3354*$M3354</f>
        <v/>
      </c>
      <c r="AA3354" s="14">
        <f>SUM(N3354:Y3354)</f>
        <v/>
      </c>
      <c r="AB3354" s="13">
        <f>SUMPRODUCT(N3354:Y3354,$N$3:$Y$3)*$K3354*$L3354*$M3354</f>
        <v/>
      </c>
      <c r="AC3354" s="13">
        <f>SUMPRODUCT(N3354:Y3354,$N$4:$Y$4)*$K3354*$L3354*$M3354</f>
        <v/>
      </c>
      <c r="AD3354" s="15" t="n">
        <v>3</v>
      </c>
      <c r="AE3354" s="11" t="n">
        <v>1.011296296296296</v>
      </c>
      <c r="AF3354" s="16">
        <f>SUMPRODUCT(N3354:Y3354,$N$5:$Y$5)*$K3354*$L3354*$M3354</f>
        <v/>
      </c>
      <c r="AG3354" s="16">
        <f>SUMPRODUCT(N3354:Y3354,$N$6:$Y$6)*$K3354*$L3354*$M3354</f>
        <v/>
      </c>
      <c r="AH3354" s="20" t="n"/>
    </row>
    <row r="3355">
      <c r="A3355" s="9" t="n">
        <v>827292</v>
      </c>
      <c r="B3355" s="9" t="inlineStr">
        <is>
          <t>John Holobetz</t>
        </is>
      </c>
      <c r="C3355" s="9" t="inlineStr">
        <is>
          <t>BOS</t>
        </is>
      </c>
      <c r="D3355" s="9" t="n">
        <v>25</v>
      </c>
      <c r="E3355" s="18" t="inlineStr">
        <is>
          <t>R</t>
        </is>
      </c>
      <c r="F3355" s="18" t="n"/>
      <c r="G3355" s="9" t="n">
        <v>95.38833333333336</v>
      </c>
      <c r="H3355" s="9" t="n">
        <v>95.38833333333336</v>
      </c>
      <c r="I3355" s="9" t="inlineStr">
        <is>
          <t>Depth (no MLB IP)</t>
        </is>
      </c>
      <c r="J3355" s="18" t="inlineStr">
        <is>
          <t>Opening Day</t>
        </is>
      </c>
      <c r="K3355" s="11">
        <f>IFERROR(INDEX(Roles!$B$17:$B$20,MATCH(J3355,Roles!$A$17:$A$20,0)),1)</f>
        <v/>
      </c>
      <c r="L3355" s="19" t="n">
        <v>1</v>
      </c>
      <c r="M3355" s="11" t="n">
        <v>1</v>
      </c>
      <c r="N3355" s="19" t="n"/>
      <c r="O3355" s="19" t="n"/>
      <c r="P3355" s="19" t="n"/>
      <c r="Q3355" s="19" t="n"/>
      <c r="R3355" s="19" t="n"/>
      <c r="S3355" s="19" t="n"/>
      <c r="T3355" s="19" t="n"/>
      <c r="U3355" s="19" t="n"/>
      <c r="V3355" s="19" t="n"/>
      <c r="W3355" s="19" t="n"/>
      <c r="X3355" s="19" t="n"/>
      <c r="Y3355" s="19" t="n">
        <v>1</v>
      </c>
      <c r="Z3355" s="13">
        <f>SUMPRODUCT(N3355:Y3355,$N$2:$Y$2)*$K3355*$L3355*$M3355</f>
        <v/>
      </c>
      <c r="AA3355" s="14">
        <f>SUM(N3355:Y3355)</f>
        <v/>
      </c>
      <c r="AB3355" s="13">
        <f>SUMPRODUCT(N3355:Y3355,$N$3:$Y$3)*$K3355*$L3355*$M3355</f>
        <v/>
      </c>
      <c r="AC3355" s="13">
        <f>SUMPRODUCT(N3355:Y3355,$N$4:$Y$4)*$K3355*$L3355*$M3355</f>
        <v/>
      </c>
      <c r="AD3355" s="15" t="n">
        <v>3</v>
      </c>
      <c r="AE3355" s="11" t="n">
        <v>1.011296296296296</v>
      </c>
      <c r="AF3355" s="16">
        <f>SUMPRODUCT(N3355:Y3355,$N$5:$Y$5)*$K3355*$L3355*$M3355</f>
        <v/>
      </c>
      <c r="AG3355" s="16">
        <f>SUMPRODUCT(N3355:Y3355,$N$6:$Y$6)*$K3355*$L3355*$M3355</f>
        <v/>
      </c>
      <c r="AH3355" s="20" t="n"/>
    </row>
    <row r="3356">
      <c r="A3356" s="9" t="n">
        <v>815084</v>
      </c>
      <c r="B3356" s="9" t="inlineStr">
        <is>
          <t>Ben Simon</t>
        </is>
      </c>
      <c r="C3356" s="9" t="inlineStr">
        <is>
          <t>NYM</t>
        </is>
      </c>
      <c r="D3356" s="9" t="n">
        <v>25</v>
      </c>
      <c r="E3356" s="18" t="inlineStr">
        <is>
          <t>R</t>
        </is>
      </c>
      <c r="F3356" s="18" t="n"/>
      <c r="G3356" s="9" t="n">
        <v>95.38833333333336</v>
      </c>
      <c r="H3356" s="9" t="n">
        <v>95.38833333333336</v>
      </c>
      <c r="I3356" s="9" t="inlineStr">
        <is>
          <t>Depth (no MLB IP)</t>
        </is>
      </c>
      <c r="J3356" s="18" t="inlineStr">
        <is>
          <t>Opening Day</t>
        </is>
      </c>
      <c r="K3356" s="11">
        <f>IFERROR(INDEX(Roles!$B$17:$B$20,MATCH(J3356,Roles!$A$17:$A$20,0)),1)</f>
        <v/>
      </c>
      <c r="L3356" s="19" t="n">
        <v>1</v>
      </c>
      <c r="M3356" s="11" t="n">
        <v>1</v>
      </c>
      <c r="N3356" s="19" t="n"/>
      <c r="O3356" s="19" t="n"/>
      <c r="P3356" s="19" t="n"/>
      <c r="Q3356" s="19" t="n"/>
      <c r="R3356" s="19" t="n"/>
      <c r="S3356" s="19" t="n"/>
      <c r="T3356" s="19" t="n"/>
      <c r="U3356" s="19" t="n"/>
      <c r="V3356" s="19" t="n"/>
      <c r="W3356" s="19" t="n"/>
      <c r="X3356" s="19" t="n"/>
      <c r="Y3356" s="19" t="n">
        <v>1</v>
      </c>
      <c r="Z3356" s="13">
        <f>SUMPRODUCT(N3356:Y3356,$N$2:$Y$2)*$K3356*$L3356*$M3356</f>
        <v/>
      </c>
      <c r="AA3356" s="14">
        <f>SUM(N3356:Y3356)</f>
        <v/>
      </c>
      <c r="AB3356" s="13">
        <f>SUMPRODUCT(N3356:Y3356,$N$3:$Y$3)*$K3356*$L3356*$M3356</f>
        <v/>
      </c>
      <c r="AC3356" s="13">
        <f>SUMPRODUCT(N3356:Y3356,$N$4:$Y$4)*$K3356*$L3356*$M3356</f>
        <v/>
      </c>
      <c r="AD3356" s="15" t="n">
        <v>3</v>
      </c>
      <c r="AE3356" s="11" t="n">
        <v>1.011296296296296</v>
      </c>
      <c r="AF3356" s="16">
        <f>SUMPRODUCT(N3356:Y3356,$N$5:$Y$5)*$K3356*$L3356*$M3356</f>
        <v/>
      </c>
      <c r="AG3356" s="16">
        <f>SUMPRODUCT(N3356:Y3356,$N$6:$Y$6)*$K3356*$L3356*$M3356</f>
        <v/>
      </c>
      <c r="AH3356" s="20" t="n"/>
    </row>
    <row r="3357">
      <c r="A3357" s="9" t="n">
        <v>694381</v>
      </c>
      <c r="B3357" s="9" t="inlineStr">
        <is>
          <t>Trey McLoughlin</t>
        </is>
      </c>
      <c r="C3357" s="9" t="inlineStr">
        <is>
          <t>HOU</t>
        </is>
      </c>
      <c r="D3357" s="9" t="n">
        <v>25</v>
      </c>
      <c r="E3357" s="18" t="inlineStr">
        <is>
          <t>R</t>
        </is>
      </c>
      <c r="F3357" s="18" t="n"/>
      <c r="G3357" s="9" t="n">
        <v>95.38833333333336</v>
      </c>
      <c r="H3357" s="9" t="n">
        <v>95.38833333333336</v>
      </c>
      <c r="I3357" s="9" t="inlineStr">
        <is>
          <t>Depth (no MLB IP)</t>
        </is>
      </c>
      <c r="J3357" s="18" t="inlineStr">
        <is>
          <t>Opening Day</t>
        </is>
      </c>
      <c r="K3357" s="11">
        <f>IFERROR(INDEX(Roles!$B$17:$B$20,MATCH(J3357,Roles!$A$17:$A$20,0)),1)</f>
        <v/>
      </c>
      <c r="L3357" s="19" t="n">
        <v>1</v>
      </c>
      <c r="M3357" s="11" t="n">
        <v>1</v>
      </c>
      <c r="N3357" s="19" t="n"/>
      <c r="O3357" s="19" t="n"/>
      <c r="P3357" s="19" t="n"/>
      <c r="Q3357" s="19" t="n"/>
      <c r="R3357" s="19" t="n"/>
      <c r="S3357" s="19" t="n"/>
      <c r="T3357" s="19" t="n"/>
      <c r="U3357" s="19" t="n"/>
      <c r="V3357" s="19" t="n"/>
      <c r="W3357" s="19" t="n"/>
      <c r="X3357" s="19" t="n"/>
      <c r="Y3357" s="19" t="n">
        <v>1</v>
      </c>
      <c r="Z3357" s="13">
        <f>SUMPRODUCT(N3357:Y3357,$N$2:$Y$2)*$K3357*$L3357*$M3357</f>
        <v/>
      </c>
      <c r="AA3357" s="14">
        <f>SUM(N3357:Y3357)</f>
        <v/>
      </c>
      <c r="AB3357" s="13">
        <f>SUMPRODUCT(N3357:Y3357,$N$3:$Y$3)*$K3357*$L3357*$M3357</f>
        <v/>
      </c>
      <c r="AC3357" s="13">
        <f>SUMPRODUCT(N3357:Y3357,$N$4:$Y$4)*$K3357*$L3357*$M3357</f>
        <v/>
      </c>
      <c r="AD3357" s="15" t="n">
        <v>3</v>
      </c>
      <c r="AE3357" s="11" t="n">
        <v>1.011296296296296</v>
      </c>
      <c r="AF3357" s="16">
        <f>SUMPRODUCT(N3357:Y3357,$N$5:$Y$5)*$K3357*$L3357*$M3357</f>
        <v/>
      </c>
      <c r="AG3357" s="16">
        <f>SUMPRODUCT(N3357:Y3357,$N$6:$Y$6)*$K3357*$L3357*$M3357</f>
        <v/>
      </c>
      <c r="AH3357" s="20" t="n"/>
    </row>
    <row r="3358">
      <c r="A3358" s="9" t="n">
        <v>682610</v>
      </c>
      <c r="B3358" s="9" t="inlineStr">
        <is>
          <t>Roddery Muñoz</t>
        </is>
      </c>
      <c r="C3358" s="9" t="inlineStr">
        <is>
          <t>HOU</t>
        </is>
      </c>
      <c r="D3358" s="9" t="n">
        <v>27</v>
      </c>
      <c r="E3358" s="18" t="inlineStr">
        <is>
          <t>R</t>
        </is>
      </c>
      <c r="F3358" s="18" t="n"/>
      <c r="G3358" s="9" t="n">
        <v>25</v>
      </c>
      <c r="H3358" s="9" t="n">
        <v>455</v>
      </c>
      <c r="I3358" s="9" t="inlineStr">
        <is>
          <t>End-of-Rotation Starter (SP4-5)</t>
        </is>
      </c>
      <c r="J3358" s="18" t="inlineStr">
        <is>
          <t>Opening Day</t>
        </is>
      </c>
      <c r="K3358" s="11">
        <f>IFERROR(INDEX(Roles!$B$17:$B$20,MATCH(J3358,Roles!$A$17:$A$20,0)),1)</f>
        <v/>
      </c>
      <c r="L3358" s="19" t="n">
        <v>1</v>
      </c>
      <c r="M3358" s="11" t="n">
        <v>1</v>
      </c>
      <c r="N3358" s="19" t="n"/>
      <c r="O3358" s="19" t="n"/>
      <c r="P3358" s="19" t="n">
        <v>1</v>
      </c>
      <c r="Q3358" s="19" t="n"/>
      <c r="R3358" s="19" t="n"/>
      <c r="S3358" s="19" t="n"/>
      <c r="T3358" s="19" t="n"/>
      <c r="U3358" s="19" t="n"/>
      <c r="V3358" s="19" t="n"/>
      <c r="W3358" s="19" t="n"/>
      <c r="X3358" s="19" t="n"/>
      <c r="Y3358" s="19" t="n"/>
      <c r="Z3358" s="13">
        <f>SUMPRODUCT(N3358:Y3358,$N$2:$Y$2)*$K3358*$L3358*$M3358</f>
        <v/>
      </c>
      <c r="AA3358" s="14">
        <f>SUM(N3358:Y3358)</f>
        <v/>
      </c>
      <c r="AB3358" s="13">
        <f>SUMPRODUCT(N3358:Y3358,$N$3:$Y$3)*$K3358*$L3358*$M3358</f>
        <v/>
      </c>
      <c r="AC3358" s="13">
        <f>SUMPRODUCT(N3358:Y3358,$N$4:$Y$4)*$K3358*$L3358*$M3358</f>
        <v/>
      </c>
      <c r="AD3358" s="15" t="n">
        <v>10.9</v>
      </c>
      <c r="AE3358" s="11" t="n">
        <v>3.901234567901234</v>
      </c>
      <c r="AF3358" s="16">
        <f>SUMPRODUCT(N3358:Y3358,$N$5:$Y$5)*$K3358*$L3358*$M3358</f>
        <v/>
      </c>
      <c r="AG3358" s="16">
        <f>SUMPRODUCT(N3358:Y3358,$N$6:$Y$6)*$K3358*$L3358*$M3358</f>
        <v/>
      </c>
      <c r="AH3358" s="20" t="n"/>
    </row>
    <row r="3359">
      <c r="A3359" s="9" t="n">
        <v>656186</v>
      </c>
      <c r="B3359" s="9" t="inlineStr">
        <is>
          <t>Dan Altavilla</t>
        </is>
      </c>
      <c r="C3359" s="9" t="inlineStr">
        <is>
          <t>CWS</t>
        </is>
      </c>
      <c r="D3359" s="9" t="n">
        <v>34</v>
      </c>
      <c r="E3359" s="18" t="inlineStr">
        <is>
          <t>R</t>
        </is>
      </c>
      <c r="F3359" s="18" t="n"/>
      <c r="G3359" s="9" t="n">
        <v>120</v>
      </c>
      <c r="H3359" s="9" t="n">
        <v>141</v>
      </c>
      <c r="I3359" s="9" t="inlineStr">
        <is>
          <t>Bullpen Depth Arm</t>
        </is>
      </c>
      <c r="J3359" s="18" t="inlineStr">
        <is>
          <t>Opening Day</t>
        </is>
      </c>
      <c r="K3359" s="11">
        <f>IFERROR(INDEX(Roles!$B$17:$B$20,MATCH(J3359,Roles!$A$17:$A$20,0)),1)</f>
        <v/>
      </c>
      <c r="L3359" s="19" t="n">
        <v>1</v>
      </c>
      <c r="M3359" s="11" t="n">
        <v>1</v>
      </c>
      <c r="N3359" s="19" t="n"/>
      <c r="O3359" s="19" t="n"/>
      <c r="P3359" s="19" t="n"/>
      <c r="Q3359" s="19" t="n"/>
      <c r="R3359" s="19" t="n"/>
      <c r="S3359" s="19" t="n"/>
      <c r="T3359" s="19" t="n"/>
      <c r="U3359" s="19" t="n"/>
      <c r="V3359" s="19" t="n"/>
      <c r="W3359" s="19" t="n">
        <v>1</v>
      </c>
      <c r="X3359" s="19" t="n"/>
      <c r="Y3359" s="19" t="n"/>
      <c r="Z3359" s="13">
        <f>SUMPRODUCT(N3359:Y3359,$N$2:$Y$2)*$K3359*$L3359*$M3359</f>
        <v/>
      </c>
      <c r="AA3359" s="14">
        <f>SUM(N3359:Y3359)</f>
        <v/>
      </c>
      <c r="AB3359" s="13">
        <f>SUMPRODUCT(N3359:Y3359,$N$3:$Y$3)*$K3359*$L3359*$M3359</f>
        <v/>
      </c>
      <c r="AC3359" s="13">
        <f>SUMPRODUCT(N3359:Y3359,$N$4:$Y$4)*$K3359*$L3359*$M3359</f>
        <v/>
      </c>
      <c r="AD3359" s="15" t="n">
        <v>17.86666666666667</v>
      </c>
      <c r="AE3359" s="11" t="n">
        <v>1.138483455423346</v>
      </c>
      <c r="AF3359" s="16">
        <f>SUMPRODUCT(N3359:Y3359,$N$5:$Y$5)*$K3359*$L3359*$M3359</f>
        <v/>
      </c>
      <c r="AG3359" s="16">
        <f>SUMPRODUCT(N3359:Y3359,$N$6:$Y$6)*$K3359*$L3359*$M3359</f>
        <v/>
      </c>
      <c r="AH3359" s="20" t="n"/>
    </row>
    <row r="3360">
      <c r="A3360" s="9" t="n">
        <v>681116</v>
      </c>
      <c r="B3360" s="9" t="inlineStr">
        <is>
          <t>Chase Chaney</t>
        </is>
      </c>
      <c r="C3360" s="9" t="inlineStr">
        <is>
          <t>NYY</t>
        </is>
      </c>
      <c r="D3360" s="9" t="n">
        <v>25</v>
      </c>
      <c r="E3360" s="18" t="inlineStr">
        <is>
          <t>R</t>
        </is>
      </c>
      <c r="F3360" s="18" t="n"/>
      <c r="G3360" s="9" t="n">
        <v>95.31666666666663</v>
      </c>
      <c r="H3360" s="9" t="n">
        <v>95.31666666666663</v>
      </c>
      <c r="I3360" s="9" t="inlineStr">
        <is>
          <t>Depth (no MLB IP)</t>
        </is>
      </c>
      <c r="J3360" s="18" t="inlineStr">
        <is>
          <t>Opening Day</t>
        </is>
      </c>
      <c r="K3360" s="11">
        <f>IFERROR(INDEX(Roles!$B$17:$B$20,MATCH(J3360,Roles!$A$17:$A$20,0)),1)</f>
        <v/>
      </c>
      <c r="L3360" s="19" t="n">
        <v>1</v>
      </c>
      <c r="M3360" s="11" t="n">
        <v>1</v>
      </c>
      <c r="N3360" s="19" t="n"/>
      <c r="O3360" s="19" t="n"/>
      <c r="P3360" s="19" t="n"/>
      <c r="Q3360" s="19" t="n"/>
      <c r="R3360" s="19" t="n"/>
      <c r="S3360" s="19" t="n"/>
      <c r="T3360" s="19" t="n"/>
      <c r="U3360" s="19" t="n"/>
      <c r="V3360" s="19" t="n"/>
      <c r="W3360" s="19" t="n"/>
      <c r="X3360" s="19" t="n"/>
      <c r="Y3360" s="19" t="n">
        <v>1</v>
      </c>
      <c r="Z3360" s="13">
        <f>SUMPRODUCT(N3360:Y3360,$N$2:$Y$2)*$K3360*$L3360*$M3360</f>
        <v/>
      </c>
      <c r="AA3360" s="14">
        <f>SUM(N3360:Y3360)</f>
        <v/>
      </c>
      <c r="AB3360" s="13">
        <f>SUMPRODUCT(N3360:Y3360,$N$3:$Y$3)*$K3360*$L3360*$M3360</f>
        <v/>
      </c>
      <c r="AC3360" s="13">
        <f>SUMPRODUCT(N3360:Y3360,$N$4:$Y$4)*$K3360*$L3360*$M3360</f>
        <v/>
      </c>
      <c r="AD3360" s="15" t="n">
        <v>3</v>
      </c>
      <c r="AE3360" s="11" t="n">
        <v>1.011296296296296</v>
      </c>
      <c r="AF3360" s="16">
        <f>SUMPRODUCT(N3360:Y3360,$N$5:$Y$5)*$K3360*$L3360*$M3360</f>
        <v/>
      </c>
      <c r="AG3360" s="16">
        <f>SUMPRODUCT(N3360:Y3360,$N$6:$Y$6)*$K3360*$L3360*$M3360</f>
        <v/>
      </c>
      <c r="AH3360" s="20" t="n"/>
    </row>
    <row r="3361">
      <c r="A3361" s="9" t="n">
        <v>691602</v>
      </c>
      <c r="B3361" s="9" t="inlineStr">
        <is>
          <t>Stiven Cruz</t>
        </is>
      </c>
      <c r="C3361" s="9" t="inlineStr">
        <is>
          <t>MIL</t>
        </is>
      </c>
      <c r="D3361" s="9" t="n">
        <v>25</v>
      </c>
      <c r="E3361" s="18" t="inlineStr">
        <is>
          <t>R</t>
        </is>
      </c>
      <c r="F3361" s="18" t="n"/>
      <c r="G3361" s="9" t="n">
        <v>95.31666666666663</v>
      </c>
      <c r="H3361" s="9" t="n">
        <v>95.31666666666663</v>
      </c>
      <c r="I3361" s="9" t="inlineStr">
        <is>
          <t>Depth (no MLB IP)</t>
        </is>
      </c>
      <c r="J3361" s="18" t="inlineStr">
        <is>
          <t>Opening Day</t>
        </is>
      </c>
      <c r="K3361" s="11">
        <f>IFERROR(INDEX(Roles!$B$17:$B$20,MATCH(J3361,Roles!$A$17:$A$20,0)),1)</f>
        <v/>
      </c>
      <c r="L3361" s="19" t="n">
        <v>1</v>
      </c>
      <c r="M3361" s="11" t="n">
        <v>1</v>
      </c>
      <c r="N3361" s="19" t="n"/>
      <c r="O3361" s="19" t="n"/>
      <c r="P3361" s="19" t="n"/>
      <c r="Q3361" s="19" t="n"/>
      <c r="R3361" s="19" t="n"/>
      <c r="S3361" s="19" t="n"/>
      <c r="T3361" s="19" t="n"/>
      <c r="U3361" s="19" t="n"/>
      <c r="V3361" s="19" t="n"/>
      <c r="W3361" s="19" t="n"/>
      <c r="X3361" s="19" t="n"/>
      <c r="Y3361" s="19" t="n">
        <v>1</v>
      </c>
      <c r="Z3361" s="13">
        <f>SUMPRODUCT(N3361:Y3361,$N$2:$Y$2)*$K3361*$L3361*$M3361</f>
        <v/>
      </c>
      <c r="AA3361" s="14">
        <f>SUM(N3361:Y3361)</f>
        <v/>
      </c>
      <c r="AB3361" s="13">
        <f>SUMPRODUCT(N3361:Y3361,$N$3:$Y$3)*$K3361*$L3361*$M3361</f>
        <v/>
      </c>
      <c r="AC3361" s="13">
        <f>SUMPRODUCT(N3361:Y3361,$N$4:$Y$4)*$K3361*$L3361*$M3361</f>
        <v/>
      </c>
      <c r="AD3361" s="15" t="n">
        <v>3</v>
      </c>
      <c r="AE3361" s="11" t="n">
        <v>1.011296296296296</v>
      </c>
      <c r="AF3361" s="16">
        <f>SUMPRODUCT(N3361:Y3361,$N$5:$Y$5)*$K3361*$L3361*$M3361</f>
        <v/>
      </c>
      <c r="AG3361" s="16">
        <f>SUMPRODUCT(N3361:Y3361,$N$6:$Y$6)*$K3361*$L3361*$M3361</f>
        <v/>
      </c>
      <c r="AH3361" s="20" t="n"/>
    </row>
    <row r="3362">
      <c r="A3362" s="9" t="n">
        <v>815780</v>
      </c>
      <c r="B3362" s="9" t="inlineStr">
        <is>
          <t>Shane Rademacher</t>
        </is>
      </c>
      <c r="C3362" s="9" t="inlineStr">
        <is>
          <t>SF</t>
        </is>
      </c>
      <c r="D3362" s="9" t="n">
        <v>25</v>
      </c>
      <c r="E3362" s="18" t="inlineStr">
        <is>
          <t>R</t>
        </is>
      </c>
      <c r="F3362" s="18" t="n"/>
      <c r="G3362" s="9" t="n">
        <v>95.31666666666663</v>
      </c>
      <c r="H3362" s="9" t="n">
        <v>95.31666666666663</v>
      </c>
      <c r="I3362" s="9" t="inlineStr">
        <is>
          <t>Depth (no MLB IP)</t>
        </is>
      </c>
      <c r="J3362" s="18" t="inlineStr">
        <is>
          <t>Opening Day</t>
        </is>
      </c>
      <c r="K3362" s="11">
        <f>IFERROR(INDEX(Roles!$B$17:$B$20,MATCH(J3362,Roles!$A$17:$A$20,0)),1)</f>
        <v/>
      </c>
      <c r="L3362" s="19" t="n">
        <v>1</v>
      </c>
      <c r="M3362" s="11" t="n">
        <v>1</v>
      </c>
      <c r="N3362" s="19" t="n"/>
      <c r="O3362" s="19" t="n"/>
      <c r="P3362" s="19" t="n"/>
      <c r="Q3362" s="19" t="n"/>
      <c r="R3362" s="19" t="n"/>
      <c r="S3362" s="19" t="n"/>
      <c r="T3362" s="19" t="n"/>
      <c r="U3362" s="19" t="n"/>
      <c r="V3362" s="19" t="n"/>
      <c r="W3362" s="19" t="n"/>
      <c r="X3362" s="19" t="n"/>
      <c r="Y3362" s="19" t="n">
        <v>1</v>
      </c>
      <c r="Z3362" s="13">
        <f>SUMPRODUCT(N3362:Y3362,$N$2:$Y$2)*$K3362*$L3362*$M3362</f>
        <v/>
      </c>
      <c r="AA3362" s="14">
        <f>SUM(N3362:Y3362)</f>
        <v/>
      </c>
      <c r="AB3362" s="13">
        <f>SUMPRODUCT(N3362:Y3362,$N$3:$Y$3)*$K3362*$L3362*$M3362</f>
        <v/>
      </c>
      <c r="AC3362" s="13">
        <f>SUMPRODUCT(N3362:Y3362,$N$4:$Y$4)*$K3362*$L3362*$M3362</f>
        <v/>
      </c>
      <c r="AD3362" s="15" t="n">
        <v>3</v>
      </c>
      <c r="AE3362" s="11" t="n">
        <v>1.011296296296296</v>
      </c>
      <c r="AF3362" s="16">
        <f>SUMPRODUCT(N3362:Y3362,$N$5:$Y$5)*$K3362*$L3362*$M3362</f>
        <v/>
      </c>
      <c r="AG3362" s="16">
        <f>SUMPRODUCT(N3362:Y3362,$N$6:$Y$6)*$K3362*$L3362*$M3362</f>
        <v/>
      </c>
      <c r="AH3362" s="20" t="n"/>
    </row>
    <row r="3363">
      <c r="A3363" s="9" t="n">
        <v>676390</v>
      </c>
      <c r="B3363" s="9" t="inlineStr">
        <is>
          <t>Tommy Mace</t>
        </is>
      </c>
      <c r="C3363" s="9" t="inlineStr">
        <is>
          <t>CLE</t>
        </is>
      </c>
      <c r="D3363" s="9" t="n">
        <v>25</v>
      </c>
      <c r="E3363" s="18" t="inlineStr">
        <is>
          <t>R</t>
        </is>
      </c>
      <c r="F3363" s="18" t="n"/>
      <c r="G3363" s="9" t="n">
        <v>95.38833333333336</v>
      </c>
      <c r="H3363" s="9" t="n">
        <v>95.38833333333336</v>
      </c>
      <c r="I3363" s="9" t="inlineStr">
        <is>
          <t>Depth (no MLB IP)</t>
        </is>
      </c>
      <c r="J3363" s="18" t="inlineStr">
        <is>
          <t>Opening Day</t>
        </is>
      </c>
      <c r="K3363" s="11">
        <f>IFERROR(INDEX(Roles!$B$17:$B$20,MATCH(J3363,Roles!$A$17:$A$20,0)),1)</f>
        <v/>
      </c>
      <c r="L3363" s="19" t="n">
        <v>1</v>
      </c>
      <c r="M3363" s="11" t="n">
        <v>1</v>
      </c>
      <c r="N3363" s="19" t="n"/>
      <c r="O3363" s="19" t="n"/>
      <c r="P3363" s="19" t="n"/>
      <c r="Q3363" s="19" t="n"/>
      <c r="R3363" s="19" t="n"/>
      <c r="S3363" s="19" t="n"/>
      <c r="T3363" s="19" t="n"/>
      <c r="U3363" s="19" t="n"/>
      <c r="V3363" s="19" t="n"/>
      <c r="W3363" s="19" t="n"/>
      <c r="X3363" s="19" t="n"/>
      <c r="Y3363" s="19" t="n">
        <v>1</v>
      </c>
      <c r="Z3363" s="13">
        <f>SUMPRODUCT(N3363:Y3363,$N$2:$Y$2)*$K3363*$L3363*$M3363</f>
        <v/>
      </c>
      <c r="AA3363" s="14">
        <f>SUM(N3363:Y3363)</f>
        <v/>
      </c>
      <c r="AB3363" s="13">
        <f>SUMPRODUCT(N3363:Y3363,$N$3:$Y$3)*$K3363*$L3363*$M3363</f>
        <v/>
      </c>
      <c r="AC3363" s="13">
        <f>SUMPRODUCT(N3363:Y3363,$N$4:$Y$4)*$K3363*$L3363*$M3363</f>
        <v/>
      </c>
      <c r="AD3363" s="15" t="n">
        <v>3</v>
      </c>
      <c r="AE3363" s="11" t="n">
        <v>1.011296296296296</v>
      </c>
      <c r="AF3363" s="16">
        <f>SUMPRODUCT(N3363:Y3363,$N$5:$Y$5)*$K3363*$L3363*$M3363</f>
        <v/>
      </c>
      <c r="AG3363" s="16">
        <f>SUMPRODUCT(N3363:Y3363,$N$6:$Y$6)*$K3363*$L3363*$M3363</f>
        <v/>
      </c>
      <c r="AH3363" s="20" t="n"/>
    </row>
    <row r="3364">
      <c r="A3364" s="9" t="n">
        <v>688609</v>
      </c>
      <c r="B3364" s="9" t="inlineStr">
        <is>
          <t>Hunter Parks</t>
        </is>
      </c>
      <c r="C3364" s="9" t="inlineStr">
        <is>
          <t>CIN</t>
        </is>
      </c>
      <c r="D3364" s="9" t="n">
        <v>25</v>
      </c>
      <c r="E3364" s="18" t="inlineStr">
        <is>
          <t>R</t>
        </is>
      </c>
      <c r="F3364" s="18" t="n"/>
      <c r="G3364" s="9" t="n">
        <v>95.38833333333336</v>
      </c>
      <c r="H3364" s="9" t="n">
        <v>95.38833333333336</v>
      </c>
      <c r="I3364" s="9" t="inlineStr">
        <is>
          <t>Depth (no MLB IP)</t>
        </is>
      </c>
      <c r="J3364" s="18" t="inlineStr">
        <is>
          <t>Opening Day</t>
        </is>
      </c>
      <c r="K3364" s="11">
        <f>IFERROR(INDEX(Roles!$B$17:$B$20,MATCH(J3364,Roles!$A$17:$A$20,0)),1)</f>
        <v/>
      </c>
      <c r="L3364" s="19" t="n">
        <v>1</v>
      </c>
      <c r="M3364" s="11" t="n">
        <v>1</v>
      </c>
      <c r="N3364" s="19" t="n"/>
      <c r="O3364" s="19" t="n"/>
      <c r="P3364" s="19" t="n"/>
      <c r="Q3364" s="19" t="n"/>
      <c r="R3364" s="19" t="n"/>
      <c r="S3364" s="19" t="n"/>
      <c r="T3364" s="19" t="n"/>
      <c r="U3364" s="19" t="n"/>
      <c r="V3364" s="19" t="n"/>
      <c r="W3364" s="19" t="n"/>
      <c r="X3364" s="19" t="n"/>
      <c r="Y3364" s="19" t="n">
        <v>1</v>
      </c>
      <c r="Z3364" s="13">
        <f>SUMPRODUCT(N3364:Y3364,$N$2:$Y$2)*$K3364*$L3364*$M3364</f>
        <v/>
      </c>
      <c r="AA3364" s="14">
        <f>SUM(N3364:Y3364)</f>
        <v/>
      </c>
      <c r="AB3364" s="13">
        <f>SUMPRODUCT(N3364:Y3364,$N$3:$Y$3)*$K3364*$L3364*$M3364</f>
        <v/>
      </c>
      <c r="AC3364" s="13">
        <f>SUMPRODUCT(N3364:Y3364,$N$4:$Y$4)*$K3364*$L3364*$M3364</f>
        <v/>
      </c>
      <c r="AD3364" s="15" t="n">
        <v>3</v>
      </c>
      <c r="AE3364" s="11" t="n">
        <v>1.011296296296296</v>
      </c>
      <c r="AF3364" s="16">
        <f>SUMPRODUCT(N3364:Y3364,$N$5:$Y$5)*$K3364*$L3364*$M3364</f>
        <v/>
      </c>
      <c r="AG3364" s="16">
        <f>SUMPRODUCT(N3364:Y3364,$N$6:$Y$6)*$K3364*$L3364*$M3364</f>
        <v/>
      </c>
      <c r="AH3364" s="20" t="n"/>
    </row>
    <row r="3365">
      <c r="A3365" s="9" t="n">
        <v>672335</v>
      </c>
      <c r="B3365" s="9" t="inlineStr">
        <is>
          <t>Cionel Pérez</t>
        </is>
      </c>
      <c r="C3365" s="9" t="inlineStr">
        <is>
          <t>NYM</t>
        </is>
      </c>
      <c r="D3365" s="9" t="n">
        <v>31</v>
      </c>
      <c r="E3365" s="18" t="inlineStr">
        <is>
          <t>L</t>
        </is>
      </c>
      <c r="F3365" s="18" t="n"/>
      <c r="G3365" s="9" t="n">
        <v>198</v>
      </c>
      <c r="H3365" s="9" t="n">
        <v>1027</v>
      </c>
      <c r="I3365" s="9" t="inlineStr">
        <is>
          <t>Middle Relief</t>
        </is>
      </c>
      <c r="J3365" s="18" t="inlineStr">
        <is>
          <t>Opening Day</t>
        </is>
      </c>
      <c r="K3365" s="11">
        <f>IFERROR(INDEX(Roles!$B$17:$B$20,MATCH(J3365,Roles!$A$17:$A$20,0)),1)</f>
        <v/>
      </c>
      <c r="L3365" s="19" t="n">
        <v>1</v>
      </c>
      <c r="M3365" s="11" t="n">
        <v>1</v>
      </c>
      <c r="N3365" s="19" t="n"/>
      <c r="O3365" s="19" t="n"/>
      <c r="P3365" s="19" t="n"/>
      <c r="Q3365" s="19" t="n"/>
      <c r="R3365" s="19" t="n"/>
      <c r="S3365" s="19" t="n"/>
      <c r="T3365" s="19" t="n"/>
      <c r="U3365" s="19" t="n"/>
      <c r="V3365" s="19" t="n">
        <v>0.85</v>
      </c>
      <c r="W3365" s="19" t="n">
        <v>0.15</v>
      </c>
      <c r="X3365" s="19" t="n"/>
      <c r="Y3365" s="19" t="n"/>
      <c r="Z3365" s="13">
        <f>SUMPRODUCT(N3365:Y3365,$N$2:$Y$2)*$K3365*$L3365*$M3365</f>
        <v/>
      </c>
      <c r="AA3365" s="14">
        <f>SUM(N3365:Y3365)</f>
        <v/>
      </c>
      <c r="AB3365" s="13">
        <f>SUMPRODUCT(N3365:Y3365,$N$3:$Y$3)*$K3365*$L3365*$M3365</f>
        <v/>
      </c>
      <c r="AC3365" s="13">
        <f>SUMPRODUCT(N3365:Y3365,$N$4:$Y$4)*$K3365*$L3365*$M3365</f>
        <v/>
      </c>
      <c r="AD3365" s="15" t="n">
        <v>36.73333333333333</v>
      </c>
      <c r="AE3365" s="11" t="n">
        <v>1.042174067805717</v>
      </c>
      <c r="AF3365" s="16">
        <f>SUMPRODUCT(N3365:Y3365,$N$5:$Y$5)*$K3365*$L3365*$M3365</f>
        <v/>
      </c>
      <c r="AG3365" s="16">
        <f>SUMPRODUCT(N3365:Y3365,$N$6:$Y$6)*$K3365*$L3365*$M3365</f>
        <v/>
      </c>
      <c r="AH3365" s="20" t="n"/>
    </row>
    <row r="3366">
      <c r="A3366" s="9" t="n">
        <v>687312</v>
      </c>
      <c r="B3366" s="9" t="inlineStr">
        <is>
          <t>Gabriel Hughes</t>
        </is>
      </c>
      <c r="C3366" s="9" t="inlineStr">
        <is>
          <t>COL</t>
        </is>
      </c>
      <c r="D3366" s="9" t="n">
        <v>25</v>
      </c>
      <c r="E3366" s="18" t="inlineStr">
        <is>
          <t>R</t>
        </is>
      </c>
      <c r="F3366" s="18" t="n"/>
      <c r="G3366" s="9" t="n">
        <v>283</v>
      </c>
      <c r="H3366" s="9" t="n">
        <v>283</v>
      </c>
      <c r="I3366" s="9" t="inlineStr">
        <is>
          <t>End-of-Rotation Starter (SP4-5)</t>
        </is>
      </c>
      <c r="J3366" s="18" t="inlineStr">
        <is>
          <t>Opening Day</t>
        </is>
      </c>
      <c r="K3366" s="11">
        <f>IFERROR(INDEX(Roles!$B$17:$B$20,MATCH(J3366,Roles!$A$17:$A$20,0)),1)</f>
        <v/>
      </c>
      <c r="L3366" s="19" t="n">
        <v>1</v>
      </c>
      <c r="M3366" s="11" t="n">
        <v>1</v>
      </c>
      <c r="N3366" s="19" t="n"/>
      <c r="O3366" s="19" t="n"/>
      <c r="P3366" s="19" t="n">
        <v>1</v>
      </c>
      <c r="Q3366" s="19" t="n"/>
      <c r="R3366" s="19" t="n"/>
      <c r="S3366" s="19" t="n"/>
      <c r="T3366" s="19" t="n"/>
      <c r="U3366" s="19" t="n"/>
      <c r="V3366" s="19" t="n"/>
      <c r="W3366" s="19" t="n"/>
      <c r="X3366" s="19" t="n"/>
      <c r="Y3366" s="19" t="n"/>
      <c r="Z3366" s="13">
        <f>SUMPRODUCT(N3366:Y3366,$N$2:$Y$2)*$K3366*$L3366*$M3366</f>
        <v/>
      </c>
      <c r="AA3366" s="14">
        <f>SUM(N3366:Y3366)</f>
        <v/>
      </c>
      <c r="AB3366" s="13">
        <f>SUMPRODUCT(N3366:Y3366,$N$3:$Y$3)*$K3366*$L3366*$M3366</f>
        <v/>
      </c>
      <c r="AC3366" s="13">
        <f>SUMPRODUCT(N3366:Y3366,$N$4:$Y$4)*$K3366*$L3366*$M3366</f>
        <v/>
      </c>
      <c r="AD3366" s="15" t="n">
        <v>14.8</v>
      </c>
      <c r="AE3366" s="11" t="n">
        <v>4.56084656084656</v>
      </c>
      <c r="AF3366" s="16">
        <f>SUMPRODUCT(N3366:Y3366,$N$5:$Y$5)*$K3366*$L3366*$M3366</f>
        <v/>
      </c>
      <c r="AG3366" s="16">
        <f>SUMPRODUCT(N3366:Y3366,$N$6:$Y$6)*$K3366*$L3366*$M3366</f>
        <v/>
      </c>
      <c r="AH3366" s="20" t="n"/>
    </row>
    <row r="3367">
      <c r="A3367" s="9" t="n">
        <v>665625</v>
      </c>
      <c r="B3367" s="9" t="inlineStr">
        <is>
          <t>Elvis Peguero</t>
        </is>
      </c>
      <c r="C3367" s="9" t="inlineStr">
        <is>
          <t>CWS</t>
        </is>
      </c>
      <c r="D3367" s="9" t="n">
        <v>30</v>
      </c>
      <c r="E3367" s="18" t="inlineStr">
        <is>
          <t>R</t>
        </is>
      </c>
      <c r="F3367" s="18" t="n"/>
      <c r="G3367" s="9" t="n">
        <v>47</v>
      </c>
      <c r="H3367" s="9" t="n">
        <v>603</v>
      </c>
      <c r="I3367" s="9" t="inlineStr">
        <is>
          <t>Bullpen Depth Arm</t>
        </is>
      </c>
      <c r="J3367" s="18" t="inlineStr">
        <is>
          <t>Opening Day</t>
        </is>
      </c>
      <c r="K3367" s="11">
        <f>IFERROR(INDEX(Roles!$B$17:$B$20,MATCH(J3367,Roles!$A$17:$A$20,0)),1)</f>
        <v/>
      </c>
      <c r="L3367" s="19" t="n">
        <v>1</v>
      </c>
      <c r="M3367" s="11" t="n">
        <v>1</v>
      </c>
      <c r="N3367" s="19" t="n"/>
      <c r="O3367" s="19" t="n"/>
      <c r="P3367" s="19" t="n"/>
      <c r="Q3367" s="19" t="n"/>
      <c r="R3367" s="19" t="n"/>
      <c r="S3367" s="19" t="n"/>
      <c r="T3367" s="19" t="n"/>
      <c r="U3367" s="19" t="n"/>
      <c r="V3367" s="19" t="n"/>
      <c r="W3367" s="19" t="n">
        <v>1</v>
      </c>
      <c r="X3367" s="19" t="n"/>
      <c r="Y3367" s="19" t="n"/>
      <c r="Z3367" s="13">
        <f>SUMPRODUCT(N3367:Y3367,$N$2:$Y$2)*$K3367*$L3367*$M3367</f>
        <v/>
      </c>
      <c r="AA3367" s="14">
        <f>SUM(N3367:Y3367)</f>
        <v/>
      </c>
      <c r="AB3367" s="13">
        <f>SUMPRODUCT(N3367:Y3367,$N$3:$Y$3)*$K3367*$L3367*$M3367</f>
        <v/>
      </c>
      <c r="AC3367" s="13">
        <f>SUMPRODUCT(N3367:Y3367,$N$4:$Y$4)*$K3367*$L3367*$M3367</f>
        <v/>
      </c>
      <c r="AD3367" s="15" t="n">
        <v>19.26666666666667</v>
      </c>
      <c r="AE3367" s="11" t="n">
        <v>1.144644389742429</v>
      </c>
      <c r="AF3367" s="16">
        <f>SUMPRODUCT(N3367:Y3367,$N$5:$Y$5)*$K3367*$L3367*$M3367</f>
        <v/>
      </c>
      <c r="AG3367" s="16">
        <f>SUMPRODUCT(N3367:Y3367,$N$6:$Y$6)*$K3367*$L3367*$M3367</f>
        <v/>
      </c>
      <c r="AH3367" s="20" t="n"/>
    </row>
    <row r="3368">
      <c r="A3368" s="9" t="n">
        <v>664301</v>
      </c>
      <c r="B3368" s="9" t="inlineStr">
        <is>
          <t>Wandisson Charles</t>
        </is>
      </c>
      <c r="C3368" s="9" t="inlineStr">
        <is>
          <t>DET</t>
        </is>
      </c>
      <c r="D3368" s="9" t="n">
        <v>25</v>
      </c>
      <c r="E3368" s="18" t="inlineStr">
        <is>
          <t>R</t>
        </is>
      </c>
      <c r="F3368" s="18" t="n"/>
      <c r="G3368" s="9" t="n">
        <v>95.81833333333331</v>
      </c>
      <c r="H3368" s="9" t="n">
        <v>95.81833333333331</v>
      </c>
      <c r="I3368" s="9" t="inlineStr">
        <is>
          <t>Depth (no MLB IP)</t>
        </is>
      </c>
      <c r="J3368" s="18" t="inlineStr">
        <is>
          <t>Opening Day</t>
        </is>
      </c>
      <c r="K3368" s="11">
        <f>IFERROR(INDEX(Roles!$B$17:$B$20,MATCH(J3368,Roles!$A$17:$A$20,0)),1)</f>
        <v/>
      </c>
      <c r="L3368" s="19" t="n">
        <v>1</v>
      </c>
      <c r="M3368" s="11" t="n">
        <v>1</v>
      </c>
      <c r="N3368" s="19" t="n"/>
      <c r="O3368" s="19" t="n"/>
      <c r="P3368" s="19" t="n"/>
      <c r="Q3368" s="19" t="n"/>
      <c r="R3368" s="19" t="n"/>
      <c r="S3368" s="19" t="n"/>
      <c r="T3368" s="19" t="n"/>
      <c r="U3368" s="19" t="n"/>
      <c r="V3368" s="19" t="n"/>
      <c r="W3368" s="19" t="n"/>
      <c r="X3368" s="19" t="n"/>
      <c r="Y3368" s="19" t="n">
        <v>1</v>
      </c>
      <c r="Z3368" s="13">
        <f>SUMPRODUCT(N3368:Y3368,$N$2:$Y$2)*$K3368*$L3368*$M3368</f>
        <v/>
      </c>
      <c r="AA3368" s="14">
        <f>SUM(N3368:Y3368)</f>
        <v/>
      </c>
      <c r="AB3368" s="13">
        <f>SUMPRODUCT(N3368:Y3368,$N$3:$Y$3)*$K3368*$L3368*$M3368</f>
        <v/>
      </c>
      <c r="AC3368" s="13">
        <f>SUMPRODUCT(N3368:Y3368,$N$4:$Y$4)*$K3368*$L3368*$M3368</f>
        <v/>
      </c>
      <c r="AD3368" s="15" t="n">
        <v>3</v>
      </c>
      <c r="AE3368" s="11" t="n">
        <v>1.011296296296296</v>
      </c>
      <c r="AF3368" s="16">
        <f>SUMPRODUCT(N3368:Y3368,$N$5:$Y$5)*$K3368*$L3368*$M3368</f>
        <v/>
      </c>
      <c r="AG3368" s="16">
        <f>SUMPRODUCT(N3368:Y3368,$N$6:$Y$6)*$K3368*$L3368*$M3368</f>
        <v/>
      </c>
      <c r="AH3368" s="20" t="n"/>
    </row>
    <row r="3369">
      <c r="A3369" s="9" t="n">
        <v>683098</v>
      </c>
      <c r="B3369" s="9" t="inlineStr">
        <is>
          <t>Bryce Osmond</t>
        </is>
      </c>
      <c r="C3369" s="9" t="inlineStr">
        <is>
          <t>LAA</t>
        </is>
      </c>
      <c r="D3369" s="9" t="n">
        <v>25</v>
      </c>
      <c r="E3369" s="18" t="inlineStr">
        <is>
          <t>R</t>
        </is>
      </c>
      <c r="F3369" s="18" t="n"/>
      <c r="G3369" s="9" t="n">
        <v>95.81833333333331</v>
      </c>
      <c r="H3369" s="9" t="n">
        <v>95.81833333333331</v>
      </c>
      <c r="I3369" s="9" t="inlineStr">
        <is>
          <t>Depth (no MLB IP)</t>
        </is>
      </c>
      <c r="J3369" s="18" t="inlineStr">
        <is>
          <t>Opening Day</t>
        </is>
      </c>
      <c r="K3369" s="11">
        <f>IFERROR(INDEX(Roles!$B$17:$B$20,MATCH(J3369,Roles!$A$17:$A$20,0)),1)</f>
        <v/>
      </c>
      <c r="L3369" s="19" t="n">
        <v>1</v>
      </c>
      <c r="M3369" s="11" t="n">
        <v>1</v>
      </c>
      <c r="N3369" s="19" t="n"/>
      <c r="O3369" s="19" t="n"/>
      <c r="P3369" s="19" t="n"/>
      <c r="Q3369" s="19" t="n"/>
      <c r="R3369" s="19" t="n"/>
      <c r="S3369" s="19" t="n"/>
      <c r="T3369" s="19" t="n"/>
      <c r="U3369" s="19" t="n"/>
      <c r="V3369" s="19" t="n"/>
      <c r="W3369" s="19" t="n"/>
      <c r="X3369" s="19" t="n"/>
      <c r="Y3369" s="19" t="n">
        <v>1</v>
      </c>
      <c r="Z3369" s="13">
        <f>SUMPRODUCT(N3369:Y3369,$N$2:$Y$2)*$K3369*$L3369*$M3369</f>
        <v/>
      </c>
      <c r="AA3369" s="14">
        <f>SUM(N3369:Y3369)</f>
        <v/>
      </c>
      <c r="AB3369" s="13">
        <f>SUMPRODUCT(N3369:Y3369,$N$3:$Y$3)*$K3369*$L3369*$M3369</f>
        <v/>
      </c>
      <c r="AC3369" s="13">
        <f>SUMPRODUCT(N3369:Y3369,$N$4:$Y$4)*$K3369*$L3369*$M3369</f>
        <v/>
      </c>
      <c r="AD3369" s="15" t="n">
        <v>3</v>
      </c>
      <c r="AE3369" s="11" t="n">
        <v>1.011296296296296</v>
      </c>
      <c r="AF3369" s="16">
        <f>SUMPRODUCT(N3369:Y3369,$N$5:$Y$5)*$K3369*$L3369*$M3369</f>
        <v/>
      </c>
      <c r="AG3369" s="16">
        <f>SUMPRODUCT(N3369:Y3369,$N$6:$Y$6)*$K3369*$L3369*$M3369</f>
        <v/>
      </c>
      <c r="AH3369" s="20" t="n"/>
    </row>
    <row r="3370">
      <c r="A3370" s="9" t="n">
        <v>663903</v>
      </c>
      <c r="B3370" s="9" t="inlineStr">
        <is>
          <t>Brady Singer</t>
        </is>
      </c>
      <c r="C3370" s="9" t="inlineStr">
        <is>
          <t>CIN</t>
        </is>
      </c>
      <c r="D3370" s="9" t="n">
        <v>30</v>
      </c>
      <c r="E3370" s="18" t="inlineStr">
        <is>
          <t>R</t>
        </is>
      </c>
      <c r="F3370" s="18" t="n"/>
      <c r="G3370" s="9" t="n">
        <v>725</v>
      </c>
      <c r="H3370" s="9" t="n">
        <v>3526</v>
      </c>
      <c r="I3370" s="9" t="inlineStr">
        <is>
          <t>Mid-Rotation Starter (SP2-3)</t>
        </is>
      </c>
      <c r="J3370" s="18" t="inlineStr">
        <is>
          <t>Opening Day</t>
        </is>
      </c>
      <c r="K3370" s="11">
        <f>IFERROR(INDEX(Roles!$B$17:$B$20,MATCH(J3370,Roles!$A$17:$A$20,0)),1)</f>
        <v/>
      </c>
      <c r="L3370" s="19" t="n">
        <v>1</v>
      </c>
      <c r="M3370" s="11" t="n">
        <v>1</v>
      </c>
      <c r="N3370" s="19" t="n"/>
      <c r="O3370" s="19" t="n">
        <v>0.5</v>
      </c>
      <c r="P3370" s="19" t="n">
        <v>0.5</v>
      </c>
      <c r="Q3370" s="19" t="n"/>
      <c r="R3370" s="19" t="n"/>
      <c r="S3370" s="19" t="n"/>
      <c r="T3370" s="19" t="n"/>
      <c r="U3370" s="19" t="n"/>
      <c r="V3370" s="19" t="n"/>
      <c r="W3370" s="19" t="n"/>
      <c r="X3370" s="19" t="n"/>
      <c r="Y3370" s="19" t="n"/>
      <c r="Z3370" s="13">
        <f>SUMPRODUCT(N3370:Y3370,$N$2:$Y$2)*$K3370*$L3370*$M3370</f>
        <v/>
      </c>
      <c r="AA3370" s="14">
        <f>SUM(N3370:Y3370)</f>
        <v/>
      </c>
      <c r="AB3370" s="13">
        <f>SUMPRODUCT(N3370:Y3370,$N$3:$Y$3)*$K3370*$L3370*$M3370</f>
        <v/>
      </c>
      <c r="AC3370" s="13">
        <f>SUMPRODUCT(N3370:Y3370,$N$4:$Y$4)*$K3370*$L3370*$M3370</f>
        <v/>
      </c>
      <c r="AD3370" s="15" t="n">
        <v>29.3</v>
      </c>
      <c r="AE3370" s="11" t="n">
        <v>5.215565796210958</v>
      </c>
      <c r="AF3370" s="16">
        <f>SUMPRODUCT(N3370:Y3370,$N$5:$Y$5)*$K3370*$L3370*$M3370</f>
        <v/>
      </c>
      <c r="AG3370" s="16">
        <f>SUMPRODUCT(N3370:Y3370,$N$6:$Y$6)*$K3370*$L3370*$M3370</f>
        <v/>
      </c>
      <c r="AH3370" s="20" t="n"/>
    </row>
    <row r="3371">
      <c r="A3371" s="9" t="n">
        <v>823764</v>
      </c>
      <c r="B3371" s="9" t="inlineStr">
        <is>
          <t>Colton Shaw</t>
        </is>
      </c>
      <c r="C3371" s="9" t="inlineStr">
        <is>
          <t>SEA</t>
        </is>
      </c>
      <c r="D3371" s="9" t="n">
        <v>25</v>
      </c>
      <c r="E3371" s="18" t="inlineStr">
        <is>
          <t>R</t>
        </is>
      </c>
      <c r="F3371" s="18" t="n"/>
      <c r="G3371" s="9" t="n">
        <v>96.03333333333336</v>
      </c>
      <c r="H3371" s="9" t="n">
        <v>96.03333333333336</v>
      </c>
      <c r="I3371" s="9" t="inlineStr">
        <is>
          <t>Depth (no MLB IP)</t>
        </is>
      </c>
      <c r="J3371" s="18" t="inlineStr">
        <is>
          <t>Opening Day</t>
        </is>
      </c>
      <c r="K3371" s="11">
        <f>IFERROR(INDEX(Roles!$B$17:$B$20,MATCH(J3371,Roles!$A$17:$A$20,0)),1)</f>
        <v/>
      </c>
      <c r="L3371" s="19" t="n">
        <v>1</v>
      </c>
      <c r="M3371" s="11" t="n">
        <v>1</v>
      </c>
      <c r="N3371" s="19" t="n"/>
      <c r="O3371" s="19" t="n"/>
      <c r="P3371" s="19" t="n"/>
      <c r="Q3371" s="19" t="n"/>
      <c r="R3371" s="19" t="n"/>
      <c r="S3371" s="19" t="n"/>
      <c r="T3371" s="19" t="n"/>
      <c r="U3371" s="19" t="n"/>
      <c r="V3371" s="19" t="n"/>
      <c r="W3371" s="19" t="n"/>
      <c r="X3371" s="19" t="n"/>
      <c r="Y3371" s="19" t="n">
        <v>1</v>
      </c>
      <c r="Z3371" s="13">
        <f>SUMPRODUCT(N3371:Y3371,$N$2:$Y$2)*$K3371*$L3371*$M3371</f>
        <v/>
      </c>
      <c r="AA3371" s="14">
        <f>SUM(N3371:Y3371)</f>
        <v/>
      </c>
      <c r="AB3371" s="13">
        <f>SUMPRODUCT(N3371:Y3371,$N$3:$Y$3)*$K3371*$L3371*$M3371</f>
        <v/>
      </c>
      <c r="AC3371" s="13">
        <f>SUMPRODUCT(N3371:Y3371,$N$4:$Y$4)*$K3371*$L3371*$M3371</f>
        <v/>
      </c>
      <c r="AD3371" s="15" t="n">
        <v>3</v>
      </c>
      <c r="AE3371" s="11" t="n">
        <v>1.011296296296296</v>
      </c>
      <c r="AF3371" s="16">
        <f>SUMPRODUCT(N3371:Y3371,$N$5:$Y$5)*$K3371*$L3371*$M3371</f>
        <v/>
      </c>
      <c r="AG3371" s="16">
        <f>SUMPRODUCT(N3371:Y3371,$N$6:$Y$6)*$K3371*$L3371*$M3371</f>
        <v/>
      </c>
      <c r="AH3371" s="20" t="n"/>
    </row>
    <row r="3372">
      <c r="A3372" s="9" t="n">
        <v>645444</v>
      </c>
      <c r="B3372" s="9" t="inlineStr">
        <is>
          <t>Jose Herrera</t>
        </is>
      </c>
      <c r="C3372" s="9" t="inlineStr">
        <is>
          <t>ARI</t>
        </is>
      </c>
      <c r="D3372" s="9" t="n">
        <v>30</v>
      </c>
      <c r="E3372" s="18" t="inlineStr">
        <is>
          <t>R</t>
        </is>
      </c>
      <c r="F3372" s="18" t="n"/>
      <c r="G3372" s="9" t="n">
        <v>10</v>
      </c>
      <c r="H3372" s="9" t="n">
        <v>20</v>
      </c>
      <c r="I3372" s="9" t="inlineStr">
        <is>
          <t>Depth (no MLB IP)</t>
        </is>
      </c>
      <c r="J3372" s="18" t="inlineStr">
        <is>
          <t>Opening Day</t>
        </is>
      </c>
      <c r="K3372" s="11">
        <f>IFERROR(INDEX(Roles!$B$17:$B$20,MATCH(J3372,Roles!$A$17:$A$20,0)),1)</f>
        <v/>
      </c>
      <c r="L3372" s="19" t="n">
        <v>1</v>
      </c>
      <c r="M3372" s="11" t="n">
        <v>1</v>
      </c>
      <c r="N3372" s="19" t="n"/>
      <c r="O3372" s="19" t="n"/>
      <c r="P3372" s="19" t="n"/>
      <c r="Q3372" s="19" t="n"/>
      <c r="R3372" s="19" t="n"/>
      <c r="S3372" s="19" t="n"/>
      <c r="T3372" s="19" t="n"/>
      <c r="U3372" s="19" t="n"/>
      <c r="V3372" s="19" t="n"/>
      <c r="W3372" s="19" t="n"/>
      <c r="X3372" s="19" t="n"/>
      <c r="Y3372" s="19" t="n">
        <v>1</v>
      </c>
      <c r="Z3372" s="13">
        <f>SUMPRODUCT(N3372:Y3372,$N$2:$Y$2)*$K3372*$L3372*$M3372</f>
        <v/>
      </c>
      <c r="AA3372" s="14">
        <f>SUM(N3372:Y3372)</f>
        <v/>
      </c>
      <c r="AB3372" s="13">
        <f>SUMPRODUCT(N3372:Y3372,$N$3:$Y$3)*$K3372*$L3372*$M3372</f>
        <v/>
      </c>
      <c r="AC3372" s="13">
        <f>SUMPRODUCT(N3372:Y3372,$N$4:$Y$4)*$K3372*$L3372*$M3372</f>
        <v/>
      </c>
      <c r="AD3372" s="15" t="n">
        <v>2.4</v>
      </c>
      <c r="AE3372" s="11" t="n">
        <v>1.007530864197531</v>
      </c>
      <c r="AF3372" s="16">
        <f>SUMPRODUCT(N3372:Y3372,$N$5:$Y$5)*$K3372*$L3372*$M3372</f>
        <v/>
      </c>
      <c r="AG3372" s="16">
        <f>SUMPRODUCT(N3372:Y3372,$N$6:$Y$6)*$K3372*$L3372*$M3372</f>
        <v/>
      </c>
      <c r="AH3372" s="20" t="n"/>
    </row>
    <row r="3373">
      <c r="A3373" s="9" t="n">
        <v>805990</v>
      </c>
      <c r="B3373" s="9" t="inlineStr">
        <is>
          <t>Grant Kipp</t>
        </is>
      </c>
      <c r="C3373" s="9" t="inlineStr">
        <is>
          <t>CHC</t>
        </is>
      </c>
      <c r="D3373" s="9" t="n">
        <v>25</v>
      </c>
      <c r="E3373" s="18" t="inlineStr">
        <is>
          <t>R</t>
        </is>
      </c>
      <c r="F3373" s="18" t="n"/>
      <c r="G3373" s="9" t="n">
        <v>96.17666666666666</v>
      </c>
      <c r="H3373" s="9" t="n">
        <v>96.17666666666666</v>
      </c>
      <c r="I3373" s="9" t="inlineStr">
        <is>
          <t>Depth (no MLB IP)</t>
        </is>
      </c>
      <c r="J3373" s="18" t="inlineStr">
        <is>
          <t>Opening Day</t>
        </is>
      </c>
      <c r="K3373" s="11">
        <f>IFERROR(INDEX(Roles!$B$17:$B$20,MATCH(J3373,Roles!$A$17:$A$20,0)),1)</f>
        <v/>
      </c>
      <c r="L3373" s="19" t="n">
        <v>1</v>
      </c>
      <c r="M3373" s="11" t="n">
        <v>1</v>
      </c>
      <c r="N3373" s="19" t="n"/>
      <c r="O3373" s="19" t="n"/>
      <c r="P3373" s="19" t="n"/>
      <c r="Q3373" s="19" t="n"/>
      <c r="R3373" s="19" t="n"/>
      <c r="S3373" s="19" t="n"/>
      <c r="T3373" s="19" t="n"/>
      <c r="U3373" s="19" t="n"/>
      <c r="V3373" s="19" t="n"/>
      <c r="W3373" s="19" t="n"/>
      <c r="X3373" s="19" t="n"/>
      <c r="Y3373" s="19" t="n">
        <v>1</v>
      </c>
      <c r="Z3373" s="13">
        <f>SUMPRODUCT(N3373:Y3373,$N$2:$Y$2)*$K3373*$L3373*$M3373</f>
        <v/>
      </c>
      <c r="AA3373" s="14">
        <f>SUM(N3373:Y3373)</f>
        <v/>
      </c>
      <c r="AB3373" s="13">
        <f>SUMPRODUCT(N3373:Y3373,$N$3:$Y$3)*$K3373*$L3373*$M3373</f>
        <v/>
      </c>
      <c r="AC3373" s="13">
        <f>SUMPRODUCT(N3373:Y3373,$N$4:$Y$4)*$K3373*$L3373*$M3373</f>
        <v/>
      </c>
      <c r="AD3373" s="15" t="n">
        <v>3</v>
      </c>
      <c r="AE3373" s="11" t="n">
        <v>1.011296296296296</v>
      </c>
      <c r="AF3373" s="16">
        <f>SUMPRODUCT(N3373:Y3373,$N$5:$Y$5)*$K3373*$L3373*$M3373</f>
        <v/>
      </c>
      <c r="AG3373" s="16">
        <f>SUMPRODUCT(N3373:Y3373,$N$6:$Y$6)*$K3373*$L3373*$M3373</f>
        <v/>
      </c>
      <c r="AH3373" s="20" t="n"/>
    </row>
    <row r="3374">
      <c r="A3374" s="9" t="n">
        <v>691641</v>
      </c>
      <c r="B3374" s="9" t="inlineStr">
        <is>
          <t>Jose Acuna</t>
        </is>
      </c>
      <c r="C3374" s="9" t="inlineStr">
        <is>
          <t>CIN</t>
        </is>
      </c>
      <c r="D3374" s="9" t="n">
        <v>25</v>
      </c>
      <c r="E3374" s="18" t="inlineStr">
        <is>
          <t>R</t>
        </is>
      </c>
      <c r="F3374" s="18" t="n"/>
      <c r="G3374" s="9" t="n">
        <v>96.17666666666666</v>
      </c>
      <c r="H3374" s="9" t="n">
        <v>96.17666666666666</v>
      </c>
      <c r="I3374" s="9" t="inlineStr">
        <is>
          <t>Depth (no MLB IP)</t>
        </is>
      </c>
      <c r="J3374" s="18" t="inlineStr">
        <is>
          <t>Opening Day</t>
        </is>
      </c>
      <c r="K3374" s="11">
        <f>IFERROR(INDEX(Roles!$B$17:$B$20,MATCH(J3374,Roles!$A$17:$A$20,0)),1)</f>
        <v/>
      </c>
      <c r="L3374" s="19" t="n">
        <v>1</v>
      </c>
      <c r="M3374" s="11" t="n">
        <v>1</v>
      </c>
      <c r="N3374" s="19" t="n"/>
      <c r="O3374" s="19" t="n"/>
      <c r="P3374" s="19" t="n"/>
      <c r="Q3374" s="19" t="n"/>
      <c r="R3374" s="19" t="n"/>
      <c r="S3374" s="19" t="n"/>
      <c r="T3374" s="19" t="n"/>
      <c r="U3374" s="19" t="n"/>
      <c r="V3374" s="19" t="n"/>
      <c r="W3374" s="19" t="n"/>
      <c r="X3374" s="19" t="n"/>
      <c r="Y3374" s="19" t="n">
        <v>1</v>
      </c>
      <c r="Z3374" s="13">
        <f>SUMPRODUCT(N3374:Y3374,$N$2:$Y$2)*$K3374*$L3374*$M3374</f>
        <v/>
      </c>
      <c r="AA3374" s="14">
        <f>SUM(N3374:Y3374)</f>
        <v/>
      </c>
      <c r="AB3374" s="13">
        <f>SUMPRODUCT(N3374:Y3374,$N$3:$Y$3)*$K3374*$L3374*$M3374</f>
        <v/>
      </c>
      <c r="AC3374" s="13">
        <f>SUMPRODUCT(N3374:Y3374,$N$4:$Y$4)*$K3374*$L3374*$M3374</f>
        <v/>
      </c>
      <c r="AD3374" s="15" t="n">
        <v>3</v>
      </c>
      <c r="AE3374" s="11" t="n">
        <v>1.011296296296296</v>
      </c>
      <c r="AF3374" s="16">
        <f>SUMPRODUCT(N3374:Y3374,$N$5:$Y$5)*$K3374*$L3374*$M3374</f>
        <v/>
      </c>
      <c r="AG3374" s="16">
        <f>SUMPRODUCT(N3374:Y3374,$N$6:$Y$6)*$K3374*$L3374*$M3374</f>
        <v/>
      </c>
      <c r="AH3374" s="20" t="n"/>
    </row>
    <row r="3375">
      <c r="A3375" s="9" t="n">
        <v>628708</v>
      </c>
      <c r="B3375" s="9" t="inlineStr">
        <is>
          <t>Yunior Marte</t>
        </is>
      </c>
      <c r="C3375" s="9" t="inlineStr">
        <is>
          <t>PHI</t>
        </is>
      </c>
      <c r="D3375" s="9" t="n">
        <v>32</v>
      </c>
      <c r="E3375" s="18" t="inlineStr">
        <is>
          <t>R</t>
        </is>
      </c>
      <c r="F3375" s="18" t="n"/>
      <c r="G3375" s="9" t="n">
        <v>6</v>
      </c>
      <c r="H3375" s="9" t="n">
        <v>529</v>
      </c>
      <c r="I3375" s="9" t="inlineStr">
        <is>
          <t>Depth (no MLB IP)</t>
        </is>
      </c>
      <c r="J3375" s="18" t="inlineStr">
        <is>
          <t>Opening Day</t>
        </is>
      </c>
      <c r="K3375" s="11">
        <f>IFERROR(INDEX(Roles!$B$17:$B$20,MATCH(J3375,Roles!$A$17:$A$20,0)),1)</f>
        <v/>
      </c>
      <c r="L3375" s="19" t="n">
        <v>1</v>
      </c>
      <c r="M3375" s="11" t="n">
        <v>1</v>
      </c>
      <c r="N3375" s="19" t="n"/>
      <c r="O3375" s="19" t="n"/>
      <c r="P3375" s="19" t="n"/>
      <c r="Q3375" s="19" t="n"/>
      <c r="R3375" s="19" t="n"/>
      <c r="S3375" s="19" t="n"/>
      <c r="T3375" s="19" t="n"/>
      <c r="U3375" s="19" t="n"/>
      <c r="V3375" s="19" t="n"/>
      <c r="W3375" s="19" t="n"/>
      <c r="X3375" s="19" t="n"/>
      <c r="Y3375" s="19" t="n">
        <v>1</v>
      </c>
      <c r="Z3375" s="13">
        <f>SUMPRODUCT(N3375:Y3375,$N$2:$Y$2)*$K3375*$L3375*$M3375</f>
        <v/>
      </c>
      <c r="AA3375" s="14">
        <f>SUM(N3375:Y3375)</f>
        <v/>
      </c>
      <c r="AB3375" s="13">
        <f>SUMPRODUCT(N3375:Y3375,$N$3:$Y$3)*$K3375*$L3375*$M3375</f>
        <v/>
      </c>
      <c r="AC3375" s="13">
        <f>SUMPRODUCT(N3375:Y3375,$N$4:$Y$4)*$K3375*$L3375*$M3375</f>
        <v/>
      </c>
      <c r="AD3375" s="15" t="n">
        <v>5.1</v>
      </c>
      <c r="AE3375" s="11" t="n">
        <v>1.020351377018044</v>
      </c>
      <c r="AF3375" s="16">
        <f>SUMPRODUCT(N3375:Y3375,$N$5:$Y$5)*$K3375*$L3375*$M3375</f>
        <v/>
      </c>
      <c r="AG3375" s="16">
        <f>SUMPRODUCT(N3375:Y3375,$N$6:$Y$6)*$K3375*$L3375*$M3375</f>
        <v/>
      </c>
      <c r="AH3375" s="20" t="n"/>
    </row>
    <row r="3376">
      <c r="A3376" s="9" t="n">
        <v>800539</v>
      </c>
      <c r="B3376" s="9" t="inlineStr">
        <is>
          <t>Emmanuel Reyes</t>
        </is>
      </c>
      <c r="C3376" s="9" t="inlineStr">
        <is>
          <t>KC</t>
        </is>
      </c>
      <c r="D3376" s="9" t="n">
        <v>25</v>
      </c>
      <c r="E3376" s="18" t="inlineStr">
        <is>
          <t>R</t>
        </is>
      </c>
      <c r="F3376" s="18" t="n"/>
      <c r="G3376" s="9" t="n">
        <v>96.31999999999999</v>
      </c>
      <c r="H3376" s="9" t="n">
        <v>96.31999999999999</v>
      </c>
      <c r="I3376" s="9" t="inlineStr">
        <is>
          <t>Depth (no MLB IP)</t>
        </is>
      </c>
      <c r="J3376" s="18" t="inlineStr">
        <is>
          <t>Opening Day</t>
        </is>
      </c>
      <c r="K3376" s="11">
        <f>IFERROR(INDEX(Roles!$B$17:$B$20,MATCH(J3376,Roles!$A$17:$A$20,0)),1)</f>
        <v/>
      </c>
      <c r="L3376" s="19" t="n">
        <v>1</v>
      </c>
      <c r="M3376" s="11" t="n">
        <v>1</v>
      </c>
      <c r="N3376" s="19" t="n"/>
      <c r="O3376" s="19" t="n"/>
      <c r="P3376" s="19" t="n"/>
      <c r="Q3376" s="19" t="n"/>
      <c r="R3376" s="19" t="n"/>
      <c r="S3376" s="19" t="n"/>
      <c r="T3376" s="19" t="n"/>
      <c r="U3376" s="19" t="n"/>
      <c r="V3376" s="19" t="n"/>
      <c r="W3376" s="19" t="n"/>
      <c r="X3376" s="19" t="n"/>
      <c r="Y3376" s="19" t="n">
        <v>1</v>
      </c>
      <c r="Z3376" s="13">
        <f>SUMPRODUCT(N3376:Y3376,$N$2:$Y$2)*$K3376*$L3376*$M3376</f>
        <v/>
      </c>
      <c r="AA3376" s="14">
        <f>SUM(N3376:Y3376)</f>
        <v/>
      </c>
      <c r="AB3376" s="13">
        <f>SUMPRODUCT(N3376:Y3376,$N$3:$Y$3)*$K3376*$L3376*$M3376</f>
        <v/>
      </c>
      <c r="AC3376" s="13">
        <f>SUMPRODUCT(N3376:Y3376,$N$4:$Y$4)*$K3376*$L3376*$M3376</f>
        <v/>
      </c>
      <c r="AD3376" s="15" t="n">
        <v>3</v>
      </c>
      <c r="AE3376" s="11" t="n">
        <v>1.011296296296296</v>
      </c>
      <c r="AF3376" s="16">
        <f>SUMPRODUCT(N3376:Y3376,$N$5:$Y$5)*$K3376*$L3376*$M3376</f>
        <v/>
      </c>
      <c r="AG3376" s="16">
        <f>SUMPRODUCT(N3376:Y3376,$N$6:$Y$6)*$K3376*$L3376*$M3376</f>
        <v/>
      </c>
      <c r="AH3376" s="20" t="n"/>
    </row>
    <row r="3377">
      <c r="A3377" s="9" t="n">
        <v>701213</v>
      </c>
      <c r="B3377" s="9" t="inlineStr">
        <is>
          <t>Jonathan Brand</t>
        </is>
      </c>
      <c r="C3377" s="9" t="inlineStr">
        <is>
          <t>TEX</t>
        </is>
      </c>
      <c r="D3377" s="9" t="n">
        <v>25</v>
      </c>
      <c r="E3377" s="18" t="inlineStr">
        <is>
          <t>R</t>
        </is>
      </c>
      <c r="F3377" s="18" t="n"/>
      <c r="G3377" s="9" t="n">
        <v>96.31999999999999</v>
      </c>
      <c r="H3377" s="9" t="n">
        <v>96.31999999999999</v>
      </c>
      <c r="I3377" s="9" t="inlineStr">
        <is>
          <t>Depth (no MLB IP)</t>
        </is>
      </c>
      <c r="J3377" s="18" t="inlineStr">
        <is>
          <t>Opening Day</t>
        </is>
      </c>
      <c r="K3377" s="11">
        <f>IFERROR(INDEX(Roles!$B$17:$B$20,MATCH(J3377,Roles!$A$17:$A$20,0)),1)</f>
        <v/>
      </c>
      <c r="L3377" s="19" t="n">
        <v>1</v>
      </c>
      <c r="M3377" s="11" t="n">
        <v>1</v>
      </c>
      <c r="N3377" s="19" t="n"/>
      <c r="O3377" s="19" t="n"/>
      <c r="P3377" s="19" t="n"/>
      <c r="Q3377" s="19" t="n"/>
      <c r="R3377" s="19" t="n"/>
      <c r="S3377" s="19" t="n"/>
      <c r="T3377" s="19" t="n"/>
      <c r="U3377" s="19" t="n"/>
      <c r="V3377" s="19" t="n"/>
      <c r="W3377" s="19" t="n"/>
      <c r="X3377" s="19" t="n"/>
      <c r="Y3377" s="19" t="n">
        <v>1</v>
      </c>
      <c r="Z3377" s="13">
        <f>SUMPRODUCT(N3377:Y3377,$N$2:$Y$2)*$K3377*$L3377*$M3377</f>
        <v/>
      </c>
      <c r="AA3377" s="14">
        <f>SUM(N3377:Y3377)</f>
        <v/>
      </c>
      <c r="AB3377" s="13">
        <f>SUMPRODUCT(N3377:Y3377,$N$3:$Y$3)*$K3377*$L3377*$M3377</f>
        <v/>
      </c>
      <c r="AC3377" s="13">
        <f>SUMPRODUCT(N3377:Y3377,$N$4:$Y$4)*$K3377*$L3377*$M3377</f>
        <v/>
      </c>
      <c r="AD3377" s="15" t="n">
        <v>3</v>
      </c>
      <c r="AE3377" s="11" t="n">
        <v>1.011296296296296</v>
      </c>
      <c r="AF3377" s="16">
        <f>SUMPRODUCT(N3377:Y3377,$N$5:$Y$5)*$K3377*$L3377*$M3377</f>
        <v/>
      </c>
      <c r="AG3377" s="16">
        <f>SUMPRODUCT(N3377:Y3377,$N$6:$Y$6)*$K3377*$L3377*$M3377</f>
        <v/>
      </c>
      <c r="AH3377" s="20" t="n"/>
    </row>
    <row r="3378">
      <c r="A3378" s="9" t="n">
        <v>672730</v>
      </c>
      <c r="B3378" s="9" t="inlineStr">
        <is>
          <t>Juan Then</t>
        </is>
      </c>
      <c r="C3378" s="9" t="inlineStr">
        <is>
          <t>SEA</t>
        </is>
      </c>
      <c r="D3378" s="9" t="n">
        <v>27</v>
      </c>
      <c r="E3378" s="18" t="inlineStr">
        <is>
          <t>R</t>
        </is>
      </c>
      <c r="F3378" s="18" t="n"/>
      <c r="G3378" s="9" t="n">
        <v>48</v>
      </c>
      <c r="H3378" s="9" t="n">
        <v>48</v>
      </c>
      <c r="I3378" s="9" t="inlineStr">
        <is>
          <t>Depth (no MLB IP)</t>
        </is>
      </c>
      <c r="J3378" s="18" t="inlineStr">
        <is>
          <t>Opening Day</t>
        </is>
      </c>
      <c r="K3378" s="11">
        <f>IFERROR(INDEX(Roles!$B$17:$B$20,MATCH(J3378,Roles!$A$17:$A$20,0)),1)</f>
        <v/>
      </c>
      <c r="L3378" s="19" t="n">
        <v>1</v>
      </c>
      <c r="M3378" s="11" t="n">
        <v>1</v>
      </c>
      <c r="N3378" s="19" t="n"/>
      <c r="O3378" s="19" t="n"/>
      <c r="P3378" s="19" t="n"/>
      <c r="Q3378" s="19" t="n"/>
      <c r="R3378" s="19" t="n"/>
      <c r="S3378" s="19" t="n"/>
      <c r="T3378" s="19" t="n"/>
      <c r="U3378" s="19" t="n"/>
      <c r="V3378" s="19" t="n"/>
      <c r="W3378" s="19" t="n"/>
      <c r="X3378" s="19" t="n"/>
      <c r="Y3378" s="19" t="n">
        <v>1</v>
      </c>
      <c r="Z3378" s="13">
        <f>SUMPRODUCT(N3378:Y3378,$N$2:$Y$2)*$K3378*$L3378*$M3378</f>
        <v/>
      </c>
      <c r="AA3378" s="14">
        <f>SUM(N3378:Y3378)</f>
        <v/>
      </c>
      <c r="AB3378" s="13">
        <f>SUMPRODUCT(N3378:Y3378,$N$3:$Y$3)*$K3378*$L3378*$M3378</f>
        <v/>
      </c>
      <c r="AC3378" s="13">
        <f>SUMPRODUCT(N3378:Y3378,$N$4:$Y$4)*$K3378*$L3378*$M3378</f>
        <v/>
      </c>
      <c r="AD3378" s="15" t="n">
        <v>3</v>
      </c>
      <c r="AE3378" s="11" t="n">
        <v>1.011296296296296</v>
      </c>
      <c r="AF3378" s="16">
        <f>SUMPRODUCT(N3378:Y3378,$N$5:$Y$5)*$K3378*$L3378*$M3378</f>
        <v/>
      </c>
      <c r="AG3378" s="16">
        <f>SUMPRODUCT(N3378:Y3378,$N$6:$Y$6)*$K3378*$L3378*$M3378</f>
        <v/>
      </c>
      <c r="AH3378" s="20" t="n"/>
    </row>
    <row r="3379">
      <c r="A3379" s="9" t="n">
        <v>676051</v>
      </c>
      <c r="B3379" s="9" t="inlineStr">
        <is>
          <t>Codi Heuer</t>
        </is>
      </c>
      <c r="C3379" s="9" t="inlineStr">
        <is>
          <t>CLE</t>
        </is>
      </c>
      <c r="D3379" s="9" t="n">
        <v>30</v>
      </c>
      <c r="E3379" s="18" t="inlineStr">
        <is>
          <t>R</t>
        </is>
      </c>
      <c r="F3379" s="18" t="n"/>
      <c r="G3379" s="9" t="n">
        <v>46</v>
      </c>
      <c r="H3379" s="9" t="n">
        <v>67</v>
      </c>
      <c r="I3379" s="9" t="inlineStr">
        <is>
          <t>Bullpen Depth Arm</t>
        </is>
      </c>
      <c r="J3379" s="18" t="inlineStr">
        <is>
          <t>Opening Day</t>
        </is>
      </c>
      <c r="K3379" s="11">
        <f>IFERROR(INDEX(Roles!$B$17:$B$20,MATCH(J3379,Roles!$A$17:$A$20,0)),1)</f>
        <v/>
      </c>
      <c r="L3379" s="19" t="n">
        <v>1</v>
      </c>
      <c r="M3379" s="11" t="n">
        <v>1</v>
      </c>
      <c r="N3379" s="19" t="n"/>
      <c r="O3379" s="19" t="n"/>
      <c r="P3379" s="19" t="n"/>
      <c r="Q3379" s="19" t="n"/>
      <c r="R3379" s="19" t="n"/>
      <c r="S3379" s="19" t="n"/>
      <c r="T3379" s="19" t="n"/>
      <c r="U3379" s="19" t="n"/>
      <c r="V3379" s="19" t="n"/>
      <c r="W3379" s="19" t="n">
        <v>1</v>
      </c>
      <c r="X3379" s="19" t="n"/>
      <c r="Y3379" s="19" t="n"/>
      <c r="Z3379" s="13">
        <f>SUMPRODUCT(N3379:Y3379,$N$2:$Y$2)*$K3379*$L3379*$M3379</f>
        <v/>
      </c>
      <c r="AA3379" s="14">
        <f>SUM(N3379:Y3379)</f>
        <v/>
      </c>
      <c r="AB3379" s="13">
        <f>SUMPRODUCT(N3379:Y3379,$N$3:$Y$3)*$K3379*$L3379*$M3379</f>
        <v/>
      </c>
      <c r="AC3379" s="13">
        <f>SUMPRODUCT(N3379:Y3379,$N$4:$Y$4)*$K3379*$L3379*$M3379</f>
        <v/>
      </c>
      <c r="AD3379" s="15" t="n">
        <v>9.266666666666666</v>
      </c>
      <c r="AE3379" s="11" t="n">
        <v>1.227433060766394</v>
      </c>
      <c r="AF3379" s="16">
        <f>SUMPRODUCT(N3379:Y3379,$N$5:$Y$5)*$K3379*$L3379*$M3379</f>
        <v/>
      </c>
      <c r="AG3379" s="16">
        <f>SUMPRODUCT(N3379:Y3379,$N$6:$Y$6)*$K3379*$L3379*$M3379</f>
        <v/>
      </c>
      <c r="AH3379" s="20" t="n"/>
    </row>
    <row r="3380">
      <c r="A3380" s="9" t="n">
        <v>571901</v>
      </c>
      <c r="B3380" s="9" t="inlineStr">
        <is>
          <t>Aaron Loup</t>
        </is>
      </c>
      <c r="C3380" s="9" t="inlineStr">
        <is>
          <t>LAA</t>
        </is>
      </c>
      <c r="D3380" s="9" t="n">
        <v>39</v>
      </c>
      <c r="E3380" s="18" t="inlineStr">
        <is>
          <t>L</t>
        </is>
      </c>
      <c r="F3380" s="18" t="n"/>
      <c r="G3380" s="9" t="n">
        <v>231</v>
      </c>
      <c r="H3380" s="9" t="n">
        <v>491</v>
      </c>
      <c r="I3380" s="9" t="inlineStr">
        <is>
          <t>Depth (no MLB IP)</t>
        </is>
      </c>
      <c r="J3380" s="18" t="inlineStr">
        <is>
          <t>Opening Day</t>
        </is>
      </c>
      <c r="K3380" s="11">
        <f>IFERROR(INDEX(Roles!$B$17:$B$20,MATCH(J3380,Roles!$A$17:$A$20,0)),1)</f>
        <v/>
      </c>
      <c r="L3380" s="19" t="n">
        <v>1</v>
      </c>
      <c r="M3380" s="11" t="n">
        <v>1</v>
      </c>
      <c r="N3380" s="19" t="n"/>
      <c r="O3380" s="19" t="n"/>
      <c r="P3380" s="19" t="n"/>
      <c r="Q3380" s="19" t="n"/>
      <c r="R3380" s="19" t="n"/>
      <c r="S3380" s="19" t="n"/>
      <c r="T3380" s="19" t="n"/>
      <c r="U3380" s="19" t="n"/>
      <c r="V3380" s="19" t="n"/>
      <c r="W3380" s="19" t="n"/>
      <c r="X3380" s="19" t="n"/>
      <c r="Y3380" s="19" t="n">
        <v>1</v>
      </c>
      <c r="Z3380" s="13">
        <f>SUMPRODUCT(N3380:Y3380,$N$2:$Y$2)*$K3380*$L3380*$M3380</f>
        <v/>
      </c>
      <c r="AA3380" s="14">
        <f>SUM(N3380:Y3380)</f>
        <v/>
      </c>
      <c r="AB3380" s="13">
        <f>SUMPRODUCT(N3380:Y3380,$N$3:$Y$3)*$K3380*$L3380*$M3380</f>
        <v/>
      </c>
      <c r="AC3380" s="13">
        <f>SUMPRODUCT(N3380:Y3380,$N$4:$Y$4)*$K3380*$L3380*$M3380</f>
        <v/>
      </c>
      <c r="AD3380" s="15" t="n">
        <v>3</v>
      </c>
      <c r="AE3380" s="11" t="n">
        <v>1.011296296296296</v>
      </c>
      <c r="AF3380" s="16">
        <f>SUMPRODUCT(N3380:Y3380,$N$5:$Y$5)*$K3380*$L3380*$M3380</f>
        <v/>
      </c>
      <c r="AG3380" s="16">
        <f>SUMPRODUCT(N3380:Y3380,$N$6:$Y$6)*$K3380*$L3380*$M3380</f>
        <v/>
      </c>
      <c r="AH3380" s="20" t="n"/>
    </row>
    <row r="3381">
      <c r="A3381" s="9" t="n">
        <v>822627</v>
      </c>
      <c r="B3381" s="9" t="inlineStr">
        <is>
          <t>Evan Shaw</t>
        </is>
      </c>
      <c r="C3381" s="9" t="inlineStr">
        <is>
          <t>LAD</t>
        </is>
      </c>
      <c r="D3381" s="9" t="n">
        <v>25</v>
      </c>
      <c r="E3381" s="18" t="inlineStr">
        <is>
          <t>L</t>
        </is>
      </c>
      <c r="F3381" s="18" t="n"/>
      <c r="G3381" s="9" t="n">
        <v>96.82166666666666</v>
      </c>
      <c r="H3381" s="9" t="n">
        <v>96.82166666666666</v>
      </c>
      <c r="I3381" s="9" t="inlineStr">
        <is>
          <t>Depth (no MLB IP)</t>
        </is>
      </c>
      <c r="J3381" s="18" t="inlineStr">
        <is>
          <t>Opening Day</t>
        </is>
      </c>
      <c r="K3381" s="11">
        <f>IFERROR(INDEX(Roles!$B$17:$B$20,MATCH(J3381,Roles!$A$17:$A$20,0)),1)</f>
        <v/>
      </c>
      <c r="L3381" s="19" t="n">
        <v>1</v>
      </c>
      <c r="M3381" s="11" t="n">
        <v>1</v>
      </c>
      <c r="N3381" s="19" t="n"/>
      <c r="O3381" s="19" t="n"/>
      <c r="P3381" s="19" t="n"/>
      <c r="Q3381" s="19" t="n"/>
      <c r="R3381" s="19" t="n"/>
      <c r="S3381" s="19" t="n"/>
      <c r="T3381" s="19" t="n"/>
      <c r="U3381" s="19" t="n"/>
      <c r="V3381" s="19" t="n"/>
      <c r="W3381" s="19" t="n"/>
      <c r="X3381" s="19" t="n"/>
      <c r="Y3381" s="19" t="n">
        <v>1</v>
      </c>
      <c r="Z3381" s="13">
        <f>SUMPRODUCT(N3381:Y3381,$N$2:$Y$2)*$K3381*$L3381*$M3381</f>
        <v/>
      </c>
      <c r="AA3381" s="14">
        <f>SUM(N3381:Y3381)</f>
        <v/>
      </c>
      <c r="AB3381" s="13">
        <f>SUMPRODUCT(N3381:Y3381,$N$3:$Y$3)*$K3381*$L3381*$M3381</f>
        <v/>
      </c>
      <c r="AC3381" s="13">
        <f>SUMPRODUCT(N3381:Y3381,$N$4:$Y$4)*$K3381*$L3381*$M3381</f>
        <v/>
      </c>
      <c r="AD3381" s="15" t="n">
        <v>3</v>
      </c>
      <c r="AE3381" s="11" t="n">
        <v>1.011296296296296</v>
      </c>
      <c r="AF3381" s="16">
        <f>SUMPRODUCT(N3381:Y3381,$N$5:$Y$5)*$K3381*$L3381*$M3381</f>
        <v/>
      </c>
      <c r="AG3381" s="16">
        <f>SUMPRODUCT(N3381:Y3381,$N$6:$Y$6)*$K3381*$L3381*$M3381</f>
        <v/>
      </c>
      <c r="AH3381" s="20" t="n"/>
    </row>
    <row r="3382">
      <c r="A3382" s="9" t="n">
        <v>668942</v>
      </c>
      <c r="B3382" s="9" t="inlineStr">
        <is>
          <t>Josh Rojas</t>
        </is>
      </c>
      <c r="C3382" s="9" t="inlineStr">
        <is>
          <t>KC</t>
        </is>
      </c>
      <c r="D3382" s="9" t="n">
        <v>33</v>
      </c>
      <c r="E3382" s="18" t="inlineStr">
        <is>
          <t>R</t>
        </is>
      </c>
      <c r="F3382" s="18" t="n"/>
      <c r="G3382" s="9" t="n">
        <v>4</v>
      </c>
      <c r="H3382" s="9" t="n">
        <v>25</v>
      </c>
      <c r="I3382" s="9" t="inlineStr">
        <is>
          <t>Depth (no MLB IP)</t>
        </is>
      </c>
      <c r="J3382" s="18" t="inlineStr">
        <is>
          <t>Opening Day</t>
        </is>
      </c>
      <c r="K3382" s="11">
        <f>IFERROR(INDEX(Roles!$B$17:$B$20,MATCH(J3382,Roles!$A$17:$A$20,0)),1)</f>
        <v/>
      </c>
      <c r="L3382" s="19" t="n">
        <v>1</v>
      </c>
      <c r="M3382" s="11" t="n">
        <v>1</v>
      </c>
      <c r="N3382" s="19" t="n"/>
      <c r="O3382" s="19" t="n"/>
      <c r="P3382" s="19" t="n"/>
      <c r="Q3382" s="19" t="n"/>
      <c r="R3382" s="19" t="n"/>
      <c r="S3382" s="19" t="n"/>
      <c r="T3382" s="19" t="n"/>
      <c r="U3382" s="19" t="n"/>
      <c r="V3382" s="19" t="n"/>
      <c r="W3382" s="19" t="n"/>
      <c r="X3382" s="19" t="n"/>
      <c r="Y3382" s="19" t="n">
        <v>1</v>
      </c>
      <c r="Z3382" s="13">
        <f>SUMPRODUCT(N3382:Y3382,$N$2:$Y$2)*$K3382*$L3382*$M3382</f>
        <v/>
      </c>
      <c r="AA3382" s="14">
        <f>SUM(N3382:Y3382)</f>
        <v/>
      </c>
      <c r="AB3382" s="13">
        <f>SUMPRODUCT(N3382:Y3382,$N$3:$Y$3)*$K3382*$L3382*$M3382</f>
        <v/>
      </c>
      <c r="AC3382" s="13">
        <f>SUMPRODUCT(N3382:Y3382,$N$4:$Y$4)*$K3382*$L3382*$M3382</f>
        <v/>
      </c>
      <c r="AD3382" s="15" t="n">
        <v>1.95</v>
      </c>
      <c r="AE3382" s="11" t="n">
        <v>1.007530864197531</v>
      </c>
      <c r="AF3382" s="16">
        <f>SUMPRODUCT(N3382:Y3382,$N$5:$Y$5)*$K3382*$L3382*$M3382</f>
        <v/>
      </c>
      <c r="AG3382" s="16">
        <f>SUMPRODUCT(N3382:Y3382,$N$6:$Y$6)*$K3382*$L3382*$M3382</f>
        <v/>
      </c>
      <c r="AH3382" s="20" t="n"/>
    </row>
    <row r="3383">
      <c r="A3383" s="9" t="n">
        <v>695721</v>
      </c>
      <c r="B3383" s="9" t="inlineStr">
        <is>
          <t>Gage Ziehl</t>
        </is>
      </c>
      <c r="C3383" s="9" t="inlineStr">
        <is>
          <t>BOS</t>
        </is>
      </c>
      <c r="D3383" s="9" t="n">
        <v>25</v>
      </c>
      <c r="E3383" s="18" t="inlineStr">
        <is>
          <t>R</t>
        </is>
      </c>
      <c r="F3383" s="18" t="n"/>
      <c r="G3383" s="9" t="n">
        <v>96.965</v>
      </c>
      <c r="H3383" s="9" t="n">
        <v>96.965</v>
      </c>
      <c r="I3383" s="9" t="inlineStr">
        <is>
          <t>Depth (no MLB IP)</t>
        </is>
      </c>
      <c r="J3383" s="18" t="inlineStr">
        <is>
          <t>Opening Day</t>
        </is>
      </c>
      <c r="K3383" s="11">
        <f>IFERROR(INDEX(Roles!$B$17:$B$20,MATCH(J3383,Roles!$A$17:$A$20,0)),1)</f>
        <v/>
      </c>
      <c r="L3383" s="19" t="n">
        <v>1</v>
      </c>
      <c r="M3383" s="11" t="n">
        <v>1</v>
      </c>
      <c r="N3383" s="19" t="n"/>
      <c r="O3383" s="19" t="n"/>
      <c r="P3383" s="19" t="n"/>
      <c r="Q3383" s="19" t="n"/>
      <c r="R3383" s="19" t="n"/>
      <c r="S3383" s="19" t="n"/>
      <c r="T3383" s="19" t="n"/>
      <c r="U3383" s="19" t="n"/>
      <c r="V3383" s="19" t="n"/>
      <c r="W3383" s="19" t="n"/>
      <c r="X3383" s="19" t="n"/>
      <c r="Y3383" s="19" t="n">
        <v>1</v>
      </c>
      <c r="Z3383" s="13">
        <f>SUMPRODUCT(N3383:Y3383,$N$2:$Y$2)*$K3383*$L3383*$M3383</f>
        <v/>
      </c>
      <c r="AA3383" s="14">
        <f>SUM(N3383:Y3383)</f>
        <v/>
      </c>
      <c r="AB3383" s="13">
        <f>SUMPRODUCT(N3383:Y3383,$N$3:$Y$3)*$K3383*$L3383*$M3383</f>
        <v/>
      </c>
      <c r="AC3383" s="13">
        <f>SUMPRODUCT(N3383:Y3383,$N$4:$Y$4)*$K3383*$L3383*$M3383</f>
        <v/>
      </c>
      <c r="AD3383" s="15" t="n">
        <v>3</v>
      </c>
      <c r="AE3383" s="11" t="n">
        <v>1.011296296296296</v>
      </c>
      <c r="AF3383" s="16">
        <f>SUMPRODUCT(N3383:Y3383,$N$5:$Y$5)*$K3383*$L3383*$M3383</f>
        <v/>
      </c>
      <c r="AG3383" s="16">
        <f>SUMPRODUCT(N3383:Y3383,$N$6:$Y$6)*$K3383*$L3383*$M3383</f>
        <v/>
      </c>
      <c r="AH3383" s="20" t="n"/>
    </row>
    <row r="3384">
      <c r="A3384" s="9" t="n">
        <v>663947</v>
      </c>
      <c r="B3384" s="9" t="inlineStr">
        <is>
          <t>Tyler Holton</t>
        </is>
      </c>
      <c r="C3384" s="9" t="inlineStr">
        <is>
          <t>DET</t>
        </is>
      </c>
      <c r="D3384" s="9" t="n">
        <v>31</v>
      </c>
      <c r="E3384" s="18" t="inlineStr">
        <is>
          <t>L</t>
        </is>
      </c>
      <c r="F3384" s="18" t="n"/>
      <c r="G3384" s="9" t="n">
        <v>301</v>
      </c>
      <c r="H3384" s="9" t="n">
        <v>1330</v>
      </c>
      <c r="I3384" s="9" t="inlineStr">
        <is>
          <t>Late Inning RP (Setup)</t>
        </is>
      </c>
      <c r="J3384" s="18" t="inlineStr">
        <is>
          <t>Opening Day</t>
        </is>
      </c>
      <c r="K3384" s="11">
        <f>IFERROR(INDEX(Roles!$B$17:$B$20,MATCH(J3384,Roles!$A$17:$A$20,0)),1)</f>
        <v/>
      </c>
      <c r="L3384" s="19" t="n">
        <v>1</v>
      </c>
      <c r="M3384" s="11" t="n">
        <v>1</v>
      </c>
      <c r="N3384" s="19" t="n"/>
      <c r="O3384" s="19" t="n"/>
      <c r="P3384" s="19" t="n"/>
      <c r="Q3384" s="19" t="n"/>
      <c r="R3384" s="19" t="n"/>
      <c r="S3384" s="19" t="n"/>
      <c r="T3384" s="19" t="n"/>
      <c r="U3384" s="19" t="n">
        <v>0.85</v>
      </c>
      <c r="V3384" s="19" t="n">
        <v>0.15</v>
      </c>
      <c r="W3384" s="19" t="n"/>
      <c r="X3384" s="19" t="n"/>
      <c r="Y3384" s="19" t="n"/>
      <c r="Z3384" s="13">
        <f>SUMPRODUCT(N3384:Y3384,$N$2:$Y$2)*$K3384*$L3384*$M3384</f>
        <v/>
      </c>
      <c r="AA3384" s="14">
        <f>SUM(N3384:Y3384)</f>
        <v/>
      </c>
      <c r="AB3384" s="13">
        <f>SUMPRODUCT(N3384:Y3384,$N$3:$Y$3)*$K3384*$L3384*$M3384</f>
        <v/>
      </c>
      <c r="AC3384" s="13">
        <f>SUMPRODUCT(N3384:Y3384,$N$4:$Y$4)*$K3384*$L3384*$M3384</f>
        <v/>
      </c>
      <c r="AD3384" s="15" t="n">
        <v>59.9</v>
      </c>
      <c r="AE3384" s="11" t="n">
        <v>1.042741605241605</v>
      </c>
      <c r="AF3384" s="16">
        <f>SUMPRODUCT(N3384:Y3384,$N$5:$Y$5)*$K3384*$L3384*$M3384</f>
        <v/>
      </c>
      <c r="AG3384" s="16">
        <f>SUMPRODUCT(N3384:Y3384,$N$6:$Y$6)*$K3384*$L3384*$M3384</f>
        <v/>
      </c>
      <c r="AH3384" s="20" t="n"/>
    </row>
    <row r="3385">
      <c r="A3385" s="9" t="n">
        <v>828475</v>
      </c>
      <c r="B3385" s="9" t="inlineStr">
        <is>
          <t>Ethan Dorchies</t>
        </is>
      </c>
      <c r="C3385" s="9" t="inlineStr">
        <is>
          <t>MIL</t>
        </is>
      </c>
      <c r="D3385" s="9" t="n">
        <v>25</v>
      </c>
      <c r="E3385" s="18" t="inlineStr">
        <is>
          <t>R</t>
        </is>
      </c>
      <c r="F3385" s="18" t="n"/>
      <c r="G3385" s="9" t="n">
        <v>97.18000000000001</v>
      </c>
      <c r="H3385" s="9" t="n">
        <v>97.18000000000001</v>
      </c>
      <c r="I3385" s="9" t="inlineStr">
        <is>
          <t>Depth (no MLB IP)</t>
        </is>
      </c>
      <c r="J3385" s="18" t="inlineStr">
        <is>
          <t>Opening Day</t>
        </is>
      </c>
      <c r="K3385" s="11">
        <f>IFERROR(INDEX(Roles!$B$17:$B$20,MATCH(J3385,Roles!$A$17:$A$20,0)),1)</f>
        <v/>
      </c>
      <c r="L3385" s="19" t="n">
        <v>1</v>
      </c>
      <c r="M3385" s="11" t="n">
        <v>1</v>
      </c>
      <c r="N3385" s="19" t="n"/>
      <c r="O3385" s="19" t="n"/>
      <c r="P3385" s="19" t="n"/>
      <c r="Q3385" s="19" t="n"/>
      <c r="R3385" s="19" t="n"/>
      <c r="S3385" s="19" t="n"/>
      <c r="T3385" s="19" t="n"/>
      <c r="U3385" s="19" t="n"/>
      <c r="V3385" s="19" t="n"/>
      <c r="W3385" s="19" t="n"/>
      <c r="X3385" s="19" t="n"/>
      <c r="Y3385" s="19" t="n">
        <v>1</v>
      </c>
      <c r="Z3385" s="13">
        <f>SUMPRODUCT(N3385:Y3385,$N$2:$Y$2)*$K3385*$L3385*$M3385</f>
        <v/>
      </c>
      <c r="AA3385" s="14">
        <f>SUM(N3385:Y3385)</f>
        <v/>
      </c>
      <c r="AB3385" s="13">
        <f>SUMPRODUCT(N3385:Y3385,$N$3:$Y$3)*$K3385*$L3385*$M3385</f>
        <v/>
      </c>
      <c r="AC3385" s="13">
        <f>SUMPRODUCT(N3385:Y3385,$N$4:$Y$4)*$K3385*$L3385*$M3385</f>
        <v/>
      </c>
      <c r="AD3385" s="15" t="n">
        <v>3</v>
      </c>
      <c r="AE3385" s="11" t="n">
        <v>1.011296296296296</v>
      </c>
      <c r="AF3385" s="16">
        <f>SUMPRODUCT(N3385:Y3385,$N$5:$Y$5)*$K3385*$L3385*$M3385</f>
        <v/>
      </c>
      <c r="AG3385" s="16">
        <f>SUMPRODUCT(N3385:Y3385,$N$6:$Y$6)*$K3385*$L3385*$M3385</f>
        <v/>
      </c>
      <c r="AH3385" s="20" t="n"/>
    </row>
    <row r="3386">
      <c r="A3386" s="9" t="n">
        <v>690928</v>
      </c>
      <c r="B3386" s="9" t="inlineStr">
        <is>
          <t>Hunter Dobbins</t>
        </is>
      </c>
      <c r="C3386" s="9" t="inlineStr">
        <is>
          <t>STL</t>
        </is>
      </c>
      <c r="D3386" s="9" t="n">
        <v>27</v>
      </c>
      <c r="E3386" s="18" t="inlineStr">
        <is>
          <t>R</t>
        </is>
      </c>
      <c r="F3386" s="18" t="n"/>
      <c r="G3386" s="9" t="n">
        <v>231</v>
      </c>
      <c r="H3386" s="9" t="n">
        <v>487</v>
      </c>
      <c r="I3386" s="9" t="inlineStr">
        <is>
          <t>Swing Arm / Long Relief</t>
        </is>
      </c>
      <c r="J3386" s="18" t="inlineStr">
        <is>
          <t>Opening Day</t>
        </is>
      </c>
      <c r="K3386" s="11">
        <f>IFERROR(INDEX(Roles!$B$17:$B$20,MATCH(J3386,Roles!$A$17:$A$20,0)),1)</f>
        <v/>
      </c>
      <c r="L3386" s="19" t="n">
        <v>1</v>
      </c>
      <c r="M3386" s="11" t="n">
        <v>1</v>
      </c>
      <c r="N3386" s="19" t="n"/>
      <c r="O3386" s="19" t="n"/>
      <c r="P3386" s="19" t="n"/>
      <c r="Q3386" s="19" t="n"/>
      <c r="R3386" s="19" t="n">
        <v>0.5</v>
      </c>
      <c r="S3386" s="19" t="n"/>
      <c r="T3386" s="19" t="n"/>
      <c r="U3386" s="19" t="n"/>
      <c r="V3386" s="19" t="n">
        <v>0.5</v>
      </c>
      <c r="W3386" s="19" t="n"/>
      <c r="X3386" s="19" t="n"/>
      <c r="Y3386" s="19" t="n"/>
      <c r="Z3386" s="13">
        <f>SUMPRODUCT(N3386:Y3386,$N$2:$Y$2)*$K3386*$L3386*$M3386</f>
        <v/>
      </c>
      <c r="AA3386" s="14">
        <f>SUM(N3386:Y3386)</f>
        <v/>
      </c>
      <c r="AB3386" s="13">
        <f>SUMPRODUCT(N3386:Y3386,$N$3:$Y$3)*$K3386*$L3386*$M3386</f>
        <v/>
      </c>
      <c r="AC3386" s="13">
        <f>SUMPRODUCT(N3386:Y3386,$N$4:$Y$4)*$K3386*$L3386*$M3386</f>
        <v/>
      </c>
      <c r="AD3386" s="15" t="n">
        <v>15.21333333333333</v>
      </c>
      <c r="AE3386" s="11" t="n">
        <v>3.273007934302738</v>
      </c>
      <c r="AF3386" s="16">
        <f>SUMPRODUCT(N3386:Y3386,$N$5:$Y$5)*$K3386*$L3386*$M3386</f>
        <v/>
      </c>
      <c r="AG3386" s="16">
        <f>SUMPRODUCT(N3386:Y3386,$N$6:$Y$6)*$K3386*$L3386*$M3386</f>
        <v/>
      </c>
      <c r="AH3386" s="20" t="n"/>
    </row>
    <row r="3387">
      <c r="A3387" s="9" t="n">
        <v>620982</v>
      </c>
      <c r="B3387" s="9" t="inlineStr">
        <is>
          <t>Ricardo Pinto</t>
        </is>
      </c>
      <c r="C3387" s="9" t="inlineStr">
        <is>
          <t>PHI</t>
        </is>
      </c>
      <c r="D3387" s="9" t="n">
        <v>33</v>
      </c>
      <c r="E3387" s="18" t="inlineStr">
        <is>
          <t>R</t>
        </is>
      </c>
      <c r="F3387" s="18" t="n"/>
      <c r="G3387" s="9" t="n">
        <v>59</v>
      </c>
      <c r="H3387" s="9" t="n">
        <v>59</v>
      </c>
      <c r="I3387" s="9" t="inlineStr">
        <is>
          <t>Depth (no MLB IP)</t>
        </is>
      </c>
      <c r="J3387" s="18" t="inlineStr">
        <is>
          <t>Opening Day</t>
        </is>
      </c>
      <c r="K3387" s="11">
        <f>IFERROR(INDEX(Roles!$B$17:$B$20,MATCH(J3387,Roles!$A$17:$A$20,0)),1)</f>
        <v/>
      </c>
      <c r="L3387" s="19" t="n">
        <v>1</v>
      </c>
      <c r="M3387" s="11" t="n">
        <v>1</v>
      </c>
      <c r="N3387" s="19" t="n"/>
      <c r="O3387" s="19" t="n"/>
      <c r="P3387" s="19" t="n"/>
      <c r="Q3387" s="19" t="n"/>
      <c r="R3387" s="19" t="n"/>
      <c r="S3387" s="19" t="n"/>
      <c r="T3387" s="19" t="n"/>
      <c r="U3387" s="19" t="n"/>
      <c r="V3387" s="19" t="n"/>
      <c r="W3387" s="19" t="n"/>
      <c r="X3387" s="19" t="n"/>
      <c r="Y3387" s="19" t="n">
        <v>1</v>
      </c>
      <c r="Z3387" s="13">
        <f>SUMPRODUCT(N3387:Y3387,$N$2:$Y$2)*$K3387*$L3387*$M3387</f>
        <v/>
      </c>
      <c r="AA3387" s="14">
        <f>SUM(N3387:Y3387)</f>
        <v/>
      </c>
      <c r="AB3387" s="13">
        <f>SUMPRODUCT(N3387:Y3387,$N$3:$Y$3)*$K3387*$L3387*$M3387</f>
        <v/>
      </c>
      <c r="AC3387" s="13">
        <f>SUMPRODUCT(N3387:Y3387,$N$4:$Y$4)*$K3387*$L3387*$M3387</f>
        <v/>
      </c>
      <c r="AD3387" s="15" t="n">
        <v>4.8</v>
      </c>
      <c r="AE3387" s="11" t="n">
        <v>1.26679012345679</v>
      </c>
      <c r="AF3387" s="16">
        <f>SUMPRODUCT(N3387:Y3387,$N$5:$Y$5)*$K3387*$L3387*$M3387</f>
        <v/>
      </c>
      <c r="AG3387" s="16">
        <f>SUMPRODUCT(N3387:Y3387,$N$6:$Y$6)*$K3387*$L3387*$M3387</f>
        <v/>
      </c>
      <c r="AH3387" s="20" t="n"/>
    </row>
    <row r="3388">
      <c r="A3388" s="9" t="n">
        <v>674944</v>
      </c>
      <c r="B3388" s="9" t="inlineStr">
        <is>
          <t>Sean Guenther</t>
        </is>
      </c>
      <c r="C3388" s="9" t="inlineStr">
        <is>
          <t>DET</t>
        </is>
      </c>
      <c r="D3388" s="9" t="n">
        <v>31</v>
      </c>
      <c r="E3388" s="18" t="inlineStr">
        <is>
          <t>L</t>
        </is>
      </c>
      <c r="F3388" s="18" t="n"/>
      <c r="G3388" s="9" t="n">
        <v>43</v>
      </c>
      <c r="H3388" s="9" t="n">
        <v>116</v>
      </c>
      <c r="I3388" s="9" t="inlineStr">
        <is>
          <t>Bullpen Depth Arm</t>
        </is>
      </c>
      <c r="J3388" s="18" t="inlineStr">
        <is>
          <t>Opening Day</t>
        </is>
      </c>
      <c r="K3388" s="11">
        <f>IFERROR(INDEX(Roles!$B$17:$B$20,MATCH(J3388,Roles!$A$17:$A$20,0)),1)</f>
        <v/>
      </c>
      <c r="L3388" s="19" t="n">
        <v>1</v>
      </c>
      <c r="M3388" s="11" t="n">
        <v>1</v>
      </c>
      <c r="N3388" s="19" t="n"/>
      <c r="O3388" s="19" t="n"/>
      <c r="P3388" s="19" t="n"/>
      <c r="Q3388" s="19" t="n"/>
      <c r="R3388" s="19" t="n"/>
      <c r="S3388" s="19" t="n"/>
      <c r="T3388" s="19" t="n"/>
      <c r="U3388" s="19" t="n"/>
      <c r="V3388" s="19" t="n"/>
      <c r="W3388" s="19" t="n">
        <v>1</v>
      </c>
      <c r="X3388" s="19" t="n"/>
      <c r="Y3388" s="19" t="n"/>
      <c r="Z3388" s="13">
        <f>SUMPRODUCT(N3388:Y3388,$N$2:$Y$2)*$K3388*$L3388*$M3388</f>
        <v/>
      </c>
      <c r="AA3388" s="14">
        <f>SUM(N3388:Y3388)</f>
        <v/>
      </c>
      <c r="AB3388" s="13">
        <f>SUMPRODUCT(N3388:Y3388,$N$3:$Y$3)*$K3388*$L3388*$M3388</f>
        <v/>
      </c>
      <c r="AC3388" s="13">
        <f>SUMPRODUCT(N3388:Y3388,$N$4:$Y$4)*$K3388*$L3388*$M3388</f>
        <v/>
      </c>
      <c r="AD3388" s="15" t="n">
        <v>12.66666666666667</v>
      </c>
      <c r="AE3388" s="11" t="n">
        <v>1.198332531665865</v>
      </c>
      <c r="AF3388" s="16">
        <f>SUMPRODUCT(N3388:Y3388,$N$5:$Y$5)*$K3388*$L3388*$M3388</f>
        <v/>
      </c>
      <c r="AG3388" s="16">
        <f>SUMPRODUCT(N3388:Y3388,$N$6:$Y$6)*$K3388*$L3388*$M3388</f>
        <v/>
      </c>
      <c r="AH3388" s="20" t="n"/>
    </row>
    <row r="3389">
      <c r="A3389" s="9" t="n">
        <v>670032</v>
      </c>
      <c r="B3389" s="9" t="inlineStr">
        <is>
          <t>Nicky Lopez</t>
        </is>
      </c>
      <c r="C3389" s="9" t="inlineStr">
        <is>
          <t>TEX</t>
        </is>
      </c>
      <c r="D3389" s="9" t="n">
        <v>32</v>
      </c>
      <c r="E3389" s="18" t="inlineStr">
        <is>
          <t>R</t>
        </is>
      </c>
      <c r="F3389" s="18" t="n"/>
      <c r="G3389" s="9" t="n">
        <v>7</v>
      </c>
      <c r="H3389" s="9" t="n">
        <v>28</v>
      </c>
      <c r="I3389" s="9" t="inlineStr">
        <is>
          <t>Depth (no MLB IP)</t>
        </is>
      </c>
      <c r="J3389" s="18" t="inlineStr">
        <is>
          <t>Opening Day</t>
        </is>
      </c>
      <c r="K3389" s="11">
        <f>IFERROR(INDEX(Roles!$B$17:$B$20,MATCH(J3389,Roles!$A$17:$A$20,0)),1)</f>
        <v/>
      </c>
      <c r="L3389" s="19" t="n">
        <v>1</v>
      </c>
      <c r="M3389" s="11" t="n">
        <v>1</v>
      </c>
      <c r="N3389" s="19" t="n"/>
      <c r="O3389" s="19" t="n"/>
      <c r="P3389" s="19" t="n"/>
      <c r="Q3389" s="19" t="n"/>
      <c r="R3389" s="19" t="n"/>
      <c r="S3389" s="19" t="n"/>
      <c r="T3389" s="19" t="n"/>
      <c r="U3389" s="19" t="n"/>
      <c r="V3389" s="19" t="n"/>
      <c r="W3389" s="19" t="n"/>
      <c r="X3389" s="19" t="n"/>
      <c r="Y3389" s="19" t="n">
        <v>1</v>
      </c>
      <c r="Z3389" s="13">
        <f>SUMPRODUCT(N3389:Y3389,$N$2:$Y$2)*$K3389*$L3389*$M3389</f>
        <v/>
      </c>
      <c r="AA3389" s="14">
        <f>SUM(N3389:Y3389)</f>
        <v/>
      </c>
      <c r="AB3389" s="13">
        <f>SUMPRODUCT(N3389:Y3389,$N$3:$Y$3)*$K3389*$L3389*$M3389</f>
        <v/>
      </c>
      <c r="AC3389" s="13">
        <f>SUMPRODUCT(N3389:Y3389,$N$4:$Y$4)*$K3389*$L3389*$M3389</f>
        <v/>
      </c>
      <c r="AD3389" s="15" t="n">
        <v>1.8</v>
      </c>
      <c r="AE3389" s="11" t="n">
        <v>0.918641975308642</v>
      </c>
      <c r="AF3389" s="16">
        <f>SUMPRODUCT(N3389:Y3389,$N$5:$Y$5)*$K3389*$L3389*$M3389</f>
        <v/>
      </c>
      <c r="AG3389" s="16">
        <f>SUMPRODUCT(N3389:Y3389,$N$6:$Y$6)*$K3389*$L3389*$M3389</f>
        <v/>
      </c>
      <c r="AH3389" s="20" t="n"/>
    </row>
    <row r="3390">
      <c r="A3390" s="9" t="n">
        <v>690990</v>
      </c>
      <c r="B3390" s="9" t="inlineStr">
        <is>
          <t>Cade Horton</t>
        </is>
      </c>
      <c r="C3390" s="9" t="inlineStr">
        <is>
          <t>CHC</t>
        </is>
      </c>
      <c r="D3390" s="9" t="n">
        <v>25</v>
      </c>
      <c r="E3390" s="18" t="inlineStr">
        <is>
          <t>R</t>
        </is>
      </c>
      <c r="F3390" s="18" t="n"/>
      <c r="G3390" s="9" t="n">
        <v>26</v>
      </c>
      <c r="H3390" s="9" t="n">
        <v>502</v>
      </c>
      <c r="I3390" s="9" t="inlineStr">
        <is>
          <t>Swing Arm / Long Relief</t>
        </is>
      </c>
      <c r="J3390" s="18" t="inlineStr">
        <is>
          <t>Opening Day</t>
        </is>
      </c>
      <c r="K3390" s="11">
        <f>IFERROR(INDEX(Roles!$B$17:$B$20,MATCH(J3390,Roles!$A$17:$A$20,0)),1)</f>
        <v/>
      </c>
      <c r="L3390" s="19" t="n">
        <v>1</v>
      </c>
      <c r="M3390" s="11" t="n">
        <v>1</v>
      </c>
      <c r="N3390" s="19" t="n"/>
      <c r="O3390" s="19" t="n"/>
      <c r="P3390" s="19" t="n"/>
      <c r="Q3390" s="19" t="n"/>
      <c r="R3390" s="19" t="n">
        <v>0.5</v>
      </c>
      <c r="S3390" s="19" t="n"/>
      <c r="T3390" s="19" t="n"/>
      <c r="U3390" s="19" t="n"/>
      <c r="V3390" s="19" t="n">
        <v>0.5</v>
      </c>
      <c r="W3390" s="19" t="n"/>
      <c r="X3390" s="19" t="n"/>
      <c r="Y3390" s="19" t="n"/>
      <c r="Z3390" s="13">
        <f>SUMPRODUCT(N3390:Y3390,$N$2:$Y$2)*$K3390*$L3390*$M3390</f>
        <v/>
      </c>
      <c r="AA3390" s="14">
        <f>SUM(N3390:Y3390)</f>
        <v/>
      </c>
      <c r="AB3390" s="13">
        <f>SUMPRODUCT(N3390:Y3390,$N$3:$Y$3)*$K3390*$L3390*$M3390</f>
        <v/>
      </c>
      <c r="AC3390" s="13">
        <f>SUMPRODUCT(N3390:Y3390,$N$4:$Y$4)*$K3390*$L3390*$M3390</f>
        <v/>
      </c>
      <c r="AD3390" s="15" t="n">
        <v>14.37333333333334</v>
      </c>
      <c r="AE3390" s="11" t="n">
        <v>3.322334314137593</v>
      </c>
      <c r="AF3390" s="16">
        <f>SUMPRODUCT(N3390:Y3390,$N$5:$Y$5)*$K3390*$L3390*$M3390</f>
        <v/>
      </c>
      <c r="AG3390" s="16">
        <f>SUMPRODUCT(N3390:Y3390,$N$6:$Y$6)*$K3390*$L3390*$M3390</f>
        <v/>
      </c>
      <c r="AH3390" s="20" t="n"/>
    </row>
    <row r="3391">
      <c r="A3391" s="9" t="n">
        <v>806585</v>
      </c>
      <c r="B3391" s="9" t="inlineStr">
        <is>
          <t>Jack Dallas</t>
        </is>
      </c>
      <c r="C3391" s="9" t="inlineStr">
        <is>
          <t>PHI</t>
        </is>
      </c>
      <c r="D3391" s="9" t="n">
        <v>25</v>
      </c>
      <c r="E3391" s="18" t="inlineStr">
        <is>
          <t>R</t>
        </is>
      </c>
      <c r="F3391" s="18" t="n"/>
      <c r="G3391" s="9" t="n">
        <v>97.825</v>
      </c>
      <c r="H3391" s="9" t="n">
        <v>97.825</v>
      </c>
      <c r="I3391" s="9" t="inlineStr">
        <is>
          <t>Depth (no MLB IP)</t>
        </is>
      </c>
      <c r="J3391" s="18" t="inlineStr">
        <is>
          <t>Opening Day</t>
        </is>
      </c>
      <c r="K3391" s="11">
        <f>IFERROR(INDEX(Roles!$B$17:$B$20,MATCH(J3391,Roles!$A$17:$A$20,0)),1)</f>
        <v/>
      </c>
      <c r="L3391" s="19" t="n">
        <v>1</v>
      </c>
      <c r="M3391" s="11" t="n">
        <v>1</v>
      </c>
      <c r="N3391" s="19" t="n"/>
      <c r="O3391" s="19" t="n"/>
      <c r="P3391" s="19" t="n"/>
      <c r="Q3391" s="19" t="n"/>
      <c r="R3391" s="19" t="n"/>
      <c r="S3391" s="19" t="n"/>
      <c r="T3391" s="19" t="n"/>
      <c r="U3391" s="19" t="n"/>
      <c r="V3391" s="19" t="n"/>
      <c r="W3391" s="19" t="n"/>
      <c r="X3391" s="19" t="n"/>
      <c r="Y3391" s="19" t="n">
        <v>1</v>
      </c>
      <c r="Z3391" s="13">
        <f>SUMPRODUCT(N3391:Y3391,$N$2:$Y$2)*$K3391*$L3391*$M3391</f>
        <v/>
      </c>
      <c r="AA3391" s="14">
        <f>SUM(N3391:Y3391)</f>
        <v/>
      </c>
      <c r="AB3391" s="13">
        <f>SUMPRODUCT(N3391:Y3391,$N$3:$Y$3)*$K3391*$L3391*$M3391</f>
        <v/>
      </c>
      <c r="AC3391" s="13">
        <f>SUMPRODUCT(N3391:Y3391,$N$4:$Y$4)*$K3391*$L3391*$M3391</f>
        <v/>
      </c>
      <c r="AD3391" s="15" t="n">
        <v>3</v>
      </c>
      <c r="AE3391" s="11" t="n">
        <v>1.011296296296296</v>
      </c>
      <c r="AF3391" s="16">
        <f>SUMPRODUCT(N3391:Y3391,$N$5:$Y$5)*$K3391*$L3391*$M3391</f>
        <v/>
      </c>
      <c r="AG3391" s="16">
        <f>SUMPRODUCT(N3391:Y3391,$N$6:$Y$6)*$K3391*$L3391*$M3391</f>
        <v/>
      </c>
      <c r="AH3391" s="20" t="n"/>
    </row>
    <row r="3392">
      <c r="A3392" s="9" t="n">
        <v>643396</v>
      </c>
      <c r="B3392" s="9" t="inlineStr">
        <is>
          <t>Isiah Kiner-Falefa</t>
        </is>
      </c>
      <c r="C3392" s="9" t="inlineStr">
        <is>
          <t>TOR</t>
        </is>
      </c>
      <c r="D3392" s="9" t="n">
        <v>32</v>
      </c>
      <c r="E3392" s="18" t="inlineStr">
        <is>
          <t>R</t>
        </is>
      </c>
      <c r="F3392" s="18" t="n"/>
      <c r="G3392" s="9" t="n">
        <v>2</v>
      </c>
      <c r="H3392" s="9" t="n">
        <v>27</v>
      </c>
      <c r="I3392" s="9" t="inlineStr">
        <is>
          <t>Depth (no MLB IP)</t>
        </is>
      </c>
      <c r="J3392" s="18" t="inlineStr">
        <is>
          <t>Opening Day</t>
        </is>
      </c>
      <c r="K3392" s="11">
        <f>IFERROR(INDEX(Roles!$B$17:$B$20,MATCH(J3392,Roles!$A$17:$A$20,0)),1)</f>
        <v/>
      </c>
      <c r="L3392" s="19" t="n">
        <v>1</v>
      </c>
      <c r="M3392" s="11" t="n">
        <v>1</v>
      </c>
      <c r="N3392" s="19" t="n"/>
      <c r="O3392" s="19" t="n"/>
      <c r="P3392" s="19" t="n"/>
      <c r="Q3392" s="19" t="n"/>
      <c r="R3392" s="19" t="n"/>
      <c r="S3392" s="19" t="n"/>
      <c r="T3392" s="19" t="n"/>
      <c r="U3392" s="19" t="n"/>
      <c r="V3392" s="19" t="n"/>
      <c r="W3392" s="19" t="n"/>
      <c r="X3392" s="19" t="n"/>
      <c r="Y3392" s="19" t="n">
        <v>1</v>
      </c>
      <c r="Z3392" s="13">
        <f>SUMPRODUCT(N3392:Y3392,$N$2:$Y$2)*$K3392*$L3392*$M3392</f>
        <v/>
      </c>
      <c r="AA3392" s="14">
        <f>SUM(N3392:Y3392)</f>
        <v/>
      </c>
      <c r="AB3392" s="13">
        <f>SUMPRODUCT(N3392:Y3392,$N$3:$Y$3)*$K3392*$L3392*$M3392</f>
        <v/>
      </c>
      <c r="AC3392" s="13">
        <f>SUMPRODUCT(N3392:Y3392,$N$4:$Y$4)*$K3392*$L3392*$M3392</f>
        <v/>
      </c>
      <c r="AD3392" s="15" t="n">
        <v>2</v>
      </c>
      <c r="AE3392" s="11" t="n">
        <v>0.9519753086419752</v>
      </c>
      <c r="AF3392" s="16">
        <f>SUMPRODUCT(N3392:Y3392,$N$5:$Y$5)*$K3392*$L3392*$M3392</f>
        <v/>
      </c>
      <c r="AG3392" s="16">
        <f>SUMPRODUCT(N3392:Y3392,$N$6:$Y$6)*$K3392*$L3392*$M3392</f>
        <v/>
      </c>
      <c r="AH3392" s="20" t="n"/>
    </row>
    <row r="3393">
      <c r="A3393" s="9" t="n">
        <v>686228</v>
      </c>
      <c r="B3393" s="9" t="inlineStr">
        <is>
          <t>Juan Burgos</t>
        </is>
      </c>
      <c r="C3393" s="9" t="inlineStr">
        <is>
          <t>ARI</t>
        </is>
      </c>
      <c r="D3393" s="9" t="n">
        <v>27</v>
      </c>
      <c r="E3393" s="18" t="inlineStr">
        <is>
          <t>R</t>
        </is>
      </c>
      <c r="F3393" s="18" t="n"/>
      <c r="G3393" s="9" t="n">
        <v>17</v>
      </c>
      <c r="H3393" s="9" t="n">
        <v>82</v>
      </c>
      <c r="I3393" s="9" t="inlineStr">
        <is>
          <t>Bullpen Depth Arm</t>
        </is>
      </c>
      <c r="J3393" s="18" t="inlineStr">
        <is>
          <t>Opening Day</t>
        </is>
      </c>
      <c r="K3393" s="11">
        <f>IFERROR(INDEX(Roles!$B$17:$B$20,MATCH(J3393,Roles!$A$17:$A$20,0)),1)</f>
        <v/>
      </c>
      <c r="L3393" s="19" t="n">
        <v>1</v>
      </c>
      <c r="M3393" s="11" t="n">
        <v>1</v>
      </c>
      <c r="N3393" s="19" t="n"/>
      <c r="O3393" s="19" t="n"/>
      <c r="P3393" s="19" t="n"/>
      <c r="Q3393" s="19" t="n"/>
      <c r="R3393" s="19" t="n"/>
      <c r="S3393" s="19" t="n"/>
      <c r="T3393" s="19" t="n"/>
      <c r="U3393" s="19" t="n"/>
      <c r="V3393" s="19" t="n"/>
      <c r="W3393" s="19" t="n">
        <v>1</v>
      </c>
      <c r="X3393" s="19" t="n"/>
      <c r="Y3393" s="19" t="n"/>
      <c r="Z3393" s="13">
        <f>SUMPRODUCT(N3393:Y3393,$N$2:$Y$2)*$K3393*$L3393*$M3393</f>
        <v/>
      </c>
      <c r="AA3393" s="14">
        <f>SUM(N3393:Y3393)</f>
        <v/>
      </c>
      <c r="AB3393" s="13">
        <f>SUMPRODUCT(N3393:Y3393,$N$3:$Y$3)*$K3393*$L3393*$M3393</f>
        <v/>
      </c>
      <c r="AC3393" s="13">
        <f>SUMPRODUCT(N3393:Y3393,$N$4:$Y$4)*$K3393*$L3393*$M3393</f>
        <v/>
      </c>
      <c r="AD3393" s="15" t="n">
        <v>10.22666666666666</v>
      </c>
      <c r="AE3393" s="11" t="n">
        <v>1.149460351214737</v>
      </c>
      <c r="AF3393" s="16">
        <f>SUMPRODUCT(N3393:Y3393,$N$5:$Y$5)*$K3393*$L3393*$M3393</f>
        <v/>
      </c>
      <c r="AG3393" s="16">
        <f>SUMPRODUCT(N3393:Y3393,$N$6:$Y$6)*$K3393*$L3393*$M3393</f>
        <v/>
      </c>
      <c r="AH3393" s="20" t="n"/>
    </row>
    <row r="3394">
      <c r="A3394" s="9" t="n">
        <v>814481</v>
      </c>
      <c r="B3394" s="9" t="inlineStr">
        <is>
          <t>Carson Hobbs</t>
        </is>
      </c>
      <c r="C3394" s="9" t="inlineStr">
        <is>
          <t>LAD</t>
        </is>
      </c>
      <c r="D3394" s="9" t="n">
        <v>25</v>
      </c>
      <c r="E3394" s="18" t="inlineStr">
        <is>
          <t>R</t>
        </is>
      </c>
      <c r="F3394" s="18" t="n"/>
      <c r="G3394" s="9" t="n">
        <v>98.32666666666664</v>
      </c>
      <c r="H3394" s="9" t="n">
        <v>98.32666666666664</v>
      </c>
      <c r="I3394" s="9" t="inlineStr">
        <is>
          <t>Depth (no MLB IP)</t>
        </is>
      </c>
      <c r="J3394" s="18" t="inlineStr">
        <is>
          <t>Opening Day</t>
        </is>
      </c>
      <c r="K3394" s="11">
        <f>IFERROR(INDEX(Roles!$B$17:$B$20,MATCH(J3394,Roles!$A$17:$A$20,0)),1)</f>
        <v/>
      </c>
      <c r="L3394" s="19" t="n">
        <v>1</v>
      </c>
      <c r="M3394" s="11" t="n">
        <v>1</v>
      </c>
      <c r="N3394" s="19" t="n"/>
      <c r="O3394" s="19" t="n"/>
      <c r="P3394" s="19" t="n"/>
      <c r="Q3394" s="19" t="n"/>
      <c r="R3394" s="19" t="n"/>
      <c r="S3394" s="19" t="n"/>
      <c r="T3394" s="19" t="n"/>
      <c r="U3394" s="19" t="n"/>
      <c r="V3394" s="19" t="n"/>
      <c r="W3394" s="19" t="n"/>
      <c r="X3394" s="19" t="n"/>
      <c r="Y3394" s="19" t="n">
        <v>1</v>
      </c>
      <c r="Z3394" s="13">
        <f>SUMPRODUCT(N3394:Y3394,$N$2:$Y$2)*$K3394*$L3394*$M3394</f>
        <v/>
      </c>
      <c r="AA3394" s="14">
        <f>SUM(N3394:Y3394)</f>
        <v/>
      </c>
      <c r="AB3394" s="13">
        <f>SUMPRODUCT(N3394:Y3394,$N$3:$Y$3)*$K3394*$L3394*$M3394</f>
        <v/>
      </c>
      <c r="AC3394" s="13">
        <f>SUMPRODUCT(N3394:Y3394,$N$4:$Y$4)*$K3394*$L3394*$M3394</f>
        <v/>
      </c>
      <c r="AD3394" s="15" t="n">
        <v>3</v>
      </c>
      <c r="AE3394" s="11" t="n">
        <v>1.011296296296296</v>
      </c>
      <c r="AF3394" s="16">
        <f>SUMPRODUCT(N3394:Y3394,$N$5:$Y$5)*$K3394*$L3394*$M3394</f>
        <v/>
      </c>
      <c r="AG3394" s="16">
        <f>SUMPRODUCT(N3394:Y3394,$N$6:$Y$6)*$K3394*$L3394*$M3394</f>
        <v/>
      </c>
      <c r="AH3394" s="20" t="n"/>
    </row>
    <row r="3395">
      <c r="A3395" s="9" t="n">
        <v>692285</v>
      </c>
      <c r="B3395" s="9" t="inlineStr">
        <is>
          <t>Luis Guerrero</t>
        </is>
      </c>
      <c r="C3395" s="9" t="inlineStr">
        <is>
          <t>BOS</t>
        </is>
      </c>
      <c r="D3395" s="9" t="n">
        <v>26</v>
      </c>
      <c r="E3395" s="18" t="inlineStr">
        <is>
          <t>R</t>
        </is>
      </c>
      <c r="F3395" s="18" t="n"/>
      <c r="G3395" s="9" t="n">
        <v>72</v>
      </c>
      <c r="H3395" s="9" t="n">
        <v>108</v>
      </c>
      <c r="I3395" s="9" t="inlineStr">
        <is>
          <t>Bullpen Depth Arm</t>
        </is>
      </c>
      <c r="J3395" s="18" t="inlineStr">
        <is>
          <t>Opening Day</t>
        </is>
      </c>
      <c r="K3395" s="11">
        <f>IFERROR(INDEX(Roles!$B$17:$B$20,MATCH(J3395,Roles!$A$17:$A$20,0)),1)</f>
        <v/>
      </c>
      <c r="L3395" s="19" t="n">
        <v>1</v>
      </c>
      <c r="M3395" s="11" t="n">
        <v>1</v>
      </c>
      <c r="N3395" s="19" t="n"/>
      <c r="O3395" s="19" t="n"/>
      <c r="P3395" s="19" t="n"/>
      <c r="Q3395" s="19" t="n"/>
      <c r="R3395" s="19" t="n"/>
      <c r="S3395" s="19" t="n"/>
      <c r="T3395" s="19" t="n"/>
      <c r="U3395" s="19" t="n"/>
      <c r="V3395" s="19" t="n"/>
      <c r="W3395" s="19" t="n">
        <v>1</v>
      </c>
      <c r="X3395" s="19" t="n"/>
      <c r="Y3395" s="19" t="n"/>
      <c r="Z3395" s="13">
        <f>SUMPRODUCT(N3395:Y3395,$N$2:$Y$2)*$K3395*$L3395*$M3395</f>
        <v/>
      </c>
      <c r="AA3395" s="14">
        <f>SUM(N3395:Y3395)</f>
        <v/>
      </c>
      <c r="AB3395" s="13">
        <f>SUMPRODUCT(N3395:Y3395,$N$3:$Y$3)*$K3395*$L3395*$M3395</f>
        <v/>
      </c>
      <c r="AC3395" s="13">
        <f>SUMPRODUCT(N3395:Y3395,$N$4:$Y$4)*$K3395*$L3395*$M3395</f>
        <v/>
      </c>
      <c r="AD3395" s="15" t="n">
        <v>12.66666666666667</v>
      </c>
      <c r="AE3395" s="11" t="n">
        <v>1.226903960237293</v>
      </c>
      <c r="AF3395" s="16">
        <f>SUMPRODUCT(N3395:Y3395,$N$5:$Y$5)*$K3395*$L3395*$M3395</f>
        <v/>
      </c>
      <c r="AG3395" s="16">
        <f>SUMPRODUCT(N3395:Y3395,$N$6:$Y$6)*$K3395*$L3395*$M3395</f>
        <v/>
      </c>
      <c r="AH3395" s="20" t="n"/>
    </row>
    <row r="3396">
      <c r="A3396" s="9" t="n">
        <v>672578</v>
      </c>
      <c r="B3396" s="9" t="inlineStr">
        <is>
          <t>Carlos Hernández</t>
        </is>
      </c>
      <c r="C3396" s="9" t="inlineStr">
        <is>
          <t>CLE</t>
        </is>
      </c>
      <c r="D3396" s="9" t="n">
        <v>30</v>
      </c>
      <c r="E3396" s="18" t="inlineStr">
        <is>
          <t>R</t>
        </is>
      </c>
      <c r="F3396" s="18" t="n"/>
      <c r="G3396" s="9" t="n">
        <v>14</v>
      </c>
      <c r="H3396" s="9" t="n">
        <v>912</v>
      </c>
      <c r="I3396" s="9" t="inlineStr">
        <is>
          <t>Bullpen Depth Arm</t>
        </is>
      </c>
      <c r="J3396" s="18" t="inlineStr">
        <is>
          <t>Opening Day</t>
        </is>
      </c>
      <c r="K3396" s="11">
        <f>IFERROR(INDEX(Roles!$B$17:$B$20,MATCH(J3396,Roles!$A$17:$A$20,0)),1)</f>
        <v/>
      </c>
      <c r="L3396" s="19" t="n">
        <v>1</v>
      </c>
      <c r="M3396" s="11" t="n">
        <v>1</v>
      </c>
      <c r="N3396" s="19" t="n"/>
      <c r="O3396" s="19" t="n"/>
      <c r="P3396" s="19" t="n"/>
      <c r="Q3396" s="19" t="n"/>
      <c r="R3396" s="19" t="n"/>
      <c r="S3396" s="19" t="n"/>
      <c r="T3396" s="19" t="n"/>
      <c r="U3396" s="19" t="n"/>
      <c r="V3396" s="19" t="n"/>
      <c r="W3396" s="19" t="n">
        <v>1</v>
      </c>
      <c r="X3396" s="19" t="n"/>
      <c r="Y3396" s="19" t="n"/>
      <c r="Z3396" s="13">
        <f>SUMPRODUCT(N3396:Y3396,$N$2:$Y$2)*$K3396*$L3396*$M3396</f>
        <v/>
      </c>
      <c r="AA3396" s="14">
        <f>SUM(N3396:Y3396)</f>
        <v/>
      </c>
      <c r="AB3396" s="13">
        <f>SUMPRODUCT(N3396:Y3396,$N$3:$Y$3)*$K3396*$L3396*$M3396</f>
        <v/>
      </c>
      <c r="AC3396" s="13">
        <f>SUMPRODUCT(N3396:Y3396,$N$4:$Y$4)*$K3396*$L3396*$M3396</f>
        <v/>
      </c>
      <c r="AD3396" s="15" t="n">
        <v>17.16666666666666</v>
      </c>
      <c r="AE3396" s="11" t="n">
        <v>1.165758342569937</v>
      </c>
      <c r="AF3396" s="16">
        <f>SUMPRODUCT(N3396:Y3396,$N$5:$Y$5)*$K3396*$L3396*$M3396</f>
        <v/>
      </c>
      <c r="AG3396" s="16">
        <f>SUMPRODUCT(N3396:Y3396,$N$6:$Y$6)*$K3396*$L3396*$M3396</f>
        <v/>
      </c>
      <c r="AH3396" s="20" t="n"/>
    </row>
    <row r="3397">
      <c r="A3397" s="9" t="n">
        <v>628709</v>
      </c>
      <c r="B3397" s="9" t="inlineStr">
        <is>
          <t>Ofreidy Gómez</t>
        </is>
      </c>
      <c r="C3397" s="9" t="inlineStr">
        <is>
          <t>NYM</t>
        </is>
      </c>
      <c r="D3397" s="9" t="n">
        <v>25</v>
      </c>
      <c r="E3397" s="18" t="inlineStr">
        <is>
          <t>R</t>
        </is>
      </c>
      <c r="F3397" s="18" t="n"/>
      <c r="G3397" s="9" t="n">
        <v>98.54166666666669</v>
      </c>
      <c r="H3397" s="9" t="n">
        <v>98.54166666666669</v>
      </c>
      <c r="I3397" s="9" t="inlineStr">
        <is>
          <t>Depth (no MLB IP)</t>
        </is>
      </c>
      <c r="J3397" s="18" t="inlineStr">
        <is>
          <t>Opening Day</t>
        </is>
      </c>
      <c r="K3397" s="11">
        <f>IFERROR(INDEX(Roles!$B$17:$B$20,MATCH(J3397,Roles!$A$17:$A$20,0)),1)</f>
        <v/>
      </c>
      <c r="L3397" s="19" t="n">
        <v>1</v>
      </c>
      <c r="M3397" s="11" t="n">
        <v>1</v>
      </c>
      <c r="N3397" s="19" t="n"/>
      <c r="O3397" s="19" t="n"/>
      <c r="P3397" s="19" t="n"/>
      <c r="Q3397" s="19" t="n"/>
      <c r="R3397" s="19" t="n"/>
      <c r="S3397" s="19" t="n"/>
      <c r="T3397" s="19" t="n"/>
      <c r="U3397" s="19" t="n"/>
      <c r="V3397" s="19" t="n"/>
      <c r="W3397" s="19" t="n"/>
      <c r="X3397" s="19" t="n"/>
      <c r="Y3397" s="19" t="n">
        <v>1</v>
      </c>
      <c r="Z3397" s="13">
        <f>SUMPRODUCT(N3397:Y3397,$N$2:$Y$2)*$K3397*$L3397*$M3397</f>
        <v/>
      </c>
      <c r="AA3397" s="14">
        <f>SUM(N3397:Y3397)</f>
        <v/>
      </c>
      <c r="AB3397" s="13">
        <f>SUMPRODUCT(N3397:Y3397,$N$3:$Y$3)*$K3397*$L3397*$M3397</f>
        <v/>
      </c>
      <c r="AC3397" s="13">
        <f>SUMPRODUCT(N3397:Y3397,$N$4:$Y$4)*$K3397*$L3397*$M3397</f>
        <v/>
      </c>
      <c r="AD3397" s="15" t="n">
        <v>3</v>
      </c>
      <c r="AE3397" s="11" t="n">
        <v>1.011296296296296</v>
      </c>
      <c r="AF3397" s="16">
        <f>SUMPRODUCT(N3397:Y3397,$N$5:$Y$5)*$K3397*$L3397*$M3397</f>
        <v/>
      </c>
      <c r="AG3397" s="16">
        <f>SUMPRODUCT(N3397:Y3397,$N$6:$Y$6)*$K3397*$L3397*$M3397</f>
        <v/>
      </c>
      <c r="AH3397" s="20" t="n"/>
    </row>
    <row r="3398">
      <c r="A3398" s="9" t="n">
        <v>685763</v>
      </c>
      <c r="B3398" s="9" t="inlineStr">
        <is>
          <t>Jonatan Bernal</t>
        </is>
      </c>
      <c r="C3398" s="9" t="inlineStr">
        <is>
          <t>ARI</t>
        </is>
      </c>
      <c r="D3398" s="9" t="n">
        <v>25</v>
      </c>
      <c r="E3398" s="18" t="inlineStr">
        <is>
          <t>R</t>
        </is>
      </c>
      <c r="F3398" s="18" t="n"/>
      <c r="G3398" s="9" t="n">
        <v>98.54166666666669</v>
      </c>
      <c r="H3398" s="9" t="n">
        <v>98.54166666666669</v>
      </c>
      <c r="I3398" s="9" t="inlineStr">
        <is>
          <t>Depth (no MLB IP)</t>
        </is>
      </c>
      <c r="J3398" s="18" t="inlineStr">
        <is>
          <t>Opening Day</t>
        </is>
      </c>
      <c r="K3398" s="11">
        <f>IFERROR(INDEX(Roles!$B$17:$B$20,MATCH(J3398,Roles!$A$17:$A$20,0)),1)</f>
        <v/>
      </c>
      <c r="L3398" s="19" t="n">
        <v>1</v>
      </c>
      <c r="M3398" s="11" t="n">
        <v>1</v>
      </c>
      <c r="N3398" s="19" t="n"/>
      <c r="O3398" s="19" t="n"/>
      <c r="P3398" s="19" t="n"/>
      <c r="Q3398" s="19" t="n"/>
      <c r="R3398" s="19" t="n"/>
      <c r="S3398" s="19" t="n"/>
      <c r="T3398" s="19" t="n"/>
      <c r="U3398" s="19" t="n"/>
      <c r="V3398" s="19" t="n"/>
      <c r="W3398" s="19" t="n"/>
      <c r="X3398" s="19" t="n"/>
      <c r="Y3398" s="19" t="n">
        <v>1</v>
      </c>
      <c r="Z3398" s="13">
        <f>SUMPRODUCT(N3398:Y3398,$N$2:$Y$2)*$K3398*$L3398*$M3398</f>
        <v/>
      </c>
      <c r="AA3398" s="14">
        <f>SUM(N3398:Y3398)</f>
        <v/>
      </c>
      <c r="AB3398" s="13">
        <f>SUMPRODUCT(N3398:Y3398,$N$3:$Y$3)*$K3398*$L3398*$M3398</f>
        <v/>
      </c>
      <c r="AC3398" s="13">
        <f>SUMPRODUCT(N3398:Y3398,$N$4:$Y$4)*$K3398*$L3398*$M3398</f>
        <v/>
      </c>
      <c r="AD3398" s="15" t="n">
        <v>3</v>
      </c>
      <c r="AE3398" s="11" t="n">
        <v>1.011296296296296</v>
      </c>
      <c r="AF3398" s="16">
        <f>SUMPRODUCT(N3398:Y3398,$N$5:$Y$5)*$K3398*$L3398*$M3398</f>
        <v/>
      </c>
      <c r="AG3398" s="16">
        <f>SUMPRODUCT(N3398:Y3398,$N$6:$Y$6)*$K3398*$L3398*$M3398</f>
        <v/>
      </c>
      <c r="AH3398" s="20" t="n"/>
    </row>
    <row r="3399">
      <c r="A3399" s="9" t="n">
        <v>607625</v>
      </c>
      <c r="B3399" s="9" t="inlineStr">
        <is>
          <t>Seth Lugo</t>
        </is>
      </c>
      <c r="C3399" s="9" t="inlineStr">
        <is>
          <t>KC</t>
        </is>
      </c>
      <c r="D3399" s="9" t="n">
        <v>37</v>
      </c>
      <c r="E3399" s="18" t="inlineStr">
        <is>
          <t>R</t>
        </is>
      </c>
      <c r="F3399" s="18" t="n"/>
      <c r="G3399" s="9" t="n">
        <v>751</v>
      </c>
      <c r="H3399" s="9" t="n">
        <v>3074</v>
      </c>
      <c r="I3399" s="9" t="inlineStr">
        <is>
          <t>Mid-Rotation Starter (SP2-3)</t>
        </is>
      </c>
      <c r="J3399" s="18" t="inlineStr">
        <is>
          <t>Opening Day</t>
        </is>
      </c>
      <c r="K3399" s="11">
        <f>IFERROR(INDEX(Roles!$B$17:$B$20,MATCH(J3399,Roles!$A$17:$A$20,0)),1)</f>
        <v/>
      </c>
      <c r="L3399" s="19" t="n">
        <v>1</v>
      </c>
      <c r="M3399" s="11" t="n">
        <v>1</v>
      </c>
      <c r="N3399" s="19" t="n"/>
      <c r="O3399" s="19" t="n">
        <v>0.5</v>
      </c>
      <c r="P3399" s="19" t="n">
        <v>0.5</v>
      </c>
      <c r="Q3399" s="19" t="n"/>
      <c r="R3399" s="19" t="n"/>
      <c r="S3399" s="19" t="n"/>
      <c r="T3399" s="19" t="n"/>
      <c r="U3399" s="19" t="n"/>
      <c r="V3399" s="19" t="n"/>
      <c r="W3399" s="19" t="n"/>
      <c r="X3399" s="19" t="n"/>
      <c r="Y3399" s="19" t="n"/>
      <c r="Z3399" s="13">
        <f>SUMPRODUCT(N3399:Y3399,$N$2:$Y$2)*$K3399*$L3399*$M3399</f>
        <v/>
      </c>
      <c r="AA3399" s="14">
        <f>SUM(N3399:Y3399)</f>
        <v/>
      </c>
      <c r="AB3399" s="13">
        <f>SUMPRODUCT(N3399:Y3399,$N$3:$Y$3)*$K3399*$L3399*$M3399</f>
        <v/>
      </c>
      <c r="AC3399" s="13">
        <f>SUMPRODUCT(N3399:Y3399,$N$4:$Y$4)*$K3399*$L3399*$M3399</f>
        <v/>
      </c>
      <c r="AD3399" s="15" t="n">
        <v>28.5</v>
      </c>
      <c r="AE3399" s="11" t="n">
        <v>5.337551238638389</v>
      </c>
      <c r="AF3399" s="16">
        <f>SUMPRODUCT(N3399:Y3399,$N$5:$Y$5)*$K3399*$L3399*$M3399</f>
        <v/>
      </c>
      <c r="AG3399" s="16">
        <f>SUMPRODUCT(N3399:Y3399,$N$6:$Y$6)*$K3399*$L3399*$M3399</f>
        <v/>
      </c>
      <c r="AH3399" s="20" t="n"/>
    </row>
    <row r="3400">
      <c r="A3400" s="9" t="n">
        <v>657424</v>
      </c>
      <c r="B3400" s="9" t="inlineStr">
        <is>
          <t>Matt Gage</t>
        </is>
      </c>
      <c r="C3400" s="9" t="inlineStr">
        <is>
          <t>SF</t>
        </is>
      </c>
      <c r="D3400" s="9" t="n">
        <v>34</v>
      </c>
      <c r="E3400" s="18" t="inlineStr">
        <is>
          <t>L</t>
        </is>
      </c>
      <c r="F3400" s="18" t="n"/>
      <c r="G3400" s="9" t="n">
        <v>126</v>
      </c>
      <c r="H3400" s="9" t="n">
        <v>340</v>
      </c>
      <c r="I3400" s="9" t="inlineStr">
        <is>
          <t>Bullpen Depth Arm</t>
        </is>
      </c>
      <c r="J3400" s="18" t="inlineStr">
        <is>
          <t>Opening Day</t>
        </is>
      </c>
      <c r="K3400" s="11">
        <f>IFERROR(INDEX(Roles!$B$17:$B$20,MATCH(J3400,Roles!$A$17:$A$20,0)),1)</f>
        <v/>
      </c>
      <c r="L3400" s="19" t="n">
        <v>1</v>
      </c>
      <c r="M3400" s="11" t="n">
        <v>1</v>
      </c>
      <c r="N3400" s="19" t="n"/>
      <c r="O3400" s="19" t="n"/>
      <c r="P3400" s="19" t="n"/>
      <c r="Q3400" s="19" t="n"/>
      <c r="R3400" s="19" t="n"/>
      <c r="S3400" s="19" t="n"/>
      <c r="T3400" s="19" t="n"/>
      <c r="U3400" s="19" t="n"/>
      <c r="V3400" s="19" t="n">
        <v>0.15</v>
      </c>
      <c r="W3400" s="19" t="n">
        <v>0.85</v>
      </c>
      <c r="X3400" s="19" t="n"/>
      <c r="Y3400" s="19" t="n"/>
      <c r="Z3400" s="13">
        <f>SUMPRODUCT(N3400:Y3400,$N$2:$Y$2)*$K3400*$L3400*$M3400</f>
        <v/>
      </c>
      <c r="AA3400" s="14">
        <f>SUM(N3400:Y3400)</f>
        <v/>
      </c>
      <c r="AB3400" s="13">
        <f>SUMPRODUCT(N3400:Y3400,$N$3:$Y$3)*$K3400*$L3400*$M3400</f>
        <v/>
      </c>
      <c r="AC3400" s="13">
        <f>SUMPRODUCT(N3400:Y3400,$N$4:$Y$4)*$K3400*$L3400*$M3400</f>
        <v/>
      </c>
      <c r="AD3400" s="15" t="n">
        <v>25.82666666666667</v>
      </c>
      <c r="AE3400" s="11" t="n">
        <v>1.087221420554754</v>
      </c>
      <c r="AF3400" s="16">
        <f>SUMPRODUCT(N3400:Y3400,$N$5:$Y$5)*$K3400*$L3400*$M3400</f>
        <v/>
      </c>
      <c r="AG3400" s="16">
        <f>SUMPRODUCT(N3400:Y3400,$N$6:$Y$6)*$K3400*$L3400*$M3400</f>
        <v/>
      </c>
      <c r="AH3400" s="20" t="n"/>
    </row>
    <row r="3401">
      <c r="A3401" s="9" t="n">
        <v>669618</v>
      </c>
      <c r="B3401" s="9" t="inlineStr">
        <is>
          <t>Joe Barlow</t>
        </is>
      </c>
      <c r="C3401" s="9" t="inlineStr">
        <is>
          <t>TEX</t>
        </is>
      </c>
      <c r="D3401" s="9" t="n">
        <v>31</v>
      </c>
      <c r="E3401" s="18" t="inlineStr">
        <is>
          <t>R</t>
        </is>
      </c>
      <c r="F3401" s="18" t="n"/>
      <c r="G3401" s="9" t="n">
        <v>44</v>
      </c>
      <c r="H3401" s="9" t="n">
        <v>190</v>
      </c>
      <c r="I3401" s="9" t="inlineStr">
        <is>
          <t>Depth (no MLB IP)</t>
        </is>
      </c>
      <c r="J3401" s="18" t="inlineStr">
        <is>
          <t>Opening Day</t>
        </is>
      </c>
      <c r="K3401" s="11">
        <f>IFERROR(INDEX(Roles!$B$17:$B$20,MATCH(J3401,Roles!$A$17:$A$20,0)),1)</f>
        <v/>
      </c>
      <c r="L3401" s="19" t="n">
        <v>1</v>
      </c>
      <c r="M3401" s="11" t="n">
        <v>1</v>
      </c>
      <c r="N3401" s="19" t="n"/>
      <c r="O3401" s="19" t="n"/>
      <c r="P3401" s="19" t="n"/>
      <c r="Q3401" s="19" t="n"/>
      <c r="R3401" s="19" t="n"/>
      <c r="S3401" s="19" t="n"/>
      <c r="T3401" s="19" t="n"/>
      <c r="U3401" s="19" t="n"/>
      <c r="V3401" s="19" t="n"/>
      <c r="W3401" s="19" t="n"/>
      <c r="X3401" s="19" t="n"/>
      <c r="Y3401" s="19" t="n">
        <v>1</v>
      </c>
      <c r="Z3401" s="13">
        <f>SUMPRODUCT(N3401:Y3401,$N$2:$Y$2)*$K3401*$L3401*$M3401</f>
        <v/>
      </c>
      <c r="AA3401" s="14">
        <f>SUM(N3401:Y3401)</f>
        <v/>
      </c>
      <c r="AB3401" s="13">
        <f>SUMPRODUCT(N3401:Y3401,$N$3:$Y$3)*$K3401*$L3401*$M3401</f>
        <v/>
      </c>
      <c r="AC3401" s="13">
        <f>SUMPRODUCT(N3401:Y3401,$N$4:$Y$4)*$K3401*$L3401*$M3401</f>
        <v/>
      </c>
      <c r="AD3401" s="15" t="n">
        <v>3</v>
      </c>
      <c r="AE3401" s="11" t="n">
        <v>1.011296296296296</v>
      </c>
      <c r="AF3401" s="16">
        <f>SUMPRODUCT(N3401:Y3401,$N$5:$Y$5)*$K3401*$L3401*$M3401</f>
        <v/>
      </c>
      <c r="AG3401" s="16">
        <f>SUMPRODUCT(N3401:Y3401,$N$6:$Y$6)*$K3401*$L3401*$M3401</f>
        <v/>
      </c>
      <c r="AH3401" s="20" t="n"/>
    </row>
    <row r="3402">
      <c r="A3402" s="9" t="n">
        <v>689225</v>
      </c>
      <c r="B3402" s="9" t="inlineStr">
        <is>
          <t>Beau Brieske</t>
        </is>
      </c>
      <c r="C3402" s="9" t="inlineStr">
        <is>
          <t>DET</t>
        </is>
      </c>
      <c r="D3402" s="9" t="n">
        <v>29</v>
      </c>
      <c r="E3402" s="18" t="inlineStr">
        <is>
          <t>R</t>
        </is>
      </c>
      <c r="F3402" s="18" t="n"/>
      <c r="G3402" s="9" t="n">
        <v>102</v>
      </c>
      <c r="H3402" s="9" t="n">
        <v>978</v>
      </c>
      <c r="I3402" s="9" t="inlineStr">
        <is>
          <t>Swing Arm / Long Relief</t>
        </is>
      </c>
      <c r="J3402" s="18" t="inlineStr">
        <is>
          <t>Opening Day</t>
        </is>
      </c>
      <c r="K3402" s="11">
        <f>IFERROR(INDEX(Roles!$B$17:$B$20,MATCH(J3402,Roles!$A$17:$A$20,0)),1)</f>
        <v/>
      </c>
      <c r="L3402" s="19" t="n">
        <v>1</v>
      </c>
      <c r="M3402" s="11" t="n">
        <v>1</v>
      </c>
      <c r="N3402" s="19" t="n"/>
      <c r="O3402" s="19" t="n"/>
      <c r="P3402" s="19" t="n"/>
      <c r="Q3402" s="19" t="n"/>
      <c r="R3402" s="19" t="n">
        <v>0.6</v>
      </c>
      <c r="S3402" s="19" t="n"/>
      <c r="T3402" s="19" t="n"/>
      <c r="U3402" s="19" t="n"/>
      <c r="V3402" s="19" t="n"/>
      <c r="W3402" s="19" t="n">
        <v>0.4</v>
      </c>
      <c r="X3402" s="19" t="n"/>
      <c r="Y3402" s="19" t="n"/>
      <c r="Z3402" s="13">
        <f>SUMPRODUCT(N3402:Y3402,$N$2:$Y$2)*$K3402*$L3402*$M3402</f>
        <v/>
      </c>
      <c r="AA3402" s="14">
        <f>SUM(N3402:Y3402)</f>
        <v/>
      </c>
      <c r="AB3402" s="13">
        <f>SUMPRODUCT(N3402:Y3402,$N$3:$Y$3)*$K3402*$L3402*$M3402</f>
        <v/>
      </c>
      <c r="AC3402" s="13">
        <f>SUMPRODUCT(N3402:Y3402,$N$4:$Y$4)*$K3402*$L3402*$M3402</f>
        <v/>
      </c>
      <c r="AD3402" s="15" t="n">
        <v>22.53333333333333</v>
      </c>
      <c r="AE3402" s="11" t="n">
        <v>2.102901740538353</v>
      </c>
      <c r="AF3402" s="16">
        <f>SUMPRODUCT(N3402:Y3402,$N$5:$Y$5)*$K3402*$L3402*$M3402</f>
        <v/>
      </c>
      <c r="AG3402" s="16">
        <f>SUMPRODUCT(N3402:Y3402,$N$6:$Y$6)*$K3402*$L3402*$M3402</f>
        <v/>
      </c>
      <c r="AH3402" s="20" t="n"/>
    </row>
    <row r="3403">
      <c r="A3403" s="9" t="n">
        <v>661527</v>
      </c>
      <c r="B3403" s="9" t="inlineStr">
        <is>
          <t>Seth Martinez</t>
        </is>
      </c>
      <c r="C3403" s="9" t="inlineStr">
        <is>
          <t>MIA</t>
        </is>
      </c>
      <c r="D3403" s="9" t="n">
        <v>32</v>
      </c>
      <c r="E3403" s="18" t="inlineStr">
        <is>
          <t>R</t>
        </is>
      </c>
      <c r="F3403" s="18" t="n"/>
      <c r="G3403" s="9" t="n">
        <v>6</v>
      </c>
      <c r="H3403" s="9" t="n">
        <v>605</v>
      </c>
      <c r="I3403" s="9" t="inlineStr">
        <is>
          <t>Bullpen Depth Arm</t>
        </is>
      </c>
      <c r="J3403" s="18" t="inlineStr">
        <is>
          <t>Opening Day</t>
        </is>
      </c>
      <c r="K3403" s="11">
        <f>IFERROR(INDEX(Roles!$B$17:$B$20,MATCH(J3403,Roles!$A$17:$A$20,0)),1)</f>
        <v/>
      </c>
      <c r="L3403" s="19" t="n">
        <v>1</v>
      </c>
      <c r="M3403" s="11" t="n">
        <v>1</v>
      </c>
      <c r="N3403" s="19" t="n"/>
      <c r="O3403" s="19" t="n"/>
      <c r="P3403" s="19" t="n"/>
      <c r="Q3403" s="19" t="n"/>
      <c r="R3403" s="19" t="n"/>
      <c r="S3403" s="19" t="n"/>
      <c r="T3403" s="19" t="n"/>
      <c r="U3403" s="19" t="n"/>
      <c r="V3403" s="19" t="n"/>
      <c r="W3403" s="19" t="n">
        <v>1</v>
      </c>
      <c r="X3403" s="19" t="n"/>
      <c r="Y3403" s="19" t="n"/>
      <c r="Z3403" s="13">
        <f>SUMPRODUCT(N3403:Y3403,$N$2:$Y$2)*$K3403*$L3403*$M3403</f>
        <v/>
      </c>
      <c r="AA3403" s="14">
        <f>SUM(N3403:Y3403)</f>
        <v/>
      </c>
      <c r="AB3403" s="13">
        <f>SUMPRODUCT(N3403:Y3403,$N$3:$Y$3)*$K3403*$L3403*$M3403</f>
        <v/>
      </c>
      <c r="AC3403" s="13">
        <f>SUMPRODUCT(N3403:Y3403,$N$4:$Y$4)*$K3403*$L3403*$M3403</f>
        <v/>
      </c>
      <c r="AD3403" s="15" t="n">
        <v>11.56666666666667</v>
      </c>
      <c r="AE3403" s="11" t="n">
        <v>1.191337643315044</v>
      </c>
      <c r="AF3403" s="16">
        <f>SUMPRODUCT(N3403:Y3403,$N$5:$Y$5)*$K3403*$L3403*$M3403</f>
        <v/>
      </c>
      <c r="AG3403" s="16">
        <f>SUMPRODUCT(N3403:Y3403,$N$6:$Y$6)*$K3403*$L3403*$M3403</f>
        <v/>
      </c>
      <c r="AH3403" s="20" t="n"/>
    </row>
    <row r="3404">
      <c r="A3404" s="9" t="n">
        <v>669285</v>
      </c>
      <c r="B3404" s="9" t="inlineStr">
        <is>
          <t>Dan Hammer</t>
        </is>
      </c>
      <c r="C3404" s="9" t="inlineStr">
        <is>
          <t>NYM</t>
        </is>
      </c>
      <c r="D3404" s="9" t="n">
        <v>25</v>
      </c>
      <c r="E3404" s="18" t="inlineStr">
        <is>
          <t>R</t>
        </is>
      </c>
      <c r="F3404" s="18" t="n"/>
      <c r="G3404" s="9" t="n">
        <v>99.33</v>
      </c>
      <c r="H3404" s="9" t="n">
        <v>99.33</v>
      </c>
      <c r="I3404" s="9" t="inlineStr">
        <is>
          <t>Depth (no MLB IP)</t>
        </is>
      </c>
      <c r="J3404" s="18" t="inlineStr">
        <is>
          <t>Opening Day</t>
        </is>
      </c>
      <c r="K3404" s="11">
        <f>IFERROR(INDEX(Roles!$B$17:$B$20,MATCH(J3404,Roles!$A$17:$A$20,0)),1)</f>
        <v/>
      </c>
      <c r="L3404" s="19" t="n">
        <v>1</v>
      </c>
      <c r="M3404" s="11" t="n">
        <v>1</v>
      </c>
      <c r="N3404" s="19" t="n"/>
      <c r="O3404" s="19" t="n"/>
      <c r="P3404" s="19" t="n"/>
      <c r="Q3404" s="19" t="n"/>
      <c r="R3404" s="19" t="n"/>
      <c r="S3404" s="19" t="n"/>
      <c r="T3404" s="19" t="n"/>
      <c r="U3404" s="19" t="n"/>
      <c r="V3404" s="19" t="n"/>
      <c r="W3404" s="19" t="n"/>
      <c r="X3404" s="19" t="n"/>
      <c r="Y3404" s="19" t="n">
        <v>1</v>
      </c>
      <c r="Z3404" s="13">
        <f>SUMPRODUCT(N3404:Y3404,$N$2:$Y$2)*$K3404*$L3404*$M3404</f>
        <v/>
      </c>
      <c r="AA3404" s="14">
        <f>SUM(N3404:Y3404)</f>
        <v/>
      </c>
      <c r="AB3404" s="13">
        <f>SUMPRODUCT(N3404:Y3404,$N$3:$Y$3)*$K3404*$L3404*$M3404</f>
        <v/>
      </c>
      <c r="AC3404" s="13">
        <f>SUMPRODUCT(N3404:Y3404,$N$4:$Y$4)*$K3404*$L3404*$M3404</f>
        <v/>
      </c>
      <c r="AD3404" s="15" t="n">
        <v>3</v>
      </c>
      <c r="AE3404" s="11" t="n">
        <v>1.011296296296296</v>
      </c>
      <c r="AF3404" s="16">
        <f>SUMPRODUCT(N3404:Y3404,$N$5:$Y$5)*$K3404*$L3404*$M3404</f>
        <v/>
      </c>
      <c r="AG3404" s="16">
        <f>SUMPRODUCT(N3404:Y3404,$N$6:$Y$6)*$K3404*$L3404*$M3404</f>
        <v/>
      </c>
      <c r="AH3404" s="20" t="n"/>
    </row>
    <row r="3405">
      <c r="A3405" s="9" t="n">
        <v>811958</v>
      </c>
      <c r="B3405" s="9" t="inlineStr">
        <is>
          <t>Justin Sinibaldi</t>
        </is>
      </c>
      <c r="C3405" s="9" t="inlineStr">
        <is>
          <t>CWS</t>
        </is>
      </c>
      <c r="D3405" s="9" t="n">
        <v>25</v>
      </c>
      <c r="E3405" s="18" t="inlineStr">
        <is>
          <t>L</t>
        </is>
      </c>
      <c r="F3405" s="18" t="n"/>
      <c r="G3405" s="9" t="n">
        <v>99.18666666666668</v>
      </c>
      <c r="H3405" s="9" t="n">
        <v>99.18666666666668</v>
      </c>
      <c r="I3405" s="9" t="inlineStr">
        <is>
          <t>Depth (no MLB IP)</t>
        </is>
      </c>
      <c r="J3405" s="18" t="inlineStr">
        <is>
          <t>Opening Day</t>
        </is>
      </c>
      <c r="K3405" s="11">
        <f>IFERROR(INDEX(Roles!$B$17:$B$20,MATCH(J3405,Roles!$A$17:$A$20,0)),1)</f>
        <v/>
      </c>
      <c r="L3405" s="19" t="n">
        <v>1</v>
      </c>
      <c r="M3405" s="11" t="n">
        <v>1</v>
      </c>
      <c r="N3405" s="19" t="n"/>
      <c r="O3405" s="19" t="n"/>
      <c r="P3405" s="19" t="n"/>
      <c r="Q3405" s="19" t="n"/>
      <c r="R3405" s="19" t="n"/>
      <c r="S3405" s="19" t="n"/>
      <c r="T3405" s="19" t="n"/>
      <c r="U3405" s="19" t="n"/>
      <c r="V3405" s="19" t="n"/>
      <c r="W3405" s="19" t="n"/>
      <c r="X3405" s="19" t="n"/>
      <c r="Y3405" s="19" t="n">
        <v>1</v>
      </c>
      <c r="Z3405" s="13">
        <f>SUMPRODUCT(N3405:Y3405,$N$2:$Y$2)*$K3405*$L3405*$M3405</f>
        <v/>
      </c>
      <c r="AA3405" s="14">
        <f>SUM(N3405:Y3405)</f>
        <v/>
      </c>
      <c r="AB3405" s="13">
        <f>SUMPRODUCT(N3405:Y3405,$N$3:$Y$3)*$K3405*$L3405*$M3405</f>
        <v/>
      </c>
      <c r="AC3405" s="13">
        <f>SUMPRODUCT(N3405:Y3405,$N$4:$Y$4)*$K3405*$L3405*$M3405</f>
        <v/>
      </c>
      <c r="AD3405" s="15" t="n">
        <v>3</v>
      </c>
      <c r="AE3405" s="11" t="n">
        <v>1.011296296296296</v>
      </c>
      <c r="AF3405" s="16">
        <f>SUMPRODUCT(N3405:Y3405,$N$5:$Y$5)*$K3405*$L3405*$M3405</f>
        <v/>
      </c>
      <c r="AG3405" s="16">
        <f>SUMPRODUCT(N3405:Y3405,$N$6:$Y$6)*$K3405*$L3405*$M3405</f>
        <v/>
      </c>
      <c r="AH3405" s="20" t="n"/>
    </row>
    <row r="3406">
      <c r="A3406" s="9" t="n">
        <v>699062</v>
      </c>
      <c r="B3406" s="9" t="inlineStr">
        <is>
          <t>Kelvin Ramirez</t>
        </is>
      </c>
      <c r="C3406" s="9" t="inlineStr">
        <is>
          <t>LAD</t>
        </is>
      </c>
      <c r="D3406" s="9" t="n">
        <v>25</v>
      </c>
      <c r="E3406" s="18" t="inlineStr">
        <is>
          <t>R</t>
        </is>
      </c>
      <c r="F3406" s="18" t="n"/>
      <c r="G3406" s="9" t="n">
        <v>99.33</v>
      </c>
      <c r="H3406" s="9" t="n">
        <v>99.33</v>
      </c>
      <c r="I3406" s="9" t="inlineStr">
        <is>
          <t>Depth (no MLB IP)</t>
        </is>
      </c>
      <c r="J3406" s="18" t="inlineStr">
        <is>
          <t>Opening Day</t>
        </is>
      </c>
      <c r="K3406" s="11">
        <f>IFERROR(INDEX(Roles!$B$17:$B$20,MATCH(J3406,Roles!$A$17:$A$20,0)),1)</f>
        <v/>
      </c>
      <c r="L3406" s="19" t="n">
        <v>1</v>
      </c>
      <c r="M3406" s="11" t="n">
        <v>1</v>
      </c>
      <c r="N3406" s="19" t="n"/>
      <c r="O3406" s="19" t="n"/>
      <c r="P3406" s="19" t="n"/>
      <c r="Q3406" s="19" t="n"/>
      <c r="R3406" s="19" t="n"/>
      <c r="S3406" s="19" t="n"/>
      <c r="T3406" s="19" t="n"/>
      <c r="U3406" s="19" t="n"/>
      <c r="V3406" s="19" t="n"/>
      <c r="W3406" s="19" t="n"/>
      <c r="X3406" s="19" t="n"/>
      <c r="Y3406" s="19" t="n">
        <v>1</v>
      </c>
      <c r="Z3406" s="13">
        <f>SUMPRODUCT(N3406:Y3406,$N$2:$Y$2)*$K3406*$L3406*$M3406</f>
        <v/>
      </c>
      <c r="AA3406" s="14">
        <f>SUM(N3406:Y3406)</f>
        <v/>
      </c>
      <c r="AB3406" s="13">
        <f>SUMPRODUCT(N3406:Y3406,$N$3:$Y$3)*$K3406*$L3406*$M3406</f>
        <v/>
      </c>
      <c r="AC3406" s="13">
        <f>SUMPRODUCT(N3406:Y3406,$N$4:$Y$4)*$K3406*$L3406*$M3406</f>
        <v/>
      </c>
      <c r="AD3406" s="15" t="n">
        <v>3</v>
      </c>
      <c r="AE3406" s="11" t="n">
        <v>1.011296296296296</v>
      </c>
      <c r="AF3406" s="16">
        <f>SUMPRODUCT(N3406:Y3406,$N$5:$Y$5)*$K3406*$L3406*$M3406</f>
        <v/>
      </c>
      <c r="AG3406" s="16">
        <f>SUMPRODUCT(N3406:Y3406,$N$6:$Y$6)*$K3406*$L3406*$M3406</f>
        <v/>
      </c>
      <c r="AH3406" s="20" t="n"/>
    </row>
    <row r="3407">
      <c r="A3407" s="9" t="n">
        <v>804539</v>
      </c>
      <c r="B3407" s="9" t="inlineStr">
        <is>
          <t>Darren Bowen</t>
        </is>
      </c>
      <c r="C3407" s="9" t="inlineStr">
        <is>
          <t>MIN</t>
        </is>
      </c>
      <c r="D3407" s="9" t="n">
        <v>25</v>
      </c>
      <c r="E3407" s="18" t="inlineStr">
        <is>
          <t>R</t>
        </is>
      </c>
      <c r="F3407" s="18" t="n"/>
      <c r="G3407" s="9" t="n">
        <v>99.33</v>
      </c>
      <c r="H3407" s="9" t="n">
        <v>99.33</v>
      </c>
      <c r="I3407" s="9" t="inlineStr">
        <is>
          <t>Depth (no MLB IP)</t>
        </is>
      </c>
      <c r="J3407" s="18" t="inlineStr">
        <is>
          <t>Opening Day</t>
        </is>
      </c>
      <c r="K3407" s="11">
        <f>IFERROR(INDEX(Roles!$B$17:$B$20,MATCH(J3407,Roles!$A$17:$A$20,0)),1)</f>
        <v/>
      </c>
      <c r="L3407" s="19" t="n">
        <v>1</v>
      </c>
      <c r="M3407" s="11" t="n">
        <v>1</v>
      </c>
      <c r="N3407" s="19" t="n"/>
      <c r="O3407" s="19" t="n"/>
      <c r="P3407" s="19" t="n"/>
      <c r="Q3407" s="19" t="n"/>
      <c r="R3407" s="19" t="n"/>
      <c r="S3407" s="19" t="n"/>
      <c r="T3407" s="19" t="n"/>
      <c r="U3407" s="19" t="n"/>
      <c r="V3407" s="19" t="n"/>
      <c r="W3407" s="19" t="n"/>
      <c r="X3407" s="19" t="n"/>
      <c r="Y3407" s="19" t="n">
        <v>1</v>
      </c>
      <c r="Z3407" s="13">
        <f>SUMPRODUCT(N3407:Y3407,$N$2:$Y$2)*$K3407*$L3407*$M3407</f>
        <v/>
      </c>
      <c r="AA3407" s="14">
        <f>SUM(N3407:Y3407)</f>
        <v/>
      </c>
      <c r="AB3407" s="13">
        <f>SUMPRODUCT(N3407:Y3407,$N$3:$Y$3)*$K3407*$L3407*$M3407</f>
        <v/>
      </c>
      <c r="AC3407" s="13">
        <f>SUMPRODUCT(N3407:Y3407,$N$4:$Y$4)*$K3407*$L3407*$M3407</f>
        <v/>
      </c>
      <c r="AD3407" s="15" t="n">
        <v>3</v>
      </c>
      <c r="AE3407" s="11" t="n">
        <v>1.011296296296296</v>
      </c>
      <c r="AF3407" s="16">
        <f>SUMPRODUCT(N3407:Y3407,$N$5:$Y$5)*$K3407*$L3407*$M3407</f>
        <v/>
      </c>
      <c r="AG3407" s="16">
        <f>SUMPRODUCT(N3407:Y3407,$N$6:$Y$6)*$K3407*$L3407*$M3407</f>
        <v/>
      </c>
      <c r="AH3407" s="20" t="n"/>
    </row>
    <row r="3408">
      <c r="A3408" s="9" t="n">
        <v>800078</v>
      </c>
      <c r="B3408" s="9" t="inlineStr">
        <is>
          <t>Augusto Mendieta</t>
        </is>
      </c>
      <c r="C3408" s="9" t="inlineStr">
        <is>
          <t>KC</t>
        </is>
      </c>
      <c r="D3408" s="9" t="n">
        <v>25</v>
      </c>
      <c r="E3408" s="18" t="inlineStr">
        <is>
          <t>R</t>
        </is>
      </c>
      <c r="F3408" s="18" t="n"/>
      <c r="G3408" s="9" t="n">
        <v>99.33</v>
      </c>
      <c r="H3408" s="9" t="n">
        <v>99.33</v>
      </c>
      <c r="I3408" s="9" t="inlineStr">
        <is>
          <t>Depth (no MLB IP)</t>
        </is>
      </c>
      <c r="J3408" s="18" t="inlineStr">
        <is>
          <t>Opening Day</t>
        </is>
      </c>
      <c r="K3408" s="11">
        <f>IFERROR(INDEX(Roles!$B$17:$B$20,MATCH(J3408,Roles!$A$17:$A$20,0)),1)</f>
        <v/>
      </c>
      <c r="L3408" s="19" t="n">
        <v>1</v>
      </c>
      <c r="M3408" s="11" t="n">
        <v>1</v>
      </c>
      <c r="N3408" s="19" t="n"/>
      <c r="O3408" s="19" t="n"/>
      <c r="P3408" s="19" t="n"/>
      <c r="Q3408" s="19" t="n"/>
      <c r="R3408" s="19" t="n"/>
      <c r="S3408" s="19" t="n"/>
      <c r="T3408" s="19" t="n"/>
      <c r="U3408" s="19" t="n"/>
      <c r="V3408" s="19" t="n"/>
      <c r="W3408" s="19" t="n"/>
      <c r="X3408" s="19" t="n"/>
      <c r="Y3408" s="19" t="n">
        <v>1</v>
      </c>
      <c r="Z3408" s="13">
        <f>SUMPRODUCT(N3408:Y3408,$N$2:$Y$2)*$K3408*$L3408*$M3408</f>
        <v/>
      </c>
      <c r="AA3408" s="14">
        <f>SUM(N3408:Y3408)</f>
        <v/>
      </c>
      <c r="AB3408" s="13">
        <f>SUMPRODUCT(N3408:Y3408,$N$3:$Y$3)*$K3408*$L3408*$M3408</f>
        <v/>
      </c>
      <c r="AC3408" s="13">
        <f>SUMPRODUCT(N3408:Y3408,$N$4:$Y$4)*$K3408*$L3408*$M3408</f>
        <v/>
      </c>
      <c r="AD3408" s="15" t="n">
        <v>3</v>
      </c>
      <c r="AE3408" s="11" t="n">
        <v>1.011296296296296</v>
      </c>
      <c r="AF3408" s="16">
        <f>SUMPRODUCT(N3408:Y3408,$N$5:$Y$5)*$K3408*$L3408*$M3408</f>
        <v/>
      </c>
      <c r="AG3408" s="16">
        <f>SUMPRODUCT(N3408:Y3408,$N$6:$Y$6)*$K3408*$L3408*$M3408</f>
        <v/>
      </c>
      <c r="AH3408" s="20" t="n"/>
    </row>
    <row r="3409">
      <c r="A3409" s="9" t="n">
        <v>572020</v>
      </c>
      <c r="B3409" s="9" t="inlineStr">
        <is>
          <t>James Paxton</t>
        </is>
      </c>
      <c r="C3409" s="9" t="inlineStr">
        <is>
          <t>BOS</t>
        </is>
      </c>
      <c r="D3409" s="9" t="n">
        <v>38</v>
      </c>
      <c r="E3409" s="18" t="inlineStr">
        <is>
          <t>L</t>
        </is>
      </c>
      <c r="F3409" s="18" t="n"/>
      <c r="G3409" s="9" t="n">
        <v>437</v>
      </c>
      <c r="H3409" s="9" t="n">
        <v>848</v>
      </c>
      <c r="I3409" s="9" t="inlineStr">
        <is>
          <t>Depth (no MLB IP)</t>
        </is>
      </c>
      <c r="J3409" s="18" t="inlineStr">
        <is>
          <t>Opening Day</t>
        </is>
      </c>
      <c r="K3409" s="11">
        <f>IFERROR(INDEX(Roles!$B$17:$B$20,MATCH(J3409,Roles!$A$17:$A$20,0)),1)</f>
        <v/>
      </c>
      <c r="L3409" s="19" t="n">
        <v>1</v>
      </c>
      <c r="M3409" s="11" t="n">
        <v>1</v>
      </c>
      <c r="N3409" s="19" t="n"/>
      <c r="O3409" s="19" t="n"/>
      <c r="P3409" s="19" t="n"/>
      <c r="Q3409" s="19" t="n"/>
      <c r="R3409" s="19" t="n"/>
      <c r="S3409" s="19" t="n"/>
      <c r="T3409" s="19" t="n"/>
      <c r="U3409" s="19" t="n"/>
      <c r="V3409" s="19" t="n"/>
      <c r="W3409" s="19" t="n"/>
      <c r="X3409" s="19" t="n"/>
      <c r="Y3409" s="19" t="n">
        <v>1</v>
      </c>
      <c r="Z3409" s="13">
        <f>SUMPRODUCT(N3409:Y3409,$N$2:$Y$2)*$K3409*$L3409*$M3409</f>
        <v/>
      </c>
      <c r="AA3409" s="14">
        <f>SUM(N3409:Y3409)</f>
        <v/>
      </c>
      <c r="AB3409" s="13">
        <f>SUMPRODUCT(N3409:Y3409,$N$3:$Y$3)*$K3409*$L3409*$M3409</f>
        <v/>
      </c>
      <c r="AC3409" s="13">
        <f>SUMPRODUCT(N3409:Y3409,$N$4:$Y$4)*$K3409*$L3409*$M3409</f>
        <v/>
      </c>
      <c r="AD3409" s="15" t="n">
        <v>13.8</v>
      </c>
      <c r="AE3409" s="11" t="n">
        <v>2.266790123456789</v>
      </c>
      <c r="AF3409" s="16">
        <f>SUMPRODUCT(N3409:Y3409,$N$5:$Y$5)*$K3409*$L3409*$M3409</f>
        <v/>
      </c>
      <c r="AG3409" s="16">
        <f>SUMPRODUCT(N3409:Y3409,$N$6:$Y$6)*$K3409*$L3409*$M3409</f>
        <v/>
      </c>
      <c r="AH3409" s="20" t="n"/>
    </row>
    <row r="3410">
      <c r="A3410" s="9" t="n">
        <v>701565</v>
      </c>
      <c r="B3410" s="9" t="inlineStr">
        <is>
          <t>Connor Schultz</t>
        </is>
      </c>
      <c r="C3410" s="9" t="inlineStr">
        <is>
          <t>CHC</t>
        </is>
      </c>
      <c r="D3410" s="9" t="n">
        <v>25</v>
      </c>
      <c r="E3410" s="18" t="inlineStr">
        <is>
          <t>R</t>
        </is>
      </c>
      <c r="F3410" s="18" t="n"/>
      <c r="G3410" s="9" t="n">
        <v>99.83166666666664</v>
      </c>
      <c r="H3410" s="9" t="n">
        <v>99.83166666666664</v>
      </c>
      <c r="I3410" s="9" t="inlineStr">
        <is>
          <t>Depth (no MLB IP)</t>
        </is>
      </c>
      <c r="J3410" s="18" t="inlineStr">
        <is>
          <t>Opening Day</t>
        </is>
      </c>
      <c r="K3410" s="11">
        <f>IFERROR(INDEX(Roles!$B$17:$B$20,MATCH(J3410,Roles!$A$17:$A$20,0)),1)</f>
        <v/>
      </c>
      <c r="L3410" s="19" t="n">
        <v>1</v>
      </c>
      <c r="M3410" s="11" t="n">
        <v>1</v>
      </c>
      <c r="N3410" s="19" t="n"/>
      <c r="O3410" s="19" t="n"/>
      <c r="P3410" s="19" t="n"/>
      <c r="Q3410" s="19" t="n"/>
      <c r="R3410" s="19" t="n"/>
      <c r="S3410" s="19" t="n"/>
      <c r="T3410" s="19" t="n"/>
      <c r="U3410" s="19" t="n"/>
      <c r="V3410" s="19" t="n"/>
      <c r="W3410" s="19" t="n"/>
      <c r="X3410" s="19" t="n"/>
      <c r="Y3410" s="19" t="n">
        <v>1</v>
      </c>
      <c r="Z3410" s="13">
        <f>SUMPRODUCT(N3410:Y3410,$N$2:$Y$2)*$K3410*$L3410*$M3410</f>
        <v/>
      </c>
      <c r="AA3410" s="14">
        <f>SUM(N3410:Y3410)</f>
        <v/>
      </c>
      <c r="AB3410" s="13">
        <f>SUMPRODUCT(N3410:Y3410,$N$3:$Y$3)*$K3410*$L3410*$M3410</f>
        <v/>
      </c>
      <c r="AC3410" s="13">
        <f>SUMPRODUCT(N3410:Y3410,$N$4:$Y$4)*$K3410*$L3410*$M3410</f>
        <v/>
      </c>
      <c r="AD3410" s="15" t="n">
        <v>3</v>
      </c>
      <c r="AE3410" s="11" t="n">
        <v>1.011296296296296</v>
      </c>
      <c r="AF3410" s="16">
        <f>SUMPRODUCT(N3410:Y3410,$N$5:$Y$5)*$K3410*$L3410*$M3410</f>
        <v/>
      </c>
      <c r="AG3410" s="16">
        <f>SUMPRODUCT(N3410:Y3410,$N$6:$Y$6)*$K3410*$L3410*$M3410</f>
        <v/>
      </c>
      <c r="AH3410" s="20" t="n"/>
    </row>
    <row r="3411">
      <c r="A3411" s="9" t="n">
        <v>668984</v>
      </c>
      <c r="B3411" s="9" t="inlineStr">
        <is>
          <t>Casey Legumina</t>
        </is>
      </c>
      <c r="C3411" s="9" t="inlineStr">
        <is>
          <t>TB</t>
        </is>
      </c>
      <c r="D3411" s="9" t="n">
        <v>30</v>
      </c>
      <c r="E3411" s="18" t="inlineStr">
        <is>
          <t>R</t>
        </is>
      </c>
      <c r="F3411" s="18" t="n"/>
      <c r="G3411" s="9" t="n">
        <v>305</v>
      </c>
      <c r="H3411" s="9" t="n">
        <v>632</v>
      </c>
      <c r="I3411" s="9" t="inlineStr">
        <is>
          <t>Swing Arm / Long Relief</t>
        </is>
      </c>
      <c r="J3411" s="18" t="inlineStr">
        <is>
          <t>Opening Day</t>
        </is>
      </c>
      <c r="K3411" s="11">
        <f>IFERROR(INDEX(Roles!$B$17:$B$20,MATCH(J3411,Roles!$A$17:$A$20,0)),1)</f>
        <v/>
      </c>
      <c r="L3411" s="19" t="n">
        <v>1</v>
      </c>
      <c r="M3411" s="11" t="n">
        <v>1</v>
      </c>
      <c r="N3411" s="19" t="n"/>
      <c r="O3411" s="19" t="n"/>
      <c r="P3411" s="19" t="n"/>
      <c r="Q3411" s="19" t="n"/>
      <c r="R3411" s="19" t="n">
        <v>0.6</v>
      </c>
      <c r="S3411" s="19" t="n"/>
      <c r="T3411" s="19" t="n"/>
      <c r="U3411" s="19" t="n"/>
      <c r="V3411" s="19" t="n"/>
      <c r="W3411" s="19" t="n">
        <v>0.4</v>
      </c>
      <c r="X3411" s="19" t="n"/>
      <c r="Y3411" s="19" t="n"/>
      <c r="Z3411" s="13">
        <f>SUMPRODUCT(N3411:Y3411,$N$2:$Y$2)*$K3411*$L3411*$M3411</f>
        <v/>
      </c>
      <c r="AA3411" s="14">
        <f>SUM(N3411:Y3411)</f>
        <v/>
      </c>
      <c r="AB3411" s="13">
        <f>SUMPRODUCT(N3411:Y3411,$N$3:$Y$3)*$K3411*$L3411*$M3411</f>
        <v/>
      </c>
      <c r="AC3411" s="13">
        <f>SUMPRODUCT(N3411:Y3411,$N$4:$Y$4)*$K3411*$L3411*$M3411</f>
        <v/>
      </c>
      <c r="AD3411" s="15" t="n">
        <v>34.83333333333333</v>
      </c>
      <c r="AE3411" s="11" t="n">
        <v>2.072566395830349</v>
      </c>
      <c r="AF3411" s="16">
        <f>SUMPRODUCT(N3411:Y3411,$N$5:$Y$5)*$K3411*$L3411*$M3411</f>
        <v/>
      </c>
      <c r="AG3411" s="16">
        <f>SUMPRODUCT(N3411:Y3411,$N$6:$Y$6)*$K3411*$L3411*$M3411</f>
        <v/>
      </c>
      <c r="AH3411" s="20" t="n"/>
    </row>
    <row r="3412">
      <c r="A3412" s="9" t="n">
        <v>691786</v>
      </c>
      <c r="B3412" s="9" t="inlineStr">
        <is>
          <t>Michael Morales</t>
        </is>
      </c>
      <c r="C3412" s="9" t="inlineStr">
        <is>
          <t>SEA</t>
        </is>
      </c>
      <c r="D3412" s="9" t="n">
        <v>25</v>
      </c>
      <c r="E3412" s="18" t="inlineStr">
        <is>
          <t>R</t>
        </is>
      </c>
      <c r="F3412" s="18" t="n"/>
      <c r="G3412" s="9" t="n">
        <v>99.83166666666664</v>
      </c>
      <c r="H3412" s="9" t="n">
        <v>99.83166666666664</v>
      </c>
      <c r="I3412" s="9" t="inlineStr">
        <is>
          <t>Depth (no MLB IP)</t>
        </is>
      </c>
      <c r="J3412" s="18" t="inlineStr">
        <is>
          <t>Opening Day</t>
        </is>
      </c>
      <c r="K3412" s="11">
        <f>IFERROR(INDEX(Roles!$B$17:$B$20,MATCH(J3412,Roles!$A$17:$A$20,0)),1)</f>
        <v/>
      </c>
      <c r="L3412" s="19" t="n">
        <v>1</v>
      </c>
      <c r="M3412" s="11" t="n">
        <v>1</v>
      </c>
      <c r="N3412" s="19" t="n"/>
      <c r="O3412" s="19" t="n"/>
      <c r="P3412" s="19" t="n"/>
      <c r="Q3412" s="19" t="n"/>
      <c r="R3412" s="19" t="n"/>
      <c r="S3412" s="19" t="n"/>
      <c r="T3412" s="19" t="n"/>
      <c r="U3412" s="19" t="n"/>
      <c r="V3412" s="19" t="n"/>
      <c r="W3412" s="19" t="n"/>
      <c r="X3412" s="19" t="n"/>
      <c r="Y3412" s="19" t="n">
        <v>1</v>
      </c>
      <c r="Z3412" s="13">
        <f>SUMPRODUCT(N3412:Y3412,$N$2:$Y$2)*$K3412*$L3412*$M3412</f>
        <v/>
      </c>
      <c r="AA3412" s="14">
        <f>SUM(N3412:Y3412)</f>
        <v/>
      </c>
      <c r="AB3412" s="13">
        <f>SUMPRODUCT(N3412:Y3412,$N$3:$Y$3)*$K3412*$L3412*$M3412</f>
        <v/>
      </c>
      <c r="AC3412" s="13">
        <f>SUMPRODUCT(N3412:Y3412,$N$4:$Y$4)*$K3412*$L3412*$M3412</f>
        <v/>
      </c>
      <c r="AD3412" s="15" t="n">
        <v>3</v>
      </c>
      <c r="AE3412" s="11" t="n">
        <v>1.011296296296296</v>
      </c>
      <c r="AF3412" s="16">
        <f>SUMPRODUCT(N3412:Y3412,$N$5:$Y$5)*$K3412*$L3412*$M3412</f>
        <v/>
      </c>
      <c r="AG3412" s="16">
        <f>SUMPRODUCT(N3412:Y3412,$N$6:$Y$6)*$K3412*$L3412*$M3412</f>
        <v/>
      </c>
      <c r="AH3412" s="20" t="n"/>
    </row>
    <row r="3413">
      <c r="A3413" s="9" t="n">
        <v>641778</v>
      </c>
      <c r="B3413" s="9" t="inlineStr">
        <is>
          <t>Eric Lauer</t>
        </is>
      </c>
      <c r="C3413" s="9" t="inlineStr">
        <is>
          <t>LAD</t>
        </is>
      </c>
      <c r="D3413" s="9" t="n">
        <v>32</v>
      </c>
      <c r="E3413" s="18" t="inlineStr">
        <is>
          <t>L</t>
        </is>
      </c>
      <c r="F3413" s="18" t="n"/>
      <c r="G3413" s="9" t="n">
        <v>466</v>
      </c>
      <c r="H3413" s="9" t="n">
        <v>1764</v>
      </c>
      <c r="I3413" s="9" t="inlineStr">
        <is>
          <t>Swing Arm / Long Relief</t>
        </is>
      </c>
      <c r="J3413" s="18" t="inlineStr">
        <is>
          <t>Opening Day</t>
        </is>
      </c>
      <c r="K3413" s="11">
        <f>IFERROR(INDEX(Roles!$B$17:$B$20,MATCH(J3413,Roles!$A$17:$A$20,0)),1)</f>
        <v/>
      </c>
      <c r="L3413" s="19" t="n">
        <v>1</v>
      </c>
      <c r="M3413" s="11" t="n">
        <v>1</v>
      </c>
      <c r="N3413" s="19" t="n"/>
      <c r="O3413" s="19" t="n"/>
      <c r="P3413" s="19" t="n"/>
      <c r="Q3413" s="19" t="n"/>
      <c r="R3413" s="19" t="n">
        <v>0.5</v>
      </c>
      <c r="S3413" s="19" t="n"/>
      <c r="T3413" s="19" t="n"/>
      <c r="U3413" s="19" t="n"/>
      <c r="V3413" s="19" t="n">
        <v>0.5</v>
      </c>
      <c r="W3413" s="19" t="n"/>
      <c r="X3413" s="19" t="n"/>
      <c r="Y3413" s="19" t="n"/>
      <c r="Z3413" s="13">
        <f>SUMPRODUCT(N3413:Y3413,$N$2:$Y$2)*$K3413*$L3413*$M3413</f>
        <v/>
      </c>
      <c r="AA3413" s="14">
        <f>SUM(N3413:Y3413)</f>
        <v/>
      </c>
      <c r="AB3413" s="13">
        <f>SUMPRODUCT(N3413:Y3413,$N$3:$Y$3)*$K3413*$L3413*$M3413</f>
        <v/>
      </c>
      <c r="AC3413" s="13">
        <f>SUMPRODUCT(N3413:Y3413,$N$4:$Y$4)*$K3413*$L3413*$M3413</f>
        <v/>
      </c>
      <c r="AD3413" s="15" t="n">
        <v>22.77333333333333</v>
      </c>
      <c r="AE3413" s="11" t="n">
        <v>3.128415300546448</v>
      </c>
      <c r="AF3413" s="16">
        <f>SUMPRODUCT(N3413:Y3413,$N$5:$Y$5)*$K3413*$L3413*$M3413</f>
        <v/>
      </c>
      <c r="AG3413" s="16">
        <f>SUMPRODUCT(N3413:Y3413,$N$6:$Y$6)*$K3413*$L3413*$M3413</f>
        <v/>
      </c>
      <c r="AH3413" s="20" t="n"/>
    </row>
    <row r="3414">
      <c r="A3414" s="9" t="n">
        <v>681256</v>
      </c>
      <c r="B3414" s="9" t="inlineStr">
        <is>
          <t>Ian Mejia</t>
        </is>
      </c>
      <c r="C3414" s="9" t="inlineStr">
        <is>
          <t>ATL</t>
        </is>
      </c>
      <c r="D3414" s="9" t="n">
        <v>25</v>
      </c>
      <c r="E3414" s="18" t="inlineStr">
        <is>
          <t>R</t>
        </is>
      </c>
      <c r="F3414" s="18" t="n"/>
      <c r="G3414" s="9" t="n">
        <v>99.83166666666664</v>
      </c>
      <c r="H3414" s="9" t="n">
        <v>99.83166666666664</v>
      </c>
      <c r="I3414" s="9" t="inlineStr">
        <is>
          <t>Depth (no MLB IP)</t>
        </is>
      </c>
      <c r="J3414" s="18" t="inlineStr">
        <is>
          <t>Opening Day</t>
        </is>
      </c>
      <c r="K3414" s="11">
        <f>IFERROR(INDEX(Roles!$B$17:$B$20,MATCH(J3414,Roles!$A$17:$A$20,0)),1)</f>
        <v/>
      </c>
      <c r="L3414" s="19" t="n">
        <v>1</v>
      </c>
      <c r="M3414" s="11" t="n">
        <v>1</v>
      </c>
      <c r="N3414" s="19" t="n"/>
      <c r="O3414" s="19" t="n"/>
      <c r="P3414" s="19" t="n"/>
      <c r="Q3414" s="19" t="n"/>
      <c r="R3414" s="19" t="n"/>
      <c r="S3414" s="19" t="n"/>
      <c r="T3414" s="19" t="n"/>
      <c r="U3414" s="19" t="n"/>
      <c r="V3414" s="19" t="n"/>
      <c r="W3414" s="19" t="n"/>
      <c r="X3414" s="19" t="n"/>
      <c r="Y3414" s="19" t="n">
        <v>1</v>
      </c>
      <c r="Z3414" s="13">
        <f>SUMPRODUCT(N3414:Y3414,$N$2:$Y$2)*$K3414*$L3414*$M3414</f>
        <v/>
      </c>
      <c r="AA3414" s="14">
        <f>SUM(N3414:Y3414)</f>
        <v/>
      </c>
      <c r="AB3414" s="13">
        <f>SUMPRODUCT(N3414:Y3414,$N$3:$Y$3)*$K3414*$L3414*$M3414</f>
        <v/>
      </c>
      <c r="AC3414" s="13">
        <f>SUMPRODUCT(N3414:Y3414,$N$4:$Y$4)*$K3414*$L3414*$M3414</f>
        <v/>
      </c>
      <c r="AD3414" s="15" t="n">
        <v>3</v>
      </c>
      <c r="AE3414" s="11" t="n">
        <v>1.011296296296296</v>
      </c>
      <c r="AF3414" s="16">
        <f>SUMPRODUCT(N3414:Y3414,$N$5:$Y$5)*$K3414*$L3414*$M3414</f>
        <v/>
      </c>
      <c r="AG3414" s="16">
        <f>SUMPRODUCT(N3414:Y3414,$N$6:$Y$6)*$K3414*$L3414*$M3414</f>
        <v/>
      </c>
      <c r="AH3414" s="20" t="n"/>
    </row>
    <row r="3415">
      <c r="A3415" s="9" t="n">
        <v>688230</v>
      </c>
      <c r="B3415" s="9" t="inlineStr">
        <is>
          <t>Peyton Alford</t>
        </is>
      </c>
      <c r="C3415" s="9" t="inlineStr">
        <is>
          <t>SEA</t>
        </is>
      </c>
      <c r="D3415" s="9" t="n">
        <v>25</v>
      </c>
      <c r="E3415" s="18" t="inlineStr">
        <is>
          <t>L</t>
        </is>
      </c>
      <c r="F3415" s="18" t="n"/>
      <c r="G3415" s="9" t="n">
        <v>100.1183333333333</v>
      </c>
      <c r="H3415" s="9" t="n">
        <v>100.1183333333333</v>
      </c>
      <c r="I3415" s="9" t="inlineStr">
        <is>
          <t>Depth (no MLB IP)</t>
        </is>
      </c>
      <c r="J3415" s="18" t="inlineStr">
        <is>
          <t>Opening Day</t>
        </is>
      </c>
      <c r="K3415" s="11">
        <f>IFERROR(INDEX(Roles!$B$17:$B$20,MATCH(J3415,Roles!$A$17:$A$20,0)),1)</f>
        <v/>
      </c>
      <c r="L3415" s="19" t="n">
        <v>1</v>
      </c>
      <c r="M3415" s="11" t="n">
        <v>1</v>
      </c>
      <c r="N3415" s="19" t="n"/>
      <c r="O3415" s="19" t="n"/>
      <c r="P3415" s="19" t="n"/>
      <c r="Q3415" s="19" t="n"/>
      <c r="R3415" s="19" t="n"/>
      <c r="S3415" s="19" t="n"/>
      <c r="T3415" s="19" t="n"/>
      <c r="U3415" s="19" t="n"/>
      <c r="V3415" s="19" t="n"/>
      <c r="W3415" s="19" t="n"/>
      <c r="X3415" s="19" t="n"/>
      <c r="Y3415" s="19" t="n">
        <v>1</v>
      </c>
      <c r="Z3415" s="13">
        <f>SUMPRODUCT(N3415:Y3415,$N$2:$Y$2)*$K3415*$L3415*$M3415</f>
        <v/>
      </c>
      <c r="AA3415" s="14">
        <f>SUM(N3415:Y3415)</f>
        <v/>
      </c>
      <c r="AB3415" s="13">
        <f>SUMPRODUCT(N3415:Y3415,$N$3:$Y$3)*$K3415*$L3415*$M3415</f>
        <v/>
      </c>
      <c r="AC3415" s="13">
        <f>SUMPRODUCT(N3415:Y3415,$N$4:$Y$4)*$K3415*$L3415*$M3415</f>
        <v/>
      </c>
      <c r="AD3415" s="15" t="n">
        <v>3</v>
      </c>
      <c r="AE3415" s="11" t="n">
        <v>1.011296296296296</v>
      </c>
      <c r="AF3415" s="16">
        <f>SUMPRODUCT(N3415:Y3415,$N$5:$Y$5)*$K3415*$L3415*$M3415</f>
        <v/>
      </c>
      <c r="AG3415" s="16">
        <f>SUMPRODUCT(N3415:Y3415,$N$6:$Y$6)*$K3415*$L3415*$M3415</f>
        <v/>
      </c>
      <c r="AH3415" s="20" t="n"/>
    </row>
    <row r="3416">
      <c r="A3416" s="9" t="n">
        <v>676571</v>
      </c>
      <c r="B3416" s="9" t="inlineStr">
        <is>
          <t>PJ Poulin</t>
        </is>
      </c>
      <c r="C3416" s="9" t="inlineStr">
        <is>
          <t>WSH</t>
        </is>
      </c>
      <c r="D3416" s="9" t="n">
        <v>30</v>
      </c>
      <c r="E3416" s="18" t="inlineStr">
        <is>
          <t>L</t>
        </is>
      </c>
      <c r="F3416" s="18" t="n"/>
      <c r="G3416" s="9" t="n">
        <v>153</v>
      </c>
      <c r="H3416" s="9" t="n">
        <v>263</v>
      </c>
      <c r="I3416" s="9" t="inlineStr">
        <is>
          <t>Bullpen Depth Arm</t>
        </is>
      </c>
      <c r="J3416" s="18" t="inlineStr">
        <is>
          <t>Opening Day</t>
        </is>
      </c>
      <c r="K3416" s="11">
        <f>IFERROR(INDEX(Roles!$B$17:$B$20,MATCH(J3416,Roles!$A$17:$A$20,0)),1)</f>
        <v/>
      </c>
      <c r="L3416" s="19" t="n">
        <v>1</v>
      </c>
      <c r="M3416" s="11" t="n">
        <v>1</v>
      </c>
      <c r="N3416" s="19" t="n"/>
      <c r="O3416" s="19" t="n"/>
      <c r="P3416" s="19" t="n"/>
      <c r="Q3416" s="19" t="n"/>
      <c r="R3416" s="19" t="n"/>
      <c r="S3416" s="19" t="n"/>
      <c r="T3416" s="19" t="n"/>
      <c r="U3416" s="19" t="n"/>
      <c r="V3416" s="19" t="n">
        <v>0.15</v>
      </c>
      <c r="W3416" s="19" t="n">
        <v>0.85</v>
      </c>
      <c r="X3416" s="19" t="n"/>
      <c r="Y3416" s="19" t="n"/>
      <c r="Z3416" s="13">
        <f>SUMPRODUCT(N3416:Y3416,$N$2:$Y$2)*$K3416*$L3416*$M3416</f>
        <v/>
      </c>
      <c r="AA3416" s="14">
        <f>SUM(N3416:Y3416)</f>
        <v/>
      </c>
      <c r="AB3416" s="13">
        <f>SUMPRODUCT(N3416:Y3416,$N$3:$Y$3)*$K3416*$L3416*$M3416</f>
        <v/>
      </c>
      <c r="AC3416" s="13">
        <f>SUMPRODUCT(N3416:Y3416,$N$4:$Y$4)*$K3416*$L3416*$M3416</f>
        <v/>
      </c>
      <c r="AD3416" s="15" t="n">
        <v>24.98666666666667</v>
      </c>
      <c r="AE3416" s="11" t="n">
        <v>1.131389812549233</v>
      </c>
      <c r="AF3416" s="16">
        <f>SUMPRODUCT(N3416:Y3416,$N$5:$Y$5)*$K3416*$L3416*$M3416</f>
        <v/>
      </c>
      <c r="AG3416" s="16">
        <f>SUMPRODUCT(N3416:Y3416,$N$6:$Y$6)*$K3416*$L3416*$M3416</f>
        <v/>
      </c>
      <c r="AH3416" s="20" t="n"/>
    </row>
    <row r="3417">
      <c r="A3417" s="9" t="n">
        <v>701121</v>
      </c>
      <c r="B3417" s="9" t="inlineStr">
        <is>
          <t>Logan VanWey</t>
        </is>
      </c>
      <c r="C3417" s="9" t="inlineStr">
        <is>
          <t>HOU</t>
        </is>
      </c>
      <c r="D3417" s="9" t="n">
        <v>28</v>
      </c>
      <c r="E3417" s="18" t="inlineStr">
        <is>
          <t>R</t>
        </is>
      </c>
      <c r="F3417" s="18" t="n"/>
      <c r="G3417" s="9" t="n">
        <v>46</v>
      </c>
      <c r="H3417" s="9" t="n">
        <v>95</v>
      </c>
      <c r="I3417" s="9" t="inlineStr">
        <is>
          <t>Bullpen Depth Arm</t>
        </is>
      </c>
      <c r="J3417" s="18" t="inlineStr">
        <is>
          <t>Opening Day</t>
        </is>
      </c>
      <c r="K3417" s="11">
        <f>IFERROR(INDEX(Roles!$B$17:$B$20,MATCH(J3417,Roles!$A$17:$A$20,0)),1)</f>
        <v/>
      </c>
      <c r="L3417" s="19" t="n">
        <v>1</v>
      </c>
      <c r="M3417" s="11" t="n">
        <v>1</v>
      </c>
      <c r="N3417" s="19" t="n"/>
      <c r="O3417" s="19" t="n"/>
      <c r="P3417" s="19" t="n"/>
      <c r="Q3417" s="19" t="n"/>
      <c r="R3417" s="19" t="n"/>
      <c r="S3417" s="19" t="n"/>
      <c r="T3417" s="19" t="n"/>
      <c r="U3417" s="19" t="n"/>
      <c r="V3417" s="19" t="n">
        <v>0.15</v>
      </c>
      <c r="W3417" s="19" t="n">
        <v>0.85</v>
      </c>
      <c r="X3417" s="19" t="n"/>
      <c r="Y3417" s="19" t="n"/>
      <c r="Z3417" s="13">
        <f>SUMPRODUCT(N3417:Y3417,$N$2:$Y$2)*$K3417*$L3417*$M3417</f>
        <v/>
      </c>
      <c r="AA3417" s="14">
        <f>SUM(N3417:Y3417)</f>
        <v/>
      </c>
      <c r="AB3417" s="13">
        <f>SUMPRODUCT(N3417:Y3417,$N$3:$Y$3)*$K3417*$L3417*$M3417</f>
        <v/>
      </c>
      <c r="AC3417" s="13">
        <f>SUMPRODUCT(N3417:Y3417,$N$4:$Y$4)*$K3417*$L3417*$M3417</f>
        <v/>
      </c>
      <c r="AD3417" s="15" t="n">
        <v>11.42666666666667</v>
      </c>
      <c r="AE3417" s="11" t="n">
        <v>1.213544171877505</v>
      </c>
      <c r="AF3417" s="16">
        <f>SUMPRODUCT(N3417:Y3417,$N$5:$Y$5)*$K3417*$L3417*$M3417</f>
        <v/>
      </c>
      <c r="AG3417" s="16">
        <f>SUMPRODUCT(N3417:Y3417,$N$6:$Y$6)*$K3417*$L3417*$M3417</f>
        <v/>
      </c>
      <c r="AH3417" s="20" t="n"/>
    </row>
    <row r="3418">
      <c r="A3418" s="9" t="n">
        <v>815789</v>
      </c>
      <c r="B3418" s="9" t="inlineStr">
        <is>
          <t>David Shields</t>
        </is>
      </c>
      <c r="C3418" s="9" t="inlineStr">
        <is>
          <t>KC</t>
        </is>
      </c>
      <c r="D3418" s="9" t="n">
        <v>21</v>
      </c>
      <c r="E3418" s="18" t="inlineStr">
        <is>
          <t>L</t>
        </is>
      </c>
      <c r="F3418" s="18" t="n"/>
      <c r="G3418" s="9" t="n">
        <v>100.3333333333333</v>
      </c>
      <c r="H3418" s="9" t="n">
        <v>100.3333333333333</v>
      </c>
      <c r="I3418" s="9" t="inlineStr">
        <is>
          <t>Depth (no MLB IP)</t>
        </is>
      </c>
      <c r="J3418" s="18" t="inlineStr">
        <is>
          <t>Opening Day</t>
        </is>
      </c>
      <c r="K3418" s="11">
        <f>IFERROR(INDEX(Roles!$B$17:$B$20,MATCH(J3418,Roles!$A$17:$A$20,0)),1)</f>
        <v/>
      </c>
      <c r="L3418" s="19" t="n">
        <v>1</v>
      </c>
      <c r="M3418" s="11" t="n">
        <v>1</v>
      </c>
      <c r="N3418" s="19" t="n"/>
      <c r="O3418" s="19" t="n"/>
      <c r="P3418" s="19" t="n"/>
      <c r="Q3418" s="19" t="n"/>
      <c r="R3418" s="19" t="n"/>
      <c r="S3418" s="19" t="n"/>
      <c r="T3418" s="19" t="n"/>
      <c r="U3418" s="19" t="n"/>
      <c r="V3418" s="19" t="n"/>
      <c r="W3418" s="19" t="n"/>
      <c r="X3418" s="19" t="n"/>
      <c r="Y3418" s="19" t="n">
        <v>1</v>
      </c>
      <c r="Z3418" s="13">
        <f>SUMPRODUCT(N3418:Y3418,$N$2:$Y$2)*$K3418*$L3418*$M3418</f>
        <v/>
      </c>
      <c r="AA3418" s="14">
        <f>SUM(N3418:Y3418)</f>
        <v/>
      </c>
      <c r="AB3418" s="13">
        <f>SUMPRODUCT(N3418:Y3418,$N$3:$Y$3)*$K3418*$L3418*$M3418</f>
        <v/>
      </c>
      <c r="AC3418" s="13">
        <f>SUMPRODUCT(N3418:Y3418,$N$4:$Y$4)*$K3418*$L3418*$M3418</f>
        <v/>
      </c>
      <c r="AD3418" s="15" t="n">
        <v>3</v>
      </c>
      <c r="AE3418" s="11" t="n">
        <v>1.011296296296296</v>
      </c>
      <c r="AF3418" s="16">
        <f>SUMPRODUCT(N3418:Y3418,$N$5:$Y$5)*$K3418*$L3418*$M3418</f>
        <v/>
      </c>
      <c r="AG3418" s="16">
        <f>SUMPRODUCT(N3418:Y3418,$N$6:$Y$6)*$K3418*$L3418*$M3418</f>
        <v/>
      </c>
      <c r="AH3418" s="20" t="n"/>
    </row>
    <row r="3419">
      <c r="A3419" s="9" t="n">
        <v>681168</v>
      </c>
      <c r="B3419" s="9" t="inlineStr">
        <is>
          <t>Luis Curvelo</t>
        </is>
      </c>
      <c r="C3419" s="9" t="inlineStr">
        <is>
          <t>TEX</t>
        </is>
      </c>
      <c r="D3419" s="9" t="n">
        <v>26</v>
      </c>
      <c r="E3419" s="18" t="inlineStr">
        <is>
          <t>R</t>
        </is>
      </c>
      <c r="F3419" s="18" t="n"/>
      <c r="G3419" s="9" t="n">
        <v>55</v>
      </c>
      <c r="H3419" s="9" t="n">
        <v>139</v>
      </c>
      <c r="I3419" s="9" t="inlineStr">
        <is>
          <t>Bullpen Depth Arm</t>
        </is>
      </c>
      <c r="J3419" s="18" t="inlineStr">
        <is>
          <t>Opening Day</t>
        </is>
      </c>
      <c r="K3419" s="11">
        <f>IFERROR(INDEX(Roles!$B$17:$B$20,MATCH(J3419,Roles!$A$17:$A$20,0)),1)</f>
        <v/>
      </c>
      <c r="L3419" s="19" t="n">
        <v>1</v>
      </c>
      <c r="M3419" s="11" t="n">
        <v>1</v>
      </c>
      <c r="N3419" s="19" t="n"/>
      <c r="O3419" s="19" t="n"/>
      <c r="P3419" s="19" t="n"/>
      <c r="Q3419" s="19" t="n"/>
      <c r="R3419" s="19" t="n"/>
      <c r="S3419" s="19" t="n"/>
      <c r="T3419" s="19" t="n"/>
      <c r="U3419" s="19" t="n"/>
      <c r="V3419" s="19" t="n"/>
      <c r="W3419" s="19" t="n">
        <v>1</v>
      </c>
      <c r="X3419" s="19" t="n"/>
      <c r="Y3419" s="19" t="n"/>
      <c r="Z3419" s="13">
        <f>SUMPRODUCT(N3419:Y3419,$N$2:$Y$2)*$K3419*$L3419*$M3419</f>
        <v/>
      </c>
      <c r="AA3419" s="14">
        <f>SUM(N3419:Y3419)</f>
        <v/>
      </c>
      <c r="AB3419" s="13">
        <f>SUMPRODUCT(N3419:Y3419,$N$3:$Y$3)*$K3419*$L3419*$M3419</f>
        <v/>
      </c>
      <c r="AC3419" s="13">
        <f>SUMPRODUCT(N3419:Y3419,$N$4:$Y$4)*$K3419*$L3419*$M3419</f>
        <v/>
      </c>
      <c r="AD3419" s="15" t="n">
        <v>12.98666666666666</v>
      </c>
      <c r="AE3419" s="11" t="n">
        <v>1.178556315168337</v>
      </c>
      <c r="AF3419" s="16">
        <f>SUMPRODUCT(N3419:Y3419,$N$5:$Y$5)*$K3419*$L3419*$M3419</f>
        <v/>
      </c>
      <c r="AG3419" s="16">
        <f>SUMPRODUCT(N3419:Y3419,$N$6:$Y$6)*$K3419*$L3419*$M3419</f>
        <v/>
      </c>
      <c r="AH3419" s="20" t="n"/>
    </row>
    <row r="3420">
      <c r="A3420" s="9" t="n">
        <v>621244</v>
      </c>
      <c r="B3420" s="9" t="inlineStr">
        <is>
          <t>José Berríos</t>
        </is>
      </c>
      <c r="C3420" s="9" t="inlineStr">
        <is>
          <t>TOR</t>
        </is>
      </c>
      <c r="D3420" s="9" t="n">
        <v>33</v>
      </c>
      <c r="E3420" s="18" t="inlineStr">
        <is>
          <t>R</t>
        </is>
      </c>
      <c r="F3420" s="18" t="n"/>
      <c r="G3420" s="9" t="n">
        <v>698</v>
      </c>
      <c r="H3420" s="9" t="n">
        <v>3019</v>
      </c>
      <c r="I3420" s="9" t="inlineStr">
        <is>
          <t>Bullpen Depth Arm</t>
        </is>
      </c>
      <c r="J3420" s="18" t="inlineStr">
        <is>
          <t>Opening Day</t>
        </is>
      </c>
      <c r="K3420" s="11">
        <f>IFERROR(INDEX(Roles!$B$17:$B$20,MATCH(J3420,Roles!$A$17:$A$20,0)),1)</f>
        <v/>
      </c>
      <c r="L3420" s="19" t="n">
        <v>1</v>
      </c>
      <c r="M3420" s="11" t="n">
        <v>1</v>
      </c>
      <c r="N3420" s="19" t="n"/>
      <c r="O3420" s="19" t="n"/>
      <c r="P3420" s="19" t="n"/>
      <c r="Q3420" s="19" t="n"/>
      <c r="R3420" s="19" t="n"/>
      <c r="S3420" s="19" t="n"/>
      <c r="T3420" s="19" t="n"/>
      <c r="U3420" s="19" t="n"/>
      <c r="V3420" s="19" t="n"/>
      <c r="W3420" s="19" t="n">
        <v>1</v>
      </c>
      <c r="X3420" s="19" t="n"/>
      <c r="Y3420" s="19" t="n"/>
      <c r="Z3420" s="13">
        <f>SUMPRODUCT(N3420:Y3420,$N$2:$Y$2)*$K3420*$L3420*$M3420</f>
        <v/>
      </c>
      <c r="AA3420" s="14">
        <f>SUM(N3420:Y3420)</f>
        <v/>
      </c>
      <c r="AB3420" s="13">
        <f>SUMPRODUCT(N3420:Y3420,$N$3:$Y$3)*$K3420*$L3420*$M3420</f>
        <v/>
      </c>
      <c r="AC3420" s="13">
        <f>SUMPRODUCT(N3420:Y3420,$N$4:$Y$4)*$K3420*$L3420*$M3420</f>
        <v/>
      </c>
      <c r="AD3420" s="15" t="n">
        <v>24.46666666666667</v>
      </c>
      <c r="AE3420" s="11" t="n">
        <v>2.660845196306189</v>
      </c>
      <c r="AF3420" s="16">
        <f>SUMPRODUCT(N3420:Y3420,$N$5:$Y$5)*$K3420*$L3420*$M3420</f>
        <v/>
      </c>
      <c r="AG3420" s="16">
        <f>SUMPRODUCT(N3420:Y3420,$N$6:$Y$6)*$K3420*$L3420*$M3420</f>
        <v/>
      </c>
      <c r="AH3420" s="20" t="n"/>
    </row>
    <row r="3421">
      <c r="A3421" s="9" t="n">
        <v>695001</v>
      </c>
      <c r="B3421" s="9" t="inlineStr">
        <is>
          <t>Alimber Santa</t>
        </is>
      </c>
      <c r="C3421" s="9" t="inlineStr">
        <is>
          <t>HOU</t>
        </is>
      </c>
      <c r="D3421" s="9" t="n">
        <v>24</v>
      </c>
      <c r="E3421" s="18" t="inlineStr">
        <is>
          <t>R</t>
        </is>
      </c>
      <c r="F3421" s="18" t="n"/>
      <c r="G3421" s="9" t="n">
        <v>59</v>
      </c>
      <c r="H3421" s="9" t="n">
        <v>59</v>
      </c>
      <c r="I3421" s="9" t="inlineStr">
        <is>
          <t>Bullpen Depth Arm</t>
        </is>
      </c>
      <c r="J3421" s="18" t="inlineStr">
        <is>
          <t>Opening Day</t>
        </is>
      </c>
      <c r="K3421" s="11">
        <f>IFERROR(INDEX(Roles!$B$17:$B$20,MATCH(J3421,Roles!$A$17:$A$20,0)),1)</f>
        <v/>
      </c>
      <c r="L3421" s="19" t="n">
        <v>1</v>
      </c>
      <c r="M3421" s="11" t="n">
        <v>1</v>
      </c>
      <c r="N3421" s="19" t="n"/>
      <c r="O3421" s="19" t="n"/>
      <c r="P3421" s="19" t="n"/>
      <c r="Q3421" s="19" t="n"/>
      <c r="R3421" s="19" t="n"/>
      <c r="S3421" s="19" t="n"/>
      <c r="T3421" s="19" t="n"/>
      <c r="U3421" s="19" t="n"/>
      <c r="V3421" s="19" t="n"/>
      <c r="W3421" s="19" t="n">
        <v>1</v>
      </c>
      <c r="X3421" s="19" t="n"/>
      <c r="Y3421" s="19" t="n"/>
      <c r="Z3421" s="13">
        <f>SUMPRODUCT(N3421:Y3421,$N$2:$Y$2)*$K3421*$L3421*$M3421</f>
        <v/>
      </c>
      <c r="AA3421" s="14">
        <f>SUM(N3421:Y3421)</f>
        <v/>
      </c>
      <c r="AB3421" s="13">
        <f>SUMPRODUCT(N3421:Y3421,$N$3:$Y$3)*$K3421*$L3421*$M3421</f>
        <v/>
      </c>
      <c r="AC3421" s="13">
        <f>SUMPRODUCT(N3421:Y3421,$N$4:$Y$4)*$K3421*$L3421*$M3421</f>
        <v/>
      </c>
      <c r="AD3421" s="15" t="n">
        <v>11.66666666666667</v>
      </c>
      <c r="AE3421" s="11" t="n">
        <v>1.312618245951579</v>
      </c>
      <c r="AF3421" s="16">
        <f>SUMPRODUCT(N3421:Y3421,$N$5:$Y$5)*$K3421*$L3421*$M3421</f>
        <v/>
      </c>
      <c r="AG3421" s="16">
        <f>SUMPRODUCT(N3421:Y3421,$N$6:$Y$6)*$K3421*$L3421*$M3421</f>
        <v/>
      </c>
      <c r="AH3421" s="20" t="n"/>
    </row>
    <row r="3422">
      <c r="A3422" s="9" t="n">
        <v>687562</v>
      </c>
      <c r="B3422" s="9" t="inlineStr">
        <is>
          <t>Jake Bennett</t>
        </is>
      </c>
      <c r="C3422" s="9" t="inlineStr">
        <is>
          <t>BOS</t>
        </is>
      </c>
      <c r="D3422" s="9" t="n">
        <v>26</v>
      </c>
      <c r="E3422" s="18" t="inlineStr">
        <is>
          <t>L</t>
        </is>
      </c>
      <c r="F3422" s="18" t="n"/>
      <c r="G3422" s="9" t="n">
        <v>455</v>
      </c>
      <c r="H3422" s="9" t="n">
        <v>455</v>
      </c>
      <c r="I3422" s="9" t="inlineStr">
        <is>
          <t>End-of-Rotation Starter (SP4-5)</t>
        </is>
      </c>
      <c r="J3422" s="18" t="inlineStr">
        <is>
          <t>Opening Day</t>
        </is>
      </c>
      <c r="K3422" s="11">
        <f>IFERROR(INDEX(Roles!$B$17:$B$20,MATCH(J3422,Roles!$A$17:$A$20,0)),1)</f>
        <v/>
      </c>
      <c r="L3422" s="19" t="n">
        <v>1</v>
      </c>
      <c r="M3422" s="11" t="n">
        <v>1</v>
      </c>
      <c r="N3422" s="19" t="n"/>
      <c r="O3422" s="19" t="n"/>
      <c r="P3422" s="19" t="n">
        <v>0.5</v>
      </c>
      <c r="Q3422" s="19" t="n"/>
      <c r="R3422" s="19" t="n">
        <v>0.5</v>
      </c>
      <c r="S3422" s="19" t="n"/>
      <c r="T3422" s="19" t="n"/>
      <c r="U3422" s="19" t="n"/>
      <c r="V3422" s="19" t="n"/>
      <c r="W3422" s="19" t="n"/>
      <c r="X3422" s="19" t="n"/>
      <c r="Y3422" s="19" t="n"/>
      <c r="Z3422" s="13">
        <f>SUMPRODUCT(N3422:Y3422,$N$2:$Y$2)*$K3422*$L3422*$M3422</f>
        <v/>
      </c>
      <c r="AA3422" s="14">
        <f>SUM(N3422:Y3422)</f>
        <v/>
      </c>
      <c r="AB3422" s="13">
        <f>SUMPRODUCT(N3422:Y3422,$N$3:$Y$3)*$K3422*$L3422*$M3422</f>
        <v/>
      </c>
      <c r="AC3422" s="13">
        <f>SUMPRODUCT(N3422:Y3422,$N$4:$Y$4)*$K3422*$L3422*$M3422</f>
        <v/>
      </c>
      <c r="AD3422" s="15" t="n">
        <v>18.4</v>
      </c>
      <c r="AE3422" s="11" t="n">
        <v>4.925925925925926</v>
      </c>
      <c r="AF3422" s="16">
        <f>SUMPRODUCT(N3422:Y3422,$N$5:$Y$5)*$K3422*$L3422*$M3422</f>
        <v/>
      </c>
      <c r="AG3422" s="16">
        <f>SUMPRODUCT(N3422:Y3422,$N$6:$Y$6)*$K3422*$L3422*$M3422</f>
        <v/>
      </c>
      <c r="AH3422" s="20" t="n"/>
    </row>
    <row r="3423">
      <c r="A3423" s="9" t="n">
        <v>607359</v>
      </c>
      <c r="B3423" s="9" t="inlineStr">
        <is>
          <t>Spencer Patton</t>
        </is>
      </c>
      <c r="C3423" s="9" t="inlineStr">
        <is>
          <t>OAK</t>
        </is>
      </c>
      <c r="D3423" s="9" t="n">
        <v>39</v>
      </c>
      <c r="E3423" s="18" t="inlineStr">
        <is>
          <t>R</t>
        </is>
      </c>
      <c r="F3423" s="18" t="n"/>
      <c r="G3423" s="9" t="n">
        <v>55</v>
      </c>
      <c r="H3423" s="9" t="n">
        <v>84</v>
      </c>
      <c r="I3423" s="9" t="inlineStr">
        <is>
          <t>Depth (no MLB IP)</t>
        </is>
      </c>
      <c r="J3423" s="18" t="inlineStr">
        <is>
          <t>Opening Day</t>
        </is>
      </c>
      <c r="K3423" s="11">
        <f>IFERROR(INDEX(Roles!$B$17:$B$20,MATCH(J3423,Roles!$A$17:$A$20,0)),1)</f>
        <v/>
      </c>
      <c r="L3423" s="19" t="n">
        <v>1</v>
      </c>
      <c r="M3423" s="11" t="n">
        <v>1</v>
      </c>
      <c r="N3423" s="19" t="n"/>
      <c r="O3423" s="19" t="n"/>
      <c r="P3423" s="19" t="n"/>
      <c r="Q3423" s="19" t="n"/>
      <c r="R3423" s="19" t="n"/>
      <c r="S3423" s="19" t="n"/>
      <c r="T3423" s="19" t="n"/>
      <c r="U3423" s="19" t="n"/>
      <c r="V3423" s="19" t="n"/>
      <c r="W3423" s="19" t="n"/>
      <c r="X3423" s="19" t="n"/>
      <c r="Y3423" s="19" t="n">
        <v>1</v>
      </c>
      <c r="Z3423" s="13">
        <f>SUMPRODUCT(N3423:Y3423,$N$2:$Y$2)*$K3423*$L3423*$M3423</f>
        <v/>
      </c>
      <c r="AA3423" s="14">
        <f>SUM(N3423:Y3423)</f>
        <v/>
      </c>
      <c r="AB3423" s="13">
        <f>SUMPRODUCT(N3423:Y3423,$N$3:$Y$3)*$K3423*$L3423*$M3423</f>
        <v/>
      </c>
      <c r="AC3423" s="13">
        <f>SUMPRODUCT(N3423:Y3423,$N$4:$Y$4)*$K3423*$L3423*$M3423</f>
        <v/>
      </c>
      <c r="AD3423" s="15" t="n">
        <v>3</v>
      </c>
      <c r="AE3423" s="11" t="n">
        <v>1.011296296296296</v>
      </c>
      <c r="AF3423" s="16">
        <f>SUMPRODUCT(N3423:Y3423,$N$5:$Y$5)*$K3423*$L3423*$M3423</f>
        <v/>
      </c>
      <c r="AG3423" s="16">
        <f>SUMPRODUCT(N3423:Y3423,$N$6:$Y$6)*$K3423*$L3423*$M3423</f>
        <v/>
      </c>
      <c r="AH3423" s="20" t="n"/>
    </row>
    <row r="3424">
      <c r="A3424" s="9" t="n">
        <v>677957</v>
      </c>
      <c r="B3424" s="9" t="inlineStr">
        <is>
          <t>Brandon Neeck</t>
        </is>
      </c>
      <c r="C3424" s="9" t="inlineStr">
        <is>
          <t>PIT</t>
        </is>
      </c>
      <c r="D3424" s="9" t="n">
        <v>25</v>
      </c>
      <c r="E3424" s="18" t="inlineStr">
        <is>
          <t>L</t>
        </is>
      </c>
      <c r="F3424" s="18" t="n"/>
      <c r="G3424" s="9" t="n">
        <v>100.9066666666667</v>
      </c>
      <c r="H3424" s="9" t="n">
        <v>100.9066666666667</v>
      </c>
      <c r="I3424" s="9" t="inlineStr">
        <is>
          <t>Depth (no MLB IP)</t>
        </is>
      </c>
      <c r="J3424" s="18" t="inlineStr">
        <is>
          <t>Opening Day</t>
        </is>
      </c>
      <c r="K3424" s="11">
        <f>IFERROR(INDEX(Roles!$B$17:$B$20,MATCH(J3424,Roles!$A$17:$A$20,0)),1)</f>
        <v/>
      </c>
      <c r="L3424" s="19" t="n">
        <v>1</v>
      </c>
      <c r="M3424" s="11" t="n">
        <v>1</v>
      </c>
      <c r="N3424" s="19" t="n"/>
      <c r="O3424" s="19" t="n"/>
      <c r="P3424" s="19" t="n"/>
      <c r="Q3424" s="19" t="n"/>
      <c r="R3424" s="19" t="n"/>
      <c r="S3424" s="19" t="n"/>
      <c r="T3424" s="19" t="n"/>
      <c r="U3424" s="19" t="n"/>
      <c r="V3424" s="19" t="n"/>
      <c r="W3424" s="19" t="n"/>
      <c r="X3424" s="19" t="n"/>
      <c r="Y3424" s="19" t="n">
        <v>1</v>
      </c>
      <c r="Z3424" s="13">
        <f>SUMPRODUCT(N3424:Y3424,$N$2:$Y$2)*$K3424*$L3424*$M3424</f>
        <v/>
      </c>
      <c r="AA3424" s="14">
        <f>SUM(N3424:Y3424)</f>
        <v/>
      </c>
      <c r="AB3424" s="13">
        <f>SUMPRODUCT(N3424:Y3424,$N$3:$Y$3)*$K3424*$L3424*$M3424</f>
        <v/>
      </c>
      <c r="AC3424" s="13">
        <f>SUMPRODUCT(N3424:Y3424,$N$4:$Y$4)*$K3424*$L3424*$M3424</f>
        <v/>
      </c>
      <c r="AD3424" s="15" t="n">
        <v>3</v>
      </c>
      <c r="AE3424" s="11" t="n">
        <v>1.011296296296296</v>
      </c>
      <c r="AF3424" s="16">
        <f>SUMPRODUCT(N3424:Y3424,$N$5:$Y$5)*$K3424*$L3424*$M3424</f>
        <v/>
      </c>
      <c r="AG3424" s="16">
        <f>SUMPRODUCT(N3424:Y3424,$N$6:$Y$6)*$K3424*$L3424*$M3424</f>
        <v/>
      </c>
      <c r="AH3424" s="20" t="n"/>
    </row>
    <row r="3425">
      <c r="A3425" s="9" t="n">
        <v>805723</v>
      </c>
      <c r="B3425" s="9" t="inlineStr">
        <is>
          <t>Jared Lyons</t>
        </is>
      </c>
      <c r="C3425" s="9" t="inlineStr">
        <is>
          <t>CIN</t>
        </is>
      </c>
      <c r="D3425" s="9" t="n">
        <v>25</v>
      </c>
      <c r="E3425" s="18" t="inlineStr">
        <is>
          <t>R</t>
        </is>
      </c>
      <c r="F3425" s="18" t="n"/>
      <c r="G3425" s="9" t="n">
        <v>100.9066666666667</v>
      </c>
      <c r="H3425" s="9" t="n">
        <v>100.9066666666667</v>
      </c>
      <c r="I3425" s="9" t="inlineStr">
        <is>
          <t>Depth (no MLB IP)</t>
        </is>
      </c>
      <c r="J3425" s="18" t="inlineStr">
        <is>
          <t>Opening Day</t>
        </is>
      </c>
      <c r="K3425" s="11">
        <f>IFERROR(INDEX(Roles!$B$17:$B$20,MATCH(J3425,Roles!$A$17:$A$20,0)),1)</f>
        <v/>
      </c>
      <c r="L3425" s="19" t="n">
        <v>1</v>
      </c>
      <c r="M3425" s="11" t="n">
        <v>1</v>
      </c>
      <c r="N3425" s="19" t="n"/>
      <c r="O3425" s="19" t="n"/>
      <c r="P3425" s="19" t="n"/>
      <c r="Q3425" s="19" t="n"/>
      <c r="R3425" s="19" t="n"/>
      <c r="S3425" s="19" t="n"/>
      <c r="T3425" s="19" t="n"/>
      <c r="U3425" s="19" t="n"/>
      <c r="V3425" s="19" t="n"/>
      <c r="W3425" s="19" t="n"/>
      <c r="X3425" s="19" t="n"/>
      <c r="Y3425" s="19" t="n">
        <v>1</v>
      </c>
      <c r="Z3425" s="13">
        <f>SUMPRODUCT(N3425:Y3425,$N$2:$Y$2)*$K3425*$L3425*$M3425</f>
        <v/>
      </c>
      <c r="AA3425" s="14">
        <f>SUM(N3425:Y3425)</f>
        <v/>
      </c>
      <c r="AB3425" s="13">
        <f>SUMPRODUCT(N3425:Y3425,$N$3:$Y$3)*$K3425*$L3425*$M3425</f>
        <v/>
      </c>
      <c r="AC3425" s="13">
        <f>SUMPRODUCT(N3425:Y3425,$N$4:$Y$4)*$K3425*$L3425*$M3425</f>
        <v/>
      </c>
      <c r="AD3425" s="15" t="n">
        <v>3</v>
      </c>
      <c r="AE3425" s="11" t="n">
        <v>1.011296296296296</v>
      </c>
      <c r="AF3425" s="16">
        <f>SUMPRODUCT(N3425:Y3425,$N$5:$Y$5)*$K3425*$L3425*$M3425</f>
        <v/>
      </c>
      <c r="AG3425" s="16">
        <f>SUMPRODUCT(N3425:Y3425,$N$6:$Y$6)*$K3425*$L3425*$M3425</f>
        <v/>
      </c>
      <c r="AH3425" s="20" t="n"/>
    </row>
    <row r="3426">
      <c r="A3426" s="9" t="n">
        <v>680970</v>
      </c>
      <c r="B3426" s="9" t="inlineStr">
        <is>
          <t>Andrew Pérez</t>
        </is>
      </c>
      <c r="C3426" s="9" t="inlineStr">
        <is>
          <t>KC</t>
        </is>
      </c>
      <c r="D3426" s="9" t="n">
        <v>25</v>
      </c>
      <c r="E3426" s="18" t="inlineStr">
        <is>
          <t>L</t>
        </is>
      </c>
      <c r="F3426" s="18" t="n"/>
      <c r="G3426" s="9" t="n">
        <v>100.9066666666667</v>
      </c>
      <c r="H3426" s="9" t="n">
        <v>100.9066666666667</v>
      </c>
      <c r="I3426" s="9" t="inlineStr">
        <is>
          <t>Depth (no MLB IP)</t>
        </is>
      </c>
      <c r="J3426" s="18" t="inlineStr">
        <is>
          <t>Opening Day</t>
        </is>
      </c>
      <c r="K3426" s="11">
        <f>IFERROR(INDEX(Roles!$B$17:$B$20,MATCH(J3426,Roles!$A$17:$A$20,0)),1)</f>
        <v/>
      </c>
      <c r="L3426" s="19" t="n">
        <v>1</v>
      </c>
      <c r="M3426" s="11" t="n">
        <v>1</v>
      </c>
      <c r="N3426" s="19" t="n"/>
      <c r="O3426" s="19" t="n"/>
      <c r="P3426" s="19" t="n"/>
      <c r="Q3426" s="19" t="n"/>
      <c r="R3426" s="19" t="n"/>
      <c r="S3426" s="19" t="n"/>
      <c r="T3426" s="19" t="n"/>
      <c r="U3426" s="19" t="n"/>
      <c r="V3426" s="19" t="n"/>
      <c r="W3426" s="19" t="n"/>
      <c r="X3426" s="19" t="n"/>
      <c r="Y3426" s="19" t="n">
        <v>1</v>
      </c>
      <c r="Z3426" s="13">
        <f>SUMPRODUCT(N3426:Y3426,$N$2:$Y$2)*$K3426*$L3426*$M3426</f>
        <v/>
      </c>
      <c r="AA3426" s="14">
        <f>SUM(N3426:Y3426)</f>
        <v/>
      </c>
      <c r="AB3426" s="13">
        <f>SUMPRODUCT(N3426:Y3426,$N$3:$Y$3)*$K3426*$L3426*$M3426</f>
        <v/>
      </c>
      <c r="AC3426" s="13">
        <f>SUMPRODUCT(N3426:Y3426,$N$4:$Y$4)*$K3426*$L3426*$M3426</f>
        <v/>
      </c>
      <c r="AD3426" s="15" t="n">
        <v>3</v>
      </c>
      <c r="AE3426" s="11" t="n">
        <v>1.011296296296296</v>
      </c>
      <c r="AF3426" s="16">
        <f>SUMPRODUCT(N3426:Y3426,$N$5:$Y$5)*$K3426*$L3426*$M3426</f>
        <v/>
      </c>
      <c r="AG3426" s="16">
        <f>SUMPRODUCT(N3426:Y3426,$N$6:$Y$6)*$K3426*$L3426*$M3426</f>
        <v/>
      </c>
      <c r="AH3426" s="20" t="n"/>
    </row>
    <row r="3427">
      <c r="A3427" s="9" t="n">
        <v>641540</v>
      </c>
      <c r="B3427" s="9" t="inlineStr">
        <is>
          <t>Dane Dunning</t>
        </is>
      </c>
      <c r="C3427" s="9" t="inlineStr">
        <is>
          <t>ATL</t>
        </is>
      </c>
      <c r="D3427" s="9" t="n">
        <v>32</v>
      </c>
      <c r="E3427" s="18" t="inlineStr">
        <is>
          <t>R</t>
        </is>
      </c>
      <c r="F3427" s="18" t="n"/>
      <c r="G3427" s="9" t="n">
        <v>95</v>
      </c>
      <c r="H3427" s="9" t="n">
        <v>1909</v>
      </c>
      <c r="I3427" s="9" t="inlineStr">
        <is>
          <t>Bullpen Depth Arm</t>
        </is>
      </c>
      <c r="J3427" s="18" t="inlineStr">
        <is>
          <t>Opening Day</t>
        </is>
      </c>
      <c r="K3427" s="11">
        <f>IFERROR(INDEX(Roles!$B$17:$B$20,MATCH(J3427,Roles!$A$17:$A$20,0)),1)</f>
        <v/>
      </c>
      <c r="L3427" s="19" t="n">
        <v>1</v>
      </c>
      <c r="M3427" s="11" t="n">
        <v>1</v>
      </c>
      <c r="N3427" s="19" t="n"/>
      <c r="O3427" s="19" t="n"/>
      <c r="P3427" s="19" t="n"/>
      <c r="Q3427" s="19" t="n"/>
      <c r="R3427" s="19" t="n"/>
      <c r="S3427" s="19" t="n"/>
      <c r="T3427" s="19" t="n"/>
      <c r="U3427" s="19" t="n"/>
      <c r="V3427" s="19" t="n"/>
      <c r="W3427" s="19" t="n">
        <v>1</v>
      </c>
      <c r="X3427" s="19" t="n"/>
      <c r="Y3427" s="19" t="n"/>
      <c r="Z3427" s="13">
        <f>SUMPRODUCT(N3427:Y3427,$N$2:$Y$2)*$K3427*$L3427*$M3427</f>
        <v/>
      </c>
      <c r="AA3427" s="14">
        <f>SUM(N3427:Y3427)</f>
        <v/>
      </c>
      <c r="AB3427" s="13">
        <f>SUMPRODUCT(N3427:Y3427,$N$3:$Y$3)*$K3427*$L3427*$M3427</f>
        <v/>
      </c>
      <c r="AC3427" s="13">
        <f>SUMPRODUCT(N3427:Y3427,$N$4:$Y$4)*$K3427*$L3427*$M3427</f>
        <v/>
      </c>
      <c r="AD3427" s="15" t="n">
        <v>15.66666666666667</v>
      </c>
      <c r="AE3427" s="11" t="n">
        <v>1.710396023729357</v>
      </c>
      <c r="AF3427" s="16">
        <f>SUMPRODUCT(N3427:Y3427,$N$5:$Y$5)*$K3427*$L3427*$M3427</f>
        <v/>
      </c>
      <c r="AG3427" s="16">
        <f>SUMPRODUCT(N3427:Y3427,$N$6:$Y$6)*$K3427*$L3427*$M3427</f>
        <v/>
      </c>
      <c r="AH3427" s="20" t="n"/>
    </row>
    <row r="3428">
      <c r="A3428" s="9" t="n">
        <v>472610</v>
      </c>
      <c r="B3428" s="9" t="inlineStr">
        <is>
          <t>Luis García</t>
        </is>
      </c>
      <c r="C3428" s="9" t="inlineStr">
        <is>
          <t>MIN</t>
        </is>
      </c>
      <c r="D3428" s="9" t="n">
        <v>40</v>
      </c>
      <c r="E3428" s="18" t="inlineStr">
        <is>
          <t>R</t>
        </is>
      </c>
      <c r="F3428" s="18" t="n"/>
      <c r="G3428" s="9" t="n">
        <v>74</v>
      </c>
      <c r="H3428" s="9" t="n">
        <v>1087</v>
      </c>
      <c r="I3428" s="9" t="inlineStr">
        <is>
          <t>Bullpen Depth Arm</t>
        </is>
      </c>
      <c r="J3428" s="18" t="inlineStr">
        <is>
          <t>Opening Day</t>
        </is>
      </c>
      <c r="K3428" s="11">
        <f>IFERROR(INDEX(Roles!$B$17:$B$20,MATCH(J3428,Roles!$A$17:$A$20,0)),1)</f>
        <v/>
      </c>
      <c r="L3428" s="19" t="n">
        <v>1</v>
      </c>
      <c r="M3428" s="11" t="n">
        <v>1</v>
      </c>
      <c r="N3428" s="19" t="n"/>
      <c r="O3428" s="19" t="n"/>
      <c r="P3428" s="19" t="n"/>
      <c r="Q3428" s="19" t="n"/>
      <c r="R3428" s="19" t="n"/>
      <c r="S3428" s="19" t="n"/>
      <c r="T3428" s="19" t="n"/>
      <c r="U3428" s="19" t="n"/>
      <c r="V3428" s="19" t="n"/>
      <c r="W3428" s="19" t="n">
        <v>1</v>
      </c>
      <c r="X3428" s="19" t="n"/>
      <c r="Y3428" s="19" t="n"/>
      <c r="Z3428" s="13">
        <f>SUMPRODUCT(N3428:Y3428,$N$2:$Y$2)*$K3428*$L3428*$M3428</f>
        <v/>
      </c>
      <c r="AA3428" s="14">
        <f>SUM(N3428:Y3428)</f>
        <v/>
      </c>
      <c r="AB3428" s="13">
        <f>SUMPRODUCT(N3428:Y3428,$N$3:$Y$3)*$K3428*$L3428*$M3428</f>
        <v/>
      </c>
      <c r="AC3428" s="13">
        <f>SUMPRODUCT(N3428:Y3428,$N$4:$Y$4)*$K3428*$L3428*$M3428</f>
        <v/>
      </c>
      <c r="AD3428" s="15" t="n">
        <v>27.76666666666667</v>
      </c>
      <c r="AE3428" s="11" t="n">
        <v>1.125287929209498</v>
      </c>
      <c r="AF3428" s="16">
        <f>SUMPRODUCT(N3428:Y3428,$N$5:$Y$5)*$K3428*$L3428*$M3428</f>
        <v/>
      </c>
      <c r="AG3428" s="16">
        <f>SUMPRODUCT(N3428:Y3428,$N$6:$Y$6)*$K3428*$L3428*$M3428</f>
        <v/>
      </c>
      <c r="AH3428" s="20" t="n"/>
    </row>
    <row r="3429">
      <c r="A3429" s="9" t="n">
        <v>621366</v>
      </c>
      <c r="B3429" s="9" t="inlineStr">
        <is>
          <t>Ryan Borucki</t>
        </is>
      </c>
      <c r="C3429" s="9" t="inlineStr">
        <is>
          <t>SF</t>
        </is>
      </c>
      <c r="D3429" s="9" t="n">
        <v>33</v>
      </c>
      <c r="E3429" s="18" t="inlineStr">
        <is>
          <t>L</t>
        </is>
      </c>
      <c r="F3429" s="18" t="n"/>
      <c r="G3429" s="9" t="n">
        <v>104</v>
      </c>
      <c r="H3429" s="9" t="n">
        <v>563</v>
      </c>
      <c r="I3429" s="9" t="inlineStr">
        <is>
          <t>Bullpen Depth Arm</t>
        </is>
      </c>
      <c r="J3429" s="18" t="inlineStr">
        <is>
          <t>Opening Day</t>
        </is>
      </c>
      <c r="K3429" s="11">
        <f>IFERROR(INDEX(Roles!$B$17:$B$20,MATCH(J3429,Roles!$A$17:$A$20,0)),1)</f>
        <v/>
      </c>
      <c r="L3429" s="19" t="n">
        <v>1</v>
      </c>
      <c r="M3429" s="11" t="n">
        <v>1</v>
      </c>
      <c r="N3429" s="19" t="n"/>
      <c r="O3429" s="19" t="n"/>
      <c r="P3429" s="19" t="n"/>
      <c r="Q3429" s="19" t="n"/>
      <c r="R3429" s="19" t="n"/>
      <c r="S3429" s="19" t="n"/>
      <c r="T3429" s="19" t="n"/>
      <c r="U3429" s="19" t="n"/>
      <c r="V3429" s="19" t="n"/>
      <c r="W3429" s="19" t="n">
        <v>1</v>
      </c>
      <c r="X3429" s="19" t="n"/>
      <c r="Y3429" s="19" t="n"/>
      <c r="Z3429" s="13">
        <f>SUMPRODUCT(N3429:Y3429,$N$2:$Y$2)*$K3429*$L3429*$M3429</f>
        <v/>
      </c>
      <c r="AA3429" s="14">
        <f>SUM(N3429:Y3429)</f>
        <v/>
      </c>
      <c r="AB3429" s="13">
        <f>SUMPRODUCT(N3429:Y3429,$N$3:$Y$3)*$K3429*$L3429*$M3429</f>
        <v/>
      </c>
      <c r="AC3429" s="13">
        <f>SUMPRODUCT(N3429:Y3429,$N$4:$Y$4)*$K3429*$L3429*$M3429</f>
        <v/>
      </c>
      <c r="AD3429" s="15" t="n">
        <v>21.16666666666666</v>
      </c>
      <c r="AE3429" s="11" t="n">
        <v>1.128388855270576</v>
      </c>
      <c r="AF3429" s="16">
        <f>SUMPRODUCT(N3429:Y3429,$N$5:$Y$5)*$K3429*$L3429*$M3429</f>
        <v/>
      </c>
      <c r="AG3429" s="16">
        <f>SUMPRODUCT(N3429:Y3429,$N$6:$Y$6)*$K3429*$L3429*$M3429</f>
        <v/>
      </c>
      <c r="AH3429" s="20" t="n"/>
    </row>
    <row r="3430">
      <c r="A3430" s="9" t="n">
        <v>656240</v>
      </c>
      <c r="B3430" s="9" t="inlineStr">
        <is>
          <t>Scott Blewett</t>
        </is>
      </c>
      <c r="C3430" s="9" t="inlineStr">
        <is>
          <t>OAK</t>
        </is>
      </c>
      <c r="D3430" s="9" t="n">
        <v>31</v>
      </c>
      <c r="E3430" s="18" t="inlineStr">
        <is>
          <t>R</t>
        </is>
      </c>
      <c r="F3430" s="18" t="n"/>
      <c r="G3430" s="9" t="n">
        <v>160</v>
      </c>
      <c r="H3430" s="9" t="n">
        <v>439</v>
      </c>
      <c r="I3430" s="9" t="inlineStr">
        <is>
          <t>Swing Arm / Long Relief</t>
        </is>
      </c>
      <c r="J3430" s="18" t="inlineStr">
        <is>
          <t>Opening Day</t>
        </is>
      </c>
      <c r="K3430" s="11">
        <f>IFERROR(INDEX(Roles!$B$17:$B$20,MATCH(J3430,Roles!$A$17:$A$20,0)),1)</f>
        <v/>
      </c>
      <c r="L3430" s="19" t="n">
        <v>1</v>
      </c>
      <c r="M3430" s="11" t="n">
        <v>1</v>
      </c>
      <c r="N3430" s="19" t="n"/>
      <c r="O3430" s="19" t="n"/>
      <c r="P3430" s="19" t="n"/>
      <c r="Q3430" s="19" t="n"/>
      <c r="R3430" s="19" t="n">
        <v>0.6</v>
      </c>
      <c r="S3430" s="19" t="n"/>
      <c r="T3430" s="19" t="n"/>
      <c r="U3430" s="19" t="n">
        <v>0.4</v>
      </c>
      <c r="V3430" s="19" t="n"/>
      <c r="W3430" s="19" t="n"/>
      <c r="X3430" s="19" t="n"/>
      <c r="Y3430" s="19" t="n"/>
      <c r="Z3430" s="13">
        <f>SUMPRODUCT(N3430:Y3430,$N$2:$Y$2)*$K3430*$L3430*$M3430</f>
        <v/>
      </c>
      <c r="AA3430" s="14">
        <f>SUM(N3430:Y3430)</f>
        <v/>
      </c>
      <c r="AB3430" s="13">
        <f>SUMPRODUCT(N3430:Y3430,$N$3:$Y$3)*$K3430*$L3430*$M3430</f>
        <v/>
      </c>
      <c r="AC3430" s="13">
        <f>SUMPRODUCT(N3430:Y3430,$N$4:$Y$4)*$K3430*$L3430*$M3430</f>
        <v/>
      </c>
      <c r="AD3430" s="15" t="n">
        <v>22.33333333333333</v>
      </c>
      <c r="AE3430" s="11" t="n">
        <v>2.187267503014444</v>
      </c>
      <c r="AF3430" s="16">
        <f>SUMPRODUCT(N3430:Y3430,$N$5:$Y$5)*$K3430*$L3430*$M3430</f>
        <v/>
      </c>
      <c r="AG3430" s="16">
        <f>SUMPRODUCT(N3430:Y3430,$N$6:$Y$6)*$K3430*$L3430*$M3430</f>
        <v/>
      </c>
      <c r="AH3430" s="20" t="n"/>
    </row>
    <row r="3431">
      <c r="A3431" s="9" t="n">
        <v>476594</v>
      </c>
      <c r="B3431" s="9" t="inlineStr">
        <is>
          <t>Robert Stock</t>
        </is>
      </c>
      <c r="C3431" s="9" t="inlineStr">
        <is>
          <t>NYM</t>
        </is>
      </c>
      <c r="D3431" s="9" t="n">
        <v>37</v>
      </c>
      <c r="E3431" s="18" t="inlineStr">
        <is>
          <t>R</t>
        </is>
      </c>
      <c r="F3431" s="18" t="n"/>
      <c r="G3431" s="9" t="n">
        <v>147</v>
      </c>
      <c r="H3431" s="9" t="n">
        <v>162</v>
      </c>
      <c r="I3431" s="9" t="inlineStr">
        <is>
          <t>Swing Arm / Long Relief</t>
        </is>
      </c>
      <c r="J3431" s="18" t="inlineStr">
        <is>
          <t>Opening Day</t>
        </is>
      </c>
      <c r="K3431" s="11">
        <f>IFERROR(INDEX(Roles!$B$17:$B$20,MATCH(J3431,Roles!$A$17:$A$20,0)),1)</f>
        <v/>
      </c>
      <c r="L3431" s="19" t="n">
        <v>1</v>
      </c>
      <c r="M3431" s="11" t="n">
        <v>1</v>
      </c>
      <c r="N3431" s="19" t="n"/>
      <c r="O3431" s="19" t="n"/>
      <c r="P3431" s="19" t="n"/>
      <c r="Q3431" s="19" t="n"/>
      <c r="R3431" s="19" t="n">
        <v>0.5</v>
      </c>
      <c r="S3431" s="19" t="n"/>
      <c r="T3431" s="19" t="n"/>
      <c r="U3431" s="19" t="n"/>
      <c r="V3431" s="19" t="n">
        <v>0.5</v>
      </c>
      <c r="W3431" s="19" t="n"/>
      <c r="X3431" s="19" t="n"/>
      <c r="Y3431" s="19" t="n"/>
      <c r="Z3431" s="13">
        <f>SUMPRODUCT(N3431:Y3431,$N$2:$Y$2)*$K3431*$L3431*$M3431</f>
        <v/>
      </c>
      <c r="AA3431" s="14">
        <f>SUM(N3431:Y3431)</f>
        <v/>
      </c>
      <c r="AB3431" s="13">
        <f>SUMPRODUCT(N3431:Y3431,$N$3:$Y$3)*$K3431*$L3431*$M3431</f>
        <v/>
      </c>
      <c r="AC3431" s="13">
        <f>SUMPRODUCT(N3431:Y3431,$N$4:$Y$4)*$K3431*$L3431*$M3431</f>
        <v/>
      </c>
      <c r="AD3431" s="15" t="n">
        <v>11.49333333333333</v>
      </c>
      <c r="AE3431" s="11" t="n">
        <v>2.815313557116836</v>
      </c>
      <c r="AF3431" s="16">
        <f>SUMPRODUCT(N3431:Y3431,$N$5:$Y$5)*$K3431*$L3431*$M3431</f>
        <v/>
      </c>
      <c r="AG3431" s="16">
        <f>SUMPRODUCT(N3431:Y3431,$N$6:$Y$6)*$K3431*$L3431*$M3431</f>
        <v/>
      </c>
      <c r="AH3431" s="20" t="n"/>
    </row>
    <row r="3432">
      <c r="A3432" s="9" t="n">
        <v>544727</v>
      </c>
      <c r="B3432" s="9" t="inlineStr">
        <is>
          <t>Jeurys Familia</t>
        </is>
      </c>
      <c r="C3432" s="9" t="inlineStr">
        <is>
          <t>OAK</t>
        </is>
      </c>
      <c r="D3432" s="9" t="n">
        <v>37</v>
      </c>
      <c r="E3432" s="18" t="inlineStr">
        <is>
          <t>R</t>
        </is>
      </c>
      <c r="F3432" s="18" t="n"/>
      <c r="G3432" s="9" t="n">
        <v>64</v>
      </c>
      <c r="H3432" s="9" t="n">
        <v>268</v>
      </c>
      <c r="I3432" s="9" t="inlineStr">
        <is>
          <t>Depth (no MLB IP)</t>
        </is>
      </c>
      <c r="J3432" s="18" t="inlineStr">
        <is>
          <t>Opening Day</t>
        </is>
      </c>
      <c r="K3432" s="11">
        <f>IFERROR(INDEX(Roles!$B$17:$B$20,MATCH(J3432,Roles!$A$17:$A$20,0)),1)</f>
        <v/>
      </c>
      <c r="L3432" s="19" t="n">
        <v>1</v>
      </c>
      <c r="M3432" s="11" t="n">
        <v>1</v>
      </c>
      <c r="N3432" s="19" t="n"/>
      <c r="O3432" s="19" t="n"/>
      <c r="P3432" s="19" t="n"/>
      <c r="Q3432" s="19" t="n"/>
      <c r="R3432" s="19" t="n"/>
      <c r="S3432" s="19" t="n"/>
      <c r="T3432" s="19" t="n"/>
      <c r="U3432" s="19" t="n"/>
      <c r="V3432" s="19" t="n"/>
      <c r="W3432" s="19" t="n"/>
      <c r="X3432" s="19" t="n"/>
      <c r="Y3432" s="19" t="n">
        <v>1</v>
      </c>
      <c r="Z3432" s="13">
        <f>SUMPRODUCT(N3432:Y3432,$N$2:$Y$2)*$K3432*$L3432*$M3432</f>
        <v/>
      </c>
      <c r="AA3432" s="14">
        <f>SUM(N3432:Y3432)</f>
        <v/>
      </c>
      <c r="AB3432" s="13">
        <f>SUMPRODUCT(N3432:Y3432,$N$3:$Y$3)*$K3432*$L3432*$M3432</f>
        <v/>
      </c>
      <c r="AC3432" s="13">
        <f>SUMPRODUCT(N3432:Y3432,$N$4:$Y$4)*$K3432*$L3432*$M3432</f>
        <v/>
      </c>
      <c r="AD3432" s="15" t="n">
        <v>3</v>
      </c>
      <c r="AE3432" s="11" t="n">
        <v>1.011296296296296</v>
      </c>
      <c r="AF3432" s="16">
        <f>SUMPRODUCT(N3432:Y3432,$N$5:$Y$5)*$K3432*$L3432*$M3432</f>
        <v/>
      </c>
      <c r="AG3432" s="16">
        <f>SUMPRODUCT(N3432:Y3432,$N$6:$Y$6)*$K3432*$L3432*$M3432</f>
        <v/>
      </c>
      <c r="AH3432" s="20" t="n"/>
    </row>
    <row r="3433">
      <c r="A3433" s="9" t="n">
        <v>682981</v>
      </c>
      <c r="B3433" s="9" t="inlineStr">
        <is>
          <t>Derek Diamond</t>
        </is>
      </c>
      <c r="C3433" s="9" t="inlineStr">
        <is>
          <t>PIT</t>
        </is>
      </c>
      <c r="D3433" s="9" t="n">
        <v>25</v>
      </c>
      <c r="E3433" s="18" t="inlineStr">
        <is>
          <t>R</t>
        </is>
      </c>
      <c r="F3433" s="18" t="n"/>
      <c r="G3433" s="9" t="n">
        <v>101.695</v>
      </c>
      <c r="H3433" s="9" t="n">
        <v>101.695</v>
      </c>
      <c r="I3433" s="9" t="inlineStr">
        <is>
          <t>Depth (no MLB IP)</t>
        </is>
      </c>
      <c r="J3433" s="18" t="inlineStr">
        <is>
          <t>Opening Day</t>
        </is>
      </c>
      <c r="K3433" s="11">
        <f>IFERROR(INDEX(Roles!$B$17:$B$20,MATCH(J3433,Roles!$A$17:$A$20,0)),1)</f>
        <v/>
      </c>
      <c r="L3433" s="19" t="n">
        <v>1</v>
      </c>
      <c r="M3433" s="11" t="n">
        <v>1</v>
      </c>
      <c r="N3433" s="19" t="n"/>
      <c r="O3433" s="19" t="n"/>
      <c r="P3433" s="19" t="n"/>
      <c r="Q3433" s="19" t="n"/>
      <c r="R3433" s="19" t="n"/>
      <c r="S3433" s="19" t="n"/>
      <c r="T3433" s="19" t="n"/>
      <c r="U3433" s="19" t="n"/>
      <c r="V3433" s="19" t="n"/>
      <c r="W3433" s="19" t="n"/>
      <c r="X3433" s="19" t="n"/>
      <c r="Y3433" s="19" t="n">
        <v>1</v>
      </c>
      <c r="Z3433" s="13">
        <f>SUMPRODUCT(N3433:Y3433,$N$2:$Y$2)*$K3433*$L3433*$M3433</f>
        <v/>
      </c>
      <c r="AA3433" s="14">
        <f>SUM(N3433:Y3433)</f>
        <v/>
      </c>
      <c r="AB3433" s="13">
        <f>SUMPRODUCT(N3433:Y3433,$N$3:$Y$3)*$K3433*$L3433*$M3433</f>
        <v/>
      </c>
      <c r="AC3433" s="13">
        <f>SUMPRODUCT(N3433:Y3433,$N$4:$Y$4)*$K3433*$L3433*$M3433</f>
        <v/>
      </c>
      <c r="AD3433" s="15" t="n">
        <v>3</v>
      </c>
      <c r="AE3433" s="11" t="n">
        <v>1.011296296296296</v>
      </c>
      <c r="AF3433" s="16">
        <f>SUMPRODUCT(N3433:Y3433,$N$5:$Y$5)*$K3433*$L3433*$M3433</f>
        <v/>
      </c>
      <c r="AG3433" s="16">
        <f>SUMPRODUCT(N3433:Y3433,$N$6:$Y$6)*$K3433*$L3433*$M3433</f>
        <v/>
      </c>
      <c r="AH3433" s="20" t="n"/>
    </row>
    <row r="3434">
      <c r="A3434" s="9" t="n">
        <v>680724</v>
      </c>
      <c r="B3434" s="9" t="inlineStr">
        <is>
          <t>Tyler Ras</t>
        </is>
      </c>
      <c r="C3434" s="9" t="inlineStr">
        <is>
          <t>CHC</t>
        </is>
      </c>
      <c r="D3434" s="9" t="n">
        <v>25</v>
      </c>
      <c r="E3434" s="18" t="inlineStr">
        <is>
          <t>R</t>
        </is>
      </c>
      <c r="F3434" s="18" t="n"/>
      <c r="G3434" s="9" t="n">
        <v>101.8383333333333</v>
      </c>
      <c r="H3434" s="9" t="n">
        <v>101.8383333333333</v>
      </c>
      <c r="I3434" s="9" t="inlineStr">
        <is>
          <t>Depth (no MLB IP)</t>
        </is>
      </c>
      <c r="J3434" s="18" t="inlineStr">
        <is>
          <t>Opening Day</t>
        </is>
      </c>
      <c r="K3434" s="11">
        <f>IFERROR(INDEX(Roles!$B$17:$B$20,MATCH(J3434,Roles!$A$17:$A$20,0)),1)</f>
        <v/>
      </c>
      <c r="L3434" s="19" t="n">
        <v>1</v>
      </c>
      <c r="M3434" s="11" t="n">
        <v>1</v>
      </c>
      <c r="N3434" s="19" t="n"/>
      <c r="O3434" s="19" t="n"/>
      <c r="P3434" s="19" t="n"/>
      <c r="Q3434" s="19" t="n"/>
      <c r="R3434" s="19" t="n"/>
      <c r="S3434" s="19" t="n"/>
      <c r="T3434" s="19" t="n"/>
      <c r="U3434" s="19" t="n"/>
      <c r="V3434" s="19" t="n"/>
      <c r="W3434" s="19" t="n"/>
      <c r="X3434" s="19" t="n"/>
      <c r="Y3434" s="19" t="n">
        <v>1</v>
      </c>
      <c r="Z3434" s="13">
        <f>SUMPRODUCT(N3434:Y3434,$N$2:$Y$2)*$K3434*$L3434*$M3434</f>
        <v/>
      </c>
      <c r="AA3434" s="14">
        <f>SUM(N3434:Y3434)</f>
        <v/>
      </c>
      <c r="AB3434" s="13">
        <f>SUMPRODUCT(N3434:Y3434,$N$3:$Y$3)*$K3434*$L3434*$M3434</f>
        <v/>
      </c>
      <c r="AC3434" s="13">
        <f>SUMPRODUCT(N3434:Y3434,$N$4:$Y$4)*$K3434*$L3434*$M3434</f>
        <v/>
      </c>
      <c r="AD3434" s="15" t="n">
        <v>3</v>
      </c>
      <c r="AE3434" s="11" t="n">
        <v>1.011296296296296</v>
      </c>
      <c r="AF3434" s="16">
        <f>SUMPRODUCT(N3434:Y3434,$N$5:$Y$5)*$K3434*$L3434*$M3434</f>
        <v/>
      </c>
      <c r="AG3434" s="16">
        <f>SUMPRODUCT(N3434:Y3434,$N$6:$Y$6)*$K3434*$L3434*$M3434</f>
        <v/>
      </c>
      <c r="AH3434" s="20" t="n"/>
    </row>
    <row r="3435">
      <c r="A3435" s="9" t="n">
        <v>666364</v>
      </c>
      <c r="B3435" s="9" t="inlineStr">
        <is>
          <t>Jordan Balazovic</t>
        </is>
      </c>
      <c r="C3435" s="9" t="inlineStr">
        <is>
          <t>MIN</t>
        </is>
      </c>
      <c r="D3435" s="9" t="n">
        <v>28</v>
      </c>
      <c r="E3435" s="18" t="inlineStr">
        <is>
          <t>R</t>
        </is>
      </c>
      <c r="F3435" s="18" t="n"/>
      <c r="G3435" s="9" t="n">
        <v>108</v>
      </c>
      <c r="H3435" s="9" t="n">
        <v>108</v>
      </c>
      <c r="I3435" s="9" t="inlineStr">
        <is>
          <t>Depth (no MLB IP)</t>
        </is>
      </c>
      <c r="J3435" s="18" t="inlineStr">
        <is>
          <t>Opening Day</t>
        </is>
      </c>
      <c r="K3435" s="11">
        <f>IFERROR(INDEX(Roles!$B$17:$B$20,MATCH(J3435,Roles!$A$17:$A$20,0)),1)</f>
        <v/>
      </c>
      <c r="L3435" s="19" t="n">
        <v>1</v>
      </c>
      <c r="M3435" s="11" t="n">
        <v>1</v>
      </c>
      <c r="N3435" s="19" t="n"/>
      <c r="O3435" s="19" t="n"/>
      <c r="P3435" s="19" t="n"/>
      <c r="Q3435" s="19" t="n"/>
      <c r="R3435" s="19" t="n"/>
      <c r="S3435" s="19" t="n"/>
      <c r="T3435" s="19" t="n"/>
      <c r="U3435" s="19" t="n"/>
      <c r="V3435" s="19" t="n"/>
      <c r="W3435" s="19" t="n"/>
      <c r="X3435" s="19" t="n"/>
      <c r="Y3435" s="19" t="n">
        <v>1</v>
      </c>
      <c r="Z3435" s="13">
        <f>SUMPRODUCT(N3435:Y3435,$N$2:$Y$2)*$K3435*$L3435*$M3435</f>
        <v/>
      </c>
      <c r="AA3435" s="14">
        <f>SUM(N3435:Y3435)</f>
        <v/>
      </c>
      <c r="AB3435" s="13">
        <f>SUMPRODUCT(N3435:Y3435,$N$3:$Y$3)*$K3435*$L3435*$M3435</f>
        <v/>
      </c>
      <c r="AC3435" s="13">
        <f>SUMPRODUCT(N3435:Y3435,$N$4:$Y$4)*$K3435*$L3435*$M3435</f>
        <v/>
      </c>
      <c r="AD3435" s="15" t="n">
        <v>3</v>
      </c>
      <c r="AE3435" s="11" t="n">
        <v>1.011296296296296</v>
      </c>
      <c r="AF3435" s="16">
        <f>SUMPRODUCT(N3435:Y3435,$N$5:$Y$5)*$K3435*$L3435*$M3435</f>
        <v/>
      </c>
      <c r="AG3435" s="16">
        <f>SUMPRODUCT(N3435:Y3435,$N$6:$Y$6)*$K3435*$L3435*$M3435</f>
        <v/>
      </c>
      <c r="AH3435" s="20" t="n"/>
    </row>
    <row r="3436">
      <c r="A3436" s="9" t="n">
        <v>642216</v>
      </c>
      <c r="B3436" s="9" t="inlineStr">
        <is>
          <t>Allan Winans</t>
        </is>
      </c>
      <c r="C3436" s="9" t="inlineStr">
        <is>
          <t>NYY</t>
        </is>
      </c>
      <c r="D3436" s="9" t="n">
        <v>31</v>
      </c>
      <c r="E3436" s="18" t="inlineStr">
        <is>
          <t>R</t>
        </is>
      </c>
      <c r="F3436" s="18" t="n"/>
      <c r="G3436" s="9" t="n">
        <v>46</v>
      </c>
      <c r="H3436" s="9" t="n">
        <v>228</v>
      </c>
      <c r="I3436" s="9" t="inlineStr">
        <is>
          <t>Bullpen Depth Arm</t>
        </is>
      </c>
      <c r="J3436" s="18" t="inlineStr">
        <is>
          <t>Opening Day</t>
        </is>
      </c>
      <c r="K3436" s="11">
        <f>IFERROR(INDEX(Roles!$B$17:$B$20,MATCH(J3436,Roles!$A$17:$A$20,0)),1)</f>
        <v/>
      </c>
      <c r="L3436" s="19" t="n">
        <v>1</v>
      </c>
      <c r="M3436" s="11" t="n">
        <v>1</v>
      </c>
      <c r="N3436" s="19" t="n"/>
      <c r="O3436" s="19" t="n"/>
      <c r="P3436" s="19" t="n"/>
      <c r="Q3436" s="19" t="n"/>
      <c r="R3436" s="19" t="n"/>
      <c r="S3436" s="19" t="n"/>
      <c r="T3436" s="19" t="n"/>
      <c r="U3436" s="19" t="n"/>
      <c r="V3436" s="19" t="n"/>
      <c r="W3436" s="19" t="n">
        <v>1</v>
      </c>
      <c r="X3436" s="19" t="n"/>
      <c r="Y3436" s="19" t="n"/>
      <c r="Z3436" s="13">
        <f>SUMPRODUCT(N3436:Y3436,$N$2:$Y$2)*$K3436*$L3436*$M3436</f>
        <v/>
      </c>
      <c r="AA3436" s="14">
        <f>SUM(N3436:Y3436)</f>
        <v/>
      </c>
      <c r="AB3436" s="13">
        <f>SUMPRODUCT(N3436:Y3436,$N$3:$Y$3)*$K3436*$L3436*$M3436</f>
        <v/>
      </c>
      <c r="AC3436" s="13">
        <f>SUMPRODUCT(N3436:Y3436,$N$4:$Y$4)*$K3436*$L3436*$M3436</f>
        <v/>
      </c>
      <c r="AD3436" s="15" t="n">
        <v>7.266666666666666</v>
      </c>
      <c r="AE3436" s="11" t="n">
        <v>1.89872935706269</v>
      </c>
      <c r="AF3436" s="16">
        <f>SUMPRODUCT(N3436:Y3436,$N$5:$Y$5)*$K3436*$L3436*$M3436</f>
        <v/>
      </c>
      <c r="AG3436" s="16">
        <f>SUMPRODUCT(N3436:Y3436,$N$6:$Y$6)*$K3436*$L3436*$M3436</f>
        <v/>
      </c>
      <c r="AH3436" s="20" t="n"/>
    </row>
    <row r="3437">
      <c r="A3437" s="9" t="n">
        <v>681807</v>
      </c>
      <c r="B3437" s="9" t="inlineStr">
        <is>
          <t>David Fry</t>
        </is>
      </c>
      <c r="C3437" s="9" t="inlineStr">
        <is>
          <t>CLE</t>
        </is>
      </c>
      <c r="D3437" s="9" t="n">
        <v>31</v>
      </c>
      <c r="E3437" s="18" t="inlineStr">
        <is>
          <t>R</t>
        </is>
      </c>
      <c r="F3437" s="18" t="n"/>
      <c r="G3437" s="9" t="n">
        <v>26</v>
      </c>
      <c r="H3437" s="9" t="n">
        <v>26</v>
      </c>
      <c r="I3437" s="9" t="inlineStr">
        <is>
          <t>Depth (no MLB IP)</t>
        </is>
      </c>
      <c r="J3437" s="18" t="inlineStr">
        <is>
          <t>Opening Day</t>
        </is>
      </c>
      <c r="K3437" s="11">
        <f>IFERROR(INDEX(Roles!$B$17:$B$20,MATCH(J3437,Roles!$A$17:$A$20,0)),1)</f>
        <v/>
      </c>
      <c r="L3437" s="19" t="n">
        <v>1</v>
      </c>
      <c r="M3437" s="11" t="n">
        <v>1</v>
      </c>
      <c r="N3437" s="19" t="n"/>
      <c r="O3437" s="19" t="n"/>
      <c r="P3437" s="19" t="n"/>
      <c r="Q3437" s="19" t="n"/>
      <c r="R3437" s="19" t="n"/>
      <c r="S3437" s="19" t="n"/>
      <c r="T3437" s="19" t="n"/>
      <c r="U3437" s="19" t="n"/>
      <c r="V3437" s="19" t="n"/>
      <c r="W3437" s="19" t="n"/>
      <c r="X3437" s="19" t="n"/>
      <c r="Y3437" s="19" t="n">
        <v>1</v>
      </c>
      <c r="Z3437" s="13">
        <f>SUMPRODUCT(N3437:Y3437,$N$2:$Y$2)*$K3437*$L3437*$M3437</f>
        <v/>
      </c>
      <c r="AA3437" s="14">
        <f>SUM(N3437:Y3437)</f>
        <v/>
      </c>
      <c r="AB3437" s="13">
        <f>SUMPRODUCT(N3437:Y3437,$N$3:$Y$3)*$K3437*$L3437*$M3437</f>
        <v/>
      </c>
      <c r="AC3437" s="13">
        <f>SUMPRODUCT(N3437:Y3437,$N$4:$Y$4)*$K3437*$L3437*$M3437</f>
        <v/>
      </c>
      <c r="AD3437" s="15" t="n">
        <v>3</v>
      </c>
      <c r="AE3437" s="11" t="n">
        <v>1.011296296296296</v>
      </c>
      <c r="AF3437" s="16">
        <f>SUMPRODUCT(N3437:Y3437,$N$5:$Y$5)*$K3437*$L3437*$M3437</f>
        <v/>
      </c>
      <c r="AG3437" s="16">
        <f>SUMPRODUCT(N3437:Y3437,$N$6:$Y$6)*$K3437*$L3437*$M3437</f>
        <v/>
      </c>
      <c r="AH3437" s="20" t="n"/>
    </row>
    <row r="3438">
      <c r="A3438" s="9" t="n">
        <v>702436</v>
      </c>
      <c r="B3438" s="9" t="inlineStr">
        <is>
          <t>Luis Serna</t>
        </is>
      </c>
      <c r="C3438" s="9" t="inlineStr">
        <is>
          <t>NYY</t>
        </is>
      </c>
      <c r="D3438" s="9" t="n">
        <v>25</v>
      </c>
      <c r="E3438" s="18" t="inlineStr">
        <is>
          <t>R</t>
        </is>
      </c>
      <c r="F3438" s="18" t="n"/>
      <c r="G3438" s="9" t="n">
        <v>102.0533333333333</v>
      </c>
      <c r="H3438" s="9" t="n">
        <v>102.0533333333333</v>
      </c>
      <c r="I3438" s="9" t="inlineStr">
        <is>
          <t>Depth (no MLB IP)</t>
        </is>
      </c>
      <c r="J3438" s="18" t="inlineStr">
        <is>
          <t>Opening Day</t>
        </is>
      </c>
      <c r="K3438" s="11">
        <f>IFERROR(INDEX(Roles!$B$17:$B$20,MATCH(J3438,Roles!$A$17:$A$20,0)),1)</f>
        <v/>
      </c>
      <c r="L3438" s="19" t="n">
        <v>1</v>
      </c>
      <c r="M3438" s="11" t="n">
        <v>1</v>
      </c>
      <c r="N3438" s="19" t="n"/>
      <c r="O3438" s="19" t="n"/>
      <c r="P3438" s="19" t="n"/>
      <c r="Q3438" s="19" t="n"/>
      <c r="R3438" s="19" t="n"/>
      <c r="S3438" s="19" t="n"/>
      <c r="T3438" s="19" t="n"/>
      <c r="U3438" s="19" t="n"/>
      <c r="V3438" s="19" t="n"/>
      <c r="W3438" s="19" t="n"/>
      <c r="X3438" s="19" t="n"/>
      <c r="Y3438" s="19" t="n">
        <v>1</v>
      </c>
      <c r="Z3438" s="13">
        <f>SUMPRODUCT(N3438:Y3438,$N$2:$Y$2)*$K3438*$L3438*$M3438</f>
        <v/>
      </c>
      <c r="AA3438" s="14">
        <f>SUM(N3438:Y3438)</f>
        <v/>
      </c>
      <c r="AB3438" s="13">
        <f>SUMPRODUCT(N3438:Y3438,$N$3:$Y$3)*$K3438*$L3438*$M3438</f>
        <v/>
      </c>
      <c r="AC3438" s="13">
        <f>SUMPRODUCT(N3438:Y3438,$N$4:$Y$4)*$K3438*$L3438*$M3438</f>
        <v/>
      </c>
      <c r="AD3438" s="15" t="n">
        <v>3</v>
      </c>
      <c r="AE3438" s="11" t="n">
        <v>1.011296296296296</v>
      </c>
      <c r="AF3438" s="16">
        <f>SUMPRODUCT(N3438:Y3438,$N$5:$Y$5)*$K3438*$L3438*$M3438</f>
        <v/>
      </c>
      <c r="AG3438" s="16">
        <f>SUMPRODUCT(N3438:Y3438,$N$6:$Y$6)*$K3438*$L3438*$M3438</f>
        <v/>
      </c>
      <c r="AH3438" s="20" t="n"/>
    </row>
    <row r="3439">
      <c r="A3439" s="9" t="n">
        <v>596142</v>
      </c>
      <c r="B3439" s="9" t="inlineStr">
        <is>
          <t>Gary Sánchez</t>
        </is>
      </c>
      <c r="C3439" s="9" t="inlineStr">
        <is>
          <t>MIL</t>
        </is>
      </c>
      <c r="D3439" s="9" t="n">
        <v>34</v>
      </c>
      <c r="E3439" s="18" t="inlineStr">
        <is>
          <t>R</t>
        </is>
      </c>
      <c r="F3439" s="18" t="n"/>
      <c r="G3439" s="9" t="n">
        <v>10</v>
      </c>
      <c r="H3439" s="9" t="n">
        <v>17</v>
      </c>
      <c r="I3439" s="9" t="inlineStr">
        <is>
          <t>Depth (no MLB IP)</t>
        </is>
      </c>
      <c r="J3439" s="18" t="inlineStr">
        <is>
          <t>Opening Day</t>
        </is>
      </c>
      <c r="K3439" s="11">
        <f>IFERROR(INDEX(Roles!$B$17:$B$20,MATCH(J3439,Roles!$A$17:$A$20,0)),1)</f>
        <v/>
      </c>
      <c r="L3439" s="19" t="n">
        <v>1</v>
      </c>
      <c r="M3439" s="11" t="n">
        <v>1</v>
      </c>
      <c r="N3439" s="19" t="n"/>
      <c r="O3439" s="19" t="n"/>
      <c r="P3439" s="19" t="n"/>
      <c r="Q3439" s="19" t="n"/>
      <c r="R3439" s="19" t="n"/>
      <c r="S3439" s="19" t="n"/>
      <c r="T3439" s="19" t="n"/>
      <c r="U3439" s="19" t="n"/>
      <c r="V3439" s="19" t="n"/>
      <c r="W3439" s="19" t="n"/>
      <c r="X3439" s="19" t="n"/>
      <c r="Y3439" s="19" t="n">
        <v>1</v>
      </c>
      <c r="Z3439" s="13">
        <f>SUMPRODUCT(N3439:Y3439,$N$2:$Y$2)*$K3439*$L3439*$M3439</f>
        <v/>
      </c>
      <c r="AA3439" s="14">
        <f>SUM(N3439:Y3439)</f>
        <v/>
      </c>
      <c r="AB3439" s="13">
        <f>SUMPRODUCT(N3439:Y3439,$N$3:$Y$3)*$K3439*$L3439*$M3439</f>
        <v/>
      </c>
      <c r="AC3439" s="13">
        <f>SUMPRODUCT(N3439:Y3439,$N$4:$Y$4)*$K3439*$L3439*$M3439</f>
        <v/>
      </c>
      <c r="AD3439" s="15" t="n">
        <v>2.16</v>
      </c>
      <c r="AE3439" s="11" t="n">
        <v>1.007530864197531</v>
      </c>
      <c r="AF3439" s="16">
        <f>SUMPRODUCT(N3439:Y3439,$N$5:$Y$5)*$K3439*$L3439*$M3439</f>
        <v/>
      </c>
      <c r="AG3439" s="16">
        <f>SUMPRODUCT(N3439:Y3439,$N$6:$Y$6)*$K3439*$L3439*$M3439</f>
        <v/>
      </c>
      <c r="AH3439" s="20" t="n"/>
    </row>
    <row r="3440">
      <c r="A3440" s="9" t="n">
        <v>598264</v>
      </c>
      <c r="B3440" s="9" t="inlineStr">
        <is>
          <t>Matt Barnes</t>
        </is>
      </c>
      <c r="C3440" s="9" t="inlineStr">
        <is>
          <t>WSH</t>
        </is>
      </c>
      <c r="D3440" s="9" t="n">
        <v>37</v>
      </c>
      <c r="E3440" s="18" t="inlineStr">
        <is>
          <t>R</t>
        </is>
      </c>
      <c r="F3440" s="18" t="n"/>
      <c r="G3440" s="9" t="n">
        <v>60</v>
      </c>
      <c r="H3440" s="9" t="n">
        <v>335</v>
      </c>
      <c r="I3440" s="9" t="inlineStr">
        <is>
          <t>Depth (no MLB IP)</t>
        </is>
      </c>
      <c r="J3440" s="18" t="inlineStr">
        <is>
          <t>Opening Day</t>
        </is>
      </c>
      <c r="K3440" s="11">
        <f>IFERROR(INDEX(Roles!$B$17:$B$20,MATCH(J3440,Roles!$A$17:$A$20,0)),1)</f>
        <v/>
      </c>
      <c r="L3440" s="19" t="n">
        <v>1</v>
      </c>
      <c r="M3440" s="11" t="n">
        <v>1</v>
      </c>
      <c r="N3440" s="19" t="n"/>
      <c r="O3440" s="19" t="n"/>
      <c r="P3440" s="19" t="n"/>
      <c r="Q3440" s="19" t="n"/>
      <c r="R3440" s="19" t="n"/>
      <c r="S3440" s="19" t="n"/>
      <c r="T3440" s="19" t="n"/>
      <c r="U3440" s="19" t="n"/>
      <c r="V3440" s="19" t="n"/>
      <c r="W3440" s="19" t="n"/>
      <c r="X3440" s="19" t="n"/>
      <c r="Y3440" s="19" t="n">
        <v>1</v>
      </c>
      <c r="Z3440" s="13">
        <f>SUMPRODUCT(N3440:Y3440,$N$2:$Y$2)*$K3440*$L3440*$M3440</f>
        <v/>
      </c>
      <c r="AA3440" s="14">
        <f>SUM(N3440:Y3440)</f>
        <v/>
      </c>
      <c r="AB3440" s="13">
        <f>SUMPRODUCT(N3440:Y3440,$N$3:$Y$3)*$K3440*$L3440*$M3440</f>
        <v/>
      </c>
      <c r="AC3440" s="13">
        <f>SUMPRODUCT(N3440:Y3440,$N$4:$Y$4)*$K3440*$L3440*$M3440</f>
        <v/>
      </c>
      <c r="AD3440" s="15" t="n">
        <v>9.6</v>
      </c>
      <c r="AE3440" s="11" t="n">
        <v>0.9916578483245148</v>
      </c>
      <c r="AF3440" s="16">
        <f>SUMPRODUCT(N3440:Y3440,$N$5:$Y$5)*$K3440*$L3440*$M3440</f>
        <v/>
      </c>
      <c r="AG3440" s="16">
        <f>SUMPRODUCT(N3440:Y3440,$N$6:$Y$6)*$K3440*$L3440*$M3440</f>
        <v/>
      </c>
      <c r="AH3440" s="20" t="n"/>
    </row>
    <row r="3441">
      <c r="A3441" s="9" t="n">
        <v>671096</v>
      </c>
      <c r="B3441" s="9" t="inlineStr">
        <is>
          <t>Andrew Abbott</t>
        </is>
      </c>
      <c r="C3441" s="9" t="inlineStr">
        <is>
          <t>CIN</t>
        </is>
      </c>
      <c r="D3441" s="9" t="n">
        <v>28</v>
      </c>
      <c r="E3441" s="18" t="inlineStr">
        <is>
          <t>L</t>
        </is>
      </c>
      <c r="F3441" s="18" t="n"/>
      <c r="G3441" s="9" t="n">
        <v>729</v>
      </c>
      <c r="H3441" s="9" t="n">
        <v>2458</v>
      </c>
      <c r="I3441" s="9" t="inlineStr">
        <is>
          <t>Ace (SP1)</t>
        </is>
      </c>
      <c r="J3441" s="18" t="inlineStr">
        <is>
          <t>Opening Day</t>
        </is>
      </c>
      <c r="K3441" s="11">
        <f>IFERROR(INDEX(Roles!$B$17:$B$20,MATCH(J3441,Roles!$A$17:$A$20,0)),1)</f>
        <v/>
      </c>
      <c r="L3441" s="19" t="n">
        <v>1</v>
      </c>
      <c r="M3441" s="11" t="n">
        <v>1</v>
      </c>
      <c r="N3441" s="19" t="n">
        <v>0.5</v>
      </c>
      <c r="O3441" s="19" t="n">
        <v>0.5</v>
      </c>
      <c r="P3441" s="19" t="n"/>
      <c r="Q3441" s="19" t="n"/>
      <c r="R3441" s="19" t="n"/>
      <c r="S3441" s="19" t="n"/>
      <c r="T3441" s="19" t="n"/>
      <c r="U3441" s="19" t="n"/>
      <c r="V3441" s="19" t="n"/>
      <c r="W3441" s="19" t="n"/>
      <c r="X3441" s="19" t="n"/>
      <c r="Y3441" s="19" t="n"/>
      <c r="Z3441" s="13">
        <f>SUMPRODUCT(N3441:Y3441,$N$2:$Y$2)*$K3441*$L3441*$M3441</f>
        <v/>
      </c>
      <c r="AA3441" s="14">
        <f>SUM(N3441:Y3441)</f>
        <v/>
      </c>
      <c r="AB3441" s="13">
        <f>SUMPRODUCT(N3441:Y3441,$N$3:$Y$3)*$K3441*$L3441*$M3441</f>
        <v/>
      </c>
      <c r="AC3441" s="13">
        <f>SUMPRODUCT(N3441:Y3441,$N$4:$Y$4)*$K3441*$L3441*$M3441</f>
        <v/>
      </c>
      <c r="AD3441" s="15" t="n">
        <v>28.1</v>
      </c>
      <c r="AE3441" s="11" t="n">
        <v>5.549880287310455</v>
      </c>
      <c r="AF3441" s="16">
        <f>SUMPRODUCT(N3441:Y3441,$N$5:$Y$5)*$K3441*$L3441*$M3441</f>
        <v/>
      </c>
      <c r="AG3441" s="16">
        <f>SUMPRODUCT(N3441:Y3441,$N$6:$Y$6)*$K3441*$L3441*$M3441</f>
        <v/>
      </c>
      <c r="AH3441" s="20" t="n"/>
    </row>
    <row r="3442">
      <c r="A3442" s="9" t="n">
        <v>694646</v>
      </c>
      <c r="B3442" s="9" t="inlineStr">
        <is>
          <t>Chayce McDermott</t>
        </is>
      </c>
      <c r="C3442" s="9" t="inlineStr">
        <is>
          <t>NYM</t>
        </is>
      </c>
      <c r="D3442" s="9" t="n">
        <v>28</v>
      </c>
      <c r="E3442" s="18" t="inlineStr">
        <is>
          <t>R</t>
        </is>
      </c>
      <c r="F3442" s="18" t="n"/>
      <c r="G3442" s="9" t="n">
        <v>36</v>
      </c>
      <c r="H3442" s="9" t="n">
        <v>105</v>
      </c>
      <c r="I3442" s="9" t="inlineStr">
        <is>
          <t>Bullpen Depth Arm</t>
        </is>
      </c>
      <c r="J3442" s="18" t="inlineStr">
        <is>
          <t>Opening Day</t>
        </is>
      </c>
      <c r="K3442" s="11">
        <f>IFERROR(INDEX(Roles!$B$17:$B$20,MATCH(J3442,Roles!$A$17:$A$20,0)),1)</f>
        <v/>
      </c>
      <c r="L3442" s="19" t="n">
        <v>1</v>
      </c>
      <c r="M3442" s="11" t="n">
        <v>1</v>
      </c>
      <c r="N3442" s="19" t="n"/>
      <c r="O3442" s="19" t="n"/>
      <c r="P3442" s="19" t="n"/>
      <c r="Q3442" s="19" t="n"/>
      <c r="R3442" s="19" t="n"/>
      <c r="S3442" s="19" t="n"/>
      <c r="T3442" s="19" t="n"/>
      <c r="U3442" s="19" t="n"/>
      <c r="V3442" s="19" t="n">
        <v>0.15</v>
      </c>
      <c r="W3442" s="19" t="n">
        <v>0.85</v>
      </c>
      <c r="X3442" s="19" t="n"/>
      <c r="Y3442" s="19" t="n"/>
      <c r="Z3442" s="13">
        <f>SUMPRODUCT(N3442:Y3442,$N$2:$Y$2)*$K3442*$L3442*$M3442</f>
        <v/>
      </c>
      <c r="AA3442" s="14">
        <f>SUM(N3442:Y3442)</f>
        <v/>
      </c>
      <c r="AB3442" s="13">
        <f>SUMPRODUCT(N3442:Y3442,$N$3:$Y$3)*$K3442*$L3442*$M3442</f>
        <v/>
      </c>
      <c r="AC3442" s="13">
        <f>SUMPRODUCT(N3442:Y3442,$N$4:$Y$4)*$K3442*$L3442*$M3442</f>
        <v/>
      </c>
      <c r="AD3442" s="15" t="n">
        <v>8.066666666666666</v>
      </c>
      <c r="AE3442" s="11" t="n">
        <v>1.417247875581209</v>
      </c>
      <c r="AF3442" s="16">
        <f>SUMPRODUCT(N3442:Y3442,$N$5:$Y$5)*$K3442*$L3442*$M3442</f>
        <v/>
      </c>
      <c r="AG3442" s="16">
        <f>SUMPRODUCT(N3442:Y3442,$N$6:$Y$6)*$K3442*$L3442*$M3442</f>
        <v/>
      </c>
      <c r="AH3442" s="20" t="n"/>
    </row>
    <row r="3443">
      <c r="A3443" s="9" t="n">
        <v>696508</v>
      </c>
      <c r="B3443" s="9" t="inlineStr">
        <is>
          <t>Alec Baker</t>
        </is>
      </c>
      <c r="C3443" s="9" t="inlineStr">
        <is>
          <t>ARI</t>
        </is>
      </c>
      <c r="D3443" s="9" t="n">
        <v>25</v>
      </c>
      <c r="E3443" s="18" t="inlineStr">
        <is>
          <t>R</t>
        </is>
      </c>
      <c r="F3443" s="18" t="n"/>
      <c r="G3443" s="9" t="n">
        <v>102.34</v>
      </c>
      <c r="H3443" s="9" t="n">
        <v>102.34</v>
      </c>
      <c r="I3443" s="9" t="inlineStr">
        <is>
          <t>Depth (no MLB IP)</t>
        </is>
      </c>
      <c r="J3443" s="18" t="inlineStr">
        <is>
          <t>Opening Day</t>
        </is>
      </c>
      <c r="K3443" s="11">
        <f>IFERROR(INDEX(Roles!$B$17:$B$20,MATCH(J3443,Roles!$A$17:$A$20,0)),1)</f>
        <v/>
      </c>
      <c r="L3443" s="19" t="n">
        <v>1</v>
      </c>
      <c r="M3443" s="11" t="n">
        <v>1</v>
      </c>
      <c r="N3443" s="19" t="n"/>
      <c r="O3443" s="19" t="n"/>
      <c r="P3443" s="19" t="n"/>
      <c r="Q3443" s="19" t="n"/>
      <c r="R3443" s="19" t="n"/>
      <c r="S3443" s="19" t="n"/>
      <c r="T3443" s="19" t="n"/>
      <c r="U3443" s="19" t="n"/>
      <c r="V3443" s="19" t="n"/>
      <c r="W3443" s="19" t="n"/>
      <c r="X3443" s="19" t="n"/>
      <c r="Y3443" s="19" t="n">
        <v>1</v>
      </c>
      <c r="Z3443" s="13">
        <f>SUMPRODUCT(N3443:Y3443,$N$2:$Y$2)*$K3443*$L3443*$M3443</f>
        <v/>
      </c>
      <c r="AA3443" s="14">
        <f>SUM(N3443:Y3443)</f>
        <v/>
      </c>
      <c r="AB3443" s="13">
        <f>SUMPRODUCT(N3443:Y3443,$N$3:$Y$3)*$K3443*$L3443*$M3443</f>
        <v/>
      </c>
      <c r="AC3443" s="13">
        <f>SUMPRODUCT(N3443:Y3443,$N$4:$Y$4)*$K3443*$L3443*$M3443</f>
        <v/>
      </c>
      <c r="AD3443" s="15" t="n">
        <v>3</v>
      </c>
      <c r="AE3443" s="11" t="n">
        <v>1.011296296296296</v>
      </c>
      <c r="AF3443" s="16">
        <f>SUMPRODUCT(N3443:Y3443,$N$5:$Y$5)*$K3443*$L3443*$M3443</f>
        <v/>
      </c>
      <c r="AG3443" s="16">
        <f>SUMPRODUCT(N3443:Y3443,$N$6:$Y$6)*$K3443*$L3443*$M3443</f>
        <v/>
      </c>
      <c r="AH3443" s="20" t="n"/>
    </row>
    <row r="3444">
      <c r="A3444" s="9" t="n">
        <v>663423</v>
      </c>
      <c r="B3444" s="9" t="inlineStr">
        <is>
          <t>Trent Thornton</t>
        </is>
      </c>
      <c r="C3444" s="9" t="inlineStr">
        <is>
          <t>CHC</t>
        </is>
      </c>
      <c r="D3444" s="9" t="n">
        <v>33</v>
      </c>
      <c r="E3444" s="18" t="inlineStr">
        <is>
          <t>R</t>
        </is>
      </c>
      <c r="F3444" s="18" t="n"/>
      <c r="G3444" s="9" t="n">
        <v>196</v>
      </c>
      <c r="H3444" s="9" t="n">
        <v>984</v>
      </c>
      <c r="I3444" s="9" t="inlineStr">
        <is>
          <t>Late Inning RP (Setup)</t>
        </is>
      </c>
      <c r="J3444" s="18" t="inlineStr">
        <is>
          <t>Opening Day</t>
        </is>
      </c>
      <c r="K3444" s="11">
        <f>IFERROR(INDEX(Roles!$B$17:$B$20,MATCH(J3444,Roles!$A$17:$A$20,0)),1)</f>
        <v/>
      </c>
      <c r="L3444" s="19" t="n">
        <v>1</v>
      </c>
      <c r="M3444" s="11" t="n">
        <v>1</v>
      </c>
      <c r="N3444" s="19" t="n"/>
      <c r="O3444" s="19" t="n"/>
      <c r="P3444" s="19" t="n"/>
      <c r="Q3444" s="19" t="n"/>
      <c r="R3444" s="19" t="n"/>
      <c r="S3444" s="19" t="n"/>
      <c r="T3444" s="19" t="n"/>
      <c r="U3444" s="19" t="n">
        <v>0.6</v>
      </c>
      <c r="V3444" s="19" t="n">
        <v>0.4</v>
      </c>
      <c r="W3444" s="19" t="n"/>
      <c r="X3444" s="19" t="n"/>
      <c r="Y3444" s="19" t="n"/>
      <c r="Z3444" s="13">
        <f>SUMPRODUCT(N3444:Y3444,$N$2:$Y$2)*$K3444*$L3444*$M3444</f>
        <v/>
      </c>
      <c r="AA3444" s="14">
        <f>SUM(N3444:Y3444)</f>
        <v/>
      </c>
      <c r="AB3444" s="13">
        <f>SUMPRODUCT(N3444:Y3444,$N$3:$Y$3)*$K3444*$L3444*$M3444</f>
        <v/>
      </c>
      <c r="AC3444" s="13">
        <f>SUMPRODUCT(N3444:Y3444,$N$4:$Y$4)*$K3444*$L3444*$M3444</f>
        <v/>
      </c>
      <c r="AD3444" s="15" t="n">
        <v>47.3</v>
      </c>
      <c r="AE3444" s="11" t="n">
        <v>1.017966587584025</v>
      </c>
      <c r="AF3444" s="16">
        <f>SUMPRODUCT(N3444:Y3444,$N$5:$Y$5)*$K3444*$L3444*$M3444</f>
        <v/>
      </c>
      <c r="AG3444" s="16">
        <f>SUMPRODUCT(N3444:Y3444,$N$6:$Y$6)*$K3444*$L3444*$M3444</f>
        <v/>
      </c>
      <c r="AH3444" s="20" t="n"/>
    </row>
    <row r="3445">
      <c r="A3445" s="9" t="n">
        <v>686894</v>
      </c>
      <c r="B3445" s="9" t="inlineStr">
        <is>
          <t>Joey Wiemer</t>
        </is>
      </c>
      <c r="C3445" s="9" t="inlineStr">
        <is>
          <t>WSH</t>
        </is>
      </c>
      <c r="D3445" s="9" t="n">
        <v>28</v>
      </c>
      <c r="E3445" s="18" t="inlineStr">
        <is>
          <t>R</t>
        </is>
      </c>
      <c r="F3445" s="18" t="n"/>
      <c r="G3445" s="9" t="n">
        <v>16</v>
      </c>
      <c r="H3445" s="9" t="n">
        <v>16</v>
      </c>
      <c r="I3445" s="9" t="inlineStr">
        <is>
          <t>Depth (no MLB IP)</t>
        </is>
      </c>
      <c r="J3445" s="18" t="inlineStr">
        <is>
          <t>Opening Day</t>
        </is>
      </c>
      <c r="K3445" s="11">
        <f>IFERROR(INDEX(Roles!$B$17:$B$20,MATCH(J3445,Roles!$A$17:$A$20,0)),1)</f>
        <v/>
      </c>
      <c r="L3445" s="19" t="n">
        <v>1</v>
      </c>
      <c r="M3445" s="11" t="n">
        <v>1</v>
      </c>
      <c r="N3445" s="19" t="n"/>
      <c r="O3445" s="19" t="n"/>
      <c r="P3445" s="19" t="n"/>
      <c r="Q3445" s="19" t="n"/>
      <c r="R3445" s="19" t="n"/>
      <c r="S3445" s="19" t="n"/>
      <c r="T3445" s="19" t="n"/>
      <c r="U3445" s="19" t="n"/>
      <c r="V3445" s="19" t="n"/>
      <c r="W3445" s="19" t="n"/>
      <c r="X3445" s="19" t="n"/>
      <c r="Y3445" s="19" t="n">
        <v>1</v>
      </c>
      <c r="Z3445" s="13">
        <f>SUMPRODUCT(N3445:Y3445,$N$2:$Y$2)*$K3445*$L3445*$M3445</f>
        <v/>
      </c>
      <c r="AA3445" s="14">
        <f>SUM(N3445:Y3445)</f>
        <v/>
      </c>
      <c r="AB3445" s="13">
        <f>SUMPRODUCT(N3445:Y3445,$N$3:$Y$3)*$K3445*$L3445*$M3445</f>
        <v/>
      </c>
      <c r="AC3445" s="13">
        <f>SUMPRODUCT(N3445:Y3445,$N$4:$Y$4)*$K3445*$L3445*$M3445</f>
        <v/>
      </c>
      <c r="AD3445" s="15" t="n">
        <v>2.4</v>
      </c>
      <c r="AE3445" s="11" t="n">
        <v>1.007530864197531</v>
      </c>
      <c r="AF3445" s="16">
        <f>SUMPRODUCT(N3445:Y3445,$N$5:$Y$5)*$K3445*$L3445*$M3445</f>
        <v/>
      </c>
      <c r="AG3445" s="16">
        <f>SUMPRODUCT(N3445:Y3445,$N$6:$Y$6)*$K3445*$L3445*$M3445</f>
        <v/>
      </c>
      <c r="AH3445" s="20" t="n"/>
    </row>
    <row r="3446">
      <c r="A3446" s="9" t="n">
        <v>803833</v>
      </c>
      <c r="B3446" s="9" t="inlineStr">
        <is>
          <t>Garrett Baumann</t>
        </is>
      </c>
      <c r="C3446" s="9" t="inlineStr">
        <is>
          <t>ATL</t>
        </is>
      </c>
      <c r="D3446" s="9" t="n">
        <v>25</v>
      </c>
      <c r="E3446" s="18" t="inlineStr">
        <is>
          <t>R</t>
        </is>
      </c>
      <c r="F3446" s="18" t="n"/>
      <c r="G3446" s="9" t="n">
        <v>102.4833333333334</v>
      </c>
      <c r="H3446" s="9" t="n">
        <v>102.4833333333334</v>
      </c>
      <c r="I3446" s="9" t="inlineStr">
        <is>
          <t>Depth (no MLB IP)</t>
        </is>
      </c>
      <c r="J3446" s="18" t="inlineStr">
        <is>
          <t>Opening Day</t>
        </is>
      </c>
      <c r="K3446" s="11">
        <f>IFERROR(INDEX(Roles!$B$17:$B$20,MATCH(J3446,Roles!$A$17:$A$20,0)),1)</f>
        <v/>
      </c>
      <c r="L3446" s="19" t="n">
        <v>1</v>
      </c>
      <c r="M3446" s="11" t="n">
        <v>1</v>
      </c>
      <c r="N3446" s="19" t="n"/>
      <c r="O3446" s="19" t="n"/>
      <c r="P3446" s="19" t="n"/>
      <c r="Q3446" s="19" t="n"/>
      <c r="R3446" s="19" t="n"/>
      <c r="S3446" s="19" t="n"/>
      <c r="T3446" s="19" t="n"/>
      <c r="U3446" s="19" t="n"/>
      <c r="V3446" s="19" t="n"/>
      <c r="W3446" s="19" t="n"/>
      <c r="X3446" s="19" t="n"/>
      <c r="Y3446" s="19" t="n">
        <v>1</v>
      </c>
      <c r="Z3446" s="13">
        <f>SUMPRODUCT(N3446:Y3446,$N$2:$Y$2)*$K3446*$L3446*$M3446</f>
        <v/>
      </c>
      <c r="AA3446" s="14">
        <f>SUM(N3446:Y3446)</f>
        <v/>
      </c>
      <c r="AB3446" s="13">
        <f>SUMPRODUCT(N3446:Y3446,$N$3:$Y$3)*$K3446*$L3446*$M3446</f>
        <v/>
      </c>
      <c r="AC3446" s="13">
        <f>SUMPRODUCT(N3446:Y3446,$N$4:$Y$4)*$K3446*$L3446*$M3446</f>
        <v/>
      </c>
      <c r="AD3446" s="15" t="n">
        <v>3</v>
      </c>
      <c r="AE3446" s="11" t="n">
        <v>1.011296296296296</v>
      </c>
      <c r="AF3446" s="16">
        <f>SUMPRODUCT(N3446:Y3446,$N$5:$Y$5)*$K3446*$L3446*$M3446</f>
        <v/>
      </c>
      <c r="AG3446" s="16">
        <f>SUMPRODUCT(N3446:Y3446,$N$6:$Y$6)*$K3446*$L3446*$M3446</f>
        <v/>
      </c>
      <c r="AH3446" s="20" t="n"/>
    </row>
    <row r="3447">
      <c r="A3447" s="9" t="n">
        <v>811310</v>
      </c>
      <c r="B3447" s="9" t="inlineStr">
        <is>
          <t>Nigel Belgrave</t>
        </is>
      </c>
      <c r="C3447" s="9" t="inlineStr">
        <is>
          <t>MIA</t>
        </is>
      </c>
      <c r="D3447" s="9" t="n">
        <v>25</v>
      </c>
      <c r="E3447" s="18" t="inlineStr">
        <is>
          <t>R</t>
        </is>
      </c>
      <c r="F3447" s="18" t="n"/>
      <c r="G3447" s="9" t="n">
        <v>102.8416666666666</v>
      </c>
      <c r="H3447" s="9" t="n">
        <v>102.8416666666666</v>
      </c>
      <c r="I3447" s="9" t="inlineStr">
        <is>
          <t>Depth (no MLB IP)</t>
        </is>
      </c>
      <c r="J3447" s="18" t="inlineStr">
        <is>
          <t>Opening Day</t>
        </is>
      </c>
      <c r="K3447" s="11">
        <f>IFERROR(INDEX(Roles!$B$17:$B$20,MATCH(J3447,Roles!$A$17:$A$20,0)),1)</f>
        <v/>
      </c>
      <c r="L3447" s="19" t="n">
        <v>1</v>
      </c>
      <c r="M3447" s="11" t="n">
        <v>1</v>
      </c>
      <c r="N3447" s="19" t="n"/>
      <c r="O3447" s="19" t="n"/>
      <c r="P3447" s="19" t="n"/>
      <c r="Q3447" s="19" t="n"/>
      <c r="R3447" s="19" t="n"/>
      <c r="S3447" s="19" t="n"/>
      <c r="T3447" s="19" t="n"/>
      <c r="U3447" s="19" t="n"/>
      <c r="V3447" s="19" t="n"/>
      <c r="W3447" s="19" t="n"/>
      <c r="X3447" s="19" t="n"/>
      <c r="Y3447" s="19" t="n">
        <v>1</v>
      </c>
      <c r="Z3447" s="13">
        <f>SUMPRODUCT(N3447:Y3447,$N$2:$Y$2)*$K3447*$L3447*$M3447</f>
        <v/>
      </c>
      <c r="AA3447" s="14">
        <f>SUM(N3447:Y3447)</f>
        <v/>
      </c>
      <c r="AB3447" s="13">
        <f>SUMPRODUCT(N3447:Y3447,$N$3:$Y$3)*$K3447*$L3447*$M3447</f>
        <v/>
      </c>
      <c r="AC3447" s="13">
        <f>SUMPRODUCT(N3447:Y3447,$N$4:$Y$4)*$K3447*$L3447*$M3447</f>
        <v/>
      </c>
      <c r="AD3447" s="15" t="n">
        <v>3</v>
      </c>
      <c r="AE3447" s="11" t="n">
        <v>1.011296296296296</v>
      </c>
      <c r="AF3447" s="16">
        <f>SUMPRODUCT(N3447:Y3447,$N$5:$Y$5)*$K3447*$L3447*$M3447</f>
        <v/>
      </c>
      <c r="AG3447" s="16">
        <f>SUMPRODUCT(N3447:Y3447,$N$6:$Y$6)*$K3447*$L3447*$M3447</f>
        <v/>
      </c>
      <c r="AH3447" s="20" t="n"/>
    </row>
    <row r="3448">
      <c r="A3448" s="9" t="n">
        <v>702571</v>
      </c>
      <c r="B3448" s="9" t="inlineStr">
        <is>
          <t>Jacob Miller</t>
        </is>
      </c>
      <c r="C3448" s="9" t="inlineStr">
        <is>
          <t>MIA</t>
        </is>
      </c>
      <c r="D3448" s="9" t="n">
        <v>25</v>
      </c>
      <c r="E3448" s="18" t="inlineStr">
        <is>
          <t>R</t>
        </is>
      </c>
      <c r="F3448" s="18" t="n"/>
      <c r="G3448" s="9" t="n">
        <v>102.8416666666666</v>
      </c>
      <c r="H3448" s="9" t="n">
        <v>102.8416666666666</v>
      </c>
      <c r="I3448" s="9" t="inlineStr">
        <is>
          <t>Depth (no MLB IP)</t>
        </is>
      </c>
      <c r="J3448" s="18" t="inlineStr">
        <is>
          <t>Opening Day</t>
        </is>
      </c>
      <c r="K3448" s="11">
        <f>IFERROR(INDEX(Roles!$B$17:$B$20,MATCH(J3448,Roles!$A$17:$A$20,0)),1)</f>
        <v/>
      </c>
      <c r="L3448" s="19" t="n">
        <v>1</v>
      </c>
      <c r="M3448" s="11" t="n">
        <v>1</v>
      </c>
      <c r="N3448" s="19" t="n"/>
      <c r="O3448" s="19" t="n"/>
      <c r="P3448" s="19" t="n"/>
      <c r="Q3448" s="19" t="n"/>
      <c r="R3448" s="19" t="n"/>
      <c r="S3448" s="19" t="n"/>
      <c r="T3448" s="19" t="n"/>
      <c r="U3448" s="19" t="n"/>
      <c r="V3448" s="19" t="n"/>
      <c r="W3448" s="19" t="n"/>
      <c r="X3448" s="19" t="n"/>
      <c r="Y3448" s="19" t="n">
        <v>1</v>
      </c>
      <c r="Z3448" s="13">
        <f>SUMPRODUCT(N3448:Y3448,$N$2:$Y$2)*$K3448*$L3448*$M3448</f>
        <v/>
      </c>
      <c r="AA3448" s="14">
        <f>SUM(N3448:Y3448)</f>
        <v/>
      </c>
      <c r="AB3448" s="13">
        <f>SUMPRODUCT(N3448:Y3448,$N$3:$Y$3)*$K3448*$L3448*$M3448</f>
        <v/>
      </c>
      <c r="AC3448" s="13">
        <f>SUMPRODUCT(N3448:Y3448,$N$4:$Y$4)*$K3448*$L3448*$M3448</f>
        <v/>
      </c>
      <c r="AD3448" s="15" t="n">
        <v>3</v>
      </c>
      <c r="AE3448" s="11" t="n">
        <v>1.011296296296296</v>
      </c>
      <c r="AF3448" s="16">
        <f>SUMPRODUCT(N3448:Y3448,$N$5:$Y$5)*$K3448*$L3448*$M3448</f>
        <v/>
      </c>
      <c r="AG3448" s="16">
        <f>SUMPRODUCT(N3448:Y3448,$N$6:$Y$6)*$K3448*$L3448*$M3448</f>
        <v/>
      </c>
      <c r="AH3448" s="20" t="n"/>
    </row>
    <row r="3449">
      <c r="A3449" s="9" t="n">
        <v>801754</v>
      </c>
      <c r="B3449" s="9" t="inlineStr">
        <is>
          <t>Davison Palermo</t>
        </is>
      </c>
      <c r="C3449" s="9" t="inlineStr">
        <is>
          <t>COL</t>
        </is>
      </c>
      <c r="D3449" s="9" t="n">
        <v>25</v>
      </c>
      <c r="E3449" s="18" t="inlineStr">
        <is>
          <t>R</t>
        </is>
      </c>
      <c r="F3449" s="18" t="n"/>
      <c r="G3449" s="9" t="n">
        <v>102.8416666666666</v>
      </c>
      <c r="H3449" s="9" t="n">
        <v>102.8416666666666</v>
      </c>
      <c r="I3449" s="9" t="inlineStr">
        <is>
          <t>Depth (no MLB IP)</t>
        </is>
      </c>
      <c r="J3449" s="18" t="inlineStr">
        <is>
          <t>Opening Day</t>
        </is>
      </c>
      <c r="K3449" s="11">
        <f>IFERROR(INDEX(Roles!$B$17:$B$20,MATCH(J3449,Roles!$A$17:$A$20,0)),1)</f>
        <v/>
      </c>
      <c r="L3449" s="19" t="n">
        <v>1</v>
      </c>
      <c r="M3449" s="11" t="n">
        <v>1</v>
      </c>
      <c r="N3449" s="19" t="n"/>
      <c r="O3449" s="19" t="n"/>
      <c r="P3449" s="19" t="n"/>
      <c r="Q3449" s="19" t="n"/>
      <c r="R3449" s="19" t="n"/>
      <c r="S3449" s="19" t="n"/>
      <c r="T3449" s="19" t="n"/>
      <c r="U3449" s="19" t="n"/>
      <c r="V3449" s="19" t="n"/>
      <c r="W3449" s="19" t="n"/>
      <c r="X3449" s="19" t="n"/>
      <c r="Y3449" s="19" t="n">
        <v>1</v>
      </c>
      <c r="Z3449" s="13">
        <f>SUMPRODUCT(N3449:Y3449,$N$2:$Y$2)*$K3449*$L3449*$M3449</f>
        <v/>
      </c>
      <c r="AA3449" s="14">
        <f>SUM(N3449:Y3449)</f>
        <v/>
      </c>
      <c r="AB3449" s="13">
        <f>SUMPRODUCT(N3449:Y3449,$N$3:$Y$3)*$K3449*$L3449*$M3449</f>
        <v/>
      </c>
      <c r="AC3449" s="13">
        <f>SUMPRODUCT(N3449:Y3449,$N$4:$Y$4)*$K3449*$L3449*$M3449</f>
        <v/>
      </c>
      <c r="AD3449" s="15" t="n">
        <v>3</v>
      </c>
      <c r="AE3449" s="11" t="n">
        <v>1.011296296296296</v>
      </c>
      <c r="AF3449" s="16">
        <f>SUMPRODUCT(N3449:Y3449,$N$5:$Y$5)*$K3449*$L3449*$M3449</f>
        <v/>
      </c>
      <c r="AG3449" s="16">
        <f>SUMPRODUCT(N3449:Y3449,$N$6:$Y$6)*$K3449*$L3449*$M3449</f>
        <v/>
      </c>
      <c r="AH3449" s="20" t="n"/>
    </row>
    <row r="3450">
      <c r="A3450" s="9" t="n">
        <v>542932</v>
      </c>
      <c r="B3450" s="9" t="inlineStr">
        <is>
          <t>Jon Berti</t>
        </is>
      </c>
      <c r="C3450" s="9" t="inlineStr">
        <is>
          <t>CHC</t>
        </is>
      </c>
      <c r="D3450" s="9" t="n">
        <v>37</v>
      </c>
      <c r="E3450" s="18" t="inlineStr">
        <is>
          <t>R</t>
        </is>
      </c>
      <c r="F3450" s="18" t="n"/>
      <c r="G3450" s="9" t="n">
        <v>19</v>
      </c>
      <c r="H3450" s="9" t="n">
        <v>19</v>
      </c>
      <c r="I3450" s="9" t="inlineStr">
        <is>
          <t>Depth (no MLB IP)</t>
        </is>
      </c>
      <c r="J3450" s="18" t="inlineStr">
        <is>
          <t>Opening Day</t>
        </is>
      </c>
      <c r="K3450" s="11">
        <f>IFERROR(INDEX(Roles!$B$17:$B$20,MATCH(J3450,Roles!$A$17:$A$20,0)),1)</f>
        <v/>
      </c>
      <c r="L3450" s="19" t="n">
        <v>1</v>
      </c>
      <c r="M3450" s="11" t="n">
        <v>1</v>
      </c>
      <c r="N3450" s="19" t="n"/>
      <c r="O3450" s="19" t="n"/>
      <c r="P3450" s="19" t="n"/>
      <c r="Q3450" s="19" t="n"/>
      <c r="R3450" s="19" t="n"/>
      <c r="S3450" s="19" t="n"/>
      <c r="T3450" s="19" t="n"/>
      <c r="U3450" s="19" t="n"/>
      <c r="V3450" s="19" t="n"/>
      <c r="W3450" s="19" t="n"/>
      <c r="X3450" s="19" t="n"/>
      <c r="Y3450" s="19" t="n">
        <v>1</v>
      </c>
      <c r="Z3450" s="13">
        <f>SUMPRODUCT(N3450:Y3450,$N$2:$Y$2)*$K3450*$L3450*$M3450</f>
        <v/>
      </c>
      <c r="AA3450" s="14">
        <f>SUM(N3450:Y3450)</f>
        <v/>
      </c>
      <c r="AB3450" s="13">
        <f>SUMPRODUCT(N3450:Y3450,$N$3:$Y$3)*$K3450*$L3450*$M3450</f>
        <v/>
      </c>
      <c r="AC3450" s="13">
        <f>SUMPRODUCT(N3450:Y3450,$N$4:$Y$4)*$K3450*$L3450*$M3450</f>
        <v/>
      </c>
      <c r="AD3450" s="15" t="n">
        <v>3.6</v>
      </c>
      <c r="AE3450" s="11" t="n">
        <v>0.9797530864197532</v>
      </c>
      <c r="AF3450" s="16">
        <f>SUMPRODUCT(N3450:Y3450,$N$5:$Y$5)*$K3450*$L3450*$M3450</f>
        <v/>
      </c>
      <c r="AG3450" s="16">
        <f>SUMPRODUCT(N3450:Y3450,$N$6:$Y$6)*$K3450*$L3450*$M3450</f>
        <v/>
      </c>
      <c r="AH3450" s="20" t="n"/>
    </row>
    <row r="3451">
      <c r="A3451" s="9" t="n">
        <v>642239</v>
      </c>
      <c r="B3451" s="9" t="inlineStr">
        <is>
          <t>Rob Zastryzny</t>
        </is>
      </c>
      <c r="C3451" s="9" t="inlineStr">
        <is>
          <t>MIL</t>
        </is>
      </c>
      <c r="D3451" s="9" t="n">
        <v>35</v>
      </c>
      <c r="E3451" s="18" t="inlineStr">
        <is>
          <t>L</t>
        </is>
      </c>
      <c r="F3451" s="18" t="n"/>
      <c r="G3451" s="9" t="n">
        <v>93</v>
      </c>
      <c r="H3451" s="9" t="n">
        <v>235</v>
      </c>
      <c r="I3451" s="9" t="inlineStr">
        <is>
          <t>Bullpen Depth Arm</t>
        </is>
      </c>
      <c r="J3451" s="18" t="inlineStr">
        <is>
          <t>Opening Day</t>
        </is>
      </c>
      <c r="K3451" s="11">
        <f>IFERROR(INDEX(Roles!$B$17:$B$20,MATCH(J3451,Roles!$A$17:$A$20,0)),1)</f>
        <v/>
      </c>
      <c r="L3451" s="19" t="n">
        <v>1</v>
      </c>
      <c r="M3451" s="11" t="n">
        <v>1</v>
      </c>
      <c r="N3451" s="19" t="n"/>
      <c r="O3451" s="19" t="n"/>
      <c r="P3451" s="19" t="n"/>
      <c r="Q3451" s="19" t="n"/>
      <c r="R3451" s="19" t="n"/>
      <c r="S3451" s="19" t="n"/>
      <c r="T3451" s="19" t="n"/>
      <c r="U3451" s="19" t="n"/>
      <c r="V3451" s="19" t="n"/>
      <c r="W3451" s="19" t="n">
        <v>1</v>
      </c>
      <c r="X3451" s="19" t="n"/>
      <c r="Y3451" s="19" t="n"/>
      <c r="Z3451" s="13">
        <f>SUMPRODUCT(N3451:Y3451,$N$2:$Y$2)*$K3451*$L3451*$M3451</f>
        <v/>
      </c>
      <c r="AA3451" s="14">
        <f>SUM(N3451:Y3451)</f>
        <v/>
      </c>
      <c r="AB3451" s="13">
        <f>SUMPRODUCT(N3451:Y3451,$N$3:$Y$3)*$K3451*$L3451*$M3451</f>
        <v/>
      </c>
      <c r="AC3451" s="13">
        <f>SUMPRODUCT(N3451:Y3451,$N$4:$Y$4)*$K3451*$L3451*$M3451</f>
        <v/>
      </c>
      <c r="AD3451" s="15" t="n">
        <v>17.86666666666667</v>
      </c>
      <c r="AE3451" s="11" t="n">
        <v>1.083838646680177</v>
      </c>
      <c r="AF3451" s="16">
        <f>SUMPRODUCT(N3451:Y3451,$N$5:$Y$5)*$K3451*$L3451*$M3451</f>
        <v/>
      </c>
      <c r="AG3451" s="16">
        <f>SUMPRODUCT(N3451:Y3451,$N$6:$Y$6)*$K3451*$L3451*$M3451</f>
        <v/>
      </c>
      <c r="AH3451" s="20" t="n"/>
    </row>
    <row r="3452">
      <c r="A3452" s="9" t="n">
        <v>641739</v>
      </c>
      <c r="B3452" s="9" t="inlineStr">
        <is>
          <t>Rob Kaminsky</t>
        </is>
      </c>
      <c r="C3452" s="9" t="inlineStr">
        <is>
          <t>LAA</t>
        </is>
      </c>
      <c r="D3452" s="9" t="n">
        <v>25</v>
      </c>
      <c r="E3452" s="18" t="inlineStr">
        <is>
          <t>L</t>
        </is>
      </c>
      <c r="F3452" s="18" t="n"/>
      <c r="G3452" s="9" t="n">
        <v>103.2716666666667</v>
      </c>
      <c r="H3452" s="9" t="n">
        <v>103.2716666666667</v>
      </c>
      <c r="I3452" s="9" t="inlineStr">
        <is>
          <t>Depth (no MLB IP)</t>
        </is>
      </c>
      <c r="J3452" s="18" t="inlineStr">
        <is>
          <t>Opening Day</t>
        </is>
      </c>
      <c r="K3452" s="11">
        <f>IFERROR(INDEX(Roles!$B$17:$B$20,MATCH(J3452,Roles!$A$17:$A$20,0)),1)</f>
        <v/>
      </c>
      <c r="L3452" s="19" t="n">
        <v>1</v>
      </c>
      <c r="M3452" s="11" t="n">
        <v>1</v>
      </c>
      <c r="N3452" s="19" t="n"/>
      <c r="O3452" s="19" t="n"/>
      <c r="P3452" s="19" t="n"/>
      <c r="Q3452" s="19" t="n"/>
      <c r="R3452" s="19" t="n"/>
      <c r="S3452" s="19" t="n"/>
      <c r="T3452" s="19" t="n"/>
      <c r="U3452" s="19" t="n"/>
      <c r="V3452" s="19" t="n"/>
      <c r="W3452" s="19" t="n"/>
      <c r="X3452" s="19" t="n"/>
      <c r="Y3452" s="19" t="n">
        <v>1</v>
      </c>
      <c r="Z3452" s="13">
        <f>SUMPRODUCT(N3452:Y3452,$N$2:$Y$2)*$K3452*$L3452*$M3452</f>
        <v/>
      </c>
      <c r="AA3452" s="14">
        <f>SUM(N3452:Y3452)</f>
        <v/>
      </c>
      <c r="AB3452" s="13">
        <f>SUMPRODUCT(N3452:Y3452,$N$3:$Y$3)*$K3452*$L3452*$M3452</f>
        <v/>
      </c>
      <c r="AC3452" s="13">
        <f>SUMPRODUCT(N3452:Y3452,$N$4:$Y$4)*$K3452*$L3452*$M3452</f>
        <v/>
      </c>
      <c r="AD3452" s="15" t="n">
        <v>3</v>
      </c>
      <c r="AE3452" s="11" t="n">
        <v>1.011296296296296</v>
      </c>
      <c r="AF3452" s="16">
        <f>SUMPRODUCT(N3452:Y3452,$N$5:$Y$5)*$K3452*$L3452*$M3452</f>
        <v/>
      </c>
      <c r="AG3452" s="16">
        <f>SUMPRODUCT(N3452:Y3452,$N$6:$Y$6)*$K3452*$L3452*$M3452</f>
        <v/>
      </c>
      <c r="AH3452" s="20" t="n"/>
    </row>
    <row r="3453">
      <c r="A3453" s="9" t="n">
        <v>678142</v>
      </c>
      <c r="B3453" s="9" t="inlineStr">
        <is>
          <t>Cedric De Grandpre</t>
        </is>
      </c>
      <c r="C3453" s="9" t="inlineStr">
        <is>
          <t>ATL</t>
        </is>
      </c>
      <c r="D3453" s="9" t="n">
        <v>25</v>
      </c>
      <c r="E3453" s="18" t="inlineStr">
        <is>
          <t>R</t>
        </is>
      </c>
      <c r="F3453" s="18" t="n"/>
      <c r="G3453" s="9" t="n">
        <v>103.2716666666667</v>
      </c>
      <c r="H3453" s="9" t="n">
        <v>103.2716666666667</v>
      </c>
      <c r="I3453" s="9" t="inlineStr">
        <is>
          <t>Depth (no MLB IP)</t>
        </is>
      </c>
      <c r="J3453" s="18" t="inlineStr">
        <is>
          <t>Opening Day</t>
        </is>
      </c>
      <c r="K3453" s="11">
        <f>IFERROR(INDEX(Roles!$B$17:$B$20,MATCH(J3453,Roles!$A$17:$A$20,0)),1)</f>
        <v/>
      </c>
      <c r="L3453" s="19" t="n">
        <v>1</v>
      </c>
      <c r="M3453" s="11" t="n">
        <v>1</v>
      </c>
      <c r="N3453" s="19" t="n"/>
      <c r="O3453" s="19" t="n"/>
      <c r="P3453" s="19" t="n"/>
      <c r="Q3453" s="19" t="n"/>
      <c r="R3453" s="19" t="n"/>
      <c r="S3453" s="19" t="n"/>
      <c r="T3453" s="19" t="n"/>
      <c r="U3453" s="19" t="n"/>
      <c r="V3453" s="19" t="n"/>
      <c r="W3453" s="19" t="n"/>
      <c r="X3453" s="19" t="n"/>
      <c r="Y3453" s="19" t="n">
        <v>1</v>
      </c>
      <c r="Z3453" s="13">
        <f>SUMPRODUCT(N3453:Y3453,$N$2:$Y$2)*$K3453*$L3453*$M3453</f>
        <v/>
      </c>
      <c r="AA3453" s="14">
        <f>SUM(N3453:Y3453)</f>
        <v/>
      </c>
      <c r="AB3453" s="13">
        <f>SUMPRODUCT(N3453:Y3453,$N$3:$Y$3)*$K3453*$L3453*$M3453</f>
        <v/>
      </c>
      <c r="AC3453" s="13">
        <f>SUMPRODUCT(N3453:Y3453,$N$4:$Y$4)*$K3453*$L3453*$M3453</f>
        <v/>
      </c>
      <c r="AD3453" s="15" t="n">
        <v>3</v>
      </c>
      <c r="AE3453" s="11" t="n">
        <v>1.011296296296296</v>
      </c>
      <c r="AF3453" s="16">
        <f>SUMPRODUCT(N3453:Y3453,$N$5:$Y$5)*$K3453*$L3453*$M3453</f>
        <v/>
      </c>
      <c r="AG3453" s="16">
        <f>SUMPRODUCT(N3453:Y3453,$N$6:$Y$6)*$K3453*$L3453*$M3453</f>
        <v/>
      </c>
      <c r="AH3453" s="20" t="n"/>
    </row>
    <row r="3454">
      <c r="A3454" s="9" t="n">
        <v>666818</v>
      </c>
      <c r="B3454" s="9" t="inlineStr">
        <is>
          <t>Luis Frías</t>
        </is>
      </c>
      <c r="C3454" s="9" t="inlineStr">
        <is>
          <t>TOR</t>
        </is>
      </c>
      <c r="D3454" s="9" t="n">
        <v>29</v>
      </c>
      <c r="E3454" s="18" t="inlineStr">
        <is>
          <t>R</t>
        </is>
      </c>
      <c r="F3454" s="18" t="n"/>
      <c r="G3454" s="9" t="n">
        <v>53</v>
      </c>
      <c r="H3454" s="9" t="n">
        <v>282</v>
      </c>
      <c r="I3454" s="9" t="inlineStr">
        <is>
          <t>Depth (no MLB IP)</t>
        </is>
      </c>
      <c r="J3454" s="18" t="inlineStr">
        <is>
          <t>Opening Day</t>
        </is>
      </c>
      <c r="K3454" s="11">
        <f>IFERROR(INDEX(Roles!$B$17:$B$20,MATCH(J3454,Roles!$A$17:$A$20,0)),1)</f>
        <v/>
      </c>
      <c r="L3454" s="19" t="n">
        <v>1</v>
      </c>
      <c r="M3454" s="11" t="n">
        <v>1</v>
      </c>
      <c r="N3454" s="19" t="n"/>
      <c r="O3454" s="19" t="n"/>
      <c r="P3454" s="19" t="n"/>
      <c r="Q3454" s="19" t="n"/>
      <c r="R3454" s="19" t="n"/>
      <c r="S3454" s="19" t="n"/>
      <c r="T3454" s="19" t="n"/>
      <c r="U3454" s="19" t="n"/>
      <c r="V3454" s="19" t="n"/>
      <c r="W3454" s="19" t="n"/>
      <c r="X3454" s="19" t="n"/>
      <c r="Y3454" s="19" t="n">
        <v>1</v>
      </c>
      <c r="Z3454" s="13">
        <f>SUMPRODUCT(N3454:Y3454,$N$2:$Y$2)*$K3454*$L3454*$M3454</f>
        <v/>
      </c>
      <c r="AA3454" s="14">
        <f>SUM(N3454:Y3454)</f>
        <v/>
      </c>
      <c r="AB3454" s="13">
        <f>SUMPRODUCT(N3454:Y3454,$N$3:$Y$3)*$K3454*$L3454*$M3454</f>
        <v/>
      </c>
      <c r="AC3454" s="13">
        <f>SUMPRODUCT(N3454:Y3454,$N$4:$Y$4)*$K3454*$L3454*$M3454</f>
        <v/>
      </c>
      <c r="AD3454" s="15" t="n">
        <v>7.8</v>
      </c>
      <c r="AE3454" s="11" t="n">
        <v>0.9671268237934902</v>
      </c>
      <c r="AF3454" s="16">
        <f>SUMPRODUCT(N3454:Y3454,$N$5:$Y$5)*$K3454*$L3454*$M3454</f>
        <v/>
      </c>
      <c r="AG3454" s="16">
        <f>SUMPRODUCT(N3454:Y3454,$N$6:$Y$6)*$K3454*$L3454*$M3454</f>
        <v/>
      </c>
      <c r="AH3454" s="20" t="n"/>
    </row>
    <row r="3455">
      <c r="A3455" s="9" t="n">
        <v>686873</v>
      </c>
      <c r="B3455" s="9" t="inlineStr">
        <is>
          <t>Nick Zwack</t>
        </is>
      </c>
      <c r="C3455" s="9" t="inlineStr">
        <is>
          <t>SF</t>
        </is>
      </c>
      <c r="D3455" s="9" t="n">
        <v>25</v>
      </c>
      <c r="E3455" s="18" t="inlineStr">
        <is>
          <t>L</t>
        </is>
      </c>
      <c r="F3455" s="18" t="n"/>
      <c r="G3455" s="9" t="n">
        <v>103.2716666666667</v>
      </c>
      <c r="H3455" s="9" t="n">
        <v>103.2716666666667</v>
      </c>
      <c r="I3455" s="9" t="inlineStr">
        <is>
          <t>Depth (no MLB IP)</t>
        </is>
      </c>
      <c r="J3455" s="18" t="inlineStr">
        <is>
          <t>Opening Day</t>
        </is>
      </c>
      <c r="K3455" s="11">
        <f>IFERROR(INDEX(Roles!$B$17:$B$20,MATCH(J3455,Roles!$A$17:$A$20,0)),1)</f>
        <v/>
      </c>
      <c r="L3455" s="19" t="n">
        <v>1</v>
      </c>
      <c r="M3455" s="11" t="n">
        <v>1</v>
      </c>
      <c r="N3455" s="19" t="n"/>
      <c r="O3455" s="19" t="n"/>
      <c r="P3455" s="19" t="n"/>
      <c r="Q3455" s="19" t="n"/>
      <c r="R3455" s="19" t="n"/>
      <c r="S3455" s="19" t="n"/>
      <c r="T3455" s="19" t="n"/>
      <c r="U3455" s="19" t="n"/>
      <c r="V3455" s="19" t="n"/>
      <c r="W3455" s="19" t="n"/>
      <c r="X3455" s="19" t="n"/>
      <c r="Y3455" s="19" t="n">
        <v>1</v>
      </c>
      <c r="Z3455" s="13">
        <f>SUMPRODUCT(N3455:Y3455,$N$2:$Y$2)*$K3455*$L3455*$M3455</f>
        <v/>
      </c>
      <c r="AA3455" s="14">
        <f>SUM(N3455:Y3455)</f>
        <v/>
      </c>
      <c r="AB3455" s="13">
        <f>SUMPRODUCT(N3455:Y3455,$N$3:$Y$3)*$K3455*$L3455*$M3455</f>
        <v/>
      </c>
      <c r="AC3455" s="13">
        <f>SUMPRODUCT(N3455:Y3455,$N$4:$Y$4)*$K3455*$L3455*$M3455</f>
        <v/>
      </c>
      <c r="AD3455" s="15" t="n">
        <v>3</v>
      </c>
      <c r="AE3455" s="11" t="n">
        <v>1.011296296296296</v>
      </c>
      <c r="AF3455" s="16">
        <f>SUMPRODUCT(N3455:Y3455,$N$5:$Y$5)*$K3455*$L3455*$M3455</f>
        <v/>
      </c>
      <c r="AG3455" s="16">
        <f>SUMPRODUCT(N3455:Y3455,$N$6:$Y$6)*$K3455*$L3455*$M3455</f>
        <v/>
      </c>
      <c r="AH3455" s="20" t="n"/>
    </row>
    <row r="3456">
      <c r="A3456" s="9" t="n">
        <v>669438</v>
      </c>
      <c r="B3456" s="9" t="inlineStr">
        <is>
          <t>Mason Englert</t>
        </is>
      </c>
      <c r="C3456" s="9" t="inlineStr">
        <is>
          <t>TB</t>
        </is>
      </c>
      <c r="D3456" s="9" t="n">
        <v>27</v>
      </c>
      <c r="E3456" s="18" t="inlineStr">
        <is>
          <t>R</t>
        </is>
      </c>
      <c r="F3456" s="18" t="n"/>
      <c r="G3456" s="9" t="n">
        <v>179</v>
      </c>
      <c r="H3456" s="9" t="n">
        <v>710</v>
      </c>
      <c r="I3456" s="9" t="inlineStr">
        <is>
          <t>Bullpen Depth Arm</t>
        </is>
      </c>
      <c r="J3456" s="18" t="inlineStr">
        <is>
          <t>Opening Day</t>
        </is>
      </c>
      <c r="K3456" s="11">
        <f>IFERROR(INDEX(Roles!$B$17:$B$20,MATCH(J3456,Roles!$A$17:$A$20,0)),1)</f>
        <v/>
      </c>
      <c r="L3456" s="19" t="n">
        <v>1</v>
      </c>
      <c r="M3456" s="11" t="n">
        <v>1</v>
      </c>
      <c r="N3456" s="19" t="n"/>
      <c r="O3456" s="19" t="n"/>
      <c r="P3456" s="19" t="n"/>
      <c r="Q3456" s="19" t="n"/>
      <c r="R3456" s="19" t="n"/>
      <c r="S3456" s="19" t="n"/>
      <c r="T3456" s="19" t="n"/>
      <c r="U3456" s="19" t="n"/>
      <c r="V3456" s="19" t="n"/>
      <c r="W3456" s="19" t="n">
        <v>1</v>
      </c>
      <c r="X3456" s="19" t="n"/>
      <c r="Y3456" s="19" t="n"/>
      <c r="Z3456" s="13">
        <f>SUMPRODUCT(N3456:Y3456,$N$2:$Y$2)*$K3456*$L3456*$M3456</f>
        <v/>
      </c>
      <c r="AA3456" s="14">
        <f>SUM(N3456:Y3456)</f>
        <v/>
      </c>
      <c r="AB3456" s="13">
        <f>SUMPRODUCT(N3456:Y3456,$N$3:$Y$3)*$K3456*$L3456*$M3456</f>
        <v/>
      </c>
      <c r="AC3456" s="13">
        <f>SUMPRODUCT(N3456:Y3456,$N$4:$Y$4)*$K3456*$L3456*$M3456</f>
        <v/>
      </c>
      <c r="AD3456" s="15" t="n">
        <v>17.16666666666666</v>
      </c>
      <c r="AE3456" s="11" t="n">
        <v>1.465275250782497</v>
      </c>
      <c r="AF3456" s="16">
        <f>SUMPRODUCT(N3456:Y3456,$N$5:$Y$5)*$K3456*$L3456*$M3456</f>
        <v/>
      </c>
      <c r="AG3456" s="16">
        <f>SUMPRODUCT(N3456:Y3456,$N$6:$Y$6)*$K3456*$L3456*$M3456</f>
        <v/>
      </c>
      <c r="AH3456" s="20" t="n"/>
    </row>
    <row r="3457">
      <c r="A3457" s="9" t="n">
        <v>699613</v>
      </c>
      <c r="B3457" s="9" t="inlineStr">
        <is>
          <t>Houston Harding</t>
        </is>
      </c>
      <c r="C3457" s="9" t="inlineStr">
        <is>
          <t>LAA</t>
        </is>
      </c>
      <c r="D3457" s="9" t="n">
        <v>25</v>
      </c>
      <c r="E3457" s="18" t="inlineStr">
        <is>
          <t>L</t>
        </is>
      </c>
      <c r="F3457" s="18" t="n"/>
      <c r="G3457" s="9" t="n">
        <v>103.2716666666667</v>
      </c>
      <c r="H3457" s="9" t="n">
        <v>103.2716666666667</v>
      </c>
      <c r="I3457" s="9" t="inlineStr">
        <is>
          <t>Depth (no MLB IP)</t>
        </is>
      </c>
      <c r="J3457" s="18" t="inlineStr">
        <is>
          <t>Opening Day</t>
        </is>
      </c>
      <c r="K3457" s="11">
        <f>IFERROR(INDEX(Roles!$B$17:$B$20,MATCH(J3457,Roles!$A$17:$A$20,0)),1)</f>
        <v/>
      </c>
      <c r="L3457" s="19" t="n">
        <v>1</v>
      </c>
      <c r="M3457" s="11" t="n">
        <v>1</v>
      </c>
      <c r="N3457" s="19" t="n"/>
      <c r="O3457" s="19" t="n"/>
      <c r="P3457" s="19" t="n"/>
      <c r="Q3457" s="19" t="n"/>
      <c r="R3457" s="19" t="n"/>
      <c r="S3457" s="19" t="n"/>
      <c r="T3457" s="19" t="n"/>
      <c r="U3457" s="19" t="n"/>
      <c r="V3457" s="19" t="n"/>
      <c r="W3457" s="19" t="n"/>
      <c r="X3457" s="19" t="n"/>
      <c r="Y3457" s="19" t="n">
        <v>1</v>
      </c>
      <c r="Z3457" s="13">
        <f>SUMPRODUCT(N3457:Y3457,$N$2:$Y$2)*$K3457*$L3457*$M3457</f>
        <v/>
      </c>
      <c r="AA3457" s="14">
        <f>SUM(N3457:Y3457)</f>
        <v/>
      </c>
      <c r="AB3457" s="13">
        <f>SUMPRODUCT(N3457:Y3457,$N$3:$Y$3)*$K3457*$L3457*$M3457</f>
        <v/>
      </c>
      <c r="AC3457" s="13">
        <f>SUMPRODUCT(N3457:Y3457,$N$4:$Y$4)*$K3457*$L3457*$M3457</f>
        <v/>
      </c>
      <c r="AD3457" s="15" t="n">
        <v>3</v>
      </c>
      <c r="AE3457" s="11" t="n">
        <v>1.011296296296296</v>
      </c>
      <c r="AF3457" s="16">
        <f>SUMPRODUCT(N3457:Y3457,$N$5:$Y$5)*$K3457*$L3457*$M3457</f>
        <v/>
      </c>
      <c r="AG3457" s="16">
        <f>SUMPRODUCT(N3457:Y3457,$N$6:$Y$6)*$K3457*$L3457*$M3457</f>
        <v/>
      </c>
      <c r="AH3457" s="20" t="n"/>
    </row>
    <row r="3458">
      <c r="A3458" s="9" t="n">
        <v>674022</v>
      </c>
      <c r="B3458" s="9" t="inlineStr">
        <is>
          <t>Jason Ruffcorn</t>
        </is>
      </c>
      <c r="C3458" s="9" t="inlineStr">
        <is>
          <t>SEA</t>
        </is>
      </c>
      <c r="D3458" s="9" t="n">
        <v>25</v>
      </c>
      <c r="E3458" s="18" t="inlineStr">
        <is>
          <t>R</t>
        </is>
      </c>
      <c r="F3458" s="18" t="n"/>
      <c r="G3458" s="9" t="n">
        <v>103.3433333333333</v>
      </c>
      <c r="H3458" s="9" t="n">
        <v>103.3433333333333</v>
      </c>
      <c r="I3458" s="9" t="inlineStr">
        <is>
          <t>Depth (no MLB IP)</t>
        </is>
      </c>
      <c r="J3458" s="18" t="inlineStr">
        <is>
          <t>Opening Day</t>
        </is>
      </c>
      <c r="K3458" s="11">
        <f>IFERROR(INDEX(Roles!$B$17:$B$20,MATCH(J3458,Roles!$A$17:$A$20,0)),1)</f>
        <v/>
      </c>
      <c r="L3458" s="19" t="n">
        <v>1</v>
      </c>
      <c r="M3458" s="11" t="n">
        <v>1</v>
      </c>
      <c r="N3458" s="19" t="n"/>
      <c r="O3458" s="19" t="n"/>
      <c r="P3458" s="19" t="n"/>
      <c r="Q3458" s="19" t="n"/>
      <c r="R3458" s="19" t="n"/>
      <c r="S3458" s="19" t="n"/>
      <c r="T3458" s="19" t="n"/>
      <c r="U3458" s="19" t="n"/>
      <c r="V3458" s="19" t="n"/>
      <c r="W3458" s="19" t="n"/>
      <c r="X3458" s="19" t="n"/>
      <c r="Y3458" s="19" t="n">
        <v>1</v>
      </c>
      <c r="Z3458" s="13">
        <f>SUMPRODUCT(N3458:Y3458,$N$2:$Y$2)*$K3458*$L3458*$M3458</f>
        <v/>
      </c>
      <c r="AA3458" s="14">
        <f>SUM(N3458:Y3458)</f>
        <v/>
      </c>
      <c r="AB3458" s="13">
        <f>SUMPRODUCT(N3458:Y3458,$N$3:$Y$3)*$K3458*$L3458*$M3458</f>
        <v/>
      </c>
      <c r="AC3458" s="13">
        <f>SUMPRODUCT(N3458:Y3458,$N$4:$Y$4)*$K3458*$L3458*$M3458</f>
        <v/>
      </c>
      <c r="AD3458" s="15" t="n">
        <v>3</v>
      </c>
      <c r="AE3458" s="11" t="n">
        <v>1.011296296296296</v>
      </c>
      <c r="AF3458" s="16">
        <f>SUMPRODUCT(N3458:Y3458,$N$5:$Y$5)*$K3458*$L3458*$M3458</f>
        <v/>
      </c>
      <c r="AG3458" s="16">
        <f>SUMPRODUCT(N3458:Y3458,$N$6:$Y$6)*$K3458*$L3458*$M3458</f>
        <v/>
      </c>
      <c r="AH3458" s="20" t="n"/>
    </row>
    <row r="3459">
      <c r="A3459" s="9" t="n">
        <v>800514</v>
      </c>
      <c r="B3459" s="9" t="inlineStr">
        <is>
          <t>Carlos Espinosa</t>
        </is>
      </c>
      <c r="C3459" s="9" t="inlineStr">
        <is>
          <t>LAA</t>
        </is>
      </c>
      <c r="D3459" s="9" t="n">
        <v>25</v>
      </c>
      <c r="E3459" s="18" t="inlineStr">
        <is>
          <t>R</t>
        </is>
      </c>
      <c r="F3459" s="18" t="n"/>
      <c r="G3459" s="9" t="n">
        <v>103.3433333333333</v>
      </c>
      <c r="H3459" s="9" t="n">
        <v>103.3433333333333</v>
      </c>
      <c r="I3459" s="9" t="inlineStr">
        <is>
          <t>Depth (no MLB IP)</t>
        </is>
      </c>
      <c r="J3459" s="18" t="inlineStr">
        <is>
          <t>Opening Day</t>
        </is>
      </c>
      <c r="K3459" s="11">
        <f>IFERROR(INDEX(Roles!$B$17:$B$20,MATCH(J3459,Roles!$A$17:$A$20,0)),1)</f>
        <v/>
      </c>
      <c r="L3459" s="19" t="n">
        <v>1</v>
      </c>
      <c r="M3459" s="11" t="n">
        <v>1</v>
      </c>
      <c r="N3459" s="19" t="n"/>
      <c r="O3459" s="19" t="n"/>
      <c r="P3459" s="19" t="n"/>
      <c r="Q3459" s="19" t="n"/>
      <c r="R3459" s="19" t="n"/>
      <c r="S3459" s="19" t="n"/>
      <c r="T3459" s="19" t="n"/>
      <c r="U3459" s="19" t="n"/>
      <c r="V3459" s="19" t="n"/>
      <c r="W3459" s="19" t="n"/>
      <c r="X3459" s="19" t="n"/>
      <c r="Y3459" s="19" t="n">
        <v>1</v>
      </c>
      <c r="Z3459" s="13">
        <f>SUMPRODUCT(N3459:Y3459,$N$2:$Y$2)*$K3459*$L3459*$M3459</f>
        <v/>
      </c>
      <c r="AA3459" s="14">
        <f>SUM(N3459:Y3459)</f>
        <v/>
      </c>
      <c r="AB3459" s="13">
        <f>SUMPRODUCT(N3459:Y3459,$N$3:$Y$3)*$K3459*$L3459*$M3459</f>
        <v/>
      </c>
      <c r="AC3459" s="13">
        <f>SUMPRODUCT(N3459:Y3459,$N$4:$Y$4)*$K3459*$L3459*$M3459</f>
        <v/>
      </c>
      <c r="AD3459" s="15" t="n">
        <v>3</v>
      </c>
      <c r="AE3459" s="11" t="n">
        <v>1.011296296296296</v>
      </c>
      <c r="AF3459" s="16">
        <f>SUMPRODUCT(N3459:Y3459,$N$5:$Y$5)*$K3459*$L3459*$M3459</f>
        <v/>
      </c>
      <c r="AG3459" s="16">
        <f>SUMPRODUCT(N3459:Y3459,$N$6:$Y$6)*$K3459*$L3459*$M3459</f>
        <v/>
      </c>
      <c r="AH3459" s="20" t="n"/>
    </row>
    <row r="3460">
      <c r="A3460" s="9" t="n">
        <v>805906</v>
      </c>
      <c r="B3460" s="9" t="inlineStr">
        <is>
          <t>Gage Wood</t>
        </is>
      </c>
      <c r="C3460" s="9" t="inlineStr">
        <is>
          <t>PHI</t>
        </is>
      </c>
      <c r="D3460" s="9" t="n">
        <v>24</v>
      </c>
      <c r="E3460" s="18" t="inlineStr">
        <is>
          <t>R</t>
        </is>
      </c>
      <c r="F3460" s="18" t="n"/>
      <c r="G3460" s="9" t="n">
        <v>103.3433333333333</v>
      </c>
      <c r="H3460" s="9" t="n">
        <v>103.3433333333333</v>
      </c>
      <c r="I3460" s="9" t="inlineStr">
        <is>
          <t>Innings-Limited Starter</t>
        </is>
      </c>
      <c r="J3460" s="18" t="inlineStr">
        <is>
          <t>Mid Season (~July)</t>
        </is>
      </c>
      <c r="K3460" s="11">
        <f>IFERROR(INDEX(Roles!$B$17:$B$20,MATCH(J3460,Roles!$A$17:$A$20,0)),1)</f>
        <v/>
      </c>
      <c r="L3460" s="19" t="n">
        <v>1</v>
      </c>
      <c r="M3460" s="11" t="n">
        <v>1</v>
      </c>
      <c r="N3460" s="19" t="n"/>
      <c r="O3460" s="19" t="n"/>
      <c r="P3460" s="19" t="n"/>
      <c r="Q3460" s="19" t="n">
        <v>0.46</v>
      </c>
      <c r="R3460" s="19" t="n">
        <v>0.3</v>
      </c>
      <c r="S3460" s="19" t="n"/>
      <c r="T3460" s="19" t="n"/>
      <c r="U3460" s="19" t="n"/>
      <c r="V3460" s="19" t="n"/>
      <c r="W3460" s="19" t="n">
        <v>0.24</v>
      </c>
      <c r="X3460" s="19" t="n"/>
      <c r="Y3460" s="19" t="n"/>
      <c r="Z3460" s="13">
        <f>SUMPRODUCT(N3460:Y3460,$N$2:$Y$2)*$K3460*$L3460*$M3460</f>
        <v/>
      </c>
      <c r="AA3460" s="14">
        <f>SUM(N3460:Y3460)</f>
        <v/>
      </c>
      <c r="AB3460" s="13">
        <f>SUMPRODUCT(N3460:Y3460,$N$3:$Y$3)*$K3460*$L3460*$M3460</f>
        <v/>
      </c>
      <c r="AC3460" s="13">
        <f>SUMPRODUCT(N3460:Y3460,$N$4:$Y$4)*$K3460*$L3460*$M3460</f>
        <v/>
      </c>
      <c r="AD3460" s="15" t="n">
        <v>27.52</v>
      </c>
      <c r="AE3460" s="11" t="n">
        <v>3.223110465116278</v>
      </c>
      <c r="AF3460" s="16">
        <f>SUMPRODUCT(N3460:Y3460,$N$5:$Y$5)*$K3460*$L3460*$M3460</f>
        <v/>
      </c>
      <c r="AG3460" s="16">
        <f>SUMPRODUCT(N3460:Y3460,$N$6:$Y$6)*$K3460*$L3460*$M3460</f>
        <v/>
      </c>
      <c r="AH3460" s="20" t="n"/>
    </row>
    <row r="3461">
      <c r="A3461" s="9" t="n">
        <v>669461</v>
      </c>
      <c r="B3461" s="9" t="inlineStr">
        <is>
          <t>Matthew Liberatore</t>
        </is>
      </c>
      <c r="C3461" s="9" t="inlineStr">
        <is>
          <t>STL</t>
        </is>
      </c>
      <c r="D3461" s="9" t="n">
        <v>27</v>
      </c>
      <c r="E3461" s="18" t="inlineStr">
        <is>
          <t>L</t>
        </is>
      </c>
      <c r="F3461" s="18" t="n"/>
      <c r="G3461" s="9" t="n">
        <v>674</v>
      </c>
      <c r="H3461" s="9" t="n">
        <v>2116</v>
      </c>
      <c r="I3461" s="9" t="inlineStr">
        <is>
          <t>Mid-Rotation Starter (SP2-3)</t>
        </is>
      </c>
      <c r="J3461" s="18" t="inlineStr">
        <is>
          <t>Opening Day</t>
        </is>
      </c>
      <c r="K3461" s="11">
        <f>IFERROR(INDEX(Roles!$B$17:$B$20,MATCH(J3461,Roles!$A$17:$A$20,0)),1)</f>
        <v/>
      </c>
      <c r="L3461" s="19" t="n">
        <v>1</v>
      </c>
      <c r="M3461" s="11" t="n">
        <v>1</v>
      </c>
      <c r="N3461" s="19" t="n"/>
      <c r="O3461" s="19" t="n">
        <v>0.5</v>
      </c>
      <c r="P3461" s="19" t="n">
        <v>0.5</v>
      </c>
      <c r="Q3461" s="19" t="n"/>
      <c r="R3461" s="19" t="n"/>
      <c r="S3461" s="19" t="n"/>
      <c r="T3461" s="19" t="n"/>
      <c r="U3461" s="19" t="n"/>
      <c r="V3461" s="19" t="n"/>
      <c r="W3461" s="19" t="n"/>
      <c r="X3461" s="19" t="n"/>
      <c r="Y3461" s="19" t="n"/>
      <c r="Z3461" s="13">
        <f>SUMPRODUCT(N3461:Y3461,$N$2:$Y$2)*$K3461*$L3461*$M3461</f>
        <v/>
      </c>
      <c r="AA3461" s="14">
        <f>SUM(N3461:Y3461)</f>
        <v/>
      </c>
      <c r="AB3461" s="13">
        <f>SUMPRODUCT(N3461:Y3461,$N$3:$Y$3)*$K3461*$L3461*$M3461</f>
        <v/>
      </c>
      <c r="AC3461" s="13">
        <f>SUMPRODUCT(N3461:Y3461,$N$4:$Y$4)*$K3461*$L3461*$M3461</f>
        <v/>
      </c>
      <c r="AD3461" s="15" t="n">
        <v>31.5</v>
      </c>
      <c r="AE3461" s="11" t="n">
        <v>4.819191764765836</v>
      </c>
      <c r="AF3461" s="16">
        <f>SUMPRODUCT(N3461:Y3461,$N$5:$Y$5)*$K3461*$L3461*$M3461</f>
        <v/>
      </c>
      <c r="AG3461" s="16">
        <f>SUMPRODUCT(N3461:Y3461,$N$6:$Y$6)*$K3461*$L3461*$M3461</f>
        <v/>
      </c>
      <c r="AH3461" s="20" t="n"/>
    </row>
    <row r="3462">
      <c r="A3462" s="9" t="n">
        <v>685116</v>
      </c>
      <c r="B3462" s="9" t="inlineStr">
        <is>
          <t>Austin Kitchen</t>
        </is>
      </c>
      <c r="C3462" s="9" t="inlineStr">
        <is>
          <t>MIA</t>
        </is>
      </c>
      <c r="D3462" s="9" t="n">
        <v>30</v>
      </c>
      <c r="E3462" s="18" t="inlineStr">
        <is>
          <t>L</t>
        </is>
      </c>
      <c r="F3462" s="18" t="n"/>
      <c r="G3462" s="9" t="n">
        <v>42</v>
      </c>
      <c r="H3462" s="9" t="n">
        <v>42</v>
      </c>
      <c r="I3462" s="9" t="inlineStr">
        <is>
          <t>Depth (no MLB IP)</t>
        </is>
      </c>
      <c r="J3462" s="18" t="inlineStr">
        <is>
          <t>Opening Day</t>
        </is>
      </c>
      <c r="K3462" s="11">
        <f>IFERROR(INDEX(Roles!$B$17:$B$20,MATCH(J3462,Roles!$A$17:$A$20,0)),1)</f>
        <v/>
      </c>
      <c r="L3462" s="19" t="n">
        <v>1</v>
      </c>
      <c r="M3462" s="11" t="n">
        <v>1</v>
      </c>
      <c r="N3462" s="19" t="n"/>
      <c r="O3462" s="19" t="n"/>
      <c r="P3462" s="19" t="n"/>
      <c r="Q3462" s="19" t="n"/>
      <c r="R3462" s="19" t="n"/>
      <c r="S3462" s="19" t="n"/>
      <c r="T3462" s="19" t="n"/>
      <c r="U3462" s="19" t="n"/>
      <c r="V3462" s="19" t="n"/>
      <c r="W3462" s="19" t="n"/>
      <c r="X3462" s="19" t="n"/>
      <c r="Y3462" s="19" t="n">
        <v>1</v>
      </c>
      <c r="Z3462" s="13">
        <f>SUMPRODUCT(N3462:Y3462,$N$2:$Y$2)*$K3462*$L3462*$M3462</f>
        <v/>
      </c>
      <c r="AA3462" s="14">
        <f>SUM(N3462:Y3462)</f>
        <v/>
      </c>
      <c r="AB3462" s="13">
        <f>SUMPRODUCT(N3462:Y3462,$N$3:$Y$3)*$K3462*$L3462*$M3462</f>
        <v/>
      </c>
      <c r="AC3462" s="13">
        <f>SUMPRODUCT(N3462:Y3462,$N$4:$Y$4)*$K3462*$L3462*$M3462</f>
        <v/>
      </c>
      <c r="AD3462" s="15" t="n">
        <v>3.6</v>
      </c>
      <c r="AE3462" s="11" t="n">
        <v>1.257530864197531</v>
      </c>
      <c r="AF3462" s="16">
        <f>SUMPRODUCT(N3462:Y3462,$N$5:$Y$5)*$K3462*$L3462*$M3462</f>
        <v/>
      </c>
      <c r="AG3462" s="16">
        <f>SUMPRODUCT(N3462:Y3462,$N$6:$Y$6)*$K3462*$L3462*$M3462</f>
        <v/>
      </c>
      <c r="AH3462" s="20" t="n"/>
    </row>
    <row r="3463">
      <c r="A3463" s="9" t="n">
        <v>694573</v>
      </c>
      <c r="B3463" s="9" t="inlineStr">
        <is>
          <t>Wyatt Crowell</t>
        </is>
      </c>
      <c r="C3463" s="9" t="inlineStr">
        <is>
          <t>LAD</t>
        </is>
      </c>
      <c r="D3463" s="9" t="n">
        <v>25</v>
      </c>
      <c r="E3463" s="18" t="inlineStr">
        <is>
          <t>L</t>
        </is>
      </c>
      <c r="F3463" s="18" t="n"/>
      <c r="G3463" s="9" t="n">
        <v>103.845</v>
      </c>
      <c r="H3463" s="9" t="n">
        <v>103.845</v>
      </c>
      <c r="I3463" s="9" t="inlineStr">
        <is>
          <t>Depth (no MLB IP)</t>
        </is>
      </c>
      <c r="J3463" s="18" t="inlineStr">
        <is>
          <t>Opening Day</t>
        </is>
      </c>
      <c r="K3463" s="11">
        <f>IFERROR(INDEX(Roles!$B$17:$B$20,MATCH(J3463,Roles!$A$17:$A$20,0)),1)</f>
        <v/>
      </c>
      <c r="L3463" s="19" t="n">
        <v>1</v>
      </c>
      <c r="M3463" s="11" t="n">
        <v>1</v>
      </c>
      <c r="N3463" s="19" t="n"/>
      <c r="O3463" s="19" t="n"/>
      <c r="P3463" s="19" t="n"/>
      <c r="Q3463" s="19" t="n"/>
      <c r="R3463" s="19" t="n"/>
      <c r="S3463" s="19" t="n"/>
      <c r="T3463" s="19" t="n"/>
      <c r="U3463" s="19" t="n"/>
      <c r="V3463" s="19" t="n"/>
      <c r="W3463" s="19" t="n"/>
      <c r="X3463" s="19" t="n"/>
      <c r="Y3463" s="19" t="n">
        <v>1</v>
      </c>
      <c r="Z3463" s="13">
        <f>SUMPRODUCT(N3463:Y3463,$N$2:$Y$2)*$K3463*$L3463*$M3463</f>
        <v/>
      </c>
      <c r="AA3463" s="14">
        <f>SUM(N3463:Y3463)</f>
        <v/>
      </c>
      <c r="AB3463" s="13">
        <f>SUMPRODUCT(N3463:Y3463,$N$3:$Y$3)*$K3463*$L3463*$M3463</f>
        <v/>
      </c>
      <c r="AC3463" s="13">
        <f>SUMPRODUCT(N3463:Y3463,$N$4:$Y$4)*$K3463*$L3463*$M3463</f>
        <v/>
      </c>
      <c r="AD3463" s="15" t="n">
        <v>3</v>
      </c>
      <c r="AE3463" s="11" t="n">
        <v>1.011296296296296</v>
      </c>
      <c r="AF3463" s="16">
        <f>SUMPRODUCT(N3463:Y3463,$N$5:$Y$5)*$K3463*$L3463*$M3463</f>
        <v/>
      </c>
      <c r="AG3463" s="16">
        <f>SUMPRODUCT(N3463:Y3463,$N$6:$Y$6)*$K3463*$L3463*$M3463</f>
        <v/>
      </c>
      <c r="AH3463" s="20" t="n"/>
    </row>
    <row r="3464">
      <c r="A3464" s="9" t="n">
        <v>802359</v>
      </c>
      <c r="B3464" s="9" t="inlineStr">
        <is>
          <t>Grant Umberger</t>
        </is>
      </c>
      <c r="C3464" s="9" t="inlineStr">
        <is>
          <t>CWS</t>
        </is>
      </c>
      <c r="D3464" s="9" t="n">
        <v>25</v>
      </c>
      <c r="E3464" s="18" t="inlineStr">
        <is>
          <t>L</t>
        </is>
      </c>
      <c r="F3464" s="18" t="n"/>
      <c r="G3464" s="9" t="n">
        <v>103.7733333333333</v>
      </c>
      <c r="H3464" s="9" t="n">
        <v>103.7733333333333</v>
      </c>
      <c r="I3464" s="9" t="inlineStr">
        <is>
          <t>Depth (no MLB IP)</t>
        </is>
      </c>
      <c r="J3464" s="18" t="inlineStr">
        <is>
          <t>Opening Day</t>
        </is>
      </c>
      <c r="K3464" s="11">
        <f>IFERROR(INDEX(Roles!$B$17:$B$20,MATCH(J3464,Roles!$A$17:$A$20,0)),1)</f>
        <v/>
      </c>
      <c r="L3464" s="19" t="n">
        <v>1</v>
      </c>
      <c r="M3464" s="11" t="n">
        <v>1</v>
      </c>
      <c r="N3464" s="19" t="n"/>
      <c r="O3464" s="19" t="n"/>
      <c r="P3464" s="19" t="n"/>
      <c r="Q3464" s="19" t="n"/>
      <c r="R3464" s="19" t="n"/>
      <c r="S3464" s="19" t="n"/>
      <c r="T3464" s="19" t="n"/>
      <c r="U3464" s="19" t="n"/>
      <c r="V3464" s="19" t="n"/>
      <c r="W3464" s="19" t="n"/>
      <c r="X3464" s="19" t="n"/>
      <c r="Y3464" s="19" t="n">
        <v>1</v>
      </c>
      <c r="Z3464" s="13">
        <f>SUMPRODUCT(N3464:Y3464,$N$2:$Y$2)*$K3464*$L3464*$M3464</f>
        <v/>
      </c>
      <c r="AA3464" s="14">
        <f>SUM(N3464:Y3464)</f>
        <v/>
      </c>
      <c r="AB3464" s="13">
        <f>SUMPRODUCT(N3464:Y3464,$N$3:$Y$3)*$K3464*$L3464*$M3464</f>
        <v/>
      </c>
      <c r="AC3464" s="13">
        <f>SUMPRODUCT(N3464:Y3464,$N$4:$Y$4)*$K3464*$L3464*$M3464</f>
        <v/>
      </c>
      <c r="AD3464" s="15" t="n">
        <v>3</v>
      </c>
      <c r="AE3464" s="11" t="n">
        <v>1.011296296296296</v>
      </c>
      <c r="AF3464" s="16">
        <f>SUMPRODUCT(N3464:Y3464,$N$5:$Y$5)*$K3464*$L3464*$M3464</f>
        <v/>
      </c>
      <c r="AG3464" s="16">
        <f>SUMPRODUCT(N3464:Y3464,$N$6:$Y$6)*$K3464*$L3464*$M3464</f>
        <v/>
      </c>
      <c r="AH3464" s="20" t="n"/>
    </row>
    <row r="3465">
      <c r="A3465" s="9" t="n">
        <v>641962</v>
      </c>
      <c r="B3465" s="9" t="inlineStr">
        <is>
          <t>CD Pelham</t>
        </is>
      </c>
      <c r="C3465" s="9" t="inlineStr">
        <is>
          <t>PIT</t>
        </is>
      </c>
      <c r="D3465" s="9" t="n">
        <v>25</v>
      </c>
      <c r="E3465" s="18" t="inlineStr">
        <is>
          <t>L</t>
        </is>
      </c>
      <c r="F3465" s="18" t="n"/>
      <c r="G3465" s="9" t="n">
        <v>104.06</v>
      </c>
      <c r="H3465" s="9" t="n">
        <v>104.06</v>
      </c>
      <c r="I3465" s="9" t="inlineStr">
        <is>
          <t>Depth (no MLB IP)</t>
        </is>
      </c>
      <c r="J3465" s="18" t="inlineStr">
        <is>
          <t>Opening Day</t>
        </is>
      </c>
      <c r="K3465" s="11">
        <f>IFERROR(INDEX(Roles!$B$17:$B$20,MATCH(J3465,Roles!$A$17:$A$20,0)),1)</f>
        <v/>
      </c>
      <c r="L3465" s="19" t="n">
        <v>1</v>
      </c>
      <c r="M3465" s="11" t="n">
        <v>1</v>
      </c>
      <c r="N3465" s="19" t="n"/>
      <c r="O3465" s="19" t="n"/>
      <c r="P3465" s="19" t="n"/>
      <c r="Q3465" s="19" t="n"/>
      <c r="R3465" s="19" t="n"/>
      <c r="S3465" s="19" t="n"/>
      <c r="T3465" s="19" t="n"/>
      <c r="U3465" s="19" t="n"/>
      <c r="V3465" s="19" t="n"/>
      <c r="W3465" s="19" t="n"/>
      <c r="X3465" s="19" t="n"/>
      <c r="Y3465" s="19" t="n">
        <v>1</v>
      </c>
      <c r="Z3465" s="13">
        <f>SUMPRODUCT(N3465:Y3465,$N$2:$Y$2)*$K3465*$L3465*$M3465</f>
        <v/>
      </c>
      <c r="AA3465" s="14">
        <f>SUM(N3465:Y3465)</f>
        <v/>
      </c>
      <c r="AB3465" s="13">
        <f>SUMPRODUCT(N3465:Y3465,$N$3:$Y$3)*$K3465*$L3465*$M3465</f>
        <v/>
      </c>
      <c r="AC3465" s="13">
        <f>SUMPRODUCT(N3465:Y3465,$N$4:$Y$4)*$K3465*$L3465*$M3465</f>
        <v/>
      </c>
      <c r="AD3465" s="15" t="n">
        <v>3</v>
      </c>
      <c r="AE3465" s="11" t="n">
        <v>1.011296296296296</v>
      </c>
      <c r="AF3465" s="16">
        <f>SUMPRODUCT(N3465:Y3465,$N$5:$Y$5)*$K3465*$L3465*$M3465</f>
        <v/>
      </c>
      <c r="AG3465" s="16">
        <f>SUMPRODUCT(N3465:Y3465,$N$6:$Y$6)*$K3465*$L3465*$M3465</f>
        <v/>
      </c>
      <c r="AH3465" s="20" t="n"/>
    </row>
    <row r="3466">
      <c r="A3466" s="9" t="n">
        <v>678020</v>
      </c>
      <c r="B3466" s="9" t="inlineStr">
        <is>
          <t>Seth Halvorsen</t>
        </is>
      </c>
      <c r="C3466" s="9" t="inlineStr">
        <is>
          <t>LAD</t>
        </is>
      </c>
      <c r="D3466" s="9" t="n">
        <v>27</v>
      </c>
      <c r="E3466" s="18" t="inlineStr">
        <is>
          <t>R</t>
        </is>
      </c>
      <c r="F3466" s="18" t="n"/>
      <c r="G3466" s="9" t="n">
        <v>141</v>
      </c>
      <c r="H3466" s="9" t="n">
        <v>360</v>
      </c>
      <c r="I3466" s="9" t="inlineStr">
        <is>
          <t>Bullpen Depth Arm</t>
        </is>
      </c>
      <c r="J3466" s="18" t="inlineStr">
        <is>
          <t>Opening Day</t>
        </is>
      </c>
      <c r="K3466" s="11">
        <f>IFERROR(INDEX(Roles!$B$17:$B$20,MATCH(J3466,Roles!$A$17:$A$20,0)),1)</f>
        <v/>
      </c>
      <c r="L3466" s="19" t="n">
        <v>1</v>
      </c>
      <c r="M3466" s="11" t="n">
        <v>1</v>
      </c>
      <c r="N3466" s="19" t="n"/>
      <c r="O3466" s="19" t="n"/>
      <c r="P3466" s="19" t="n"/>
      <c r="Q3466" s="19" t="n"/>
      <c r="R3466" s="19" t="n"/>
      <c r="S3466" s="19" t="n"/>
      <c r="T3466" s="19" t="n"/>
      <c r="U3466" s="19" t="n"/>
      <c r="V3466" s="19" t="n"/>
      <c r="W3466" s="19" t="n">
        <v>1</v>
      </c>
      <c r="X3466" s="19" t="n"/>
      <c r="Y3466" s="19" t="n"/>
      <c r="Z3466" s="13">
        <f>SUMPRODUCT(N3466:Y3466,$N$2:$Y$2)*$K3466*$L3466*$M3466</f>
        <v/>
      </c>
      <c r="AA3466" s="14">
        <f>SUM(N3466:Y3466)</f>
        <v/>
      </c>
      <c r="AB3466" s="13">
        <f>SUMPRODUCT(N3466:Y3466,$N$3:$Y$3)*$K3466*$L3466*$M3466</f>
        <v/>
      </c>
      <c r="AC3466" s="13">
        <f>SUMPRODUCT(N3466:Y3466,$N$4:$Y$4)*$K3466*$L3466*$M3466</f>
        <v/>
      </c>
      <c r="AD3466" s="15" t="n">
        <v>24.86666666666667</v>
      </c>
      <c r="AE3466" s="11" t="n">
        <v>1.111692320025653</v>
      </c>
      <c r="AF3466" s="16">
        <f>SUMPRODUCT(N3466:Y3466,$N$5:$Y$5)*$K3466*$L3466*$M3466</f>
        <v/>
      </c>
      <c r="AG3466" s="16">
        <f>SUMPRODUCT(N3466:Y3466,$N$6:$Y$6)*$K3466*$L3466*$M3466</f>
        <v/>
      </c>
      <c r="AH3466" s="20" t="n"/>
    </row>
    <row r="3467">
      <c r="A3467" s="9" t="n">
        <v>701643</v>
      </c>
      <c r="B3467" s="9" t="inlineStr">
        <is>
          <t>Grant Hartwig</t>
        </is>
      </c>
      <c r="C3467" s="9" t="inlineStr">
        <is>
          <t>NYM</t>
        </is>
      </c>
      <c r="D3467" s="9" t="n">
        <v>29</v>
      </c>
      <c r="E3467" s="18" t="inlineStr">
        <is>
          <t>R</t>
        </is>
      </c>
      <c r="F3467" s="18" t="n"/>
      <c r="G3467" s="9" t="n">
        <v>31</v>
      </c>
      <c r="H3467" s="9" t="n">
        <v>189</v>
      </c>
      <c r="I3467" s="9" t="inlineStr">
        <is>
          <t>Depth (no MLB IP)</t>
        </is>
      </c>
      <c r="J3467" s="18" t="inlineStr">
        <is>
          <t>Opening Day</t>
        </is>
      </c>
      <c r="K3467" s="11">
        <f>IFERROR(INDEX(Roles!$B$17:$B$20,MATCH(J3467,Roles!$A$17:$A$20,0)),1)</f>
        <v/>
      </c>
      <c r="L3467" s="19" t="n">
        <v>1</v>
      </c>
      <c r="M3467" s="11" t="n">
        <v>1</v>
      </c>
      <c r="N3467" s="19" t="n"/>
      <c r="O3467" s="19" t="n"/>
      <c r="P3467" s="19" t="n"/>
      <c r="Q3467" s="19" t="n"/>
      <c r="R3467" s="19" t="n"/>
      <c r="S3467" s="19" t="n"/>
      <c r="T3467" s="19" t="n"/>
      <c r="U3467" s="19" t="n"/>
      <c r="V3467" s="19" t="n"/>
      <c r="W3467" s="19" t="n"/>
      <c r="X3467" s="19" t="n"/>
      <c r="Y3467" s="19" t="n">
        <v>1</v>
      </c>
      <c r="Z3467" s="13">
        <f>SUMPRODUCT(N3467:Y3467,$N$2:$Y$2)*$K3467*$L3467*$M3467</f>
        <v/>
      </c>
      <c r="AA3467" s="14">
        <f>SUM(N3467:Y3467)</f>
        <v/>
      </c>
      <c r="AB3467" s="13">
        <f>SUMPRODUCT(N3467:Y3467,$N$3:$Y$3)*$K3467*$L3467*$M3467</f>
        <v/>
      </c>
      <c r="AC3467" s="13">
        <f>SUMPRODUCT(N3467:Y3467,$N$4:$Y$4)*$K3467*$L3467*$M3467</f>
        <v/>
      </c>
      <c r="AD3467" s="15" t="n">
        <v>3.6</v>
      </c>
      <c r="AE3467" s="11" t="n">
        <v>1.229753086419753</v>
      </c>
      <c r="AF3467" s="16">
        <f>SUMPRODUCT(N3467:Y3467,$N$5:$Y$5)*$K3467*$L3467*$M3467</f>
        <v/>
      </c>
      <c r="AG3467" s="16">
        <f>SUMPRODUCT(N3467:Y3467,$N$6:$Y$6)*$K3467*$L3467*$M3467</f>
        <v/>
      </c>
      <c r="AH3467" s="20" t="n"/>
    </row>
    <row r="3468">
      <c r="A3468" s="9" t="n">
        <v>679693</v>
      </c>
      <c r="B3468" s="9" t="inlineStr">
        <is>
          <t>Carson Coleman</t>
        </is>
      </c>
      <c r="C3468" s="9" t="inlineStr">
        <is>
          <t>NYY</t>
        </is>
      </c>
      <c r="D3468" s="9" t="n">
        <v>25</v>
      </c>
      <c r="E3468" s="18" t="inlineStr">
        <is>
          <t>R</t>
        </is>
      </c>
      <c r="F3468" s="18" t="n"/>
      <c r="G3468" s="9" t="n">
        <v>104.06</v>
      </c>
      <c r="H3468" s="9" t="n">
        <v>104.06</v>
      </c>
      <c r="I3468" s="9" t="inlineStr">
        <is>
          <t>Depth (no MLB IP)</t>
        </is>
      </c>
      <c r="J3468" s="18" t="inlineStr">
        <is>
          <t>Opening Day</t>
        </is>
      </c>
      <c r="K3468" s="11">
        <f>IFERROR(INDEX(Roles!$B$17:$B$20,MATCH(J3468,Roles!$A$17:$A$20,0)),1)</f>
        <v/>
      </c>
      <c r="L3468" s="19" t="n">
        <v>1</v>
      </c>
      <c r="M3468" s="11" t="n">
        <v>1</v>
      </c>
      <c r="N3468" s="19" t="n"/>
      <c r="O3468" s="19" t="n"/>
      <c r="P3468" s="19" t="n"/>
      <c r="Q3468" s="19" t="n"/>
      <c r="R3468" s="19" t="n"/>
      <c r="S3468" s="19" t="n"/>
      <c r="T3468" s="19" t="n"/>
      <c r="U3468" s="19" t="n"/>
      <c r="V3468" s="19" t="n"/>
      <c r="W3468" s="19" t="n"/>
      <c r="X3468" s="19" t="n"/>
      <c r="Y3468" s="19" t="n">
        <v>1</v>
      </c>
      <c r="Z3468" s="13">
        <f>SUMPRODUCT(N3468:Y3468,$N$2:$Y$2)*$K3468*$L3468*$M3468</f>
        <v/>
      </c>
      <c r="AA3468" s="14">
        <f>SUM(N3468:Y3468)</f>
        <v/>
      </c>
      <c r="AB3468" s="13">
        <f>SUMPRODUCT(N3468:Y3468,$N$3:$Y$3)*$K3468*$L3468*$M3468</f>
        <v/>
      </c>
      <c r="AC3468" s="13">
        <f>SUMPRODUCT(N3468:Y3468,$N$4:$Y$4)*$K3468*$L3468*$M3468</f>
        <v/>
      </c>
      <c r="AD3468" s="15" t="n">
        <v>3</v>
      </c>
      <c r="AE3468" s="11" t="n">
        <v>1.011296296296296</v>
      </c>
      <c r="AF3468" s="16">
        <f>SUMPRODUCT(N3468:Y3468,$N$5:$Y$5)*$K3468*$L3468*$M3468</f>
        <v/>
      </c>
      <c r="AG3468" s="16">
        <f>SUMPRODUCT(N3468:Y3468,$N$6:$Y$6)*$K3468*$L3468*$M3468</f>
        <v/>
      </c>
      <c r="AH3468" s="20" t="n"/>
    </row>
    <row r="3469">
      <c r="A3469" s="9" t="n">
        <v>813766</v>
      </c>
      <c r="B3469" s="9" t="inlineStr">
        <is>
          <t>Skylar Hales</t>
        </is>
      </c>
      <c r="C3469" s="9" t="inlineStr">
        <is>
          <t>STL</t>
        </is>
      </c>
      <c r="D3469" s="9" t="n">
        <v>25</v>
      </c>
      <c r="E3469" s="18" t="inlineStr">
        <is>
          <t>R</t>
        </is>
      </c>
      <c r="F3469" s="18" t="n"/>
      <c r="G3469" s="9" t="n">
        <v>104.06</v>
      </c>
      <c r="H3469" s="9" t="n">
        <v>104.06</v>
      </c>
      <c r="I3469" s="9" t="inlineStr">
        <is>
          <t>Depth (no MLB IP)</t>
        </is>
      </c>
      <c r="J3469" s="18" t="inlineStr">
        <is>
          <t>Opening Day</t>
        </is>
      </c>
      <c r="K3469" s="11">
        <f>IFERROR(INDEX(Roles!$B$17:$B$20,MATCH(J3469,Roles!$A$17:$A$20,0)),1)</f>
        <v/>
      </c>
      <c r="L3469" s="19" t="n">
        <v>1</v>
      </c>
      <c r="M3469" s="11" t="n">
        <v>1</v>
      </c>
      <c r="N3469" s="19" t="n"/>
      <c r="O3469" s="19" t="n"/>
      <c r="P3469" s="19" t="n"/>
      <c r="Q3469" s="19" t="n"/>
      <c r="R3469" s="19" t="n"/>
      <c r="S3469" s="19" t="n"/>
      <c r="T3469" s="19" t="n"/>
      <c r="U3469" s="19" t="n"/>
      <c r="V3469" s="19" t="n"/>
      <c r="W3469" s="19" t="n"/>
      <c r="X3469" s="19" t="n"/>
      <c r="Y3469" s="19" t="n">
        <v>1</v>
      </c>
      <c r="Z3469" s="13">
        <f>SUMPRODUCT(N3469:Y3469,$N$2:$Y$2)*$K3469*$L3469*$M3469</f>
        <v/>
      </c>
      <c r="AA3469" s="14">
        <f>SUM(N3469:Y3469)</f>
        <v/>
      </c>
      <c r="AB3469" s="13">
        <f>SUMPRODUCT(N3469:Y3469,$N$3:$Y$3)*$K3469*$L3469*$M3469</f>
        <v/>
      </c>
      <c r="AC3469" s="13">
        <f>SUMPRODUCT(N3469:Y3469,$N$4:$Y$4)*$K3469*$L3469*$M3469</f>
        <v/>
      </c>
      <c r="AD3469" s="15" t="n">
        <v>3</v>
      </c>
      <c r="AE3469" s="11" t="n">
        <v>1.011296296296296</v>
      </c>
      <c r="AF3469" s="16">
        <f>SUMPRODUCT(N3469:Y3469,$N$5:$Y$5)*$K3469*$L3469*$M3469</f>
        <v/>
      </c>
      <c r="AG3469" s="16">
        <f>SUMPRODUCT(N3469:Y3469,$N$6:$Y$6)*$K3469*$L3469*$M3469</f>
        <v/>
      </c>
      <c r="AH3469" s="20" t="n"/>
    </row>
    <row r="3470">
      <c r="A3470" s="9" t="n">
        <v>592346</v>
      </c>
      <c r="B3470" s="9" t="inlineStr">
        <is>
          <t>Chi Chi González</t>
        </is>
      </c>
      <c r="C3470" s="9" t="inlineStr">
        <is>
          <t>NYY</t>
        </is>
      </c>
      <c r="D3470" s="9" t="n">
        <v>35</v>
      </c>
      <c r="E3470" s="18" t="inlineStr">
        <is>
          <t>R</t>
        </is>
      </c>
      <c r="F3470" s="18" t="n"/>
      <c r="G3470" s="9" t="n">
        <v>19</v>
      </c>
      <c r="H3470" s="9" t="n">
        <v>118</v>
      </c>
      <c r="I3470" s="9" t="inlineStr">
        <is>
          <t>Depth (no MLB IP)</t>
        </is>
      </c>
      <c r="J3470" s="18" t="inlineStr">
        <is>
          <t>Opening Day</t>
        </is>
      </c>
      <c r="K3470" s="11">
        <f>IFERROR(INDEX(Roles!$B$17:$B$20,MATCH(J3470,Roles!$A$17:$A$20,0)),1)</f>
        <v/>
      </c>
      <c r="L3470" s="19" t="n">
        <v>1</v>
      </c>
      <c r="M3470" s="11" t="n">
        <v>1</v>
      </c>
      <c r="N3470" s="19" t="n"/>
      <c r="O3470" s="19" t="n"/>
      <c r="P3470" s="19" t="n"/>
      <c r="Q3470" s="19" t="n"/>
      <c r="R3470" s="19" t="n"/>
      <c r="S3470" s="19" t="n"/>
      <c r="T3470" s="19" t="n"/>
      <c r="U3470" s="19" t="n"/>
      <c r="V3470" s="19" t="n"/>
      <c r="W3470" s="19" t="n"/>
      <c r="X3470" s="19" t="n"/>
      <c r="Y3470" s="19" t="n">
        <v>1</v>
      </c>
      <c r="Z3470" s="13">
        <f>SUMPRODUCT(N3470:Y3470,$N$2:$Y$2)*$K3470*$L3470*$M3470</f>
        <v/>
      </c>
      <c r="AA3470" s="14">
        <f>SUM(N3470:Y3470)</f>
        <v/>
      </c>
      <c r="AB3470" s="13">
        <f>SUMPRODUCT(N3470:Y3470,$N$3:$Y$3)*$K3470*$L3470*$M3470</f>
        <v/>
      </c>
      <c r="AC3470" s="13">
        <f>SUMPRODUCT(N3470:Y3470,$N$4:$Y$4)*$K3470*$L3470*$M3470</f>
        <v/>
      </c>
      <c r="AD3470" s="15" t="n">
        <v>3</v>
      </c>
      <c r="AE3470" s="11" t="n">
        <v>1.011296296296296</v>
      </c>
      <c r="AF3470" s="16">
        <f>SUMPRODUCT(N3470:Y3470,$N$5:$Y$5)*$K3470*$L3470*$M3470</f>
        <v/>
      </c>
      <c r="AG3470" s="16">
        <f>SUMPRODUCT(N3470:Y3470,$N$6:$Y$6)*$K3470*$L3470*$M3470</f>
        <v/>
      </c>
      <c r="AH3470" s="20" t="n"/>
    </row>
    <row r="3471">
      <c r="A3471" s="9" t="n">
        <v>682949</v>
      </c>
      <c r="B3471" s="9" t="inlineStr">
        <is>
          <t>Christian Suarez</t>
        </is>
      </c>
      <c r="C3471" s="9" t="inlineStr">
        <is>
          <t>LAD</t>
        </is>
      </c>
      <c r="D3471" s="9" t="n">
        <v>25</v>
      </c>
      <c r="E3471" s="18" t="inlineStr">
        <is>
          <t>L</t>
        </is>
      </c>
      <c r="F3471" s="18" t="n"/>
      <c r="G3471" s="9" t="n">
        <v>104.3466666666667</v>
      </c>
      <c r="H3471" s="9" t="n">
        <v>104.3466666666667</v>
      </c>
      <c r="I3471" s="9" t="inlineStr">
        <is>
          <t>Depth (no MLB IP)</t>
        </is>
      </c>
      <c r="J3471" s="18" t="inlineStr">
        <is>
          <t>Opening Day</t>
        </is>
      </c>
      <c r="K3471" s="11">
        <f>IFERROR(INDEX(Roles!$B$17:$B$20,MATCH(J3471,Roles!$A$17:$A$20,0)),1)</f>
        <v/>
      </c>
      <c r="L3471" s="19" t="n">
        <v>1</v>
      </c>
      <c r="M3471" s="11" t="n">
        <v>1</v>
      </c>
      <c r="N3471" s="19" t="n"/>
      <c r="O3471" s="19" t="n"/>
      <c r="P3471" s="19" t="n"/>
      <c r="Q3471" s="19" t="n"/>
      <c r="R3471" s="19" t="n"/>
      <c r="S3471" s="19" t="n"/>
      <c r="T3471" s="19" t="n"/>
      <c r="U3471" s="19" t="n"/>
      <c r="V3471" s="19" t="n"/>
      <c r="W3471" s="19" t="n"/>
      <c r="X3471" s="19" t="n"/>
      <c r="Y3471" s="19" t="n">
        <v>1</v>
      </c>
      <c r="Z3471" s="13">
        <f>SUMPRODUCT(N3471:Y3471,$N$2:$Y$2)*$K3471*$L3471*$M3471</f>
        <v/>
      </c>
      <c r="AA3471" s="14">
        <f>SUM(N3471:Y3471)</f>
        <v/>
      </c>
      <c r="AB3471" s="13">
        <f>SUMPRODUCT(N3471:Y3471,$N$3:$Y$3)*$K3471*$L3471*$M3471</f>
        <v/>
      </c>
      <c r="AC3471" s="13">
        <f>SUMPRODUCT(N3471:Y3471,$N$4:$Y$4)*$K3471*$L3471*$M3471</f>
        <v/>
      </c>
      <c r="AD3471" s="15" t="n">
        <v>3</v>
      </c>
      <c r="AE3471" s="11" t="n">
        <v>1.011296296296296</v>
      </c>
      <c r="AF3471" s="16">
        <f>SUMPRODUCT(N3471:Y3471,$N$5:$Y$5)*$K3471*$L3471*$M3471</f>
        <v/>
      </c>
      <c r="AG3471" s="16">
        <f>SUMPRODUCT(N3471:Y3471,$N$6:$Y$6)*$K3471*$L3471*$M3471</f>
        <v/>
      </c>
      <c r="AH3471" s="20" t="n"/>
    </row>
    <row r="3472">
      <c r="A3472" s="9" t="n">
        <v>805422</v>
      </c>
      <c r="B3472" s="9" t="inlineStr">
        <is>
          <t>Nate Snead</t>
        </is>
      </c>
      <c r="C3472" s="9" t="inlineStr">
        <is>
          <t>LAA</t>
        </is>
      </c>
      <c r="D3472" s="9" t="n">
        <v>25</v>
      </c>
      <c r="E3472" s="18" t="inlineStr">
        <is>
          <t>R</t>
        </is>
      </c>
      <c r="F3472" s="18" t="n"/>
      <c r="G3472" s="9" t="n">
        <v>104.3466666666667</v>
      </c>
      <c r="H3472" s="9" t="n">
        <v>104.3466666666667</v>
      </c>
      <c r="I3472" s="9" t="inlineStr">
        <is>
          <t>Depth (no MLB IP)</t>
        </is>
      </c>
      <c r="J3472" s="18" t="inlineStr">
        <is>
          <t>Opening Day</t>
        </is>
      </c>
      <c r="K3472" s="11">
        <f>IFERROR(INDEX(Roles!$B$17:$B$20,MATCH(J3472,Roles!$A$17:$A$20,0)),1)</f>
        <v/>
      </c>
      <c r="L3472" s="19" t="n">
        <v>1</v>
      </c>
      <c r="M3472" s="11" t="n">
        <v>1</v>
      </c>
      <c r="N3472" s="19" t="n"/>
      <c r="O3472" s="19" t="n"/>
      <c r="P3472" s="19" t="n"/>
      <c r="Q3472" s="19" t="n"/>
      <c r="R3472" s="19" t="n"/>
      <c r="S3472" s="19" t="n"/>
      <c r="T3472" s="19" t="n"/>
      <c r="U3472" s="19" t="n"/>
      <c r="V3472" s="19" t="n"/>
      <c r="W3472" s="19" t="n"/>
      <c r="X3472" s="19" t="n"/>
      <c r="Y3472" s="19" t="n">
        <v>1</v>
      </c>
      <c r="Z3472" s="13">
        <f>SUMPRODUCT(N3472:Y3472,$N$2:$Y$2)*$K3472*$L3472*$M3472</f>
        <v/>
      </c>
      <c r="AA3472" s="14">
        <f>SUM(N3472:Y3472)</f>
        <v/>
      </c>
      <c r="AB3472" s="13">
        <f>SUMPRODUCT(N3472:Y3472,$N$3:$Y$3)*$K3472*$L3472*$M3472</f>
        <v/>
      </c>
      <c r="AC3472" s="13">
        <f>SUMPRODUCT(N3472:Y3472,$N$4:$Y$4)*$K3472*$L3472*$M3472</f>
        <v/>
      </c>
      <c r="AD3472" s="15" t="n">
        <v>3</v>
      </c>
      <c r="AE3472" s="11" t="n">
        <v>1.011296296296296</v>
      </c>
      <c r="AF3472" s="16">
        <f>SUMPRODUCT(N3472:Y3472,$N$5:$Y$5)*$K3472*$L3472*$M3472</f>
        <v/>
      </c>
      <c r="AG3472" s="16">
        <f>SUMPRODUCT(N3472:Y3472,$N$6:$Y$6)*$K3472*$L3472*$M3472</f>
        <v/>
      </c>
      <c r="AH3472" s="20" t="n"/>
    </row>
    <row r="3473">
      <c r="A3473" s="9" t="n">
        <v>622761</v>
      </c>
      <c r="B3473" s="9" t="inlineStr">
        <is>
          <t>Jorge Mateo</t>
        </is>
      </c>
      <c r="C3473" s="9" t="inlineStr">
        <is>
          <t>ATL</t>
        </is>
      </c>
      <c r="D3473" s="9" t="n">
        <v>32</v>
      </c>
      <c r="E3473" s="18" t="inlineStr">
        <is>
          <t>R</t>
        </is>
      </c>
      <c r="F3473" s="18" t="n"/>
      <c r="G3473" s="9" t="n">
        <v>12</v>
      </c>
      <c r="H3473" s="9" t="n">
        <v>23</v>
      </c>
      <c r="I3473" s="9" t="inlineStr">
        <is>
          <t>Depth (no MLB IP)</t>
        </is>
      </c>
      <c r="J3473" s="18" t="inlineStr">
        <is>
          <t>Opening Day</t>
        </is>
      </c>
      <c r="K3473" s="11">
        <f>IFERROR(INDEX(Roles!$B$17:$B$20,MATCH(J3473,Roles!$A$17:$A$20,0)),1)</f>
        <v/>
      </c>
      <c r="L3473" s="19" t="n">
        <v>1</v>
      </c>
      <c r="M3473" s="11" t="n">
        <v>1</v>
      </c>
      <c r="N3473" s="19" t="n"/>
      <c r="O3473" s="19" t="n"/>
      <c r="P3473" s="19" t="n"/>
      <c r="Q3473" s="19" t="n"/>
      <c r="R3473" s="19" t="n"/>
      <c r="S3473" s="19" t="n"/>
      <c r="T3473" s="19" t="n"/>
      <c r="U3473" s="19" t="n"/>
      <c r="V3473" s="19" t="n"/>
      <c r="W3473" s="19" t="n"/>
      <c r="X3473" s="19" t="n"/>
      <c r="Y3473" s="19" t="n">
        <v>1</v>
      </c>
      <c r="Z3473" s="13">
        <f>SUMPRODUCT(N3473:Y3473,$N$2:$Y$2)*$K3473*$L3473*$M3473</f>
        <v/>
      </c>
      <c r="AA3473" s="14">
        <f>SUM(N3473:Y3473)</f>
        <v/>
      </c>
      <c r="AB3473" s="13">
        <f>SUMPRODUCT(N3473:Y3473,$N$3:$Y$3)*$K3473*$L3473*$M3473</f>
        <v/>
      </c>
      <c r="AC3473" s="13">
        <f>SUMPRODUCT(N3473:Y3473,$N$4:$Y$4)*$K3473*$L3473*$M3473</f>
        <v/>
      </c>
      <c r="AD3473" s="15" t="n">
        <v>2.52</v>
      </c>
      <c r="AE3473" s="11" t="n">
        <v>0.94692480359147</v>
      </c>
      <c r="AF3473" s="16">
        <f>SUMPRODUCT(N3473:Y3473,$N$5:$Y$5)*$K3473*$L3473*$M3473</f>
        <v/>
      </c>
      <c r="AG3473" s="16">
        <f>SUMPRODUCT(N3473:Y3473,$N$6:$Y$6)*$K3473*$L3473*$M3473</f>
        <v/>
      </c>
      <c r="AH3473" s="20" t="n"/>
    </row>
    <row r="3474">
      <c r="A3474" s="9" t="n">
        <v>687905</v>
      </c>
      <c r="B3474" s="9" t="inlineStr">
        <is>
          <t>Taylor Floyd</t>
        </is>
      </c>
      <c r="C3474" s="9" t="inlineStr">
        <is>
          <t>CIN</t>
        </is>
      </c>
      <c r="D3474" s="9" t="n">
        <v>25</v>
      </c>
      <c r="E3474" s="18" t="inlineStr">
        <is>
          <t>R</t>
        </is>
      </c>
      <c r="F3474" s="18" t="n"/>
      <c r="G3474" s="9" t="n">
        <v>104.8483333333333</v>
      </c>
      <c r="H3474" s="9" t="n">
        <v>104.8483333333333</v>
      </c>
      <c r="I3474" s="9" t="inlineStr">
        <is>
          <t>Depth (no MLB IP)</t>
        </is>
      </c>
      <c r="J3474" s="18" t="inlineStr">
        <is>
          <t>Opening Day</t>
        </is>
      </c>
      <c r="K3474" s="11">
        <f>IFERROR(INDEX(Roles!$B$17:$B$20,MATCH(J3474,Roles!$A$17:$A$20,0)),1)</f>
        <v/>
      </c>
      <c r="L3474" s="19" t="n">
        <v>1</v>
      </c>
      <c r="M3474" s="11" t="n">
        <v>1</v>
      </c>
      <c r="N3474" s="19" t="n"/>
      <c r="O3474" s="19" t="n"/>
      <c r="P3474" s="19" t="n"/>
      <c r="Q3474" s="19" t="n"/>
      <c r="R3474" s="19" t="n"/>
      <c r="S3474" s="19" t="n"/>
      <c r="T3474" s="19" t="n"/>
      <c r="U3474" s="19" t="n"/>
      <c r="V3474" s="19" t="n"/>
      <c r="W3474" s="19" t="n"/>
      <c r="X3474" s="19" t="n"/>
      <c r="Y3474" s="19" t="n">
        <v>1</v>
      </c>
      <c r="Z3474" s="13">
        <f>SUMPRODUCT(N3474:Y3474,$N$2:$Y$2)*$K3474*$L3474*$M3474</f>
        <v/>
      </c>
      <c r="AA3474" s="14">
        <f>SUM(N3474:Y3474)</f>
        <v/>
      </c>
      <c r="AB3474" s="13">
        <f>SUMPRODUCT(N3474:Y3474,$N$3:$Y$3)*$K3474*$L3474*$M3474</f>
        <v/>
      </c>
      <c r="AC3474" s="13">
        <f>SUMPRODUCT(N3474:Y3474,$N$4:$Y$4)*$K3474*$L3474*$M3474</f>
        <v/>
      </c>
      <c r="AD3474" s="15" t="n">
        <v>3</v>
      </c>
      <c r="AE3474" s="11" t="n">
        <v>1.011296296296296</v>
      </c>
      <c r="AF3474" s="16">
        <f>SUMPRODUCT(N3474:Y3474,$N$5:$Y$5)*$K3474*$L3474*$M3474</f>
        <v/>
      </c>
      <c r="AG3474" s="16">
        <f>SUMPRODUCT(N3474:Y3474,$N$6:$Y$6)*$K3474*$L3474*$M3474</f>
        <v/>
      </c>
      <c r="AH3474" s="20" t="n"/>
    </row>
    <row r="3475">
      <c r="A3475" s="9" t="n">
        <v>621057</v>
      </c>
      <c r="B3475" s="9" t="inlineStr">
        <is>
          <t>Justin Garza</t>
        </is>
      </c>
      <c r="C3475" s="9" t="inlineStr">
        <is>
          <t>NYM</t>
        </is>
      </c>
      <c r="D3475" s="9" t="n">
        <v>33</v>
      </c>
      <c r="E3475" s="18" t="inlineStr">
        <is>
          <t>R</t>
        </is>
      </c>
      <c r="F3475" s="18" t="n"/>
      <c r="G3475" s="9" t="n">
        <v>28</v>
      </c>
      <c r="H3475" s="9" t="n">
        <v>119</v>
      </c>
      <c r="I3475" s="9" t="inlineStr">
        <is>
          <t>Bullpen Depth Arm</t>
        </is>
      </c>
      <c r="J3475" s="18" t="inlineStr">
        <is>
          <t>Opening Day</t>
        </is>
      </c>
      <c r="K3475" s="11">
        <f>IFERROR(INDEX(Roles!$B$17:$B$20,MATCH(J3475,Roles!$A$17:$A$20,0)),1)</f>
        <v/>
      </c>
      <c r="L3475" s="19" t="n">
        <v>1</v>
      </c>
      <c r="M3475" s="11" t="n">
        <v>1</v>
      </c>
      <c r="N3475" s="19" t="n"/>
      <c r="O3475" s="19" t="n"/>
      <c r="P3475" s="19" t="n"/>
      <c r="Q3475" s="19" t="n"/>
      <c r="R3475" s="19" t="n"/>
      <c r="S3475" s="19" t="n"/>
      <c r="T3475" s="19" t="n"/>
      <c r="U3475" s="19" t="n"/>
      <c r="V3475" s="19" t="n"/>
      <c r="W3475" s="19" t="n">
        <v>1</v>
      </c>
      <c r="X3475" s="19" t="n"/>
      <c r="Y3475" s="19" t="n"/>
      <c r="Z3475" s="13">
        <f>SUMPRODUCT(N3475:Y3475,$N$2:$Y$2)*$K3475*$L3475*$M3475</f>
        <v/>
      </c>
      <c r="AA3475" s="14">
        <f>SUM(N3475:Y3475)</f>
        <v/>
      </c>
      <c r="AB3475" s="13">
        <f>SUMPRODUCT(N3475:Y3475,$N$3:$Y$3)*$K3475*$L3475*$M3475</f>
        <v/>
      </c>
      <c r="AC3475" s="13">
        <f>SUMPRODUCT(N3475:Y3475,$N$4:$Y$4)*$K3475*$L3475*$M3475</f>
        <v/>
      </c>
      <c r="AD3475" s="15" t="n">
        <v>8.666666666666666</v>
      </c>
      <c r="AE3475" s="11" t="n">
        <v>1.245951579284912</v>
      </c>
      <c r="AF3475" s="16">
        <f>SUMPRODUCT(N3475:Y3475,$N$5:$Y$5)*$K3475*$L3475*$M3475</f>
        <v/>
      </c>
      <c r="AG3475" s="16">
        <f>SUMPRODUCT(N3475:Y3475,$N$6:$Y$6)*$K3475*$L3475*$M3475</f>
        <v/>
      </c>
      <c r="AH3475" s="20" t="n"/>
    </row>
    <row r="3476">
      <c r="A3476" s="9" t="n">
        <v>695542</v>
      </c>
      <c r="B3476" s="9" t="inlineStr">
        <is>
          <t>Samuel Dutton</t>
        </is>
      </c>
      <c r="C3476" s="9" t="inlineStr">
        <is>
          <t>OAK</t>
        </is>
      </c>
      <c r="D3476" s="9" t="n">
        <v>25</v>
      </c>
      <c r="E3476" s="18" t="inlineStr">
        <is>
          <t>R</t>
        </is>
      </c>
      <c r="F3476" s="18" t="n"/>
      <c r="G3476" s="9" t="n">
        <v>105.2066666666667</v>
      </c>
      <c r="H3476" s="9" t="n">
        <v>105.2066666666667</v>
      </c>
      <c r="I3476" s="9" t="inlineStr">
        <is>
          <t>Depth (no MLB IP)</t>
        </is>
      </c>
      <c r="J3476" s="18" t="inlineStr">
        <is>
          <t>Opening Day</t>
        </is>
      </c>
      <c r="K3476" s="11">
        <f>IFERROR(INDEX(Roles!$B$17:$B$20,MATCH(J3476,Roles!$A$17:$A$20,0)),1)</f>
        <v/>
      </c>
      <c r="L3476" s="19" t="n">
        <v>1</v>
      </c>
      <c r="M3476" s="11" t="n">
        <v>1</v>
      </c>
      <c r="N3476" s="19" t="n"/>
      <c r="O3476" s="19" t="n"/>
      <c r="P3476" s="19" t="n"/>
      <c r="Q3476" s="19" t="n"/>
      <c r="R3476" s="19" t="n"/>
      <c r="S3476" s="19" t="n"/>
      <c r="T3476" s="19" t="n"/>
      <c r="U3476" s="19" t="n"/>
      <c r="V3476" s="19" t="n"/>
      <c r="W3476" s="19" t="n"/>
      <c r="X3476" s="19" t="n"/>
      <c r="Y3476" s="19" t="n">
        <v>1</v>
      </c>
      <c r="Z3476" s="13">
        <f>SUMPRODUCT(N3476:Y3476,$N$2:$Y$2)*$K3476*$L3476*$M3476</f>
        <v/>
      </c>
      <c r="AA3476" s="14">
        <f>SUM(N3476:Y3476)</f>
        <v/>
      </c>
      <c r="AB3476" s="13">
        <f>SUMPRODUCT(N3476:Y3476,$N$3:$Y$3)*$K3476*$L3476*$M3476</f>
        <v/>
      </c>
      <c r="AC3476" s="13">
        <f>SUMPRODUCT(N3476:Y3476,$N$4:$Y$4)*$K3476*$L3476*$M3476</f>
        <v/>
      </c>
      <c r="AD3476" s="15" t="n">
        <v>3</v>
      </c>
      <c r="AE3476" s="11" t="n">
        <v>1.011296296296296</v>
      </c>
      <c r="AF3476" s="16">
        <f>SUMPRODUCT(N3476:Y3476,$N$5:$Y$5)*$K3476*$L3476*$M3476</f>
        <v/>
      </c>
      <c r="AG3476" s="16">
        <f>SUMPRODUCT(N3476:Y3476,$N$6:$Y$6)*$K3476*$L3476*$M3476</f>
        <v/>
      </c>
      <c r="AH3476" s="20" t="n"/>
    </row>
    <row r="3477">
      <c r="A3477" s="9" t="n">
        <v>656577</v>
      </c>
      <c r="B3477" s="9" t="inlineStr">
        <is>
          <t>Alex Jackson</t>
        </is>
      </c>
      <c r="C3477" s="9" t="inlineStr">
        <is>
          <t>MIN</t>
        </is>
      </c>
      <c r="D3477" s="9" t="n">
        <v>31</v>
      </c>
      <c r="E3477" s="18" t="inlineStr">
        <is>
          <t>R</t>
        </is>
      </c>
      <c r="F3477" s="18" t="n"/>
      <c r="G3477" s="9" t="n">
        <v>10</v>
      </c>
      <c r="H3477" s="9" t="n">
        <v>18</v>
      </c>
      <c r="I3477" s="9" t="inlineStr">
        <is>
          <t>Depth (no MLB IP)</t>
        </is>
      </c>
      <c r="J3477" s="18" t="inlineStr">
        <is>
          <t>Opening Day</t>
        </is>
      </c>
      <c r="K3477" s="11">
        <f>IFERROR(INDEX(Roles!$B$17:$B$20,MATCH(J3477,Roles!$A$17:$A$20,0)),1)</f>
        <v/>
      </c>
      <c r="L3477" s="19" t="n">
        <v>1</v>
      </c>
      <c r="M3477" s="11" t="n">
        <v>1</v>
      </c>
      <c r="N3477" s="19" t="n"/>
      <c r="O3477" s="19" t="n"/>
      <c r="P3477" s="19" t="n"/>
      <c r="Q3477" s="19" t="n"/>
      <c r="R3477" s="19" t="n"/>
      <c r="S3477" s="19" t="n"/>
      <c r="T3477" s="19" t="n"/>
      <c r="U3477" s="19" t="n"/>
      <c r="V3477" s="19" t="n"/>
      <c r="W3477" s="19" t="n"/>
      <c r="X3477" s="19" t="n"/>
      <c r="Y3477" s="19" t="n">
        <v>1</v>
      </c>
      <c r="Z3477" s="13">
        <f>SUMPRODUCT(N3477:Y3477,$N$2:$Y$2)*$K3477*$L3477*$M3477</f>
        <v/>
      </c>
      <c r="AA3477" s="14">
        <f>SUM(N3477:Y3477)</f>
        <v/>
      </c>
      <c r="AB3477" s="13">
        <f>SUMPRODUCT(N3477:Y3477,$N$3:$Y$3)*$K3477*$L3477*$M3477</f>
        <v/>
      </c>
      <c r="AC3477" s="13">
        <f>SUMPRODUCT(N3477:Y3477,$N$4:$Y$4)*$K3477*$L3477*$M3477</f>
        <v/>
      </c>
      <c r="AD3477" s="15" t="n">
        <v>2.16</v>
      </c>
      <c r="AE3477" s="11" t="n">
        <v>1.007530864197531</v>
      </c>
      <c r="AF3477" s="16">
        <f>SUMPRODUCT(N3477:Y3477,$N$5:$Y$5)*$K3477*$L3477*$M3477</f>
        <v/>
      </c>
      <c r="AG3477" s="16">
        <f>SUMPRODUCT(N3477:Y3477,$N$6:$Y$6)*$K3477*$L3477*$M3477</f>
        <v/>
      </c>
      <c r="AH3477" s="20" t="n"/>
    </row>
    <row r="3478">
      <c r="A3478" s="9" t="n">
        <v>664199</v>
      </c>
      <c r="B3478" s="9" t="inlineStr">
        <is>
          <t>Taylor Clarke</t>
        </is>
      </c>
      <c r="C3478" s="9" t="inlineStr">
        <is>
          <t>ARI</t>
        </is>
      </c>
      <c r="D3478" s="9" t="n">
        <v>34</v>
      </c>
      <c r="E3478" s="18" t="inlineStr">
        <is>
          <t>R</t>
        </is>
      </c>
      <c r="F3478" s="18" t="n"/>
      <c r="G3478" s="9" t="n">
        <v>288</v>
      </c>
      <c r="H3478" s="9" t="n">
        <v>963</v>
      </c>
      <c r="I3478" s="9" t="inlineStr">
        <is>
          <t>Middle Relief</t>
        </is>
      </c>
      <c r="J3478" s="18" t="inlineStr">
        <is>
          <t>Opening Day</t>
        </is>
      </c>
      <c r="K3478" s="11">
        <f>IFERROR(INDEX(Roles!$B$17:$B$20,MATCH(J3478,Roles!$A$17:$A$20,0)),1)</f>
        <v/>
      </c>
      <c r="L3478" s="19" t="n">
        <v>1</v>
      </c>
      <c r="M3478" s="11" t="n">
        <v>1</v>
      </c>
      <c r="N3478" s="19" t="n"/>
      <c r="O3478" s="19" t="n"/>
      <c r="P3478" s="19" t="n"/>
      <c r="Q3478" s="19" t="n"/>
      <c r="R3478" s="19" t="n"/>
      <c r="S3478" s="19" t="n"/>
      <c r="T3478" s="19" t="n"/>
      <c r="U3478" s="19" t="n"/>
      <c r="V3478" s="19" t="n">
        <v>0.85</v>
      </c>
      <c r="W3478" s="19" t="n">
        <v>0.15</v>
      </c>
      <c r="X3478" s="19" t="n"/>
      <c r="Y3478" s="19" t="n"/>
      <c r="Z3478" s="13">
        <f>SUMPRODUCT(N3478:Y3478,$N$2:$Y$2)*$K3478*$L3478*$M3478</f>
        <v/>
      </c>
      <c r="AA3478" s="14">
        <f>SUM(N3478:Y3478)</f>
        <v/>
      </c>
      <c r="AB3478" s="13">
        <f>SUMPRODUCT(N3478:Y3478,$N$3:$Y$3)*$K3478*$L3478*$M3478</f>
        <v/>
      </c>
      <c r="AC3478" s="13">
        <f>SUMPRODUCT(N3478:Y3478,$N$4:$Y$4)*$K3478*$L3478*$M3478</f>
        <v/>
      </c>
      <c r="AD3478" s="15" t="n">
        <v>52.53333333333333</v>
      </c>
      <c r="AE3478" s="11" t="n">
        <v>1.037997380295696</v>
      </c>
      <c r="AF3478" s="16">
        <f>SUMPRODUCT(N3478:Y3478,$N$5:$Y$5)*$K3478*$L3478*$M3478</f>
        <v/>
      </c>
      <c r="AG3478" s="16">
        <f>SUMPRODUCT(N3478:Y3478,$N$6:$Y$6)*$K3478*$L3478*$M3478</f>
        <v/>
      </c>
      <c r="AH3478" s="20" t="n"/>
    </row>
    <row r="3479">
      <c r="A3479" s="9" t="n">
        <v>682995</v>
      </c>
      <c r="B3479" s="9" t="inlineStr">
        <is>
          <t>Hunter Barco</t>
        </is>
      </c>
      <c r="C3479" s="9" t="inlineStr">
        <is>
          <t>PIT</t>
        </is>
      </c>
      <c r="D3479" s="9" t="n">
        <v>26</v>
      </c>
      <c r="E3479" s="18" t="inlineStr">
        <is>
          <t>L</t>
        </is>
      </c>
      <c r="F3479" s="18" t="n"/>
      <c r="G3479" s="9" t="n">
        <v>87</v>
      </c>
      <c r="H3479" s="9" t="n">
        <v>99</v>
      </c>
      <c r="I3479" s="9" t="inlineStr">
        <is>
          <t>Bullpen Depth Arm</t>
        </is>
      </c>
      <c r="J3479" s="18" t="inlineStr">
        <is>
          <t>Opening Day</t>
        </is>
      </c>
      <c r="K3479" s="11">
        <f>IFERROR(INDEX(Roles!$B$17:$B$20,MATCH(J3479,Roles!$A$17:$A$20,0)),1)</f>
        <v/>
      </c>
      <c r="L3479" s="19" t="n">
        <v>1</v>
      </c>
      <c r="M3479" s="11" t="n">
        <v>1</v>
      </c>
      <c r="N3479" s="19" t="n"/>
      <c r="O3479" s="19" t="n"/>
      <c r="P3479" s="19" t="n"/>
      <c r="Q3479" s="19" t="n"/>
      <c r="R3479" s="19" t="n"/>
      <c r="S3479" s="19" t="n"/>
      <c r="T3479" s="19" t="n"/>
      <c r="U3479" s="19" t="n"/>
      <c r="V3479" s="19" t="n">
        <v>0.15</v>
      </c>
      <c r="W3479" s="19" t="n">
        <v>0.85</v>
      </c>
      <c r="X3479" s="19" t="n"/>
      <c r="Y3479" s="19" t="n"/>
      <c r="Z3479" s="13">
        <f>SUMPRODUCT(N3479:Y3479,$N$2:$Y$2)*$K3479*$L3479*$M3479</f>
        <v/>
      </c>
      <c r="AA3479" s="14">
        <f>SUM(N3479:Y3479)</f>
        <v/>
      </c>
      <c r="AB3479" s="13">
        <f>SUMPRODUCT(N3479:Y3479,$N$3:$Y$3)*$K3479*$L3479*$M3479</f>
        <v/>
      </c>
      <c r="AC3479" s="13">
        <f>SUMPRODUCT(N3479:Y3479,$N$4:$Y$4)*$K3479*$L3479*$M3479</f>
        <v/>
      </c>
      <c r="AD3479" s="15" t="n">
        <v>8.666666666666666</v>
      </c>
      <c r="AE3479" s="11" t="n">
        <v>1.588173801507135</v>
      </c>
      <c r="AF3479" s="16">
        <f>SUMPRODUCT(N3479:Y3479,$N$5:$Y$5)*$K3479*$L3479*$M3479</f>
        <v/>
      </c>
      <c r="AG3479" s="16">
        <f>SUMPRODUCT(N3479:Y3479,$N$6:$Y$6)*$K3479*$L3479*$M3479</f>
        <v/>
      </c>
      <c r="AH3479" s="20" t="n"/>
    </row>
    <row r="3480">
      <c r="A3480" s="9" t="n">
        <v>700481</v>
      </c>
      <c r="B3480" s="9" t="inlineStr">
        <is>
          <t>Everett Catlett</t>
        </is>
      </c>
      <c r="C3480" s="9" t="inlineStr">
        <is>
          <t>COL</t>
        </is>
      </c>
      <c r="D3480" s="9" t="n">
        <v>25</v>
      </c>
      <c r="E3480" s="18" t="inlineStr">
        <is>
          <t>L</t>
        </is>
      </c>
      <c r="F3480" s="18" t="n"/>
      <c r="G3480" s="9" t="n">
        <v>106.3533333333333</v>
      </c>
      <c r="H3480" s="9" t="n">
        <v>106.3533333333333</v>
      </c>
      <c r="I3480" s="9" t="inlineStr">
        <is>
          <t>Depth (no MLB IP)</t>
        </is>
      </c>
      <c r="J3480" s="18" t="inlineStr">
        <is>
          <t>Opening Day</t>
        </is>
      </c>
      <c r="K3480" s="11">
        <f>IFERROR(INDEX(Roles!$B$17:$B$20,MATCH(J3480,Roles!$A$17:$A$20,0)),1)</f>
        <v/>
      </c>
      <c r="L3480" s="19" t="n">
        <v>1</v>
      </c>
      <c r="M3480" s="11" t="n">
        <v>1</v>
      </c>
      <c r="N3480" s="19" t="n"/>
      <c r="O3480" s="19" t="n"/>
      <c r="P3480" s="19" t="n"/>
      <c r="Q3480" s="19" t="n"/>
      <c r="R3480" s="19" t="n"/>
      <c r="S3480" s="19" t="n"/>
      <c r="T3480" s="19" t="n"/>
      <c r="U3480" s="19" t="n"/>
      <c r="V3480" s="19" t="n"/>
      <c r="W3480" s="19" t="n"/>
      <c r="X3480" s="19" t="n"/>
      <c r="Y3480" s="19" t="n">
        <v>1</v>
      </c>
      <c r="Z3480" s="13">
        <f>SUMPRODUCT(N3480:Y3480,$N$2:$Y$2)*$K3480*$L3480*$M3480</f>
        <v/>
      </c>
      <c r="AA3480" s="14">
        <f>SUM(N3480:Y3480)</f>
        <v/>
      </c>
      <c r="AB3480" s="13">
        <f>SUMPRODUCT(N3480:Y3480,$N$3:$Y$3)*$K3480*$L3480*$M3480</f>
        <v/>
      </c>
      <c r="AC3480" s="13">
        <f>SUMPRODUCT(N3480:Y3480,$N$4:$Y$4)*$K3480*$L3480*$M3480</f>
        <v/>
      </c>
      <c r="AD3480" s="15" t="n">
        <v>3</v>
      </c>
      <c r="AE3480" s="11" t="n">
        <v>1.011296296296296</v>
      </c>
      <c r="AF3480" s="16">
        <f>SUMPRODUCT(N3480:Y3480,$N$5:$Y$5)*$K3480*$L3480*$M3480</f>
        <v/>
      </c>
      <c r="AG3480" s="16">
        <f>SUMPRODUCT(N3480:Y3480,$N$6:$Y$6)*$K3480*$L3480*$M3480</f>
        <v/>
      </c>
      <c r="AH3480" s="20" t="n"/>
    </row>
    <row r="3481">
      <c r="A3481" s="9" t="n">
        <v>803244</v>
      </c>
      <c r="B3481" s="9" t="inlineStr">
        <is>
          <t>Eliazar Dishmey</t>
        </is>
      </c>
      <c r="C3481" s="9" t="inlineStr">
        <is>
          <t>MIA</t>
        </is>
      </c>
      <c r="D3481" s="9" t="n">
        <v>23</v>
      </c>
      <c r="E3481" s="18" t="inlineStr">
        <is>
          <t>R</t>
        </is>
      </c>
      <c r="F3481" s="18" t="n"/>
      <c r="G3481" s="9" t="n">
        <v>106.855</v>
      </c>
      <c r="H3481" s="9" t="n">
        <v>106.855</v>
      </c>
      <c r="I3481" s="9" t="inlineStr">
        <is>
          <t>Depth (no MLB IP)</t>
        </is>
      </c>
      <c r="J3481" s="18" t="inlineStr">
        <is>
          <t>Opening Day</t>
        </is>
      </c>
      <c r="K3481" s="11">
        <f>IFERROR(INDEX(Roles!$B$17:$B$20,MATCH(J3481,Roles!$A$17:$A$20,0)),1)</f>
        <v/>
      </c>
      <c r="L3481" s="19" t="n">
        <v>1</v>
      </c>
      <c r="M3481" s="11" t="n">
        <v>1</v>
      </c>
      <c r="N3481" s="19" t="n"/>
      <c r="O3481" s="19" t="n"/>
      <c r="P3481" s="19" t="n"/>
      <c r="Q3481" s="19" t="n"/>
      <c r="R3481" s="19" t="n"/>
      <c r="S3481" s="19" t="n"/>
      <c r="T3481" s="19" t="n"/>
      <c r="U3481" s="19" t="n"/>
      <c r="V3481" s="19" t="n"/>
      <c r="W3481" s="19" t="n"/>
      <c r="X3481" s="19" t="n"/>
      <c r="Y3481" s="19" t="n">
        <v>1</v>
      </c>
      <c r="Z3481" s="13">
        <f>SUMPRODUCT(N3481:Y3481,$N$2:$Y$2)*$K3481*$L3481*$M3481</f>
        <v/>
      </c>
      <c r="AA3481" s="14">
        <f>SUM(N3481:Y3481)</f>
        <v/>
      </c>
      <c r="AB3481" s="13">
        <f>SUMPRODUCT(N3481:Y3481,$N$3:$Y$3)*$K3481*$L3481*$M3481</f>
        <v/>
      </c>
      <c r="AC3481" s="13">
        <f>SUMPRODUCT(N3481:Y3481,$N$4:$Y$4)*$K3481*$L3481*$M3481</f>
        <v/>
      </c>
      <c r="AD3481" s="15" t="n">
        <v>3</v>
      </c>
      <c r="AE3481" s="11" t="n">
        <v>1.011296296296296</v>
      </c>
      <c r="AF3481" s="16">
        <f>SUMPRODUCT(N3481:Y3481,$N$5:$Y$5)*$K3481*$L3481*$M3481</f>
        <v/>
      </c>
      <c r="AG3481" s="16">
        <f>SUMPRODUCT(N3481:Y3481,$N$6:$Y$6)*$K3481*$L3481*$M3481</f>
        <v/>
      </c>
      <c r="AH3481" s="20" t="n"/>
    </row>
    <row r="3482">
      <c r="A3482" s="9" t="n">
        <v>687473</v>
      </c>
      <c r="B3482" s="9" t="inlineStr">
        <is>
          <t>Ryan Gusto</t>
        </is>
      </c>
      <c r="C3482" s="9" t="inlineStr">
        <is>
          <t>MIA</t>
        </is>
      </c>
      <c r="D3482" s="9" t="n">
        <v>28</v>
      </c>
      <c r="E3482" s="18" t="inlineStr">
        <is>
          <t>R</t>
        </is>
      </c>
      <c r="F3482" s="18" t="n"/>
      <c r="G3482" s="9" t="n">
        <v>392</v>
      </c>
      <c r="H3482" s="9" t="n">
        <v>845</v>
      </c>
      <c r="I3482" s="9" t="inlineStr">
        <is>
          <t>End-of-Rotation Starter (SP4-5)</t>
        </is>
      </c>
      <c r="J3482" s="18" t="inlineStr">
        <is>
          <t>Opening Day</t>
        </is>
      </c>
      <c r="K3482" s="11">
        <f>IFERROR(INDEX(Roles!$B$17:$B$20,MATCH(J3482,Roles!$A$17:$A$20,0)),1)</f>
        <v/>
      </c>
      <c r="L3482" s="19" t="n">
        <v>1</v>
      </c>
      <c r="M3482" s="11" t="n">
        <v>1</v>
      </c>
      <c r="N3482" s="19" t="n"/>
      <c r="O3482" s="19" t="n"/>
      <c r="P3482" s="19" t="n">
        <v>0.5</v>
      </c>
      <c r="Q3482" s="19" t="n"/>
      <c r="R3482" s="19" t="n">
        <v>0.5</v>
      </c>
      <c r="S3482" s="19" t="n"/>
      <c r="T3482" s="19" t="n"/>
      <c r="U3482" s="19" t="n"/>
      <c r="V3482" s="19" t="n"/>
      <c r="W3482" s="19" t="n"/>
      <c r="X3482" s="19" t="n"/>
      <c r="Y3482" s="19" t="n"/>
      <c r="Z3482" s="13">
        <f>SUMPRODUCT(N3482:Y3482,$N$2:$Y$2)*$K3482*$L3482*$M3482</f>
        <v/>
      </c>
      <c r="AA3482" s="14">
        <f>SUM(N3482:Y3482)</f>
        <v/>
      </c>
      <c r="AB3482" s="13">
        <f>SUMPRODUCT(N3482:Y3482,$N$3:$Y$3)*$K3482*$L3482*$M3482</f>
        <v/>
      </c>
      <c r="AC3482" s="13">
        <f>SUMPRODUCT(N3482:Y3482,$N$4:$Y$4)*$K3482*$L3482*$M3482</f>
        <v/>
      </c>
      <c r="AD3482" s="15" t="n">
        <v>21.16</v>
      </c>
      <c r="AE3482" s="11" t="n">
        <v>4.303523035230352</v>
      </c>
      <c r="AF3482" s="16">
        <f>SUMPRODUCT(N3482:Y3482,$N$5:$Y$5)*$K3482*$L3482*$M3482</f>
        <v/>
      </c>
      <c r="AG3482" s="16">
        <f>SUMPRODUCT(N3482:Y3482,$N$6:$Y$6)*$K3482*$L3482*$M3482</f>
        <v/>
      </c>
      <c r="AH3482" s="20" t="n"/>
    </row>
    <row r="3483">
      <c r="A3483" s="9" t="n">
        <v>667725</v>
      </c>
      <c r="B3483" s="9" t="inlineStr">
        <is>
          <t>Kyle Tyler</t>
        </is>
      </c>
      <c r="C3483" s="9" t="inlineStr">
        <is>
          <t>MIA</t>
        </is>
      </c>
      <c r="D3483" s="9" t="n">
        <v>30</v>
      </c>
      <c r="E3483" s="18" t="inlineStr">
        <is>
          <t>R</t>
        </is>
      </c>
      <c r="F3483" s="18" t="n"/>
      <c r="G3483" s="9" t="n">
        <v>142</v>
      </c>
      <c r="H3483" s="9" t="n">
        <v>156</v>
      </c>
      <c r="I3483" s="9" t="inlineStr">
        <is>
          <t>Depth (no MLB IP)</t>
        </is>
      </c>
      <c r="J3483" s="18" t="inlineStr">
        <is>
          <t>Opening Day</t>
        </is>
      </c>
      <c r="K3483" s="11">
        <f>IFERROR(INDEX(Roles!$B$17:$B$20,MATCH(J3483,Roles!$A$17:$A$20,0)),1)</f>
        <v/>
      </c>
      <c r="L3483" s="19" t="n">
        <v>1</v>
      </c>
      <c r="M3483" s="11" t="n">
        <v>1</v>
      </c>
      <c r="N3483" s="19" t="n"/>
      <c r="O3483" s="19" t="n"/>
      <c r="P3483" s="19" t="n"/>
      <c r="Q3483" s="19" t="n"/>
      <c r="R3483" s="19" t="n"/>
      <c r="S3483" s="19" t="n"/>
      <c r="T3483" s="19" t="n"/>
      <c r="U3483" s="19" t="n"/>
      <c r="V3483" s="19" t="n"/>
      <c r="W3483" s="19" t="n"/>
      <c r="X3483" s="19" t="n"/>
      <c r="Y3483" s="19" t="n">
        <v>1</v>
      </c>
      <c r="Z3483" s="13">
        <f>SUMPRODUCT(N3483:Y3483,$N$2:$Y$2)*$K3483*$L3483*$M3483</f>
        <v/>
      </c>
      <c r="AA3483" s="14">
        <f>SUM(N3483:Y3483)</f>
        <v/>
      </c>
      <c r="AB3483" s="13">
        <f>SUMPRODUCT(N3483:Y3483,$N$3:$Y$3)*$K3483*$L3483*$M3483</f>
        <v/>
      </c>
      <c r="AC3483" s="13">
        <f>SUMPRODUCT(N3483:Y3483,$N$4:$Y$4)*$K3483*$L3483*$M3483</f>
        <v/>
      </c>
      <c r="AD3483" s="15" t="n">
        <v>6</v>
      </c>
      <c r="AE3483" s="11" t="n">
        <v>1.993641975308642</v>
      </c>
      <c r="AF3483" s="16">
        <f>SUMPRODUCT(N3483:Y3483,$N$5:$Y$5)*$K3483*$L3483*$M3483</f>
        <v/>
      </c>
      <c r="AG3483" s="16">
        <f>SUMPRODUCT(N3483:Y3483,$N$6:$Y$6)*$K3483*$L3483*$M3483</f>
        <v/>
      </c>
      <c r="AH3483" s="20" t="n"/>
    </row>
    <row r="3484">
      <c r="A3484" s="9" t="n">
        <v>682847</v>
      </c>
      <c r="B3484" s="9" t="inlineStr">
        <is>
          <t>Luis Ortiz</t>
        </is>
      </c>
      <c r="C3484" s="9" t="inlineStr">
        <is>
          <t>CLE</t>
        </is>
      </c>
      <c r="D3484" s="9" t="n">
        <v>28</v>
      </c>
      <c r="E3484" s="18" t="inlineStr">
        <is>
          <t>R</t>
        </is>
      </c>
      <c r="F3484" s="18" t="n"/>
      <c r="G3484" s="9" t="n">
        <v>382</v>
      </c>
      <c r="H3484" s="9" t="n">
        <v>1407</v>
      </c>
      <c r="I3484" s="9" t="inlineStr">
        <is>
          <t>End-of-Rotation Starter (SP4-5)</t>
        </is>
      </c>
      <c r="J3484" s="18" t="inlineStr">
        <is>
          <t>Opening Day</t>
        </is>
      </c>
      <c r="K3484" s="11">
        <f>IFERROR(INDEX(Roles!$B$17:$B$20,MATCH(J3484,Roles!$A$17:$A$20,0)),1)</f>
        <v/>
      </c>
      <c r="L3484" s="19" t="n">
        <v>1</v>
      </c>
      <c r="M3484" s="11" t="n">
        <v>1</v>
      </c>
      <c r="N3484" s="19" t="n"/>
      <c r="O3484" s="19" t="n"/>
      <c r="P3484" s="19" t="n">
        <v>1</v>
      </c>
      <c r="Q3484" s="19" t="n"/>
      <c r="R3484" s="19" t="n"/>
      <c r="S3484" s="19" t="n"/>
      <c r="T3484" s="19" t="n"/>
      <c r="U3484" s="19" t="n"/>
      <c r="V3484" s="19" t="n"/>
      <c r="W3484" s="19" t="n"/>
      <c r="X3484" s="19" t="n"/>
      <c r="Y3484" s="19" t="n"/>
      <c r="Z3484" s="13">
        <f>SUMPRODUCT(N3484:Y3484,$N$2:$Y$2)*$K3484*$L3484*$M3484</f>
        <v/>
      </c>
      <c r="AA3484" s="14">
        <f>SUM(N3484:Y3484)</f>
        <v/>
      </c>
      <c r="AB3484" s="13">
        <f>SUMPRODUCT(N3484:Y3484,$N$3:$Y$3)*$K3484*$L3484*$M3484</f>
        <v/>
      </c>
      <c r="AC3484" s="13">
        <f>SUMPRODUCT(N3484:Y3484,$N$4:$Y$4)*$K3484*$L3484*$M3484</f>
        <v/>
      </c>
      <c r="AD3484" s="15" t="n">
        <v>20.2</v>
      </c>
      <c r="AE3484" s="11" t="n">
        <v>4.549114331723027</v>
      </c>
      <c r="AF3484" s="16">
        <f>SUMPRODUCT(N3484:Y3484,$N$5:$Y$5)*$K3484*$L3484*$M3484</f>
        <v/>
      </c>
      <c r="AG3484" s="16">
        <f>SUMPRODUCT(N3484:Y3484,$N$6:$Y$6)*$K3484*$L3484*$M3484</f>
        <v/>
      </c>
      <c r="AH3484" s="20" t="n"/>
    </row>
    <row r="3485">
      <c r="A3485" s="9" t="n">
        <v>700179</v>
      </c>
      <c r="B3485" s="9" t="inlineStr">
        <is>
          <t>Connor Oliver</t>
        </is>
      </c>
      <c r="C3485" s="9" t="inlineStr">
        <is>
          <t>PIT</t>
        </is>
      </c>
      <c r="D3485" s="9" t="n">
        <v>25</v>
      </c>
      <c r="E3485" s="18" t="inlineStr">
        <is>
          <t>L</t>
        </is>
      </c>
      <c r="F3485" s="18" t="n"/>
      <c r="G3485" s="9" t="n">
        <v>106.855</v>
      </c>
      <c r="H3485" s="9" t="n">
        <v>106.855</v>
      </c>
      <c r="I3485" s="9" t="inlineStr">
        <is>
          <t>Depth (no MLB IP)</t>
        </is>
      </c>
      <c r="J3485" s="18" t="inlineStr">
        <is>
          <t>Opening Day</t>
        </is>
      </c>
      <c r="K3485" s="11">
        <f>IFERROR(INDEX(Roles!$B$17:$B$20,MATCH(J3485,Roles!$A$17:$A$20,0)),1)</f>
        <v/>
      </c>
      <c r="L3485" s="19" t="n">
        <v>1</v>
      </c>
      <c r="M3485" s="11" t="n">
        <v>1</v>
      </c>
      <c r="N3485" s="19" t="n"/>
      <c r="O3485" s="19" t="n"/>
      <c r="P3485" s="19" t="n"/>
      <c r="Q3485" s="19" t="n"/>
      <c r="R3485" s="19" t="n"/>
      <c r="S3485" s="19" t="n"/>
      <c r="T3485" s="19" t="n"/>
      <c r="U3485" s="19" t="n"/>
      <c r="V3485" s="19" t="n"/>
      <c r="W3485" s="19" t="n"/>
      <c r="X3485" s="19" t="n"/>
      <c r="Y3485" s="19" t="n">
        <v>1</v>
      </c>
      <c r="Z3485" s="13">
        <f>SUMPRODUCT(N3485:Y3485,$N$2:$Y$2)*$K3485*$L3485*$M3485</f>
        <v/>
      </c>
      <c r="AA3485" s="14">
        <f>SUM(N3485:Y3485)</f>
        <v/>
      </c>
      <c r="AB3485" s="13">
        <f>SUMPRODUCT(N3485:Y3485,$N$3:$Y$3)*$K3485*$L3485*$M3485</f>
        <v/>
      </c>
      <c r="AC3485" s="13">
        <f>SUMPRODUCT(N3485:Y3485,$N$4:$Y$4)*$K3485*$L3485*$M3485</f>
        <v/>
      </c>
      <c r="AD3485" s="15" t="n">
        <v>3</v>
      </c>
      <c r="AE3485" s="11" t="n">
        <v>1.011296296296296</v>
      </c>
      <c r="AF3485" s="16">
        <f>SUMPRODUCT(N3485:Y3485,$N$5:$Y$5)*$K3485*$L3485*$M3485</f>
        <v/>
      </c>
      <c r="AG3485" s="16">
        <f>SUMPRODUCT(N3485:Y3485,$N$6:$Y$6)*$K3485*$L3485*$M3485</f>
        <v/>
      </c>
      <c r="AH3485" s="20" t="n"/>
    </row>
    <row r="3486">
      <c r="A3486" s="9" t="n">
        <v>676047</v>
      </c>
      <c r="B3486" s="9" t="inlineStr">
        <is>
          <t>Osvaldo Berrios</t>
        </is>
      </c>
      <c r="C3486" s="9" t="inlineStr">
        <is>
          <t>BOS</t>
        </is>
      </c>
      <c r="D3486" s="9" t="n">
        <v>25</v>
      </c>
      <c r="E3486" s="18" t="inlineStr">
        <is>
          <t>R</t>
        </is>
      </c>
      <c r="F3486" s="18" t="n"/>
      <c r="G3486" s="9" t="n">
        <v>107.2133333333333</v>
      </c>
      <c r="H3486" s="9" t="n">
        <v>107.2133333333333</v>
      </c>
      <c r="I3486" s="9" t="inlineStr">
        <is>
          <t>Depth (no MLB IP)</t>
        </is>
      </c>
      <c r="J3486" s="18" t="inlineStr">
        <is>
          <t>Opening Day</t>
        </is>
      </c>
      <c r="K3486" s="11">
        <f>IFERROR(INDEX(Roles!$B$17:$B$20,MATCH(J3486,Roles!$A$17:$A$20,0)),1)</f>
        <v/>
      </c>
      <c r="L3486" s="19" t="n">
        <v>1</v>
      </c>
      <c r="M3486" s="11" t="n">
        <v>1</v>
      </c>
      <c r="N3486" s="19" t="n"/>
      <c r="O3486" s="19" t="n"/>
      <c r="P3486" s="19" t="n"/>
      <c r="Q3486" s="19" t="n"/>
      <c r="R3486" s="19" t="n"/>
      <c r="S3486" s="19" t="n"/>
      <c r="T3486" s="19" t="n"/>
      <c r="U3486" s="19" t="n"/>
      <c r="V3486" s="19" t="n"/>
      <c r="W3486" s="19" t="n"/>
      <c r="X3486" s="19" t="n"/>
      <c r="Y3486" s="19" t="n">
        <v>1</v>
      </c>
      <c r="Z3486" s="13">
        <f>SUMPRODUCT(N3486:Y3486,$N$2:$Y$2)*$K3486*$L3486*$M3486</f>
        <v/>
      </c>
      <c r="AA3486" s="14">
        <f>SUM(N3486:Y3486)</f>
        <v/>
      </c>
      <c r="AB3486" s="13">
        <f>SUMPRODUCT(N3486:Y3486,$N$3:$Y$3)*$K3486*$L3486*$M3486</f>
        <v/>
      </c>
      <c r="AC3486" s="13">
        <f>SUMPRODUCT(N3486:Y3486,$N$4:$Y$4)*$K3486*$L3486*$M3486</f>
        <v/>
      </c>
      <c r="AD3486" s="15" t="n">
        <v>3</v>
      </c>
      <c r="AE3486" s="11" t="n">
        <v>1.011296296296296</v>
      </c>
      <c r="AF3486" s="16">
        <f>SUMPRODUCT(N3486:Y3486,$N$5:$Y$5)*$K3486*$L3486*$M3486</f>
        <v/>
      </c>
      <c r="AG3486" s="16">
        <f>SUMPRODUCT(N3486:Y3486,$N$6:$Y$6)*$K3486*$L3486*$M3486</f>
        <v/>
      </c>
      <c r="AH3486" s="20" t="n"/>
    </row>
    <row r="3487">
      <c r="A3487" s="9" t="n">
        <v>675512</v>
      </c>
      <c r="B3487" s="9" t="inlineStr">
        <is>
          <t>Troy Melton</t>
        </is>
      </c>
      <c r="C3487" s="9" t="inlineStr">
        <is>
          <t>DET</t>
        </is>
      </c>
      <c r="D3487" s="9" t="n">
        <v>26</v>
      </c>
      <c r="E3487" s="18" t="inlineStr">
        <is>
          <t>R</t>
        </is>
      </c>
      <c r="F3487" s="18" t="n"/>
      <c r="G3487" s="9" t="n">
        <v>470</v>
      </c>
      <c r="H3487" s="9" t="n">
        <v>650</v>
      </c>
      <c r="I3487" s="9" t="inlineStr">
        <is>
          <t>Ace (SP1)</t>
        </is>
      </c>
      <c r="J3487" s="18" t="inlineStr">
        <is>
          <t>Opening Day</t>
        </is>
      </c>
      <c r="K3487" s="11">
        <f>IFERROR(INDEX(Roles!$B$17:$B$20,MATCH(J3487,Roles!$A$17:$A$20,0)),1)</f>
        <v/>
      </c>
      <c r="L3487" s="19" t="n">
        <v>1</v>
      </c>
      <c r="M3487" s="11" t="n">
        <v>1</v>
      </c>
      <c r="N3487" s="19" t="n">
        <v>0.5</v>
      </c>
      <c r="O3487" s="19" t="n">
        <v>0.5</v>
      </c>
      <c r="P3487" s="19" t="n"/>
      <c r="Q3487" s="19" t="n"/>
      <c r="R3487" s="19" t="n"/>
      <c r="S3487" s="19" t="n"/>
      <c r="T3487" s="19" t="n"/>
      <c r="U3487" s="19" t="n"/>
      <c r="V3487" s="19" t="n"/>
      <c r="W3487" s="19" t="n"/>
      <c r="X3487" s="19" t="n"/>
      <c r="Y3487" s="19" t="n"/>
      <c r="Z3487" s="13">
        <f>SUMPRODUCT(N3487:Y3487,$N$2:$Y$2)*$K3487*$L3487*$M3487</f>
        <v/>
      </c>
      <c r="AA3487" s="14">
        <f>SUM(N3487:Y3487)</f>
        <v/>
      </c>
      <c r="AB3487" s="13">
        <f>SUMPRODUCT(N3487:Y3487,$N$3:$Y$3)*$K3487*$L3487*$M3487</f>
        <v/>
      </c>
      <c r="AC3487" s="13">
        <f>SUMPRODUCT(N3487:Y3487,$N$4:$Y$4)*$K3487*$L3487*$M3487</f>
        <v/>
      </c>
      <c r="AD3487" s="15" t="n">
        <v>21.24</v>
      </c>
      <c r="AE3487" s="11" t="n">
        <v>5.319703243616286</v>
      </c>
      <c r="AF3487" s="16">
        <f>SUMPRODUCT(N3487:Y3487,$N$5:$Y$5)*$K3487*$L3487*$M3487</f>
        <v/>
      </c>
      <c r="AG3487" s="16">
        <f>SUMPRODUCT(N3487:Y3487,$N$6:$Y$6)*$K3487*$L3487*$M3487</f>
        <v/>
      </c>
      <c r="AH3487" s="20" t="n"/>
    </row>
    <row r="3488">
      <c r="A3488" s="9" t="n">
        <v>687849</v>
      </c>
      <c r="B3488" s="9" t="inlineStr">
        <is>
          <t>Zak Kent</t>
        </is>
      </c>
      <c r="C3488" s="9" t="inlineStr">
        <is>
          <t>WSH</t>
        </is>
      </c>
      <c r="D3488" s="9" t="n">
        <v>29</v>
      </c>
      <c r="E3488" s="18" t="inlineStr">
        <is>
          <t>R</t>
        </is>
      </c>
      <c r="F3488" s="18" t="n"/>
      <c r="G3488" s="9" t="n">
        <v>77</v>
      </c>
      <c r="H3488" s="9" t="n">
        <v>153</v>
      </c>
      <c r="I3488" s="9" t="inlineStr">
        <is>
          <t>Bullpen Depth Arm</t>
        </is>
      </c>
      <c r="J3488" s="18" t="inlineStr">
        <is>
          <t>Opening Day</t>
        </is>
      </c>
      <c r="K3488" s="11">
        <f>IFERROR(INDEX(Roles!$B$17:$B$20,MATCH(J3488,Roles!$A$17:$A$20,0)),1)</f>
        <v/>
      </c>
      <c r="L3488" s="19" t="n">
        <v>1</v>
      </c>
      <c r="M3488" s="11" t="n">
        <v>1</v>
      </c>
      <c r="N3488" s="19" t="n"/>
      <c r="O3488" s="19" t="n"/>
      <c r="P3488" s="19" t="n"/>
      <c r="Q3488" s="19" t="n"/>
      <c r="R3488" s="19" t="n"/>
      <c r="S3488" s="19" t="n"/>
      <c r="T3488" s="19" t="n"/>
      <c r="U3488" s="19" t="n"/>
      <c r="V3488" s="19" t="n"/>
      <c r="W3488" s="19" t="n">
        <v>1</v>
      </c>
      <c r="X3488" s="19" t="n"/>
      <c r="Y3488" s="19" t="n"/>
      <c r="Z3488" s="13">
        <f>SUMPRODUCT(N3488:Y3488,$N$2:$Y$2)*$K3488*$L3488*$M3488</f>
        <v/>
      </c>
      <c r="AA3488" s="14">
        <f>SUM(N3488:Y3488)</f>
        <v/>
      </c>
      <c r="AB3488" s="13">
        <f>SUMPRODUCT(N3488:Y3488,$N$3:$Y$3)*$K3488*$L3488*$M3488</f>
        <v/>
      </c>
      <c r="AC3488" s="13">
        <f>SUMPRODUCT(N3488:Y3488,$N$4:$Y$4)*$K3488*$L3488*$M3488</f>
        <v/>
      </c>
      <c r="AD3488" s="15" t="n">
        <v>12.50666666666667</v>
      </c>
      <c r="AE3488" s="11" t="n">
        <v>1.294684522754698</v>
      </c>
      <c r="AF3488" s="16">
        <f>SUMPRODUCT(N3488:Y3488,$N$5:$Y$5)*$K3488*$L3488*$M3488</f>
        <v/>
      </c>
      <c r="AG3488" s="16">
        <f>SUMPRODUCT(N3488:Y3488,$N$6:$Y$6)*$K3488*$L3488*$M3488</f>
        <v/>
      </c>
      <c r="AH3488" s="20" t="n"/>
    </row>
    <row r="3489">
      <c r="A3489" s="9" t="n">
        <v>805060</v>
      </c>
      <c r="B3489" s="9" t="inlineStr">
        <is>
          <t>Yenrri Rojas</t>
        </is>
      </c>
      <c r="C3489" s="9" t="inlineStr">
        <is>
          <t>CHC</t>
        </is>
      </c>
      <c r="D3489" s="9" t="n">
        <v>25</v>
      </c>
      <c r="E3489" s="18" t="inlineStr">
        <is>
          <t>R</t>
        </is>
      </c>
      <c r="F3489" s="18" t="n"/>
      <c r="G3489" s="9" t="n">
        <v>107.3566666666666</v>
      </c>
      <c r="H3489" s="9" t="n">
        <v>107.3566666666666</v>
      </c>
      <c r="I3489" s="9" t="inlineStr">
        <is>
          <t>Depth (no MLB IP)</t>
        </is>
      </c>
      <c r="J3489" s="18" t="inlineStr">
        <is>
          <t>Opening Day</t>
        </is>
      </c>
      <c r="K3489" s="11">
        <f>IFERROR(INDEX(Roles!$B$17:$B$20,MATCH(J3489,Roles!$A$17:$A$20,0)),1)</f>
        <v/>
      </c>
      <c r="L3489" s="19" t="n">
        <v>1</v>
      </c>
      <c r="M3489" s="11" t="n">
        <v>1</v>
      </c>
      <c r="N3489" s="19" t="n"/>
      <c r="O3489" s="19" t="n"/>
      <c r="P3489" s="19" t="n"/>
      <c r="Q3489" s="19" t="n"/>
      <c r="R3489" s="19" t="n"/>
      <c r="S3489" s="19" t="n"/>
      <c r="T3489" s="19" t="n"/>
      <c r="U3489" s="19" t="n"/>
      <c r="V3489" s="19" t="n"/>
      <c r="W3489" s="19" t="n"/>
      <c r="X3489" s="19" t="n"/>
      <c r="Y3489" s="19" t="n">
        <v>1</v>
      </c>
      <c r="Z3489" s="13">
        <f>SUMPRODUCT(N3489:Y3489,$N$2:$Y$2)*$K3489*$L3489*$M3489</f>
        <v/>
      </c>
      <c r="AA3489" s="14">
        <f>SUM(N3489:Y3489)</f>
        <v/>
      </c>
      <c r="AB3489" s="13">
        <f>SUMPRODUCT(N3489:Y3489,$N$3:$Y$3)*$K3489*$L3489*$M3489</f>
        <v/>
      </c>
      <c r="AC3489" s="13">
        <f>SUMPRODUCT(N3489:Y3489,$N$4:$Y$4)*$K3489*$L3489*$M3489</f>
        <v/>
      </c>
      <c r="AD3489" s="15" t="n">
        <v>3</v>
      </c>
      <c r="AE3489" s="11" t="n">
        <v>1.011296296296296</v>
      </c>
      <c r="AF3489" s="16">
        <f>SUMPRODUCT(N3489:Y3489,$N$5:$Y$5)*$K3489*$L3489*$M3489</f>
        <v/>
      </c>
      <c r="AG3489" s="16">
        <f>SUMPRODUCT(N3489:Y3489,$N$6:$Y$6)*$K3489*$L3489*$M3489</f>
        <v/>
      </c>
      <c r="AH3489" s="20" t="n"/>
    </row>
    <row r="3490">
      <c r="A3490" s="9" t="n">
        <v>691576</v>
      </c>
      <c r="B3490" s="9" t="inlineStr">
        <is>
          <t>Alejandro Hidalgo</t>
        </is>
      </c>
      <c r="C3490" s="9" t="inlineStr">
        <is>
          <t>MIN</t>
        </is>
      </c>
      <c r="D3490" s="9" t="n">
        <v>25</v>
      </c>
      <c r="E3490" s="18" t="inlineStr">
        <is>
          <t>R</t>
        </is>
      </c>
      <c r="F3490" s="18" t="n"/>
      <c r="G3490" s="9" t="n">
        <v>107.2133333333333</v>
      </c>
      <c r="H3490" s="9" t="n">
        <v>107.2133333333333</v>
      </c>
      <c r="I3490" s="9" t="inlineStr">
        <is>
          <t>Depth (no MLB IP)</t>
        </is>
      </c>
      <c r="J3490" s="18" t="inlineStr">
        <is>
          <t>Opening Day</t>
        </is>
      </c>
      <c r="K3490" s="11">
        <f>IFERROR(INDEX(Roles!$B$17:$B$20,MATCH(J3490,Roles!$A$17:$A$20,0)),1)</f>
        <v/>
      </c>
      <c r="L3490" s="19" t="n">
        <v>1</v>
      </c>
      <c r="M3490" s="11" t="n">
        <v>1</v>
      </c>
      <c r="N3490" s="19" t="n"/>
      <c r="O3490" s="19" t="n"/>
      <c r="P3490" s="19" t="n"/>
      <c r="Q3490" s="19" t="n"/>
      <c r="R3490" s="19" t="n"/>
      <c r="S3490" s="19" t="n"/>
      <c r="T3490" s="19" t="n"/>
      <c r="U3490" s="19" t="n"/>
      <c r="V3490" s="19" t="n"/>
      <c r="W3490" s="19" t="n"/>
      <c r="X3490" s="19" t="n"/>
      <c r="Y3490" s="19" t="n">
        <v>1</v>
      </c>
      <c r="Z3490" s="13">
        <f>SUMPRODUCT(N3490:Y3490,$N$2:$Y$2)*$K3490*$L3490*$M3490</f>
        <v/>
      </c>
      <c r="AA3490" s="14">
        <f>SUM(N3490:Y3490)</f>
        <v/>
      </c>
      <c r="AB3490" s="13">
        <f>SUMPRODUCT(N3490:Y3490,$N$3:$Y$3)*$K3490*$L3490*$M3490</f>
        <v/>
      </c>
      <c r="AC3490" s="13">
        <f>SUMPRODUCT(N3490:Y3490,$N$4:$Y$4)*$K3490*$L3490*$M3490</f>
        <v/>
      </c>
      <c r="AD3490" s="15" t="n">
        <v>3</v>
      </c>
      <c r="AE3490" s="11" t="n">
        <v>1.011296296296296</v>
      </c>
      <c r="AF3490" s="16">
        <f>SUMPRODUCT(N3490:Y3490,$N$5:$Y$5)*$K3490*$L3490*$M3490</f>
        <v/>
      </c>
      <c r="AG3490" s="16">
        <f>SUMPRODUCT(N3490:Y3490,$N$6:$Y$6)*$K3490*$L3490*$M3490</f>
        <v/>
      </c>
      <c r="AH3490" s="20" t="n"/>
    </row>
    <row r="3491">
      <c r="A3491" s="9" t="n">
        <v>822416</v>
      </c>
      <c r="B3491" s="9" t="inlineStr">
        <is>
          <t>Cooper Adams</t>
        </is>
      </c>
      <c r="C3491" s="9" t="inlineStr">
        <is>
          <t>BOS</t>
        </is>
      </c>
      <c r="D3491" s="9" t="n">
        <v>25</v>
      </c>
      <c r="E3491" s="18" t="inlineStr">
        <is>
          <t>R</t>
        </is>
      </c>
      <c r="F3491" s="18" t="n"/>
      <c r="G3491" s="9" t="n">
        <v>107.8583333333333</v>
      </c>
      <c r="H3491" s="9" t="n">
        <v>107.8583333333333</v>
      </c>
      <c r="I3491" s="9" t="inlineStr">
        <is>
          <t>Depth (no MLB IP)</t>
        </is>
      </c>
      <c r="J3491" s="18" t="inlineStr">
        <is>
          <t>Opening Day</t>
        </is>
      </c>
      <c r="K3491" s="11">
        <f>IFERROR(INDEX(Roles!$B$17:$B$20,MATCH(J3491,Roles!$A$17:$A$20,0)),1)</f>
        <v/>
      </c>
      <c r="L3491" s="19" t="n">
        <v>1</v>
      </c>
      <c r="M3491" s="11" t="n">
        <v>1</v>
      </c>
      <c r="N3491" s="19" t="n"/>
      <c r="O3491" s="19" t="n"/>
      <c r="P3491" s="19" t="n"/>
      <c r="Q3491" s="19" t="n"/>
      <c r="R3491" s="19" t="n"/>
      <c r="S3491" s="19" t="n"/>
      <c r="T3491" s="19" t="n"/>
      <c r="U3491" s="19" t="n"/>
      <c r="V3491" s="19" t="n"/>
      <c r="W3491" s="19" t="n"/>
      <c r="X3491" s="19" t="n"/>
      <c r="Y3491" s="19" t="n">
        <v>1</v>
      </c>
      <c r="Z3491" s="13">
        <f>SUMPRODUCT(N3491:Y3491,$N$2:$Y$2)*$K3491*$L3491*$M3491</f>
        <v/>
      </c>
      <c r="AA3491" s="14">
        <f>SUM(N3491:Y3491)</f>
        <v/>
      </c>
      <c r="AB3491" s="13">
        <f>SUMPRODUCT(N3491:Y3491,$N$3:$Y$3)*$K3491*$L3491*$M3491</f>
        <v/>
      </c>
      <c r="AC3491" s="13">
        <f>SUMPRODUCT(N3491:Y3491,$N$4:$Y$4)*$K3491*$L3491*$M3491</f>
        <v/>
      </c>
      <c r="AD3491" s="15" t="n">
        <v>3</v>
      </c>
      <c r="AE3491" s="11" t="n">
        <v>1.011296296296296</v>
      </c>
      <c r="AF3491" s="16">
        <f>SUMPRODUCT(N3491:Y3491,$N$5:$Y$5)*$K3491*$L3491*$M3491</f>
        <v/>
      </c>
      <c r="AG3491" s="16">
        <f>SUMPRODUCT(N3491:Y3491,$N$6:$Y$6)*$K3491*$L3491*$M3491</f>
        <v/>
      </c>
      <c r="AH3491" s="20" t="n"/>
    </row>
    <row r="3492">
      <c r="A3492" s="9" t="n">
        <v>700924</v>
      </c>
      <c r="B3492" s="9" t="inlineStr">
        <is>
          <t>Frank Mozzicato</t>
        </is>
      </c>
      <c r="C3492" s="9" t="inlineStr">
        <is>
          <t>KC</t>
        </is>
      </c>
      <c r="D3492" s="9" t="n">
        <v>25</v>
      </c>
      <c r="E3492" s="18" t="inlineStr">
        <is>
          <t>L</t>
        </is>
      </c>
      <c r="F3492" s="18" t="n"/>
      <c r="G3492" s="9" t="n">
        <v>107.8583333333333</v>
      </c>
      <c r="H3492" s="9" t="n">
        <v>107.8583333333333</v>
      </c>
      <c r="I3492" s="9" t="inlineStr">
        <is>
          <t>Depth (no MLB IP)</t>
        </is>
      </c>
      <c r="J3492" s="18" t="inlineStr">
        <is>
          <t>Opening Day</t>
        </is>
      </c>
      <c r="K3492" s="11">
        <f>IFERROR(INDEX(Roles!$B$17:$B$20,MATCH(J3492,Roles!$A$17:$A$20,0)),1)</f>
        <v/>
      </c>
      <c r="L3492" s="19" t="n">
        <v>1</v>
      </c>
      <c r="M3492" s="11" t="n">
        <v>1</v>
      </c>
      <c r="N3492" s="19" t="n"/>
      <c r="O3492" s="19" t="n"/>
      <c r="P3492" s="19" t="n"/>
      <c r="Q3492" s="19" t="n"/>
      <c r="R3492" s="19" t="n"/>
      <c r="S3492" s="19" t="n"/>
      <c r="T3492" s="19" t="n"/>
      <c r="U3492" s="19" t="n"/>
      <c r="V3492" s="19" t="n"/>
      <c r="W3492" s="19" t="n"/>
      <c r="X3492" s="19" t="n"/>
      <c r="Y3492" s="19" t="n">
        <v>1</v>
      </c>
      <c r="Z3492" s="13">
        <f>SUMPRODUCT(N3492:Y3492,$N$2:$Y$2)*$K3492*$L3492*$M3492</f>
        <v/>
      </c>
      <c r="AA3492" s="14">
        <f>SUM(N3492:Y3492)</f>
        <v/>
      </c>
      <c r="AB3492" s="13">
        <f>SUMPRODUCT(N3492:Y3492,$N$3:$Y$3)*$K3492*$L3492*$M3492</f>
        <v/>
      </c>
      <c r="AC3492" s="13">
        <f>SUMPRODUCT(N3492:Y3492,$N$4:$Y$4)*$K3492*$L3492*$M3492</f>
        <v/>
      </c>
      <c r="AD3492" s="15" t="n">
        <v>3</v>
      </c>
      <c r="AE3492" s="11" t="n">
        <v>1.011296296296296</v>
      </c>
      <c r="AF3492" s="16">
        <f>SUMPRODUCT(N3492:Y3492,$N$5:$Y$5)*$K3492*$L3492*$M3492</f>
        <v/>
      </c>
      <c r="AG3492" s="16">
        <f>SUMPRODUCT(N3492:Y3492,$N$6:$Y$6)*$K3492*$L3492*$M3492</f>
        <v/>
      </c>
      <c r="AH3492" s="20" t="n"/>
    </row>
    <row r="3493">
      <c r="A3493" s="9" t="n">
        <v>694795</v>
      </c>
      <c r="B3493" s="9" t="inlineStr">
        <is>
          <t>Josh Ekness</t>
        </is>
      </c>
      <c r="C3493" s="9" t="inlineStr">
        <is>
          <t>MIA</t>
        </is>
      </c>
      <c r="D3493" s="9" t="n">
        <v>25</v>
      </c>
      <c r="E3493" s="18" t="inlineStr">
        <is>
          <t>R</t>
        </is>
      </c>
      <c r="F3493" s="18" t="n"/>
      <c r="G3493" s="9" t="n">
        <v>134</v>
      </c>
      <c r="H3493" s="9" t="n">
        <v>134</v>
      </c>
      <c r="I3493" s="9" t="inlineStr">
        <is>
          <t>Late Inning RP (Setup)</t>
        </is>
      </c>
      <c r="J3493" s="18" t="inlineStr">
        <is>
          <t>Opening Day</t>
        </is>
      </c>
      <c r="K3493" s="11">
        <f>IFERROR(INDEX(Roles!$B$17:$B$20,MATCH(J3493,Roles!$A$17:$A$20,0)),1)</f>
        <v/>
      </c>
      <c r="L3493" s="19" t="n">
        <v>1</v>
      </c>
      <c r="M3493" s="11" t="n">
        <v>1</v>
      </c>
      <c r="N3493" s="19" t="n"/>
      <c r="O3493" s="19" t="n"/>
      <c r="P3493" s="19" t="n"/>
      <c r="Q3493" s="19" t="n"/>
      <c r="R3493" s="19" t="n"/>
      <c r="S3493" s="19" t="n"/>
      <c r="T3493" s="19" t="n"/>
      <c r="U3493" s="19" t="n">
        <v>0.85</v>
      </c>
      <c r="V3493" s="19" t="n">
        <v>0.15</v>
      </c>
      <c r="W3493" s="19" t="n"/>
      <c r="X3493" s="19" t="n"/>
      <c r="Y3493" s="19" t="n"/>
      <c r="Z3493" s="13">
        <f>SUMPRODUCT(N3493:Y3493,$N$2:$Y$2)*$K3493*$L3493*$M3493</f>
        <v/>
      </c>
      <c r="AA3493" s="14">
        <f>SUM(N3493:Y3493)</f>
        <v/>
      </c>
      <c r="AB3493" s="13">
        <f>SUMPRODUCT(N3493:Y3493,$N$3:$Y$3)*$K3493*$L3493*$M3493</f>
        <v/>
      </c>
      <c r="AC3493" s="13">
        <f>SUMPRODUCT(N3493:Y3493,$N$4:$Y$4)*$K3493*$L3493*$M3493</f>
        <v/>
      </c>
      <c r="AD3493" s="15" t="n">
        <v>37.2</v>
      </c>
      <c r="AE3493" s="11" t="n">
        <v>1.000462962962963</v>
      </c>
      <c r="AF3493" s="16">
        <f>SUMPRODUCT(N3493:Y3493,$N$5:$Y$5)*$K3493*$L3493*$M3493</f>
        <v/>
      </c>
      <c r="AG3493" s="16">
        <f>SUMPRODUCT(N3493:Y3493,$N$6:$Y$6)*$K3493*$L3493*$M3493</f>
        <v/>
      </c>
      <c r="AH3493" s="20" t="n"/>
    </row>
    <row r="3494">
      <c r="A3494" s="9" t="n">
        <v>701464</v>
      </c>
      <c r="B3494" s="9" t="inlineStr">
        <is>
          <t>Joe Miller</t>
        </is>
      </c>
      <c r="C3494" s="9" t="inlineStr">
        <is>
          <t>DET</t>
        </is>
      </c>
      <c r="D3494" s="9" t="n">
        <v>25</v>
      </c>
      <c r="E3494" s="18" t="inlineStr">
        <is>
          <t>L</t>
        </is>
      </c>
      <c r="F3494" s="18" t="n"/>
      <c r="G3494" s="9" t="n">
        <v>108.36</v>
      </c>
      <c r="H3494" s="9" t="n">
        <v>108.36</v>
      </c>
      <c r="I3494" s="9" t="inlineStr">
        <is>
          <t>Depth (no MLB IP)</t>
        </is>
      </c>
      <c r="J3494" s="18" t="inlineStr">
        <is>
          <t>Opening Day</t>
        </is>
      </c>
      <c r="K3494" s="11">
        <f>IFERROR(INDEX(Roles!$B$17:$B$20,MATCH(J3494,Roles!$A$17:$A$20,0)),1)</f>
        <v/>
      </c>
      <c r="L3494" s="19" t="n">
        <v>1</v>
      </c>
      <c r="M3494" s="11" t="n">
        <v>1</v>
      </c>
      <c r="N3494" s="19" t="n"/>
      <c r="O3494" s="19" t="n"/>
      <c r="P3494" s="19" t="n"/>
      <c r="Q3494" s="19" t="n"/>
      <c r="R3494" s="19" t="n"/>
      <c r="S3494" s="19" t="n"/>
      <c r="T3494" s="19" t="n"/>
      <c r="U3494" s="19" t="n"/>
      <c r="V3494" s="19" t="n"/>
      <c r="W3494" s="19" t="n"/>
      <c r="X3494" s="19" t="n"/>
      <c r="Y3494" s="19" t="n">
        <v>1</v>
      </c>
      <c r="Z3494" s="13">
        <f>SUMPRODUCT(N3494:Y3494,$N$2:$Y$2)*$K3494*$L3494*$M3494</f>
        <v/>
      </c>
      <c r="AA3494" s="14">
        <f>SUM(N3494:Y3494)</f>
        <v/>
      </c>
      <c r="AB3494" s="13">
        <f>SUMPRODUCT(N3494:Y3494,$N$3:$Y$3)*$K3494*$L3494*$M3494</f>
        <v/>
      </c>
      <c r="AC3494" s="13">
        <f>SUMPRODUCT(N3494:Y3494,$N$4:$Y$4)*$K3494*$L3494*$M3494</f>
        <v/>
      </c>
      <c r="AD3494" s="15" t="n">
        <v>3</v>
      </c>
      <c r="AE3494" s="11" t="n">
        <v>1.011296296296296</v>
      </c>
      <c r="AF3494" s="16">
        <f>SUMPRODUCT(N3494:Y3494,$N$5:$Y$5)*$K3494*$L3494*$M3494</f>
        <v/>
      </c>
      <c r="AG3494" s="16">
        <f>SUMPRODUCT(N3494:Y3494,$N$6:$Y$6)*$K3494*$L3494*$M3494</f>
        <v/>
      </c>
      <c r="AH3494" s="20" t="n"/>
    </row>
    <row r="3495">
      <c r="A3495" s="9" t="n">
        <v>671109</v>
      </c>
      <c r="B3495" s="9" t="inlineStr">
        <is>
          <t>Jake Eder</t>
        </is>
      </c>
      <c r="C3495" s="9" t="inlineStr">
        <is>
          <t>LAA</t>
        </is>
      </c>
      <c r="D3495" s="9" t="n">
        <v>28</v>
      </c>
      <c r="E3495" s="18" t="inlineStr">
        <is>
          <t>L</t>
        </is>
      </c>
      <c r="F3495" s="18" t="n"/>
      <c r="G3495" s="9" t="n">
        <v>15</v>
      </c>
      <c r="H3495" s="9" t="n">
        <v>102</v>
      </c>
      <c r="I3495" s="9" t="inlineStr">
        <is>
          <t>Bullpen Depth Arm</t>
        </is>
      </c>
      <c r="J3495" s="18" t="inlineStr">
        <is>
          <t>Opening Day</t>
        </is>
      </c>
      <c r="K3495" s="11">
        <f>IFERROR(INDEX(Roles!$B$17:$B$20,MATCH(J3495,Roles!$A$17:$A$20,0)),1)</f>
        <v/>
      </c>
      <c r="L3495" s="19" t="n">
        <v>1</v>
      </c>
      <c r="M3495" s="11" t="n">
        <v>1</v>
      </c>
      <c r="N3495" s="19" t="n"/>
      <c r="O3495" s="19" t="n"/>
      <c r="P3495" s="19" t="n"/>
      <c r="Q3495" s="19" t="n"/>
      <c r="R3495" s="19" t="n"/>
      <c r="S3495" s="19" t="n"/>
      <c r="T3495" s="19" t="n"/>
      <c r="U3495" s="19" t="n"/>
      <c r="V3495" s="19" t="n"/>
      <c r="W3495" s="19" t="n">
        <v>1</v>
      </c>
      <c r="X3495" s="19" t="n"/>
      <c r="Y3495" s="19" t="n"/>
      <c r="Z3495" s="13">
        <f>SUMPRODUCT(N3495:Y3495,$N$2:$Y$2)*$K3495*$L3495*$M3495</f>
        <v/>
      </c>
      <c r="AA3495" s="14">
        <f>SUM(N3495:Y3495)</f>
        <v/>
      </c>
      <c r="AB3495" s="13">
        <f>SUMPRODUCT(N3495:Y3495,$N$3:$Y$3)*$K3495*$L3495*$M3495</f>
        <v/>
      </c>
      <c r="AC3495" s="13">
        <f>SUMPRODUCT(N3495:Y3495,$N$4:$Y$4)*$K3495*$L3495*$M3495</f>
        <v/>
      </c>
      <c r="AD3495" s="15" t="n">
        <v>8.566666666666666</v>
      </c>
      <c r="AE3495" s="11" t="n">
        <v>1.383882613767671</v>
      </c>
      <c r="AF3495" s="16">
        <f>SUMPRODUCT(N3495:Y3495,$N$5:$Y$5)*$K3495*$L3495*$M3495</f>
        <v/>
      </c>
      <c r="AG3495" s="16">
        <f>SUMPRODUCT(N3495:Y3495,$N$6:$Y$6)*$K3495*$L3495*$M3495</f>
        <v/>
      </c>
      <c r="AH3495" s="20" t="n"/>
    </row>
    <row r="3496">
      <c r="A3496" s="9" t="n">
        <v>660644</v>
      </c>
      <c r="B3496" s="9" t="inlineStr">
        <is>
          <t>Vidal Bruján</t>
        </is>
      </c>
      <c r="C3496" s="9" t="inlineStr">
        <is>
          <t>ATL</t>
        </is>
      </c>
      <c r="D3496" s="9" t="n">
        <v>29</v>
      </c>
      <c r="E3496" s="18" t="inlineStr">
        <is>
          <t>R</t>
        </is>
      </c>
      <c r="F3496" s="18" t="n"/>
      <c r="G3496" s="9" t="n">
        <v>11</v>
      </c>
      <c r="H3496" s="9" t="n">
        <v>27</v>
      </c>
      <c r="I3496" s="9" t="inlineStr">
        <is>
          <t>Depth (no MLB IP)</t>
        </is>
      </c>
      <c r="J3496" s="18" t="inlineStr">
        <is>
          <t>Opening Day</t>
        </is>
      </c>
      <c r="K3496" s="11">
        <f>IFERROR(INDEX(Roles!$B$17:$B$20,MATCH(J3496,Roles!$A$17:$A$20,0)),1)</f>
        <v/>
      </c>
      <c r="L3496" s="19" t="n">
        <v>1</v>
      </c>
      <c r="M3496" s="11" t="n">
        <v>1</v>
      </c>
      <c r="N3496" s="19" t="n"/>
      <c r="O3496" s="19" t="n"/>
      <c r="P3496" s="19" t="n"/>
      <c r="Q3496" s="19" t="n"/>
      <c r="R3496" s="19" t="n"/>
      <c r="S3496" s="19" t="n"/>
      <c r="T3496" s="19" t="n"/>
      <c r="U3496" s="19" t="n"/>
      <c r="V3496" s="19" t="n"/>
      <c r="W3496" s="19" t="n"/>
      <c r="X3496" s="19" t="n"/>
      <c r="Y3496" s="19" t="n">
        <v>1</v>
      </c>
      <c r="Z3496" s="13">
        <f>SUMPRODUCT(N3496:Y3496,$N$2:$Y$2)*$K3496*$L3496*$M3496</f>
        <v/>
      </c>
      <c r="AA3496" s="14">
        <f>SUM(N3496:Y3496)</f>
        <v/>
      </c>
      <c r="AB3496" s="13">
        <f>SUMPRODUCT(N3496:Y3496,$N$3:$Y$3)*$K3496*$L3496*$M3496</f>
        <v/>
      </c>
      <c r="AC3496" s="13">
        <f>SUMPRODUCT(N3496:Y3496,$N$4:$Y$4)*$K3496*$L3496*$M3496</f>
        <v/>
      </c>
      <c r="AD3496" s="15" t="n">
        <v>2.4</v>
      </c>
      <c r="AE3496" s="11" t="n">
        <v>0.9890123456790122</v>
      </c>
      <c r="AF3496" s="16">
        <f>SUMPRODUCT(N3496:Y3496,$N$5:$Y$5)*$K3496*$L3496*$M3496</f>
        <v/>
      </c>
      <c r="AG3496" s="16">
        <f>SUMPRODUCT(N3496:Y3496,$N$6:$Y$6)*$K3496*$L3496*$M3496</f>
        <v/>
      </c>
      <c r="AH3496" s="20" t="n"/>
    </row>
    <row r="3497">
      <c r="A3497" s="9" t="n">
        <v>622072</v>
      </c>
      <c r="B3497" s="9" t="inlineStr">
        <is>
          <t>Alex Wood</t>
        </is>
      </c>
      <c r="C3497" s="9" t="inlineStr">
        <is>
          <t>OAK</t>
        </is>
      </c>
      <c r="D3497" s="9" t="n">
        <v>36</v>
      </c>
      <c r="E3497" s="18" t="inlineStr">
        <is>
          <t>L</t>
        </is>
      </c>
      <c r="F3497" s="18" t="n"/>
      <c r="G3497" s="9" t="n">
        <v>186</v>
      </c>
      <c r="H3497" s="9" t="n">
        <v>1170</v>
      </c>
      <c r="I3497" s="9" t="inlineStr">
        <is>
          <t>Depth (no MLB IP)</t>
        </is>
      </c>
      <c r="J3497" s="18" t="inlineStr">
        <is>
          <t>Opening Day</t>
        </is>
      </c>
      <c r="K3497" s="11">
        <f>IFERROR(INDEX(Roles!$B$17:$B$20,MATCH(J3497,Roles!$A$17:$A$20,0)),1)</f>
        <v/>
      </c>
      <c r="L3497" s="19" t="n">
        <v>1</v>
      </c>
      <c r="M3497" s="11" t="n">
        <v>1</v>
      </c>
      <c r="N3497" s="19" t="n"/>
      <c r="O3497" s="19" t="n"/>
      <c r="P3497" s="19" t="n"/>
      <c r="Q3497" s="19" t="n"/>
      <c r="R3497" s="19" t="n"/>
      <c r="S3497" s="19" t="n"/>
      <c r="T3497" s="19" t="n"/>
      <c r="U3497" s="19" t="n"/>
      <c r="V3497" s="19" t="n"/>
      <c r="W3497" s="19" t="n"/>
      <c r="X3497" s="19" t="n"/>
      <c r="Y3497" s="19" t="n">
        <v>1</v>
      </c>
      <c r="Z3497" s="13">
        <f>SUMPRODUCT(N3497:Y3497,$N$2:$Y$2)*$K3497*$L3497*$M3497</f>
        <v/>
      </c>
      <c r="AA3497" s="14">
        <f>SUM(N3497:Y3497)</f>
        <v/>
      </c>
      <c r="AB3497" s="13">
        <f>SUMPRODUCT(N3497:Y3497,$N$3:$Y$3)*$K3497*$L3497*$M3497</f>
        <v/>
      </c>
      <c r="AC3497" s="13">
        <f>SUMPRODUCT(N3497:Y3497,$N$4:$Y$4)*$K3497*$L3497*$M3497</f>
        <v/>
      </c>
      <c r="AD3497" s="15" t="n">
        <v>6.6</v>
      </c>
      <c r="AE3497" s="11" t="n">
        <v>2.130987654320988</v>
      </c>
      <c r="AF3497" s="16">
        <f>SUMPRODUCT(N3497:Y3497,$N$5:$Y$5)*$K3497*$L3497*$M3497</f>
        <v/>
      </c>
      <c r="AG3497" s="16">
        <f>SUMPRODUCT(N3497:Y3497,$N$6:$Y$6)*$K3497*$L3497*$M3497</f>
        <v/>
      </c>
      <c r="AH3497" s="20" t="n"/>
    </row>
    <row r="3498">
      <c r="A3498" s="9" t="n">
        <v>686844</v>
      </c>
      <c r="B3498" s="9" t="inlineStr">
        <is>
          <t>Ben Wereski</t>
        </is>
      </c>
      <c r="C3498" s="9" t="inlineStr">
        <is>
          <t>CIN</t>
        </is>
      </c>
      <c r="D3498" s="9" t="n">
        <v>25</v>
      </c>
      <c r="E3498" s="18" t="inlineStr">
        <is>
          <t>L</t>
        </is>
      </c>
      <c r="F3498" s="18" t="n"/>
      <c r="G3498" s="9" t="n">
        <v>108.79</v>
      </c>
      <c r="H3498" s="9" t="n">
        <v>108.79</v>
      </c>
      <c r="I3498" s="9" t="inlineStr">
        <is>
          <t>Depth (no MLB IP)</t>
        </is>
      </c>
      <c r="J3498" s="18" t="inlineStr">
        <is>
          <t>Opening Day</t>
        </is>
      </c>
      <c r="K3498" s="11">
        <f>IFERROR(INDEX(Roles!$B$17:$B$20,MATCH(J3498,Roles!$A$17:$A$20,0)),1)</f>
        <v/>
      </c>
      <c r="L3498" s="19" t="n">
        <v>1</v>
      </c>
      <c r="M3498" s="11" t="n">
        <v>1</v>
      </c>
      <c r="N3498" s="19" t="n"/>
      <c r="O3498" s="19" t="n"/>
      <c r="P3498" s="19" t="n"/>
      <c r="Q3498" s="19" t="n"/>
      <c r="R3498" s="19" t="n"/>
      <c r="S3498" s="19" t="n"/>
      <c r="T3498" s="19" t="n"/>
      <c r="U3498" s="19" t="n"/>
      <c r="V3498" s="19" t="n"/>
      <c r="W3498" s="19" t="n"/>
      <c r="X3498" s="19" t="n"/>
      <c r="Y3498" s="19" t="n">
        <v>1</v>
      </c>
      <c r="Z3498" s="13">
        <f>SUMPRODUCT(N3498:Y3498,$N$2:$Y$2)*$K3498*$L3498*$M3498</f>
        <v/>
      </c>
      <c r="AA3498" s="14">
        <f>SUM(N3498:Y3498)</f>
        <v/>
      </c>
      <c r="AB3498" s="13">
        <f>SUMPRODUCT(N3498:Y3498,$N$3:$Y$3)*$K3498*$L3498*$M3498</f>
        <v/>
      </c>
      <c r="AC3498" s="13">
        <f>SUMPRODUCT(N3498:Y3498,$N$4:$Y$4)*$K3498*$L3498*$M3498</f>
        <v/>
      </c>
      <c r="AD3498" s="15" t="n">
        <v>3</v>
      </c>
      <c r="AE3498" s="11" t="n">
        <v>1.011296296296296</v>
      </c>
      <c r="AF3498" s="16">
        <f>SUMPRODUCT(N3498:Y3498,$N$5:$Y$5)*$K3498*$L3498*$M3498</f>
        <v/>
      </c>
      <c r="AG3498" s="16">
        <f>SUMPRODUCT(N3498:Y3498,$N$6:$Y$6)*$K3498*$L3498*$M3498</f>
        <v/>
      </c>
      <c r="AH3498" s="20" t="n"/>
    </row>
    <row r="3499">
      <c r="A3499" s="9" t="n">
        <v>701178</v>
      </c>
      <c r="B3499" s="9" t="inlineStr">
        <is>
          <t>Rafe Schlesinger</t>
        </is>
      </c>
      <c r="C3499" s="9" t="inlineStr">
        <is>
          <t>CLE</t>
        </is>
      </c>
      <c r="D3499" s="9" t="n">
        <v>25</v>
      </c>
      <c r="E3499" s="18" t="inlineStr">
        <is>
          <t>L</t>
        </is>
      </c>
      <c r="F3499" s="18" t="n"/>
      <c r="G3499" s="9" t="n">
        <v>108.8616666666666</v>
      </c>
      <c r="H3499" s="9" t="n">
        <v>108.8616666666666</v>
      </c>
      <c r="I3499" s="9" t="inlineStr">
        <is>
          <t>Depth (no MLB IP)</t>
        </is>
      </c>
      <c r="J3499" s="18" t="inlineStr">
        <is>
          <t>Opening Day</t>
        </is>
      </c>
      <c r="K3499" s="11">
        <f>IFERROR(INDEX(Roles!$B$17:$B$20,MATCH(J3499,Roles!$A$17:$A$20,0)),1)</f>
        <v/>
      </c>
      <c r="L3499" s="19" t="n">
        <v>1</v>
      </c>
      <c r="M3499" s="11" t="n">
        <v>1</v>
      </c>
      <c r="N3499" s="19" t="n"/>
      <c r="O3499" s="19" t="n"/>
      <c r="P3499" s="19" t="n"/>
      <c r="Q3499" s="19" t="n"/>
      <c r="R3499" s="19" t="n"/>
      <c r="S3499" s="19" t="n"/>
      <c r="T3499" s="19" t="n"/>
      <c r="U3499" s="19" t="n"/>
      <c r="V3499" s="19" t="n"/>
      <c r="W3499" s="19" t="n"/>
      <c r="X3499" s="19" t="n"/>
      <c r="Y3499" s="19" t="n">
        <v>1</v>
      </c>
      <c r="Z3499" s="13">
        <f>SUMPRODUCT(N3499:Y3499,$N$2:$Y$2)*$K3499*$L3499*$M3499</f>
        <v/>
      </c>
      <c r="AA3499" s="14">
        <f>SUM(N3499:Y3499)</f>
        <v/>
      </c>
      <c r="AB3499" s="13">
        <f>SUMPRODUCT(N3499:Y3499,$N$3:$Y$3)*$K3499*$L3499*$M3499</f>
        <v/>
      </c>
      <c r="AC3499" s="13">
        <f>SUMPRODUCT(N3499:Y3499,$N$4:$Y$4)*$K3499*$L3499*$M3499</f>
        <v/>
      </c>
      <c r="AD3499" s="15" t="n">
        <v>3</v>
      </c>
      <c r="AE3499" s="11" t="n">
        <v>1.011296296296296</v>
      </c>
      <c r="AF3499" s="16">
        <f>SUMPRODUCT(N3499:Y3499,$N$5:$Y$5)*$K3499*$L3499*$M3499</f>
        <v/>
      </c>
      <c r="AG3499" s="16">
        <f>SUMPRODUCT(N3499:Y3499,$N$6:$Y$6)*$K3499*$L3499*$M3499</f>
        <v/>
      </c>
      <c r="AH3499" s="20" t="n"/>
    </row>
    <row r="3500">
      <c r="A3500" s="9" t="n">
        <v>808087</v>
      </c>
      <c r="B3500" s="9" t="inlineStr">
        <is>
          <t>Junior Sanchez</t>
        </is>
      </c>
      <c r="C3500" s="9" t="inlineStr">
        <is>
          <t>ARI</t>
        </is>
      </c>
      <c r="D3500" s="9" t="n">
        <v>25</v>
      </c>
      <c r="E3500" s="18" t="inlineStr">
        <is>
          <t>R</t>
        </is>
      </c>
      <c r="F3500" s="18" t="n"/>
      <c r="G3500" s="9" t="n">
        <v>108.8616666666666</v>
      </c>
      <c r="H3500" s="9" t="n">
        <v>108.8616666666666</v>
      </c>
      <c r="I3500" s="9" t="inlineStr">
        <is>
          <t>Depth (no MLB IP)</t>
        </is>
      </c>
      <c r="J3500" s="18" t="inlineStr">
        <is>
          <t>Opening Day</t>
        </is>
      </c>
      <c r="K3500" s="11">
        <f>IFERROR(INDEX(Roles!$B$17:$B$20,MATCH(J3500,Roles!$A$17:$A$20,0)),1)</f>
        <v/>
      </c>
      <c r="L3500" s="19" t="n">
        <v>1</v>
      </c>
      <c r="M3500" s="11" t="n">
        <v>1</v>
      </c>
      <c r="N3500" s="19" t="n"/>
      <c r="O3500" s="19" t="n"/>
      <c r="P3500" s="19" t="n"/>
      <c r="Q3500" s="19" t="n"/>
      <c r="R3500" s="19" t="n"/>
      <c r="S3500" s="19" t="n"/>
      <c r="T3500" s="19" t="n"/>
      <c r="U3500" s="19" t="n"/>
      <c r="V3500" s="19" t="n"/>
      <c r="W3500" s="19" t="n"/>
      <c r="X3500" s="19" t="n"/>
      <c r="Y3500" s="19" t="n">
        <v>1</v>
      </c>
      <c r="Z3500" s="13">
        <f>SUMPRODUCT(N3500:Y3500,$N$2:$Y$2)*$K3500*$L3500*$M3500</f>
        <v/>
      </c>
      <c r="AA3500" s="14">
        <f>SUM(N3500:Y3500)</f>
        <v/>
      </c>
      <c r="AB3500" s="13">
        <f>SUMPRODUCT(N3500:Y3500,$N$3:$Y$3)*$K3500*$L3500*$M3500</f>
        <v/>
      </c>
      <c r="AC3500" s="13">
        <f>SUMPRODUCT(N3500:Y3500,$N$4:$Y$4)*$K3500*$L3500*$M3500</f>
        <v/>
      </c>
      <c r="AD3500" s="15" t="n">
        <v>3</v>
      </c>
      <c r="AE3500" s="11" t="n">
        <v>1.011296296296296</v>
      </c>
      <c r="AF3500" s="16">
        <f>SUMPRODUCT(N3500:Y3500,$N$5:$Y$5)*$K3500*$L3500*$M3500</f>
        <v/>
      </c>
      <c r="AG3500" s="16">
        <f>SUMPRODUCT(N3500:Y3500,$N$6:$Y$6)*$K3500*$L3500*$M3500</f>
        <v/>
      </c>
      <c r="AH3500" s="20" t="n"/>
    </row>
    <row r="3501">
      <c r="A3501" s="9" t="n">
        <v>669391</v>
      </c>
      <c r="B3501" s="9" t="inlineStr">
        <is>
          <t>Owen White</t>
        </is>
      </c>
      <c r="C3501" s="9" t="inlineStr">
        <is>
          <t>CWS</t>
        </is>
      </c>
      <c r="D3501" s="9" t="n">
        <v>27</v>
      </c>
      <c r="E3501" s="18" t="inlineStr">
        <is>
          <t>R</t>
        </is>
      </c>
      <c r="F3501" s="18" t="n"/>
      <c r="G3501" s="9" t="n">
        <v>35</v>
      </c>
      <c r="H3501" s="9" t="n">
        <v>72</v>
      </c>
      <c r="I3501" s="9" t="inlineStr">
        <is>
          <t>Bullpen Depth Arm</t>
        </is>
      </c>
      <c r="J3501" s="18" t="inlineStr">
        <is>
          <t>Opening Day</t>
        </is>
      </c>
      <c r="K3501" s="11">
        <f>IFERROR(INDEX(Roles!$B$17:$B$20,MATCH(J3501,Roles!$A$17:$A$20,0)),1)</f>
        <v/>
      </c>
      <c r="L3501" s="19" t="n">
        <v>1</v>
      </c>
      <c r="M3501" s="11" t="n">
        <v>1</v>
      </c>
      <c r="N3501" s="19" t="n"/>
      <c r="O3501" s="19" t="n"/>
      <c r="P3501" s="19" t="n"/>
      <c r="Q3501" s="19" t="n"/>
      <c r="R3501" s="19" t="n"/>
      <c r="S3501" s="19" t="n"/>
      <c r="T3501" s="19" t="n"/>
      <c r="U3501" s="19" t="n"/>
      <c r="V3501" s="19" t="n"/>
      <c r="W3501" s="19" t="n">
        <v>1</v>
      </c>
      <c r="X3501" s="19" t="n"/>
      <c r="Y3501" s="19" t="n"/>
      <c r="Z3501" s="13">
        <f>SUMPRODUCT(N3501:Y3501,$N$2:$Y$2)*$K3501*$L3501*$M3501</f>
        <v/>
      </c>
      <c r="AA3501" s="14">
        <f>SUM(N3501:Y3501)</f>
        <v/>
      </c>
      <c r="AB3501" s="13">
        <f>SUMPRODUCT(N3501:Y3501,$N$3:$Y$3)*$K3501*$L3501*$M3501</f>
        <v/>
      </c>
      <c r="AC3501" s="13">
        <f>SUMPRODUCT(N3501:Y3501,$N$4:$Y$4)*$K3501*$L3501*$M3501</f>
        <v/>
      </c>
      <c r="AD3501" s="15" t="n">
        <v>7.466666666666666</v>
      </c>
      <c r="AE3501" s="11" t="n">
        <v>1.431136764470098</v>
      </c>
      <c r="AF3501" s="16">
        <f>SUMPRODUCT(N3501:Y3501,$N$5:$Y$5)*$K3501*$L3501*$M3501</f>
        <v/>
      </c>
      <c r="AG3501" s="16">
        <f>SUMPRODUCT(N3501:Y3501,$N$6:$Y$6)*$K3501*$L3501*$M3501</f>
        <v/>
      </c>
      <c r="AH3501" s="20" t="n"/>
    </row>
    <row r="3502">
      <c r="A3502" s="9" t="n">
        <v>681151</v>
      </c>
      <c r="B3502" s="9" t="inlineStr">
        <is>
          <t>Jayden Murray</t>
        </is>
      </c>
      <c r="C3502" s="9" t="inlineStr">
        <is>
          <t>CHC</t>
        </is>
      </c>
      <c r="D3502" s="9" t="n">
        <v>30</v>
      </c>
      <c r="E3502" s="18" t="inlineStr">
        <is>
          <t>R</t>
        </is>
      </c>
      <c r="F3502" s="18" t="n"/>
      <c r="G3502" s="9" t="n">
        <v>79</v>
      </c>
      <c r="H3502" s="9" t="n">
        <v>126</v>
      </c>
      <c r="I3502" s="9" t="inlineStr">
        <is>
          <t>Bullpen Depth Arm</t>
        </is>
      </c>
      <c r="J3502" s="18" t="inlineStr">
        <is>
          <t>Opening Day</t>
        </is>
      </c>
      <c r="K3502" s="11">
        <f>IFERROR(INDEX(Roles!$B$17:$B$20,MATCH(J3502,Roles!$A$17:$A$20,0)),1)</f>
        <v/>
      </c>
      <c r="L3502" s="19" t="n">
        <v>1</v>
      </c>
      <c r="M3502" s="11" t="n">
        <v>1</v>
      </c>
      <c r="N3502" s="19" t="n"/>
      <c r="O3502" s="19" t="n"/>
      <c r="P3502" s="19" t="n"/>
      <c r="Q3502" s="19" t="n"/>
      <c r="R3502" s="19" t="n"/>
      <c r="S3502" s="19" t="n"/>
      <c r="T3502" s="19" t="n"/>
      <c r="U3502" s="19" t="n"/>
      <c r="V3502" s="19" t="n"/>
      <c r="W3502" s="19" t="n">
        <v>1</v>
      </c>
      <c r="X3502" s="19" t="n"/>
      <c r="Y3502" s="19" t="n"/>
      <c r="Z3502" s="13">
        <f>SUMPRODUCT(N3502:Y3502,$N$2:$Y$2)*$K3502*$L3502*$M3502</f>
        <v/>
      </c>
      <c r="AA3502" s="14">
        <f>SUM(N3502:Y3502)</f>
        <v/>
      </c>
      <c r="AB3502" s="13">
        <f>SUMPRODUCT(N3502:Y3502,$N$3:$Y$3)*$K3502*$L3502*$M3502</f>
        <v/>
      </c>
      <c r="AC3502" s="13">
        <f>SUMPRODUCT(N3502:Y3502,$N$4:$Y$4)*$K3502*$L3502*$M3502</f>
        <v/>
      </c>
      <c r="AD3502" s="15" t="n">
        <v>11.42666666666667</v>
      </c>
      <c r="AE3502" s="11" t="n">
        <v>1.303821949655283</v>
      </c>
      <c r="AF3502" s="16">
        <f>SUMPRODUCT(N3502:Y3502,$N$5:$Y$5)*$K3502*$L3502*$M3502</f>
        <v/>
      </c>
      <c r="AG3502" s="16">
        <f>SUMPRODUCT(N3502:Y3502,$N$6:$Y$6)*$K3502*$L3502*$M3502</f>
        <v/>
      </c>
      <c r="AH3502" s="20" t="n"/>
    </row>
    <row r="3503">
      <c r="A3503" s="9" t="n">
        <v>676775</v>
      </c>
      <c r="B3503" s="9" t="inlineStr">
        <is>
          <t>Keaton Winn</t>
        </is>
      </c>
      <c r="C3503" s="9" t="inlineStr">
        <is>
          <t>SF</t>
        </is>
      </c>
      <c r="D3503" s="9" t="n">
        <v>29</v>
      </c>
      <c r="E3503" s="18" t="inlineStr">
        <is>
          <t>R</t>
        </is>
      </c>
      <c r="F3503" s="18" t="n"/>
      <c r="G3503" s="9" t="n">
        <v>176</v>
      </c>
      <c r="H3503" s="9" t="n">
        <v>628</v>
      </c>
      <c r="I3503" s="9" t="inlineStr">
        <is>
          <t>Bullpen Depth Arm</t>
        </is>
      </c>
      <c r="J3503" s="18" t="inlineStr">
        <is>
          <t>Opening Day</t>
        </is>
      </c>
      <c r="K3503" s="11">
        <f>IFERROR(INDEX(Roles!$B$17:$B$20,MATCH(J3503,Roles!$A$17:$A$20,0)),1)</f>
        <v/>
      </c>
      <c r="L3503" s="19" t="n">
        <v>1</v>
      </c>
      <c r="M3503" s="11" t="n">
        <v>1</v>
      </c>
      <c r="N3503" s="19" t="n"/>
      <c r="O3503" s="19" t="n"/>
      <c r="P3503" s="19" t="n"/>
      <c r="Q3503" s="19" t="n"/>
      <c r="R3503" s="19" t="n"/>
      <c r="S3503" s="19" t="n"/>
      <c r="T3503" s="19" t="n"/>
      <c r="U3503" s="19" t="n"/>
      <c r="V3503" s="19" t="n">
        <v>0.15</v>
      </c>
      <c r="W3503" s="19" t="n">
        <v>0.85</v>
      </c>
      <c r="X3503" s="19" t="n"/>
      <c r="Y3503" s="19" t="n"/>
      <c r="Z3503" s="13">
        <f>SUMPRODUCT(N3503:Y3503,$N$2:$Y$2)*$K3503*$L3503*$M3503</f>
        <v/>
      </c>
      <c r="AA3503" s="14">
        <f>SUM(N3503:Y3503)</f>
        <v/>
      </c>
      <c r="AB3503" s="13">
        <f>SUMPRODUCT(N3503:Y3503,$N$3:$Y$3)*$K3503*$L3503*$M3503</f>
        <v/>
      </c>
      <c r="AC3503" s="13">
        <f>SUMPRODUCT(N3503:Y3503,$N$4:$Y$4)*$K3503*$L3503*$M3503</f>
        <v/>
      </c>
      <c r="AD3503" s="15" t="n">
        <v>21.46666666666667</v>
      </c>
      <c r="AE3503" s="11" t="n">
        <v>1.232590116556361</v>
      </c>
      <c r="AF3503" s="16">
        <f>SUMPRODUCT(N3503:Y3503,$N$5:$Y$5)*$K3503*$L3503*$M3503</f>
        <v/>
      </c>
      <c r="AG3503" s="16">
        <f>SUMPRODUCT(N3503:Y3503,$N$6:$Y$6)*$K3503*$L3503*$M3503</f>
        <v/>
      </c>
      <c r="AH3503" s="20" t="n"/>
    </row>
    <row r="3504">
      <c r="A3504" s="9" t="n">
        <v>656557</v>
      </c>
      <c r="B3504" s="9" t="inlineStr">
        <is>
          <t>Tanner Houck</t>
        </is>
      </c>
      <c r="C3504" s="9" t="inlineStr">
        <is>
          <t>BOS</t>
        </is>
      </c>
      <c r="D3504" s="9" t="n">
        <v>31</v>
      </c>
      <c r="E3504" s="18" t="inlineStr">
        <is>
          <t>R</t>
        </is>
      </c>
      <c r="F3504" s="18" t="n"/>
      <c r="G3504" s="9" t="n">
        <v>13</v>
      </c>
      <c r="H3504" s="9" t="n">
        <v>1669</v>
      </c>
      <c r="I3504" s="9" t="inlineStr">
        <is>
          <t>Swing Arm / Long Relief</t>
        </is>
      </c>
      <c r="J3504" s="18" t="inlineStr">
        <is>
          <t>Opening Day</t>
        </is>
      </c>
      <c r="K3504" s="11">
        <f>IFERROR(INDEX(Roles!$B$17:$B$20,MATCH(J3504,Roles!$A$17:$A$20,0)),1)</f>
        <v/>
      </c>
      <c r="L3504" s="19" t="n">
        <v>1</v>
      </c>
      <c r="M3504" s="11" t="n">
        <v>1</v>
      </c>
      <c r="N3504" s="19" t="n"/>
      <c r="O3504" s="19" t="n"/>
      <c r="P3504" s="19" t="n"/>
      <c r="Q3504" s="19" t="n"/>
      <c r="R3504" s="19" t="n">
        <v>0.5</v>
      </c>
      <c r="S3504" s="19" t="n"/>
      <c r="T3504" s="19" t="n"/>
      <c r="U3504" s="19" t="n"/>
      <c r="V3504" s="19" t="n">
        <v>0.5</v>
      </c>
      <c r="W3504" s="19" t="n"/>
      <c r="X3504" s="19" t="n"/>
      <c r="Y3504" s="19" t="n"/>
      <c r="Z3504" s="13">
        <f>SUMPRODUCT(N3504:Y3504,$N$2:$Y$2)*$K3504*$L3504*$M3504</f>
        <v/>
      </c>
      <c r="AA3504" s="14">
        <f>SUM(N3504:Y3504)</f>
        <v/>
      </c>
      <c r="AB3504" s="13">
        <f>SUMPRODUCT(N3504:Y3504,$N$3:$Y$3)*$K3504*$L3504*$M3504</f>
        <v/>
      </c>
      <c r="AC3504" s="13">
        <f>SUMPRODUCT(N3504:Y3504,$N$4:$Y$4)*$K3504*$L3504*$M3504</f>
        <v/>
      </c>
      <c r="AD3504" s="15" t="n">
        <v>13.23333333333333</v>
      </c>
      <c r="AE3504" s="11" t="n">
        <v>3.465873781206472</v>
      </c>
      <c r="AF3504" s="16">
        <f>SUMPRODUCT(N3504:Y3504,$N$5:$Y$5)*$K3504*$L3504*$M3504</f>
        <v/>
      </c>
      <c r="AG3504" s="16">
        <f>SUMPRODUCT(N3504:Y3504,$N$6:$Y$6)*$K3504*$L3504*$M3504</f>
        <v/>
      </c>
      <c r="AH3504" s="20" t="n"/>
    </row>
    <row r="3505">
      <c r="A3505" s="9" t="n">
        <v>600921</v>
      </c>
      <c r="B3505" s="9" t="inlineStr">
        <is>
          <t>Andrés Machado</t>
        </is>
      </c>
      <c r="C3505" s="9" t="inlineStr">
        <is>
          <t>WSH</t>
        </is>
      </c>
      <c r="D3505" s="9" t="n">
        <v>34</v>
      </c>
      <c r="E3505" s="18" t="inlineStr">
        <is>
          <t>R</t>
        </is>
      </c>
      <c r="F3505" s="18" t="n"/>
      <c r="G3505" s="9" t="n">
        <v>207</v>
      </c>
      <c r="H3505" s="9" t="n">
        <v>468</v>
      </c>
      <c r="I3505" s="9" t="inlineStr">
        <is>
          <t>Depth (no MLB IP)</t>
        </is>
      </c>
      <c r="J3505" s="18" t="inlineStr">
        <is>
          <t>Opening Day</t>
        </is>
      </c>
      <c r="K3505" s="11">
        <f>IFERROR(INDEX(Roles!$B$17:$B$20,MATCH(J3505,Roles!$A$17:$A$20,0)),1)</f>
        <v/>
      </c>
      <c r="L3505" s="19" t="n">
        <v>1</v>
      </c>
      <c r="M3505" s="11" t="n">
        <v>1</v>
      </c>
      <c r="N3505" s="19" t="n"/>
      <c r="O3505" s="19" t="n"/>
      <c r="P3505" s="19" t="n"/>
      <c r="Q3505" s="19" t="n"/>
      <c r="R3505" s="19" t="n"/>
      <c r="S3505" s="19" t="n"/>
      <c r="T3505" s="19" t="n"/>
      <c r="U3505" s="19" t="n"/>
      <c r="V3505" s="19" t="n"/>
      <c r="W3505" s="19" t="n"/>
      <c r="X3505" s="19" t="n"/>
      <c r="Y3505" s="19" t="n">
        <v>1</v>
      </c>
      <c r="Z3505" s="13">
        <f>SUMPRODUCT(N3505:Y3505,$N$2:$Y$2)*$K3505*$L3505*$M3505</f>
        <v/>
      </c>
      <c r="AA3505" s="14">
        <f>SUM(N3505:Y3505)</f>
        <v/>
      </c>
      <c r="AB3505" s="13">
        <f>SUMPRODUCT(N3505:Y3505,$N$3:$Y$3)*$K3505*$L3505*$M3505</f>
        <v/>
      </c>
      <c r="AC3505" s="13">
        <f>SUMPRODUCT(N3505:Y3505,$N$4:$Y$4)*$K3505*$L3505*$M3505</f>
        <v/>
      </c>
      <c r="AD3505" s="15" t="n">
        <v>3</v>
      </c>
      <c r="AE3505" s="11" t="n">
        <v>1.011296296296296</v>
      </c>
      <c r="AF3505" s="16">
        <f>SUMPRODUCT(N3505:Y3505,$N$5:$Y$5)*$K3505*$L3505*$M3505</f>
        <v/>
      </c>
      <c r="AG3505" s="16">
        <f>SUMPRODUCT(N3505:Y3505,$N$6:$Y$6)*$K3505*$L3505*$M3505</f>
        <v/>
      </c>
      <c r="AH3505" s="20" t="n"/>
    </row>
    <row r="3506">
      <c r="A3506" s="9" t="n">
        <v>680729</v>
      </c>
      <c r="B3506" s="9" t="inlineStr">
        <is>
          <t>Garrett McDaniels</t>
        </is>
      </c>
      <c r="C3506" s="9" t="inlineStr">
        <is>
          <t>LAA</t>
        </is>
      </c>
      <c r="D3506" s="9" t="n">
        <v>27</v>
      </c>
      <c r="E3506" s="18" t="inlineStr">
        <is>
          <t>L</t>
        </is>
      </c>
      <c r="F3506" s="18" t="n"/>
      <c r="G3506" s="9" t="n">
        <v>50</v>
      </c>
      <c r="H3506" s="9" t="n">
        <v>50</v>
      </c>
      <c r="I3506" s="9" t="inlineStr">
        <is>
          <t>Bullpen Depth Arm</t>
        </is>
      </c>
      <c r="J3506" s="18" t="inlineStr">
        <is>
          <t>Opening Day</t>
        </is>
      </c>
      <c r="K3506" s="11">
        <f>IFERROR(INDEX(Roles!$B$17:$B$20,MATCH(J3506,Roles!$A$17:$A$20,0)),1)</f>
        <v/>
      </c>
      <c r="L3506" s="19" t="n">
        <v>1</v>
      </c>
      <c r="M3506" s="11" t="n">
        <v>1</v>
      </c>
      <c r="N3506" s="19" t="n"/>
      <c r="O3506" s="19" t="n"/>
      <c r="P3506" s="19" t="n"/>
      <c r="Q3506" s="19" t="n"/>
      <c r="R3506" s="19" t="n"/>
      <c r="S3506" s="19" t="n"/>
      <c r="T3506" s="19" t="n"/>
      <c r="U3506" s="19" t="n"/>
      <c r="V3506" s="19" t="n"/>
      <c r="W3506" s="19" t="n">
        <v>1</v>
      </c>
      <c r="X3506" s="19" t="n"/>
      <c r="Y3506" s="19" t="n"/>
      <c r="Z3506" s="13">
        <f>SUMPRODUCT(N3506:Y3506,$N$2:$Y$2)*$K3506*$L3506*$M3506</f>
        <v/>
      </c>
      <c r="AA3506" s="14">
        <f>SUM(N3506:Y3506)</f>
        <v/>
      </c>
      <c r="AB3506" s="13">
        <f>SUMPRODUCT(N3506:Y3506,$N$3:$Y$3)*$K3506*$L3506*$M3506</f>
        <v/>
      </c>
      <c r="AC3506" s="13">
        <f>SUMPRODUCT(N3506:Y3506,$N$4:$Y$4)*$K3506*$L3506*$M3506</f>
        <v/>
      </c>
      <c r="AD3506" s="15" t="n">
        <v>11.66666666666667</v>
      </c>
      <c r="AE3506" s="11" t="n">
        <v>1.157062690396023</v>
      </c>
      <c r="AF3506" s="16">
        <f>SUMPRODUCT(N3506:Y3506,$N$5:$Y$5)*$K3506*$L3506*$M3506</f>
        <v/>
      </c>
      <c r="AG3506" s="16">
        <f>SUMPRODUCT(N3506:Y3506,$N$6:$Y$6)*$K3506*$L3506*$M3506</f>
        <v/>
      </c>
      <c r="AH3506" s="20" t="n"/>
    </row>
    <row r="3507">
      <c r="A3507" s="9" t="n">
        <v>806960</v>
      </c>
      <c r="B3507" s="9" t="inlineStr">
        <is>
          <t>Luis Morales</t>
        </is>
      </c>
      <c r="C3507" s="9" t="inlineStr">
        <is>
          <t>OAK</t>
        </is>
      </c>
      <c r="D3507" s="9" t="n">
        <v>24</v>
      </c>
      <c r="E3507" s="18" t="inlineStr">
        <is>
          <t>R</t>
        </is>
      </c>
      <c r="F3507" s="18" t="n"/>
      <c r="G3507" s="9" t="n">
        <v>90</v>
      </c>
      <c r="H3507" s="9" t="n">
        <v>289</v>
      </c>
      <c r="I3507" s="9" t="inlineStr">
        <is>
          <t>End-of-Rotation Starter (SP4-5)</t>
        </is>
      </c>
      <c r="J3507" s="18" t="inlineStr">
        <is>
          <t>Opening Day</t>
        </is>
      </c>
      <c r="K3507" s="11">
        <f>IFERROR(INDEX(Roles!$B$17:$B$20,MATCH(J3507,Roles!$A$17:$A$20,0)),1)</f>
        <v/>
      </c>
      <c r="L3507" s="19" t="n">
        <v>1</v>
      </c>
      <c r="M3507" s="11" t="n">
        <v>1</v>
      </c>
      <c r="N3507" s="19" t="n"/>
      <c r="O3507" s="19" t="n"/>
      <c r="P3507" s="19" t="n">
        <v>1</v>
      </c>
      <c r="Q3507" s="19" t="n"/>
      <c r="R3507" s="19" t="n"/>
      <c r="S3507" s="19" t="n"/>
      <c r="T3507" s="19" t="n"/>
      <c r="U3507" s="19" t="n"/>
      <c r="V3507" s="19" t="n"/>
      <c r="W3507" s="19" t="n"/>
      <c r="X3507" s="19" t="n"/>
      <c r="Y3507" s="19" t="n"/>
      <c r="Z3507" s="13">
        <f>SUMPRODUCT(N3507:Y3507,$N$2:$Y$2)*$K3507*$L3507*$M3507</f>
        <v/>
      </c>
      <c r="AA3507" s="14">
        <f>SUM(N3507:Y3507)</f>
        <v/>
      </c>
      <c r="AB3507" s="13">
        <f>SUMPRODUCT(N3507:Y3507,$N$3:$Y$3)*$K3507*$L3507*$M3507</f>
        <v/>
      </c>
      <c r="AC3507" s="13">
        <f>SUMPRODUCT(N3507:Y3507,$N$4:$Y$4)*$K3507*$L3507*$M3507</f>
        <v/>
      </c>
      <c r="AD3507" s="15" t="n">
        <v>10.6</v>
      </c>
      <c r="AE3507" s="11" t="n">
        <v>4.421164021164021</v>
      </c>
      <c r="AF3507" s="16">
        <f>SUMPRODUCT(N3507:Y3507,$N$5:$Y$5)*$K3507*$L3507*$M3507</f>
        <v/>
      </c>
      <c r="AG3507" s="16">
        <f>SUMPRODUCT(N3507:Y3507,$N$6:$Y$6)*$K3507*$L3507*$M3507</f>
        <v/>
      </c>
      <c r="AH3507" s="20" t="n"/>
    </row>
    <row r="3508">
      <c r="A3508" s="9" t="n">
        <v>691947</v>
      </c>
      <c r="B3508" s="9" t="inlineStr">
        <is>
          <t>Ronan Kopp</t>
        </is>
      </c>
      <c r="C3508" s="9" t="inlineStr">
        <is>
          <t>LAD</t>
        </is>
      </c>
      <c r="D3508" s="9" t="n">
        <v>25</v>
      </c>
      <c r="E3508" s="18" t="inlineStr">
        <is>
          <t>L</t>
        </is>
      </c>
      <c r="F3508" s="18" t="n"/>
      <c r="G3508" s="9" t="n">
        <v>109.5783333333334</v>
      </c>
      <c r="H3508" s="9" t="n">
        <v>109.5783333333334</v>
      </c>
      <c r="I3508" s="9" t="inlineStr">
        <is>
          <t>Depth (no MLB IP)</t>
        </is>
      </c>
      <c r="J3508" s="18" t="inlineStr">
        <is>
          <t>Opening Day</t>
        </is>
      </c>
      <c r="K3508" s="11">
        <f>IFERROR(INDEX(Roles!$B$17:$B$20,MATCH(J3508,Roles!$A$17:$A$20,0)),1)</f>
        <v/>
      </c>
      <c r="L3508" s="19" t="n">
        <v>1</v>
      </c>
      <c r="M3508" s="11" t="n">
        <v>1</v>
      </c>
      <c r="N3508" s="19" t="n"/>
      <c r="O3508" s="19" t="n"/>
      <c r="P3508" s="19" t="n"/>
      <c r="Q3508" s="19" t="n"/>
      <c r="R3508" s="19" t="n"/>
      <c r="S3508" s="19" t="n"/>
      <c r="T3508" s="19" t="n"/>
      <c r="U3508" s="19" t="n"/>
      <c r="V3508" s="19" t="n"/>
      <c r="W3508" s="19" t="n"/>
      <c r="X3508" s="19" t="n"/>
      <c r="Y3508" s="19" t="n">
        <v>1</v>
      </c>
      <c r="Z3508" s="13">
        <f>SUMPRODUCT(N3508:Y3508,$N$2:$Y$2)*$K3508*$L3508*$M3508</f>
        <v/>
      </c>
      <c r="AA3508" s="14">
        <f>SUM(N3508:Y3508)</f>
        <v/>
      </c>
      <c r="AB3508" s="13">
        <f>SUMPRODUCT(N3508:Y3508,$N$3:$Y$3)*$K3508*$L3508*$M3508</f>
        <v/>
      </c>
      <c r="AC3508" s="13">
        <f>SUMPRODUCT(N3508:Y3508,$N$4:$Y$4)*$K3508*$L3508*$M3508</f>
        <v/>
      </c>
      <c r="AD3508" s="15" t="n">
        <v>3</v>
      </c>
      <c r="AE3508" s="11" t="n">
        <v>1.011296296296296</v>
      </c>
      <c r="AF3508" s="16">
        <f>SUMPRODUCT(N3508:Y3508,$N$5:$Y$5)*$K3508*$L3508*$M3508</f>
        <v/>
      </c>
      <c r="AG3508" s="16">
        <f>SUMPRODUCT(N3508:Y3508,$N$6:$Y$6)*$K3508*$L3508*$M3508</f>
        <v/>
      </c>
      <c r="AH3508" s="20" t="n"/>
    </row>
    <row r="3509">
      <c r="A3509" s="9" t="n">
        <v>686730</v>
      </c>
      <c r="B3509" s="9" t="inlineStr">
        <is>
          <t>Carson Spiers</t>
        </is>
      </c>
      <c r="C3509" s="9" t="inlineStr">
        <is>
          <t>CIN</t>
        </is>
      </c>
      <c r="D3509" s="9" t="n">
        <v>29</v>
      </c>
      <c r="E3509" s="18" t="inlineStr">
        <is>
          <t>R</t>
        </is>
      </c>
      <c r="F3509" s="18" t="n"/>
      <c r="G3509" s="9" t="n">
        <v>24</v>
      </c>
      <c r="H3509" s="9" t="n">
        <v>558</v>
      </c>
      <c r="I3509" s="9" t="inlineStr">
        <is>
          <t>Bullpen Depth Arm</t>
        </is>
      </c>
      <c r="J3509" s="18" t="inlineStr">
        <is>
          <t>Opening Day</t>
        </is>
      </c>
      <c r="K3509" s="11">
        <f>IFERROR(INDEX(Roles!$B$17:$B$20,MATCH(J3509,Roles!$A$17:$A$20,0)),1)</f>
        <v/>
      </c>
      <c r="L3509" s="19" t="n">
        <v>1</v>
      </c>
      <c r="M3509" s="11" t="n">
        <v>1</v>
      </c>
      <c r="N3509" s="19" t="n"/>
      <c r="O3509" s="19" t="n"/>
      <c r="P3509" s="19" t="n"/>
      <c r="Q3509" s="19" t="n"/>
      <c r="R3509" s="19" t="n"/>
      <c r="S3509" s="19" t="n"/>
      <c r="T3509" s="19" t="n"/>
      <c r="U3509" s="19" t="n"/>
      <c r="V3509" s="19" t="n">
        <v>0.15</v>
      </c>
      <c r="W3509" s="19" t="n">
        <v>0.85</v>
      </c>
      <c r="X3509" s="19" t="n"/>
      <c r="Y3509" s="19" t="n"/>
      <c r="Z3509" s="13">
        <f>SUMPRODUCT(N3509:Y3509,$N$2:$Y$2)*$K3509*$L3509*$M3509</f>
        <v/>
      </c>
      <c r="AA3509" s="14">
        <f>SUM(N3509:Y3509)</f>
        <v/>
      </c>
      <c r="AB3509" s="13">
        <f>SUMPRODUCT(N3509:Y3509,$N$3:$Y$3)*$K3509*$L3509*$M3509</f>
        <v/>
      </c>
      <c r="AC3509" s="13">
        <f>SUMPRODUCT(N3509:Y3509,$N$4:$Y$4)*$K3509*$L3509*$M3509</f>
        <v/>
      </c>
      <c r="AD3509" s="15" t="n">
        <v>9.066666666666666</v>
      </c>
      <c r="AE3509" s="11" t="n">
        <v>2.128304520461384</v>
      </c>
      <c r="AF3509" s="16">
        <f>SUMPRODUCT(N3509:Y3509,$N$5:$Y$5)*$K3509*$L3509*$M3509</f>
        <v/>
      </c>
      <c r="AG3509" s="16">
        <f>SUMPRODUCT(N3509:Y3509,$N$6:$Y$6)*$K3509*$L3509*$M3509</f>
        <v/>
      </c>
      <c r="AH3509" s="20" t="n"/>
    </row>
    <row r="3510">
      <c r="A3510" s="9" t="n">
        <v>621112</v>
      </c>
      <c r="B3510" s="9" t="inlineStr">
        <is>
          <t>Paul Blackburn</t>
        </is>
      </c>
      <c r="C3510" s="9" t="inlineStr">
        <is>
          <t>NYY</t>
        </is>
      </c>
      <c r="D3510" s="9" t="n">
        <v>33</v>
      </c>
      <c r="E3510" s="18" t="inlineStr">
        <is>
          <t>R</t>
        </is>
      </c>
      <c r="F3510" s="18" t="n"/>
      <c r="G3510" s="9" t="n">
        <v>336</v>
      </c>
      <c r="H3510" s="9" t="n">
        <v>1758</v>
      </c>
      <c r="I3510" s="9" t="inlineStr">
        <is>
          <t>Late Inning RP (Setup)</t>
        </is>
      </c>
      <c r="J3510" s="18" t="inlineStr">
        <is>
          <t>Opening Day</t>
        </is>
      </c>
      <c r="K3510" s="11">
        <f>IFERROR(INDEX(Roles!$B$17:$B$20,MATCH(J3510,Roles!$A$17:$A$20,0)),1)</f>
        <v/>
      </c>
      <c r="L3510" s="19" t="n">
        <v>1</v>
      </c>
      <c r="M3510" s="11" t="n">
        <v>1</v>
      </c>
      <c r="N3510" s="19" t="n"/>
      <c r="O3510" s="19" t="n"/>
      <c r="P3510" s="19" t="n"/>
      <c r="Q3510" s="19" t="n"/>
      <c r="R3510" s="19" t="n"/>
      <c r="S3510" s="19" t="n"/>
      <c r="T3510" s="19" t="n"/>
      <c r="U3510" s="19" t="n">
        <v>0.85</v>
      </c>
      <c r="V3510" s="19" t="n">
        <v>0.15</v>
      </c>
      <c r="W3510" s="19" t="n"/>
      <c r="X3510" s="19" t="n"/>
      <c r="Y3510" s="19" t="n"/>
      <c r="Z3510" s="13">
        <f>SUMPRODUCT(N3510:Y3510,$N$2:$Y$2)*$K3510*$L3510*$M3510</f>
        <v/>
      </c>
      <c r="AA3510" s="14">
        <f>SUM(N3510:Y3510)</f>
        <v/>
      </c>
      <c r="AB3510" s="13">
        <f>SUMPRODUCT(N3510:Y3510,$N$3:$Y$3)*$K3510*$L3510*$M3510</f>
        <v/>
      </c>
      <c r="AC3510" s="13">
        <f>SUMPRODUCT(N3510:Y3510,$N$4:$Y$4)*$K3510*$L3510*$M3510</f>
        <v/>
      </c>
      <c r="AD3510" s="15" t="n">
        <v>42.2</v>
      </c>
      <c r="AE3510" s="11" t="n">
        <v>1.251509661835749</v>
      </c>
      <c r="AF3510" s="16">
        <f>SUMPRODUCT(N3510:Y3510,$N$5:$Y$5)*$K3510*$L3510*$M3510</f>
        <v/>
      </c>
      <c r="AG3510" s="16">
        <f>SUMPRODUCT(N3510:Y3510,$N$6:$Y$6)*$K3510*$L3510*$M3510</f>
        <v/>
      </c>
      <c r="AH3510" s="20" t="n"/>
    </row>
    <row r="3511">
      <c r="A3511" s="9" t="n">
        <v>815048</v>
      </c>
      <c r="B3511" s="9" t="inlineStr">
        <is>
          <t>Josh Trentadue</t>
        </is>
      </c>
      <c r="C3511" s="9" t="inlineStr">
        <is>
          <t>TEX</t>
        </is>
      </c>
      <c r="D3511" s="9" t="n">
        <v>25</v>
      </c>
      <c r="E3511" s="18" t="inlineStr">
        <is>
          <t>L</t>
        </is>
      </c>
      <c r="F3511" s="18" t="n"/>
      <c r="G3511" s="9" t="n">
        <v>110.3666666666667</v>
      </c>
      <c r="H3511" s="9" t="n">
        <v>110.3666666666667</v>
      </c>
      <c r="I3511" s="9" t="inlineStr">
        <is>
          <t>Depth (no MLB IP)</t>
        </is>
      </c>
      <c r="J3511" s="18" t="inlineStr">
        <is>
          <t>Opening Day</t>
        </is>
      </c>
      <c r="K3511" s="11">
        <f>IFERROR(INDEX(Roles!$B$17:$B$20,MATCH(J3511,Roles!$A$17:$A$20,0)),1)</f>
        <v/>
      </c>
      <c r="L3511" s="19" t="n">
        <v>1</v>
      </c>
      <c r="M3511" s="11" t="n">
        <v>1</v>
      </c>
      <c r="N3511" s="19" t="n"/>
      <c r="O3511" s="19" t="n"/>
      <c r="P3511" s="19" t="n"/>
      <c r="Q3511" s="19" t="n"/>
      <c r="R3511" s="19" t="n"/>
      <c r="S3511" s="19" t="n"/>
      <c r="T3511" s="19" t="n"/>
      <c r="U3511" s="19" t="n"/>
      <c r="V3511" s="19" t="n"/>
      <c r="W3511" s="19" t="n"/>
      <c r="X3511" s="19" t="n"/>
      <c r="Y3511" s="19" t="n">
        <v>1</v>
      </c>
      <c r="Z3511" s="13">
        <f>SUMPRODUCT(N3511:Y3511,$N$2:$Y$2)*$K3511*$L3511*$M3511</f>
        <v/>
      </c>
      <c r="AA3511" s="14">
        <f>SUM(N3511:Y3511)</f>
        <v/>
      </c>
      <c r="AB3511" s="13">
        <f>SUMPRODUCT(N3511:Y3511,$N$3:$Y$3)*$K3511*$L3511*$M3511</f>
        <v/>
      </c>
      <c r="AC3511" s="13">
        <f>SUMPRODUCT(N3511:Y3511,$N$4:$Y$4)*$K3511*$L3511*$M3511</f>
        <v/>
      </c>
      <c r="AD3511" s="15" t="n">
        <v>3</v>
      </c>
      <c r="AE3511" s="11" t="n">
        <v>1.011296296296296</v>
      </c>
      <c r="AF3511" s="16">
        <f>SUMPRODUCT(N3511:Y3511,$N$5:$Y$5)*$K3511*$L3511*$M3511</f>
        <v/>
      </c>
      <c r="AG3511" s="16">
        <f>SUMPRODUCT(N3511:Y3511,$N$6:$Y$6)*$K3511*$L3511*$M3511</f>
        <v/>
      </c>
      <c r="AH3511" s="20" t="n"/>
    </row>
    <row r="3512">
      <c r="A3512" s="9" t="n">
        <v>687762</v>
      </c>
      <c r="B3512" s="9" t="inlineStr">
        <is>
          <t>Blake Wehunt</t>
        </is>
      </c>
      <c r="C3512" s="9" t="inlineStr">
        <is>
          <t>BOS</t>
        </is>
      </c>
      <c r="D3512" s="9" t="n">
        <v>25</v>
      </c>
      <c r="E3512" s="18" t="inlineStr">
        <is>
          <t>R</t>
        </is>
      </c>
      <c r="F3512" s="18" t="n"/>
      <c r="G3512" s="9" t="n">
        <v>110.3666666666667</v>
      </c>
      <c r="H3512" s="9" t="n">
        <v>110.3666666666667</v>
      </c>
      <c r="I3512" s="9" t="inlineStr">
        <is>
          <t>Depth (no MLB IP)</t>
        </is>
      </c>
      <c r="J3512" s="18" t="inlineStr">
        <is>
          <t>Opening Day</t>
        </is>
      </c>
      <c r="K3512" s="11">
        <f>IFERROR(INDEX(Roles!$B$17:$B$20,MATCH(J3512,Roles!$A$17:$A$20,0)),1)</f>
        <v/>
      </c>
      <c r="L3512" s="19" t="n">
        <v>1</v>
      </c>
      <c r="M3512" s="11" t="n">
        <v>1</v>
      </c>
      <c r="N3512" s="19" t="n"/>
      <c r="O3512" s="19" t="n"/>
      <c r="P3512" s="19" t="n"/>
      <c r="Q3512" s="19" t="n"/>
      <c r="R3512" s="19" t="n"/>
      <c r="S3512" s="19" t="n"/>
      <c r="T3512" s="19" t="n"/>
      <c r="U3512" s="19" t="n"/>
      <c r="V3512" s="19" t="n"/>
      <c r="W3512" s="19" t="n"/>
      <c r="X3512" s="19" t="n"/>
      <c r="Y3512" s="19" t="n">
        <v>1</v>
      </c>
      <c r="Z3512" s="13">
        <f>SUMPRODUCT(N3512:Y3512,$N$2:$Y$2)*$K3512*$L3512*$M3512</f>
        <v/>
      </c>
      <c r="AA3512" s="14">
        <f>SUM(N3512:Y3512)</f>
        <v/>
      </c>
      <c r="AB3512" s="13">
        <f>SUMPRODUCT(N3512:Y3512,$N$3:$Y$3)*$K3512*$L3512*$M3512</f>
        <v/>
      </c>
      <c r="AC3512" s="13">
        <f>SUMPRODUCT(N3512:Y3512,$N$4:$Y$4)*$K3512*$L3512*$M3512</f>
        <v/>
      </c>
      <c r="AD3512" s="15" t="n">
        <v>3</v>
      </c>
      <c r="AE3512" s="11" t="n">
        <v>1.011296296296296</v>
      </c>
      <c r="AF3512" s="16">
        <f>SUMPRODUCT(N3512:Y3512,$N$5:$Y$5)*$K3512*$L3512*$M3512</f>
        <v/>
      </c>
      <c r="AG3512" s="16">
        <f>SUMPRODUCT(N3512:Y3512,$N$6:$Y$6)*$K3512*$L3512*$M3512</f>
        <v/>
      </c>
      <c r="AH3512" s="20" t="n"/>
    </row>
    <row r="3513">
      <c r="A3513" s="9" t="n">
        <v>656457</v>
      </c>
      <c r="B3513" s="9" t="inlineStr">
        <is>
          <t>Tyler Gilbert</t>
        </is>
      </c>
      <c r="C3513" s="9" t="inlineStr">
        <is>
          <t>CWS</t>
        </is>
      </c>
      <c r="D3513" s="9" t="n">
        <v>33</v>
      </c>
      <c r="E3513" s="18" t="inlineStr">
        <is>
          <t>L</t>
        </is>
      </c>
      <c r="F3513" s="18" t="n"/>
      <c r="G3513" s="9" t="n">
        <v>32</v>
      </c>
      <c r="H3513" s="9" t="n">
        <v>503</v>
      </c>
      <c r="I3513" s="9" t="inlineStr">
        <is>
          <t>Bullpen Depth Arm</t>
        </is>
      </c>
      <c r="J3513" s="18" t="inlineStr">
        <is>
          <t>Opening Day</t>
        </is>
      </c>
      <c r="K3513" s="11">
        <f>IFERROR(INDEX(Roles!$B$17:$B$20,MATCH(J3513,Roles!$A$17:$A$20,0)),1)</f>
        <v/>
      </c>
      <c r="L3513" s="19" t="n">
        <v>1</v>
      </c>
      <c r="M3513" s="11" t="n">
        <v>1</v>
      </c>
      <c r="N3513" s="19" t="n"/>
      <c r="O3513" s="19" t="n"/>
      <c r="P3513" s="19" t="n"/>
      <c r="Q3513" s="19" t="n"/>
      <c r="R3513" s="19" t="n"/>
      <c r="S3513" s="19" t="n"/>
      <c r="T3513" s="19" t="n"/>
      <c r="U3513" s="19" t="n"/>
      <c r="V3513" s="19" t="n"/>
      <c r="W3513" s="19" t="n">
        <v>1</v>
      </c>
      <c r="X3513" s="19" t="n"/>
      <c r="Y3513" s="19" t="n"/>
      <c r="Z3513" s="13">
        <f>SUMPRODUCT(N3513:Y3513,$N$2:$Y$2)*$K3513*$L3513*$M3513</f>
        <v/>
      </c>
      <c r="AA3513" s="14">
        <f>SUM(N3513:Y3513)</f>
        <v/>
      </c>
      <c r="AB3513" s="13">
        <f>SUMPRODUCT(N3513:Y3513,$N$3:$Y$3)*$K3513*$L3513*$M3513</f>
        <v/>
      </c>
      <c r="AC3513" s="13">
        <f>SUMPRODUCT(N3513:Y3513,$N$4:$Y$4)*$K3513*$L3513*$M3513</f>
        <v/>
      </c>
      <c r="AD3513" s="15" t="n">
        <v>16.96666666666667</v>
      </c>
      <c r="AE3513" s="11" t="n">
        <v>1.180071539953546</v>
      </c>
      <c r="AF3513" s="16">
        <f>SUMPRODUCT(N3513:Y3513,$N$5:$Y$5)*$K3513*$L3513*$M3513</f>
        <v/>
      </c>
      <c r="AG3513" s="16">
        <f>SUMPRODUCT(N3513:Y3513,$N$6:$Y$6)*$K3513*$L3513*$M3513</f>
        <v/>
      </c>
      <c r="AH3513" s="20" t="n"/>
    </row>
    <row r="3514">
      <c r="A3514" s="9" t="n">
        <v>661269</v>
      </c>
      <c r="B3514" s="9" t="inlineStr">
        <is>
          <t>Vladimir Gutierrez</t>
        </is>
      </c>
      <c r="C3514" s="9" t="inlineStr">
        <is>
          <t>CIN</t>
        </is>
      </c>
      <c r="D3514" s="9" t="n">
        <v>31</v>
      </c>
      <c r="E3514" s="18" t="inlineStr">
        <is>
          <t>R</t>
        </is>
      </c>
      <c r="F3514" s="18" t="n"/>
      <c r="G3514" s="9" t="n">
        <v>17</v>
      </c>
      <c r="H3514" s="9" t="n">
        <v>196</v>
      </c>
      <c r="I3514" s="9" t="inlineStr">
        <is>
          <t>Depth (no MLB IP)</t>
        </is>
      </c>
      <c r="J3514" s="18" t="inlineStr">
        <is>
          <t>Opening Day</t>
        </is>
      </c>
      <c r="K3514" s="11">
        <f>IFERROR(INDEX(Roles!$B$17:$B$20,MATCH(J3514,Roles!$A$17:$A$20,0)),1)</f>
        <v/>
      </c>
      <c r="L3514" s="19" t="n">
        <v>1</v>
      </c>
      <c r="M3514" s="11" t="n">
        <v>1</v>
      </c>
      <c r="N3514" s="19" t="n"/>
      <c r="O3514" s="19" t="n"/>
      <c r="P3514" s="19" t="n"/>
      <c r="Q3514" s="19" t="n"/>
      <c r="R3514" s="19" t="n"/>
      <c r="S3514" s="19" t="n"/>
      <c r="T3514" s="19" t="n"/>
      <c r="U3514" s="19" t="n"/>
      <c r="V3514" s="19" t="n"/>
      <c r="W3514" s="19" t="n"/>
      <c r="X3514" s="19" t="n"/>
      <c r="Y3514" s="19" t="n">
        <v>1</v>
      </c>
      <c r="Z3514" s="13">
        <f>SUMPRODUCT(N3514:Y3514,$N$2:$Y$2)*$K3514*$L3514*$M3514</f>
        <v/>
      </c>
      <c r="AA3514" s="14">
        <f>SUM(N3514:Y3514)</f>
        <v/>
      </c>
      <c r="AB3514" s="13">
        <f>SUMPRODUCT(N3514:Y3514,$N$3:$Y$3)*$K3514*$L3514*$M3514</f>
        <v/>
      </c>
      <c r="AC3514" s="13">
        <f>SUMPRODUCT(N3514:Y3514,$N$4:$Y$4)*$K3514*$L3514*$M3514</f>
        <v/>
      </c>
      <c r="AD3514" s="15" t="n">
        <v>1.8</v>
      </c>
      <c r="AE3514" s="11" t="n">
        <v>2.007530864197531</v>
      </c>
      <c r="AF3514" s="16">
        <f>SUMPRODUCT(N3514:Y3514,$N$5:$Y$5)*$K3514*$L3514*$M3514</f>
        <v/>
      </c>
      <c r="AG3514" s="16">
        <f>SUMPRODUCT(N3514:Y3514,$N$6:$Y$6)*$K3514*$L3514*$M3514</f>
        <v/>
      </c>
      <c r="AH3514" s="20" t="n"/>
    </row>
    <row r="3515">
      <c r="A3515" s="9" t="n">
        <v>571657</v>
      </c>
      <c r="B3515" s="9" t="inlineStr">
        <is>
          <t>Kyle Farmer</t>
        </is>
      </c>
      <c r="C3515" s="9" t="inlineStr">
        <is>
          <t>COL</t>
        </is>
      </c>
      <c r="D3515" s="9" t="n">
        <v>36</v>
      </c>
      <c r="E3515" s="18" t="inlineStr">
        <is>
          <t>R</t>
        </is>
      </c>
      <c r="F3515" s="18" t="n"/>
      <c r="G3515" s="9" t="n">
        <v>5</v>
      </c>
      <c r="H3515" s="9" t="n">
        <v>24</v>
      </c>
      <c r="I3515" s="9" t="inlineStr">
        <is>
          <t>Depth (no MLB IP)</t>
        </is>
      </c>
      <c r="J3515" s="18" t="inlineStr">
        <is>
          <t>Opening Day</t>
        </is>
      </c>
      <c r="K3515" s="11">
        <f>IFERROR(INDEX(Roles!$B$17:$B$20,MATCH(J3515,Roles!$A$17:$A$20,0)),1)</f>
        <v/>
      </c>
      <c r="L3515" s="19" t="n">
        <v>1</v>
      </c>
      <c r="M3515" s="11" t="n">
        <v>1</v>
      </c>
      <c r="N3515" s="19" t="n"/>
      <c r="O3515" s="19" t="n"/>
      <c r="P3515" s="19" t="n"/>
      <c r="Q3515" s="19" t="n"/>
      <c r="R3515" s="19" t="n"/>
      <c r="S3515" s="19" t="n"/>
      <c r="T3515" s="19" t="n"/>
      <c r="U3515" s="19" t="n"/>
      <c r="V3515" s="19" t="n"/>
      <c r="W3515" s="19" t="n"/>
      <c r="X3515" s="19" t="n"/>
      <c r="Y3515" s="19" t="n">
        <v>1</v>
      </c>
      <c r="Z3515" s="13">
        <f>SUMPRODUCT(N3515:Y3515,$N$2:$Y$2)*$K3515*$L3515*$M3515</f>
        <v/>
      </c>
      <c r="AA3515" s="14">
        <f>SUM(N3515:Y3515)</f>
        <v/>
      </c>
      <c r="AB3515" s="13">
        <f>SUMPRODUCT(N3515:Y3515,$N$3:$Y$3)*$K3515*$L3515*$M3515</f>
        <v/>
      </c>
      <c r="AC3515" s="13">
        <f>SUMPRODUCT(N3515:Y3515,$N$4:$Y$4)*$K3515*$L3515*$M3515</f>
        <v/>
      </c>
      <c r="AD3515" s="15" t="n">
        <v>2.2</v>
      </c>
      <c r="AE3515" s="11" t="n">
        <v>1.074197530864197</v>
      </c>
      <c r="AF3515" s="16">
        <f>SUMPRODUCT(N3515:Y3515,$N$5:$Y$5)*$K3515*$L3515*$M3515</f>
        <v/>
      </c>
      <c r="AG3515" s="16">
        <f>SUMPRODUCT(N3515:Y3515,$N$6:$Y$6)*$K3515*$L3515*$M3515</f>
        <v/>
      </c>
      <c r="AH3515" s="20" t="n"/>
    </row>
    <row r="3516">
      <c r="A3516" s="9" t="n">
        <v>700669</v>
      </c>
      <c r="B3516" s="9" t="inlineStr">
        <is>
          <t>Gordon Graceffo</t>
        </is>
      </c>
      <c r="C3516" s="9" t="inlineStr">
        <is>
          <t>STL</t>
        </is>
      </c>
      <c r="D3516" s="9" t="n">
        <v>27</v>
      </c>
      <c r="E3516" s="18" t="inlineStr">
        <is>
          <t>R</t>
        </is>
      </c>
      <c r="F3516" s="18" t="n"/>
      <c r="G3516" s="9" t="n">
        <v>326</v>
      </c>
      <c r="H3516" s="9" t="n">
        <v>550</v>
      </c>
      <c r="I3516" s="9" t="inlineStr">
        <is>
          <t>Swing Arm / Long Relief</t>
        </is>
      </c>
      <c r="J3516" s="18" t="inlineStr">
        <is>
          <t>Opening Day</t>
        </is>
      </c>
      <c r="K3516" s="11">
        <f>IFERROR(INDEX(Roles!$B$17:$B$20,MATCH(J3516,Roles!$A$17:$A$20,0)),1)</f>
        <v/>
      </c>
      <c r="L3516" s="19" t="n">
        <v>1</v>
      </c>
      <c r="M3516" s="11" t="n">
        <v>1</v>
      </c>
      <c r="N3516" s="19" t="n"/>
      <c r="O3516" s="19" t="n"/>
      <c r="P3516" s="19" t="n"/>
      <c r="Q3516" s="19" t="n"/>
      <c r="R3516" s="19" t="n">
        <v>0.6</v>
      </c>
      <c r="S3516" s="19" t="n"/>
      <c r="T3516" s="19" t="n"/>
      <c r="U3516" s="19" t="n"/>
      <c r="V3516" s="19" t="n">
        <v>0.4</v>
      </c>
      <c r="W3516" s="19" t="n"/>
      <c r="X3516" s="19" t="n"/>
      <c r="Y3516" s="19" t="n"/>
      <c r="Z3516" s="13">
        <f>SUMPRODUCT(N3516:Y3516,$N$2:$Y$2)*$K3516*$L3516*$M3516</f>
        <v/>
      </c>
      <c r="AA3516" s="14">
        <f>SUM(N3516:Y3516)</f>
        <v/>
      </c>
      <c r="AB3516" s="13">
        <f>SUMPRODUCT(N3516:Y3516,$N$3:$Y$3)*$K3516*$L3516*$M3516</f>
        <v/>
      </c>
      <c r="AC3516" s="13">
        <f>SUMPRODUCT(N3516:Y3516,$N$4:$Y$4)*$K3516*$L3516*$M3516</f>
        <v/>
      </c>
      <c r="AD3516" s="15" t="n">
        <v>32.13333333333333</v>
      </c>
      <c r="AE3516" s="11" t="n">
        <v>2.136080752884032</v>
      </c>
      <c r="AF3516" s="16">
        <f>SUMPRODUCT(N3516:Y3516,$N$5:$Y$5)*$K3516*$L3516*$M3516</f>
        <v/>
      </c>
      <c r="AG3516" s="16">
        <f>SUMPRODUCT(N3516:Y3516,$N$6:$Y$6)*$K3516*$L3516*$M3516</f>
        <v/>
      </c>
      <c r="AH3516" s="20" t="n"/>
    </row>
    <row r="3517">
      <c r="A3517" s="9" t="n">
        <v>694297</v>
      </c>
      <c r="B3517" s="9" t="inlineStr">
        <is>
          <t>Brandon Pfaadt</t>
        </is>
      </c>
      <c r="C3517" s="9" t="inlineStr">
        <is>
          <t>ARI</t>
        </is>
      </c>
      <c r="D3517" s="9" t="n">
        <v>28</v>
      </c>
      <c r="E3517" s="18" t="inlineStr">
        <is>
          <t>R</t>
        </is>
      </c>
      <c r="F3517" s="18" t="n"/>
      <c r="G3517" s="9" t="n">
        <v>562</v>
      </c>
      <c r="H3517" s="9" t="n">
        <v>2510</v>
      </c>
      <c r="I3517" s="9" t="inlineStr">
        <is>
          <t>End-of-Rotation Starter (SP4-5)</t>
        </is>
      </c>
      <c r="J3517" s="18" t="inlineStr">
        <is>
          <t>Opening Day</t>
        </is>
      </c>
      <c r="K3517" s="11">
        <f>IFERROR(INDEX(Roles!$B$17:$B$20,MATCH(J3517,Roles!$A$17:$A$20,0)),1)</f>
        <v/>
      </c>
      <c r="L3517" s="19" t="n">
        <v>1</v>
      </c>
      <c r="M3517" s="11" t="n">
        <v>1</v>
      </c>
      <c r="N3517" s="19" t="n"/>
      <c r="O3517" s="19" t="n"/>
      <c r="P3517" s="19" t="n">
        <v>0.5</v>
      </c>
      <c r="Q3517" s="19" t="n"/>
      <c r="R3517" s="19" t="n">
        <v>0.5</v>
      </c>
      <c r="S3517" s="19" t="n"/>
      <c r="T3517" s="19" t="n"/>
      <c r="U3517" s="19" t="n"/>
      <c r="V3517" s="19" t="n"/>
      <c r="W3517" s="19" t="n"/>
      <c r="X3517" s="19" t="n"/>
      <c r="Y3517" s="19" t="n"/>
      <c r="Z3517" s="13">
        <f>SUMPRODUCT(N3517:Y3517,$N$2:$Y$2)*$K3517*$L3517*$M3517</f>
        <v/>
      </c>
      <c r="AA3517" s="14">
        <f>SUM(N3517:Y3517)</f>
        <v/>
      </c>
      <c r="AB3517" s="13">
        <f>SUMPRODUCT(N3517:Y3517,$N$3:$Y$3)*$K3517*$L3517*$M3517</f>
        <v/>
      </c>
      <c r="AC3517" s="13">
        <f>SUMPRODUCT(N3517:Y3517,$N$4:$Y$4)*$K3517*$L3517*$M3517</f>
        <v/>
      </c>
      <c r="AD3517" s="15" t="n">
        <v>24.9</v>
      </c>
      <c r="AE3517" s="11" t="n">
        <v>4.736136136136135</v>
      </c>
      <c r="AF3517" s="16">
        <f>SUMPRODUCT(N3517:Y3517,$N$5:$Y$5)*$K3517*$L3517*$M3517</f>
        <v/>
      </c>
      <c r="AG3517" s="16">
        <f>SUMPRODUCT(N3517:Y3517,$N$6:$Y$6)*$K3517*$L3517*$M3517</f>
        <v/>
      </c>
      <c r="AH3517" s="20" t="n"/>
    </row>
    <row r="3518">
      <c r="A3518" s="9" t="n">
        <v>699151</v>
      </c>
      <c r="B3518" s="9" t="inlineStr">
        <is>
          <t>Jedixson Paez</t>
        </is>
      </c>
      <c r="C3518" s="9" t="inlineStr">
        <is>
          <t>BOS</t>
        </is>
      </c>
      <c r="D3518" s="9" t="n">
        <v>23</v>
      </c>
      <c r="E3518" s="18" t="inlineStr">
        <is>
          <t>R</t>
        </is>
      </c>
      <c r="F3518" s="18" t="n"/>
      <c r="G3518" s="9" t="n">
        <v>57</v>
      </c>
      <c r="H3518" s="9" t="n">
        <v>57</v>
      </c>
      <c r="I3518" s="9" t="inlineStr">
        <is>
          <t>Bullpen Depth Arm</t>
        </is>
      </c>
      <c r="J3518" s="18" t="inlineStr">
        <is>
          <t>Early Season (~May)</t>
        </is>
      </c>
      <c r="K3518" s="11">
        <f>IFERROR(INDEX(Roles!$B$17:$B$20,MATCH(J3518,Roles!$A$17:$A$20,0)),1)</f>
        <v/>
      </c>
      <c r="L3518" s="19" t="n">
        <v>1</v>
      </c>
      <c r="M3518" s="11" t="n">
        <v>1</v>
      </c>
      <c r="N3518" s="19" t="n"/>
      <c r="O3518" s="19" t="n"/>
      <c r="P3518" s="19" t="n"/>
      <c r="Q3518" s="19" t="n"/>
      <c r="R3518" s="19" t="n"/>
      <c r="S3518" s="19" t="n"/>
      <c r="T3518" s="19" t="n"/>
      <c r="U3518" s="19" t="n"/>
      <c r="V3518" s="19" t="n"/>
      <c r="W3518" s="19" t="n">
        <v>1</v>
      </c>
      <c r="X3518" s="19" t="n"/>
      <c r="Y3518" s="19" t="n"/>
      <c r="Z3518" s="13">
        <f>SUMPRODUCT(N3518:Y3518,$N$2:$Y$2)*$K3518*$L3518*$M3518</f>
        <v/>
      </c>
      <c r="AA3518" s="14">
        <f>SUM(N3518:Y3518)</f>
        <v/>
      </c>
      <c r="AB3518" s="13">
        <f>SUMPRODUCT(N3518:Y3518,$N$3:$Y$3)*$K3518*$L3518*$M3518</f>
        <v/>
      </c>
      <c r="AC3518" s="13">
        <f>SUMPRODUCT(N3518:Y3518,$N$4:$Y$4)*$K3518*$L3518*$M3518</f>
        <v/>
      </c>
      <c r="AD3518" s="15" t="n">
        <v>8.666666666666666</v>
      </c>
      <c r="AE3518" s="11" t="n">
        <v>1.579284912618246</v>
      </c>
      <c r="AF3518" s="16">
        <f>SUMPRODUCT(N3518:Y3518,$N$5:$Y$5)*$K3518*$L3518*$M3518</f>
        <v/>
      </c>
      <c r="AG3518" s="16">
        <f>SUMPRODUCT(N3518:Y3518,$N$6:$Y$6)*$K3518*$L3518*$M3518</f>
        <v/>
      </c>
      <c r="AH3518" s="20" t="n"/>
    </row>
    <row r="3519">
      <c r="A3519" s="9" t="n">
        <v>680604</v>
      </c>
      <c r="B3519" s="9" t="inlineStr">
        <is>
          <t>Blas Castaño</t>
        </is>
      </c>
      <c r="C3519" s="9" t="inlineStr">
        <is>
          <t>COL</t>
        </is>
      </c>
      <c r="D3519" s="9" t="n">
        <v>28</v>
      </c>
      <c r="E3519" s="18" t="inlineStr">
        <is>
          <t>R</t>
        </is>
      </c>
      <c r="F3519" s="18" t="n"/>
      <c r="G3519" s="9" t="n">
        <v>111</v>
      </c>
      <c r="H3519" s="9" t="n">
        <v>127</v>
      </c>
      <c r="I3519" s="9" t="inlineStr">
        <is>
          <t>Swing Arm / Long Relief</t>
        </is>
      </c>
      <c r="J3519" s="18" t="inlineStr">
        <is>
          <t>Opening Day</t>
        </is>
      </c>
      <c r="K3519" s="11">
        <f>IFERROR(INDEX(Roles!$B$17:$B$20,MATCH(J3519,Roles!$A$17:$A$20,0)),1)</f>
        <v/>
      </c>
      <c r="L3519" s="19" t="n">
        <v>1</v>
      </c>
      <c r="M3519" s="11" t="n">
        <v>1</v>
      </c>
      <c r="N3519" s="19" t="n"/>
      <c r="O3519" s="19" t="n"/>
      <c r="P3519" s="19" t="n"/>
      <c r="Q3519" s="19" t="n"/>
      <c r="R3519" s="19" t="n">
        <v>0.55</v>
      </c>
      <c r="S3519" s="19" t="n"/>
      <c r="T3519" s="19" t="n"/>
      <c r="U3519" s="19" t="n"/>
      <c r="V3519" s="19" t="n">
        <v>0.45</v>
      </c>
      <c r="W3519" s="19" t="n"/>
      <c r="X3519" s="19" t="n"/>
      <c r="Y3519" s="19" t="n"/>
      <c r="Z3519" s="13">
        <f>SUMPRODUCT(N3519:Y3519,$N$2:$Y$2)*$K3519*$L3519*$M3519</f>
        <v/>
      </c>
      <c r="AA3519" s="14">
        <f>SUM(N3519:Y3519)</f>
        <v/>
      </c>
      <c r="AB3519" s="13">
        <f>SUMPRODUCT(N3519:Y3519,$N$3:$Y$3)*$K3519*$L3519*$M3519</f>
        <v/>
      </c>
      <c r="AC3519" s="13">
        <f>SUMPRODUCT(N3519:Y3519,$N$4:$Y$4)*$K3519*$L3519*$M3519</f>
        <v/>
      </c>
      <c r="AD3519" s="15" t="n">
        <v>13.77333333333334</v>
      </c>
      <c r="AE3519" s="11" t="n">
        <v>2.292601635468744</v>
      </c>
      <c r="AF3519" s="16">
        <f>SUMPRODUCT(N3519:Y3519,$N$5:$Y$5)*$K3519*$L3519*$M3519</f>
        <v/>
      </c>
      <c r="AG3519" s="16">
        <f>SUMPRODUCT(N3519:Y3519,$N$6:$Y$6)*$K3519*$L3519*$M3519</f>
        <v/>
      </c>
      <c r="AH3519" s="20" t="n"/>
    </row>
    <row r="3520">
      <c r="A3520" s="9" t="n">
        <v>666768</v>
      </c>
      <c r="B3520" s="9" t="inlineStr">
        <is>
          <t>Anderson Pilar</t>
        </is>
      </c>
      <c r="C3520" s="9" t="inlineStr">
        <is>
          <t>ATL</t>
        </is>
      </c>
      <c r="D3520" s="9" t="n">
        <v>25</v>
      </c>
      <c r="E3520" s="18" t="inlineStr">
        <is>
          <t>R</t>
        </is>
      </c>
      <c r="F3520" s="18" t="n"/>
      <c r="G3520" s="9" t="n">
        <v>111.155</v>
      </c>
      <c r="H3520" s="9" t="n">
        <v>111.155</v>
      </c>
      <c r="I3520" s="9" t="inlineStr">
        <is>
          <t>Depth (no MLB IP)</t>
        </is>
      </c>
      <c r="J3520" s="18" t="inlineStr">
        <is>
          <t>Opening Day</t>
        </is>
      </c>
      <c r="K3520" s="11">
        <f>IFERROR(INDEX(Roles!$B$17:$B$20,MATCH(J3520,Roles!$A$17:$A$20,0)),1)</f>
        <v/>
      </c>
      <c r="L3520" s="19" t="n">
        <v>1</v>
      </c>
      <c r="M3520" s="11" t="n">
        <v>1</v>
      </c>
      <c r="N3520" s="19" t="n"/>
      <c r="O3520" s="19" t="n"/>
      <c r="P3520" s="19" t="n"/>
      <c r="Q3520" s="19" t="n"/>
      <c r="R3520" s="19" t="n"/>
      <c r="S3520" s="19" t="n"/>
      <c r="T3520" s="19" t="n"/>
      <c r="U3520" s="19" t="n"/>
      <c r="V3520" s="19" t="n"/>
      <c r="W3520" s="19" t="n"/>
      <c r="X3520" s="19" t="n"/>
      <c r="Y3520" s="19" t="n">
        <v>1</v>
      </c>
      <c r="Z3520" s="13">
        <f>SUMPRODUCT(N3520:Y3520,$N$2:$Y$2)*$K3520*$L3520*$M3520</f>
        <v/>
      </c>
      <c r="AA3520" s="14">
        <f>SUM(N3520:Y3520)</f>
        <v/>
      </c>
      <c r="AB3520" s="13">
        <f>SUMPRODUCT(N3520:Y3520,$N$3:$Y$3)*$K3520*$L3520*$M3520</f>
        <v/>
      </c>
      <c r="AC3520" s="13">
        <f>SUMPRODUCT(N3520:Y3520,$N$4:$Y$4)*$K3520*$L3520*$M3520</f>
        <v/>
      </c>
      <c r="AD3520" s="15" t="n">
        <v>3</v>
      </c>
      <c r="AE3520" s="11" t="n">
        <v>1.011296296296296</v>
      </c>
      <c r="AF3520" s="16">
        <f>SUMPRODUCT(N3520:Y3520,$N$5:$Y$5)*$K3520*$L3520*$M3520</f>
        <v/>
      </c>
      <c r="AG3520" s="16">
        <f>SUMPRODUCT(N3520:Y3520,$N$6:$Y$6)*$K3520*$L3520*$M3520</f>
        <v/>
      </c>
      <c r="AH3520" s="20" t="n"/>
    </row>
    <row r="3521">
      <c r="A3521" s="9" t="n">
        <v>802416</v>
      </c>
      <c r="B3521" s="9" t="inlineStr">
        <is>
          <t>Ashton Izzi</t>
        </is>
      </c>
      <c r="C3521" s="9" t="inlineStr">
        <is>
          <t>ARI</t>
        </is>
      </c>
      <c r="D3521" s="9" t="n">
        <v>25</v>
      </c>
      <c r="E3521" s="18" t="inlineStr">
        <is>
          <t>R</t>
        </is>
      </c>
      <c r="F3521" s="18" t="n"/>
      <c r="G3521" s="9" t="n">
        <v>111.155</v>
      </c>
      <c r="H3521" s="9" t="n">
        <v>111.155</v>
      </c>
      <c r="I3521" s="9" t="inlineStr">
        <is>
          <t>Depth (no MLB IP)</t>
        </is>
      </c>
      <c r="J3521" s="18" t="inlineStr">
        <is>
          <t>Opening Day</t>
        </is>
      </c>
      <c r="K3521" s="11">
        <f>IFERROR(INDEX(Roles!$B$17:$B$20,MATCH(J3521,Roles!$A$17:$A$20,0)),1)</f>
        <v/>
      </c>
      <c r="L3521" s="19" t="n">
        <v>1</v>
      </c>
      <c r="M3521" s="11" t="n">
        <v>1</v>
      </c>
      <c r="N3521" s="19" t="n"/>
      <c r="O3521" s="19" t="n"/>
      <c r="P3521" s="19" t="n"/>
      <c r="Q3521" s="19" t="n"/>
      <c r="R3521" s="19" t="n"/>
      <c r="S3521" s="19" t="n"/>
      <c r="T3521" s="19" t="n"/>
      <c r="U3521" s="19" t="n"/>
      <c r="V3521" s="19" t="n"/>
      <c r="W3521" s="19" t="n"/>
      <c r="X3521" s="19" t="n"/>
      <c r="Y3521" s="19" t="n">
        <v>1</v>
      </c>
      <c r="Z3521" s="13">
        <f>SUMPRODUCT(N3521:Y3521,$N$2:$Y$2)*$K3521*$L3521*$M3521</f>
        <v/>
      </c>
      <c r="AA3521" s="14">
        <f>SUM(N3521:Y3521)</f>
        <v/>
      </c>
      <c r="AB3521" s="13">
        <f>SUMPRODUCT(N3521:Y3521,$N$3:$Y$3)*$K3521*$L3521*$M3521</f>
        <v/>
      </c>
      <c r="AC3521" s="13">
        <f>SUMPRODUCT(N3521:Y3521,$N$4:$Y$4)*$K3521*$L3521*$M3521</f>
        <v/>
      </c>
      <c r="AD3521" s="15" t="n">
        <v>3</v>
      </c>
      <c r="AE3521" s="11" t="n">
        <v>1.011296296296296</v>
      </c>
      <c r="AF3521" s="16">
        <f>SUMPRODUCT(N3521:Y3521,$N$5:$Y$5)*$K3521*$L3521*$M3521</f>
        <v/>
      </c>
      <c r="AG3521" s="16">
        <f>SUMPRODUCT(N3521:Y3521,$N$6:$Y$6)*$K3521*$L3521*$M3521</f>
        <v/>
      </c>
      <c r="AH3521" s="20" t="n"/>
    </row>
    <row r="3522">
      <c r="A3522" s="9" t="n">
        <v>543309</v>
      </c>
      <c r="B3522" s="9" t="inlineStr">
        <is>
          <t>Kyle Higashioka</t>
        </is>
      </c>
      <c r="C3522" s="9" t="inlineStr">
        <is>
          <t>TEX</t>
        </is>
      </c>
      <c r="D3522" s="9" t="n">
        <v>37</v>
      </c>
      <c r="E3522" s="18" t="inlineStr">
        <is>
          <t>R</t>
        </is>
      </c>
      <c r="F3522" s="18" t="n"/>
      <c r="G3522" s="9" t="n">
        <v>18</v>
      </c>
      <c r="H3522" s="9" t="n">
        <v>18</v>
      </c>
      <c r="I3522" s="9" t="inlineStr">
        <is>
          <t>Depth (no MLB IP)</t>
        </is>
      </c>
      <c r="J3522" s="18" t="inlineStr">
        <is>
          <t>Opening Day</t>
        </is>
      </c>
      <c r="K3522" s="11">
        <f>IFERROR(INDEX(Roles!$B$17:$B$20,MATCH(J3522,Roles!$A$17:$A$20,0)),1)</f>
        <v/>
      </c>
      <c r="L3522" s="19" t="n">
        <v>1</v>
      </c>
      <c r="M3522" s="11" t="n">
        <v>1</v>
      </c>
      <c r="N3522" s="19" t="n"/>
      <c r="O3522" s="19" t="n"/>
      <c r="P3522" s="19" t="n"/>
      <c r="Q3522" s="19" t="n"/>
      <c r="R3522" s="19" t="n"/>
      <c r="S3522" s="19" t="n"/>
      <c r="T3522" s="19" t="n"/>
      <c r="U3522" s="19" t="n"/>
      <c r="V3522" s="19" t="n"/>
      <c r="W3522" s="19" t="n"/>
      <c r="X3522" s="19" t="n"/>
      <c r="Y3522" s="19" t="n">
        <v>1</v>
      </c>
      <c r="Z3522" s="13">
        <f>SUMPRODUCT(N3522:Y3522,$N$2:$Y$2)*$K3522*$L3522*$M3522</f>
        <v/>
      </c>
      <c r="AA3522" s="14">
        <f>SUM(N3522:Y3522)</f>
        <v/>
      </c>
      <c r="AB3522" s="13">
        <f>SUMPRODUCT(N3522:Y3522,$N$3:$Y$3)*$K3522*$L3522*$M3522</f>
        <v/>
      </c>
      <c r="AC3522" s="13">
        <f>SUMPRODUCT(N3522:Y3522,$N$4:$Y$4)*$K3522*$L3522*$M3522</f>
        <v/>
      </c>
      <c r="AD3522" s="15" t="n">
        <v>3</v>
      </c>
      <c r="AE3522" s="11" t="n">
        <v>1.007530864197531</v>
      </c>
      <c r="AF3522" s="16">
        <f>SUMPRODUCT(N3522:Y3522,$N$5:$Y$5)*$K3522*$L3522*$M3522</f>
        <v/>
      </c>
      <c r="AG3522" s="16">
        <f>SUMPRODUCT(N3522:Y3522,$N$6:$Y$6)*$K3522*$L3522*$M3522</f>
        <v/>
      </c>
      <c r="AH3522" s="20" t="n"/>
    </row>
    <row r="3523">
      <c r="A3523" s="9" t="n">
        <v>622253</v>
      </c>
      <c r="B3523" s="9" t="inlineStr">
        <is>
          <t>Dillon Tate</t>
        </is>
      </c>
      <c r="C3523" s="9" t="inlineStr">
        <is>
          <t>TOR</t>
        </is>
      </c>
      <c r="D3523" s="9" t="n">
        <v>33</v>
      </c>
      <c r="E3523" s="18" t="inlineStr">
        <is>
          <t>R</t>
        </is>
      </c>
      <c r="F3523" s="18" t="n"/>
      <c r="G3523" s="9" t="n">
        <v>34</v>
      </c>
      <c r="H3523" s="9" t="n">
        <v>490</v>
      </c>
      <c r="I3523" s="9" t="inlineStr">
        <is>
          <t>Bullpen Depth Arm</t>
        </is>
      </c>
      <c r="J3523" s="18" t="inlineStr">
        <is>
          <t>Opening Day</t>
        </is>
      </c>
      <c r="K3523" s="11">
        <f>IFERROR(INDEX(Roles!$B$17:$B$20,MATCH(J3523,Roles!$A$17:$A$20,0)),1)</f>
        <v/>
      </c>
      <c r="L3523" s="19" t="n">
        <v>1</v>
      </c>
      <c r="M3523" s="11" t="n">
        <v>1</v>
      </c>
      <c r="N3523" s="19" t="n"/>
      <c r="O3523" s="19" t="n"/>
      <c r="P3523" s="19" t="n"/>
      <c r="Q3523" s="19" t="n"/>
      <c r="R3523" s="19" t="n"/>
      <c r="S3523" s="19" t="n"/>
      <c r="T3523" s="19" t="n"/>
      <c r="U3523" s="19" t="n"/>
      <c r="V3523" s="19" t="n"/>
      <c r="W3523" s="19" t="n">
        <v>1</v>
      </c>
      <c r="X3523" s="19" t="n"/>
      <c r="Y3523" s="19" t="n"/>
      <c r="Z3523" s="13">
        <f>SUMPRODUCT(N3523:Y3523,$N$2:$Y$2)*$K3523*$L3523*$M3523</f>
        <v/>
      </c>
      <c r="AA3523" s="14">
        <f>SUM(N3523:Y3523)</f>
        <v/>
      </c>
      <c r="AB3523" s="13">
        <f>SUMPRODUCT(N3523:Y3523,$N$3:$Y$3)*$K3523*$L3523*$M3523</f>
        <v/>
      </c>
      <c r="AC3523" s="13">
        <f>SUMPRODUCT(N3523:Y3523,$N$4:$Y$4)*$K3523*$L3523*$M3523</f>
        <v/>
      </c>
      <c r="AD3523" s="15" t="n">
        <v>14.66666666666667</v>
      </c>
      <c r="AE3523" s="11" t="n">
        <v>1.1669392336059</v>
      </c>
      <c r="AF3523" s="16">
        <f>SUMPRODUCT(N3523:Y3523,$N$5:$Y$5)*$K3523*$L3523*$M3523</f>
        <v/>
      </c>
      <c r="AG3523" s="16">
        <f>SUMPRODUCT(N3523:Y3523,$N$6:$Y$6)*$K3523*$L3523*$M3523</f>
        <v/>
      </c>
      <c r="AH3523" s="20" t="n"/>
    </row>
    <row r="3524">
      <c r="A3524" s="9" t="n">
        <v>686599</v>
      </c>
      <c r="B3524" s="9" t="inlineStr">
        <is>
          <t>Kyle Brnovich</t>
        </is>
      </c>
      <c r="C3524" s="9" t="inlineStr">
        <is>
          <t>PHI</t>
        </is>
      </c>
      <c r="D3524" s="9" t="n">
        <v>25</v>
      </c>
      <c r="E3524" s="18" t="inlineStr">
        <is>
          <t>R</t>
        </is>
      </c>
      <c r="F3524" s="18" t="n"/>
      <c r="G3524" s="9" t="n">
        <v>111.8716666666667</v>
      </c>
      <c r="H3524" s="9" t="n">
        <v>111.8716666666667</v>
      </c>
      <c r="I3524" s="9" t="inlineStr">
        <is>
          <t>Depth (no MLB IP)</t>
        </is>
      </c>
      <c r="J3524" s="18" t="inlineStr">
        <is>
          <t>Opening Day</t>
        </is>
      </c>
      <c r="K3524" s="11">
        <f>IFERROR(INDEX(Roles!$B$17:$B$20,MATCH(J3524,Roles!$A$17:$A$20,0)),1)</f>
        <v/>
      </c>
      <c r="L3524" s="19" t="n">
        <v>1</v>
      </c>
      <c r="M3524" s="11" t="n">
        <v>1</v>
      </c>
      <c r="N3524" s="19" t="n"/>
      <c r="O3524" s="19" t="n"/>
      <c r="P3524" s="19" t="n"/>
      <c r="Q3524" s="19" t="n"/>
      <c r="R3524" s="19" t="n"/>
      <c r="S3524" s="19" t="n"/>
      <c r="T3524" s="19" t="n"/>
      <c r="U3524" s="19" t="n"/>
      <c r="V3524" s="19" t="n"/>
      <c r="W3524" s="19" t="n"/>
      <c r="X3524" s="19" t="n"/>
      <c r="Y3524" s="19" t="n">
        <v>1</v>
      </c>
      <c r="Z3524" s="13">
        <f>SUMPRODUCT(N3524:Y3524,$N$2:$Y$2)*$K3524*$L3524*$M3524</f>
        <v/>
      </c>
      <c r="AA3524" s="14">
        <f>SUM(N3524:Y3524)</f>
        <v/>
      </c>
      <c r="AB3524" s="13">
        <f>SUMPRODUCT(N3524:Y3524,$N$3:$Y$3)*$K3524*$L3524*$M3524</f>
        <v/>
      </c>
      <c r="AC3524" s="13">
        <f>SUMPRODUCT(N3524:Y3524,$N$4:$Y$4)*$K3524*$L3524*$M3524</f>
        <v/>
      </c>
      <c r="AD3524" s="15" t="n">
        <v>3</v>
      </c>
      <c r="AE3524" s="11" t="n">
        <v>1.011296296296296</v>
      </c>
      <c r="AF3524" s="16">
        <f>SUMPRODUCT(N3524:Y3524,$N$5:$Y$5)*$K3524*$L3524*$M3524</f>
        <v/>
      </c>
      <c r="AG3524" s="16">
        <f>SUMPRODUCT(N3524:Y3524,$N$6:$Y$6)*$K3524*$L3524*$M3524</f>
        <v/>
      </c>
      <c r="AH3524" s="20" t="n"/>
    </row>
    <row r="3525">
      <c r="A3525" s="9" t="n">
        <v>687866</v>
      </c>
      <c r="B3525" s="9" t="inlineStr">
        <is>
          <t>Justin Yeager</t>
        </is>
      </c>
      <c r="C3525" s="9" t="inlineStr">
        <is>
          <t>TB</t>
        </is>
      </c>
      <c r="D3525" s="9" t="n">
        <v>25</v>
      </c>
      <c r="E3525" s="18" t="inlineStr">
        <is>
          <t>R</t>
        </is>
      </c>
      <c r="F3525" s="18" t="n"/>
      <c r="G3525" s="9" t="n">
        <v>111.9433333333333</v>
      </c>
      <c r="H3525" s="9" t="n">
        <v>111.9433333333333</v>
      </c>
      <c r="I3525" s="9" t="inlineStr">
        <is>
          <t>Depth (no MLB IP)</t>
        </is>
      </c>
      <c r="J3525" s="18" t="inlineStr">
        <is>
          <t>Opening Day</t>
        </is>
      </c>
      <c r="K3525" s="11">
        <f>IFERROR(INDEX(Roles!$B$17:$B$20,MATCH(J3525,Roles!$A$17:$A$20,0)),1)</f>
        <v/>
      </c>
      <c r="L3525" s="19" t="n">
        <v>1</v>
      </c>
      <c r="M3525" s="11" t="n">
        <v>1</v>
      </c>
      <c r="N3525" s="19" t="n"/>
      <c r="O3525" s="19" t="n"/>
      <c r="P3525" s="19" t="n"/>
      <c r="Q3525" s="19" t="n"/>
      <c r="R3525" s="19" t="n"/>
      <c r="S3525" s="19" t="n"/>
      <c r="T3525" s="19" t="n"/>
      <c r="U3525" s="19" t="n"/>
      <c r="V3525" s="19" t="n"/>
      <c r="W3525" s="19" t="n"/>
      <c r="X3525" s="19" t="n"/>
      <c r="Y3525" s="19" t="n">
        <v>1</v>
      </c>
      <c r="Z3525" s="13">
        <f>SUMPRODUCT(N3525:Y3525,$N$2:$Y$2)*$K3525*$L3525*$M3525</f>
        <v/>
      </c>
      <c r="AA3525" s="14">
        <f>SUM(N3525:Y3525)</f>
        <v/>
      </c>
      <c r="AB3525" s="13">
        <f>SUMPRODUCT(N3525:Y3525,$N$3:$Y$3)*$K3525*$L3525*$M3525</f>
        <v/>
      </c>
      <c r="AC3525" s="13">
        <f>SUMPRODUCT(N3525:Y3525,$N$4:$Y$4)*$K3525*$L3525*$M3525</f>
        <v/>
      </c>
      <c r="AD3525" s="15" t="n">
        <v>3</v>
      </c>
      <c r="AE3525" s="11" t="n">
        <v>1.011296296296296</v>
      </c>
      <c r="AF3525" s="16">
        <f>SUMPRODUCT(N3525:Y3525,$N$5:$Y$5)*$K3525*$L3525*$M3525</f>
        <v/>
      </c>
      <c r="AG3525" s="16">
        <f>SUMPRODUCT(N3525:Y3525,$N$6:$Y$6)*$K3525*$L3525*$M3525</f>
        <v/>
      </c>
      <c r="AH3525" s="20" t="n"/>
    </row>
    <row r="3526">
      <c r="A3526" s="9" t="n">
        <v>608328</v>
      </c>
      <c r="B3526" s="9" t="inlineStr">
        <is>
          <t>Chase De Jong</t>
        </is>
      </c>
      <c r="C3526" s="9" t="inlineStr">
        <is>
          <t>PIT</t>
        </is>
      </c>
      <c r="D3526" s="9" t="n">
        <v>33</v>
      </c>
      <c r="E3526" s="18" t="inlineStr">
        <is>
          <t>R</t>
        </is>
      </c>
      <c r="F3526" s="18" t="n"/>
      <c r="G3526" s="9" t="n">
        <v>60</v>
      </c>
      <c r="H3526" s="9" t="n">
        <v>353</v>
      </c>
      <c r="I3526" s="9" t="inlineStr">
        <is>
          <t>Depth (no MLB IP)</t>
        </is>
      </c>
      <c r="J3526" s="18" t="inlineStr">
        <is>
          <t>Opening Day</t>
        </is>
      </c>
      <c r="K3526" s="11">
        <f>IFERROR(INDEX(Roles!$B$17:$B$20,MATCH(J3526,Roles!$A$17:$A$20,0)),1)</f>
        <v/>
      </c>
      <c r="L3526" s="19" t="n">
        <v>1</v>
      </c>
      <c r="M3526" s="11" t="n">
        <v>1</v>
      </c>
      <c r="N3526" s="19" t="n"/>
      <c r="O3526" s="19" t="n"/>
      <c r="P3526" s="19" t="n"/>
      <c r="Q3526" s="19" t="n"/>
      <c r="R3526" s="19" t="n"/>
      <c r="S3526" s="19" t="n"/>
      <c r="T3526" s="19" t="n"/>
      <c r="U3526" s="19" t="n"/>
      <c r="V3526" s="19" t="n"/>
      <c r="W3526" s="19" t="n"/>
      <c r="X3526" s="19" t="n"/>
      <c r="Y3526" s="19" t="n">
        <v>1</v>
      </c>
      <c r="Z3526" s="13">
        <f>SUMPRODUCT(N3526:Y3526,$N$2:$Y$2)*$K3526*$L3526*$M3526</f>
        <v/>
      </c>
      <c r="AA3526" s="14">
        <f>SUM(N3526:Y3526)</f>
        <v/>
      </c>
      <c r="AB3526" s="13">
        <f>SUMPRODUCT(N3526:Y3526,$N$3:$Y$3)*$K3526*$L3526*$M3526</f>
        <v/>
      </c>
      <c r="AC3526" s="13">
        <f>SUMPRODUCT(N3526:Y3526,$N$4:$Y$4)*$K3526*$L3526*$M3526</f>
        <v/>
      </c>
      <c r="AD3526" s="15" t="n">
        <v>3</v>
      </c>
      <c r="AE3526" s="11" t="n">
        <v>1.011296296296296</v>
      </c>
      <c r="AF3526" s="16">
        <f>SUMPRODUCT(N3526:Y3526,$N$5:$Y$5)*$K3526*$L3526*$M3526</f>
        <v/>
      </c>
      <c r="AG3526" s="16">
        <f>SUMPRODUCT(N3526:Y3526,$N$6:$Y$6)*$K3526*$L3526*$M3526</f>
        <v/>
      </c>
      <c r="AH3526" s="20" t="n"/>
    </row>
    <row r="3527">
      <c r="A3527" s="9" t="n">
        <v>674370</v>
      </c>
      <c r="B3527" s="9" t="inlineStr">
        <is>
          <t>Osvaldo Bido</t>
        </is>
      </c>
      <c r="C3527" s="9" t="inlineStr">
        <is>
          <t>CWS</t>
        </is>
      </c>
      <c r="D3527" s="9" t="n">
        <v>31</v>
      </c>
      <c r="E3527" s="18" t="inlineStr">
        <is>
          <t>R</t>
        </is>
      </c>
      <c r="F3527" s="18" t="n"/>
      <c r="G3527" s="9" t="n">
        <v>81</v>
      </c>
      <c r="H3527" s="9" t="n">
        <v>939</v>
      </c>
      <c r="I3527" s="9" t="inlineStr">
        <is>
          <t>Bullpen Depth Arm</t>
        </is>
      </c>
      <c r="J3527" s="18" t="inlineStr">
        <is>
          <t>Opening Day</t>
        </is>
      </c>
      <c r="K3527" s="11">
        <f>IFERROR(INDEX(Roles!$B$17:$B$20,MATCH(J3527,Roles!$A$17:$A$20,0)),1)</f>
        <v/>
      </c>
      <c r="L3527" s="19" t="n">
        <v>1</v>
      </c>
      <c r="M3527" s="11" t="n">
        <v>1</v>
      </c>
      <c r="N3527" s="19" t="n"/>
      <c r="O3527" s="19" t="n"/>
      <c r="P3527" s="19" t="n"/>
      <c r="Q3527" s="19" t="n"/>
      <c r="R3527" s="19" t="n"/>
      <c r="S3527" s="19" t="n"/>
      <c r="T3527" s="19" t="n"/>
      <c r="U3527" s="19" t="n"/>
      <c r="V3527" s="19" t="n"/>
      <c r="W3527" s="19" t="n">
        <v>1</v>
      </c>
      <c r="X3527" s="19" t="n"/>
      <c r="Y3527" s="19" t="n"/>
      <c r="Z3527" s="13">
        <f>SUMPRODUCT(N3527:Y3527,$N$2:$Y$2)*$K3527*$L3527*$M3527</f>
        <v/>
      </c>
      <c r="AA3527" s="14">
        <f>SUM(N3527:Y3527)</f>
        <v/>
      </c>
      <c r="AB3527" s="13">
        <f>SUMPRODUCT(N3527:Y3527,$N$3:$Y$3)*$K3527*$L3527*$M3527</f>
        <v/>
      </c>
      <c r="AC3527" s="13">
        <f>SUMPRODUCT(N3527:Y3527,$N$4:$Y$4)*$K3527*$L3527*$M3527</f>
        <v/>
      </c>
      <c r="AD3527" s="15" t="n">
        <v>15.76666666666667</v>
      </c>
      <c r="AE3527" s="11" t="n">
        <v>1.721199104037388</v>
      </c>
      <c r="AF3527" s="16">
        <f>SUMPRODUCT(N3527:Y3527,$N$5:$Y$5)*$K3527*$L3527*$M3527</f>
        <v/>
      </c>
      <c r="AG3527" s="16">
        <f>SUMPRODUCT(N3527:Y3527,$N$6:$Y$6)*$K3527*$L3527*$M3527</f>
        <v/>
      </c>
      <c r="AH3527" s="20" t="n"/>
    </row>
    <row r="3528">
      <c r="A3528" s="9" t="n">
        <v>690544</v>
      </c>
      <c r="B3528" s="9" t="inlineStr">
        <is>
          <t>Bailey Horn</t>
        </is>
      </c>
      <c r="C3528" s="9" t="inlineStr">
        <is>
          <t>DET</t>
        </is>
      </c>
      <c r="D3528" s="9" t="n">
        <v>29</v>
      </c>
      <c r="E3528" s="18" t="inlineStr">
        <is>
          <t>L</t>
        </is>
      </c>
      <c r="F3528" s="18" t="n"/>
      <c r="G3528" s="9" t="n">
        <v>50</v>
      </c>
      <c r="H3528" s="9" t="n">
        <v>138</v>
      </c>
      <c r="I3528" s="9" t="inlineStr">
        <is>
          <t>Bullpen Depth Arm</t>
        </is>
      </c>
      <c r="J3528" s="18" t="inlineStr">
        <is>
          <t>Opening Day</t>
        </is>
      </c>
      <c r="K3528" s="11">
        <f>IFERROR(INDEX(Roles!$B$17:$B$20,MATCH(J3528,Roles!$A$17:$A$20,0)),1)</f>
        <v/>
      </c>
      <c r="L3528" s="19" t="n">
        <v>1</v>
      </c>
      <c r="M3528" s="11" t="n">
        <v>1</v>
      </c>
      <c r="N3528" s="19" t="n"/>
      <c r="O3528" s="19" t="n"/>
      <c r="P3528" s="19" t="n"/>
      <c r="Q3528" s="19" t="n"/>
      <c r="R3528" s="19" t="n"/>
      <c r="S3528" s="19" t="n"/>
      <c r="T3528" s="19" t="n"/>
      <c r="U3528" s="19" t="n"/>
      <c r="V3528" s="19" t="n">
        <v>0.15</v>
      </c>
      <c r="W3528" s="19" t="n">
        <v>0.85</v>
      </c>
      <c r="X3528" s="19" t="n"/>
      <c r="Y3528" s="19" t="n"/>
      <c r="Z3528" s="13">
        <f>SUMPRODUCT(N3528:Y3528,$N$2:$Y$2)*$K3528*$L3528*$M3528</f>
        <v/>
      </c>
      <c r="AA3528" s="14">
        <f>SUM(N3528:Y3528)</f>
        <v/>
      </c>
      <c r="AB3528" s="13">
        <f>SUMPRODUCT(N3528:Y3528,$N$3:$Y$3)*$K3528*$L3528*$M3528</f>
        <v/>
      </c>
      <c r="AC3528" s="13">
        <f>SUMPRODUCT(N3528:Y3528,$N$4:$Y$4)*$K3528*$L3528*$M3528</f>
        <v/>
      </c>
      <c r="AD3528" s="15" t="n">
        <v>13.26666666666667</v>
      </c>
      <c r="AE3528" s="11" t="n">
        <v>1.158232281039299</v>
      </c>
      <c r="AF3528" s="16">
        <f>SUMPRODUCT(N3528:Y3528,$N$5:$Y$5)*$K3528*$L3528*$M3528</f>
        <v/>
      </c>
      <c r="AG3528" s="16">
        <f>SUMPRODUCT(N3528:Y3528,$N$6:$Y$6)*$K3528*$L3528*$M3528</f>
        <v/>
      </c>
      <c r="AH3528" s="20" t="n"/>
    </row>
    <row r="3529">
      <c r="A3529" s="9" t="n">
        <v>678024</v>
      </c>
      <c r="B3529" s="9" t="inlineStr">
        <is>
          <t>Mike Vasil</t>
        </is>
      </c>
      <c r="C3529" s="9" t="inlineStr">
        <is>
          <t>CWS</t>
        </is>
      </c>
      <c r="D3529" s="9" t="n">
        <v>27</v>
      </c>
      <c r="E3529" s="18" t="inlineStr">
        <is>
          <t>R</t>
        </is>
      </c>
      <c r="F3529" s="18" t="n"/>
      <c r="G3529" s="9" t="n">
        <v>423</v>
      </c>
      <c r="H3529" s="9" t="n">
        <v>423</v>
      </c>
      <c r="I3529" s="9" t="inlineStr">
        <is>
          <t>Bullpen Depth Arm</t>
        </is>
      </c>
      <c r="J3529" s="18" t="inlineStr">
        <is>
          <t>Opening Day</t>
        </is>
      </c>
      <c r="K3529" s="11">
        <f>IFERROR(INDEX(Roles!$B$17:$B$20,MATCH(J3529,Roles!$A$17:$A$20,0)),1)</f>
        <v/>
      </c>
      <c r="L3529" s="19" t="n">
        <v>1</v>
      </c>
      <c r="M3529" s="11" t="n">
        <v>1</v>
      </c>
      <c r="N3529" s="19" t="n"/>
      <c r="O3529" s="19" t="n"/>
      <c r="P3529" s="19" t="n"/>
      <c r="Q3529" s="19" t="n"/>
      <c r="R3529" s="19" t="n"/>
      <c r="S3529" s="19" t="n"/>
      <c r="T3529" s="19" t="n"/>
      <c r="U3529" s="19" t="n"/>
      <c r="V3529" s="19" t="n">
        <v>0.15</v>
      </c>
      <c r="W3529" s="19" t="n">
        <v>0.85</v>
      </c>
      <c r="X3529" s="19" t="n"/>
      <c r="Y3529" s="19" t="n"/>
      <c r="Z3529" s="13">
        <f>SUMPRODUCT(N3529:Y3529,$N$2:$Y$2)*$K3529*$L3529*$M3529</f>
        <v/>
      </c>
      <c r="AA3529" s="14">
        <f>SUM(N3529:Y3529)</f>
        <v/>
      </c>
      <c r="AB3529" s="13">
        <f>SUMPRODUCT(N3529:Y3529,$N$3:$Y$3)*$K3529*$L3529*$M3529</f>
        <v/>
      </c>
      <c r="AC3529" s="13">
        <f>SUMPRODUCT(N3529:Y3529,$N$4:$Y$4)*$K3529*$L3529*$M3529</f>
        <v/>
      </c>
      <c r="AD3529" s="15" t="n">
        <v>33.86666666666667</v>
      </c>
      <c r="AE3529" s="11" t="n">
        <v>1.517819191578057</v>
      </c>
      <c r="AF3529" s="16">
        <f>SUMPRODUCT(N3529:Y3529,$N$5:$Y$5)*$K3529*$L3529*$M3529</f>
        <v/>
      </c>
      <c r="AG3529" s="16">
        <f>SUMPRODUCT(N3529:Y3529,$N$6:$Y$6)*$K3529*$L3529*$M3529</f>
        <v/>
      </c>
      <c r="AH3529" s="20" t="n"/>
    </row>
    <row r="3530">
      <c r="A3530" s="9" t="n">
        <v>686900</v>
      </c>
      <c r="B3530" s="9" t="inlineStr">
        <is>
          <t>Evan Shawver</t>
        </is>
      </c>
      <c r="C3530" s="9" t="inlineStr">
        <is>
          <t>COL</t>
        </is>
      </c>
      <c r="D3530" s="9" t="n">
        <v>25</v>
      </c>
      <c r="E3530" s="18" t="inlineStr">
        <is>
          <t>L</t>
        </is>
      </c>
      <c r="F3530" s="18" t="n"/>
      <c r="G3530" s="9" t="n">
        <v>113.52</v>
      </c>
      <c r="H3530" s="9" t="n">
        <v>113.52</v>
      </c>
      <c r="I3530" s="9" t="inlineStr">
        <is>
          <t>Depth (no MLB IP)</t>
        </is>
      </c>
      <c r="J3530" s="18" t="inlineStr">
        <is>
          <t>Opening Day</t>
        </is>
      </c>
      <c r="K3530" s="11">
        <f>IFERROR(INDEX(Roles!$B$17:$B$20,MATCH(J3530,Roles!$A$17:$A$20,0)),1)</f>
        <v/>
      </c>
      <c r="L3530" s="19" t="n">
        <v>1</v>
      </c>
      <c r="M3530" s="11" t="n">
        <v>1</v>
      </c>
      <c r="N3530" s="19" t="n"/>
      <c r="O3530" s="19" t="n"/>
      <c r="P3530" s="19" t="n"/>
      <c r="Q3530" s="19" t="n"/>
      <c r="R3530" s="19" t="n"/>
      <c r="S3530" s="19" t="n"/>
      <c r="T3530" s="19" t="n"/>
      <c r="U3530" s="19" t="n"/>
      <c r="V3530" s="19" t="n"/>
      <c r="W3530" s="19" t="n"/>
      <c r="X3530" s="19" t="n"/>
      <c r="Y3530" s="19" t="n">
        <v>1</v>
      </c>
      <c r="Z3530" s="13">
        <f>SUMPRODUCT(N3530:Y3530,$N$2:$Y$2)*$K3530*$L3530*$M3530</f>
        <v/>
      </c>
      <c r="AA3530" s="14">
        <f>SUM(N3530:Y3530)</f>
        <v/>
      </c>
      <c r="AB3530" s="13">
        <f>SUMPRODUCT(N3530:Y3530,$N$3:$Y$3)*$K3530*$L3530*$M3530</f>
        <v/>
      </c>
      <c r="AC3530" s="13">
        <f>SUMPRODUCT(N3530:Y3530,$N$4:$Y$4)*$K3530*$L3530*$M3530</f>
        <v/>
      </c>
      <c r="AD3530" s="15" t="n">
        <v>3</v>
      </c>
      <c r="AE3530" s="11" t="n">
        <v>1.011296296296296</v>
      </c>
      <c r="AF3530" s="16">
        <f>SUMPRODUCT(N3530:Y3530,$N$5:$Y$5)*$K3530*$L3530*$M3530</f>
        <v/>
      </c>
      <c r="AG3530" s="16">
        <f>SUMPRODUCT(N3530:Y3530,$N$6:$Y$6)*$K3530*$L3530*$M3530</f>
        <v/>
      </c>
      <c r="AH3530" s="20" t="n"/>
    </row>
    <row r="3531">
      <c r="A3531" s="9" t="n">
        <v>622256</v>
      </c>
      <c r="B3531" s="9" t="inlineStr">
        <is>
          <t>Patrick Weigel</t>
        </is>
      </c>
      <c r="C3531" s="9" t="inlineStr">
        <is>
          <t>COL</t>
        </is>
      </c>
      <c r="D3531" s="9" t="n">
        <v>25</v>
      </c>
      <c r="E3531" s="18" t="inlineStr">
        <is>
          <t>R</t>
        </is>
      </c>
      <c r="F3531" s="18" t="n"/>
      <c r="G3531" s="9" t="n">
        <v>113.52</v>
      </c>
      <c r="H3531" s="9" t="n">
        <v>113.52</v>
      </c>
      <c r="I3531" s="9" t="inlineStr">
        <is>
          <t>Depth (no MLB IP)</t>
        </is>
      </c>
      <c r="J3531" s="18" t="inlineStr">
        <is>
          <t>Opening Day</t>
        </is>
      </c>
      <c r="K3531" s="11">
        <f>IFERROR(INDEX(Roles!$B$17:$B$20,MATCH(J3531,Roles!$A$17:$A$20,0)),1)</f>
        <v/>
      </c>
      <c r="L3531" s="19" t="n">
        <v>1</v>
      </c>
      <c r="M3531" s="11" t="n">
        <v>1</v>
      </c>
      <c r="N3531" s="19" t="n"/>
      <c r="O3531" s="19" t="n"/>
      <c r="P3531" s="19" t="n"/>
      <c r="Q3531" s="19" t="n"/>
      <c r="R3531" s="19" t="n"/>
      <c r="S3531" s="19" t="n"/>
      <c r="T3531" s="19" t="n"/>
      <c r="U3531" s="19" t="n"/>
      <c r="V3531" s="19" t="n"/>
      <c r="W3531" s="19" t="n"/>
      <c r="X3531" s="19" t="n"/>
      <c r="Y3531" s="19" t="n">
        <v>1</v>
      </c>
      <c r="Z3531" s="13">
        <f>SUMPRODUCT(N3531:Y3531,$N$2:$Y$2)*$K3531*$L3531*$M3531</f>
        <v/>
      </c>
      <c r="AA3531" s="14">
        <f>SUM(N3531:Y3531)</f>
        <v/>
      </c>
      <c r="AB3531" s="13">
        <f>SUMPRODUCT(N3531:Y3531,$N$3:$Y$3)*$K3531*$L3531*$M3531</f>
        <v/>
      </c>
      <c r="AC3531" s="13">
        <f>SUMPRODUCT(N3531:Y3531,$N$4:$Y$4)*$K3531*$L3531*$M3531</f>
        <v/>
      </c>
      <c r="AD3531" s="15" t="n">
        <v>3</v>
      </c>
      <c r="AE3531" s="11" t="n">
        <v>1.011296296296296</v>
      </c>
      <c r="AF3531" s="16">
        <f>SUMPRODUCT(N3531:Y3531,$N$5:$Y$5)*$K3531*$L3531*$M3531</f>
        <v/>
      </c>
      <c r="AG3531" s="16">
        <f>SUMPRODUCT(N3531:Y3531,$N$6:$Y$6)*$K3531*$L3531*$M3531</f>
        <v/>
      </c>
      <c r="AH3531" s="20" t="n"/>
    </row>
    <row r="3532">
      <c r="A3532" s="9" t="n">
        <v>808825</v>
      </c>
      <c r="B3532" s="9" t="inlineStr">
        <is>
          <t>Andrew Sears</t>
        </is>
      </c>
      <c r="C3532" s="9" t="inlineStr">
        <is>
          <t>DET</t>
        </is>
      </c>
      <c r="D3532" s="9" t="n">
        <v>24</v>
      </c>
      <c r="E3532" s="18" t="inlineStr">
        <is>
          <t>L</t>
        </is>
      </c>
      <c r="F3532" s="18" t="n"/>
      <c r="G3532" s="9" t="n">
        <v>92</v>
      </c>
      <c r="H3532" s="9" t="n">
        <v>92</v>
      </c>
      <c r="I3532" s="9" t="inlineStr">
        <is>
          <t>Bullpen Depth Arm</t>
        </is>
      </c>
      <c r="J3532" s="18" t="inlineStr">
        <is>
          <t>Opening Day</t>
        </is>
      </c>
      <c r="K3532" s="11">
        <f>IFERROR(INDEX(Roles!$B$17:$B$20,MATCH(J3532,Roles!$A$17:$A$20,0)),1)</f>
        <v/>
      </c>
      <c r="L3532" s="19" t="n">
        <v>1</v>
      </c>
      <c r="M3532" s="11" t="n">
        <v>1</v>
      </c>
      <c r="N3532" s="19" t="n"/>
      <c r="O3532" s="19" t="n"/>
      <c r="P3532" s="19" t="n"/>
      <c r="Q3532" s="19" t="n"/>
      <c r="R3532" s="19" t="n"/>
      <c r="S3532" s="19" t="n"/>
      <c r="T3532" s="19" t="n"/>
      <c r="U3532" s="19" t="n"/>
      <c r="V3532" s="19" t="n"/>
      <c r="W3532" s="19" t="n">
        <v>1</v>
      </c>
      <c r="X3532" s="19" t="n"/>
      <c r="Y3532" s="19" t="n"/>
      <c r="Z3532" s="13">
        <f>SUMPRODUCT(N3532:Y3532,$N$2:$Y$2)*$K3532*$L3532*$M3532</f>
        <v/>
      </c>
      <c r="AA3532" s="14">
        <f>SUM(N3532:Y3532)</f>
        <v/>
      </c>
      <c r="AB3532" s="13">
        <f>SUMPRODUCT(N3532:Y3532,$N$3:$Y$3)*$K3532*$L3532*$M3532</f>
        <v/>
      </c>
      <c r="AC3532" s="13">
        <f>SUMPRODUCT(N3532:Y3532,$N$4:$Y$4)*$K3532*$L3532*$M3532</f>
        <v/>
      </c>
      <c r="AD3532" s="15" t="n">
        <v>9.266666666666666</v>
      </c>
      <c r="AE3532" s="11" t="n">
        <v>1.857062690396024</v>
      </c>
      <c r="AF3532" s="16">
        <f>SUMPRODUCT(N3532:Y3532,$N$5:$Y$5)*$K3532*$L3532*$M3532</f>
        <v/>
      </c>
      <c r="AG3532" s="16">
        <f>SUMPRODUCT(N3532:Y3532,$N$6:$Y$6)*$K3532*$L3532*$M3532</f>
        <v/>
      </c>
      <c r="AH3532" s="20" t="n"/>
    </row>
    <row r="3533">
      <c r="A3533" s="9" t="n">
        <v>668834</v>
      </c>
      <c r="B3533" s="9" t="inlineStr">
        <is>
          <t>Easton McGee</t>
        </is>
      </c>
      <c r="C3533" s="9" t="inlineStr">
        <is>
          <t>KC</t>
        </is>
      </c>
      <c r="D3533" s="9" t="n">
        <v>29</v>
      </c>
      <c r="E3533" s="18" t="inlineStr">
        <is>
          <t>R</t>
        </is>
      </c>
      <c r="F3533" s="18" t="n"/>
      <c r="G3533" s="9" t="n">
        <v>52</v>
      </c>
      <c r="H3533" s="9" t="n">
        <v>150</v>
      </c>
      <c r="I3533" s="9" t="inlineStr">
        <is>
          <t>Bullpen Depth Arm</t>
        </is>
      </c>
      <c r="J3533" s="18" t="inlineStr">
        <is>
          <t>Opening Day</t>
        </is>
      </c>
      <c r="K3533" s="11">
        <f>IFERROR(INDEX(Roles!$B$17:$B$20,MATCH(J3533,Roles!$A$17:$A$20,0)),1)</f>
        <v/>
      </c>
      <c r="L3533" s="19" t="n">
        <v>1</v>
      </c>
      <c r="M3533" s="11" t="n">
        <v>1</v>
      </c>
      <c r="N3533" s="19" t="n"/>
      <c r="O3533" s="19" t="n"/>
      <c r="P3533" s="19" t="n"/>
      <c r="Q3533" s="19" t="n"/>
      <c r="R3533" s="19" t="n"/>
      <c r="S3533" s="19" t="n"/>
      <c r="T3533" s="19" t="n"/>
      <c r="U3533" s="19" t="n"/>
      <c r="V3533" s="19" t="n"/>
      <c r="W3533" s="19" t="n">
        <v>1</v>
      </c>
      <c r="X3533" s="19" t="n"/>
      <c r="Y3533" s="19" t="n"/>
      <c r="Z3533" s="13">
        <f>SUMPRODUCT(N3533:Y3533,$N$2:$Y$2)*$K3533*$L3533*$M3533</f>
        <v/>
      </c>
      <c r="AA3533" s="14">
        <f>SUM(N3533:Y3533)</f>
        <v/>
      </c>
      <c r="AB3533" s="13">
        <f>SUMPRODUCT(N3533:Y3533,$N$3:$Y$3)*$K3533*$L3533*$M3533</f>
        <v/>
      </c>
      <c r="AC3533" s="13">
        <f>SUMPRODUCT(N3533:Y3533,$N$4:$Y$4)*$K3533*$L3533*$M3533</f>
        <v/>
      </c>
      <c r="AD3533" s="15" t="n">
        <v>11.06666666666667</v>
      </c>
      <c r="AE3533" s="11" t="n">
        <v>1.270642937309604</v>
      </c>
      <c r="AF3533" s="16">
        <f>SUMPRODUCT(N3533:Y3533,$N$5:$Y$5)*$K3533*$L3533*$M3533</f>
        <v/>
      </c>
      <c r="AG3533" s="16">
        <f>SUMPRODUCT(N3533:Y3533,$N$6:$Y$6)*$K3533*$L3533*$M3533</f>
        <v/>
      </c>
      <c r="AH3533" s="20" t="n"/>
    </row>
    <row r="3534">
      <c r="A3534" s="9" t="n">
        <v>686753</v>
      </c>
      <c r="B3534" s="9" t="inlineStr">
        <is>
          <t>Drey Jameson</t>
        </is>
      </c>
      <c r="C3534" s="9" t="inlineStr">
        <is>
          <t>ARI</t>
        </is>
      </c>
      <c r="D3534" s="9" t="n">
        <v>29</v>
      </c>
      <c r="E3534" s="18" t="inlineStr">
        <is>
          <t>R</t>
        </is>
      </c>
      <c r="F3534" s="18" t="n"/>
      <c r="G3534" s="9" t="n">
        <v>86</v>
      </c>
      <c r="H3534" s="9" t="n">
        <v>371</v>
      </c>
      <c r="I3534" s="9" t="inlineStr">
        <is>
          <t>Bullpen Depth Arm</t>
        </is>
      </c>
      <c r="J3534" s="18" t="inlineStr">
        <is>
          <t>Opening Day</t>
        </is>
      </c>
      <c r="K3534" s="11">
        <f>IFERROR(INDEX(Roles!$B$17:$B$20,MATCH(J3534,Roles!$A$17:$A$20,0)),1)</f>
        <v/>
      </c>
      <c r="L3534" s="19" t="n">
        <v>1</v>
      </c>
      <c r="M3534" s="11" t="n">
        <v>1</v>
      </c>
      <c r="N3534" s="19" t="n"/>
      <c r="O3534" s="19" t="n"/>
      <c r="P3534" s="19" t="n"/>
      <c r="Q3534" s="19" t="n"/>
      <c r="R3534" s="19" t="n"/>
      <c r="S3534" s="19" t="n"/>
      <c r="T3534" s="19" t="n"/>
      <c r="U3534" s="19" t="n"/>
      <c r="V3534" s="19" t="n"/>
      <c r="W3534" s="19" t="n">
        <v>1</v>
      </c>
      <c r="X3534" s="19" t="n"/>
      <c r="Y3534" s="19" t="n"/>
      <c r="Z3534" s="13">
        <f>SUMPRODUCT(N3534:Y3534,$N$2:$Y$2)*$K3534*$L3534*$M3534</f>
        <v/>
      </c>
      <c r="AA3534" s="14">
        <f>SUM(N3534:Y3534)</f>
        <v/>
      </c>
      <c r="AB3534" s="13">
        <f>SUMPRODUCT(N3534:Y3534,$N$3:$Y$3)*$K3534*$L3534*$M3534</f>
        <v/>
      </c>
      <c r="AC3534" s="13">
        <f>SUMPRODUCT(N3534:Y3534,$N$4:$Y$4)*$K3534*$L3534*$M3534</f>
        <v/>
      </c>
      <c r="AD3534" s="15" t="n">
        <v>10.70666666666667</v>
      </c>
      <c r="AE3534" s="11" t="n">
        <v>1.309443642776976</v>
      </c>
      <c r="AF3534" s="16">
        <f>SUMPRODUCT(N3534:Y3534,$N$5:$Y$5)*$K3534*$L3534*$M3534</f>
        <v/>
      </c>
      <c r="AG3534" s="16">
        <f>SUMPRODUCT(N3534:Y3534,$N$6:$Y$6)*$K3534*$L3534*$M3534</f>
        <v/>
      </c>
      <c r="AH3534" s="20" t="n"/>
    </row>
    <row r="3535">
      <c r="A3535" s="9" t="n">
        <v>666721</v>
      </c>
      <c r="B3535" s="9" t="inlineStr">
        <is>
          <t>Max Castillo</t>
        </is>
      </c>
      <c r="C3535" s="9" t="inlineStr">
        <is>
          <t>KC</t>
        </is>
      </c>
      <c r="D3535" s="9" t="n">
        <v>28</v>
      </c>
      <c r="E3535" s="18" t="inlineStr">
        <is>
          <t>R</t>
        </is>
      </c>
      <c r="F3535" s="18" t="n"/>
      <c r="G3535" s="9" t="n">
        <v>89</v>
      </c>
      <c r="H3535" s="9" t="n">
        <v>259</v>
      </c>
      <c r="I3535" s="9" t="inlineStr">
        <is>
          <t>Depth (no MLB IP)</t>
        </is>
      </c>
      <c r="J3535" s="18" t="inlineStr">
        <is>
          <t>Opening Day</t>
        </is>
      </c>
      <c r="K3535" s="11">
        <f>IFERROR(INDEX(Roles!$B$17:$B$20,MATCH(J3535,Roles!$A$17:$A$20,0)),1)</f>
        <v/>
      </c>
      <c r="L3535" s="19" t="n">
        <v>1</v>
      </c>
      <c r="M3535" s="11" t="n">
        <v>1</v>
      </c>
      <c r="N3535" s="19" t="n"/>
      <c r="O3535" s="19" t="n"/>
      <c r="P3535" s="19" t="n"/>
      <c r="Q3535" s="19" t="n"/>
      <c r="R3535" s="19" t="n"/>
      <c r="S3535" s="19" t="n"/>
      <c r="T3535" s="19" t="n"/>
      <c r="U3535" s="19" t="n"/>
      <c r="V3535" s="19" t="n"/>
      <c r="W3535" s="19" t="n"/>
      <c r="X3535" s="19" t="n"/>
      <c r="Y3535" s="19" t="n">
        <v>1</v>
      </c>
      <c r="Z3535" s="13">
        <f>SUMPRODUCT(N3535:Y3535,$N$2:$Y$2)*$K3535*$L3535*$M3535</f>
        <v/>
      </c>
      <c r="AA3535" s="14">
        <f>SUM(N3535:Y3535)</f>
        <v/>
      </c>
      <c r="AB3535" s="13">
        <f>SUMPRODUCT(N3535:Y3535,$N$3:$Y$3)*$K3535*$L3535*$M3535</f>
        <v/>
      </c>
      <c r="AC3535" s="13">
        <f>SUMPRODUCT(N3535:Y3535,$N$4:$Y$4)*$K3535*$L3535*$M3535</f>
        <v/>
      </c>
      <c r="AD3535" s="15" t="n">
        <v>3</v>
      </c>
      <c r="AE3535" s="11" t="n">
        <v>1.011296296296296</v>
      </c>
      <c r="AF3535" s="16">
        <f>SUMPRODUCT(N3535:Y3535,$N$5:$Y$5)*$K3535*$L3535*$M3535</f>
        <v/>
      </c>
      <c r="AG3535" s="16">
        <f>SUMPRODUCT(N3535:Y3535,$N$6:$Y$6)*$K3535*$L3535*$M3535</f>
        <v/>
      </c>
      <c r="AH3535" s="20" t="n"/>
    </row>
    <row r="3536">
      <c r="A3536" s="9" t="n">
        <v>543101</v>
      </c>
      <c r="B3536" s="9" t="inlineStr">
        <is>
          <t>Anthony DeSclafani</t>
        </is>
      </c>
      <c r="C3536" s="9" t="inlineStr">
        <is>
          <t>ARI</t>
        </is>
      </c>
      <c r="D3536" s="9" t="n">
        <v>37</v>
      </c>
      <c r="E3536" s="18" t="inlineStr">
        <is>
          <t>R</t>
        </is>
      </c>
      <c r="F3536" s="18" t="n"/>
      <c r="G3536" s="9" t="n">
        <v>169</v>
      </c>
      <c r="H3536" s="9" t="n">
        <v>682</v>
      </c>
      <c r="I3536" s="9" t="inlineStr">
        <is>
          <t>Bullpen Depth Arm</t>
        </is>
      </c>
      <c r="J3536" s="18" t="inlineStr">
        <is>
          <t>Opening Day</t>
        </is>
      </c>
      <c r="K3536" s="11">
        <f>IFERROR(INDEX(Roles!$B$17:$B$20,MATCH(J3536,Roles!$A$17:$A$20,0)),1)</f>
        <v/>
      </c>
      <c r="L3536" s="19" t="n">
        <v>1</v>
      </c>
      <c r="M3536" s="11" t="n">
        <v>1</v>
      </c>
      <c r="N3536" s="19" t="n"/>
      <c r="O3536" s="19" t="n"/>
      <c r="P3536" s="19" t="n"/>
      <c r="Q3536" s="19" t="n"/>
      <c r="R3536" s="19" t="n"/>
      <c r="S3536" s="19" t="n"/>
      <c r="T3536" s="19" t="n"/>
      <c r="U3536" s="19" t="n"/>
      <c r="V3536" s="19" t="n"/>
      <c r="W3536" s="19" t="n">
        <v>1</v>
      </c>
      <c r="X3536" s="19" t="n"/>
      <c r="Y3536" s="19" t="n"/>
      <c r="Z3536" s="13">
        <f>SUMPRODUCT(N3536:Y3536,$N$2:$Y$2)*$K3536*$L3536*$M3536</f>
        <v/>
      </c>
      <c r="AA3536" s="14">
        <f>SUM(N3536:Y3536)</f>
        <v/>
      </c>
      <c r="AB3536" s="13">
        <f>SUMPRODUCT(N3536:Y3536,$N$3:$Y$3)*$K3536*$L3536*$M3536</f>
        <v/>
      </c>
      <c r="AC3536" s="13">
        <f>SUMPRODUCT(N3536:Y3536,$N$4:$Y$4)*$K3536*$L3536*$M3536</f>
        <v/>
      </c>
      <c r="AD3536" s="15" t="n">
        <v>13.46666666666666</v>
      </c>
      <c r="AE3536" s="11" t="n">
        <v>1.792960126293459</v>
      </c>
      <c r="AF3536" s="16">
        <f>SUMPRODUCT(N3536:Y3536,$N$5:$Y$5)*$K3536*$L3536*$M3536</f>
        <v/>
      </c>
      <c r="AG3536" s="16">
        <f>SUMPRODUCT(N3536:Y3536,$N$6:$Y$6)*$K3536*$L3536*$M3536</f>
        <v/>
      </c>
      <c r="AH3536" s="20" t="n"/>
    </row>
    <row r="3537">
      <c r="A3537" s="9" t="n">
        <v>689379</v>
      </c>
      <c r="B3537" s="9" t="inlineStr">
        <is>
          <t>Aidan Anderson</t>
        </is>
      </c>
      <c r="C3537" s="9" t="inlineStr">
        <is>
          <t>CWS</t>
        </is>
      </c>
      <c r="D3537" s="9" t="n">
        <v>25</v>
      </c>
      <c r="E3537" s="18" t="inlineStr">
        <is>
          <t>R</t>
        </is>
      </c>
      <c r="F3537" s="18" t="n"/>
      <c r="G3537" s="9" t="n">
        <v>114.3083333333334</v>
      </c>
      <c r="H3537" s="9" t="n">
        <v>114.3083333333334</v>
      </c>
      <c r="I3537" s="9" t="inlineStr">
        <is>
          <t>Depth (no MLB IP)</t>
        </is>
      </c>
      <c r="J3537" s="18" t="inlineStr">
        <is>
          <t>Opening Day</t>
        </is>
      </c>
      <c r="K3537" s="11">
        <f>IFERROR(INDEX(Roles!$B$17:$B$20,MATCH(J3537,Roles!$A$17:$A$20,0)),1)</f>
        <v/>
      </c>
      <c r="L3537" s="19" t="n">
        <v>1</v>
      </c>
      <c r="M3537" s="11" t="n">
        <v>1</v>
      </c>
      <c r="N3537" s="19" t="n"/>
      <c r="O3537" s="19" t="n"/>
      <c r="P3537" s="19" t="n"/>
      <c r="Q3537" s="19" t="n"/>
      <c r="R3537" s="19" t="n"/>
      <c r="S3537" s="19" t="n"/>
      <c r="T3537" s="19" t="n"/>
      <c r="U3537" s="19" t="n"/>
      <c r="V3537" s="19" t="n"/>
      <c r="W3537" s="19" t="n"/>
      <c r="X3537" s="19" t="n"/>
      <c r="Y3537" s="19" t="n">
        <v>1</v>
      </c>
      <c r="Z3537" s="13">
        <f>SUMPRODUCT(N3537:Y3537,$N$2:$Y$2)*$K3537*$L3537*$M3537</f>
        <v/>
      </c>
      <c r="AA3537" s="14">
        <f>SUM(N3537:Y3537)</f>
        <v/>
      </c>
      <c r="AB3537" s="13">
        <f>SUMPRODUCT(N3537:Y3537,$N$3:$Y$3)*$K3537*$L3537*$M3537</f>
        <v/>
      </c>
      <c r="AC3537" s="13">
        <f>SUMPRODUCT(N3537:Y3537,$N$4:$Y$4)*$K3537*$L3537*$M3537</f>
        <v/>
      </c>
      <c r="AD3537" s="15" t="n">
        <v>3</v>
      </c>
      <c r="AE3537" s="11" t="n">
        <v>1.011296296296296</v>
      </c>
      <c r="AF3537" s="16">
        <f>SUMPRODUCT(N3537:Y3537,$N$5:$Y$5)*$K3537*$L3537*$M3537</f>
        <v/>
      </c>
      <c r="AG3537" s="16">
        <f>SUMPRODUCT(N3537:Y3537,$N$6:$Y$6)*$K3537*$L3537*$M3537</f>
        <v/>
      </c>
      <c r="AH3537" s="20" t="n"/>
    </row>
    <row r="3538">
      <c r="A3538" s="9" t="n">
        <v>668964</v>
      </c>
      <c r="B3538" s="9" t="inlineStr">
        <is>
          <t>Tobias Myers</t>
        </is>
      </c>
      <c r="C3538" s="9" t="inlineStr">
        <is>
          <t>NYM</t>
        </is>
      </c>
      <c r="D3538" s="9" t="n">
        <v>28</v>
      </c>
      <c r="E3538" s="18" t="inlineStr">
        <is>
          <t>R</t>
        </is>
      </c>
      <c r="F3538" s="18" t="n"/>
      <c r="G3538" s="9" t="n">
        <v>230</v>
      </c>
      <c r="H3538" s="9" t="n">
        <v>1019</v>
      </c>
      <c r="I3538" s="9" t="inlineStr">
        <is>
          <t>Swing Arm / Long Relief</t>
        </is>
      </c>
      <c r="J3538" s="18" t="inlineStr">
        <is>
          <t>Opening Day</t>
        </is>
      </c>
      <c r="K3538" s="11">
        <f>IFERROR(INDEX(Roles!$B$17:$B$20,MATCH(J3538,Roles!$A$17:$A$20,0)),1)</f>
        <v/>
      </c>
      <c r="L3538" s="19" t="n">
        <v>1</v>
      </c>
      <c r="M3538" s="11" t="n">
        <v>1</v>
      </c>
      <c r="N3538" s="19" t="n"/>
      <c r="O3538" s="19" t="n"/>
      <c r="P3538" s="19" t="n"/>
      <c r="Q3538" s="19" t="n"/>
      <c r="R3538" s="19" t="n">
        <v>0.6</v>
      </c>
      <c r="S3538" s="19" t="n"/>
      <c r="T3538" s="19" t="n"/>
      <c r="U3538" s="19" t="n"/>
      <c r="V3538" s="19" t="n"/>
      <c r="W3538" s="19" t="n">
        <v>0.4</v>
      </c>
      <c r="X3538" s="19" t="n"/>
      <c r="Y3538" s="19" t="n"/>
      <c r="Z3538" s="13">
        <f>SUMPRODUCT(N3538:Y3538,$N$2:$Y$2)*$K3538*$L3538*$M3538</f>
        <v/>
      </c>
      <c r="AA3538" s="14">
        <f>SUM(N3538:Y3538)</f>
        <v/>
      </c>
      <c r="AB3538" s="13">
        <f>SUMPRODUCT(N3538:Y3538,$N$3:$Y$3)*$K3538*$L3538*$M3538</f>
        <v/>
      </c>
      <c r="AC3538" s="13">
        <f>SUMPRODUCT(N3538:Y3538,$N$4:$Y$4)*$K3538*$L3538*$M3538</f>
        <v/>
      </c>
      <c r="AD3538" s="15" t="n">
        <v>24.83333333333333</v>
      </c>
      <c r="AE3538" s="11" t="n">
        <v>2.467556689898891</v>
      </c>
      <c r="AF3538" s="16">
        <f>SUMPRODUCT(N3538:Y3538,$N$5:$Y$5)*$K3538*$L3538*$M3538</f>
        <v/>
      </c>
      <c r="AG3538" s="16">
        <f>SUMPRODUCT(N3538:Y3538,$N$6:$Y$6)*$K3538*$L3538*$M3538</f>
        <v/>
      </c>
      <c r="AH3538" s="20" t="n"/>
    </row>
    <row r="3539">
      <c r="A3539" s="9" t="n">
        <v>685377</v>
      </c>
      <c r="B3539" s="9" t="inlineStr">
        <is>
          <t>Misael Tamarez</t>
        </is>
      </c>
      <c r="C3539" s="9" t="inlineStr">
        <is>
          <t>SD</t>
        </is>
      </c>
      <c r="D3539" s="9" t="n">
        <v>25</v>
      </c>
      <c r="E3539" s="18" t="inlineStr">
        <is>
          <t>R</t>
        </is>
      </c>
      <c r="F3539" s="18" t="n"/>
      <c r="G3539" s="9" t="n">
        <v>114.3083333333334</v>
      </c>
      <c r="H3539" s="9" t="n">
        <v>114.3083333333334</v>
      </c>
      <c r="I3539" s="9" t="inlineStr">
        <is>
          <t>Depth (no MLB IP)</t>
        </is>
      </c>
      <c r="J3539" s="18" t="inlineStr">
        <is>
          <t>Opening Day</t>
        </is>
      </c>
      <c r="K3539" s="11">
        <f>IFERROR(INDEX(Roles!$B$17:$B$20,MATCH(J3539,Roles!$A$17:$A$20,0)),1)</f>
        <v/>
      </c>
      <c r="L3539" s="19" t="n">
        <v>1</v>
      </c>
      <c r="M3539" s="11" t="n">
        <v>1</v>
      </c>
      <c r="N3539" s="19" t="n"/>
      <c r="O3539" s="19" t="n"/>
      <c r="P3539" s="19" t="n"/>
      <c r="Q3539" s="19" t="n"/>
      <c r="R3539" s="19" t="n"/>
      <c r="S3539" s="19" t="n"/>
      <c r="T3539" s="19" t="n"/>
      <c r="U3539" s="19" t="n"/>
      <c r="V3539" s="19" t="n"/>
      <c r="W3539" s="19" t="n"/>
      <c r="X3539" s="19" t="n"/>
      <c r="Y3539" s="19" t="n">
        <v>1</v>
      </c>
      <c r="Z3539" s="13">
        <f>SUMPRODUCT(N3539:Y3539,$N$2:$Y$2)*$K3539*$L3539*$M3539</f>
        <v/>
      </c>
      <c r="AA3539" s="14">
        <f>SUM(N3539:Y3539)</f>
        <v/>
      </c>
      <c r="AB3539" s="13">
        <f>SUMPRODUCT(N3539:Y3539,$N$3:$Y$3)*$K3539*$L3539*$M3539</f>
        <v/>
      </c>
      <c r="AC3539" s="13">
        <f>SUMPRODUCT(N3539:Y3539,$N$4:$Y$4)*$K3539*$L3539*$M3539</f>
        <v/>
      </c>
      <c r="AD3539" s="15" t="n">
        <v>3</v>
      </c>
      <c r="AE3539" s="11" t="n">
        <v>1.011296296296296</v>
      </c>
      <c r="AF3539" s="16">
        <f>SUMPRODUCT(N3539:Y3539,$N$5:$Y$5)*$K3539*$L3539*$M3539</f>
        <v/>
      </c>
      <c r="AG3539" s="16">
        <f>SUMPRODUCT(N3539:Y3539,$N$6:$Y$6)*$K3539*$L3539*$M3539</f>
        <v/>
      </c>
      <c r="AH3539" s="20" t="n"/>
    </row>
    <row r="3540">
      <c r="A3540" s="9" t="n">
        <v>641386</v>
      </c>
      <c r="B3540" s="9" t="inlineStr">
        <is>
          <t>Ben Bowden</t>
        </is>
      </c>
      <c r="C3540" s="9" t="inlineStr">
        <is>
          <t>OAK</t>
        </is>
      </c>
      <c r="D3540" s="9" t="n">
        <v>32</v>
      </c>
      <c r="E3540" s="18" t="inlineStr">
        <is>
          <t>L</t>
        </is>
      </c>
      <c r="F3540" s="18" t="n"/>
      <c r="G3540" s="9" t="n">
        <v>8</v>
      </c>
      <c r="H3540" s="9" t="n">
        <v>55</v>
      </c>
      <c r="I3540" s="9" t="inlineStr">
        <is>
          <t>Bullpen Depth Arm</t>
        </is>
      </c>
      <c r="J3540" s="18" t="inlineStr">
        <is>
          <t>Opening Day</t>
        </is>
      </c>
      <c r="K3540" s="11">
        <f>IFERROR(INDEX(Roles!$B$17:$B$20,MATCH(J3540,Roles!$A$17:$A$20,0)),1)</f>
        <v/>
      </c>
      <c r="L3540" s="19" t="n">
        <v>1</v>
      </c>
      <c r="M3540" s="11" t="n">
        <v>1</v>
      </c>
      <c r="N3540" s="19" t="n"/>
      <c r="O3540" s="19" t="n"/>
      <c r="P3540" s="19" t="n"/>
      <c r="Q3540" s="19" t="n"/>
      <c r="R3540" s="19" t="n"/>
      <c r="S3540" s="19" t="n"/>
      <c r="T3540" s="19" t="n"/>
      <c r="U3540" s="19" t="n"/>
      <c r="V3540" s="19" t="n"/>
      <c r="W3540" s="19" t="n">
        <v>1</v>
      </c>
      <c r="X3540" s="19" t="n"/>
      <c r="Y3540" s="19" t="n"/>
      <c r="Z3540" s="13">
        <f>SUMPRODUCT(N3540:Y3540,$N$2:$Y$2)*$K3540*$L3540*$M3540</f>
        <v/>
      </c>
      <c r="AA3540" s="14">
        <f>SUM(N3540:Y3540)</f>
        <v/>
      </c>
      <c r="AB3540" s="13">
        <f>SUMPRODUCT(N3540:Y3540,$N$3:$Y$3)*$K3540*$L3540*$M3540</f>
        <v/>
      </c>
      <c r="AC3540" s="13">
        <f>SUMPRODUCT(N3540:Y3540,$N$4:$Y$4)*$K3540*$L3540*$M3540</f>
        <v/>
      </c>
      <c r="AD3540" s="15" t="n">
        <v>8.666666666666666</v>
      </c>
      <c r="AE3540" s="11" t="n">
        <v>1.125951579284913</v>
      </c>
      <c r="AF3540" s="16">
        <f>SUMPRODUCT(N3540:Y3540,$N$5:$Y$5)*$K3540*$L3540*$M3540</f>
        <v/>
      </c>
      <c r="AG3540" s="16">
        <f>SUMPRODUCT(N3540:Y3540,$N$6:$Y$6)*$K3540*$L3540*$M3540</f>
        <v/>
      </c>
      <c r="AH3540" s="20" t="n"/>
    </row>
    <row r="3541">
      <c r="A3541" s="9" t="n">
        <v>666120</v>
      </c>
      <c r="B3541" s="9" t="inlineStr">
        <is>
          <t>Ian Anderson</t>
        </is>
      </c>
      <c r="C3541" s="9" t="inlineStr">
        <is>
          <t>LAA</t>
        </is>
      </c>
      <c r="D3541" s="9" t="n">
        <v>29</v>
      </c>
      <c r="E3541" s="18" t="inlineStr">
        <is>
          <t>R</t>
        </is>
      </c>
      <c r="F3541" s="18" t="n"/>
      <c r="G3541" s="9" t="n">
        <v>51</v>
      </c>
      <c r="H3541" s="9" t="n">
        <v>544</v>
      </c>
      <c r="I3541" s="9" t="inlineStr">
        <is>
          <t>Bullpen Depth Arm</t>
        </is>
      </c>
      <c r="J3541" s="18" t="inlineStr">
        <is>
          <t>Opening Day</t>
        </is>
      </c>
      <c r="K3541" s="11">
        <f>IFERROR(INDEX(Roles!$B$17:$B$20,MATCH(J3541,Roles!$A$17:$A$20,0)),1)</f>
        <v/>
      </c>
      <c r="L3541" s="19" t="n">
        <v>1</v>
      </c>
      <c r="M3541" s="11" t="n">
        <v>1</v>
      </c>
      <c r="N3541" s="19" t="n"/>
      <c r="O3541" s="19" t="n"/>
      <c r="P3541" s="19" t="n"/>
      <c r="Q3541" s="19" t="n"/>
      <c r="R3541" s="19" t="n"/>
      <c r="S3541" s="19" t="n"/>
      <c r="T3541" s="19" t="n"/>
      <c r="U3541" s="19" t="n"/>
      <c r="V3541" s="19" t="n"/>
      <c r="W3541" s="19" t="n">
        <v>1</v>
      </c>
      <c r="X3541" s="19" t="n"/>
      <c r="Y3541" s="19" t="n"/>
      <c r="Z3541" s="13">
        <f>SUMPRODUCT(N3541:Y3541,$N$2:$Y$2)*$K3541*$L3541*$M3541</f>
        <v/>
      </c>
      <c r="AA3541" s="14">
        <f>SUM(N3541:Y3541)</f>
        <v/>
      </c>
      <c r="AB3541" s="13">
        <f>SUMPRODUCT(N3541:Y3541,$N$3:$Y$3)*$K3541*$L3541*$M3541</f>
        <v/>
      </c>
      <c r="AC3541" s="13">
        <f>SUMPRODUCT(N3541:Y3541,$N$4:$Y$4)*$K3541*$L3541*$M3541</f>
        <v/>
      </c>
      <c r="AD3541" s="15" t="n">
        <v>9.866666666666664</v>
      </c>
      <c r="AE3541" s="11" t="n">
        <v>1.245951579284912</v>
      </c>
      <c r="AF3541" s="16">
        <f>SUMPRODUCT(N3541:Y3541,$N$5:$Y$5)*$K3541*$L3541*$M3541</f>
        <v/>
      </c>
      <c r="AG3541" s="16">
        <f>SUMPRODUCT(N3541:Y3541,$N$6:$Y$6)*$K3541*$L3541*$M3541</f>
        <v/>
      </c>
      <c r="AH3541" s="20" t="n"/>
    </row>
    <row r="3542">
      <c r="A3542" s="9" t="n">
        <v>687226</v>
      </c>
      <c r="B3542" s="9" t="inlineStr">
        <is>
          <t>Chris McElvain</t>
        </is>
      </c>
      <c r="C3542" s="9" t="inlineStr">
        <is>
          <t>TOR</t>
        </is>
      </c>
      <c r="D3542" s="9" t="n">
        <v>25</v>
      </c>
      <c r="E3542" s="18" t="inlineStr">
        <is>
          <t>R</t>
        </is>
      </c>
      <c r="F3542" s="18" t="n"/>
      <c r="G3542" s="9" t="n">
        <v>114.8816666666666</v>
      </c>
      <c r="H3542" s="9" t="n">
        <v>114.8816666666666</v>
      </c>
      <c r="I3542" s="9" t="inlineStr">
        <is>
          <t>Depth (no MLB IP)</t>
        </is>
      </c>
      <c r="J3542" s="18" t="inlineStr">
        <is>
          <t>Opening Day</t>
        </is>
      </c>
      <c r="K3542" s="11">
        <f>IFERROR(INDEX(Roles!$B$17:$B$20,MATCH(J3542,Roles!$A$17:$A$20,0)),1)</f>
        <v/>
      </c>
      <c r="L3542" s="19" t="n">
        <v>1</v>
      </c>
      <c r="M3542" s="11" t="n">
        <v>1</v>
      </c>
      <c r="N3542" s="19" t="n"/>
      <c r="O3542" s="19" t="n"/>
      <c r="P3542" s="19" t="n"/>
      <c r="Q3542" s="19" t="n"/>
      <c r="R3542" s="19" t="n"/>
      <c r="S3542" s="19" t="n"/>
      <c r="T3542" s="19" t="n"/>
      <c r="U3542" s="19" t="n"/>
      <c r="V3542" s="19" t="n"/>
      <c r="W3542" s="19" t="n"/>
      <c r="X3542" s="19" t="n"/>
      <c r="Y3542" s="19" t="n">
        <v>1</v>
      </c>
      <c r="Z3542" s="13">
        <f>SUMPRODUCT(N3542:Y3542,$N$2:$Y$2)*$K3542*$L3542*$M3542</f>
        <v/>
      </c>
      <c r="AA3542" s="14">
        <f>SUM(N3542:Y3542)</f>
        <v/>
      </c>
      <c r="AB3542" s="13">
        <f>SUMPRODUCT(N3542:Y3542,$N$3:$Y$3)*$K3542*$L3542*$M3542</f>
        <v/>
      </c>
      <c r="AC3542" s="13">
        <f>SUMPRODUCT(N3542:Y3542,$N$4:$Y$4)*$K3542*$L3542*$M3542</f>
        <v/>
      </c>
      <c r="AD3542" s="15" t="n">
        <v>3</v>
      </c>
      <c r="AE3542" s="11" t="n">
        <v>1.011296296296296</v>
      </c>
      <c r="AF3542" s="16">
        <f>SUMPRODUCT(N3542:Y3542,$N$5:$Y$5)*$K3542*$L3542*$M3542</f>
        <v/>
      </c>
      <c r="AG3542" s="16">
        <f>SUMPRODUCT(N3542:Y3542,$N$6:$Y$6)*$K3542*$L3542*$M3542</f>
        <v/>
      </c>
      <c r="AH3542" s="20" t="n"/>
    </row>
    <row r="3543">
      <c r="A3543" s="9" t="n">
        <v>682240</v>
      </c>
      <c r="B3543" s="9" t="inlineStr">
        <is>
          <t>Stephen Jones</t>
        </is>
      </c>
      <c r="C3543" s="9" t="inlineStr">
        <is>
          <t>MIA</t>
        </is>
      </c>
      <c r="D3543" s="9" t="n">
        <v>25</v>
      </c>
      <c r="E3543" s="18" t="inlineStr">
        <is>
          <t>R</t>
        </is>
      </c>
      <c r="F3543" s="18" t="n"/>
      <c r="G3543" s="9" t="n">
        <v>115.0966666666667</v>
      </c>
      <c r="H3543" s="9" t="n">
        <v>115.0966666666667</v>
      </c>
      <c r="I3543" s="9" t="inlineStr">
        <is>
          <t>Depth (no MLB IP)</t>
        </is>
      </c>
      <c r="J3543" s="18" t="inlineStr">
        <is>
          <t>Opening Day</t>
        </is>
      </c>
      <c r="K3543" s="11">
        <f>IFERROR(INDEX(Roles!$B$17:$B$20,MATCH(J3543,Roles!$A$17:$A$20,0)),1)</f>
        <v/>
      </c>
      <c r="L3543" s="19" t="n">
        <v>1</v>
      </c>
      <c r="M3543" s="11" t="n">
        <v>1</v>
      </c>
      <c r="N3543" s="19" t="n"/>
      <c r="O3543" s="19" t="n"/>
      <c r="P3543" s="19" t="n"/>
      <c r="Q3543" s="19" t="n"/>
      <c r="R3543" s="19" t="n"/>
      <c r="S3543" s="19" t="n"/>
      <c r="T3543" s="19" t="n"/>
      <c r="U3543" s="19" t="n"/>
      <c r="V3543" s="19" t="n"/>
      <c r="W3543" s="19" t="n"/>
      <c r="X3543" s="19" t="n"/>
      <c r="Y3543" s="19" t="n">
        <v>1</v>
      </c>
      <c r="Z3543" s="13">
        <f>SUMPRODUCT(N3543:Y3543,$N$2:$Y$2)*$K3543*$L3543*$M3543</f>
        <v/>
      </c>
      <c r="AA3543" s="14">
        <f>SUM(N3543:Y3543)</f>
        <v/>
      </c>
      <c r="AB3543" s="13">
        <f>SUMPRODUCT(N3543:Y3543,$N$3:$Y$3)*$K3543*$L3543*$M3543</f>
        <v/>
      </c>
      <c r="AC3543" s="13">
        <f>SUMPRODUCT(N3543:Y3543,$N$4:$Y$4)*$K3543*$L3543*$M3543</f>
        <v/>
      </c>
      <c r="AD3543" s="15" t="n">
        <v>3</v>
      </c>
      <c r="AE3543" s="11" t="n">
        <v>1.011296296296296</v>
      </c>
      <c r="AF3543" s="16">
        <f>SUMPRODUCT(N3543:Y3543,$N$5:$Y$5)*$K3543*$L3543*$M3543</f>
        <v/>
      </c>
      <c r="AG3543" s="16">
        <f>SUMPRODUCT(N3543:Y3543,$N$6:$Y$6)*$K3543*$L3543*$M3543</f>
        <v/>
      </c>
      <c r="AH3543" s="20" t="n"/>
    </row>
    <row r="3544">
      <c r="A3544" s="9" t="n">
        <v>663562</v>
      </c>
      <c r="B3544" s="9" t="inlineStr">
        <is>
          <t>Noah Davis</t>
        </is>
      </c>
      <c r="C3544" s="9" t="inlineStr">
        <is>
          <t>MIN</t>
        </is>
      </c>
      <c r="D3544" s="9" t="n">
        <v>30</v>
      </c>
      <c r="E3544" s="18" t="inlineStr">
        <is>
          <t>R</t>
        </is>
      </c>
      <c r="F3544" s="18" t="n"/>
      <c r="G3544" s="9" t="n">
        <v>65</v>
      </c>
      <c r="H3544" s="9" t="n">
        <v>314</v>
      </c>
      <c r="I3544" s="9" t="inlineStr">
        <is>
          <t>Bullpen Depth Arm</t>
        </is>
      </c>
      <c r="J3544" s="18" t="inlineStr">
        <is>
          <t>Opening Day</t>
        </is>
      </c>
      <c r="K3544" s="11">
        <f>IFERROR(INDEX(Roles!$B$17:$B$20,MATCH(J3544,Roles!$A$17:$A$20,0)),1)</f>
        <v/>
      </c>
      <c r="L3544" s="19" t="n">
        <v>1</v>
      </c>
      <c r="M3544" s="11" t="n">
        <v>1</v>
      </c>
      <c r="N3544" s="19" t="n"/>
      <c r="O3544" s="19" t="n"/>
      <c r="P3544" s="19" t="n"/>
      <c r="Q3544" s="19" t="n"/>
      <c r="R3544" s="19" t="n"/>
      <c r="S3544" s="19" t="n"/>
      <c r="T3544" s="19" t="n"/>
      <c r="U3544" s="19" t="n"/>
      <c r="V3544" s="19" t="n"/>
      <c r="W3544" s="19" t="n">
        <v>1</v>
      </c>
      <c r="X3544" s="19" t="n"/>
      <c r="Y3544" s="19" t="n"/>
      <c r="Z3544" s="13">
        <f>SUMPRODUCT(N3544:Y3544,$N$2:$Y$2)*$K3544*$L3544*$M3544</f>
        <v/>
      </c>
      <c r="AA3544" s="14">
        <f>SUM(N3544:Y3544)</f>
        <v/>
      </c>
      <c r="AB3544" s="13">
        <f>SUMPRODUCT(N3544:Y3544,$N$3:$Y$3)*$K3544*$L3544*$M3544</f>
        <v/>
      </c>
      <c r="AC3544" s="13">
        <f>SUMPRODUCT(N3544:Y3544,$N$4:$Y$4)*$K3544*$L3544*$M3544</f>
        <v/>
      </c>
      <c r="AD3544" s="15" t="n">
        <v>11.06666666666667</v>
      </c>
      <c r="AE3544" s="11" t="n">
        <v>1.324140879696435</v>
      </c>
      <c r="AF3544" s="16">
        <f>SUMPRODUCT(N3544:Y3544,$N$5:$Y$5)*$K3544*$L3544*$M3544</f>
        <v/>
      </c>
      <c r="AG3544" s="16">
        <f>SUMPRODUCT(N3544:Y3544,$N$6:$Y$6)*$K3544*$L3544*$M3544</f>
        <v/>
      </c>
      <c r="AH3544" s="20" t="n"/>
    </row>
    <row r="3545">
      <c r="A3545" s="9" t="n">
        <v>687239</v>
      </c>
      <c r="B3545" s="9" t="inlineStr">
        <is>
          <t>Ben Peoples</t>
        </is>
      </c>
      <c r="C3545" s="9" t="inlineStr">
        <is>
          <t>TEX</t>
        </is>
      </c>
      <c r="D3545" s="9" t="n">
        <v>26</v>
      </c>
      <c r="E3545" s="18" t="inlineStr">
        <is>
          <t>R</t>
        </is>
      </c>
      <c r="F3545" s="18" t="n"/>
      <c r="G3545" s="9" t="n">
        <v>68</v>
      </c>
      <c r="H3545" s="9" t="n">
        <v>68</v>
      </c>
      <c r="I3545" s="9" t="inlineStr">
        <is>
          <t>Middle Relief</t>
        </is>
      </c>
      <c r="J3545" s="18" t="inlineStr">
        <is>
          <t>Opening Day</t>
        </is>
      </c>
      <c r="K3545" s="11">
        <f>IFERROR(INDEX(Roles!$B$17:$B$20,MATCH(J3545,Roles!$A$17:$A$20,0)),1)</f>
        <v/>
      </c>
      <c r="L3545" s="19" t="n">
        <v>1</v>
      </c>
      <c r="M3545" s="11" t="n">
        <v>1</v>
      </c>
      <c r="N3545" s="19" t="n"/>
      <c r="O3545" s="19" t="n"/>
      <c r="P3545" s="19" t="n"/>
      <c r="Q3545" s="19" t="n"/>
      <c r="R3545" s="19" t="n"/>
      <c r="S3545" s="19" t="n"/>
      <c r="T3545" s="19" t="n"/>
      <c r="U3545" s="19" t="n"/>
      <c r="V3545" s="19" t="n">
        <v>0.8</v>
      </c>
      <c r="W3545" s="19" t="n">
        <v>0.2</v>
      </c>
      <c r="X3545" s="19" t="n"/>
      <c r="Y3545" s="19" t="n"/>
      <c r="Z3545" s="13">
        <f>SUMPRODUCT(N3545:Y3545,$N$2:$Y$2)*$K3545*$L3545*$M3545</f>
        <v/>
      </c>
      <c r="AA3545" s="14">
        <f>SUM(N3545:Y3545)</f>
        <v/>
      </c>
      <c r="AB3545" s="13">
        <f>SUMPRODUCT(N3545:Y3545,$N$3:$Y$3)*$K3545*$L3545*$M3545</f>
        <v/>
      </c>
      <c r="AC3545" s="13">
        <f>SUMPRODUCT(N3545:Y3545,$N$4:$Y$4)*$K3545*$L3545*$M3545</f>
        <v/>
      </c>
      <c r="AD3545" s="15" t="n">
        <v>24.33333333333333</v>
      </c>
      <c r="AE3545" s="11" t="n">
        <v>1.029421542553192</v>
      </c>
      <c r="AF3545" s="16">
        <f>SUMPRODUCT(N3545:Y3545,$N$5:$Y$5)*$K3545*$L3545*$M3545</f>
        <v/>
      </c>
      <c r="AG3545" s="16">
        <f>SUMPRODUCT(N3545:Y3545,$N$6:$Y$6)*$K3545*$L3545*$M3545</f>
        <v/>
      </c>
      <c r="AH3545" s="20" t="n"/>
    </row>
    <row r="3546">
      <c r="A3546" s="9" t="n">
        <v>660710</v>
      </c>
      <c r="B3546" s="9" t="inlineStr">
        <is>
          <t>Rodolfo Durán</t>
        </is>
      </c>
      <c r="C3546" s="9" t="inlineStr">
        <is>
          <t>SD</t>
        </is>
      </c>
      <c r="D3546" s="9" t="n">
        <v>29</v>
      </c>
      <c r="E3546" s="18" t="inlineStr">
        <is>
          <t>R</t>
        </is>
      </c>
      <c r="F3546" s="18" t="n"/>
      <c r="G3546" s="9" t="n">
        <v>19</v>
      </c>
      <c r="H3546" s="9" t="n">
        <v>19</v>
      </c>
      <c r="I3546" s="9" t="inlineStr">
        <is>
          <t>Depth (no MLB IP)</t>
        </is>
      </c>
      <c r="J3546" s="18" t="inlineStr">
        <is>
          <t>Opening Day</t>
        </is>
      </c>
      <c r="K3546" s="11">
        <f>IFERROR(INDEX(Roles!$B$17:$B$20,MATCH(J3546,Roles!$A$17:$A$20,0)),1)</f>
        <v/>
      </c>
      <c r="L3546" s="19" t="n">
        <v>1</v>
      </c>
      <c r="M3546" s="11" t="n">
        <v>1</v>
      </c>
      <c r="N3546" s="19" t="n"/>
      <c r="O3546" s="19" t="n"/>
      <c r="P3546" s="19" t="n"/>
      <c r="Q3546" s="19" t="n"/>
      <c r="R3546" s="19" t="n"/>
      <c r="S3546" s="19" t="n"/>
      <c r="T3546" s="19" t="n"/>
      <c r="U3546" s="19" t="n"/>
      <c r="V3546" s="19" t="n"/>
      <c r="W3546" s="19" t="n"/>
      <c r="X3546" s="19" t="n"/>
      <c r="Y3546" s="19" t="n">
        <v>1</v>
      </c>
      <c r="Z3546" s="13">
        <f>SUMPRODUCT(N3546:Y3546,$N$2:$Y$2)*$K3546*$L3546*$M3546</f>
        <v/>
      </c>
      <c r="AA3546" s="14">
        <f>SUM(N3546:Y3546)</f>
        <v/>
      </c>
      <c r="AB3546" s="13">
        <f>SUMPRODUCT(N3546:Y3546,$N$3:$Y$3)*$K3546*$L3546*$M3546</f>
        <v/>
      </c>
      <c r="AC3546" s="13">
        <f>SUMPRODUCT(N3546:Y3546,$N$4:$Y$4)*$K3546*$L3546*$M3546</f>
        <v/>
      </c>
      <c r="AD3546" s="15" t="n">
        <v>2.4</v>
      </c>
      <c r="AE3546" s="11" t="n">
        <v>1.174197530864197</v>
      </c>
      <c r="AF3546" s="16">
        <f>SUMPRODUCT(N3546:Y3546,$N$5:$Y$5)*$K3546*$L3546*$M3546</f>
        <v/>
      </c>
      <c r="AG3546" s="16">
        <f>SUMPRODUCT(N3546:Y3546,$N$6:$Y$6)*$K3546*$L3546*$M3546</f>
        <v/>
      </c>
      <c r="AH3546" s="20" t="n"/>
    </row>
    <row r="3547">
      <c r="A3547" s="9" t="n">
        <v>687424</v>
      </c>
      <c r="B3547" s="9" t="inlineStr">
        <is>
          <t>Anthony Maldonado</t>
        </is>
      </c>
      <c r="C3547" s="9" t="inlineStr">
        <is>
          <t>OAK</t>
        </is>
      </c>
      <c r="D3547" s="9" t="n">
        <v>29</v>
      </c>
      <c r="E3547" s="18" t="inlineStr">
        <is>
          <t>R</t>
        </is>
      </c>
      <c r="F3547" s="18" t="n"/>
      <c r="G3547" s="9" t="n">
        <v>33</v>
      </c>
      <c r="H3547" s="9" t="n">
        <v>115</v>
      </c>
      <c r="I3547" s="9" t="inlineStr">
        <is>
          <t>Bullpen Depth Arm</t>
        </is>
      </c>
      <c r="J3547" s="18" t="inlineStr">
        <is>
          <t>Opening Day</t>
        </is>
      </c>
      <c r="K3547" s="11">
        <f>IFERROR(INDEX(Roles!$B$17:$B$20,MATCH(J3547,Roles!$A$17:$A$20,0)),1)</f>
        <v/>
      </c>
      <c r="L3547" s="19" t="n">
        <v>1</v>
      </c>
      <c r="M3547" s="11" t="n">
        <v>1</v>
      </c>
      <c r="N3547" s="19" t="n"/>
      <c r="O3547" s="19" t="n"/>
      <c r="P3547" s="19" t="n"/>
      <c r="Q3547" s="19" t="n"/>
      <c r="R3547" s="19" t="n"/>
      <c r="S3547" s="19" t="n"/>
      <c r="T3547" s="19" t="n"/>
      <c r="U3547" s="19" t="n"/>
      <c r="V3547" s="19" t="n"/>
      <c r="W3547" s="19" t="n">
        <v>1</v>
      </c>
      <c r="X3547" s="19" t="n"/>
      <c r="Y3547" s="19" t="n"/>
      <c r="Z3547" s="13">
        <f>SUMPRODUCT(N3547:Y3547,$N$2:$Y$2)*$K3547*$L3547*$M3547</f>
        <v/>
      </c>
      <c r="AA3547" s="14">
        <f>SUM(N3547:Y3547)</f>
        <v/>
      </c>
      <c r="AB3547" s="13">
        <f>SUMPRODUCT(N3547:Y3547,$N$3:$Y$3)*$K3547*$L3547*$M3547</f>
        <v/>
      </c>
      <c r="AC3547" s="13">
        <f>SUMPRODUCT(N3547:Y3547,$N$4:$Y$4)*$K3547*$L3547*$M3547</f>
        <v/>
      </c>
      <c r="AD3547" s="15" t="n">
        <v>11.26666666666667</v>
      </c>
      <c r="AE3547" s="11" t="n">
        <v>1.170554753888087</v>
      </c>
      <c r="AF3547" s="16">
        <f>SUMPRODUCT(N3547:Y3547,$N$5:$Y$5)*$K3547*$L3547*$M3547</f>
        <v/>
      </c>
      <c r="AG3547" s="16">
        <f>SUMPRODUCT(N3547:Y3547,$N$6:$Y$6)*$K3547*$L3547*$M3547</f>
        <v/>
      </c>
      <c r="AH3547" s="20" t="n"/>
    </row>
    <row r="3548">
      <c r="A3548" s="9" t="n">
        <v>687941</v>
      </c>
      <c r="B3548" s="9" t="inlineStr">
        <is>
          <t>Alec Gamboa</t>
        </is>
      </c>
      <c r="C3548" s="9" t="inlineStr">
        <is>
          <t>BOS</t>
        </is>
      </c>
      <c r="D3548" s="9" t="n">
        <v>30</v>
      </c>
      <c r="E3548" s="18" t="inlineStr">
        <is>
          <t>L</t>
        </is>
      </c>
      <c r="F3548" s="18" t="n"/>
      <c r="G3548" s="9" t="n">
        <v>132</v>
      </c>
      <c r="H3548" s="9" t="n">
        <v>132</v>
      </c>
      <c r="I3548" s="9" t="inlineStr">
        <is>
          <t>Swing Arm / Long Relief</t>
        </is>
      </c>
      <c r="J3548" s="18" t="inlineStr">
        <is>
          <t>Opening Day</t>
        </is>
      </c>
      <c r="K3548" s="11">
        <f>IFERROR(INDEX(Roles!$B$17:$B$20,MATCH(J3548,Roles!$A$17:$A$20,0)),1)</f>
        <v/>
      </c>
      <c r="L3548" s="19" t="n">
        <v>1</v>
      </c>
      <c r="M3548" s="11" t="n">
        <v>1</v>
      </c>
      <c r="N3548" s="19" t="n"/>
      <c r="O3548" s="19" t="n"/>
      <c r="P3548" s="19" t="n"/>
      <c r="Q3548" s="19" t="n"/>
      <c r="R3548" s="19" t="n">
        <v>0.6</v>
      </c>
      <c r="S3548" s="19" t="n"/>
      <c r="T3548" s="19" t="n"/>
      <c r="U3548" s="19" t="n"/>
      <c r="V3548" s="19" t="n"/>
      <c r="W3548" s="19" t="n">
        <v>0.4</v>
      </c>
      <c r="X3548" s="19" t="n"/>
      <c r="Y3548" s="19" t="n"/>
      <c r="Z3548" s="13">
        <f>SUMPRODUCT(N3548:Y3548,$N$2:$Y$2)*$K3548*$L3548*$M3548</f>
        <v/>
      </c>
      <c r="AA3548" s="14">
        <f>SUM(N3548:Y3548)</f>
        <v/>
      </c>
      <c r="AB3548" s="13">
        <f>SUMPRODUCT(N3548:Y3548,$N$3:$Y$3)*$K3548*$L3548*$M3548</f>
        <v/>
      </c>
      <c r="AC3548" s="13">
        <f>SUMPRODUCT(N3548:Y3548,$N$4:$Y$4)*$K3548*$L3548*$M3548</f>
        <v/>
      </c>
      <c r="AD3548" s="15" t="n">
        <v>20.73333333333333</v>
      </c>
      <c r="AE3548" s="11" t="n">
        <v>2.192297684100963</v>
      </c>
      <c r="AF3548" s="16">
        <f>SUMPRODUCT(N3548:Y3548,$N$5:$Y$5)*$K3548*$L3548*$M3548</f>
        <v/>
      </c>
      <c r="AG3548" s="16">
        <f>SUMPRODUCT(N3548:Y3548,$N$6:$Y$6)*$K3548*$L3548*$M3548</f>
        <v/>
      </c>
      <c r="AH3548" s="20" t="n"/>
    </row>
    <row r="3549">
      <c r="A3549" s="9" t="n">
        <v>663992</v>
      </c>
      <c r="B3549" s="9" t="inlineStr">
        <is>
          <t>Richard Lovelady</t>
        </is>
      </c>
      <c r="C3549" s="9" t="inlineStr">
        <is>
          <t>WSH</t>
        </is>
      </c>
      <c r="D3549" s="9" t="n">
        <v>31</v>
      </c>
      <c r="E3549" s="18" t="inlineStr">
        <is>
          <t>L</t>
        </is>
      </c>
      <c r="F3549" s="18" t="n"/>
      <c r="G3549" s="9" t="n">
        <v>172</v>
      </c>
      <c r="H3549" s="9" t="n">
        <v>472</v>
      </c>
      <c r="I3549" s="9" t="inlineStr">
        <is>
          <t>Late Inning RP (Setup)</t>
        </is>
      </c>
      <c r="J3549" s="18" t="inlineStr">
        <is>
          <t>Opening Day</t>
        </is>
      </c>
      <c r="K3549" s="11">
        <f>IFERROR(INDEX(Roles!$B$17:$B$20,MATCH(J3549,Roles!$A$17:$A$20,0)),1)</f>
        <v/>
      </c>
      <c r="L3549" s="19" t="n">
        <v>1</v>
      </c>
      <c r="M3549" s="11" t="n">
        <v>1</v>
      </c>
      <c r="N3549" s="19" t="n"/>
      <c r="O3549" s="19" t="n"/>
      <c r="P3549" s="19" t="n"/>
      <c r="Q3549" s="19" t="n"/>
      <c r="R3549" s="19" t="n"/>
      <c r="S3549" s="19" t="n"/>
      <c r="T3549" s="19" t="n"/>
      <c r="U3549" s="19" t="n">
        <v>0.85</v>
      </c>
      <c r="V3549" s="19" t="n">
        <v>0.15</v>
      </c>
      <c r="W3549" s="19" t="n"/>
      <c r="X3549" s="19" t="n"/>
      <c r="Y3549" s="19" t="n"/>
      <c r="Z3549" s="13">
        <f>SUMPRODUCT(N3549:Y3549,$N$2:$Y$2)*$K3549*$L3549*$M3549</f>
        <v/>
      </c>
      <c r="AA3549" s="14">
        <f>SUM(N3549:Y3549)</f>
        <v/>
      </c>
      <c r="AB3549" s="13">
        <f>SUMPRODUCT(N3549:Y3549,$N$3:$Y$3)*$K3549*$L3549*$M3549</f>
        <v/>
      </c>
      <c r="AC3549" s="13">
        <f>SUMPRODUCT(N3549:Y3549,$N$4:$Y$4)*$K3549*$L3549*$M3549</f>
        <v/>
      </c>
      <c r="AD3549" s="15" t="n">
        <v>36.1</v>
      </c>
      <c r="AE3549" s="11" t="n">
        <v>0.9805637738330044</v>
      </c>
      <c r="AF3549" s="16">
        <f>SUMPRODUCT(N3549:Y3549,$N$5:$Y$5)*$K3549*$L3549*$M3549</f>
        <v/>
      </c>
      <c r="AG3549" s="16">
        <f>SUMPRODUCT(N3549:Y3549,$N$6:$Y$6)*$K3549*$L3549*$M3549</f>
        <v/>
      </c>
      <c r="AH3549" s="20" t="n"/>
    </row>
    <row r="3550">
      <c r="A3550" s="9" t="n">
        <v>673662</v>
      </c>
      <c r="B3550" s="9" t="inlineStr">
        <is>
          <t>Robinson Ortiz</t>
        </is>
      </c>
      <c r="C3550" s="9" t="inlineStr">
        <is>
          <t>SEA</t>
        </is>
      </c>
      <c r="D3550" s="9" t="n">
        <v>25</v>
      </c>
      <c r="E3550" s="18" t="inlineStr">
        <is>
          <t>L</t>
        </is>
      </c>
      <c r="F3550" s="18" t="n"/>
      <c r="G3550" s="9" t="n">
        <v>115.885</v>
      </c>
      <c r="H3550" s="9" t="n">
        <v>115.885</v>
      </c>
      <c r="I3550" s="9" t="inlineStr">
        <is>
          <t>Depth (no MLB IP)</t>
        </is>
      </c>
      <c r="J3550" s="18" t="inlineStr">
        <is>
          <t>Opening Day</t>
        </is>
      </c>
      <c r="K3550" s="11">
        <f>IFERROR(INDEX(Roles!$B$17:$B$20,MATCH(J3550,Roles!$A$17:$A$20,0)),1)</f>
        <v/>
      </c>
      <c r="L3550" s="19" t="n">
        <v>1</v>
      </c>
      <c r="M3550" s="11" t="n">
        <v>1</v>
      </c>
      <c r="N3550" s="19" t="n"/>
      <c r="O3550" s="19" t="n"/>
      <c r="P3550" s="19" t="n"/>
      <c r="Q3550" s="19" t="n"/>
      <c r="R3550" s="19" t="n"/>
      <c r="S3550" s="19" t="n"/>
      <c r="T3550" s="19" t="n"/>
      <c r="U3550" s="19" t="n"/>
      <c r="V3550" s="19" t="n"/>
      <c r="W3550" s="19" t="n"/>
      <c r="X3550" s="19" t="n"/>
      <c r="Y3550" s="19" t="n">
        <v>1</v>
      </c>
      <c r="Z3550" s="13">
        <f>SUMPRODUCT(N3550:Y3550,$N$2:$Y$2)*$K3550*$L3550*$M3550</f>
        <v/>
      </c>
      <c r="AA3550" s="14">
        <f>SUM(N3550:Y3550)</f>
        <v/>
      </c>
      <c r="AB3550" s="13">
        <f>SUMPRODUCT(N3550:Y3550,$N$3:$Y$3)*$K3550*$L3550*$M3550</f>
        <v/>
      </c>
      <c r="AC3550" s="13">
        <f>SUMPRODUCT(N3550:Y3550,$N$4:$Y$4)*$K3550*$L3550*$M3550</f>
        <v/>
      </c>
      <c r="AD3550" s="15" t="n">
        <v>3</v>
      </c>
      <c r="AE3550" s="11" t="n">
        <v>1.011296296296296</v>
      </c>
      <c r="AF3550" s="16">
        <f>SUMPRODUCT(N3550:Y3550,$N$5:$Y$5)*$K3550*$L3550*$M3550</f>
        <v/>
      </c>
      <c r="AG3550" s="16">
        <f>SUMPRODUCT(N3550:Y3550,$N$6:$Y$6)*$K3550*$L3550*$M3550</f>
        <v/>
      </c>
      <c r="AH3550" s="20" t="n"/>
    </row>
    <row r="3551">
      <c r="A3551" s="9" t="n">
        <v>800550</v>
      </c>
      <c r="B3551" s="9" t="inlineStr">
        <is>
          <t>Miguel Cienfuegos</t>
        </is>
      </c>
      <c r="C3551" s="9" t="inlineStr">
        <is>
          <t>SD</t>
        </is>
      </c>
      <c r="D3551" s="9" t="n">
        <v>25</v>
      </c>
      <c r="E3551" s="18" t="inlineStr">
        <is>
          <t>L</t>
        </is>
      </c>
      <c r="F3551" s="18" t="n"/>
      <c r="G3551" s="9" t="n">
        <v>115.885</v>
      </c>
      <c r="H3551" s="9" t="n">
        <v>115.885</v>
      </c>
      <c r="I3551" s="9" t="inlineStr">
        <is>
          <t>Depth (no MLB IP)</t>
        </is>
      </c>
      <c r="J3551" s="18" t="inlineStr">
        <is>
          <t>Opening Day</t>
        </is>
      </c>
      <c r="K3551" s="11">
        <f>IFERROR(INDEX(Roles!$B$17:$B$20,MATCH(J3551,Roles!$A$17:$A$20,0)),1)</f>
        <v/>
      </c>
      <c r="L3551" s="19" t="n">
        <v>1</v>
      </c>
      <c r="M3551" s="11" t="n">
        <v>1</v>
      </c>
      <c r="N3551" s="19" t="n"/>
      <c r="O3551" s="19" t="n"/>
      <c r="P3551" s="19" t="n"/>
      <c r="Q3551" s="19" t="n"/>
      <c r="R3551" s="19" t="n"/>
      <c r="S3551" s="19" t="n"/>
      <c r="T3551" s="19" t="n"/>
      <c r="U3551" s="19" t="n"/>
      <c r="V3551" s="19" t="n"/>
      <c r="W3551" s="19" t="n"/>
      <c r="X3551" s="19" t="n"/>
      <c r="Y3551" s="19" t="n">
        <v>1</v>
      </c>
      <c r="Z3551" s="13">
        <f>SUMPRODUCT(N3551:Y3551,$N$2:$Y$2)*$K3551*$L3551*$M3551</f>
        <v/>
      </c>
      <c r="AA3551" s="14">
        <f>SUM(N3551:Y3551)</f>
        <v/>
      </c>
      <c r="AB3551" s="13">
        <f>SUMPRODUCT(N3551:Y3551,$N$3:$Y$3)*$K3551*$L3551*$M3551</f>
        <v/>
      </c>
      <c r="AC3551" s="13">
        <f>SUMPRODUCT(N3551:Y3551,$N$4:$Y$4)*$K3551*$L3551*$M3551</f>
        <v/>
      </c>
      <c r="AD3551" s="15" t="n">
        <v>3</v>
      </c>
      <c r="AE3551" s="11" t="n">
        <v>1.011296296296296</v>
      </c>
      <c r="AF3551" s="16">
        <f>SUMPRODUCT(N3551:Y3551,$N$5:$Y$5)*$K3551*$L3551*$M3551</f>
        <v/>
      </c>
      <c r="AG3551" s="16">
        <f>SUMPRODUCT(N3551:Y3551,$N$6:$Y$6)*$K3551*$L3551*$M3551</f>
        <v/>
      </c>
      <c r="AH3551" s="20" t="n"/>
    </row>
    <row r="3552">
      <c r="A3552" s="9" t="n">
        <v>681313</v>
      </c>
      <c r="B3552" s="9" t="inlineStr">
        <is>
          <t>Jake Miller</t>
        </is>
      </c>
      <c r="C3552" s="9" t="inlineStr">
        <is>
          <t>CLE</t>
        </is>
      </c>
      <c r="D3552" s="9" t="n">
        <v>25</v>
      </c>
      <c r="E3552" s="18" t="inlineStr">
        <is>
          <t>R</t>
        </is>
      </c>
      <c r="F3552" s="18" t="n"/>
      <c r="G3552" s="9" t="n">
        <v>115.885</v>
      </c>
      <c r="H3552" s="9" t="n">
        <v>115.885</v>
      </c>
      <c r="I3552" s="9" t="inlineStr">
        <is>
          <t>Depth (no MLB IP)</t>
        </is>
      </c>
      <c r="J3552" s="18" t="inlineStr">
        <is>
          <t>Opening Day</t>
        </is>
      </c>
      <c r="K3552" s="11">
        <f>IFERROR(INDEX(Roles!$B$17:$B$20,MATCH(J3552,Roles!$A$17:$A$20,0)),1)</f>
        <v/>
      </c>
      <c r="L3552" s="19" t="n">
        <v>1</v>
      </c>
      <c r="M3552" s="11" t="n">
        <v>1</v>
      </c>
      <c r="N3552" s="19" t="n"/>
      <c r="O3552" s="19" t="n"/>
      <c r="P3552" s="19" t="n"/>
      <c r="Q3552" s="19" t="n"/>
      <c r="R3552" s="19" t="n"/>
      <c r="S3552" s="19" t="n"/>
      <c r="T3552" s="19" t="n"/>
      <c r="U3552" s="19" t="n"/>
      <c r="V3552" s="19" t="n"/>
      <c r="W3552" s="19" t="n"/>
      <c r="X3552" s="19" t="n"/>
      <c r="Y3552" s="19" t="n">
        <v>1</v>
      </c>
      <c r="Z3552" s="13">
        <f>SUMPRODUCT(N3552:Y3552,$N$2:$Y$2)*$K3552*$L3552*$M3552</f>
        <v/>
      </c>
      <c r="AA3552" s="14">
        <f>SUM(N3552:Y3552)</f>
        <v/>
      </c>
      <c r="AB3552" s="13">
        <f>SUMPRODUCT(N3552:Y3552,$N$3:$Y$3)*$K3552*$L3552*$M3552</f>
        <v/>
      </c>
      <c r="AC3552" s="13">
        <f>SUMPRODUCT(N3552:Y3552,$N$4:$Y$4)*$K3552*$L3552*$M3552</f>
        <v/>
      </c>
      <c r="AD3552" s="15" t="n">
        <v>3</v>
      </c>
      <c r="AE3552" s="11" t="n">
        <v>1.011296296296296</v>
      </c>
      <c r="AF3552" s="16">
        <f>SUMPRODUCT(N3552:Y3552,$N$5:$Y$5)*$K3552*$L3552*$M3552</f>
        <v/>
      </c>
      <c r="AG3552" s="16">
        <f>SUMPRODUCT(N3552:Y3552,$N$6:$Y$6)*$K3552*$L3552*$M3552</f>
        <v/>
      </c>
      <c r="AH3552" s="20" t="n"/>
    </row>
    <row r="3553">
      <c r="A3553" s="9" t="n">
        <v>682175</v>
      </c>
      <c r="B3553" s="9" t="inlineStr">
        <is>
          <t>Joe Jacques</t>
        </is>
      </c>
      <c r="C3553" s="9" t="inlineStr">
        <is>
          <t>BOS</t>
        </is>
      </c>
      <c r="D3553" s="9" t="n">
        <v>32</v>
      </c>
      <c r="E3553" s="18" t="inlineStr">
        <is>
          <t>L</t>
        </is>
      </c>
      <c r="F3553" s="18" t="n"/>
      <c r="G3553" s="9" t="n">
        <v>16</v>
      </c>
      <c r="H3553" s="9" t="n">
        <v>138</v>
      </c>
      <c r="I3553" s="9" t="inlineStr">
        <is>
          <t>Depth (no MLB IP)</t>
        </is>
      </c>
      <c r="J3553" s="18" t="inlineStr">
        <is>
          <t>Opening Day</t>
        </is>
      </c>
      <c r="K3553" s="11">
        <f>IFERROR(INDEX(Roles!$B$17:$B$20,MATCH(J3553,Roles!$A$17:$A$20,0)),1)</f>
        <v/>
      </c>
      <c r="L3553" s="19" t="n">
        <v>1</v>
      </c>
      <c r="M3553" s="11" t="n">
        <v>1</v>
      </c>
      <c r="N3553" s="19" t="n"/>
      <c r="O3553" s="19" t="n"/>
      <c r="P3553" s="19" t="n"/>
      <c r="Q3553" s="19" t="n"/>
      <c r="R3553" s="19" t="n"/>
      <c r="S3553" s="19" t="n"/>
      <c r="T3553" s="19" t="n"/>
      <c r="U3553" s="19" t="n"/>
      <c r="V3553" s="19" t="n"/>
      <c r="W3553" s="19" t="n"/>
      <c r="X3553" s="19" t="n"/>
      <c r="Y3553" s="19" t="n">
        <v>1</v>
      </c>
      <c r="Z3553" s="13">
        <f>SUMPRODUCT(N3553:Y3553,$N$2:$Y$2)*$K3553*$L3553*$M3553</f>
        <v/>
      </c>
      <c r="AA3553" s="14">
        <f>SUM(N3553:Y3553)</f>
        <v/>
      </c>
      <c r="AB3553" s="13">
        <f>SUMPRODUCT(N3553:Y3553,$N$3:$Y$3)*$K3553*$L3553*$M3553</f>
        <v/>
      </c>
      <c r="AC3553" s="13">
        <f>SUMPRODUCT(N3553:Y3553,$N$4:$Y$4)*$K3553*$L3553*$M3553</f>
        <v/>
      </c>
      <c r="AD3553" s="15" t="n">
        <v>2.4</v>
      </c>
      <c r="AE3553" s="11" t="n">
        <v>1.174197530864197</v>
      </c>
      <c r="AF3553" s="16">
        <f>SUMPRODUCT(N3553:Y3553,$N$5:$Y$5)*$K3553*$L3553*$M3553</f>
        <v/>
      </c>
      <c r="AG3553" s="16">
        <f>SUMPRODUCT(N3553:Y3553,$N$6:$Y$6)*$K3553*$L3553*$M3553</f>
        <v/>
      </c>
      <c r="AH3553" s="20" t="n"/>
    </row>
    <row r="3554">
      <c r="A3554" s="9" t="n">
        <v>571882</v>
      </c>
      <c r="B3554" s="9" t="inlineStr">
        <is>
          <t>Derek Law</t>
        </is>
      </c>
      <c r="C3554" s="9" t="inlineStr">
        <is>
          <t>ARI</t>
        </is>
      </c>
      <c r="D3554" s="9" t="n">
        <v>36</v>
      </c>
      <c r="E3554" s="18" t="inlineStr">
        <is>
          <t>R</t>
        </is>
      </c>
      <c r="F3554" s="18" t="n"/>
      <c r="G3554" s="9" t="n">
        <v>34</v>
      </c>
      <c r="H3554" s="9" t="n">
        <v>731</v>
      </c>
      <c r="I3554" s="9" t="inlineStr">
        <is>
          <t>Bullpen Depth Arm</t>
        </is>
      </c>
      <c r="J3554" s="18" t="inlineStr">
        <is>
          <t>Opening Day</t>
        </is>
      </c>
      <c r="K3554" s="11">
        <f>IFERROR(INDEX(Roles!$B$17:$B$20,MATCH(J3554,Roles!$A$17:$A$20,0)),1)</f>
        <v/>
      </c>
      <c r="L3554" s="19" t="n">
        <v>1</v>
      </c>
      <c r="M3554" s="11" t="n">
        <v>1</v>
      </c>
      <c r="N3554" s="19" t="n"/>
      <c r="O3554" s="19" t="n"/>
      <c r="P3554" s="19" t="n"/>
      <c r="Q3554" s="19" t="n"/>
      <c r="R3554" s="19" t="n"/>
      <c r="S3554" s="19" t="n"/>
      <c r="T3554" s="19" t="n"/>
      <c r="U3554" s="19" t="n"/>
      <c r="V3554" s="19" t="n"/>
      <c r="W3554" s="19" t="n">
        <v>1</v>
      </c>
      <c r="X3554" s="19" t="n"/>
      <c r="Y3554" s="19" t="n"/>
      <c r="Z3554" s="13">
        <f>SUMPRODUCT(N3554:Y3554,$N$2:$Y$2)*$K3554*$L3554*$M3554</f>
        <v/>
      </c>
      <c r="AA3554" s="14">
        <f>SUM(N3554:Y3554)</f>
        <v/>
      </c>
      <c r="AB3554" s="13">
        <f>SUMPRODUCT(N3554:Y3554,$N$3:$Y$3)*$K3554*$L3554*$M3554</f>
        <v/>
      </c>
      <c r="AC3554" s="13">
        <f>SUMPRODUCT(N3554:Y3554,$N$4:$Y$4)*$K3554*$L3554*$M3554</f>
        <v/>
      </c>
      <c r="AD3554" s="15" t="n">
        <v>20.06666666666666</v>
      </c>
      <c r="AE3554" s="11" t="n">
        <v>1.207757134840468</v>
      </c>
      <c r="AF3554" s="16">
        <f>SUMPRODUCT(N3554:Y3554,$N$5:$Y$5)*$K3554*$L3554*$M3554</f>
        <v/>
      </c>
      <c r="AG3554" s="16">
        <f>SUMPRODUCT(N3554:Y3554,$N$6:$Y$6)*$K3554*$L3554*$M3554</f>
        <v/>
      </c>
      <c r="AH3554" s="20" t="n"/>
    </row>
    <row r="3555">
      <c r="A3555" s="9" t="n">
        <v>680767</v>
      </c>
      <c r="B3555" s="9" t="inlineStr">
        <is>
          <t>Victor Vodnik</t>
        </is>
      </c>
      <c r="C3555" s="9" t="inlineStr">
        <is>
          <t>MIA</t>
        </is>
      </c>
      <c r="D3555" s="9" t="n">
        <v>27</v>
      </c>
      <c r="E3555" s="18" t="inlineStr">
        <is>
          <t>R</t>
        </is>
      </c>
      <c r="F3555" s="18" t="n"/>
      <c r="G3555" s="9" t="n">
        <v>266</v>
      </c>
      <c r="H3555" s="9" t="n">
        <v>845</v>
      </c>
      <c r="I3555" s="9" t="inlineStr">
        <is>
          <t>Middle Relief</t>
        </is>
      </c>
      <c r="J3555" s="18" t="inlineStr">
        <is>
          <t>Opening Day</t>
        </is>
      </c>
      <c r="K3555" s="11">
        <f>IFERROR(INDEX(Roles!$B$17:$B$20,MATCH(J3555,Roles!$A$17:$A$20,0)),1)</f>
        <v/>
      </c>
      <c r="L3555" s="19" t="n">
        <v>1</v>
      </c>
      <c r="M3555" s="11" t="n">
        <v>1</v>
      </c>
      <c r="N3555" s="19" t="n"/>
      <c r="O3555" s="19" t="n"/>
      <c r="P3555" s="19" t="n"/>
      <c r="Q3555" s="19" t="n"/>
      <c r="R3555" s="19" t="n"/>
      <c r="S3555" s="19" t="n"/>
      <c r="T3555" s="19" t="n"/>
      <c r="U3555" s="19" t="n"/>
      <c r="V3555" s="19" t="n">
        <v>0.85</v>
      </c>
      <c r="W3555" s="19" t="n">
        <v>0.15</v>
      </c>
      <c r="X3555" s="19" t="n"/>
      <c r="Y3555" s="19" t="n"/>
      <c r="Z3555" s="13">
        <f>SUMPRODUCT(N3555:Y3555,$N$2:$Y$2)*$K3555*$L3555*$M3555</f>
        <v/>
      </c>
      <c r="AA3555" s="14">
        <f>SUM(N3555:Y3555)</f>
        <v/>
      </c>
      <c r="AB3555" s="13">
        <f>SUMPRODUCT(N3555:Y3555,$N$3:$Y$3)*$K3555*$L3555*$M3555</f>
        <v/>
      </c>
      <c r="AC3555" s="13">
        <f>SUMPRODUCT(N3555:Y3555,$N$4:$Y$4)*$K3555*$L3555*$M3555</f>
        <v/>
      </c>
      <c r="AD3555" s="15" t="n">
        <v>47.43333333333333</v>
      </c>
      <c r="AE3555" s="11" t="n">
        <v>1.046941929913028</v>
      </c>
      <c r="AF3555" s="16">
        <f>SUMPRODUCT(N3555:Y3555,$N$5:$Y$5)*$K3555*$L3555*$M3555</f>
        <v/>
      </c>
      <c r="AG3555" s="16">
        <f>SUMPRODUCT(N3555:Y3555,$N$6:$Y$6)*$K3555*$L3555*$M3555</f>
        <v/>
      </c>
      <c r="AH3555" s="20" t="n"/>
    </row>
    <row r="3556">
      <c r="A3556" s="9" t="n">
        <v>683742</v>
      </c>
      <c r="B3556" s="9" t="inlineStr">
        <is>
          <t>Jose Franco</t>
        </is>
      </c>
      <c r="C3556" s="9" t="inlineStr">
        <is>
          <t>CIN</t>
        </is>
      </c>
      <c r="D3556" s="9" t="n">
        <v>26</v>
      </c>
      <c r="E3556" s="18" t="inlineStr">
        <is>
          <t>R</t>
        </is>
      </c>
      <c r="F3556" s="18" t="n"/>
      <c r="G3556" s="9" t="n">
        <v>93</v>
      </c>
      <c r="H3556" s="9" t="n">
        <v>93</v>
      </c>
      <c r="I3556" s="9" t="inlineStr">
        <is>
          <t>Bullpen Depth Arm</t>
        </is>
      </c>
      <c r="J3556" s="18" t="inlineStr">
        <is>
          <t>Opening Day</t>
        </is>
      </c>
      <c r="K3556" s="11">
        <f>IFERROR(INDEX(Roles!$B$17:$B$20,MATCH(J3556,Roles!$A$17:$A$20,0)),1)</f>
        <v/>
      </c>
      <c r="L3556" s="19" t="n">
        <v>1</v>
      </c>
      <c r="M3556" s="11" t="n">
        <v>1</v>
      </c>
      <c r="N3556" s="19" t="n"/>
      <c r="O3556" s="19" t="n"/>
      <c r="P3556" s="19" t="n"/>
      <c r="Q3556" s="19" t="n"/>
      <c r="R3556" s="19" t="n"/>
      <c r="S3556" s="19" t="n"/>
      <c r="T3556" s="19" t="n"/>
      <c r="U3556" s="19" t="n"/>
      <c r="V3556" s="19" t="n"/>
      <c r="W3556" s="19" t="n">
        <v>1</v>
      </c>
      <c r="X3556" s="19" t="n"/>
      <c r="Y3556" s="19" t="n"/>
      <c r="Z3556" s="13">
        <f>SUMPRODUCT(N3556:Y3556,$N$2:$Y$2)*$K3556*$L3556*$M3556</f>
        <v/>
      </c>
      <c r="AA3556" s="14">
        <f>SUM(N3556:Y3556)</f>
        <v/>
      </c>
      <c r="AB3556" s="13">
        <f>SUMPRODUCT(N3556:Y3556,$N$3:$Y$3)*$K3556*$L3556*$M3556</f>
        <v/>
      </c>
      <c r="AC3556" s="13">
        <f>SUMPRODUCT(N3556:Y3556,$N$4:$Y$4)*$K3556*$L3556*$M3556</f>
        <v/>
      </c>
      <c r="AD3556" s="15" t="n">
        <v>11.66666666666667</v>
      </c>
      <c r="AE3556" s="11" t="n">
        <v>1.479284912618246</v>
      </c>
      <c r="AF3556" s="16">
        <f>SUMPRODUCT(N3556:Y3556,$N$5:$Y$5)*$K3556*$L3556*$M3556</f>
        <v/>
      </c>
      <c r="AG3556" s="16">
        <f>SUMPRODUCT(N3556:Y3556,$N$6:$Y$6)*$K3556*$L3556*$M3556</f>
        <v/>
      </c>
      <c r="AH3556" s="20" t="n"/>
    </row>
    <row r="3557">
      <c r="A3557" s="9" t="n">
        <v>680880</v>
      </c>
      <c r="B3557" s="9" t="inlineStr">
        <is>
          <t>Grant Holman</t>
        </is>
      </c>
      <c r="C3557" s="9" t="inlineStr">
        <is>
          <t>OAK</t>
        </is>
      </c>
      <c r="D3557" s="9" t="n">
        <v>27</v>
      </c>
      <c r="E3557" s="18" t="inlineStr">
        <is>
          <t>R</t>
        </is>
      </c>
      <c r="F3557" s="18" t="n"/>
      <c r="G3557" s="9" t="n">
        <v>7</v>
      </c>
      <c r="H3557" s="9" t="n">
        <v>183</v>
      </c>
      <c r="I3557" s="9" t="inlineStr">
        <is>
          <t>Bullpen Depth Arm</t>
        </is>
      </c>
      <c r="J3557" s="18" t="inlineStr">
        <is>
          <t>Opening Day</t>
        </is>
      </c>
      <c r="K3557" s="11">
        <f>IFERROR(INDEX(Roles!$B$17:$B$20,MATCH(J3557,Roles!$A$17:$A$20,0)),1)</f>
        <v/>
      </c>
      <c r="L3557" s="19" t="n">
        <v>1</v>
      </c>
      <c r="M3557" s="11" t="n">
        <v>1</v>
      </c>
      <c r="N3557" s="19" t="n"/>
      <c r="O3557" s="19" t="n"/>
      <c r="P3557" s="19" t="n"/>
      <c r="Q3557" s="19" t="n"/>
      <c r="R3557" s="19" t="n"/>
      <c r="S3557" s="19" t="n"/>
      <c r="T3557" s="19" t="n"/>
      <c r="U3557" s="19" t="n"/>
      <c r="V3557" s="19" t="n"/>
      <c r="W3557" s="19" t="n">
        <v>1</v>
      </c>
      <c r="X3557" s="19" t="n"/>
      <c r="Y3557" s="19" t="n"/>
      <c r="Z3557" s="13">
        <f>SUMPRODUCT(N3557:Y3557,$N$2:$Y$2)*$K3557*$L3557*$M3557</f>
        <v/>
      </c>
      <c r="AA3557" s="14">
        <f>SUM(N3557:Y3557)</f>
        <v/>
      </c>
      <c r="AB3557" s="13">
        <f>SUMPRODUCT(N3557:Y3557,$N$3:$Y$3)*$K3557*$L3557*$M3557</f>
        <v/>
      </c>
      <c r="AC3557" s="13">
        <f>SUMPRODUCT(N3557:Y3557,$N$4:$Y$4)*$K3557*$L3557*$M3557</f>
        <v/>
      </c>
      <c r="AD3557" s="15" t="n">
        <v>12.16666666666667</v>
      </c>
      <c r="AE3557" s="11" t="n">
        <v>1.12287465620799</v>
      </c>
      <c r="AF3557" s="16">
        <f>SUMPRODUCT(N3557:Y3557,$N$5:$Y$5)*$K3557*$L3557*$M3557</f>
        <v/>
      </c>
      <c r="AG3557" s="16">
        <f>SUMPRODUCT(N3557:Y3557,$N$6:$Y$6)*$K3557*$L3557*$M3557</f>
        <v/>
      </c>
      <c r="AH3557" s="20" t="n"/>
    </row>
    <row r="3558">
      <c r="A3558" s="9" t="n">
        <v>641745</v>
      </c>
      <c r="B3558" s="9" t="inlineStr">
        <is>
          <t>Brad Keller</t>
        </is>
      </c>
      <c r="C3558" s="9" t="inlineStr">
        <is>
          <t>PHI</t>
        </is>
      </c>
      <c r="D3558" s="9" t="n">
        <v>31</v>
      </c>
      <c r="E3558" s="18" t="inlineStr">
        <is>
          <t>R</t>
        </is>
      </c>
      <c r="F3558" s="18" t="n"/>
      <c r="G3558" s="9" t="n">
        <v>135</v>
      </c>
      <c r="H3558" s="9" t="n">
        <v>1431</v>
      </c>
      <c r="I3558" s="9" t="inlineStr">
        <is>
          <t>Bullpen Depth Arm</t>
        </is>
      </c>
      <c r="J3558" s="18" t="inlineStr">
        <is>
          <t>Opening Day</t>
        </is>
      </c>
      <c r="K3558" s="11">
        <f>IFERROR(INDEX(Roles!$B$17:$B$20,MATCH(J3558,Roles!$A$17:$A$20,0)),1)</f>
        <v/>
      </c>
      <c r="L3558" s="19" t="n">
        <v>1</v>
      </c>
      <c r="M3558" s="11" t="n">
        <v>1</v>
      </c>
      <c r="N3558" s="19" t="n"/>
      <c r="O3558" s="19" t="n"/>
      <c r="P3558" s="19" t="n"/>
      <c r="Q3558" s="19" t="n"/>
      <c r="R3558" s="19" t="n"/>
      <c r="S3558" s="19" t="n"/>
      <c r="T3558" s="19" t="n"/>
      <c r="U3558" s="19" t="n"/>
      <c r="V3558" s="19" t="n">
        <v>0.15</v>
      </c>
      <c r="W3558" s="19" t="n">
        <v>0.85</v>
      </c>
      <c r="X3558" s="19" t="n"/>
      <c r="Y3558" s="19" t="n"/>
      <c r="Z3558" s="13">
        <f>SUMPRODUCT(N3558:Y3558,$N$2:$Y$2)*$K3558*$L3558*$M3558</f>
        <v/>
      </c>
      <c r="AA3558" s="14">
        <f>SUM(N3558:Y3558)</f>
        <v/>
      </c>
      <c r="AB3558" s="13">
        <f>SUMPRODUCT(N3558:Y3558,$N$3:$Y$3)*$K3558*$L3558*$M3558</f>
        <v/>
      </c>
      <c r="AC3558" s="13">
        <f>SUMPRODUCT(N3558:Y3558,$N$4:$Y$4)*$K3558*$L3558*$M3558</f>
        <v/>
      </c>
      <c r="AD3558" s="15" t="n">
        <v>30.46666666666667</v>
      </c>
      <c r="AE3558" s="11" t="n">
        <v>1.170682762080612</v>
      </c>
      <c r="AF3558" s="16">
        <f>SUMPRODUCT(N3558:Y3558,$N$5:$Y$5)*$K3558*$L3558*$M3558</f>
        <v/>
      </c>
      <c r="AG3558" s="16">
        <f>SUMPRODUCT(N3558:Y3558,$N$6:$Y$6)*$K3558*$L3558*$M3558</f>
        <v/>
      </c>
      <c r="AH3558" s="20" t="n"/>
    </row>
    <row r="3559">
      <c r="A3559" s="9" t="n">
        <v>670097</v>
      </c>
      <c r="B3559" s="9" t="inlineStr">
        <is>
          <t>Zack Short</t>
        </is>
      </c>
      <c r="C3559" s="9" t="inlineStr">
        <is>
          <t>DET</t>
        </is>
      </c>
      <c r="D3559" s="9" t="n">
        <v>32</v>
      </c>
      <c r="E3559" s="18" t="inlineStr">
        <is>
          <t>R</t>
        </is>
      </c>
      <c r="F3559" s="18" t="n"/>
      <c r="G3559" s="9" t="n">
        <v>3</v>
      </c>
      <c r="H3559" s="9" t="n">
        <v>35</v>
      </c>
      <c r="I3559" s="9" t="inlineStr">
        <is>
          <t>Depth (no MLB IP)</t>
        </is>
      </c>
      <c r="J3559" s="18" t="inlineStr">
        <is>
          <t>Opening Day</t>
        </is>
      </c>
      <c r="K3559" s="11">
        <f>IFERROR(INDEX(Roles!$B$17:$B$20,MATCH(J3559,Roles!$A$17:$A$20,0)),1)</f>
        <v/>
      </c>
      <c r="L3559" s="19" t="n">
        <v>1</v>
      </c>
      <c r="M3559" s="11" t="n">
        <v>1</v>
      </c>
      <c r="N3559" s="19" t="n"/>
      <c r="O3559" s="19" t="n"/>
      <c r="P3559" s="19" t="n"/>
      <c r="Q3559" s="19" t="n"/>
      <c r="R3559" s="19" t="n"/>
      <c r="S3559" s="19" t="n"/>
      <c r="T3559" s="19" t="n"/>
      <c r="U3559" s="19" t="n"/>
      <c r="V3559" s="19" t="n"/>
      <c r="W3559" s="19" t="n"/>
      <c r="X3559" s="19" t="n"/>
      <c r="Y3559" s="19" t="n">
        <v>1</v>
      </c>
      <c r="Z3559" s="13">
        <f>SUMPRODUCT(N3559:Y3559,$N$2:$Y$2)*$K3559*$L3559*$M3559</f>
        <v/>
      </c>
      <c r="AA3559" s="14">
        <f>SUM(N3559:Y3559)</f>
        <v/>
      </c>
      <c r="AB3559" s="13">
        <f>SUMPRODUCT(N3559:Y3559,$N$3:$Y$3)*$K3559*$L3559*$M3559</f>
        <v/>
      </c>
      <c r="AC3559" s="13">
        <f>SUMPRODUCT(N3559:Y3559,$N$4:$Y$4)*$K3559*$L3559*$M3559</f>
        <v/>
      </c>
      <c r="AD3559" s="15" t="n">
        <v>1.8</v>
      </c>
      <c r="AE3559" s="11" t="n">
        <v>1.007530864197531</v>
      </c>
      <c r="AF3559" s="16">
        <f>SUMPRODUCT(N3559:Y3559,$N$5:$Y$5)*$K3559*$L3559*$M3559</f>
        <v/>
      </c>
      <c r="AG3559" s="16">
        <f>SUMPRODUCT(N3559:Y3559,$N$6:$Y$6)*$K3559*$L3559*$M3559</f>
        <v/>
      </c>
      <c r="AH3559" s="20" t="n"/>
    </row>
    <row r="3560">
      <c r="A3560" s="9" t="n">
        <v>693483</v>
      </c>
      <c r="B3560" s="9" t="inlineStr">
        <is>
          <t>Pat Gallagher</t>
        </is>
      </c>
      <c r="C3560" s="9" t="inlineStr">
        <is>
          <t>TOR</t>
        </is>
      </c>
      <c r="D3560" s="9" t="n">
        <v>25</v>
      </c>
      <c r="E3560" s="18" t="inlineStr">
        <is>
          <t>R</t>
        </is>
      </c>
      <c r="F3560" s="18" t="n"/>
      <c r="G3560" s="9" t="n">
        <v>118.25</v>
      </c>
      <c r="H3560" s="9" t="n">
        <v>118.25</v>
      </c>
      <c r="I3560" s="9" t="inlineStr">
        <is>
          <t>Depth (no MLB IP)</t>
        </is>
      </c>
      <c r="J3560" s="18" t="inlineStr">
        <is>
          <t>Opening Day</t>
        </is>
      </c>
      <c r="K3560" s="11">
        <f>IFERROR(INDEX(Roles!$B$17:$B$20,MATCH(J3560,Roles!$A$17:$A$20,0)),1)</f>
        <v/>
      </c>
      <c r="L3560" s="19" t="n">
        <v>1</v>
      </c>
      <c r="M3560" s="11" t="n">
        <v>1</v>
      </c>
      <c r="N3560" s="19" t="n"/>
      <c r="O3560" s="19" t="n"/>
      <c r="P3560" s="19" t="n"/>
      <c r="Q3560" s="19" t="n"/>
      <c r="R3560" s="19" t="n"/>
      <c r="S3560" s="19" t="n"/>
      <c r="T3560" s="19" t="n"/>
      <c r="U3560" s="19" t="n"/>
      <c r="V3560" s="19" t="n"/>
      <c r="W3560" s="19" t="n"/>
      <c r="X3560" s="19" t="n"/>
      <c r="Y3560" s="19" t="n">
        <v>1</v>
      </c>
      <c r="Z3560" s="13">
        <f>SUMPRODUCT(N3560:Y3560,$N$2:$Y$2)*$K3560*$L3560*$M3560</f>
        <v/>
      </c>
      <c r="AA3560" s="14">
        <f>SUM(N3560:Y3560)</f>
        <v/>
      </c>
      <c r="AB3560" s="13">
        <f>SUMPRODUCT(N3560:Y3560,$N$3:$Y$3)*$K3560*$L3560*$M3560</f>
        <v/>
      </c>
      <c r="AC3560" s="13">
        <f>SUMPRODUCT(N3560:Y3560,$N$4:$Y$4)*$K3560*$L3560*$M3560</f>
        <v/>
      </c>
      <c r="AD3560" s="15" t="n">
        <v>3</v>
      </c>
      <c r="AE3560" s="11" t="n">
        <v>1.011296296296296</v>
      </c>
      <c r="AF3560" s="16">
        <f>SUMPRODUCT(N3560:Y3560,$N$5:$Y$5)*$K3560*$L3560*$M3560</f>
        <v/>
      </c>
      <c r="AG3560" s="16">
        <f>SUMPRODUCT(N3560:Y3560,$N$6:$Y$6)*$K3560*$L3560*$M3560</f>
        <v/>
      </c>
      <c r="AH3560" s="20" t="n"/>
    </row>
    <row r="3561">
      <c r="A3561" s="9" t="n">
        <v>642133</v>
      </c>
      <c r="B3561" s="9" t="inlineStr">
        <is>
          <t>Rowdy Tellez</t>
        </is>
      </c>
      <c r="C3561" s="9" t="inlineStr">
        <is>
          <t>TEX</t>
        </is>
      </c>
      <c r="D3561" s="9" t="n">
        <v>32</v>
      </c>
      <c r="E3561" s="18" t="inlineStr">
        <is>
          <t>L</t>
        </is>
      </c>
      <c r="F3561" s="18" t="n"/>
      <c r="G3561" s="9" t="n">
        <v>11</v>
      </c>
      <c r="H3561" s="9" t="n">
        <v>30</v>
      </c>
      <c r="I3561" s="9" t="inlineStr">
        <is>
          <t>Depth (no MLB IP)</t>
        </is>
      </c>
      <c r="J3561" s="18" t="inlineStr">
        <is>
          <t>Opening Day</t>
        </is>
      </c>
      <c r="K3561" s="11">
        <f>IFERROR(INDEX(Roles!$B$17:$B$20,MATCH(J3561,Roles!$A$17:$A$20,0)),1)</f>
        <v/>
      </c>
      <c r="L3561" s="19" t="n">
        <v>1</v>
      </c>
      <c r="M3561" s="11" t="n">
        <v>1</v>
      </c>
      <c r="N3561" s="19" t="n"/>
      <c r="O3561" s="19" t="n"/>
      <c r="P3561" s="19" t="n"/>
      <c r="Q3561" s="19" t="n"/>
      <c r="R3561" s="19" t="n"/>
      <c r="S3561" s="19" t="n"/>
      <c r="T3561" s="19" t="n"/>
      <c r="U3561" s="19" t="n"/>
      <c r="V3561" s="19" t="n"/>
      <c r="W3561" s="19" t="n"/>
      <c r="X3561" s="19" t="n"/>
      <c r="Y3561" s="19" t="n">
        <v>1</v>
      </c>
      <c r="Z3561" s="13">
        <f>SUMPRODUCT(N3561:Y3561,$N$2:$Y$2)*$K3561*$L3561*$M3561</f>
        <v/>
      </c>
      <c r="AA3561" s="14">
        <f>SUM(N3561:Y3561)</f>
        <v/>
      </c>
      <c r="AB3561" s="13">
        <f>SUMPRODUCT(N3561:Y3561,$N$3:$Y$3)*$K3561*$L3561*$M3561</f>
        <v/>
      </c>
      <c r="AC3561" s="13">
        <f>SUMPRODUCT(N3561:Y3561,$N$4:$Y$4)*$K3561*$L3561*$M3561</f>
        <v/>
      </c>
      <c r="AD3561" s="15" t="n">
        <v>2.2</v>
      </c>
      <c r="AE3561" s="11" t="n">
        <v>1.118641975308642</v>
      </c>
      <c r="AF3561" s="16">
        <f>SUMPRODUCT(N3561:Y3561,$N$5:$Y$5)*$K3561*$L3561*$M3561</f>
        <v/>
      </c>
      <c r="AG3561" s="16">
        <f>SUMPRODUCT(N3561:Y3561,$N$6:$Y$6)*$K3561*$L3561*$M3561</f>
        <v/>
      </c>
      <c r="AH3561" s="20" t="n"/>
    </row>
    <row r="3562">
      <c r="A3562" s="9" t="n">
        <v>691739</v>
      </c>
      <c r="B3562" s="9" t="inlineStr">
        <is>
          <t>Will Sanders</t>
        </is>
      </c>
      <c r="C3562" s="9" t="inlineStr">
        <is>
          <t>CHC</t>
        </is>
      </c>
      <c r="D3562" s="9" t="n">
        <v>25</v>
      </c>
      <c r="E3562" s="18" t="inlineStr">
        <is>
          <t>R</t>
        </is>
      </c>
      <c r="F3562" s="18" t="n"/>
      <c r="G3562" s="9" t="n">
        <v>118.25</v>
      </c>
      <c r="H3562" s="9" t="n">
        <v>118.25</v>
      </c>
      <c r="I3562" s="9" t="inlineStr">
        <is>
          <t>Depth (no MLB IP)</t>
        </is>
      </c>
      <c r="J3562" s="18" t="inlineStr">
        <is>
          <t>Opening Day</t>
        </is>
      </c>
      <c r="K3562" s="11">
        <f>IFERROR(INDEX(Roles!$B$17:$B$20,MATCH(J3562,Roles!$A$17:$A$20,0)),1)</f>
        <v/>
      </c>
      <c r="L3562" s="19" t="n">
        <v>1</v>
      </c>
      <c r="M3562" s="11" t="n">
        <v>1</v>
      </c>
      <c r="N3562" s="19" t="n"/>
      <c r="O3562" s="19" t="n"/>
      <c r="P3562" s="19" t="n"/>
      <c r="Q3562" s="19" t="n"/>
      <c r="R3562" s="19" t="n"/>
      <c r="S3562" s="19" t="n"/>
      <c r="T3562" s="19" t="n"/>
      <c r="U3562" s="19" t="n"/>
      <c r="V3562" s="19" t="n"/>
      <c r="W3562" s="19" t="n"/>
      <c r="X3562" s="19" t="n"/>
      <c r="Y3562" s="19" t="n">
        <v>1</v>
      </c>
      <c r="Z3562" s="13">
        <f>SUMPRODUCT(N3562:Y3562,$N$2:$Y$2)*$K3562*$L3562*$M3562</f>
        <v/>
      </c>
      <c r="AA3562" s="14">
        <f>SUM(N3562:Y3562)</f>
        <v/>
      </c>
      <c r="AB3562" s="13">
        <f>SUMPRODUCT(N3562:Y3562,$N$3:$Y$3)*$K3562*$L3562*$M3562</f>
        <v/>
      </c>
      <c r="AC3562" s="13">
        <f>SUMPRODUCT(N3562:Y3562,$N$4:$Y$4)*$K3562*$L3562*$M3562</f>
        <v/>
      </c>
      <c r="AD3562" s="15" t="n">
        <v>3</v>
      </c>
      <c r="AE3562" s="11" t="n">
        <v>1.011296296296296</v>
      </c>
      <c r="AF3562" s="16">
        <f>SUMPRODUCT(N3562:Y3562,$N$5:$Y$5)*$K3562*$L3562*$M3562</f>
        <v/>
      </c>
      <c r="AG3562" s="16">
        <f>SUMPRODUCT(N3562:Y3562,$N$6:$Y$6)*$K3562*$L3562*$M3562</f>
        <v/>
      </c>
      <c r="AH3562" s="20" t="n"/>
    </row>
    <row r="3563">
      <c r="A3563" s="9" t="n">
        <v>663554</v>
      </c>
      <c r="B3563" s="9" t="inlineStr">
        <is>
          <t>Casey Mize</t>
        </is>
      </c>
      <c r="C3563" s="9" t="inlineStr">
        <is>
          <t>SD</t>
        </is>
      </c>
      <c r="D3563" s="9" t="n">
        <v>30</v>
      </c>
      <c r="E3563" s="18" t="inlineStr">
        <is>
          <t>R</t>
        </is>
      </c>
      <c r="F3563" s="18" t="n"/>
      <c r="G3563" s="9" t="n">
        <v>549</v>
      </c>
      <c r="H3563" s="9" t="n">
        <v>1673</v>
      </c>
      <c r="I3563" s="9" t="inlineStr">
        <is>
          <t>Mid-Rotation Starter (SP2-3)</t>
        </is>
      </c>
      <c r="J3563" s="18" t="inlineStr">
        <is>
          <t>Opening Day</t>
        </is>
      </c>
      <c r="K3563" s="11">
        <f>IFERROR(INDEX(Roles!$B$17:$B$20,MATCH(J3563,Roles!$A$17:$A$20,0)),1)</f>
        <v/>
      </c>
      <c r="L3563" s="19" t="n">
        <v>1</v>
      </c>
      <c r="M3563" s="11" t="n">
        <v>1</v>
      </c>
      <c r="N3563" s="19" t="n"/>
      <c r="O3563" s="19" t="n">
        <v>0.5</v>
      </c>
      <c r="P3563" s="19" t="n">
        <v>0.5</v>
      </c>
      <c r="Q3563" s="19" t="n"/>
      <c r="R3563" s="19" t="n"/>
      <c r="S3563" s="19" t="n"/>
      <c r="T3563" s="19" t="n"/>
      <c r="U3563" s="19" t="n"/>
      <c r="V3563" s="19" t="n"/>
      <c r="W3563" s="19" t="n"/>
      <c r="X3563" s="19" t="n"/>
      <c r="Y3563" s="19" t="n"/>
      <c r="Z3563" s="13">
        <f>SUMPRODUCT(N3563:Y3563,$N$2:$Y$2)*$K3563*$L3563*$M3563</f>
        <v/>
      </c>
      <c r="AA3563" s="14">
        <f>SUM(N3563:Y3563)</f>
        <v/>
      </c>
      <c r="AB3563" s="13">
        <f>SUMPRODUCT(N3563:Y3563,$N$3:$Y$3)*$K3563*$L3563*$M3563</f>
        <v/>
      </c>
      <c r="AC3563" s="13">
        <f>SUMPRODUCT(N3563:Y3563,$N$4:$Y$4)*$K3563*$L3563*$M3563</f>
        <v/>
      </c>
      <c r="AD3563" s="15" t="n">
        <v>26</v>
      </c>
      <c r="AE3563" s="11" t="n">
        <v>5.16682749747266</v>
      </c>
      <c r="AF3563" s="16">
        <f>SUMPRODUCT(N3563:Y3563,$N$5:$Y$5)*$K3563*$L3563*$M3563</f>
        <v/>
      </c>
      <c r="AG3563" s="16">
        <f>SUMPRODUCT(N3563:Y3563,$N$6:$Y$6)*$K3563*$L3563*$M3563</f>
        <v/>
      </c>
      <c r="AH3563" s="20" t="n"/>
    </row>
    <row r="3564">
      <c r="A3564" s="9" t="n">
        <v>806188</v>
      </c>
      <c r="B3564" s="9" t="inlineStr">
        <is>
          <t>Cade Gibson</t>
        </is>
      </c>
      <c r="C3564" s="9" t="inlineStr">
        <is>
          <t>MIA</t>
        </is>
      </c>
      <c r="D3564" s="9" t="n">
        <v>29</v>
      </c>
      <c r="E3564" s="18" t="inlineStr">
        <is>
          <t>L</t>
        </is>
      </c>
      <c r="F3564" s="18" t="n"/>
      <c r="G3564" s="9" t="n">
        <v>221</v>
      </c>
      <c r="H3564" s="9" t="n">
        <v>451</v>
      </c>
      <c r="I3564" s="9" t="inlineStr">
        <is>
          <t>Middle Relief</t>
        </is>
      </c>
      <c r="J3564" s="18" t="inlineStr">
        <is>
          <t>Opening Day</t>
        </is>
      </c>
      <c r="K3564" s="11">
        <f>IFERROR(INDEX(Roles!$B$17:$B$20,MATCH(J3564,Roles!$A$17:$A$20,0)),1)</f>
        <v/>
      </c>
      <c r="L3564" s="19" t="n">
        <v>1</v>
      </c>
      <c r="M3564" s="11" t="n">
        <v>1</v>
      </c>
      <c r="N3564" s="19" t="n"/>
      <c r="O3564" s="19" t="n"/>
      <c r="P3564" s="19" t="n"/>
      <c r="Q3564" s="19" t="n"/>
      <c r="R3564" s="19" t="n"/>
      <c r="S3564" s="19" t="n"/>
      <c r="T3564" s="19" t="n"/>
      <c r="U3564" s="19" t="n"/>
      <c r="V3564" s="19" t="n">
        <v>0.6</v>
      </c>
      <c r="W3564" s="19" t="n">
        <v>0.4</v>
      </c>
      <c r="X3564" s="19" t="n"/>
      <c r="Y3564" s="19" t="n"/>
      <c r="Z3564" s="13">
        <f>SUMPRODUCT(N3564:Y3564,$N$2:$Y$2)*$K3564*$L3564*$M3564</f>
        <v/>
      </c>
      <c r="AA3564" s="14">
        <f>SUM(N3564:Y3564)</f>
        <v/>
      </c>
      <c r="AB3564" s="13">
        <f>SUMPRODUCT(N3564:Y3564,$N$3:$Y$3)*$K3564*$L3564*$M3564</f>
        <v/>
      </c>
      <c r="AC3564" s="13">
        <f>SUMPRODUCT(N3564:Y3564,$N$4:$Y$4)*$K3564*$L3564*$M3564</f>
        <v/>
      </c>
      <c r="AD3564" s="15" t="n">
        <v>42.21333333333333</v>
      </c>
      <c r="AE3564" s="11" t="n">
        <v>1.068086025813745</v>
      </c>
      <c r="AF3564" s="16">
        <f>SUMPRODUCT(N3564:Y3564,$N$5:$Y$5)*$K3564*$L3564*$M3564</f>
        <v/>
      </c>
      <c r="AG3564" s="16">
        <f>SUMPRODUCT(N3564:Y3564,$N$6:$Y$6)*$K3564*$L3564*$M3564</f>
        <v/>
      </c>
      <c r="AH3564" s="20" t="n"/>
    </row>
    <row r="3565">
      <c r="A3565" s="9" t="n">
        <v>669387</v>
      </c>
      <c r="B3565" s="9" t="inlineStr">
        <is>
          <t>Carmen Mlodzinski</t>
        </is>
      </c>
      <c r="C3565" s="9" t="inlineStr">
        <is>
          <t>PIT</t>
        </is>
      </c>
      <c r="D3565" s="9" t="n">
        <v>28</v>
      </c>
      <c r="E3565" s="18" t="inlineStr">
        <is>
          <t>R</t>
        </is>
      </c>
      <c r="F3565" s="18" t="n"/>
      <c r="G3565" s="9" t="n">
        <v>537</v>
      </c>
      <c r="H3565" s="9" t="n">
        <v>1317</v>
      </c>
      <c r="I3565" s="9" t="inlineStr">
        <is>
          <t>Swing Arm / Long Relief</t>
        </is>
      </c>
      <c r="J3565" s="18" t="inlineStr">
        <is>
          <t>Opening Day</t>
        </is>
      </c>
      <c r="K3565" s="11">
        <f>IFERROR(INDEX(Roles!$B$17:$B$20,MATCH(J3565,Roles!$A$17:$A$20,0)),1)</f>
        <v/>
      </c>
      <c r="L3565" s="19" t="n">
        <v>1</v>
      </c>
      <c r="M3565" s="11" t="n">
        <v>1</v>
      </c>
      <c r="N3565" s="19" t="n"/>
      <c r="O3565" s="19" t="n"/>
      <c r="P3565" s="19" t="n"/>
      <c r="Q3565" s="19" t="n"/>
      <c r="R3565" s="19" t="n">
        <v>0.6</v>
      </c>
      <c r="S3565" s="19" t="n"/>
      <c r="T3565" s="19" t="n"/>
      <c r="U3565" s="19" t="n"/>
      <c r="V3565" s="19" t="n">
        <v>0.4</v>
      </c>
      <c r="W3565" s="19" t="n"/>
      <c r="X3565" s="19" t="n"/>
      <c r="Y3565" s="19" t="n"/>
      <c r="Z3565" s="13">
        <f>SUMPRODUCT(N3565:Y3565,$N$2:$Y$2)*$K3565*$L3565*$M3565</f>
        <v/>
      </c>
      <c r="AA3565" s="14">
        <f>SUM(N3565:Y3565)</f>
        <v/>
      </c>
      <c r="AB3565" s="13">
        <f>SUMPRODUCT(N3565:Y3565,$N$3:$Y$3)*$K3565*$L3565*$M3565</f>
        <v/>
      </c>
      <c r="AC3565" s="13">
        <f>SUMPRODUCT(N3565:Y3565,$N$4:$Y$4)*$K3565*$L3565*$M3565</f>
        <v/>
      </c>
      <c r="AD3565" s="15" t="n">
        <v>30.03333333333333</v>
      </c>
      <c r="AE3565" s="11" t="n">
        <v>2.608620073026092</v>
      </c>
      <c r="AF3565" s="16">
        <f>SUMPRODUCT(N3565:Y3565,$N$5:$Y$5)*$K3565*$L3565*$M3565</f>
        <v/>
      </c>
      <c r="AG3565" s="16">
        <f>SUMPRODUCT(N3565:Y3565,$N$6:$Y$6)*$K3565*$L3565*$M3565</f>
        <v/>
      </c>
      <c r="AH3565" s="20" t="n"/>
    </row>
    <row r="3566">
      <c r="A3566" s="9" t="n">
        <v>699911</v>
      </c>
      <c r="B3566" s="9" t="inlineStr">
        <is>
          <t>Dugan Darnell</t>
        </is>
      </c>
      <c r="C3566" s="9" t="inlineStr">
        <is>
          <t>COL</t>
        </is>
      </c>
      <c r="D3566" s="9" t="n">
        <v>30</v>
      </c>
      <c r="E3566" s="18" t="inlineStr">
        <is>
          <t>R</t>
        </is>
      </c>
      <c r="F3566" s="18" t="n"/>
      <c r="G3566" s="9" t="n">
        <v>48</v>
      </c>
      <c r="H3566" s="9" t="n">
        <v>48</v>
      </c>
      <c r="I3566" s="9" t="inlineStr">
        <is>
          <t>Bullpen Depth Arm</t>
        </is>
      </c>
      <c r="J3566" s="18" t="inlineStr">
        <is>
          <t>Opening Day</t>
        </is>
      </c>
      <c r="K3566" s="11">
        <f>IFERROR(INDEX(Roles!$B$17:$B$20,MATCH(J3566,Roles!$A$17:$A$20,0)),1)</f>
        <v/>
      </c>
      <c r="L3566" s="19" t="n">
        <v>1</v>
      </c>
      <c r="M3566" s="11" t="n">
        <v>1</v>
      </c>
      <c r="N3566" s="19" t="n"/>
      <c r="O3566" s="19" t="n"/>
      <c r="P3566" s="19" t="n"/>
      <c r="Q3566" s="19" t="n"/>
      <c r="R3566" s="19" t="n"/>
      <c r="S3566" s="19" t="n"/>
      <c r="T3566" s="19" t="n"/>
      <c r="U3566" s="19" t="n"/>
      <c r="V3566" s="19" t="n"/>
      <c r="W3566" s="19" t="n">
        <v>1</v>
      </c>
      <c r="X3566" s="19" t="n"/>
      <c r="Y3566" s="19" t="n"/>
      <c r="Z3566" s="13">
        <f>SUMPRODUCT(N3566:Y3566,$N$2:$Y$2)*$K3566*$L3566*$M3566</f>
        <v/>
      </c>
      <c r="AA3566" s="14">
        <f>SUM(N3566:Y3566)</f>
        <v/>
      </c>
      <c r="AB3566" s="13">
        <f>SUMPRODUCT(N3566:Y3566,$N$3:$Y$3)*$K3566*$L3566*$M3566</f>
        <v/>
      </c>
      <c r="AC3566" s="13">
        <f>SUMPRODUCT(N3566:Y3566,$N$4:$Y$4)*$K3566*$L3566*$M3566</f>
        <v/>
      </c>
      <c r="AD3566" s="15" t="n">
        <v>11.06666666666667</v>
      </c>
      <c r="AE3566" s="11" t="n">
        <v>1.233605900272567</v>
      </c>
      <c r="AF3566" s="16">
        <f>SUMPRODUCT(N3566:Y3566,$N$5:$Y$5)*$K3566*$L3566*$M3566</f>
        <v/>
      </c>
      <c r="AG3566" s="16">
        <f>SUMPRODUCT(N3566:Y3566,$N$6:$Y$6)*$K3566*$L3566*$M3566</f>
        <v/>
      </c>
      <c r="AH3566" s="20" t="n"/>
    </row>
    <row r="3567">
      <c r="A3567" s="9" t="n">
        <v>809254</v>
      </c>
      <c r="B3567" s="9" t="inlineStr">
        <is>
          <t>Anthony Eyanson</t>
        </is>
      </c>
      <c r="C3567" s="9" t="inlineStr">
        <is>
          <t>BAL</t>
        </is>
      </c>
      <c r="D3567" s="9" t="n">
        <v>23</v>
      </c>
      <c r="E3567" s="18" t="inlineStr">
        <is>
          <t>R</t>
        </is>
      </c>
      <c r="F3567" s="18" t="n"/>
      <c r="G3567" s="9" t="n">
        <v>118.895</v>
      </c>
      <c r="H3567" s="9" t="n">
        <v>118.895</v>
      </c>
      <c r="I3567" s="9" t="inlineStr">
        <is>
          <t>Innings-Limited Starter</t>
        </is>
      </c>
      <c r="J3567" s="18" t="inlineStr">
        <is>
          <t>Mid Season (~July)</t>
        </is>
      </c>
      <c r="K3567" s="11">
        <f>IFERROR(INDEX(Roles!$B$17:$B$20,MATCH(J3567,Roles!$A$17:$A$20,0)),1)</f>
        <v/>
      </c>
      <c r="L3567" s="19" t="n">
        <v>1</v>
      </c>
      <c r="M3567" s="11" t="n">
        <v>1</v>
      </c>
      <c r="N3567" s="19" t="n"/>
      <c r="O3567" s="19" t="n"/>
      <c r="P3567" s="19" t="n"/>
      <c r="Q3567" s="19" t="n">
        <v>0.46</v>
      </c>
      <c r="R3567" s="19" t="n">
        <v>0.3</v>
      </c>
      <c r="S3567" s="19" t="n"/>
      <c r="T3567" s="19" t="n"/>
      <c r="U3567" s="19" t="n"/>
      <c r="V3567" s="19" t="n"/>
      <c r="W3567" s="19" t="n">
        <v>0.24</v>
      </c>
      <c r="X3567" s="19" t="n"/>
      <c r="Y3567" s="19" t="n"/>
      <c r="Z3567" s="13">
        <f>SUMPRODUCT(N3567:Y3567,$N$2:$Y$2)*$K3567*$L3567*$M3567</f>
        <v/>
      </c>
      <c r="AA3567" s="14">
        <f>SUM(N3567:Y3567)</f>
        <v/>
      </c>
      <c r="AB3567" s="13">
        <f>SUMPRODUCT(N3567:Y3567,$N$3:$Y$3)*$K3567*$L3567*$M3567</f>
        <v/>
      </c>
      <c r="AC3567" s="13">
        <f>SUMPRODUCT(N3567:Y3567,$N$4:$Y$4)*$K3567*$L3567*$M3567</f>
        <v/>
      </c>
      <c r="AD3567" s="15" t="n">
        <v>27.52</v>
      </c>
      <c r="AE3567" s="11" t="n">
        <v>3.223110465116278</v>
      </c>
      <c r="AF3567" s="16">
        <f>SUMPRODUCT(N3567:Y3567,$N$5:$Y$5)*$K3567*$L3567*$M3567</f>
        <v/>
      </c>
      <c r="AG3567" s="16">
        <f>SUMPRODUCT(N3567:Y3567,$N$6:$Y$6)*$K3567*$L3567*$M3567</f>
        <v/>
      </c>
      <c r="AH3567" s="20" t="n"/>
    </row>
    <row r="3568">
      <c r="A3568" s="9" t="n">
        <v>686811</v>
      </c>
      <c r="B3568" s="9" t="inlineStr">
        <is>
          <t>Carter Rustad</t>
        </is>
      </c>
      <c r="C3568" s="9" t="inlineStr">
        <is>
          <t>CLE</t>
        </is>
      </c>
      <c r="D3568" s="9" t="n">
        <v>25</v>
      </c>
      <c r="E3568" s="18" t="inlineStr">
        <is>
          <t>R</t>
        </is>
      </c>
      <c r="F3568" s="18" t="n"/>
      <c r="G3568" s="9" t="n">
        <v>118.895</v>
      </c>
      <c r="H3568" s="9" t="n">
        <v>118.895</v>
      </c>
      <c r="I3568" s="9" t="inlineStr">
        <is>
          <t>Depth (no MLB IP)</t>
        </is>
      </c>
      <c r="J3568" s="18" t="inlineStr">
        <is>
          <t>Opening Day</t>
        </is>
      </c>
      <c r="K3568" s="11">
        <f>IFERROR(INDEX(Roles!$B$17:$B$20,MATCH(J3568,Roles!$A$17:$A$20,0)),1)</f>
        <v/>
      </c>
      <c r="L3568" s="19" t="n">
        <v>1</v>
      </c>
      <c r="M3568" s="11" t="n">
        <v>1</v>
      </c>
      <c r="N3568" s="19" t="n"/>
      <c r="O3568" s="19" t="n"/>
      <c r="P3568" s="19" t="n"/>
      <c r="Q3568" s="19" t="n"/>
      <c r="R3568" s="19" t="n"/>
      <c r="S3568" s="19" t="n"/>
      <c r="T3568" s="19" t="n"/>
      <c r="U3568" s="19" t="n"/>
      <c r="V3568" s="19" t="n"/>
      <c r="W3568" s="19" t="n"/>
      <c r="X3568" s="19" t="n"/>
      <c r="Y3568" s="19" t="n">
        <v>1</v>
      </c>
      <c r="Z3568" s="13">
        <f>SUMPRODUCT(N3568:Y3568,$N$2:$Y$2)*$K3568*$L3568*$M3568</f>
        <v/>
      </c>
      <c r="AA3568" s="14">
        <f>SUM(N3568:Y3568)</f>
        <v/>
      </c>
      <c r="AB3568" s="13">
        <f>SUMPRODUCT(N3568:Y3568,$N$3:$Y$3)*$K3568*$L3568*$M3568</f>
        <v/>
      </c>
      <c r="AC3568" s="13">
        <f>SUMPRODUCT(N3568:Y3568,$N$4:$Y$4)*$K3568*$L3568*$M3568</f>
        <v/>
      </c>
      <c r="AD3568" s="15" t="n">
        <v>3</v>
      </c>
      <c r="AE3568" s="11" t="n">
        <v>1.011296296296296</v>
      </c>
      <c r="AF3568" s="16">
        <f>SUMPRODUCT(N3568:Y3568,$N$5:$Y$5)*$K3568*$L3568*$M3568</f>
        <v/>
      </c>
      <c r="AG3568" s="16">
        <f>SUMPRODUCT(N3568:Y3568,$N$6:$Y$6)*$K3568*$L3568*$M3568</f>
        <v/>
      </c>
      <c r="AH3568" s="20" t="n"/>
    </row>
    <row r="3569">
      <c r="A3569" s="9" t="n">
        <v>593619</v>
      </c>
      <c r="B3569" s="9" t="inlineStr">
        <is>
          <t>Domingo Tapia</t>
        </is>
      </c>
      <c r="C3569" s="9" t="inlineStr">
        <is>
          <t>SD</t>
        </is>
      </c>
      <c r="D3569" s="9" t="n">
        <v>35</v>
      </c>
      <c r="E3569" s="18" t="inlineStr">
        <is>
          <t>R</t>
        </is>
      </c>
      <c r="F3569" s="18" t="n"/>
      <c r="G3569" s="9" t="n">
        <v>75</v>
      </c>
      <c r="H3569" s="9" t="n">
        <v>165</v>
      </c>
      <c r="I3569" s="9" t="inlineStr">
        <is>
          <t>Depth (no MLB IP)</t>
        </is>
      </c>
      <c r="J3569" s="18" t="inlineStr">
        <is>
          <t>Opening Day</t>
        </is>
      </c>
      <c r="K3569" s="11">
        <f>IFERROR(INDEX(Roles!$B$17:$B$20,MATCH(J3569,Roles!$A$17:$A$20,0)),1)</f>
        <v/>
      </c>
      <c r="L3569" s="19" t="n">
        <v>1</v>
      </c>
      <c r="M3569" s="11" t="n">
        <v>1</v>
      </c>
      <c r="N3569" s="19" t="n"/>
      <c r="O3569" s="19" t="n"/>
      <c r="P3569" s="19" t="n"/>
      <c r="Q3569" s="19" t="n"/>
      <c r="R3569" s="19" t="n"/>
      <c r="S3569" s="19" t="n"/>
      <c r="T3569" s="19" t="n"/>
      <c r="U3569" s="19" t="n"/>
      <c r="V3569" s="19" t="n"/>
      <c r="W3569" s="19" t="n"/>
      <c r="X3569" s="19" t="n"/>
      <c r="Y3569" s="19" t="n">
        <v>1</v>
      </c>
      <c r="Z3569" s="13">
        <f>SUMPRODUCT(N3569:Y3569,$N$2:$Y$2)*$K3569*$L3569*$M3569</f>
        <v/>
      </c>
      <c r="AA3569" s="14">
        <f>SUM(N3569:Y3569)</f>
        <v/>
      </c>
      <c r="AB3569" s="13">
        <f>SUMPRODUCT(N3569:Y3569,$N$3:$Y$3)*$K3569*$L3569*$M3569</f>
        <v/>
      </c>
      <c r="AC3569" s="13">
        <f>SUMPRODUCT(N3569:Y3569,$N$4:$Y$4)*$K3569*$L3569*$M3569</f>
        <v/>
      </c>
      <c r="AD3569" s="15" t="n">
        <v>3</v>
      </c>
      <c r="AE3569" s="11" t="n">
        <v>1.011296296296296</v>
      </c>
      <c r="AF3569" s="16">
        <f>SUMPRODUCT(N3569:Y3569,$N$5:$Y$5)*$K3569*$L3569*$M3569</f>
        <v/>
      </c>
      <c r="AG3569" s="16">
        <f>SUMPRODUCT(N3569:Y3569,$N$6:$Y$6)*$K3569*$L3569*$M3569</f>
        <v/>
      </c>
      <c r="AH3569" s="20" t="n"/>
    </row>
    <row r="3570">
      <c r="A3570" s="9" t="n">
        <v>592288</v>
      </c>
      <c r="B3570" s="9" t="inlineStr">
        <is>
          <t>Kent Emanuel</t>
        </is>
      </c>
      <c r="C3570" s="9" t="inlineStr">
        <is>
          <t>MIA</t>
        </is>
      </c>
      <c r="D3570" s="9" t="n">
        <v>35</v>
      </c>
      <c r="E3570" s="18" t="inlineStr">
        <is>
          <t>L</t>
        </is>
      </c>
      <c r="F3570" s="18" t="n"/>
      <c r="G3570" s="9" t="n">
        <v>23</v>
      </c>
      <c r="H3570" s="9" t="n">
        <v>105</v>
      </c>
      <c r="I3570" s="9" t="inlineStr">
        <is>
          <t>Depth (no MLB IP)</t>
        </is>
      </c>
      <c r="J3570" s="18" t="inlineStr">
        <is>
          <t>Opening Day</t>
        </is>
      </c>
      <c r="K3570" s="11">
        <f>IFERROR(INDEX(Roles!$B$17:$B$20,MATCH(J3570,Roles!$A$17:$A$20,0)),1)</f>
        <v/>
      </c>
      <c r="L3570" s="19" t="n">
        <v>1</v>
      </c>
      <c r="M3570" s="11" t="n">
        <v>1</v>
      </c>
      <c r="N3570" s="19" t="n"/>
      <c r="O3570" s="19" t="n"/>
      <c r="P3570" s="19" t="n"/>
      <c r="Q3570" s="19" t="n"/>
      <c r="R3570" s="19" t="n"/>
      <c r="S3570" s="19" t="n"/>
      <c r="T3570" s="19" t="n"/>
      <c r="U3570" s="19" t="n"/>
      <c r="V3570" s="19" t="n"/>
      <c r="W3570" s="19" t="n"/>
      <c r="X3570" s="19" t="n"/>
      <c r="Y3570" s="19" t="n">
        <v>1</v>
      </c>
      <c r="Z3570" s="13">
        <f>SUMPRODUCT(N3570:Y3570,$N$2:$Y$2)*$K3570*$L3570*$M3570</f>
        <v/>
      </c>
      <c r="AA3570" s="14">
        <f>SUM(N3570:Y3570)</f>
        <v/>
      </c>
      <c r="AB3570" s="13">
        <f>SUMPRODUCT(N3570:Y3570,$N$3:$Y$3)*$K3570*$L3570*$M3570</f>
        <v/>
      </c>
      <c r="AC3570" s="13">
        <f>SUMPRODUCT(N3570:Y3570,$N$4:$Y$4)*$K3570*$L3570*$M3570</f>
        <v/>
      </c>
      <c r="AD3570" s="15" t="n">
        <v>3.45</v>
      </c>
      <c r="AE3570" s="11" t="n">
        <v>1.400123456790124</v>
      </c>
      <c r="AF3570" s="16">
        <f>SUMPRODUCT(N3570:Y3570,$N$5:$Y$5)*$K3570*$L3570*$M3570</f>
        <v/>
      </c>
      <c r="AG3570" s="16">
        <f>SUMPRODUCT(N3570:Y3570,$N$6:$Y$6)*$K3570*$L3570*$M3570</f>
        <v/>
      </c>
      <c r="AH3570" s="20" t="n"/>
    </row>
    <row r="3571">
      <c r="A3571" s="9" t="n">
        <v>694885</v>
      </c>
      <c r="B3571" s="9" t="inlineStr">
        <is>
          <t>Ryan Murphy</t>
        </is>
      </c>
      <c r="C3571" s="9" t="inlineStr">
        <is>
          <t>STL</t>
        </is>
      </c>
      <c r="D3571" s="9" t="n">
        <v>25</v>
      </c>
      <c r="E3571" s="18" t="inlineStr">
        <is>
          <t>R</t>
        </is>
      </c>
      <c r="F3571" s="18" t="n"/>
      <c r="G3571" s="9" t="n">
        <v>119.0383333333333</v>
      </c>
      <c r="H3571" s="9" t="n">
        <v>119.0383333333333</v>
      </c>
      <c r="I3571" s="9" t="inlineStr">
        <is>
          <t>Depth (no MLB IP)</t>
        </is>
      </c>
      <c r="J3571" s="18" t="inlineStr">
        <is>
          <t>Opening Day</t>
        </is>
      </c>
      <c r="K3571" s="11">
        <f>IFERROR(INDEX(Roles!$B$17:$B$20,MATCH(J3571,Roles!$A$17:$A$20,0)),1)</f>
        <v/>
      </c>
      <c r="L3571" s="19" t="n">
        <v>1</v>
      </c>
      <c r="M3571" s="11" t="n">
        <v>1</v>
      </c>
      <c r="N3571" s="19" t="n"/>
      <c r="O3571" s="19" t="n"/>
      <c r="P3571" s="19" t="n"/>
      <c r="Q3571" s="19" t="n"/>
      <c r="R3571" s="19" t="n"/>
      <c r="S3571" s="19" t="n"/>
      <c r="T3571" s="19" t="n"/>
      <c r="U3571" s="19" t="n"/>
      <c r="V3571" s="19" t="n"/>
      <c r="W3571" s="19" t="n"/>
      <c r="X3571" s="19" t="n"/>
      <c r="Y3571" s="19" t="n">
        <v>1</v>
      </c>
      <c r="Z3571" s="13">
        <f>SUMPRODUCT(N3571:Y3571,$N$2:$Y$2)*$K3571*$L3571*$M3571</f>
        <v/>
      </c>
      <c r="AA3571" s="14">
        <f>SUM(N3571:Y3571)</f>
        <v/>
      </c>
      <c r="AB3571" s="13">
        <f>SUMPRODUCT(N3571:Y3571,$N$3:$Y$3)*$K3571*$L3571*$M3571</f>
        <v/>
      </c>
      <c r="AC3571" s="13">
        <f>SUMPRODUCT(N3571:Y3571,$N$4:$Y$4)*$K3571*$L3571*$M3571</f>
        <v/>
      </c>
      <c r="AD3571" s="15" t="n">
        <v>3</v>
      </c>
      <c r="AE3571" s="11" t="n">
        <v>1.011296296296296</v>
      </c>
      <c r="AF3571" s="16">
        <f>SUMPRODUCT(N3571:Y3571,$N$5:$Y$5)*$K3571*$L3571*$M3571</f>
        <v/>
      </c>
      <c r="AG3571" s="16">
        <f>SUMPRODUCT(N3571:Y3571,$N$6:$Y$6)*$K3571*$L3571*$M3571</f>
        <v/>
      </c>
      <c r="AH3571" s="20" t="n"/>
    </row>
    <row r="3572">
      <c r="A3572" s="9" t="n">
        <v>622569</v>
      </c>
      <c r="B3572" s="9" t="inlineStr">
        <is>
          <t>Pablo Reyes</t>
        </is>
      </c>
      <c r="C3572" s="9" t="inlineStr">
        <is>
          <t>NYY</t>
        </is>
      </c>
      <c r="D3572" s="9" t="n">
        <v>33</v>
      </c>
      <c r="E3572" s="18" t="inlineStr">
        <is>
          <t>R</t>
        </is>
      </c>
      <c r="F3572" s="18" t="n"/>
      <c r="G3572" s="9" t="n">
        <v>8</v>
      </c>
      <c r="H3572" s="9" t="n">
        <v>29</v>
      </c>
      <c r="I3572" s="9" t="inlineStr">
        <is>
          <t>Depth (no MLB IP)</t>
        </is>
      </c>
      <c r="J3572" s="18" t="inlineStr">
        <is>
          <t>Opening Day</t>
        </is>
      </c>
      <c r="K3572" s="11">
        <f>IFERROR(INDEX(Roles!$B$17:$B$20,MATCH(J3572,Roles!$A$17:$A$20,0)),1)</f>
        <v/>
      </c>
      <c r="L3572" s="19" t="n">
        <v>1</v>
      </c>
      <c r="M3572" s="11" t="n">
        <v>1</v>
      </c>
      <c r="N3572" s="19" t="n"/>
      <c r="O3572" s="19" t="n"/>
      <c r="P3572" s="19" t="n"/>
      <c r="Q3572" s="19" t="n"/>
      <c r="R3572" s="19" t="n"/>
      <c r="S3572" s="19" t="n"/>
      <c r="T3572" s="19" t="n"/>
      <c r="U3572" s="19" t="n"/>
      <c r="V3572" s="19" t="n"/>
      <c r="W3572" s="19" t="n"/>
      <c r="X3572" s="19" t="n"/>
      <c r="Y3572" s="19" t="n">
        <v>1</v>
      </c>
      <c r="Z3572" s="13">
        <f>SUMPRODUCT(N3572:Y3572,$N$2:$Y$2)*$K3572*$L3572*$M3572</f>
        <v/>
      </c>
      <c r="AA3572" s="14">
        <f>SUM(N3572:Y3572)</f>
        <v/>
      </c>
      <c r="AB3572" s="13">
        <f>SUMPRODUCT(N3572:Y3572,$N$3:$Y$3)*$K3572*$L3572*$M3572</f>
        <v/>
      </c>
      <c r="AC3572" s="13">
        <f>SUMPRODUCT(N3572:Y3572,$N$4:$Y$4)*$K3572*$L3572*$M3572</f>
        <v/>
      </c>
      <c r="AD3572" s="15" t="n">
        <v>1.8</v>
      </c>
      <c r="AE3572" s="11" t="n">
        <v>1.007530864197531</v>
      </c>
      <c r="AF3572" s="16">
        <f>SUMPRODUCT(N3572:Y3572,$N$5:$Y$5)*$K3572*$L3572*$M3572</f>
        <v/>
      </c>
      <c r="AG3572" s="16">
        <f>SUMPRODUCT(N3572:Y3572,$N$6:$Y$6)*$K3572*$L3572*$M3572</f>
        <v/>
      </c>
      <c r="AH3572" s="20" t="n"/>
    </row>
    <row r="3573">
      <c r="A3573" s="9" t="n">
        <v>664702</v>
      </c>
      <c r="B3573" s="9" t="inlineStr">
        <is>
          <t>Myles Straw</t>
        </is>
      </c>
      <c r="C3573" s="9" t="inlineStr">
        <is>
          <t>TOR</t>
        </is>
      </c>
      <c r="D3573" s="9" t="n">
        <v>32</v>
      </c>
      <c r="E3573" s="18" t="inlineStr">
        <is>
          <t>R</t>
        </is>
      </c>
      <c r="F3573" s="18" t="n"/>
      <c r="G3573" s="9" t="n">
        <v>20</v>
      </c>
      <c r="H3573" s="9" t="n">
        <v>20</v>
      </c>
      <c r="I3573" s="9" t="inlineStr">
        <is>
          <t>Depth (no MLB IP)</t>
        </is>
      </c>
      <c r="J3573" s="18" t="inlineStr">
        <is>
          <t>Opening Day</t>
        </is>
      </c>
      <c r="K3573" s="11">
        <f>IFERROR(INDEX(Roles!$B$17:$B$20,MATCH(J3573,Roles!$A$17:$A$20,0)),1)</f>
        <v/>
      </c>
      <c r="L3573" s="19" t="n">
        <v>1</v>
      </c>
      <c r="M3573" s="11" t="n">
        <v>1</v>
      </c>
      <c r="N3573" s="19" t="n"/>
      <c r="O3573" s="19" t="n"/>
      <c r="P3573" s="19" t="n"/>
      <c r="Q3573" s="19" t="n"/>
      <c r="R3573" s="19" t="n"/>
      <c r="S3573" s="19" t="n"/>
      <c r="T3573" s="19" t="n"/>
      <c r="U3573" s="19" t="n"/>
      <c r="V3573" s="19" t="n"/>
      <c r="W3573" s="19" t="n"/>
      <c r="X3573" s="19" t="n"/>
      <c r="Y3573" s="19" t="n">
        <v>1</v>
      </c>
      <c r="Z3573" s="13">
        <f>SUMPRODUCT(N3573:Y3573,$N$2:$Y$2)*$K3573*$L3573*$M3573</f>
        <v/>
      </c>
      <c r="AA3573" s="14">
        <f>SUM(N3573:Y3573)</f>
        <v/>
      </c>
      <c r="AB3573" s="13">
        <f>SUMPRODUCT(N3573:Y3573,$N$3:$Y$3)*$K3573*$L3573*$M3573</f>
        <v/>
      </c>
      <c r="AC3573" s="13">
        <f>SUMPRODUCT(N3573:Y3573,$N$4:$Y$4)*$K3573*$L3573*$M3573</f>
        <v/>
      </c>
      <c r="AD3573" s="15" t="n">
        <v>3.6</v>
      </c>
      <c r="AE3573" s="11" t="n">
        <v>1.007530864197531</v>
      </c>
      <c r="AF3573" s="16">
        <f>SUMPRODUCT(N3573:Y3573,$N$5:$Y$5)*$K3573*$L3573*$M3573</f>
        <v/>
      </c>
      <c r="AG3573" s="16">
        <f>SUMPRODUCT(N3573:Y3573,$N$6:$Y$6)*$K3573*$L3573*$M3573</f>
        <v/>
      </c>
      <c r="AH3573" s="20" t="n"/>
    </row>
    <row r="3574">
      <c r="A3574" s="9" t="n">
        <v>650893</v>
      </c>
      <c r="B3574" s="9" t="inlineStr">
        <is>
          <t>Génesis Cabrera</t>
        </is>
      </c>
      <c r="C3574" s="9" t="inlineStr">
        <is>
          <t>MIN</t>
        </is>
      </c>
      <c r="D3574" s="9" t="n">
        <v>30</v>
      </c>
      <c r="E3574" s="18" t="inlineStr">
        <is>
          <t>L</t>
        </is>
      </c>
      <c r="F3574" s="18" t="n"/>
      <c r="G3574" s="9" t="n">
        <v>187</v>
      </c>
      <c r="H3574" s="9" t="n">
        <v>891</v>
      </c>
      <c r="I3574" s="9" t="inlineStr">
        <is>
          <t>Bullpen Depth Arm</t>
        </is>
      </c>
      <c r="J3574" s="18" t="inlineStr">
        <is>
          <t>Opening Day</t>
        </is>
      </c>
      <c r="K3574" s="11">
        <f>IFERROR(INDEX(Roles!$B$17:$B$20,MATCH(J3574,Roles!$A$17:$A$20,0)),1)</f>
        <v/>
      </c>
      <c r="L3574" s="19" t="n">
        <v>1</v>
      </c>
      <c r="M3574" s="11" t="n">
        <v>1</v>
      </c>
      <c r="N3574" s="19" t="n"/>
      <c r="O3574" s="19" t="n"/>
      <c r="P3574" s="19" t="n"/>
      <c r="Q3574" s="19" t="n"/>
      <c r="R3574" s="19" t="n"/>
      <c r="S3574" s="19" t="n"/>
      <c r="T3574" s="19" t="n"/>
      <c r="U3574" s="19" t="n"/>
      <c r="V3574" s="19" t="n"/>
      <c r="W3574" s="19" t="n">
        <v>1</v>
      </c>
      <c r="X3574" s="19" t="n"/>
      <c r="Y3574" s="19" t="n"/>
      <c r="Z3574" s="13">
        <f>SUMPRODUCT(N3574:Y3574,$N$2:$Y$2)*$K3574*$L3574*$M3574</f>
        <v/>
      </c>
      <c r="AA3574" s="14">
        <f>SUM(N3574:Y3574)</f>
        <v/>
      </c>
      <c r="AB3574" s="13">
        <f>SUMPRODUCT(N3574:Y3574,$N$3:$Y$3)*$K3574*$L3574*$M3574</f>
        <v/>
      </c>
      <c r="AC3574" s="13">
        <f>SUMPRODUCT(N3574:Y3574,$N$4:$Y$4)*$K3574*$L3574*$M3574</f>
        <v/>
      </c>
      <c r="AD3574" s="15" t="n">
        <v>35.46666666666667</v>
      </c>
      <c r="AE3574" s="11" t="n">
        <v>1.132603331708477</v>
      </c>
      <c r="AF3574" s="16">
        <f>SUMPRODUCT(N3574:Y3574,$N$5:$Y$5)*$K3574*$L3574*$M3574</f>
        <v/>
      </c>
      <c r="AG3574" s="16">
        <f>SUMPRODUCT(N3574:Y3574,$N$6:$Y$6)*$K3574*$L3574*$M3574</f>
        <v/>
      </c>
      <c r="AH3574" s="20" t="n"/>
    </row>
    <row r="3575">
      <c r="A3575" s="9" t="n">
        <v>663897</v>
      </c>
      <c r="B3575" s="9" t="inlineStr">
        <is>
          <t>Luke Williams</t>
        </is>
      </c>
      <c r="C3575" s="9" t="inlineStr">
        <is>
          <t>ATL</t>
        </is>
      </c>
      <c r="D3575" s="9" t="n">
        <v>30</v>
      </c>
      <c r="E3575" s="18" t="inlineStr">
        <is>
          <t>R</t>
        </is>
      </c>
      <c r="F3575" s="18" t="n"/>
      <c r="G3575" s="9" t="n">
        <v>25</v>
      </c>
      <c r="H3575" s="9" t="n">
        <v>47</v>
      </c>
      <c r="I3575" s="9" t="inlineStr">
        <is>
          <t>Bullpen Depth Arm</t>
        </is>
      </c>
      <c r="J3575" s="18" t="inlineStr">
        <is>
          <t>Opening Day</t>
        </is>
      </c>
      <c r="K3575" s="11">
        <f>IFERROR(INDEX(Roles!$B$17:$B$20,MATCH(J3575,Roles!$A$17:$A$20,0)),1)</f>
        <v/>
      </c>
      <c r="L3575" s="19" t="n">
        <v>1</v>
      </c>
      <c r="M3575" s="11" t="n">
        <v>1</v>
      </c>
      <c r="N3575" s="19" t="n"/>
      <c r="O3575" s="19" t="n"/>
      <c r="P3575" s="19" t="n"/>
      <c r="Q3575" s="19" t="n"/>
      <c r="R3575" s="19" t="n"/>
      <c r="S3575" s="19" t="n"/>
      <c r="T3575" s="19" t="n"/>
      <c r="U3575" s="19" t="n"/>
      <c r="V3575" s="19" t="n"/>
      <c r="W3575" s="19" t="n">
        <v>1</v>
      </c>
      <c r="X3575" s="19" t="n"/>
      <c r="Y3575" s="19" t="n"/>
      <c r="Z3575" s="13">
        <f>SUMPRODUCT(N3575:Y3575,$N$2:$Y$2)*$K3575*$L3575*$M3575</f>
        <v/>
      </c>
      <c r="AA3575" s="14">
        <f>SUM(N3575:Y3575)</f>
        <v/>
      </c>
      <c r="AB3575" s="13">
        <f>SUMPRODUCT(N3575:Y3575,$N$3:$Y$3)*$K3575*$L3575*$M3575</f>
        <v/>
      </c>
      <c r="AC3575" s="13">
        <f>SUMPRODUCT(N3575:Y3575,$N$4:$Y$4)*$K3575*$L3575*$M3575</f>
        <v/>
      </c>
      <c r="AD3575" s="15" t="n">
        <v>8.666666666666666</v>
      </c>
      <c r="AE3575" s="11" t="n">
        <v>1.157062690396023</v>
      </c>
      <c r="AF3575" s="16">
        <f>SUMPRODUCT(N3575:Y3575,$N$5:$Y$5)*$K3575*$L3575*$M3575</f>
        <v/>
      </c>
      <c r="AG3575" s="16">
        <f>SUMPRODUCT(N3575:Y3575,$N$6:$Y$6)*$K3575*$L3575*$M3575</f>
        <v/>
      </c>
      <c r="AH3575" s="20" t="n"/>
    </row>
    <row r="3576">
      <c r="A3576" s="9" t="n">
        <v>670234</v>
      </c>
      <c r="B3576" s="9" t="inlineStr">
        <is>
          <t>Seth Shuman</t>
        </is>
      </c>
      <c r="C3576" s="9" t="inlineStr">
        <is>
          <t>SEA</t>
        </is>
      </c>
      <c r="D3576" s="9" t="n">
        <v>25</v>
      </c>
      <c r="E3576" s="18" t="inlineStr">
        <is>
          <t>R</t>
        </is>
      </c>
      <c r="F3576" s="18" t="n"/>
      <c r="G3576" s="9" t="n">
        <v>119.8266666666667</v>
      </c>
      <c r="H3576" s="9" t="n">
        <v>119.8266666666667</v>
      </c>
      <c r="I3576" s="9" t="inlineStr">
        <is>
          <t>Depth (no MLB IP)</t>
        </is>
      </c>
      <c r="J3576" s="18" t="inlineStr">
        <is>
          <t>Opening Day</t>
        </is>
      </c>
      <c r="K3576" s="11">
        <f>IFERROR(INDEX(Roles!$B$17:$B$20,MATCH(J3576,Roles!$A$17:$A$20,0)),1)</f>
        <v/>
      </c>
      <c r="L3576" s="19" t="n">
        <v>1</v>
      </c>
      <c r="M3576" s="11" t="n">
        <v>1</v>
      </c>
      <c r="N3576" s="19" t="n"/>
      <c r="O3576" s="19" t="n"/>
      <c r="P3576" s="19" t="n"/>
      <c r="Q3576" s="19" t="n"/>
      <c r="R3576" s="19" t="n"/>
      <c r="S3576" s="19" t="n"/>
      <c r="T3576" s="19" t="n"/>
      <c r="U3576" s="19" t="n"/>
      <c r="V3576" s="19" t="n"/>
      <c r="W3576" s="19" t="n"/>
      <c r="X3576" s="19" t="n"/>
      <c r="Y3576" s="19" t="n">
        <v>1</v>
      </c>
      <c r="Z3576" s="13">
        <f>SUMPRODUCT(N3576:Y3576,$N$2:$Y$2)*$K3576*$L3576*$M3576</f>
        <v/>
      </c>
      <c r="AA3576" s="14">
        <f>SUM(N3576:Y3576)</f>
        <v/>
      </c>
      <c r="AB3576" s="13">
        <f>SUMPRODUCT(N3576:Y3576,$N$3:$Y$3)*$K3576*$L3576*$M3576</f>
        <v/>
      </c>
      <c r="AC3576" s="13">
        <f>SUMPRODUCT(N3576:Y3576,$N$4:$Y$4)*$K3576*$L3576*$M3576</f>
        <v/>
      </c>
      <c r="AD3576" s="15" t="n">
        <v>3</v>
      </c>
      <c r="AE3576" s="11" t="n">
        <v>1.011296296296296</v>
      </c>
      <c r="AF3576" s="16">
        <f>SUMPRODUCT(N3576:Y3576,$N$5:$Y$5)*$K3576*$L3576*$M3576</f>
        <v/>
      </c>
      <c r="AG3576" s="16">
        <f>SUMPRODUCT(N3576:Y3576,$N$6:$Y$6)*$K3576*$L3576*$M3576</f>
        <v/>
      </c>
      <c r="AH3576" s="20" t="n"/>
    </row>
    <row r="3577">
      <c r="A3577" s="9" t="n">
        <v>592866</v>
      </c>
      <c r="B3577" s="9" t="inlineStr">
        <is>
          <t>Trevor Williams</t>
        </is>
      </c>
      <c r="C3577" s="9" t="inlineStr">
        <is>
          <t>TEX</t>
        </is>
      </c>
      <c r="D3577" s="9" t="n">
        <v>35</v>
      </c>
      <c r="E3577" s="18" t="inlineStr">
        <is>
          <t>R</t>
        </is>
      </c>
      <c r="F3577" s="18" t="n"/>
      <c r="G3577" s="9" t="n">
        <v>120</v>
      </c>
      <c r="H3577" s="9" t="n">
        <v>1784</v>
      </c>
      <c r="I3577" s="9" t="inlineStr">
        <is>
          <t>Swing Arm / Long Relief</t>
        </is>
      </c>
      <c r="J3577" s="18" t="inlineStr">
        <is>
          <t>Opening Day</t>
        </is>
      </c>
      <c r="K3577" s="11">
        <f>IFERROR(INDEX(Roles!$B$17:$B$20,MATCH(J3577,Roles!$A$17:$A$20,0)),1)</f>
        <v/>
      </c>
      <c r="L3577" s="19" t="n">
        <v>1</v>
      </c>
      <c r="M3577" s="11" t="n">
        <v>1</v>
      </c>
      <c r="N3577" s="19" t="n"/>
      <c r="O3577" s="19" t="n"/>
      <c r="P3577" s="19" t="n"/>
      <c r="Q3577" s="19" t="n"/>
      <c r="R3577" s="19" t="n">
        <v>0.6</v>
      </c>
      <c r="S3577" s="19" t="n"/>
      <c r="T3577" s="19" t="n"/>
      <c r="U3577" s="19" t="n"/>
      <c r="V3577" s="19" t="n"/>
      <c r="W3577" s="19" t="n">
        <v>0.4</v>
      </c>
      <c r="X3577" s="19" t="n"/>
      <c r="Y3577" s="19" t="n"/>
      <c r="Z3577" s="13">
        <f>SUMPRODUCT(N3577:Y3577,$N$2:$Y$2)*$K3577*$L3577*$M3577</f>
        <v/>
      </c>
      <c r="AA3577" s="14">
        <f>SUM(N3577:Y3577)</f>
        <v/>
      </c>
      <c r="AB3577" s="13">
        <f>SUMPRODUCT(N3577:Y3577,$N$3:$Y$3)*$K3577*$L3577*$M3577</f>
        <v/>
      </c>
      <c r="AC3577" s="13">
        <f>SUMPRODUCT(N3577:Y3577,$N$4:$Y$4)*$K3577*$L3577*$M3577</f>
        <v/>
      </c>
      <c r="AD3577" s="15" t="n">
        <v>17.33333333333333</v>
      </c>
      <c r="AE3577" s="11" t="n">
        <v>2.820662073334917</v>
      </c>
      <c r="AF3577" s="16">
        <f>SUMPRODUCT(N3577:Y3577,$N$5:$Y$5)*$K3577*$L3577*$M3577</f>
        <v/>
      </c>
      <c r="AG3577" s="16">
        <f>SUMPRODUCT(N3577:Y3577,$N$6:$Y$6)*$K3577*$L3577*$M3577</f>
        <v/>
      </c>
      <c r="AH3577" s="20" t="n"/>
    </row>
    <row r="3578">
      <c r="A3578" s="9" t="n">
        <v>656657</v>
      </c>
      <c r="B3578" s="9" t="inlineStr">
        <is>
          <t>Zach Logue</t>
        </is>
      </c>
      <c r="C3578" s="9" t="inlineStr">
        <is>
          <t>DET</t>
        </is>
      </c>
      <c r="D3578" s="9" t="n">
        <v>31</v>
      </c>
      <c r="E3578" s="18" t="inlineStr">
        <is>
          <t>L</t>
        </is>
      </c>
      <c r="F3578" s="18" t="n"/>
      <c r="G3578" s="9" t="n">
        <v>12</v>
      </c>
      <c r="H3578" s="9" t="n">
        <v>318</v>
      </c>
      <c r="I3578" s="9" t="inlineStr">
        <is>
          <t>Depth (no MLB IP)</t>
        </is>
      </c>
      <c r="J3578" s="18" t="inlineStr">
        <is>
          <t>Opening Day</t>
        </is>
      </c>
      <c r="K3578" s="11">
        <f>IFERROR(INDEX(Roles!$B$17:$B$20,MATCH(J3578,Roles!$A$17:$A$20,0)),1)</f>
        <v/>
      </c>
      <c r="L3578" s="19" t="n">
        <v>1</v>
      </c>
      <c r="M3578" s="11" t="n">
        <v>1</v>
      </c>
      <c r="N3578" s="19" t="n"/>
      <c r="O3578" s="19" t="n"/>
      <c r="P3578" s="19" t="n"/>
      <c r="Q3578" s="19" t="n"/>
      <c r="R3578" s="19" t="n"/>
      <c r="S3578" s="19" t="n"/>
      <c r="T3578" s="19" t="n"/>
      <c r="U3578" s="19" t="n"/>
      <c r="V3578" s="19" t="n"/>
      <c r="W3578" s="19" t="n"/>
      <c r="X3578" s="19" t="n"/>
      <c r="Y3578" s="19" t="n">
        <v>1</v>
      </c>
      <c r="Z3578" s="13">
        <f>SUMPRODUCT(N3578:Y3578,$N$2:$Y$2)*$K3578*$L3578*$M3578</f>
        <v/>
      </c>
      <c r="AA3578" s="14">
        <f>SUM(N3578:Y3578)</f>
        <v/>
      </c>
      <c r="AB3578" s="13">
        <f>SUMPRODUCT(N3578:Y3578,$N$3:$Y$3)*$K3578*$L3578*$M3578</f>
        <v/>
      </c>
      <c r="AC3578" s="13">
        <f>SUMPRODUCT(N3578:Y3578,$N$4:$Y$4)*$K3578*$L3578*$M3578</f>
        <v/>
      </c>
      <c r="AD3578" s="15" t="n">
        <v>2.4</v>
      </c>
      <c r="AE3578" s="11" t="n">
        <v>1.007530864197531</v>
      </c>
      <c r="AF3578" s="16">
        <f>SUMPRODUCT(N3578:Y3578,$N$5:$Y$5)*$K3578*$L3578*$M3578</f>
        <v/>
      </c>
      <c r="AG3578" s="16">
        <f>SUMPRODUCT(N3578:Y3578,$N$6:$Y$6)*$K3578*$L3578*$M3578</f>
        <v/>
      </c>
      <c r="AH3578" s="20" t="n"/>
    </row>
    <row r="3579">
      <c r="A3579" s="9" t="n">
        <v>815073</v>
      </c>
      <c r="B3579" s="9" t="inlineStr">
        <is>
          <t>Ethan Bosacker</t>
        </is>
      </c>
      <c r="C3579" s="9" t="inlineStr">
        <is>
          <t>KC</t>
        </is>
      </c>
      <c r="D3579" s="9" t="n">
        <v>25</v>
      </c>
      <c r="E3579" s="18" t="inlineStr">
        <is>
          <t>R</t>
        </is>
      </c>
      <c r="F3579" s="18" t="n"/>
      <c r="G3579" s="9" t="n">
        <v>119.8266666666667</v>
      </c>
      <c r="H3579" s="9" t="n">
        <v>119.8266666666667</v>
      </c>
      <c r="I3579" s="9" t="inlineStr">
        <is>
          <t>Depth (no MLB IP)</t>
        </is>
      </c>
      <c r="J3579" s="18" t="inlineStr">
        <is>
          <t>Opening Day</t>
        </is>
      </c>
      <c r="K3579" s="11">
        <f>IFERROR(INDEX(Roles!$B$17:$B$20,MATCH(J3579,Roles!$A$17:$A$20,0)),1)</f>
        <v/>
      </c>
      <c r="L3579" s="19" t="n">
        <v>1</v>
      </c>
      <c r="M3579" s="11" t="n">
        <v>1</v>
      </c>
      <c r="N3579" s="19" t="n"/>
      <c r="O3579" s="19" t="n"/>
      <c r="P3579" s="19" t="n"/>
      <c r="Q3579" s="19" t="n"/>
      <c r="R3579" s="19" t="n"/>
      <c r="S3579" s="19" t="n"/>
      <c r="T3579" s="19" t="n"/>
      <c r="U3579" s="19" t="n"/>
      <c r="V3579" s="19" t="n"/>
      <c r="W3579" s="19" t="n"/>
      <c r="X3579" s="19" t="n"/>
      <c r="Y3579" s="19" t="n">
        <v>1</v>
      </c>
      <c r="Z3579" s="13">
        <f>SUMPRODUCT(N3579:Y3579,$N$2:$Y$2)*$K3579*$L3579*$M3579</f>
        <v/>
      </c>
      <c r="AA3579" s="14">
        <f>SUM(N3579:Y3579)</f>
        <v/>
      </c>
      <c r="AB3579" s="13">
        <f>SUMPRODUCT(N3579:Y3579,$N$3:$Y$3)*$K3579*$L3579*$M3579</f>
        <v/>
      </c>
      <c r="AC3579" s="13">
        <f>SUMPRODUCT(N3579:Y3579,$N$4:$Y$4)*$K3579*$L3579*$M3579</f>
        <v/>
      </c>
      <c r="AD3579" s="15" t="n">
        <v>3</v>
      </c>
      <c r="AE3579" s="11" t="n">
        <v>1.011296296296296</v>
      </c>
      <c r="AF3579" s="16">
        <f>SUMPRODUCT(N3579:Y3579,$N$5:$Y$5)*$K3579*$L3579*$M3579</f>
        <v/>
      </c>
      <c r="AG3579" s="16">
        <f>SUMPRODUCT(N3579:Y3579,$N$6:$Y$6)*$K3579*$L3579*$M3579</f>
        <v/>
      </c>
      <c r="AH3579" s="20" t="n"/>
    </row>
    <row r="3580">
      <c r="A3580" s="9" t="n">
        <v>670046</v>
      </c>
      <c r="B3580" s="9" t="inlineStr">
        <is>
          <t>Kenny Rosenberg</t>
        </is>
      </c>
      <c r="C3580" s="9" t="inlineStr">
        <is>
          <t>LAA</t>
        </is>
      </c>
      <c r="D3580" s="9" t="n">
        <v>31</v>
      </c>
      <c r="E3580" s="18" t="inlineStr">
        <is>
          <t>L</t>
        </is>
      </c>
      <c r="F3580" s="18" t="n"/>
      <c r="G3580" s="9" t="n">
        <v>104</v>
      </c>
      <c r="H3580" s="9" t="n">
        <v>297</v>
      </c>
      <c r="I3580" s="9" t="inlineStr">
        <is>
          <t>Depth (no MLB IP)</t>
        </is>
      </c>
      <c r="J3580" s="18" t="inlineStr">
        <is>
          <t>Opening Day</t>
        </is>
      </c>
      <c r="K3580" s="11">
        <f>IFERROR(INDEX(Roles!$B$17:$B$20,MATCH(J3580,Roles!$A$17:$A$20,0)),1)</f>
        <v/>
      </c>
      <c r="L3580" s="19" t="n">
        <v>1</v>
      </c>
      <c r="M3580" s="11" t="n">
        <v>1</v>
      </c>
      <c r="N3580" s="19" t="n"/>
      <c r="O3580" s="19" t="n"/>
      <c r="P3580" s="19" t="n"/>
      <c r="Q3580" s="19" t="n"/>
      <c r="R3580" s="19" t="n"/>
      <c r="S3580" s="19" t="n"/>
      <c r="T3580" s="19" t="n"/>
      <c r="U3580" s="19" t="n"/>
      <c r="V3580" s="19" t="n"/>
      <c r="W3580" s="19" t="n"/>
      <c r="X3580" s="19" t="n"/>
      <c r="Y3580" s="19" t="n">
        <v>1</v>
      </c>
      <c r="Z3580" s="13">
        <f>SUMPRODUCT(N3580:Y3580,$N$2:$Y$2)*$K3580*$L3580*$M3580</f>
        <v/>
      </c>
      <c r="AA3580" s="14">
        <f>SUM(N3580:Y3580)</f>
        <v/>
      </c>
      <c r="AB3580" s="13">
        <f>SUMPRODUCT(N3580:Y3580,$N$3:$Y$3)*$K3580*$L3580*$M3580</f>
        <v/>
      </c>
      <c r="AC3580" s="13">
        <f>SUMPRODUCT(N3580:Y3580,$N$4:$Y$4)*$K3580*$L3580*$M3580</f>
        <v/>
      </c>
      <c r="AD3580" s="15" t="n">
        <v>5.4</v>
      </c>
      <c r="AE3580" s="11" t="n">
        <v>1.81705467372134</v>
      </c>
      <c r="AF3580" s="16">
        <f>SUMPRODUCT(N3580:Y3580,$N$5:$Y$5)*$K3580*$L3580*$M3580</f>
        <v/>
      </c>
      <c r="AG3580" s="16">
        <f>SUMPRODUCT(N3580:Y3580,$N$6:$Y$6)*$K3580*$L3580*$M3580</f>
        <v/>
      </c>
      <c r="AH3580" s="20" t="n"/>
    </row>
    <row r="3581">
      <c r="A3581" s="9" t="n">
        <v>671131</v>
      </c>
      <c r="B3581" s="9" t="inlineStr">
        <is>
          <t>Jackson Rutledge</t>
        </is>
      </c>
      <c r="C3581" s="9" t="inlineStr">
        <is>
          <t>WSH</t>
        </is>
      </c>
      <c r="D3581" s="9" t="n">
        <v>28</v>
      </c>
      <c r="E3581" s="18" t="inlineStr">
        <is>
          <t>R</t>
        </is>
      </c>
      <c r="F3581" s="18" t="n"/>
      <c r="G3581" s="9" t="n">
        <v>12</v>
      </c>
      <c r="H3581" s="9" t="n">
        <v>464</v>
      </c>
      <c r="I3581" s="9" t="inlineStr">
        <is>
          <t>Bullpen Depth Arm</t>
        </is>
      </c>
      <c r="J3581" s="18" t="inlineStr">
        <is>
          <t>Opening Day</t>
        </is>
      </c>
      <c r="K3581" s="11">
        <f>IFERROR(INDEX(Roles!$B$17:$B$20,MATCH(J3581,Roles!$A$17:$A$20,0)),1)</f>
        <v/>
      </c>
      <c r="L3581" s="19" t="n">
        <v>1</v>
      </c>
      <c r="M3581" s="11" t="n">
        <v>1</v>
      </c>
      <c r="N3581" s="19" t="n"/>
      <c r="O3581" s="19" t="n"/>
      <c r="P3581" s="19" t="n"/>
      <c r="Q3581" s="19" t="n"/>
      <c r="R3581" s="19" t="n"/>
      <c r="S3581" s="19" t="n"/>
      <c r="T3581" s="19" t="n"/>
      <c r="U3581" s="19" t="n"/>
      <c r="V3581" s="19" t="n"/>
      <c r="W3581" s="19" t="n">
        <v>1</v>
      </c>
      <c r="X3581" s="19" t="n"/>
      <c r="Y3581" s="19" t="n"/>
      <c r="Z3581" s="13">
        <f>SUMPRODUCT(N3581:Y3581,$N$2:$Y$2)*$K3581*$L3581*$M3581</f>
        <v/>
      </c>
      <c r="AA3581" s="14">
        <f>SUM(N3581:Y3581)</f>
        <v/>
      </c>
      <c r="AB3581" s="13">
        <f>SUMPRODUCT(N3581:Y3581,$N$3:$Y$3)*$K3581*$L3581*$M3581</f>
        <v/>
      </c>
      <c r="AC3581" s="13">
        <f>SUMPRODUCT(N3581:Y3581,$N$4:$Y$4)*$K3581*$L3581*$M3581</f>
        <v/>
      </c>
      <c r="AD3581" s="15" t="n">
        <v>18.86666666666667</v>
      </c>
      <c r="AE3581" s="11" t="n">
        <v>1.20302228635562</v>
      </c>
      <c r="AF3581" s="16">
        <f>SUMPRODUCT(N3581:Y3581,$N$5:$Y$5)*$K3581*$L3581*$M3581</f>
        <v/>
      </c>
      <c r="AG3581" s="16">
        <f>SUMPRODUCT(N3581:Y3581,$N$6:$Y$6)*$K3581*$L3581*$M3581</f>
        <v/>
      </c>
      <c r="AH3581" s="20" t="n"/>
    </row>
    <row r="3582">
      <c r="A3582" s="9" t="n">
        <v>800059</v>
      </c>
      <c r="B3582" s="9" t="inlineStr">
        <is>
          <t>Dalton Rogers</t>
        </is>
      </c>
      <c r="C3582" s="9" t="inlineStr">
        <is>
          <t>BOS</t>
        </is>
      </c>
      <c r="D3582" s="9" t="n">
        <v>25</v>
      </c>
      <c r="E3582" s="18" t="inlineStr">
        <is>
          <t>L</t>
        </is>
      </c>
      <c r="F3582" s="18" t="n"/>
      <c r="G3582" s="9" t="n">
        <v>120.4</v>
      </c>
      <c r="H3582" s="9" t="n">
        <v>120.4</v>
      </c>
      <c r="I3582" s="9" t="inlineStr">
        <is>
          <t>Depth (no MLB IP)</t>
        </is>
      </c>
      <c r="J3582" s="18" t="inlineStr">
        <is>
          <t>Opening Day</t>
        </is>
      </c>
      <c r="K3582" s="11">
        <f>IFERROR(INDEX(Roles!$B$17:$B$20,MATCH(J3582,Roles!$A$17:$A$20,0)),1)</f>
        <v/>
      </c>
      <c r="L3582" s="19" t="n">
        <v>1</v>
      </c>
      <c r="M3582" s="11" t="n">
        <v>1</v>
      </c>
      <c r="N3582" s="19" t="n"/>
      <c r="O3582" s="19" t="n"/>
      <c r="P3582" s="19" t="n"/>
      <c r="Q3582" s="19" t="n"/>
      <c r="R3582" s="19" t="n"/>
      <c r="S3582" s="19" t="n"/>
      <c r="T3582" s="19" t="n"/>
      <c r="U3582" s="19" t="n"/>
      <c r="V3582" s="19" t="n"/>
      <c r="W3582" s="19" t="n"/>
      <c r="X3582" s="19" t="n"/>
      <c r="Y3582" s="19" t="n">
        <v>1</v>
      </c>
      <c r="Z3582" s="13">
        <f>SUMPRODUCT(N3582:Y3582,$N$2:$Y$2)*$K3582*$L3582*$M3582</f>
        <v/>
      </c>
      <c r="AA3582" s="14">
        <f>SUM(N3582:Y3582)</f>
        <v/>
      </c>
      <c r="AB3582" s="13">
        <f>SUMPRODUCT(N3582:Y3582,$N$3:$Y$3)*$K3582*$L3582*$M3582</f>
        <v/>
      </c>
      <c r="AC3582" s="13">
        <f>SUMPRODUCT(N3582:Y3582,$N$4:$Y$4)*$K3582*$L3582*$M3582</f>
        <v/>
      </c>
      <c r="AD3582" s="15" t="n">
        <v>3</v>
      </c>
      <c r="AE3582" s="11" t="n">
        <v>1.011296296296296</v>
      </c>
      <c r="AF3582" s="16">
        <f>SUMPRODUCT(N3582:Y3582,$N$5:$Y$5)*$K3582*$L3582*$M3582</f>
        <v/>
      </c>
      <c r="AG3582" s="16">
        <f>SUMPRODUCT(N3582:Y3582,$N$6:$Y$6)*$K3582*$L3582*$M3582</f>
        <v/>
      </c>
      <c r="AH3582" s="20" t="n"/>
    </row>
    <row r="3583">
      <c r="A3583" s="9" t="n">
        <v>448179</v>
      </c>
      <c r="B3583" s="9" t="inlineStr">
        <is>
          <t>Rich Hill</t>
        </is>
      </c>
      <c r="C3583" s="9" t="inlineStr">
        <is>
          <t>KC</t>
        </is>
      </c>
      <c r="D3583" s="9" t="n">
        <v>47</v>
      </c>
      <c r="E3583" s="18" t="inlineStr">
        <is>
          <t>L</t>
        </is>
      </c>
      <c r="F3583" s="18" t="n"/>
      <c r="G3583" s="9" t="n">
        <v>43</v>
      </c>
      <c r="H3583" s="9" t="n">
        <v>1244</v>
      </c>
      <c r="I3583" s="9" t="inlineStr">
        <is>
          <t>End-of-Rotation Starter (SP4-5)</t>
        </is>
      </c>
      <c r="J3583" s="18" t="inlineStr">
        <is>
          <t>Opening Day</t>
        </is>
      </c>
      <c r="K3583" s="11">
        <f>IFERROR(INDEX(Roles!$B$17:$B$20,MATCH(J3583,Roles!$A$17:$A$20,0)),1)</f>
        <v/>
      </c>
      <c r="L3583" s="19" t="n">
        <v>1</v>
      </c>
      <c r="M3583" s="11" t="n">
        <v>1</v>
      </c>
      <c r="N3583" s="19" t="n"/>
      <c r="O3583" s="19" t="n"/>
      <c r="P3583" s="19" t="n">
        <v>1</v>
      </c>
      <c r="Q3583" s="19" t="n"/>
      <c r="R3583" s="19" t="n"/>
      <c r="S3583" s="19" t="n"/>
      <c r="T3583" s="19" t="n"/>
      <c r="U3583" s="19" t="n"/>
      <c r="V3583" s="19" t="n"/>
      <c r="W3583" s="19" t="n"/>
      <c r="X3583" s="19" t="n"/>
      <c r="Y3583" s="19" t="n"/>
      <c r="Z3583" s="13">
        <f>SUMPRODUCT(N3583:Y3583,$N$2:$Y$2)*$K3583*$L3583*$M3583</f>
        <v/>
      </c>
      <c r="AA3583" s="14">
        <f>SUM(N3583:Y3583)</f>
        <v/>
      </c>
      <c r="AB3583" s="13">
        <f>SUMPRODUCT(N3583:Y3583,$N$3:$Y$3)*$K3583*$L3583*$M3583</f>
        <v/>
      </c>
      <c r="AC3583" s="13">
        <f>SUMPRODUCT(N3583:Y3583,$N$4:$Y$4)*$K3583*$L3583*$M3583</f>
        <v/>
      </c>
      <c r="AD3583" s="15" t="n">
        <v>8</v>
      </c>
      <c r="AE3583" s="11" t="n">
        <v>3.939814814814814</v>
      </c>
      <c r="AF3583" s="16">
        <f>SUMPRODUCT(N3583:Y3583,$N$5:$Y$5)*$K3583*$L3583*$M3583</f>
        <v/>
      </c>
      <c r="AG3583" s="16">
        <f>SUMPRODUCT(N3583:Y3583,$N$6:$Y$6)*$K3583*$L3583*$M3583</f>
        <v/>
      </c>
      <c r="AH3583" s="20" t="n"/>
    </row>
    <row r="3584">
      <c r="A3584" s="9" t="n">
        <v>663531</v>
      </c>
      <c r="B3584" s="9" t="inlineStr">
        <is>
          <t>Logan Allen</t>
        </is>
      </c>
      <c r="C3584" s="9" t="inlineStr">
        <is>
          <t>ARI</t>
        </is>
      </c>
      <c r="D3584" s="9" t="n">
        <v>30</v>
      </c>
      <c r="E3584" s="18" t="inlineStr">
        <is>
          <t>L</t>
        </is>
      </c>
      <c r="F3584" s="18" t="n"/>
      <c r="G3584" s="9" t="n">
        <v>128</v>
      </c>
      <c r="H3584" s="9" t="n">
        <v>168</v>
      </c>
      <c r="I3584" s="9" t="inlineStr">
        <is>
          <t>Depth (no MLB IP)</t>
        </is>
      </c>
      <c r="J3584" s="18" t="inlineStr">
        <is>
          <t>Opening Day</t>
        </is>
      </c>
      <c r="K3584" s="11">
        <f>IFERROR(INDEX(Roles!$B$17:$B$20,MATCH(J3584,Roles!$A$17:$A$20,0)),1)</f>
        <v/>
      </c>
      <c r="L3584" s="19" t="n">
        <v>1</v>
      </c>
      <c r="M3584" s="11" t="n">
        <v>1</v>
      </c>
      <c r="N3584" s="19" t="n"/>
      <c r="O3584" s="19" t="n"/>
      <c r="P3584" s="19" t="n"/>
      <c r="Q3584" s="19" t="n"/>
      <c r="R3584" s="19" t="n"/>
      <c r="S3584" s="19" t="n"/>
      <c r="T3584" s="19" t="n"/>
      <c r="U3584" s="19" t="n"/>
      <c r="V3584" s="19" t="n"/>
      <c r="W3584" s="19" t="n"/>
      <c r="X3584" s="19" t="n"/>
      <c r="Y3584" s="19" t="n">
        <v>1</v>
      </c>
      <c r="Z3584" s="13">
        <f>SUMPRODUCT(N3584:Y3584,$N$2:$Y$2)*$K3584*$L3584*$M3584</f>
        <v/>
      </c>
      <c r="AA3584" s="14">
        <f>SUM(N3584:Y3584)</f>
        <v/>
      </c>
      <c r="AB3584" s="13">
        <f>SUMPRODUCT(N3584:Y3584,$N$3:$Y$3)*$K3584*$L3584*$M3584</f>
        <v/>
      </c>
      <c r="AC3584" s="13">
        <f>SUMPRODUCT(N3584:Y3584,$N$4:$Y$4)*$K3584*$L3584*$M3584</f>
        <v/>
      </c>
      <c r="AD3584" s="15" t="n">
        <v>8.4</v>
      </c>
      <c r="AE3584" s="11" t="n">
        <v>1.451975308641975</v>
      </c>
      <c r="AF3584" s="16">
        <f>SUMPRODUCT(N3584:Y3584,$N$5:$Y$5)*$K3584*$L3584*$M3584</f>
        <v/>
      </c>
      <c r="AG3584" s="16">
        <f>SUMPRODUCT(N3584:Y3584,$N$6:$Y$6)*$K3584*$L3584*$M3584</f>
        <v/>
      </c>
      <c r="AH3584" s="20" t="n"/>
    </row>
    <row r="3585">
      <c r="A3585" s="9" t="n">
        <v>678606</v>
      </c>
      <c r="B3585" s="9" t="inlineStr">
        <is>
          <t>José A. Ferrer</t>
        </is>
      </c>
      <c r="C3585" s="9" t="inlineStr">
        <is>
          <t>SEA</t>
        </is>
      </c>
      <c r="D3585" s="9" t="n">
        <v>27</v>
      </c>
      <c r="E3585" s="18" t="inlineStr">
        <is>
          <t>L</t>
        </is>
      </c>
      <c r="F3585" s="18" t="n"/>
      <c r="G3585" s="9" t="n">
        <v>295</v>
      </c>
      <c r="H3585" s="9" t="n">
        <v>890</v>
      </c>
      <c r="I3585" s="9" t="inlineStr">
        <is>
          <t>Bullpen Depth Arm</t>
        </is>
      </c>
      <c r="J3585" s="18" t="inlineStr">
        <is>
          <t>Opening Day</t>
        </is>
      </c>
      <c r="K3585" s="11">
        <f>IFERROR(INDEX(Roles!$B$17:$B$20,MATCH(J3585,Roles!$A$17:$A$20,0)),1)</f>
        <v/>
      </c>
      <c r="L3585" s="19" t="n">
        <v>1</v>
      </c>
      <c r="M3585" s="11" t="n">
        <v>1</v>
      </c>
      <c r="N3585" s="19" t="n"/>
      <c r="O3585" s="19" t="n"/>
      <c r="P3585" s="19" t="n"/>
      <c r="Q3585" s="19" t="n"/>
      <c r="R3585" s="19" t="n"/>
      <c r="S3585" s="19" t="n"/>
      <c r="T3585" s="19" t="n"/>
      <c r="U3585" s="19" t="n"/>
      <c r="V3585" s="19" t="n"/>
      <c r="W3585" s="19" t="n">
        <v>1</v>
      </c>
      <c r="X3585" s="19" t="n"/>
      <c r="Y3585" s="19" t="n"/>
      <c r="Z3585" s="13">
        <f>SUMPRODUCT(N3585:Y3585,$N$2:$Y$2)*$K3585*$L3585*$M3585</f>
        <v/>
      </c>
      <c r="AA3585" s="14">
        <f>SUM(N3585:Y3585)</f>
        <v/>
      </c>
      <c r="AB3585" s="13">
        <f>SUMPRODUCT(N3585:Y3585,$N$3:$Y$3)*$K3585*$L3585*$M3585</f>
        <v/>
      </c>
      <c r="AC3585" s="13">
        <f>SUMPRODUCT(N3585:Y3585,$N$4:$Y$4)*$K3585*$L3585*$M3585</f>
        <v/>
      </c>
      <c r="AD3585" s="15" t="n">
        <v>45.06666666666667</v>
      </c>
      <c r="AE3585" s="11" t="n">
        <v>1.121868104947631</v>
      </c>
      <c r="AF3585" s="16">
        <f>SUMPRODUCT(N3585:Y3585,$N$5:$Y$5)*$K3585*$L3585*$M3585</f>
        <v/>
      </c>
      <c r="AG3585" s="16">
        <f>SUMPRODUCT(N3585:Y3585,$N$6:$Y$6)*$K3585*$L3585*$M3585</f>
        <v/>
      </c>
      <c r="AH3585" s="20" t="n"/>
    </row>
    <row r="3586">
      <c r="A3586" s="9" t="n">
        <v>605335</v>
      </c>
      <c r="B3586" s="9" t="inlineStr">
        <is>
          <t>Brandon Leibrandt</t>
        </is>
      </c>
      <c r="C3586" s="9" t="inlineStr">
        <is>
          <t>CIN</t>
        </is>
      </c>
      <c r="D3586" s="9" t="n">
        <v>34</v>
      </c>
      <c r="E3586" s="18" t="inlineStr">
        <is>
          <t>L</t>
        </is>
      </c>
      <c r="F3586" s="18" t="n"/>
      <c r="G3586" s="9" t="n">
        <v>30</v>
      </c>
      <c r="H3586" s="9" t="n">
        <v>62</v>
      </c>
      <c r="I3586" s="9" t="inlineStr">
        <is>
          <t>End-of-Rotation Starter (SP4-5)</t>
        </is>
      </c>
      <c r="J3586" s="18" t="inlineStr">
        <is>
          <t>Opening Day</t>
        </is>
      </c>
      <c r="K3586" s="11">
        <f>IFERROR(INDEX(Roles!$B$17:$B$20,MATCH(J3586,Roles!$A$17:$A$20,0)),1)</f>
        <v/>
      </c>
      <c r="L3586" s="19" t="n">
        <v>1</v>
      </c>
      <c r="M3586" s="11" t="n">
        <v>1</v>
      </c>
      <c r="N3586" s="19" t="n"/>
      <c r="O3586" s="19" t="n"/>
      <c r="P3586" s="19" t="n">
        <v>1</v>
      </c>
      <c r="Q3586" s="19" t="n"/>
      <c r="R3586" s="19" t="n"/>
      <c r="S3586" s="19" t="n"/>
      <c r="T3586" s="19" t="n"/>
      <c r="U3586" s="19" t="n"/>
      <c r="V3586" s="19" t="n"/>
      <c r="W3586" s="19" t="n"/>
      <c r="X3586" s="19" t="n"/>
      <c r="Y3586" s="19" t="n"/>
      <c r="Z3586" s="13">
        <f>SUMPRODUCT(N3586:Y3586,$N$2:$Y$2)*$K3586*$L3586*$M3586</f>
        <v/>
      </c>
      <c r="AA3586" s="14">
        <f>SUM(N3586:Y3586)</f>
        <v/>
      </c>
      <c r="AB3586" s="13">
        <f>SUMPRODUCT(N3586:Y3586,$N$3:$Y$3)*$K3586*$L3586*$M3586</f>
        <v/>
      </c>
      <c r="AC3586" s="13">
        <f>SUMPRODUCT(N3586:Y3586,$N$4:$Y$4)*$K3586*$L3586*$M3586</f>
        <v/>
      </c>
      <c r="AD3586" s="15" t="n">
        <v>7.15</v>
      </c>
      <c r="AE3586" s="11" t="n">
        <v>4.659259259259259</v>
      </c>
      <c r="AF3586" s="16">
        <f>SUMPRODUCT(N3586:Y3586,$N$5:$Y$5)*$K3586*$L3586*$M3586</f>
        <v/>
      </c>
      <c r="AG3586" s="16">
        <f>SUMPRODUCT(N3586:Y3586,$N$6:$Y$6)*$K3586*$L3586*$M3586</f>
        <v/>
      </c>
      <c r="AH3586" s="20" t="n"/>
    </row>
    <row r="3587">
      <c r="A3587" s="9" t="n">
        <v>826052</v>
      </c>
      <c r="B3587" s="9" t="inlineStr">
        <is>
          <t>Charlie McDaniel</t>
        </is>
      </c>
      <c r="C3587" s="9" t="inlineStr">
        <is>
          <t>SF</t>
        </is>
      </c>
      <c r="D3587" s="9" t="n">
        <v>25</v>
      </c>
      <c r="E3587" s="18" t="inlineStr">
        <is>
          <t>L</t>
        </is>
      </c>
      <c r="F3587" s="18" t="n"/>
      <c r="G3587" s="9" t="n">
        <v>121.4033333333333</v>
      </c>
      <c r="H3587" s="9" t="n">
        <v>121.4033333333333</v>
      </c>
      <c r="I3587" s="9" t="inlineStr">
        <is>
          <t>Depth (no MLB IP)</t>
        </is>
      </c>
      <c r="J3587" s="18" t="inlineStr">
        <is>
          <t>Opening Day</t>
        </is>
      </c>
      <c r="K3587" s="11">
        <f>IFERROR(INDEX(Roles!$B$17:$B$20,MATCH(J3587,Roles!$A$17:$A$20,0)),1)</f>
        <v/>
      </c>
      <c r="L3587" s="19" t="n">
        <v>1</v>
      </c>
      <c r="M3587" s="11" t="n">
        <v>1</v>
      </c>
      <c r="N3587" s="19" t="n"/>
      <c r="O3587" s="19" t="n"/>
      <c r="P3587" s="19" t="n"/>
      <c r="Q3587" s="19" t="n"/>
      <c r="R3587" s="19" t="n"/>
      <c r="S3587" s="19" t="n"/>
      <c r="T3587" s="19" t="n"/>
      <c r="U3587" s="19" t="n"/>
      <c r="V3587" s="19" t="n"/>
      <c r="W3587" s="19" t="n"/>
      <c r="X3587" s="19" t="n"/>
      <c r="Y3587" s="19" t="n">
        <v>1</v>
      </c>
      <c r="Z3587" s="13">
        <f>SUMPRODUCT(N3587:Y3587,$N$2:$Y$2)*$K3587*$L3587*$M3587</f>
        <v/>
      </c>
      <c r="AA3587" s="14">
        <f>SUM(N3587:Y3587)</f>
        <v/>
      </c>
      <c r="AB3587" s="13">
        <f>SUMPRODUCT(N3587:Y3587,$N$3:$Y$3)*$K3587*$L3587*$M3587</f>
        <v/>
      </c>
      <c r="AC3587" s="13">
        <f>SUMPRODUCT(N3587:Y3587,$N$4:$Y$4)*$K3587*$L3587*$M3587</f>
        <v/>
      </c>
      <c r="AD3587" s="15" t="n">
        <v>3</v>
      </c>
      <c r="AE3587" s="11" t="n">
        <v>1.011296296296296</v>
      </c>
      <c r="AF3587" s="16">
        <f>SUMPRODUCT(N3587:Y3587,$N$5:$Y$5)*$K3587*$L3587*$M3587</f>
        <v/>
      </c>
      <c r="AG3587" s="16">
        <f>SUMPRODUCT(N3587:Y3587,$N$6:$Y$6)*$K3587*$L3587*$M3587</f>
        <v/>
      </c>
      <c r="AH3587" s="20" t="n"/>
    </row>
    <row r="3588">
      <c r="A3588" s="9" t="n">
        <v>571927</v>
      </c>
      <c r="B3588" s="9" t="inlineStr">
        <is>
          <t>Steven Matz</t>
        </is>
      </c>
      <c r="C3588" s="9" t="inlineStr">
        <is>
          <t>TB</t>
        </is>
      </c>
      <c r="D3588" s="9" t="n">
        <v>36</v>
      </c>
      <c r="E3588" s="18" t="inlineStr">
        <is>
          <t>L</t>
        </is>
      </c>
      <c r="F3588" s="18" t="n"/>
      <c r="G3588" s="9" t="n">
        <v>342</v>
      </c>
      <c r="H3588" s="9" t="n">
        <v>1497</v>
      </c>
      <c r="I3588" s="9" t="inlineStr">
        <is>
          <t>Swing Arm / Long Relief</t>
        </is>
      </c>
      <c r="J3588" s="18" t="inlineStr">
        <is>
          <t>Opening Day</t>
        </is>
      </c>
      <c r="K3588" s="11">
        <f>IFERROR(INDEX(Roles!$B$17:$B$20,MATCH(J3588,Roles!$A$17:$A$20,0)),1)</f>
        <v/>
      </c>
      <c r="L3588" s="19" t="n">
        <v>1</v>
      </c>
      <c r="M3588" s="11" t="n">
        <v>1</v>
      </c>
      <c r="N3588" s="19" t="n"/>
      <c r="O3588" s="19" t="n"/>
      <c r="P3588" s="19" t="n"/>
      <c r="Q3588" s="19" t="n"/>
      <c r="R3588" s="19" t="n">
        <v>0.6</v>
      </c>
      <c r="S3588" s="19" t="n"/>
      <c r="T3588" s="19" t="n"/>
      <c r="U3588" s="19" t="n"/>
      <c r="V3588" s="19" t="n"/>
      <c r="W3588" s="19" t="n">
        <v>0.4</v>
      </c>
      <c r="X3588" s="19" t="n"/>
      <c r="Y3588" s="19" t="n"/>
      <c r="Z3588" s="13">
        <f>SUMPRODUCT(N3588:Y3588,$N$2:$Y$2)*$K3588*$L3588*$M3588</f>
        <v/>
      </c>
      <c r="AA3588" s="14">
        <f>SUM(N3588:Y3588)</f>
        <v/>
      </c>
      <c r="AB3588" s="13">
        <f>SUMPRODUCT(N3588:Y3588,$N$3:$Y$3)*$K3588*$L3588*$M3588</f>
        <v/>
      </c>
      <c r="AC3588" s="13">
        <f>SUMPRODUCT(N3588:Y3588,$N$4:$Y$4)*$K3588*$L3588*$M3588</f>
        <v/>
      </c>
      <c r="AD3588" s="15" t="n">
        <v>30.73333333333333</v>
      </c>
      <c r="AE3588" s="11" t="n">
        <v>2.315489143575608</v>
      </c>
      <c r="AF3588" s="16">
        <f>SUMPRODUCT(N3588:Y3588,$N$5:$Y$5)*$K3588*$L3588*$M3588</f>
        <v/>
      </c>
      <c r="AG3588" s="16">
        <f>SUMPRODUCT(N3588:Y3588,$N$6:$Y$6)*$K3588*$L3588*$M3588</f>
        <v/>
      </c>
      <c r="AH3588" s="20" t="n"/>
    </row>
    <row r="3589">
      <c r="A3589" s="9" t="n">
        <v>672582</v>
      </c>
      <c r="B3589" s="9" t="inlineStr">
        <is>
          <t>Angel Zerpa</t>
        </is>
      </c>
      <c r="C3589" s="9" t="inlineStr">
        <is>
          <t>MIL</t>
        </is>
      </c>
      <c r="D3589" s="9" t="n">
        <v>27</v>
      </c>
      <c r="E3589" s="18" t="inlineStr">
        <is>
          <t>L</t>
        </is>
      </c>
      <c r="F3589" s="18" t="n"/>
      <c r="G3589" s="9" t="n">
        <v>55</v>
      </c>
      <c r="H3589" s="9" t="n">
        <v>795</v>
      </c>
      <c r="I3589" s="9" t="inlineStr">
        <is>
          <t>Bullpen Depth Arm</t>
        </is>
      </c>
      <c r="J3589" s="18" t="inlineStr">
        <is>
          <t>Opening Day</t>
        </is>
      </c>
      <c r="K3589" s="11">
        <f>IFERROR(INDEX(Roles!$B$17:$B$20,MATCH(J3589,Roles!$A$17:$A$20,0)),1)</f>
        <v/>
      </c>
      <c r="L3589" s="19" t="n">
        <v>1</v>
      </c>
      <c r="M3589" s="11" t="n">
        <v>1</v>
      </c>
      <c r="N3589" s="19" t="n"/>
      <c r="O3589" s="19" t="n"/>
      <c r="P3589" s="19" t="n"/>
      <c r="Q3589" s="19" t="n"/>
      <c r="R3589" s="19" t="n"/>
      <c r="S3589" s="19" t="n"/>
      <c r="T3589" s="19" t="n"/>
      <c r="U3589" s="19" t="n"/>
      <c r="V3589" s="19" t="n">
        <v>0.15</v>
      </c>
      <c r="W3589" s="19" t="n">
        <v>0.85</v>
      </c>
      <c r="X3589" s="19" t="n"/>
      <c r="Y3589" s="19" t="n"/>
      <c r="Z3589" s="13">
        <f>SUMPRODUCT(N3589:Y3589,$N$2:$Y$2)*$K3589*$L3589*$M3589</f>
        <v/>
      </c>
      <c r="AA3589" s="14">
        <f>SUM(N3589:Y3589)</f>
        <v/>
      </c>
      <c r="AB3589" s="13">
        <f>SUMPRODUCT(N3589:Y3589,$N$3:$Y$3)*$K3589*$L3589*$M3589</f>
        <v/>
      </c>
      <c r="AC3589" s="13">
        <f>SUMPRODUCT(N3589:Y3589,$N$4:$Y$4)*$K3589*$L3589*$M3589</f>
        <v/>
      </c>
      <c r="AD3589" s="15" t="n">
        <v>29.06666666666667</v>
      </c>
      <c r="AE3589" s="11" t="n">
        <v>1.116321949655283</v>
      </c>
      <c r="AF3589" s="16">
        <f>SUMPRODUCT(N3589:Y3589,$N$5:$Y$5)*$K3589*$L3589*$M3589</f>
        <v/>
      </c>
      <c r="AG3589" s="16">
        <f>SUMPRODUCT(N3589:Y3589,$N$6:$Y$6)*$K3589*$L3589*$M3589</f>
        <v/>
      </c>
      <c r="AH3589" s="20" t="n"/>
    </row>
    <row r="3590">
      <c r="A3590" s="9" t="n">
        <v>519326</v>
      </c>
      <c r="B3590" s="9" t="inlineStr">
        <is>
          <t>Hunter Strickland</t>
        </is>
      </c>
      <c r="C3590" s="9" t="inlineStr">
        <is>
          <t>LAA</t>
        </is>
      </c>
      <c r="D3590" s="9" t="n">
        <v>38</v>
      </c>
      <c r="E3590" s="18" t="inlineStr">
        <is>
          <t>R</t>
        </is>
      </c>
      <c r="F3590" s="18" t="n"/>
      <c r="G3590" s="9" t="n">
        <v>91</v>
      </c>
      <c r="H3590" s="9" t="n">
        <v>669</v>
      </c>
      <c r="I3590" s="9" t="inlineStr">
        <is>
          <t>Bullpen Depth Arm</t>
        </is>
      </c>
      <c r="J3590" s="18" t="inlineStr">
        <is>
          <t>Opening Day</t>
        </is>
      </c>
      <c r="K3590" s="11">
        <f>IFERROR(INDEX(Roles!$B$17:$B$20,MATCH(J3590,Roles!$A$17:$A$20,0)),1)</f>
        <v/>
      </c>
      <c r="L3590" s="19" t="n">
        <v>1</v>
      </c>
      <c r="M3590" s="11" t="n">
        <v>1</v>
      </c>
      <c r="N3590" s="19" t="n"/>
      <c r="O3590" s="19" t="n"/>
      <c r="P3590" s="19" t="n"/>
      <c r="Q3590" s="19" t="n"/>
      <c r="R3590" s="19" t="n"/>
      <c r="S3590" s="19" t="n"/>
      <c r="T3590" s="19" t="n"/>
      <c r="U3590" s="19" t="n"/>
      <c r="V3590" s="19" t="n"/>
      <c r="W3590" s="19" t="n">
        <v>1</v>
      </c>
      <c r="X3590" s="19" t="n"/>
      <c r="Y3590" s="19" t="n"/>
      <c r="Z3590" s="13">
        <f>SUMPRODUCT(N3590:Y3590,$N$2:$Y$2)*$K3590*$L3590*$M3590</f>
        <v/>
      </c>
      <c r="AA3590" s="14">
        <f>SUM(N3590:Y3590)</f>
        <v/>
      </c>
      <c r="AB3590" s="13">
        <f>SUMPRODUCT(N3590:Y3590,$N$3:$Y$3)*$K3590*$L3590*$M3590</f>
        <v/>
      </c>
      <c r="AC3590" s="13">
        <f>SUMPRODUCT(N3590:Y3590,$N$4:$Y$4)*$K3590*$L3590*$M3590</f>
        <v/>
      </c>
      <c r="AD3590" s="15" t="n">
        <v>27.66666666666667</v>
      </c>
      <c r="AE3590" s="11" t="n">
        <v>1.157062690396023</v>
      </c>
      <c r="AF3590" s="16">
        <f>SUMPRODUCT(N3590:Y3590,$N$5:$Y$5)*$K3590*$L3590*$M3590</f>
        <v/>
      </c>
      <c r="AG3590" s="16">
        <f>SUMPRODUCT(N3590:Y3590,$N$6:$Y$6)*$K3590*$L3590*$M3590</f>
        <v/>
      </c>
      <c r="AH3590" s="20" t="n"/>
    </row>
    <row r="3591">
      <c r="A3591" s="9" t="n">
        <v>678163</v>
      </c>
      <c r="B3591" s="9" t="inlineStr">
        <is>
          <t>Ryan Magdic</t>
        </is>
      </c>
      <c r="C3591" s="9" t="inlineStr">
        <is>
          <t>OAK</t>
        </is>
      </c>
      <c r="D3591" s="9" t="n">
        <v>25</v>
      </c>
      <c r="E3591" s="18" t="inlineStr">
        <is>
          <t>L</t>
        </is>
      </c>
      <c r="F3591" s="18" t="n"/>
      <c r="G3591" s="9" t="n">
        <v>122.1916666666667</v>
      </c>
      <c r="H3591" s="9" t="n">
        <v>122.1916666666667</v>
      </c>
      <c r="I3591" s="9" t="inlineStr">
        <is>
          <t>Depth (no MLB IP)</t>
        </is>
      </c>
      <c r="J3591" s="18" t="inlineStr">
        <is>
          <t>Opening Day</t>
        </is>
      </c>
      <c r="K3591" s="11">
        <f>IFERROR(INDEX(Roles!$B$17:$B$20,MATCH(J3591,Roles!$A$17:$A$20,0)),1)</f>
        <v/>
      </c>
      <c r="L3591" s="19" t="n">
        <v>1</v>
      </c>
      <c r="M3591" s="11" t="n">
        <v>1</v>
      </c>
      <c r="N3591" s="19" t="n"/>
      <c r="O3591" s="19" t="n"/>
      <c r="P3591" s="19" t="n"/>
      <c r="Q3591" s="19" t="n"/>
      <c r="R3591" s="19" t="n"/>
      <c r="S3591" s="19" t="n"/>
      <c r="T3591" s="19" t="n"/>
      <c r="U3591" s="19" t="n"/>
      <c r="V3591" s="19" t="n"/>
      <c r="W3591" s="19" t="n"/>
      <c r="X3591" s="19" t="n"/>
      <c r="Y3591" s="19" t="n">
        <v>1</v>
      </c>
      <c r="Z3591" s="13">
        <f>SUMPRODUCT(N3591:Y3591,$N$2:$Y$2)*$K3591*$L3591*$M3591</f>
        <v/>
      </c>
      <c r="AA3591" s="14">
        <f>SUM(N3591:Y3591)</f>
        <v/>
      </c>
      <c r="AB3591" s="13">
        <f>SUMPRODUCT(N3591:Y3591,$N$3:$Y$3)*$K3591*$L3591*$M3591</f>
        <v/>
      </c>
      <c r="AC3591" s="13">
        <f>SUMPRODUCT(N3591:Y3591,$N$4:$Y$4)*$K3591*$L3591*$M3591</f>
        <v/>
      </c>
      <c r="AD3591" s="15" t="n">
        <v>3</v>
      </c>
      <c r="AE3591" s="11" t="n">
        <v>1.011296296296296</v>
      </c>
      <c r="AF3591" s="16">
        <f>SUMPRODUCT(N3591:Y3591,$N$5:$Y$5)*$K3591*$L3591*$M3591</f>
        <v/>
      </c>
      <c r="AG3591" s="16">
        <f>SUMPRODUCT(N3591:Y3591,$N$6:$Y$6)*$K3591*$L3591*$M3591</f>
        <v/>
      </c>
      <c r="AH3591" s="20" t="n"/>
    </row>
    <row r="3592">
      <c r="A3592" s="9" t="n">
        <v>664141</v>
      </c>
      <c r="B3592" s="9" t="inlineStr">
        <is>
          <t>JT Brubaker</t>
        </is>
      </c>
      <c r="C3592" s="9" t="inlineStr">
        <is>
          <t>SF</t>
        </is>
      </c>
      <c r="D3592" s="9" t="n">
        <v>33</v>
      </c>
      <c r="E3592" s="18" t="inlineStr">
        <is>
          <t>R</t>
        </is>
      </c>
      <c r="F3592" s="18" t="n"/>
      <c r="G3592" s="9" t="n">
        <v>250</v>
      </c>
      <c r="H3592" s="9" t="n">
        <v>1013</v>
      </c>
      <c r="I3592" s="9" t="inlineStr">
        <is>
          <t>Middle Relief</t>
        </is>
      </c>
      <c r="J3592" s="18" t="inlineStr">
        <is>
          <t>Opening Day</t>
        </is>
      </c>
      <c r="K3592" s="11">
        <f>IFERROR(INDEX(Roles!$B$17:$B$20,MATCH(J3592,Roles!$A$17:$A$20,0)),1)</f>
        <v/>
      </c>
      <c r="L3592" s="19" t="n">
        <v>1</v>
      </c>
      <c r="M3592" s="11" t="n">
        <v>1</v>
      </c>
      <c r="N3592" s="19" t="n"/>
      <c r="O3592" s="19" t="n"/>
      <c r="P3592" s="19" t="n"/>
      <c r="Q3592" s="19" t="n"/>
      <c r="R3592" s="19" t="n"/>
      <c r="S3592" s="19" t="n"/>
      <c r="T3592" s="19" t="n"/>
      <c r="U3592" s="19" t="n"/>
      <c r="V3592" s="19" t="n">
        <v>0.5</v>
      </c>
      <c r="W3592" s="19" t="n">
        <v>0.5</v>
      </c>
      <c r="X3592" s="19" t="n"/>
      <c r="Y3592" s="19" t="n"/>
      <c r="Z3592" s="13">
        <f>SUMPRODUCT(N3592:Y3592,$N$2:$Y$2)*$K3592*$L3592*$M3592</f>
        <v/>
      </c>
      <c r="AA3592" s="14">
        <f>SUM(N3592:Y3592)</f>
        <v/>
      </c>
      <c r="AB3592" s="13">
        <f>SUMPRODUCT(N3592:Y3592,$N$3:$Y$3)*$K3592*$L3592*$M3592</f>
        <v/>
      </c>
      <c r="AC3592" s="13">
        <f>SUMPRODUCT(N3592:Y3592,$N$4:$Y$4)*$K3592*$L3592*$M3592</f>
        <v/>
      </c>
      <c r="AD3592" s="15" t="n">
        <v>33.57333333333333</v>
      </c>
      <c r="AE3592" s="11" t="n">
        <v>1.195159334485251</v>
      </c>
      <c r="AF3592" s="16">
        <f>SUMPRODUCT(N3592:Y3592,$N$5:$Y$5)*$K3592*$L3592*$M3592</f>
        <v/>
      </c>
      <c r="AG3592" s="16">
        <f>SUMPRODUCT(N3592:Y3592,$N$6:$Y$6)*$K3592*$L3592*$M3592</f>
        <v/>
      </c>
      <c r="AH3592" s="20" t="n"/>
    </row>
    <row r="3593">
      <c r="A3593" s="9" t="n">
        <v>829272</v>
      </c>
      <c r="B3593" s="9" t="inlineStr">
        <is>
          <t>Shinnosuke Ogasawara</t>
        </is>
      </c>
      <c r="C3593" s="9" t="inlineStr">
        <is>
          <t>WSH</t>
        </is>
      </c>
      <c r="D3593" s="9" t="n">
        <v>29</v>
      </c>
      <c r="E3593" s="18" t="inlineStr">
        <is>
          <t>L</t>
        </is>
      </c>
      <c r="F3593" s="18" t="n"/>
      <c r="G3593" s="9" t="n">
        <v>173</v>
      </c>
      <c r="H3593" s="9" t="n">
        <v>173</v>
      </c>
      <c r="I3593" s="9" t="inlineStr">
        <is>
          <t>Bullpen Depth Arm</t>
        </is>
      </c>
      <c r="J3593" s="18" t="inlineStr">
        <is>
          <t>Opening Day</t>
        </is>
      </c>
      <c r="K3593" s="11">
        <f>IFERROR(INDEX(Roles!$B$17:$B$20,MATCH(J3593,Roles!$A$17:$A$20,0)),1)</f>
        <v/>
      </c>
      <c r="L3593" s="19" t="n">
        <v>1</v>
      </c>
      <c r="M3593" s="11" t="n">
        <v>1</v>
      </c>
      <c r="N3593" s="19" t="n"/>
      <c r="O3593" s="19" t="n"/>
      <c r="P3593" s="19" t="n"/>
      <c r="Q3593" s="19" t="n"/>
      <c r="R3593" s="19" t="n"/>
      <c r="S3593" s="19" t="n"/>
      <c r="T3593" s="19" t="n"/>
      <c r="U3593" s="19" t="n"/>
      <c r="V3593" s="19" t="n"/>
      <c r="W3593" s="19" t="n">
        <v>1</v>
      </c>
      <c r="X3593" s="19" t="n"/>
      <c r="Y3593" s="19" t="n"/>
      <c r="Z3593" s="13">
        <f>SUMPRODUCT(N3593:Y3593,$N$2:$Y$2)*$K3593*$L3593*$M3593</f>
        <v/>
      </c>
      <c r="AA3593" s="14">
        <f>SUM(N3593:Y3593)</f>
        <v/>
      </c>
      <c r="AB3593" s="13">
        <f>SUMPRODUCT(N3593:Y3593,$N$3:$Y$3)*$K3593*$L3593*$M3593</f>
        <v/>
      </c>
      <c r="AC3593" s="13">
        <f>SUMPRODUCT(N3593:Y3593,$N$4:$Y$4)*$K3593*$L3593*$M3593</f>
        <v/>
      </c>
      <c r="AD3593" s="15" t="n">
        <v>19.46666666666667</v>
      </c>
      <c r="AE3593" s="11" t="n">
        <v>1.36189360827042</v>
      </c>
      <c r="AF3593" s="16">
        <f>SUMPRODUCT(N3593:Y3593,$N$5:$Y$5)*$K3593*$L3593*$M3593</f>
        <v/>
      </c>
      <c r="AG3593" s="16">
        <f>SUMPRODUCT(N3593:Y3593,$N$6:$Y$6)*$K3593*$L3593*$M3593</f>
        <v/>
      </c>
      <c r="AH3593" s="20" t="n"/>
    </row>
    <row r="3594">
      <c r="A3594" s="9" t="n">
        <v>810938</v>
      </c>
      <c r="B3594" s="9" t="inlineStr">
        <is>
          <t>Ben Williamson</t>
        </is>
      </c>
      <c r="C3594" s="9" t="inlineStr">
        <is>
          <t>TB</t>
        </is>
      </c>
      <c r="D3594" s="9" t="n">
        <v>26</v>
      </c>
      <c r="E3594" s="18" t="inlineStr">
        <is>
          <t>R</t>
        </is>
      </c>
      <c r="F3594" s="18" t="n"/>
      <c r="G3594" s="9" t="n">
        <v>21</v>
      </c>
      <c r="H3594" s="9" t="n">
        <v>21</v>
      </c>
      <c r="I3594" s="9" t="inlineStr">
        <is>
          <t>Depth (no MLB IP)</t>
        </is>
      </c>
      <c r="J3594" s="18" t="inlineStr">
        <is>
          <t>Opening Day</t>
        </is>
      </c>
      <c r="K3594" s="11">
        <f>IFERROR(INDEX(Roles!$B$17:$B$20,MATCH(J3594,Roles!$A$17:$A$20,0)),1)</f>
        <v/>
      </c>
      <c r="L3594" s="19" t="n">
        <v>1</v>
      </c>
      <c r="M3594" s="11" t="n">
        <v>1</v>
      </c>
      <c r="N3594" s="19" t="n"/>
      <c r="O3594" s="19" t="n"/>
      <c r="P3594" s="19" t="n"/>
      <c r="Q3594" s="19" t="n"/>
      <c r="R3594" s="19" t="n"/>
      <c r="S3594" s="19" t="n"/>
      <c r="T3594" s="19" t="n"/>
      <c r="U3594" s="19" t="n"/>
      <c r="V3594" s="19" t="n"/>
      <c r="W3594" s="19" t="n"/>
      <c r="X3594" s="19" t="n"/>
      <c r="Y3594" s="19" t="n">
        <v>1</v>
      </c>
      <c r="Z3594" s="13">
        <f>SUMPRODUCT(N3594:Y3594,$N$2:$Y$2)*$K3594*$L3594*$M3594</f>
        <v/>
      </c>
      <c r="AA3594" s="14">
        <f>SUM(N3594:Y3594)</f>
        <v/>
      </c>
      <c r="AB3594" s="13">
        <f>SUMPRODUCT(N3594:Y3594,$N$3:$Y$3)*$K3594*$L3594*$M3594</f>
        <v/>
      </c>
      <c r="AC3594" s="13">
        <f>SUMPRODUCT(N3594:Y3594,$N$4:$Y$4)*$K3594*$L3594*$M3594</f>
        <v/>
      </c>
      <c r="AD3594" s="15" t="n">
        <v>4.2</v>
      </c>
      <c r="AE3594" s="11" t="n">
        <v>1.007530864197531</v>
      </c>
      <c r="AF3594" s="16">
        <f>SUMPRODUCT(N3594:Y3594,$N$5:$Y$5)*$K3594*$L3594*$M3594</f>
        <v/>
      </c>
      <c r="AG3594" s="16">
        <f>SUMPRODUCT(N3594:Y3594,$N$6:$Y$6)*$K3594*$L3594*$M3594</f>
        <v/>
      </c>
      <c r="AH3594" s="20" t="n"/>
    </row>
    <row r="3595">
      <c r="A3595" s="9" t="n">
        <v>502043</v>
      </c>
      <c r="B3595" s="9" t="inlineStr">
        <is>
          <t>Kyle Gibson</t>
        </is>
      </c>
      <c r="C3595" s="9" t="inlineStr">
        <is>
          <t>BAL</t>
        </is>
      </c>
      <c r="D3595" s="9" t="n">
        <v>39</v>
      </c>
      <c r="E3595" s="18" t="inlineStr">
        <is>
          <t>R</t>
        </is>
      </c>
      <c r="F3595" s="18" t="n"/>
      <c r="G3595" s="9" t="n">
        <v>73</v>
      </c>
      <c r="H3595" s="9" t="n">
        <v>2320</v>
      </c>
      <c r="I3595" s="9" t="inlineStr">
        <is>
          <t>Mid-Rotation Starter (SP2-3)</t>
        </is>
      </c>
      <c r="J3595" s="18" t="inlineStr">
        <is>
          <t>Opening Day</t>
        </is>
      </c>
      <c r="K3595" s="11">
        <f>IFERROR(INDEX(Roles!$B$17:$B$20,MATCH(J3595,Roles!$A$17:$A$20,0)),1)</f>
        <v/>
      </c>
      <c r="L3595" s="19" t="n">
        <v>1</v>
      </c>
      <c r="M3595" s="11" t="n">
        <v>1</v>
      </c>
      <c r="N3595" s="19" t="n"/>
      <c r="O3595" s="19" t="n">
        <v>1</v>
      </c>
      <c r="P3595" s="19" t="n"/>
      <c r="Q3595" s="19" t="n"/>
      <c r="R3595" s="19" t="n"/>
      <c r="S3595" s="19" t="n"/>
      <c r="T3595" s="19" t="n"/>
      <c r="U3595" s="19" t="n"/>
      <c r="V3595" s="19" t="n"/>
      <c r="W3595" s="19" t="n"/>
      <c r="X3595" s="19" t="n"/>
      <c r="Y3595" s="19" t="n"/>
      <c r="Z3595" s="13">
        <f>SUMPRODUCT(N3595:Y3595,$N$2:$Y$2)*$K3595*$L3595*$M3595</f>
        <v/>
      </c>
      <c r="AA3595" s="14">
        <f>SUM(N3595:Y3595)</f>
        <v/>
      </c>
      <c r="AB3595" s="13">
        <f>SUMPRODUCT(N3595:Y3595,$N$3:$Y$3)*$K3595*$L3595*$M3595</f>
        <v/>
      </c>
      <c r="AC3595" s="13">
        <f>SUMPRODUCT(N3595:Y3595,$N$4:$Y$4)*$K3595*$L3595*$M3595</f>
        <v/>
      </c>
      <c r="AD3595" s="15" t="n">
        <v>18</v>
      </c>
      <c r="AE3595" s="11" t="n">
        <v>5.174212412752311</v>
      </c>
      <c r="AF3595" s="16">
        <f>SUMPRODUCT(N3595:Y3595,$N$5:$Y$5)*$K3595*$L3595*$M3595</f>
        <v/>
      </c>
      <c r="AG3595" s="16">
        <f>SUMPRODUCT(N3595:Y3595,$N$6:$Y$6)*$K3595*$L3595*$M3595</f>
        <v/>
      </c>
      <c r="AH3595" s="20" t="n"/>
    </row>
    <row r="3596">
      <c r="A3596" s="9" t="n">
        <v>702130</v>
      </c>
      <c r="B3596" s="9" t="inlineStr">
        <is>
          <t>Danny Watson</t>
        </is>
      </c>
      <c r="C3596" s="9" t="inlineStr">
        <is>
          <t>NYY</t>
        </is>
      </c>
      <c r="D3596" s="9" t="n">
        <v>25</v>
      </c>
      <c r="E3596" s="18" t="inlineStr">
        <is>
          <t>R</t>
        </is>
      </c>
      <c r="F3596" s="18" t="n"/>
      <c r="G3596" s="9" t="n">
        <v>123.7683333333334</v>
      </c>
      <c r="H3596" s="9" t="n">
        <v>123.7683333333334</v>
      </c>
      <c r="I3596" s="9" t="inlineStr">
        <is>
          <t>Depth (no MLB IP)</t>
        </is>
      </c>
      <c r="J3596" s="18" t="inlineStr">
        <is>
          <t>Opening Day</t>
        </is>
      </c>
      <c r="K3596" s="11">
        <f>IFERROR(INDEX(Roles!$B$17:$B$20,MATCH(J3596,Roles!$A$17:$A$20,0)),1)</f>
        <v/>
      </c>
      <c r="L3596" s="19" t="n">
        <v>1</v>
      </c>
      <c r="M3596" s="11" t="n">
        <v>1</v>
      </c>
      <c r="N3596" s="19" t="n"/>
      <c r="O3596" s="19" t="n"/>
      <c r="P3596" s="19" t="n"/>
      <c r="Q3596" s="19" t="n"/>
      <c r="R3596" s="19" t="n"/>
      <c r="S3596" s="19" t="n"/>
      <c r="T3596" s="19" t="n"/>
      <c r="U3596" s="19" t="n"/>
      <c r="V3596" s="19" t="n"/>
      <c r="W3596" s="19" t="n"/>
      <c r="X3596" s="19" t="n"/>
      <c r="Y3596" s="19" t="n">
        <v>1</v>
      </c>
      <c r="Z3596" s="13">
        <f>SUMPRODUCT(N3596:Y3596,$N$2:$Y$2)*$K3596*$L3596*$M3596</f>
        <v/>
      </c>
      <c r="AA3596" s="14">
        <f>SUM(N3596:Y3596)</f>
        <v/>
      </c>
      <c r="AB3596" s="13">
        <f>SUMPRODUCT(N3596:Y3596,$N$3:$Y$3)*$K3596*$L3596*$M3596</f>
        <v/>
      </c>
      <c r="AC3596" s="13">
        <f>SUMPRODUCT(N3596:Y3596,$N$4:$Y$4)*$K3596*$L3596*$M3596</f>
        <v/>
      </c>
      <c r="AD3596" s="15" t="n">
        <v>3</v>
      </c>
      <c r="AE3596" s="11" t="n">
        <v>1.011296296296296</v>
      </c>
      <c r="AF3596" s="16">
        <f>SUMPRODUCT(N3596:Y3596,$N$5:$Y$5)*$K3596*$L3596*$M3596</f>
        <v/>
      </c>
      <c r="AG3596" s="16">
        <f>SUMPRODUCT(N3596:Y3596,$N$6:$Y$6)*$K3596*$L3596*$M3596</f>
        <v/>
      </c>
      <c r="AH3596" s="20" t="n"/>
    </row>
    <row r="3597">
      <c r="A3597" s="9" t="n">
        <v>695684</v>
      </c>
      <c r="B3597" s="9" t="inlineStr">
        <is>
          <t>Elmer Rodríguez</t>
        </is>
      </c>
      <c r="C3597" s="9" t="inlineStr">
        <is>
          <t>NYY</t>
        </is>
      </c>
      <c r="D3597" s="9" t="n">
        <v>23</v>
      </c>
      <c r="E3597" s="18" t="inlineStr">
        <is>
          <t>R</t>
        </is>
      </c>
      <c r="F3597" s="18" t="n"/>
      <c r="G3597" s="9" t="n">
        <v>125</v>
      </c>
      <c r="H3597" s="9" t="n">
        <v>125</v>
      </c>
      <c r="I3597" s="9" t="inlineStr">
        <is>
          <t>Bullpen Depth Arm</t>
        </is>
      </c>
      <c r="J3597" s="18" t="inlineStr">
        <is>
          <t>Early Season (~May)</t>
        </is>
      </c>
      <c r="K3597" s="11">
        <f>IFERROR(INDEX(Roles!$B$17:$B$20,MATCH(J3597,Roles!$A$17:$A$20,0)),1)</f>
        <v/>
      </c>
      <c r="L3597" s="19" t="n">
        <v>1</v>
      </c>
      <c r="M3597" s="11" t="n">
        <v>1</v>
      </c>
      <c r="N3597" s="19" t="n"/>
      <c r="O3597" s="19" t="n"/>
      <c r="P3597" s="19" t="n"/>
      <c r="Q3597" s="19" t="n"/>
      <c r="R3597" s="19" t="n"/>
      <c r="S3597" s="19" t="n"/>
      <c r="T3597" s="19" t="n"/>
      <c r="U3597" s="19" t="n"/>
      <c r="V3597" s="19" t="n"/>
      <c r="W3597" s="19" t="n">
        <v>1</v>
      </c>
      <c r="X3597" s="19" t="n"/>
      <c r="Y3597" s="19" t="n"/>
      <c r="Z3597" s="13">
        <f>SUMPRODUCT(N3597:Y3597,$N$2:$Y$2)*$K3597*$L3597*$M3597</f>
        <v/>
      </c>
      <c r="AA3597" s="14">
        <f>SUM(N3597:Y3597)</f>
        <v/>
      </c>
      <c r="AB3597" s="13">
        <f>SUMPRODUCT(N3597:Y3597,$N$3:$Y$3)*$K3597*$L3597*$M3597</f>
        <v/>
      </c>
      <c r="AC3597" s="13">
        <f>SUMPRODUCT(N3597:Y3597,$N$4:$Y$4)*$K3597*$L3597*$M3597</f>
        <v/>
      </c>
      <c r="AD3597" s="15" t="n">
        <v>9.266666666666666</v>
      </c>
      <c r="AE3597" s="11" t="n">
        <v>2.282988616321949</v>
      </c>
      <c r="AF3597" s="16">
        <f>SUMPRODUCT(N3597:Y3597,$N$5:$Y$5)*$K3597*$L3597*$M3597</f>
        <v/>
      </c>
      <c r="AG3597" s="16">
        <f>SUMPRODUCT(N3597:Y3597,$N$6:$Y$6)*$K3597*$L3597*$M3597</f>
        <v/>
      </c>
      <c r="AH3597" s="20" t="n"/>
    </row>
    <row r="3598">
      <c r="A3598" s="9" t="n">
        <v>670766</v>
      </c>
      <c r="B3598" s="9" t="inlineStr">
        <is>
          <t>Darren McCaughan</t>
        </is>
      </c>
      <c r="C3598" s="9" t="inlineStr">
        <is>
          <t>MIA</t>
        </is>
      </c>
      <c r="D3598" s="9" t="n">
        <v>31</v>
      </c>
      <c r="E3598" s="18" t="inlineStr">
        <is>
          <t>R</t>
        </is>
      </c>
      <c r="F3598" s="18" t="n"/>
      <c r="G3598" s="9" t="n">
        <v>23</v>
      </c>
      <c r="H3598" s="9" t="n">
        <v>245</v>
      </c>
      <c r="I3598" s="9" t="inlineStr">
        <is>
          <t>Depth (no MLB IP)</t>
        </is>
      </c>
      <c r="J3598" s="18" t="inlineStr">
        <is>
          <t>Opening Day</t>
        </is>
      </c>
      <c r="K3598" s="11">
        <f>IFERROR(INDEX(Roles!$B$17:$B$20,MATCH(J3598,Roles!$A$17:$A$20,0)),1)</f>
        <v/>
      </c>
      <c r="L3598" s="19" t="n">
        <v>1</v>
      </c>
      <c r="M3598" s="11" t="n">
        <v>1</v>
      </c>
      <c r="N3598" s="19" t="n"/>
      <c r="O3598" s="19" t="n"/>
      <c r="P3598" s="19" t="n"/>
      <c r="Q3598" s="19" t="n"/>
      <c r="R3598" s="19" t="n"/>
      <c r="S3598" s="19" t="n"/>
      <c r="T3598" s="19" t="n"/>
      <c r="U3598" s="19" t="n"/>
      <c r="V3598" s="19" t="n"/>
      <c r="W3598" s="19" t="n"/>
      <c r="X3598" s="19" t="n"/>
      <c r="Y3598" s="19" t="n">
        <v>1</v>
      </c>
      <c r="Z3598" s="13">
        <f>SUMPRODUCT(N3598:Y3598,$N$2:$Y$2)*$K3598*$L3598*$M3598</f>
        <v/>
      </c>
      <c r="AA3598" s="14">
        <f>SUM(N3598:Y3598)</f>
        <v/>
      </c>
      <c r="AB3598" s="13">
        <f>SUMPRODUCT(N3598:Y3598,$N$3:$Y$3)*$K3598*$L3598*$M3598</f>
        <v/>
      </c>
      <c r="AC3598" s="13">
        <f>SUMPRODUCT(N3598:Y3598,$N$4:$Y$4)*$K3598*$L3598*$M3598</f>
        <v/>
      </c>
      <c r="AD3598" s="15" t="n">
        <v>4.8</v>
      </c>
      <c r="AE3598" s="11" t="n">
        <v>1.649506172839506</v>
      </c>
      <c r="AF3598" s="16">
        <f>SUMPRODUCT(N3598:Y3598,$N$5:$Y$5)*$K3598*$L3598*$M3598</f>
        <v/>
      </c>
      <c r="AG3598" s="16">
        <f>SUMPRODUCT(N3598:Y3598,$N$6:$Y$6)*$K3598*$L3598*$M3598</f>
        <v/>
      </c>
      <c r="AH3598" s="20" t="n"/>
    </row>
    <row r="3599">
      <c r="A3599" s="9" t="n">
        <v>676969</v>
      </c>
      <c r="B3599" s="9" t="inlineStr">
        <is>
          <t>Brett de Geus</t>
        </is>
      </c>
      <c r="C3599" s="9" t="inlineStr">
        <is>
          <t>TOR</t>
        </is>
      </c>
      <c r="D3599" s="9" t="n">
        <v>29</v>
      </c>
      <c r="E3599" s="18" t="inlineStr">
        <is>
          <t>R</t>
        </is>
      </c>
      <c r="F3599" s="18" t="n"/>
      <c r="G3599" s="9" t="n">
        <v>10</v>
      </c>
      <c r="H3599" s="9" t="n">
        <v>62</v>
      </c>
      <c r="I3599" s="9" t="inlineStr">
        <is>
          <t>Depth (no MLB IP)</t>
        </is>
      </c>
      <c r="J3599" s="18" t="inlineStr">
        <is>
          <t>Opening Day</t>
        </is>
      </c>
      <c r="K3599" s="11">
        <f>IFERROR(INDEX(Roles!$B$17:$B$20,MATCH(J3599,Roles!$A$17:$A$20,0)),1)</f>
        <v/>
      </c>
      <c r="L3599" s="19" t="n">
        <v>1</v>
      </c>
      <c r="M3599" s="11" t="n">
        <v>1</v>
      </c>
      <c r="N3599" s="19" t="n"/>
      <c r="O3599" s="19" t="n"/>
      <c r="P3599" s="19" t="n"/>
      <c r="Q3599" s="19" t="n"/>
      <c r="R3599" s="19" t="n"/>
      <c r="S3599" s="19" t="n"/>
      <c r="T3599" s="19" t="n"/>
      <c r="U3599" s="19" t="n"/>
      <c r="V3599" s="19" t="n"/>
      <c r="W3599" s="19" t="n"/>
      <c r="X3599" s="19" t="n"/>
      <c r="Y3599" s="19" t="n">
        <v>1</v>
      </c>
      <c r="Z3599" s="13">
        <f>SUMPRODUCT(N3599:Y3599,$N$2:$Y$2)*$K3599*$L3599*$M3599</f>
        <v/>
      </c>
      <c r="AA3599" s="14">
        <f>SUM(N3599:Y3599)</f>
        <v/>
      </c>
      <c r="AB3599" s="13">
        <f>SUMPRODUCT(N3599:Y3599,$N$3:$Y$3)*$K3599*$L3599*$M3599</f>
        <v/>
      </c>
      <c r="AC3599" s="13">
        <f>SUMPRODUCT(N3599:Y3599,$N$4:$Y$4)*$K3599*$L3599*$M3599</f>
        <v/>
      </c>
      <c r="AD3599" s="15" t="n">
        <v>4.2</v>
      </c>
      <c r="AE3599" s="11" t="n">
        <v>1.014938271604938</v>
      </c>
      <c r="AF3599" s="16">
        <f>SUMPRODUCT(N3599:Y3599,$N$5:$Y$5)*$K3599*$L3599*$M3599</f>
        <v/>
      </c>
      <c r="AG3599" s="16">
        <f>SUMPRODUCT(N3599:Y3599,$N$6:$Y$6)*$K3599*$L3599*$M3599</f>
        <v/>
      </c>
      <c r="AH3599" s="20" t="n"/>
    </row>
    <row r="3600">
      <c r="A3600" s="9" t="n">
        <v>692262</v>
      </c>
      <c r="B3600" s="9" t="inlineStr">
        <is>
          <t>Roque Gutierrez</t>
        </is>
      </c>
      <c r="C3600" s="9" t="inlineStr">
        <is>
          <t>LAD</t>
        </is>
      </c>
      <c r="D3600" s="9" t="n">
        <v>25</v>
      </c>
      <c r="E3600" s="18" t="inlineStr">
        <is>
          <t>R</t>
        </is>
      </c>
      <c r="F3600" s="18" t="n"/>
      <c r="G3600" s="9" t="n">
        <v>123.9116666666666</v>
      </c>
      <c r="H3600" s="9" t="n">
        <v>123.9116666666666</v>
      </c>
      <c r="I3600" s="9" t="inlineStr">
        <is>
          <t>Depth (no MLB IP)</t>
        </is>
      </c>
      <c r="J3600" s="18" t="inlineStr">
        <is>
          <t>Opening Day</t>
        </is>
      </c>
      <c r="K3600" s="11">
        <f>IFERROR(INDEX(Roles!$B$17:$B$20,MATCH(J3600,Roles!$A$17:$A$20,0)),1)</f>
        <v/>
      </c>
      <c r="L3600" s="19" t="n">
        <v>1</v>
      </c>
      <c r="M3600" s="11" t="n">
        <v>1</v>
      </c>
      <c r="N3600" s="19" t="n"/>
      <c r="O3600" s="19" t="n"/>
      <c r="P3600" s="19" t="n"/>
      <c r="Q3600" s="19" t="n"/>
      <c r="R3600" s="19" t="n"/>
      <c r="S3600" s="19" t="n"/>
      <c r="T3600" s="19" t="n"/>
      <c r="U3600" s="19" t="n"/>
      <c r="V3600" s="19" t="n"/>
      <c r="W3600" s="19" t="n"/>
      <c r="X3600" s="19" t="n"/>
      <c r="Y3600" s="19" t="n">
        <v>1</v>
      </c>
      <c r="Z3600" s="13">
        <f>SUMPRODUCT(N3600:Y3600,$N$2:$Y$2)*$K3600*$L3600*$M3600</f>
        <v/>
      </c>
      <c r="AA3600" s="14">
        <f>SUM(N3600:Y3600)</f>
        <v/>
      </c>
      <c r="AB3600" s="13">
        <f>SUMPRODUCT(N3600:Y3600,$N$3:$Y$3)*$K3600*$L3600*$M3600</f>
        <v/>
      </c>
      <c r="AC3600" s="13">
        <f>SUMPRODUCT(N3600:Y3600,$N$4:$Y$4)*$K3600*$L3600*$M3600</f>
        <v/>
      </c>
      <c r="AD3600" s="15" t="n">
        <v>3</v>
      </c>
      <c r="AE3600" s="11" t="n">
        <v>1.011296296296296</v>
      </c>
      <c r="AF3600" s="16">
        <f>SUMPRODUCT(N3600:Y3600,$N$5:$Y$5)*$K3600*$L3600*$M3600</f>
        <v/>
      </c>
      <c r="AG3600" s="16">
        <f>SUMPRODUCT(N3600:Y3600,$N$6:$Y$6)*$K3600*$L3600*$M3600</f>
        <v/>
      </c>
      <c r="AH3600" s="20" t="n"/>
    </row>
    <row r="3601">
      <c r="A3601" s="9" t="n">
        <v>683734</v>
      </c>
      <c r="B3601" s="9" t="inlineStr">
        <is>
          <t>Andrew Vaughn</t>
        </is>
      </c>
      <c r="C3601" s="9" t="inlineStr">
        <is>
          <t>MIL</t>
        </is>
      </c>
      <c r="D3601" s="9" t="n">
        <v>29</v>
      </c>
      <c r="E3601" s="18" t="inlineStr">
        <is>
          <t>R</t>
        </is>
      </c>
      <c r="F3601" s="18" t="n"/>
      <c r="G3601" s="9" t="n">
        <v>26</v>
      </c>
      <c r="H3601" s="9" t="n">
        <v>26</v>
      </c>
      <c r="I3601" s="9" t="inlineStr">
        <is>
          <t>Bullpen Depth Arm</t>
        </is>
      </c>
      <c r="J3601" s="18" t="inlineStr">
        <is>
          <t>Opening Day</t>
        </is>
      </c>
      <c r="K3601" s="11">
        <f>IFERROR(INDEX(Roles!$B$17:$B$20,MATCH(J3601,Roles!$A$17:$A$20,0)),1)</f>
        <v/>
      </c>
      <c r="L3601" s="19" t="n">
        <v>1</v>
      </c>
      <c r="M3601" s="11" t="n">
        <v>1</v>
      </c>
      <c r="N3601" s="19" t="n"/>
      <c r="O3601" s="19" t="n"/>
      <c r="P3601" s="19" t="n"/>
      <c r="Q3601" s="19" t="n"/>
      <c r="R3601" s="19" t="n"/>
      <c r="S3601" s="19" t="n"/>
      <c r="T3601" s="19" t="n"/>
      <c r="U3601" s="19" t="n"/>
      <c r="V3601" s="19" t="n"/>
      <c r="W3601" s="19" t="n">
        <v>1</v>
      </c>
      <c r="X3601" s="19" t="n"/>
      <c r="Y3601" s="19" t="n"/>
      <c r="Z3601" s="13">
        <f>SUMPRODUCT(N3601:Y3601,$N$2:$Y$2)*$K3601*$L3601*$M3601</f>
        <v/>
      </c>
      <c r="AA3601" s="14">
        <f>SUM(N3601:Y3601)</f>
        <v/>
      </c>
      <c r="AB3601" s="13">
        <f>SUMPRODUCT(N3601:Y3601,$N$3:$Y$3)*$K3601*$L3601*$M3601</f>
        <v/>
      </c>
      <c r="AC3601" s="13">
        <f>SUMPRODUCT(N3601:Y3601,$N$4:$Y$4)*$K3601*$L3601*$M3601</f>
        <v/>
      </c>
      <c r="AD3601" s="15" t="n">
        <v>6.866666666666665</v>
      </c>
      <c r="AE3601" s="11" t="n">
        <v>1.301507134840468</v>
      </c>
      <c r="AF3601" s="16">
        <f>SUMPRODUCT(N3601:Y3601,$N$5:$Y$5)*$K3601*$L3601*$M3601</f>
        <v/>
      </c>
      <c r="AG3601" s="16">
        <f>SUMPRODUCT(N3601:Y3601,$N$6:$Y$6)*$K3601*$L3601*$M3601</f>
        <v/>
      </c>
      <c r="AH3601" s="20" t="n"/>
    </row>
    <row r="3602">
      <c r="A3602" s="9" t="n">
        <v>663399</v>
      </c>
      <c r="B3602" s="9" t="inlineStr">
        <is>
          <t>Brandon Waddell</t>
        </is>
      </c>
      <c r="C3602" s="9" t="inlineStr">
        <is>
          <t>NYM</t>
        </is>
      </c>
      <c r="D3602" s="9" t="n">
        <v>33</v>
      </c>
      <c r="E3602" s="18" t="inlineStr">
        <is>
          <t>L</t>
        </is>
      </c>
      <c r="F3602" s="18" t="n"/>
      <c r="G3602" s="9" t="n">
        <v>134</v>
      </c>
      <c r="H3602" s="9" t="n">
        <v>134</v>
      </c>
      <c r="I3602" s="9" t="inlineStr">
        <is>
          <t>Middle Relief</t>
        </is>
      </c>
      <c r="J3602" s="18" t="inlineStr">
        <is>
          <t>Opening Day</t>
        </is>
      </c>
      <c r="K3602" s="11">
        <f>IFERROR(INDEX(Roles!$B$17:$B$20,MATCH(J3602,Roles!$A$17:$A$20,0)),1)</f>
        <v/>
      </c>
      <c r="L3602" s="19" t="n">
        <v>1</v>
      </c>
      <c r="M3602" s="11" t="n">
        <v>1</v>
      </c>
      <c r="N3602" s="19" t="n"/>
      <c r="O3602" s="19" t="n"/>
      <c r="P3602" s="19" t="n"/>
      <c r="Q3602" s="19" t="n"/>
      <c r="R3602" s="19" t="n"/>
      <c r="S3602" s="19" t="n"/>
      <c r="T3602" s="19" t="n"/>
      <c r="U3602" s="19" t="n"/>
      <c r="V3602" s="19" t="n">
        <v>1</v>
      </c>
      <c r="W3602" s="19" t="n"/>
      <c r="X3602" s="19" t="n"/>
      <c r="Y3602" s="19" t="n"/>
      <c r="Z3602" s="13">
        <f>SUMPRODUCT(N3602:Y3602,$N$2:$Y$2)*$K3602*$L3602*$M3602</f>
        <v/>
      </c>
      <c r="AA3602" s="14">
        <f>SUM(N3602:Y3602)</f>
        <v/>
      </c>
      <c r="AB3602" s="13">
        <f>SUMPRODUCT(N3602:Y3602,$N$3:$Y$3)*$K3602*$L3602*$M3602</f>
        <v/>
      </c>
      <c r="AC3602" s="13">
        <f>SUMPRODUCT(N3602:Y3602,$N$4:$Y$4)*$K3602*$L3602*$M3602</f>
        <v/>
      </c>
      <c r="AD3602" s="15" t="n">
        <v>21.33333333333333</v>
      </c>
      <c r="AE3602" s="11" t="n">
        <v>1.638638714270363</v>
      </c>
      <c r="AF3602" s="16">
        <f>SUMPRODUCT(N3602:Y3602,$N$5:$Y$5)*$K3602*$L3602*$M3602</f>
        <v/>
      </c>
      <c r="AG3602" s="16">
        <f>SUMPRODUCT(N3602:Y3602,$N$6:$Y$6)*$K3602*$L3602*$M3602</f>
        <v/>
      </c>
      <c r="AH3602" s="20" t="n"/>
    </row>
    <row r="3603">
      <c r="A3603" s="9" t="n">
        <v>594577</v>
      </c>
      <c r="B3603" s="9" t="inlineStr">
        <is>
          <t>Mike Mayers</t>
        </is>
      </c>
      <c r="C3603" s="9" t="inlineStr">
        <is>
          <t>KC</t>
        </is>
      </c>
      <c r="D3603" s="9" t="n">
        <v>35</v>
      </c>
      <c r="E3603" s="18" t="inlineStr">
        <is>
          <t>R</t>
        </is>
      </c>
      <c r="F3603" s="18" t="n"/>
      <c r="G3603" s="9" t="n">
        <v>119</v>
      </c>
      <c r="H3603" s="9" t="n">
        <v>342</v>
      </c>
      <c r="I3603" s="9" t="inlineStr">
        <is>
          <t>Depth (no MLB IP)</t>
        </is>
      </c>
      <c r="J3603" s="18" t="inlineStr">
        <is>
          <t>Opening Day</t>
        </is>
      </c>
      <c r="K3603" s="11">
        <f>IFERROR(INDEX(Roles!$B$17:$B$20,MATCH(J3603,Roles!$A$17:$A$20,0)),1)</f>
        <v/>
      </c>
      <c r="L3603" s="19" t="n">
        <v>1</v>
      </c>
      <c r="M3603" s="11" t="n">
        <v>1</v>
      </c>
      <c r="N3603" s="19" t="n"/>
      <c r="O3603" s="19" t="n"/>
      <c r="P3603" s="19" t="n"/>
      <c r="Q3603" s="19" t="n"/>
      <c r="R3603" s="19" t="n"/>
      <c r="S3603" s="19" t="n"/>
      <c r="T3603" s="19" t="n"/>
      <c r="U3603" s="19" t="n"/>
      <c r="V3603" s="19" t="n"/>
      <c r="W3603" s="19" t="n"/>
      <c r="X3603" s="19" t="n"/>
      <c r="Y3603" s="19" t="n">
        <v>1</v>
      </c>
      <c r="Z3603" s="13">
        <f>SUMPRODUCT(N3603:Y3603,$N$2:$Y$2)*$K3603*$L3603*$M3603</f>
        <v/>
      </c>
      <c r="AA3603" s="14">
        <f>SUM(N3603:Y3603)</f>
        <v/>
      </c>
      <c r="AB3603" s="13">
        <f>SUMPRODUCT(N3603:Y3603,$N$3:$Y$3)*$K3603*$L3603*$M3603</f>
        <v/>
      </c>
      <c r="AC3603" s="13">
        <f>SUMPRODUCT(N3603:Y3603,$N$4:$Y$4)*$K3603*$L3603*$M3603</f>
        <v/>
      </c>
      <c r="AD3603" s="15" t="n">
        <v>3</v>
      </c>
      <c r="AE3603" s="11" t="n">
        <v>1.011296296296296</v>
      </c>
      <c r="AF3603" s="16">
        <f>SUMPRODUCT(N3603:Y3603,$N$5:$Y$5)*$K3603*$L3603*$M3603</f>
        <v/>
      </c>
      <c r="AG3603" s="16">
        <f>SUMPRODUCT(N3603:Y3603,$N$6:$Y$6)*$K3603*$L3603*$M3603</f>
        <v/>
      </c>
      <c r="AH3603" s="20" t="n"/>
    </row>
    <row r="3604">
      <c r="A3604" s="9" t="n">
        <v>680684</v>
      </c>
      <c r="B3604" s="9" t="inlineStr">
        <is>
          <t>Gunnar Hoglund</t>
        </is>
      </c>
      <c r="C3604" s="9" t="inlineStr">
        <is>
          <t>OAK</t>
        </is>
      </c>
      <c r="D3604" s="9" t="n">
        <v>27</v>
      </c>
      <c r="E3604" s="18" t="inlineStr">
        <is>
          <t>R</t>
        </is>
      </c>
      <c r="F3604" s="18" t="n"/>
      <c r="G3604" s="9" t="n">
        <v>139</v>
      </c>
      <c r="H3604" s="9" t="n">
        <v>139</v>
      </c>
      <c r="I3604" s="9" t="inlineStr">
        <is>
          <t>Bullpen Depth Arm</t>
        </is>
      </c>
      <c r="J3604" s="18" t="inlineStr">
        <is>
          <t>Opening Day</t>
        </is>
      </c>
      <c r="K3604" s="11">
        <f>IFERROR(INDEX(Roles!$B$17:$B$20,MATCH(J3604,Roles!$A$17:$A$20,0)),1)</f>
        <v/>
      </c>
      <c r="L3604" s="19" t="n">
        <v>1</v>
      </c>
      <c r="M3604" s="11" t="n">
        <v>1</v>
      </c>
      <c r="N3604" s="19" t="n"/>
      <c r="O3604" s="19" t="n"/>
      <c r="P3604" s="19" t="n"/>
      <c r="Q3604" s="19" t="n"/>
      <c r="R3604" s="19" t="n"/>
      <c r="S3604" s="19" t="n"/>
      <c r="T3604" s="19" t="n"/>
      <c r="U3604" s="19" t="n"/>
      <c r="V3604" s="19" t="n"/>
      <c r="W3604" s="19" t="n">
        <v>1</v>
      </c>
      <c r="X3604" s="19" t="n"/>
      <c r="Y3604" s="19" t="n"/>
      <c r="Z3604" s="13">
        <f>SUMPRODUCT(N3604:Y3604,$N$2:$Y$2)*$K3604*$L3604*$M3604</f>
        <v/>
      </c>
      <c r="AA3604" s="14">
        <f>SUM(N3604:Y3604)</f>
        <v/>
      </c>
      <c r="AB3604" s="13">
        <f>SUMPRODUCT(N3604:Y3604,$N$3:$Y$3)*$K3604*$L3604*$M3604</f>
        <v/>
      </c>
      <c r="AC3604" s="13">
        <f>SUMPRODUCT(N3604:Y3604,$N$4:$Y$4)*$K3604*$L3604*$M3604</f>
        <v/>
      </c>
      <c r="AD3604" s="15" t="n">
        <v>9.266666666666666</v>
      </c>
      <c r="AE3604" s="11" t="n">
        <v>2.597803431136765</v>
      </c>
      <c r="AF3604" s="16">
        <f>SUMPRODUCT(N3604:Y3604,$N$5:$Y$5)*$K3604*$L3604*$M3604</f>
        <v/>
      </c>
      <c r="AG3604" s="16">
        <f>SUMPRODUCT(N3604:Y3604,$N$6:$Y$6)*$K3604*$L3604*$M3604</f>
        <v/>
      </c>
      <c r="AH3604" s="20" t="n"/>
    </row>
    <row r="3605">
      <c r="A3605" s="9" t="n">
        <v>800600</v>
      </c>
      <c r="B3605" s="9" t="inlineStr">
        <is>
          <t>Jackson Kent</t>
        </is>
      </c>
      <c r="C3605" s="9" t="inlineStr">
        <is>
          <t>WSH</t>
        </is>
      </c>
      <c r="D3605" s="9" t="n">
        <v>24</v>
      </c>
      <c r="E3605" s="18" t="inlineStr">
        <is>
          <t>L</t>
        </is>
      </c>
      <c r="F3605" s="18" t="n"/>
      <c r="G3605" s="9" t="n">
        <v>170</v>
      </c>
      <c r="H3605" s="9" t="n">
        <v>170</v>
      </c>
      <c r="I3605" s="9" t="inlineStr">
        <is>
          <t>Bullpen Depth Arm</t>
        </is>
      </c>
      <c r="J3605" s="18" t="inlineStr">
        <is>
          <t>Early Season (~May)</t>
        </is>
      </c>
      <c r="K3605" s="11">
        <f>IFERROR(INDEX(Roles!$B$17:$B$20,MATCH(J3605,Roles!$A$17:$A$20,0)),1)</f>
        <v/>
      </c>
      <c r="L3605" s="19" t="n">
        <v>1</v>
      </c>
      <c r="M3605" s="11" t="n">
        <v>1</v>
      </c>
      <c r="N3605" s="19" t="n"/>
      <c r="O3605" s="19" t="n"/>
      <c r="P3605" s="19" t="n"/>
      <c r="Q3605" s="19" t="n"/>
      <c r="R3605" s="19" t="n"/>
      <c r="S3605" s="19" t="n"/>
      <c r="T3605" s="19" t="n"/>
      <c r="U3605" s="19" t="n"/>
      <c r="V3605" s="19" t="n"/>
      <c r="W3605" s="19" t="n">
        <v>1</v>
      </c>
      <c r="X3605" s="19" t="n"/>
      <c r="Y3605" s="19" t="n"/>
      <c r="Z3605" s="13">
        <f>SUMPRODUCT(N3605:Y3605,$N$2:$Y$2)*$K3605*$L3605*$M3605</f>
        <v/>
      </c>
      <c r="AA3605" s="14">
        <f>SUM(N3605:Y3605)</f>
        <v/>
      </c>
      <c r="AB3605" s="13">
        <f>SUMPRODUCT(N3605:Y3605,$N$3:$Y$3)*$K3605*$L3605*$M3605</f>
        <v/>
      </c>
      <c r="AC3605" s="13">
        <f>SUMPRODUCT(N3605:Y3605,$N$4:$Y$4)*$K3605*$L3605*$M3605</f>
        <v/>
      </c>
      <c r="AD3605" s="15" t="n">
        <v>10.46666666666666</v>
      </c>
      <c r="AE3605" s="11" t="n">
        <v>2.315396023729357</v>
      </c>
      <c r="AF3605" s="16">
        <f>SUMPRODUCT(N3605:Y3605,$N$5:$Y$5)*$K3605*$L3605*$M3605</f>
        <v/>
      </c>
      <c r="AG3605" s="16">
        <f>SUMPRODUCT(N3605:Y3605,$N$6:$Y$6)*$K3605*$L3605*$M3605</f>
        <v/>
      </c>
      <c r="AH3605" s="20" t="n"/>
    </row>
    <row r="3606">
      <c r="A3606" s="9" t="n">
        <v>701388</v>
      </c>
      <c r="B3606" s="9" t="inlineStr">
        <is>
          <t>Jurrangelo Cijntje</t>
        </is>
      </c>
      <c r="C3606" s="9" t="inlineStr">
        <is>
          <t>STL</t>
        </is>
      </c>
      <c r="D3606" s="9" t="n">
        <v>24</v>
      </c>
      <c r="E3606" s="18" t="inlineStr">
        <is>
          <t>S</t>
        </is>
      </c>
      <c r="F3606" s="18" t="n"/>
      <c r="G3606" s="9" t="n">
        <v>124.5566666666667</v>
      </c>
      <c r="H3606" s="9" t="n">
        <v>124.5566666666667</v>
      </c>
      <c r="I3606" s="9" t="inlineStr">
        <is>
          <t>Innings-Limited Starter</t>
        </is>
      </c>
      <c r="J3606" s="18" t="inlineStr">
        <is>
          <t>Mid Season (~July)</t>
        </is>
      </c>
      <c r="K3606" s="11">
        <f>IFERROR(INDEX(Roles!$B$17:$B$20,MATCH(J3606,Roles!$A$17:$A$20,0)),1)</f>
        <v/>
      </c>
      <c r="L3606" s="19" t="n">
        <v>1</v>
      </c>
      <c r="M3606" s="11" t="n">
        <v>1</v>
      </c>
      <c r="N3606" s="19" t="n"/>
      <c r="O3606" s="19" t="n"/>
      <c r="P3606" s="19" t="n"/>
      <c r="Q3606" s="19" t="n">
        <v>0.47</v>
      </c>
      <c r="R3606" s="19" t="n">
        <v>0.3</v>
      </c>
      <c r="S3606" s="19" t="n"/>
      <c r="T3606" s="19" t="n"/>
      <c r="U3606" s="19" t="n"/>
      <c r="V3606" s="19" t="n"/>
      <c r="W3606" s="19" t="n">
        <v>0.23</v>
      </c>
      <c r="X3606" s="19" t="n"/>
      <c r="Y3606" s="19" t="n"/>
      <c r="Z3606" s="13">
        <f>SUMPRODUCT(N3606:Y3606,$N$2:$Y$2)*$K3606*$L3606*$M3606</f>
        <v/>
      </c>
      <c r="AA3606" s="14">
        <f>SUM(N3606:Y3606)</f>
        <v/>
      </c>
      <c r="AB3606" s="13">
        <f>SUMPRODUCT(N3606:Y3606,$N$3:$Y$3)*$K3606*$L3606*$M3606</f>
        <v/>
      </c>
      <c r="AC3606" s="13">
        <f>SUMPRODUCT(N3606:Y3606,$N$4:$Y$4)*$K3606*$L3606*$M3606</f>
        <v/>
      </c>
      <c r="AD3606" s="15" t="n">
        <v>27.39</v>
      </c>
      <c r="AE3606" s="11" t="n">
        <v>3.263964950711938</v>
      </c>
      <c r="AF3606" s="16">
        <f>SUMPRODUCT(N3606:Y3606,$N$5:$Y$5)*$K3606*$L3606*$M3606</f>
        <v/>
      </c>
      <c r="AG3606" s="16">
        <f>SUMPRODUCT(N3606:Y3606,$N$6:$Y$6)*$K3606*$L3606*$M3606</f>
        <v/>
      </c>
      <c r="AH3606" s="20" t="n"/>
    </row>
    <row r="3607">
      <c r="A3607" s="9" t="n">
        <v>593958</v>
      </c>
      <c r="B3607" s="9" t="inlineStr">
        <is>
          <t>Eduardo Rodriguez</t>
        </is>
      </c>
      <c r="C3607" s="9" t="inlineStr">
        <is>
          <t>ARI</t>
        </is>
      </c>
      <c r="D3607" s="9" t="n">
        <v>34</v>
      </c>
      <c r="E3607" s="18" t="inlineStr">
        <is>
          <t>L</t>
        </is>
      </c>
      <c r="F3607" s="18" t="n"/>
      <c r="G3607" s="9" t="n">
        <v>788</v>
      </c>
      <c r="H3607" s="9" t="n">
        <v>2718</v>
      </c>
      <c r="I3607" s="9" t="inlineStr">
        <is>
          <t>Mid-Rotation Starter (SP2-3)</t>
        </is>
      </c>
      <c r="J3607" s="18" t="inlineStr">
        <is>
          <t>Opening Day</t>
        </is>
      </c>
      <c r="K3607" s="11">
        <f>IFERROR(INDEX(Roles!$B$17:$B$20,MATCH(J3607,Roles!$A$17:$A$20,0)),1)</f>
        <v/>
      </c>
      <c r="L3607" s="19" t="n">
        <v>1</v>
      </c>
      <c r="M3607" s="11" t="n">
        <v>1</v>
      </c>
      <c r="N3607" s="19" t="n"/>
      <c r="O3607" s="19" t="n">
        <v>0.5</v>
      </c>
      <c r="P3607" s="19" t="n">
        <v>0.5</v>
      </c>
      <c r="Q3607" s="19" t="n"/>
      <c r="R3607" s="19" t="n"/>
      <c r="S3607" s="19" t="n"/>
      <c r="T3607" s="19" t="n"/>
      <c r="U3607" s="19" t="n"/>
      <c r="V3607" s="19" t="n"/>
      <c r="W3607" s="19" t="n"/>
      <c r="X3607" s="19" t="n"/>
      <c r="Y3607" s="19" t="n"/>
      <c r="Z3607" s="13">
        <f>SUMPRODUCT(N3607:Y3607,$N$2:$Y$2)*$K3607*$L3607*$M3607</f>
        <v/>
      </c>
      <c r="AA3607" s="14">
        <f>SUM(N3607:Y3607)</f>
        <v/>
      </c>
      <c r="AB3607" s="13">
        <f>SUMPRODUCT(N3607:Y3607,$N$3:$Y$3)*$K3607*$L3607*$M3607</f>
        <v/>
      </c>
      <c r="AC3607" s="13">
        <f>SUMPRODUCT(N3607:Y3607,$N$4:$Y$4)*$K3607*$L3607*$M3607</f>
        <v/>
      </c>
      <c r="AD3607" s="15" t="n">
        <v>26.8</v>
      </c>
      <c r="AE3607" s="11" t="n">
        <v>5.355035405192762</v>
      </c>
      <c r="AF3607" s="16">
        <f>SUMPRODUCT(N3607:Y3607,$N$5:$Y$5)*$K3607*$L3607*$M3607</f>
        <v/>
      </c>
      <c r="AG3607" s="16">
        <f>SUMPRODUCT(N3607:Y3607,$N$6:$Y$6)*$K3607*$L3607*$M3607</f>
        <v/>
      </c>
      <c r="AH3607" s="20" t="n"/>
    </row>
    <row r="3608">
      <c r="A3608" s="9" t="n">
        <v>801517</v>
      </c>
      <c r="B3608" s="9" t="inlineStr">
        <is>
          <t>Spencer Giesting</t>
        </is>
      </c>
      <c r="C3608" s="9" t="inlineStr">
        <is>
          <t>ARI</t>
        </is>
      </c>
      <c r="D3608" s="9" t="n">
        <v>25</v>
      </c>
      <c r="E3608" s="18" t="inlineStr">
        <is>
          <t>L</t>
        </is>
      </c>
      <c r="F3608" s="18" t="n"/>
      <c r="G3608" s="9" t="n">
        <v>124.5566666666667</v>
      </c>
      <c r="H3608" s="9" t="n">
        <v>124.5566666666667</v>
      </c>
      <c r="I3608" s="9" t="inlineStr">
        <is>
          <t>Depth (no MLB IP)</t>
        </is>
      </c>
      <c r="J3608" s="18" t="inlineStr">
        <is>
          <t>Opening Day</t>
        </is>
      </c>
      <c r="K3608" s="11">
        <f>IFERROR(INDEX(Roles!$B$17:$B$20,MATCH(J3608,Roles!$A$17:$A$20,0)),1)</f>
        <v/>
      </c>
      <c r="L3608" s="19" t="n">
        <v>1</v>
      </c>
      <c r="M3608" s="11" t="n">
        <v>1</v>
      </c>
      <c r="N3608" s="19" t="n"/>
      <c r="O3608" s="19" t="n"/>
      <c r="P3608" s="19" t="n"/>
      <c r="Q3608" s="19" t="n"/>
      <c r="R3608" s="19" t="n"/>
      <c r="S3608" s="19" t="n"/>
      <c r="T3608" s="19" t="n"/>
      <c r="U3608" s="19" t="n"/>
      <c r="V3608" s="19" t="n"/>
      <c r="W3608" s="19" t="n"/>
      <c r="X3608" s="19" t="n"/>
      <c r="Y3608" s="19" t="n">
        <v>1</v>
      </c>
      <c r="Z3608" s="13">
        <f>SUMPRODUCT(N3608:Y3608,$N$2:$Y$2)*$K3608*$L3608*$M3608</f>
        <v/>
      </c>
      <c r="AA3608" s="14">
        <f>SUM(N3608:Y3608)</f>
        <v/>
      </c>
      <c r="AB3608" s="13">
        <f>SUMPRODUCT(N3608:Y3608,$N$3:$Y$3)*$K3608*$L3608*$M3608</f>
        <v/>
      </c>
      <c r="AC3608" s="13">
        <f>SUMPRODUCT(N3608:Y3608,$N$4:$Y$4)*$K3608*$L3608*$M3608</f>
        <v/>
      </c>
      <c r="AD3608" s="15" t="n">
        <v>3</v>
      </c>
      <c r="AE3608" s="11" t="n">
        <v>1.011296296296296</v>
      </c>
      <c r="AF3608" s="16">
        <f>SUMPRODUCT(N3608:Y3608,$N$5:$Y$5)*$K3608*$L3608*$M3608</f>
        <v/>
      </c>
      <c r="AG3608" s="16">
        <f>SUMPRODUCT(N3608:Y3608,$N$6:$Y$6)*$K3608*$L3608*$M3608</f>
        <v/>
      </c>
      <c r="AH3608" s="20" t="n"/>
    </row>
    <row r="3609">
      <c r="A3609" s="9" t="n">
        <v>671111</v>
      </c>
      <c r="B3609" s="9" t="inlineStr">
        <is>
          <t>Sammy Peralta</t>
        </is>
      </c>
      <c r="C3609" s="9" t="inlineStr">
        <is>
          <t>LAA</t>
        </is>
      </c>
      <c r="D3609" s="9" t="n">
        <v>29</v>
      </c>
      <c r="E3609" s="18" t="inlineStr">
        <is>
          <t>L</t>
        </is>
      </c>
      <c r="F3609" s="18" t="n"/>
      <c r="G3609" s="9" t="n">
        <v>112</v>
      </c>
      <c r="H3609" s="9" t="n">
        <v>326</v>
      </c>
      <c r="I3609" s="9" t="inlineStr">
        <is>
          <t>Middle Relief</t>
        </is>
      </c>
      <c r="J3609" s="18" t="inlineStr">
        <is>
          <t>Opening Day</t>
        </is>
      </c>
      <c r="K3609" s="11">
        <f>IFERROR(INDEX(Roles!$B$17:$B$20,MATCH(J3609,Roles!$A$17:$A$20,0)),1)</f>
        <v/>
      </c>
      <c r="L3609" s="19" t="n">
        <v>1</v>
      </c>
      <c r="M3609" s="11" t="n">
        <v>1</v>
      </c>
      <c r="N3609" s="19" t="n"/>
      <c r="O3609" s="19" t="n"/>
      <c r="P3609" s="19" t="n"/>
      <c r="Q3609" s="19" t="n"/>
      <c r="R3609" s="19" t="n"/>
      <c r="S3609" s="19" t="n"/>
      <c r="T3609" s="19" t="n"/>
      <c r="U3609" s="19" t="n"/>
      <c r="V3609" s="19" t="n">
        <v>0.85</v>
      </c>
      <c r="W3609" s="19" t="n">
        <v>0.15</v>
      </c>
      <c r="X3609" s="19" t="n"/>
      <c r="Y3609" s="19" t="n"/>
      <c r="Z3609" s="13">
        <f>SUMPRODUCT(N3609:Y3609,$N$2:$Y$2)*$K3609*$L3609*$M3609</f>
        <v/>
      </c>
      <c r="AA3609" s="14">
        <f>SUM(N3609:Y3609)</f>
        <v/>
      </c>
      <c r="AB3609" s="13">
        <f>SUMPRODUCT(N3609:Y3609,$N$3:$Y$3)*$K3609*$L3609*$M3609</f>
        <v/>
      </c>
      <c r="AC3609" s="13">
        <f>SUMPRODUCT(N3609:Y3609,$N$4:$Y$4)*$K3609*$L3609*$M3609</f>
        <v/>
      </c>
      <c r="AD3609" s="15" t="n">
        <v>21.43333333333333</v>
      </c>
      <c r="AE3609" s="11" t="n">
        <v>1.21319019926961</v>
      </c>
      <c r="AF3609" s="16">
        <f>SUMPRODUCT(N3609:Y3609,$N$5:$Y$5)*$K3609*$L3609*$M3609</f>
        <v/>
      </c>
      <c r="AG3609" s="16">
        <f>SUMPRODUCT(N3609:Y3609,$N$6:$Y$6)*$K3609*$L3609*$M3609</f>
        <v/>
      </c>
      <c r="AH3609" s="20" t="n"/>
    </row>
    <row r="3610">
      <c r="A3610" s="9" t="n">
        <v>694858</v>
      </c>
      <c r="B3610" s="9" t="inlineStr">
        <is>
          <t>Brendan Girton</t>
        </is>
      </c>
      <c r="C3610" s="9" t="inlineStr">
        <is>
          <t>NYM</t>
        </is>
      </c>
      <c r="D3610" s="9" t="n">
        <v>25</v>
      </c>
      <c r="E3610" s="18" t="inlineStr">
        <is>
          <t>R</t>
        </is>
      </c>
      <c r="F3610" s="18" t="n"/>
      <c r="G3610" s="9" t="n">
        <v>124.915</v>
      </c>
      <c r="H3610" s="9" t="n">
        <v>124.915</v>
      </c>
      <c r="I3610" s="9" t="inlineStr">
        <is>
          <t>Depth (no MLB IP)</t>
        </is>
      </c>
      <c r="J3610" s="18" t="inlineStr">
        <is>
          <t>Opening Day</t>
        </is>
      </c>
      <c r="K3610" s="11">
        <f>IFERROR(INDEX(Roles!$B$17:$B$20,MATCH(J3610,Roles!$A$17:$A$20,0)),1)</f>
        <v/>
      </c>
      <c r="L3610" s="19" t="n">
        <v>1</v>
      </c>
      <c r="M3610" s="11" t="n">
        <v>1</v>
      </c>
      <c r="N3610" s="19" t="n"/>
      <c r="O3610" s="19" t="n"/>
      <c r="P3610" s="19" t="n"/>
      <c r="Q3610" s="19" t="n"/>
      <c r="R3610" s="19" t="n"/>
      <c r="S3610" s="19" t="n"/>
      <c r="T3610" s="19" t="n"/>
      <c r="U3610" s="19" t="n"/>
      <c r="V3610" s="19" t="n"/>
      <c r="W3610" s="19" t="n"/>
      <c r="X3610" s="19" t="n"/>
      <c r="Y3610" s="19" t="n">
        <v>1</v>
      </c>
      <c r="Z3610" s="13">
        <f>SUMPRODUCT(N3610:Y3610,$N$2:$Y$2)*$K3610*$L3610*$M3610</f>
        <v/>
      </c>
      <c r="AA3610" s="14">
        <f>SUM(N3610:Y3610)</f>
        <v/>
      </c>
      <c r="AB3610" s="13">
        <f>SUMPRODUCT(N3610:Y3610,$N$3:$Y$3)*$K3610*$L3610*$M3610</f>
        <v/>
      </c>
      <c r="AC3610" s="13">
        <f>SUMPRODUCT(N3610:Y3610,$N$4:$Y$4)*$K3610*$L3610*$M3610</f>
        <v/>
      </c>
      <c r="AD3610" s="15" t="n">
        <v>3</v>
      </c>
      <c r="AE3610" s="11" t="n">
        <v>1.011296296296296</v>
      </c>
      <c r="AF3610" s="16">
        <f>SUMPRODUCT(N3610:Y3610,$N$5:$Y$5)*$K3610*$L3610*$M3610</f>
        <v/>
      </c>
      <c r="AG3610" s="16">
        <f>SUMPRODUCT(N3610:Y3610,$N$6:$Y$6)*$K3610*$L3610*$M3610</f>
        <v/>
      </c>
      <c r="AH3610" s="20" t="n"/>
    </row>
    <row r="3611">
      <c r="A3611" s="9" t="n">
        <v>687841</v>
      </c>
      <c r="B3611" s="9" t="inlineStr">
        <is>
          <t>Andrew Magno</t>
        </is>
      </c>
      <c r="C3611" s="9" t="inlineStr">
        <is>
          <t>BAL</t>
        </is>
      </c>
      <c r="D3611" s="9" t="n">
        <v>25</v>
      </c>
      <c r="E3611" s="18" t="inlineStr">
        <is>
          <t>L</t>
        </is>
      </c>
      <c r="F3611" s="18" t="n"/>
      <c r="G3611" s="9" t="n">
        <v>125.345</v>
      </c>
      <c r="H3611" s="9" t="n">
        <v>125.345</v>
      </c>
      <c r="I3611" s="9" t="inlineStr">
        <is>
          <t>Depth (no MLB IP)</t>
        </is>
      </c>
      <c r="J3611" s="18" t="inlineStr">
        <is>
          <t>Opening Day</t>
        </is>
      </c>
      <c r="K3611" s="11">
        <f>IFERROR(INDEX(Roles!$B$17:$B$20,MATCH(J3611,Roles!$A$17:$A$20,0)),1)</f>
        <v/>
      </c>
      <c r="L3611" s="19" t="n">
        <v>1</v>
      </c>
      <c r="M3611" s="11" t="n">
        <v>1</v>
      </c>
      <c r="N3611" s="19" t="n"/>
      <c r="O3611" s="19" t="n"/>
      <c r="P3611" s="19" t="n"/>
      <c r="Q3611" s="19" t="n"/>
      <c r="R3611" s="19" t="n"/>
      <c r="S3611" s="19" t="n"/>
      <c r="T3611" s="19" t="n"/>
      <c r="U3611" s="19" t="n"/>
      <c r="V3611" s="19" t="n"/>
      <c r="W3611" s="19" t="n"/>
      <c r="X3611" s="19" t="n"/>
      <c r="Y3611" s="19" t="n">
        <v>1</v>
      </c>
      <c r="Z3611" s="13">
        <f>SUMPRODUCT(N3611:Y3611,$N$2:$Y$2)*$K3611*$L3611*$M3611</f>
        <v/>
      </c>
      <c r="AA3611" s="14">
        <f>SUM(N3611:Y3611)</f>
        <v/>
      </c>
      <c r="AB3611" s="13">
        <f>SUMPRODUCT(N3611:Y3611,$N$3:$Y$3)*$K3611*$L3611*$M3611</f>
        <v/>
      </c>
      <c r="AC3611" s="13">
        <f>SUMPRODUCT(N3611:Y3611,$N$4:$Y$4)*$K3611*$L3611*$M3611</f>
        <v/>
      </c>
      <c r="AD3611" s="15" t="n">
        <v>3</v>
      </c>
      <c r="AE3611" s="11" t="n">
        <v>1.011296296296296</v>
      </c>
      <c r="AF3611" s="16">
        <f>SUMPRODUCT(N3611:Y3611,$N$5:$Y$5)*$K3611*$L3611*$M3611</f>
        <v/>
      </c>
      <c r="AG3611" s="16">
        <f>SUMPRODUCT(N3611:Y3611,$N$6:$Y$6)*$K3611*$L3611*$M3611</f>
        <v/>
      </c>
      <c r="AH3611" s="20" t="n"/>
    </row>
    <row r="3612">
      <c r="A3612" s="9" t="n">
        <v>669993</v>
      </c>
      <c r="B3612" s="9" t="inlineStr">
        <is>
          <t>Raul Brito</t>
        </is>
      </c>
      <c r="C3612" s="9" t="inlineStr">
        <is>
          <t>MIN</t>
        </is>
      </c>
      <c r="D3612" s="9" t="n">
        <v>25</v>
      </c>
      <c r="E3612" s="18" t="inlineStr">
        <is>
          <t>R</t>
        </is>
      </c>
      <c r="F3612" s="18" t="n"/>
      <c r="G3612" s="9" t="n">
        <v>125.345</v>
      </c>
      <c r="H3612" s="9" t="n">
        <v>125.345</v>
      </c>
      <c r="I3612" s="9" t="inlineStr">
        <is>
          <t>Depth (no MLB IP)</t>
        </is>
      </c>
      <c r="J3612" s="18" t="inlineStr">
        <is>
          <t>Opening Day</t>
        </is>
      </c>
      <c r="K3612" s="11">
        <f>IFERROR(INDEX(Roles!$B$17:$B$20,MATCH(J3612,Roles!$A$17:$A$20,0)),1)</f>
        <v/>
      </c>
      <c r="L3612" s="19" t="n">
        <v>1</v>
      </c>
      <c r="M3612" s="11" t="n">
        <v>1</v>
      </c>
      <c r="N3612" s="19" t="n"/>
      <c r="O3612" s="19" t="n"/>
      <c r="P3612" s="19" t="n"/>
      <c r="Q3612" s="19" t="n"/>
      <c r="R3612" s="19" t="n"/>
      <c r="S3612" s="19" t="n"/>
      <c r="T3612" s="19" t="n"/>
      <c r="U3612" s="19" t="n"/>
      <c r="V3612" s="19" t="n"/>
      <c r="W3612" s="19" t="n"/>
      <c r="X3612" s="19" t="n"/>
      <c r="Y3612" s="19" t="n">
        <v>1</v>
      </c>
      <c r="Z3612" s="13">
        <f>SUMPRODUCT(N3612:Y3612,$N$2:$Y$2)*$K3612*$L3612*$M3612</f>
        <v/>
      </c>
      <c r="AA3612" s="14">
        <f>SUM(N3612:Y3612)</f>
        <v/>
      </c>
      <c r="AB3612" s="13">
        <f>SUMPRODUCT(N3612:Y3612,$N$3:$Y$3)*$K3612*$L3612*$M3612</f>
        <v/>
      </c>
      <c r="AC3612" s="13">
        <f>SUMPRODUCT(N3612:Y3612,$N$4:$Y$4)*$K3612*$L3612*$M3612</f>
        <v/>
      </c>
      <c r="AD3612" s="15" t="n">
        <v>3</v>
      </c>
      <c r="AE3612" s="11" t="n">
        <v>1.011296296296296</v>
      </c>
      <c r="AF3612" s="16">
        <f>SUMPRODUCT(N3612:Y3612,$N$5:$Y$5)*$K3612*$L3612*$M3612</f>
        <v/>
      </c>
      <c r="AG3612" s="16">
        <f>SUMPRODUCT(N3612:Y3612,$N$6:$Y$6)*$K3612*$L3612*$M3612</f>
        <v/>
      </c>
      <c r="AH3612" s="20" t="n"/>
    </row>
    <row r="3613">
      <c r="A3613" s="9" t="n">
        <v>664129</v>
      </c>
      <c r="B3613" s="9" t="inlineStr">
        <is>
          <t>Geoff Hartlieb</t>
        </is>
      </c>
      <c r="C3613" s="9" t="inlineStr">
        <is>
          <t>OAK</t>
        </is>
      </c>
      <c r="D3613" s="9" t="n">
        <v>33</v>
      </c>
      <c r="E3613" s="18" t="inlineStr">
        <is>
          <t>R</t>
        </is>
      </c>
      <c r="F3613" s="18" t="n"/>
      <c r="G3613" s="9" t="n">
        <v>124</v>
      </c>
      <c r="H3613" s="9" t="n">
        <v>208</v>
      </c>
      <c r="I3613" s="9" t="inlineStr">
        <is>
          <t>Swing Arm / Long Relief</t>
        </is>
      </c>
      <c r="J3613" s="18" t="inlineStr">
        <is>
          <t>Opening Day</t>
        </is>
      </c>
      <c r="K3613" s="11">
        <f>IFERROR(INDEX(Roles!$B$17:$B$20,MATCH(J3613,Roles!$A$17:$A$20,0)),1)</f>
        <v/>
      </c>
      <c r="L3613" s="19" t="n">
        <v>1</v>
      </c>
      <c r="M3613" s="11" t="n">
        <v>1</v>
      </c>
      <c r="N3613" s="19" t="n"/>
      <c r="O3613" s="19" t="n"/>
      <c r="P3613" s="19" t="n"/>
      <c r="Q3613" s="19" t="n"/>
      <c r="R3613" s="19" t="n">
        <v>0.6</v>
      </c>
      <c r="S3613" s="19" t="n"/>
      <c r="T3613" s="19" t="n"/>
      <c r="U3613" s="19" t="n"/>
      <c r="V3613" s="19" t="n">
        <v>0.4</v>
      </c>
      <c r="W3613" s="19" t="n"/>
      <c r="X3613" s="19" t="n"/>
      <c r="Y3613" s="19" t="n"/>
      <c r="Z3613" s="13">
        <f>SUMPRODUCT(N3613:Y3613,$N$2:$Y$2)*$K3613*$L3613*$M3613</f>
        <v/>
      </c>
      <c r="AA3613" s="14">
        <f>SUM(N3613:Y3613)</f>
        <v/>
      </c>
      <c r="AB3613" s="13">
        <f>SUMPRODUCT(N3613:Y3613,$N$3:$Y$3)*$K3613*$L3613*$M3613</f>
        <v/>
      </c>
      <c r="AC3613" s="13">
        <f>SUMPRODUCT(N3613:Y3613,$N$4:$Y$4)*$K3613*$L3613*$M3613</f>
        <v/>
      </c>
      <c r="AD3613" s="15" t="n">
        <v>14.83333333333333</v>
      </c>
      <c r="AE3613" s="11" t="n">
        <v>2.164342223309681</v>
      </c>
      <c r="AF3613" s="16">
        <f>SUMPRODUCT(N3613:Y3613,$N$5:$Y$5)*$K3613*$L3613*$M3613</f>
        <v/>
      </c>
      <c r="AG3613" s="16">
        <f>SUMPRODUCT(N3613:Y3613,$N$6:$Y$6)*$K3613*$L3613*$M3613</f>
        <v/>
      </c>
      <c r="AH3613" s="20" t="n"/>
    </row>
    <row r="3614">
      <c r="A3614" s="9" t="n">
        <v>592791</v>
      </c>
      <c r="B3614" s="9" t="inlineStr">
        <is>
          <t>Jameson Taillon</t>
        </is>
      </c>
      <c r="C3614" s="9" t="inlineStr">
        <is>
          <t>TOR</t>
        </is>
      </c>
      <c r="D3614" s="9" t="n">
        <v>35</v>
      </c>
      <c r="E3614" s="18" t="inlineStr">
        <is>
          <t>R</t>
        </is>
      </c>
      <c r="F3614" s="18" t="n"/>
      <c r="G3614" s="9" t="n">
        <v>370</v>
      </c>
      <c r="H3614" s="9" t="n">
        <v>2947</v>
      </c>
      <c r="I3614" s="9" t="inlineStr">
        <is>
          <t>Swing Arm / Long Relief</t>
        </is>
      </c>
      <c r="J3614" s="18" t="inlineStr">
        <is>
          <t>Opening Day</t>
        </is>
      </c>
      <c r="K3614" s="11">
        <f>IFERROR(INDEX(Roles!$B$17:$B$20,MATCH(J3614,Roles!$A$17:$A$20,0)),1)</f>
        <v/>
      </c>
      <c r="L3614" s="19" t="n">
        <v>1</v>
      </c>
      <c r="M3614" s="11" t="n">
        <v>1</v>
      </c>
      <c r="N3614" s="19" t="n"/>
      <c r="O3614" s="19" t="n"/>
      <c r="P3614" s="19" t="n"/>
      <c r="Q3614" s="19" t="n"/>
      <c r="R3614" s="19" t="n">
        <v>0.5</v>
      </c>
      <c r="S3614" s="19" t="n"/>
      <c r="T3614" s="19" t="n"/>
      <c r="U3614" s="19" t="n"/>
      <c r="V3614" s="19" t="n">
        <v>0.5</v>
      </c>
      <c r="W3614" s="19" t="n"/>
      <c r="X3614" s="19" t="n"/>
      <c r="Y3614" s="19" t="n"/>
      <c r="Z3614" s="13">
        <f>SUMPRODUCT(N3614:Y3614,$N$2:$Y$2)*$K3614*$L3614*$M3614</f>
        <v/>
      </c>
      <c r="AA3614" s="14">
        <f>SUM(N3614:Y3614)</f>
        <v/>
      </c>
      <c r="AB3614" s="13">
        <f>SUMPRODUCT(N3614:Y3614,$N$3:$Y$3)*$K3614*$L3614*$M3614</f>
        <v/>
      </c>
      <c r="AC3614" s="13">
        <f>SUMPRODUCT(N3614:Y3614,$N$4:$Y$4)*$K3614*$L3614*$M3614</f>
        <v/>
      </c>
      <c r="AD3614" s="15" t="n">
        <v>20.93333333333333</v>
      </c>
      <c r="AE3614" s="11" t="n">
        <v>3.446265938069217</v>
      </c>
      <c r="AF3614" s="16">
        <f>SUMPRODUCT(N3614:Y3614,$N$5:$Y$5)*$K3614*$L3614*$M3614</f>
        <v/>
      </c>
      <c r="AG3614" s="16">
        <f>SUMPRODUCT(N3614:Y3614,$N$6:$Y$6)*$K3614*$L3614*$M3614</f>
        <v/>
      </c>
      <c r="AH3614" s="20" t="n"/>
    </row>
    <row r="3615">
      <c r="A3615" s="9" t="n">
        <v>815179</v>
      </c>
      <c r="B3615" s="9" t="inlineStr">
        <is>
          <t>Christian Herberholz</t>
        </is>
      </c>
      <c r="C3615" s="9" t="inlineStr">
        <is>
          <t>BAL</t>
        </is>
      </c>
      <c r="D3615" s="9" t="n">
        <v>25</v>
      </c>
      <c r="E3615" s="18" t="inlineStr">
        <is>
          <t>R</t>
        </is>
      </c>
      <c r="F3615" s="18" t="n"/>
      <c r="G3615" s="9" t="n">
        <v>125.345</v>
      </c>
      <c r="H3615" s="9" t="n">
        <v>125.345</v>
      </c>
      <c r="I3615" s="9" t="inlineStr">
        <is>
          <t>Depth (no MLB IP)</t>
        </is>
      </c>
      <c r="J3615" s="18" t="inlineStr">
        <is>
          <t>Opening Day</t>
        </is>
      </c>
      <c r="K3615" s="11">
        <f>IFERROR(INDEX(Roles!$B$17:$B$20,MATCH(J3615,Roles!$A$17:$A$20,0)),1)</f>
        <v/>
      </c>
      <c r="L3615" s="19" t="n">
        <v>1</v>
      </c>
      <c r="M3615" s="11" t="n">
        <v>1</v>
      </c>
      <c r="N3615" s="19" t="n"/>
      <c r="O3615" s="19" t="n"/>
      <c r="P3615" s="19" t="n"/>
      <c r="Q3615" s="19" t="n"/>
      <c r="R3615" s="19" t="n"/>
      <c r="S3615" s="19" t="n"/>
      <c r="T3615" s="19" t="n"/>
      <c r="U3615" s="19" t="n"/>
      <c r="V3615" s="19" t="n"/>
      <c r="W3615" s="19" t="n"/>
      <c r="X3615" s="19" t="n"/>
      <c r="Y3615" s="19" t="n">
        <v>1</v>
      </c>
      <c r="Z3615" s="13">
        <f>SUMPRODUCT(N3615:Y3615,$N$2:$Y$2)*$K3615*$L3615*$M3615</f>
        <v/>
      </c>
      <c r="AA3615" s="14">
        <f>SUM(N3615:Y3615)</f>
        <v/>
      </c>
      <c r="AB3615" s="13">
        <f>SUMPRODUCT(N3615:Y3615,$N$3:$Y$3)*$K3615*$L3615*$M3615</f>
        <v/>
      </c>
      <c r="AC3615" s="13">
        <f>SUMPRODUCT(N3615:Y3615,$N$4:$Y$4)*$K3615*$L3615*$M3615</f>
        <v/>
      </c>
      <c r="AD3615" s="15" t="n">
        <v>3</v>
      </c>
      <c r="AE3615" s="11" t="n">
        <v>1.011296296296296</v>
      </c>
      <c r="AF3615" s="16">
        <f>SUMPRODUCT(N3615:Y3615,$N$5:$Y$5)*$K3615*$L3615*$M3615</f>
        <v/>
      </c>
      <c r="AG3615" s="16">
        <f>SUMPRODUCT(N3615:Y3615,$N$6:$Y$6)*$K3615*$L3615*$M3615</f>
        <v/>
      </c>
      <c r="AH3615" s="20" t="n"/>
    </row>
    <row r="3616">
      <c r="A3616" s="9" t="n">
        <v>621219</v>
      </c>
      <c r="B3616" s="9" t="inlineStr">
        <is>
          <t>Alec Mills</t>
        </is>
      </c>
      <c r="C3616" s="9" t="inlineStr">
        <is>
          <t>CHC</t>
        </is>
      </c>
      <c r="D3616" s="9" t="n">
        <v>35</v>
      </c>
      <c r="E3616" s="18" t="inlineStr">
        <is>
          <t>R</t>
        </is>
      </c>
      <c r="F3616" s="18" t="n"/>
      <c r="G3616" s="9" t="n">
        <v>10</v>
      </c>
      <c r="H3616" s="9" t="n">
        <v>94</v>
      </c>
      <c r="I3616" s="9" t="inlineStr">
        <is>
          <t>Depth (no MLB IP)</t>
        </is>
      </c>
      <c r="J3616" s="18" t="inlineStr">
        <is>
          <t>Opening Day</t>
        </is>
      </c>
      <c r="K3616" s="11">
        <f>IFERROR(INDEX(Roles!$B$17:$B$20,MATCH(J3616,Roles!$A$17:$A$20,0)),1)</f>
        <v/>
      </c>
      <c r="L3616" s="19" t="n">
        <v>1</v>
      </c>
      <c r="M3616" s="11" t="n">
        <v>1</v>
      </c>
      <c r="N3616" s="19" t="n"/>
      <c r="O3616" s="19" t="n"/>
      <c r="P3616" s="19" t="n"/>
      <c r="Q3616" s="19" t="n"/>
      <c r="R3616" s="19" t="n"/>
      <c r="S3616" s="19" t="n"/>
      <c r="T3616" s="19" t="n"/>
      <c r="U3616" s="19" t="n"/>
      <c r="V3616" s="19" t="n"/>
      <c r="W3616" s="19" t="n"/>
      <c r="X3616" s="19" t="n"/>
      <c r="Y3616" s="19" t="n">
        <v>1</v>
      </c>
      <c r="Z3616" s="13">
        <f>SUMPRODUCT(N3616:Y3616,$N$2:$Y$2)*$K3616*$L3616*$M3616</f>
        <v/>
      </c>
      <c r="AA3616" s="14">
        <f>SUM(N3616:Y3616)</f>
        <v/>
      </c>
      <c r="AB3616" s="13">
        <f>SUMPRODUCT(N3616:Y3616,$N$3:$Y$3)*$K3616*$L3616*$M3616</f>
        <v/>
      </c>
      <c r="AC3616" s="13">
        <f>SUMPRODUCT(N3616:Y3616,$N$4:$Y$4)*$K3616*$L3616*$M3616</f>
        <v/>
      </c>
      <c r="AD3616" s="15" t="n">
        <v>3</v>
      </c>
      <c r="AE3616" s="11" t="n">
        <v>1.011296296296296</v>
      </c>
      <c r="AF3616" s="16">
        <f>SUMPRODUCT(N3616:Y3616,$N$5:$Y$5)*$K3616*$L3616*$M3616</f>
        <v/>
      </c>
      <c r="AG3616" s="16">
        <f>SUMPRODUCT(N3616:Y3616,$N$6:$Y$6)*$K3616*$L3616*$M3616</f>
        <v/>
      </c>
      <c r="AH3616" s="20" t="n"/>
    </row>
    <row r="3617">
      <c r="A3617" s="9" t="n">
        <v>681799</v>
      </c>
      <c r="B3617" s="9" t="inlineStr">
        <is>
          <t>Ethan Roberts</t>
        </is>
      </c>
      <c r="C3617" s="9" t="inlineStr">
        <is>
          <t>CHC</t>
        </is>
      </c>
      <c r="D3617" s="9" t="n">
        <v>29</v>
      </c>
      <c r="E3617" s="18" t="inlineStr">
        <is>
          <t>R</t>
        </is>
      </c>
      <c r="F3617" s="18" t="n"/>
      <c r="G3617" s="9" t="n">
        <v>110</v>
      </c>
      <c r="H3617" s="9" t="n">
        <v>305</v>
      </c>
      <c r="I3617" s="9" t="inlineStr">
        <is>
          <t>Bullpen Depth Arm</t>
        </is>
      </c>
      <c r="J3617" s="18" t="inlineStr">
        <is>
          <t>Opening Day</t>
        </is>
      </c>
      <c r="K3617" s="11">
        <f>IFERROR(INDEX(Roles!$B$17:$B$20,MATCH(J3617,Roles!$A$17:$A$20,0)),1)</f>
        <v/>
      </c>
      <c r="L3617" s="19" t="n">
        <v>1</v>
      </c>
      <c r="M3617" s="11" t="n">
        <v>1</v>
      </c>
      <c r="N3617" s="19" t="n"/>
      <c r="O3617" s="19" t="n"/>
      <c r="P3617" s="19" t="n"/>
      <c r="Q3617" s="19" t="n"/>
      <c r="R3617" s="19" t="n"/>
      <c r="S3617" s="19" t="n"/>
      <c r="T3617" s="19" t="n"/>
      <c r="U3617" s="19" t="n"/>
      <c r="V3617" s="19" t="n"/>
      <c r="W3617" s="19" t="n">
        <v>1</v>
      </c>
      <c r="X3617" s="19" t="n"/>
      <c r="Y3617" s="19" t="n"/>
      <c r="Z3617" s="13">
        <f>SUMPRODUCT(N3617:Y3617,$N$2:$Y$2)*$K3617*$L3617*$M3617</f>
        <v/>
      </c>
      <c r="AA3617" s="14">
        <f>SUM(N3617:Y3617)</f>
        <v/>
      </c>
      <c r="AB3617" s="13">
        <f>SUMPRODUCT(N3617:Y3617,$N$3:$Y$3)*$K3617*$L3617*$M3617</f>
        <v/>
      </c>
      <c r="AC3617" s="13">
        <f>SUMPRODUCT(N3617:Y3617,$N$4:$Y$4)*$K3617*$L3617*$M3617</f>
        <v/>
      </c>
      <c r="AD3617" s="15" t="n">
        <v>16.66666666666666</v>
      </c>
      <c r="AE3617" s="11" t="n">
        <v>1.170194003527337</v>
      </c>
      <c r="AF3617" s="16">
        <f>SUMPRODUCT(N3617:Y3617,$N$5:$Y$5)*$K3617*$L3617*$M3617</f>
        <v/>
      </c>
      <c r="AG3617" s="16">
        <f>SUMPRODUCT(N3617:Y3617,$N$6:$Y$6)*$K3617*$L3617*$M3617</f>
        <v/>
      </c>
      <c r="AH3617" s="20" t="n"/>
    </row>
    <row r="3618">
      <c r="A3618" s="9" t="n">
        <v>607732</v>
      </c>
      <c r="B3618" s="9" t="inlineStr">
        <is>
          <t>Jacob Stallings</t>
        </is>
      </c>
      <c r="C3618" s="9" t="inlineStr">
        <is>
          <t>MIA</t>
        </is>
      </c>
      <c r="D3618" s="9" t="n">
        <v>37</v>
      </c>
      <c r="E3618" s="18" t="inlineStr">
        <is>
          <t>R</t>
        </is>
      </c>
      <c r="F3618" s="18" t="n"/>
      <c r="G3618" s="9" t="n">
        <v>8</v>
      </c>
      <c r="H3618" s="9" t="n">
        <v>44</v>
      </c>
      <c r="I3618" s="9" t="inlineStr">
        <is>
          <t>Depth (no MLB IP)</t>
        </is>
      </c>
      <c r="J3618" s="18" t="inlineStr">
        <is>
          <t>Opening Day</t>
        </is>
      </c>
      <c r="K3618" s="11">
        <f>IFERROR(INDEX(Roles!$B$17:$B$20,MATCH(J3618,Roles!$A$17:$A$20,0)),1)</f>
        <v/>
      </c>
      <c r="L3618" s="19" t="n">
        <v>1</v>
      </c>
      <c r="M3618" s="11" t="n">
        <v>1</v>
      </c>
      <c r="N3618" s="19" t="n"/>
      <c r="O3618" s="19" t="n"/>
      <c r="P3618" s="19" t="n"/>
      <c r="Q3618" s="19" t="n"/>
      <c r="R3618" s="19" t="n"/>
      <c r="S3618" s="19" t="n"/>
      <c r="T3618" s="19" t="n"/>
      <c r="U3618" s="19" t="n"/>
      <c r="V3618" s="19" t="n"/>
      <c r="W3618" s="19" t="n"/>
      <c r="X3618" s="19" t="n"/>
      <c r="Y3618" s="19" t="n">
        <v>1</v>
      </c>
      <c r="Z3618" s="13">
        <f>SUMPRODUCT(N3618:Y3618,$N$2:$Y$2)*$K3618*$L3618*$M3618</f>
        <v/>
      </c>
      <c r="AA3618" s="14">
        <f>SUM(N3618:Y3618)</f>
        <v/>
      </c>
      <c r="AB3618" s="13">
        <f>SUMPRODUCT(N3618:Y3618,$N$3:$Y$3)*$K3618*$L3618*$M3618</f>
        <v/>
      </c>
      <c r="AC3618" s="13">
        <f>SUMPRODUCT(N3618:Y3618,$N$4:$Y$4)*$K3618*$L3618*$M3618</f>
        <v/>
      </c>
      <c r="AD3618" s="15" t="n">
        <v>1.8</v>
      </c>
      <c r="AE3618" s="11" t="n">
        <v>1.340864197530864</v>
      </c>
      <c r="AF3618" s="16">
        <f>SUMPRODUCT(N3618:Y3618,$N$5:$Y$5)*$K3618*$L3618*$M3618</f>
        <v/>
      </c>
      <c r="AG3618" s="16">
        <f>SUMPRODUCT(N3618:Y3618,$N$6:$Y$6)*$K3618*$L3618*$M3618</f>
        <v/>
      </c>
      <c r="AH3618" s="20" t="n"/>
    </row>
    <row r="3619">
      <c r="A3619" s="9" t="n">
        <v>689337</v>
      </c>
      <c r="B3619" s="9" t="inlineStr">
        <is>
          <t>Kaleb Bowman</t>
        </is>
      </c>
      <c r="C3619" s="9" t="inlineStr">
        <is>
          <t>MIL</t>
        </is>
      </c>
      <c r="D3619" s="9" t="n">
        <v>25</v>
      </c>
      <c r="E3619" s="18" t="inlineStr">
        <is>
          <t>R</t>
        </is>
      </c>
      <c r="F3619" s="18" t="n"/>
      <c r="G3619" s="9" t="n">
        <v>126.9216666666667</v>
      </c>
      <c r="H3619" s="9" t="n">
        <v>126.9216666666667</v>
      </c>
      <c r="I3619" s="9" t="inlineStr">
        <is>
          <t>Depth (no MLB IP)</t>
        </is>
      </c>
      <c r="J3619" s="18" t="inlineStr">
        <is>
          <t>Opening Day</t>
        </is>
      </c>
      <c r="K3619" s="11">
        <f>IFERROR(INDEX(Roles!$B$17:$B$20,MATCH(J3619,Roles!$A$17:$A$20,0)),1)</f>
        <v/>
      </c>
      <c r="L3619" s="19" t="n">
        <v>1</v>
      </c>
      <c r="M3619" s="11" t="n">
        <v>1</v>
      </c>
      <c r="N3619" s="19" t="n"/>
      <c r="O3619" s="19" t="n"/>
      <c r="P3619" s="19" t="n"/>
      <c r="Q3619" s="19" t="n"/>
      <c r="R3619" s="19" t="n"/>
      <c r="S3619" s="19" t="n"/>
      <c r="T3619" s="19" t="n"/>
      <c r="U3619" s="19" t="n"/>
      <c r="V3619" s="19" t="n"/>
      <c r="W3619" s="19" t="n"/>
      <c r="X3619" s="19" t="n"/>
      <c r="Y3619" s="19" t="n">
        <v>1</v>
      </c>
      <c r="Z3619" s="13">
        <f>SUMPRODUCT(N3619:Y3619,$N$2:$Y$2)*$K3619*$L3619*$M3619</f>
        <v/>
      </c>
      <c r="AA3619" s="14">
        <f>SUM(N3619:Y3619)</f>
        <v/>
      </c>
      <c r="AB3619" s="13">
        <f>SUMPRODUCT(N3619:Y3619,$N$3:$Y$3)*$K3619*$L3619*$M3619</f>
        <v/>
      </c>
      <c r="AC3619" s="13">
        <f>SUMPRODUCT(N3619:Y3619,$N$4:$Y$4)*$K3619*$L3619*$M3619</f>
        <v/>
      </c>
      <c r="AD3619" s="15" t="n">
        <v>3</v>
      </c>
      <c r="AE3619" s="11" t="n">
        <v>1.011296296296296</v>
      </c>
      <c r="AF3619" s="16">
        <f>SUMPRODUCT(N3619:Y3619,$N$5:$Y$5)*$K3619*$L3619*$M3619</f>
        <v/>
      </c>
      <c r="AG3619" s="16">
        <f>SUMPRODUCT(N3619:Y3619,$N$6:$Y$6)*$K3619*$L3619*$M3619</f>
        <v/>
      </c>
      <c r="AH3619" s="20" t="n"/>
    </row>
    <row r="3620">
      <c r="A3620" s="9" t="n">
        <v>686790</v>
      </c>
      <c r="B3620" s="9" t="inlineStr">
        <is>
          <t>Trevor McDonald</t>
        </is>
      </c>
      <c r="C3620" s="9" t="inlineStr">
        <is>
          <t>SF</t>
        </is>
      </c>
      <c r="D3620" s="9" t="n">
        <v>26</v>
      </c>
      <c r="E3620" s="18" t="inlineStr">
        <is>
          <t>R</t>
        </is>
      </c>
      <c r="F3620" s="18" t="n"/>
      <c r="G3620" s="9" t="n">
        <v>310</v>
      </c>
      <c r="H3620" s="9" t="n">
        <v>380</v>
      </c>
      <c r="I3620" s="9" t="inlineStr">
        <is>
          <t>Swing Arm / Long Relief</t>
        </is>
      </c>
      <c r="J3620" s="18" t="inlineStr">
        <is>
          <t>Opening Day</t>
        </is>
      </c>
      <c r="K3620" s="11">
        <f>IFERROR(INDEX(Roles!$B$17:$B$20,MATCH(J3620,Roles!$A$17:$A$20,0)),1)</f>
        <v/>
      </c>
      <c r="L3620" s="19" t="n">
        <v>1</v>
      </c>
      <c r="M3620" s="11" t="n">
        <v>1</v>
      </c>
      <c r="N3620" s="19" t="n"/>
      <c r="O3620" s="19" t="n"/>
      <c r="P3620" s="19" t="n"/>
      <c r="Q3620" s="19" t="n"/>
      <c r="R3620" s="19" t="n">
        <v>0.5</v>
      </c>
      <c r="S3620" s="19" t="n"/>
      <c r="T3620" s="19" t="n"/>
      <c r="U3620" s="19" t="n"/>
      <c r="V3620" s="19" t="n">
        <v>0.5</v>
      </c>
      <c r="W3620" s="19" t="n"/>
      <c r="X3620" s="19" t="n"/>
      <c r="Y3620" s="19" t="n"/>
      <c r="Z3620" s="13">
        <f>SUMPRODUCT(N3620:Y3620,$N$2:$Y$2)*$K3620*$L3620*$M3620</f>
        <v/>
      </c>
      <c r="AA3620" s="14">
        <f>SUM(N3620:Y3620)</f>
        <v/>
      </c>
      <c r="AB3620" s="13">
        <f>SUMPRODUCT(N3620:Y3620,$N$3:$Y$3)*$K3620*$L3620*$M3620</f>
        <v/>
      </c>
      <c r="AC3620" s="13">
        <f>SUMPRODUCT(N3620:Y3620,$N$4:$Y$4)*$K3620*$L3620*$M3620</f>
        <v/>
      </c>
      <c r="AD3620" s="15" t="n">
        <v>13.03333333333333</v>
      </c>
      <c r="AE3620" s="11" t="n">
        <v>3.328352105869671</v>
      </c>
      <c r="AF3620" s="16">
        <f>SUMPRODUCT(N3620:Y3620,$N$5:$Y$5)*$K3620*$L3620*$M3620</f>
        <v/>
      </c>
      <c r="AG3620" s="16">
        <f>SUMPRODUCT(N3620:Y3620,$N$6:$Y$6)*$K3620*$L3620*$M3620</f>
        <v/>
      </c>
      <c r="AH3620" s="20" t="n"/>
    </row>
    <row r="3621">
      <c r="A3621" s="9" t="n">
        <v>624647</v>
      </c>
      <c r="B3621" s="9" t="inlineStr">
        <is>
          <t>Victor González</t>
        </is>
      </c>
      <c r="C3621" s="9" t="inlineStr">
        <is>
          <t>NYY</t>
        </is>
      </c>
      <c r="D3621" s="9" t="n">
        <v>31</v>
      </c>
      <c r="E3621" s="18" t="inlineStr">
        <is>
          <t>L</t>
        </is>
      </c>
      <c r="F3621" s="18" t="n"/>
      <c r="G3621" s="9" t="n">
        <v>97</v>
      </c>
      <c r="H3621" s="9" t="n">
        <v>232</v>
      </c>
      <c r="I3621" s="9" t="inlineStr">
        <is>
          <t>Depth (no MLB IP)</t>
        </is>
      </c>
      <c r="J3621" s="18" t="inlineStr">
        <is>
          <t>Opening Day</t>
        </is>
      </c>
      <c r="K3621" s="11">
        <f>IFERROR(INDEX(Roles!$B$17:$B$20,MATCH(J3621,Roles!$A$17:$A$20,0)),1)</f>
        <v/>
      </c>
      <c r="L3621" s="19" t="n">
        <v>1</v>
      </c>
      <c r="M3621" s="11" t="n">
        <v>1</v>
      </c>
      <c r="N3621" s="19" t="n"/>
      <c r="O3621" s="19" t="n"/>
      <c r="P3621" s="19" t="n"/>
      <c r="Q3621" s="19" t="n"/>
      <c r="R3621" s="19" t="n"/>
      <c r="S3621" s="19" t="n"/>
      <c r="T3621" s="19" t="n"/>
      <c r="U3621" s="19" t="n"/>
      <c r="V3621" s="19" t="n"/>
      <c r="W3621" s="19" t="n"/>
      <c r="X3621" s="19" t="n"/>
      <c r="Y3621" s="19" t="n">
        <v>1</v>
      </c>
      <c r="Z3621" s="13">
        <f>SUMPRODUCT(N3621:Y3621,$N$2:$Y$2)*$K3621*$L3621*$M3621</f>
        <v/>
      </c>
      <c r="AA3621" s="14">
        <f>SUM(N3621:Y3621)</f>
        <v/>
      </c>
      <c r="AB3621" s="13">
        <f>SUMPRODUCT(N3621:Y3621,$N$3:$Y$3)*$K3621*$L3621*$M3621</f>
        <v/>
      </c>
      <c r="AC3621" s="13">
        <f>SUMPRODUCT(N3621:Y3621,$N$4:$Y$4)*$K3621*$L3621*$M3621</f>
        <v/>
      </c>
      <c r="AD3621" s="15" t="n">
        <v>17.4</v>
      </c>
      <c r="AE3621" s="11" t="n">
        <v>0.9622633744855966</v>
      </c>
      <c r="AF3621" s="16">
        <f>SUMPRODUCT(N3621:Y3621,$N$5:$Y$5)*$K3621*$L3621*$M3621</f>
        <v/>
      </c>
      <c r="AG3621" s="16">
        <f>SUMPRODUCT(N3621:Y3621,$N$6:$Y$6)*$K3621*$L3621*$M3621</f>
        <v/>
      </c>
      <c r="AH3621" s="20" t="n"/>
    </row>
    <row r="3622">
      <c r="A3622" s="9" t="n">
        <v>701314</v>
      </c>
      <c r="B3622" s="9" t="inlineStr">
        <is>
          <t>Nick Hull</t>
        </is>
      </c>
      <c r="C3622" s="9" t="inlineStr">
        <is>
          <t>SEA</t>
        </is>
      </c>
      <c r="D3622" s="9" t="n">
        <v>25</v>
      </c>
      <c r="E3622" s="18" t="inlineStr">
        <is>
          <t>R</t>
        </is>
      </c>
      <c r="F3622" s="18" t="n"/>
      <c r="G3622" s="9" t="n">
        <v>127.71</v>
      </c>
      <c r="H3622" s="9" t="n">
        <v>127.71</v>
      </c>
      <c r="I3622" s="9" t="inlineStr">
        <is>
          <t>Depth (no MLB IP)</t>
        </is>
      </c>
      <c r="J3622" s="18" t="inlineStr">
        <is>
          <t>Opening Day</t>
        </is>
      </c>
      <c r="K3622" s="11">
        <f>IFERROR(INDEX(Roles!$B$17:$B$20,MATCH(J3622,Roles!$A$17:$A$20,0)),1)</f>
        <v/>
      </c>
      <c r="L3622" s="19" t="n">
        <v>1</v>
      </c>
      <c r="M3622" s="11" t="n">
        <v>1</v>
      </c>
      <c r="N3622" s="19" t="n"/>
      <c r="O3622" s="19" t="n"/>
      <c r="P3622" s="19" t="n"/>
      <c r="Q3622" s="19" t="n"/>
      <c r="R3622" s="19" t="n"/>
      <c r="S3622" s="19" t="n"/>
      <c r="T3622" s="19" t="n"/>
      <c r="U3622" s="19" t="n"/>
      <c r="V3622" s="19" t="n"/>
      <c r="W3622" s="19" t="n"/>
      <c r="X3622" s="19" t="n"/>
      <c r="Y3622" s="19" t="n">
        <v>1</v>
      </c>
      <c r="Z3622" s="13">
        <f>SUMPRODUCT(N3622:Y3622,$N$2:$Y$2)*$K3622*$L3622*$M3622</f>
        <v/>
      </c>
      <c r="AA3622" s="14">
        <f>SUM(N3622:Y3622)</f>
        <v/>
      </c>
      <c r="AB3622" s="13">
        <f>SUMPRODUCT(N3622:Y3622,$N$3:$Y$3)*$K3622*$L3622*$M3622</f>
        <v/>
      </c>
      <c r="AC3622" s="13">
        <f>SUMPRODUCT(N3622:Y3622,$N$4:$Y$4)*$K3622*$L3622*$M3622</f>
        <v/>
      </c>
      <c r="AD3622" s="15" t="n">
        <v>3</v>
      </c>
      <c r="AE3622" s="11" t="n">
        <v>1.011296296296296</v>
      </c>
      <c r="AF3622" s="16">
        <f>SUMPRODUCT(N3622:Y3622,$N$5:$Y$5)*$K3622*$L3622*$M3622</f>
        <v/>
      </c>
      <c r="AG3622" s="16">
        <f>SUMPRODUCT(N3622:Y3622,$N$6:$Y$6)*$K3622*$L3622*$M3622</f>
        <v/>
      </c>
      <c r="AH3622" s="20" t="n"/>
    </row>
    <row r="3623">
      <c r="A3623" s="9" t="n">
        <v>675921</v>
      </c>
      <c r="B3623" s="9" t="inlineStr">
        <is>
          <t>Spencer Howard</t>
        </is>
      </c>
      <c r="C3623" s="9" t="inlineStr">
        <is>
          <t>CLE</t>
        </is>
      </c>
      <c r="D3623" s="9" t="n">
        <v>30</v>
      </c>
      <c r="E3623" s="18" t="inlineStr">
        <is>
          <t>R</t>
        </is>
      </c>
      <c r="F3623" s="18" t="n"/>
      <c r="G3623" s="9" t="n">
        <v>144</v>
      </c>
      <c r="H3623" s="9" t="n">
        <v>341</v>
      </c>
      <c r="I3623" s="9" t="inlineStr">
        <is>
          <t>Depth (no MLB IP)</t>
        </is>
      </c>
      <c r="J3623" s="18" t="inlineStr">
        <is>
          <t>Opening Day</t>
        </is>
      </c>
      <c r="K3623" s="11">
        <f>IFERROR(INDEX(Roles!$B$17:$B$20,MATCH(J3623,Roles!$A$17:$A$20,0)),1)</f>
        <v/>
      </c>
      <c r="L3623" s="19" t="n">
        <v>1</v>
      </c>
      <c r="M3623" s="11" t="n">
        <v>1</v>
      </c>
      <c r="N3623" s="19" t="n"/>
      <c r="O3623" s="19" t="n"/>
      <c r="P3623" s="19" t="n"/>
      <c r="Q3623" s="19" t="n"/>
      <c r="R3623" s="19" t="n"/>
      <c r="S3623" s="19" t="n"/>
      <c r="T3623" s="19" t="n"/>
      <c r="U3623" s="19" t="n"/>
      <c r="V3623" s="19" t="n"/>
      <c r="W3623" s="19" t="n"/>
      <c r="X3623" s="19" t="n"/>
      <c r="Y3623" s="19" t="n">
        <v>1</v>
      </c>
      <c r="Z3623" s="13">
        <f>SUMPRODUCT(N3623:Y3623,$N$2:$Y$2)*$K3623*$L3623*$M3623</f>
        <v/>
      </c>
      <c r="AA3623" s="14">
        <f>SUM(N3623:Y3623)</f>
        <v/>
      </c>
      <c r="AB3623" s="13">
        <f>SUMPRODUCT(N3623:Y3623,$N$3:$Y$3)*$K3623*$L3623*$M3623</f>
        <v/>
      </c>
      <c r="AC3623" s="13">
        <f>SUMPRODUCT(N3623:Y3623,$N$4:$Y$4)*$K3623*$L3623*$M3623</f>
        <v/>
      </c>
      <c r="AD3623" s="15" t="n">
        <v>6.6</v>
      </c>
      <c r="AE3623" s="11" t="n">
        <v>1.748271604938272</v>
      </c>
      <c r="AF3623" s="16">
        <f>SUMPRODUCT(N3623:Y3623,$N$5:$Y$5)*$K3623*$L3623*$M3623</f>
        <v/>
      </c>
      <c r="AG3623" s="16">
        <f>SUMPRODUCT(N3623:Y3623,$N$6:$Y$6)*$K3623*$L3623*$M3623</f>
        <v/>
      </c>
      <c r="AH3623" s="20" t="n"/>
    </row>
    <row r="3624">
      <c r="A3624" s="9" t="n">
        <v>663362</v>
      </c>
      <c r="B3624" s="9" t="inlineStr">
        <is>
          <t>Matt Waldron</t>
        </is>
      </c>
      <c r="C3624" s="9" t="inlineStr">
        <is>
          <t>WSH</t>
        </is>
      </c>
      <c r="D3624" s="9" t="n">
        <v>30</v>
      </c>
      <c r="E3624" s="18" t="inlineStr">
        <is>
          <t>R</t>
        </is>
      </c>
      <c r="F3624" s="18" t="n"/>
      <c r="G3624" s="9" t="n">
        <v>194</v>
      </c>
      <c r="H3624" s="9" t="n">
        <v>1017</v>
      </c>
      <c r="I3624" s="9" t="inlineStr">
        <is>
          <t>Bullpen Depth Arm</t>
        </is>
      </c>
      <c r="J3624" s="18" t="inlineStr">
        <is>
          <t>Opening Day</t>
        </is>
      </c>
      <c r="K3624" s="11">
        <f>IFERROR(INDEX(Roles!$B$17:$B$20,MATCH(J3624,Roles!$A$17:$A$20,0)),1)</f>
        <v/>
      </c>
      <c r="L3624" s="19" t="n">
        <v>1</v>
      </c>
      <c r="M3624" s="11" t="n">
        <v>1</v>
      </c>
      <c r="N3624" s="19" t="n"/>
      <c r="O3624" s="19" t="n"/>
      <c r="P3624" s="19" t="n"/>
      <c r="Q3624" s="19" t="n"/>
      <c r="R3624" s="19" t="n"/>
      <c r="S3624" s="19" t="n"/>
      <c r="T3624" s="19" t="n"/>
      <c r="U3624" s="19" t="n"/>
      <c r="V3624" s="19" t="n">
        <v>0.15</v>
      </c>
      <c r="W3624" s="19" t="n">
        <v>0.85</v>
      </c>
      <c r="X3624" s="19" t="n"/>
      <c r="Y3624" s="19" t="n"/>
      <c r="Z3624" s="13">
        <f>SUMPRODUCT(N3624:Y3624,$N$2:$Y$2)*$K3624*$L3624*$M3624</f>
        <v/>
      </c>
      <c r="AA3624" s="14">
        <f>SUM(N3624:Y3624)</f>
        <v/>
      </c>
      <c r="AB3624" s="13">
        <f>SUMPRODUCT(N3624:Y3624,$N$3:$Y$3)*$K3624*$L3624*$M3624</f>
        <v/>
      </c>
      <c r="AC3624" s="13">
        <f>SUMPRODUCT(N3624:Y3624,$N$4:$Y$4)*$K3624*$L3624*$M3624</f>
        <v/>
      </c>
      <c r="AD3624" s="15" t="n">
        <v>13.66666666666667</v>
      </c>
      <c r="AE3624" s="11" t="n">
        <v>1.984840468173801</v>
      </c>
      <c r="AF3624" s="16">
        <f>SUMPRODUCT(N3624:Y3624,$N$5:$Y$5)*$K3624*$L3624*$M3624</f>
        <v/>
      </c>
      <c r="AG3624" s="16">
        <f>SUMPRODUCT(N3624:Y3624,$N$6:$Y$6)*$K3624*$L3624*$M3624</f>
        <v/>
      </c>
      <c r="AH3624" s="20" t="n"/>
    </row>
    <row r="3625">
      <c r="A3625" s="9" t="n">
        <v>682785</v>
      </c>
      <c r="B3625" s="9" t="inlineStr">
        <is>
          <t>Angel Bastardo</t>
        </is>
      </c>
      <c r="C3625" s="9" t="inlineStr">
        <is>
          <t>BOS</t>
        </is>
      </c>
      <c r="D3625" s="9" t="n">
        <v>25</v>
      </c>
      <c r="E3625" s="18" t="inlineStr">
        <is>
          <t>R</t>
        </is>
      </c>
      <c r="F3625" s="18" t="n"/>
      <c r="G3625" s="9" t="n">
        <v>128.4983333333333</v>
      </c>
      <c r="H3625" s="9" t="n">
        <v>128.4983333333333</v>
      </c>
      <c r="I3625" s="9" t="inlineStr">
        <is>
          <t>Depth (no MLB IP)</t>
        </is>
      </c>
      <c r="J3625" s="18" t="inlineStr">
        <is>
          <t>Opening Day</t>
        </is>
      </c>
      <c r="K3625" s="11">
        <f>IFERROR(INDEX(Roles!$B$17:$B$20,MATCH(J3625,Roles!$A$17:$A$20,0)),1)</f>
        <v/>
      </c>
      <c r="L3625" s="19" t="n">
        <v>1</v>
      </c>
      <c r="M3625" s="11" t="n">
        <v>1</v>
      </c>
      <c r="N3625" s="19" t="n"/>
      <c r="O3625" s="19" t="n"/>
      <c r="P3625" s="19" t="n"/>
      <c r="Q3625" s="19" t="n"/>
      <c r="R3625" s="19" t="n"/>
      <c r="S3625" s="19" t="n"/>
      <c r="T3625" s="19" t="n"/>
      <c r="U3625" s="19" t="n"/>
      <c r="V3625" s="19" t="n"/>
      <c r="W3625" s="19" t="n"/>
      <c r="X3625" s="19" t="n"/>
      <c r="Y3625" s="19" t="n">
        <v>1</v>
      </c>
      <c r="Z3625" s="13">
        <f>SUMPRODUCT(N3625:Y3625,$N$2:$Y$2)*$K3625*$L3625*$M3625</f>
        <v/>
      </c>
      <c r="AA3625" s="14">
        <f>SUM(N3625:Y3625)</f>
        <v/>
      </c>
      <c r="AB3625" s="13">
        <f>SUMPRODUCT(N3625:Y3625,$N$3:$Y$3)*$K3625*$L3625*$M3625</f>
        <v/>
      </c>
      <c r="AC3625" s="13">
        <f>SUMPRODUCT(N3625:Y3625,$N$4:$Y$4)*$K3625*$L3625*$M3625</f>
        <v/>
      </c>
      <c r="AD3625" s="15" t="n">
        <v>3</v>
      </c>
      <c r="AE3625" s="11" t="n">
        <v>1.011296296296296</v>
      </c>
      <c r="AF3625" s="16">
        <f>SUMPRODUCT(N3625:Y3625,$N$5:$Y$5)*$K3625*$L3625*$M3625</f>
        <v/>
      </c>
      <c r="AG3625" s="16">
        <f>SUMPRODUCT(N3625:Y3625,$N$6:$Y$6)*$K3625*$L3625*$M3625</f>
        <v/>
      </c>
      <c r="AH3625" s="20" t="n"/>
    </row>
    <row r="3626">
      <c r="A3626" s="9" t="n">
        <v>695620</v>
      </c>
      <c r="B3626" s="9" t="inlineStr">
        <is>
          <t>Josh Randall</t>
        </is>
      </c>
      <c r="C3626" s="9" t="inlineStr">
        <is>
          <t>WSH</t>
        </is>
      </c>
      <c r="D3626" s="9" t="n">
        <v>25</v>
      </c>
      <c r="E3626" s="18" t="inlineStr">
        <is>
          <t>R</t>
        </is>
      </c>
      <c r="F3626" s="18" t="n"/>
      <c r="G3626" s="9" t="n">
        <v>128.4266666666666</v>
      </c>
      <c r="H3626" s="9" t="n">
        <v>128.4266666666666</v>
      </c>
      <c r="I3626" s="9" t="inlineStr">
        <is>
          <t>Depth (no MLB IP)</t>
        </is>
      </c>
      <c r="J3626" s="18" t="inlineStr">
        <is>
          <t>Opening Day</t>
        </is>
      </c>
      <c r="K3626" s="11">
        <f>IFERROR(INDEX(Roles!$B$17:$B$20,MATCH(J3626,Roles!$A$17:$A$20,0)),1)</f>
        <v/>
      </c>
      <c r="L3626" s="19" t="n">
        <v>1</v>
      </c>
      <c r="M3626" s="11" t="n">
        <v>1</v>
      </c>
      <c r="N3626" s="19" t="n"/>
      <c r="O3626" s="19" t="n"/>
      <c r="P3626" s="19" t="n"/>
      <c r="Q3626" s="19" t="n"/>
      <c r="R3626" s="19" t="n"/>
      <c r="S3626" s="19" t="n"/>
      <c r="T3626" s="19" t="n"/>
      <c r="U3626" s="19" t="n"/>
      <c r="V3626" s="19" t="n"/>
      <c r="W3626" s="19" t="n"/>
      <c r="X3626" s="19" t="n"/>
      <c r="Y3626" s="19" t="n">
        <v>1</v>
      </c>
      <c r="Z3626" s="13">
        <f>SUMPRODUCT(N3626:Y3626,$N$2:$Y$2)*$K3626*$L3626*$M3626</f>
        <v/>
      </c>
      <c r="AA3626" s="14">
        <f>SUM(N3626:Y3626)</f>
        <v/>
      </c>
      <c r="AB3626" s="13">
        <f>SUMPRODUCT(N3626:Y3626,$N$3:$Y$3)*$K3626*$L3626*$M3626</f>
        <v/>
      </c>
      <c r="AC3626" s="13">
        <f>SUMPRODUCT(N3626:Y3626,$N$4:$Y$4)*$K3626*$L3626*$M3626</f>
        <v/>
      </c>
      <c r="AD3626" s="15" t="n">
        <v>3</v>
      </c>
      <c r="AE3626" s="11" t="n">
        <v>1.011296296296296</v>
      </c>
      <c r="AF3626" s="16">
        <f>SUMPRODUCT(N3626:Y3626,$N$5:$Y$5)*$K3626*$L3626*$M3626</f>
        <v/>
      </c>
      <c r="AG3626" s="16">
        <f>SUMPRODUCT(N3626:Y3626,$N$6:$Y$6)*$K3626*$L3626*$M3626</f>
        <v/>
      </c>
      <c r="AH3626" s="20" t="n"/>
    </row>
    <row r="3627">
      <c r="A3627" s="9" t="n">
        <v>694331</v>
      </c>
      <c r="B3627" s="9" t="inlineStr">
        <is>
          <t>Tyler Mattison</t>
        </is>
      </c>
      <c r="C3627" s="9" t="inlineStr">
        <is>
          <t>DET</t>
        </is>
      </c>
      <c r="D3627" s="9" t="n">
        <v>25</v>
      </c>
      <c r="E3627" s="18" t="inlineStr">
        <is>
          <t>R</t>
        </is>
      </c>
      <c r="F3627" s="18" t="n"/>
      <c r="G3627" s="9" t="n">
        <v>128.4983333333333</v>
      </c>
      <c r="H3627" s="9" t="n">
        <v>128.4983333333333</v>
      </c>
      <c r="I3627" s="9" t="inlineStr">
        <is>
          <t>Depth (no MLB IP)</t>
        </is>
      </c>
      <c r="J3627" s="18" t="inlineStr">
        <is>
          <t>Opening Day</t>
        </is>
      </c>
      <c r="K3627" s="11">
        <f>IFERROR(INDEX(Roles!$B$17:$B$20,MATCH(J3627,Roles!$A$17:$A$20,0)),1)</f>
        <v/>
      </c>
      <c r="L3627" s="19" t="n">
        <v>1</v>
      </c>
      <c r="M3627" s="11" t="n">
        <v>1</v>
      </c>
      <c r="N3627" s="19" t="n"/>
      <c r="O3627" s="19" t="n"/>
      <c r="P3627" s="19" t="n"/>
      <c r="Q3627" s="19" t="n"/>
      <c r="R3627" s="19" t="n"/>
      <c r="S3627" s="19" t="n"/>
      <c r="T3627" s="19" t="n"/>
      <c r="U3627" s="19" t="n"/>
      <c r="V3627" s="19" t="n"/>
      <c r="W3627" s="19" t="n"/>
      <c r="X3627" s="19" t="n"/>
      <c r="Y3627" s="19" t="n">
        <v>1</v>
      </c>
      <c r="Z3627" s="13">
        <f>SUMPRODUCT(N3627:Y3627,$N$2:$Y$2)*$K3627*$L3627*$M3627</f>
        <v/>
      </c>
      <c r="AA3627" s="14">
        <f>SUM(N3627:Y3627)</f>
        <v/>
      </c>
      <c r="AB3627" s="13">
        <f>SUMPRODUCT(N3627:Y3627,$N$3:$Y$3)*$K3627*$L3627*$M3627</f>
        <v/>
      </c>
      <c r="AC3627" s="13">
        <f>SUMPRODUCT(N3627:Y3627,$N$4:$Y$4)*$K3627*$L3627*$M3627</f>
        <v/>
      </c>
      <c r="AD3627" s="15" t="n">
        <v>3</v>
      </c>
      <c r="AE3627" s="11" t="n">
        <v>1.011296296296296</v>
      </c>
      <c r="AF3627" s="16">
        <f>SUMPRODUCT(N3627:Y3627,$N$5:$Y$5)*$K3627*$L3627*$M3627</f>
        <v/>
      </c>
      <c r="AG3627" s="16">
        <f>SUMPRODUCT(N3627:Y3627,$N$6:$Y$6)*$K3627*$L3627*$M3627</f>
        <v/>
      </c>
      <c r="AH3627" s="20" t="n"/>
    </row>
    <row r="3628">
      <c r="A3628" s="9" t="n">
        <v>669674</v>
      </c>
      <c r="B3628" s="9" t="inlineStr">
        <is>
          <t>Sam Long</t>
        </is>
      </c>
      <c r="C3628" s="9" t="inlineStr">
        <is>
          <t>KC</t>
        </is>
      </c>
      <c r="D3628" s="9" t="n">
        <v>31</v>
      </c>
      <c r="E3628" s="18" t="inlineStr">
        <is>
          <t>L</t>
        </is>
      </c>
      <c r="F3628" s="18" t="n"/>
      <c r="G3628" s="9" t="n">
        <v>189</v>
      </c>
      <c r="H3628" s="9" t="n">
        <v>745</v>
      </c>
      <c r="I3628" s="9" t="inlineStr">
        <is>
          <t>Middle Relief</t>
        </is>
      </c>
      <c r="J3628" s="18" t="inlineStr">
        <is>
          <t>Opening Day</t>
        </is>
      </c>
      <c r="K3628" s="11">
        <f>IFERROR(INDEX(Roles!$B$17:$B$20,MATCH(J3628,Roles!$A$17:$A$20,0)),1)</f>
        <v/>
      </c>
      <c r="L3628" s="19" t="n">
        <v>1</v>
      </c>
      <c r="M3628" s="11" t="n">
        <v>1</v>
      </c>
      <c r="N3628" s="19" t="n"/>
      <c r="O3628" s="19" t="n"/>
      <c r="P3628" s="19" t="n"/>
      <c r="Q3628" s="19" t="n"/>
      <c r="R3628" s="19" t="n"/>
      <c r="S3628" s="19" t="n"/>
      <c r="T3628" s="19" t="n"/>
      <c r="U3628" s="19" t="n"/>
      <c r="V3628" s="19" t="n">
        <v>1</v>
      </c>
      <c r="W3628" s="19" t="n"/>
      <c r="X3628" s="19" t="n"/>
      <c r="Y3628" s="19" t="n"/>
      <c r="Z3628" s="13">
        <f>SUMPRODUCT(N3628:Y3628,$N$2:$Y$2)*$K3628*$L3628*$M3628</f>
        <v/>
      </c>
      <c r="AA3628" s="14">
        <f>SUM(N3628:Y3628)</f>
        <v/>
      </c>
      <c r="AB3628" s="13">
        <f>SUMPRODUCT(N3628:Y3628,$N$3:$Y$3)*$K3628*$L3628*$M3628</f>
        <v/>
      </c>
      <c r="AC3628" s="13">
        <f>SUMPRODUCT(N3628:Y3628,$N$4:$Y$4)*$K3628*$L3628*$M3628</f>
        <v/>
      </c>
      <c r="AD3628" s="15" t="n">
        <v>38.93333333333333</v>
      </c>
      <c r="AE3628" s="11" t="n">
        <v>1.028905013627572</v>
      </c>
      <c r="AF3628" s="16">
        <f>SUMPRODUCT(N3628:Y3628,$N$5:$Y$5)*$K3628*$L3628*$M3628</f>
        <v/>
      </c>
      <c r="AG3628" s="16">
        <f>SUMPRODUCT(N3628:Y3628,$N$6:$Y$6)*$K3628*$L3628*$M3628</f>
        <v/>
      </c>
      <c r="AH3628" s="20" t="n"/>
    </row>
    <row r="3629">
      <c r="A3629" s="9" t="n">
        <v>694753</v>
      </c>
      <c r="B3629" s="9" t="inlineStr">
        <is>
          <t>Khristian Curtis</t>
        </is>
      </c>
      <c r="C3629" s="9" t="inlineStr">
        <is>
          <t>PIT</t>
        </is>
      </c>
      <c r="D3629" s="9" t="n">
        <v>25</v>
      </c>
      <c r="E3629" s="18" t="inlineStr">
        <is>
          <t>R</t>
        </is>
      </c>
      <c r="F3629" s="18" t="n"/>
      <c r="G3629" s="9" t="n">
        <v>87</v>
      </c>
      <c r="H3629" s="9" t="n">
        <v>87</v>
      </c>
      <c r="I3629" s="9" t="inlineStr">
        <is>
          <t>Swing Arm / Long Relief</t>
        </is>
      </c>
      <c r="J3629" s="18" t="inlineStr">
        <is>
          <t>Late Season (~Sept)</t>
        </is>
      </c>
      <c r="K3629" s="11">
        <f>IFERROR(INDEX(Roles!$B$17:$B$20,MATCH(J3629,Roles!$A$17:$A$20,0)),1)</f>
        <v/>
      </c>
      <c r="L3629" s="19" t="n">
        <v>1</v>
      </c>
      <c r="M3629" s="11" t="n">
        <v>1</v>
      </c>
      <c r="N3629" s="19" t="n"/>
      <c r="O3629" s="19" t="n"/>
      <c r="P3629" s="19" t="n"/>
      <c r="Q3629" s="19" t="n"/>
      <c r="R3629" s="19" t="n">
        <v>0.6</v>
      </c>
      <c r="S3629" s="19" t="n"/>
      <c r="T3629" s="19" t="n"/>
      <c r="U3629" s="19" t="n"/>
      <c r="V3629" s="19" t="n"/>
      <c r="W3629" s="19" t="n">
        <v>0.4</v>
      </c>
      <c r="X3629" s="19" t="n"/>
      <c r="Y3629" s="19" t="n"/>
      <c r="Z3629" s="13">
        <f>SUMPRODUCT(N3629:Y3629,$N$2:$Y$2)*$K3629*$L3629*$M3629</f>
        <v/>
      </c>
      <c r="AA3629" s="14">
        <f>SUM(N3629:Y3629)</f>
        <v/>
      </c>
      <c r="AB3629" s="13">
        <f>SUMPRODUCT(N3629:Y3629,$N$3:$Y$3)*$K3629*$L3629*$M3629</f>
        <v/>
      </c>
      <c r="AC3629" s="13">
        <f>SUMPRODUCT(N3629:Y3629,$N$4:$Y$4)*$K3629*$L3629*$M3629</f>
        <v/>
      </c>
      <c r="AD3629" s="15" t="n">
        <v>11.73333333333333</v>
      </c>
      <c r="AE3629" s="11" t="n">
        <v>2.835154826958106</v>
      </c>
      <c r="AF3629" s="16">
        <f>SUMPRODUCT(N3629:Y3629,$N$5:$Y$5)*$K3629*$L3629*$M3629</f>
        <v/>
      </c>
      <c r="AG3629" s="16">
        <f>SUMPRODUCT(N3629:Y3629,$N$6:$Y$6)*$K3629*$L3629*$M3629</f>
        <v/>
      </c>
      <c r="AH3629" s="20" t="n"/>
    </row>
    <row r="3630">
      <c r="A3630" s="9" t="n">
        <v>690370</v>
      </c>
      <c r="B3630" s="9" t="inlineStr">
        <is>
          <t>Tyler Schlaffer</t>
        </is>
      </c>
      <c r="C3630" s="9" t="inlineStr">
        <is>
          <t>CHC</t>
        </is>
      </c>
      <c r="D3630" s="9" t="n">
        <v>25</v>
      </c>
      <c r="E3630" s="18" t="inlineStr">
        <is>
          <t>R</t>
        </is>
      </c>
      <c r="F3630" s="18" t="n"/>
      <c r="G3630" s="9" t="n">
        <v>128.9283333333333</v>
      </c>
      <c r="H3630" s="9" t="n">
        <v>128.9283333333333</v>
      </c>
      <c r="I3630" s="9" t="inlineStr">
        <is>
          <t>Depth (no MLB IP)</t>
        </is>
      </c>
      <c r="J3630" s="18" t="inlineStr">
        <is>
          <t>Opening Day</t>
        </is>
      </c>
      <c r="K3630" s="11">
        <f>IFERROR(INDEX(Roles!$B$17:$B$20,MATCH(J3630,Roles!$A$17:$A$20,0)),1)</f>
        <v/>
      </c>
      <c r="L3630" s="19" t="n">
        <v>1</v>
      </c>
      <c r="M3630" s="11" t="n">
        <v>1</v>
      </c>
      <c r="N3630" s="19" t="n"/>
      <c r="O3630" s="19" t="n"/>
      <c r="P3630" s="19" t="n"/>
      <c r="Q3630" s="19" t="n"/>
      <c r="R3630" s="19" t="n"/>
      <c r="S3630" s="19" t="n"/>
      <c r="T3630" s="19" t="n"/>
      <c r="U3630" s="19" t="n"/>
      <c r="V3630" s="19" t="n"/>
      <c r="W3630" s="19" t="n"/>
      <c r="X3630" s="19" t="n"/>
      <c r="Y3630" s="19" t="n">
        <v>1</v>
      </c>
      <c r="Z3630" s="13">
        <f>SUMPRODUCT(N3630:Y3630,$N$2:$Y$2)*$K3630*$L3630*$M3630</f>
        <v/>
      </c>
      <c r="AA3630" s="14">
        <f>SUM(N3630:Y3630)</f>
        <v/>
      </c>
      <c r="AB3630" s="13">
        <f>SUMPRODUCT(N3630:Y3630,$N$3:$Y$3)*$K3630*$L3630*$M3630</f>
        <v/>
      </c>
      <c r="AC3630" s="13">
        <f>SUMPRODUCT(N3630:Y3630,$N$4:$Y$4)*$K3630*$L3630*$M3630</f>
        <v/>
      </c>
      <c r="AD3630" s="15" t="n">
        <v>3</v>
      </c>
      <c r="AE3630" s="11" t="n">
        <v>1.011296296296296</v>
      </c>
      <c r="AF3630" s="16">
        <f>SUMPRODUCT(N3630:Y3630,$N$5:$Y$5)*$K3630*$L3630*$M3630</f>
        <v/>
      </c>
      <c r="AG3630" s="16">
        <f>SUMPRODUCT(N3630:Y3630,$N$6:$Y$6)*$K3630*$L3630*$M3630</f>
        <v/>
      </c>
      <c r="AH3630" s="20" t="n"/>
    </row>
    <row r="3631">
      <c r="A3631" s="9" t="n">
        <v>683100</v>
      </c>
      <c r="B3631" s="9" t="inlineStr">
        <is>
          <t>Dawson Netz</t>
        </is>
      </c>
      <c r="C3631" s="9" t="inlineStr">
        <is>
          <t>CHC</t>
        </is>
      </c>
      <c r="D3631" s="9" t="n">
        <v>25</v>
      </c>
      <c r="E3631" s="18" t="inlineStr">
        <is>
          <t>R</t>
        </is>
      </c>
      <c r="F3631" s="18" t="n"/>
      <c r="G3631" s="9" t="n">
        <v>128.9283333333333</v>
      </c>
      <c r="H3631" s="9" t="n">
        <v>128.9283333333333</v>
      </c>
      <c r="I3631" s="9" t="inlineStr">
        <is>
          <t>Depth (no MLB IP)</t>
        </is>
      </c>
      <c r="J3631" s="18" t="inlineStr">
        <is>
          <t>Opening Day</t>
        </is>
      </c>
      <c r="K3631" s="11">
        <f>IFERROR(INDEX(Roles!$B$17:$B$20,MATCH(J3631,Roles!$A$17:$A$20,0)),1)</f>
        <v/>
      </c>
      <c r="L3631" s="19" t="n">
        <v>1</v>
      </c>
      <c r="M3631" s="11" t="n">
        <v>1</v>
      </c>
      <c r="N3631" s="19" t="n"/>
      <c r="O3631" s="19" t="n"/>
      <c r="P3631" s="19" t="n"/>
      <c r="Q3631" s="19" t="n"/>
      <c r="R3631" s="19" t="n"/>
      <c r="S3631" s="19" t="n"/>
      <c r="T3631" s="19" t="n"/>
      <c r="U3631" s="19" t="n"/>
      <c r="V3631" s="19" t="n"/>
      <c r="W3631" s="19" t="n"/>
      <c r="X3631" s="19" t="n"/>
      <c r="Y3631" s="19" t="n">
        <v>1</v>
      </c>
      <c r="Z3631" s="13">
        <f>SUMPRODUCT(N3631:Y3631,$N$2:$Y$2)*$K3631*$L3631*$M3631</f>
        <v/>
      </c>
      <c r="AA3631" s="14">
        <f>SUM(N3631:Y3631)</f>
        <v/>
      </c>
      <c r="AB3631" s="13">
        <f>SUMPRODUCT(N3631:Y3631,$N$3:$Y$3)*$K3631*$L3631*$M3631</f>
        <v/>
      </c>
      <c r="AC3631" s="13">
        <f>SUMPRODUCT(N3631:Y3631,$N$4:$Y$4)*$K3631*$L3631*$M3631</f>
        <v/>
      </c>
      <c r="AD3631" s="15" t="n">
        <v>3</v>
      </c>
      <c r="AE3631" s="11" t="n">
        <v>1.011296296296296</v>
      </c>
      <c r="AF3631" s="16">
        <f>SUMPRODUCT(N3631:Y3631,$N$5:$Y$5)*$K3631*$L3631*$M3631</f>
        <v/>
      </c>
      <c r="AG3631" s="16">
        <f>SUMPRODUCT(N3631:Y3631,$N$6:$Y$6)*$K3631*$L3631*$M3631</f>
        <v/>
      </c>
      <c r="AH3631" s="20" t="n"/>
    </row>
    <row r="3632">
      <c r="A3632" s="9" t="n">
        <v>677354</v>
      </c>
      <c r="B3632" s="9" t="inlineStr">
        <is>
          <t>Alex Williams</t>
        </is>
      </c>
      <c r="C3632" s="9" t="inlineStr">
        <is>
          <t>MIA</t>
        </is>
      </c>
      <c r="D3632" s="9" t="n">
        <v>25</v>
      </c>
      <c r="E3632" s="18" t="inlineStr">
        <is>
          <t>R</t>
        </is>
      </c>
      <c r="F3632" s="18" t="n"/>
      <c r="G3632" s="9" t="n">
        <v>128.9283333333333</v>
      </c>
      <c r="H3632" s="9" t="n">
        <v>128.9283333333333</v>
      </c>
      <c r="I3632" s="9" t="inlineStr">
        <is>
          <t>Depth (no MLB IP)</t>
        </is>
      </c>
      <c r="J3632" s="18" t="inlineStr">
        <is>
          <t>Opening Day</t>
        </is>
      </c>
      <c r="K3632" s="11">
        <f>IFERROR(INDEX(Roles!$B$17:$B$20,MATCH(J3632,Roles!$A$17:$A$20,0)),1)</f>
        <v/>
      </c>
      <c r="L3632" s="19" t="n">
        <v>1</v>
      </c>
      <c r="M3632" s="11" t="n">
        <v>1</v>
      </c>
      <c r="N3632" s="19" t="n"/>
      <c r="O3632" s="19" t="n"/>
      <c r="P3632" s="19" t="n"/>
      <c r="Q3632" s="19" t="n"/>
      <c r="R3632" s="19" t="n"/>
      <c r="S3632" s="19" t="n"/>
      <c r="T3632" s="19" t="n"/>
      <c r="U3632" s="19" t="n"/>
      <c r="V3632" s="19" t="n"/>
      <c r="W3632" s="19" t="n"/>
      <c r="X3632" s="19" t="n"/>
      <c r="Y3632" s="19" t="n">
        <v>1</v>
      </c>
      <c r="Z3632" s="13">
        <f>SUMPRODUCT(N3632:Y3632,$N$2:$Y$2)*$K3632*$L3632*$M3632</f>
        <v/>
      </c>
      <c r="AA3632" s="14">
        <f>SUM(N3632:Y3632)</f>
        <v/>
      </c>
      <c r="AB3632" s="13">
        <f>SUMPRODUCT(N3632:Y3632,$N$3:$Y$3)*$K3632*$L3632*$M3632</f>
        <v/>
      </c>
      <c r="AC3632" s="13">
        <f>SUMPRODUCT(N3632:Y3632,$N$4:$Y$4)*$K3632*$L3632*$M3632</f>
        <v/>
      </c>
      <c r="AD3632" s="15" t="n">
        <v>3</v>
      </c>
      <c r="AE3632" s="11" t="n">
        <v>1.011296296296296</v>
      </c>
      <c r="AF3632" s="16">
        <f>SUMPRODUCT(N3632:Y3632,$N$5:$Y$5)*$K3632*$L3632*$M3632</f>
        <v/>
      </c>
      <c r="AG3632" s="16">
        <f>SUMPRODUCT(N3632:Y3632,$N$6:$Y$6)*$K3632*$L3632*$M3632</f>
        <v/>
      </c>
      <c r="AH3632" s="20" t="n"/>
    </row>
    <row r="3633">
      <c r="A3633" s="9" t="n">
        <v>695766</v>
      </c>
      <c r="B3633" s="9" t="inlineStr">
        <is>
          <t>Mason Molina</t>
        </is>
      </c>
      <c r="C3633" s="9" t="inlineStr">
        <is>
          <t>STL</t>
        </is>
      </c>
      <c r="D3633" s="9" t="n">
        <v>25</v>
      </c>
      <c r="E3633" s="18" t="inlineStr">
        <is>
          <t>L</t>
        </is>
      </c>
      <c r="F3633" s="18" t="n"/>
      <c r="G3633" s="9" t="n">
        <v>129.2866666666667</v>
      </c>
      <c r="H3633" s="9" t="n">
        <v>129.2866666666667</v>
      </c>
      <c r="I3633" s="9" t="inlineStr">
        <is>
          <t>Depth (no MLB IP)</t>
        </is>
      </c>
      <c r="J3633" s="18" t="inlineStr">
        <is>
          <t>Opening Day</t>
        </is>
      </c>
      <c r="K3633" s="11">
        <f>IFERROR(INDEX(Roles!$B$17:$B$20,MATCH(J3633,Roles!$A$17:$A$20,0)),1)</f>
        <v/>
      </c>
      <c r="L3633" s="19" t="n">
        <v>1</v>
      </c>
      <c r="M3633" s="11" t="n">
        <v>1</v>
      </c>
      <c r="N3633" s="19" t="n"/>
      <c r="O3633" s="19" t="n"/>
      <c r="P3633" s="19" t="n"/>
      <c r="Q3633" s="19" t="n"/>
      <c r="R3633" s="19" t="n"/>
      <c r="S3633" s="19" t="n"/>
      <c r="T3633" s="19" t="n"/>
      <c r="U3633" s="19" t="n"/>
      <c r="V3633" s="19" t="n"/>
      <c r="W3633" s="19" t="n"/>
      <c r="X3633" s="19" t="n"/>
      <c r="Y3633" s="19" t="n">
        <v>1</v>
      </c>
      <c r="Z3633" s="13">
        <f>SUMPRODUCT(N3633:Y3633,$N$2:$Y$2)*$K3633*$L3633*$M3633</f>
        <v/>
      </c>
      <c r="AA3633" s="14">
        <f>SUM(N3633:Y3633)</f>
        <v/>
      </c>
      <c r="AB3633" s="13">
        <f>SUMPRODUCT(N3633:Y3633,$N$3:$Y$3)*$K3633*$L3633*$M3633</f>
        <v/>
      </c>
      <c r="AC3633" s="13">
        <f>SUMPRODUCT(N3633:Y3633,$N$4:$Y$4)*$K3633*$L3633*$M3633</f>
        <v/>
      </c>
      <c r="AD3633" s="15" t="n">
        <v>3</v>
      </c>
      <c r="AE3633" s="11" t="n">
        <v>1.011296296296296</v>
      </c>
      <c r="AF3633" s="16">
        <f>SUMPRODUCT(N3633:Y3633,$N$5:$Y$5)*$K3633*$L3633*$M3633</f>
        <v/>
      </c>
      <c r="AG3633" s="16">
        <f>SUMPRODUCT(N3633:Y3633,$N$6:$Y$6)*$K3633*$L3633*$M3633</f>
        <v/>
      </c>
      <c r="AH3633" s="20" t="n"/>
    </row>
    <row r="3634">
      <c r="A3634" s="9" t="n">
        <v>804267</v>
      </c>
      <c r="B3634" s="9" t="inlineStr">
        <is>
          <t>Zac Thornton</t>
        </is>
      </c>
      <c r="C3634" s="9" t="inlineStr">
        <is>
          <t>NYM</t>
        </is>
      </c>
      <c r="D3634" s="9" t="n">
        <v>25</v>
      </c>
      <c r="E3634" s="18" t="inlineStr">
        <is>
          <t>L</t>
        </is>
      </c>
      <c r="F3634" s="18" t="n"/>
      <c r="G3634" s="9" t="n">
        <v>337</v>
      </c>
      <c r="H3634" s="9" t="n">
        <v>337</v>
      </c>
      <c r="I3634" s="9" t="inlineStr">
        <is>
          <t>Mid-Rotation Starter (SP2-3)</t>
        </is>
      </c>
      <c r="J3634" s="18" t="inlineStr">
        <is>
          <t>Opening Day</t>
        </is>
      </c>
      <c r="K3634" s="11">
        <f>IFERROR(INDEX(Roles!$B$17:$B$20,MATCH(J3634,Roles!$A$17:$A$20,0)),1)</f>
        <v/>
      </c>
      <c r="L3634" s="19" t="n">
        <v>1</v>
      </c>
      <c r="M3634" s="11" t="n">
        <v>1</v>
      </c>
      <c r="N3634" s="19" t="n"/>
      <c r="O3634" s="19" t="n">
        <v>0.5</v>
      </c>
      <c r="P3634" s="19" t="n">
        <v>0.5</v>
      </c>
      <c r="Q3634" s="19" t="n"/>
      <c r="R3634" s="19" t="n"/>
      <c r="S3634" s="19" t="n"/>
      <c r="T3634" s="19" t="n"/>
      <c r="U3634" s="19" t="n"/>
      <c r="V3634" s="19" t="n"/>
      <c r="W3634" s="19" t="n"/>
      <c r="X3634" s="19" t="n"/>
      <c r="Y3634" s="19" t="n"/>
      <c r="Z3634" s="13">
        <f>SUMPRODUCT(N3634:Y3634,$N$2:$Y$2)*$K3634*$L3634*$M3634</f>
        <v/>
      </c>
      <c r="AA3634" s="14">
        <f>SUM(N3634:Y3634)</f>
        <v/>
      </c>
      <c r="AB3634" s="13">
        <f>SUMPRODUCT(N3634:Y3634,$N$3:$Y$3)*$K3634*$L3634*$M3634</f>
        <v/>
      </c>
      <c r="AC3634" s="13">
        <f>SUMPRODUCT(N3634:Y3634,$N$4:$Y$4)*$K3634*$L3634*$M3634</f>
        <v/>
      </c>
      <c r="AD3634" s="15" t="n">
        <v>19.4</v>
      </c>
      <c r="AE3634" s="11" t="n">
        <v>5.343608124253287</v>
      </c>
      <c r="AF3634" s="16">
        <f>SUMPRODUCT(N3634:Y3634,$N$5:$Y$5)*$K3634*$L3634*$M3634</f>
        <v/>
      </c>
      <c r="AG3634" s="16">
        <f>SUMPRODUCT(N3634:Y3634,$N$6:$Y$6)*$K3634*$L3634*$M3634</f>
        <v/>
      </c>
      <c r="AH3634" s="20" t="n"/>
    </row>
    <row r="3635">
      <c r="A3635" s="9" t="n">
        <v>699944</v>
      </c>
      <c r="B3635" s="9" t="inlineStr">
        <is>
          <t>Brooks Caple</t>
        </is>
      </c>
      <c r="C3635" s="9" t="inlineStr">
        <is>
          <t>CHC</t>
        </is>
      </c>
      <c r="D3635" s="9" t="n">
        <v>25</v>
      </c>
      <c r="E3635" s="18" t="inlineStr">
        <is>
          <t>R</t>
        </is>
      </c>
      <c r="F3635" s="18" t="n"/>
      <c r="G3635" s="9" t="n">
        <v>129.43</v>
      </c>
      <c r="H3635" s="9" t="n">
        <v>129.43</v>
      </c>
      <c r="I3635" s="9" t="inlineStr">
        <is>
          <t>Depth (no MLB IP)</t>
        </is>
      </c>
      <c r="J3635" s="18" t="inlineStr">
        <is>
          <t>Opening Day</t>
        </is>
      </c>
      <c r="K3635" s="11">
        <f>IFERROR(INDEX(Roles!$B$17:$B$20,MATCH(J3635,Roles!$A$17:$A$20,0)),1)</f>
        <v/>
      </c>
      <c r="L3635" s="19" t="n">
        <v>1</v>
      </c>
      <c r="M3635" s="11" t="n">
        <v>1</v>
      </c>
      <c r="N3635" s="19" t="n"/>
      <c r="O3635" s="19" t="n"/>
      <c r="P3635" s="19" t="n"/>
      <c r="Q3635" s="19" t="n"/>
      <c r="R3635" s="19" t="n"/>
      <c r="S3635" s="19" t="n"/>
      <c r="T3635" s="19" t="n"/>
      <c r="U3635" s="19" t="n"/>
      <c r="V3635" s="19" t="n"/>
      <c r="W3635" s="19" t="n"/>
      <c r="X3635" s="19" t="n"/>
      <c r="Y3635" s="19" t="n">
        <v>1</v>
      </c>
      <c r="Z3635" s="13">
        <f>SUMPRODUCT(N3635:Y3635,$N$2:$Y$2)*$K3635*$L3635*$M3635</f>
        <v/>
      </c>
      <c r="AA3635" s="14">
        <f>SUM(N3635:Y3635)</f>
        <v/>
      </c>
      <c r="AB3635" s="13">
        <f>SUMPRODUCT(N3635:Y3635,$N$3:$Y$3)*$K3635*$L3635*$M3635</f>
        <v/>
      </c>
      <c r="AC3635" s="13">
        <f>SUMPRODUCT(N3635:Y3635,$N$4:$Y$4)*$K3635*$L3635*$M3635</f>
        <v/>
      </c>
      <c r="AD3635" s="15" t="n">
        <v>3</v>
      </c>
      <c r="AE3635" s="11" t="n">
        <v>1.011296296296296</v>
      </c>
      <c r="AF3635" s="16">
        <f>SUMPRODUCT(N3635:Y3635,$N$5:$Y$5)*$K3635*$L3635*$M3635</f>
        <v/>
      </c>
      <c r="AG3635" s="16">
        <f>SUMPRODUCT(N3635:Y3635,$N$6:$Y$6)*$K3635*$L3635*$M3635</f>
        <v/>
      </c>
      <c r="AH3635" s="20" t="n"/>
    </row>
    <row r="3636">
      <c r="A3636" s="9" t="n">
        <v>656756</v>
      </c>
      <c r="B3636" s="9" t="inlineStr">
        <is>
          <t>Jordan Montgomery</t>
        </is>
      </c>
      <c r="C3636" s="9" t="inlineStr">
        <is>
          <t>TEX</t>
        </is>
      </c>
      <c r="D3636" s="9" t="n">
        <v>34</v>
      </c>
      <c r="E3636" s="18" t="inlineStr">
        <is>
          <t>L</t>
        </is>
      </c>
      <c r="F3636" s="18" t="n"/>
      <c r="G3636" s="9" t="n">
        <v>104</v>
      </c>
      <c r="H3636" s="9" t="n">
        <v>2137</v>
      </c>
      <c r="I3636" s="9" t="inlineStr">
        <is>
          <t>Swing Arm / Long Relief</t>
        </is>
      </c>
      <c r="J3636" s="18" t="inlineStr">
        <is>
          <t>Opening Day</t>
        </is>
      </c>
      <c r="K3636" s="11">
        <f>IFERROR(INDEX(Roles!$B$17:$B$20,MATCH(J3636,Roles!$A$17:$A$20,0)),1)</f>
        <v/>
      </c>
      <c r="L3636" s="19" t="n">
        <v>1</v>
      </c>
      <c r="M3636" s="11" t="n">
        <v>1</v>
      </c>
      <c r="N3636" s="19" t="n"/>
      <c r="O3636" s="19" t="n"/>
      <c r="P3636" s="19" t="n"/>
      <c r="Q3636" s="19" t="n"/>
      <c r="R3636" s="19" t="n">
        <v>0.6</v>
      </c>
      <c r="S3636" s="19" t="n"/>
      <c r="T3636" s="19" t="n"/>
      <c r="U3636" s="19" t="n"/>
      <c r="V3636" s="19" t="n"/>
      <c r="W3636" s="19" t="n">
        <v>0.4</v>
      </c>
      <c r="X3636" s="19" t="n"/>
      <c r="Y3636" s="19" t="n"/>
      <c r="Z3636" s="13">
        <f>SUMPRODUCT(N3636:Y3636,$N$2:$Y$2)*$K3636*$L3636*$M3636</f>
        <v/>
      </c>
      <c r="AA3636" s="14">
        <f>SUM(N3636:Y3636)</f>
        <v/>
      </c>
      <c r="AB3636" s="13">
        <f>SUMPRODUCT(N3636:Y3636,$N$3:$Y$3)*$K3636*$L3636*$M3636</f>
        <v/>
      </c>
      <c r="AC3636" s="13">
        <f>SUMPRODUCT(N3636:Y3636,$N$4:$Y$4)*$K3636*$L3636*$M3636</f>
        <v/>
      </c>
      <c r="AD3636" s="15" t="n">
        <v>17.73333333333333</v>
      </c>
      <c r="AE3636" s="11" t="n">
        <v>2.684113160291439</v>
      </c>
      <c r="AF3636" s="16">
        <f>SUMPRODUCT(N3636:Y3636,$N$5:$Y$5)*$K3636*$L3636*$M3636</f>
        <v/>
      </c>
      <c r="AG3636" s="16">
        <f>SUMPRODUCT(N3636:Y3636,$N$6:$Y$6)*$K3636*$L3636*$M3636</f>
        <v/>
      </c>
      <c r="AH3636" s="20" t="n"/>
    </row>
    <row r="3637">
      <c r="A3637" s="9" t="n">
        <v>700072</v>
      </c>
      <c r="B3637" s="9" t="inlineStr">
        <is>
          <t>Yaqui Rivera</t>
        </is>
      </c>
      <c r="C3637" s="9" t="inlineStr">
        <is>
          <t>BAL</t>
        </is>
      </c>
      <c r="D3637" s="9" t="n">
        <v>25</v>
      </c>
      <c r="E3637" s="18" t="inlineStr">
        <is>
          <t>R</t>
        </is>
      </c>
      <c r="F3637" s="18" t="n"/>
      <c r="G3637" s="9" t="n">
        <v>130.075</v>
      </c>
      <c r="H3637" s="9" t="n">
        <v>130.075</v>
      </c>
      <c r="I3637" s="9" t="inlineStr">
        <is>
          <t>Depth (no MLB IP)</t>
        </is>
      </c>
      <c r="J3637" s="18" t="inlineStr">
        <is>
          <t>Opening Day</t>
        </is>
      </c>
      <c r="K3637" s="11">
        <f>IFERROR(INDEX(Roles!$B$17:$B$20,MATCH(J3637,Roles!$A$17:$A$20,0)),1)</f>
        <v/>
      </c>
      <c r="L3637" s="19" t="n">
        <v>1</v>
      </c>
      <c r="M3637" s="11" t="n">
        <v>1</v>
      </c>
      <c r="N3637" s="19" t="n"/>
      <c r="O3637" s="19" t="n"/>
      <c r="P3637" s="19" t="n"/>
      <c r="Q3637" s="19" t="n"/>
      <c r="R3637" s="19" t="n"/>
      <c r="S3637" s="19" t="n"/>
      <c r="T3637" s="19" t="n"/>
      <c r="U3637" s="19" t="n"/>
      <c r="V3637" s="19" t="n"/>
      <c r="W3637" s="19" t="n"/>
      <c r="X3637" s="19" t="n"/>
      <c r="Y3637" s="19" t="n">
        <v>1</v>
      </c>
      <c r="Z3637" s="13">
        <f>SUMPRODUCT(N3637:Y3637,$N$2:$Y$2)*$K3637*$L3637*$M3637</f>
        <v/>
      </c>
      <c r="AA3637" s="14">
        <f>SUM(N3637:Y3637)</f>
        <v/>
      </c>
      <c r="AB3637" s="13">
        <f>SUMPRODUCT(N3637:Y3637,$N$3:$Y$3)*$K3637*$L3637*$M3637</f>
        <v/>
      </c>
      <c r="AC3637" s="13">
        <f>SUMPRODUCT(N3637:Y3637,$N$4:$Y$4)*$K3637*$L3637*$M3637</f>
        <v/>
      </c>
      <c r="AD3637" s="15" t="n">
        <v>3</v>
      </c>
      <c r="AE3637" s="11" t="n">
        <v>1.011296296296296</v>
      </c>
      <c r="AF3637" s="16">
        <f>SUMPRODUCT(N3637:Y3637,$N$5:$Y$5)*$K3637*$L3637*$M3637</f>
        <v/>
      </c>
      <c r="AG3637" s="16">
        <f>SUMPRODUCT(N3637:Y3637,$N$6:$Y$6)*$K3637*$L3637*$M3637</f>
        <v/>
      </c>
      <c r="AH3637" s="20" t="n"/>
    </row>
    <row r="3638">
      <c r="A3638" s="9" t="n">
        <v>687064</v>
      </c>
      <c r="B3638" s="9" t="inlineStr">
        <is>
          <t>Brandon Young</t>
        </is>
      </c>
      <c r="C3638" s="9" t="inlineStr">
        <is>
          <t>BAL</t>
        </is>
      </c>
      <c r="D3638" s="9" t="n">
        <v>28</v>
      </c>
      <c r="E3638" s="18" t="inlineStr">
        <is>
          <t>R</t>
        </is>
      </c>
      <c r="F3638" s="18" t="n"/>
      <c r="G3638" s="9" t="n">
        <v>669</v>
      </c>
      <c r="H3638" s="9" t="n">
        <v>925</v>
      </c>
      <c r="I3638" s="9" t="inlineStr">
        <is>
          <t>Mid-Rotation Starter (SP2-3)</t>
        </is>
      </c>
      <c r="J3638" s="18" t="inlineStr">
        <is>
          <t>Opening Day</t>
        </is>
      </c>
      <c r="K3638" s="11">
        <f>IFERROR(INDEX(Roles!$B$17:$B$20,MATCH(J3638,Roles!$A$17:$A$20,0)),1)</f>
        <v/>
      </c>
      <c r="L3638" s="19" t="n">
        <v>1</v>
      </c>
      <c r="M3638" s="11" t="n">
        <v>1</v>
      </c>
      <c r="N3638" s="19" t="n"/>
      <c r="O3638" s="19" t="n">
        <v>0.5</v>
      </c>
      <c r="P3638" s="19" t="n">
        <v>0.5</v>
      </c>
      <c r="Q3638" s="19" t="n"/>
      <c r="R3638" s="19" t="n"/>
      <c r="S3638" s="19" t="n"/>
      <c r="T3638" s="19" t="n"/>
      <c r="U3638" s="19" t="n"/>
      <c r="V3638" s="19" t="n"/>
      <c r="W3638" s="19" t="n"/>
      <c r="X3638" s="19" t="n"/>
      <c r="Y3638" s="19" t="n"/>
      <c r="Z3638" s="13">
        <f>SUMPRODUCT(N3638:Y3638,$N$2:$Y$2)*$K3638*$L3638*$M3638</f>
        <v/>
      </c>
      <c r="AA3638" s="14">
        <f>SUM(N3638:Y3638)</f>
        <v/>
      </c>
      <c r="AB3638" s="13">
        <f>SUMPRODUCT(N3638:Y3638,$N$3:$Y$3)*$K3638*$L3638*$M3638</f>
        <v/>
      </c>
      <c r="AC3638" s="13">
        <f>SUMPRODUCT(N3638:Y3638,$N$4:$Y$4)*$K3638*$L3638*$M3638</f>
        <v/>
      </c>
      <c r="AD3638" s="15" t="n">
        <v>23.36</v>
      </c>
      <c r="AE3638" s="11" t="n">
        <v>5.276118412319129</v>
      </c>
      <c r="AF3638" s="16">
        <f>SUMPRODUCT(N3638:Y3638,$N$5:$Y$5)*$K3638*$L3638*$M3638</f>
        <v/>
      </c>
      <c r="AG3638" s="16">
        <f>SUMPRODUCT(N3638:Y3638,$N$6:$Y$6)*$K3638*$L3638*$M3638</f>
        <v/>
      </c>
      <c r="AH3638" s="20" t="n"/>
    </row>
    <row r="3639">
      <c r="A3639" s="9" t="n">
        <v>681294</v>
      </c>
      <c r="B3639" s="9" t="inlineStr">
        <is>
          <t>Max Alba</t>
        </is>
      </c>
      <c r="C3639" s="9" t="inlineStr">
        <is>
          <t>DET</t>
        </is>
      </c>
      <c r="D3639" s="9" t="n">
        <v>25</v>
      </c>
      <c r="E3639" s="18" t="inlineStr">
        <is>
          <t>R</t>
        </is>
      </c>
      <c r="F3639" s="18" t="n"/>
      <c r="G3639" s="9" t="n">
        <v>129.9316666666666</v>
      </c>
      <c r="H3639" s="9" t="n">
        <v>129.9316666666666</v>
      </c>
      <c r="I3639" s="9" t="inlineStr">
        <is>
          <t>Depth (no MLB IP)</t>
        </is>
      </c>
      <c r="J3639" s="18" t="inlineStr">
        <is>
          <t>Opening Day</t>
        </is>
      </c>
      <c r="K3639" s="11">
        <f>IFERROR(INDEX(Roles!$B$17:$B$20,MATCH(J3639,Roles!$A$17:$A$20,0)),1)</f>
        <v/>
      </c>
      <c r="L3639" s="19" t="n">
        <v>1</v>
      </c>
      <c r="M3639" s="11" t="n">
        <v>1</v>
      </c>
      <c r="N3639" s="19" t="n"/>
      <c r="O3639" s="19" t="n"/>
      <c r="P3639" s="19" t="n"/>
      <c r="Q3639" s="19" t="n"/>
      <c r="R3639" s="19" t="n"/>
      <c r="S3639" s="19" t="n"/>
      <c r="T3639" s="19" t="n"/>
      <c r="U3639" s="19" t="n"/>
      <c r="V3639" s="19" t="n"/>
      <c r="W3639" s="19" t="n"/>
      <c r="X3639" s="19" t="n"/>
      <c r="Y3639" s="19" t="n">
        <v>1</v>
      </c>
      <c r="Z3639" s="13">
        <f>SUMPRODUCT(N3639:Y3639,$N$2:$Y$2)*$K3639*$L3639*$M3639</f>
        <v/>
      </c>
      <c r="AA3639" s="14">
        <f>SUM(N3639:Y3639)</f>
        <v/>
      </c>
      <c r="AB3639" s="13">
        <f>SUMPRODUCT(N3639:Y3639,$N$3:$Y$3)*$K3639*$L3639*$M3639</f>
        <v/>
      </c>
      <c r="AC3639" s="13">
        <f>SUMPRODUCT(N3639:Y3639,$N$4:$Y$4)*$K3639*$L3639*$M3639</f>
        <v/>
      </c>
      <c r="AD3639" s="15" t="n">
        <v>3</v>
      </c>
      <c r="AE3639" s="11" t="n">
        <v>1.011296296296296</v>
      </c>
      <c r="AF3639" s="16">
        <f>SUMPRODUCT(N3639:Y3639,$N$5:$Y$5)*$K3639*$L3639*$M3639</f>
        <v/>
      </c>
      <c r="AG3639" s="16">
        <f>SUMPRODUCT(N3639:Y3639,$N$6:$Y$6)*$K3639*$L3639*$M3639</f>
        <v/>
      </c>
      <c r="AH3639" s="20" t="n"/>
    </row>
    <row r="3640">
      <c r="A3640" s="9" t="n">
        <v>608379</v>
      </c>
      <c r="B3640" s="9" t="inlineStr">
        <is>
          <t>Michael Wacha</t>
        </is>
      </c>
      <c r="C3640" s="9" t="inlineStr">
        <is>
          <t>KC</t>
        </is>
      </c>
      <c r="D3640" s="9" t="n">
        <v>35</v>
      </c>
      <c r="E3640" s="18" t="inlineStr">
        <is>
          <t>R</t>
        </is>
      </c>
      <c r="F3640" s="18" t="n"/>
      <c r="G3640" s="9" t="n">
        <v>812</v>
      </c>
      <c r="H3640" s="9" t="n">
        <v>3281</v>
      </c>
      <c r="I3640" s="9" t="inlineStr">
        <is>
          <t>Ace (SP1)</t>
        </is>
      </c>
      <c r="J3640" s="18" t="inlineStr">
        <is>
          <t>Opening Day</t>
        </is>
      </c>
      <c r="K3640" s="11">
        <f>IFERROR(INDEX(Roles!$B$17:$B$20,MATCH(J3640,Roles!$A$17:$A$20,0)),1)</f>
        <v/>
      </c>
      <c r="L3640" s="19" t="n">
        <v>1</v>
      </c>
      <c r="M3640" s="11" t="n">
        <v>1</v>
      </c>
      <c r="N3640" s="19" t="n">
        <v>0.5</v>
      </c>
      <c r="O3640" s="19" t="n">
        <v>0.5</v>
      </c>
      <c r="P3640" s="19" t="n"/>
      <c r="Q3640" s="19" t="n"/>
      <c r="R3640" s="19" t="n"/>
      <c r="S3640" s="19" t="n"/>
      <c r="T3640" s="19" t="n"/>
      <c r="U3640" s="19" t="n"/>
      <c r="V3640" s="19" t="n"/>
      <c r="W3640" s="19" t="n"/>
      <c r="X3640" s="19" t="n"/>
      <c r="Y3640" s="19" t="n"/>
      <c r="Z3640" s="13">
        <f>SUMPRODUCT(N3640:Y3640,$N$2:$Y$2)*$K3640*$L3640*$M3640</f>
        <v/>
      </c>
      <c r="AA3640" s="14">
        <f>SUM(N3640:Y3640)</f>
        <v/>
      </c>
      <c r="AB3640" s="13">
        <f>SUMPRODUCT(N3640:Y3640,$N$3:$Y$3)*$K3640*$L3640*$M3640</f>
        <v/>
      </c>
      <c r="AC3640" s="13">
        <f>SUMPRODUCT(N3640:Y3640,$N$4:$Y$4)*$K3640*$L3640*$M3640</f>
        <v/>
      </c>
      <c r="AD3640" s="15" t="n">
        <v>28.9</v>
      </c>
      <c r="AE3640" s="11" t="n">
        <v>5.731771496477378</v>
      </c>
      <c r="AF3640" s="16">
        <f>SUMPRODUCT(N3640:Y3640,$N$5:$Y$5)*$K3640*$L3640*$M3640</f>
        <v/>
      </c>
      <c r="AG3640" s="16">
        <f>SUMPRODUCT(N3640:Y3640,$N$6:$Y$6)*$K3640*$L3640*$M3640</f>
        <v/>
      </c>
      <c r="AH3640" s="20" t="n"/>
    </row>
    <row r="3641">
      <c r="A3641" s="9" t="n">
        <v>686747</v>
      </c>
      <c r="B3641" s="9" t="inlineStr">
        <is>
          <t>Joe La Sorsa</t>
        </is>
      </c>
      <c r="C3641" s="9" t="inlineStr">
        <is>
          <t>CIN</t>
        </is>
      </c>
      <c r="D3641" s="9" t="n">
        <v>29</v>
      </c>
      <c r="E3641" s="18" t="inlineStr">
        <is>
          <t>L</t>
        </is>
      </c>
      <c r="F3641" s="18" t="n"/>
      <c r="G3641" s="9" t="n">
        <v>2</v>
      </c>
      <c r="H3641" s="9" t="n">
        <v>254</v>
      </c>
      <c r="I3641" s="9" t="inlineStr">
        <is>
          <t>Bullpen Depth Arm</t>
        </is>
      </c>
      <c r="J3641" s="18" t="inlineStr">
        <is>
          <t>Opening Day</t>
        </is>
      </c>
      <c r="K3641" s="11">
        <f>IFERROR(INDEX(Roles!$B$17:$B$20,MATCH(J3641,Roles!$A$17:$A$20,0)),1)</f>
        <v/>
      </c>
      <c r="L3641" s="19" t="n">
        <v>1</v>
      </c>
      <c r="M3641" s="11" t="n">
        <v>1</v>
      </c>
      <c r="N3641" s="19" t="n"/>
      <c r="O3641" s="19" t="n"/>
      <c r="P3641" s="19" t="n"/>
      <c r="Q3641" s="19" t="n"/>
      <c r="R3641" s="19" t="n"/>
      <c r="S3641" s="19" t="n"/>
      <c r="T3641" s="19" t="n"/>
      <c r="U3641" s="19" t="n"/>
      <c r="V3641" s="19" t="n"/>
      <c r="W3641" s="19" t="n">
        <v>1</v>
      </c>
      <c r="X3641" s="19" t="n"/>
      <c r="Y3641" s="19" t="n"/>
      <c r="Z3641" s="13">
        <f>SUMPRODUCT(N3641:Y3641,$N$2:$Y$2)*$K3641*$L3641*$M3641</f>
        <v/>
      </c>
      <c r="AA3641" s="14">
        <f>SUM(N3641:Y3641)</f>
        <v/>
      </c>
      <c r="AB3641" s="13">
        <f>SUMPRODUCT(N3641:Y3641,$N$3:$Y$3)*$K3641*$L3641*$M3641</f>
        <v/>
      </c>
      <c r="AC3641" s="13">
        <f>SUMPRODUCT(N3641:Y3641,$N$4:$Y$4)*$K3641*$L3641*$M3641</f>
        <v/>
      </c>
      <c r="AD3641" s="15" t="n">
        <v>8.566666666666666</v>
      </c>
      <c r="AE3641" s="11" t="n">
        <v>1.169323226794491</v>
      </c>
      <c r="AF3641" s="16">
        <f>SUMPRODUCT(N3641:Y3641,$N$5:$Y$5)*$K3641*$L3641*$M3641</f>
        <v/>
      </c>
      <c r="AG3641" s="16">
        <f>SUMPRODUCT(N3641:Y3641,$N$6:$Y$6)*$K3641*$L3641*$M3641</f>
        <v/>
      </c>
      <c r="AH3641" s="20" t="n"/>
    </row>
    <row r="3642">
      <c r="A3642" s="9" t="n">
        <v>605446</v>
      </c>
      <c r="B3642" s="9" t="inlineStr">
        <is>
          <t>Dereck Rodríguez</t>
        </is>
      </c>
      <c r="C3642" s="9" t="inlineStr">
        <is>
          <t>ATL</t>
        </is>
      </c>
      <c r="D3642" s="9" t="n">
        <v>35</v>
      </c>
      <c r="E3642" s="18" t="inlineStr">
        <is>
          <t>R</t>
        </is>
      </c>
      <c r="F3642" s="18" t="n"/>
      <c r="G3642" s="9" t="n">
        <v>30</v>
      </c>
      <c r="H3642" s="9" t="n">
        <v>64</v>
      </c>
      <c r="I3642" s="9" t="inlineStr">
        <is>
          <t>Depth (no MLB IP)</t>
        </is>
      </c>
      <c r="J3642" s="18" t="inlineStr">
        <is>
          <t>Opening Day</t>
        </is>
      </c>
      <c r="K3642" s="11">
        <f>IFERROR(INDEX(Roles!$B$17:$B$20,MATCH(J3642,Roles!$A$17:$A$20,0)),1)</f>
        <v/>
      </c>
      <c r="L3642" s="19" t="n">
        <v>1</v>
      </c>
      <c r="M3642" s="11" t="n">
        <v>1</v>
      </c>
      <c r="N3642" s="19" t="n"/>
      <c r="O3642" s="19" t="n"/>
      <c r="P3642" s="19" t="n"/>
      <c r="Q3642" s="19" t="n"/>
      <c r="R3642" s="19" t="n"/>
      <c r="S3642" s="19" t="n"/>
      <c r="T3642" s="19" t="n"/>
      <c r="U3642" s="19" t="n"/>
      <c r="V3642" s="19" t="n"/>
      <c r="W3642" s="19" t="n"/>
      <c r="X3642" s="19" t="n"/>
      <c r="Y3642" s="19" t="n">
        <v>1</v>
      </c>
      <c r="Z3642" s="13">
        <f>SUMPRODUCT(N3642:Y3642,$N$2:$Y$2)*$K3642*$L3642*$M3642</f>
        <v/>
      </c>
      <c r="AA3642" s="14">
        <f>SUM(N3642:Y3642)</f>
        <v/>
      </c>
      <c r="AB3642" s="13">
        <f>SUMPRODUCT(N3642:Y3642,$N$3:$Y$3)*$K3642*$L3642*$M3642</f>
        <v/>
      </c>
      <c r="AC3642" s="13">
        <f>SUMPRODUCT(N3642:Y3642,$N$4:$Y$4)*$K3642*$L3642*$M3642</f>
        <v/>
      </c>
      <c r="AD3642" s="15" t="n">
        <v>3</v>
      </c>
      <c r="AE3642" s="11" t="n">
        <v>1.011296296296296</v>
      </c>
      <c r="AF3642" s="16">
        <f>SUMPRODUCT(N3642:Y3642,$N$5:$Y$5)*$K3642*$L3642*$M3642</f>
        <v/>
      </c>
      <c r="AG3642" s="16">
        <f>SUMPRODUCT(N3642:Y3642,$N$6:$Y$6)*$K3642*$L3642*$M3642</f>
        <v/>
      </c>
      <c r="AH3642" s="20" t="n"/>
    </row>
    <row r="3643">
      <c r="A3643" s="9" t="n">
        <v>680739</v>
      </c>
      <c r="B3643" s="9" t="inlineStr">
        <is>
          <t>Josh Winder</t>
        </is>
      </c>
      <c r="C3643" s="9" t="inlineStr">
        <is>
          <t>MIN</t>
        </is>
      </c>
      <c r="D3643" s="9" t="n">
        <v>30</v>
      </c>
      <c r="E3643" s="18" t="inlineStr">
        <is>
          <t>R</t>
        </is>
      </c>
      <c r="F3643" s="18" t="n"/>
      <c r="G3643" s="9" t="n">
        <v>38</v>
      </c>
      <c r="H3643" s="9" t="n">
        <v>472</v>
      </c>
      <c r="I3643" s="9" t="inlineStr">
        <is>
          <t>Depth (no MLB IP)</t>
        </is>
      </c>
      <c r="J3643" s="18" t="inlineStr">
        <is>
          <t>Opening Day</t>
        </is>
      </c>
      <c r="K3643" s="11">
        <f>IFERROR(INDEX(Roles!$B$17:$B$20,MATCH(J3643,Roles!$A$17:$A$20,0)),1)</f>
        <v/>
      </c>
      <c r="L3643" s="19" t="n">
        <v>1</v>
      </c>
      <c r="M3643" s="11" t="n">
        <v>1</v>
      </c>
      <c r="N3643" s="19" t="n"/>
      <c r="O3643" s="19" t="n"/>
      <c r="P3643" s="19" t="n"/>
      <c r="Q3643" s="19" t="n"/>
      <c r="R3643" s="19" t="n"/>
      <c r="S3643" s="19" t="n"/>
      <c r="T3643" s="19" t="n"/>
      <c r="U3643" s="19" t="n"/>
      <c r="V3643" s="19" t="n"/>
      <c r="W3643" s="19" t="n"/>
      <c r="X3643" s="19" t="n"/>
      <c r="Y3643" s="19" t="n">
        <v>1</v>
      </c>
      <c r="Z3643" s="13">
        <f>SUMPRODUCT(N3643:Y3643,$N$2:$Y$2)*$K3643*$L3643*$M3643</f>
        <v/>
      </c>
      <c r="AA3643" s="14">
        <f>SUM(N3643:Y3643)</f>
        <v/>
      </c>
      <c r="AB3643" s="13">
        <f>SUMPRODUCT(N3643:Y3643,$N$3:$Y$3)*$K3643*$L3643*$M3643</f>
        <v/>
      </c>
      <c r="AC3643" s="13">
        <f>SUMPRODUCT(N3643:Y3643,$N$4:$Y$4)*$K3643*$L3643*$M3643</f>
        <v/>
      </c>
      <c r="AD3643" s="15" t="n">
        <v>3.6</v>
      </c>
      <c r="AE3643" s="11" t="n">
        <v>1.424197530864197</v>
      </c>
      <c r="AF3643" s="16">
        <f>SUMPRODUCT(N3643:Y3643,$N$5:$Y$5)*$K3643*$L3643*$M3643</f>
        <v/>
      </c>
      <c r="AG3643" s="16">
        <f>SUMPRODUCT(N3643:Y3643,$N$6:$Y$6)*$K3643*$L3643*$M3643</f>
        <v/>
      </c>
      <c r="AH3643" s="20" t="n"/>
    </row>
    <row r="3644">
      <c r="A3644" s="9" t="n">
        <v>607644</v>
      </c>
      <c r="B3644" s="9" t="inlineStr">
        <is>
          <t>John Means</t>
        </is>
      </c>
      <c r="C3644" s="9" t="inlineStr">
        <is>
          <t>BAL</t>
        </is>
      </c>
      <c r="D3644" s="9" t="n">
        <v>34</v>
      </c>
      <c r="E3644" s="18" t="inlineStr">
        <is>
          <t>L</t>
        </is>
      </c>
      <c r="F3644" s="18" t="n"/>
      <c r="G3644" s="9" t="n">
        <v>80</v>
      </c>
      <c r="H3644" s="9" t="n">
        <v>202</v>
      </c>
      <c r="I3644" s="9" t="inlineStr">
        <is>
          <t>Depth (no MLB IP)</t>
        </is>
      </c>
      <c r="J3644" s="18" t="inlineStr">
        <is>
          <t>Opening Day</t>
        </is>
      </c>
      <c r="K3644" s="11">
        <f>IFERROR(INDEX(Roles!$B$17:$B$20,MATCH(J3644,Roles!$A$17:$A$20,0)),1)</f>
        <v/>
      </c>
      <c r="L3644" s="19" t="n">
        <v>1</v>
      </c>
      <c r="M3644" s="11" t="n">
        <v>1</v>
      </c>
      <c r="N3644" s="19" t="n"/>
      <c r="O3644" s="19" t="n"/>
      <c r="P3644" s="19" t="n"/>
      <c r="Q3644" s="19" t="n"/>
      <c r="R3644" s="19" t="n"/>
      <c r="S3644" s="19" t="n"/>
      <c r="T3644" s="19" t="n"/>
      <c r="U3644" s="19" t="n"/>
      <c r="V3644" s="19" t="n"/>
      <c r="W3644" s="19" t="n"/>
      <c r="X3644" s="19" t="n"/>
      <c r="Y3644" s="19" t="n">
        <v>1</v>
      </c>
      <c r="Z3644" s="13">
        <f>SUMPRODUCT(N3644:Y3644,$N$2:$Y$2)*$K3644*$L3644*$M3644</f>
        <v/>
      </c>
      <c r="AA3644" s="14">
        <f>SUM(N3644:Y3644)</f>
        <v/>
      </c>
      <c r="AB3644" s="13">
        <f>SUMPRODUCT(N3644:Y3644,$N$3:$Y$3)*$K3644*$L3644*$M3644</f>
        <v/>
      </c>
      <c r="AC3644" s="13">
        <f>SUMPRODUCT(N3644:Y3644,$N$4:$Y$4)*$K3644*$L3644*$M3644</f>
        <v/>
      </c>
      <c r="AD3644" s="15" t="n">
        <v>3.6</v>
      </c>
      <c r="AE3644" s="11" t="n">
        <v>2.39641975308642</v>
      </c>
      <c r="AF3644" s="16">
        <f>SUMPRODUCT(N3644:Y3644,$N$5:$Y$5)*$K3644*$L3644*$M3644</f>
        <v/>
      </c>
      <c r="AG3644" s="16">
        <f>SUMPRODUCT(N3644:Y3644,$N$6:$Y$6)*$K3644*$L3644*$M3644</f>
        <v/>
      </c>
      <c r="AH3644" s="20" t="n"/>
    </row>
    <row r="3645">
      <c r="A3645" s="9" t="n">
        <v>656981</v>
      </c>
      <c r="B3645" s="9" t="inlineStr">
        <is>
          <t>Peter Solomon</t>
        </is>
      </c>
      <c r="C3645" s="9" t="inlineStr">
        <is>
          <t>ARI</t>
        </is>
      </c>
      <c r="D3645" s="9" t="n">
        <v>30</v>
      </c>
      <c r="E3645" s="18" t="inlineStr">
        <is>
          <t>R</t>
        </is>
      </c>
      <c r="F3645" s="18" t="n"/>
      <c r="G3645" s="9" t="n">
        <v>67</v>
      </c>
      <c r="H3645" s="9" t="n">
        <v>67</v>
      </c>
      <c r="I3645" s="9" t="inlineStr">
        <is>
          <t>Depth (no MLB IP)</t>
        </is>
      </c>
      <c r="J3645" s="18" t="inlineStr">
        <is>
          <t>Opening Day</t>
        </is>
      </c>
      <c r="K3645" s="11">
        <f>IFERROR(INDEX(Roles!$B$17:$B$20,MATCH(J3645,Roles!$A$17:$A$20,0)),1)</f>
        <v/>
      </c>
      <c r="L3645" s="19" t="n">
        <v>1</v>
      </c>
      <c r="M3645" s="11" t="n">
        <v>1</v>
      </c>
      <c r="N3645" s="19" t="n"/>
      <c r="O3645" s="19" t="n"/>
      <c r="P3645" s="19" t="n"/>
      <c r="Q3645" s="19" t="n"/>
      <c r="R3645" s="19" t="n"/>
      <c r="S3645" s="19" t="n"/>
      <c r="T3645" s="19" t="n"/>
      <c r="U3645" s="19" t="n"/>
      <c r="V3645" s="19" t="n"/>
      <c r="W3645" s="19" t="n"/>
      <c r="X3645" s="19" t="n"/>
      <c r="Y3645" s="19" t="n">
        <v>1</v>
      </c>
      <c r="Z3645" s="13">
        <f>SUMPRODUCT(N3645:Y3645,$N$2:$Y$2)*$K3645*$L3645*$M3645</f>
        <v/>
      </c>
      <c r="AA3645" s="14">
        <f>SUM(N3645:Y3645)</f>
        <v/>
      </c>
      <c r="AB3645" s="13">
        <f>SUMPRODUCT(N3645:Y3645,$N$3:$Y$3)*$K3645*$L3645*$M3645</f>
        <v/>
      </c>
      <c r="AC3645" s="13">
        <f>SUMPRODUCT(N3645:Y3645,$N$4:$Y$4)*$K3645*$L3645*$M3645</f>
        <v/>
      </c>
      <c r="AD3645" s="15" t="n">
        <v>3</v>
      </c>
      <c r="AE3645" s="11" t="n">
        <v>1.011296296296296</v>
      </c>
      <c r="AF3645" s="16">
        <f>SUMPRODUCT(N3645:Y3645,$N$5:$Y$5)*$K3645*$L3645*$M3645</f>
        <v/>
      </c>
      <c r="AG3645" s="16">
        <f>SUMPRODUCT(N3645:Y3645,$N$6:$Y$6)*$K3645*$L3645*$M3645</f>
        <v/>
      </c>
      <c r="AH3645" s="20" t="n"/>
    </row>
    <row r="3646">
      <c r="A3646" s="9" t="n">
        <v>571863</v>
      </c>
      <c r="B3646" s="9" t="inlineStr">
        <is>
          <t>Matt Koch</t>
        </is>
      </c>
      <c r="C3646" s="9" t="inlineStr">
        <is>
          <t>COL</t>
        </is>
      </c>
      <c r="D3646" s="9" t="n">
        <v>36</v>
      </c>
      <c r="E3646" s="18" t="inlineStr">
        <is>
          <t>R</t>
        </is>
      </c>
      <c r="F3646" s="18" t="n"/>
      <c r="G3646" s="9" t="n">
        <v>5</v>
      </c>
      <c r="H3646" s="9" t="n">
        <v>187</v>
      </c>
      <c r="I3646" s="9" t="inlineStr">
        <is>
          <t>Depth (no MLB IP)</t>
        </is>
      </c>
      <c r="J3646" s="18" t="inlineStr">
        <is>
          <t>Opening Day</t>
        </is>
      </c>
      <c r="K3646" s="11">
        <f>IFERROR(INDEX(Roles!$B$17:$B$20,MATCH(J3646,Roles!$A$17:$A$20,0)),1)</f>
        <v/>
      </c>
      <c r="L3646" s="19" t="n">
        <v>1</v>
      </c>
      <c r="M3646" s="11" t="n">
        <v>1</v>
      </c>
      <c r="N3646" s="19" t="n"/>
      <c r="O3646" s="19" t="n"/>
      <c r="P3646" s="19" t="n"/>
      <c r="Q3646" s="19" t="n"/>
      <c r="R3646" s="19" t="n"/>
      <c r="S3646" s="19" t="n"/>
      <c r="T3646" s="19" t="n"/>
      <c r="U3646" s="19" t="n"/>
      <c r="V3646" s="19" t="n"/>
      <c r="W3646" s="19" t="n"/>
      <c r="X3646" s="19" t="n"/>
      <c r="Y3646" s="19" t="n">
        <v>1</v>
      </c>
      <c r="Z3646" s="13">
        <f>SUMPRODUCT(N3646:Y3646,$N$2:$Y$2)*$K3646*$L3646*$M3646</f>
        <v/>
      </c>
      <c r="AA3646" s="14">
        <f>SUM(N3646:Y3646)</f>
        <v/>
      </c>
      <c r="AB3646" s="13">
        <f>SUMPRODUCT(N3646:Y3646,$N$3:$Y$3)*$K3646*$L3646*$M3646</f>
        <v/>
      </c>
      <c r="AC3646" s="13">
        <f>SUMPRODUCT(N3646:Y3646,$N$4:$Y$4)*$K3646*$L3646*$M3646</f>
        <v/>
      </c>
      <c r="AD3646" s="15" t="n">
        <v>2.4</v>
      </c>
      <c r="AE3646" s="11" t="n">
        <v>0.729753086419753</v>
      </c>
      <c r="AF3646" s="16">
        <f>SUMPRODUCT(N3646:Y3646,$N$5:$Y$5)*$K3646*$L3646*$M3646</f>
        <v/>
      </c>
      <c r="AG3646" s="16">
        <f>SUMPRODUCT(N3646:Y3646,$N$6:$Y$6)*$K3646*$L3646*$M3646</f>
        <v/>
      </c>
      <c r="AH3646" s="20" t="n"/>
    </row>
    <row r="3647">
      <c r="A3647" s="9" t="n">
        <v>814106</v>
      </c>
      <c r="B3647" s="9" t="inlineStr">
        <is>
          <t>Cade Denton</t>
        </is>
      </c>
      <c r="C3647" s="9" t="inlineStr">
        <is>
          <t>COL</t>
        </is>
      </c>
      <c r="D3647" s="9" t="n">
        <v>25</v>
      </c>
      <c r="E3647" s="18" t="inlineStr">
        <is>
          <t>R</t>
        </is>
      </c>
      <c r="F3647" s="18" t="n"/>
      <c r="G3647" s="9" t="n">
        <v>131.4366666666666</v>
      </c>
      <c r="H3647" s="9" t="n">
        <v>131.4366666666666</v>
      </c>
      <c r="I3647" s="9" t="inlineStr">
        <is>
          <t>Depth (no MLB IP)</t>
        </is>
      </c>
      <c r="J3647" s="18" t="inlineStr">
        <is>
          <t>Opening Day</t>
        </is>
      </c>
      <c r="K3647" s="11">
        <f>IFERROR(INDEX(Roles!$B$17:$B$20,MATCH(J3647,Roles!$A$17:$A$20,0)),1)</f>
        <v/>
      </c>
      <c r="L3647" s="19" t="n">
        <v>1</v>
      </c>
      <c r="M3647" s="11" t="n">
        <v>1</v>
      </c>
      <c r="N3647" s="19" t="n"/>
      <c r="O3647" s="19" t="n"/>
      <c r="P3647" s="19" t="n"/>
      <c r="Q3647" s="19" t="n"/>
      <c r="R3647" s="19" t="n"/>
      <c r="S3647" s="19" t="n"/>
      <c r="T3647" s="19" t="n"/>
      <c r="U3647" s="19" t="n"/>
      <c r="V3647" s="19" t="n"/>
      <c r="W3647" s="19" t="n"/>
      <c r="X3647" s="19" t="n"/>
      <c r="Y3647" s="19" t="n">
        <v>1</v>
      </c>
      <c r="Z3647" s="13">
        <f>SUMPRODUCT(N3647:Y3647,$N$2:$Y$2)*$K3647*$L3647*$M3647</f>
        <v/>
      </c>
      <c r="AA3647" s="14">
        <f>SUM(N3647:Y3647)</f>
        <v/>
      </c>
      <c r="AB3647" s="13">
        <f>SUMPRODUCT(N3647:Y3647,$N$3:$Y$3)*$K3647*$L3647*$M3647</f>
        <v/>
      </c>
      <c r="AC3647" s="13">
        <f>SUMPRODUCT(N3647:Y3647,$N$4:$Y$4)*$K3647*$L3647*$M3647</f>
        <v/>
      </c>
      <c r="AD3647" s="15" t="n">
        <v>3</v>
      </c>
      <c r="AE3647" s="11" t="n">
        <v>1.011296296296296</v>
      </c>
      <c r="AF3647" s="16">
        <f>SUMPRODUCT(N3647:Y3647,$N$5:$Y$5)*$K3647*$L3647*$M3647</f>
        <v/>
      </c>
      <c r="AG3647" s="16">
        <f>SUMPRODUCT(N3647:Y3647,$N$6:$Y$6)*$K3647*$L3647*$M3647</f>
        <v/>
      </c>
      <c r="AH3647" s="20" t="n"/>
    </row>
    <row r="3648">
      <c r="A3648" s="9" t="n">
        <v>694205</v>
      </c>
      <c r="B3648" s="9" t="inlineStr">
        <is>
          <t>Victor Lizarraga</t>
        </is>
      </c>
      <c r="C3648" s="9" t="inlineStr">
        <is>
          <t>SD</t>
        </is>
      </c>
      <c r="D3648" s="9" t="n">
        <v>25</v>
      </c>
      <c r="E3648" s="18" t="inlineStr">
        <is>
          <t>R</t>
        </is>
      </c>
      <c r="F3648" s="18" t="n"/>
      <c r="G3648" s="9" t="n">
        <v>131.4366666666666</v>
      </c>
      <c r="H3648" s="9" t="n">
        <v>131.4366666666666</v>
      </c>
      <c r="I3648" s="9" t="inlineStr">
        <is>
          <t>Depth (no MLB IP)</t>
        </is>
      </c>
      <c r="J3648" s="18" t="inlineStr">
        <is>
          <t>Opening Day</t>
        </is>
      </c>
      <c r="K3648" s="11">
        <f>IFERROR(INDEX(Roles!$B$17:$B$20,MATCH(J3648,Roles!$A$17:$A$20,0)),1)</f>
        <v/>
      </c>
      <c r="L3648" s="19" t="n">
        <v>1</v>
      </c>
      <c r="M3648" s="11" t="n">
        <v>1</v>
      </c>
      <c r="N3648" s="19" t="n"/>
      <c r="O3648" s="19" t="n"/>
      <c r="P3648" s="19" t="n"/>
      <c r="Q3648" s="19" t="n"/>
      <c r="R3648" s="19" t="n"/>
      <c r="S3648" s="19" t="n"/>
      <c r="T3648" s="19" t="n"/>
      <c r="U3648" s="19" t="n"/>
      <c r="V3648" s="19" t="n"/>
      <c r="W3648" s="19" t="n"/>
      <c r="X3648" s="19" t="n"/>
      <c r="Y3648" s="19" t="n">
        <v>1</v>
      </c>
      <c r="Z3648" s="13">
        <f>SUMPRODUCT(N3648:Y3648,$N$2:$Y$2)*$K3648*$L3648*$M3648</f>
        <v/>
      </c>
      <c r="AA3648" s="14">
        <f>SUM(N3648:Y3648)</f>
        <v/>
      </c>
      <c r="AB3648" s="13">
        <f>SUMPRODUCT(N3648:Y3648,$N$3:$Y$3)*$K3648*$L3648*$M3648</f>
        <v/>
      </c>
      <c r="AC3648" s="13">
        <f>SUMPRODUCT(N3648:Y3648,$N$4:$Y$4)*$K3648*$L3648*$M3648</f>
        <v/>
      </c>
      <c r="AD3648" s="15" t="n">
        <v>3</v>
      </c>
      <c r="AE3648" s="11" t="n">
        <v>1.011296296296296</v>
      </c>
      <c r="AF3648" s="16">
        <f>SUMPRODUCT(N3648:Y3648,$N$5:$Y$5)*$K3648*$L3648*$M3648</f>
        <v/>
      </c>
      <c r="AG3648" s="16">
        <f>SUMPRODUCT(N3648:Y3648,$N$6:$Y$6)*$K3648*$L3648*$M3648</f>
        <v/>
      </c>
      <c r="AH3648" s="20" t="n"/>
    </row>
    <row r="3649">
      <c r="A3649" s="9" t="n">
        <v>700183</v>
      </c>
      <c r="B3649" s="9" t="inlineStr">
        <is>
          <t>Blake Holub</t>
        </is>
      </c>
      <c r="C3649" s="9" t="inlineStr">
        <is>
          <t>MIL</t>
        </is>
      </c>
      <c r="D3649" s="9" t="n">
        <v>25</v>
      </c>
      <c r="E3649" s="18" t="inlineStr">
        <is>
          <t>R</t>
        </is>
      </c>
      <c r="F3649" s="18" t="n"/>
      <c r="G3649" s="9" t="n">
        <v>131.6516666666667</v>
      </c>
      <c r="H3649" s="9" t="n">
        <v>131.6516666666667</v>
      </c>
      <c r="I3649" s="9" t="inlineStr">
        <is>
          <t>Depth (no MLB IP)</t>
        </is>
      </c>
      <c r="J3649" s="18" t="inlineStr">
        <is>
          <t>Opening Day</t>
        </is>
      </c>
      <c r="K3649" s="11">
        <f>IFERROR(INDEX(Roles!$B$17:$B$20,MATCH(J3649,Roles!$A$17:$A$20,0)),1)</f>
        <v/>
      </c>
      <c r="L3649" s="19" t="n">
        <v>1</v>
      </c>
      <c r="M3649" s="11" t="n">
        <v>1</v>
      </c>
      <c r="N3649" s="19" t="n"/>
      <c r="O3649" s="19" t="n"/>
      <c r="P3649" s="19" t="n"/>
      <c r="Q3649" s="19" t="n"/>
      <c r="R3649" s="19" t="n"/>
      <c r="S3649" s="19" t="n"/>
      <c r="T3649" s="19" t="n"/>
      <c r="U3649" s="19" t="n"/>
      <c r="V3649" s="19" t="n"/>
      <c r="W3649" s="19" t="n"/>
      <c r="X3649" s="19" t="n"/>
      <c r="Y3649" s="19" t="n">
        <v>1</v>
      </c>
      <c r="Z3649" s="13">
        <f>SUMPRODUCT(N3649:Y3649,$N$2:$Y$2)*$K3649*$L3649*$M3649</f>
        <v/>
      </c>
      <c r="AA3649" s="14">
        <f>SUM(N3649:Y3649)</f>
        <v/>
      </c>
      <c r="AB3649" s="13">
        <f>SUMPRODUCT(N3649:Y3649,$N$3:$Y$3)*$K3649*$L3649*$M3649</f>
        <v/>
      </c>
      <c r="AC3649" s="13">
        <f>SUMPRODUCT(N3649:Y3649,$N$4:$Y$4)*$K3649*$L3649*$M3649</f>
        <v/>
      </c>
      <c r="AD3649" s="15" t="n">
        <v>3</v>
      </c>
      <c r="AE3649" s="11" t="n">
        <v>1.011296296296296</v>
      </c>
      <c r="AF3649" s="16">
        <f>SUMPRODUCT(N3649:Y3649,$N$5:$Y$5)*$K3649*$L3649*$M3649</f>
        <v/>
      </c>
      <c r="AG3649" s="16">
        <f>SUMPRODUCT(N3649:Y3649,$N$6:$Y$6)*$K3649*$L3649*$M3649</f>
        <v/>
      </c>
      <c r="AH3649" s="20" t="n"/>
    </row>
    <row r="3650">
      <c r="A3650" s="9" t="n">
        <v>689508</v>
      </c>
      <c r="B3650" s="9" t="inlineStr">
        <is>
          <t>Orlando Ortiz-Mayr</t>
        </is>
      </c>
      <c r="C3650" s="9" t="inlineStr">
        <is>
          <t>MIA</t>
        </is>
      </c>
      <c r="D3650" s="9" t="n">
        <v>25</v>
      </c>
      <c r="E3650" s="18" t="inlineStr">
        <is>
          <t>R</t>
        </is>
      </c>
      <c r="F3650" s="18" t="n"/>
      <c r="G3650" s="9" t="n">
        <v>131.9383333333333</v>
      </c>
      <c r="H3650" s="9" t="n">
        <v>131.9383333333333</v>
      </c>
      <c r="I3650" s="9" t="inlineStr">
        <is>
          <t>Depth (no MLB IP)</t>
        </is>
      </c>
      <c r="J3650" s="18" t="inlineStr">
        <is>
          <t>Opening Day</t>
        </is>
      </c>
      <c r="K3650" s="11">
        <f>IFERROR(INDEX(Roles!$B$17:$B$20,MATCH(J3650,Roles!$A$17:$A$20,0)),1)</f>
        <v/>
      </c>
      <c r="L3650" s="19" t="n">
        <v>1</v>
      </c>
      <c r="M3650" s="11" t="n">
        <v>1</v>
      </c>
      <c r="N3650" s="19" t="n"/>
      <c r="O3650" s="19" t="n"/>
      <c r="P3650" s="19" t="n"/>
      <c r="Q3650" s="19" t="n"/>
      <c r="R3650" s="19" t="n"/>
      <c r="S3650" s="19" t="n"/>
      <c r="T3650" s="19" t="n"/>
      <c r="U3650" s="19" t="n"/>
      <c r="V3650" s="19" t="n"/>
      <c r="W3650" s="19" t="n"/>
      <c r="X3650" s="19" t="n"/>
      <c r="Y3650" s="19" t="n">
        <v>1</v>
      </c>
      <c r="Z3650" s="13">
        <f>SUMPRODUCT(N3650:Y3650,$N$2:$Y$2)*$K3650*$L3650*$M3650</f>
        <v/>
      </c>
      <c r="AA3650" s="14">
        <f>SUM(N3650:Y3650)</f>
        <v/>
      </c>
      <c r="AB3650" s="13">
        <f>SUMPRODUCT(N3650:Y3650,$N$3:$Y$3)*$K3650*$L3650*$M3650</f>
        <v/>
      </c>
      <c r="AC3650" s="13">
        <f>SUMPRODUCT(N3650:Y3650,$N$4:$Y$4)*$K3650*$L3650*$M3650</f>
        <v/>
      </c>
      <c r="AD3650" s="15" t="n">
        <v>3</v>
      </c>
      <c r="AE3650" s="11" t="n">
        <v>1.011296296296296</v>
      </c>
      <c r="AF3650" s="16">
        <f>SUMPRODUCT(N3650:Y3650,$N$5:$Y$5)*$K3650*$L3650*$M3650</f>
        <v/>
      </c>
      <c r="AG3650" s="16">
        <f>SUMPRODUCT(N3650:Y3650,$N$6:$Y$6)*$K3650*$L3650*$M3650</f>
        <v/>
      </c>
      <c r="AH3650" s="20" t="n"/>
    </row>
    <row r="3651">
      <c r="A3651" s="9" t="n">
        <v>681146</v>
      </c>
      <c r="B3651" s="9" t="inlineStr">
        <is>
          <t>Jonah Bride</t>
        </is>
      </c>
      <c r="C3651" s="9" t="inlineStr">
        <is>
          <t>MIN</t>
        </is>
      </c>
      <c r="D3651" s="9" t="n">
        <v>31</v>
      </c>
      <c r="E3651" s="18" t="inlineStr">
        <is>
          <t>R</t>
        </is>
      </c>
      <c r="F3651" s="18" t="n"/>
      <c r="G3651" s="9" t="n">
        <v>37</v>
      </c>
      <c r="H3651" s="9" t="n">
        <v>37</v>
      </c>
      <c r="I3651" s="9" t="inlineStr">
        <is>
          <t>Bullpen Depth Arm</t>
        </is>
      </c>
      <c r="J3651" s="18" t="inlineStr">
        <is>
          <t>Opening Day</t>
        </is>
      </c>
      <c r="K3651" s="11">
        <f>IFERROR(INDEX(Roles!$B$17:$B$20,MATCH(J3651,Roles!$A$17:$A$20,0)),1)</f>
        <v/>
      </c>
      <c r="L3651" s="19" t="n">
        <v>1</v>
      </c>
      <c r="M3651" s="11" t="n">
        <v>1</v>
      </c>
      <c r="N3651" s="19" t="n"/>
      <c r="O3651" s="19" t="n"/>
      <c r="P3651" s="19" t="n"/>
      <c r="Q3651" s="19" t="n"/>
      <c r="R3651" s="19" t="n"/>
      <c r="S3651" s="19" t="n"/>
      <c r="T3651" s="19" t="n"/>
      <c r="U3651" s="19" t="n"/>
      <c r="V3651" s="19" t="n"/>
      <c r="W3651" s="19" t="n">
        <v>1</v>
      </c>
      <c r="X3651" s="19" t="n"/>
      <c r="Y3651" s="19" t="n"/>
      <c r="Z3651" s="13">
        <f>SUMPRODUCT(N3651:Y3651,$N$2:$Y$2)*$K3651*$L3651*$M3651</f>
        <v/>
      </c>
      <c r="AA3651" s="14">
        <f>SUM(N3651:Y3651)</f>
        <v/>
      </c>
      <c r="AB3651" s="13">
        <f>SUMPRODUCT(N3651:Y3651,$N$3:$Y$3)*$K3651*$L3651*$M3651</f>
        <v/>
      </c>
      <c r="AC3651" s="13">
        <f>SUMPRODUCT(N3651:Y3651,$N$4:$Y$4)*$K3651*$L3651*$M3651</f>
        <v/>
      </c>
      <c r="AD3651" s="15" t="n">
        <v>8.066666666666666</v>
      </c>
      <c r="AE3651" s="11" t="n">
        <v>1.301507134840468</v>
      </c>
      <c r="AF3651" s="16">
        <f>SUMPRODUCT(N3651:Y3651,$N$5:$Y$5)*$K3651*$L3651*$M3651</f>
        <v/>
      </c>
      <c r="AG3651" s="16">
        <f>SUMPRODUCT(N3651:Y3651,$N$6:$Y$6)*$K3651*$L3651*$M3651</f>
        <v/>
      </c>
      <c r="AH3651" s="20" t="n"/>
    </row>
    <row r="3652">
      <c r="A3652" s="9" t="n">
        <v>695373</v>
      </c>
      <c r="B3652" s="9" t="inlineStr">
        <is>
          <t>Javi Rivera</t>
        </is>
      </c>
      <c r="C3652" s="9" t="inlineStr">
        <is>
          <t>CIN</t>
        </is>
      </c>
      <c r="D3652" s="9" t="n">
        <v>25</v>
      </c>
      <c r="E3652" s="18" t="inlineStr">
        <is>
          <t>R</t>
        </is>
      </c>
      <c r="F3652" s="18" t="n"/>
      <c r="G3652" s="9" t="n">
        <v>131.9383333333333</v>
      </c>
      <c r="H3652" s="9" t="n">
        <v>131.9383333333333</v>
      </c>
      <c r="I3652" s="9" t="inlineStr">
        <is>
          <t>Depth (no MLB IP)</t>
        </is>
      </c>
      <c r="J3652" s="18" t="inlineStr">
        <is>
          <t>Opening Day</t>
        </is>
      </c>
      <c r="K3652" s="11">
        <f>IFERROR(INDEX(Roles!$B$17:$B$20,MATCH(J3652,Roles!$A$17:$A$20,0)),1)</f>
        <v/>
      </c>
      <c r="L3652" s="19" t="n">
        <v>1</v>
      </c>
      <c r="M3652" s="11" t="n">
        <v>1</v>
      </c>
      <c r="N3652" s="19" t="n"/>
      <c r="O3652" s="19" t="n"/>
      <c r="P3652" s="19" t="n"/>
      <c r="Q3652" s="19" t="n"/>
      <c r="R3652" s="19" t="n"/>
      <c r="S3652" s="19" t="n"/>
      <c r="T3652" s="19" t="n"/>
      <c r="U3652" s="19" t="n"/>
      <c r="V3652" s="19" t="n"/>
      <c r="W3652" s="19" t="n"/>
      <c r="X3652" s="19" t="n"/>
      <c r="Y3652" s="19" t="n">
        <v>1</v>
      </c>
      <c r="Z3652" s="13">
        <f>SUMPRODUCT(N3652:Y3652,$N$2:$Y$2)*$K3652*$L3652*$M3652</f>
        <v/>
      </c>
      <c r="AA3652" s="14">
        <f>SUM(N3652:Y3652)</f>
        <v/>
      </c>
      <c r="AB3652" s="13">
        <f>SUMPRODUCT(N3652:Y3652,$N$3:$Y$3)*$K3652*$L3652*$M3652</f>
        <v/>
      </c>
      <c r="AC3652" s="13">
        <f>SUMPRODUCT(N3652:Y3652,$N$4:$Y$4)*$K3652*$L3652*$M3652</f>
        <v/>
      </c>
      <c r="AD3652" s="15" t="n">
        <v>3</v>
      </c>
      <c r="AE3652" s="11" t="n">
        <v>1.011296296296296</v>
      </c>
      <c r="AF3652" s="16">
        <f>SUMPRODUCT(N3652:Y3652,$N$5:$Y$5)*$K3652*$L3652*$M3652</f>
        <v/>
      </c>
      <c r="AG3652" s="16">
        <f>SUMPRODUCT(N3652:Y3652,$N$6:$Y$6)*$K3652*$L3652*$M3652</f>
        <v/>
      </c>
      <c r="AH3652" s="20" t="n"/>
    </row>
    <row r="3653">
      <c r="A3653" s="9" t="n">
        <v>595928</v>
      </c>
      <c r="B3653" s="9" t="inlineStr">
        <is>
          <t>John Curtiss</t>
        </is>
      </c>
      <c r="C3653" s="9" t="inlineStr">
        <is>
          <t>ARI</t>
        </is>
      </c>
      <c r="D3653" s="9" t="n">
        <v>34</v>
      </c>
      <c r="E3653" s="18" t="inlineStr">
        <is>
          <t>R</t>
        </is>
      </c>
      <c r="F3653" s="18" t="n"/>
      <c r="G3653" s="9" t="n">
        <v>141</v>
      </c>
      <c r="H3653" s="9" t="n">
        <v>234</v>
      </c>
      <c r="I3653" s="9" t="inlineStr">
        <is>
          <t>Bullpen Depth Arm</t>
        </is>
      </c>
      <c r="J3653" s="18" t="inlineStr">
        <is>
          <t>Opening Day</t>
        </is>
      </c>
      <c r="K3653" s="11">
        <f>IFERROR(INDEX(Roles!$B$17:$B$20,MATCH(J3653,Roles!$A$17:$A$20,0)),1)</f>
        <v/>
      </c>
      <c r="L3653" s="19" t="n">
        <v>1</v>
      </c>
      <c r="M3653" s="11" t="n">
        <v>1</v>
      </c>
      <c r="N3653" s="19" t="n"/>
      <c r="O3653" s="19" t="n"/>
      <c r="P3653" s="19" t="n"/>
      <c r="Q3653" s="19" t="n"/>
      <c r="R3653" s="19" t="n"/>
      <c r="S3653" s="19" t="n"/>
      <c r="T3653" s="19" t="n"/>
      <c r="U3653" s="19" t="n"/>
      <c r="V3653" s="19" t="n"/>
      <c r="W3653" s="19" t="n">
        <v>1</v>
      </c>
      <c r="X3653" s="19" t="n"/>
      <c r="Y3653" s="19" t="n"/>
      <c r="Z3653" s="13">
        <f>SUMPRODUCT(N3653:Y3653,$N$2:$Y$2)*$K3653*$L3653*$M3653</f>
        <v/>
      </c>
      <c r="AA3653" s="14">
        <f>SUM(N3653:Y3653)</f>
        <v/>
      </c>
      <c r="AB3653" s="13">
        <f>SUMPRODUCT(N3653:Y3653,$N$3:$Y$3)*$K3653*$L3653*$M3653</f>
        <v/>
      </c>
      <c r="AC3653" s="13">
        <f>SUMPRODUCT(N3653:Y3653,$N$4:$Y$4)*$K3653*$L3653*$M3653</f>
        <v/>
      </c>
      <c r="AD3653" s="15" t="n">
        <v>18.26666666666667</v>
      </c>
      <c r="AE3653" s="11" t="n">
        <v>1.201859868526535</v>
      </c>
      <c r="AF3653" s="16">
        <f>SUMPRODUCT(N3653:Y3653,$N$5:$Y$5)*$K3653*$L3653*$M3653</f>
        <v/>
      </c>
      <c r="AG3653" s="16">
        <f>SUMPRODUCT(N3653:Y3653,$N$6:$Y$6)*$K3653*$L3653*$M3653</f>
        <v/>
      </c>
      <c r="AH3653" s="20" t="n"/>
    </row>
    <row r="3654">
      <c r="A3654" s="9" t="n">
        <v>694356</v>
      </c>
      <c r="B3654" s="9" t="inlineStr">
        <is>
          <t>Nick Garcia</t>
        </is>
      </c>
      <c r="C3654" s="9" t="inlineStr">
        <is>
          <t>SEA</t>
        </is>
      </c>
      <c r="D3654" s="9" t="n">
        <v>25</v>
      </c>
      <c r="E3654" s="18" t="inlineStr">
        <is>
          <t>R</t>
        </is>
      </c>
      <c r="F3654" s="18" t="n"/>
      <c r="G3654" s="9" t="n">
        <v>132.44</v>
      </c>
      <c r="H3654" s="9" t="n">
        <v>132.44</v>
      </c>
      <c r="I3654" s="9" t="inlineStr">
        <is>
          <t>Depth (no MLB IP)</t>
        </is>
      </c>
      <c r="J3654" s="18" t="inlineStr">
        <is>
          <t>Opening Day</t>
        </is>
      </c>
      <c r="K3654" s="11">
        <f>IFERROR(INDEX(Roles!$B$17:$B$20,MATCH(J3654,Roles!$A$17:$A$20,0)),1)</f>
        <v/>
      </c>
      <c r="L3654" s="19" t="n">
        <v>1</v>
      </c>
      <c r="M3654" s="11" t="n">
        <v>1</v>
      </c>
      <c r="N3654" s="19" t="n"/>
      <c r="O3654" s="19" t="n"/>
      <c r="P3654" s="19" t="n"/>
      <c r="Q3654" s="19" t="n"/>
      <c r="R3654" s="19" t="n"/>
      <c r="S3654" s="19" t="n"/>
      <c r="T3654" s="19" t="n"/>
      <c r="U3654" s="19" t="n"/>
      <c r="V3654" s="19" t="n"/>
      <c r="W3654" s="19" t="n"/>
      <c r="X3654" s="19" t="n"/>
      <c r="Y3654" s="19" t="n">
        <v>1</v>
      </c>
      <c r="Z3654" s="13">
        <f>SUMPRODUCT(N3654:Y3654,$N$2:$Y$2)*$K3654*$L3654*$M3654</f>
        <v/>
      </c>
      <c r="AA3654" s="14">
        <f>SUM(N3654:Y3654)</f>
        <v/>
      </c>
      <c r="AB3654" s="13">
        <f>SUMPRODUCT(N3654:Y3654,$N$3:$Y$3)*$K3654*$L3654*$M3654</f>
        <v/>
      </c>
      <c r="AC3654" s="13">
        <f>SUMPRODUCT(N3654:Y3654,$N$4:$Y$4)*$K3654*$L3654*$M3654</f>
        <v/>
      </c>
      <c r="AD3654" s="15" t="n">
        <v>3</v>
      </c>
      <c r="AE3654" s="11" t="n">
        <v>1.011296296296296</v>
      </c>
      <c r="AF3654" s="16">
        <f>SUMPRODUCT(N3654:Y3654,$N$5:$Y$5)*$K3654*$L3654*$M3654</f>
        <v/>
      </c>
      <c r="AG3654" s="16">
        <f>SUMPRODUCT(N3654:Y3654,$N$6:$Y$6)*$K3654*$L3654*$M3654</f>
        <v/>
      </c>
      <c r="AH3654" s="20" t="n"/>
    </row>
    <row r="3655">
      <c r="A3655" s="9" t="n">
        <v>681066</v>
      </c>
      <c r="B3655" s="9" t="inlineStr">
        <is>
          <t>Ky Bush</t>
        </is>
      </c>
      <c r="C3655" s="9" t="inlineStr">
        <is>
          <t>CWS</t>
        </is>
      </c>
      <c r="D3655" s="9" t="n">
        <v>27</v>
      </c>
      <c r="E3655" s="18" t="inlineStr">
        <is>
          <t>L</t>
        </is>
      </c>
      <c r="F3655" s="18" t="n"/>
      <c r="G3655" s="9" t="n">
        <v>87</v>
      </c>
      <c r="H3655" s="9" t="n">
        <v>87</v>
      </c>
      <c r="I3655" s="9" t="inlineStr">
        <is>
          <t>Swing Arm / Long Relief</t>
        </is>
      </c>
      <c r="J3655" s="18" t="inlineStr">
        <is>
          <t>Opening Day</t>
        </is>
      </c>
      <c r="K3655" s="11">
        <f>IFERROR(INDEX(Roles!$B$17:$B$20,MATCH(J3655,Roles!$A$17:$A$20,0)),1)</f>
        <v/>
      </c>
      <c r="L3655" s="19" t="n">
        <v>1</v>
      </c>
      <c r="M3655" s="11" t="n">
        <v>1</v>
      </c>
      <c r="N3655" s="19" t="n"/>
      <c r="O3655" s="19" t="n"/>
      <c r="P3655" s="19" t="n"/>
      <c r="Q3655" s="19" t="n"/>
      <c r="R3655" s="19" t="n">
        <v>0.5</v>
      </c>
      <c r="S3655" s="19" t="n"/>
      <c r="T3655" s="19" t="n"/>
      <c r="U3655" s="19" t="n"/>
      <c r="V3655" s="19" t="n">
        <v>0.5</v>
      </c>
      <c r="W3655" s="19" t="n"/>
      <c r="X3655" s="19" t="n"/>
      <c r="Y3655" s="19" t="n"/>
      <c r="Z3655" s="13">
        <f>SUMPRODUCT(N3655:Y3655,$N$2:$Y$2)*$K3655*$L3655*$M3655</f>
        <v/>
      </c>
      <c r="AA3655" s="14">
        <f>SUM(N3655:Y3655)</f>
        <v/>
      </c>
      <c r="AB3655" s="13">
        <f>SUMPRODUCT(N3655:Y3655,$N$3:$Y$3)*$K3655*$L3655*$M3655</f>
        <v/>
      </c>
      <c r="AC3655" s="13">
        <f>SUMPRODUCT(N3655:Y3655,$N$4:$Y$4)*$K3655*$L3655*$M3655</f>
        <v/>
      </c>
      <c r="AD3655" s="15" t="n">
        <v>10.53333333333333</v>
      </c>
      <c r="AE3655" s="11" t="n">
        <v>3.140710382513661</v>
      </c>
      <c r="AF3655" s="16">
        <f>SUMPRODUCT(N3655:Y3655,$N$5:$Y$5)*$K3655*$L3655*$M3655</f>
        <v/>
      </c>
      <c r="AG3655" s="16">
        <f>SUMPRODUCT(N3655:Y3655,$N$6:$Y$6)*$K3655*$L3655*$M3655</f>
        <v/>
      </c>
      <c r="AH3655" s="20" t="n"/>
    </row>
    <row r="3656">
      <c r="A3656" s="9" t="n">
        <v>690626</v>
      </c>
      <c r="B3656" s="9" t="inlineStr">
        <is>
          <t>Dylan DeLucia</t>
        </is>
      </c>
      <c r="C3656" s="9" t="inlineStr">
        <is>
          <t>CLE</t>
        </is>
      </c>
      <c r="D3656" s="9" t="n">
        <v>25</v>
      </c>
      <c r="E3656" s="18" t="inlineStr">
        <is>
          <t>R</t>
        </is>
      </c>
      <c r="F3656" s="18" t="n"/>
      <c r="G3656" s="9" t="n">
        <v>132.9416666666667</v>
      </c>
      <c r="H3656" s="9" t="n">
        <v>132.9416666666667</v>
      </c>
      <c r="I3656" s="9" t="inlineStr">
        <is>
          <t>Depth (no MLB IP)</t>
        </is>
      </c>
      <c r="J3656" s="18" t="inlineStr">
        <is>
          <t>Opening Day</t>
        </is>
      </c>
      <c r="K3656" s="11">
        <f>IFERROR(INDEX(Roles!$B$17:$B$20,MATCH(J3656,Roles!$A$17:$A$20,0)),1)</f>
        <v/>
      </c>
      <c r="L3656" s="19" t="n">
        <v>1</v>
      </c>
      <c r="M3656" s="11" t="n">
        <v>1</v>
      </c>
      <c r="N3656" s="19" t="n"/>
      <c r="O3656" s="19" t="n"/>
      <c r="P3656" s="19" t="n"/>
      <c r="Q3656" s="19" t="n"/>
      <c r="R3656" s="19" t="n"/>
      <c r="S3656" s="19" t="n"/>
      <c r="T3656" s="19" t="n"/>
      <c r="U3656" s="19" t="n"/>
      <c r="V3656" s="19" t="n"/>
      <c r="W3656" s="19" t="n"/>
      <c r="X3656" s="19" t="n"/>
      <c r="Y3656" s="19" t="n">
        <v>1</v>
      </c>
      <c r="Z3656" s="13">
        <f>SUMPRODUCT(N3656:Y3656,$N$2:$Y$2)*$K3656*$L3656*$M3656</f>
        <v/>
      </c>
      <c r="AA3656" s="14">
        <f>SUM(N3656:Y3656)</f>
        <v/>
      </c>
      <c r="AB3656" s="13">
        <f>SUMPRODUCT(N3656:Y3656,$N$3:$Y$3)*$K3656*$L3656*$M3656</f>
        <v/>
      </c>
      <c r="AC3656" s="13">
        <f>SUMPRODUCT(N3656:Y3656,$N$4:$Y$4)*$K3656*$L3656*$M3656</f>
        <v/>
      </c>
      <c r="AD3656" s="15" t="n">
        <v>3</v>
      </c>
      <c r="AE3656" s="11" t="n">
        <v>1.011296296296296</v>
      </c>
      <c r="AF3656" s="16">
        <f>SUMPRODUCT(N3656:Y3656,$N$5:$Y$5)*$K3656*$L3656*$M3656</f>
        <v/>
      </c>
      <c r="AG3656" s="16">
        <f>SUMPRODUCT(N3656:Y3656,$N$6:$Y$6)*$K3656*$L3656*$M3656</f>
        <v/>
      </c>
      <c r="AH3656" s="20" t="n"/>
    </row>
    <row r="3657">
      <c r="A3657" s="9" t="n">
        <v>664028</v>
      </c>
      <c r="B3657" s="9" t="inlineStr">
        <is>
          <t>Brett Kennedy</t>
        </is>
      </c>
      <c r="C3657" s="9" t="inlineStr">
        <is>
          <t>CIN</t>
        </is>
      </c>
      <c r="D3657" s="9" t="n">
        <v>32</v>
      </c>
      <c r="E3657" s="18" t="inlineStr">
        <is>
          <t>R</t>
        </is>
      </c>
      <c r="F3657" s="18" t="n"/>
      <c r="G3657" s="9" t="n">
        <v>83</v>
      </c>
      <c r="H3657" s="9" t="n">
        <v>83</v>
      </c>
      <c r="I3657" s="9" t="inlineStr">
        <is>
          <t>Depth (no MLB IP)</t>
        </is>
      </c>
      <c r="J3657" s="18" t="inlineStr">
        <is>
          <t>Opening Day</t>
        </is>
      </c>
      <c r="K3657" s="11">
        <f>IFERROR(INDEX(Roles!$B$17:$B$20,MATCH(J3657,Roles!$A$17:$A$20,0)),1)</f>
        <v/>
      </c>
      <c r="L3657" s="19" t="n">
        <v>1</v>
      </c>
      <c r="M3657" s="11" t="n">
        <v>1</v>
      </c>
      <c r="N3657" s="19" t="n"/>
      <c r="O3657" s="19" t="n"/>
      <c r="P3657" s="19" t="n"/>
      <c r="Q3657" s="19" t="n"/>
      <c r="R3657" s="19" t="n"/>
      <c r="S3657" s="19" t="n"/>
      <c r="T3657" s="19" t="n"/>
      <c r="U3657" s="19" t="n"/>
      <c r="V3657" s="19" t="n"/>
      <c r="W3657" s="19" t="n"/>
      <c r="X3657" s="19" t="n"/>
      <c r="Y3657" s="19" t="n">
        <v>1</v>
      </c>
      <c r="Z3657" s="13">
        <f>SUMPRODUCT(N3657:Y3657,$N$2:$Y$2)*$K3657*$L3657*$M3657</f>
        <v/>
      </c>
      <c r="AA3657" s="14">
        <f>SUM(N3657:Y3657)</f>
        <v/>
      </c>
      <c r="AB3657" s="13">
        <f>SUMPRODUCT(N3657:Y3657,$N$3:$Y$3)*$K3657*$L3657*$M3657</f>
        <v/>
      </c>
      <c r="AC3657" s="13">
        <f>SUMPRODUCT(N3657:Y3657,$N$4:$Y$4)*$K3657*$L3657*$M3657</f>
        <v/>
      </c>
      <c r="AD3657" s="15" t="n">
        <v>3</v>
      </c>
      <c r="AE3657" s="11" t="n">
        <v>1.011296296296296</v>
      </c>
      <c r="AF3657" s="16">
        <f>SUMPRODUCT(N3657:Y3657,$N$5:$Y$5)*$K3657*$L3657*$M3657</f>
        <v/>
      </c>
      <c r="AG3657" s="16">
        <f>SUMPRODUCT(N3657:Y3657,$N$6:$Y$6)*$K3657*$L3657*$M3657</f>
        <v/>
      </c>
      <c r="AH3657" s="20" t="n"/>
    </row>
    <row r="3658">
      <c r="A3658" s="9" t="n">
        <v>699980</v>
      </c>
      <c r="B3658" s="9" t="inlineStr">
        <is>
          <t>Preston Johnson</t>
        </is>
      </c>
      <c r="C3658" s="9" t="inlineStr">
        <is>
          <t>MIN</t>
        </is>
      </c>
      <c r="D3658" s="9" t="n">
        <v>25</v>
      </c>
      <c r="E3658" s="18" t="inlineStr">
        <is>
          <t>R</t>
        </is>
      </c>
      <c r="F3658" s="18" t="n"/>
      <c r="G3658" s="9" t="n">
        <v>133.4433333333333</v>
      </c>
      <c r="H3658" s="9" t="n">
        <v>133.4433333333333</v>
      </c>
      <c r="I3658" s="9" t="inlineStr">
        <is>
          <t>Depth (no MLB IP)</t>
        </is>
      </c>
      <c r="J3658" s="18" t="inlineStr">
        <is>
          <t>Opening Day</t>
        </is>
      </c>
      <c r="K3658" s="11">
        <f>IFERROR(INDEX(Roles!$B$17:$B$20,MATCH(J3658,Roles!$A$17:$A$20,0)),1)</f>
        <v/>
      </c>
      <c r="L3658" s="19" t="n">
        <v>1</v>
      </c>
      <c r="M3658" s="11" t="n">
        <v>1</v>
      </c>
      <c r="N3658" s="19" t="n"/>
      <c r="O3658" s="19" t="n"/>
      <c r="P3658" s="19" t="n"/>
      <c r="Q3658" s="19" t="n"/>
      <c r="R3658" s="19" t="n"/>
      <c r="S3658" s="19" t="n"/>
      <c r="T3658" s="19" t="n"/>
      <c r="U3658" s="19" t="n"/>
      <c r="V3658" s="19" t="n"/>
      <c r="W3658" s="19" t="n"/>
      <c r="X3658" s="19" t="n"/>
      <c r="Y3658" s="19" t="n">
        <v>1</v>
      </c>
      <c r="Z3658" s="13">
        <f>SUMPRODUCT(N3658:Y3658,$N$2:$Y$2)*$K3658*$L3658*$M3658</f>
        <v/>
      </c>
      <c r="AA3658" s="14">
        <f>SUM(N3658:Y3658)</f>
        <v/>
      </c>
      <c r="AB3658" s="13">
        <f>SUMPRODUCT(N3658:Y3658,$N$3:$Y$3)*$K3658*$L3658*$M3658</f>
        <v/>
      </c>
      <c r="AC3658" s="13">
        <f>SUMPRODUCT(N3658:Y3658,$N$4:$Y$4)*$K3658*$L3658*$M3658</f>
        <v/>
      </c>
      <c r="AD3658" s="15" t="n">
        <v>3</v>
      </c>
      <c r="AE3658" s="11" t="n">
        <v>1.011296296296296</v>
      </c>
      <c r="AF3658" s="16">
        <f>SUMPRODUCT(N3658:Y3658,$N$5:$Y$5)*$K3658*$L3658*$M3658</f>
        <v/>
      </c>
      <c r="AG3658" s="16">
        <f>SUMPRODUCT(N3658:Y3658,$N$6:$Y$6)*$K3658*$L3658*$M3658</f>
        <v/>
      </c>
      <c r="AH3658" s="20" t="n"/>
    </row>
    <row r="3659">
      <c r="A3659" s="9" t="n">
        <v>527054</v>
      </c>
      <c r="B3659" s="9" t="inlineStr">
        <is>
          <t>Julio Teheran</t>
        </is>
      </c>
      <c r="C3659" s="9" t="inlineStr">
        <is>
          <t>MIL</t>
        </is>
      </c>
      <c r="D3659" s="9" t="n">
        <v>36</v>
      </c>
      <c r="E3659" s="18" t="inlineStr">
        <is>
          <t>R</t>
        </is>
      </c>
      <c r="F3659" s="18" t="n"/>
      <c r="G3659" s="9" t="n">
        <v>16</v>
      </c>
      <c r="H3659" s="9" t="n">
        <v>304</v>
      </c>
      <c r="I3659" s="9" t="inlineStr">
        <is>
          <t>Depth (no MLB IP)</t>
        </is>
      </c>
      <c r="J3659" s="18" t="inlineStr">
        <is>
          <t>Opening Day</t>
        </is>
      </c>
      <c r="K3659" s="11">
        <f>IFERROR(INDEX(Roles!$B$17:$B$20,MATCH(J3659,Roles!$A$17:$A$20,0)),1)</f>
        <v/>
      </c>
      <c r="L3659" s="19" t="n">
        <v>1</v>
      </c>
      <c r="M3659" s="11" t="n">
        <v>1</v>
      </c>
      <c r="N3659" s="19" t="n"/>
      <c r="O3659" s="19" t="n"/>
      <c r="P3659" s="19" t="n"/>
      <c r="Q3659" s="19" t="n"/>
      <c r="R3659" s="19" t="n"/>
      <c r="S3659" s="19" t="n"/>
      <c r="T3659" s="19" t="n"/>
      <c r="U3659" s="19" t="n"/>
      <c r="V3659" s="19" t="n"/>
      <c r="W3659" s="19" t="n"/>
      <c r="X3659" s="19" t="n"/>
      <c r="Y3659" s="19" t="n">
        <v>1</v>
      </c>
      <c r="Z3659" s="13">
        <f>SUMPRODUCT(N3659:Y3659,$N$2:$Y$2)*$K3659*$L3659*$M3659</f>
        <v/>
      </c>
      <c r="AA3659" s="14">
        <f>SUM(N3659:Y3659)</f>
        <v/>
      </c>
      <c r="AB3659" s="13">
        <f>SUMPRODUCT(N3659:Y3659,$N$3:$Y$3)*$K3659*$L3659*$M3659</f>
        <v/>
      </c>
      <c r="AC3659" s="13">
        <f>SUMPRODUCT(N3659:Y3659,$N$4:$Y$4)*$K3659*$L3659*$M3659</f>
        <v/>
      </c>
      <c r="AD3659" s="15" t="n">
        <v>1.8</v>
      </c>
      <c r="AE3659" s="11" t="n">
        <v>1.563086419753086</v>
      </c>
      <c r="AF3659" s="16">
        <f>SUMPRODUCT(N3659:Y3659,$N$5:$Y$5)*$K3659*$L3659*$M3659</f>
        <v/>
      </c>
      <c r="AG3659" s="16">
        <f>SUMPRODUCT(N3659:Y3659,$N$6:$Y$6)*$K3659*$L3659*$M3659</f>
        <v/>
      </c>
      <c r="AH3659" s="20" t="n"/>
    </row>
    <row r="3660">
      <c r="A3660" s="9" t="n">
        <v>702094</v>
      </c>
      <c r="B3660" s="9" t="inlineStr">
        <is>
          <t>Brett Gillis</t>
        </is>
      </c>
      <c r="C3660" s="9" t="inlineStr">
        <is>
          <t>HOU</t>
        </is>
      </c>
      <c r="D3660" s="9" t="n">
        <v>25</v>
      </c>
      <c r="E3660" s="18" t="inlineStr">
        <is>
          <t>R</t>
        </is>
      </c>
      <c r="F3660" s="18" t="n"/>
      <c r="G3660" s="9" t="n">
        <v>133.945</v>
      </c>
      <c r="H3660" s="9" t="n">
        <v>133.945</v>
      </c>
      <c r="I3660" s="9" t="inlineStr">
        <is>
          <t>Depth (no MLB IP)</t>
        </is>
      </c>
      <c r="J3660" s="18" t="inlineStr">
        <is>
          <t>Opening Day</t>
        </is>
      </c>
      <c r="K3660" s="11">
        <f>IFERROR(INDEX(Roles!$B$17:$B$20,MATCH(J3660,Roles!$A$17:$A$20,0)),1)</f>
        <v/>
      </c>
      <c r="L3660" s="19" t="n">
        <v>1</v>
      </c>
      <c r="M3660" s="11" t="n">
        <v>1</v>
      </c>
      <c r="N3660" s="19" t="n"/>
      <c r="O3660" s="19" t="n"/>
      <c r="P3660" s="19" t="n"/>
      <c r="Q3660" s="19" t="n"/>
      <c r="R3660" s="19" t="n"/>
      <c r="S3660" s="19" t="n"/>
      <c r="T3660" s="19" t="n"/>
      <c r="U3660" s="19" t="n"/>
      <c r="V3660" s="19" t="n"/>
      <c r="W3660" s="19" t="n"/>
      <c r="X3660" s="19" t="n"/>
      <c r="Y3660" s="19" t="n">
        <v>1</v>
      </c>
      <c r="Z3660" s="13">
        <f>SUMPRODUCT(N3660:Y3660,$N$2:$Y$2)*$K3660*$L3660*$M3660</f>
        <v/>
      </c>
      <c r="AA3660" s="14">
        <f>SUM(N3660:Y3660)</f>
        <v/>
      </c>
      <c r="AB3660" s="13">
        <f>SUMPRODUCT(N3660:Y3660,$N$3:$Y$3)*$K3660*$L3660*$M3660</f>
        <v/>
      </c>
      <c r="AC3660" s="13">
        <f>SUMPRODUCT(N3660:Y3660,$N$4:$Y$4)*$K3660*$L3660*$M3660</f>
        <v/>
      </c>
      <c r="AD3660" s="15" t="n">
        <v>3</v>
      </c>
      <c r="AE3660" s="11" t="n">
        <v>1.011296296296296</v>
      </c>
      <c r="AF3660" s="16">
        <f>SUMPRODUCT(N3660:Y3660,$N$5:$Y$5)*$K3660*$L3660*$M3660</f>
        <v/>
      </c>
      <c r="AG3660" s="16">
        <f>SUMPRODUCT(N3660:Y3660,$N$6:$Y$6)*$K3660*$L3660*$M3660</f>
        <v/>
      </c>
      <c r="AH3660" s="20" t="n"/>
    </row>
    <row r="3661">
      <c r="A3661" s="9" t="n">
        <v>666711</v>
      </c>
      <c r="B3661" s="9" t="inlineStr">
        <is>
          <t>Joel Peguero</t>
        </is>
      </c>
      <c r="C3661" s="9" t="inlineStr">
        <is>
          <t>SF</t>
        </is>
      </c>
      <c r="D3661" s="9" t="n">
        <v>30</v>
      </c>
      <c r="E3661" s="18" t="inlineStr">
        <is>
          <t>R</t>
        </is>
      </c>
      <c r="F3661" s="18" t="n"/>
      <c r="G3661" s="9" t="n">
        <v>48</v>
      </c>
      <c r="H3661" s="9" t="n">
        <v>134</v>
      </c>
      <c r="I3661" s="9" t="inlineStr">
        <is>
          <t>Bullpen Depth Arm</t>
        </is>
      </c>
      <c r="J3661" s="18" t="inlineStr">
        <is>
          <t>Opening Day</t>
        </is>
      </c>
      <c r="K3661" s="11">
        <f>IFERROR(INDEX(Roles!$B$17:$B$20,MATCH(J3661,Roles!$A$17:$A$20,0)),1)</f>
        <v/>
      </c>
      <c r="L3661" s="19" t="n">
        <v>1</v>
      </c>
      <c r="M3661" s="11" t="n">
        <v>1</v>
      </c>
      <c r="N3661" s="19" t="n"/>
      <c r="O3661" s="19" t="n"/>
      <c r="P3661" s="19" t="n"/>
      <c r="Q3661" s="19" t="n"/>
      <c r="R3661" s="19" t="n"/>
      <c r="S3661" s="19" t="n"/>
      <c r="T3661" s="19" t="n"/>
      <c r="U3661" s="19" t="n"/>
      <c r="V3661" s="19" t="n">
        <v>0.15</v>
      </c>
      <c r="W3661" s="19" t="n">
        <v>0.85</v>
      </c>
      <c r="X3661" s="19" t="n"/>
      <c r="Y3661" s="19" t="n"/>
      <c r="Z3661" s="13">
        <f>SUMPRODUCT(N3661:Y3661,$N$2:$Y$2)*$K3661*$L3661*$M3661</f>
        <v/>
      </c>
      <c r="AA3661" s="14">
        <f>SUM(N3661:Y3661)</f>
        <v/>
      </c>
      <c r="AB3661" s="13">
        <f>SUMPRODUCT(N3661:Y3661,$N$3:$Y$3)*$K3661*$L3661*$M3661</f>
        <v/>
      </c>
      <c r="AC3661" s="13">
        <f>SUMPRODUCT(N3661:Y3661,$N$4:$Y$4)*$K3661*$L3661*$M3661</f>
        <v/>
      </c>
      <c r="AD3661" s="15" t="n">
        <v>13.70666666666667</v>
      </c>
      <c r="AE3661" s="11" t="n">
        <v>1.192883585918412</v>
      </c>
      <c r="AF3661" s="16">
        <f>SUMPRODUCT(N3661:Y3661,$N$5:$Y$5)*$K3661*$L3661*$M3661</f>
        <v/>
      </c>
      <c r="AG3661" s="16">
        <f>SUMPRODUCT(N3661:Y3661,$N$6:$Y$6)*$K3661*$L3661*$M3661</f>
        <v/>
      </c>
      <c r="AH3661" s="20" t="n"/>
    </row>
    <row r="3662">
      <c r="A3662" s="9" t="n">
        <v>670241</v>
      </c>
      <c r="B3662" s="9" t="inlineStr">
        <is>
          <t>Darius Vines</t>
        </is>
      </c>
      <c r="C3662" s="9" t="inlineStr">
        <is>
          <t>ATL</t>
        </is>
      </c>
      <c r="D3662" s="9" t="n">
        <v>29</v>
      </c>
      <c r="E3662" s="18" t="inlineStr">
        <is>
          <t>R</t>
        </is>
      </c>
      <c r="F3662" s="18" t="n"/>
      <c r="G3662" s="9" t="n">
        <v>66</v>
      </c>
      <c r="H3662" s="9" t="n">
        <v>150</v>
      </c>
      <c r="I3662" s="9" t="inlineStr">
        <is>
          <t>Depth (no MLB IP)</t>
        </is>
      </c>
      <c r="J3662" s="18" t="inlineStr">
        <is>
          <t>Opening Day</t>
        </is>
      </c>
      <c r="K3662" s="11">
        <f>IFERROR(INDEX(Roles!$B$17:$B$20,MATCH(J3662,Roles!$A$17:$A$20,0)),1)</f>
        <v/>
      </c>
      <c r="L3662" s="19" t="n">
        <v>1</v>
      </c>
      <c r="M3662" s="11" t="n">
        <v>1</v>
      </c>
      <c r="N3662" s="19" t="n"/>
      <c r="O3662" s="19" t="n"/>
      <c r="P3662" s="19" t="n"/>
      <c r="Q3662" s="19" t="n"/>
      <c r="R3662" s="19" t="n"/>
      <c r="S3662" s="19" t="n"/>
      <c r="T3662" s="19" t="n"/>
      <c r="U3662" s="19" t="n"/>
      <c r="V3662" s="19" t="n"/>
      <c r="W3662" s="19" t="n"/>
      <c r="X3662" s="19" t="n"/>
      <c r="Y3662" s="19" t="n">
        <v>1</v>
      </c>
      <c r="Z3662" s="13">
        <f>SUMPRODUCT(N3662:Y3662,$N$2:$Y$2)*$K3662*$L3662*$M3662</f>
        <v/>
      </c>
      <c r="AA3662" s="14">
        <f>SUM(N3662:Y3662)</f>
        <v/>
      </c>
      <c r="AB3662" s="13">
        <f>SUMPRODUCT(N3662:Y3662,$N$3:$Y$3)*$K3662*$L3662*$M3662</f>
        <v/>
      </c>
      <c r="AC3662" s="13">
        <f>SUMPRODUCT(N3662:Y3662,$N$4:$Y$4)*$K3662*$L3662*$M3662</f>
        <v/>
      </c>
      <c r="AD3662" s="15" t="n">
        <v>3.6</v>
      </c>
      <c r="AE3662" s="11" t="n">
        <v>1.813086419753086</v>
      </c>
      <c r="AF3662" s="16">
        <f>SUMPRODUCT(N3662:Y3662,$N$5:$Y$5)*$K3662*$L3662*$M3662</f>
        <v/>
      </c>
      <c r="AG3662" s="16">
        <f>SUMPRODUCT(N3662:Y3662,$N$6:$Y$6)*$K3662*$L3662*$M3662</f>
        <v/>
      </c>
      <c r="AH3662" s="20" t="n"/>
    </row>
    <row r="3663">
      <c r="A3663" s="9" t="n">
        <v>446372</v>
      </c>
      <c r="B3663" s="9" t="inlineStr">
        <is>
          <t>Corey Kluber</t>
        </is>
      </c>
      <c r="C3663" s="9" t="inlineStr">
        <is>
          <t>BOS</t>
        </is>
      </c>
      <c r="D3663" s="9" t="n">
        <v>41</v>
      </c>
      <c r="E3663" s="18" t="inlineStr">
        <is>
          <t>R</t>
        </is>
      </c>
      <c r="F3663" s="18" t="n"/>
      <c r="G3663" s="9" t="n">
        <v>257</v>
      </c>
      <c r="H3663" s="9" t="n">
        <v>946</v>
      </c>
      <c r="I3663" s="9" t="inlineStr">
        <is>
          <t>Depth (no MLB IP)</t>
        </is>
      </c>
      <c r="J3663" s="18" t="inlineStr">
        <is>
          <t>Opening Day</t>
        </is>
      </c>
      <c r="K3663" s="11">
        <f>IFERROR(INDEX(Roles!$B$17:$B$20,MATCH(J3663,Roles!$A$17:$A$20,0)),1)</f>
        <v/>
      </c>
      <c r="L3663" s="19" t="n">
        <v>1</v>
      </c>
      <c r="M3663" s="11" t="n">
        <v>1</v>
      </c>
      <c r="N3663" s="19" t="n"/>
      <c r="O3663" s="19" t="n"/>
      <c r="P3663" s="19" t="n"/>
      <c r="Q3663" s="19" t="n"/>
      <c r="R3663" s="19" t="n"/>
      <c r="S3663" s="19" t="n"/>
      <c r="T3663" s="19" t="n"/>
      <c r="U3663" s="19" t="n"/>
      <c r="V3663" s="19" t="n"/>
      <c r="W3663" s="19" t="n"/>
      <c r="X3663" s="19" t="n"/>
      <c r="Y3663" s="19" t="n">
        <v>1</v>
      </c>
      <c r="Z3663" s="13">
        <f>SUMPRODUCT(N3663:Y3663,$N$2:$Y$2)*$K3663*$L3663*$M3663</f>
        <v/>
      </c>
      <c r="AA3663" s="14">
        <f>SUM(N3663:Y3663)</f>
        <v/>
      </c>
      <c r="AB3663" s="13">
        <f>SUMPRODUCT(N3663:Y3663,$N$3:$Y$3)*$K3663*$L3663*$M3663</f>
        <v/>
      </c>
      <c r="AC3663" s="13">
        <f>SUMPRODUCT(N3663:Y3663,$N$4:$Y$4)*$K3663*$L3663*$M3663</f>
        <v/>
      </c>
      <c r="AD3663" s="15" t="n">
        <v>3</v>
      </c>
      <c r="AE3663" s="11" t="n">
        <v>1.011296296296296</v>
      </c>
      <c r="AF3663" s="16">
        <f>SUMPRODUCT(N3663:Y3663,$N$5:$Y$5)*$K3663*$L3663*$M3663</f>
        <v/>
      </c>
      <c r="AG3663" s="16">
        <f>SUMPRODUCT(N3663:Y3663,$N$6:$Y$6)*$K3663*$L3663*$M3663</f>
        <v/>
      </c>
      <c r="AH3663" s="20" t="n"/>
    </row>
    <row r="3664">
      <c r="A3664" s="9" t="n">
        <v>674175</v>
      </c>
      <c r="B3664" s="9" t="inlineStr">
        <is>
          <t>Houston Roth</t>
        </is>
      </c>
      <c r="C3664" s="9" t="inlineStr">
        <is>
          <t>SEA</t>
        </is>
      </c>
      <c r="D3664" s="9" t="n">
        <v>25</v>
      </c>
      <c r="E3664" s="18" t="inlineStr">
        <is>
          <t>R</t>
        </is>
      </c>
      <c r="F3664" s="18" t="n"/>
      <c r="G3664" s="9" t="n">
        <v>134.0166666666667</v>
      </c>
      <c r="H3664" s="9" t="n">
        <v>134.0166666666667</v>
      </c>
      <c r="I3664" s="9" t="inlineStr">
        <is>
          <t>Depth (no MLB IP)</t>
        </is>
      </c>
      <c r="J3664" s="18" t="inlineStr">
        <is>
          <t>Opening Day</t>
        </is>
      </c>
      <c r="K3664" s="11">
        <f>IFERROR(INDEX(Roles!$B$17:$B$20,MATCH(J3664,Roles!$A$17:$A$20,0)),1)</f>
        <v/>
      </c>
      <c r="L3664" s="19" t="n">
        <v>1</v>
      </c>
      <c r="M3664" s="11" t="n">
        <v>1</v>
      </c>
      <c r="N3664" s="19" t="n"/>
      <c r="O3664" s="19" t="n"/>
      <c r="P3664" s="19" t="n"/>
      <c r="Q3664" s="19" t="n"/>
      <c r="R3664" s="19" t="n"/>
      <c r="S3664" s="19" t="n"/>
      <c r="T3664" s="19" t="n"/>
      <c r="U3664" s="19" t="n"/>
      <c r="V3664" s="19" t="n"/>
      <c r="W3664" s="19" t="n"/>
      <c r="X3664" s="19" t="n"/>
      <c r="Y3664" s="19" t="n">
        <v>1</v>
      </c>
      <c r="Z3664" s="13">
        <f>SUMPRODUCT(N3664:Y3664,$N$2:$Y$2)*$K3664*$L3664*$M3664</f>
        <v/>
      </c>
      <c r="AA3664" s="14">
        <f>SUM(N3664:Y3664)</f>
        <v/>
      </c>
      <c r="AB3664" s="13">
        <f>SUMPRODUCT(N3664:Y3664,$N$3:$Y$3)*$K3664*$L3664*$M3664</f>
        <v/>
      </c>
      <c r="AC3664" s="13">
        <f>SUMPRODUCT(N3664:Y3664,$N$4:$Y$4)*$K3664*$L3664*$M3664</f>
        <v/>
      </c>
      <c r="AD3664" s="15" t="n">
        <v>3</v>
      </c>
      <c r="AE3664" s="11" t="n">
        <v>1.011296296296296</v>
      </c>
      <c r="AF3664" s="16">
        <f>SUMPRODUCT(N3664:Y3664,$N$5:$Y$5)*$K3664*$L3664*$M3664</f>
        <v/>
      </c>
      <c r="AG3664" s="16">
        <f>SUMPRODUCT(N3664:Y3664,$N$6:$Y$6)*$K3664*$L3664*$M3664</f>
        <v/>
      </c>
      <c r="AH3664" s="20" t="n"/>
    </row>
    <row r="3665">
      <c r="A3665" s="9" t="n">
        <v>694813</v>
      </c>
      <c r="B3665" s="9" t="inlineStr">
        <is>
          <t>Gavin Stone</t>
        </is>
      </c>
      <c r="C3665" s="9" t="inlineStr">
        <is>
          <t>LAD</t>
        </is>
      </c>
      <c r="D3665" s="9" t="n">
        <v>28</v>
      </c>
      <c r="E3665" s="18" t="inlineStr">
        <is>
          <t>R</t>
        </is>
      </c>
      <c r="F3665" s="18" t="n"/>
      <c r="G3665" s="9" t="n">
        <v>580</v>
      </c>
      <c r="H3665" s="9" t="n">
        <v>732</v>
      </c>
      <c r="I3665" s="9" t="inlineStr">
        <is>
          <t>Bullpen Depth Arm</t>
        </is>
      </c>
      <c r="J3665" s="18" t="inlineStr">
        <is>
          <t>Opening Day</t>
        </is>
      </c>
      <c r="K3665" s="11">
        <f>IFERROR(INDEX(Roles!$B$17:$B$20,MATCH(J3665,Roles!$A$17:$A$20,0)),1)</f>
        <v/>
      </c>
      <c r="L3665" s="19" t="n">
        <v>1</v>
      </c>
      <c r="M3665" s="11" t="n">
        <v>1</v>
      </c>
      <c r="N3665" s="19" t="n"/>
      <c r="O3665" s="19" t="n"/>
      <c r="P3665" s="19" t="n"/>
      <c r="Q3665" s="19" t="n"/>
      <c r="R3665" s="19" t="n"/>
      <c r="S3665" s="19" t="n"/>
      <c r="T3665" s="19" t="n"/>
      <c r="U3665" s="19" t="n"/>
      <c r="V3665" s="19" t="n"/>
      <c r="W3665" s="19" t="n">
        <v>0.5</v>
      </c>
      <c r="X3665" s="19" t="n"/>
      <c r="Y3665" s="19" t="n">
        <v>0.5</v>
      </c>
      <c r="Z3665" s="13">
        <f>SUMPRODUCT(N3665:Y3665,$N$2:$Y$2)*$K3665*$L3665*$M3665</f>
        <v/>
      </c>
      <c r="AA3665" s="14">
        <f>SUM(N3665:Y3665)</f>
        <v/>
      </c>
      <c r="AB3665" s="13">
        <f>SUMPRODUCT(N3665:Y3665,$N$3:$Y$3)*$K3665*$L3665*$M3665</f>
        <v/>
      </c>
      <c r="AC3665" s="13">
        <f>SUMPRODUCT(N3665:Y3665,$N$4:$Y$4)*$K3665*$L3665*$M3665</f>
        <v/>
      </c>
      <c r="AD3665" s="15" t="n">
        <v>20.66666666666666</v>
      </c>
      <c r="AE3665" s="11" t="n">
        <v>2.672618245951579</v>
      </c>
      <c r="AF3665" s="16">
        <f>SUMPRODUCT(N3665:Y3665,$N$5:$Y$5)*$K3665*$L3665*$M3665</f>
        <v/>
      </c>
      <c r="AG3665" s="16">
        <f>SUMPRODUCT(N3665:Y3665,$N$6:$Y$6)*$K3665*$L3665*$M3665</f>
        <v/>
      </c>
      <c r="AH3665" s="20" t="n"/>
    </row>
    <row r="3666">
      <c r="A3666" s="9" t="n">
        <v>657248</v>
      </c>
      <c r="B3666" s="9" t="inlineStr">
        <is>
          <t>Glenn Otto Jr.</t>
        </is>
      </c>
      <c r="C3666" s="9" t="inlineStr">
        <is>
          <t>TEX</t>
        </is>
      </c>
      <c r="D3666" s="9" t="n">
        <v>31</v>
      </c>
      <c r="E3666" s="18" t="inlineStr">
        <is>
          <t>R</t>
        </is>
      </c>
      <c r="F3666" s="18" t="n"/>
      <c r="G3666" s="9" t="n">
        <v>51</v>
      </c>
      <c r="H3666" s="9" t="n">
        <v>638</v>
      </c>
      <c r="I3666" s="9" t="inlineStr">
        <is>
          <t>Depth (no MLB IP)</t>
        </is>
      </c>
      <c r="J3666" s="18" t="inlineStr">
        <is>
          <t>Opening Day</t>
        </is>
      </c>
      <c r="K3666" s="11">
        <f>IFERROR(INDEX(Roles!$B$17:$B$20,MATCH(J3666,Roles!$A$17:$A$20,0)),1)</f>
        <v/>
      </c>
      <c r="L3666" s="19" t="n">
        <v>1</v>
      </c>
      <c r="M3666" s="11" t="n">
        <v>1</v>
      </c>
      <c r="N3666" s="19" t="n"/>
      <c r="O3666" s="19" t="n"/>
      <c r="P3666" s="19" t="n"/>
      <c r="Q3666" s="19" t="n"/>
      <c r="R3666" s="19" t="n"/>
      <c r="S3666" s="19" t="n"/>
      <c r="T3666" s="19" t="n"/>
      <c r="U3666" s="19" t="n"/>
      <c r="V3666" s="19" t="n"/>
      <c r="W3666" s="19" t="n"/>
      <c r="X3666" s="19" t="n"/>
      <c r="Y3666" s="19" t="n">
        <v>1</v>
      </c>
      <c r="Z3666" s="13">
        <f>SUMPRODUCT(N3666:Y3666,$N$2:$Y$2)*$K3666*$L3666*$M3666</f>
        <v/>
      </c>
      <c r="AA3666" s="14">
        <f>SUM(N3666:Y3666)</f>
        <v/>
      </c>
      <c r="AB3666" s="13">
        <f>SUMPRODUCT(N3666:Y3666,$N$3:$Y$3)*$K3666*$L3666*$M3666</f>
        <v/>
      </c>
      <c r="AC3666" s="13">
        <f>SUMPRODUCT(N3666:Y3666,$N$4:$Y$4)*$K3666*$L3666*$M3666</f>
        <v/>
      </c>
      <c r="AD3666" s="15" t="n">
        <v>3</v>
      </c>
      <c r="AE3666" s="11" t="n">
        <v>1.011296296296296</v>
      </c>
      <c r="AF3666" s="16">
        <f>SUMPRODUCT(N3666:Y3666,$N$5:$Y$5)*$K3666*$L3666*$M3666</f>
        <v/>
      </c>
      <c r="AG3666" s="16">
        <f>SUMPRODUCT(N3666:Y3666,$N$6:$Y$6)*$K3666*$L3666*$M3666</f>
        <v/>
      </c>
      <c r="AH3666" s="20" t="n"/>
    </row>
    <row r="3667">
      <c r="A3667" s="9" t="n">
        <v>683766</v>
      </c>
      <c r="B3667" s="9" t="inlineStr">
        <is>
          <t>Christian Koss</t>
        </is>
      </c>
      <c r="C3667" s="9" t="inlineStr">
        <is>
          <t>SF</t>
        </is>
      </c>
      <c r="D3667" s="9" t="n">
        <v>29</v>
      </c>
      <c r="E3667" s="18" t="inlineStr">
        <is>
          <t>R</t>
        </is>
      </c>
      <c r="F3667" s="18" t="n"/>
      <c r="G3667" s="9" t="n">
        <v>10</v>
      </c>
      <c r="H3667" s="9" t="n">
        <v>26</v>
      </c>
      <c r="I3667" s="9" t="inlineStr">
        <is>
          <t>Depth (no MLB IP)</t>
        </is>
      </c>
      <c r="J3667" s="18" t="inlineStr">
        <is>
          <t>Opening Day</t>
        </is>
      </c>
      <c r="K3667" s="11">
        <f>IFERROR(INDEX(Roles!$B$17:$B$20,MATCH(J3667,Roles!$A$17:$A$20,0)),1)</f>
        <v/>
      </c>
      <c r="L3667" s="19" t="n">
        <v>1</v>
      </c>
      <c r="M3667" s="11" t="n">
        <v>1</v>
      </c>
      <c r="N3667" s="19" t="n"/>
      <c r="O3667" s="19" t="n"/>
      <c r="P3667" s="19" t="n"/>
      <c r="Q3667" s="19" t="n"/>
      <c r="R3667" s="19" t="n"/>
      <c r="S3667" s="19" t="n"/>
      <c r="T3667" s="19" t="n"/>
      <c r="U3667" s="19" t="n"/>
      <c r="V3667" s="19" t="n"/>
      <c r="W3667" s="19" t="n"/>
      <c r="X3667" s="19" t="n"/>
      <c r="Y3667" s="19" t="n">
        <v>1</v>
      </c>
      <c r="Z3667" s="13">
        <f>SUMPRODUCT(N3667:Y3667,$N$2:$Y$2)*$K3667*$L3667*$M3667</f>
        <v/>
      </c>
      <c r="AA3667" s="14">
        <f>SUM(N3667:Y3667)</f>
        <v/>
      </c>
      <c r="AB3667" s="13">
        <f>SUMPRODUCT(N3667:Y3667,$N$3:$Y$3)*$K3667*$L3667*$M3667</f>
        <v/>
      </c>
      <c r="AC3667" s="13">
        <f>SUMPRODUCT(N3667:Y3667,$N$4:$Y$4)*$K3667*$L3667*$M3667</f>
        <v/>
      </c>
      <c r="AD3667" s="15" t="n">
        <v>2.88</v>
      </c>
      <c r="AE3667" s="11" t="n">
        <v>1.007530864197531</v>
      </c>
      <c r="AF3667" s="16">
        <f>SUMPRODUCT(N3667:Y3667,$N$5:$Y$5)*$K3667*$L3667*$M3667</f>
        <v/>
      </c>
      <c r="AG3667" s="16">
        <f>SUMPRODUCT(N3667:Y3667,$N$6:$Y$6)*$K3667*$L3667*$M3667</f>
        <v/>
      </c>
      <c r="AH3667" s="20" t="n"/>
    </row>
    <row r="3668">
      <c r="A3668" s="9" t="n">
        <v>691251</v>
      </c>
      <c r="B3668" s="9" t="inlineStr">
        <is>
          <t>Andry Lara</t>
        </is>
      </c>
      <c r="C3668" s="9" t="inlineStr">
        <is>
          <t>WSH</t>
        </is>
      </c>
      <c r="D3668" s="9" t="n">
        <v>24</v>
      </c>
      <c r="E3668" s="18" t="inlineStr">
        <is>
          <t>R</t>
        </is>
      </c>
      <c r="F3668" s="18" t="n"/>
      <c r="G3668" s="9" t="n">
        <v>78</v>
      </c>
      <c r="H3668" s="9" t="n">
        <v>78</v>
      </c>
      <c r="I3668" s="9" t="inlineStr">
        <is>
          <t>Bullpen Depth Arm</t>
        </is>
      </c>
      <c r="J3668" s="18" t="inlineStr">
        <is>
          <t>Opening Day</t>
        </is>
      </c>
      <c r="K3668" s="11">
        <f>IFERROR(INDEX(Roles!$B$17:$B$20,MATCH(J3668,Roles!$A$17:$A$20,0)),1)</f>
        <v/>
      </c>
      <c r="L3668" s="19" t="n">
        <v>1</v>
      </c>
      <c r="M3668" s="11" t="n">
        <v>1</v>
      </c>
      <c r="N3668" s="19" t="n"/>
      <c r="O3668" s="19" t="n"/>
      <c r="P3668" s="19" t="n"/>
      <c r="Q3668" s="19" t="n"/>
      <c r="R3668" s="19" t="n"/>
      <c r="S3668" s="19" t="n"/>
      <c r="T3668" s="19" t="n"/>
      <c r="U3668" s="19" t="n"/>
      <c r="V3668" s="19" t="n"/>
      <c r="W3668" s="19" t="n">
        <v>1</v>
      </c>
      <c r="X3668" s="19" t="n"/>
      <c r="Y3668" s="19" t="n"/>
      <c r="Z3668" s="13">
        <f>SUMPRODUCT(N3668:Y3668,$N$2:$Y$2)*$K3668*$L3668*$M3668</f>
        <v/>
      </c>
      <c r="AA3668" s="14">
        <f>SUM(N3668:Y3668)</f>
        <v/>
      </c>
      <c r="AB3668" s="13">
        <f>SUMPRODUCT(N3668:Y3668,$N$3:$Y$3)*$K3668*$L3668*$M3668</f>
        <v/>
      </c>
      <c r="AC3668" s="13">
        <f>SUMPRODUCT(N3668:Y3668,$N$4:$Y$4)*$K3668*$L3668*$M3668</f>
        <v/>
      </c>
      <c r="AD3668" s="15" t="n">
        <v>11.06666666666667</v>
      </c>
      <c r="AE3668" s="11" t="n">
        <v>1.332371332371332</v>
      </c>
      <c r="AF3668" s="16">
        <f>SUMPRODUCT(N3668:Y3668,$N$5:$Y$5)*$K3668*$L3668*$M3668</f>
        <v/>
      </c>
      <c r="AG3668" s="16">
        <f>SUMPRODUCT(N3668:Y3668,$N$6:$Y$6)*$K3668*$L3668*$M3668</f>
        <v/>
      </c>
      <c r="AH3668" s="20" t="n"/>
    </row>
    <row r="3669">
      <c r="A3669" s="9" t="n">
        <v>660787</v>
      </c>
      <c r="B3669" s="9" t="inlineStr">
        <is>
          <t>Yerry De los Santos</t>
        </is>
      </c>
      <c r="C3669" s="9" t="inlineStr">
        <is>
          <t>NYY</t>
        </is>
      </c>
      <c r="D3669" s="9" t="n">
        <v>29</v>
      </c>
      <c r="E3669" s="18" t="inlineStr">
        <is>
          <t>R</t>
        </is>
      </c>
      <c r="F3669" s="18" t="n"/>
      <c r="G3669" s="9" t="n">
        <v>94</v>
      </c>
      <c r="H3669" s="9" t="n">
        <v>470</v>
      </c>
      <c r="I3669" s="9" t="inlineStr">
        <is>
          <t>Bullpen Depth Arm</t>
        </is>
      </c>
      <c r="J3669" s="18" t="inlineStr">
        <is>
          <t>Opening Day</t>
        </is>
      </c>
      <c r="K3669" s="11">
        <f>IFERROR(INDEX(Roles!$B$17:$B$20,MATCH(J3669,Roles!$A$17:$A$20,0)),1)</f>
        <v/>
      </c>
      <c r="L3669" s="19" t="n">
        <v>1</v>
      </c>
      <c r="M3669" s="11" t="n">
        <v>1</v>
      </c>
      <c r="N3669" s="19" t="n"/>
      <c r="O3669" s="19" t="n"/>
      <c r="P3669" s="19" t="n"/>
      <c r="Q3669" s="19" t="n"/>
      <c r="R3669" s="19" t="n"/>
      <c r="S3669" s="19" t="n"/>
      <c r="T3669" s="19" t="n"/>
      <c r="U3669" s="19" t="n"/>
      <c r="V3669" s="19" t="n">
        <v>0.15</v>
      </c>
      <c r="W3669" s="19" t="n">
        <v>0.85</v>
      </c>
      <c r="X3669" s="19" t="n"/>
      <c r="Y3669" s="19" t="n"/>
      <c r="Z3669" s="13">
        <f>SUMPRODUCT(N3669:Y3669,$N$2:$Y$2)*$K3669*$L3669*$M3669</f>
        <v/>
      </c>
      <c r="AA3669" s="14">
        <f>SUM(N3669:Y3669)</f>
        <v/>
      </c>
      <c r="AB3669" s="13">
        <f>SUMPRODUCT(N3669:Y3669,$N$3:$Y$3)*$K3669*$L3669*$M3669</f>
        <v/>
      </c>
      <c r="AC3669" s="13">
        <f>SUMPRODUCT(N3669:Y3669,$N$4:$Y$4)*$K3669*$L3669*$M3669</f>
        <v/>
      </c>
      <c r="AD3669" s="15" t="n">
        <v>17.42666666666667</v>
      </c>
      <c r="AE3669" s="11" t="n">
        <v>1.268627316246363</v>
      </c>
      <c r="AF3669" s="16">
        <f>SUMPRODUCT(N3669:Y3669,$N$5:$Y$5)*$K3669*$L3669*$M3669</f>
        <v/>
      </c>
      <c r="AG3669" s="16">
        <f>SUMPRODUCT(N3669:Y3669,$N$6:$Y$6)*$K3669*$L3669*$M3669</f>
        <v/>
      </c>
      <c r="AH3669" s="20" t="n"/>
    </row>
    <row r="3670">
      <c r="A3670" s="9" t="n">
        <v>802357</v>
      </c>
      <c r="B3670" s="9" t="inlineStr">
        <is>
          <t>Drue Hackenberg</t>
        </is>
      </c>
      <c r="C3670" s="9" t="inlineStr">
        <is>
          <t>ATL</t>
        </is>
      </c>
      <c r="D3670" s="9" t="n">
        <v>25</v>
      </c>
      <c r="E3670" s="18" t="inlineStr">
        <is>
          <t>R</t>
        </is>
      </c>
      <c r="F3670" s="18" t="n"/>
      <c r="G3670" s="9" t="n">
        <v>134.805</v>
      </c>
      <c r="H3670" s="9" t="n">
        <v>134.805</v>
      </c>
      <c r="I3670" s="9" t="inlineStr">
        <is>
          <t>Depth (no MLB IP)</t>
        </is>
      </c>
      <c r="J3670" s="18" t="inlineStr">
        <is>
          <t>Opening Day</t>
        </is>
      </c>
      <c r="K3670" s="11">
        <f>IFERROR(INDEX(Roles!$B$17:$B$20,MATCH(J3670,Roles!$A$17:$A$20,0)),1)</f>
        <v/>
      </c>
      <c r="L3670" s="19" t="n">
        <v>1</v>
      </c>
      <c r="M3670" s="11" t="n">
        <v>1</v>
      </c>
      <c r="N3670" s="19" t="n"/>
      <c r="O3670" s="19" t="n"/>
      <c r="P3670" s="19" t="n"/>
      <c r="Q3670" s="19" t="n"/>
      <c r="R3670" s="19" t="n"/>
      <c r="S3670" s="19" t="n"/>
      <c r="T3670" s="19" t="n"/>
      <c r="U3670" s="19" t="n"/>
      <c r="V3670" s="19" t="n"/>
      <c r="W3670" s="19" t="n"/>
      <c r="X3670" s="19" t="n"/>
      <c r="Y3670" s="19" t="n">
        <v>1</v>
      </c>
      <c r="Z3670" s="13">
        <f>SUMPRODUCT(N3670:Y3670,$N$2:$Y$2)*$K3670*$L3670*$M3670</f>
        <v/>
      </c>
      <c r="AA3670" s="14">
        <f>SUM(N3670:Y3670)</f>
        <v/>
      </c>
      <c r="AB3670" s="13">
        <f>SUMPRODUCT(N3670:Y3670,$N$3:$Y$3)*$K3670*$L3670*$M3670</f>
        <v/>
      </c>
      <c r="AC3670" s="13">
        <f>SUMPRODUCT(N3670:Y3670,$N$4:$Y$4)*$K3670*$L3670*$M3670</f>
        <v/>
      </c>
      <c r="AD3670" s="15" t="n">
        <v>3</v>
      </c>
      <c r="AE3670" s="11" t="n">
        <v>1.011296296296296</v>
      </c>
      <c r="AF3670" s="16">
        <f>SUMPRODUCT(N3670:Y3670,$N$5:$Y$5)*$K3670*$L3670*$M3670</f>
        <v/>
      </c>
      <c r="AG3670" s="16">
        <f>SUMPRODUCT(N3670:Y3670,$N$6:$Y$6)*$K3670*$L3670*$M3670</f>
        <v/>
      </c>
      <c r="AH3670" s="20" t="n"/>
    </row>
    <row r="3671">
      <c r="A3671" s="9" t="n">
        <v>686857</v>
      </c>
      <c r="B3671" s="9" t="inlineStr">
        <is>
          <t>James Gonzalez</t>
        </is>
      </c>
      <c r="C3671" s="9" t="inlineStr">
        <is>
          <t>OAK</t>
        </is>
      </c>
      <c r="D3671" s="9" t="n">
        <v>25</v>
      </c>
      <c r="E3671" s="18" t="inlineStr">
        <is>
          <t>L</t>
        </is>
      </c>
      <c r="F3671" s="18" t="n"/>
      <c r="G3671" s="9" t="n">
        <v>134.805</v>
      </c>
      <c r="H3671" s="9" t="n">
        <v>134.805</v>
      </c>
      <c r="I3671" s="9" t="inlineStr">
        <is>
          <t>Depth (no MLB IP)</t>
        </is>
      </c>
      <c r="J3671" s="18" t="inlineStr">
        <is>
          <t>Opening Day</t>
        </is>
      </c>
      <c r="K3671" s="11">
        <f>IFERROR(INDEX(Roles!$B$17:$B$20,MATCH(J3671,Roles!$A$17:$A$20,0)),1)</f>
        <v/>
      </c>
      <c r="L3671" s="19" t="n">
        <v>1</v>
      </c>
      <c r="M3671" s="11" t="n">
        <v>1</v>
      </c>
      <c r="N3671" s="19" t="n"/>
      <c r="O3671" s="19" t="n"/>
      <c r="P3671" s="19" t="n"/>
      <c r="Q3671" s="19" t="n"/>
      <c r="R3671" s="19" t="n"/>
      <c r="S3671" s="19" t="n"/>
      <c r="T3671" s="19" t="n"/>
      <c r="U3671" s="19" t="n"/>
      <c r="V3671" s="19" t="n"/>
      <c r="W3671" s="19" t="n"/>
      <c r="X3671" s="19" t="n"/>
      <c r="Y3671" s="19" t="n">
        <v>1</v>
      </c>
      <c r="Z3671" s="13">
        <f>SUMPRODUCT(N3671:Y3671,$N$2:$Y$2)*$K3671*$L3671*$M3671</f>
        <v/>
      </c>
      <c r="AA3671" s="14">
        <f>SUM(N3671:Y3671)</f>
        <v/>
      </c>
      <c r="AB3671" s="13">
        <f>SUMPRODUCT(N3671:Y3671,$N$3:$Y$3)*$K3671*$L3671*$M3671</f>
        <v/>
      </c>
      <c r="AC3671" s="13">
        <f>SUMPRODUCT(N3671:Y3671,$N$4:$Y$4)*$K3671*$L3671*$M3671</f>
        <v/>
      </c>
      <c r="AD3671" s="15" t="n">
        <v>3</v>
      </c>
      <c r="AE3671" s="11" t="n">
        <v>1.011296296296296</v>
      </c>
      <c r="AF3671" s="16">
        <f>SUMPRODUCT(N3671:Y3671,$N$5:$Y$5)*$K3671*$L3671*$M3671</f>
        <v/>
      </c>
      <c r="AG3671" s="16">
        <f>SUMPRODUCT(N3671:Y3671,$N$6:$Y$6)*$K3671*$L3671*$M3671</f>
        <v/>
      </c>
      <c r="AH3671" s="20" t="n"/>
    </row>
    <row r="3672">
      <c r="A3672" s="9" t="n">
        <v>690916</v>
      </c>
      <c r="B3672" s="9" t="inlineStr">
        <is>
          <t>Richard Fitts</t>
        </is>
      </c>
      <c r="C3672" s="9" t="inlineStr">
        <is>
          <t>BOS</t>
        </is>
      </c>
      <c r="D3672" s="9" t="n">
        <v>27</v>
      </c>
      <c r="E3672" s="18" t="inlineStr">
        <is>
          <t>R</t>
        </is>
      </c>
      <c r="F3672" s="18" t="n"/>
      <c r="G3672" s="9" t="n">
        <v>195</v>
      </c>
      <c r="H3672" s="9" t="n">
        <v>280</v>
      </c>
      <c r="I3672" s="9" t="inlineStr">
        <is>
          <t>End-of-Rotation Starter (SP4-5)</t>
        </is>
      </c>
      <c r="J3672" s="18" t="inlineStr">
        <is>
          <t>Opening Day</t>
        </is>
      </c>
      <c r="K3672" s="11">
        <f>IFERROR(INDEX(Roles!$B$17:$B$20,MATCH(J3672,Roles!$A$17:$A$20,0)),1)</f>
        <v/>
      </c>
      <c r="L3672" s="19" t="n">
        <v>1</v>
      </c>
      <c r="M3672" s="11" t="n">
        <v>1</v>
      </c>
      <c r="N3672" s="19" t="n"/>
      <c r="O3672" s="19" t="n"/>
      <c r="P3672" s="19" t="n">
        <v>1</v>
      </c>
      <c r="Q3672" s="19" t="n"/>
      <c r="R3672" s="19" t="n"/>
      <c r="S3672" s="19" t="n"/>
      <c r="T3672" s="19" t="n"/>
      <c r="U3672" s="19" t="n"/>
      <c r="V3672" s="19" t="n"/>
      <c r="W3672" s="19" t="n"/>
      <c r="X3672" s="19" t="n"/>
      <c r="Y3672" s="19" t="n"/>
      <c r="Z3672" s="13">
        <f>SUMPRODUCT(N3672:Y3672,$N$2:$Y$2)*$K3672*$L3672*$M3672</f>
        <v/>
      </c>
      <c r="AA3672" s="14">
        <f>SUM(N3672:Y3672)</f>
        <v/>
      </c>
      <c r="AB3672" s="13">
        <f>SUMPRODUCT(N3672:Y3672,$N$3:$Y$3)*$K3672*$L3672*$M3672</f>
        <v/>
      </c>
      <c r="AC3672" s="13">
        <f>SUMPRODUCT(N3672:Y3672,$N$4:$Y$4)*$K3672*$L3672*$M3672</f>
        <v/>
      </c>
      <c r="AD3672" s="15" t="n">
        <v>11.6</v>
      </c>
      <c r="AE3672" s="11" t="n">
        <v>4.455840455840455</v>
      </c>
      <c r="AF3672" s="16">
        <f>SUMPRODUCT(N3672:Y3672,$N$5:$Y$5)*$K3672*$L3672*$M3672</f>
        <v/>
      </c>
      <c r="AG3672" s="16">
        <f>SUMPRODUCT(N3672:Y3672,$N$6:$Y$6)*$K3672*$L3672*$M3672</f>
        <v/>
      </c>
      <c r="AH3672" s="20" t="n"/>
    </row>
    <row r="3673">
      <c r="A3673" s="9" t="n">
        <v>694375</v>
      </c>
      <c r="B3673" s="9" t="inlineStr">
        <is>
          <t>TJ Nichols</t>
        </is>
      </c>
      <c r="C3673" s="9" t="inlineStr">
        <is>
          <t>TB</t>
        </is>
      </c>
      <c r="D3673" s="9" t="n">
        <v>25</v>
      </c>
      <c r="E3673" s="18" t="inlineStr">
        <is>
          <t>R</t>
        </is>
      </c>
      <c r="F3673" s="18" t="n"/>
      <c r="G3673" s="9" t="n">
        <v>134.9483333333333</v>
      </c>
      <c r="H3673" s="9" t="n">
        <v>134.9483333333333</v>
      </c>
      <c r="I3673" s="9" t="inlineStr">
        <is>
          <t>Depth (no MLB IP)</t>
        </is>
      </c>
      <c r="J3673" s="18" t="inlineStr">
        <is>
          <t>Opening Day</t>
        </is>
      </c>
      <c r="K3673" s="11">
        <f>IFERROR(INDEX(Roles!$B$17:$B$20,MATCH(J3673,Roles!$A$17:$A$20,0)),1)</f>
        <v/>
      </c>
      <c r="L3673" s="19" t="n">
        <v>1</v>
      </c>
      <c r="M3673" s="11" t="n">
        <v>1</v>
      </c>
      <c r="N3673" s="19" t="n"/>
      <c r="O3673" s="19" t="n"/>
      <c r="P3673" s="19" t="n"/>
      <c r="Q3673" s="19" t="n"/>
      <c r="R3673" s="19" t="n"/>
      <c r="S3673" s="19" t="n"/>
      <c r="T3673" s="19" t="n"/>
      <c r="U3673" s="19" t="n"/>
      <c r="V3673" s="19" t="n"/>
      <c r="W3673" s="19" t="n"/>
      <c r="X3673" s="19" t="n"/>
      <c r="Y3673" s="19" t="n">
        <v>1</v>
      </c>
      <c r="Z3673" s="13">
        <f>SUMPRODUCT(N3673:Y3673,$N$2:$Y$2)*$K3673*$L3673*$M3673</f>
        <v/>
      </c>
      <c r="AA3673" s="14">
        <f>SUM(N3673:Y3673)</f>
        <v/>
      </c>
      <c r="AB3673" s="13">
        <f>SUMPRODUCT(N3673:Y3673,$N$3:$Y$3)*$K3673*$L3673*$M3673</f>
        <v/>
      </c>
      <c r="AC3673" s="13">
        <f>SUMPRODUCT(N3673:Y3673,$N$4:$Y$4)*$K3673*$L3673*$M3673</f>
        <v/>
      </c>
      <c r="AD3673" s="15" t="n">
        <v>3</v>
      </c>
      <c r="AE3673" s="11" t="n">
        <v>1.011296296296296</v>
      </c>
      <c r="AF3673" s="16">
        <f>SUMPRODUCT(N3673:Y3673,$N$5:$Y$5)*$K3673*$L3673*$M3673</f>
        <v/>
      </c>
      <c r="AG3673" s="16">
        <f>SUMPRODUCT(N3673:Y3673,$N$6:$Y$6)*$K3673*$L3673*$M3673</f>
        <v/>
      </c>
      <c r="AH3673" s="20" t="n"/>
    </row>
    <row r="3674">
      <c r="A3674" s="9" t="n">
        <v>620443</v>
      </c>
      <c r="B3674" s="9" t="inlineStr">
        <is>
          <t>Luis Torrens</t>
        </is>
      </c>
      <c r="C3674" s="9" t="inlineStr">
        <is>
          <t>NYM</t>
        </is>
      </c>
      <c r="D3674" s="9" t="n">
        <v>31</v>
      </c>
      <c r="E3674" s="18" t="inlineStr">
        <is>
          <t>R</t>
        </is>
      </c>
      <c r="F3674" s="18" t="n"/>
      <c r="G3674" s="9" t="n">
        <v>11</v>
      </c>
      <c r="H3674" s="9" t="n">
        <v>30</v>
      </c>
      <c r="I3674" s="9" t="inlineStr">
        <is>
          <t>Depth (no MLB IP)</t>
        </is>
      </c>
      <c r="J3674" s="18" t="inlineStr">
        <is>
          <t>Opening Day</t>
        </is>
      </c>
      <c r="K3674" s="11">
        <f>IFERROR(INDEX(Roles!$B$17:$B$20,MATCH(J3674,Roles!$A$17:$A$20,0)),1)</f>
        <v/>
      </c>
      <c r="L3674" s="19" t="n">
        <v>1</v>
      </c>
      <c r="M3674" s="11" t="n">
        <v>1</v>
      </c>
      <c r="N3674" s="19" t="n"/>
      <c r="O3674" s="19" t="n"/>
      <c r="P3674" s="19" t="n"/>
      <c r="Q3674" s="19" t="n"/>
      <c r="R3674" s="19" t="n"/>
      <c r="S3674" s="19" t="n"/>
      <c r="T3674" s="19" t="n"/>
      <c r="U3674" s="19" t="n"/>
      <c r="V3674" s="19" t="n"/>
      <c r="W3674" s="19" t="n"/>
      <c r="X3674" s="19" t="n"/>
      <c r="Y3674" s="19" t="n">
        <v>1</v>
      </c>
      <c r="Z3674" s="13">
        <f>SUMPRODUCT(N3674:Y3674,$N$2:$Y$2)*$K3674*$L3674*$M3674</f>
        <v/>
      </c>
      <c r="AA3674" s="14">
        <f>SUM(N3674:Y3674)</f>
        <v/>
      </c>
      <c r="AB3674" s="13">
        <f>SUMPRODUCT(N3674:Y3674,$N$3:$Y$3)*$K3674*$L3674*$M3674</f>
        <v/>
      </c>
      <c r="AC3674" s="13">
        <f>SUMPRODUCT(N3674:Y3674,$N$4:$Y$4)*$K3674*$L3674*$M3674</f>
        <v/>
      </c>
      <c r="AD3674" s="15" t="n">
        <v>2.3</v>
      </c>
      <c r="AE3674" s="11" t="n">
        <v>0.93682379349046</v>
      </c>
      <c r="AF3674" s="16">
        <f>SUMPRODUCT(N3674:Y3674,$N$5:$Y$5)*$K3674*$L3674*$M3674</f>
        <v/>
      </c>
      <c r="AG3674" s="16">
        <f>SUMPRODUCT(N3674:Y3674,$N$6:$Y$6)*$K3674*$L3674*$M3674</f>
        <v/>
      </c>
      <c r="AH3674" s="20" t="n"/>
    </row>
    <row r="3675">
      <c r="A3675" s="9" t="n">
        <v>571539</v>
      </c>
      <c r="B3675" s="9" t="inlineStr">
        <is>
          <t>Matt Carasiti</t>
        </is>
      </c>
      <c r="C3675" s="9" t="inlineStr">
        <is>
          <t>COL</t>
        </is>
      </c>
      <c r="D3675" s="9" t="n">
        <v>35</v>
      </c>
      <c r="E3675" s="18" t="inlineStr">
        <is>
          <t>R</t>
        </is>
      </c>
      <c r="F3675" s="18" t="n"/>
      <c r="G3675" s="9" t="n">
        <v>43</v>
      </c>
      <c r="H3675" s="9" t="n">
        <v>153</v>
      </c>
      <c r="I3675" s="9" t="inlineStr">
        <is>
          <t>Depth (no MLB IP)</t>
        </is>
      </c>
      <c r="J3675" s="18" t="inlineStr">
        <is>
          <t>Opening Day</t>
        </is>
      </c>
      <c r="K3675" s="11">
        <f>IFERROR(INDEX(Roles!$B$17:$B$20,MATCH(J3675,Roles!$A$17:$A$20,0)),1)</f>
        <v/>
      </c>
      <c r="L3675" s="19" t="n">
        <v>1</v>
      </c>
      <c r="M3675" s="11" t="n">
        <v>1</v>
      </c>
      <c r="N3675" s="19" t="n"/>
      <c r="O3675" s="19" t="n"/>
      <c r="P3675" s="19" t="n"/>
      <c r="Q3675" s="19" t="n"/>
      <c r="R3675" s="19" t="n"/>
      <c r="S3675" s="19" t="n"/>
      <c r="T3675" s="19" t="n"/>
      <c r="U3675" s="19" t="n"/>
      <c r="V3675" s="19" t="n"/>
      <c r="W3675" s="19" t="n"/>
      <c r="X3675" s="19" t="n"/>
      <c r="Y3675" s="19" t="n">
        <v>1</v>
      </c>
      <c r="Z3675" s="13">
        <f>SUMPRODUCT(N3675:Y3675,$N$2:$Y$2)*$K3675*$L3675*$M3675</f>
        <v/>
      </c>
      <c r="AA3675" s="14">
        <f>SUM(N3675:Y3675)</f>
        <v/>
      </c>
      <c r="AB3675" s="13">
        <f>SUMPRODUCT(N3675:Y3675,$N$3:$Y$3)*$K3675*$L3675*$M3675</f>
        <v/>
      </c>
      <c r="AC3675" s="13">
        <f>SUMPRODUCT(N3675:Y3675,$N$4:$Y$4)*$K3675*$L3675*$M3675</f>
        <v/>
      </c>
      <c r="AD3675" s="15" t="n">
        <v>5.4</v>
      </c>
      <c r="AE3675" s="11" t="n">
        <v>1.08689594356261</v>
      </c>
      <c r="AF3675" s="16">
        <f>SUMPRODUCT(N3675:Y3675,$N$5:$Y$5)*$K3675*$L3675*$M3675</f>
        <v/>
      </c>
      <c r="AG3675" s="16">
        <f>SUMPRODUCT(N3675:Y3675,$N$6:$Y$6)*$K3675*$L3675*$M3675</f>
        <v/>
      </c>
      <c r="AH3675" s="20" t="n"/>
    </row>
    <row r="3676">
      <c r="A3676" s="9" t="n">
        <v>547184</v>
      </c>
      <c r="B3676" s="9" t="inlineStr">
        <is>
          <t>Michael Kelly</t>
        </is>
      </c>
      <c r="C3676" s="9" t="inlineStr">
        <is>
          <t>OAK</t>
        </is>
      </c>
      <c r="D3676" s="9" t="n">
        <v>34</v>
      </c>
      <c r="E3676" s="18" t="inlineStr">
        <is>
          <t>R</t>
        </is>
      </c>
      <c r="F3676" s="18" t="n"/>
      <c r="G3676" s="9" t="n">
        <v>32</v>
      </c>
      <c r="H3676" s="9" t="n">
        <v>413</v>
      </c>
      <c r="I3676" s="9" t="inlineStr">
        <is>
          <t>Bullpen Depth Arm</t>
        </is>
      </c>
      <c r="J3676" s="18" t="inlineStr">
        <is>
          <t>Opening Day</t>
        </is>
      </c>
      <c r="K3676" s="11">
        <f>IFERROR(INDEX(Roles!$B$17:$B$20,MATCH(J3676,Roles!$A$17:$A$20,0)),1)</f>
        <v/>
      </c>
      <c r="L3676" s="19" t="n">
        <v>1</v>
      </c>
      <c r="M3676" s="11" t="n">
        <v>1</v>
      </c>
      <c r="N3676" s="19" t="n"/>
      <c r="O3676" s="19" t="n"/>
      <c r="P3676" s="19" t="n"/>
      <c r="Q3676" s="19" t="n"/>
      <c r="R3676" s="19" t="n"/>
      <c r="S3676" s="19" t="n"/>
      <c r="T3676" s="19" t="n"/>
      <c r="U3676" s="19" t="n"/>
      <c r="V3676" s="19" t="n"/>
      <c r="W3676" s="19" t="n">
        <v>1</v>
      </c>
      <c r="X3676" s="19" t="n"/>
      <c r="Y3676" s="19" t="n"/>
      <c r="Z3676" s="13">
        <f>SUMPRODUCT(N3676:Y3676,$N$2:$Y$2)*$K3676*$L3676*$M3676</f>
        <v/>
      </c>
      <c r="AA3676" s="14">
        <f>SUM(N3676:Y3676)</f>
        <v/>
      </c>
      <c r="AB3676" s="13">
        <f>SUMPRODUCT(N3676:Y3676,$N$3:$Y$3)*$K3676*$L3676*$M3676</f>
        <v/>
      </c>
      <c r="AC3676" s="13">
        <f>SUMPRODUCT(N3676:Y3676,$N$4:$Y$4)*$K3676*$L3676*$M3676</f>
        <v/>
      </c>
      <c r="AD3676" s="15" t="n">
        <v>18.36666666666667</v>
      </c>
      <c r="AE3676" s="11" t="n">
        <v>1.131340905619121</v>
      </c>
      <c r="AF3676" s="16">
        <f>SUMPRODUCT(N3676:Y3676,$N$5:$Y$5)*$K3676*$L3676*$M3676</f>
        <v/>
      </c>
      <c r="AG3676" s="16">
        <f>SUMPRODUCT(N3676:Y3676,$N$6:$Y$6)*$K3676*$L3676*$M3676</f>
        <v/>
      </c>
      <c r="AH3676" s="20" t="n"/>
    </row>
    <row r="3677">
      <c r="A3677" s="9" t="n">
        <v>665665</v>
      </c>
      <c r="B3677" s="9" t="inlineStr">
        <is>
          <t>Reiver Sanmartin</t>
        </is>
      </c>
      <c r="C3677" s="9" t="inlineStr">
        <is>
          <t>SF</t>
        </is>
      </c>
      <c r="D3677" s="9" t="n">
        <v>31</v>
      </c>
      <c r="E3677" s="18" t="inlineStr">
        <is>
          <t>L</t>
        </is>
      </c>
      <c r="F3677" s="18" t="n"/>
      <c r="G3677" s="9" t="n">
        <v>93</v>
      </c>
      <c r="H3677" s="9" t="n">
        <v>427</v>
      </c>
      <c r="I3677" s="9" t="inlineStr">
        <is>
          <t>Swing Arm / Long Relief</t>
        </is>
      </c>
      <c r="J3677" s="18" t="inlineStr">
        <is>
          <t>Opening Day</t>
        </is>
      </c>
      <c r="K3677" s="11">
        <f>IFERROR(INDEX(Roles!$B$17:$B$20,MATCH(J3677,Roles!$A$17:$A$20,0)),1)</f>
        <v/>
      </c>
      <c r="L3677" s="19" t="n">
        <v>1</v>
      </c>
      <c r="M3677" s="11" t="n">
        <v>1</v>
      </c>
      <c r="N3677" s="19" t="n"/>
      <c r="O3677" s="19" t="n"/>
      <c r="P3677" s="19" t="n"/>
      <c r="Q3677" s="19" t="n"/>
      <c r="R3677" s="19" t="n">
        <v>0.6</v>
      </c>
      <c r="S3677" s="19" t="n"/>
      <c r="T3677" s="19" t="n"/>
      <c r="U3677" s="19" t="n"/>
      <c r="V3677" s="19" t="n"/>
      <c r="W3677" s="19" t="n">
        <v>0.4</v>
      </c>
      <c r="X3677" s="19" t="n"/>
      <c r="Y3677" s="19" t="n"/>
      <c r="Z3677" s="13">
        <f>SUMPRODUCT(N3677:Y3677,$N$2:$Y$2)*$K3677*$L3677*$M3677</f>
        <v/>
      </c>
      <c r="AA3677" s="14">
        <f>SUM(N3677:Y3677)</f>
        <v/>
      </c>
      <c r="AB3677" s="13">
        <f>SUMPRODUCT(N3677:Y3677,$N$3:$Y$3)*$K3677*$L3677*$M3677</f>
        <v/>
      </c>
      <c r="AC3677" s="13">
        <f>SUMPRODUCT(N3677:Y3677,$N$4:$Y$4)*$K3677*$L3677*$M3677</f>
        <v/>
      </c>
      <c r="AD3677" s="15" t="n">
        <v>17.01333333333333</v>
      </c>
      <c r="AE3677" s="11" t="n">
        <v>1.971791463594742</v>
      </c>
      <c r="AF3677" s="16">
        <f>SUMPRODUCT(N3677:Y3677,$N$5:$Y$5)*$K3677*$L3677*$M3677</f>
        <v/>
      </c>
      <c r="AG3677" s="16">
        <f>SUMPRODUCT(N3677:Y3677,$N$6:$Y$6)*$K3677*$L3677*$M3677</f>
        <v/>
      </c>
      <c r="AH3677" s="20" t="n"/>
    </row>
    <row r="3678">
      <c r="A3678" s="9" t="n">
        <v>702352</v>
      </c>
      <c r="B3678" s="9" t="inlineStr">
        <is>
          <t>Spencer Bivens</t>
        </is>
      </c>
      <c r="C3678" s="9" t="inlineStr">
        <is>
          <t>KC</t>
        </is>
      </c>
      <c r="D3678" s="9" t="n">
        <v>33</v>
      </c>
      <c r="E3678" s="18" t="inlineStr">
        <is>
          <t>R</t>
        </is>
      </c>
      <c r="F3678" s="18" t="n"/>
      <c r="G3678" s="9" t="n">
        <v>42</v>
      </c>
      <c r="H3678" s="9" t="n">
        <v>587</v>
      </c>
      <c r="I3678" s="9" t="inlineStr">
        <is>
          <t>Bullpen Depth Arm</t>
        </is>
      </c>
      <c r="J3678" s="18" t="inlineStr">
        <is>
          <t>Opening Day</t>
        </is>
      </c>
      <c r="K3678" s="11">
        <f>IFERROR(INDEX(Roles!$B$17:$B$20,MATCH(J3678,Roles!$A$17:$A$20,0)),1)</f>
        <v/>
      </c>
      <c r="L3678" s="19" t="n">
        <v>1</v>
      </c>
      <c r="M3678" s="11" t="n">
        <v>1</v>
      </c>
      <c r="N3678" s="19" t="n"/>
      <c r="O3678" s="19" t="n"/>
      <c r="P3678" s="19" t="n"/>
      <c r="Q3678" s="19" t="n"/>
      <c r="R3678" s="19" t="n"/>
      <c r="S3678" s="19" t="n"/>
      <c r="T3678" s="19" t="n"/>
      <c r="U3678" s="19" t="n"/>
      <c r="V3678" s="19" t="n">
        <v>0.15</v>
      </c>
      <c r="W3678" s="19" t="n">
        <v>0.85</v>
      </c>
      <c r="X3678" s="19" t="n"/>
      <c r="Y3678" s="19" t="n"/>
      <c r="Z3678" s="13">
        <f>SUMPRODUCT(N3678:Y3678,$N$2:$Y$2)*$K3678*$L3678*$M3678</f>
        <v/>
      </c>
      <c r="AA3678" s="14">
        <f>SUM(N3678:Y3678)</f>
        <v/>
      </c>
      <c r="AB3678" s="13">
        <f>SUMPRODUCT(N3678:Y3678,$N$3:$Y$3)*$K3678*$L3678*$M3678</f>
        <v/>
      </c>
      <c r="AC3678" s="13">
        <f>SUMPRODUCT(N3678:Y3678,$N$4:$Y$4)*$K3678*$L3678*$M3678</f>
        <v/>
      </c>
      <c r="AD3678" s="15" t="n">
        <v>20.96666666666667</v>
      </c>
      <c r="AE3678" s="11" t="n">
        <v>1.310584839996605</v>
      </c>
      <c r="AF3678" s="16">
        <f>SUMPRODUCT(N3678:Y3678,$N$5:$Y$5)*$K3678*$L3678*$M3678</f>
        <v/>
      </c>
      <c r="AG3678" s="16">
        <f>SUMPRODUCT(N3678:Y3678,$N$6:$Y$6)*$K3678*$L3678*$M3678</f>
        <v/>
      </c>
      <c r="AH3678" s="20" t="n"/>
    </row>
    <row r="3679">
      <c r="A3679" s="9" t="n">
        <v>690217</v>
      </c>
      <c r="B3679" s="9" t="inlineStr">
        <is>
          <t>C.J. Culpepper</t>
        </is>
      </c>
      <c r="C3679" s="9" t="inlineStr">
        <is>
          <t>MIN</t>
        </is>
      </c>
      <c r="D3679" s="9" t="n">
        <v>25</v>
      </c>
      <c r="E3679" s="18" t="inlineStr">
        <is>
          <t>R</t>
        </is>
      </c>
      <c r="F3679" s="18" t="n"/>
      <c r="G3679" s="9" t="n">
        <v>135.5933333333333</v>
      </c>
      <c r="H3679" s="9" t="n">
        <v>135.5933333333333</v>
      </c>
      <c r="I3679" s="9" t="inlineStr">
        <is>
          <t>Depth (no MLB IP)</t>
        </is>
      </c>
      <c r="J3679" s="18" t="inlineStr">
        <is>
          <t>Opening Day</t>
        </is>
      </c>
      <c r="K3679" s="11">
        <f>IFERROR(INDEX(Roles!$B$17:$B$20,MATCH(J3679,Roles!$A$17:$A$20,0)),1)</f>
        <v/>
      </c>
      <c r="L3679" s="19" t="n">
        <v>1</v>
      </c>
      <c r="M3679" s="11" t="n">
        <v>1</v>
      </c>
      <c r="N3679" s="19" t="n"/>
      <c r="O3679" s="19" t="n"/>
      <c r="P3679" s="19" t="n"/>
      <c r="Q3679" s="19" t="n"/>
      <c r="R3679" s="19" t="n"/>
      <c r="S3679" s="19" t="n"/>
      <c r="T3679" s="19" t="n"/>
      <c r="U3679" s="19" t="n"/>
      <c r="V3679" s="19" t="n"/>
      <c r="W3679" s="19" t="n"/>
      <c r="X3679" s="19" t="n"/>
      <c r="Y3679" s="19" t="n">
        <v>1</v>
      </c>
      <c r="Z3679" s="13">
        <f>SUMPRODUCT(N3679:Y3679,$N$2:$Y$2)*$K3679*$L3679*$M3679</f>
        <v/>
      </c>
      <c r="AA3679" s="14">
        <f>SUM(N3679:Y3679)</f>
        <v/>
      </c>
      <c r="AB3679" s="13">
        <f>SUMPRODUCT(N3679:Y3679,$N$3:$Y$3)*$K3679*$L3679*$M3679</f>
        <v/>
      </c>
      <c r="AC3679" s="13">
        <f>SUMPRODUCT(N3679:Y3679,$N$4:$Y$4)*$K3679*$L3679*$M3679</f>
        <v/>
      </c>
      <c r="AD3679" s="15" t="n">
        <v>3</v>
      </c>
      <c r="AE3679" s="11" t="n">
        <v>1.011296296296296</v>
      </c>
      <c r="AF3679" s="16">
        <f>SUMPRODUCT(N3679:Y3679,$N$5:$Y$5)*$K3679*$L3679*$M3679</f>
        <v/>
      </c>
      <c r="AG3679" s="16">
        <f>SUMPRODUCT(N3679:Y3679,$N$6:$Y$6)*$K3679*$L3679*$M3679</f>
        <v/>
      </c>
      <c r="AH3679" s="20" t="n"/>
    </row>
    <row r="3680">
      <c r="A3680" s="9" t="n">
        <v>676467</v>
      </c>
      <c r="B3680" s="9" t="inlineStr">
        <is>
          <t>Colton Gordon</t>
        </is>
      </c>
      <c r="C3680" s="9" t="inlineStr">
        <is>
          <t>MIL</t>
        </is>
      </c>
      <c r="D3680" s="9" t="n">
        <v>28</v>
      </c>
      <c r="E3680" s="18" t="inlineStr">
        <is>
          <t>L</t>
        </is>
      </c>
      <c r="F3680" s="18" t="n"/>
      <c r="G3680" s="9" t="n">
        <v>70</v>
      </c>
      <c r="H3680" s="9" t="n">
        <v>449</v>
      </c>
      <c r="I3680" s="9" t="inlineStr">
        <is>
          <t>End-of-Rotation Starter (SP4-5)</t>
        </is>
      </c>
      <c r="J3680" s="18" t="inlineStr">
        <is>
          <t>Opening Day</t>
        </is>
      </c>
      <c r="K3680" s="11">
        <f>IFERROR(INDEX(Roles!$B$17:$B$20,MATCH(J3680,Roles!$A$17:$A$20,0)),1)</f>
        <v/>
      </c>
      <c r="L3680" s="19" t="n">
        <v>1</v>
      </c>
      <c r="M3680" s="11" t="n">
        <v>1</v>
      </c>
      <c r="N3680" s="19" t="n"/>
      <c r="O3680" s="19" t="n"/>
      <c r="P3680" s="19" t="n">
        <v>1</v>
      </c>
      <c r="Q3680" s="19" t="n"/>
      <c r="R3680" s="19" t="n"/>
      <c r="S3680" s="19" t="n"/>
      <c r="T3680" s="19" t="n"/>
      <c r="U3680" s="19" t="n"/>
      <c r="V3680" s="19" t="n"/>
      <c r="W3680" s="19" t="n"/>
      <c r="X3680" s="19" t="n"/>
      <c r="Y3680" s="19" t="n"/>
      <c r="Z3680" s="13">
        <f>SUMPRODUCT(N3680:Y3680,$N$2:$Y$2)*$K3680*$L3680*$M3680</f>
        <v/>
      </c>
      <c r="AA3680" s="14">
        <f>SUM(N3680:Y3680)</f>
        <v/>
      </c>
      <c r="AB3680" s="13">
        <f>SUMPRODUCT(N3680:Y3680,$N$3:$Y$3)*$K3680*$L3680*$M3680</f>
        <v/>
      </c>
      <c r="AC3680" s="13">
        <f>SUMPRODUCT(N3680:Y3680,$N$4:$Y$4)*$K3680*$L3680*$M3680</f>
        <v/>
      </c>
      <c r="AD3680" s="15" t="n">
        <v>13</v>
      </c>
      <c r="AE3680" s="11" t="n">
        <v>4.34006734006734</v>
      </c>
      <c r="AF3680" s="16">
        <f>SUMPRODUCT(N3680:Y3680,$N$5:$Y$5)*$K3680*$L3680*$M3680</f>
        <v/>
      </c>
      <c r="AG3680" s="16">
        <f>SUMPRODUCT(N3680:Y3680,$N$6:$Y$6)*$K3680*$L3680*$M3680</f>
        <v/>
      </c>
      <c r="AH3680" s="20" t="n"/>
    </row>
    <row r="3681">
      <c r="A3681" s="9" t="n">
        <v>804530</v>
      </c>
      <c r="B3681" s="9" t="inlineStr">
        <is>
          <t>Joseph Dzierwa</t>
        </is>
      </c>
      <c r="C3681" s="9" t="inlineStr">
        <is>
          <t>BAL</t>
        </is>
      </c>
      <c r="D3681" s="9" t="n">
        <v>23</v>
      </c>
      <c r="E3681" s="18" t="inlineStr">
        <is>
          <t>L</t>
        </is>
      </c>
      <c r="F3681" s="18" t="n"/>
      <c r="G3681" s="9" t="n">
        <v>135.9516666666667</v>
      </c>
      <c r="H3681" s="9" t="n">
        <v>135.9516666666667</v>
      </c>
      <c r="I3681" s="9" t="inlineStr">
        <is>
          <t>Innings-Limited Starter</t>
        </is>
      </c>
      <c r="J3681" s="18" t="inlineStr">
        <is>
          <t>Mid Season (~July)</t>
        </is>
      </c>
      <c r="K3681" s="11">
        <f>IFERROR(INDEX(Roles!$B$17:$B$20,MATCH(J3681,Roles!$A$17:$A$20,0)),1)</f>
        <v/>
      </c>
      <c r="L3681" s="19" t="n">
        <v>1</v>
      </c>
      <c r="M3681" s="11" t="n">
        <v>1</v>
      </c>
      <c r="N3681" s="19" t="n"/>
      <c r="O3681" s="19" t="n"/>
      <c r="P3681" s="19" t="n"/>
      <c r="Q3681" s="19" t="n">
        <v>0.46</v>
      </c>
      <c r="R3681" s="19" t="n">
        <v>0.3</v>
      </c>
      <c r="S3681" s="19" t="n"/>
      <c r="T3681" s="19" t="n"/>
      <c r="U3681" s="19" t="n"/>
      <c r="V3681" s="19" t="n"/>
      <c r="W3681" s="19" t="n">
        <v>0.24</v>
      </c>
      <c r="X3681" s="19" t="n"/>
      <c r="Y3681" s="19" t="n"/>
      <c r="Z3681" s="13">
        <f>SUMPRODUCT(N3681:Y3681,$N$2:$Y$2)*$K3681*$L3681*$M3681</f>
        <v/>
      </c>
      <c r="AA3681" s="14">
        <f>SUM(N3681:Y3681)</f>
        <v/>
      </c>
      <c r="AB3681" s="13">
        <f>SUMPRODUCT(N3681:Y3681,$N$3:$Y$3)*$K3681*$L3681*$M3681</f>
        <v/>
      </c>
      <c r="AC3681" s="13">
        <f>SUMPRODUCT(N3681:Y3681,$N$4:$Y$4)*$K3681*$L3681*$M3681</f>
        <v/>
      </c>
      <c r="AD3681" s="15" t="n">
        <v>27.52</v>
      </c>
      <c r="AE3681" s="11" t="n">
        <v>3.223110465116278</v>
      </c>
      <c r="AF3681" s="16">
        <f>SUMPRODUCT(N3681:Y3681,$N$5:$Y$5)*$K3681*$L3681*$M3681</f>
        <v/>
      </c>
      <c r="AG3681" s="16">
        <f>SUMPRODUCT(N3681:Y3681,$N$6:$Y$6)*$K3681*$L3681*$M3681</f>
        <v/>
      </c>
      <c r="AH3681" s="20" t="n"/>
    </row>
    <row r="3682">
      <c r="A3682" s="9" t="n">
        <v>691032</v>
      </c>
      <c r="B3682" s="9" t="inlineStr">
        <is>
          <t>Luis Moreno</t>
        </is>
      </c>
      <c r="C3682" s="9" t="inlineStr">
        <is>
          <t>MIA</t>
        </is>
      </c>
      <c r="D3682" s="9" t="n">
        <v>25</v>
      </c>
      <c r="E3682" s="18" t="inlineStr">
        <is>
          <t>R</t>
        </is>
      </c>
      <c r="F3682" s="18" t="n"/>
      <c r="G3682" s="9" t="n">
        <v>135.9516666666667</v>
      </c>
      <c r="H3682" s="9" t="n">
        <v>135.9516666666667</v>
      </c>
      <c r="I3682" s="9" t="inlineStr">
        <is>
          <t>Depth (no MLB IP)</t>
        </is>
      </c>
      <c r="J3682" s="18" t="inlineStr">
        <is>
          <t>Opening Day</t>
        </is>
      </c>
      <c r="K3682" s="11">
        <f>IFERROR(INDEX(Roles!$B$17:$B$20,MATCH(J3682,Roles!$A$17:$A$20,0)),1)</f>
        <v/>
      </c>
      <c r="L3682" s="19" t="n">
        <v>1</v>
      </c>
      <c r="M3682" s="11" t="n">
        <v>1</v>
      </c>
      <c r="N3682" s="19" t="n"/>
      <c r="O3682" s="19" t="n"/>
      <c r="P3682" s="19" t="n"/>
      <c r="Q3682" s="19" t="n"/>
      <c r="R3682" s="19" t="n"/>
      <c r="S3682" s="19" t="n"/>
      <c r="T3682" s="19" t="n"/>
      <c r="U3682" s="19" t="n"/>
      <c r="V3682" s="19" t="n"/>
      <c r="W3682" s="19" t="n"/>
      <c r="X3682" s="19" t="n"/>
      <c r="Y3682" s="19" t="n">
        <v>1</v>
      </c>
      <c r="Z3682" s="13">
        <f>SUMPRODUCT(N3682:Y3682,$N$2:$Y$2)*$K3682*$L3682*$M3682</f>
        <v/>
      </c>
      <c r="AA3682" s="14">
        <f>SUM(N3682:Y3682)</f>
        <v/>
      </c>
      <c r="AB3682" s="13">
        <f>SUMPRODUCT(N3682:Y3682,$N$3:$Y$3)*$K3682*$L3682*$M3682</f>
        <v/>
      </c>
      <c r="AC3682" s="13">
        <f>SUMPRODUCT(N3682:Y3682,$N$4:$Y$4)*$K3682*$L3682*$M3682</f>
        <v/>
      </c>
      <c r="AD3682" s="15" t="n">
        <v>3</v>
      </c>
      <c r="AE3682" s="11" t="n">
        <v>1.011296296296296</v>
      </c>
      <c r="AF3682" s="16">
        <f>SUMPRODUCT(N3682:Y3682,$N$5:$Y$5)*$K3682*$L3682*$M3682</f>
        <v/>
      </c>
      <c r="AG3682" s="16">
        <f>SUMPRODUCT(N3682:Y3682,$N$6:$Y$6)*$K3682*$L3682*$M3682</f>
        <v/>
      </c>
      <c r="AH3682" s="20" t="n"/>
    </row>
    <row r="3683">
      <c r="A3683" s="9" t="n">
        <v>701568</v>
      </c>
      <c r="B3683" s="9" t="inlineStr">
        <is>
          <t>Justin Meis</t>
        </is>
      </c>
      <c r="C3683" s="9" t="inlineStr">
        <is>
          <t>PIT</t>
        </is>
      </c>
      <c r="D3683" s="9" t="n">
        <v>25</v>
      </c>
      <c r="E3683" s="18" t="inlineStr">
        <is>
          <t>R</t>
        </is>
      </c>
      <c r="F3683" s="18" t="n"/>
      <c r="G3683" s="9" t="n">
        <v>136.3816666666667</v>
      </c>
      <c r="H3683" s="9" t="n">
        <v>136.3816666666667</v>
      </c>
      <c r="I3683" s="9" t="inlineStr">
        <is>
          <t>Depth (no MLB IP)</t>
        </is>
      </c>
      <c r="J3683" s="18" t="inlineStr">
        <is>
          <t>Opening Day</t>
        </is>
      </c>
      <c r="K3683" s="11">
        <f>IFERROR(INDEX(Roles!$B$17:$B$20,MATCH(J3683,Roles!$A$17:$A$20,0)),1)</f>
        <v/>
      </c>
      <c r="L3683" s="19" t="n">
        <v>1</v>
      </c>
      <c r="M3683" s="11" t="n">
        <v>1</v>
      </c>
      <c r="N3683" s="19" t="n"/>
      <c r="O3683" s="19" t="n"/>
      <c r="P3683" s="19" t="n"/>
      <c r="Q3683" s="19" t="n"/>
      <c r="R3683" s="19" t="n"/>
      <c r="S3683" s="19" t="n"/>
      <c r="T3683" s="19" t="n"/>
      <c r="U3683" s="19" t="n"/>
      <c r="V3683" s="19" t="n"/>
      <c r="W3683" s="19" t="n"/>
      <c r="X3683" s="19" t="n"/>
      <c r="Y3683" s="19" t="n">
        <v>1</v>
      </c>
      <c r="Z3683" s="13">
        <f>SUMPRODUCT(N3683:Y3683,$N$2:$Y$2)*$K3683*$L3683*$M3683</f>
        <v/>
      </c>
      <c r="AA3683" s="14">
        <f>SUM(N3683:Y3683)</f>
        <v/>
      </c>
      <c r="AB3683" s="13">
        <f>SUMPRODUCT(N3683:Y3683,$N$3:$Y$3)*$K3683*$L3683*$M3683</f>
        <v/>
      </c>
      <c r="AC3683" s="13">
        <f>SUMPRODUCT(N3683:Y3683,$N$4:$Y$4)*$K3683*$L3683*$M3683</f>
        <v/>
      </c>
      <c r="AD3683" s="15" t="n">
        <v>3</v>
      </c>
      <c r="AE3683" s="11" t="n">
        <v>1.011296296296296</v>
      </c>
      <c r="AF3683" s="16">
        <f>SUMPRODUCT(N3683:Y3683,$N$5:$Y$5)*$K3683*$L3683*$M3683</f>
        <v/>
      </c>
      <c r="AG3683" s="16">
        <f>SUMPRODUCT(N3683:Y3683,$N$6:$Y$6)*$K3683*$L3683*$M3683</f>
        <v/>
      </c>
      <c r="AH3683" s="20" t="n"/>
    </row>
    <row r="3684">
      <c r="A3684" s="9" t="n">
        <v>676881</v>
      </c>
      <c r="B3684" s="9" t="inlineStr">
        <is>
          <t>Garrett Schoenle</t>
        </is>
      </c>
      <c r="C3684" s="9" t="inlineStr">
        <is>
          <t>CWS</t>
        </is>
      </c>
      <c r="D3684" s="9" t="n">
        <v>25</v>
      </c>
      <c r="E3684" s="18" t="inlineStr">
        <is>
          <t>L</t>
        </is>
      </c>
      <c r="F3684" s="18" t="n"/>
      <c r="G3684" s="9" t="n">
        <v>136.3816666666667</v>
      </c>
      <c r="H3684" s="9" t="n">
        <v>136.3816666666667</v>
      </c>
      <c r="I3684" s="9" t="inlineStr">
        <is>
          <t>Depth (no MLB IP)</t>
        </is>
      </c>
      <c r="J3684" s="18" t="inlineStr">
        <is>
          <t>Opening Day</t>
        </is>
      </c>
      <c r="K3684" s="11">
        <f>IFERROR(INDEX(Roles!$B$17:$B$20,MATCH(J3684,Roles!$A$17:$A$20,0)),1)</f>
        <v/>
      </c>
      <c r="L3684" s="19" t="n">
        <v>1</v>
      </c>
      <c r="M3684" s="11" t="n">
        <v>1</v>
      </c>
      <c r="N3684" s="19" t="n"/>
      <c r="O3684" s="19" t="n"/>
      <c r="P3684" s="19" t="n"/>
      <c r="Q3684" s="19" t="n"/>
      <c r="R3684" s="19" t="n"/>
      <c r="S3684" s="19" t="n"/>
      <c r="T3684" s="19" t="n"/>
      <c r="U3684" s="19" t="n"/>
      <c r="V3684" s="19" t="n"/>
      <c r="W3684" s="19" t="n"/>
      <c r="X3684" s="19" t="n"/>
      <c r="Y3684" s="19" t="n">
        <v>1</v>
      </c>
      <c r="Z3684" s="13">
        <f>SUMPRODUCT(N3684:Y3684,$N$2:$Y$2)*$K3684*$L3684*$M3684</f>
        <v/>
      </c>
      <c r="AA3684" s="14">
        <f>SUM(N3684:Y3684)</f>
        <v/>
      </c>
      <c r="AB3684" s="13">
        <f>SUMPRODUCT(N3684:Y3684,$N$3:$Y$3)*$K3684*$L3684*$M3684</f>
        <v/>
      </c>
      <c r="AC3684" s="13">
        <f>SUMPRODUCT(N3684:Y3684,$N$4:$Y$4)*$K3684*$L3684*$M3684</f>
        <v/>
      </c>
      <c r="AD3684" s="15" t="n">
        <v>3</v>
      </c>
      <c r="AE3684" s="11" t="n">
        <v>1.011296296296296</v>
      </c>
      <c r="AF3684" s="16">
        <f>SUMPRODUCT(N3684:Y3684,$N$5:$Y$5)*$K3684*$L3684*$M3684</f>
        <v/>
      </c>
      <c r="AG3684" s="16">
        <f>SUMPRODUCT(N3684:Y3684,$N$6:$Y$6)*$K3684*$L3684*$M3684</f>
        <v/>
      </c>
      <c r="AH3684" s="20" t="n"/>
    </row>
    <row r="3685">
      <c r="A3685" s="9" t="n">
        <v>657611</v>
      </c>
      <c r="B3685" s="9" t="inlineStr">
        <is>
          <t>Cam Hill</t>
        </is>
      </c>
      <c r="C3685" s="9" t="inlineStr">
        <is>
          <t>TB</t>
        </is>
      </c>
      <c r="D3685" s="9" t="n">
        <v>25</v>
      </c>
      <c r="E3685" s="18" t="inlineStr">
        <is>
          <t>R</t>
        </is>
      </c>
      <c r="F3685" s="18" t="n"/>
      <c r="G3685" s="9" t="n">
        <v>136.3816666666667</v>
      </c>
      <c r="H3685" s="9" t="n">
        <v>136.3816666666667</v>
      </c>
      <c r="I3685" s="9" t="inlineStr">
        <is>
          <t>Depth (no MLB IP)</t>
        </is>
      </c>
      <c r="J3685" s="18" t="inlineStr">
        <is>
          <t>Opening Day</t>
        </is>
      </c>
      <c r="K3685" s="11">
        <f>IFERROR(INDEX(Roles!$B$17:$B$20,MATCH(J3685,Roles!$A$17:$A$20,0)),1)</f>
        <v/>
      </c>
      <c r="L3685" s="19" t="n">
        <v>1</v>
      </c>
      <c r="M3685" s="11" t="n">
        <v>1</v>
      </c>
      <c r="N3685" s="19" t="n"/>
      <c r="O3685" s="19" t="n"/>
      <c r="P3685" s="19" t="n"/>
      <c r="Q3685" s="19" t="n"/>
      <c r="R3685" s="19" t="n"/>
      <c r="S3685" s="19" t="n"/>
      <c r="T3685" s="19" t="n"/>
      <c r="U3685" s="19" t="n"/>
      <c r="V3685" s="19" t="n"/>
      <c r="W3685" s="19" t="n"/>
      <c r="X3685" s="19" t="n"/>
      <c r="Y3685" s="19" t="n">
        <v>1</v>
      </c>
      <c r="Z3685" s="13">
        <f>SUMPRODUCT(N3685:Y3685,$N$2:$Y$2)*$K3685*$L3685*$M3685</f>
        <v/>
      </c>
      <c r="AA3685" s="14">
        <f>SUM(N3685:Y3685)</f>
        <v/>
      </c>
      <c r="AB3685" s="13">
        <f>SUMPRODUCT(N3685:Y3685,$N$3:$Y$3)*$K3685*$L3685*$M3685</f>
        <v/>
      </c>
      <c r="AC3685" s="13">
        <f>SUMPRODUCT(N3685:Y3685,$N$4:$Y$4)*$K3685*$L3685*$M3685</f>
        <v/>
      </c>
      <c r="AD3685" s="15" t="n">
        <v>3</v>
      </c>
      <c r="AE3685" s="11" t="n">
        <v>1.011296296296296</v>
      </c>
      <c r="AF3685" s="16">
        <f>SUMPRODUCT(N3685:Y3685,$N$5:$Y$5)*$K3685*$L3685*$M3685</f>
        <v/>
      </c>
      <c r="AG3685" s="16">
        <f>SUMPRODUCT(N3685:Y3685,$N$6:$Y$6)*$K3685*$L3685*$M3685</f>
        <v/>
      </c>
      <c r="AH3685" s="20" t="n"/>
    </row>
    <row r="3686">
      <c r="A3686" s="9" t="n">
        <v>695761</v>
      </c>
      <c r="B3686" s="9" t="inlineStr">
        <is>
          <t>Kenya Huggins</t>
        </is>
      </c>
      <c r="C3686" s="9" t="inlineStr">
        <is>
          <t>OAK</t>
        </is>
      </c>
      <c r="D3686" s="9" t="n">
        <v>25</v>
      </c>
      <c r="E3686" s="18" t="inlineStr">
        <is>
          <t>R</t>
        </is>
      </c>
      <c r="F3686" s="18" t="n"/>
      <c r="G3686" s="9" t="n">
        <v>136.955</v>
      </c>
      <c r="H3686" s="9" t="n">
        <v>136.955</v>
      </c>
      <c r="I3686" s="9" t="inlineStr">
        <is>
          <t>Depth (no MLB IP)</t>
        </is>
      </c>
      <c r="J3686" s="18" t="inlineStr">
        <is>
          <t>Opening Day</t>
        </is>
      </c>
      <c r="K3686" s="11">
        <f>IFERROR(INDEX(Roles!$B$17:$B$20,MATCH(J3686,Roles!$A$17:$A$20,0)),1)</f>
        <v/>
      </c>
      <c r="L3686" s="19" t="n">
        <v>1</v>
      </c>
      <c r="M3686" s="11" t="n">
        <v>1</v>
      </c>
      <c r="N3686" s="19" t="n"/>
      <c r="O3686" s="19" t="n"/>
      <c r="P3686" s="19" t="n"/>
      <c r="Q3686" s="19" t="n"/>
      <c r="R3686" s="19" t="n"/>
      <c r="S3686" s="19" t="n"/>
      <c r="T3686" s="19" t="n"/>
      <c r="U3686" s="19" t="n"/>
      <c r="V3686" s="19" t="n"/>
      <c r="W3686" s="19" t="n"/>
      <c r="X3686" s="19" t="n"/>
      <c r="Y3686" s="19" t="n">
        <v>1</v>
      </c>
      <c r="Z3686" s="13">
        <f>SUMPRODUCT(N3686:Y3686,$N$2:$Y$2)*$K3686*$L3686*$M3686</f>
        <v/>
      </c>
      <c r="AA3686" s="14">
        <f>SUM(N3686:Y3686)</f>
        <v/>
      </c>
      <c r="AB3686" s="13">
        <f>SUMPRODUCT(N3686:Y3686,$N$3:$Y$3)*$K3686*$L3686*$M3686</f>
        <v/>
      </c>
      <c r="AC3686" s="13">
        <f>SUMPRODUCT(N3686:Y3686,$N$4:$Y$4)*$K3686*$L3686*$M3686</f>
        <v/>
      </c>
      <c r="AD3686" s="15" t="n">
        <v>3</v>
      </c>
      <c r="AE3686" s="11" t="n">
        <v>1.011296296296296</v>
      </c>
      <c r="AF3686" s="16">
        <f>SUMPRODUCT(N3686:Y3686,$N$5:$Y$5)*$K3686*$L3686*$M3686</f>
        <v/>
      </c>
      <c r="AG3686" s="16">
        <f>SUMPRODUCT(N3686:Y3686,$N$6:$Y$6)*$K3686*$L3686*$M3686</f>
        <v/>
      </c>
      <c r="AH3686" s="20" t="n"/>
    </row>
    <row r="3687">
      <c r="A3687" s="9" t="n">
        <v>814490</v>
      </c>
      <c r="B3687" s="9" t="inlineStr">
        <is>
          <t>Ethan Pecko</t>
        </is>
      </c>
      <c r="C3687" s="9" t="inlineStr">
        <is>
          <t>HOU</t>
        </is>
      </c>
      <c r="D3687" s="9" t="n">
        <v>24</v>
      </c>
      <c r="E3687" s="18" t="inlineStr">
        <is>
          <t>R</t>
        </is>
      </c>
      <c r="F3687" s="18" t="n"/>
      <c r="G3687" s="9" t="n">
        <v>140</v>
      </c>
      <c r="H3687" s="9" t="n">
        <v>140</v>
      </c>
      <c r="I3687" s="9" t="inlineStr">
        <is>
          <t>Swing Arm / Long Relief</t>
        </is>
      </c>
      <c r="J3687" s="18" t="inlineStr">
        <is>
          <t>Opening Day</t>
        </is>
      </c>
      <c r="K3687" s="11">
        <f>IFERROR(INDEX(Roles!$B$17:$B$20,MATCH(J3687,Roles!$A$17:$A$20,0)),1)</f>
        <v/>
      </c>
      <c r="L3687" s="19" t="n">
        <v>1</v>
      </c>
      <c r="M3687" s="11" t="n">
        <v>1</v>
      </c>
      <c r="N3687" s="19" t="n"/>
      <c r="O3687" s="19" t="n"/>
      <c r="P3687" s="19" t="n"/>
      <c r="Q3687" s="19" t="n"/>
      <c r="R3687" s="19" t="n">
        <v>0.5</v>
      </c>
      <c r="S3687" s="19" t="n"/>
      <c r="T3687" s="19" t="n"/>
      <c r="U3687" s="19" t="n"/>
      <c r="V3687" s="19" t="n">
        <v>0.5</v>
      </c>
      <c r="W3687" s="19" t="n"/>
      <c r="X3687" s="19" t="n"/>
      <c r="Y3687" s="19" t="n"/>
      <c r="Z3687" s="13">
        <f>SUMPRODUCT(N3687:Y3687,$N$2:$Y$2)*$K3687*$L3687*$M3687</f>
        <v/>
      </c>
      <c r="AA3687" s="14">
        <f>SUM(N3687:Y3687)</f>
        <v/>
      </c>
      <c r="AB3687" s="13">
        <f>SUMPRODUCT(N3687:Y3687,$N$3:$Y$3)*$K3687*$L3687*$M3687</f>
        <v/>
      </c>
      <c r="AC3687" s="13">
        <f>SUMPRODUCT(N3687:Y3687,$N$4:$Y$4)*$K3687*$L3687*$M3687</f>
        <v/>
      </c>
      <c r="AD3687" s="15" t="n">
        <v>12.93333333333333</v>
      </c>
      <c r="AE3687" s="11" t="n">
        <v>3.099043715846995</v>
      </c>
      <c r="AF3687" s="16">
        <f>SUMPRODUCT(N3687:Y3687,$N$5:$Y$5)*$K3687*$L3687*$M3687</f>
        <v/>
      </c>
      <c r="AG3687" s="16">
        <f>SUMPRODUCT(N3687:Y3687,$N$6:$Y$6)*$K3687*$L3687*$M3687</f>
        <v/>
      </c>
      <c r="AH3687" s="20" t="n"/>
    </row>
    <row r="3688">
      <c r="A3688" s="9" t="n">
        <v>682126</v>
      </c>
      <c r="B3688" s="9" t="inlineStr">
        <is>
          <t>Evan Reifert</t>
        </is>
      </c>
      <c r="C3688" s="9" t="inlineStr">
        <is>
          <t>TB</t>
        </is>
      </c>
      <c r="D3688" s="9" t="n">
        <v>25</v>
      </c>
      <c r="E3688" s="18" t="inlineStr">
        <is>
          <t>R</t>
        </is>
      </c>
      <c r="F3688" s="18" t="n"/>
      <c r="G3688" s="9" t="n">
        <v>137.17</v>
      </c>
      <c r="H3688" s="9" t="n">
        <v>137.17</v>
      </c>
      <c r="I3688" s="9" t="inlineStr">
        <is>
          <t>Depth (no MLB IP)</t>
        </is>
      </c>
      <c r="J3688" s="18" t="inlineStr">
        <is>
          <t>Opening Day</t>
        </is>
      </c>
      <c r="K3688" s="11">
        <f>IFERROR(INDEX(Roles!$B$17:$B$20,MATCH(J3688,Roles!$A$17:$A$20,0)),1)</f>
        <v/>
      </c>
      <c r="L3688" s="19" t="n">
        <v>1</v>
      </c>
      <c r="M3688" s="11" t="n">
        <v>1</v>
      </c>
      <c r="N3688" s="19" t="n"/>
      <c r="O3688" s="19" t="n"/>
      <c r="P3688" s="19" t="n"/>
      <c r="Q3688" s="19" t="n"/>
      <c r="R3688" s="19" t="n"/>
      <c r="S3688" s="19" t="n"/>
      <c r="T3688" s="19" t="n"/>
      <c r="U3688" s="19" t="n"/>
      <c r="V3688" s="19" t="n"/>
      <c r="W3688" s="19" t="n"/>
      <c r="X3688" s="19" t="n"/>
      <c r="Y3688" s="19" t="n">
        <v>1</v>
      </c>
      <c r="Z3688" s="13">
        <f>SUMPRODUCT(N3688:Y3688,$N$2:$Y$2)*$K3688*$L3688*$M3688</f>
        <v/>
      </c>
      <c r="AA3688" s="14">
        <f>SUM(N3688:Y3688)</f>
        <v/>
      </c>
      <c r="AB3688" s="13">
        <f>SUMPRODUCT(N3688:Y3688,$N$3:$Y$3)*$K3688*$L3688*$M3688</f>
        <v/>
      </c>
      <c r="AC3688" s="13">
        <f>SUMPRODUCT(N3688:Y3688,$N$4:$Y$4)*$K3688*$L3688*$M3688</f>
        <v/>
      </c>
      <c r="AD3688" s="15" t="n">
        <v>3</v>
      </c>
      <c r="AE3688" s="11" t="n">
        <v>1.011296296296296</v>
      </c>
      <c r="AF3688" s="16">
        <f>SUMPRODUCT(N3688:Y3688,$N$5:$Y$5)*$K3688*$L3688*$M3688</f>
        <v/>
      </c>
      <c r="AG3688" s="16">
        <f>SUMPRODUCT(N3688:Y3688,$N$6:$Y$6)*$K3688*$L3688*$M3688</f>
        <v/>
      </c>
      <c r="AH3688" s="20" t="n"/>
    </row>
    <row r="3689">
      <c r="A3689" s="9" t="n">
        <v>822161</v>
      </c>
      <c r="B3689" s="9" t="inlineStr">
        <is>
          <t>R.J. Gordon</t>
        </is>
      </c>
      <c r="C3689" s="9" t="inlineStr">
        <is>
          <t>NYM</t>
        </is>
      </c>
      <c r="D3689" s="9" t="n">
        <v>25</v>
      </c>
      <c r="E3689" s="18" t="inlineStr">
        <is>
          <t>R</t>
        </is>
      </c>
      <c r="F3689" s="18" t="n"/>
      <c r="G3689" s="9" t="n">
        <v>137.4566666666666</v>
      </c>
      <c r="H3689" s="9" t="n">
        <v>137.4566666666666</v>
      </c>
      <c r="I3689" s="9" t="inlineStr">
        <is>
          <t>Depth (no MLB IP)</t>
        </is>
      </c>
      <c r="J3689" s="18" t="inlineStr">
        <is>
          <t>Opening Day</t>
        </is>
      </c>
      <c r="K3689" s="11">
        <f>IFERROR(INDEX(Roles!$B$17:$B$20,MATCH(J3689,Roles!$A$17:$A$20,0)),1)</f>
        <v/>
      </c>
      <c r="L3689" s="19" t="n">
        <v>1</v>
      </c>
      <c r="M3689" s="11" t="n">
        <v>1</v>
      </c>
      <c r="N3689" s="19" t="n"/>
      <c r="O3689" s="19" t="n"/>
      <c r="P3689" s="19" t="n"/>
      <c r="Q3689" s="19" t="n"/>
      <c r="R3689" s="19" t="n"/>
      <c r="S3689" s="19" t="n"/>
      <c r="T3689" s="19" t="n"/>
      <c r="U3689" s="19" t="n"/>
      <c r="V3689" s="19" t="n"/>
      <c r="W3689" s="19" t="n"/>
      <c r="X3689" s="19" t="n"/>
      <c r="Y3689" s="19" t="n">
        <v>1</v>
      </c>
      <c r="Z3689" s="13">
        <f>SUMPRODUCT(N3689:Y3689,$N$2:$Y$2)*$K3689*$L3689*$M3689</f>
        <v/>
      </c>
      <c r="AA3689" s="14">
        <f>SUM(N3689:Y3689)</f>
        <v/>
      </c>
      <c r="AB3689" s="13">
        <f>SUMPRODUCT(N3689:Y3689,$N$3:$Y$3)*$K3689*$L3689*$M3689</f>
        <v/>
      </c>
      <c r="AC3689" s="13">
        <f>SUMPRODUCT(N3689:Y3689,$N$4:$Y$4)*$K3689*$L3689*$M3689</f>
        <v/>
      </c>
      <c r="AD3689" s="15" t="n">
        <v>3</v>
      </c>
      <c r="AE3689" s="11" t="n">
        <v>1.011296296296296</v>
      </c>
      <c r="AF3689" s="16">
        <f>SUMPRODUCT(N3689:Y3689,$N$5:$Y$5)*$K3689*$L3689*$M3689</f>
        <v/>
      </c>
      <c r="AG3689" s="16">
        <f>SUMPRODUCT(N3689:Y3689,$N$6:$Y$6)*$K3689*$L3689*$M3689</f>
        <v/>
      </c>
      <c r="AH3689" s="20" t="n"/>
    </row>
    <row r="3690">
      <c r="A3690" s="9" t="n">
        <v>694395</v>
      </c>
      <c r="B3690" s="9" t="inlineStr">
        <is>
          <t>Dylan MacLean</t>
        </is>
      </c>
      <c r="C3690" s="9" t="inlineStr">
        <is>
          <t>TEX</t>
        </is>
      </c>
      <c r="D3690" s="9" t="n">
        <v>25</v>
      </c>
      <c r="E3690" s="18" t="inlineStr">
        <is>
          <t>L</t>
        </is>
      </c>
      <c r="F3690" s="18" t="n"/>
      <c r="G3690" s="9" t="n">
        <v>137.4566666666666</v>
      </c>
      <c r="H3690" s="9" t="n">
        <v>137.4566666666666</v>
      </c>
      <c r="I3690" s="9" t="inlineStr">
        <is>
          <t>Depth (no MLB IP)</t>
        </is>
      </c>
      <c r="J3690" s="18" t="inlineStr">
        <is>
          <t>Opening Day</t>
        </is>
      </c>
      <c r="K3690" s="11">
        <f>IFERROR(INDEX(Roles!$B$17:$B$20,MATCH(J3690,Roles!$A$17:$A$20,0)),1)</f>
        <v/>
      </c>
      <c r="L3690" s="19" t="n">
        <v>1</v>
      </c>
      <c r="M3690" s="11" t="n">
        <v>1</v>
      </c>
      <c r="N3690" s="19" t="n"/>
      <c r="O3690" s="19" t="n"/>
      <c r="P3690" s="19" t="n"/>
      <c r="Q3690" s="19" t="n"/>
      <c r="R3690" s="19" t="n"/>
      <c r="S3690" s="19" t="n"/>
      <c r="T3690" s="19" t="n"/>
      <c r="U3690" s="19" t="n"/>
      <c r="V3690" s="19" t="n"/>
      <c r="W3690" s="19" t="n"/>
      <c r="X3690" s="19" t="n"/>
      <c r="Y3690" s="19" t="n">
        <v>1</v>
      </c>
      <c r="Z3690" s="13">
        <f>SUMPRODUCT(N3690:Y3690,$N$2:$Y$2)*$K3690*$L3690*$M3690</f>
        <v/>
      </c>
      <c r="AA3690" s="14">
        <f>SUM(N3690:Y3690)</f>
        <v/>
      </c>
      <c r="AB3690" s="13">
        <f>SUMPRODUCT(N3690:Y3690,$N$3:$Y$3)*$K3690*$L3690*$M3690</f>
        <v/>
      </c>
      <c r="AC3690" s="13">
        <f>SUMPRODUCT(N3690:Y3690,$N$4:$Y$4)*$K3690*$L3690*$M3690</f>
        <v/>
      </c>
      <c r="AD3690" s="15" t="n">
        <v>3</v>
      </c>
      <c r="AE3690" s="11" t="n">
        <v>1.011296296296296</v>
      </c>
      <c r="AF3690" s="16">
        <f>SUMPRODUCT(N3690:Y3690,$N$5:$Y$5)*$K3690*$L3690*$M3690</f>
        <v/>
      </c>
      <c r="AG3690" s="16">
        <f>SUMPRODUCT(N3690:Y3690,$N$6:$Y$6)*$K3690*$L3690*$M3690</f>
        <v/>
      </c>
      <c r="AH3690" s="20" t="n"/>
    </row>
    <row r="3691">
      <c r="A3691" s="9" t="n">
        <v>592229</v>
      </c>
      <c r="B3691" s="9" t="inlineStr">
        <is>
          <t>Dylan Covey</t>
        </is>
      </c>
      <c r="C3691" s="9" t="inlineStr">
        <is>
          <t>PHI</t>
        </is>
      </c>
      <c r="D3691" s="9" t="n">
        <v>35</v>
      </c>
      <c r="E3691" s="18" t="inlineStr">
        <is>
          <t>R</t>
        </is>
      </c>
      <c r="F3691" s="18" t="n"/>
      <c r="G3691" s="9" t="n">
        <v>191</v>
      </c>
      <c r="H3691" s="9" t="n">
        <v>191</v>
      </c>
      <c r="I3691" s="9" t="inlineStr">
        <is>
          <t>Depth (no MLB IP)</t>
        </is>
      </c>
      <c r="J3691" s="18" t="inlineStr">
        <is>
          <t>Opening Day</t>
        </is>
      </c>
      <c r="K3691" s="11">
        <f>IFERROR(INDEX(Roles!$B$17:$B$20,MATCH(J3691,Roles!$A$17:$A$20,0)),1)</f>
        <v/>
      </c>
      <c r="L3691" s="19" t="n">
        <v>1</v>
      </c>
      <c r="M3691" s="11" t="n">
        <v>1</v>
      </c>
      <c r="N3691" s="19" t="n"/>
      <c r="O3691" s="19" t="n"/>
      <c r="P3691" s="19" t="n"/>
      <c r="Q3691" s="19" t="n"/>
      <c r="R3691" s="19" t="n"/>
      <c r="S3691" s="19" t="n"/>
      <c r="T3691" s="19" t="n"/>
      <c r="U3691" s="19" t="n"/>
      <c r="V3691" s="19" t="n"/>
      <c r="W3691" s="19" t="n"/>
      <c r="X3691" s="19" t="n"/>
      <c r="Y3691" s="19" t="n">
        <v>1</v>
      </c>
      <c r="Z3691" s="13">
        <f>SUMPRODUCT(N3691:Y3691,$N$2:$Y$2)*$K3691*$L3691*$M3691</f>
        <v/>
      </c>
      <c r="AA3691" s="14">
        <f>SUM(N3691:Y3691)</f>
        <v/>
      </c>
      <c r="AB3691" s="13">
        <f>SUMPRODUCT(N3691:Y3691,$N$3:$Y$3)*$K3691*$L3691*$M3691</f>
        <v/>
      </c>
      <c r="AC3691" s="13">
        <f>SUMPRODUCT(N3691:Y3691,$N$4:$Y$4)*$K3691*$L3691*$M3691</f>
        <v/>
      </c>
      <c r="AD3691" s="15" t="n">
        <v>3</v>
      </c>
      <c r="AE3691" s="11" t="n">
        <v>1.011296296296296</v>
      </c>
      <c r="AF3691" s="16">
        <f>SUMPRODUCT(N3691:Y3691,$N$5:$Y$5)*$K3691*$L3691*$M3691</f>
        <v/>
      </c>
      <c r="AG3691" s="16">
        <f>SUMPRODUCT(N3691:Y3691,$N$6:$Y$6)*$K3691*$L3691*$M3691</f>
        <v/>
      </c>
      <c r="AH3691" s="20" t="n"/>
    </row>
    <row r="3692">
      <c r="A3692" s="9" t="n">
        <v>682897</v>
      </c>
      <c r="B3692" s="9" t="inlineStr">
        <is>
          <t>Steven Pérez</t>
        </is>
      </c>
      <c r="C3692" s="9" t="inlineStr">
        <is>
          <t>CLE</t>
        </is>
      </c>
      <c r="D3692" s="9" t="n">
        <v>25</v>
      </c>
      <c r="E3692" s="18" t="inlineStr">
        <is>
          <t>L</t>
        </is>
      </c>
      <c r="F3692" s="18" t="n"/>
      <c r="G3692" s="9" t="n">
        <v>137.9583333333333</v>
      </c>
      <c r="H3692" s="9" t="n">
        <v>137.9583333333333</v>
      </c>
      <c r="I3692" s="9" t="inlineStr">
        <is>
          <t>Depth (no MLB IP)</t>
        </is>
      </c>
      <c r="J3692" s="18" t="inlineStr">
        <is>
          <t>Opening Day</t>
        </is>
      </c>
      <c r="K3692" s="11">
        <f>IFERROR(INDEX(Roles!$B$17:$B$20,MATCH(J3692,Roles!$A$17:$A$20,0)),1)</f>
        <v/>
      </c>
      <c r="L3692" s="19" t="n">
        <v>1</v>
      </c>
      <c r="M3692" s="11" t="n">
        <v>1</v>
      </c>
      <c r="N3692" s="19" t="n"/>
      <c r="O3692" s="19" t="n"/>
      <c r="P3692" s="19" t="n"/>
      <c r="Q3692" s="19" t="n"/>
      <c r="R3692" s="19" t="n"/>
      <c r="S3692" s="19" t="n"/>
      <c r="T3692" s="19" t="n"/>
      <c r="U3692" s="19" t="n"/>
      <c r="V3692" s="19" t="n"/>
      <c r="W3692" s="19" t="n"/>
      <c r="X3692" s="19" t="n"/>
      <c r="Y3692" s="19" t="n">
        <v>1</v>
      </c>
      <c r="Z3692" s="13">
        <f>SUMPRODUCT(N3692:Y3692,$N$2:$Y$2)*$K3692*$L3692*$M3692</f>
        <v/>
      </c>
      <c r="AA3692" s="14">
        <f>SUM(N3692:Y3692)</f>
        <v/>
      </c>
      <c r="AB3692" s="13">
        <f>SUMPRODUCT(N3692:Y3692,$N$3:$Y$3)*$K3692*$L3692*$M3692</f>
        <v/>
      </c>
      <c r="AC3692" s="13">
        <f>SUMPRODUCT(N3692:Y3692,$N$4:$Y$4)*$K3692*$L3692*$M3692</f>
        <v/>
      </c>
      <c r="AD3692" s="15" t="n">
        <v>3</v>
      </c>
      <c r="AE3692" s="11" t="n">
        <v>1.011296296296296</v>
      </c>
      <c r="AF3692" s="16">
        <f>SUMPRODUCT(N3692:Y3692,$N$5:$Y$5)*$K3692*$L3692*$M3692</f>
        <v/>
      </c>
      <c r="AG3692" s="16">
        <f>SUMPRODUCT(N3692:Y3692,$N$6:$Y$6)*$K3692*$L3692*$M3692</f>
        <v/>
      </c>
      <c r="AH3692" s="20" t="n"/>
    </row>
    <row r="3693">
      <c r="A3693" s="9" t="n">
        <v>699314</v>
      </c>
      <c r="B3693" s="9" t="inlineStr">
        <is>
          <t>David Davalillo</t>
        </is>
      </c>
      <c r="C3693" s="9" t="inlineStr">
        <is>
          <t>TEX</t>
        </is>
      </c>
      <c r="D3693" s="9" t="n">
        <v>25</v>
      </c>
      <c r="E3693" s="18" t="inlineStr">
        <is>
          <t>R</t>
        </is>
      </c>
      <c r="F3693" s="18" t="n"/>
      <c r="G3693" s="9" t="n">
        <v>137.9583333333333</v>
      </c>
      <c r="H3693" s="9" t="n">
        <v>137.9583333333333</v>
      </c>
      <c r="I3693" s="9" t="inlineStr">
        <is>
          <t>Depth (no MLB IP)</t>
        </is>
      </c>
      <c r="J3693" s="18" t="inlineStr">
        <is>
          <t>Opening Day</t>
        </is>
      </c>
      <c r="K3693" s="11">
        <f>IFERROR(INDEX(Roles!$B$17:$B$20,MATCH(J3693,Roles!$A$17:$A$20,0)),1)</f>
        <v/>
      </c>
      <c r="L3693" s="19" t="n">
        <v>1</v>
      </c>
      <c r="M3693" s="11" t="n">
        <v>1</v>
      </c>
      <c r="N3693" s="19" t="n"/>
      <c r="O3693" s="19" t="n"/>
      <c r="P3693" s="19" t="n"/>
      <c r="Q3693" s="19" t="n"/>
      <c r="R3693" s="19" t="n"/>
      <c r="S3693" s="19" t="n"/>
      <c r="T3693" s="19" t="n"/>
      <c r="U3693" s="19" t="n"/>
      <c r="V3693" s="19" t="n"/>
      <c r="W3693" s="19" t="n"/>
      <c r="X3693" s="19" t="n"/>
      <c r="Y3693" s="19" t="n">
        <v>1</v>
      </c>
      <c r="Z3693" s="13">
        <f>SUMPRODUCT(N3693:Y3693,$N$2:$Y$2)*$K3693*$L3693*$M3693</f>
        <v/>
      </c>
      <c r="AA3693" s="14">
        <f>SUM(N3693:Y3693)</f>
        <v/>
      </c>
      <c r="AB3693" s="13">
        <f>SUMPRODUCT(N3693:Y3693,$N$3:$Y$3)*$K3693*$L3693*$M3693</f>
        <v/>
      </c>
      <c r="AC3693" s="13">
        <f>SUMPRODUCT(N3693:Y3693,$N$4:$Y$4)*$K3693*$L3693*$M3693</f>
        <v/>
      </c>
      <c r="AD3693" s="15" t="n">
        <v>3</v>
      </c>
      <c r="AE3693" s="11" t="n">
        <v>1.011296296296296</v>
      </c>
      <c r="AF3693" s="16">
        <f>SUMPRODUCT(N3693:Y3693,$N$5:$Y$5)*$K3693*$L3693*$M3693</f>
        <v/>
      </c>
      <c r="AG3693" s="16">
        <f>SUMPRODUCT(N3693:Y3693,$N$6:$Y$6)*$K3693*$L3693*$M3693</f>
        <v/>
      </c>
      <c r="AH3693" s="20" t="n"/>
    </row>
    <row r="3694">
      <c r="A3694" s="9" t="n">
        <v>696524</v>
      </c>
      <c r="B3694" s="9" t="inlineStr">
        <is>
          <t>Evan Yates</t>
        </is>
      </c>
      <c r="C3694" s="9" t="inlineStr">
        <is>
          <t>BAL</t>
        </is>
      </c>
      <c r="D3694" s="9" t="n">
        <v>25</v>
      </c>
      <c r="E3694" s="18" t="inlineStr">
        <is>
          <t>R</t>
        </is>
      </c>
      <c r="F3694" s="18" t="n"/>
      <c r="G3694" s="9" t="n">
        <v>137.9583333333333</v>
      </c>
      <c r="H3694" s="9" t="n">
        <v>137.9583333333333</v>
      </c>
      <c r="I3694" s="9" t="inlineStr">
        <is>
          <t>Depth (no MLB IP)</t>
        </is>
      </c>
      <c r="J3694" s="18" t="inlineStr">
        <is>
          <t>Opening Day</t>
        </is>
      </c>
      <c r="K3694" s="11">
        <f>IFERROR(INDEX(Roles!$B$17:$B$20,MATCH(J3694,Roles!$A$17:$A$20,0)),1)</f>
        <v/>
      </c>
      <c r="L3694" s="19" t="n">
        <v>1</v>
      </c>
      <c r="M3694" s="11" t="n">
        <v>1</v>
      </c>
      <c r="N3694" s="19" t="n"/>
      <c r="O3694" s="19" t="n"/>
      <c r="P3694" s="19" t="n"/>
      <c r="Q3694" s="19" t="n"/>
      <c r="R3694" s="19" t="n"/>
      <c r="S3694" s="19" t="n"/>
      <c r="T3694" s="19" t="n"/>
      <c r="U3694" s="19" t="n"/>
      <c r="V3694" s="19" t="n"/>
      <c r="W3694" s="19" t="n"/>
      <c r="X3694" s="19" t="n"/>
      <c r="Y3694" s="19" t="n">
        <v>1</v>
      </c>
      <c r="Z3694" s="13">
        <f>SUMPRODUCT(N3694:Y3694,$N$2:$Y$2)*$K3694*$L3694*$M3694</f>
        <v/>
      </c>
      <c r="AA3694" s="14">
        <f>SUM(N3694:Y3694)</f>
        <v/>
      </c>
      <c r="AB3694" s="13">
        <f>SUMPRODUCT(N3694:Y3694,$N$3:$Y$3)*$K3694*$L3694*$M3694</f>
        <v/>
      </c>
      <c r="AC3694" s="13">
        <f>SUMPRODUCT(N3694:Y3694,$N$4:$Y$4)*$K3694*$L3694*$M3694</f>
        <v/>
      </c>
      <c r="AD3694" s="15" t="n">
        <v>3</v>
      </c>
      <c r="AE3694" s="11" t="n">
        <v>1.011296296296296</v>
      </c>
      <c r="AF3694" s="16">
        <f>SUMPRODUCT(N3694:Y3694,$N$5:$Y$5)*$K3694*$L3694*$M3694</f>
        <v/>
      </c>
      <c r="AG3694" s="16">
        <f>SUMPRODUCT(N3694:Y3694,$N$6:$Y$6)*$K3694*$L3694*$M3694</f>
        <v/>
      </c>
      <c r="AH3694" s="20" t="n"/>
    </row>
    <row r="3695">
      <c r="A3695" s="9" t="n">
        <v>547001</v>
      </c>
      <c r="B3695" s="9" t="inlineStr">
        <is>
          <t>Cody Poteet</t>
        </is>
      </c>
      <c r="C3695" s="9" t="inlineStr">
        <is>
          <t>NYY</t>
        </is>
      </c>
      <c r="D3695" s="9" t="n">
        <v>32</v>
      </c>
      <c r="E3695" s="18" t="inlineStr">
        <is>
          <t>R</t>
        </is>
      </c>
      <c r="F3695" s="18" t="n"/>
      <c r="G3695" s="9" t="n">
        <v>16</v>
      </c>
      <c r="H3695" s="9" t="n">
        <v>226</v>
      </c>
      <c r="I3695" s="9" t="inlineStr">
        <is>
          <t>Depth (no MLB IP)</t>
        </is>
      </c>
      <c r="J3695" s="18" t="inlineStr">
        <is>
          <t>Opening Day</t>
        </is>
      </c>
      <c r="K3695" s="11">
        <f>IFERROR(INDEX(Roles!$B$17:$B$20,MATCH(J3695,Roles!$A$17:$A$20,0)),1)</f>
        <v/>
      </c>
      <c r="L3695" s="19" t="n">
        <v>1</v>
      </c>
      <c r="M3695" s="11" t="n">
        <v>1</v>
      </c>
      <c r="N3695" s="19" t="n"/>
      <c r="O3695" s="19" t="n"/>
      <c r="P3695" s="19" t="n"/>
      <c r="Q3695" s="19" t="n"/>
      <c r="R3695" s="19" t="n"/>
      <c r="S3695" s="19" t="n"/>
      <c r="T3695" s="19" t="n"/>
      <c r="U3695" s="19" t="n"/>
      <c r="V3695" s="19" t="n"/>
      <c r="W3695" s="19" t="n"/>
      <c r="X3695" s="19" t="n"/>
      <c r="Y3695" s="19" t="n">
        <v>1</v>
      </c>
      <c r="Z3695" s="13">
        <f>SUMPRODUCT(N3695:Y3695,$N$2:$Y$2)*$K3695*$L3695*$M3695</f>
        <v/>
      </c>
      <c r="AA3695" s="14">
        <f>SUM(N3695:Y3695)</f>
        <v/>
      </c>
      <c r="AB3695" s="13">
        <f>SUMPRODUCT(N3695:Y3695,$N$3:$Y$3)*$K3695*$L3695*$M3695</f>
        <v/>
      </c>
      <c r="AC3695" s="13">
        <f>SUMPRODUCT(N3695:Y3695,$N$4:$Y$4)*$K3695*$L3695*$M3695</f>
        <v/>
      </c>
      <c r="AD3695" s="15" t="n">
        <v>2.6</v>
      </c>
      <c r="AE3695" s="11" t="n">
        <v>2.08689594356261</v>
      </c>
      <c r="AF3695" s="16">
        <f>SUMPRODUCT(N3695:Y3695,$N$5:$Y$5)*$K3695*$L3695*$M3695</f>
        <v/>
      </c>
      <c r="AG3695" s="16">
        <f>SUMPRODUCT(N3695:Y3695,$N$6:$Y$6)*$K3695*$L3695*$M3695</f>
        <v/>
      </c>
      <c r="AH3695" s="20" t="n"/>
    </row>
    <row r="3696">
      <c r="A3696" s="9" t="n">
        <v>666619</v>
      </c>
      <c r="B3696" s="9" t="inlineStr">
        <is>
          <t>Gregory Santos</t>
        </is>
      </c>
      <c r="C3696" s="9" t="inlineStr">
        <is>
          <t>SEA</t>
        </is>
      </c>
      <c r="D3696" s="9" t="n">
        <v>27</v>
      </c>
      <c r="E3696" s="18" t="inlineStr">
        <is>
          <t>R</t>
        </is>
      </c>
      <c r="F3696" s="18" t="n"/>
      <c r="G3696" s="9" t="n">
        <v>22</v>
      </c>
      <c r="H3696" s="9" t="n">
        <v>395</v>
      </c>
      <c r="I3696" s="9" t="inlineStr">
        <is>
          <t>Bullpen Depth Arm</t>
        </is>
      </c>
      <c r="J3696" s="18" t="inlineStr">
        <is>
          <t>Opening Day</t>
        </is>
      </c>
      <c r="K3696" s="11">
        <f>IFERROR(INDEX(Roles!$B$17:$B$20,MATCH(J3696,Roles!$A$17:$A$20,0)),1)</f>
        <v/>
      </c>
      <c r="L3696" s="19" t="n">
        <v>1</v>
      </c>
      <c r="M3696" s="11" t="n">
        <v>1</v>
      </c>
      <c r="N3696" s="19" t="n"/>
      <c r="O3696" s="19" t="n"/>
      <c r="P3696" s="19" t="n"/>
      <c r="Q3696" s="19" t="n"/>
      <c r="R3696" s="19" t="n"/>
      <c r="S3696" s="19" t="n"/>
      <c r="T3696" s="19" t="n"/>
      <c r="U3696" s="19" t="n"/>
      <c r="V3696" s="19" t="n"/>
      <c r="W3696" s="19" t="n">
        <v>1</v>
      </c>
      <c r="X3696" s="19" t="n"/>
      <c r="Y3696" s="19" t="n"/>
      <c r="Z3696" s="13">
        <f>SUMPRODUCT(N3696:Y3696,$N$2:$Y$2)*$K3696*$L3696*$M3696</f>
        <v/>
      </c>
      <c r="AA3696" s="14">
        <f>SUM(N3696:Y3696)</f>
        <v/>
      </c>
      <c r="AB3696" s="13">
        <f>SUMPRODUCT(N3696:Y3696,$N$3:$Y$3)*$K3696*$L3696*$M3696</f>
        <v/>
      </c>
      <c r="AC3696" s="13">
        <f>SUMPRODUCT(N3696:Y3696,$N$4:$Y$4)*$K3696*$L3696*$M3696</f>
        <v/>
      </c>
      <c r="AD3696" s="15" t="n">
        <v>8.966666666666665</v>
      </c>
      <c r="AE3696" s="11" t="n">
        <v>1.168510501843835</v>
      </c>
      <c r="AF3696" s="16">
        <f>SUMPRODUCT(N3696:Y3696,$N$5:$Y$5)*$K3696*$L3696*$M3696</f>
        <v/>
      </c>
      <c r="AG3696" s="16">
        <f>SUMPRODUCT(N3696:Y3696,$N$6:$Y$6)*$K3696*$L3696*$M3696</f>
        <v/>
      </c>
      <c r="AH3696" s="20" t="n"/>
    </row>
    <row r="3697">
      <c r="A3697" s="9" t="n">
        <v>683681</v>
      </c>
      <c r="B3697" s="9" t="inlineStr">
        <is>
          <t>Jose Gonzalez</t>
        </is>
      </c>
      <c r="C3697" s="9" t="inlineStr">
        <is>
          <t>LAA</t>
        </is>
      </c>
      <c r="D3697" s="9" t="n">
        <v>25</v>
      </c>
      <c r="E3697" s="18" t="inlineStr">
        <is>
          <t>R</t>
        </is>
      </c>
      <c r="F3697" s="18" t="n"/>
      <c r="G3697" s="9" t="n">
        <v>138.46</v>
      </c>
      <c r="H3697" s="9" t="n">
        <v>138.46</v>
      </c>
      <c r="I3697" s="9" t="inlineStr">
        <is>
          <t>Depth (no MLB IP)</t>
        </is>
      </c>
      <c r="J3697" s="18" t="inlineStr">
        <is>
          <t>Opening Day</t>
        </is>
      </c>
      <c r="K3697" s="11">
        <f>IFERROR(INDEX(Roles!$B$17:$B$20,MATCH(J3697,Roles!$A$17:$A$20,0)),1)</f>
        <v/>
      </c>
      <c r="L3697" s="19" t="n">
        <v>1</v>
      </c>
      <c r="M3697" s="11" t="n">
        <v>1</v>
      </c>
      <c r="N3697" s="19" t="n"/>
      <c r="O3697" s="19" t="n"/>
      <c r="P3697" s="19" t="n"/>
      <c r="Q3697" s="19" t="n"/>
      <c r="R3697" s="19" t="n"/>
      <c r="S3697" s="19" t="n"/>
      <c r="T3697" s="19" t="n"/>
      <c r="U3697" s="19" t="n"/>
      <c r="V3697" s="19" t="n"/>
      <c r="W3697" s="19" t="n"/>
      <c r="X3697" s="19" t="n"/>
      <c r="Y3697" s="19" t="n">
        <v>1</v>
      </c>
      <c r="Z3697" s="13">
        <f>SUMPRODUCT(N3697:Y3697,$N$2:$Y$2)*$K3697*$L3697*$M3697</f>
        <v/>
      </c>
      <c r="AA3697" s="14">
        <f>SUM(N3697:Y3697)</f>
        <v/>
      </c>
      <c r="AB3697" s="13">
        <f>SUMPRODUCT(N3697:Y3697,$N$3:$Y$3)*$K3697*$L3697*$M3697</f>
        <v/>
      </c>
      <c r="AC3697" s="13">
        <f>SUMPRODUCT(N3697:Y3697,$N$4:$Y$4)*$K3697*$L3697*$M3697</f>
        <v/>
      </c>
      <c r="AD3697" s="15" t="n">
        <v>3</v>
      </c>
      <c r="AE3697" s="11" t="n">
        <v>1.011296296296296</v>
      </c>
      <c r="AF3697" s="16">
        <f>SUMPRODUCT(N3697:Y3697,$N$5:$Y$5)*$K3697*$L3697*$M3697</f>
        <v/>
      </c>
      <c r="AG3697" s="16">
        <f>SUMPRODUCT(N3697:Y3697,$N$6:$Y$6)*$K3697*$L3697*$M3697</f>
        <v/>
      </c>
      <c r="AH3697" s="20" t="n"/>
    </row>
    <row r="3698">
      <c r="A3698" s="9" t="n">
        <v>660844</v>
      </c>
      <c r="B3698" s="9" t="inlineStr">
        <is>
          <t>Leo Rivas</t>
        </is>
      </c>
      <c r="C3698" s="9" t="inlineStr">
        <is>
          <t>SEA</t>
        </is>
      </c>
      <c r="D3698" s="9" t="n">
        <v>29</v>
      </c>
      <c r="E3698" s="18" t="inlineStr">
        <is>
          <t>R</t>
        </is>
      </c>
      <c r="F3698" s="18" t="n"/>
      <c r="G3698" s="9" t="n">
        <v>13</v>
      </c>
      <c r="H3698" s="9" t="n">
        <v>28</v>
      </c>
      <c r="I3698" s="9" t="inlineStr">
        <is>
          <t>Depth (no MLB IP)</t>
        </is>
      </c>
      <c r="J3698" s="18" t="inlineStr">
        <is>
          <t>Opening Day</t>
        </is>
      </c>
      <c r="K3698" s="11">
        <f>IFERROR(INDEX(Roles!$B$17:$B$20,MATCH(J3698,Roles!$A$17:$A$20,0)),1)</f>
        <v/>
      </c>
      <c r="L3698" s="19" t="n">
        <v>1</v>
      </c>
      <c r="M3698" s="11" t="n">
        <v>1</v>
      </c>
      <c r="N3698" s="19" t="n"/>
      <c r="O3698" s="19" t="n"/>
      <c r="P3698" s="19" t="n"/>
      <c r="Q3698" s="19" t="n"/>
      <c r="R3698" s="19" t="n"/>
      <c r="S3698" s="19" t="n"/>
      <c r="T3698" s="19" t="n"/>
      <c r="U3698" s="19" t="n"/>
      <c r="V3698" s="19" t="n"/>
      <c r="W3698" s="19" t="n"/>
      <c r="X3698" s="19" t="n"/>
      <c r="Y3698" s="19" t="n">
        <v>1</v>
      </c>
      <c r="Z3698" s="13">
        <f>SUMPRODUCT(N3698:Y3698,$N$2:$Y$2)*$K3698*$L3698*$M3698</f>
        <v/>
      </c>
      <c r="AA3698" s="14">
        <f>SUM(N3698:Y3698)</f>
        <v/>
      </c>
      <c r="AB3698" s="13">
        <f>SUMPRODUCT(N3698:Y3698,$N$3:$Y$3)*$K3698*$L3698*$M3698</f>
        <v/>
      </c>
      <c r="AC3698" s="13">
        <f>SUMPRODUCT(N3698:Y3698,$N$4:$Y$4)*$K3698*$L3698*$M3698</f>
        <v/>
      </c>
      <c r="AD3698" s="15" t="n">
        <v>1.9</v>
      </c>
      <c r="AE3698" s="11" t="n">
        <v>1.007530864197531</v>
      </c>
      <c r="AF3698" s="16">
        <f>SUMPRODUCT(N3698:Y3698,$N$5:$Y$5)*$K3698*$L3698*$M3698</f>
        <v/>
      </c>
      <c r="AG3698" s="16">
        <f>SUMPRODUCT(N3698:Y3698,$N$6:$Y$6)*$K3698*$L3698*$M3698</f>
        <v/>
      </c>
      <c r="AH3698" s="20" t="n"/>
    </row>
    <row r="3699">
      <c r="A3699" s="9" t="n">
        <v>646242</v>
      </c>
      <c r="B3699" s="9" t="inlineStr">
        <is>
          <t>Jhonathan Díaz</t>
        </is>
      </c>
      <c r="C3699" s="9" t="inlineStr">
        <is>
          <t>SEA</t>
        </is>
      </c>
      <c r="D3699" s="9" t="n">
        <v>30</v>
      </c>
      <c r="E3699" s="18" t="inlineStr">
        <is>
          <t>L</t>
        </is>
      </c>
      <c r="F3699" s="18" t="n"/>
      <c r="G3699" s="9" t="n">
        <v>6</v>
      </c>
      <c r="H3699" s="9" t="n">
        <v>166</v>
      </c>
      <c r="I3699" s="9" t="inlineStr">
        <is>
          <t>Depth (no MLB IP)</t>
        </is>
      </c>
      <c r="J3699" s="18" t="inlineStr">
        <is>
          <t>Opening Day</t>
        </is>
      </c>
      <c r="K3699" s="11">
        <f>IFERROR(INDEX(Roles!$B$17:$B$20,MATCH(J3699,Roles!$A$17:$A$20,0)),1)</f>
        <v/>
      </c>
      <c r="L3699" s="19" t="n">
        <v>1</v>
      </c>
      <c r="M3699" s="11" t="n">
        <v>1</v>
      </c>
      <c r="N3699" s="19" t="n"/>
      <c r="O3699" s="19" t="n"/>
      <c r="P3699" s="19" t="n"/>
      <c r="Q3699" s="19" t="n"/>
      <c r="R3699" s="19" t="n"/>
      <c r="S3699" s="19" t="n"/>
      <c r="T3699" s="19" t="n"/>
      <c r="U3699" s="19" t="n"/>
      <c r="V3699" s="19" t="n"/>
      <c r="W3699" s="19" t="n"/>
      <c r="X3699" s="19" t="n"/>
      <c r="Y3699" s="19" t="n">
        <v>1</v>
      </c>
      <c r="Z3699" s="13">
        <f>SUMPRODUCT(N3699:Y3699,$N$2:$Y$2)*$K3699*$L3699*$M3699</f>
        <v/>
      </c>
      <c r="AA3699" s="14">
        <f>SUM(N3699:Y3699)</f>
        <v/>
      </c>
      <c r="AB3699" s="13">
        <f>SUMPRODUCT(N3699:Y3699,$N$3:$Y$3)*$K3699*$L3699*$M3699</f>
        <v/>
      </c>
      <c r="AC3699" s="13">
        <f>SUMPRODUCT(N3699:Y3699,$N$4:$Y$4)*$K3699*$L3699*$M3699</f>
        <v/>
      </c>
      <c r="AD3699" s="15" t="n">
        <v>2.2</v>
      </c>
      <c r="AE3699" s="11" t="n">
        <v>1.218641975308641</v>
      </c>
      <c r="AF3699" s="16">
        <f>SUMPRODUCT(N3699:Y3699,$N$5:$Y$5)*$K3699*$L3699*$M3699</f>
        <v/>
      </c>
      <c r="AG3699" s="16">
        <f>SUMPRODUCT(N3699:Y3699,$N$6:$Y$6)*$K3699*$L3699*$M3699</f>
        <v/>
      </c>
      <c r="AH3699" s="20" t="n"/>
    </row>
    <row r="3700">
      <c r="A3700" s="9" t="n">
        <v>605182</v>
      </c>
      <c r="B3700" s="9" t="inlineStr">
        <is>
          <t>Mike Clevinger</t>
        </is>
      </c>
      <c r="C3700" s="9" t="inlineStr">
        <is>
          <t>CWS</t>
        </is>
      </c>
      <c r="D3700" s="9" t="n">
        <v>36</v>
      </c>
      <c r="E3700" s="18" t="inlineStr">
        <is>
          <t>R</t>
        </is>
      </c>
      <c r="F3700" s="18" t="n"/>
      <c r="G3700" s="9" t="n">
        <v>31</v>
      </c>
      <c r="H3700" s="9" t="n">
        <v>1143</v>
      </c>
      <c r="I3700" s="9" t="inlineStr">
        <is>
          <t>Bullpen Depth Arm</t>
        </is>
      </c>
      <c r="J3700" s="18" t="inlineStr">
        <is>
          <t>Opening Day</t>
        </is>
      </c>
      <c r="K3700" s="11">
        <f>IFERROR(INDEX(Roles!$B$17:$B$20,MATCH(J3700,Roles!$A$17:$A$20,0)),1)</f>
        <v/>
      </c>
      <c r="L3700" s="19" t="n">
        <v>1</v>
      </c>
      <c r="M3700" s="11" t="n">
        <v>1</v>
      </c>
      <c r="N3700" s="19" t="n"/>
      <c r="O3700" s="19" t="n"/>
      <c r="P3700" s="19" t="n"/>
      <c r="Q3700" s="19" t="n"/>
      <c r="R3700" s="19" t="n"/>
      <c r="S3700" s="19" t="n"/>
      <c r="T3700" s="19" t="n"/>
      <c r="U3700" s="19" t="n"/>
      <c r="V3700" s="19" t="n"/>
      <c r="W3700" s="19" t="n">
        <v>1</v>
      </c>
      <c r="X3700" s="19" t="n"/>
      <c r="Y3700" s="19" t="n"/>
      <c r="Z3700" s="13">
        <f>SUMPRODUCT(N3700:Y3700,$N$2:$Y$2)*$K3700*$L3700*$M3700</f>
        <v/>
      </c>
      <c r="AA3700" s="14">
        <f>SUM(N3700:Y3700)</f>
        <v/>
      </c>
      <c r="AB3700" s="13">
        <f>SUMPRODUCT(N3700:Y3700,$N$3:$Y$3)*$K3700*$L3700*$M3700</f>
        <v/>
      </c>
      <c r="AC3700" s="13">
        <f>SUMPRODUCT(N3700:Y3700,$N$4:$Y$4)*$K3700*$L3700*$M3700</f>
        <v/>
      </c>
      <c r="AD3700" s="15" t="n">
        <v>9.666666666666666</v>
      </c>
      <c r="AE3700" s="11" t="n">
        <v>1.257062690396024</v>
      </c>
      <c r="AF3700" s="16">
        <f>SUMPRODUCT(N3700:Y3700,$N$5:$Y$5)*$K3700*$L3700*$M3700</f>
        <v/>
      </c>
      <c r="AG3700" s="16">
        <f>SUMPRODUCT(N3700:Y3700,$N$6:$Y$6)*$K3700*$L3700*$M3700</f>
        <v/>
      </c>
      <c r="AH3700" s="20" t="n"/>
    </row>
    <row r="3701">
      <c r="A3701" s="9" t="n">
        <v>676249</v>
      </c>
      <c r="B3701" s="9" t="inlineStr">
        <is>
          <t>Adisyn Coffey</t>
        </is>
      </c>
      <c r="C3701" s="9" t="inlineStr">
        <is>
          <t>CWS</t>
        </is>
      </c>
      <c r="D3701" s="9" t="n">
        <v>25</v>
      </c>
      <c r="E3701" s="18" t="inlineStr">
        <is>
          <t>R</t>
        </is>
      </c>
      <c r="F3701" s="18" t="n"/>
      <c r="G3701" s="9" t="n">
        <v>138.7466666666667</v>
      </c>
      <c r="H3701" s="9" t="n">
        <v>138.7466666666667</v>
      </c>
      <c r="I3701" s="9" t="inlineStr">
        <is>
          <t>Depth (no MLB IP)</t>
        </is>
      </c>
      <c r="J3701" s="18" t="inlineStr">
        <is>
          <t>Opening Day</t>
        </is>
      </c>
      <c r="K3701" s="11">
        <f>IFERROR(INDEX(Roles!$B$17:$B$20,MATCH(J3701,Roles!$A$17:$A$20,0)),1)</f>
        <v/>
      </c>
      <c r="L3701" s="19" t="n">
        <v>1</v>
      </c>
      <c r="M3701" s="11" t="n">
        <v>1</v>
      </c>
      <c r="N3701" s="19" t="n"/>
      <c r="O3701" s="19" t="n"/>
      <c r="P3701" s="19" t="n"/>
      <c r="Q3701" s="19" t="n"/>
      <c r="R3701" s="19" t="n"/>
      <c r="S3701" s="19" t="n"/>
      <c r="T3701" s="19" t="n"/>
      <c r="U3701" s="19" t="n"/>
      <c r="V3701" s="19" t="n"/>
      <c r="W3701" s="19" t="n"/>
      <c r="X3701" s="19" t="n"/>
      <c r="Y3701" s="19" t="n">
        <v>1</v>
      </c>
      <c r="Z3701" s="13">
        <f>SUMPRODUCT(N3701:Y3701,$N$2:$Y$2)*$K3701*$L3701*$M3701</f>
        <v/>
      </c>
      <c r="AA3701" s="14">
        <f>SUM(N3701:Y3701)</f>
        <v/>
      </c>
      <c r="AB3701" s="13">
        <f>SUMPRODUCT(N3701:Y3701,$N$3:$Y$3)*$K3701*$L3701*$M3701</f>
        <v/>
      </c>
      <c r="AC3701" s="13">
        <f>SUMPRODUCT(N3701:Y3701,$N$4:$Y$4)*$K3701*$L3701*$M3701</f>
        <v/>
      </c>
      <c r="AD3701" s="15" t="n">
        <v>3</v>
      </c>
      <c r="AE3701" s="11" t="n">
        <v>1.011296296296296</v>
      </c>
      <c r="AF3701" s="16">
        <f>SUMPRODUCT(N3701:Y3701,$N$5:$Y$5)*$K3701*$L3701*$M3701</f>
        <v/>
      </c>
      <c r="AG3701" s="16">
        <f>SUMPRODUCT(N3701:Y3701,$N$6:$Y$6)*$K3701*$L3701*$M3701</f>
        <v/>
      </c>
      <c r="AH3701" s="20" t="n"/>
    </row>
    <row r="3702">
      <c r="A3702" s="9" t="n">
        <v>686294</v>
      </c>
      <c r="B3702" s="9" t="inlineStr">
        <is>
          <t>Amos Willingham</t>
        </is>
      </c>
      <c r="C3702" s="9" t="inlineStr">
        <is>
          <t>WSH</t>
        </is>
      </c>
      <c r="D3702" s="9" t="n">
        <v>28</v>
      </c>
      <c r="E3702" s="18" t="inlineStr">
        <is>
          <t>R</t>
        </is>
      </c>
      <c r="F3702" s="18" t="n"/>
      <c r="G3702" s="9" t="n">
        <v>5</v>
      </c>
      <c r="H3702" s="9" t="n">
        <v>121</v>
      </c>
      <c r="I3702" s="9" t="inlineStr">
        <is>
          <t>Depth (no MLB IP)</t>
        </is>
      </c>
      <c r="J3702" s="18" t="inlineStr">
        <is>
          <t>Opening Day</t>
        </is>
      </c>
      <c r="K3702" s="11">
        <f>IFERROR(INDEX(Roles!$B$17:$B$20,MATCH(J3702,Roles!$A$17:$A$20,0)),1)</f>
        <v/>
      </c>
      <c r="L3702" s="19" t="n">
        <v>1</v>
      </c>
      <c r="M3702" s="11" t="n">
        <v>1</v>
      </c>
      <c r="N3702" s="19" t="n"/>
      <c r="O3702" s="19" t="n"/>
      <c r="P3702" s="19" t="n"/>
      <c r="Q3702" s="19" t="n"/>
      <c r="R3702" s="19" t="n"/>
      <c r="S3702" s="19" t="n"/>
      <c r="T3702" s="19" t="n"/>
      <c r="U3702" s="19" t="n"/>
      <c r="V3702" s="19" t="n"/>
      <c r="W3702" s="19" t="n"/>
      <c r="X3702" s="19" t="n"/>
      <c r="Y3702" s="19" t="n">
        <v>1</v>
      </c>
      <c r="Z3702" s="13">
        <f>SUMPRODUCT(N3702:Y3702,$N$2:$Y$2)*$K3702*$L3702*$M3702</f>
        <v/>
      </c>
      <c r="AA3702" s="14">
        <f>SUM(N3702:Y3702)</f>
        <v/>
      </c>
      <c r="AB3702" s="13">
        <f>SUMPRODUCT(N3702:Y3702,$N$3:$Y$3)*$K3702*$L3702*$M3702</f>
        <v/>
      </c>
      <c r="AC3702" s="13">
        <f>SUMPRODUCT(N3702:Y3702,$N$4:$Y$4)*$K3702*$L3702*$M3702</f>
        <v/>
      </c>
      <c r="AD3702" s="15" t="n">
        <v>1.8</v>
      </c>
      <c r="AE3702" s="11" t="n">
        <v>1.007530864197531</v>
      </c>
      <c r="AF3702" s="16">
        <f>SUMPRODUCT(N3702:Y3702,$N$5:$Y$5)*$K3702*$L3702*$M3702</f>
        <v/>
      </c>
      <c r="AG3702" s="16">
        <f>SUMPRODUCT(N3702:Y3702,$N$6:$Y$6)*$K3702*$L3702*$M3702</f>
        <v/>
      </c>
      <c r="AH3702" s="20" t="n"/>
    </row>
    <row r="3703">
      <c r="A3703" s="9" t="n">
        <v>806334</v>
      </c>
      <c r="B3703" s="9" t="inlineStr">
        <is>
          <t>Alex Amalfi</t>
        </is>
      </c>
      <c r="C3703" s="9" t="inlineStr">
        <is>
          <t>TOR</t>
        </is>
      </c>
      <c r="D3703" s="9" t="n">
        <v>25</v>
      </c>
      <c r="E3703" s="18" t="inlineStr">
        <is>
          <t>R</t>
        </is>
      </c>
      <c r="F3703" s="18" t="n"/>
      <c r="G3703" s="9" t="n">
        <v>138.9616666666666</v>
      </c>
      <c r="H3703" s="9" t="n">
        <v>138.9616666666666</v>
      </c>
      <c r="I3703" s="9" t="inlineStr">
        <is>
          <t>Depth (no MLB IP)</t>
        </is>
      </c>
      <c r="J3703" s="18" t="inlineStr">
        <is>
          <t>Opening Day</t>
        </is>
      </c>
      <c r="K3703" s="11">
        <f>IFERROR(INDEX(Roles!$B$17:$B$20,MATCH(J3703,Roles!$A$17:$A$20,0)),1)</f>
        <v/>
      </c>
      <c r="L3703" s="19" t="n">
        <v>1</v>
      </c>
      <c r="M3703" s="11" t="n">
        <v>1</v>
      </c>
      <c r="N3703" s="19" t="n"/>
      <c r="O3703" s="19" t="n"/>
      <c r="P3703" s="19" t="n"/>
      <c r="Q3703" s="19" t="n"/>
      <c r="R3703" s="19" t="n"/>
      <c r="S3703" s="19" t="n"/>
      <c r="T3703" s="19" t="n"/>
      <c r="U3703" s="19" t="n"/>
      <c r="V3703" s="19" t="n"/>
      <c r="W3703" s="19" t="n"/>
      <c r="X3703" s="19" t="n"/>
      <c r="Y3703" s="19" t="n">
        <v>1</v>
      </c>
      <c r="Z3703" s="13">
        <f>SUMPRODUCT(N3703:Y3703,$N$2:$Y$2)*$K3703*$L3703*$M3703</f>
        <v/>
      </c>
      <c r="AA3703" s="14">
        <f>SUM(N3703:Y3703)</f>
        <v/>
      </c>
      <c r="AB3703" s="13">
        <f>SUMPRODUCT(N3703:Y3703,$N$3:$Y$3)*$K3703*$L3703*$M3703</f>
        <v/>
      </c>
      <c r="AC3703" s="13">
        <f>SUMPRODUCT(N3703:Y3703,$N$4:$Y$4)*$K3703*$L3703*$M3703</f>
        <v/>
      </c>
      <c r="AD3703" s="15" t="n">
        <v>3</v>
      </c>
      <c r="AE3703" s="11" t="n">
        <v>1.011296296296296</v>
      </c>
      <c r="AF3703" s="16">
        <f>SUMPRODUCT(N3703:Y3703,$N$5:$Y$5)*$K3703*$L3703*$M3703</f>
        <v/>
      </c>
      <c r="AG3703" s="16">
        <f>SUMPRODUCT(N3703:Y3703,$N$6:$Y$6)*$K3703*$L3703*$M3703</f>
        <v/>
      </c>
      <c r="AH3703" s="20" t="n"/>
    </row>
    <row r="3704">
      <c r="A3704" s="9" t="n">
        <v>608718</v>
      </c>
      <c r="B3704" s="9" t="inlineStr">
        <is>
          <t>Brent Suter</t>
        </is>
      </c>
      <c r="C3704" s="9" t="inlineStr">
        <is>
          <t>ATL</t>
        </is>
      </c>
      <c r="D3704" s="9" t="n">
        <v>37</v>
      </c>
      <c r="E3704" s="18" t="inlineStr">
        <is>
          <t>L</t>
        </is>
      </c>
      <c r="F3704" s="18" t="n"/>
      <c r="G3704" s="9" t="n">
        <v>376</v>
      </c>
      <c r="H3704" s="9" t="n">
        <v>1501</v>
      </c>
      <c r="I3704" s="9" t="inlineStr">
        <is>
          <t>Swing Arm / Long Relief</t>
        </is>
      </c>
      <c r="J3704" s="18" t="inlineStr">
        <is>
          <t>Opening Day</t>
        </is>
      </c>
      <c r="K3704" s="11">
        <f>IFERROR(INDEX(Roles!$B$17:$B$20,MATCH(J3704,Roles!$A$17:$A$20,0)),1)</f>
        <v/>
      </c>
      <c r="L3704" s="19" t="n">
        <v>1</v>
      </c>
      <c r="M3704" s="11" t="n">
        <v>1</v>
      </c>
      <c r="N3704" s="19" t="n"/>
      <c r="O3704" s="19" t="n"/>
      <c r="P3704" s="19" t="n"/>
      <c r="Q3704" s="19" t="n"/>
      <c r="R3704" s="19" t="n">
        <v>0.6</v>
      </c>
      <c r="S3704" s="19" t="n"/>
      <c r="T3704" s="19" t="n"/>
      <c r="U3704" s="19" t="n"/>
      <c r="V3704" s="19" t="n">
        <v>0.4</v>
      </c>
      <c r="W3704" s="19" t="n"/>
      <c r="X3704" s="19" t="n"/>
      <c r="Y3704" s="19" t="n"/>
      <c r="Z3704" s="13">
        <f>SUMPRODUCT(N3704:Y3704,$N$2:$Y$2)*$K3704*$L3704*$M3704</f>
        <v/>
      </c>
      <c r="AA3704" s="14">
        <f>SUM(N3704:Y3704)</f>
        <v/>
      </c>
      <c r="AB3704" s="13">
        <f>SUMPRODUCT(N3704:Y3704,$N$3:$Y$3)*$K3704*$L3704*$M3704</f>
        <v/>
      </c>
      <c r="AC3704" s="13">
        <f>SUMPRODUCT(N3704:Y3704,$N$4:$Y$4)*$K3704*$L3704*$M3704</f>
        <v/>
      </c>
      <c r="AD3704" s="15" t="n">
        <v>38.63333333333333</v>
      </c>
      <c r="AE3704" s="11" t="n">
        <v>2.186520947176685</v>
      </c>
      <c r="AF3704" s="16">
        <f>SUMPRODUCT(N3704:Y3704,$N$5:$Y$5)*$K3704*$L3704*$M3704</f>
        <v/>
      </c>
      <c r="AG3704" s="16">
        <f>SUMPRODUCT(N3704:Y3704,$N$6:$Y$6)*$K3704*$L3704*$M3704</f>
        <v/>
      </c>
      <c r="AH3704" s="20" t="n"/>
    </row>
    <row r="3705">
      <c r="A3705" s="9" t="n">
        <v>676664</v>
      </c>
      <c r="B3705" s="9" t="inlineStr">
        <is>
          <t>JP Sears</t>
        </is>
      </c>
      <c r="C3705" s="9" t="inlineStr">
        <is>
          <t>SD</t>
        </is>
      </c>
      <c r="D3705" s="9" t="n">
        <v>31</v>
      </c>
      <c r="E3705" s="18" t="inlineStr">
        <is>
          <t>L</t>
        </is>
      </c>
      <c r="F3705" s="18" t="n"/>
      <c r="G3705" s="9" t="n">
        <v>143</v>
      </c>
      <c r="H3705" s="9" t="n">
        <v>2507</v>
      </c>
      <c r="I3705" s="9" t="inlineStr">
        <is>
          <t>Mid-Rotation Starter (SP2-3)</t>
        </is>
      </c>
      <c r="J3705" s="18" t="inlineStr">
        <is>
          <t>Opening Day</t>
        </is>
      </c>
      <c r="K3705" s="11">
        <f>IFERROR(INDEX(Roles!$B$17:$B$20,MATCH(J3705,Roles!$A$17:$A$20,0)),1)</f>
        <v/>
      </c>
      <c r="L3705" s="19" t="n">
        <v>1</v>
      </c>
      <c r="M3705" s="11" t="n">
        <v>1</v>
      </c>
      <c r="N3705" s="19" t="n"/>
      <c r="O3705" s="19" t="n">
        <v>1</v>
      </c>
      <c r="P3705" s="19" t="n"/>
      <c r="Q3705" s="19" t="n"/>
      <c r="R3705" s="19" t="n"/>
      <c r="S3705" s="19" t="n"/>
      <c r="T3705" s="19" t="n"/>
      <c r="U3705" s="19" t="n"/>
      <c r="V3705" s="19" t="n"/>
      <c r="W3705" s="19" t="n"/>
      <c r="X3705" s="19" t="n"/>
      <c r="Y3705" s="19" t="n"/>
      <c r="Z3705" s="13">
        <f>SUMPRODUCT(N3705:Y3705,$N$2:$Y$2)*$K3705*$L3705*$M3705</f>
        <v/>
      </c>
      <c r="AA3705" s="14">
        <f>SUM(N3705:Y3705)</f>
        <v/>
      </c>
      <c r="AB3705" s="13">
        <f>SUMPRODUCT(N3705:Y3705,$N$3:$Y$3)*$K3705*$L3705*$M3705</f>
        <v/>
      </c>
      <c r="AC3705" s="13">
        <f>SUMPRODUCT(N3705:Y3705,$N$4:$Y$4)*$K3705*$L3705*$M3705</f>
        <v/>
      </c>
      <c r="AD3705" s="15" t="n">
        <v>21.4</v>
      </c>
      <c r="AE3705" s="11" t="n">
        <v>5.136200716845879</v>
      </c>
      <c r="AF3705" s="16">
        <f>SUMPRODUCT(N3705:Y3705,$N$5:$Y$5)*$K3705*$L3705*$M3705</f>
        <v/>
      </c>
      <c r="AG3705" s="16">
        <f>SUMPRODUCT(N3705:Y3705,$N$6:$Y$6)*$K3705*$L3705*$M3705</f>
        <v/>
      </c>
      <c r="AH3705" s="20" t="n"/>
    </row>
    <row r="3706">
      <c r="A3706" s="9" t="n">
        <v>641726</v>
      </c>
      <c r="B3706" s="9" t="inlineStr">
        <is>
          <t>Daulton Jefferies</t>
        </is>
      </c>
      <c r="C3706" s="9" t="inlineStr">
        <is>
          <t>PIT</t>
        </is>
      </c>
      <c r="D3706" s="9" t="n">
        <v>31</v>
      </c>
      <c r="E3706" s="18" t="inlineStr">
        <is>
          <t>R</t>
        </is>
      </c>
      <c r="F3706" s="18" t="n"/>
      <c r="G3706" s="9" t="n">
        <v>73</v>
      </c>
      <c r="H3706" s="9" t="n">
        <v>245</v>
      </c>
      <c r="I3706" s="9" t="inlineStr">
        <is>
          <t>Depth (no MLB IP)</t>
        </is>
      </c>
      <c r="J3706" s="18" t="inlineStr">
        <is>
          <t>Opening Day</t>
        </is>
      </c>
      <c r="K3706" s="11">
        <f>IFERROR(INDEX(Roles!$B$17:$B$20,MATCH(J3706,Roles!$A$17:$A$20,0)),1)</f>
        <v/>
      </c>
      <c r="L3706" s="19" t="n">
        <v>1</v>
      </c>
      <c r="M3706" s="11" t="n">
        <v>1</v>
      </c>
      <c r="N3706" s="19" t="n"/>
      <c r="O3706" s="19" t="n"/>
      <c r="P3706" s="19" t="n"/>
      <c r="Q3706" s="19" t="n"/>
      <c r="R3706" s="19" t="n"/>
      <c r="S3706" s="19" t="n"/>
      <c r="T3706" s="19" t="n"/>
      <c r="U3706" s="19" t="n"/>
      <c r="V3706" s="19" t="n"/>
      <c r="W3706" s="19" t="n"/>
      <c r="X3706" s="19" t="n"/>
      <c r="Y3706" s="19" t="n">
        <v>1</v>
      </c>
      <c r="Z3706" s="13">
        <f>SUMPRODUCT(N3706:Y3706,$N$2:$Y$2)*$K3706*$L3706*$M3706</f>
        <v/>
      </c>
      <c r="AA3706" s="14">
        <f>SUM(N3706:Y3706)</f>
        <v/>
      </c>
      <c r="AB3706" s="13">
        <f>SUMPRODUCT(N3706:Y3706,$N$3:$Y$3)*$K3706*$L3706*$M3706</f>
        <v/>
      </c>
      <c r="AC3706" s="13">
        <f>SUMPRODUCT(N3706:Y3706,$N$4:$Y$4)*$K3706*$L3706*$M3706</f>
        <v/>
      </c>
      <c r="AD3706" s="15" t="n">
        <v>4.8</v>
      </c>
      <c r="AE3706" s="11" t="n">
        <v>1.489012345679012</v>
      </c>
      <c r="AF3706" s="16">
        <f>SUMPRODUCT(N3706:Y3706,$N$5:$Y$5)*$K3706*$L3706*$M3706</f>
        <v/>
      </c>
      <c r="AG3706" s="16">
        <f>SUMPRODUCT(N3706:Y3706,$N$6:$Y$6)*$K3706*$L3706*$M3706</f>
        <v/>
      </c>
      <c r="AH3706" s="20" t="n"/>
    </row>
    <row r="3707">
      <c r="A3707" s="9" t="n">
        <v>691414</v>
      </c>
      <c r="B3707" s="9" t="inlineStr">
        <is>
          <t>Yorman Gómez</t>
        </is>
      </c>
      <c r="C3707" s="9" t="inlineStr">
        <is>
          <t>CLE</t>
        </is>
      </c>
      <c r="D3707" s="9" t="n">
        <v>25</v>
      </c>
      <c r="E3707" s="18" t="inlineStr">
        <is>
          <t>R</t>
        </is>
      </c>
      <c r="F3707" s="18" t="n"/>
      <c r="G3707" s="9" t="n">
        <v>140.3233333333334</v>
      </c>
      <c r="H3707" s="9" t="n">
        <v>140.3233333333334</v>
      </c>
      <c r="I3707" s="9" t="inlineStr">
        <is>
          <t>Depth (no MLB IP)</t>
        </is>
      </c>
      <c r="J3707" s="18" t="inlineStr">
        <is>
          <t>Opening Day</t>
        </is>
      </c>
      <c r="K3707" s="11">
        <f>IFERROR(INDEX(Roles!$B$17:$B$20,MATCH(J3707,Roles!$A$17:$A$20,0)),1)</f>
        <v/>
      </c>
      <c r="L3707" s="19" t="n">
        <v>1</v>
      </c>
      <c r="M3707" s="11" t="n">
        <v>1</v>
      </c>
      <c r="N3707" s="19" t="n"/>
      <c r="O3707" s="19" t="n"/>
      <c r="P3707" s="19" t="n"/>
      <c r="Q3707" s="19" t="n"/>
      <c r="R3707" s="19" t="n"/>
      <c r="S3707" s="19" t="n"/>
      <c r="T3707" s="19" t="n"/>
      <c r="U3707" s="19" t="n"/>
      <c r="V3707" s="19" t="n"/>
      <c r="W3707" s="19" t="n"/>
      <c r="X3707" s="19" t="n"/>
      <c r="Y3707" s="19" t="n">
        <v>1</v>
      </c>
      <c r="Z3707" s="13">
        <f>SUMPRODUCT(N3707:Y3707,$N$2:$Y$2)*$K3707*$L3707*$M3707</f>
        <v/>
      </c>
      <c r="AA3707" s="14">
        <f>SUM(N3707:Y3707)</f>
        <v/>
      </c>
      <c r="AB3707" s="13">
        <f>SUMPRODUCT(N3707:Y3707,$N$3:$Y$3)*$K3707*$L3707*$M3707</f>
        <v/>
      </c>
      <c r="AC3707" s="13">
        <f>SUMPRODUCT(N3707:Y3707,$N$4:$Y$4)*$K3707*$L3707*$M3707</f>
        <v/>
      </c>
      <c r="AD3707" s="15" t="n">
        <v>3</v>
      </c>
      <c r="AE3707" s="11" t="n">
        <v>1.011296296296296</v>
      </c>
      <c r="AF3707" s="16">
        <f>SUMPRODUCT(N3707:Y3707,$N$5:$Y$5)*$K3707*$L3707*$M3707</f>
        <v/>
      </c>
      <c r="AG3707" s="16">
        <f>SUMPRODUCT(N3707:Y3707,$N$6:$Y$6)*$K3707*$L3707*$M3707</f>
        <v/>
      </c>
      <c r="AH3707" s="20" t="n"/>
    </row>
    <row r="3708">
      <c r="A3708" s="9" t="n">
        <v>675375</v>
      </c>
      <c r="B3708" s="9" t="inlineStr">
        <is>
          <t>Cory Lewis</t>
        </is>
      </c>
      <c r="C3708" s="9" t="inlineStr">
        <is>
          <t>MIN</t>
        </is>
      </c>
      <c r="D3708" s="9" t="n">
        <v>25</v>
      </c>
      <c r="E3708" s="18" t="inlineStr">
        <is>
          <t>R</t>
        </is>
      </c>
      <c r="F3708" s="18" t="n"/>
      <c r="G3708" s="9" t="n">
        <v>140.9683333333333</v>
      </c>
      <c r="H3708" s="9" t="n">
        <v>140.9683333333333</v>
      </c>
      <c r="I3708" s="9" t="inlineStr">
        <is>
          <t>Depth (no MLB IP)</t>
        </is>
      </c>
      <c r="J3708" s="18" t="inlineStr">
        <is>
          <t>Opening Day</t>
        </is>
      </c>
      <c r="K3708" s="11">
        <f>IFERROR(INDEX(Roles!$B$17:$B$20,MATCH(J3708,Roles!$A$17:$A$20,0)),1)</f>
        <v/>
      </c>
      <c r="L3708" s="19" t="n">
        <v>1</v>
      </c>
      <c r="M3708" s="11" t="n">
        <v>1</v>
      </c>
      <c r="N3708" s="19" t="n"/>
      <c r="O3708" s="19" t="n"/>
      <c r="P3708" s="19" t="n"/>
      <c r="Q3708" s="19" t="n"/>
      <c r="R3708" s="19" t="n"/>
      <c r="S3708" s="19" t="n"/>
      <c r="T3708" s="19" t="n"/>
      <c r="U3708" s="19" t="n"/>
      <c r="V3708" s="19" t="n"/>
      <c r="W3708" s="19" t="n"/>
      <c r="X3708" s="19" t="n"/>
      <c r="Y3708" s="19" t="n">
        <v>1</v>
      </c>
      <c r="Z3708" s="13">
        <f>SUMPRODUCT(N3708:Y3708,$N$2:$Y$2)*$K3708*$L3708*$M3708</f>
        <v/>
      </c>
      <c r="AA3708" s="14">
        <f>SUM(N3708:Y3708)</f>
        <v/>
      </c>
      <c r="AB3708" s="13">
        <f>SUMPRODUCT(N3708:Y3708,$N$3:$Y$3)*$K3708*$L3708*$M3708</f>
        <v/>
      </c>
      <c r="AC3708" s="13">
        <f>SUMPRODUCT(N3708:Y3708,$N$4:$Y$4)*$K3708*$L3708*$M3708</f>
        <v/>
      </c>
      <c r="AD3708" s="15" t="n">
        <v>3</v>
      </c>
      <c r="AE3708" s="11" t="n">
        <v>1.011296296296296</v>
      </c>
      <c r="AF3708" s="16">
        <f>SUMPRODUCT(N3708:Y3708,$N$5:$Y$5)*$K3708*$L3708*$M3708</f>
        <v/>
      </c>
      <c r="AG3708" s="16">
        <f>SUMPRODUCT(N3708:Y3708,$N$6:$Y$6)*$K3708*$L3708*$M3708</f>
        <v/>
      </c>
      <c r="AH3708" s="20" t="n"/>
    </row>
    <row r="3709">
      <c r="A3709" s="9" t="n">
        <v>680573</v>
      </c>
      <c r="B3709" s="9" t="inlineStr">
        <is>
          <t>Simeon Woods Richardson</t>
        </is>
      </c>
      <c r="C3709" s="9" t="inlineStr">
        <is>
          <t>TOR</t>
        </is>
      </c>
      <c r="D3709" s="9" t="n">
        <v>26</v>
      </c>
      <c r="E3709" s="18" t="inlineStr">
        <is>
          <t>R</t>
        </is>
      </c>
      <c r="F3709" s="18" t="n"/>
      <c r="G3709" s="9" t="n">
        <v>303</v>
      </c>
      <c r="H3709" s="9" t="n">
        <v>1387</v>
      </c>
      <c r="I3709" s="9" t="inlineStr">
        <is>
          <t>End-of-Rotation Starter (SP4-5)</t>
        </is>
      </c>
      <c r="J3709" s="18" t="inlineStr">
        <is>
          <t>Opening Day</t>
        </is>
      </c>
      <c r="K3709" s="11">
        <f>IFERROR(INDEX(Roles!$B$17:$B$20,MATCH(J3709,Roles!$A$17:$A$20,0)),1)</f>
        <v/>
      </c>
      <c r="L3709" s="19" t="n">
        <v>1</v>
      </c>
      <c r="M3709" s="11" t="n">
        <v>1</v>
      </c>
      <c r="N3709" s="19" t="n"/>
      <c r="O3709" s="19" t="n"/>
      <c r="P3709" s="19" t="n">
        <v>1</v>
      </c>
      <c r="Q3709" s="19" t="n"/>
      <c r="R3709" s="19" t="n"/>
      <c r="S3709" s="19" t="n"/>
      <c r="T3709" s="19" t="n"/>
      <c r="U3709" s="19" t="n"/>
      <c r="V3709" s="19" t="n"/>
      <c r="W3709" s="19" t="n"/>
      <c r="X3709" s="19" t="n"/>
      <c r="Y3709" s="19" t="n"/>
      <c r="Z3709" s="13">
        <f>SUMPRODUCT(N3709:Y3709,$N$2:$Y$2)*$K3709*$L3709*$M3709</f>
        <v/>
      </c>
      <c r="AA3709" s="14">
        <f>SUM(N3709:Y3709)</f>
        <v/>
      </c>
      <c r="AB3709" s="13">
        <f>SUMPRODUCT(N3709:Y3709,$N$3:$Y$3)*$K3709*$L3709*$M3709</f>
        <v/>
      </c>
      <c r="AC3709" s="13">
        <f>SUMPRODUCT(N3709:Y3709,$N$4:$Y$4)*$K3709*$L3709*$M3709</f>
        <v/>
      </c>
      <c r="AD3709" s="15" t="n">
        <v>19.8</v>
      </c>
      <c r="AE3709" s="11" t="n">
        <v>4.415975677169707</v>
      </c>
      <c r="AF3709" s="16">
        <f>SUMPRODUCT(N3709:Y3709,$N$5:$Y$5)*$K3709*$L3709*$M3709</f>
        <v/>
      </c>
      <c r="AG3709" s="16">
        <f>SUMPRODUCT(N3709:Y3709,$N$6:$Y$6)*$K3709*$L3709*$M3709</f>
        <v/>
      </c>
      <c r="AH3709" s="20" t="n"/>
    </row>
    <row r="3710">
      <c r="A3710" s="9" t="n">
        <v>800018</v>
      </c>
      <c r="B3710" s="9" t="inlineStr">
        <is>
          <t>Chen Zhong-Ao Zhuang</t>
        </is>
      </c>
      <c r="C3710" s="9" t="inlineStr">
        <is>
          <t>OAK</t>
        </is>
      </c>
      <c r="D3710" s="9" t="n">
        <v>25</v>
      </c>
      <c r="E3710" s="18" t="inlineStr">
        <is>
          <t>R</t>
        </is>
      </c>
      <c r="F3710" s="18" t="n"/>
      <c r="G3710" s="9" t="n">
        <v>141.1116666666667</v>
      </c>
      <c r="H3710" s="9" t="n">
        <v>141.1116666666667</v>
      </c>
      <c r="I3710" s="9" t="inlineStr">
        <is>
          <t>Depth (no MLB IP)</t>
        </is>
      </c>
      <c r="J3710" s="18" t="inlineStr">
        <is>
          <t>Opening Day</t>
        </is>
      </c>
      <c r="K3710" s="11">
        <f>IFERROR(INDEX(Roles!$B$17:$B$20,MATCH(J3710,Roles!$A$17:$A$20,0)),1)</f>
        <v/>
      </c>
      <c r="L3710" s="19" t="n">
        <v>1</v>
      </c>
      <c r="M3710" s="11" t="n">
        <v>1</v>
      </c>
      <c r="N3710" s="19" t="n"/>
      <c r="O3710" s="19" t="n"/>
      <c r="P3710" s="19" t="n"/>
      <c r="Q3710" s="19" t="n"/>
      <c r="R3710" s="19" t="n"/>
      <c r="S3710" s="19" t="n"/>
      <c r="T3710" s="19" t="n"/>
      <c r="U3710" s="19" t="n"/>
      <c r="V3710" s="19" t="n"/>
      <c r="W3710" s="19" t="n"/>
      <c r="X3710" s="19" t="n"/>
      <c r="Y3710" s="19" t="n">
        <v>1</v>
      </c>
      <c r="Z3710" s="13">
        <f>SUMPRODUCT(N3710:Y3710,$N$2:$Y$2)*$K3710*$L3710*$M3710</f>
        <v/>
      </c>
      <c r="AA3710" s="14">
        <f>SUM(N3710:Y3710)</f>
        <v/>
      </c>
      <c r="AB3710" s="13">
        <f>SUMPRODUCT(N3710:Y3710,$N$3:$Y$3)*$K3710*$L3710*$M3710</f>
        <v/>
      </c>
      <c r="AC3710" s="13">
        <f>SUMPRODUCT(N3710:Y3710,$N$4:$Y$4)*$K3710*$L3710*$M3710</f>
        <v/>
      </c>
      <c r="AD3710" s="15" t="n">
        <v>3</v>
      </c>
      <c r="AE3710" s="11" t="n">
        <v>1.011296296296296</v>
      </c>
      <c r="AF3710" s="16">
        <f>SUMPRODUCT(N3710:Y3710,$N$5:$Y$5)*$K3710*$L3710*$M3710</f>
        <v/>
      </c>
      <c r="AG3710" s="16">
        <f>SUMPRODUCT(N3710:Y3710,$N$6:$Y$6)*$K3710*$L3710*$M3710</f>
        <v/>
      </c>
      <c r="AH3710" s="20" t="n"/>
    </row>
    <row r="3711">
      <c r="A3711" s="9" t="n">
        <v>680689</v>
      </c>
      <c r="B3711" s="9" t="inlineStr">
        <is>
          <t>Lyon Richardson</t>
        </is>
      </c>
      <c r="C3711" s="9" t="inlineStr">
        <is>
          <t>CIN</t>
        </is>
      </c>
      <c r="D3711" s="9" t="n">
        <v>27</v>
      </c>
      <c r="E3711" s="18" t="inlineStr">
        <is>
          <t>R</t>
        </is>
      </c>
      <c r="F3711" s="18" t="n"/>
      <c r="G3711" s="9" t="n">
        <v>16</v>
      </c>
      <c r="H3711" s="9" t="n">
        <v>274</v>
      </c>
      <c r="I3711" s="9" t="inlineStr">
        <is>
          <t>Bullpen Depth Arm</t>
        </is>
      </c>
      <c r="J3711" s="18" t="inlineStr">
        <is>
          <t>Opening Day</t>
        </is>
      </c>
      <c r="K3711" s="11">
        <f>IFERROR(INDEX(Roles!$B$17:$B$20,MATCH(J3711,Roles!$A$17:$A$20,0)),1)</f>
        <v/>
      </c>
      <c r="L3711" s="19" t="n">
        <v>1</v>
      </c>
      <c r="M3711" s="11" t="n">
        <v>1</v>
      </c>
      <c r="N3711" s="19" t="n"/>
      <c r="O3711" s="19" t="n"/>
      <c r="P3711" s="19" t="n"/>
      <c r="Q3711" s="19" t="n"/>
      <c r="R3711" s="19" t="n"/>
      <c r="S3711" s="19" t="n"/>
      <c r="T3711" s="19" t="n"/>
      <c r="U3711" s="19" t="n"/>
      <c r="V3711" s="19" t="n"/>
      <c r="W3711" s="19" t="n">
        <v>1</v>
      </c>
      <c r="X3711" s="19" t="n"/>
      <c r="Y3711" s="19" t="n"/>
      <c r="Z3711" s="13">
        <f>SUMPRODUCT(N3711:Y3711,$N$2:$Y$2)*$K3711*$L3711*$M3711</f>
        <v/>
      </c>
      <c r="AA3711" s="14">
        <f>SUM(N3711:Y3711)</f>
        <v/>
      </c>
      <c r="AB3711" s="13">
        <f>SUMPRODUCT(N3711:Y3711,$N$3:$Y$3)*$K3711*$L3711*$M3711</f>
        <v/>
      </c>
      <c r="AC3711" s="13">
        <f>SUMPRODUCT(N3711:Y3711,$N$4:$Y$4)*$K3711*$L3711*$M3711</f>
        <v/>
      </c>
      <c r="AD3711" s="15" t="n">
        <v>13.46666666666666</v>
      </c>
      <c r="AE3711" s="11" t="n">
        <v>1.169028502361836</v>
      </c>
      <c r="AF3711" s="16">
        <f>SUMPRODUCT(N3711:Y3711,$N$5:$Y$5)*$K3711*$L3711*$M3711</f>
        <v/>
      </c>
      <c r="AG3711" s="16">
        <f>SUMPRODUCT(N3711:Y3711,$N$6:$Y$6)*$K3711*$L3711*$M3711</f>
        <v/>
      </c>
      <c r="AH3711" s="20" t="n"/>
    </row>
    <row r="3712">
      <c r="A3712" s="9" t="n">
        <v>696136</v>
      </c>
      <c r="B3712" s="9" t="inlineStr">
        <is>
          <t>Jordan Wicks</t>
        </is>
      </c>
      <c r="C3712" s="9" t="inlineStr">
        <is>
          <t>CHC</t>
        </is>
      </c>
      <c r="D3712" s="9" t="n">
        <v>27</v>
      </c>
      <c r="E3712" s="18" t="inlineStr">
        <is>
          <t>L</t>
        </is>
      </c>
      <c r="F3712" s="18" t="n"/>
      <c r="G3712" s="9" t="n">
        <v>50</v>
      </c>
      <c r="H3712" s="9" t="n">
        <v>476</v>
      </c>
      <c r="I3712" s="9" t="inlineStr">
        <is>
          <t>Bullpen Depth Arm</t>
        </is>
      </c>
      <c r="J3712" s="18" t="inlineStr">
        <is>
          <t>Opening Day</t>
        </is>
      </c>
      <c r="K3712" s="11">
        <f>IFERROR(INDEX(Roles!$B$17:$B$20,MATCH(J3712,Roles!$A$17:$A$20,0)),1)</f>
        <v/>
      </c>
      <c r="L3712" s="19" t="n">
        <v>1</v>
      </c>
      <c r="M3712" s="11" t="n">
        <v>1</v>
      </c>
      <c r="N3712" s="19" t="n"/>
      <c r="O3712" s="19" t="n"/>
      <c r="P3712" s="19" t="n"/>
      <c r="Q3712" s="19" t="n"/>
      <c r="R3712" s="19" t="n"/>
      <c r="S3712" s="19" t="n"/>
      <c r="T3712" s="19" t="n"/>
      <c r="U3712" s="19" t="n"/>
      <c r="V3712" s="19" t="n"/>
      <c r="W3712" s="19" t="n">
        <v>1</v>
      </c>
      <c r="X3712" s="19" t="n"/>
      <c r="Y3712" s="19" t="n"/>
      <c r="Z3712" s="13">
        <f>SUMPRODUCT(N3712:Y3712,$N$2:$Y$2)*$K3712*$L3712*$M3712</f>
        <v/>
      </c>
      <c r="AA3712" s="14">
        <f>SUM(N3712:Y3712)</f>
        <v/>
      </c>
      <c r="AB3712" s="13">
        <f>SUMPRODUCT(N3712:Y3712,$N$3:$Y$3)*$K3712*$L3712*$M3712</f>
        <v/>
      </c>
      <c r="AC3712" s="13">
        <f>SUMPRODUCT(N3712:Y3712,$N$4:$Y$4)*$K3712*$L3712*$M3712</f>
        <v/>
      </c>
      <c r="AD3712" s="15" t="n">
        <v>9.566666666666666</v>
      </c>
      <c r="AE3712" s="11" t="n">
        <v>1.704641037974371</v>
      </c>
      <c r="AF3712" s="16">
        <f>SUMPRODUCT(N3712:Y3712,$N$5:$Y$5)*$K3712*$L3712*$M3712</f>
        <v/>
      </c>
      <c r="AG3712" s="16">
        <f>SUMPRODUCT(N3712:Y3712,$N$6:$Y$6)*$K3712*$L3712*$M3712</f>
        <v/>
      </c>
      <c r="AH3712" s="20" t="n"/>
    </row>
    <row r="3713">
      <c r="A3713" s="9" t="n">
        <v>694918</v>
      </c>
      <c r="B3713" s="9" t="inlineStr">
        <is>
          <t>Blade Tidwell</t>
        </is>
      </c>
      <c r="C3713" s="9" t="inlineStr">
        <is>
          <t>SF</t>
        </is>
      </c>
      <c r="D3713" s="9" t="n">
        <v>26</v>
      </c>
      <c r="E3713" s="18" t="inlineStr">
        <is>
          <t>R</t>
        </is>
      </c>
      <c r="F3713" s="18" t="n"/>
      <c r="G3713" s="9" t="n">
        <v>235</v>
      </c>
      <c r="H3713" s="9" t="n">
        <v>313</v>
      </c>
      <c r="I3713" s="9" t="inlineStr">
        <is>
          <t>Bullpen Depth Arm</t>
        </is>
      </c>
      <c r="J3713" s="18" t="inlineStr">
        <is>
          <t>Opening Day</t>
        </is>
      </c>
      <c r="K3713" s="11">
        <f>IFERROR(INDEX(Roles!$B$17:$B$20,MATCH(J3713,Roles!$A$17:$A$20,0)),1)</f>
        <v/>
      </c>
      <c r="L3713" s="19" t="n">
        <v>1</v>
      </c>
      <c r="M3713" s="11" t="n">
        <v>1</v>
      </c>
      <c r="N3713" s="19" t="n"/>
      <c r="O3713" s="19" t="n"/>
      <c r="P3713" s="19" t="n"/>
      <c r="Q3713" s="19" t="n"/>
      <c r="R3713" s="19" t="n"/>
      <c r="S3713" s="19" t="n"/>
      <c r="T3713" s="19" t="n"/>
      <c r="U3713" s="19" t="n"/>
      <c r="V3713" s="19" t="n"/>
      <c r="W3713" s="19" t="n">
        <v>1</v>
      </c>
      <c r="X3713" s="19" t="n"/>
      <c r="Y3713" s="19" t="n"/>
      <c r="Z3713" s="13">
        <f>SUMPRODUCT(N3713:Y3713,$N$2:$Y$2)*$K3713*$L3713*$M3713</f>
        <v/>
      </c>
      <c r="AA3713" s="14">
        <f>SUM(N3713:Y3713)</f>
        <v/>
      </c>
      <c r="AB3713" s="13">
        <f>SUMPRODUCT(N3713:Y3713,$N$3:$Y$3)*$K3713*$L3713*$M3713</f>
        <v/>
      </c>
      <c r="AC3713" s="13">
        <f>SUMPRODUCT(N3713:Y3713,$N$4:$Y$4)*$K3713*$L3713*$M3713</f>
        <v/>
      </c>
      <c r="AD3713" s="15" t="n">
        <v>12.74666666666667</v>
      </c>
      <c r="AE3713" s="11" t="n">
        <v>1.931450637665327</v>
      </c>
      <c r="AF3713" s="16">
        <f>SUMPRODUCT(N3713:Y3713,$N$5:$Y$5)*$K3713*$L3713*$M3713</f>
        <v/>
      </c>
      <c r="AG3713" s="16">
        <f>SUMPRODUCT(N3713:Y3713,$N$6:$Y$6)*$K3713*$L3713*$M3713</f>
        <v/>
      </c>
      <c r="AH3713" s="20" t="n"/>
    </row>
    <row r="3714">
      <c r="A3714" s="9" t="n">
        <v>641771</v>
      </c>
      <c r="B3714" s="9" t="inlineStr">
        <is>
          <t>Chad Kuhl</t>
        </is>
      </c>
      <c r="C3714" s="9" t="inlineStr">
        <is>
          <t>CWS</t>
        </is>
      </c>
      <c r="D3714" s="9" t="n">
        <v>34</v>
      </c>
      <c r="E3714" s="18" t="inlineStr">
        <is>
          <t>R</t>
        </is>
      </c>
      <c r="F3714" s="18" t="n"/>
      <c r="G3714" s="9" t="n">
        <v>240</v>
      </c>
      <c r="H3714" s="9" t="n">
        <v>1044</v>
      </c>
      <c r="I3714" s="9" t="inlineStr">
        <is>
          <t>Depth (no MLB IP)</t>
        </is>
      </c>
      <c r="J3714" s="18" t="inlineStr">
        <is>
          <t>Opening Day</t>
        </is>
      </c>
      <c r="K3714" s="11">
        <f>IFERROR(INDEX(Roles!$B$17:$B$20,MATCH(J3714,Roles!$A$17:$A$20,0)),1)</f>
        <v/>
      </c>
      <c r="L3714" s="19" t="n">
        <v>1</v>
      </c>
      <c r="M3714" s="11" t="n">
        <v>1</v>
      </c>
      <c r="N3714" s="19" t="n"/>
      <c r="O3714" s="19" t="n"/>
      <c r="P3714" s="19" t="n"/>
      <c r="Q3714" s="19" t="n"/>
      <c r="R3714" s="19" t="n"/>
      <c r="S3714" s="19" t="n"/>
      <c r="T3714" s="19" t="n"/>
      <c r="U3714" s="19" t="n"/>
      <c r="V3714" s="19" t="n"/>
      <c r="W3714" s="19" t="n"/>
      <c r="X3714" s="19" t="n"/>
      <c r="Y3714" s="19" t="n">
        <v>1</v>
      </c>
      <c r="Z3714" s="13">
        <f>SUMPRODUCT(N3714:Y3714,$N$2:$Y$2)*$K3714*$L3714*$M3714</f>
        <v/>
      </c>
      <c r="AA3714" s="14">
        <f>SUM(N3714:Y3714)</f>
        <v/>
      </c>
      <c r="AB3714" s="13">
        <f>SUMPRODUCT(N3714:Y3714,$N$3:$Y$3)*$K3714*$L3714*$M3714</f>
        <v/>
      </c>
      <c r="AC3714" s="13">
        <f>SUMPRODUCT(N3714:Y3714,$N$4:$Y$4)*$K3714*$L3714*$M3714</f>
        <v/>
      </c>
      <c r="AD3714" s="15" t="n">
        <v>19.8</v>
      </c>
      <c r="AE3714" s="11" t="n">
        <v>1.247674233373158</v>
      </c>
      <c r="AF3714" s="16">
        <f>SUMPRODUCT(N3714:Y3714,$N$5:$Y$5)*$K3714*$L3714*$M3714</f>
        <v/>
      </c>
      <c r="AG3714" s="16">
        <f>SUMPRODUCT(N3714:Y3714,$N$6:$Y$6)*$K3714*$L3714*$M3714</f>
        <v/>
      </c>
      <c r="AH3714" s="20" t="n"/>
    </row>
    <row r="3715">
      <c r="A3715" s="9" t="n">
        <v>656716</v>
      </c>
      <c r="B3715" s="9" t="inlineStr">
        <is>
          <t>Zach McKinstry</t>
        </is>
      </c>
      <c r="C3715" s="9" t="inlineStr">
        <is>
          <t>DET</t>
        </is>
      </c>
      <c r="D3715" s="9" t="n">
        <v>32</v>
      </c>
      <c r="E3715" s="18" t="inlineStr">
        <is>
          <t>R</t>
        </is>
      </c>
      <c r="F3715" s="18" t="n"/>
      <c r="G3715" s="9" t="n">
        <v>15</v>
      </c>
      <c r="H3715" s="9" t="n">
        <v>30</v>
      </c>
      <c r="I3715" s="9" t="inlineStr">
        <is>
          <t>Depth (no MLB IP)</t>
        </is>
      </c>
      <c r="J3715" s="18" t="inlineStr">
        <is>
          <t>Opening Day</t>
        </is>
      </c>
      <c r="K3715" s="11">
        <f>IFERROR(INDEX(Roles!$B$17:$B$20,MATCH(J3715,Roles!$A$17:$A$20,0)),1)</f>
        <v/>
      </c>
      <c r="L3715" s="19" t="n">
        <v>1</v>
      </c>
      <c r="M3715" s="11" t="n">
        <v>1</v>
      </c>
      <c r="N3715" s="19" t="n"/>
      <c r="O3715" s="19" t="n"/>
      <c r="P3715" s="19" t="n"/>
      <c r="Q3715" s="19" t="n"/>
      <c r="R3715" s="19" t="n"/>
      <c r="S3715" s="19" t="n"/>
      <c r="T3715" s="19" t="n"/>
      <c r="U3715" s="19" t="n"/>
      <c r="V3715" s="19" t="n"/>
      <c r="W3715" s="19" t="n"/>
      <c r="X3715" s="19" t="n"/>
      <c r="Y3715" s="19" t="n">
        <v>1</v>
      </c>
      <c r="Z3715" s="13">
        <f>SUMPRODUCT(N3715:Y3715,$N$2:$Y$2)*$K3715*$L3715*$M3715</f>
        <v/>
      </c>
      <c r="AA3715" s="14">
        <f>SUM(N3715:Y3715)</f>
        <v/>
      </c>
      <c r="AB3715" s="13">
        <f>SUMPRODUCT(N3715:Y3715,$N$3:$Y$3)*$K3715*$L3715*$M3715</f>
        <v/>
      </c>
      <c r="AC3715" s="13">
        <f>SUMPRODUCT(N3715:Y3715,$N$4:$Y$4)*$K3715*$L3715*$M3715</f>
        <v/>
      </c>
      <c r="AD3715" s="15" t="n">
        <v>2.3</v>
      </c>
      <c r="AE3715" s="11" t="n">
        <v>0.93682379349046</v>
      </c>
      <c r="AF3715" s="16">
        <f>SUMPRODUCT(N3715:Y3715,$N$5:$Y$5)*$K3715*$L3715*$M3715</f>
        <v/>
      </c>
      <c r="AG3715" s="16">
        <f>SUMPRODUCT(N3715:Y3715,$N$6:$Y$6)*$K3715*$L3715*$M3715</f>
        <v/>
      </c>
      <c r="AH3715" s="20" t="n"/>
    </row>
    <row r="3716">
      <c r="A3716" s="9" t="n">
        <v>656896</v>
      </c>
      <c r="B3716" s="9" t="inlineStr">
        <is>
          <t>Emmanuel Rivera</t>
        </is>
      </c>
      <c r="C3716" s="9" t="inlineStr">
        <is>
          <t>BAL</t>
        </is>
      </c>
      <c r="D3716" s="9" t="n">
        <v>31</v>
      </c>
      <c r="E3716" s="18" t="inlineStr">
        <is>
          <t>R</t>
        </is>
      </c>
      <c r="F3716" s="18" t="n"/>
      <c r="G3716" s="9" t="n">
        <v>13</v>
      </c>
      <c r="H3716" s="9" t="n">
        <v>33</v>
      </c>
      <c r="I3716" s="9" t="inlineStr">
        <is>
          <t>Depth (no MLB IP)</t>
        </is>
      </c>
      <c r="J3716" s="18" t="inlineStr">
        <is>
          <t>Opening Day</t>
        </is>
      </c>
      <c r="K3716" s="11">
        <f>IFERROR(INDEX(Roles!$B$17:$B$20,MATCH(J3716,Roles!$A$17:$A$20,0)),1)</f>
        <v/>
      </c>
      <c r="L3716" s="19" t="n">
        <v>1</v>
      </c>
      <c r="M3716" s="11" t="n">
        <v>1</v>
      </c>
      <c r="N3716" s="19" t="n"/>
      <c r="O3716" s="19" t="n"/>
      <c r="P3716" s="19" t="n"/>
      <c r="Q3716" s="19" t="n"/>
      <c r="R3716" s="19" t="n"/>
      <c r="S3716" s="19" t="n"/>
      <c r="T3716" s="19" t="n"/>
      <c r="U3716" s="19" t="n"/>
      <c r="V3716" s="19" t="n"/>
      <c r="W3716" s="19" t="n"/>
      <c r="X3716" s="19" t="n"/>
      <c r="Y3716" s="19" t="n">
        <v>1</v>
      </c>
      <c r="Z3716" s="13">
        <f>SUMPRODUCT(N3716:Y3716,$N$2:$Y$2)*$K3716*$L3716*$M3716</f>
        <v/>
      </c>
      <c r="AA3716" s="14">
        <f>SUM(N3716:Y3716)</f>
        <v/>
      </c>
      <c r="AB3716" s="13">
        <f>SUMPRODUCT(N3716:Y3716,$N$3:$Y$3)*$K3716*$L3716*$M3716</f>
        <v/>
      </c>
      <c r="AC3716" s="13">
        <f>SUMPRODUCT(N3716:Y3716,$N$4:$Y$4)*$K3716*$L3716*$M3716</f>
        <v/>
      </c>
      <c r="AD3716" s="15" t="n">
        <v>2.4</v>
      </c>
      <c r="AE3716" s="11" t="n">
        <v>1.007530864197531</v>
      </c>
      <c r="AF3716" s="16">
        <f>SUMPRODUCT(N3716:Y3716,$N$5:$Y$5)*$K3716*$L3716*$M3716</f>
        <v/>
      </c>
      <c r="AG3716" s="16">
        <f>SUMPRODUCT(N3716:Y3716,$N$6:$Y$6)*$K3716*$L3716*$M3716</f>
        <v/>
      </c>
      <c r="AH3716" s="20" t="n"/>
    </row>
    <row r="3717">
      <c r="A3717" s="9" t="n">
        <v>811309</v>
      </c>
      <c r="B3717" s="9" t="inlineStr">
        <is>
          <t>Bishop Letson</t>
        </is>
      </c>
      <c r="C3717" s="9" t="inlineStr">
        <is>
          <t>MIL</t>
        </is>
      </c>
      <c r="D3717" s="9" t="n">
        <v>25</v>
      </c>
      <c r="E3717" s="18" t="inlineStr">
        <is>
          <t>R</t>
        </is>
      </c>
      <c r="F3717" s="18" t="n"/>
      <c r="G3717" s="9" t="n">
        <v>142.4733333333333</v>
      </c>
      <c r="H3717" s="9" t="n">
        <v>142.4733333333333</v>
      </c>
      <c r="I3717" s="9" t="inlineStr">
        <is>
          <t>Depth (no MLB IP)</t>
        </is>
      </c>
      <c r="J3717" s="18" t="inlineStr">
        <is>
          <t>Opening Day</t>
        </is>
      </c>
      <c r="K3717" s="11">
        <f>IFERROR(INDEX(Roles!$B$17:$B$20,MATCH(J3717,Roles!$A$17:$A$20,0)),1)</f>
        <v/>
      </c>
      <c r="L3717" s="19" t="n">
        <v>1</v>
      </c>
      <c r="M3717" s="11" t="n">
        <v>1</v>
      </c>
      <c r="N3717" s="19" t="n"/>
      <c r="O3717" s="19" t="n"/>
      <c r="P3717" s="19" t="n"/>
      <c r="Q3717" s="19" t="n"/>
      <c r="R3717" s="19" t="n"/>
      <c r="S3717" s="19" t="n"/>
      <c r="T3717" s="19" t="n"/>
      <c r="U3717" s="19" t="n"/>
      <c r="V3717" s="19" t="n"/>
      <c r="W3717" s="19" t="n"/>
      <c r="X3717" s="19" t="n"/>
      <c r="Y3717" s="19" t="n">
        <v>1</v>
      </c>
      <c r="Z3717" s="13">
        <f>SUMPRODUCT(N3717:Y3717,$N$2:$Y$2)*$K3717*$L3717*$M3717</f>
        <v/>
      </c>
      <c r="AA3717" s="14">
        <f>SUM(N3717:Y3717)</f>
        <v/>
      </c>
      <c r="AB3717" s="13">
        <f>SUMPRODUCT(N3717:Y3717,$N$3:$Y$3)*$K3717*$L3717*$M3717</f>
        <v/>
      </c>
      <c r="AC3717" s="13">
        <f>SUMPRODUCT(N3717:Y3717,$N$4:$Y$4)*$K3717*$L3717*$M3717</f>
        <v/>
      </c>
      <c r="AD3717" s="15" t="n">
        <v>3</v>
      </c>
      <c r="AE3717" s="11" t="n">
        <v>1.011296296296296</v>
      </c>
      <c r="AF3717" s="16">
        <f>SUMPRODUCT(N3717:Y3717,$N$5:$Y$5)*$K3717*$L3717*$M3717</f>
        <v/>
      </c>
      <c r="AG3717" s="16">
        <f>SUMPRODUCT(N3717:Y3717,$N$6:$Y$6)*$K3717*$L3717*$M3717</f>
        <v/>
      </c>
      <c r="AH3717" s="20" t="n"/>
    </row>
    <row r="3718">
      <c r="A3718" s="9" t="n">
        <v>528748</v>
      </c>
      <c r="B3718" s="9" t="inlineStr">
        <is>
          <t>Humberto Castellanos</t>
        </is>
      </c>
      <c r="C3718" s="9" t="inlineStr">
        <is>
          <t>ARI</t>
        </is>
      </c>
      <c r="D3718" s="9" t="n">
        <v>29</v>
      </c>
      <c r="E3718" s="18" t="inlineStr">
        <is>
          <t>R</t>
        </is>
      </c>
      <c r="F3718" s="18" t="n"/>
      <c r="G3718" s="9" t="n">
        <v>48</v>
      </c>
      <c r="H3718" s="9" t="n">
        <v>242</v>
      </c>
      <c r="I3718" s="9" t="inlineStr">
        <is>
          <t>Depth (no MLB IP)</t>
        </is>
      </c>
      <c r="J3718" s="18" t="inlineStr">
        <is>
          <t>Opening Day</t>
        </is>
      </c>
      <c r="K3718" s="11">
        <f>IFERROR(INDEX(Roles!$B$17:$B$20,MATCH(J3718,Roles!$A$17:$A$20,0)),1)</f>
        <v/>
      </c>
      <c r="L3718" s="19" t="n">
        <v>1</v>
      </c>
      <c r="M3718" s="11" t="n">
        <v>1</v>
      </c>
      <c r="N3718" s="19" t="n"/>
      <c r="O3718" s="19" t="n"/>
      <c r="P3718" s="19" t="n"/>
      <c r="Q3718" s="19" t="n"/>
      <c r="R3718" s="19" t="n"/>
      <c r="S3718" s="19" t="n"/>
      <c r="T3718" s="19" t="n"/>
      <c r="U3718" s="19" t="n"/>
      <c r="V3718" s="19" t="n"/>
      <c r="W3718" s="19" t="n"/>
      <c r="X3718" s="19" t="n"/>
      <c r="Y3718" s="19" t="n">
        <v>1</v>
      </c>
      <c r="Z3718" s="13">
        <f>SUMPRODUCT(N3718:Y3718,$N$2:$Y$2)*$K3718*$L3718*$M3718</f>
        <v/>
      </c>
      <c r="AA3718" s="14">
        <f>SUM(N3718:Y3718)</f>
        <v/>
      </c>
      <c r="AB3718" s="13">
        <f>SUMPRODUCT(N3718:Y3718,$N$3:$Y$3)*$K3718*$L3718*$M3718</f>
        <v/>
      </c>
      <c r="AC3718" s="13">
        <f>SUMPRODUCT(N3718:Y3718,$N$4:$Y$4)*$K3718*$L3718*$M3718</f>
        <v/>
      </c>
      <c r="AD3718" s="15" t="n">
        <v>5.4</v>
      </c>
      <c r="AE3718" s="11" t="n">
        <v>1.16626102292769</v>
      </c>
      <c r="AF3718" s="16">
        <f>SUMPRODUCT(N3718:Y3718,$N$5:$Y$5)*$K3718*$L3718*$M3718</f>
        <v/>
      </c>
      <c r="AG3718" s="16">
        <f>SUMPRODUCT(N3718:Y3718,$N$6:$Y$6)*$K3718*$L3718*$M3718</f>
        <v/>
      </c>
      <c r="AH3718" s="20" t="n"/>
    </row>
    <row r="3719">
      <c r="A3719" s="9" t="n">
        <v>690462</v>
      </c>
      <c r="B3719" s="9" t="inlineStr">
        <is>
          <t>Ricky Castro</t>
        </is>
      </c>
      <c r="C3719" s="9" t="inlineStr">
        <is>
          <t>MIN</t>
        </is>
      </c>
      <c r="D3719" s="9" t="n">
        <v>25</v>
      </c>
      <c r="E3719" s="18" t="inlineStr">
        <is>
          <t>R</t>
        </is>
      </c>
      <c r="F3719" s="18" t="n"/>
      <c r="G3719" s="9" t="n">
        <v>142.6883333333334</v>
      </c>
      <c r="H3719" s="9" t="n">
        <v>142.6883333333334</v>
      </c>
      <c r="I3719" s="9" t="inlineStr">
        <is>
          <t>Depth (no MLB IP)</t>
        </is>
      </c>
      <c r="J3719" s="18" t="inlineStr">
        <is>
          <t>Opening Day</t>
        </is>
      </c>
      <c r="K3719" s="11">
        <f>IFERROR(INDEX(Roles!$B$17:$B$20,MATCH(J3719,Roles!$A$17:$A$20,0)),1)</f>
        <v/>
      </c>
      <c r="L3719" s="19" t="n">
        <v>1</v>
      </c>
      <c r="M3719" s="11" t="n">
        <v>1</v>
      </c>
      <c r="N3719" s="19" t="n"/>
      <c r="O3719" s="19" t="n"/>
      <c r="P3719" s="19" t="n"/>
      <c r="Q3719" s="19" t="n"/>
      <c r="R3719" s="19" t="n"/>
      <c r="S3719" s="19" t="n"/>
      <c r="T3719" s="19" t="n"/>
      <c r="U3719" s="19" t="n"/>
      <c r="V3719" s="19" t="n"/>
      <c r="W3719" s="19" t="n"/>
      <c r="X3719" s="19" t="n"/>
      <c r="Y3719" s="19" t="n">
        <v>1</v>
      </c>
      <c r="Z3719" s="13">
        <f>SUMPRODUCT(N3719:Y3719,$N$2:$Y$2)*$K3719*$L3719*$M3719</f>
        <v/>
      </c>
      <c r="AA3719" s="14">
        <f>SUM(N3719:Y3719)</f>
        <v/>
      </c>
      <c r="AB3719" s="13">
        <f>SUMPRODUCT(N3719:Y3719,$N$3:$Y$3)*$K3719*$L3719*$M3719</f>
        <v/>
      </c>
      <c r="AC3719" s="13">
        <f>SUMPRODUCT(N3719:Y3719,$N$4:$Y$4)*$K3719*$L3719*$M3719</f>
        <v/>
      </c>
      <c r="AD3719" s="15" t="n">
        <v>3</v>
      </c>
      <c r="AE3719" s="11" t="n">
        <v>1.011296296296296</v>
      </c>
      <c r="AF3719" s="16">
        <f>SUMPRODUCT(N3719:Y3719,$N$5:$Y$5)*$K3719*$L3719*$M3719</f>
        <v/>
      </c>
      <c r="AG3719" s="16">
        <f>SUMPRODUCT(N3719:Y3719,$N$6:$Y$6)*$K3719*$L3719*$M3719</f>
        <v/>
      </c>
      <c r="AH3719" s="20" t="n"/>
    </row>
    <row r="3720">
      <c r="A3720" s="9" t="n">
        <v>827110</v>
      </c>
      <c r="B3720" s="9" t="inlineStr">
        <is>
          <t>Austin Cates</t>
        </is>
      </c>
      <c r="C3720" s="9" t="inlineStr">
        <is>
          <t>TOR</t>
        </is>
      </c>
      <c r="D3720" s="9" t="n">
        <v>25</v>
      </c>
      <c r="E3720" s="18" t="inlineStr">
        <is>
          <t>R</t>
        </is>
      </c>
      <c r="F3720" s="18" t="n"/>
      <c r="G3720" s="9" t="n">
        <v>143.9783333333333</v>
      </c>
      <c r="H3720" s="9" t="n">
        <v>143.9783333333333</v>
      </c>
      <c r="I3720" s="9" t="inlineStr">
        <is>
          <t>Depth (no MLB IP)</t>
        </is>
      </c>
      <c r="J3720" s="18" t="inlineStr">
        <is>
          <t>Opening Day</t>
        </is>
      </c>
      <c r="K3720" s="11">
        <f>IFERROR(INDEX(Roles!$B$17:$B$20,MATCH(J3720,Roles!$A$17:$A$20,0)),1)</f>
        <v/>
      </c>
      <c r="L3720" s="19" t="n">
        <v>1</v>
      </c>
      <c r="M3720" s="11" t="n">
        <v>1</v>
      </c>
      <c r="N3720" s="19" t="n"/>
      <c r="O3720" s="19" t="n"/>
      <c r="P3720" s="19" t="n"/>
      <c r="Q3720" s="19" t="n"/>
      <c r="R3720" s="19" t="n"/>
      <c r="S3720" s="19" t="n"/>
      <c r="T3720" s="19" t="n"/>
      <c r="U3720" s="19" t="n"/>
      <c r="V3720" s="19" t="n"/>
      <c r="W3720" s="19" t="n"/>
      <c r="X3720" s="19" t="n"/>
      <c r="Y3720" s="19" t="n">
        <v>1</v>
      </c>
      <c r="Z3720" s="13">
        <f>SUMPRODUCT(N3720:Y3720,$N$2:$Y$2)*$K3720*$L3720*$M3720</f>
        <v/>
      </c>
      <c r="AA3720" s="14">
        <f>SUM(N3720:Y3720)</f>
        <v/>
      </c>
      <c r="AB3720" s="13">
        <f>SUMPRODUCT(N3720:Y3720,$N$3:$Y$3)*$K3720*$L3720*$M3720</f>
        <v/>
      </c>
      <c r="AC3720" s="13">
        <f>SUMPRODUCT(N3720:Y3720,$N$4:$Y$4)*$K3720*$L3720*$M3720</f>
        <v/>
      </c>
      <c r="AD3720" s="15" t="n">
        <v>3</v>
      </c>
      <c r="AE3720" s="11" t="n">
        <v>1.011296296296296</v>
      </c>
      <c r="AF3720" s="16">
        <f>SUMPRODUCT(N3720:Y3720,$N$5:$Y$5)*$K3720*$L3720*$M3720</f>
        <v/>
      </c>
      <c r="AG3720" s="16">
        <f>SUMPRODUCT(N3720:Y3720,$N$6:$Y$6)*$K3720*$L3720*$M3720</f>
        <v/>
      </c>
      <c r="AH3720" s="20" t="n"/>
    </row>
    <row r="3721">
      <c r="A3721" s="9" t="n">
        <v>672710</v>
      </c>
      <c r="B3721" s="9" t="inlineStr">
        <is>
          <t>Roansy Contreras</t>
        </is>
      </c>
      <c r="C3721" s="9" t="inlineStr">
        <is>
          <t>COL</t>
        </is>
      </c>
      <c r="D3721" s="9" t="n">
        <v>27</v>
      </c>
      <c r="E3721" s="18" t="inlineStr">
        <is>
          <t>R</t>
        </is>
      </c>
      <c r="F3721" s="18" t="n"/>
      <c r="G3721" s="9" t="n">
        <v>51</v>
      </c>
      <c r="H3721" s="9" t="n">
        <v>1059</v>
      </c>
      <c r="I3721" s="9" t="inlineStr">
        <is>
          <t>Bullpen Depth Arm</t>
        </is>
      </c>
      <c r="J3721" s="18" t="inlineStr">
        <is>
          <t>Opening Day</t>
        </is>
      </c>
      <c r="K3721" s="11">
        <f>IFERROR(INDEX(Roles!$B$17:$B$20,MATCH(J3721,Roles!$A$17:$A$20,0)),1)</f>
        <v/>
      </c>
      <c r="L3721" s="19" t="n">
        <v>1</v>
      </c>
      <c r="M3721" s="11" t="n">
        <v>1</v>
      </c>
      <c r="N3721" s="19" t="n"/>
      <c r="O3721" s="19" t="n"/>
      <c r="P3721" s="19" t="n"/>
      <c r="Q3721" s="19" t="n"/>
      <c r="R3721" s="19" t="n"/>
      <c r="S3721" s="19" t="n"/>
      <c r="T3721" s="19" t="n"/>
      <c r="U3721" s="19" t="n"/>
      <c r="V3721" s="19" t="n"/>
      <c r="W3721" s="19" t="n">
        <v>1</v>
      </c>
      <c r="X3721" s="19" t="n"/>
      <c r="Y3721" s="19" t="n"/>
      <c r="Z3721" s="13">
        <f>SUMPRODUCT(N3721:Y3721,$N$2:$Y$2)*$K3721*$L3721*$M3721</f>
        <v/>
      </c>
      <c r="AA3721" s="14">
        <f>SUM(N3721:Y3721)</f>
        <v/>
      </c>
      <c r="AB3721" s="13">
        <f>SUMPRODUCT(N3721:Y3721,$N$3:$Y$3)*$K3721*$L3721*$M3721</f>
        <v/>
      </c>
      <c r="AC3721" s="13">
        <f>SUMPRODUCT(N3721:Y3721,$N$4:$Y$4)*$K3721*$L3721*$M3721</f>
        <v/>
      </c>
      <c r="AD3721" s="15" t="n">
        <v>17.46666666666667</v>
      </c>
      <c r="AE3721" s="11" t="n">
        <v>1.330697341996777</v>
      </c>
      <c r="AF3721" s="16">
        <f>SUMPRODUCT(N3721:Y3721,$N$5:$Y$5)*$K3721*$L3721*$M3721</f>
        <v/>
      </c>
      <c r="AG3721" s="16">
        <f>SUMPRODUCT(N3721:Y3721,$N$6:$Y$6)*$K3721*$L3721*$M3721</f>
        <v/>
      </c>
      <c r="AH3721" s="20" t="n"/>
    </row>
    <row r="3722">
      <c r="A3722" s="9" t="n">
        <v>702103</v>
      </c>
      <c r="B3722" s="9" t="inlineStr">
        <is>
          <t>Zach Franklin</t>
        </is>
      </c>
      <c r="C3722" s="9" t="inlineStr">
        <is>
          <t>NYM</t>
        </is>
      </c>
      <c r="D3722" s="9" t="n">
        <v>25</v>
      </c>
      <c r="E3722" s="18" t="inlineStr">
        <is>
          <t>R</t>
        </is>
      </c>
      <c r="F3722" s="18" t="n"/>
      <c r="G3722" s="9" t="n">
        <v>144.265</v>
      </c>
      <c r="H3722" s="9" t="n">
        <v>144.265</v>
      </c>
      <c r="I3722" s="9" t="inlineStr">
        <is>
          <t>Depth (no MLB IP)</t>
        </is>
      </c>
      <c r="J3722" s="18" t="inlineStr">
        <is>
          <t>Opening Day</t>
        </is>
      </c>
      <c r="K3722" s="11">
        <f>IFERROR(INDEX(Roles!$B$17:$B$20,MATCH(J3722,Roles!$A$17:$A$20,0)),1)</f>
        <v/>
      </c>
      <c r="L3722" s="19" t="n">
        <v>1</v>
      </c>
      <c r="M3722" s="11" t="n">
        <v>1</v>
      </c>
      <c r="N3722" s="19" t="n"/>
      <c r="O3722" s="19" t="n"/>
      <c r="P3722" s="19" t="n"/>
      <c r="Q3722" s="19" t="n"/>
      <c r="R3722" s="19" t="n"/>
      <c r="S3722" s="19" t="n"/>
      <c r="T3722" s="19" t="n"/>
      <c r="U3722" s="19" t="n"/>
      <c r="V3722" s="19" t="n"/>
      <c r="W3722" s="19" t="n"/>
      <c r="X3722" s="19" t="n"/>
      <c r="Y3722" s="19" t="n">
        <v>1</v>
      </c>
      <c r="Z3722" s="13">
        <f>SUMPRODUCT(N3722:Y3722,$N$2:$Y$2)*$K3722*$L3722*$M3722</f>
        <v/>
      </c>
      <c r="AA3722" s="14">
        <f>SUM(N3722:Y3722)</f>
        <v/>
      </c>
      <c r="AB3722" s="13">
        <f>SUMPRODUCT(N3722:Y3722,$N$3:$Y$3)*$K3722*$L3722*$M3722</f>
        <v/>
      </c>
      <c r="AC3722" s="13">
        <f>SUMPRODUCT(N3722:Y3722,$N$4:$Y$4)*$K3722*$L3722*$M3722</f>
        <v/>
      </c>
      <c r="AD3722" s="15" t="n">
        <v>3</v>
      </c>
      <c r="AE3722" s="11" t="n">
        <v>1.011296296296296</v>
      </c>
      <c r="AF3722" s="16">
        <f>SUMPRODUCT(N3722:Y3722,$N$5:$Y$5)*$K3722*$L3722*$M3722</f>
        <v/>
      </c>
      <c r="AG3722" s="16">
        <f>SUMPRODUCT(N3722:Y3722,$N$6:$Y$6)*$K3722*$L3722*$M3722</f>
        <v/>
      </c>
      <c r="AH3722" s="20" t="n"/>
    </row>
    <row r="3723">
      <c r="A3723" s="9" t="n">
        <v>806333</v>
      </c>
      <c r="B3723" s="9" t="inlineStr">
        <is>
          <t>Michael Sansone</t>
        </is>
      </c>
      <c r="C3723" s="9" t="inlineStr">
        <is>
          <t>BOS</t>
        </is>
      </c>
      <c r="D3723" s="9" t="n">
        <v>25</v>
      </c>
      <c r="E3723" s="18" t="inlineStr">
        <is>
          <t>L</t>
        </is>
      </c>
      <c r="F3723" s="18" t="n"/>
      <c r="G3723" s="9" t="n">
        <v>144.265</v>
      </c>
      <c r="H3723" s="9" t="n">
        <v>144.265</v>
      </c>
      <c r="I3723" s="9" t="inlineStr">
        <is>
          <t>Depth (no MLB IP)</t>
        </is>
      </c>
      <c r="J3723" s="18" t="inlineStr">
        <is>
          <t>Opening Day</t>
        </is>
      </c>
      <c r="K3723" s="11">
        <f>IFERROR(INDEX(Roles!$B$17:$B$20,MATCH(J3723,Roles!$A$17:$A$20,0)),1)</f>
        <v/>
      </c>
      <c r="L3723" s="19" t="n">
        <v>1</v>
      </c>
      <c r="M3723" s="11" t="n">
        <v>1</v>
      </c>
      <c r="N3723" s="19" t="n"/>
      <c r="O3723" s="19" t="n"/>
      <c r="P3723" s="19" t="n"/>
      <c r="Q3723" s="19" t="n"/>
      <c r="R3723" s="19" t="n"/>
      <c r="S3723" s="19" t="n"/>
      <c r="T3723" s="19" t="n"/>
      <c r="U3723" s="19" t="n"/>
      <c r="V3723" s="19" t="n"/>
      <c r="W3723" s="19" t="n"/>
      <c r="X3723" s="19" t="n"/>
      <c r="Y3723" s="19" t="n">
        <v>1</v>
      </c>
      <c r="Z3723" s="13">
        <f>SUMPRODUCT(N3723:Y3723,$N$2:$Y$2)*$K3723*$L3723*$M3723</f>
        <v/>
      </c>
      <c r="AA3723" s="14">
        <f>SUM(N3723:Y3723)</f>
        <v/>
      </c>
      <c r="AB3723" s="13">
        <f>SUMPRODUCT(N3723:Y3723,$N$3:$Y$3)*$K3723*$L3723*$M3723</f>
        <v/>
      </c>
      <c r="AC3723" s="13">
        <f>SUMPRODUCT(N3723:Y3723,$N$4:$Y$4)*$K3723*$L3723*$M3723</f>
        <v/>
      </c>
      <c r="AD3723" s="15" t="n">
        <v>3</v>
      </c>
      <c r="AE3723" s="11" t="n">
        <v>1.011296296296296</v>
      </c>
      <c r="AF3723" s="16">
        <f>SUMPRODUCT(N3723:Y3723,$N$5:$Y$5)*$K3723*$L3723*$M3723</f>
        <v/>
      </c>
      <c r="AG3723" s="16">
        <f>SUMPRODUCT(N3723:Y3723,$N$6:$Y$6)*$K3723*$L3723*$M3723</f>
        <v/>
      </c>
      <c r="AH3723" s="20" t="n"/>
    </row>
    <row r="3724">
      <c r="A3724" s="9" t="n">
        <v>687190</v>
      </c>
      <c r="B3724" s="9" t="inlineStr">
        <is>
          <t>Adam Leverett</t>
        </is>
      </c>
      <c r="C3724" s="9" t="inlineStr">
        <is>
          <t>SEA</t>
        </is>
      </c>
      <c r="D3724" s="9" t="n">
        <v>25</v>
      </c>
      <c r="E3724" s="18" t="inlineStr">
        <is>
          <t>R</t>
        </is>
      </c>
      <c r="F3724" s="18" t="n"/>
      <c r="G3724" s="9" t="n">
        <v>144.48</v>
      </c>
      <c r="H3724" s="9" t="n">
        <v>144.48</v>
      </c>
      <c r="I3724" s="9" t="inlineStr">
        <is>
          <t>Depth (no MLB IP)</t>
        </is>
      </c>
      <c r="J3724" s="18" t="inlineStr">
        <is>
          <t>Opening Day</t>
        </is>
      </c>
      <c r="K3724" s="11">
        <f>IFERROR(INDEX(Roles!$B$17:$B$20,MATCH(J3724,Roles!$A$17:$A$20,0)),1)</f>
        <v/>
      </c>
      <c r="L3724" s="19" t="n">
        <v>1</v>
      </c>
      <c r="M3724" s="11" t="n">
        <v>1</v>
      </c>
      <c r="N3724" s="19" t="n"/>
      <c r="O3724" s="19" t="n"/>
      <c r="P3724" s="19" t="n"/>
      <c r="Q3724" s="19" t="n"/>
      <c r="R3724" s="19" t="n"/>
      <c r="S3724" s="19" t="n"/>
      <c r="T3724" s="19" t="n"/>
      <c r="U3724" s="19" t="n"/>
      <c r="V3724" s="19" t="n"/>
      <c r="W3724" s="19" t="n"/>
      <c r="X3724" s="19" t="n"/>
      <c r="Y3724" s="19" t="n">
        <v>1</v>
      </c>
      <c r="Z3724" s="13">
        <f>SUMPRODUCT(N3724:Y3724,$N$2:$Y$2)*$K3724*$L3724*$M3724</f>
        <v/>
      </c>
      <c r="AA3724" s="14">
        <f>SUM(N3724:Y3724)</f>
        <v/>
      </c>
      <c r="AB3724" s="13">
        <f>SUMPRODUCT(N3724:Y3724,$N$3:$Y$3)*$K3724*$L3724*$M3724</f>
        <v/>
      </c>
      <c r="AC3724" s="13">
        <f>SUMPRODUCT(N3724:Y3724,$N$4:$Y$4)*$K3724*$L3724*$M3724</f>
        <v/>
      </c>
      <c r="AD3724" s="15" t="n">
        <v>3</v>
      </c>
      <c r="AE3724" s="11" t="n">
        <v>1.011296296296296</v>
      </c>
      <c r="AF3724" s="16">
        <f>SUMPRODUCT(N3724:Y3724,$N$5:$Y$5)*$K3724*$L3724*$M3724</f>
        <v/>
      </c>
      <c r="AG3724" s="16">
        <f>SUMPRODUCT(N3724:Y3724,$N$6:$Y$6)*$K3724*$L3724*$M3724</f>
        <v/>
      </c>
      <c r="AH3724" s="20" t="n"/>
    </row>
    <row r="3725">
      <c r="A3725" s="9" t="n">
        <v>672851</v>
      </c>
      <c r="B3725" s="9" t="inlineStr">
        <is>
          <t>Joan Adon</t>
        </is>
      </c>
      <c r="C3725" s="9" t="inlineStr">
        <is>
          <t>WSH</t>
        </is>
      </c>
      <c r="D3725" s="9" t="n">
        <v>28</v>
      </c>
      <c r="E3725" s="18" t="inlineStr">
        <is>
          <t>R</t>
        </is>
      </c>
      <c r="F3725" s="18" t="n"/>
      <c r="G3725" s="9" t="n">
        <v>48</v>
      </c>
      <c r="H3725" s="9" t="n">
        <v>598</v>
      </c>
      <c r="I3725" s="9" t="inlineStr">
        <is>
          <t>Depth (no MLB IP)</t>
        </is>
      </c>
      <c r="J3725" s="18" t="inlineStr">
        <is>
          <t>Opening Day</t>
        </is>
      </c>
      <c r="K3725" s="11">
        <f>IFERROR(INDEX(Roles!$B$17:$B$20,MATCH(J3725,Roles!$A$17:$A$20,0)),1)</f>
        <v/>
      </c>
      <c r="L3725" s="19" t="n">
        <v>1</v>
      </c>
      <c r="M3725" s="11" t="n">
        <v>1</v>
      </c>
      <c r="N3725" s="19" t="n"/>
      <c r="O3725" s="19" t="n"/>
      <c r="P3725" s="19" t="n"/>
      <c r="Q3725" s="19" t="n"/>
      <c r="R3725" s="19" t="n"/>
      <c r="S3725" s="19" t="n"/>
      <c r="T3725" s="19" t="n"/>
      <c r="U3725" s="19" t="n"/>
      <c r="V3725" s="19" t="n"/>
      <c r="W3725" s="19" t="n"/>
      <c r="X3725" s="19" t="n"/>
      <c r="Y3725" s="19" t="n">
        <v>1</v>
      </c>
      <c r="Z3725" s="13">
        <f>SUMPRODUCT(N3725:Y3725,$N$2:$Y$2)*$K3725*$L3725*$M3725</f>
        <v/>
      </c>
      <c r="AA3725" s="14">
        <f>SUM(N3725:Y3725)</f>
        <v/>
      </c>
      <c r="AB3725" s="13">
        <f>SUMPRODUCT(N3725:Y3725,$N$3:$Y$3)*$K3725*$L3725*$M3725</f>
        <v/>
      </c>
      <c r="AC3725" s="13">
        <f>SUMPRODUCT(N3725:Y3725,$N$4:$Y$4)*$K3725*$L3725*$M3725</f>
        <v/>
      </c>
      <c r="AD3725" s="15" t="n">
        <v>6</v>
      </c>
      <c r="AE3725" s="11" t="n">
        <v>1.118641975308642</v>
      </c>
      <c r="AF3725" s="16">
        <f>SUMPRODUCT(N3725:Y3725,$N$5:$Y$5)*$K3725*$L3725*$M3725</f>
        <v/>
      </c>
      <c r="AG3725" s="16">
        <f>SUMPRODUCT(N3725:Y3725,$N$6:$Y$6)*$K3725*$L3725*$M3725</f>
        <v/>
      </c>
      <c r="AH3725" s="20" t="n"/>
    </row>
    <row r="3726">
      <c r="A3726" s="9" t="n">
        <v>685314</v>
      </c>
      <c r="B3726" s="9" t="inlineStr">
        <is>
          <t>Andrew Saalfrank</t>
        </is>
      </c>
      <c r="C3726" s="9" t="inlineStr">
        <is>
          <t>ARI</t>
        </is>
      </c>
      <c r="D3726" s="9" t="n">
        <v>29</v>
      </c>
      <c r="E3726" s="18" t="inlineStr">
        <is>
          <t>L</t>
        </is>
      </c>
      <c r="F3726" s="18" t="n"/>
      <c r="G3726" s="9" t="n">
        <v>113</v>
      </c>
      <c r="H3726" s="9" t="n">
        <v>162</v>
      </c>
      <c r="I3726" s="9" t="inlineStr">
        <is>
          <t>Bullpen Depth Arm</t>
        </is>
      </c>
      <c r="J3726" s="18" t="inlineStr">
        <is>
          <t>Opening Day</t>
        </is>
      </c>
      <c r="K3726" s="11">
        <f>IFERROR(INDEX(Roles!$B$17:$B$20,MATCH(J3726,Roles!$A$17:$A$20,0)),1)</f>
        <v/>
      </c>
      <c r="L3726" s="19" t="n">
        <v>1</v>
      </c>
      <c r="M3726" s="11" t="n">
        <v>1</v>
      </c>
      <c r="N3726" s="19" t="n"/>
      <c r="O3726" s="19" t="n"/>
      <c r="P3726" s="19" t="n"/>
      <c r="Q3726" s="19" t="n"/>
      <c r="R3726" s="19" t="n"/>
      <c r="S3726" s="19" t="n"/>
      <c r="T3726" s="19" t="n"/>
      <c r="U3726" s="19" t="n"/>
      <c r="V3726" s="19" t="n">
        <v>0.15</v>
      </c>
      <c r="W3726" s="19" t="n">
        <v>0.85</v>
      </c>
      <c r="X3726" s="19" t="n"/>
      <c r="Y3726" s="19" t="n"/>
      <c r="Z3726" s="13">
        <f>SUMPRODUCT(N3726:Y3726,$N$2:$Y$2)*$K3726*$L3726*$M3726</f>
        <v/>
      </c>
      <c r="AA3726" s="14">
        <f>SUM(N3726:Y3726)</f>
        <v/>
      </c>
      <c r="AB3726" s="13">
        <f>SUMPRODUCT(N3726:Y3726,$N$3:$Y$3)*$K3726*$L3726*$M3726</f>
        <v/>
      </c>
      <c r="AC3726" s="13">
        <f>SUMPRODUCT(N3726:Y3726,$N$4:$Y$4)*$K3726*$L3726*$M3726</f>
        <v/>
      </c>
      <c r="AD3726" s="15" t="n">
        <v>17.26666666666667</v>
      </c>
      <c r="AE3726" s="11" t="n">
        <v>1.140587594610583</v>
      </c>
      <c r="AF3726" s="16">
        <f>SUMPRODUCT(N3726:Y3726,$N$5:$Y$5)*$K3726*$L3726*$M3726</f>
        <v/>
      </c>
      <c r="AG3726" s="16">
        <f>SUMPRODUCT(N3726:Y3726,$N$6:$Y$6)*$K3726*$L3726*$M3726</f>
        <v/>
      </c>
      <c r="AH3726" s="20" t="n"/>
    </row>
    <row r="3727">
      <c r="A3727" s="9" t="n">
        <v>702650</v>
      </c>
      <c r="B3727" s="9" t="inlineStr">
        <is>
          <t>Michael Forret</t>
        </is>
      </c>
      <c r="C3727" s="9" t="inlineStr">
        <is>
          <t>BAL</t>
        </is>
      </c>
      <c r="D3727" s="9" t="n">
        <v>23</v>
      </c>
      <c r="E3727" s="18" t="inlineStr">
        <is>
          <t>R</t>
        </is>
      </c>
      <c r="F3727" s="18" t="n"/>
      <c r="G3727" s="9" t="n">
        <v>145.0533333333333</v>
      </c>
      <c r="H3727" s="9" t="n">
        <v>145.0533333333333</v>
      </c>
      <c r="I3727" s="9" t="inlineStr">
        <is>
          <t>Depth (no MLB IP)</t>
        </is>
      </c>
      <c r="J3727" s="18" t="inlineStr">
        <is>
          <t>Opening Day</t>
        </is>
      </c>
      <c r="K3727" s="11">
        <f>IFERROR(INDEX(Roles!$B$17:$B$20,MATCH(J3727,Roles!$A$17:$A$20,0)),1)</f>
        <v/>
      </c>
      <c r="L3727" s="19" t="n">
        <v>1</v>
      </c>
      <c r="M3727" s="11" t="n">
        <v>1</v>
      </c>
      <c r="N3727" s="19" t="n"/>
      <c r="O3727" s="19" t="n"/>
      <c r="P3727" s="19" t="n"/>
      <c r="Q3727" s="19" t="n"/>
      <c r="R3727" s="19" t="n"/>
      <c r="S3727" s="19" t="n"/>
      <c r="T3727" s="19" t="n"/>
      <c r="U3727" s="19" t="n"/>
      <c r="V3727" s="19" t="n"/>
      <c r="W3727" s="19" t="n"/>
      <c r="X3727" s="19" t="n"/>
      <c r="Y3727" s="19" t="n">
        <v>1</v>
      </c>
      <c r="Z3727" s="13">
        <f>SUMPRODUCT(N3727:Y3727,$N$2:$Y$2)*$K3727*$L3727*$M3727</f>
        <v/>
      </c>
      <c r="AA3727" s="14">
        <f>SUM(N3727:Y3727)</f>
        <v/>
      </c>
      <c r="AB3727" s="13">
        <f>SUMPRODUCT(N3727:Y3727,$N$3:$Y$3)*$K3727*$L3727*$M3727</f>
        <v/>
      </c>
      <c r="AC3727" s="13">
        <f>SUMPRODUCT(N3727:Y3727,$N$4:$Y$4)*$K3727*$L3727*$M3727</f>
        <v/>
      </c>
      <c r="AD3727" s="15" t="n">
        <v>3</v>
      </c>
      <c r="AE3727" s="11" t="n">
        <v>1.011296296296296</v>
      </c>
      <c r="AF3727" s="16">
        <f>SUMPRODUCT(N3727:Y3727,$N$5:$Y$5)*$K3727*$L3727*$M3727</f>
        <v/>
      </c>
      <c r="AG3727" s="16">
        <f>SUMPRODUCT(N3727:Y3727,$N$6:$Y$6)*$K3727*$L3727*$M3727</f>
        <v/>
      </c>
      <c r="AH3727" s="20" t="n"/>
    </row>
    <row r="3728">
      <c r="A3728" s="9" t="n">
        <v>593643</v>
      </c>
      <c r="B3728" s="9" t="inlineStr">
        <is>
          <t>Hanser Alberto</t>
        </is>
      </c>
      <c r="C3728" s="9" t="inlineStr">
        <is>
          <t>LAD</t>
        </is>
      </c>
      <c r="D3728" s="9" t="n">
        <v>34</v>
      </c>
      <c r="E3728" s="18" t="inlineStr">
        <is>
          <t>R</t>
        </is>
      </c>
      <c r="F3728" s="18" t="n"/>
      <c r="G3728" s="9" t="n">
        <v>12</v>
      </c>
      <c r="H3728" s="9" t="n">
        <v>59</v>
      </c>
      <c r="I3728" s="9" t="inlineStr">
        <is>
          <t>Depth (no MLB IP)</t>
        </is>
      </c>
      <c r="J3728" s="18" t="inlineStr">
        <is>
          <t>Opening Day</t>
        </is>
      </c>
      <c r="K3728" s="11">
        <f>IFERROR(INDEX(Roles!$B$17:$B$20,MATCH(J3728,Roles!$A$17:$A$20,0)),1)</f>
        <v/>
      </c>
      <c r="L3728" s="19" t="n">
        <v>1</v>
      </c>
      <c r="M3728" s="11" t="n">
        <v>1</v>
      </c>
      <c r="N3728" s="19" t="n"/>
      <c r="O3728" s="19" t="n"/>
      <c r="P3728" s="19" t="n"/>
      <c r="Q3728" s="19" t="n"/>
      <c r="R3728" s="19" t="n"/>
      <c r="S3728" s="19" t="n"/>
      <c r="T3728" s="19" t="n"/>
      <c r="U3728" s="19" t="n"/>
      <c r="V3728" s="19" t="n"/>
      <c r="W3728" s="19" t="n"/>
      <c r="X3728" s="19" t="n"/>
      <c r="Y3728" s="19" t="n">
        <v>1</v>
      </c>
      <c r="Z3728" s="13">
        <f>SUMPRODUCT(N3728:Y3728,$N$2:$Y$2)*$K3728*$L3728*$M3728</f>
        <v/>
      </c>
      <c r="AA3728" s="14">
        <f>SUM(N3728:Y3728)</f>
        <v/>
      </c>
      <c r="AB3728" s="13">
        <f>SUMPRODUCT(N3728:Y3728,$N$3:$Y$3)*$K3728*$L3728*$M3728</f>
        <v/>
      </c>
      <c r="AC3728" s="13">
        <f>SUMPRODUCT(N3728:Y3728,$N$4:$Y$4)*$K3728*$L3728*$M3728</f>
        <v/>
      </c>
      <c r="AD3728" s="15" t="n">
        <v>3</v>
      </c>
      <c r="AE3728" s="11" t="n">
        <v>1.011296296296296</v>
      </c>
      <c r="AF3728" s="16">
        <f>SUMPRODUCT(N3728:Y3728,$N$5:$Y$5)*$K3728*$L3728*$M3728</f>
        <v/>
      </c>
      <c r="AG3728" s="16">
        <f>SUMPRODUCT(N3728:Y3728,$N$6:$Y$6)*$K3728*$L3728*$M3728</f>
        <v/>
      </c>
      <c r="AH3728" s="20" t="n"/>
    </row>
    <row r="3729">
      <c r="A3729" s="9" t="n">
        <v>671106</v>
      </c>
      <c r="B3729" s="9" t="inlineStr">
        <is>
          <t>Logan Allen</t>
        </is>
      </c>
      <c r="C3729" s="9" t="inlineStr">
        <is>
          <t>CLE</t>
        </is>
      </c>
      <c r="D3729" s="9" t="n">
        <v>28</v>
      </c>
      <c r="E3729" s="18" t="inlineStr">
        <is>
          <t>L</t>
        </is>
      </c>
      <c r="F3729" s="18" t="n"/>
      <c r="G3729" s="9" t="n">
        <v>81</v>
      </c>
      <c r="H3729" s="9" t="n">
        <v>1726</v>
      </c>
      <c r="I3729" s="9" t="inlineStr">
        <is>
          <t>End-of-Rotation Starter (SP4-5)</t>
        </is>
      </c>
      <c r="J3729" s="18" t="inlineStr">
        <is>
          <t>Opening Day</t>
        </is>
      </c>
      <c r="K3729" s="11">
        <f>IFERROR(INDEX(Roles!$B$17:$B$20,MATCH(J3729,Roles!$A$17:$A$20,0)),1)</f>
        <v/>
      </c>
      <c r="L3729" s="19" t="n">
        <v>1</v>
      </c>
      <c r="M3729" s="11" t="n">
        <v>1</v>
      </c>
      <c r="N3729" s="19" t="n"/>
      <c r="O3729" s="19" t="n"/>
      <c r="P3729" s="19" t="n">
        <v>1</v>
      </c>
      <c r="Q3729" s="19" t="n"/>
      <c r="R3729" s="19" t="n"/>
      <c r="S3729" s="19" t="n"/>
      <c r="T3729" s="19" t="n"/>
      <c r="U3729" s="19" t="n"/>
      <c r="V3729" s="19" t="n"/>
      <c r="W3729" s="19" t="n"/>
      <c r="X3729" s="19" t="n"/>
      <c r="Y3729" s="19" t="n"/>
      <c r="Z3729" s="13">
        <f>SUMPRODUCT(N3729:Y3729,$N$2:$Y$2)*$K3729*$L3729*$M3729</f>
        <v/>
      </c>
      <c r="AA3729" s="14">
        <f>SUM(N3729:Y3729)</f>
        <v/>
      </c>
      <c r="AB3729" s="13">
        <f>SUMPRODUCT(N3729:Y3729,$N$3:$Y$3)*$K3729*$L3729*$M3729</f>
        <v/>
      </c>
      <c r="AC3729" s="13">
        <f>SUMPRODUCT(N3729:Y3729,$N$4:$Y$4)*$K3729*$L3729*$M3729</f>
        <v/>
      </c>
      <c r="AD3729" s="15" t="n">
        <v>16.5</v>
      </c>
      <c r="AE3729" s="11" t="n">
        <v>4.557389072240557</v>
      </c>
      <c r="AF3729" s="16">
        <f>SUMPRODUCT(N3729:Y3729,$N$5:$Y$5)*$K3729*$L3729*$M3729</f>
        <v/>
      </c>
      <c r="AG3729" s="16">
        <f>SUMPRODUCT(N3729:Y3729,$N$6:$Y$6)*$K3729*$L3729*$M3729</f>
        <v/>
      </c>
      <c r="AH3729" s="20" t="n"/>
    </row>
    <row r="3730">
      <c r="A3730" s="9" t="n">
        <v>543901</v>
      </c>
      <c r="B3730" s="9" t="inlineStr">
        <is>
          <t>Ryan Weber</t>
        </is>
      </c>
      <c r="C3730" s="9" t="inlineStr">
        <is>
          <t>NYY</t>
        </is>
      </c>
      <c r="D3730" s="9" t="n">
        <v>36</v>
      </c>
      <c r="E3730" s="18" t="inlineStr">
        <is>
          <t>R</t>
        </is>
      </c>
      <c r="F3730" s="18" t="n"/>
      <c r="G3730" s="9" t="n">
        <v>60</v>
      </c>
      <c r="H3730" s="9" t="n">
        <v>97</v>
      </c>
      <c r="I3730" s="9" t="inlineStr">
        <is>
          <t>Depth (no MLB IP)</t>
        </is>
      </c>
      <c r="J3730" s="18" t="inlineStr">
        <is>
          <t>Opening Day</t>
        </is>
      </c>
      <c r="K3730" s="11">
        <f>IFERROR(INDEX(Roles!$B$17:$B$20,MATCH(J3730,Roles!$A$17:$A$20,0)),1)</f>
        <v/>
      </c>
      <c r="L3730" s="19" t="n">
        <v>1</v>
      </c>
      <c r="M3730" s="11" t="n">
        <v>1</v>
      </c>
      <c r="N3730" s="19" t="n"/>
      <c r="O3730" s="19" t="n"/>
      <c r="P3730" s="19" t="n"/>
      <c r="Q3730" s="19" t="n"/>
      <c r="R3730" s="19" t="n"/>
      <c r="S3730" s="19" t="n"/>
      <c r="T3730" s="19" t="n"/>
      <c r="U3730" s="19" t="n"/>
      <c r="V3730" s="19" t="n"/>
      <c r="W3730" s="19" t="n"/>
      <c r="X3730" s="19" t="n"/>
      <c r="Y3730" s="19" t="n">
        <v>1</v>
      </c>
      <c r="Z3730" s="13">
        <f>SUMPRODUCT(N3730:Y3730,$N$2:$Y$2)*$K3730*$L3730*$M3730</f>
        <v/>
      </c>
      <c r="AA3730" s="14">
        <f>SUM(N3730:Y3730)</f>
        <v/>
      </c>
      <c r="AB3730" s="13">
        <f>SUMPRODUCT(N3730:Y3730,$N$3:$Y$3)*$K3730*$L3730*$M3730</f>
        <v/>
      </c>
      <c r="AC3730" s="13">
        <f>SUMPRODUCT(N3730:Y3730,$N$4:$Y$4)*$K3730*$L3730*$M3730</f>
        <v/>
      </c>
      <c r="AD3730" s="15" t="n">
        <v>3</v>
      </c>
      <c r="AE3730" s="11" t="n">
        <v>1.011296296296296</v>
      </c>
      <c r="AF3730" s="16">
        <f>SUMPRODUCT(N3730:Y3730,$N$5:$Y$5)*$K3730*$L3730*$M3730</f>
        <v/>
      </c>
      <c r="AG3730" s="16">
        <f>SUMPRODUCT(N3730:Y3730,$N$6:$Y$6)*$K3730*$L3730*$M3730</f>
        <v/>
      </c>
      <c r="AH3730" s="20" t="n"/>
    </row>
    <row r="3731">
      <c r="A3731" s="9" t="n">
        <v>666168</v>
      </c>
      <c r="B3731" s="9" t="inlineStr">
        <is>
          <t>Mason Thompson</t>
        </is>
      </c>
      <c r="C3731" s="9" t="inlineStr">
        <is>
          <t>WSH</t>
        </is>
      </c>
      <c r="D3731" s="9" t="n">
        <v>29</v>
      </c>
      <c r="E3731" s="18" t="inlineStr">
        <is>
          <t>R</t>
        </is>
      </c>
      <c r="F3731" s="18" t="n"/>
      <c r="G3731" s="9" t="n">
        <v>60</v>
      </c>
      <c r="H3731" s="9" t="n">
        <v>401</v>
      </c>
      <c r="I3731" s="9" t="inlineStr">
        <is>
          <t>Bullpen Depth Arm</t>
        </is>
      </c>
      <c r="J3731" s="18" t="inlineStr">
        <is>
          <t>Opening Day</t>
        </is>
      </c>
      <c r="K3731" s="11">
        <f>IFERROR(INDEX(Roles!$B$17:$B$20,MATCH(J3731,Roles!$A$17:$A$20,0)),1)</f>
        <v/>
      </c>
      <c r="L3731" s="19" t="n">
        <v>1</v>
      </c>
      <c r="M3731" s="11" t="n">
        <v>1</v>
      </c>
      <c r="N3731" s="19" t="n"/>
      <c r="O3731" s="19" t="n"/>
      <c r="P3731" s="19" t="n"/>
      <c r="Q3731" s="19" t="n"/>
      <c r="R3731" s="19" t="n"/>
      <c r="S3731" s="19" t="n"/>
      <c r="T3731" s="19" t="n"/>
      <c r="U3731" s="19" t="n"/>
      <c r="V3731" s="19" t="n"/>
      <c r="W3731" s="19" t="n">
        <v>1</v>
      </c>
      <c r="X3731" s="19" t="n"/>
      <c r="Y3731" s="19" t="n"/>
      <c r="Z3731" s="13">
        <f>SUMPRODUCT(N3731:Y3731,$N$2:$Y$2)*$K3731*$L3731*$M3731</f>
        <v/>
      </c>
      <c r="AA3731" s="14">
        <f>SUM(N3731:Y3731)</f>
        <v/>
      </c>
      <c r="AB3731" s="13">
        <f>SUMPRODUCT(N3731:Y3731,$N$3:$Y$3)*$K3731*$L3731*$M3731</f>
        <v/>
      </c>
      <c r="AC3731" s="13">
        <f>SUMPRODUCT(N3731:Y3731,$N$4:$Y$4)*$K3731*$L3731*$M3731</f>
        <v/>
      </c>
      <c r="AD3731" s="15" t="n">
        <v>14.06666666666667</v>
      </c>
      <c r="AE3731" s="11" t="n">
        <v>1.055475388808722</v>
      </c>
      <c r="AF3731" s="16">
        <f>SUMPRODUCT(N3731:Y3731,$N$5:$Y$5)*$K3731*$L3731*$M3731</f>
        <v/>
      </c>
      <c r="AG3731" s="16">
        <f>SUMPRODUCT(N3731:Y3731,$N$6:$Y$6)*$K3731*$L3731*$M3731</f>
        <v/>
      </c>
      <c r="AH3731" s="20" t="n"/>
    </row>
    <row r="3732">
      <c r="A3732" s="9" t="n">
        <v>672715</v>
      </c>
      <c r="B3732" s="9" t="inlineStr">
        <is>
          <t>Luis Patiño</t>
        </is>
      </c>
      <c r="C3732" s="9" t="inlineStr">
        <is>
          <t>CWS</t>
        </is>
      </c>
      <c r="D3732" s="9" t="n">
        <v>27</v>
      </c>
      <c r="E3732" s="18" t="inlineStr">
        <is>
          <t>R</t>
        </is>
      </c>
      <c r="F3732" s="18" t="n"/>
      <c r="G3732" s="9" t="n">
        <v>99</v>
      </c>
      <c r="H3732" s="9" t="n">
        <v>197</v>
      </c>
      <c r="I3732" s="9" t="inlineStr">
        <is>
          <t>Depth (no MLB IP)</t>
        </is>
      </c>
      <c r="J3732" s="18" t="inlineStr">
        <is>
          <t>Opening Day</t>
        </is>
      </c>
      <c r="K3732" s="11">
        <f>IFERROR(INDEX(Roles!$B$17:$B$20,MATCH(J3732,Roles!$A$17:$A$20,0)),1)</f>
        <v/>
      </c>
      <c r="L3732" s="19" t="n">
        <v>1</v>
      </c>
      <c r="M3732" s="11" t="n">
        <v>1</v>
      </c>
      <c r="N3732" s="19" t="n"/>
      <c r="O3732" s="19" t="n"/>
      <c r="P3732" s="19" t="n"/>
      <c r="Q3732" s="19" t="n"/>
      <c r="R3732" s="19" t="n"/>
      <c r="S3732" s="19" t="n"/>
      <c r="T3732" s="19" t="n"/>
      <c r="U3732" s="19" t="n"/>
      <c r="V3732" s="19" t="n"/>
      <c r="W3732" s="19" t="n"/>
      <c r="X3732" s="19" t="n"/>
      <c r="Y3732" s="19" t="n">
        <v>1</v>
      </c>
      <c r="Z3732" s="13">
        <f>SUMPRODUCT(N3732:Y3732,$N$2:$Y$2)*$K3732*$L3732*$M3732</f>
        <v/>
      </c>
      <c r="AA3732" s="14">
        <f>SUM(N3732:Y3732)</f>
        <v/>
      </c>
      <c r="AB3732" s="13">
        <f>SUMPRODUCT(N3732:Y3732,$N$3:$Y$3)*$K3732*$L3732*$M3732</f>
        <v/>
      </c>
      <c r="AC3732" s="13">
        <f>SUMPRODUCT(N3732:Y3732,$N$4:$Y$4)*$K3732*$L3732*$M3732</f>
        <v/>
      </c>
      <c r="AD3732" s="15" t="n">
        <v>3</v>
      </c>
      <c r="AE3732" s="11" t="n">
        <v>1.011296296296296</v>
      </c>
      <c r="AF3732" s="16">
        <f>SUMPRODUCT(N3732:Y3732,$N$5:$Y$5)*$K3732*$L3732*$M3732</f>
        <v/>
      </c>
      <c r="AG3732" s="16">
        <f>SUMPRODUCT(N3732:Y3732,$N$6:$Y$6)*$K3732*$L3732*$M3732</f>
        <v/>
      </c>
      <c r="AH3732" s="20" t="n"/>
    </row>
    <row r="3733">
      <c r="A3733" s="9" t="n">
        <v>696270</v>
      </c>
      <c r="B3733" s="9" t="inlineStr">
        <is>
          <t>Ryan Johnson</t>
        </is>
      </c>
      <c r="C3733" s="9" t="inlineStr">
        <is>
          <t>LAA</t>
        </is>
      </c>
      <c r="D3733" s="9" t="n">
        <v>24</v>
      </c>
      <c r="E3733" s="18" t="inlineStr">
        <is>
          <t>R</t>
        </is>
      </c>
      <c r="F3733" s="18" t="n"/>
      <c r="G3733" s="9" t="n">
        <v>437</v>
      </c>
      <c r="H3733" s="9" t="n">
        <v>509</v>
      </c>
      <c r="I3733" s="9" t="inlineStr">
        <is>
          <t>Swing Arm / Long Relief</t>
        </is>
      </c>
      <c r="J3733" s="18" t="inlineStr">
        <is>
          <t>Opening Day</t>
        </is>
      </c>
      <c r="K3733" s="11">
        <f>IFERROR(INDEX(Roles!$B$17:$B$20,MATCH(J3733,Roles!$A$17:$A$20,0)),1)</f>
        <v/>
      </c>
      <c r="L3733" s="19" t="n">
        <v>1</v>
      </c>
      <c r="M3733" s="11" t="n">
        <v>1</v>
      </c>
      <c r="N3733" s="19" t="n"/>
      <c r="O3733" s="19" t="n"/>
      <c r="P3733" s="19" t="n"/>
      <c r="Q3733" s="19" t="n"/>
      <c r="R3733" s="19" t="n">
        <v>0.5</v>
      </c>
      <c r="S3733" s="19" t="n"/>
      <c r="T3733" s="19" t="n"/>
      <c r="U3733" s="19" t="n"/>
      <c r="V3733" s="19" t="n">
        <v>0.5</v>
      </c>
      <c r="W3733" s="19" t="n"/>
      <c r="X3733" s="19" t="n"/>
      <c r="Y3733" s="19" t="n"/>
      <c r="Z3733" s="13">
        <f>SUMPRODUCT(N3733:Y3733,$N$2:$Y$2)*$K3733*$L3733*$M3733</f>
        <v/>
      </c>
      <c r="AA3733" s="14">
        <f>SUM(N3733:Y3733)</f>
        <v/>
      </c>
      <c r="AB3733" s="13">
        <f>SUMPRODUCT(N3733:Y3733,$N$3:$Y$3)*$K3733*$L3733*$M3733</f>
        <v/>
      </c>
      <c r="AC3733" s="13">
        <f>SUMPRODUCT(N3733:Y3733,$N$4:$Y$4)*$K3733*$L3733*$M3733</f>
        <v/>
      </c>
      <c r="AD3733" s="15" t="n">
        <v>19.41333333333333</v>
      </c>
      <c r="AE3733" s="11" t="n">
        <v>2.836336860055033</v>
      </c>
      <c r="AF3733" s="16">
        <f>SUMPRODUCT(N3733:Y3733,$N$5:$Y$5)*$K3733*$L3733*$M3733</f>
        <v/>
      </c>
      <c r="AG3733" s="16">
        <f>SUMPRODUCT(N3733:Y3733,$N$6:$Y$6)*$K3733*$L3733*$M3733</f>
        <v/>
      </c>
      <c r="AH3733" s="20" t="n"/>
    </row>
    <row r="3734">
      <c r="A3734" s="9" t="n">
        <v>678394</v>
      </c>
      <c r="B3734" s="9" t="inlineStr">
        <is>
          <t>Brayan Bello</t>
        </is>
      </c>
      <c r="C3734" s="9" t="inlineStr">
        <is>
          <t>BOS</t>
        </is>
      </c>
      <c r="D3734" s="9" t="n">
        <v>28</v>
      </c>
      <c r="E3734" s="18" t="inlineStr">
        <is>
          <t>R</t>
        </is>
      </c>
      <c r="F3734" s="18" t="n"/>
      <c r="G3734" s="9" t="n">
        <v>503</v>
      </c>
      <c r="H3734" s="9" t="n">
        <v>2841</v>
      </c>
      <c r="I3734" s="9" t="inlineStr">
        <is>
          <t>Swing Arm / Long Relief</t>
        </is>
      </c>
      <c r="J3734" s="18" t="inlineStr">
        <is>
          <t>Opening Day</t>
        </is>
      </c>
      <c r="K3734" s="11">
        <f>IFERROR(INDEX(Roles!$B$17:$B$20,MATCH(J3734,Roles!$A$17:$A$20,0)),1)</f>
        <v/>
      </c>
      <c r="L3734" s="19" t="n">
        <v>1</v>
      </c>
      <c r="M3734" s="11" t="n">
        <v>1</v>
      </c>
      <c r="N3734" s="19" t="n"/>
      <c r="O3734" s="19" t="n"/>
      <c r="P3734" s="19" t="n"/>
      <c r="Q3734" s="19" t="n"/>
      <c r="R3734" s="19" t="n">
        <v>0.5</v>
      </c>
      <c r="S3734" s="19" t="n"/>
      <c r="T3734" s="19" t="n"/>
      <c r="U3734" s="19" t="n"/>
      <c r="V3734" s="19" t="n">
        <v>0.5</v>
      </c>
      <c r="W3734" s="19" t="n"/>
      <c r="X3734" s="19" t="n"/>
      <c r="Y3734" s="19" t="n"/>
      <c r="Z3734" s="13">
        <f>SUMPRODUCT(N3734:Y3734,$N$2:$Y$2)*$K3734*$L3734*$M3734</f>
        <v/>
      </c>
      <c r="AA3734" s="14">
        <f>SUM(N3734:Y3734)</f>
        <v/>
      </c>
      <c r="AB3734" s="13">
        <f>SUMPRODUCT(N3734:Y3734,$N$3:$Y$3)*$K3734*$L3734*$M3734</f>
        <v/>
      </c>
      <c r="AC3734" s="13">
        <f>SUMPRODUCT(N3734:Y3734,$N$4:$Y$4)*$K3734*$L3734*$M3734</f>
        <v/>
      </c>
      <c r="AD3734" s="15" t="n">
        <v>24.73333333333333</v>
      </c>
      <c r="AE3734" s="11" t="n">
        <v>3.364605964842978</v>
      </c>
      <c r="AF3734" s="16">
        <f>SUMPRODUCT(N3734:Y3734,$N$5:$Y$5)*$K3734*$L3734*$M3734</f>
        <v/>
      </c>
      <c r="AG3734" s="16">
        <f>SUMPRODUCT(N3734:Y3734,$N$6:$Y$6)*$K3734*$L3734*$M3734</f>
        <v/>
      </c>
      <c r="AH3734" s="20" t="n"/>
    </row>
    <row r="3735">
      <c r="A3735" s="9" t="n">
        <v>805074</v>
      </c>
      <c r="B3735" s="9" t="inlineStr">
        <is>
          <t>Yunior Marte</t>
        </is>
      </c>
      <c r="C3735" s="9" t="inlineStr">
        <is>
          <t>SF</t>
        </is>
      </c>
      <c r="D3735" s="9" t="n">
        <v>23</v>
      </c>
      <c r="E3735" s="18" t="inlineStr">
        <is>
          <t>R</t>
        </is>
      </c>
      <c r="F3735" s="18" t="n"/>
      <c r="G3735" s="9" t="n">
        <v>103</v>
      </c>
      <c r="H3735" s="9" t="n">
        <v>103</v>
      </c>
      <c r="I3735" s="9" t="inlineStr">
        <is>
          <t>End-of-Rotation Starter (SP4-5)</t>
        </is>
      </c>
      <c r="J3735" s="18" t="inlineStr">
        <is>
          <t>Opening Day</t>
        </is>
      </c>
      <c r="K3735" s="11">
        <f>IFERROR(INDEX(Roles!$B$17:$B$20,MATCH(J3735,Roles!$A$17:$A$20,0)),1)</f>
        <v/>
      </c>
      <c r="L3735" s="19" t="n">
        <v>1</v>
      </c>
      <c r="M3735" s="11" t="n">
        <v>1</v>
      </c>
      <c r="N3735" s="19" t="n"/>
      <c r="O3735" s="19" t="n"/>
      <c r="P3735" s="19" t="n">
        <v>1</v>
      </c>
      <c r="Q3735" s="19" t="n"/>
      <c r="R3735" s="19" t="n"/>
      <c r="S3735" s="19" t="n"/>
      <c r="T3735" s="19" t="n"/>
      <c r="U3735" s="19" t="n"/>
      <c r="V3735" s="19" t="n"/>
      <c r="W3735" s="19" t="n"/>
      <c r="X3735" s="19" t="n"/>
      <c r="Y3735" s="19" t="n"/>
      <c r="Z3735" s="13">
        <f>SUMPRODUCT(N3735:Y3735,$N$2:$Y$2)*$K3735*$L3735*$M3735</f>
        <v/>
      </c>
      <c r="AA3735" s="14">
        <f>SUM(N3735:Y3735)</f>
        <v/>
      </c>
      <c r="AB3735" s="13">
        <f>SUMPRODUCT(N3735:Y3735,$N$3:$Y$3)*$K3735*$L3735*$M3735</f>
        <v/>
      </c>
      <c r="AC3735" s="13">
        <f>SUMPRODUCT(N3735:Y3735,$N$4:$Y$4)*$K3735*$L3735*$M3735</f>
        <v/>
      </c>
      <c r="AD3735" s="15" t="n">
        <v>9.4</v>
      </c>
      <c r="AE3735" s="11" t="n">
        <v>4.659259259259259</v>
      </c>
      <c r="AF3735" s="16">
        <f>SUMPRODUCT(N3735:Y3735,$N$5:$Y$5)*$K3735*$L3735*$M3735</f>
        <v/>
      </c>
      <c r="AG3735" s="16">
        <f>SUMPRODUCT(N3735:Y3735,$N$6:$Y$6)*$K3735*$L3735*$M3735</f>
        <v/>
      </c>
      <c r="AH3735" s="20" t="n"/>
    </row>
    <row r="3736">
      <c r="A3736" s="9" t="n">
        <v>605498</v>
      </c>
      <c r="B3736" s="9" t="inlineStr">
        <is>
          <t>Andrew Suárez</t>
        </is>
      </c>
      <c r="C3736" s="9" t="inlineStr">
        <is>
          <t>STL</t>
        </is>
      </c>
      <c r="D3736" s="9" t="n">
        <v>34</v>
      </c>
      <c r="E3736" s="18" t="inlineStr">
        <is>
          <t>L</t>
        </is>
      </c>
      <c r="F3736" s="18" t="n"/>
      <c r="G3736" s="9" t="n">
        <v>130</v>
      </c>
      <c r="H3736" s="9" t="n">
        <v>130</v>
      </c>
      <c r="I3736" s="9" t="inlineStr">
        <is>
          <t>Depth (no MLB IP)</t>
        </is>
      </c>
      <c r="J3736" s="18" t="inlineStr">
        <is>
          <t>Opening Day</t>
        </is>
      </c>
      <c r="K3736" s="11">
        <f>IFERROR(INDEX(Roles!$B$17:$B$20,MATCH(J3736,Roles!$A$17:$A$20,0)),1)</f>
        <v/>
      </c>
      <c r="L3736" s="19" t="n">
        <v>1</v>
      </c>
      <c r="M3736" s="11" t="n">
        <v>1</v>
      </c>
      <c r="N3736" s="19" t="n"/>
      <c r="O3736" s="19" t="n"/>
      <c r="P3736" s="19" t="n"/>
      <c r="Q3736" s="19" t="n"/>
      <c r="R3736" s="19" t="n"/>
      <c r="S3736" s="19" t="n"/>
      <c r="T3736" s="19" t="n"/>
      <c r="U3736" s="19" t="n"/>
      <c r="V3736" s="19" t="n"/>
      <c r="W3736" s="19" t="n"/>
      <c r="X3736" s="19" t="n"/>
      <c r="Y3736" s="19" t="n">
        <v>1</v>
      </c>
      <c r="Z3736" s="13">
        <f>SUMPRODUCT(N3736:Y3736,$N$2:$Y$2)*$K3736*$L3736*$M3736</f>
        <v/>
      </c>
      <c r="AA3736" s="14">
        <f>SUM(N3736:Y3736)</f>
        <v/>
      </c>
      <c r="AB3736" s="13">
        <f>SUMPRODUCT(N3736:Y3736,$N$3:$Y$3)*$K3736*$L3736*$M3736</f>
        <v/>
      </c>
      <c r="AC3736" s="13">
        <f>SUMPRODUCT(N3736:Y3736,$N$4:$Y$4)*$K3736*$L3736*$M3736</f>
        <v/>
      </c>
      <c r="AD3736" s="15" t="n">
        <v>3</v>
      </c>
      <c r="AE3736" s="11" t="n">
        <v>1.011296296296296</v>
      </c>
      <c r="AF3736" s="16">
        <f>SUMPRODUCT(N3736:Y3736,$N$5:$Y$5)*$K3736*$L3736*$M3736</f>
        <v/>
      </c>
      <c r="AG3736" s="16">
        <f>SUMPRODUCT(N3736:Y3736,$N$6:$Y$6)*$K3736*$L3736*$M3736</f>
        <v/>
      </c>
      <c r="AH3736" s="20" t="n"/>
    </row>
    <row r="3737">
      <c r="A3737" s="9" t="n">
        <v>643256</v>
      </c>
      <c r="B3737" s="9" t="inlineStr">
        <is>
          <t>Adam Cimber</t>
        </is>
      </c>
      <c r="C3737" s="9" t="inlineStr">
        <is>
          <t>LAA</t>
        </is>
      </c>
      <c r="D3737" s="9" t="n">
        <v>36</v>
      </c>
      <c r="E3737" s="18" t="inlineStr">
        <is>
          <t>R</t>
        </is>
      </c>
      <c r="F3737" s="18" t="n"/>
      <c r="G3737" s="9" t="n">
        <v>107</v>
      </c>
      <c r="H3737" s="9" t="n">
        <v>495</v>
      </c>
      <c r="I3737" s="9" t="inlineStr">
        <is>
          <t>Depth (no MLB IP)</t>
        </is>
      </c>
      <c r="J3737" s="18" t="inlineStr">
        <is>
          <t>Opening Day</t>
        </is>
      </c>
      <c r="K3737" s="11">
        <f>IFERROR(INDEX(Roles!$B$17:$B$20,MATCH(J3737,Roles!$A$17:$A$20,0)),1)</f>
        <v/>
      </c>
      <c r="L3737" s="19" t="n">
        <v>1</v>
      </c>
      <c r="M3737" s="11" t="n">
        <v>1</v>
      </c>
      <c r="N3737" s="19" t="n"/>
      <c r="O3737" s="19" t="n"/>
      <c r="P3737" s="19" t="n"/>
      <c r="Q3737" s="19" t="n"/>
      <c r="R3737" s="19" t="n"/>
      <c r="S3737" s="19" t="n"/>
      <c r="T3737" s="19" t="n"/>
      <c r="U3737" s="19" t="n"/>
      <c r="V3737" s="19" t="n"/>
      <c r="W3737" s="19" t="n"/>
      <c r="X3737" s="19" t="n"/>
      <c r="Y3737" s="19" t="n">
        <v>1</v>
      </c>
      <c r="Z3737" s="13">
        <f>SUMPRODUCT(N3737:Y3737,$N$2:$Y$2)*$K3737*$L3737*$M3737</f>
        <v/>
      </c>
      <c r="AA3737" s="14">
        <f>SUM(N3737:Y3737)</f>
        <v/>
      </c>
      <c r="AB3737" s="13">
        <f>SUMPRODUCT(N3737:Y3737,$N$3:$Y$3)*$K3737*$L3737*$M3737</f>
        <v/>
      </c>
      <c r="AC3737" s="13">
        <f>SUMPRODUCT(N3737:Y3737,$N$4:$Y$4)*$K3737*$L3737*$M3737</f>
        <v/>
      </c>
      <c r="AD3737" s="15" t="n">
        <v>18</v>
      </c>
      <c r="AE3737" s="11" t="n">
        <v>0.9638800705467372</v>
      </c>
      <c r="AF3737" s="16">
        <f>SUMPRODUCT(N3737:Y3737,$N$5:$Y$5)*$K3737*$L3737*$M3737</f>
        <v/>
      </c>
      <c r="AG3737" s="16">
        <f>SUMPRODUCT(N3737:Y3737,$N$6:$Y$6)*$K3737*$L3737*$M3737</f>
        <v/>
      </c>
      <c r="AH3737" s="20" t="n"/>
    </row>
    <row r="3738">
      <c r="A3738" s="9" t="n">
        <v>680734</v>
      </c>
      <c r="B3738" s="9" t="inlineStr">
        <is>
          <t>Kyle Luckham</t>
        </is>
      </c>
      <c r="C3738" s="9" t="inlineStr">
        <is>
          <t>WSH</t>
        </is>
      </c>
      <c r="D3738" s="9" t="n">
        <v>25</v>
      </c>
      <c r="E3738" s="18" t="inlineStr">
        <is>
          <t>R</t>
        </is>
      </c>
      <c r="F3738" s="18" t="n"/>
      <c r="G3738" s="9" t="n">
        <v>147.49</v>
      </c>
      <c r="H3738" s="9" t="n">
        <v>147.49</v>
      </c>
      <c r="I3738" s="9" t="inlineStr">
        <is>
          <t>Depth (no MLB IP)</t>
        </is>
      </c>
      <c r="J3738" s="18" t="inlineStr">
        <is>
          <t>Opening Day</t>
        </is>
      </c>
      <c r="K3738" s="11">
        <f>IFERROR(INDEX(Roles!$B$17:$B$20,MATCH(J3738,Roles!$A$17:$A$20,0)),1)</f>
        <v/>
      </c>
      <c r="L3738" s="19" t="n">
        <v>1</v>
      </c>
      <c r="M3738" s="11" t="n">
        <v>1</v>
      </c>
      <c r="N3738" s="19" t="n"/>
      <c r="O3738" s="19" t="n"/>
      <c r="P3738" s="19" t="n"/>
      <c r="Q3738" s="19" t="n"/>
      <c r="R3738" s="19" t="n"/>
      <c r="S3738" s="19" t="n"/>
      <c r="T3738" s="19" t="n"/>
      <c r="U3738" s="19" t="n"/>
      <c r="V3738" s="19" t="n"/>
      <c r="W3738" s="19" t="n"/>
      <c r="X3738" s="19" t="n"/>
      <c r="Y3738" s="19" t="n">
        <v>1</v>
      </c>
      <c r="Z3738" s="13">
        <f>SUMPRODUCT(N3738:Y3738,$N$2:$Y$2)*$K3738*$L3738*$M3738</f>
        <v/>
      </c>
      <c r="AA3738" s="14">
        <f>SUM(N3738:Y3738)</f>
        <v/>
      </c>
      <c r="AB3738" s="13">
        <f>SUMPRODUCT(N3738:Y3738,$N$3:$Y$3)*$K3738*$L3738*$M3738</f>
        <v/>
      </c>
      <c r="AC3738" s="13">
        <f>SUMPRODUCT(N3738:Y3738,$N$4:$Y$4)*$K3738*$L3738*$M3738</f>
        <v/>
      </c>
      <c r="AD3738" s="15" t="n">
        <v>3</v>
      </c>
      <c r="AE3738" s="11" t="n">
        <v>1.011296296296296</v>
      </c>
      <c r="AF3738" s="16">
        <f>SUMPRODUCT(N3738:Y3738,$N$5:$Y$5)*$K3738*$L3738*$M3738</f>
        <v/>
      </c>
      <c r="AG3738" s="16">
        <f>SUMPRODUCT(N3738:Y3738,$N$6:$Y$6)*$K3738*$L3738*$M3738</f>
        <v/>
      </c>
      <c r="AH3738" s="20" t="n"/>
    </row>
    <row r="3739">
      <c r="A3739" s="9" t="n">
        <v>676568</v>
      </c>
      <c r="B3739" s="9" t="inlineStr">
        <is>
          <t>Ricky Vanasco</t>
        </is>
      </c>
      <c r="C3739" s="9" t="inlineStr">
        <is>
          <t>DET</t>
        </is>
      </c>
      <c r="D3739" s="9" t="n">
        <v>28</v>
      </c>
      <c r="E3739" s="18" t="inlineStr">
        <is>
          <t>R</t>
        </is>
      </c>
      <c r="F3739" s="18" t="n"/>
      <c r="G3739" s="9" t="n">
        <v>40</v>
      </c>
      <c r="H3739" s="9" t="n">
        <v>55</v>
      </c>
      <c r="I3739" s="9" t="inlineStr">
        <is>
          <t>Bullpen Depth Arm</t>
        </is>
      </c>
      <c r="J3739" s="18" t="inlineStr">
        <is>
          <t>Opening Day</t>
        </is>
      </c>
      <c r="K3739" s="11">
        <f>IFERROR(INDEX(Roles!$B$17:$B$20,MATCH(J3739,Roles!$A$17:$A$20,0)),1)</f>
        <v/>
      </c>
      <c r="L3739" s="19" t="n">
        <v>1</v>
      </c>
      <c r="M3739" s="11" t="n">
        <v>1</v>
      </c>
      <c r="N3739" s="19" t="n"/>
      <c r="O3739" s="19" t="n"/>
      <c r="P3739" s="19" t="n"/>
      <c r="Q3739" s="19" t="n"/>
      <c r="R3739" s="19" t="n"/>
      <c r="S3739" s="19" t="n"/>
      <c r="T3739" s="19" t="n"/>
      <c r="U3739" s="19" t="n"/>
      <c r="V3739" s="19" t="n"/>
      <c r="W3739" s="19" t="n">
        <v>1</v>
      </c>
      <c r="X3739" s="19" t="n"/>
      <c r="Y3739" s="19" t="n"/>
      <c r="Z3739" s="13">
        <f>SUMPRODUCT(N3739:Y3739,$N$2:$Y$2)*$K3739*$L3739*$M3739</f>
        <v/>
      </c>
      <c r="AA3739" s="14">
        <f>SUM(N3739:Y3739)</f>
        <v/>
      </c>
      <c r="AB3739" s="13">
        <f>SUMPRODUCT(N3739:Y3739,$N$3:$Y$3)*$K3739*$L3739*$M3739</f>
        <v/>
      </c>
      <c r="AC3739" s="13">
        <f>SUMPRODUCT(N3739:Y3739,$N$4:$Y$4)*$K3739*$L3739*$M3739</f>
        <v/>
      </c>
      <c r="AD3739" s="15" t="n">
        <v>8.516666666666666</v>
      </c>
      <c r="AE3739" s="11" t="n">
        <v>1.205015906770293</v>
      </c>
      <c r="AF3739" s="16">
        <f>SUMPRODUCT(N3739:Y3739,$N$5:$Y$5)*$K3739*$L3739*$M3739</f>
        <v/>
      </c>
      <c r="AG3739" s="16">
        <f>SUMPRODUCT(N3739:Y3739,$N$6:$Y$6)*$K3739*$L3739*$M3739</f>
        <v/>
      </c>
      <c r="AH3739" s="20" t="n"/>
    </row>
    <row r="3740">
      <c r="A3740" s="9" t="n">
        <v>690667</v>
      </c>
      <c r="B3740" s="9" t="inlineStr">
        <is>
          <t>Trey Dombroski</t>
        </is>
      </c>
      <c r="C3740" s="9" t="inlineStr">
        <is>
          <t>HOU</t>
        </is>
      </c>
      <c r="D3740" s="9" t="n">
        <v>25</v>
      </c>
      <c r="E3740" s="18" t="inlineStr">
        <is>
          <t>L</t>
        </is>
      </c>
      <c r="F3740" s="18" t="n"/>
      <c r="G3740" s="9" t="n">
        <v>147.49</v>
      </c>
      <c r="H3740" s="9" t="n">
        <v>147.49</v>
      </c>
      <c r="I3740" s="9" t="inlineStr">
        <is>
          <t>Depth (no MLB IP)</t>
        </is>
      </c>
      <c r="J3740" s="18" t="inlineStr">
        <is>
          <t>Opening Day</t>
        </is>
      </c>
      <c r="K3740" s="11">
        <f>IFERROR(INDEX(Roles!$B$17:$B$20,MATCH(J3740,Roles!$A$17:$A$20,0)),1)</f>
        <v/>
      </c>
      <c r="L3740" s="19" t="n">
        <v>1</v>
      </c>
      <c r="M3740" s="11" t="n">
        <v>1</v>
      </c>
      <c r="N3740" s="19" t="n"/>
      <c r="O3740" s="19" t="n"/>
      <c r="P3740" s="19" t="n"/>
      <c r="Q3740" s="19" t="n"/>
      <c r="R3740" s="19" t="n"/>
      <c r="S3740" s="19" t="n"/>
      <c r="T3740" s="19" t="n"/>
      <c r="U3740" s="19" t="n"/>
      <c r="V3740" s="19" t="n"/>
      <c r="W3740" s="19" t="n"/>
      <c r="X3740" s="19" t="n"/>
      <c r="Y3740" s="19" t="n">
        <v>1</v>
      </c>
      <c r="Z3740" s="13">
        <f>SUMPRODUCT(N3740:Y3740,$N$2:$Y$2)*$K3740*$L3740*$M3740</f>
        <v/>
      </c>
      <c r="AA3740" s="14">
        <f>SUM(N3740:Y3740)</f>
        <v/>
      </c>
      <c r="AB3740" s="13">
        <f>SUMPRODUCT(N3740:Y3740,$N$3:$Y$3)*$K3740*$L3740*$M3740</f>
        <v/>
      </c>
      <c r="AC3740" s="13">
        <f>SUMPRODUCT(N3740:Y3740,$N$4:$Y$4)*$K3740*$L3740*$M3740</f>
        <v/>
      </c>
      <c r="AD3740" s="15" t="n">
        <v>3</v>
      </c>
      <c r="AE3740" s="11" t="n">
        <v>1.011296296296296</v>
      </c>
      <c r="AF3740" s="16">
        <f>SUMPRODUCT(N3740:Y3740,$N$5:$Y$5)*$K3740*$L3740*$M3740</f>
        <v/>
      </c>
      <c r="AG3740" s="16">
        <f>SUMPRODUCT(N3740:Y3740,$N$6:$Y$6)*$K3740*$L3740*$M3740</f>
        <v/>
      </c>
      <c r="AH3740" s="20" t="n"/>
    </row>
    <row r="3741">
      <c r="A3741" s="9" t="n">
        <v>835483</v>
      </c>
      <c r="B3741" s="9" t="inlineStr">
        <is>
          <t>Brandon McPherson</t>
        </is>
      </c>
      <c r="C3741" s="9" t="inlineStr">
        <is>
          <t>HOU</t>
        </is>
      </c>
      <c r="D3741" s="9" t="n">
        <v>25</v>
      </c>
      <c r="E3741" s="18" t="inlineStr">
        <is>
          <t>R</t>
        </is>
      </c>
      <c r="F3741" s="18" t="n"/>
      <c r="G3741" s="9" t="n">
        <v>147.4183333333334</v>
      </c>
      <c r="H3741" s="9" t="n">
        <v>147.4183333333334</v>
      </c>
      <c r="I3741" s="9" t="inlineStr">
        <is>
          <t>Depth (no MLB IP)</t>
        </is>
      </c>
      <c r="J3741" s="18" t="inlineStr">
        <is>
          <t>Opening Day</t>
        </is>
      </c>
      <c r="K3741" s="11">
        <f>IFERROR(INDEX(Roles!$B$17:$B$20,MATCH(J3741,Roles!$A$17:$A$20,0)),1)</f>
        <v/>
      </c>
      <c r="L3741" s="19" t="n">
        <v>1</v>
      </c>
      <c r="M3741" s="11" t="n">
        <v>1</v>
      </c>
      <c r="N3741" s="19" t="n"/>
      <c r="O3741" s="19" t="n"/>
      <c r="P3741" s="19" t="n"/>
      <c r="Q3741" s="19" t="n"/>
      <c r="R3741" s="19" t="n"/>
      <c r="S3741" s="19" t="n"/>
      <c r="T3741" s="19" t="n"/>
      <c r="U3741" s="19" t="n"/>
      <c r="V3741" s="19" t="n"/>
      <c r="W3741" s="19" t="n"/>
      <c r="X3741" s="19" t="n"/>
      <c r="Y3741" s="19" t="n">
        <v>1</v>
      </c>
      <c r="Z3741" s="13">
        <f>SUMPRODUCT(N3741:Y3741,$N$2:$Y$2)*$K3741*$L3741*$M3741</f>
        <v/>
      </c>
      <c r="AA3741" s="14">
        <f>SUM(N3741:Y3741)</f>
        <v/>
      </c>
      <c r="AB3741" s="13">
        <f>SUMPRODUCT(N3741:Y3741,$N$3:$Y$3)*$K3741*$L3741*$M3741</f>
        <v/>
      </c>
      <c r="AC3741" s="13">
        <f>SUMPRODUCT(N3741:Y3741,$N$4:$Y$4)*$K3741*$L3741*$M3741</f>
        <v/>
      </c>
      <c r="AD3741" s="15" t="n">
        <v>3</v>
      </c>
      <c r="AE3741" s="11" t="n">
        <v>1.011296296296296</v>
      </c>
      <c r="AF3741" s="16">
        <f>SUMPRODUCT(N3741:Y3741,$N$5:$Y$5)*$K3741*$L3741*$M3741</f>
        <v/>
      </c>
      <c r="AG3741" s="16">
        <f>SUMPRODUCT(N3741:Y3741,$N$6:$Y$6)*$K3741*$L3741*$M3741</f>
        <v/>
      </c>
      <c r="AH3741" s="20" t="n"/>
    </row>
    <row r="3742">
      <c r="A3742" s="9" t="n">
        <v>677944</v>
      </c>
      <c r="B3742" s="9" t="inlineStr">
        <is>
          <t>Slade Cecconi</t>
        </is>
      </c>
      <c r="C3742" s="9" t="inlineStr">
        <is>
          <t>CLE</t>
        </is>
      </c>
      <c r="D3742" s="9" t="n">
        <v>28</v>
      </c>
      <c r="E3742" s="18" t="inlineStr">
        <is>
          <t>R</t>
        </is>
      </c>
      <c r="F3742" s="18" t="n"/>
      <c r="G3742" s="9" t="n">
        <v>528</v>
      </c>
      <c r="H3742" s="9" t="n">
        <v>1522</v>
      </c>
      <c r="I3742" s="9" t="inlineStr">
        <is>
          <t>Swing Arm / Long Relief</t>
        </is>
      </c>
      <c r="J3742" s="18" t="inlineStr">
        <is>
          <t>Opening Day</t>
        </is>
      </c>
      <c r="K3742" s="11">
        <f>IFERROR(INDEX(Roles!$B$17:$B$20,MATCH(J3742,Roles!$A$17:$A$20,0)),1)</f>
        <v/>
      </c>
      <c r="L3742" s="19" t="n">
        <v>1</v>
      </c>
      <c r="M3742" s="11" t="n">
        <v>1</v>
      </c>
      <c r="N3742" s="19" t="n"/>
      <c r="O3742" s="19" t="n"/>
      <c r="P3742" s="19" t="n"/>
      <c r="Q3742" s="19" t="n"/>
      <c r="R3742" s="19" t="n">
        <v>0.6</v>
      </c>
      <c r="S3742" s="19" t="n"/>
      <c r="T3742" s="19" t="n"/>
      <c r="U3742" s="19" t="n"/>
      <c r="V3742" s="19" t="n"/>
      <c r="W3742" s="19" t="n">
        <v>0.4</v>
      </c>
      <c r="X3742" s="19" t="n"/>
      <c r="Y3742" s="19" t="n"/>
      <c r="Z3742" s="13">
        <f>SUMPRODUCT(N3742:Y3742,$N$2:$Y$2)*$K3742*$L3742*$M3742</f>
        <v/>
      </c>
      <c r="AA3742" s="14">
        <f>SUM(N3742:Y3742)</f>
        <v/>
      </c>
      <c r="AB3742" s="13">
        <f>SUMPRODUCT(N3742:Y3742,$N$3:$Y$3)*$K3742*$L3742*$M3742</f>
        <v/>
      </c>
      <c r="AC3742" s="13">
        <f>SUMPRODUCT(N3742:Y3742,$N$4:$Y$4)*$K3742*$L3742*$M3742</f>
        <v/>
      </c>
      <c r="AD3742" s="15" t="n">
        <v>23.13333333333333</v>
      </c>
      <c r="AE3742" s="11" t="n">
        <v>3.232932604735884</v>
      </c>
      <c r="AF3742" s="16">
        <f>SUMPRODUCT(N3742:Y3742,$N$5:$Y$5)*$K3742*$L3742*$M3742</f>
        <v/>
      </c>
      <c r="AG3742" s="16">
        <f>SUMPRODUCT(N3742:Y3742,$N$6:$Y$6)*$K3742*$L3742*$M3742</f>
        <v/>
      </c>
      <c r="AH3742" s="20" t="n"/>
    </row>
    <row r="3743">
      <c r="A3743" s="9" t="n">
        <v>703615</v>
      </c>
      <c r="B3743" s="9" t="inlineStr">
        <is>
          <t>Jose Cabrera</t>
        </is>
      </c>
      <c r="C3743" s="9" t="inlineStr">
        <is>
          <t>ARI</t>
        </is>
      </c>
      <c r="D3743" s="9" t="n">
        <v>25</v>
      </c>
      <c r="E3743" s="18" t="inlineStr">
        <is>
          <t>R</t>
        </is>
      </c>
      <c r="F3743" s="18" t="n"/>
      <c r="G3743" s="9" t="n">
        <v>129</v>
      </c>
      <c r="H3743" s="9" t="n">
        <v>129</v>
      </c>
      <c r="I3743" s="9" t="inlineStr">
        <is>
          <t>Middle Relief</t>
        </is>
      </c>
      <c r="J3743" s="18" t="inlineStr">
        <is>
          <t>Opening Day</t>
        </is>
      </c>
      <c r="K3743" s="11">
        <f>IFERROR(INDEX(Roles!$B$17:$B$20,MATCH(J3743,Roles!$A$17:$A$20,0)),1)</f>
        <v/>
      </c>
      <c r="L3743" s="19" t="n">
        <v>1</v>
      </c>
      <c r="M3743" s="11" t="n">
        <v>1</v>
      </c>
      <c r="N3743" s="19" t="n"/>
      <c r="O3743" s="19" t="n"/>
      <c r="P3743" s="19" t="n"/>
      <c r="Q3743" s="19" t="n"/>
      <c r="R3743" s="19" t="n"/>
      <c r="S3743" s="19" t="n"/>
      <c r="T3743" s="19" t="n"/>
      <c r="U3743" s="19" t="n"/>
      <c r="V3743" s="19" t="n">
        <v>0.5</v>
      </c>
      <c r="W3743" s="19" t="n">
        <v>0.5</v>
      </c>
      <c r="X3743" s="19" t="n"/>
      <c r="Y3743" s="19" t="n"/>
      <c r="Z3743" s="13">
        <f>SUMPRODUCT(N3743:Y3743,$N$2:$Y$2)*$K3743*$L3743*$M3743</f>
        <v/>
      </c>
      <c r="AA3743" s="14">
        <f>SUM(N3743:Y3743)</f>
        <v/>
      </c>
      <c r="AB3743" s="13">
        <f>SUMPRODUCT(N3743:Y3743,$N$3:$Y$3)*$K3743*$L3743*$M3743</f>
        <v/>
      </c>
      <c r="AC3743" s="13">
        <f>SUMPRODUCT(N3743:Y3743,$N$4:$Y$4)*$K3743*$L3743*$M3743</f>
        <v/>
      </c>
      <c r="AD3743" s="15" t="n">
        <v>19.53333333333333</v>
      </c>
      <c r="AE3743" s="11" t="n">
        <v>1.869699320330969</v>
      </c>
      <c r="AF3743" s="16">
        <f>SUMPRODUCT(N3743:Y3743,$N$5:$Y$5)*$K3743*$L3743*$M3743</f>
        <v/>
      </c>
      <c r="AG3743" s="16">
        <f>SUMPRODUCT(N3743:Y3743,$N$6:$Y$6)*$K3743*$L3743*$M3743</f>
        <v/>
      </c>
      <c r="AH3743" s="20" t="n"/>
    </row>
    <row r="3744">
      <c r="A3744" s="9" t="n">
        <v>676393</v>
      </c>
      <c r="B3744" s="9" t="inlineStr">
        <is>
          <t>Jack Leftwich</t>
        </is>
      </c>
      <c r="C3744" s="9" t="inlineStr">
        <is>
          <t>CLE</t>
        </is>
      </c>
      <c r="D3744" s="9" t="n">
        <v>25</v>
      </c>
      <c r="E3744" s="18" t="inlineStr">
        <is>
          <t>R</t>
        </is>
      </c>
      <c r="F3744" s="18" t="n"/>
      <c r="G3744" s="9" t="n">
        <v>148.2066666666667</v>
      </c>
      <c r="H3744" s="9" t="n">
        <v>148.2066666666667</v>
      </c>
      <c r="I3744" s="9" t="inlineStr">
        <is>
          <t>Depth (no MLB IP)</t>
        </is>
      </c>
      <c r="J3744" s="18" t="inlineStr">
        <is>
          <t>Opening Day</t>
        </is>
      </c>
      <c r="K3744" s="11">
        <f>IFERROR(INDEX(Roles!$B$17:$B$20,MATCH(J3744,Roles!$A$17:$A$20,0)),1)</f>
        <v/>
      </c>
      <c r="L3744" s="19" t="n">
        <v>1</v>
      </c>
      <c r="M3744" s="11" t="n">
        <v>1</v>
      </c>
      <c r="N3744" s="19" t="n"/>
      <c r="O3744" s="19" t="n"/>
      <c r="P3744" s="19" t="n"/>
      <c r="Q3744" s="19" t="n"/>
      <c r="R3744" s="19" t="n"/>
      <c r="S3744" s="19" t="n"/>
      <c r="T3744" s="19" t="n"/>
      <c r="U3744" s="19" t="n"/>
      <c r="V3744" s="19" t="n"/>
      <c r="W3744" s="19" t="n"/>
      <c r="X3744" s="19" t="n"/>
      <c r="Y3744" s="19" t="n">
        <v>1</v>
      </c>
      <c r="Z3744" s="13">
        <f>SUMPRODUCT(N3744:Y3744,$N$2:$Y$2)*$K3744*$L3744*$M3744</f>
        <v/>
      </c>
      <c r="AA3744" s="14">
        <f>SUM(N3744:Y3744)</f>
        <v/>
      </c>
      <c r="AB3744" s="13">
        <f>SUMPRODUCT(N3744:Y3744,$N$3:$Y$3)*$K3744*$L3744*$M3744</f>
        <v/>
      </c>
      <c r="AC3744" s="13">
        <f>SUMPRODUCT(N3744:Y3744,$N$4:$Y$4)*$K3744*$L3744*$M3744</f>
        <v/>
      </c>
      <c r="AD3744" s="15" t="n">
        <v>3</v>
      </c>
      <c r="AE3744" s="11" t="n">
        <v>1.011296296296296</v>
      </c>
      <c r="AF3744" s="16">
        <f>SUMPRODUCT(N3744:Y3744,$N$5:$Y$5)*$K3744*$L3744*$M3744</f>
        <v/>
      </c>
      <c r="AG3744" s="16">
        <f>SUMPRODUCT(N3744:Y3744,$N$6:$Y$6)*$K3744*$L3744*$M3744</f>
        <v/>
      </c>
      <c r="AH3744" s="20" t="n"/>
    </row>
    <row r="3745">
      <c r="A3745" s="9" t="n">
        <v>694680</v>
      </c>
      <c r="B3745" s="9" t="inlineStr">
        <is>
          <t>Trevor Martin</t>
        </is>
      </c>
      <c r="C3745" s="9" t="inlineStr">
        <is>
          <t>LAA</t>
        </is>
      </c>
      <c r="D3745" s="9" t="n">
        <v>26</v>
      </c>
      <c r="E3745" s="18" t="inlineStr">
        <is>
          <t>R</t>
        </is>
      </c>
      <c r="F3745" s="18" t="n"/>
      <c r="G3745" s="9" t="n">
        <v>73</v>
      </c>
      <c r="H3745" s="9" t="n">
        <v>73</v>
      </c>
      <c r="I3745" s="9" t="inlineStr">
        <is>
          <t>Bullpen Depth Arm</t>
        </is>
      </c>
      <c r="J3745" s="18" t="inlineStr">
        <is>
          <t>Opening Day</t>
        </is>
      </c>
      <c r="K3745" s="11">
        <f>IFERROR(INDEX(Roles!$B$17:$B$20,MATCH(J3745,Roles!$A$17:$A$20,0)),1)</f>
        <v/>
      </c>
      <c r="L3745" s="19" t="n">
        <v>1</v>
      </c>
      <c r="M3745" s="11" t="n">
        <v>1</v>
      </c>
      <c r="N3745" s="19" t="n"/>
      <c r="O3745" s="19" t="n"/>
      <c r="P3745" s="19" t="n"/>
      <c r="Q3745" s="19" t="n"/>
      <c r="R3745" s="19" t="n"/>
      <c r="S3745" s="19" t="n"/>
      <c r="T3745" s="19" t="n"/>
      <c r="U3745" s="19" t="n"/>
      <c r="V3745" s="19" t="n">
        <v>0.15</v>
      </c>
      <c r="W3745" s="19" t="n">
        <v>0.85</v>
      </c>
      <c r="X3745" s="19" t="n"/>
      <c r="Y3745" s="19" t="n"/>
      <c r="Z3745" s="13">
        <f>SUMPRODUCT(N3745:Y3745,$N$2:$Y$2)*$K3745*$L3745*$M3745</f>
        <v/>
      </c>
      <c r="AA3745" s="14">
        <f>SUM(N3745:Y3745)</f>
        <v/>
      </c>
      <c r="AB3745" s="13">
        <f>SUMPRODUCT(N3745:Y3745,$N$3:$Y$3)*$K3745*$L3745*$M3745</f>
        <v/>
      </c>
      <c r="AC3745" s="13">
        <f>SUMPRODUCT(N3745:Y3745,$N$4:$Y$4)*$K3745*$L3745*$M3745</f>
        <v/>
      </c>
      <c r="AD3745" s="15" t="n">
        <v>10.46666666666666</v>
      </c>
      <c r="AE3745" s="11" t="n">
        <v>1.440396023729357</v>
      </c>
      <c r="AF3745" s="16">
        <f>SUMPRODUCT(N3745:Y3745,$N$5:$Y$5)*$K3745*$L3745*$M3745</f>
        <v/>
      </c>
      <c r="AG3745" s="16">
        <f>SUMPRODUCT(N3745:Y3745,$N$6:$Y$6)*$K3745*$L3745*$M3745</f>
        <v/>
      </c>
      <c r="AH3745" s="20" t="n"/>
    </row>
    <row r="3746">
      <c r="A3746" s="9" t="n">
        <v>804249</v>
      </c>
      <c r="B3746" s="9" t="inlineStr">
        <is>
          <t>Tate Kuehner</t>
        </is>
      </c>
      <c r="C3746" s="9" t="inlineStr">
        <is>
          <t>MIL</t>
        </is>
      </c>
      <c r="D3746" s="9" t="n">
        <v>25</v>
      </c>
      <c r="E3746" s="18" t="inlineStr">
        <is>
          <t>L</t>
        </is>
      </c>
      <c r="F3746" s="18" t="n"/>
      <c r="G3746" s="9" t="n">
        <v>148.995</v>
      </c>
      <c r="H3746" s="9" t="n">
        <v>148.995</v>
      </c>
      <c r="I3746" s="9" t="inlineStr">
        <is>
          <t>Depth (no MLB IP)</t>
        </is>
      </c>
      <c r="J3746" s="18" t="inlineStr">
        <is>
          <t>Opening Day</t>
        </is>
      </c>
      <c r="K3746" s="11">
        <f>IFERROR(INDEX(Roles!$B$17:$B$20,MATCH(J3746,Roles!$A$17:$A$20,0)),1)</f>
        <v/>
      </c>
      <c r="L3746" s="19" t="n">
        <v>1</v>
      </c>
      <c r="M3746" s="11" t="n">
        <v>1</v>
      </c>
      <c r="N3746" s="19" t="n"/>
      <c r="O3746" s="19" t="n"/>
      <c r="P3746" s="19" t="n"/>
      <c r="Q3746" s="19" t="n"/>
      <c r="R3746" s="19" t="n"/>
      <c r="S3746" s="19" t="n"/>
      <c r="T3746" s="19" t="n"/>
      <c r="U3746" s="19" t="n"/>
      <c r="V3746" s="19" t="n"/>
      <c r="W3746" s="19" t="n"/>
      <c r="X3746" s="19" t="n"/>
      <c r="Y3746" s="19" t="n">
        <v>1</v>
      </c>
      <c r="Z3746" s="13">
        <f>SUMPRODUCT(N3746:Y3746,$N$2:$Y$2)*$K3746*$L3746*$M3746</f>
        <v/>
      </c>
      <c r="AA3746" s="14">
        <f>SUM(N3746:Y3746)</f>
        <v/>
      </c>
      <c r="AB3746" s="13">
        <f>SUMPRODUCT(N3746:Y3746,$N$3:$Y$3)*$K3746*$L3746*$M3746</f>
        <v/>
      </c>
      <c r="AC3746" s="13">
        <f>SUMPRODUCT(N3746:Y3746,$N$4:$Y$4)*$K3746*$L3746*$M3746</f>
        <v/>
      </c>
      <c r="AD3746" s="15" t="n">
        <v>3</v>
      </c>
      <c r="AE3746" s="11" t="n">
        <v>1.011296296296296</v>
      </c>
      <c r="AF3746" s="16">
        <f>SUMPRODUCT(N3746:Y3746,$N$5:$Y$5)*$K3746*$L3746*$M3746</f>
        <v/>
      </c>
      <c r="AG3746" s="16">
        <f>SUMPRODUCT(N3746:Y3746,$N$6:$Y$6)*$K3746*$L3746*$M3746</f>
        <v/>
      </c>
      <c r="AH3746" s="20" t="n"/>
    </row>
    <row r="3747">
      <c r="A3747" s="9" t="n">
        <v>678391</v>
      </c>
      <c r="B3747" s="9" t="inlineStr">
        <is>
          <t>Jorbit Vivas</t>
        </is>
      </c>
      <c r="C3747" s="9" t="inlineStr">
        <is>
          <t>WSH</t>
        </is>
      </c>
      <c r="D3747" s="9" t="n">
        <v>26</v>
      </c>
      <c r="E3747" s="18" t="inlineStr">
        <is>
          <t>R</t>
        </is>
      </c>
      <c r="F3747" s="18" t="n"/>
      <c r="G3747" s="9" t="n">
        <v>27</v>
      </c>
      <c r="H3747" s="9" t="n">
        <v>27</v>
      </c>
      <c r="I3747" s="9" t="inlineStr">
        <is>
          <t>Bullpen Depth Arm</t>
        </is>
      </c>
      <c r="J3747" s="18" t="inlineStr">
        <is>
          <t>Opening Day</t>
        </is>
      </c>
      <c r="K3747" s="11">
        <f>IFERROR(INDEX(Roles!$B$17:$B$20,MATCH(J3747,Roles!$A$17:$A$20,0)),1)</f>
        <v/>
      </c>
      <c r="L3747" s="19" t="n">
        <v>1</v>
      </c>
      <c r="M3747" s="11" t="n">
        <v>1</v>
      </c>
      <c r="N3747" s="19" t="n"/>
      <c r="O3747" s="19" t="n"/>
      <c r="P3747" s="19" t="n"/>
      <c r="Q3747" s="19" t="n"/>
      <c r="R3747" s="19" t="n"/>
      <c r="S3747" s="19" t="n"/>
      <c r="T3747" s="19" t="n"/>
      <c r="U3747" s="19" t="n"/>
      <c r="V3747" s="19" t="n"/>
      <c r="W3747" s="19" t="n">
        <v>1</v>
      </c>
      <c r="X3747" s="19" t="n"/>
      <c r="Y3747" s="19" t="n"/>
      <c r="Z3747" s="13">
        <f>SUMPRODUCT(N3747:Y3747,$N$2:$Y$2)*$K3747*$L3747*$M3747</f>
        <v/>
      </c>
      <c r="AA3747" s="14">
        <f>SUM(N3747:Y3747)</f>
        <v/>
      </c>
      <c r="AB3747" s="13">
        <f>SUMPRODUCT(N3747:Y3747,$N$3:$Y$3)*$K3747*$L3747*$M3747</f>
        <v/>
      </c>
      <c r="AC3747" s="13">
        <f>SUMPRODUCT(N3747:Y3747,$N$4:$Y$4)*$K3747*$L3747*$M3747</f>
        <v/>
      </c>
      <c r="AD3747" s="15" t="n">
        <v>8.066666666666666</v>
      </c>
      <c r="AE3747" s="11" t="n">
        <v>1.134840468173802</v>
      </c>
      <c r="AF3747" s="16">
        <f>SUMPRODUCT(N3747:Y3747,$N$5:$Y$5)*$K3747*$L3747*$M3747</f>
        <v/>
      </c>
      <c r="AG3747" s="16">
        <f>SUMPRODUCT(N3747:Y3747,$N$6:$Y$6)*$K3747*$L3747*$M3747</f>
        <v/>
      </c>
      <c r="AH3747" s="20" t="n"/>
    </row>
    <row r="3748">
      <c r="A3748" s="9" t="n">
        <v>674003</v>
      </c>
      <c r="B3748" s="9" t="inlineStr">
        <is>
          <t>Cody Bradford</t>
        </is>
      </c>
      <c r="C3748" s="9" t="inlineStr">
        <is>
          <t>TEX</t>
        </is>
      </c>
      <c r="D3748" s="9" t="n">
        <v>29</v>
      </c>
      <c r="E3748" s="18" t="inlineStr">
        <is>
          <t>L</t>
        </is>
      </c>
      <c r="F3748" s="18" t="n"/>
      <c r="G3748" s="9" t="n">
        <v>193</v>
      </c>
      <c r="H3748" s="9" t="n">
        <v>735</v>
      </c>
      <c r="I3748" s="9" t="inlineStr">
        <is>
          <t>End-of-Rotation Starter (SP4-5)</t>
        </is>
      </c>
      <c r="J3748" s="18" t="inlineStr">
        <is>
          <t>Opening Day</t>
        </is>
      </c>
      <c r="K3748" s="11">
        <f>IFERROR(INDEX(Roles!$B$17:$B$20,MATCH(J3748,Roles!$A$17:$A$20,0)),1)</f>
        <v/>
      </c>
      <c r="L3748" s="19" t="n">
        <v>1</v>
      </c>
      <c r="M3748" s="11" t="n">
        <v>1</v>
      </c>
      <c r="N3748" s="19" t="n"/>
      <c r="O3748" s="19" t="n"/>
      <c r="P3748" s="19" t="n">
        <v>0.5</v>
      </c>
      <c r="Q3748" s="19" t="n"/>
      <c r="R3748" s="19" t="n">
        <v>0.5</v>
      </c>
      <c r="S3748" s="19" t="n"/>
      <c r="T3748" s="19" t="n"/>
      <c r="U3748" s="19" t="n"/>
      <c r="V3748" s="19" t="n"/>
      <c r="W3748" s="19" t="n"/>
      <c r="X3748" s="19" t="n"/>
      <c r="Y3748" s="19" t="n"/>
      <c r="Z3748" s="13">
        <f>SUMPRODUCT(N3748:Y3748,$N$2:$Y$2)*$K3748*$L3748*$M3748</f>
        <v/>
      </c>
      <c r="AA3748" s="14">
        <f>SUM(N3748:Y3748)</f>
        <v/>
      </c>
      <c r="AB3748" s="13">
        <f>SUMPRODUCT(N3748:Y3748,$N$3:$Y$3)*$K3748*$L3748*$M3748</f>
        <v/>
      </c>
      <c r="AC3748" s="13">
        <f>SUMPRODUCT(N3748:Y3748,$N$4:$Y$4)*$K3748*$L3748*$M3748</f>
        <v/>
      </c>
      <c r="AD3748" s="15" t="n">
        <v>13</v>
      </c>
      <c r="AE3748" s="11" t="n">
        <v>4.615319865319865</v>
      </c>
      <c r="AF3748" s="16">
        <f>SUMPRODUCT(N3748:Y3748,$N$5:$Y$5)*$K3748*$L3748*$M3748</f>
        <v/>
      </c>
      <c r="AG3748" s="16">
        <f>SUMPRODUCT(N3748:Y3748,$N$6:$Y$6)*$K3748*$L3748*$M3748</f>
        <v/>
      </c>
      <c r="AH3748" s="20" t="n"/>
    </row>
    <row r="3749">
      <c r="A3749" s="9" t="n">
        <v>595881</v>
      </c>
      <c r="B3749" s="9" t="inlineStr">
        <is>
          <t>Tyler Beede</t>
        </is>
      </c>
      <c r="C3749" s="9" t="inlineStr">
        <is>
          <t>CLE</t>
        </is>
      </c>
      <c r="D3749" s="9" t="n">
        <v>34</v>
      </c>
      <c r="E3749" s="18" t="inlineStr">
        <is>
          <t>R</t>
        </is>
      </c>
      <c r="F3749" s="18" t="n"/>
      <c r="G3749" s="9" t="n">
        <v>68</v>
      </c>
      <c r="H3749" s="9" t="n">
        <v>353</v>
      </c>
      <c r="I3749" s="9" t="inlineStr">
        <is>
          <t>Depth (no MLB IP)</t>
        </is>
      </c>
      <c r="J3749" s="18" t="inlineStr">
        <is>
          <t>Opening Day</t>
        </is>
      </c>
      <c r="K3749" s="11">
        <f>IFERROR(INDEX(Roles!$B$17:$B$20,MATCH(J3749,Roles!$A$17:$A$20,0)),1)</f>
        <v/>
      </c>
      <c r="L3749" s="19" t="n">
        <v>1</v>
      </c>
      <c r="M3749" s="11" t="n">
        <v>1</v>
      </c>
      <c r="N3749" s="19" t="n"/>
      <c r="O3749" s="19" t="n"/>
      <c r="P3749" s="19" t="n"/>
      <c r="Q3749" s="19" t="n"/>
      <c r="R3749" s="19" t="n"/>
      <c r="S3749" s="19" t="n"/>
      <c r="T3749" s="19" t="n"/>
      <c r="U3749" s="19" t="n"/>
      <c r="V3749" s="19" t="n"/>
      <c r="W3749" s="19" t="n"/>
      <c r="X3749" s="19" t="n"/>
      <c r="Y3749" s="19" t="n">
        <v>1</v>
      </c>
      <c r="Z3749" s="13">
        <f>SUMPRODUCT(N3749:Y3749,$N$2:$Y$2)*$K3749*$L3749*$M3749</f>
        <v/>
      </c>
      <c r="AA3749" s="14">
        <f>SUM(N3749:Y3749)</f>
        <v/>
      </c>
      <c r="AB3749" s="13">
        <f>SUMPRODUCT(N3749:Y3749,$N$3:$Y$3)*$K3749*$L3749*$M3749</f>
        <v/>
      </c>
      <c r="AC3749" s="13">
        <f>SUMPRODUCT(N3749:Y3749,$N$4:$Y$4)*$K3749*$L3749*$M3749</f>
        <v/>
      </c>
      <c r="AD3749" s="15" t="n">
        <v>9</v>
      </c>
      <c r="AE3749" s="11" t="n">
        <v>1.033171889838556</v>
      </c>
      <c r="AF3749" s="16">
        <f>SUMPRODUCT(N3749:Y3749,$N$5:$Y$5)*$K3749*$L3749*$M3749</f>
        <v/>
      </c>
      <c r="AG3749" s="16">
        <f>SUMPRODUCT(N3749:Y3749,$N$6:$Y$6)*$K3749*$L3749*$M3749</f>
        <v/>
      </c>
      <c r="AH3749" s="20" t="n"/>
    </row>
    <row r="3750">
      <c r="A3750" s="9" t="n">
        <v>700270</v>
      </c>
      <c r="B3750" s="9" t="inlineStr">
        <is>
          <t>Yilber Díaz</t>
        </is>
      </c>
      <c r="C3750" s="9" t="inlineStr">
        <is>
          <t>DET</t>
        </is>
      </c>
      <c r="D3750" s="9" t="n">
        <v>26</v>
      </c>
      <c r="E3750" s="18" t="inlineStr">
        <is>
          <t>R</t>
        </is>
      </c>
      <c r="F3750" s="18" t="n"/>
      <c r="G3750" s="9" t="n">
        <v>34</v>
      </c>
      <c r="H3750" s="9" t="n">
        <v>168</v>
      </c>
      <c r="I3750" s="9" t="inlineStr">
        <is>
          <t>Middle Relief</t>
        </is>
      </c>
      <c r="J3750" s="18" t="inlineStr">
        <is>
          <t>Opening Day</t>
        </is>
      </c>
      <c r="K3750" s="11">
        <f>IFERROR(INDEX(Roles!$B$17:$B$20,MATCH(J3750,Roles!$A$17:$A$20,0)),1)</f>
        <v/>
      </c>
      <c r="L3750" s="19" t="n">
        <v>1</v>
      </c>
      <c r="M3750" s="11" t="n">
        <v>1</v>
      </c>
      <c r="N3750" s="19" t="n"/>
      <c r="O3750" s="19" t="n"/>
      <c r="P3750" s="19" t="n"/>
      <c r="Q3750" s="19" t="n"/>
      <c r="R3750" s="19" t="n"/>
      <c r="S3750" s="19" t="n"/>
      <c r="T3750" s="19" t="n"/>
      <c r="U3750" s="19" t="n"/>
      <c r="V3750" s="19" t="n">
        <v>0.8</v>
      </c>
      <c r="W3750" s="19" t="n">
        <v>0.2</v>
      </c>
      <c r="X3750" s="19" t="n"/>
      <c r="Y3750" s="19" t="n"/>
      <c r="Z3750" s="13">
        <f>SUMPRODUCT(N3750:Y3750,$N$2:$Y$2)*$K3750*$L3750*$M3750</f>
        <v/>
      </c>
      <c r="AA3750" s="14">
        <f>SUM(N3750:Y3750)</f>
        <v/>
      </c>
      <c r="AB3750" s="13">
        <f>SUMPRODUCT(N3750:Y3750,$N$3:$Y$3)*$K3750*$L3750*$M3750</f>
        <v/>
      </c>
      <c r="AC3750" s="13">
        <f>SUMPRODUCT(N3750:Y3750,$N$4:$Y$4)*$K3750*$L3750*$M3750</f>
        <v/>
      </c>
      <c r="AD3750" s="15" t="n">
        <v>17.13333333333333</v>
      </c>
      <c r="AE3750" s="11" t="n">
        <v>1.415995616627266</v>
      </c>
      <c r="AF3750" s="16">
        <f>SUMPRODUCT(N3750:Y3750,$N$5:$Y$5)*$K3750*$L3750*$M3750</f>
        <v/>
      </c>
      <c r="AG3750" s="16">
        <f>SUMPRODUCT(N3750:Y3750,$N$6:$Y$6)*$K3750*$L3750*$M3750</f>
        <v/>
      </c>
      <c r="AH3750" s="20" t="n"/>
    </row>
    <row r="3751">
      <c r="A3751" s="9" t="n">
        <v>702882</v>
      </c>
      <c r="B3751" s="9" t="inlineStr">
        <is>
          <t>Eybersson Polanco</t>
        </is>
      </c>
      <c r="C3751" s="9" t="inlineStr">
        <is>
          <t>LAA</t>
        </is>
      </c>
      <c r="D3751" s="9" t="n">
        <v>25</v>
      </c>
      <c r="E3751" s="18" t="inlineStr">
        <is>
          <t>R</t>
        </is>
      </c>
      <c r="F3751" s="18" t="n"/>
      <c r="G3751" s="9" t="n">
        <v>150.5</v>
      </c>
      <c r="H3751" s="9" t="n">
        <v>150.5</v>
      </c>
      <c r="I3751" s="9" t="inlineStr">
        <is>
          <t>Depth (no MLB IP)</t>
        </is>
      </c>
      <c r="J3751" s="18" t="inlineStr">
        <is>
          <t>Opening Day</t>
        </is>
      </c>
      <c r="K3751" s="11">
        <f>IFERROR(INDEX(Roles!$B$17:$B$20,MATCH(J3751,Roles!$A$17:$A$20,0)),1)</f>
        <v/>
      </c>
      <c r="L3751" s="19" t="n">
        <v>1</v>
      </c>
      <c r="M3751" s="11" t="n">
        <v>1</v>
      </c>
      <c r="N3751" s="19" t="n"/>
      <c r="O3751" s="19" t="n"/>
      <c r="P3751" s="19" t="n"/>
      <c r="Q3751" s="19" t="n"/>
      <c r="R3751" s="19" t="n"/>
      <c r="S3751" s="19" t="n"/>
      <c r="T3751" s="19" t="n"/>
      <c r="U3751" s="19" t="n"/>
      <c r="V3751" s="19" t="n"/>
      <c r="W3751" s="19" t="n"/>
      <c r="X3751" s="19" t="n"/>
      <c r="Y3751" s="19" t="n">
        <v>1</v>
      </c>
      <c r="Z3751" s="13">
        <f>SUMPRODUCT(N3751:Y3751,$N$2:$Y$2)*$K3751*$L3751*$M3751</f>
        <v/>
      </c>
      <c r="AA3751" s="14">
        <f>SUM(N3751:Y3751)</f>
        <v/>
      </c>
      <c r="AB3751" s="13">
        <f>SUMPRODUCT(N3751:Y3751,$N$3:$Y$3)*$K3751*$L3751*$M3751</f>
        <v/>
      </c>
      <c r="AC3751" s="13">
        <f>SUMPRODUCT(N3751:Y3751,$N$4:$Y$4)*$K3751*$L3751*$M3751</f>
        <v/>
      </c>
      <c r="AD3751" s="15" t="n">
        <v>3</v>
      </c>
      <c r="AE3751" s="11" t="n">
        <v>1.011296296296296</v>
      </c>
      <c r="AF3751" s="16">
        <f>SUMPRODUCT(N3751:Y3751,$N$5:$Y$5)*$K3751*$L3751*$M3751</f>
        <v/>
      </c>
      <c r="AG3751" s="16">
        <f>SUMPRODUCT(N3751:Y3751,$N$6:$Y$6)*$K3751*$L3751*$M3751</f>
        <v/>
      </c>
      <c r="AH3751" s="20" t="n"/>
    </row>
    <row r="3752">
      <c r="A3752" s="9" t="n">
        <v>645261</v>
      </c>
      <c r="B3752" s="9" t="inlineStr">
        <is>
          <t>Sandy Alcantara</t>
        </is>
      </c>
      <c r="C3752" s="9" t="inlineStr">
        <is>
          <t>MIA</t>
        </is>
      </c>
      <c r="D3752" s="9" t="n">
        <v>31</v>
      </c>
      <c r="E3752" s="18" t="inlineStr">
        <is>
          <t>R</t>
        </is>
      </c>
      <c r="F3752" s="18" t="n"/>
      <c r="G3752" s="9" t="n">
        <v>894</v>
      </c>
      <c r="H3752" s="9" t="n">
        <v>3287</v>
      </c>
      <c r="I3752" s="9" t="inlineStr">
        <is>
          <t>Ace (SP1)</t>
        </is>
      </c>
      <c r="J3752" s="18" t="inlineStr">
        <is>
          <t>Opening Day</t>
        </is>
      </c>
      <c r="K3752" s="11">
        <f>IFERROR(INDEX(Roles!$B$17:$B$20,MATCH(J3752,Roles!$A$17:$A$20,0)),1)</f>
        <v/>
      </c>
      <c r="L3752" s="19" t="n">
        <v>1</v>
      </c>
      <c r="M3752" s="11" t="n">
        <v>1</v>
      </c>
      <c r="N3752" s="19" t="n">
        <v>0.5</v>
      </c>
      <c r="O3752" s="19" t="n">
        <v>0.5</v>
      </c>
      <c r="P3752" s="19" t="n"/>
      <c r="Q3752" s="19" t="n"/>
      <c r="R3752" s="19" t="n"/>
      <c r="S3752" s="19" t="n"/>
      <c r="T3752" s="19" t="n"/>
      <c r="U3752" s="19" t="n"/>
      <c r="V3752" s="19" t="n"/>
      <c r="W3752" s="19" t="n"/>
      <c r="X3752" s="19" t="n"/>
      <c r="Y3752" s="19" t="n"/>
      <c r="Z3752" s="13">
        <f>SUMPRODUCT(N3752:Y3752,$N$2:$Y$2)*$K3752*$L3752*$M3752</f>
        <v/>
      </c>
      <c r="AA3752" s="14">
        <f>SUM(N3752:Y3752)</f>
        <v/>
      </c>
      <c r="AB3752" s="13">
        <f>SUMPRODUCT(N3752:Y3752,$N$3:$Y$3)*$K3752*$L3752*$M3752</f>
        <v/>
      </c>
      <c r="AC3752" s="13">
        <f>SUMPRODUCT(N3752:Y3752,$N$4:$Y$4)*$K3752*$L3752*$M3752</f>
        <v/>
      </c>
      <c r="AD3752" s="15" t="n">
        <v>30.6</v>
      </c>
      <c r="AE3752" s="11" t="n">
        <v>5.689822595704948</v>
      </c>
      <c r="AF3752" s="16">
        <f>SUMPRODUCT(N3752:Y3752,$N$5:$Y$5)*$K3752*$L3752*$M3752</f>
        <v/>
      </c>
      <c r="AG3752" s="16">
        <f>SUMPRODUCT(N3752:Y3752,$N$6:$Y$6)*$K3752*$L3752*$M3752</f>
        <v/>
      </c>
      <c r="AH3752" s="20" t="n"/>
    </row>
    <row r="3753">
      <c r="A3753" s="9" t="n">
        <v>665048</v>
      </c>
      <c r="B3753" s="9" t="inlineStr">
        <is>
          <t>Hobie Harris</t>
        </is>
      </c>
      <c r="C3753" s="9" t="inlineStr">
        <is>
          <t>WSH</t>
        </is>
      </c>
      <c r="D3753" s="9" t="n">
        <v>34</v>
      </c>
      <c r="E3753" s="18" t="inlineStr">
        <is>
          <t>R</t>
        </is>
      </c>
      <c r="F3753" s="18" t="n"/>
      <c r="G3753" s="9" t="n">
        <v>91</v>
      </c>
      <c r="H3753" s="9" t="n">
        <v>91</v>
      </c>
      <c r="I3753" s="9" t="inlineStr">
        <is>
          <t>Depth (no MLB IP)</t>
        </is>
      </c>
      <c r="J3753" s="18" t="inlineStr">
        <is>
          <t>Opening Day</t>
        </is>
      </c>
      <c r="K3753" s="11">
        <f>IFERROR(INDEX(Roles!$B$17:$B$20,MATCH(J3753,Roles!$A$17:$A$20,0)),1)</f>
        <v/>
      </c>
      <c r="L3753" s="19" t="n">
        <v>1</v>
      </c>
      <c r="M3753" s="11" t="n">
        <v>1</v>
      </c>
      <c r="N3753" s="19" t="n"/>
      <c r="O3753" s="19" t="n"/>
      <c r="P3753" s="19" t="n"/>
      <c r="Q3753" s="19" t="n"/>
      <c r="R3753" s="19" t="n"/>
      <c r="S3753" s="19" t="n"/>
      <c r="T3753" s="19" t="n"/>
      <c r="U3753" s="19" t="n"/>
      <c r="V3753" s="19" t="n"/>
      <c r="W3753" s="19" t="n"/>
      <c r="X3753" s="19" t="n"/>
      <c r="Y3753" s="19" t="n">
        <v>1</v>
      </c>
      <c r="Z3753" s="13">
        <f>SUMPRODUCT(N3753:Y3753,$N$2:$Y$2)*$K3753*$L3753*$M3753</f>
        <v/>
      </c>
      <c r="AA3753" s="14">
        <f>SUM(N3753:Y3753)</f>
        <v/>
      </c>
      <c r="AB3753" s="13">
        <f>SUMPRODUCT(N3753:Y3753,$N$3:$Y$3)*$K3753*$L3753*$M3753</f>
        <v/>
      </c>
      <c r="AC3753" s="13">
        <f>SUMPRODUCT(N3753:Y3753,$N$4:$Y$4)*$K3753*$L3753*$M3753</f>
        <v/>
      </c>
      <c r="AD3753" s="15" t="n">
        <v>3</v>
      </c>
      <c r="AE3753" s="11" t="n">
        <v>1.011296296296296</v>
      </c>
      <c r="AF3753" s="16">
        <f>SUMPRODUCT(N3753:Y3753,$N$5:$Y$5)*$K3753*$L3753*$M3753</f>
        <v/>
      </c>
      <c r="AG3753" s="16">
        <f>SUMPRODUCT(N3753:Y3753,$N$6:$Y$6)*$K3753*$L3753*$M3753</f>
        <v/>
      </c>
      <c r="AH3753" s="20" t="n"/>
    </row>
    <row r="3754">
      <c r="A3754" s="9" t="n">
        <v>641447</v>
      </c>
      <c r="B3754" s="9" t="inlineStr">
        <is>
          <t>Daniel Castano</t>
        </is>
      </c>
      <c r="C3754" s="9" t="inlineStr">
        <is>
          <t>MIA</t>
        </is>
      </c>
      <c r="D3754" s="9" t="n">
        <v>32</v>
      </c>
      <c r="E3754" s="18" t="inlineStr">
        <is>
          <t>L</t>
        </is>
      </c>
      <c r="F3754" s="18" t="n"/>
      <c r="G3754" s="9" t="n">
        <v>20</v>
      </c>
      <c r="H3754" s="9" t="n">
        <v>176</v>
      </c>
      <c r="I3754" s="9" t="inlineStr">
        <is>
          <t>Depth (no MLB IP)</t>
        </is>
      </c>
      <c r="J3754" s="18" t="inlineStr">
        <is>
          <t>Opening Day</t>
        </is>
      </c>
      <c r="K3754" s="11">
        <f>IFERROR(INDEX(Roles!$B$17:$B$20,MATCH(J3754,Roles!$A$17:$A$20,0)),1)</f>
        <v/>
      </c>
      <c r="L3754" s="19" t="n">
        <v>1</v>
      </c>
      <c r="M3754" s="11" t="n">
        <v>1</v>
      </c>
      <c r="N3754" s="19" t="n"/>
      <c r="O3754" s="19" t="n"/>
      <c r="P3754" s="19" t="n"/>
      <c r="Q3754" s="19" t="n"/>
      <c r="R3754" s="19" t="n"/>
      <c r="S3754" s="19" t="n"/>
      <c r="T3754" s="19" t="n"/>
      <c r="U3754" s="19" t="n"/>
      <c r="V3754" s="19" t="n"/>
      <c r="W3754" s="19" t="n"/>
      <c r="X3754" s="19" t="n"/>
      <c r="Y3754" s="19" t="n">
        <v>1</v>
      </c>
      <c r="Z3754" s="13">
        <f>SUMPRODUCT(N3754:Y3754,$N$2:$Y$2)*$K3754*$L3754*$M3754</f>
        <v/>
      </c>
      <c r="AA3754" s="14">
        <f>SUM(N3754:Y3754)</f>
        <v/>
      </c>
      <c r="AB3754" s="13">
        <f>SUMPRODUCT(N3754:Y3754,$N$3:$Y$3)*$K3754*$L3754*$M3754</f>
        <v/>
      </c>
      <c r="AC3754" s="13">
        <f>SUMPRODUCT(N3754:Y3754,$N$4:$Y$4)*$K3754*$L3754*$M3754</f>
        <v/>
      </c>
      <c r="AD3754" s="15" t="n">
        <v>3</v>
      </c>
      <c r="AE3754" s="11" t="n">
        <v>1.011296296296296</v>
      </c>
      <c r="AF3754" s="16">
        <f>SUMPRODUCT(N3754:Y3754,$N$5:$Y$5)*$K3754*$L3754*$M3754</f>
        <v/>
      </c>
      <c r="AG3754" s="16">
        <f>SUMPRODUCT(N3754:Y3754,$N$6:$Y$6)*$K3754*$L3754*$M3754</f>
        <v/>
      </c>
      <c r="AH3754" s="20" t="n"/>
    </row>
    <row r="3755">
      <c r="A3755" s="9" t="n">
        <v>663623</v>
      </c>
      <c r="B3755" s="9" t="inlineStr">
        <is>
          <t>Jake Irvin</t>
        </is>
      </c>
      <c r="C3755" s="9" t="inlineStr">
        <is>
          <t>WSH</t>
        </is>
      </c>
      <c r="D3755" s="9" t="n">
        <v>30</v>
      </c>
      <c r="E3755" s="18" t="inlineStr">
        <is>
          <t>R</t>
        </is>
      </c>
      <c r="F3755" s="18" t="n"/>
      <c r="G3755" s="9" t="n">
        <v>470</v>
      </c>
      <c r="H3755" s="9" t="n">
        <v>2556</v>
      </c>
      <c r="I3755" s="9" t="inlineStr">
        <is>
          <t>End-of-Rotation Starter (SP4-5)</t>
        </is>
      </c>
      <c r="J3755" s="18" t="inlineStr">
        <is>
          <t>Opening Day</t>
        </is>
      </c>
      <c r="K3755" s="11">
        <f>IFERROR(INDEX(Roles!$B$17:$B$20,MATCH(J3755,Roles!$A$17:$A$20,0)),1)</f>
        <v/>
      </c>
      <c r="L3755" s="19" t="n">
        <v>1</v>
      </c>
      <c r="M3755" s="11" t="n">
        <v>1</v>
      </c>
      <c r="N3755" s="19" t="n"/>
      <c r="O3755" s="19" t="n"/>
      <c r="P3755" s="19" t="n">
        <v>0.5</v>
      </c>
      <c r="Q3755" s="19" t="n"/>
      <c r="R3755" s="19" t="n">
        <v>0.5</v>
      </c>
      <c r="S3755" s="19" t="n"/>
      <c r="T3755" s="19" t="n"/>
      <c r="U3755" s="19" t="n"/>
      <c r="V3755" s="19" t="n"/>
      <c r="W3755" s="19" t="n"/>
      <c r="X3755" s="19" t="n"/>
      <c r="Y3755" s="19" t="n"/>
      <c r="Z3755" s="13">
        <f>SUMPRODUCT(N3755:Y3755,$N$2:$Y$2)*$K3755*$L3755*$M3755</f>
        <v/>
      </c>
      <c r="AA3755" s="14">
        <f>SUM(N3755:Y3755)</f>
        <v/>
      </c>
      <c r="AB3755" s="13">
        <f>SUMPRODUCT(N3755:Y3755,$N$3:$Y$3)*$K3755*$L3755*$M3755</f>
        <v/>
      </c>
      <c r="AC3755" s="13">
        <f>SUMPRODUCT(N3755:Y3755,$N$4:$Y$4)*$K3755*$L3755*$M3755</f>
        <v/>
      </c>
      <c r="AD3755" s="15" t="n">
        <v>22.9</v>
      </c>
      <c r="AE3755" s="11" t="n">
        <v>4.78989898989899</v>
      </c>
      <c r="AF3755" s="16">
        <f>SUMPRODUCT(N3755:Y3755,$N$5:$Y$5)*$K3755*$L3755*$M3755</f>
        <v/>
      </c>
      <c r="AG3755" s="16">
        <f>SUMPRODUCT(N3755:Y3755,$N$6:$Y$6)*$K3755*$L3755*$M3755</f>
        <v/>
      </c>
      <c r="AH3755" s="20" t="n"/>
    </row>
    <row r="3756">
      <c r="A3756" s="9" t="n">
        <v>676106</v>
      </c>
      <c r="B3756" s="9" t="inlineStr">
        <is>
          <t>Emerson Hancock</t>
        </is>
      </c>
      <c r="C3756" s="9" t="inlineStr">
        <is>
          <t>SEA</t>
        </is>
      </c>
      <c r="D3756" s="9" t="n">
        <v>28</v>
      </c>
      <c r="E3756" s="18" t="inlineStr">
        <is>
          <t>R</t>
        </is>
      </c>
      <c r="F3756" s="18" t="n"/>
      <c r="G3756" s="9" t="n">
        <v>566</v>
      </c>
      <c r="H3756" s="9" t="n">
        <v>1266</v>
      </c>
      <c r="I3756" s="9" t="inlineStr">
        <is>
          <t>End-of-Rotation Starter (SP4-5)</t>
        </is>
      </c>
      <c r="J3756" s="18" t="inlineStr">
        <is>
          <t>Opening Day</t>
        </is>
      </c>
      <c r="K3756" s="11">
        <f>IFERROR(INDEX(Roles!$B$17:$B$20,MATCH(J3756,Roles!$A$17:$A$20,0)),1)</f>
        <v/>
      </c>
      <c r="L3756" s="19" t="n">
        <v>1</v>
      </c>
      <c r="M3756" s="11" t="n">
        <v>1</v>
      </c>
      <c r="N3756" s="19" t="n"/>
      <c r="O3756" s="19" t="n"/>
      <c r="P3756" s="19" t="n">
        <v>0.5</v>
      </c>
      <c r="Q3756" s="19" t="n"/>
      <c r="R3756" s="19" t="n">
        <v>0.5</v>
      </c>
      <c r="S3756" s="19" t="n"/>
      <c r="T3756" s="19" t="n"/>
      <c r="U3756" s="19" t="n"/>
      <c r="V3756" s="19" t="n"/>
      <c r="W3756" s="19" t="n"/>
      <c r="X3756" s="19" t="n"/>
      <c r="Y3756" s="19" t="n"/>
      <c r="Z3756" s="13">
        <f>SUMPRODUCT(N3756:Y3756,$N$2:$Y$2)*$K3756*$L3756*$M3756</f>
        <v/>
      </c>
      <c r="AA3756" s="14">
        <f>SUM(N3756:Y3756)</f>
        <v/>
      </c>
      <c r="AB3756" s="13">
        <f>SUMPRODUCT(N3756:Y3756,$N$3:$Y$3)*$K3756*$L3756*$M3756</f>
        <v/>
      </c>
      <c r="AC3756" s="13">
        <f>SUMPRODUCT(N3756:Y3756,$N$4:$Y$4)*$K3756*$L3756*$M3756</f>
        <v/>
      </c>
      <c r="AD3756" s="15" t="n">
        <v>19.5</v>
      </c>
      <c r="AE3756" s="11" t="n">
        <v>4.70794458580718</v>
      </c>
      <c r="AF3756" s="16">
        <f>SUMPRODUCT(N3756:Y3756,$N$5:$Y$5)*$K3756*$L3756*$M3756</f>
        <v/>
      </c>
      <c r="AG3756" s="16">
        <f>SUMPRODUCT(N3756:Y3756,$N$6:$Y$6)*$K3756*$L3756*$M3756</f>
        <v/>
      </c>
      <c r="AH3756" s="20" t="n"/>
    </row>
    <row r="3757">
      <c r="A3757" s="9" t="n">
        <v>804706</v>
      </c>
      <c r="B3757" s="9" t="inlineStr">
        <is>
          <t>Dylan Cumming</t>
        </is>
      </c>
      <c r="C3757" s="9" t="inlineStr">
        <is>
          <t>CWS</t>
        </is>
      </c>
      <c r="D3757" s="9" t="n">
        <v>25</v>
      </c>
      <c r="E3757" s="18" t="inlineStr">
        <is>
          <t>R</t>
        </is>
      </c>
      <c r="F3757" s="18" t="n"/>
      <c r="G3757" s="9" t="n">
        <v>151.5033333333333</v>
      </c>
      <c r="H3757" s="9" t="n">
        <v>151.5033333333333</v>
      </c>
      <c r="I3757" s="9" t="inlineStr">
        <is>
          <t>Depth (no MLB IP)</t>
        </is>
      </c>
      <c r="J3757" s="18" t="inlineStr">
        <is>
          <t>Opening Day</t>
        </is>
      </c>
      <c r="K3757" s="11">
        <f>IFERROR(INDEX(Roles!$B$17:$B$20,MATCH(J3757,Roles!$A$17:$A$20,0)),1)</f>
        <v/>
      </c>
      <c r="L3757" s="19" t="n">
        <v>1</v>
      </c>
      <c r="M3757" s="11" t="n">
        <v>1</v>
      </c>
      <c r="N3757" s="19" t="n"/>
      <c r="O3757" s="19" t="n"/>
      <c r="P3757" s="19" t="n"/>
      <c r="Q3757" s="19" t="n"/>
      <c r="R3757" s="19" t="n"/>
      <c r="S3757" s="19" t="n"/>
      <c r="T3757" s="19" t="n"/>
      <c r="U3757" s="19" t="n"/>
      <c r="V3757" s="19" t="n"/>
      <c r="W3757" s="19" t="n"/>
      <c r="X3757" s="19" t="n"/>
      <c r="Y3757" s="19" t="n">
        <v>1</v>
      </c>
      <c r="Z3757" s="13">
        <f>SUMPRODUCT(N3757:Y3757,$N$2:$Y$2)*$K3757*$L3757*$M3757</f>
        <v/>
      </c>
      <c r="AA3757" s="14">
        <f>SUM(N3757:Y3757)</f>
        <v/>
      </c>
      <c r="AB3757" s="13">
        <f>SUMPRODUCT(N3757:Y3757,$N$3:$Y$3)*$K3757*$L3757*$M3757</f>
        <v/>
      </c>
      <c r="AC3757" s="13">
        <f>SUMPRODUCT(N3757:Y3757,$N$4:$Y$4)*$K3757*$L3757*$M3757</f>
        <v/>
      </c>
      <c r="AD3757" s="15" t="n">
        <v>3</v>
      </c>
      <c r="AE3757" s="11" t="n">
        <v>1.011296296296296</v>
      </c>
      <c r="AF3757" s="16">
        <f>SUMPRODUCT(N3757:Y3757,$N$5:$Y$5)*$K3757*$L3757*$M3757</f>
        <v/>
      </c>
      <c r="AG3757" s="16">
        <f>SUMPRODUCT(N3757:Y3757,$N$6:$Y$6)*$K3757*$L3757*$M3757</f>
        <v/>
      </c>
      <c r="AH3757" s="20" t="n"/>
    </row>
    <row r="3758">
      <c r="A3758" s="9" t="n">
        <v>621199</v>
      </c>
      <c r="B3758" s="9" t="inlineStr">
        <is>
          <t>Matt Bowman</t>
        </is>
      </c>
      <c r="C3758" s="9" t="inlineStr">
        <is>
          <t>BAL</t>
        </is>
      </c>
      <c r="D3758" s="9" t="n">
        <v>36</v>
      </c>
      <c r="E3758" s="18" t="inlineStr">
        <is>
          <t>R</t>
        </is>
      </c>
      <c r="F3758" s="18" t="n"/>
      <c r="G3758" s="9" t="n">
        <v>114</v>
      </c>
      <c r="H3758" s="9" t="n">
        <v>266</v>
      </c>
      <c r="I3758" s="9" t="inlineStr">
        <is>
          <t>Bullpen Depth Arm</t>
        </is>
      </c>
      <c r="J3758" s="18" t="inlineStr">
        <is>
          <t>Opening Day</t>
        </is>
      </c>
      <c r="K3758" s="11">
        <f>IFERROR(INDEX(Roles!$B$17:$B$20,MATCH(J3758,Roles!$A$17:$A$20,0)),1)</f>
        <v/>
      </c>
      <c r="L3758" s="19" t="n">
        <v>1</v>
      </c>
      <c r="M3758" s="11" t="n">
        <v>1</v>
      </c>
      <c r="N3758" s="19" t="n"/>
      <c r="O3758" s="19" t="n"/>
      <c r="P3758" s="19" t="n"/>
      <c r="Q3758" s="19" t="n"/>
      <c r="R3758" s="19" t="n"/>
      <c r="S3758" s="19" t="n"/>
      <c r="T3758" s="19" t="n"/>
      <c r="U3758" s="19" t="n"/>
      <c r="V3758" s="19" t="n"/>
      <c r="W3758" s="19" t="n">
        <v>1</v>
      </c>
      <c r="X3758" s="19" t="n"/>
      <c r="Y3758" s="19" t="n"/>
      <c r="Z3758" s="13">
        <f>SUMPRODUCT(N3758:Y3758,$N$2:$Y$2)*$K3758*$L3758*$M3758</f>
        <v/>
      </c>
      <c r="AA3758" s="14">
        <f>SUM(N3758:Y3758)</f>
        <v/>
      </c>
      <c r="AB3758" s="13">
        <f>SUMPRODUCT(N3758:Y3758,$N$3:$Y$3)*$K3758*$L3758*$M3758</f>
        <v/>
      </c>
      <c r="AC3758" s="13">
        <f>SUMPRODUCT(N3758:Y3758,$N$4:$Y$4)*$K3758*$L3758*$M3758</f>
        <v/>
      </c>
      <c r="AD3758" s="15" t="n">
        <v>18.66666666666666</v>
      </c>
      <c r="AE3758" s="11" t="n">
        <v>1.211763545096878</v>
      </c>
      <c r="AF3758" s="16">
        <f>SUMPRODUCT(N3758:Y3758,$N$5:$Y$5)*$K3758*$L3758*$M3758</f>
        <v/>
      </c>
      <c r="AG3758" s="16">
        <f>SUMPRODUCT(N3758:Y3758,$N$6:$Y$6)*$K3758*$L3758*$M3758</f>
        <v/>
      </c>
      <c r="AH3758" s="20" t="n"/>
    </row>
    <row r="3759">
      <c r="A3759" s="9" t="n">
        <v>544150</v>
      </c>
      <c r="B3759" s="9" t="inlineStr">
        <is>
          <t>Albert Suárez</t>
        </is>
      </c>
      <c r="C3759" s="9" t="inlineStr">
        <is>
          <t>BAL</t>
        </is>
      </c>
      <c r="D3759" s="9" t="n">
        <v>37</v>
      </c>
      <c r="E3759" s="18" t="inlineStr">
        <is>
          <t>R</t>
        </is>
      </c>
      <c r="F3759" s="18" t="n"/>
      <c r="G3759" s="9" t="n">
        <v>262</v>
      </c>
      <c r="H3759" s="9" t="n">
        <v>871</v>
      </c>
      <c r="I3759" s="9" t="inlineStr">
        <is>
          <t>Swing Arm / Long Relief</t>
        </is>
      </c>
      <c r="J3759" s="18" t="inlineStr">
        <is>
          <t>Opening Day</t>
        </is>
      </c>
      <c r="K3759" s="11">
        <f>IFERROR(INDEX(Roles!$B$17:$B$20,MATCH(J3759,Roles!$A$17:$A$20,0)),1)</f>
        <v/>
      </c>
      <c r="L3759" s="19" t="n">
        <v>1</v>
      </c>
      <c r="M3759" s="11" t="n">
        <v>1</v>
      </c>
      <c r="N3759" s="19" t="n"/>
      <c r="O3759" s="19" t="n"/>
      <c r="P3759" s="19" t="n"/>
      <c r="Q3759" s="19" t="n"/>
      <c r="R3759" s="19" t="n">
        <v>0.6</v>
      </c>
      <c r="S3759" s="19" t="n"/>
      <c r="T3759" s="19" t="n"/>
      <c r="U3759" s="19" t="n"/>
      <c r="V3759" s="19" t="n"/>
      <c r="W3759" s="19" t="n">
        <v>0.4</v>
      </c>
      <c r="X3759" s="19" t="n"/>
      <c r="Y3759" s="19" t="n"/>
      <c r="Z3759" s="13">
        <f>SUMPRODUCT(N3759:Y3759,$N$2:$Y$2)*$K3759*$L3759*$M3759</f>
        <v/>
      </c>
      <c r="AA3759" s="14">
        <f>SUM(N3759:Y3759)</f>
        <v/>
      </c>
      <c r="AB3759" s="13">
        <f>SUMPRODUCT(N3759:Y3759,$N$3:$Y$3)*$K3759*$L3759*$M3759</f>
        <v/>
      </c>
      <c r="AC3759" s="13">
        <f>SUMPRODUCT(N3759:Y3759,$N$4:$Y$4)*$K3759*$L3759*$M3759</f>
        <v/>
      </c>
      <c r="AD3759" s="15" t="n">
        <v>20.73333333333333</v>
      </c>
      <c r="AE3759" s="11" t="n">
        <v>2.583832075635355</v>
      </c>
      <c r="AF3759" s="16">
        <f>SUMPRODUCT(N3759:Y3759,$N$5:$Y$5)*$K3759*$L3759*$M3759</f>
        <v/>
      </c>
      <c r="AG3759" s="16">
        <f>SUMPRODUCT(N3759:Y3759,$N$6:$Y$6)*$K3759*$L3759*$M3759</f>
        <v/>
      </c>
      <c r="AH3759" s="20" t="n"/>
    </row>
    <row r="3760">
      <c r="A3760" s="9" t="n">
        <v>806293</v>
      </c>
      <c r="B3760" s="9" t="inlineStr">
        <is>
          <t>Payton Martin</t>
        </is>
      </c>
      <c r="C3760" s="9" t="inlineStr">
        <is>
          <t>LAD</t>
        </is>
      </c>
      <c r="D3760" s="9" t="n">
        <v>25</v>
      </c>
      <c r="E3760" s="18" t="inlineStr">
        <is>
          <t>R</t>
        </is>
      </c>
      <c r="F3760" s="18" t="n"/>
      <c r="G3760" s="9" t="n">
        <v>152.005</v>
      </c>
      <c r="H3760" s="9" t="n">
        <v>152.005</v>
      </c>
      <c r="I3760" s="9" t="inlineStr">
        <is>
          <t>Depth (no MLB IP)</t>
        </is>
      </c>
      <c r="J3760" s="18" t="inlineStr">
        <is>
          <t>Opening Day</t>
        </is>
      </c>
      <c r="K3760" s="11">
        <f>IFERROR(INDEX(Roles!$B$17:$B$20,MATCH(J3760,Roles!$A$17:$A$20,0)),1)</f>
        <v/>
      </c>
      <c r="L3760" s="19" t="n">
        <v>1</v>
      </c>
      <c r="M3760" s="11" t="n">
        <v>1</v>
      </c>
      <c r="N3760" s="19" t="n"/>
      <c r="O3760" s="19" t="n"/>
      <c r="P3760" s="19" t="n"/>
      <c r="Q3760" s="19" t="n"/>
      <c r="R3760" s="19" t="n"/>
      <c r="S3760" s="19" t="n"/>
      <c r="T3760" s="19" t="n"/>
      <c r="U3760" s="19" t="n"/>
      <c r="V3760" s="19" t="n"/>
      <c r="W3760" s="19" t="n"/>
      <c r="X3760" s="19" t="n"/>
      <c r="Y3760" s="19" t="n">
        <v>1</v>
      </c>
      <c r="Z3760" s="13">
        <f>SUMPRODUCT(N3760:Y3760,$N$2:$Y$2)*$K3760*$L3760*$M3760</f>
        <v/>
      </c>
      <c r="AA3760" s="14">
        <f>SUM(N3760:Y3760)</f>
        <v/>
      </c>
      <c r="AB3760" s="13">
        <f>SUMPRODUCT(N3760:Y3760,$N$3:$Y$3)*$K3760*$L3760*$M3760</f>
        <v/>
      </c>
      <c r="AC3760" s="13">
        <f>SUMPRODUCT(N3760:Y3760,$N$4:$Y$4)*$K3760*$L3760*$M3760</f>
        <v/>
      </c>
      <c r="AD3760" s="15" t="n">
        <v>3</v>
      </c>
      <c r="AE3760" s="11" t="n">
        <v>1.011296296296296</v>
      </c>
      <c r="AF3760" s="16">
        <f>SUMPRODUCT(N3760:Y3760,$N$5:$Y$5)*$K3760*$L3760*$M3760</f>
        <v/>
      </c>
      <c r="AG3760" s="16">
        <f>SUMPRODUCT(N3760:Y3760,$N$6:$Y$6)*$K3760*$L3760*$M3760</f>
        <v/>
      </c>
      <c r="AH3760" s="20" t="n"/>
    </row>
    <row r="3761">
      <c r="A3761" s="9" t="n">
        <v>801739</v>
      </c>
      <c r="B3761" s="9" t="inlineStr">
        <is>
          <t>Carlos Lagrange</t>
        </is>
      </c>
      <c r="C3761" s="9" t="inlineStr">
        <is>
          <t>NYY</t>
        </is>
      </c>
      <c r="D3761" s="9" t="n">
        <v>24</v>
      </c>
      <c r="E3761" s="18" t="inlineStr">
        <is>
          <t>R</t>
        </is>
      </c>
      <c r="F3761" s="18" t="n"/>
      <c r="G3761" s="9" t="n">
        <v>152.1483333333333</v>
      </c>
      <c r="H3761" s="9" t="n">
        <v>152.1483333333333</v>
      </c>
      <c r="I3761" s="9" t="inlineStr">
        <is>
          <t>Depth (no MLB IP)</t>
        </is>
      </c>
      <c r="J3761" s="18" t="inlineStr">
        <is>
          <t>Opening Day</t>
        </is>
      </c>
      <c r="K3761" s="11">
        <f>IFERROR(INDEX(Roles!$B$17:$B$20,MATCH(J3761,Roles!$A$17:$A$20,0)),1)</f>
        <v/>
      </c>
      <c r="L3761" s="19" t="n">
        <v>1</v>
      </c>
      <c r="M3761" s="11" t="n">
        <v>1</v>
      </c>
      <c r="N3761" s="19" t="n"/>
      <c r="O3761" s="19" t="n"/>
      <c r="P3761" s="19" t="n"/>
      <c r="Q3761" s="19" t="n"/>
      <c r="R3761" s="19" t="n"/>
      <c r="S3761" s="19" t="n"/>
      <c r="T3761" s="19" t="n"/>
      <c r="U3761" s="19" t="n"/>
      <c r="V3761" s="19" t="n"/>
      <c r="W3761" s="19" t="n"/>
      <c r="X3761" s="19" t="n"/>
      <c r="Y3761" s="19" t="n">
        <v>1</v>
      </c>
      <c r="Z3761" s="13">
        <f>SUMPRODUCT(N3761:Y3761,$N$2:$Y$2)*$K3761*$L3761*$M3761</f>
        <v/>
      </c>
      <c r="AA3761" s="14">
        <f>SUM(N3761:Y3761)</f>
        <v/>
      </c>
      <c r="AB3761" s="13">
        <f>SUMPRODUCT(N3761:Y3761,$N$3:$Y$3)*$K3761*$L3761*$M3761</f>
        <v/>
      </c>
      <c r="AC3761" s="13">
        <f>SUMPRODUCT(N3761:Y3761,$N$4:$Y$4)*$K3761*$L3761*$M3761</f>
        <v/>
      </c>
      <c r="AD3761" s="15" t="n">
        <v>3</v>
      </c>
      <c r="AE3761" s="11" t="n">
        <v>1.011296296296296</v>
      </c>
      <c r="AF3761" s="16">
        <f>SUMPRODUCT(N3761:Y3761,$N$5:$Y$5)*$K3761*$L3761*$M3761</f>
        <v/>
      </c>
      <c r="AG3761" s="16">
        <f>SUMPRODUCT(N3761:Y3761,$N$6:$Y$6)*$K3761*$L3761*$M3761</f>
        <v/>
      </c>
      <c r="AH3761" s="20" t="n"/>
    </row>
    <row r="3762">
      <c r="A3762" s="9" t="n">
        <v>703596</v>
      </c>
      <c r="B3762" s="9" t="inlineStr">
        <is>
          <t>Karson Milbrandt</t>
        </is>
      </c>
      <c r="C3762" s="9" t="inlineStr">
        <is>
          <t>MIA</t>
        </is>
      </c>
      <c r="D3762" s="9" t="n">
        <v>23</v>
      </c>
      <c r="E3762" s="18" t="inlineStr">
        <is>
          <t>R</t>
        </is>
      </c>
      <c r="F3762" s="18" t="n"/>
      <c r="G3762" s="9" t="n">
        <v>152.1483333333333</v>
      </c>
      <c r="H3762" s="9" t="n">
        <v>152.1483333333333</v>
      </c>
      <c r="I3762" s="9" t="inlineStr">
        <is>
          <t>Innings-Limited Starter</t>
        </is>
      </c>
      <c r="J3762" s="18" t="inlineStr">
        <is>
          <t>Mid Season (~July)</t>
        </is>
      </c>
      <c r="K3762" s="11">
        <f>IFERROR(INDEX(Roles!$B$17:$B$20,MATCH(J3762,Roles!$A$17:$A$20,0)),1)</f>
        <v/>
      </c>
      <c r="L3762" s="19" t="n">
        <v>1</v>
      </c>
      <c r="M3762" s="11" t="n">
        <v>1</v>
      </c>
      <c r="N3762" s="19" t="n"/>
      <c r="O3762" s="19" t="n"/>
      <c r="P3762" s="19" t="n"/>
      <c r="Q3762" s="19" t="n">
        <v>0.47</v>
      </c>
      <c r="R3762" s="19" t="n">
        <v>0.3</v>
      </c>
      <c r="S3762" s="19" t="n"/>
      <c r="T3762" s="19" t="n"/>
      <c r="U3762" s="19" t="n"/>
      <c r="V3762" s="19" t="n"/>
      <c r="W3762" s="19" t="n">
        <v>0.23</v>
      </c>
      <c r="X3762" s="19" t="n"/>
      <c r="Y3762" s="19" t="n"/>
      <c r="Z3762" s="13">
        <f>SUMPRODUCT(N3762:Y3762,$N$2:$Y$2)*$K3762*$L3762*$M3762</f>
        <v/>
      </c>
      <c r="AA3762" s="14">
        <f>SUM(N3762:Y3762)</f>
        <v/>
      </c>
      <c r="AB3762" s="13">
        <f>SUMPRODUCT(N3762:Y3762,$N$3:$Y$3)*$K3762*$L3762*$M3762</f>
        <v/>
      </c>
      <c r="AC3762" s="13">
        <f>SUMPRODUCT(N3762:Y3762,$N$4:$Y$4)*$K3762*$L3762*$M3762</f>
        <v/>
      </c>
      <c r="AD3762" s="15" t="n">
        <v>27.39</v>
      </c>
      <c r="AE3762" s="11" t="n">
        <v>3.263964950711938</v>
      </c>
      <c r="AF3762" s="16">
        <f>SUMPRODUCT(N3762:Y3762,$N$5:$Y$5)*$K3762*$L3762*$M3762</f>
        <v/>
      </c>
      <c r="AG3762" s="16">
        <f>SUMPRODUCT(N3762:Y3762,$N$6:$Y$6)*$K3762*$L3762*$M3762</f>
        <v/>
      </c>
      <c r="AH3762" s="20" t="n"/>
    </row>
    <row r="3763">
      <c r="A3763" s="9" t="n">
        <v>815549</v>
      </c>
      <c r="B3763" s="9" t="inlineStr">
        <is>
          <t>Ryan Sloan</t>
        </is>
      </c>
      <c r="C3763" s="9" t="inlineStr">
        <is>
          <t>SEA</t>
        </is>
      </c>
      <c r="D3763" s="9" t="n">
        <v>21</v>
      </c>
      <c r="E3763" s="18" t="inlineStr">
        <is>
          <t>R</t>
        </is>
      </c>
      <c r="F3763" s="18" t="n"/>
      <c r="G3763" s="9" t="n">
        <v>152.5066666666666</v>
      </c>
      <c r="H3763" s="9" t="n">
        <v>152.5066666666666</v>
      </c>
      <c r="I3763" s="9" t="inlineStr">
        <is>
          <t>Innings-Limited Starter</t>
        </is>
      </c>
      <c r="J3763" s="18" t="inlineStr">
        <is>
          <t>Mid Season (~July)</t>
        </is>
      </c>
      <c r="K3763" s="11">
        <f>IFERROR(INDEX(Roles!$B$17:$B$20,MATCH(J3763,Roles!$A$17:$A$20,0)),1)</f>
        <v/>
      </c>
      <c r="L3763" s="19" t="n">
        <v>1</v>
      </c>
      <c r="M3763" s="11" t="n">
        <v>1</v>
      </c>
      <c r="N3763" s="19" t="n"/>
      <c r="O3763" s="19" t="n"/>
      <c r="P3763" s="19" t="n"/>
      <c r="Q3763" s="19" t="n">
        <v>0.46</v>
      </c>
      <c r="R3763" s="19" t="n">
        <v>0.3</v>
      </c>
      <c r="S3763" s="19" t="n"/>
      <c r="T3763" s="19" t="n"/>
      <c r="U3763" s="19" t="n"/>
      <c r="V3763" s="19" t="n"/>
      <c r="W3763" s="19" t="n">
        <v>0.24</v>
      </c>
      <c r="X3763" s="19" t="n"/>
      <c r="Y3763" s="19" t="n"/>
      <c r="Z3763" s="13">
        <f>SUMPRODUCT(N3763:Y3763,$N$2:$Y$2)*$K3763*$L3763*$M3763</f>
        <v/>
      </c>
      <c r="AA3763" s="14">
        <f>SUM(N3763:Y3763)</f>
        <v/>
      </c>
      <c r="AB3763" s="13">
        <f>SUMPRODUCT(N3763:Y3763,$N$3:$Y$3)*$K3763*$L3763*$M3763</f>
        <v/>
      </c>
      <c r="AC3763" s="13">
        <f>SUMPRODUCT(N3763:Y3763,$N$4:$Y$4)*$K3763*$L3763*$M3763</f>
        <v/>
      </c>
      <c r="AD3763" s="15" t="n">
        <v>27.52</v>
      </c>
      <c r="AE3763" s="11" t="n">
        <v>3.223110465116278</v>
      </c>
      <c r="AF3763" s="16">
        <f>SUMPRODUCT(N3763:Y3763,$N$5:$Y$5)*$K3763*$L3763*$M3763</f>
        <v/>
      </c>
      <c r="AG3763" s="16">
        <f>SUMPRODUCT(N3763:Y3763,$N$6:$Y$6)*$K3763*$L3763*$M3763</f>
        <v/>
      </c>
      <c r="AH3763" s="20" t="n"/>
    </row>
    <row r="3764">
      <c r="A3764" s="9" t="n">
        <v>691769</v>
      </c>
      <c r="B3764" s="9" t="inlineStr">
        <is>
          <t>Philip Abner</t>
        </is>
      </c>
      <c r="C3764" s="9" t="inlineStr">
        <is>
          <t>SF</t>
        </is>
      </c>
      <c r="D3764" s="9" t="n">
        <v>25</v>
      </c>
      <c r="E3764" s="18" t="inlineStr">
        <is>
          <t>L</t>
        </is>
      </c>
      <c r="F3764" s="18" t="n"/>
      <c r="G3764" s="9" t="n">
        <v>86</v>
      </c>
      <c r="H3764" s="9" t="n">
        <v>104</v>
      </c>
      <c r="I3764" s="9" t="inlineStr">
        <is>
          <t>Middle Relief</t>
        </is>
      </c>
      <c r="J3764" s="18" t="inlineStr">
        <is>
          <t>Opening Day</t>
        </is>
      </c>
      <c r="K3764" s="11">
        <f>IFERROR(INDEX(Roles!$B$17:$B$20,MATCH(J3764,Roles!$A$17:$A$20,0)),1)</f>
        <v/>
      </c>
      <c r="L3764" s="19" t="n">
        <v>1</v>
      </c>
      <c r="M3764" s="11" t="n">
        <v>1</v>
      </c>
      <c r="N3764" s="19" t="n"/>
      <c r="O3764" s="19" t="n"/>
      <c r="P3764" s="19" t="n"/>
      <c r="Q3764" s="19" t="n"/>
      <c r="R3764" s="19" t="n"/>
      <c r="S3764" s="19" t="n"/>
      <c r="T3764" s="19" t="n"/>
      <c r="U3764" s="19" t="n"/>
      <c r="V3764" s="19" t="n">
        <v>0.8</v>
      </c>
      <c r="W3764" s="19" t="n">
        <v>0.2</v>
      </c>
      <c r="X3764" s="19" t="n"/>
      <c r="Y3764" s="19" t="n"/>
      <c r="Z3764" s="13">
        <f>SUMPRODUCT(N3764:Y3764,$N$2:$Y$2)*$K3764*$L3764*$M3764</f>
        <v/>
      </c>
      <c r="AA3764" s="14">
        <f>SUM(N3764:Y3764)</f>
        <v/>
      </c>
      <c r="AB3764" s="13">
        <f>SUMPRODUCT(N3764:Y3764,$N$3:$Y$3)*$K3764*$L3764*$M3764</f>
        <v/>
      </c>
      <c r="AC3764" s="13">
        <f>SUMPRODUCT(N3764:Y3764,$N$4:$Y$4)*$K3764*$L3764*$M3764</f>
        <v/>
      </c>
      <c r="AD3764" s="15" t="n">
        <v>20.61333333333333</v>
      </c>
      <c r="AE3764" s="11" t="n">
        <v>1.126785488131423</v>
      </c>
      <c r="AF3764" s="16">
        <f>SUMPRODUCT(N3764:Y3764,$N$5:$Y$5)*$K3764*$L3764*$M3764</f>
        <v/>
      </c>
      <c r="AG3764" s="16">
        <f>SUMPRODUCT(N3764:Y3764,$N$6:$Y$6)*$K3764*$L3764*$M3764</f>
        <v/>
      </c>
      <c r="AH3764" s="20" t="n"/>
    </row>
    <row r="3765">
      <c r="A3765" s="9" t="n">
        <v>663465</v>
      </c>
      <c r="B3765" s="9" t="inlineStr">
        <is>
          <t>Kolby Allard</t>
        </is>
      </c>
      <c r="C3765" s="9" t="inlineStr">
        <is>
          <t>CLE</t>
        </is>
      </c>
      <c r="D3765" s="9" t="n">
        <v>29</v>
      </c>
      <c r="E3765" s="18" t="inlineStr">
        <is>
          <t>L</t>
        </is>
      </c>
      <c r="F3765" s="18" t="n"/>
      <c r="G3765" s="9" t="n">
        <v>45</v>
      </c>
      <c r="H3765" s="9" t="n">
        <v>571</v>
      </c>
      <c r="I3765" s="9" t="inlineStr">
        <is>
          <t>Bullpen Depth Arm</t>
        </is>
      </c>
      <c r="J3765" s="18" t="inlineStr">
        <is>
          <t>Opening Day</t>
        </is>
      </c>
      <c r="K3765" s="11">
        <f>IFERROR(INDEX(Roles!$B$17:$B$20,MATCH(J3765,Roles!$A$17:$A$20,0)),1)</f>
        <v/>
      </c>
      <c r="L3765" s="19" t="n">
        <v>1</v>
      </c>
      <c r="M3765" s="11" t="n">
        <v>1</v>
      </c>
      <c r="N3765" s="19" t="n"/>
      <c r="O3765" s="19" t="n"/>
      <c r="P3765" s="19" t="n"/>
      <c r="Q3765" s="19" t="n"/>
      <c r="R3765" s="19" t="n"/>
      <c r="S3765" s="19" t="n"/>
      <c r="T3765" s="19" t="n"/>
      <c r="U3765" s="19" t="n"/>
      <c r="V3765" s="19" t="n"/>
      <c r="W3765" s="19" t="n">
        <v>1</v>
      </c>
      <c r="X3765" s="19" t="n"/>
      <c r="Y3765" s="19" t="n"/>
      <c r="Z3765" s="13">
        <f>SUMPRODUCT(N3765:Y3765,$N$2:$Y$2)*$K3765*$L3765*$M3765</f>
        <v/>
      </c>
      <c r="AA3765" s="14">
        <f>SUM(N3765:Y3765)</f>
        <v/>
      </c>
      <c r="AB3765" s="13">
        <f>SUMPRODUCT(N3765:Y3765,$N$3:$Y$3)*$K3765*$L3765*$M3765</f>
        <v/>
      </c>
      <c r="AC3765" s="13">
        <f>SUMPRODUCT(N3765:Y3765,$N$4:$Y$4)*$K3765*$L3765*$M3765</f>
        <v/>
      </c>
      <c r="AD3765" s="15" t="n">
        <v>14.16666666666667</v>
      </c>
      <c r="AE3765" s="11" t="n">
        <v>1.519154193663998</v>
      </c>
      <c r="AF3765" s="16">
        <f>SUMPRODUCT(N3765:Y3765,$N$5:$Y$5)*$K3765*$L3765*$M3765</f>
        <v/>
      </c>
      <c r="AG3765" s="16">
        <f>SUMPRODUCT(N3765:Y3765,$N$6:$Y$6)*$K3765*$L3765*$M3765</f>
        <v/>
      </c>
      <c r="AH3765" s="20" t="n"/>
    </row>
    <row r="3766">
      <c r="A3766" s="9" t="n">
        <v>669020</v>
      </c>
      <c r="B3766" s="9" t="inlineStr">
        <is>
          <t>Ryan Rolison</t>
        </is>
      </c>
      <c r="C3766" s="9" t="inlineStr">
        <is>
          <t>CHC</t>
        </is>
      </c>
      <c r="D3766" s="9" t="n">
        <v>29</v>
      </c>
      <c r="E3766" s="18" t="inlineStr">
        <is>
          <t>L</t>
        </is>
      </c>
      <c r="F3766" s="18" t="n"/>
      <c r="G3766" s="9" t="n">
        <v>256</v>
      </c>
      <c r="H3766" s="9" t="n">
        <v>449</v>
      </c>
      <c r="I3766" s="9" t="inlineStr">
        <is>
          <t>Closer</t>
        </is>
      </c>
      <c r="J3766" s="18" t="inlineStr">
        <is>
          <t>Opening Day</t>
        </is>
      </c>
      <c r="K3766" s="11">
        <f>IFERROR(INDEX(Roles!$B$17:$B$20,MATCH(J3766,Roles!$A$17:$A$20,0)),1)</f>
        <v/>
      </c>
      <c r="L3766" s="19" t="n">
        <v>1</v>
      </c>
      <c r="M3766" s="11" t="n">
        <v>1</v>
      </c>
      <c r="N3766" s="19" t="n"/>
      <c r="O3766" s="19" t="n"/>
      <c r="P3766" s="19" t="n"/>
      <c r="Q3766" s="19" t="n"/>
      <c r="R3766" s="19" t="n"/>
      <c r="S3766" s="19" t="n"/>
      <c r="T3766" s="19" t="n">
        <v>0.85</v>
      </c>
      <c r="U3766" s="19" t="n">
        <v>0.15</v>
      </c>
      <c r="V3766" s="19" t="n"/>
      <c r="W3766" s="19" t="n"/>
      <c r="X3766" s="19" t="n"/>
      <c r="Y3766" s="19" t="n"/>
      <c r="Z3766" s="13">
        <f>SUMPRODUCT(N3766:Y3766,$N$2:$Y$2)*$K3766*$L3766*$M3766</f>
        <v/>
      </c>
      <c r="AA3766" s="14">
        <f>SUM(N3766:Y3766)</f>
        <v/>
      </c>
      <c r="AB3766" s="13">
        <f>SUMPRODUCT(N3766:Y3766,$N$3:$Y$3)*$K3766*$L3766*$M3766</f>
        <v/>
      </c>
      <c r="AC3766" s="13">
        <f>SUMPRODUCT(N3766:Y3766,$N$4:$Y$4)*$K3766*$L3766*$M3766</f>
        <v/>
      </c>
      <c r="AD3766" s="15" t="n">
        <v>49.2</v>
      </c>
      <c r="AE3766" s="11" t="n">
        <v>1.046114877064826</v>
      </c>
      <c r="AF3766" s="16">
        <f>SUMPRODUCT(N3766:Y3766,$N$5:$Y$5)*$K3766*$L3766*$M3766</f>
        <v/>
      </c>
      <c r="AG3766" s="16">
        <f>SUMPRODUCT(N3766:Y3766,$N$6:$Y$6)*$K3766*$L3766*$M3766</f>
        <v/>
      </c>
      <c r="AH3766" s="20" t="n"/>
    </row>
    <row r="3767">
      <c r="A3767" s="9" t="n">
        <v>605200</v>
      </c>
      <c r="B3767" s="9" t="inlineStr">
        <is>
          <t>Zach Davies</t>
        </is>
      </c>
      <c r="C3767" s="9" t="inlineStr">
        <is>
          <t>ARI</t>
        </is>
      </c>
      <c r="D3767" s="9" t="n">
        <v>34</v>
      </c>
      <c r="E3767" s="18" t="inlineStr">
        <is>
          <t>R</t>
        </is>
      </c>
      <c r="F3767" s="18" t="n"/>
      <c r="G3767" s="9" t="n">
        <v>377</v>
      </c>
      <c r="H3767" s="9" t="n">
        <v>947</v>
      </c>
      <c r="I3767" s="9" t="inlineStr">
        <is>
          <t>Depth (no MLB IP)</t>
        </is>
      </c>
      <c r="J3767" s="18" t="inlineStr">
        <is>
          <t>Opening Day</t>
        </is>
      </c>
      <c r="K3767" s="11">
        <f>IFERROR(INDEX(Roles!$B$17:$B$20,MATCH(J3767,Roles!$A$17:$A$20,0)),1)</f>
        <v/>
      </c>
      <c r="L3767" s="19" t="n">
        <v>1</v>
      </c>
      <c r="M3767" s="11" t="n">
        <v>1</v>
      </c>
      <c r="N3767" s="19" t="n"/>
      <c r="O3767" s="19" t="n"/>
      <c r="P3767" s="19" t="n"/>
      <c r="Q3767" s="19" t="n"/>
      <c r="R3767" s="19" t="n"/>
      <c r="S3767" s="19" t="n"/>
      <c r="T3767" s="19" t="n"/>
      <c r="U3767" s="19" t="n"/>
      <c r="V3767" s="19" t="n"/>
      <c r="W3767" s="19" t="n"/>
      <c r="X3767" s="19" t="n"/>
      <c r="Y3767" s="19" t="n">
        <v>1</v>
      </c>
      <c r="Z3767" s="13">
        <f>SUMPRODUCT(N3767:Y3767,$N$2:$Y$2)*$K3767*$L3767*$M3767</f>
        <v/>
      </c>
      <c r="AA3767" s="14">
        <f>SUM(N3767:Y3767)</f>
        <v/>
      </c>
      <c r="AB3767" s="13">
        <f>SUMPRODUCT(N3767:Y3767,$N$3:$Y$3)*$K3767*$L3767*$M3767</f>
        <v/>
      </c>
      <c r="AC3767" s="13">
        <f>SUMPRODUCT(N3767:Y3767,$N$4:$Y$4)*$K3767*$L3767*$M3767</f>
        <v/>
      </c>
      <c r="AD3767" s="15" t="n">
        <v>3</v>
      </c>
      <c r="AE3767" s="11" t="n">
        <v>1.011296296296296</v>
      </c>
      <c r="AF3767" s="16">
        <f>SUMPRODUCT(N3767:Y3767,$N$5:$Y$5)*$K3767*$L3767*$M3767</f>
        <v/>
      </c>
      <c r="AG3767" s="16">
        <f>SUMPRODUCT(N3767:Y3767,$N$6:$Y$6)*$K3767*$L3767*$M3767</f>
        <v/>
      </c>
      <c r="AH3767" s="20" t="n"/>
    </row>
    <row r="3768">
      <c r="A3768" s="9" t="n">
        <v>687288</v>
      </c>
      <c r="B3768" s="9" t="inlineStr">
        <is>
          <t>Devereaux Harrison</t>
        </is>
      </c>
      <c r="C3768" s="9" t="inlineStr">
        <is>
          <t>TOR</t>
        </is>
      </c>
      <c r="D3768" s="9" t="n">
        <v>25</v>
      </c>
      <c r="E3768" s="18" t="inlineStr">
        <is>
          <t>R</t>
        </is>
      </c>
      <c r="F3768" s="18" t="n"/>
      <c r="G3768" s="9" t="n">
        <v>153.725</v>
      </c>
      <c r="H3768" s="9" t="n">
        <v>153.725</v>
      </c>
      <c r="I3768" s="9" t="inlineStr">
        <is>
          <t>Depth (no MLB IP)</t>
        </is>
      </c>
      <c r="J3768" s="18" t="inlineStr">
        <is>
          <t>Opening Day</t>
        </is>
      </c>
      <c r="K3768" s="11">
        <f>IFERROR(INDEX(Roles!$B$17:$B$20,MATCH(J3768,Roles!$A$17:$A$20,0)),1)</f>
        <v/>
      </c>
      <c r="L3768" s="19" t="n">
        <v>1</v>
      </c>
      <c r="M3768" s="11" t="n">
        <v>1</v>
      </c>
      <c r="N3768" s="19" t="n"/>
      <c r="O3768" s="19" t="n"/>
      <c r="P3768" s="19" t="n"/>
      <c r="Q3768" s="19" t="n"/>
      <c r="R3768" s="19" t="n"/>
      <c r="S3768" s="19" t="n"/>
      <c r="T3768" s="19" t="n"/>
      <c r="U3768" s="19" t="n"/>
      <c r="V3768" s="19" t="n"/>
      <c r="W3768" s="19" t="n"/>
      <c r="X3768" s="19" t="n"/>
      <c r="Y3768" s="19" t="n">
        <v>1</v>
      </c>
      <c r="Z3768" s="13">
        <f>SUMPRODUCT(N3768:Y3768,$N$2:$Y$2)*$K3768*$L3768*$M3768</f>
        <v/>
      </c>
      <c r="AA3768" s="14">
        <f>SUM(N3768:Y3768)</f>
        <v/>
      </c>
      <c r="AB3768" s="13">
        <f>SUMPRODUCT(N3768:Y3768,$N$3:$Y$3)*$K3768*$L3768*$M3768</f>
        <v/>
      </c>
      <c r="AC3768" s="13">
        <f>SUMPRODUCT(N3768:Y3768,$N$4:$Y$4)*$K3768*$L3768*$M3768</f>
        <v/>
      </c>
      <c r="AD3768" s="15" t="n">
        <v>3</v>
      </c>
      <c r="AE3768" s="11" t="n">
        <v>1.011296296296296</v>
      </c>
      <c r="AF3768" s="16">
        <f>SUMPRODUCT(N3768:Y3768,$N$5:$Y$5)*$K3768*$L3768*$M3768</f>
        <v/>
      </c>
      <c r="AG3768" s="16">
        <f>SUMPRODUCT(N3768:Y3768,$N$6:$Y$6)*$K3768*$L3768*$M3768</f>
        <v/>
      </c>
      <c r="AH3768" s="20" t="n"/>
    </row>
    <row r="3769">
      <c r="A3769" s="9" t="n">
        <v>594902</v>
      </c>
      <c r="B3769" s="9" t="inlineStr">
        <is>
          <t>Ben Lively</t>
        </is>
      </c>
      <c r="C3769" s="9" t="inlineStr">
        <is>
          <t>CLE</t>
        </is>
      </c>
      <c r="D3769" s="9" t="n">
        <v>35</v>
      </c>
      <c r="E3769" s="18" t="inlineStr">
        <is>
          <t>R</t>
        </is>
      </c>
      <c r="F3769" s="18" t="n"/>
      <c r="G3769" s="9" t="n">
        <v>178</v>
      </c>
      <c r="H3769" s="9" t="n">
        <v>1193</v>
      </c>
      <c r="I3769" s="9" t="inlineStr">
        <is>
          <t>Mid-Rotation Starter (SP2-3)</t>
        </is>
      </c>
      <c r="J3769" s="18" t="inlineStr">
        <is>
          <t>Opening Day</t>
        </is>
      </c>
      <c r="K3769" s="11">
        <f>IFERROR(INDEX(Roles!$B$17:$B$20,MATCH(J3769,Roles!$A$17:$A$20,0)),1)</f>
        <v/>
      </c>
      <c r="L3769" s="19" t="n">
        <v>1</v>
      </c>
      <c r="M3769" s="11" t="n">
        <v>1</v>
      </c>
      <c r="N3769" s="19" t="n"/>
      <c r="O3769" s="19" t="n">
        <v>1</v>
      </c>
      <c r="P3769" s="19" t="n"/>
      <c r="Q3769" s="19" t="n"/>
      <c r="R3769" s="19" t="n"/>
      <c r="S3769" s="19" t="n"/>
      <c r="T3769" s="19" t="n"/>
      <c r="U3769" s="19" t="n"/>
      <c r="V3769" s="19" t="n"/>
      <c r="W3769" s="19" t="n"/>
      <c r="X3769" s="19" t="n"/>
      <c r="Y3769" s="19" t="n"/>
      <c r="Z3769" s="13">
        <f>SUMPRODUCT(N3769:Y3769,$N$2:$Y$2)*$K3769*$L3769*$M3769</f>
        <v/>
      </c>
      <c r="AA3769" s="14">
        <f>SUM(N3769:Y3769)</f>
        <v/>
      </c>
      <c r="AB3769" s="13">
        <f>SUMPRODUCT(N3769:Y3769,$N$3:$Y$3)*$K3769*$L3769*$M3769</f>
        <v/>
      </c>
      <c r="AC3769" s="13">
        <f>SUMPRODUCT(N3769:Y3769,$N$4:$Y$4)*$K3769*$L3769*$M3769</f>
        <v/>
      </c>
      <c r="AD3769" s="15" t="n">
        <v>19.8</v>
      </c>
      <c r="AE3769" s="11" t="n">
        <v>5.174025775947533</v>
      </c>
      <c r="AF3769" s="16">
        <f>SUMPRODUCT(N3769:Y3769,$N$5:$Y$5)*$K3769*$L3769*$M3769</f>
        <v/>
      </c>
      <c r="AG3769" s="16">
        <f>SUMPRODUCT(N3769:Y3769,$N$6:$Y$6)*$K3769*$L3769*$M3769</f>
        <v/>
      </c>
      <c r="AH3769" s="20" t="n"/>
    </row>
    <row r="3770">
      <c r="A3770" s="9" t="n">
        <v>683409</v>
      </c>
      <c r="B3770" s="9" t="inlineStr">
        <is>
          <t>Angel Chivilli</t>
        </is>
      </c>
      <c r="C3770" s="9" t="inlineStr">
        <is>
          <t>NYY</t>
        </is>
      </c>
      <c r="D3770" s="9" t="n">
        <v>24</v>
      </c>
      <c r="E3770" s="18" t="inlineStr">
        <is>
          <t>R</t>
        </is>
      </c>
      <c r="F3770" s="18" t="n"/>
      <c r="G3770" s="9" t="n">
        <v>73</v>
      </c>
      <c r="H3770" s="9" t="n">
        <v>481</v>
      </c>
      <c r="I3770" s="9" t="inlineStr">
        <is>
          <t>Bullpen Depth Arm</t>
        </is>
      </c>
      <c r="J3770" s="18" t="inlineStr">
        <is>
          <t>Opening Day</t>
        </is>
      </c>
      <c r="K3770" s="11">
        <f>IFERROR(INDEX(Roles!$B$17:$B$20,MATCH(J3770,Roles!$A$17:$A$20,0)),1)</f>
        <v/>
      </c>
      <c r="L3770" s="19" t="n">
        <v>1</v>
      </c>
      <c r="M3770" s="11" t="n">
        <v>1</v>
      </c>
      <c r="N3770" s="19" t="n"/>
      <c r="O3770" s="19" t="n"/>
      <c r="P3770" s="19" t="n"/>
      <c r="Q3770" s="19" t="n"/>
      <c r="R3770" s="19" t="n"/>
      <c r="S3770" s="19" t="n"/>
      <c r="T3770" s="19" t="n"/>
      <c r="U3770" s="19" t="n"/>
      <c r="V3770" s="19" t="n"/>
      <c r="W3770" s="19" t="n">
        <v>1</v>
      </c>
      <c r="X3770" s="19" t="n"/>
      <c r="Y3770" s="19" t="n"/>
      <c r="Z3770" s="13">
        <f>SUMPRODUCT(N3770:Y3770,$N$2:$Y$2)*$K3770*$L3770*$M3770</f>
        <v/>
      </c>
      <c r="AA3770" s="14">
        <f>SUM(N3770:Y3770)</f>
        <v/>
      </c>
      <c r="AB3770" s="13">
        <f>SUMPRODUCT(N3770:Y3770,$N$3:$Y$3)*$K3770*$L3770*$M3770</f>
        <v/>
      </c>
      <c r="AC3770" s="13">
        <f>SUMPRODUCT(N3770:Y3770,$N$4:$Y$4)*$K3770*$L3770*$M3770</f>
        <v/>
      </c>
      <c r="AD3770" s="15" t="n">
        <v>21.76666666666667</v>
      </c>
      <c r="AE3770" s="11" t="n">
        <v>1.213515416413967</v>
      </c>
      <c r="AF3770" s="16">
        <f>SUMPRODUCT(N3770:Y3770,$N$5:$Y$5)*$K3770*$L3770*$M3770</f>
        <v/>
      </c>
      <c r="AG3770" s="16">
        <f>SUMPRODUCT(N3770:Y3770,$N$6:$Y$6)*$K3770*$L3770*$M3770</f>
        <v/>
      </c>
      <c r="AH3770" s="20" t="n"/>
    </row>
    <row r="3771">
      <c r="A3771" s="9" t="n">
        <v>813820</v>
      </c>
      <c r="B3771" s="9" t="inlineStr">
        <is>
          <t>Chen-Wei Lin</t>
        </is>
      </c>
      <c r="C3771" s="9" t="inlineStr">
        <is>
          <t>STL</t>
        </is>
      </c>
      <c r="D3771" s="9" t="n">
        <v>25</v>
      </c>
      <c r="E3771" s="18" t="inlineStr">
        <is>
          <t>R</t>
        </is>
      </c>
      <c r="F3771" s="18" t="n"/>
      <c r="G3771" s="9" t="n">
        <v>154.5133333333333</v>
      </c>
      <c r="H3771" s="9" t="n">
        <v>154.5133333333333</v>
      </c>
      <c r="I3771" s="9" t="inlineStr">
        <is>
          <t>Depth (no MLB IP)</t>
        </is>
      </c>
      <c r="J3771" s="18" t="inlineStr">
        <is>
          <t>Opening Day</t>
        </is>
      </c>
      <c r="K3771" s="11">
        <f>IFERROR(INDEX(Roles!$B$17:$B$20,MATCH(J3771,Roles!$A$17:$A$20,0)),1)</f>
        <v/>
      </c>
      <c r="L3771" s="19" t="n">
        <v>1</v>
      </c>
      <c r="M3771" s="11" t="n">
        <v>1</v>
      </c>
      <c r="N3771" s="19" t="n"/>
      <c r="O3771" s="19" t="n"/>
      <c r="P3771" s="19" t="n"/>
      <c r="Q3771" s="19" t="n"/>
      <c r="R3771" s="19" t="n"/>
      <c r="S3771" s="19" t="n"/>
      <c r="T3771" s="19" t="n"/>
      <c r="U3771" s="19" t="n"/>
      <c r="V3771" s="19" t="n"/>
      <c r="W3771" s="19" t="n"/>
      <c r="X3771" s="19" t="n"/>
      <c r="Y3771" s="19" t="n">
        <v>1</v>
      </c>
      <c r="Z3771" s="13">
        <f>SUMPRODUCT(N3771:Y3771,$N$2:$Y$2)*$K3771*$L3771*$M3771</f>
        <v/>
      </c>
      <c r="AA3771" s="14">
        <f>SUM(N3771:Y3771)</f>
        <v/>
      </c>
      <c r="AB3771" s="13">
        <f>SUMPRODUCT(N3771:Y3771,$N$3:$Y$3)*$K3771*$L3771*$M3771</f>
        <v/>
      </c>
      <c r="AC3771" s="13">
        <f>SUMPRODUCT(N3771:Y3771,$N$4:$Y$4)*$K3771*$L3771*$M3771</f>
        <v/>
      </c>
      <c r="AD3771" s="15" t="n">
        <v>3</v>
      </c>
      <c r="AE3771" s="11" t="n">
        <v>1.011296296296296</v>
      </c>
      <c r="AF3771" s="16">
        <f>SUMPRODUCT(N3771:Y3771,$N$5:$Y$5)*$K3771*$L3771*$M3771</f>
        <v/>
      </c>
      <c r="AG3771" s="16">
        <f>SUMPRODUCT(N3771:Y3771,$N$6:$Y$6)*$K3771*$L3771*$M3771</f>
        <v/>
      </c>
      <c r="AH3771" s="20" t="n"/>
    </row>
    <row r="3772">
      <c r="A3772" s="9" t="n">
        <v>682645</v>
      </c>
      <c r="B3772" s="9" t="inlineStr">
        <is>
          <t>Jerming Rosario</t>
        </is>
      </c>
      <c r="C3772" s="9" t="inlineStr">
        <is>
          <t>LAD</t>
        </is>
      </c>
      <c r="D3772" s="9" t="n">
        <v>25</v>
      </c>
      <c r="E3772" s="18" t="inlineStr">
        <is>
          <t>R</t>
        </is>
      </c>
      <c r="F3772" s="18" t="n"/>
      <c r="G3772" s="9" t="n">
        <v>154.5133333333333</v>
      </c>
      <c r="H3772" s="9" t="n">
        <v>154.5133333333333</v>
      </c>
      <c r="I3772" s="9" t="inlineStr">
        <is>
          <t>Depth (no MLB IP)</t>
        </is>
      </c>
      <c r="J3772" s="18" t="inlineStr">
        <is>
          <t>Opening Day</t>
        </is>
      </c>
      <c r="K3772" s="11">
        <f>IFERROR(INDEX(Roles!$B$17:$B$20,MATCH(J3772,Roles!$A$17:$A$20,0)),1)</f>
        <v/>
      </c>
      <c r="L3772" s="19" t="n">
        <v>1</v>
      </c>
      <c r="M3772" s="11" t="n">
        <v>1</v>
      </c>
      <c r="N3772" s="19" t="n"/>
      <c r="O3772" s="19" t="n"/>
      <c r="P3772" s="19" t="n"/>
      <c r="Q3772" s="19" t="n"/>
      <c r="R3772" s="19" t="n"/>
      <c r="S3772" s="19" t="n"/>
      <c r="T3772" s="19" t="n"/>
      <c r="U3772" s="19" t="n"/>
      <c r="V3772" s="19" t="n"/>
      <c r="W3772" s="19" t="n"/>
      <c r="X3772" s="19" t="n"/>
      <c r="Y3772" s="19" t="n">
        <v>1</v>
      </c>
      <c r="Z3772" s="13">
        <f>SUMPRODUCT(N3772:Y3772,$N$2:$Y$2)*$K3772*$L3772*$M3772</f>
        <v/>
      </c>
      <c r="AA3772" s="14">
        <f>SUM(N3772:Y3772)</f>
        <v/>
      </c>
      <c r="AB3772" s="13">
        <f>SUMPRODUCT(N3772:Y3772,$N$3:$Y$3)*$K3772*$L3772*$M3772</f>
        <v/>
      </c>
      <c r="AC3772" s="13">
        <f>SUMPRODUCT(N3772:Y3772,$N$4:$Y$4)*$K3772*$L3772*$M3772</f>
        <v/>
      </c>
      <c r="AD3772" s="15" t="n">
        <v>3</v>
      </c>
      <c r="AE3772" s="11" t="n">
        <v>1.011296296296296</v>
      </c>
      <c r="AF3772" s="16">
        <f>SUMPRODUCT(N3772:Y3772,$N$5:$Y$5)*$K3772*$L3772*$M3772</f>
        <v/>
      </c>
      <c r="AG3772" s="16">
        <f>SUMPRODUCT(N3772:Y3772,$N$6:$Y$6)*$K3772*$L3772*$M3772</f>
        <v/>
      </c>
      <c r="AH3772" s="20" t="n"/>
    </row>
    <row r="3773">
      <c r="A3773" s="9" t="n">
        <v>669067</v>
      </c>
      <c r="B3773" s="9" t="inlineStr">
        <is>
          <t>Ryan Webb</t>
        </is>
      </c>
      <c r="C3773" s="9" t="inlineStr">
        <is>
          <t>CLE</t>
        </is>
      </c>
      <c r="D3773" s="9" t="n">
        <v>25</v>
      </c>
      <c r="E3773" s="18" t="inlineStr">
        <is>
          <t>L</t>
        </is>
      </c>
      <c r="F3773" s="18" t="n"/>
      <c r="G3773" s="9" t="n">
        <v>154.5133333333333</v>
      </c>
      <c r="H3773" s="9" t="n">
        <v>154.5133333333333</v>
      </c>
      <c r="I3773" s="9" t="inlineStr">
        <is>
          <t>Depth (no MLB IP)</t>
        </is>
      </c>
      <c r="J3773" s="18" t="inlineStr">
        <is>
          <t>Opening Day</t>
        </is>
      </c>
      <c r="K3773" s="11">
        <f>IFERROR(INDEX(Roles!$B$17:$B$20,MATCH(J3773,Roles!$A$17:$A$20,0)),1)</f>
        <v/>
      </c>
      <c r="L3773" s="19" t="n">
        <v>1</v>
      </c>
      <c r="M3773" s="11" t="n">
        <v>1</v>
      </c>
      <c r="N3773" s="19" t="n"/>
      <c r="O3773" s="19" t="n"/>
      <c r="P3773" s="19" t="n"/>
      <c r="Q3773" s="19" t="n"/>
      <c r="R3773" s="19" t="n"/>
      <c r="S3773" s="19" t="n"/>
      <c r="T3773" s="19" t="n"/>
      <c r="U3773" s="19" t="n"/>
      <c r="V3773" s="19" t="n"/>
      <c r="W3773" s="19" t="n"/>
      <c r="X3773" s="19" t="n"/>
      <c r="Y3773" s="19" t="n">
        <v>1</v>
      </c>
      <c r="Z3773" s="13">
        <f>SUMPRODUCT(N3773:Y3773,$N$2:$Y$2)*$K3773*$L3773*$M3773</f>
        <v/>
      </c>
      <c r="AA3773" s="14">
        <f>SUM(N3773:Y3773)</f>
        <v/>
      </c>
      <c r="AB3773" s="13">
        <f>SUMPRODUCT(N3773:Y3773,$N$3:$Y$3)*$K3773*$L3773*$M3773</f>
        <v/>
      </c>
      <c r="AC3773" s="13">
        <f>SUMPRODUCT(N3773:Y3773,$N$4:$Y$4)*$K3773*$L3773*$M3773</f>
        <v/>
      </c>
      <c r="AD3773" s="15" t="n">
        <v>3</v>
      </c>
      <c r="AE3773" s="11" t="n">
        <v>1.011296296296296</v>
      </c>
      <c r="AF3773" s="16">
        <f>SUMPRODUCT(N3773:Y3773,$N$5:$Y$5)*$K3773*$L3773*$M3773</f>
        <v/>
      </c>
      <c r="AG3773" s="16">
        <f>SUMPRODUCT(N3773:Y3773,$N$6:$Y$6)*$K3773*$L3773*$M3773</f>
        <v/>
      </c>
      <c r="AH3773" s="20" t="n"/>
    </row>
    <row r="3774">
      <c r="A3774" s="9" t="n">
        <v>641302</v>
      </c>
      <c r="B3774" s="9" t="inlineStr">
        <is>
          <t>Tyler Alexander</t>
        </is>
      </c>
      <c r="C3774" s="9" t="inlineStr">
        <is>
          <t>TEX</t>
        </is>
      </c>
      <c r="D3774" s="9" t="n">
        <v>32</v>
      </c>
      <c r="E3774" s="18" t="inlineStr">
        <is>
          <t>L</t>
        </is>
      </c>
      <c r="F3774" s="18" t="n"/>
      <c r="G3774" s="9" t="n">
        <v>312</v>
      </c>
      <c r="H3774" s="9" t="n">
        <v>1798</v>
      </c>
      <c r="I3774" s="9" t="inlineStr">
        <is>
          <t>Late Inning RP (Setup)</t>
        </is>
      </c>
      <c r="J3774" s="18" t="inlineStr">
        <is>
          <t>Opening Day</t>
        </is>
      </c>
      <c r="K3774" s="11">
        <f>IFERROR(INDEX(Roles!$B$17:$B$20,MATCH(J3774,Roles!$A$17:$A$20,0)),1)</f>
        <v/>
      </c>
      <c r="L3774" s="19" t="n">
        <v>1</v>
      </c>
      <c r="M3774" s="11" t="n">
        <v>1</v>
      </c>
      <c r="N3774" s="19" t="n"/>
      <c r="O3774" s="19" t="n"/>
      <c r="P3774" s="19" t="n"/>
      <c r="Q3774" s="19" t="n"/>
      <c r="R3774" s="19" t="n"/>
      <c r="S3774" s="19" t="n"/>
      <c r="T3774" s="19" t="n"/>
      <c r="U3774" s="19" t="n">
        <v>0.85</v>
      </c>
      <c r="V3774" s="19" t="n">
        <v>0.15</v>
      </c>
      <c r="W3774" s="19" t="n"/>
      <c r="X3774" s="19" t="n"/>
      <c r="Y3774" s="19" t="n"/>
      <c r="Z3774" s="13">
        <f>SUMPRODUCT(N3774:Y3774,$N$2:$Y$2)*$K3774*$L3774*$M3774</f>
        <v/>
      </c>
      <c r="AA3774" s="14">
        <f>SUM(N3774:Y3774)</f>
        <v/>
      </c>
      <c r="AB3774" s="13">
        <f>SUMPRODUCT(N3774:Y3774,$N$3:$Y$3)*$K3774*$L3774*$M3774</f>
        <v/>
      </c>
      <c r="AC3774" s="13">
        <f>SUMPRODUCT(N3774:Y3774,$N$4:$Y$4)*$K3774*$L3774*$M3774</f>
        <v/>
      </c>
      <c r="AD3774" s="15" t="n">
        <v>54.4</v>
      </c>
      <c r="AE3774" s="11" t="n">
        <v>1.154040404040404</v>
      </c>
      <c r="AF3774" s="16">
        <f>SUMPRODUCT(N3774:Y3774,$N$5:$Y$5)*$K3774*$L3774*$M3774</f>
        <v/>
      </c>
      <c r="AG3774" s="16">
        <f>SUMPRODUCT(N3774:Y3774,$N$6:$Y$6)*$K3774*$L3774*$M3774</f>
        <v/>
      </c>
      <c r="AH3774" s="20" t="n"/>
    </row>
    <row r="3775">
      <c r="A3775" s="9" t="n">
        <v>623437</v>
      </c>
      <c r="B3775" s="9" t="inlineStr">
        <is>
          <t>Justin Topa</t>
        </is>
      </c>
      <c r="C3775" s="9" t="inlineStr">
        <is>
          <t>NYY</t>
        </is>
      </c>
      <c r="D3775" s="9" t="n">
        <v>36</v>
      </c>
      <c r="E3775" s="18" t="inlineStr">
        <is>
          <t>R</t>
        </is>
      </c>
      <c r="F3775" s="18" t="n"/>
      <c r="G3775" s="9" t="n">
        <v>108</v>
      </c>
      <c r="H3775" s="9" t="n">
        <v>698</v>
      </c>
      <c r="I3775" s="9" t="inlineStr">
        <is>
          <t>Bullpen Depth Arm</t>
        </is>
      </c>
      <c r="J3775" s="18" t="inlineStr">
        <is>
          <t>Opening Day</t>
        </is>
      </c>
      <c r="K3775" s="11">
        <f>IFERROR(INDEX(Roles!$B$17:$B$20,MATCH(J3775,Roles!$A$17:$A$20,0)),1)</f>
        <v/>
      </c>
      <c r="L3775" s="19" t="n">
        <v>1</v>
      </c>
      <c r="M3775" s="11" t="n">
        <v>1</v>
      </c>
      <c r="N3775" s="19" t="n"/>
      <c r="O3775" s="19" t="n"/>
      <c r="P3775" s="19" t="n"/>
      <c r="Q3775" s="19" t="n"/>
      <c r="R3775" s="19" t="n"/>
      <c r="S3775" s="19" t="n"/>
      <c r="T3775" s="19" t="n"/>
      <c r="U3775" s="19" t="n"/>
      <c r="V3775" s="19" t="n"/>
      <c r="W3775" s="19" t="n">
        <v>1</v>
      </c>
      <c r="X3775" s="19" t="n"/>
      <c r="Y3775" s="19" t="n"/>
      <c r="Z3775" s="13">
        <f>SUMPRODUCT(N3775:Y3775,$N$2:$Y$2)*$K3775*$L3775*$M3775</f>
        <v/>
      </c>
      <c r="AA3775" s="14">
        <f>SUM(N3775:Y3775)</f>
        <v/>
      </c>
      <c r="AB3775" s="13">
        <f>SUMPRODUCT(N3775:Y3775,$N$3:$Y$3)*$K3775*$L3775*$M3775</f>
        <v/>
      </c>
      <c r="AC3775" s="13">
        <f>SUMPRODUCT(N3775:Y3775,$N$4:$Y$4)*$K3775*$L3775*$M3775</f>
        <v/>
      </c>
      <c r="AD3775" s="15" t="n">
        <v>24.26666666666667</v>
      </c>
      <c r="AE3775" s="11" t="n">
        <v>1.139022069129596</v>
      </c>
      <c r="AF3775" s="16">
        <f>SUMPRODUCT(N3775:Y3775,$N$5:$Y$5)*$K3775*$L3775*$M3775</f>
        <v/>
      </c>
      <c r="AG3775" s="16">
        <f>SUMPRODUCT(N3775:Y3775,$N$6:$Y$6)*$K3775*$L3775*$M3775</f>
        <v/>
      </c>
      <c r="AH3775" s="20" t="n"/>
    </row>
    <row r="3776">
      <c r="A3776" s="9" t="n">
        <v>657044</v>
      </c>
      <c r="B3776" s="9" t="inlineStr">
        <is>
          <t>Ryan Thompson</t>
        </is>
      </c>
      <c r="C3776" s="9" t="inlineStr">
        <is>
          <t>ARI</t>
        </is>
      </c>
      <c r="D3776" s="9" t="n">
        <v>35</v>
      </c>
      <c r="E3776" s="18" t="inlineStr">
        <is>
          <t>R</t>
        </is>
      </c>
      <c r="F3776" s="18" t="n"/>
      <c r="G3776" s="9" t="n">
        <v>186</v>
      </c>
      <c r="H3776" s="9" t="n">
        <v>935</v>
      </c>
      <c r="I3776" s="9" t="inlineStr">
        <is>
          <t>Bullpen Depth Arm</t>
        </is>
      </c>
      <c r="J3776" s="18" t="inlineStr">
        <is>
          <t>Opening Day</t>
        </is>
      </c>
      <c r="K3776" s="11">
        <f>IFERROR(INDEX(Roles!$B$17:$B$20,MATCH(J3776,Roles!$A$17:$A$20,0)),1)</f>
        <v/>
      </c>
      <c r="L3776" s="19" t="n">
        <v>1</v>
      </c>
      <c r="M3776" s="11" t="n">
        <v>1</v>
      </c>
      <c r="N3776" s="19" t="n"/>
      <c r="O3776" s="19" t="n"/>
      <c r="P3776" s="19" t="n"/>
      <c r="Q3776" s="19" t="n"/>
      <c r="R3776" s="19" t="n"/>
      <c r="S3776" s="19" t="n"/>
      <c r="T3776" s="19" t="n"/>
      <c r="U3776" s="19" t="n"/>
      <c r="V3776" s="19" t="n">
        <v>0.15</v>
      </c>
      <c r="W3776" s="19" t="n">
        <v>0.85</v>
      </c>
      <c r="X3776" s="19" t="n"/>
      <c r="Y3776" s="19" t="n"/>
      <c r="Z3776" s="13">
        <f>SUMPRODUCT(N3776:Y3776,$N$2:$Y$2)*$K3776*$L3776*$M3776</f>
        <v/>
      </c>
      <c r="AA3776" s="14">
        <f>SUM(N3776:Y3776)</f>
        <v/>
      </c>
      <c r="AB3776" s="13">
        <f>SUMPRODUCT(N3776:Y3776,$N$3:$Y$3)*$K3776*$L3776*$M3776</f>
        <v/>
      </c>
      <c r="AC3776" s="13">
        <f>SUMPRODUCT(N3776:Y3776,$N$4:$Y$4)*$K3776*$L3776*$M3776</f>
        <v/>
      </c>
      <c r="AD3776" s="15" t="n">
        <v>35.76666666666667</v>
      </c>
      <c r="AE3776" s="11" t="n">
        <v>1.101617876811675</v>
      </c>
      <c r="AF3776" s="16">
        <f>SUMPRODUCT(N3776:Y3776,$N$5:$Y$5)*$K3776*$L3776*$M3776</f>
        <v/>
      </c>
      <c r="AG3776" s="16">
        <f>SUMPRODUCT(N3776:Y3776,$N$6:$Y$6)*$K3776*$L3776*$M3776</f>
        <v/>
      </c>
      <c r="AH3776" s="20" t="n"/>
    </row>
    <row r="3777">
      <c r="A3777" s="9" t="n">
        <v>824604</v>
      </c>
      <c r="B3777" s="9" t="inlineStr">
        <is>
          <t>Liam Doyle</t>
        </is>
      </c>
      <c r="C3777" s="9" t="inlineStr">
        <is>
          <t>STL</t>
        </is>
      </c>
      <c r="D3777" s="9" t="n">
        <v>23</v>
      </c>
      <c r="E3777" s="18" t="inlineStr">
        <is>
          <t>L</t>
        </is>
      </c>
      <c r="F3777" s="18" t="n"/>
      <c r="G3777" s="9" t="n">
        <v>155.015</v>
      </c>
      <c r="H3777" s="9" t="n">
        <v>155.015</v>
      </c>
      <c r="I3777" s="9" t="inlineStr">
        <is>
          <t>Innings-Limited Starter</t>
        </is>
      </c>
      <c r="J3777" s="18" t="inlineStr">
        <is>
          <t>Mid Season (~July)</t>
        </is>
      </c>
      <c r="K3777" s="11">
        <f>IFERROR(INDEX(Roles!$B$17:$B$20,MATCH(J3777,Roles!$A$17:$A$20,0)),1)</f>
        <v/>
      </c>
      <c r="L3777" s="19" t="n">
        <v>1</v>
      </c>
      <c r="M3777" s="11" t="n">
        <v>1</v>
      </c>
      <c r="N3777" s="19" t="n"/>
      <c r="O3777" s="19" t="n"/>
      <c r="P3777" s="19" t="n"/>
      <c r="Q3777" s="19" t="n">
        <v>0.46</v>
      </c>
      <c r="R3777" s="19" t="n">
        <v>0.3</v>
      </c>
      <c r="S3777" s="19" t="n"/>
      <c r="T3777" s="19" t="n"/>
      <c r="U3777" s="19" t="n"/>
      <c r="V3777" s="19" t="n"/>
      <c r="W3777" s="19" t="n">
        <v>0.24</v>
      </c>
      <c r="X3777" s="19" t="n"/>
      <c r="Y3777" s="19" t="n"/>
      <c r="Z3777" s="13">
        <f>SUMPRODUCT(N3777:Y3777,$N$2:$Y$2)*$K3777*$L3777*$M3777</f>
        <v/>
      </c>
      <c r="AA3777" s="14">
        <f>SUM(N3777:Y3777)</f>
        <v/>
      </c>
      <c r="AB3777" s="13">
        <f>SUMPRODUCT(N3777:Y3777,$N$3:$Y$3)*$K3777*$L3777*$M3777</f>
        <v/>
      </c>
      <c r="AC3777" s="13">
        <f>SUMPRODUCT(N3777:Y3777,$N$4:$Y$4)*$K3777*$L3777*$M3777</f>
        <v/>
      </c>
      <c r="AD3777" s="15" t="n">
        <v>27.52</v>
      </c>
      <c r="AE3777" s="11" t="n">
        <v>3.223110465116278</v>
      </c>
      <c r="AF3777" s="16">
        <f>SUMPRODUCT(N3777:Y3777,$N$5:$Y$5)*$K3777*$L3777*$M3777</f>
        <v/>
      </c>
      <c r="AG3777" s="16">
        <f>SUMPRODUCT(N3777:Y3777,$N$6:$Y$6)*$K3777*$L3777*$M3777</f>
        <v/>
      </c>
      <c r="AH3777" s="20" t="n"/>
    </row>
    <row r="3778">
      <c r="A3778" s="9" t="n">
        <v>571466</v>
      </c>
      <c r="B3778" s="9" t="inlineStr">
        <is>
          <t>Tucker Barnhart</t>
        </is>
      </c>
      <c r="C3778" s="9" t="inlineStr">
        <is>
          <t>TEX</t>
        </is>
      </c>
      <c r="D3778" s="9" t="n">
        <v>36</v>
      </c>
      <c r="E3778" s="18" t="inlineStr">
        <is>
          <t>R</t>
        </is>
      </c>
      <c r="F3778" s="18" t="n"/>
      <c r="G3778" s="9" t="n">
        <v>11</v>
      </c>
      <c r="H3778" s="9" t="n">
        <v>42</v>
      </c>
      <c r="I3778" s="9" t="inlineStr">
        <is>
          <t>Depth (no MLB IP)</t>
        </is>
      </c>
      <c r="J3778" s="18" t="inlineStr">
        <is>
          <t>Opening Day</t>
        </is>
      </c>
      <c r="K3778" s="11">
        <f>IFERROR(INDEX(Roles!$B$17:$B$20,MATCH(J3778,Roles!$A$17:$A$20,0)),1)</f>
        <v/>
      </c>
      <c r="L3778" s="19" t="n">
        <v>1</v>
      </c>
      <c r="M3778" s="11" t="n">
        <v>1</v>
      </c>
      <c r="N3778" s="19" t="n"/>
      <c r="O3778" s="19" t="n"/>
      <c r="P3778" s="19" t="n"/>
      <c r="Q3778" s="19" t="n"/>
      <c r="R3778" s="19" t="n"/>
      <c r="S3778" s="19" t="n"/>
      <c r="T3778" s="19" t="n"/>
      <c r="U3778" s="19" t="n"/>
      <c r="V3778" s="19" t="n"/>
      <c r="W3778" s="19" t="n"/>
      <c r="X3778" s="19" t="n"/>
      <c r="Y3778" s="19" t="n">
        <v>1</v>
      </c>
      <c r="Z3778" s="13">
        <f>SUMPRODUCT(N3778:Y3778,$N$2:$Y$2)*$K3778*$L3778*$M3778</f>
        <v/>
      </c>
      <c r="AA3778" s="14">
        <f>SUM(N3778:Y3778)</f>
        <v/>
      </c>
      <c r="AB3778" s="13">
        <f>SUMPRODUCT(N3778:Y3778,$N$3:$Y$3)*$K3778*$L3778*$M3778</f>
        <v/>
      </c>
      <c r="AC3778" s="13">
        <f>SUMPRODUCT(N3778:Y3778,$N$4:$Y$4)*$K3778*$L3778*$M3778</f>
        <v/>
      </c>
      <c r="AD3778" s="15" t="n">
        <v>1.8</v>
      </c>
      <c r="AE3778" s="11" t="n">
        <v>1.229753086419753</v>
      </c>
      <c r="AF3778" s="16">
        <f>SUMPRODUCT(N3778:Y3778,$N$5:$Y$5)*$K3778*$L3778*$M3778</f>
        <v/>
      </c>
      <c r="AG3778" s="16">
        <f>SUMPRODUCT(N3778:Y3778,$N$6:$Y$6)*$K3778*$L3778*$M3778</f>
        <v/>
      </c>
      <c r="AH3778" s="20" t="n"/>
    </row>
    <row r="3779">
      <c r="A3779" s="9" t="n">
        <v>691765</v>
      </c>
      <c r="B3779" s="9" t="inlineStr">
        <is>
          <t>Jackson Baumeister</t>
        </is>
      </c>
      <c r="C3779" s="9" t="inlineStr">
        <is>
          <t>TB</t>
        </is>
      </c>
      <c r="D3779" s="9" t="n">
        <v>25</v>
      </c>
      <c r="E3779" s="18" t="inlineStr">
        <is>
          <t>R</t>
        </is>
      </c>
      <c r="F3779" s="18" t="n"/>
      <c r="G3779" s="9" t="n">
        <v>155.5166666666667</v>
      </c>
      <c r="H3779" s="9" t="n">
        <v>155.5166666666667</v>
      </c>
      <c r="I3779" s="9" t="inlineStr">
        <is>
          <t>Depth (no MLB IP)</t>
        </is>
      </c>
      <c r="J3779" s="18" t="inlineStr">
        <is>
          <t>Opening Day</t>
        </is>
      </c>
      <c r="K3779" s="11">
        <f>IFERROR(INDEX(Roles!$B$17:$B$20,MATCH(J3779,Roles!$A$17:$A$20,0)),1)</f>
        <v/>
      </c>
      <c r="L3779" s="19" t="n">
        <v>1</v>
      </c>
      <c r="M3779" s="11" t="n">
        <v>1</v>
      </c>
      <c r="N3779" s="19" t="n"/>
      <c r="O3779" s="19" t="n"/>
      <c r="P3779" s="19" t="n"/>
      <c r="Q3779" s="19" t="n"/>
      <c r="R3779" s="19" t="n"/>
      <c r="S3779" s="19" t="n"/>
      <c r="T3779" s="19" t="n"/>
      <c r="U3779" s="19" t="n"/>
      <c r="V3779" s="19" t="n"/>
      <c r="W3779" s="19" t="n"/>
      <c r="X3779" s="19" t="n"/>
      <c r="Y3779" s="19" t="n">
        <v>1</v>
      </c>
      <c r="Z3779" s="13">
        <f>SUMPRODUCT(N3779:Y3779,$N$2:$Y$2)*$K3779*$L3779*$M3779</f>
        <v/>
      </c>
      <c r="AA3779" s="14">
        <f>SUM(N3779:Y3779)</f>
        <v/>
      </c>
      <c r="AB3779" s="13">
        <f>SUMPRODUCT(N3779:Y3779,$N$3:$Y$3)*$K3779*$L3779*$M3779</f>
        <v/>
      </c>
      <c r="AC3779" s="13">
        <f>SUMPRODUCT(N3779:Y3779,$N$4:$Y$4)*$K3779*$L3779*$M3779</f>
        <v/>
      </c>
      <c r="AD3779" s="15" t="n">
        <v>3</v>
      </c>
      <c r="AE3779" s="11" t="n">
        <v>1.011296296296296</v>
      </c>
      <c r="AF3779" s="16">
        <f>SUMPRODUCT(N3779:Y3779,$N$5:$Y$5)*$K3779*$L3779*$M3779</f>
        <v/>
      </c>
      <c r="AG3779" s="16">
        <f>SUMPRODUCT(N3779:Y3779,$N$6:$Y$6)*$K3779*$L3779*$M3779</f>
        <v/>
      </c>
      <c r="AH3779" s="20" t="n"/>
    </row>
    <row r="3780">
      <c r="A3780" s="9" t="n">
        <v>685319</v>
      </c>
      <c r="B3780" s="9" t="inlineStr">
        <is>
          <t>Braydon Tucker</t>
        </is>
      </c>
      <c r="C3780" s="9" t="inlineStr">
        <is>
          <t>PHI</t>
        </is>
      </c>
      <c r="D3780" s="9" t="n">
        <v>25</v>
      </c>
      <c r="E3780" s="18" t="inlineStr">
        <is>
          <t>R</t>
        </is>
      </c>
      <c r="F3780" s="18" t="n"/>
      <c r="G3780" s="9" t="n">
        <v>155.5166666666667</v>
      </c>
      <c r="H3780" s="9" t="n">
        <v>155.5166666666667</v>
      </c>
      <c r="I3780" s="9" t="inlineStr">
        <is>
          <t>Depth (no MLB IP)</t>
        </is>
      </c>
      <c r="J3780" s="18" t="inlineStr">
        <is>
          <t>Opening Day</t>
        </is>
      </c>
      <c r="K3780" s="11">
        <f>IFERROR(INDEX(Roles!$B$17:$B$20,MATCH(J3780,Roles!$A$17:$A$20,0)),1)</f>
        <v/>
      </c>
      <c r="L3780" s="19" t="n">
        <v>1</v>
      </c>
      <c r="M3780" s="11" t="n">
        <v>1</v>
      </c>
      <c r="N3780" s="19" t="n"/>
      <c r="O3780" s="19" t="n"/>
      <c r="P3780" s="19" t="n"/>
      <c r="Q3780" s="19" t="n"/>
      <c r="R3780" s="19" t="n"/>
      <c r="S3780" s="19" t="n"/>
      <c r="T3780" s="19" t="n"/>
      <c r="U3780" s="19" t="n"/>
      <c r="V3780" s="19" t="n"/>
      <c r="W3780" s="19" t="n"/>
      <c r="X3780" s="19" t="n"/>
      <c r="Y3780" s="19" t="n">
        <v>1</v>
      </c>
      <c r="Z3780" s="13">
        <f>SUMPRODUCT(N3780:Y3780,$N$2:$Y$2)*$K3780*$L3780*$M3780</f>
        <v/>
      </c>
      <c r="AA3780" s="14">
        <f>SUM(N3780:Y3780)</f>
        <v/>
      </c>
      <c r="AB3780" s="13">
        <f>SUMPRODUCT(N3780:Y3780,$N$3:$Y$3)*$K3780*$L3780*$M3780</f>
        <v/>
      </c>
      <c r="AC3780" s="13">
        <f>SUMPRODUCT(N3780:Y3780,$N$4:$Y$4)*$K3780*$L3780*$M3780</f>
        <v/>
      </c>
      <c r="AD3780" s="15" t="n">
        <v>3</v>
      </c>
      <c r="AE3780" s="11" t="n">
        <v>1.011296296296296</v>
      </c>
      <c r="AF3780" s="16">
        <f>SUMPRODUCT(N3780:Y3780,$N$5:$Y$5)*$K3780*$L3780*$M3780</f>
        <v/>
      </c>
      <c r="AG3780" s="16">
        <f>SUMPRODUCT(N3780:Y3780,$N$6:$Y$6)*$K3780*$L3780*$M3780</f>
        <v/>
      </c>
      <c r="AH3780" s="20" t="n"/>
    </row>
    <row r="3781">
      <c r="A3781" s="9" t="n">
        <v>664954</v>
      </c>
      <c r="B3781" s="9" t="inlineStr">
        <is>
          <t>Brett Sullivan</t>
        </is>
      </c>
      <c r="C3781" s="9" t="inlineStr">
        <is>
          <t>COL</t>
        </is>
      </c>
      <c r="D3781" s="9" t="n">
        <v>33</v>
      </c>
      <c r="E3781" s="18" t="inlineStr">
        <is>
          <t>R</t>
        </is>
      </c>
      <c r="F3781" s="18" t="n"/>
      <c r="G3781" s="9" t="n">
        <v>34</v>
      </c>
      <c r="H3781" s="9" t="n">
        <v>34</v>
      </c>
      <c r="I3781" s="9" t="inlineStr">
        <is>
          <t>Bullpen Depth Arm</t>
        </is>
      </c>
      <c r="J3781" s="18" t="inlineStr">
        <is>
          <t>Opening Day</t>
        </is>
      </c>
      <c r="K3781" s="11">
        <f>IFERROR(INDEX(Roles!$B$17:$B$20,MATCH(J3781,Roles!$A$17:$A$20,0)),1)</f>
        <v/>
      </c>
      <c r="L3781" s="19" t="n">
        <v>1</v>
      </c>
      <c r="M3781" s="11" t="n">
        <v>1</v>
      </c>
      <c r="N3781" s="19" t="n"/>
      <c r="O3781" s="19" t="n"/>
      <c r="P3781" s="19" t="n"/>
      <c r="Q3781" s="19" t="n"/>
      <c r="R3781" s="19" t="n"/>
      <c r="S3781" s="19" t="n"/>
      <c r="T3781" s="19" t="n"/>
      <c r="U3781" s="19" t="n"/>
      <c r="V3781" s="19" t="n"/>
      <c r="W3781" s="19" t="n">
        <v>1</v>
      </c>
      <c r="X3781" s="19" t="n"/>
      <c r="Y3781" s="19" t="n"/>
      <c r="Z3781" s="13">
        <f>SUMPRODUCT(N3781:Y3781,$N$2:$Y$2)*$K3781*$L3781*$M3781</f>
        <v/>
      </c>
      <c r="AA3781" s="14">
        <f>SUM(N3781:Y3781)</f>
        <v/>
      </c>
      <c r="AB3781" s="13">
        <f>SUMPRODUCT(N3781:Y3781,$N$3:$Y$3)*$K3781*$L3781*$M3781</f>
        <v/>
      </c>
      <c r="AC3781" s="13">
        <f>SUMPRODUCT(N3781:Y3781,$N$4:$Y$4)*$K3781*$L3781*$M3781</f>
        <v/>
      </c>
      <c r="AD3781" s="15" t="n">
        <v>9.866666666666664</v>
      </c>
      <c r="AE3781" s="11" t="n">
        <v>1.166586499919833</v>
      </c>
      <c r="AF3781" s="16">
        <f>SUMPRODUCT(N3781:Y3781,$N$5:$Y$5)*$K3781*$L3781*$M3781</f>
        <v/>
      </c>
      <c r="AG3781" s="16">
        <f>SUMPRODUCT(N3781:Y3781,$N$6:$Y$6)*$K3781*$L3781*$M3781</f>
        <v/>
      </c>
      <c r="AH3781" s="20" t="n"/>
    </row>
    <row r="3782">
      <c r="A3782" s="9" t="n">
        <v>701240</v>
      </c>
      <c r="B3782" s="9" t="inlineStr">
        <is>
          <t>Ethan Routzahn</t>
        </is>
      </c>
      <c r="C3782" s="9" t="inlineStr">
        <is>
          <t>SD</t>
        </is>
      </c>
      <c r="D3782" s="9" t="n">
        <v>25</v>
      </c>
      <c r="E3782" s="18" t="inlineStr">
        <is>
          <t>R</t>
        </is>
      </c>
      <c r="F3782" s="18" t="n"/>
      <c r="G3782" s="9" t="n">
        <v>156.09</v>
      </c>
      <c r="H3782" s="9" t="n">
        <v>156.09</v>
      </c>
      <c r="I3782" s="9" t="inlineStr">
        <is>
          <t>Depth (no MLB IP)</t>
        </is>
      </c>
      <c r="J3782" s="18" t="inlineStr">
        <is>
          <t>Opening Day</t>
        </is>
      </c>
      <c r="K3782" s="11">
        <f>IFERROR(INDEX(Roles!$B$17:$B$20,MATCH(J3782,Roles!$A$17:$A$20,0)),1)</f>
        <v/>
      </c>
      <c r="L3782" s="19" t="n">
        <v>1</v>
      </c>
      <c r="M3782" s="11" t="n">
        <v>1</v>
      </c>
      <c r="N3782" s="19" t="n"/>
      <c r="O3782" s="19" t="n"/>
      <c r="P3782" s="19" t="n"/>
      <c r="Q3782" s="19" t="n"/>
      <c r="R3782" s="19" t="n"/>
      <c r="S3782" s="19" t="n"/>
      <c r="T3782" s="19" t="n"/>
      <c r="U3782" s="19" t="n"/>
      <c r="V3782" s="19" t="n"/>
      <c r="W3782" s="19" t="n"/>
      <c r="X3782" s="19" t="n"/>
      <c r="Y3782" s="19" t="n">
        <v>1</v>
      </c>
      <c r="Z3782" s="13">
        <f>SUMPRODUCT(N3782:Y3782,$N$2:$Y$2)*$K3782*$L3782*$M3782</f>
        <v/>
      </c>
      <c r="AA3782" s="14">
        <f>SUM(N3782:Y3782)</f>
        <v/>
      </c>
      <c r="AB3782" s="13">
        <f>SUMPRODUCT(N3782:Y3782,$N$3:$Y$3)*$K3782*$L3782*$M3782</f>
        <v/>
      </c>
      <c r="AC3782" s="13">
        <f>SUMPRODUCT(N3782:Y3782,$N$4:$Y$4)*$K3782*$L3782*$M3782</f>
        <v/>
      </c>
      <c r="AD3782" s="15" t="n">
        <v>3</v>
      </c>
      <c r="AE3782" s="11" t="n">
        <v>1.011296296296296</v>
      </c>
      <c r="AF3782" s="16">
        <f>SUMPRODUCT(N3782:Y3782,$N$5:$Y$5)*$K3782*$L3782*$M3782</f>
        <v/>
      </c>
      <c r="AG3782" s="16">
        <f>SUMPRODUCT(N3782:Y3782,$N$6:$Y$6)*$K3782*$L3782*$M3782</f>
        <v/>
      </c>
      <c r="AH3782" s="20" t="n"/>
    </row>
    <row r="3783">
      <c r="A3783" s="9" t="n">
        <v>663366</v>
      </c>
      <c r="B3783" s="9" t="inlineStr">
        <is>
          <t>Beau Burrows</t>
        </is>
      </c>
      <c r="C3783" s="9" t="inlineStr">
        <is>
          <t>PIT</t>
        </is>
      </c>
      <c r="D3783" s="9" t="n">
        <v>25</v>
      </c>
      <c r="E3783" s="18" t="inlineStr">
        <is>
          <t>R</t>
        </is>
      </c>
      <c r="F3783" s="18" t="n"/>
      <c r="G3783" s="9" t="n">
        <v>156.09</v>
      </c>
      <c r="H3783" s="9" t="n">
        <v>156.09</v>
      </c>
      <c r="I3783" s="9" t="inlineStr">
        <is>
          <t>Depth (no MLB IP)</t>
        </is>
      </c>
      <c r="J3783" s="18" t="inlineStr">
        <is>
          <t>Opening Day</t>
        </is>
      </c>
      <c r="K3783" s="11">
        <f>IFERROR(INDEX(Roles!$B$17:$B$20,MATCH(J3783,Roles!$A$17:$A$20,0)),1)</f>
        <v/>
      </c>
      <c r="L3783" s="19" t="n">
        <v>1</v>
      </c>
      <c r="M3783" s="11" t="n">
        <v>1</v>
      </c>
      <c r="N3783" s="19" t="n"/>
      <c r="O3783" s="19" t="n"/>
      <c r="P3783" s="19" t="n"/>
      <c r="Q3783" s="19" t="n"/>
      <c r="R3783" s="19" t="n"/>
      <c r="S3783" s="19" t="n"/>
      <c r="T3783" s="19" t="n"/>
      <c r="U3783" s="19" t="n"/>
      <c r="V3783" s="19" t="n"/>
      <c r="W3783" s="19" t="n"/>
      <c r="X3783" s="19" t="n"/>
      <c r="Y3783" s="19" t="n">
        <v>1</v>
      </c>
      <c r="Z3783" s="13">
        <f>SUMPRODUCT(N3783:Y3783,$N$2:$Y$2)*$K3783*$L3783*$M3783</f>
        <v/>
      </c>
      <c r="AA3783" s="14">
        <f>SUM(N3783:Y3783)</f>
        <v/>
      </c>
      <c r="AB3783" s="13">
        <f>SUMPRODUCT(N3783:Y3783,$N$3:$Y$3)*$K3783*$L3783*$M3783</f>
        <v/>
      </c>
      <c r="AC3783" s="13">
        <f>SUMPRODUCT(N3783:Y3783,$N$4:$Y$4)*$K3783*$L3783*$M3783</f>
        <v/>
      </c>
      <c r="AD3783" s="15" t="n">
        <v>3</v>
      </c>
      <c r="AE3783" s="11" t="n">
        <v>1.011296296296296</v>
      </c>
      <c r="AF3783" s="16">
        <f>SUMPRODUCT(N3783:Y3783,$N$5:$Y$5)*$K3783*$L3783*$M3783</f>
        <v/>
      </c>
      <c r="AG3783" s="16">
        <f>SUMPRODUCT(N3783:Y3783,$N$6:$Y$6)*$K3783*$L3783*$M3783</f>
        <v/>
      </c>
      <c r="AH3783" s="20" t="n"/>
    </row>
    <row r="3784">
      <c r="A3784" s="9" t="n">
        <v>664353</v>
      </c>
      <c r="B3784" s="9" t="inlineStr">
        <is>
          <t>José Urquidy</t>
        </is>
      </c>
      <c r="C3784" s="9" t="inlineStr">
        <is>
          <t>PHI</t>
        </is>
      </c>
      <c r="D3784" s="9" t="n">
        <v>32</v>
      </c>
      <c r="E3784" s="18" t="inlineStr">
        <is>
          <t>R</t>
        </is>
      </c>
      <c r="F3784" s="18" t="n"/>
      <c r="G3784" s="9" t="n">
        <v>164</v>
      </c>
      <c r="H3784" s="9" t="n">
        <v>1134</v>
      </c>
      <c r="I3784" s="9" t="inlineStr">
        <is>
          <t>Bullpen Depth Arm</t>
        </is>
      </c>
      <c r="J3784" s="18" t="inlineStr">
        <is>
          <t>Opening Day</t>
        </is>
      </c>
      <c r="K3784" s="11">
        <f>IFERROR(INDEX(Roles!$B$17:$B$20,MATCH(J3784,Roles!$A$17:$A$20,0)),1)</f>
        <v/>
      </c>
      <c r="L3784" s="19" t="n">
        <v>1</v>
      </c>
      <c r="M3784" s="11" t="n">
        <v>1</v>
      </c>
      <c r="N3784" s="19" t="n"/>
      <c r="O3784" s="19" t="n"/>
      <c r="P3784" s="19" t="n"/>
      <c r="Q3784" s="19" t="n"/>
      <c r="R3784" s="19" t="n"/>
      <c r="S3784" s="19" t="n"/>
      <c r="T3784" s="19" t="n"/>
      <c r="U3784" s="19" t="n"/>
      <c r="V3784" s="19" t="n"/>
      <c r="W3784" s="19" t="n">
        <v>1</v>
      </c>
      <c r="X3784" s="19" t="n"/>
      <c r="Y3784" s="19" t="n"/>
      <c r="Z3784" s="13">
        <f>SUMPRODUCT(N3784:Y3784,$N$2:$Y$2)*$K3784*$L3784*$M3784</f>
        <v/>
      </c>
      <c r="AA3784" s="14">
        <f>SUM(N3784:Y3784)</f>
        <v/>
      </c>
      <c r="AB3784" s="13">
        <f>SUMPRODUCT(N3784:Y3784,$N$3:$Y$3)*$K3784*$L3784*$M3784</f>
        <v/>
      </c>
      <c r="AC3784" s="13">
        <f>SUMPRODUCT(N3784:Y3784,$N$4:$Y$4)*$K3784*$L3784*$M3784</f>
        <v/>
      </c>
      <c r="AD3784" s="15" t="n">
        <v>10.82666666666666</v>
      </c>
      <c r="AE3784" s="11" t="n">
        <v>1.682644085744861</v>
      </c>
      <c r="AF3784" s="16">
        <f>SUMPRODUCT(N3784:Y3784,$N$5:$Y$5)*$K3784*$L3784*$M3784</f>
        <v/>
      </c>
      <c r="AG3784" s="16">
        <f>SUMPRODUCT(N3784:Y3784,$N$6:$Y$6)*$K3784*$L3784*$M3784</f>
        <v/>
      </c>
      <c r="AH3784" s="20" t="n"/>
    </row>
    <row r="3785">
      <c r="A3785" s="9" t="n">
        <v>668933</v>
      </c>
      <c r="B3785" s="9" t="inlineStr">
        <is>
          <t>Graham Ashcraft</t>
        </is>
      </c>
      <c r="C3785" s="9" t="inlineStr">
        <is>
          <t>CIN</t>
        </is>
      </c>
      <c r="D3785" s="9" t="n">
        <v>29</v>
      </c>
      <c r="E3785" s="18" t="inlineStr">
        <is>
          <t>R</t>
        </is>
      </c>
      <c r="F3785" s="18" t="n"/>
      <c r="G3785" s="9" t="n">
        <v>151</v>
      </c>
      <c r="H3785" s="9" t="n">
        <v>1873</v>
      </c>
      <c r="I3785" s="9" t="inlineStr">
        <is>
          <t>Late Inning RP (Setup)</t>
        </is>
      </c>
      <c r="J3785" s="18" t="inlineStr">
        <is>
          <t>Opening Day</t>
        </is>
      </c>
      <c r="K3785" s="11">
        <f>IFERROR(INDEX(Roles!$B$17:$B$20,MATCH(J3785,Roles!$A$17:$A$20,0)),1)</f>
        <v/>
      </c>
      <c r="L3785" s="19" t="n">
        <v>1</v>
      </c>
      <c r="M3785" s="11" t="n">
        <v>1</v>
      </c>
      <c r="N3785" s="19" t="n"/>
      <c r="O3785" s="19" t="n"/>
      <c r="P3785" s="19" t="n"/>
      <c r="Q3785" s="19" t="n"/>
      <c r="R3785" s="19" t="n"/>
      <c r="S3785" s="19" t="n"/>
      <c r="T3785" s="19" t="n"/>
      <c r="U3785" s="19" t="n">
        <v>0.85</v>
      </c>
      <c r="V3785" s="19" t="n">
        <v>0.15</v>
      </c>
      <c r="W3785" s="19" t="n"/>
      <c r="X3785" s="19" t="n"/>
      <c r="Y3785" s="19" t="n"/>
      <c r="Z3785" s="13">
        <f>SUMPRODUCT(N3785:Y3785,$N$2:$Y$2)*$K3785*$L3785*$M3785</f>
        <v/>
      </c>
      <c r="AA3785" s="14">
        <f>SUM(N3785:Y3785)</f>
        <v/>
      </c>
      <c r="AB3785" s="13">
        <f>SUMPRODUCT(N3785:Y3785,$N$3:$Y$3)*$K3785*$L3785*$M3785</f>
        <v/>
      </c>
      <c r="AC3785" s="13">
        <f>SUMPRODUCT(N3785:Y3785,$N$4:$Y$4)*$K3785*$L3785*$M3785</f>
        <v/>
      </c>
      <c r="AD3785" s="15" t="n">
        <v>43.6</v>
      </c>
      <c r="AE3785" s="11" t="n">
        <v>1.088683970856102</v>
      </c>
      <c r="AF3785" s="16">
        <f>SUMPRODUCT(N3785:Y3785,$N$5:$Y$5)*$K3785*$L3785*$M3785</f>
        <v/>
      </c>
      <c r="AG3785" s="16">
        <f>SUMPRODUCT(N3785:Y3785,$N$6:$Y$6)*$K3785*$L3785*$M3785</f>
        <v/>
      </c>
      <c r="AH3785" s="20" t="n"/>
    </row>
    <row r="3786">
      <c r="A3786" s="9" t="n">
        <v>517008</v>
      </c>
      <c r="B3786" s="9" t="inlineStr">
        <is>
          <t>Alex Colomé</t>
        </is>
      </c>
      <c r="C3786" s="9" t="inlineStr">
        <is>
          <t>COL</t>
        </is>
      </c>
      <c r="D3786" s="9" t="n">
        <v>38</v>
      </c>
      <c r="E3786" s="18" t="inlineStr">
        <is>
          <t>R</t>
        </is>
      </c>
      <c r="F3786" s="18" t="n"/>
      <c r="G3786" s="9" t="n">
        <v>15</v>
      </c>
      <c r="H3786" s="9" t="n">
        <v>230</v>
      </c>
      <c r="I3786" s="9" t="inlineStr">
        <is>
          <t>Depth (no MLB IP)</t>
        </is>
      </c>
      <c r="J3786" s="18" t="inlineStr">
        <is>
          <t>Opening Day</t>
        </is>
      </c>
      <c r="K3786" s="11">
        <f>IFERROR(INDEX(Roles!$B$17:$B$20,MATCH(J3786,Roles!$A$17:$A$20,0)),1)</f>
        <v/>
      </c>
      <c r="L3786" s="19" t="n">
        <v>1</v>
      </c>
      <c r="M3786" s="11" t="n">
        <v>1</v>
      </c>
      <c r="N3786" s="19" t="n"/>
      <c r="O3786" s="19" t="n"/>
      <c r="P3786" s="19" t="n"/>
      <c r="Q3786" s="19" t="n"/>
      <c r="R3786" s="19" t="n"/>
      <c r="S3786" s="19" t="n"/>
      <c r="T3786" s="19" t="n"/>
      <c r="U3786" s="19" t="n"/>
      <c r="V3786" s="19" t="n"/>
      <c r="W3786" s="19" t="n"/>
      <c r="X3786" s="19" t="n"/>
      <c r="Y3786" s="19" t="n">
        <v>1</v>
      </c>
      <c r="Z3786" s="13">
        <f>SUMPRODUCT(N3786:Y3786,$N$2:$Y$2)*$K3786*$L3786*$M3786</f>
        <v/>
      </c>
      <c r="AA3786" s="14">
        <f>SUM(N3786:Y3786)</f>
        <v/>
      </c>
      <c r="AB3786" s="13">
        <f>SUMPRODUCT(N3786:Y3786,$N$3:$Y$3)*$K3786*$L3786*$M3786</f>
        <v/>
      </c>
      <c r="AC3786" s="13">
        <f>SUMPRODUCT(N3786:Y3786,$N$4:$Y$4)*$K3786*$L3786*$M3786</f>
        <v/>
      </c>
      <c r="AD3786" s="15" t="n">
        <v>3</v>
      </c>
      <c r="AE3786" s="11" t="n">
        <v>1.011296296296296</v>
      </c>
      <c r="AF3786" s="16">
        <f>SUMPRODUCT(N3786:Y3786,$N$5:$Y$5)*$K3786*$L3786*$M3786</f>
        <v/>
      </c>
      <c r="AG3786" s="16">
        <f>SUMPRODUCT(N3786:Y3786,$N$6:$Y$6)*$K3786*$L3786*$M3786</f>
        <v/>
      </c>
      <c r="AH3786" s="20" t="n"/>
    </row>
    <row r="3787">
      <c r="A3787" s="9" t="n">
        <v>621076</v>
      </c>
      <c r="B3787" s="9" t="inlineStr">
        <is>
          <t>James Kaprielian</t>
        </is>
      </c>
      <c r="C3787" s="9" t="inlineStr">
        <is>
          <t>OAK</t>
        </is>
      </c>
      <c r="D3787" s="9" t="n">
        <v>33</v>
      </c>
      <c r="E3787" s="18" t="inlineStr">
        <is>
          <t>R</t>
        </is>
      </c>
      <c r="F3787" s="18" t="n"/>
      <c r="G3787" s="9" t="n">
        <v>280</v>
      </c>
      <c r="H3787" s="9" t="n">
        <v>857</v>
      </c>
      <c r="I3787" s="9" t="inlineStr">
        <is>
          <t>Depth (no MLB IP)</t>
        </is>
      </c>
      <c r="J3787" s="18" t="inlineStr">
        <is>
          <t>Opening Day</t>
        </is>
      </c>
      <c r="K3787" s="11">
        <f>IFERROR(INDEX(Roles!$B$17:$B$20,MATCH(J3787,Roles!$A$17:$A$20,0)),1)</f>
        <v/>
      </c>
      <c r="L3787" s="19" t="n">
        <v>1</v>
      </c>
      <c r="M3787" s="11" t="n">
        <v>1</v>
      </c>
      <c r="N3787" s="19" t="n"/>
      <c r="O3787" s="19" t="n"/>
      <c r="P3787" s="19" t="n"/>
      <c r="Q3787" s="19" t="n"/>
      <c r="R3787" s="19" t="n"/>
      <c r="S3787" s="19" t="n"/>
      <c r="T3787" s="19" t="n"/>
      <c r="U3787" s="19" t="n"/>
      <c r="V3787" s="19" t="n"/>
      <c r="W3787" s="19" t="n"/>
      <c r="X3787" s="19" t="n"/>
      <c r="Y3787" s="19" t="n">
        <v>1</v>
      </c>
      <c r="Z3787" s="13">
        <f>SUMPRODUCT(N3787:Y3787,$N$2:$Y$2)*$K3787*$L3787*$M3787</f>
        <v/>
      </c>
      <c r="AA3787" s="14">
        <f>SUM(N3787:Y3787)</f>
        <v/>
      </c>
      <c r="AB3787" s="13">
        <f>SUMPRODUCT(N3787:Y3787,$N$3:$Y$3)*$K3787*$L3787*$M3787</f>
        <v/>
      </c>
      <c r="AC3787" s="13">
        <f>SUMPRODUCT(N3787:Y3787,$N$4:$Y$4)*$K3787*$L3787*$M3787</f>
        <v/>
      </c>
      <c r="AD3787" s="15" t="n">
        <v>3</v>
      </c>
      <c r="AE3787" s="11" t="n">
        <v>1.011296296296296</v>
      </c>
      <c r="AF3787" s="16">
        <f>SUMPRODUCT(N3787:Y3787,$N$5:$Y$5)*$K3787*$L3787*$M3787</f>
        <v/>
      </c>
      <c r="AG3787" s="16">
        <f>SUMPRODUCT(N3787:Y3787,$N$6:$Y$6)*$K3787*$L3787*$M3787</f>
        <v/>
      </c>
      <c r="AH3787" s="20" t="n"/>
    </row>
    <row r="3788">
      <c r="A3788" s="9" t="n">
        <v>680897</v>
      </c>
      <c r="B3788" s="9" t="inlineStr">
        <is>
          <t>Nick Nastrini</t>
        </is>
      </c>
      <c r="C3788" s="9" t="inlineStr">
        <is>
          <t>CWS</t>
        </is>
      </c>
      <c r="D3788" s="9" t="n">
        <v>27</v>
      </c>
      <c r="E3788" s="18" t="inlineStr">
        <is>
          <t>R</t>
        </is>
      </c>
      <c r="F3788" s="18" t="n"/>
      <c r="G3788" s="9" t="n">
        <v>174</v>
      </c>
      <c r="H3788" s="9" t="n">
        <v>174</v>
      </c>
      <c r="I3788" s="9" t="inlineStr">
        <is>
          <t>Depth (no MLB IP)</t>
        </is>
      </c>
      <c r="J3788" s="18" t="inlineStr">
        <is>
          <t>Opening Day</t>
        </is>
      </c>
      <c r="K3788" s="11">
        <f>IFERROR(INDEX(Roles!$B$17:$B$20,MATCH(J3788,Roles!$A$17:$A$20,0)),1)</f>
        <v/>
      </c>
      <c r="L3788" s="19" t="n">
        <v>1</v>
      </c>
      <c r="M3788" s="11" t="n">
        <v>1</v>
      </c>
      <c r="N3788" s="19" t="n"/>
      <c r="O3788" s="19" t="n"/>
      <c r="P3788" s="19" t="n"/>
      <c r="Q3788" s="19" t="n"/>
      <c r="R3788" s="19" t="n"/>
      <c r="S3788" s="19" t="n"/>
      <c r="T3788" s="19" t="n"/>
      <c r="U3788" s="19" t="n"/>
      <c r="V3788" s="19" t="n"/>
      <c r="W3788" s="19" t="n"/>
      <c r="X3788" s="19" t="n"/>
      <c r="Y3788" s="19" t="n">
        <v>1</v>
      </c>
      <c r="Z3788" s="13">
        <f>SUMPRODUCT(N3788:Y3788,$N$2:$Y$2)*$K3788*$L3788*$M3788</f>
        <v/>
      </c>
      <c r="AA3788" s="14">
        <f>SUM(N3788:Y3788)</f>
        <v/>
      </c>
      <c r="AB3788" s="13">
        <f>SUMPRODUCT(N3788:Y3788,$N$3:$Y$3)*$K3788*$L3788*$M3788</f>
        <v/>
      </c>
      <c r="AC3788" s="13">
        <f>SUMPRODUCT(N3788:Y3788,$N$4:$Y$4)*$K3788*$L3788*$M3788</f>
        <v/>
      </c>
      <c r="AD3788" s="15" t="n">
        <v>6.6</v>
      </c>
      <c r="AE3788" s="11" t="n">
        <v>1.995185185185185</v>
      </c>
      <c r="AF3788" s="16">
        <f>SUMPRODUCT(N3788:Y3788,$N$5:$Y$5)*$K3788*$L3788*$M3788</f>
        <v/>
      </c>
      <c r="AG3788" s="16">
        <f>SUMPRODUCT(N3788:Y3788,$N$6:$Y$6)*$K3788*$L3788*$M3788</f>
        <v/>
      </c>
      <c r="AH3788" s="20" t="n"/>
    </row>
    <row r="3789">
      <c r="A3789" s="9" t="n">
        <v>669294</v>
      </c>
      <c r="B3789" s="9" t="inlineStr">
        <is>
          <t>Paul Campbell</t>
        </is>
      </c>
      <c r="C3789" s="9" t="inlineStr">
        <is>
          <t>CHC</t>
        </is>
      </c>
      <c r="D3789" s="9" t="n">
        <v>25</v>
      </c>
      <c r="E3789" s="18" t="inlineStr">
        <is>
          <t>R</t>
        </is>
      </c>
      <c r="F3789" s="18" t="n"/>
      <c r="G3789" s="9" t="n">
        <v>156.8783333333333</v>
      </c>
      <c r="H3789" s="9" t="n">
        <v>156.8783333333333</v>
      </c>
      <c r="I3789" s="9" t="inlineStr">
        <is>
          <t>Depth (no MLB IP)</t>
        </is>
      </c>
      <c r="J3789" s="18" t="inlineStr">
        <is>
          <t>Opening Day</t>
        </is>
      </c>
      <c r="K3789" s="11">
        <f>IFERROR(INDEX(Roles!$B$17:$B$20,MATCH(J3789,Roles!$A$17:$A$20,0)),1)</f>
        <v/>
      </c>
      <c r="L3789" s="19" t="n">
        <v>1</v>
      </c>
      <c r="M3789" s="11" t="n">
        <v>1</v>
      </c>
      <c r="N3789" s="19" t="n"/>
      <c r="O3789" s="19" t="n"/>
      <c r="P3789" s="19" t="n"/>
      <c r="Q3789" s="19" t="n"/>
      <c r="R3789" s="19" t="n"/>
      <c r="S3789" s="19" t="n"/>
      <c r="T3789" s="19" t="n"/>
      <c r="U3789" s="19" t="n"/>
      <c r="V3789" s="19" t="n"/>
      <c r="W3789" s="19" t="n"/>
      <c r="X3789" s="19" t="n"/>
      <c r="Y3789" s="19" t="n">
        <v>1</v>
      </c>
      <c r="Z3789" s="13">
        <f>SUMPRODUCT(N3789:Y3789,$N$2:$Y$2)*$K3789*$L3789*$M3789</f>
        <v/>
      </c>
      <c r="AA3789" s="14">
        <f>SUM(N3789:Y3789)</f>
        <v/>
      </c>
      <c r="AB3789" s="13">
        <f>SUMPRODUCT(N3789:Y3789,$N$3:$Y$3)*$K3789*$L3789*$M3789</f>
        <v/>
      </c>
      <c r="AC3789" s="13">
        <f>SUMPRODUCT(N3789:Y3789,$N$4:$Y$4)*$K3789*$L3789*$M3789</f>
        <v/>
      </c>
      <c r="AD3789" s="15" t="n">
        <v>3</v>
      </c>
      <c r="AE3789" s="11" t="n">
        <v>1.011296296296296</v>
      </c>
      <c r="AF3789" s="16">
        <f>SUMPRODUCT(N3789:Y3789,$N$5:$Y$5)*$K3789*$L3789*$M3789</f>
        <v/>
      </c>
      <c r="AG3789" s="16">
        <f>SUMPRODUCT(N3789:Y3789,$N$6:$Y$6)*$K3789*$L3789*$M3789</f>
        <v/>
      </c>
      <c r="AH3789" s="20" t="n"/>
    </row>
    <row r="3790">
      <c r="A3790" s="9" t="n">
        <v>672841</v>
      </c>
      <c r="B3790" s="9" t="inlineStr">
        <is>
          <t>Carlos Vargas</t>
        </is>
      </c>
      <c r="C3790" s="9" t="inlineStr">
        <is>
          <t>SEA</t>
        </is>
      </c>
      <c r="D3790" s="9" t="n">
        <v>27</v>
      </c>
      <c r="E3790" s="18" t="inlineStr">
        <is>
          <t>R</t>
        </is>
      </c>
      <c r="F3790" s="18" t="n"/>
      <c r="G3790" s="9" t="n">
        <v>81</v>
      </c>
      <c r="H3790" s="9" t="n">
        <v>434</v>
      </c>
      <c r="I3790" s="9" t="inlineStr">
        <is>
          <t>Middle Relief</t>
        </is>
      </c>
      <c r="J3790" s="18" t="inlineStr">
        <is>
          <t>Opening Day</t>
        </is>
      </c>
      <c r="K3790" s="11">
        <f>IFERROR(INDEX(Roles!$B$17:$B$20,MATCH(J3790,Roles!$A$17:$A$20,0)),1)</f>
        <v/>
      </c>
      <c r="L3790" s="19" t="n">
        <v>1</v>
      </c>
      <c r="M3790" s="11" t="n">
        <v>1</v>
      </c>
      <c r="N3790" s="19" t="n"/>
      <c r="O3790" s="19" t="n"/>
      <c r="P3790" s="19" t="n"/>
      <c r="Q3790" s="19" t="n"/>
      <c r="R3790" s="19" t="n"/>
      <c r="S3790" s="19" t="n"/>
      <c r="T3790" s="19" t="n"/>
      <c r="U3790" s="19" t="n"/>
      <c r="V3790" s="19" t="n">
        <v>0.85</v>
      </c>
      <c r="W3790" s="19" t="n">
        <v>0.15</v>
      </c>
      <c r="X3790" s="19" t="n"/>
      <c r="Y3790" s="19" t="n"/>
      <c r="Z3790" s="13">
        <f>SUMPRODUCT(N3790:Y3790,$N$2:$Y$2)*$K3790*$L3790*$M3790</f>
        <v/>
      </c>
      <c r="AA3790" s="14">
        <f>SUM(N3790:Y3790)</f>
        <v/>
      </c>
      <c r="AB3790" s="13">
        <f>SUMPRODUCT(N3790:Y3790,$N$3:$Y$3)*$K3790*$L3790*$M3790</f>
        <v/>
      </c>
      <c r="AC3790" s="13">
        <f>SUMPRODUCT(N3790:Y3790,$N$4:$Y$4)*$K3790*$L3790*$M3790</f>
        <v/>
      </c>
      <c r="AD3790" s="15" t="n">
        <v>37.29333333333334</v>
      </c>
      <c r="AE3790" s="11" t="n">
        <v>1.063257239952719</v>
      </c>
      <c r="AF3790" s="16">
        <f>SUMPRODUCT(N3790:Y3790,$N$5:$Y$5)*$K3790*$L3790*$M3790</f>
        <v/>
      </c>
      <c r="AG3790" s="16">
        <f>SUMPRODUCT(N3790:Y3790,$N$6:$Y$6)*$K3790*$L3790*$M3790</f>
        <v/>
      </c>
      <c r="AH3790" s="20" t="n"/>
    </row>
    <row r="3791">
      <c r="A3791" s="9" t="n">
        <v>605452</v>
      </c>
      <c r="B3791" s="9" t="inlineStr">
        <is>
          <t>Joe Ross</t>
        </is>
      </c>
      <c r="C3791" s="9" t="inlineStr">
        <is>
          <t>TEX</t>
        </is>
      </c>
      <c r="D3791" s="9" t="n">
        <v>34</v>
      </c>
      <c r="E3791" s="18" t="inlineStr">
        <is>
          <t>R</t>
        </is>
      </c>
      <c r="F3791" s="18" t="n"/>
      <c r="G3791" s="9" t="n">
        <v>57</v>
      </c>
      <c r="H3791" s="9" t="n">
        <v>606</v>
      </c>
      <c r="I3791" s="9" t="inlineStr">
        <is>
          <t>Bullpen Depth Arm</t>
        </is>
      </c>
      <c r="J3791" s="18" t="inlineStr">
        <is>
          <t>Opening Day</t>
        </is>
      </c>
      <c r="K3791" s="11">
        <f>IFERROR(INDEX(Roles!$B$17:$B$20,MATCH(J3791,Roles!$A$17:$A$20,0)),1)</f>
        <v/>
      </c>
      <c r="L3791" s="19" t="n">
        <v>1</v>
      </c>
      <c r="M3791" s="11" t="n">
        <v>1</v>
      </c>
      <c r="N3791" s="19" t="n"/>
      <c r="O3791" s="19" t="n"/>
      <c r="P3791" s="19" t="n"/>
      <c r="Q3791" s="19" t="n"/>
      <c r="R3791" s="19" t="n"/>
      <c r="S3791" s="19" t="n"/>
      <c r="T3791" s="19" t="n"/>
      <c r="U3791" s="19" t="n"/>
      <c r="V3791" s="19" t="n"/>
      <c r="W3791" s="19" t="n">
        <v>1</v>
      </c>
      <c r="X3791" s="19" t="n"/>
      <c r="Y3791" s="19" t="n"/>
      <c r="Z3791" s="13">
        <f>SUMPRODUCT(N3791:Y3791,$N$2:$Y$2)*$K3791*$L3791*$M3791</f>
        <v/>
      </c>
      <c r="AA3791" s="14">
        <f>SUM(N3791:Y3791)</f>
        <v/>
      </c>
      <c r="AB3791" s="13">
        <f>SUMPRODUCT(N3791:Y3791,$N$3:$Y$3)*$K3791*$L3791*$M3791</f>
        <v/>
      </c>
      <c r="AC3791" s="13">
        <f>SUMPRODUCT(N3791:Y3791,$N$4:$Y$4)*$K3791*$L3791*$M3791</f>
        <v/>
      </c>
      <c r="AD3791" s="15" t="n">
        <v>17.96666666666667</v>
      </c>
      <c r="AE3791" s="11" t="n">
        <v>1.37332285299765</v>
      </c>
      <c r="AF3791" s="16">
        <f>SUMPRODUCT(N3791:Y3791,$N$5:$Y$5)*$K3791*$L3791*$M3791</f>
        <v/>
      </c>
      <c r="AG3791" s="16">
        <f>SUMPRODUCT(N3791:Y3791,$N$6:$Y$6)*$K3791*$L3791*$M3791</f>
        <v/>
      </c>
      <c r="AH3791" s="20" t="n"/>
    </row>
    <row r="3792">
      <c r="A3792" s="9" t="n">
        <v>686470</v>
      </c>
      <c r="B3792" s="9" t="inlineStr">
        <is>
          <t>Ryan Hawks</t>
        </is>
      </c>
      <c r="C3792" s="9" t="inlineStr">
        <is>
          <t>SEA</t>
        </is>
      </c>
      <c r="D3792" s="9" t="n">
        <v>25</v>
      </c>
      <c r="E3792" s="18" t="inlineStr">
        <is>
          <t>R</t>
        </is>
      </c>
      <c r="F3792" s="18" t="n"/>
      <c r="G3792" s="9" t="n">
        <v>157.5233333333333</v>
      </c>
      <c r="H3792" s="9" t="n">
        <v>157.5233333333333</v>
      </c>
      <c r="I3792" s="9" t="inlineStr">
        <is>
          <t>Depth (no MLB IP)</t>
        </is>
      </c>
      <c r="J3792" s="18" t="inlineStr">
        <is>
          <t>Opening Day</t>
        </is>
      </c>
      <c r="K3792" s="11">
        <f>IFERROR(INDEX(Roles!$B$17:$B$20,MATCH(J3792,Roles!$A$17:$A$20,0)),1)</f>
        <v/>
      </c>
      <c r="L3792" s="19" t="n">
        <v>1</v>
      </c>
      <c r="M3792" s="11" t="n">
        <v>1</v>
      </c>
      <c r="N3792" s="19" t="n"/>
      <c r="O3792" s="19" t="n"/>
      <c r="P3792" s="19" t="n"/>
      <c r="Q3792" s="19" t="n"/>
      <c r="R3792" s="19" t="n"/>
      <c r="S3792" s="19" t="n"/>
      <c r="T3792" s="19" t="n"/>
      <c r="U3792" s="19" t="n"/>
      <c r="V3792" s="19" t="n"/>
      <c r="W3792" s="19" t="n"/>
      <c r="X3792" s="19" t="n"/>
      <c r="Y3792" s="19" t="n">
        <v>1</v>
      </c>
      <c r="Z3792" s="13">
        <f>SUMPRODUCT(N3792:Y3792,$N$2:$Y$2)*$K3792*$L3792*$M3792</f>
        <v/>
      </c>
      <c r="AA3792" s="14">
        <f>SUM(N3792:Y3792)</f>
        <v/>
      </c>
      <c r="AB3792" s="13">
        <f>SUMPRODUCT(N3792:Y3792,$N$3:$Y$3)*$K3792*$L3792*$M3792</f>
        <v/>
      </c>
      <c r="AC3792" s="13">
        <f>SUMPRODUCT(N3792:Y3792,$N$4:$Y$4)*$K3792*$L3792*$M3792</f>
        <v/>
      </c>
      <c r="AD3792" s="15" t="n">
        <v>3</v>
      </c>
      <c r="AE3792" s="11" t="n">
        <v>1.011296296296296</v>
      </c>
      <c r="AF3792" s="16">
        <f>SUMPRODUCT(N3792:Y3792,$N$5:$Y$5)*$K3792*$L3792*$M3792</f>
        <v/>
      </c>
      <c r="AG3792" s="16">
        <f>SUMPRODUCT(N3792:Y3792,$N$6:$Y$6)*$K3792*$L3792*$M3792</f>
        <v/>
      </c>
      <c r="AH3792" s="20" t="n"/>
    </row>
    <row r="3793">
      <c r="A3793" s="9" t="n">
        <v>680397</v>
      </c>
      <c r="B3793" s="9" t="inlineStr">
        <is>
          <t>Sam Benschoter</t>
        </is>
      </c>
      <c r="C3793" s="9" t="inlineStr">
        <is>
          <t>CIN</t>
        </is>
      </c>
      <c r="D3793" s="9" t="n">
        <v>25</v>
      </c>
      <c r="E3793" s="18" t="inlineStr">
        <is>
          <t>R</t>
        </is>
      </c>
      <c r="F3793" s="18" t="n"/>
      <c r="G3793" s="9" t="n">
        <v>157.6666666666667</v>
      </c>
      <c r="H3793" s="9" t="n">
        <v>157.6666666666667</v>
      </c>
      <c r="I3793" s="9" t="inlineStr">
        <is>
          <t>Depth (no MLB IP)</t>
        </is>
      </c>
      <c r="J3793" s="18" t="inlineStr">
        <is>
          <t>Opening Day</t>
        </is>
      </c>
      <c r="K3793" s="11">
        <f>IFERROR(INDEX(Roles!$B$17:$B$20,MATCH(J3793,Roles!$A$17:$A$20,0)),1)</f>
        <v/>
      </c>
      <c r="L3793" s="19" t="n">
        <v>1</v>
      </c>
      <c r="M3793" s="11" t="n">
        <v>1</v>
      </c>
      <c r="N3793" s="19" t="n"/>
      <c r="O3793" s="19" t="n"/>
      <c r="P3793" s="19" t="n"/>
      <c r="Q3793" s="19" t="n"/>
      <c r="R3793" s="19" t="n"/>
      <c r="S3793" s="19" t="n"/>
      <c r="T3793" s="19" t="n"/>
      <c r="U3793" s="19" t="n"/>
      <c r="V3793" s="19" t="n"/>
      <c r="W3793" s="19" t="n"/>
      <c r="X3793" s="19" t="n"/>
      <c r="Y3793" s="19" t="n">
        <v>1</v>
      </c>
      <c r="Z3793" s="13">
        <f>SUMPRODUCT(N3793:Y3793,$N$2:$Y$2)*$K3793*$L3793*$M3793</f>
        <v/>
      </c>
      <c r="AA3793" s="14">
        <f>SUM(N3793:Y3793)</f>
        <v/>
      </c>
      <c r="AB3793" s="13">
        <f>SUMPRODUCT(N3793:Y3793,$N$3:$Y$3)*$K3793*$L3793*$M3793</f>
        <v/>
      </c>
      <c r="AC3793" s="13">
        <f>SUMPRODUCT(N3793:Y3793,$N$4:$Y$4)*$K3793*$L3793*$M3793</f>
        <v/>
      </c>
      <c r="AD3793" s="15" t="n">
        <v>3</v>
      </c>
      <c r="AE3793" s="11" t="n">
        <v>1.011296296296296</v>
      </c>
      <c r="AF3793" s="16">
        <f>SUMPRODUCT(N3793:Y3793,$N$5:$Y$5)*$K3793*$L3793*$M3793</f>
        <v/>
      </c>
      <c r="AG3793" s="16">
        <f>SUMPRODUCT(N3793:Y3793,$N$6:$Y$6)*$K3793*$L3793*$M3793</f>
        <v/>
      </c>
      <c r="AH3793" s="20" t="n"/>
    </row>
    <row r="3794">
      <c r="A3794" s="9" t="n">
        <v>666745</v>
      </c>
      <c r="B3794" s="9" t="inlineStr">
        <is>
          <t>Jhony Brito</t>
        </is>
      </c>
      <c r="C3794" s="9" t="inlineStr">
        <is>
          <t>SD</t>
        </is>
      </c>
      <c r="D3794" s="9" t="n">
        <v>29</v>
      </c>
      <c r="E3794" s="18" t="inlineStr">
        <is>
          <t>R</t>
        </is>
      </c>
      <c r="F3794" s="18" t="n"/>
      <c r="G3794" s="9" t="n">
        <v>35</v>
      </c>
      <c r="H3794" s="9" t="n">
        <v>592</v>
      </c>
      <c r="I3794" s="9" t="inlineStr">
        <is>
          <t>Bullpen Depth Arm</t>
        </is>
      </c>
      <c r="J3794" s="18" t="inlineStr">
        <is>
          <t>Opening Day</t>
        </is>
      </c>
      <c r="K3794" s="11">
        <f>IFERROR(INDEX(Roles!$B$17:$B$20,MATCH(J3794,Roles!$A$17:$A$20,0)),1)</f>
        <v/>
      </c>
      <c r="L3794" s="19" t="n">
        <v>1</v>
      </c>
      <c r="M3794" s="11" t="n">
        <v>1</v>
      </c>
      <c r="N3794" s="19" t="n"/>
      <c r="O3794" s="19" t="n"/>
      <c r="P3794" s="19" t="n"/>
      <c r="Q3794" s="19" t="n"/>
      <c r="R3794" s="19" t="n"/>
      <c r="S3794" s="19" t="n"/>
      <c r="T3794" s="19" t="n"/>
      <c r="U3794" s="19" t="n"/>
      <c r="V3794" s="19" t="n"/>
      <c r="W3794" s="19" t="n">
        <v>1</v>
      </c>
      <c r="X3794" s="19" t="n"/>
      <c r="Y3794" s="19" t="n"/>
      <c r="Z3794" s="13">
        <f>SUMPRODUCT(N3794:Y3794,$N$2:$Y$2)*$K3794*$L3794*$M3794</f>
        <v/>
      </c>
      <c r="AA3794" s="14">
        <f>SUM(N3794:Y3794)</f>
        <v/>
      </c>
      <c r="AB3794" s="13">
        <f>SUMPRODUCT(N3794:Y3794,$N$3:$Y$3)*$K3794*$L3794*$M3794</f>
        <v/>
      </c>
      <c r="AC3794" s="13">
        <f>SUMPRODUCT(N3794:Y3794,$N$4:$Y$4)*$K3794*$L3794*$M3794</f>
        <v/>
      </c>
      <c r="AD3794" s="15" t="n">
        <v>11.81666666666667</v>
      </c>
      <c r="AE3794" s="11" t="n">
        <v>1.376032880097921</v>
      </c>
      <c r="AF3794" s="16">
        <f>SUMPRODUCT(N3794:Y3794,$N$5:$Y$5)*$K3794*$L3794*$M3794</f>
        <v/>
      </c>
      <c r="AG3794" s="16">
        <f>SUMPRODUCT(N3794:Y3794,$N$6:$Y$6)*$K3794*$L3794*$M3794</f>
        <v/>
      </c>
      <c r="AH3794" s="20" t="n"/>
    </row>
    <row r="3795">
      <c r="A3795" s="9" t="n">
        <v>671162</v>
      </c>
      <c r="B3795" s="9" t="inlineStr">
        <is>
          <t>Connor Thomas</t>
        </is>
      </c>
      <c r="C3795" s="9" t="inlineStr">
        <is>
          <t>KC</t>
        </is>
      </c>
      <c r="D3795" s="9" t="n">
        <v>29</v>
      </c>
      <c r="E3795" s="18" t="inlineStr">
        <is>
          <t>L</t>
        </is>
      </c>
      <c r="F3795" s="18" t="n"/>
      <c r="G3795" s="9" t="n">
        <v>118</v>
      </c>
      <c r="H3795" s="9" t="n">
        <v>149</v>
      </c>
      <c r="I3795" s="9" t="inlineStr">
        <is>
          <t>Swing Arm / Long Relief</t>
        </is>
      </c>
      <c r="J3795" s="18" t="inlineStr">
        <is>
          <t>Opening Day</t>
        </is>
      </c>
      <c r="K3795" s="11">
        <f>IFERROR(INDEX(Roles!$B$17:$B$20,MATCH(J3795,Roles!$A$17:$A$20,0)),1)</f>
        <v/>
      </c>
      <c r="L3795" s="19" t="n">
        <v>1</v>
      </c>
      <c r="M3795" s="11" t="n">
        <v>1</v>
      </c>
      <c r="N3795" s="19" t="n"/>
      <c r="O3795" s="19" t="n"/>
      <c r="P3795" s="19" t="n"/>
      <c r="Q3795" s="19" t="n"/>
      <c r="R3795" s="19" t="n">
        <v>0.6</v>
      </c>
      <c r="S3795" s="19" t="n"/>
      <c r="T3795" s="19" t="n"/>
      <c r="U3795" s="19" t="n"/>
      <c r="V3795" s="19" t="n">
        <v>0.4</v>
      </c>
      <c r="W3795" s="19" t="n"/>
      <c r="X3795" s="19" t="n"/>
      <c r="Y3795" s="19" t="n"/>
      <c r="Z3795" s="13">
        <f>SUMPRODUCT(N3795:Y3795,$N$2:$Y$2)*$K3795*$L3795*$M3795</f>
        <v/>
      </c>
      <c r="AA3795" s="14">
        <f>SUM(N3795:Y3795)</f>
        <v/>
      </c>
      <c r="AB3795" s="13">
        <f>SUMPRODUCT(N3795:Y3795,$N$3:$Y$3)*$K3795*$L3795*$M3795</f>
        <v/>
      </c>
      <c r="AC3795" s="13">
        <f>SUMPRODUCT(N3795:Y3795,$N$4:$Y$4)*$K3795*$L3795*$M3795</f>
        <v/>
      </c>
      <c r="AD3795" s="15" t="n">
        <v>15.45333333333333</v>
      </c>
      <c r="AE3795" s="11" t="n">
        <v>2.147540983606558</v>
      </c>
      <c r="AF3795" s="16">
        <f>SUMPRODUCT(N3795:Y3795,$N$5:$Y$5)*$K3795*$L3795*$M3795</f>
        <v/>
      </c>
      <c r="AG3795" s="16">
        <f>SUMPRODUCT(N3795:Y3795,$N$6:$Y$6)*$K3795*$L3795*$M3795</f>
        <v/>
      </c>
      <c r="AH3795" s="20" t="n"/>
    </row>
    <row r="3796">
      <c r="A3796" s="9" t="n">
        <v>802609</v>
      </c>
      <c r="B3796" s="9" t="inlineStr">
        <is>
          <t>John Michael Bertrand</t>
        </is>
      </c>
      <c r="C3796" s="9" t="inlineStr">
        <is>
          <t>SF</t>
        </is>
      </c>
      <c r="D3796" s="9" t="n">
        <v>25</v>
      </c>
      <c r="E3796" s="18" t="inlineStr">
        <is>
          <t>L</t>
        </is>
      </c>
      <c r="F3796" s="18" t="n"/>
      <c r="G3796" s="9" t="n">
        <v>158.455</v>
      </c>
      <c r="H3796" s="9" t="n">
        <v>158.455</v>
      </c>
      <c r="I3796" s="9" t="inlineStr">
        <is>
          <t>Depth (no MLB IP)</t>
        </is>
      </c>
      <c r="J3796" s="18" t="inlineStr">
        <is>
          <t>Opening Day</t>
        </is>
      </c>
      <c r="K3796" s="11">
        <f>IFERROR(INDEX(Roles!$B$17:$B$20,MATCH(J3796,Roles!$A$17:$A$20,0)),1)</f>
        <v/>
      </c>
      <c r="L3796" s="19" t="n">
        <v>1</v>
      </c>
      <c r="M3796" s="11" t="n">
        <v>1</v>
      </c>
      <c r="N3796" s="19" t="n"/>
      <c r="O3796" s="19" t="n"/>
      <c r="P3796" s="19" t="n"/>
      <c r="Q3796" s="19" t="n"/>
      <c r="R3796" s="19" t="n"/>
      <c r="S3796" s="19" t="n"/>
      <c r="T3796" s="19" t="n"/>
      <c r="U3796" s="19" t="n"/>
      <c r="V3796" s="19" t="n"/>
      <c r="W3796" s="19" t="n"/>
      <c r="X3796" s="19" t="n"/>
      <c r="Y3796" s="19" t="n">
        <v>1</v>
      </c>
      <c r="Z3796" s="13">
        <f>SUMPRODUCT(N3796:Y3796,$N$2:$Y$2)*$K3796*$L3796*$M3796</f>
        <v/>
      </c>
      <c r="AA3796" s="14">
        <f>SUM(N3796:Y3796)</f>
        <v/>
      </c>
      <c r="AB3796" s="13">
        <f>SUMPRODUCT(N3796:Y3796,$N$3:$Y$3)*$K3796*$L3796*$M3796</f>
        <v/>
      </c>
      <c r="AC3796" s="13">
        <f>SUMPRODUCT(N3796:Y3796,$N$4:$Y$4)*$K3796*$L3796*$M3796</f>
        <v/>
      </c>
      <c r="AD3796" s="15" t="n">
        <v>3</v>
      </c>
      <c r="AE3796" s="11" t="n">
        <v>1.011296296296296</v>
      </c>
      <c r="AF3796" s="16">
        <f>SUMPRODUCT(N3796:Y3796,$N$5:$Y$5)*$K3796*$L3796*$M3796</f>
        <v/>
      </c>
      <c r="AG3796" s="16">
        <f>SUMPRODUCT(N3796:Y3796,$N$6:$Y$6)*$K3796*$L3796*$M3796</f>
        <v/>
      </c>
      <c r="AH3796" s="20" t="n"/>
    </row>
    <row r="3797">
      <c r="A3797" s="9" t="n">
        <v>702373</v>
      </c>
      <c r="B3797" s="9" t="inlineStr">
        <is>
          <t>Felix Arronde</t>
        </is>
      </c>
      <c r="C3797" s="9" t="inlineStr">
        <is>
          <t>KC</t>
        </is>
      </c>
      <c r="D3797" s="9" t="n">
        <v>25</v>
      </c>
      <c r="E3797" s="18" t="inlineStr">
        <is>
          <t>R</t>
        </is>
      </c>
      <c r="F3797" s="18" t="n"/>
      <c r="G3797" s="9" t="n">
        <v>158.5266666666666</v>
      </c>
      <c r="H3797" s="9" t="n">
        <v>158.5266666666666</v>
      </c>
      <c r="I3797" s="9" t="inlineStr">
        <is>
          <t>Depth (no MLB IP)</t>
        </is>
      </c>
      <c r="J3797" s="18" t="inlineStr">
        <is>
          <t>Opening Day</t>
        </is>
      </c>
      <c r="K3797" s="11">
        <f>IFERROR(INDEX(Roles!$B$17:$B$20,MATCH(J3797,Roles!$A$17:$A$20,0)),1)</f>
        <v/>
      </c>
      <c r="L3797" s="19" t="n">
        <v>1</v>
      </c>
      <c r="M3797" s="11" t="n">
        <v>1</v>
      </c>
      <c r="N3797" s="19" t="n"/>
      <c r="O3797" s="19" t="n"/>
      <c r="P3797" s="19" t="n"/>
      <c r="Q3797" s="19" t="n"/>
      <c r="R3797" s="19" t="n"/>
      <c r="S3797" s="19" t="n"/>
      <c r="T3797" s="19" t="n"/>
      <c r="U3797" s="19" t="n"/>
      <c r="V3797" s="19" t="n"/>
      <c r="W3797" s="19" t="n"/>
      <c r="X3797" s="19" t="n"/>
      <c r="Y3797" s="19" t="n">
        <v>1</v>
      </c>
      <c r="Z3797" s="13">
        <f>SUMPRODUCT(N3797:Y3797,$N$2:$Y$2)*$K3797*$L3797*$M3797</f>
        <v/>
      </c>
      <c r="AA3797" s="14">
        <f>SUM(N3797:Y3797)</f>
        <v/>
      </c>
      <c r="AB3797" s="13">
        <f>SUMPRODUCT(N3797:Y3797,$N$3:$Y$3)*$K3797*$L3797*$M3797</f>
        <v/>
      </c>
      <c r="AC3797" s="13">
        <f>SUMPRODUCT(N3797:Y3797,$N$4:$Y$4)*$K3797*$L3797*$M3797</f>
        <v/>
      </c>
      <c r="AD3797" s="15" t="n">
        <v>3</v>
      </c>
      <c r="AE3797" s="11" t="n">
        <v>1.011296296296296</v>
      </c>
      <c r="AF3797" s="16">
        <f>SUMPRODUCT(N3797:Y3797,$N$5:$Y$5)*$K3797*$L3797*$M3797</f>
        <v/>
      </c>
      <c r="AG3797" s="16">
        <f>SUMPRODUCT(N3797:Y3797,$N$6:$Y$6)*$K3797*$L3797*$M3797</f>
        <v/>
      </c>
      <c r="AH3797" s="20" t="n"/>
    </row>
    <row r="3798">
      <c r="A3798" s="9" t="n">
        <v>669912</v>
      </c>
      <c r="B3798" s="9" t="inlineStr">
        <is>
          <t>Kirby Snead</t>
        </is>
      </c>
      <c r="C3798" s="9" t="inlineStr">
        <is>
          <t>SEA</t>
        </is>
      </c>
      <c r="D3798" s="9" t="n">
        <v>32</v>
      </c>
      <c r="E3798" s="18" t="inlineStr">
        <is>
          <t>L</t>
        </is>
      </c>
      <c r="F3798" s="18" t="n"/>
      <c r="G3798" s="9" t="n">
        <v>48</v>
      </c>
      <c r="H3798" s="9" t="n">
        <v>314</v>
      </c>
      <c r="I3798" s="9" t="inlineStr">
        <is>
          <t>Depth (no MLB IP)</t>
        </is>
      </c>
      <c r="J3798" s="18" t="inlineStr">
        <is>
          <t>Opening Day</t>
        </is>
      </c>
      <c r="K3798" s="11">
        <f>IFERROR(INDEX(Roles!$B$17:$B$20,MATCH(J3798,Roles!$A$17:$A$20,0)),1)</f>
        <v/>
      </c>
      <c r="L3798" s="19" t="n">
        <v>1</v>
      </c>
      <c r="M3798" s="11" t="n">
        <v>1</v>
      </c>
      <c r="N3798" s="19" t="n"/>
      <c r="O3798" s="19" t="n"/>
      <c r="P3798" s="19" t="n"/>
      <c r="Q3798" s="19" t="n"/>
      <c r="R3798" s="19" t="n"/>
      <c r="S3798" s="19" t="n"/>
      <c r="T3798" s="19" t="n"/>
      <c r="U3798" s="19" t="n"/>
      <c r="V3798" s="19" t="n"/>
      <c r="W3798" s="19" t="n"/>
      <c r="X3798" s="19" t="n"/>
      <c r="Y3798" s="19" t="n">
        <v>1</v>
      </c>
      <c r="Z3798" s="13">
        <f>SUMPRODUCT(N3798:Y3798,$N$2:$Y$2)*$K3798*$L3798*$M3798</f>
        <v/>
      </c>
      <c r="AA3798" s="14">
        <f>SUM(N3798:Y3798)</f>
        <v/>
      </c>
      <c r="AB3798" s="13">
        <f>SUMPRODUCT(N3798:Y3798,$N$3:$Y$3)*$K3798*$L3798*$M3798</f>
        <v/>
      </c>
      <c r="AC3798" s="13">
        <f>SUMPRODUCT(N3798:Y3798,$N$4:$Y$4)*$K3798*$L3798*$M3798</f>
        <v/>
      </c>
      <c r="AD3798" s="15" t="n">
        <v>7.8</v>
      </c>
      <c r="AE3798" s="11" t="n">
        <v>0.9873288439955104</v>
      </c>
      <c r="AF3798" s="16">
        <f>SUMPRODUCT(N3798:Y3798,$N$5:$Y$5)*$K3798*$L3798*$M3798</f>
        <v/>
      </c>
      <c r="AG3798" s="16">
        <f>SUMPRODUCT(N3798:Y3798,$N$6:$Y$6)*$K3798*$L3798*$M3798</f>
        <v/>
      </c>
      <c r="AH3798" s="20" t="n"/>
    </row>
    <row r="3799">
      <c r="A3799" s="9" t="n">
        <v>669194</v>
      </c>
      <c r="B3799" s="9" t="inlineStr">
        <is>
          <t>Ryne Nelson</t>
        </is>
      </c>
      <c r="C3799" s="9" t="inlineStr">
        <is>
          <t>ARI</t>
        </is>
      </c>
      <c r="D3799" s="9" t="n">
        <v>29</v>
      </c>
      <c r="E3799" s="18" t="inlineStr">
        <is>
          <t>R</t>
        </is>
      </c>
      <c r="F3799" s="18" t="n"/>
      <c r="G3799" s="9" t="n">
        <v>374</v>
      </c>
      <c r="H3799" s="9" t="n">
        <v>2311</v>
      </c>
      <c r="I3799" s="9" t="inlineStr">
        <is>
          <t>Swing Arm / Long Relief</t>
        </is>
      </c>
      <c r="J3799" s="18" t="inlineStr">
        <is>
          <t>Opening Day</t>
        </is>
      </c>
      <c r="K3799" s="11">
        <f>IFERROR(INDEX(Roles!$B$17:$B$20,MATCH(J3799,Roles!$A$17:$A$20,0)),1)</f>
        <v/>
      </c>
      <c r="L3799" s="19" t="n">
        <v>1</v>
      </c>
      <c r="M3799" s="11" t="n">
        <v>1</v>
      </c>
      <c r="N3799" s="19" t="n"/>
      <c r="O3799" s="19" t="n"/>
      <c r="P3799" s="19" t="n"/>
      <c r="Q3799" s="19" t="n"/>
      <c r="R3799" s="19" t="n">
        <v>0.5</v>
      </c>
      <c r="S3799" s="19" t="n"/>
      <c r="T3799" s="19" t="n"/>
      <c r="U3799" s="19" t="n"/>
      <c r="V3799" s="19" t="n">
        <v>0.5</v>
      </c>
      <c r="W3799" s="19" t="n"/>
      <c r="X3799" s="19" t="n"/>
      <c r="Y3799" s="19" t="n"/>
      <c r="Z3799" s="13">
        <f>SUMPRODUCT(N3799:Y3799,$N$2:$Y$2)*$K3799*$L3799*$M3799</f>
        <v/>
      </c>
      <c r="AA3799" s="14">
        <f>SUM(N3799:Y3799)</f>
        <v/>
      </c>
      <c r="AB3799" s="13">
        <f>SUMPRODUCT(N3799:Y3799,$N$3:$Y$3)*$K3799*$L3799*$M3799</f>
        <v/>
      </c>
      <c r="AC3799" s="13">
        <f>SUMPRODUCT(N3799:Y3799,$N$4:$Y$4)*$K3799*$L3799*$M3799</f>
        <v/>
      </c>
      <c r="AD3799" s="15" t="n">
        <v>23.23333333333333</v>
      </c>
      <c r="AE3799" s="11" t="n">
        <v>3.259363804147215</v>
      </c>
      <c r="AF3799" s="16">
        <f>SUMPRODUCT(N3799:Y3799,$N$5:$Y$5)*$K3799*$L3799*$M3799</f>
        <v/>
      </c>
      <c r="AG3799" s="16">
        <f>SUMPRODUCT(N3799:Y3799,$N$6:$Y$6)*$K3799*$L3799*$M3799</f>
        <v/>
      </c>
      <c r="AH3799" s="20" t="n"/>
    </row>
    <row r="3800">
      <c r="A3800" s="9" t="n">
        <v>543510</v>
      </c>
      <c r="B3800" s="9" t="inlineStr">
        <is>
          <t>James McCann</t>
        </is>
      </c>
      <c r="C3800" s="9" t="inlineStr">
        <is>
          <t>ARI</t>
        </is>
      </c>
      <c r="D3800" s="9" t="n">
        <v>37</v>
      </c>
      <c r="E3800" s="18" t="inlineStr">
        <is>
          <t>R</t>
        </is>
      </c>
      <c r="F3800" s="18" t="n"/>
      <c r="G3800" s="9" t="n">
        <v>23</v>
      </c>
      <c r="H3800" s="9" t="n">
        <v>33</v>
      </c>
      <c r="I3800" s="9" t="inlineStr">
        <is>
          <t>Depth (no MLB IP)</t>
        </is>
      </c>
      <c r="J3800" s="18" t="inlineStr">
        <is>
          <t>Opening Day</t>
        </is>
      </c>
      <c r="K3800" s="11">
        <f>IFERROR(INDEX(Roles!$B$17:$B$20,MATCH(J3800,Roles!$A$17:$A$20,0)),1)</f>
        <v/>
      </c>
      <c r="L3800" s="19" t="n">
        <v>1</v>
      </c>
      <c r="M3800" s="11" t="n">
        <v>1</v>
      </c>
      <c r="N3800" s="19" t="n"/>
      <c r="O3800" s="19" t="n"/>
      <c r="P3800" s="19" t="n"/>
      <c r="Q3800" s="19" t="n"/>
      <c r="R3800" s="19" t="n"/>
      <c r="S3800" s="19" t="n"/>
      <c r="T3800" s="19" t="n"/>
      <c r="U3800" s="19" t="n"/>
      <c r="V3800" s="19" t="n"/>
      <c r="W3800" s="19" t="n"/>
      <c r="X3800" s="19" t="n"/>
      <c r="Y3800" s="19" t="n">
        <v>1</v>
      </c>
      <c r="Z3800" s="13">
        <f>SUMPRODUCT(N3800:Y3800,$N$2:$Y$2)*$K3800*$L3800*$M3800</f>
        <v/>
      </c>
      <c r="AA3800" s="14">
        <f>SUM(N3800:Y3800)</f>
        <v/>
      </c>
      <c r="AB3800" s="13">
        <f>SUMPRODUCT(N3800:Y3800,$N$3:$Y$3)*$K3800*$L3800*$M3800</f>
        <v/>
      </c>
      <c r="AC3800" s="13">
        <f>SUMPRODUCT(N3800:Y3800,$N$4:$Y$4)*$K3800*$L3800*$M3800</f>
        <v/>
      </c>
      <c r="AD3800" s="15" t="n">
        <v>3.15</v>
      </c>
      <c r="AE3800" s="11" t="n">
        <v>1.007530864197531</v>
      </c>
      <c r="AF3800" s="16">
        <f>SUMPRODUCT(N3800:Y3800,$N$5:$Y$5)*$K3800*$L3800*$M3800</f>
        <v/>
      </c>
      <c r="AG3800" s="16">
        <f>SUMPRODUCT(N3800:Y3800,$N$6:$Y$6)*$K3800*$L3800*$M3800</f>
        <v/>
      </c>
      <c r="AH3800" s="20" t="n"/>
    </row>
    <row r="3801">
      <c r="A3801" s="9" t="n">
        <v>471911</v>
      </c>
      <c r="B3801" s="9" t="inlineStr">
        <is>
          <t>Carlos Carrasco</t>
        </is>
      </c>
      <c r="C3801" s="9" t="inlineStr">
        <is>
          <t>ATL</t>
        </is>
      </c>
      <c r="D3801" s="9" t="n">
        <v>40</v>
      </c>
      <c r="E3801" s="18" t="inlineStr">
        <is>
          <t>R</t>
        </is>
      </c>
      <c r="F3801" s="18" t="n"/>
      <c r="G3801" s="9" t="n">
        <v>73</v>
      </c>
      <c r="H3801" s="9" t="n">
        <v>1794</v>
      </c>
      <c r="I3801" s="9" t="inlineStr">
        <is>
          <t>End-of-Rotation Starter (SP4-5)</t>
        </is>
      </c>
      <c r="J3801" s="18" t="inlineStr">
        <is>
          <t>Opening Day</t>
        </is>
      </c>
      <c r="K3801" s="11">
        <f>IFERROR(INDEX(Roles!$B$17:$B$20,MATCH(J3801,Roles!$A$17:$A$20,0)),1)</f>
        <v/>
      </c>
      <c r="L3801" s="19" t="n">
        <v>1</v>
      </c>
      <c r="M3801" s="11" t="n">
        <v>1</v>
      </c>
      <c r="N3801" s="19" t="n"/>
      <c r="O3801" s="19" t="n"/>
      <c r="P3801" s="19" t="n">
        <v>1</v>
      </c>
      <c r="Q3801" s="19" t="n"/>
      <c r="R3801" s="19" t="n"/>
      <c r="S3801" s="19" t="n"/>
      <c r="T3801" s="19" t="n"/>
      <c r="U3801" s="19" t="n"/>
      <c r="V3801" s="19" t="n"/>
      <c r="W3801" s="19" t="n"/>
      <c r="X3801" s="19" t="n"/>
      <c r="Y3801" s="19" t="n"/>
      <c r="Z3801" s="13">
        <f>SUMPRODUCT(N3801:Y3801,$N$2:$Y$2)*$K3801*$L3801*$M3801</f>
        <v/>
      </c>
      <c r="AA3801" s="14">
        <f>SUM(N3801:Y3801)</f>
        <v/>
      </c>
      <c r="AB3801" s="13">
        <f>SUMPRODUCT(N3801:Y3801,$N$3:$Y$3)*$K3801*$L3801*$M3801</f>
        <v/>
      </c>
      <c r="AC3801" s="13">
        <f>SUMPRODUCT(N3801:Y3801,$N$4:$Y$4)*$K3801*$L3801*$M3801</f>
        <v/>
      </c>
      <c r="AD3801" s="15" t="n">
        <v>13.1</v>
      </c>
      <c r="AE3801" s="11" t="n">
        <v>4.255942509673853</v>
      </c>
      <c r="AF3801" s="16">
        <f>SUMPRODUCT(N3801:Y3801,$N$5:$Y$5)*$K3801*$L3801*$M3801</f>
        <v/>
      </c>
      <c r="AG3801" s="16">
        <f>SUMPRODUCT(N3801:Y3801,$N$6:$Y$6)*$K3801*$L3801*$M3801</f>
        <v/>
      </c>
      <c r="AH3801" s="20" t="n"/>
    </row>
    <row r="3802">
      <c r="A3802" s="9" t="n">
        <v>825576</v>
      </c>
      <c r="B3802" s="9" t="inlineStr">
        <is>
          <t>Brandt Thompson</t>
        </is>
      </c>
      <c r="C3802" s="9" t="inlineStr">
        <is>
          <t>STL</t>
        </is>
      </c>
      <c r="D3802" s="9" t="n">
        <v>25</v>
      </c>
      <c r="E3802" s="18" t="inlineStr">
        <is>
          <t>R</t>
        </is>
      </c>
      <c r="F3802" s="18" t="n"/>
      <c r="G3802" s="9" t="n">
        <v>160.0316666666667</v>
      </c>
      <c r="H3802" s="9" t="n">
        <v>160.0316666666667</v>
      </c>
      <c r="I3802" s="9" t="inlineStr">
        <is>
          <t>Depth (no MLB IP)</t>
        </is>
      </c>
      <c r="J3802" s="18" t="inlineStr">
        <is>
          <t>Opening Day</t>
        </is>
      </c>
      <c r="K3802" s="11">
        <f>IFERROR(INDEX(Roles!$B$17:$B$20,MATCH(J3802,Roles!$A$17:$A$20,0)),1)</f>
        <v/>
      </c>
      <c r="L3802" s="19" t="n">
        <v>1</v>
      </c>
      <c r="M3802" s="11" t="n">
        <v>1</v>
      </c>
      <c r="N3802" s="19" t="n"/>
      <c r="O3802" s="19" t="n"/>
      <c r="P3802" s="19" t="n"/>
      <c r="Q3802" s="19" t="n"/>
      <c r="R3802" s="19" t="n"/>
      <c r="S3802" s="19" t="n"/>
      <c r="T3802" s="19" t="n"/>
      <c r="U3802" s="19" t="n"/>
      <c r="V3802" s="19" t="n"/>
      <c r="W3802" s="19" t="n"/>
      <c r="X3802" s="19" t="n"/>
      <c r="Y3802" s="19" t="n">
        <v>1</v>
      </c>
      <c r="Z3802" s="13">
        <f>SUMPRODUCT(N3802:Y3802,$N$2:$Y$2)*$K3802*$L3802*$M3802</f>
        <v/>
      </c>
      <c r="AA3802" s="14">
        <f>SUM(N3802:Y3802)</f>
        <v/>
      </c>
      <c r="AB3802" s="13">
        <f>SUMPRODUCT(N3802:Y3802,$N$3:$Y$3)*$K3802*$L3802*$M3802</f>
        <v/>
      </c>
      <c r="AC3802" s="13">
        <f>SUMPRODUCT(N3802:Y3802,$N$4:$Y$4)*$K3802*$L3802*$M3802</f>
        <v/>
      </c>
      <c r="AD3802" s="15" t="n">
        <v>3</v>
      </c>
      <c r="AE3802" s="11" t="n">
        <v>1.011296296296296</v>
      </c>
      <c r="AF3802" s="16">
        <f>SUMPRODUCT(N3802:Y3802,$N$5:$Y$5)*$K3802*$L3802*$M3802</f>
        <v/>
      </c>
      <c r="AG3802" s="16">
        <f>SUMPRODUCT(N3802:Y3802,$N$6:$Y$6)*$K3802*$L3802*$M3802</f>
        <v/>
      </c>
      <c r="AH3802" s="20" t="n"/>
    </row>
    <row r="3803">
      <c r="A3803" s="9" t="n">
        <v>702795</v>
      </c>
      <c r="B3803" s="9" t="inlineStr">
        <is>
          <t>Ryan Loutos</t>
        </is>
      </c>
      <c r="C3803" s="9" t="inlineStr">
        <is>
          <t>WSH</t>
        </is>
      </c>
      <c r="D3803" s="9" t="n">
        <v>28</v>
      </c>
      <c r="E3803" s="18" t="inlineStr">
        <is>
          <t>R</t>
        </is>
      </c>
      <c r="F3803" s="18" t="n"/>
      <c r="G3803" s="9" t="n">
        <v>68</v>
      </c>
      <c r="H3803" s="9" t="n">
        <v>78</v>
      </c>
      <c r="I3803" s="9" t="inlineStr">
        <is>
          <t>Bullpen Depth Arm</t>
        </is>
      </c>
      <c r="J3803" s="18" t="inlineStr">
        <is>
          <t>Opening Day</t>
        </is>
      </c>
      <c r="K3803" s="11">
        <f>IFERROR(INDEX(Roles!$B$17:$B$20,MATCH(J3803,Roles!$A$17:$A$20,0)),1)</f>
        <v/>
      </c>
      <c r="L3803" s="19" t="n">
        <v>1</v>
      </c>
      <c r="M3803" s="11" t="n">
        <v>1</v>
      </c>
      <c r="N3803" s="19" t="n"/>
      <c r="O3803" s="19" t="n"/>
      <c r="P3803" s="19" t="n"/>
      <c r="Q3803" s="19" t="n"/>
      <c r="R3803" s="19" t="n"/>
      <c r="S3803" s="19" t="n"/>
      <c r="T3803" s="19" t="n"/>
      <c r="U3803" s="19" t="n"/>
      <c r="V3803" s="19" t="n"/>
      <c r="W3803" s="19" t="n">
        <v>1</v>
      </c>
      <c r="X3803" s="19" t="n"/>
      <c r="Y3803" s="19" t="n"/>
      <c r="Z3803" s="13">
        <f>SUMPRODUCT(N3803:Y3803,$N$2:$Y$2)*$K3803*$L3803*$M3803</f>
        <v/>
      </c>
      <c r="AA3803" s="14">
        <f>SUM(N3803:Y3803)</f>
        <v/>
      </c>
      <c r="AB3803" s="13">
        <f>SUMPRODUCT(N3803:Y3803,$N$3:$Y$3)*$K3803*$L3803*$M3803</f>
        <v/>
      </c>
      <c r="AC3803" s="13">
        <f>SUMPRODUCT(N3803:Y3803,$N$4:$Y$4)*$K3803*$L3803*$M3803</f>
        <v/>
      </c>
      <c r="AD3803" s="15" t="n">
        <v>11.06666666666667</v>
      </c>
      <c r="AE3803" s="11" t="n">
        <v>1.126610015498904</v>
      </c>
      <c r="AF3803" s="16">
        <f>SUMPRODUCT(N3803:Y3803,$N$5:$Y$5)*$K3803*$L3803*$M3803</f>
        <v/>
      </c>
      <c r="AG3803" s="16">
        <f>SUMPRODUCT(N3803:Y3803,$N$6:$Y$6)*$K3803*$L3803*$M3803</f>
        <v/>
      </c>
      <c r="AH3803" s="20" t="n"/>
    </row>
    <row r="3804">
      <c r="A3804" s="9" t="n">
        <v>665019</v>
      </c>
      <c r="B3804" s="9" t="inlineStr">
        <is>
          <t>Kody Clemens</t>
        </is>
      </c>
      <c r="C3804" s="9" t="inlineStr">
        <is>
          <t>DET</t>
        </is>
      </c>
      <c r="D3804" s="9" t="n">
        <v>31</v>
      </c>
      <c r="E3804" s="18" t="inlineStr">
        <is>
          <t>R</t>
        </is>
      </c>
      <c r="F3804" s="18" t="n"/>
      <c r="G3804" s="9" t="n">
        <v>6</v>
      </c>
      <c r="H3804" s="9" t="n">
        <v>60</v>
      </c>
      <c r="I3804" s="9" t="inlineStr">
        <is>
          <t>Depth (no MLB IP)</t>
        </is>
      </c>
      <c r="J3804" s="18" t="inlineStr">
        <is>
          <t>Opening Day</t>
        </is>
      </c>
      <c r="K3804" s="11">
        <f>IFERROR(INDEX(Roles!$B$17:$B$20,MATCH(J3804,Roles!$A$17:$A$20,0)),1)</f>
        <v/>
      </c>
      <c r="L3804" s="19" t="n">
        <v>1</v>
      </c>
      <c r="M3804" s="11" t="n">
        <v>1</v>
      </c>
      <c r="N3804" s="19" t="n"/>
      <c r="O3804" s="19" t="n"/>
      <c r="P3804" s="19" t="n"/>
      <c r="Q3804" s="19" t="n"/>
      <c r="R3804" s="19" t="n"/>
      <c r="S3804" s="19" t="n"/>
      <c r="T3804" s="19" t="n"/>
      <c r="U3804" s="19" t="n"/>
      <c r="V3804" s="19" t="n"/>
      <c r="W3804" s="19" t="n"/>
      <c r="X3804" s="19" t="n"/>
      <c r="Y3804" s="19" t="n">
        <v>1</v>
      </c>
      <c r="Z3804" s="13">
        <f>SUMPRODUCT(N3804:Y3804,$N$2:$Y$2)*$K3804*$L3804*$M3804</f>
        <v/>
      </c>
      <c r="AA3804" s="14">
        <f>SUM(N3804:Y3804)</f>
        <v/>
      </c>
      <c r="AB3804" s="13">
        <f>SUMPRODUCT(N3804:Y3804,$N$3:$Y$3)*$K3804*$L3804*$M3804</f>
        <v/>
      </c>
      <c r="AC3804" s="13">
        <f>SUMPRODUCT(N3804:Y3804,$N$4:$Y$4)*$K3804*$L3804*$M3804</f>
        <v/>
      </c>
      <c r="AD3804" s="15" t="n">
        <v>1.8</v>
      </c>
      <c r="AE3804" s="11" t="n">
        <v>1.007530864197531</v>
      </c>
      <c r="AF3804" s="16">
        <f>SUMPRODUCT(N3804:Y3804,$N$5:$Y$5)*$K3804*$L3804*$M3804</f>
        <v/>
      </c>
      <c r="AG3804" s="16">
        <f>SUMPRODUCT(N3804:Y3804,$N$6:$Y$6)*$K3804*$L3804*$M3804</f>
        <v/>
      </c>
      <c r="AH3804" s="20" t="n"/>
    </row>
    <row r="3805">
      <c r="A3805" s="9" t="n">
        <v>700400</v>
      </c>
      <c r="B3805" s="9" t="inlineStr">
        <is>
          <t>Matt Ager</t>
        </is>
      </c>
      <c r="C3805" s="9" t="inlineStr">
        <is>
          <t>PIT</t>
        </is>
      </c>
      <c r="D3805" s="9" t="n">
        <v>25</v>
      </c>
      <c r="E3805" s="18" t="inlineStr">
        <is>
          <t>R</t>
        </is>
      </c>
      <c r="F3805" s="18" t="n"/>
      <c r="G3805" s="9" t="n">
        <v>160.5333333333333</v>
      </c>
      <c r="H3805" s="9" t="n">
        <v>160.5333333333333</v>
      </c>
      <c r="I3805" s="9" t="inlineStr">
        <is>
          <t>Depth (no MLB IP)</t>
        </is>
      </c>
      <c r="J3805" s="18" t="inlineStr">
        <is>
          <t>Opening Day</t>
        </is>
      </c>
      <c r="K3805" s="11">
        <f>IFERROR(INDEX(Roles!$B$17:$B$20,MATCH(J3805,Roles!$A$17:$A$20,0)),1)</f>
        <v/>
      </c>
      <c r="L3805" s="19" t="n">
        <v>1</v>
      </c>
      <c r="M3805" s="11" t="n">
        <v>1</v>
      </c>
      <c r="N3805" s="19" t="n"/>
      <c r="O3805" s="19" t="n"/>
      <c r="P3805" s="19" t="n"/>
      <c r="Q3805" s="19" t="n"/>
      <c r="R3805" s="19" t="n"/>
      <c r="S3805" s="19" t="n"/>
      <c r="T3805" s="19" t="n"/>
      <c r="U3805" s="19" t="n"/>
      <c r="V3805" s="19" t="n"/>
      <c r="W3805" s="19" t="n"/>
      <c r="X3805" s="19" t="n"/>
      <c r="Y3805" s="19" t="n">
        <v>1</v>
      </c>
      <c r="Z3805" s="13">
        <f>SUMPRODUCT(N3805:Y3805,$N$2:$Y$2)*$K3805*$L3805*$M3805</f>
        <v/>
      </c>
      <c r="AA3805" s="14">
        <f>SUM(N3805:Y3805)</f>
        <v/>
      </c>
      <c r="AB3805" s="13">
        <f>SUMPRODUCT(N3805:Y3805,$N$3:$Y$3)*$K3805*$L3805*$M3805</f>
        <v/>
      </c>
      <c r="AC3805" s="13">
        <f>SUMPRODUCT(N3805:Y3805,$N$4:$Y$4)*$K3805*$L3805*$M3805</f>
        <v/>
      </c>
      <c r="AD3805" s="15" t="n">
        <v>3</v>
      </c>
      <c r="AE3805" s="11" t="n">
        <v>1.011296296296296</v>
      </c>
      <c r="AF3805" s="16">
        <f>SUMPRODUCT(N3805:Y3805,$N$5:$Y$5)*$K3805*$L3805*$M3805</f>
        <v/>
      </c>
      <c r="AG3805" s="16">
        <f>SUMPRODUCT(N3805:Y3805,$N$6:$Y$6)*$K3805*$L3805*$M3805</f>
        <v/>
      </c>
      <c r="AH3805" s="20" t="n"/>
    </row>
    <row r="3806">
      <c r="A3806" s="9" t="n">
        <v>693821</v>
      </c>
      <c r="B3806" s="9" t="inlineStr">
        <is>
          <t>Bryce Elder</t>
        </is>
      </c>
      <c r="C3806" s="9" t="inlineStr">
        <is>
          <t>ATL</t>
        </is>
      </c>
      <c r="D3806" s="9" t="n">
        <v>28</v>
      </c>
      <c r="E3806" s="18" t="inlineStr">
        <is>
          <t>R</t>
        </is>
      </c>
      <c r="F3806" s="18" t="n"/>
      <c r="G3806" s="9" t="n">
        <v>633</v>
      </c>
      <c r="H3806" s="9" t="n">
        <v>2497</v>
      </c>
      <c r="I3806" s="9" t="inlineStr">
        <is>
          <t>Swing Arm / Long Relief</t>
        </is>
      </c>
      <c r="J3806" s="18" t="inlineStr">
        <is>
          <t>Opening Day</t>
        </is>
      </c>
      <c r="K3806" s="11">
        <f>IFERROR(INDEX(Roles!$B$17:$B$20,MATCH(J3806,Roles!$A$17:$A$20,0)),1)</f>
        <v/>
      </c>
      <c r="L3806" s="19" t="n">
        <v>1</v>
      </c>
      <c r="M3806" s="11" t="n">
        <v>1</v>
      </c>
      <c r="N3806" s="19" t="n"/>
      <c r="O3806" s="19" t="n"/>
      <c r="P3806" s="19" t="n"/>
      <c r="Q3806" s="19" t="n"/>
      <c r="R3806" s="19" t="n">
        <v>0.5</v>
      </c>
      <c r="S3806" s="19" t="n"/>
      <c r="T3806" s="19" t="n"/>
      <c r="U3806" s="19" t="n"/>
      <c r="V3806" s="19" t="n">
        <v>0.5</v>
      </c>
      <c r="W3806" s="19" t="n"/>
      <c r="X3806" s="19" t="n"/>
      <c r="Y3806" s="19" t="n"/>
      <c r="Z3806" s="13">
        <f>SUMPRODUCT(N3806:Y3806,$N$2:$Y$2)*$K3806*$L3806*$M3806</f>
        <v/>
      </c>
      <c r="AA3806" s="14">
        <f>SUM(N3806:Y3806)</f>
        <v/>
      </c>
      <c r="AB3806" s="13">
        <f>SUMPRODUCT(N3806:Y3806,$N$3:$Y$3)*$K3806*$L3806*$M3806</f>
        <v/>
      </c>
      <c r="AC3806" s="13">
        <f>SUMPRODUCT(N3806:Y3806,$N$4:$Y$4)*$K3806*$L3806*$M3806</f>
        <v/>
      </c>
      <c r="AD3806" s="15" t="n">
        <v>22.53333333333333</v>
      </c>
      <c r="AE3806" s="11" t="n">
        <v>3.541944950414896</v>
      </c>
      <c r="AF3806" s="16">
        <f>SUMPRODUCT(N3806:Y3806,$N$5:$Y$5)*$K3806*$L3806*$M3806</f>
        <v/>
      </c>
      <c r="AG3806" s="16">
        <f>SUMPRODUCT(N3806:Y3806,$N$6:$Y$6)*$K3806*$L3806*$M3806</f>
        <v/>
      </c>
      <c r="AH3806" s="20" t="n"/>
    </row>
    <row r="3807">
      <c r="A3807" s="9" t="n">
        <v>682620</v>
      </c>
      <c r="B3807" s="9" t="inlineStr">
        <is>
          <t>Richard Gallardo</t>
        </is>
      </c>
      <c r="C3807" s="9" t="inlineStr">
        <is>
          <t>TOR</t>
        </is>
      </c>
      <c r="D3807" s="9" t="n">
        <v>25</v>
      </c>
      <c r="E3807" s="18" t="inlineStr">
        <is>
          <t>R</t>
        </is>
      </c>
      <c r="F3807" s="18" t="n"/>
      <c r="G3807" s="9" t="n">
        <v>160.82</v>
      </c>
      <c r="H3807" s="9" t="n">
        <v>160.82</v>
      </c>
      <c r="I3807" s="9" t="inlineStr">
        <is>
          <t>Depth (no MLB IP)</t>
        </is>
      </c>
      <c r="J3807" s="18" t="inlineStr">
        <is>
          <t>Opening Day</t>
        </is>
      </c>
      <c r="K3807" s="11">
        <f>IFERROR(INDEX(Roles!$B$17:$B$20,MATCH(J3807,Roles!$A$17:$A$20,0)),1)</f>
        <v/>
      </c>
      <c r="L3807" s="19" t="n">
        <v>1</v>
      </c>
      <c r="M3807" s="11" t="n">
        <v>1</v>
      </c>
      <c r="N3807" s="19" t="n"/>
      <c r="O3807" s="19" t="n"/>
      <c r="P3807" s="19" t="n"/>
      <c r="Q3807" s="19" t="n"/>
      <c r="R3807" s="19" t="n"/>
      <c r="S3807" s="19" t="n"/>
      <c r="T3807" s="19" t="n"/>
      <c r="U3807" s="19" t="n"/>
      <c r="V3807" s="19" t="n"/>
      <c r="W3807" s="19" t="n"/>
      <c r="X3807" s="19" t="n"/>
      <c r="Y3807" s="19" t="n">
        <v>1</v>
      </c>
      <c r="Z3807" s="13">
        <f>SUMPRODUCT(N3807:Y3807,$N$2:$Y$2)*$K3807*$L3807*$M3807</f>
        <v/>
      </c>
      <c r="AA3807" s="14">
        <f>SUM(N3807:Y3807)</f>
        <v/>
      </c>
      <c r="AB3807" s="13">
        <f>SUMPRODUCT(N3807:Y3807,$N$3:$Y$3)*$K3807*$L3807*$M3807</f>
        <v/>
      </c>
      <c r="AC3807" s="13">
        <f>SUMPRODUCT(N3807:Y3807,$N$4:$Y$4)*$K3807*$L3807*$M3807</f>
        <v/>
      </c>
      <c r="AD3807" s="15" t="n">
        <v>3</v>
      </c>
      <c r="AE3807" s="11" t="n">
        <v>1.011296296296296</v>
      </c>
      <c r="AF3807" s="16">
        <f>SUMPRODUCT(N3807:Y3807,$N$5:$Y$5)*$K3807*$L3807*$M3807</f>
        <v/>
      </c>
      <c r="AG3807" s="16">
        <f>SUMPRODUCT(N3807:Y3807,$N$6:$Y$6)*$K3807*$L3807*$M3807</f>
        <v/>
      </c>
      <c r="AH3807" s="20" t="n"/>
    </row>
    <row r="3808">
      <c r="A3808" s="9" t="n">
        <v>820825</v>
      </c>
      <c r="B3808" s="9" t="inlineStr">
        <is>
          <t>Konner Eaton</t>
        </is>
      </c>
      <c r="C3808" s="9" t="inlineStr">
        <is>
          <t>COL</t>
        </is>
      </c>
      <c r="D3808" s="9" t="n">
        <v>25</v>
      </c>
      <c r="E3808" s="18" t="inlineStr">
        <is>
          <t>L</t>
        </is>
      </c>
      <c r="F3808" s="18" t="n"/>
      <c r="G3808" s="9" t="n">
        <v>161.035</v>
      </c>
      <c r="H3808" s="9" t="n">
        <v>161.035</v>
      </c>
      <c r="I3808" s="9" t="inlineStr">
        <is>
          <t>Depth (no MLB IP)</t>
        </is>
      </c>
      <c r="J3808" s="18" t="inlineStr">
        <is>
          <t>Opening Day</t>
        </is>
      </c>
      <c r="K3808" s="11">
        <f>IFERROR(INDEX(Roles!$B$17:$B$20,MATCH(J3808,Roles!$A$17:$A$20,0)),1)</f>
        <v/>
      </c>
      <c r="L3808" s="19" t="n">
        <v>1</v>
      </c>
      <c r="M3808" s="11" t="n">
        <v>1</v>
      </c>
      <c r="N3808" s="19" t="n"/>
      <c r="O3808" s="19" t="n"/>
      <c r="P3808" s="19" t="n"/>
      <c r="Q3808" s="19" t="n"/>
      <c r="R3808" s="19" t="n"/>
      <c r="S3808" s="19" t="n"/>
      <c r="T3808" s="19" t="n"/>
      <c r="U3808" s="19" t="n"/>
      <c r="V3808" s="19" t="n"/>
      <c r="W3808" s="19" t="n"/>
      <c r="X3808" s="19" t="n"/>
      <c r="Y3808" s="19" t="n">
        <v>1</v>
      </c>
      <c r="Z3808" s="13">
        <f>SUMPRODUCT(N3808:Y3808,$N$2:$Y$2)*$K3808*$L3808*$M3808</f>
        <v/>
      </c>
      <c r="AA3808" s="14">
        <f>SUM(N3808:Y3808)</f>
        <v/>
      </c>
      <c r="AB3808" s="13">
        <f>SUMPRODUCT(N3808:Y3808,$N$3:$Y$3)*$K3808*$L3808*$M3808</f>
        <v/>
      </c>
      <c r="AC3808" s="13">
        <f>SUMPRODUCT(N3808:Y3808,$N$4:$Y$4)*$K3808*$L3808*$M3808</f>
        <v/>
      </c>
      <c r="AD3808" s="15" t="n">
        <v>3</v>
      </c>
      <c r="AE3808" s="11" t="n">
        <v>1.011296296296296</v>
      </c>
      <c r="AF3808" s="16">
        <f>SUMPRODUCT(N3808:Y3808,$N$5:$Y$5)*$K3808*$L3808*$M3808</f>
        <v/>
      </c>
      <c r="AG3808" s="16">
        <f>SUMPRODUCT(N3808:Y3808,$N$6:$Y$6)*$K3808*$L3808*$M3808</f>
        <v/>
      </c>
      <c r="AH3808" s="20" t="n"/>
    </row>
    <row r="3809">
      <c r="A3809" s="9" t="n">
        <v>663436</v>
      </c>
      <c r="B3809" s="9" t="inlineStr">
        <is>
          <t>Davis Martin</t>
        </is>
      </c>
      <c r="C3809" s="9" t="inlineStr">
        <is>
          <t>CWS</t>
        </is>
      </c>
      <c r="D3809" s="9" t="n">
        <v>30</v>
      </c>
      <c r="E3809" s="18" t="inlineStr">
        <is>
          <t>R</t>
        </is>
      </c>
      <c r="F3809" s="18" t="n"/>
      <c r="G3809" s="9" t="n">
        <v>617</v>
      </c>
      <c r="H3809" s="9" t="n">
        <v>1707</v>
      </c>
      <c r="I3809" s="9" t="inlineStr">
        <is>
          <t>Mid-Rotation Starter (SP2-3)</t>
        </is>
      </c>
      <c r="J3809" s="18" t="inlineStr">
        <is>
          <t>Opening Day</t>
        </is>
      </c>
      <c r="K3809" s="11">
        <f>IFERROR(INDEX(Roles!$B$17:$B$20,MATCH(J3809,Roles!$A$17:$A$20,0)),1)</f>
        <v/>
      </c>
      <c r="L3809" s="19" t="n">
        <v>1</v>
      </c>
      <c r="M3809" s="11" t="n">
        <v>1</v>
      </c>
      <c r="N3809" s="19" t="n"/>
      <c r="O3809" s="19" t="n">
        <v>0.5</v>
      </c>
      <c r="P3809" s="19" t="n">
        <v>0.5</v>
      </c>
      <c r="Q3809" s="19" t="n"/>
      <c r="R3809" s="19" t="n"/>
      <c r="S3809" s="19" t="n"/>
      <c r="T3809" s="19" t="n"/>
      <c r="U3809" s="19" t="n"/>
      <c r="V3809" s="19" t="n"/>
      <c r="W3809" s="19" t="n"/>
      <c r="X3809" s="19" t="n"/>
      <c r="Y3809" s="19" t="n"/>
      <c r="Z3809" s="13">
        <f>SUMPRODUCT(N3809:Y3809,$N$2:$Y$2)*$K3809*$L3809*$M3809</f>
        <v/>
      </c>
      <c r="AA3809" s="14">
        <f>SUM(N3809:Y3809)</f>
        <v/>
      </c>
      <c r="AB3809" s="13">
        <f>SUMPRODUCT(N3809:Y3809,$N$3:$Y$3)*$K3809*$L3809*$M3809</f>
        <v/>
      </c>
      <c r="AC3809" s="13">
        <f>SUMPRODUCT(N3809:Y3809,$N$4:$Y$4)*$K3809*$L3809*$M3809</f>
        <v/>
      </c>
      <c r="AD3809" s="15" t="n">
        <v>25.4</v>
      </c>
      <c r="AE3809" s="11" t="n">
        <v>5.188052568697732</v>
      </c>
      <c r="AF3809" s="16">
        <f>SUMPRODUCT(N3809:Y3809,$N$5:$Y$5)*$K3809*$L3809*$M3809</f>
        <v/>
      </c>
      <c r="AG3809" s="16">
        <f>SUMPRODUCT(N3809:Y3809,$N$6:$Y$6)*$K3809*$L3809*$M3809</f>
        <v/>
      </c>
      <c r="AH3809" s="20" t="n"/>
    </row>
    <row r="3810">
      <c r="A3810" s="9" t="n">
        <v>687223</v>
      </c>
      <c r="B3810" s="9" t="inlineStr">
        <is>
          <t>Carson Palmquist</t>
        </is>
      </c>
      <c r="C3810" s="9" t="inlineStr">
        <is>
          <t>WSH</t>
        </is>
      </c>
      <c r="D3810" s="9" t="n">
        <v>26</v>
      </c>
      <c r="E3810" s="18" t="inlineStr">
        <is>
          <t>L</t>
        </is>
      </c>
      <c r="F3810" s="18" t="n"/>
      <c r="G3810" s="9" t="n">
        <v>78</v>
      </c>
      <c r="H3810" s="9" t="n">
        <v>253</v>
      </c>
      <c r="I3810" s="9" t="inlineStr">
        <is>
          <t>Bullpen Depth Arm</t>
        </is>
      </c>
      <c r="J3810" s="18" t="inlineStr">
        <is>
          <t>Opening Day</t>
        </is>
      </c>
      <c r="K3810" s="11">
        <f>IFERROR(INDEX(Roles!$B$17:$B$20,MATCH(J3810,Roles!$A$17:$A$20,0)),1)</f>
        <v/>
      </c>
      <c r="L3810" s="19" t="n">
        <v>1</v>
      </c>
      <c r="M3810" s="11" t="n">
        <v>1</v>
      </c>
      <c r="N3810" s="19" t="n"/>
      <c r="O3810" s="19" t="n"/>
      <c r="P3810" s="19" t="n"/>
      <c r="Q3810" s="19" t="n"/>
      <c r="R3810" s="19" t="n"/>
      <c r="S3810" s="19" t="n"/>
      <c r="T3810" s="19" t="n"/>
      <c r="U3810" s="19" t="n"/>
      <c r="V3810" s="19" t="n"/>
      <c r="W3810" s="19" t="n">
        <v>1</v>
      </c>
      <c r="X3810" s="19" t="n"/>
      <c r="Y3810" s="19" t="n"/>
      <c r="Z3810" s="13">
        <f>SUMPRODUCT(N3810:Y3810,$N$2:$Y$2)*$K3810*$L3810*$M3810</f>
        <v/>
      </c>
      <c r="AA3810" s="14">
        <f>SUM(N3810:Y3810)</f>
        <v/>
      </c>
      <c r="AB3810" s="13">
        <f>SUMPRODUCT(N3810:Y3810,$N$3:$Y$3)*$K3810*$L3810*$M3810</f>
        <v/>
      </c>
      <c r="AC3810" s="13">
        <f>SUMPRODUCT(N3810:Y3810,$N$4:$Y$4)*$K3810*$L3810*$M3810</f>
        <v/>
      </c>
      <c r="AD3810" s="15" t="n">
        <v>11.78666666666666</v>
      </c>
      <c r="AE3810" s="11" t="n">
        <v>1.570570315668355</v>
      </c>
      <c r="AF3810" s="16">
        <f>SUMPRODUCT(N3810:Y3810,$N$5:$Y$5)*$K3810*$L3810*$M3810</f>
        <v/>
      </c>
      <c r="AG3810" s="16">
        <f>SUMPRODUCT(N3810:Y3810,$N$6:$Y$6)*$K3810*$L3810*$M3810</f>
        <v/>
      </c>
      <c r="AH3810" s="20" t="n"/>
    </row>
    <row r="3811">
      <c r="A3811" s="9" t="n">
        <v>687856</v>
      </c>
      <c r="B3811" s="9" t="inlineStr">
        <is>
          <t>Andrew Bash</t>
        </is>
      </c>
      <c r="C3811" s="9" t="inlineStr">
        <is>
          <t>OAK</t>
        </is>
      </c>
      <c r="D3811" s="9" t="n">
        <v>25</v>
      </c>
      <c r="E3811" s="18" t="inlineStr">
        <is>
          <t>R</t>
        </is>
      </c>
      <c r="F3811" s="18" t="n"/>
      <c r="G3811" s="9" t="n">
        <v>161.6083333333333</v>
      </c>
      <c r="H3811" s="9" t="n">
        <v>161.6083333333333</v>
      </c>
      <c r="I3811" s="9" t="inlineStr">
        <is>
          <t>Depth (no MLB IP)</t>
        </is>
      </c>
      <c r="J3811" s="18" t="inlineStr">
        <is>
          <t>Opening Day</t>
        </is>
      </c>
      <c r="K3811" s="11">
        <f>IFERROR(INDEX(Roles!$B$17:$B$20,MATCH(J3811,Roles!$A$17:$A$20,0)),1)</f>
        <v/>
      </c>
      <c r="L3811" s="19" t="n">
        <v>1</v>
      </c>
      <c r="M3811" s="11" t="n">
        <v>1</v>
      </c>
      <c r="N3811" s="19" t="n"/>
      <c r="O3811" s="19" t="n"/>
      <c r="P3811" s="19" t="n"/>
      <c r="Q3811" s="19" t="n"/>
      <c r="R3811" s="19" t="n"/>
      <c r="S3811" s="19" t="n"/>
      <c r="T3811" s="19" t="n"/>
      <c r="U3811" s="19" t="n"/>
      <c r="V3811" s="19" t="n"/>
      <c r="W3811" s="19" t="n"/>
      <c r="X3811" s="19" t="n"/>
      <c r="Y3811" s="19" t="n">
        <v>1</v>
      </c>
      <c r="Z3811" s="13">
        <f>SUMPRODUCT(N3811:Y3811,$N$2:$Y$2)*$K3811*$L3811*$M3811</f>
        <v/>
      </c>
      <c r="AA3811" s="14">
        <f>SUM(N3811:Y3811)</f>
        <v/>
      </c>
      <c r="AB3811" s="13">
        <f>SUMPRODUCT(N3811:Y3811,$N$3:$Y$3)*$K3811*$L3811*$M3811</f>
        <v/>
      </c>
      <c r="AC3811" s="13">
        <f>SUMPRODUCT(N3811:Y3811,$N$4:$Y$4)*$K3811*$L3811*$M3811</f>
        <v/>
      </c>
      <c r="AD3811" s="15" t="n">
        <v>3</v>
      </c>
      <c r="AE3811" s="11" t="n">
        <v>1.011296296296296</v>
      </c>
      <c r="AF3811" s="16">
        <f>SUMPRODUCT(N3811:Y3811,$N$5:$Y$5)*$K3811*$L3811*$M3811</f>
        <v/>
      </c>
      <c r="AG3811" s="16">
        <f>SUMPRODUCT(N3811:Y3811,$N$6:$Y$6)*$K3811*$L3811*$M3811</f>
        <v/>
      </c>
      <c r="AH3811" s="20" t="n"/>
    </row>
    <row r="3812">
      <c r="A3812" s="9" t="n">
        <v>681410</v>
      </c>
      <c r="B3812" s="9" t="inlineStr">
        <is>
          <t>Connor McCullough</t>
        </is>
      </c>
      <c r="C3812" s="9" t="inlineStr">
        <is>
          <t>CWS</t>
        </is>
      </c>
      <c r="D3812" s="9" t="n">
        <v>25</v>
      </c>
      <c r="E3812" s="18" t="inlineStr">
        <is>
          <t>R</t>
        </is>
      </c>
      <c r="F3812" s="18" t="n"/>
      <c r="G3812" s="9" t="n">
        <v>162.54</v>
      </c>
      <c r="H3812" s="9" t="n">
        <v>162.54</v>
      </c>
      <c r="I3812" s="9" t="inlineStr">
        <is>
          <t>Depth (no MLB IP)</t>
        </is>
      </c>
      <c r="J3812" s="18" t="inlineStr">
        <is>
          <t>Opening Day</t>
        </is>
      </c>
      <c r="K3812" s="11">
        <f>IFERROR(INDEX(Roles!$B$17:$B$20,MATCH(J3812,Roles!$A$17:$A$20,0)),1)</f>
        <v/>
      </c>
      <c r="L3812" s="19" t="n">
        <v>1</v>
      </c>
      <c r="M3812" s="11" t="n">
        <v>1</v>
      </c>
      <c r="N3812" s="19" t="n"/>
      <c r="O3812" s="19" t="n"/>
      <c r="P3812" s="19" t="n"/>
      <c r="Q3812" s="19" t="n"/>
      <c r="R3812" s="19" t="n"/>
      <c r="S3812" s="19" t="n"/>
      <c r="T3812" s="19" t="n"/>
      <c r="U3812" s="19" t="n"/>
      <c r="V3812" s="19" t="n"/>
      <c r="W3812" s="19" t="n"/>
      <c r="X3812" s="19" t="n"/>
      <c r="Y3812" s="19" t="n">
        <v>1</v>
      </c>
      <c r="Z3812" s="13">
        <f>SUMPRODUCT(N3812:Y3812,$N$2:$Y$2)*$K3812*$L3812*$M3812</f>
        <v/>
      </c>
      <c r="AA3812" s="14">
        <f>SUM(N3812:Y3812)</f>
        <v/>
      </c>
      <c r="AB3812" s="13">
        <f>SUMPRODUCT(N3812:Y3812,$N$3:$Y$3)*$K3812*$L3812*$M3812</f>
        <v/>
      </c>
      <c r="AC3812" s="13">
        <f>SUMPRODUCT(N3812:Y3812,$N$4:$Y$4)*$K3812*$L3812*$M3812</f>
        <v/>
      </c>
      <c r="AD3812" s="15" t="n">
        <v>3</v>
      </c>
      <c r="AE3812" s="11" t="n">
        <v>1.011296296296296</v>
      </c>
      <c r="AF3812" s="16">
        <f>SUMPRODUCT(N3812:Y3812,$N$5:$Y$5)*$K3812*$L3812*$M3812</f>
        <v/>
      </c>
      <c r="AG3812" s="16">
        <f>SUMPRODUCT(N3812:Y3812,$N$6:$Y$6)*$K3812*$L3812*$M3812</f>
        <v/>
      </c>
      <c r="AH3812" s="20" t="n"/>
    </row>
    <row r="3813">
      <c r="A3813" s="9" t="n">
        <v>682227</v>
      </c>
      <c r="B3813" s="9" t="inlineStr">
        <is>
          <t>Brandon Williamson</t>
        </is>
      </c>
      <c r="C3813" s="9" t="inlineStr">
        <is>
          <t>CIN</t>
        </is>
      </c>
      <c r="D3813" s="9" t="n">
        <v>29</v>
      </c>
      <c r="E3813" s="18" t="inlineStr">
        <is>
          <t>L</t>
        </is>
      </c>
      <c r="F3813" s="18" t="n"/>
      <c r="G3813" s="9" t="n">
        <v>231</v>
      </c>
      <c r="H3813" s="9" t="n">
        <v>781</v>
      </c>
      <c r="I3813" s="9" t="inlineStr">
        <is>
          <t>End-of-Rotation Starter (SP4-5)</t>
        </is>
      </c>
      <c r="J3813" s="18" t="inlineStr">
        <is>
          <t>Opening Day</t>
        </is>
      </c>
      <c r="K3813" s="11">
        <f>IFERROR(INDEX(Roles!$B$17:$B$20,MATCH(J3813,Roles!$A$17:$A$20,0)),1)</f>
        <v/>
      </c>
      <c r="L3813" s="19" t="n">
        <v>1</v>
      </c>
      <c r="M3813" s="11" t="n">
        <v>1</v>
      </c>
      <c r="N3813" s="19" t="n"/>
      <c r="O3813" s="19" t="n"/>
      <c r="P3813" s="19" t="n">
        <v>0.5</v>
      </c>
      <c r="Q3813" s="19" t="n"/>
      <c r="R3813" s="19" t="n">
        <v>0.5</v>
      </c>
      <c r="S3813" s="19" t="n"/>
      <c r="T3813" s="19" t="n"/>
      <c r="U3813" s="19" t="n"/>
      <c r="V3813" s="19" t="n"/>
      <c r="W3813" s="19" t="n"/>
      <c r="X3813" s="19" t="n"/>
      <c r="Y3813" s="19" t="n"/>
      <c r="Z3813" s="13">
        <f>SUMPRODUCT(N3813:Y3813,$N$2:$Y$2)*$K3813*$L3813*$M3813</f>
        <v/>
      </c>
      <c r="AA3813" s="14">
        <f>SUM(N3813:Y3813)</f>
        <v/>
      </c>
      <c r="AB3813" s="13">
        <f>SUMPRODUCT(N3813:Y3813,$N$3:$Y$3)*$K3813*$L3813*$M3813</f>
        <v/>
      </c>
      <c r="AC3813" s="13">
        <f>SUMPRODUCT(N3813:Y3813,$N$4:$Y$4)*$K3813*$L3813*$M3813</f>
        <v/>
      </c>
      <c r="AD3813" s="15" t="n">
        <v>12.4</v>
      </c>
      <c r="AE3813" s="11" t="n">
        <v>4.473148148148147</v>
      </c>
      <c r="AF3813" s="16">
        <f>SUMPRODUCT(N3813:Y3813,$N$5:$Y$5)*$K3813*$L3813*$M3813</f>
        <v/>
      </c>
      <c r="AG3813" s="16">
        <f>SUMPRODUCT(N3813:Y3813,$N$6:$Y$6)*$K3813*$L3813*$M3813</f>
        <v/>
      </c>
      <c r="AH3813" s="20" t="n"/>
    </row>
    <row r="3814">
      <c r="A3814" s="9" t="n">
        <v>669422</v>
      </c>
      <c r="B3814" s="9" t="inlineStr">
        <is>
          <t>Matt Sauer</t>
        </is>
      </c>
      <c r="C3814" s="9" t="inlineStr">
        <is>
          <t>LAD</t>
        </is>
      </c>
      <c r="D3814" s="9" t="n">
        <v>28</v>
      </c>
      <c r="E3814" s="18" t="inlineStr">
        <is>
          <t>R</t>
        </is>
      </c>
      <c r="F3814" s="18" t="n"/>
      <c r="G3814" s="9" t="n">
        <v>129</v>
      </c>
      <c r="H3814" s="9" t="n">
        <v>213</v>
      </c>
      <c r="I3814" s="9" t="inlineStr">
        <is>
          <t>Bullpen Depth Arm</t>
        </is>
      </c>
      <c r="J3814" s="18" t="inlineStr">
        <is>
          <t>Opening Day</t>
        </is>
      </c>
      <c r="K3814" s="11">
        <f>IFERROR(INDEX(Roles!$B$17:$B$20,MATCH(J3814,Roles!$A$17:$A$20,0)),1)</f>
        <v/>
      </c>
      <c r="L3814" s="19" t="n">
        <v>1</v>
      </c>
      <c r="M3814" s="11" t="n">
        <v>1</v>
      </c>
      <c r="N3814" s="19" t="n"/>
      <c r="O3814" s="19" t="n"/>
      <c r="P3814" s="19" t="n"/>
      <c r="Q3814" s="19" t="n"/>
      <c r="R3814" s="19" t="n"/>
      <c r="S3814" s="19" t="n"/>
      <c r="T3814" s="19" t="n"/>
      <c r="U3814" s="19" t="n"/>
      <c r="V3814" s="19" t="n"/>
      <c r="W3814" s="19" t="n">
        <v>1</v>
      </c>
      <c r="X3814" s="19" t="n"/>
      <c r="Y3814" s="19" t="n"/>
      <c r="Z3814" s="13">
        <f>SUMPRODUCT(N3814:Y3814,$N$2:$Y$2)*$K3814*$L3814*$M3814</f>
        <v/>
      </c>
      <c r="AA3814" s="14">
        <f>SUM(N3814:Y3814)</f>
        <v/>
      </c>
      <c r="AB3814" s="13">
        <f>SUMPRODUCT(N3814:Y3814,$N$3:$Y$3)*$K3814*$L3814*$M3814</f>
        <v/>
      </c>
      <c r="AC3814" s="13">
        <f>SUMPRODUCT(N3814:Y3814,$N$4:$Y$4)*$K3814*$L3814*$M3814</f>
        <v/>
      </c>
      <c r="AD3814" s="15" t="n">
        <v>12.46666666666666</v>
      </c>
      <c r="AE3814" s="11" t="n">
        <v>1.543337200199946</v>
      </c>
      <c r="AF3814" s="16">
        <f>SUMPRODUCT(N3814:Y3814,$N$5:$Y$5)*$K3814*$L3814*$M3814</f>
        <v/>
      </c>
      <c r="AG3814" s="16">
        <f>SUMPRODUCT(N3814:Y3814,$N$6:$Y$6)*$K3814*$L3814*$M3814</f>
        <v/>
      </c>
      <c r="AH3814" s="20" t="n"/>
    </row>
    <row r="3815">
      <c r="A3815" s="9" t="n">
        <v>700786</v>
      </c>
      <c r="B3815" s="9" t="inlineStr">
        <is>
          <t>Ben Sears</t>
        </is>
      </c>
      <c r="C3815" s="9" t="inlineStr">
        <is>
          <t>KC</t>
        </is>
      </c>
      <c r="D3815" s="9" t="n">
        <v>25</v>
      </c>
      <c r="E3815" s="18" t="inlineStr">
        <is>
          <t>R</t>
        </is>
      </c>
      <c r="F3815" s="18" t="n"/>
      <c r="G3815" s="9" t="n">
        <v>163.185</v>
      </c>
      <c r="H3815" s="9" t="n">
        <v>163.185</v>
      </c>
      <c r="I3815" s="9" t="inlineStr">
        <is>
          <t>Depth (no MLB IP)</t>
        </is>
      </c>
      <c r="J3815" s="18" t="inlineStr">
        <is>
          <t>Opening Day</t>
        </is>
      </c>
      <c r="K3815" s="11">
        <f>IFERROR(INDEX(Roles!$B$17:$B$20,MATCH(J3815,Roles!$A$17:$A$20,0)),1)</f>
        <v/>
      </c>
      <c r="L3815" s="19" t="n">
        <v>1</v>
      </c>
      <c r="M3815" s="11" t="n">
        <v>1</v>
      </c>
      <c r="N3815" s="19" t="n"/>
      <c r="O3815" s="19" t="n"/>
      <c r="P3815" s="19" t="n"/>
      <c r="Q3815" s="19" t="n"/>
      <c r="R3815" s="19" t="n"/>
      <c r="S3815" s="19" t="n"/>
      <c r="T3815" s="19" t="n"/>
      <c r="U3815" s="19" t="n"/>
      <c r="V3815" s="19" t="n"/>
      <c r="W3815" s="19" t="n"/>
      <c r="X3815" s="19" t="n"/>
      <c r="Y3815" s="19" t="n">
        <v>1</v>
      </c>
      <c r="Z3815" s="13">
        <f>SUMPRODUCT(N3815:Y3815,$N$2:$Y$2)*$K3815*$L3815*$M3815</f>
        <v/>
      </c>
      <c r="AA3815" s="14">
        <f>SUM(N3815:Y3815)</f>
        <v/>
      </c>
      <c r="AB3815" s="13">
        <f>SUMPRODUCT(N3815:Y3815,$N$3:$Y$3)*$K3815*$L3815*$M3815</f>
        <v/>
      </c>
      <c r="AC3815" s="13">
        <f>SUMPRODUCT(N3815:Y3815,$N$4:$Y$4)*$K3815*$L3815*$M3815</f>
        <v/>
      </c>
      <c r="AD3815" s="15" t="n">
        <v>3</v>
      </c>
      <c r="AE3815" s="11" t="n">
        <v>1.011296296296296</v>
      </c>
      <c r="AF3815" s="16">
        <f>SUMPRODUCT(N3815:Y3815,$N$5:$Y$5)*$K3815*$L3815*$M3815</f>
        <v/>
      </c>
      <c r="AG3815" s="16">
        <f>SUMPRODUCT(N3815:Y3815,$N$6:$Y$6)*$K3815*$L3815*$M3815</f>
        <v/>
      </c>
      <c r="AH3815" s="20" t="n"/>
    </row>
    <row r="3816">
      <c r="A3816" s="9" t="n">
        <v>670174</v>
      </c>
      <c r="B3816" s="9" t="inlineStr">
        <is>
          <t>Josh Winckowski</t>
        </is>
      </c>
      <c r="C3816" s="9" t="inlineStr">
        <is>
          <t>BOS</t>
        </is>
      </c>
      <c r="D3816" s="9" t="n">
        <v>29</v>
      </c>
      <c r="E3816" s="18" t="inlineStr">
        <is>
          <t>R</t>
        </is>
      </c>
      <c r="F3816" s="18" t="n"/>
      <c r="G3816" s="9" t="n">
        <v>52</v>
      </c>
      <c r="H3816" s="9" t="n">
        <v>1071</v>
      </c>
      <c r="I3816" s="9" t="inlineStr">
        <is>
          <t>Bullpen Depth Arm</t>
        </is>
      </c>
      <c r="J3816" s="18" t="inlineStr">
        <is>
          <t>Opening Day</t>
        </is>
      </c>
      <c r="K3816" s="11">
        <f>IFERROR(INDEX(Roles!$B$17:$B$20,MATCH(J3816,Roles!$A$17:$A$20,0)),1)</f>
        <v/>
      </c>
      <c r="L3816" s="19" t="n">
        <v>1</v>
      </c>
      <c r="M3816" s="11" t="n">
        <v>1</v>
      </c>
      <c r="N3816" s="19" t="n"/>
      <c r="O3816" s="19" t="n"/>
      <c r="P3816" s="19" t="n"/>
      <c r="Q3816" s="19" t="n"/>
      <c r="R3816" s="19" t="n"/>
      <c r="S3816" s="19" t="n"/>
      <c r="T3816" s="19" t="n"/>
      <c r="U3816" s="19" t="n"/>
      <c r="V3816" s="19" t="n"/>
      <c r="W3816" s="19" t="n">
        <v>1</v>
      </c>
      <c r="X3816" s="19" t="n"/>
      <c r="Y3816" s="19" t="n"/>
      <c r="Z3816" s="13">
        <f>SUMPRODUCT(N3816:Y3816,$N$2:$Y$2)*$K3816*$L3816*$M3816</f>
        <v/>
      </c>
      <c r="AA3816" s="14">
        <f>SUM(N3816:Y3816)</f>
        <v/>
      </c>
      <c r="AB3816" s="13">
        <f>SUMPRODUCT(N3816:Y3816,$N$3:$Y$3)*$K3816*$L3816*$M3816</f>
        <v/>
      </c>
      <c r="AC3816" s="13">
        <f>SUMPRODUCT(N3816:Y3816,$N$4:$Y$4)*$K3816*$L3816*$M3816</f>
        <v/>
      </c>
      <c r="AD3816" s="15" t="n">
        <v>16.06666666666667</v>
      </c>
      <c r="AE3816" s="11" t="n">
        <v>1.438259271592605</v>
      </c>
      <c r="AF3816" s="16">
        <f>SUMPRODUCT(N3816:Y3816,$N$5:$Y$5)*$K3816*$L3816*$M3816</f>
        <v/>
      </c>
      <c r="AG3816" s="16">
        <f>SUMPRODUCT(N3816:Y3816,$N$6:$Y$6)*$K3816*$L3816*$M3816</f>
        <v/>
      </c>
      <c r="AH3816" s="20" t="n"/>
    </row>
    <row r="3817">
      <c r="A3817" s="9" t="n">
        <v>642770</v>
      </c>
      <c r="B3817" s="9" t="inlineStr">
        <is>
          <t>Javy Guerra</t>
        </is>
      </c>
      <c r="C3817" s="9" t="inlineStr">
        <is>
          <t>TB</t>
        </is>
      </c>
      <c r="D3817" s="9" t="n">
        <v>31</v>
      </c>
      <c r="E3817" s="18" t="inlineStr">
        <is>
          <t>R</t>
        </is>
      </c>
      <c r="F3817" s="18" t="n"/>
      <c r="G3817" s="9" t="n">
        <v>97</v>
      </c>
      <c r="H3817" s="9" t="n">
        <v>179</v>
      </c>
      <c r="I3817" s="9" t="inlineStr">
        <is>
          <t>Depth (no MLB IP)</t>
        </is>
      </c>
      <c r="J3817" s="18" t="inlineStr">
        <is>
          <t>Opening Day</t>
        </is>
      </c>
      <c r="K3817" s="11">
        <f>IFERROR(INDEX(Roles!$B$17:$B$20,MATCH(J3817,Roles!$A$17:$A$20,0)),1)</f>
        <v/>
      </c>
      <c r="L3817" s="19" t="n">
        <v>1</v>
      </c>
      <c r="M3817" s="11" t="n">
        <v>1</v>
      </c>
      <c r="N3817" s="19" t="n"/>
      <c r="O3817" s="19" t="n"/>
      <c r="P3817" s="19" t="n"/>
      <c r="Q3817" s="19" t="n"/>
      <c r="R3817" s="19" t="n"/>
      <c r="S3817" s="19" t="n"/>
      <c r="T3817" s="19" t="n"/>
      <c r="U3817" s="19" t="n"/>
      <c r="V3817" s="19" t="n"/>
      <c r="W3817" s="19" t="n"/>
      <c r="X3817" s="19" t="n"/>
      <c r="Y3817" s="19" t="n">
        <v>1</v>
      </c>
      <c r="Z3817" s="13">
        <f>SUMPRODUCT(N3817:Y3817,$N$2:$Y$2)*$K3817*$L3817*$M3817</f>
        <v/>
      </c>
      <c r="AA3817" s="14">
        <f>SUM(N3817:Y3817)</f>
        <v/>
      </c>
      <c r="AB3817" s="13">
        <f>SUMPRODUCT(N3817:Y3817,$N$3:$Y$3)*$K3817*$L3817*$M3817</f>
        <v/>
      </c>
      <c r="AC3817" s="13">
        <f>SUMPRODUCT(N3817:Y3817,$N$4:$Y$4)*$K3817*$L3817*$M3817</f>
        <v/>
      </c>
      <c r="AD3817" s="15" t="n">
        <v>3</v>
      </c>
      <c r="AE3817" s="11" t="n">
        <v>1.011296296296296</v>
      </c>
      <c r="AF3817" s="16">
        <f>SUMPRODUCT(N3817:Y3817,$N$5:$Y$5)*$K3817*$L3817*$M3817</f>
        <v/>
      </c>
      <c r="AG3817" s="16">
        <f>SUMPRODUCT(N3817:Y3817,$N$6:$Y$6)*$K3817*$L3817*$M3817</f>
        <v/>
      </c>
      <c r="AH3817" s="20" t="n"/>
    </row>
    <row r="3818">
      <c r="A3818" s="9" t="n">
        <v>641672</v>
      </c>
      <c r="B3818" s="9" t="inlineStr">
        <is>
          <t>Thomas Hatch</t>
        </is>
      </c>
      <c r="C3818" s="9" t="inlineStr">
        <is>
          <t>MIN</t>
        </is>
      </c>
      <c r="D3818" s="9" t="n">
        <v>32</v>
      </c>
      <c r="E3818" s="18" t="inlineStr">
        <is>
          <t>R</t>
        </is>
      </c>
      <c r="F3818" s="18" t="n"/>
      <c r="G3818" s="9" t="n">
        <v>152</v>
      </c>
      <c r="H3818" s="9" t="n">
        <v>307</v>
      </c>
      <c r="I3818" s="9" t="inlineStr">
        <is>
          <t>Bullpen Depth Arm</t>
        </is>
      </c>
      <c r="J3818" s="18" t="inlineStr">
        <is>
          <t>Opening Day</t>
        </is>
      </c>
      <c r="K3818" s="11">
        <f>IFERROR(INDEX(Roles!$B$17:$B$20,MATCH(J3818,Roles!$A$17:$A$20,0)),1)</f>
        <v/>
      </c>
      <c r="L3818" s="19" t="n">
        <v>1</v>
      </c>
      <c r="M3818" s="11" t="n">
        <v>1</v>
      </c>
      <c r="N3818" s="19" t="n"/>
      <c r="O3818" s="19" t="n"/>
      <c r="P3818" s="19" t="n"/>
      <c r="Q3818" s="19" t="n"/>
      <c r="R3818" s="19" t="n"/>
      <c r="S3818" s="19" t="n"/>
      <c r="T3818" s="19" t="n"/>
      <c r="U3818" s="19" t="n"/>
      <c r="V3818" s="19" t="n"/>
      <c r="W3818" s="19" t="n">
        <v>1</v>
      </c>
      <c r="X3818" s="19" t="n"/>
      <c r="Y3818" s="19" t="n"/>
      <c r="Z3818" s="13">
        <f>SUMPRODUCT(N3818:Y3818,$N$2:$Y$2)*$K3818*$L3818*$M3818</f>
        <v/>
      </c>
      <c r="AA3818" s="14">
        <f>SUM(N3818:Y3818)</f>
        <v/>
      </c>
      <c r="AB3818" s="13">
        <f>SUMPRODUCT(N3818:Y3818,$N$3:$Y$3)*$K3818*$L3818*$M3818</f>
        <v/>
      </c>
      <c r="AC3818" s="13">
        <f>SUMPRODUCT(N3818:Y3818,$N$4:$Y$4)*$K3818*$L3818*$M3818</f>
        <v/>
      </c>
      <c r="AD3818" s="15" t="n">
        <v>12.86666666666666</v>
      </c>
      <c r="AE3818" s="11" t="n">
        <v>1.745951579284912</v>
      </c>
      <c r="AF3818" s="16">
        <f>SUMPRODUCT(N3818:Y3818,$N$5:$Y$5)*$K3818*$L3818*$M3818</f>
        <v/>
      </c>
      <c r="AG3818" s="16">
        <f>SUMPRODUCT(N3818:Y3818,$N$6:$Y$6)*$K3818*$L3818*$M3818</f>
        <v/>
      </c>
      <c r="AH3818" s="20" t="n"/>
    </row>
    <row r="3819">
      <c r="A3819" s="9" t="n">
        <v>664192</v>
      </c>
      <c r="B3819" s="9" t="inlineStr">
        <is>
          <t>Joey Lucchesi</t>
        </is>
      </c>
      <c r="C3819" s="9" t="inlineStr">
        <is>
          <t>SF</t>
        </is>
      </c>
      <c r="D3819" s="9" t="n">
        <v>34</v>
      </c>
      <c r="E3819" s="18" t="inlineStr">
        <is>
          <t>L</t>
        </is>
      </c>
      <c r="F3819" s="18" t="n"/>
      <c r="G3819" s="9" t="n">
        <v>24</v>
      </c>
      <c r="H3819" s="9" t="n">
        <v>430</v>
      </c>
      <c r="I3819" s="9" t="inlineStr">
        <is>
          <t>Bullpen Depth Arm</t>
        </is>
      </c>
      <c r="J3819" s="18" t="inlineStr">
        <is>
          <t>Opening Day</t>
        </is>
      </c>
      <c r="K3819" s="11">
        <f>IFERROR(INDEX(Roles!$B$17:$B$20,MATCH(J3819,Roles!$A$17:$A$20,0)),1)</f>
        <v/>
      </c>
      <c r="L3819" s="19" t="n">
        <v>1</v>
      </c>
      <c r="M3819" s="11" t="n">
        <v>1</v>
      </c>
      <c r="N3819" s="19" t="n"/>
      <c r="O3819" s="19" t="n"/>
      <c r="P3819" s="19" t="n"/>
      <c r="Q3819" s="19" t="n"/>
      <c r="R3819" s="19" t="n"/>
      <c r="S3819" s="19" t="n"/>
      <c r="T3819" s="19" t="n"/>
      <c r="U3819" s="19" t="n"/>
      <c r="V3819" s="19" t="n"/>
      <c r="W3819" s="19" t="n">
        <v>1</v>
      </c>
      <c r="X3819" s="19" t="n"/>
      <c r="Y3819" s="19" t="n"/>
      <c r="Z3819" s="13">
        <f>SUMPRODUCT(N3819:Y3819,$N$2:$Y$2)*$K3819*$L3819*$M3819</f>
        <v/>
      </c>
      <c r="AA3819" s="14">
        <f>SUM(N3819:Y3819)</f>
        <v/>
      </c>
      <c r="AB3819" s="13">
        <f>SUMPRODUCT(N3819:Y3819,$N$3:$Y$3)*$K3819*$L3819*$M3819</f>
        <v/>
      </c>
      <c r="AC3819" s="13">
        <f>SUMPRODUCT(N3819:Y3819,$N$4:$Y$4)*$K3819*$L3819*$M3819</f>
        <v/>
      </c>
      <c r="AD3819" s="15" t="n">
        <v>14.96666666666666</v>
      </c>
      <c r="AE3819" s="11" t="n">
        <v>1.149177385736526</v>
      </c>
      <c r="AF3819" s="16">
        <f>SUMPRODUCT(N3819:Y3819,$N$5:$Y$5)*$K3819*$L3819*$M3819</f>
        <v/>
      </c>
      <c r="AG3819" s="16">
        <f>SUMPRODUCT(N3819:Y3819,$N$6:$Y$6)*$K3819*$L3819*$M3819</f>
        <v/>
      </c>
      <c r="AH3819" s="20" t="n"/>
    </row>
    <row r="3820">
      <c r="A3820" s="9" t="n">
        <v>807743</v>
      </c>
      <c r="B3820" s="9" t="inlineStr">
        <is>
          <t>Sean Sullivan</t>
        </is>
      </c>
      <c r="C3820" s="9" t="inlineStr">
        <is>
          <t>COL</t>
        </is>
      </c>
      <c r="D3820" s="9" t="n">
        <v>24</v>
      </c>
      <c r="E3820" s="18" t="inlineStr">
        <is>
          <t>L</t>
        </is>
      </c>
      <c r="F3820" s="18" t="n"/>
      <c r="G3820" s="9" t="n">
        <v>114</v>
      </c>
      <c r="H3820" s="9" t="n">
        <v>114</v>
      </c>
      <c r="I3820" s="9" t="inlineStr">
        <is>
          <t>End-of-Rotation Starter (SP4-5)</t>
        </is>
      </c>
      <c r="J3820" s="18" t="inlineStr">
        <is>
          <t>Opening Day</t>
        </is>
      </c>
      <c r="K3820" s="11">
        <f>IFERROR(INDEX(Roles!$B$17:$B$20,MATCH(J3820,Roles!$A$17:$A$20,0)),1)</f>
        <v/>
      </c>
      <c r="L3820" s="19" t="n">
        <v>1</v>
      </c>
      <c r="M3820" s="11" t="n">
        <v>1</v>
      </c>
      <c r="N3820" s="19" t="n"/>
      <c r="O3820" s="19" t="n"/>
      <c r="P3820" s="19" t="n">
        <v>1</v>
      </c>
      <c r="Q3820" s="19" t="n"/>
      <c r="R3820" s="19" t="n"/>
      <c r="S3820" s="19" t="n"/>
      <c r="T3820" s="19" t="n"/>
      <c r="U3820" s="19" t="n"/>
      <c r="V3820" s="19" t="n"/>
      <c r="W3820" s="19" t="n"/>
      <c r="X3820" s="19" t="n"/>
      <c r="Y3820" s="19" t="n"/>
      <c r="Z3820" s="13">
        <f>SUMPRODUCT(N3820:Y3820,$N$2:$Y$2)*$K3820*$L3820*$M3820</f>
        <v/>
      </c>
      <c r="AA3820" s="14">
        <f>SUM(N3820:Y3820)</f>
        <v/>
      </c>
      <c r="AB3820" s="13">
        <f>SUMPRODUCT(N3820:Y3820,$N$3:$Y$3)*$K3820*$L3820*$M3820</f>
        <v/>
      </c>
      <c r="AC3820" s="13">
        <f>SUMPRODUCT(N3820:Y3820,$N$4:$Y$4)*$K3820*$L3820*$M3820</f>
        <v/>
      </c>
      <c r="AD3820" s="15" t="n">
        <v>9.4</v>
      </c>
      <c r="AE3820" s="11" t="n">
        <v>4.525925925925926</v>
      </c>
      <c r="AF3820" s="16">
        <f>SUMPRODUCT(N3820:Y3820,$N$5:$Y$5)*$K3820*$L3820*$M3820</f>
        <v/>
      </c>
      <c r="AG3820" s="16">
        <f>SUMPRODUCT(N3820:Y3820,$N$6:$Y$6)*$K3820*$L3820*$M3820</f>
        <v/>
      </c>
      <c r="AH3820" s="20" t="n"/>
    </row>
    <row r="3821">
      <c r="A3821" s="9" t="n">
        <v>641312</v>
      </c>
      <c r="B3821" s="9" t="inlineStr">
        <is>
          <t>Shaun Anderson</t>
        </is>
      </c>
      <c r="C3821" s="9" t="inlineStr">
        <is>
          <t>LAA</t>
        </is>
      </c>
      <c r="D3821" s="9" t="n">
        <v>32</v>
      </c>
      <c r="E3821" s="18" t="inlineStr">
        <is>
          <t>R</t>
        </is>
      </c>
      <c r="F3821" s="18" t="n"/>
      <c r="G3821" s="9" t="n">
        <v>93</v>
      </c>
      <c r="H3821" s="9" t="n">
        <v>241</v>
      </c>
      <c r="I3821" s="9" t="inlineStr">
        <is>
          <t>Bullpen Depth Arm</t>
        </is>
      </c>
      <c r="J3821" s="18" t="inlineStr">
        <is>
          <t>Opening Day</t>
        </is>
      </c>
      <c r="K3821" s="11">
        <f>IFERROR(INDEX(Roles!$B$17:$B$20,MATCH(J3821,Roles!$A$17:$A$20,0)),1)</f>
        <v/>
      </c>
      <c r="L3821" s="19" t="n">
        <v>1</v>
      </c>
      <c r="M3821" s="11" t="n">
        <v>1</v>
      </c>
      <c r="N3821" s="19" t="n"/>
      <c r="O3821" s="19" t="n"/>
      <c r="P3821" s="19" t="n"/>
      <c r="Q3821" s="19" t="n"/>
      <c r="R3821" s="19" t="n"/>
      <c r="S3821" s="19" t="n"/>
      <c r="T3821" s="19" t="n"/>
      <c r="U3821" s="19" t="n"/>
      <c r="V3821" s="19" t="n"/>
      <c r="W3821" s="19" t="n">
        <v>1</v>
      </c>
      <c r="X3821" s="19" t="n"/>
      <c r="Y3821" s="19" t="n"/>
      <c r="Z3821" s="13">
        <f>SUMPRODUCT(N3821:Y3821,$N$2:$Y$2)*$K3821*$L3821*$M3821</f>
        <v/>
      </c>
      <c r="AA3821" s="14">
        <f>SUM(N3821:Y3821)</f>
        <v/>
      </c>
      <c r="AB3821" s="13">
        <f>SUMPRODUCT(N3821:Y3821,$N$3:$Y$3)*$K3821*$L3821*$M3821</f>
        <v/>
      </c>
      <c r="AC3821" s="13">
        <f>SUMPRODUCT(N3821:Y3821,$N$4:$Y$4)*$K3821*$L3821*$M3821</f>
        <v/>
      </c>
      <c r="AD3821" s="15" t="n">
        <v>11.26666666666667</v>
      </c>
      <c r="AE3821" s="11" t="n">
        <v>1.390792849126183</v>
      </c>
      <c r="AF3821" s="16">
        <f>SUMPRODUCT(N3821:Y3821,$N$5:$Y$5)*$K3821*$L3821*$M3821</f>
        <v/>
      </c>
      <c r="AG3821" s="16">
        <f>SUMPRODUCT(N3821:Y3821,$N$6:$Y$6)*$K3821*$L3821*$M3821</f>
        <v/>
      </c>
      <c r="AH3821" s="20" t="n"/>
    </row>
    <row r="3822">
      <c r="A3822" s="9" t="n">
        <v>663773</v>
      </c>
      <c r="B3822" s="9" t="inlineStr">
        <is>
          <t>Bryan Hoeing</t>
        </is>
      </c>
      <c r="C3822" s="9" t="inlineStr">
        <is>
          <t>SD</t>
        </is>
      </c>
      <c r="D3822" s="9" t="n">
        <v>30</v>
      </c>
      <c r="E3822" s="18" t="inlineStr">
        <is>
          <t>R</t>
        </is>
      </c>
      <c r="F3822" s="18" t="n"/>
      <c r="G3822" s="9" t="n">
        <v>36</v>
      </c>
      <c r="H3822" s="9" t="n">
        <v>611</v>
      </c>
      <c r="I3822" s="9" t="inlineStr">
        <is>
          <t>Bullpen Depth Arm</t>
        </is>
      </c>
      <c r="J3822" s="18" t="inlineStr">
        <is>
          <t>Opening Day</t>
        </is>
      </c>
      <c r="K3822" s="11">
        <f>IFERROR(INDEX(Roles!$B$17:$B$20,MATCH(J3822,Roles!$A$17:$A$20,0)),1)</f>
        <v/>
      </c>
      <c r="L3822" s="19" t="n">
        <v>1</v>
      </c>
      <c r="M3822" s="11" t="n">
        <v>1</v>
      </c>
      <c r="N3822" s="19" t="n"/>
      <c r="O3822" s="19" t="n"/>
      <c r="P3822" s="19" t="n"/>
      <c r="Q3822" s="19" t="n"/>
      <c r="R3822" s="19" t="n"/>
      <c r="S3822" s="19" t="n"/>
      <c r="T3822" s="19" t="n"/>
      <c r="U3822" s="19" t="n"/>
      <c r="V3822" s="19" t="n">
        <v>0.15</v>
      </c>
      <c r="W3822" s="19" t="n">
        <v>0.85</v>
      </c>
      <c r="X3822" s="19" t="n"/>
      <c r="Y3822" s="19" t="n"/>
      <c r="Z3822" s="13">
        <f>SUMPRODUCT(N3822:Y3822,$N$2:$Y$2)*$K3822*$L3822*$M3822</f>
        <v/>
      </c>
      <c r="AA3822" s="14">
        <f>SUM(N3822:Y3822)</f>
        <v/>
      </c>
      <c r="AB3822" s="13">
        <f>SUMPRODUCT(N3822:Y3822,$N$3:$Y$3)*$K3822*$L3822*$M3822</f>
        <v/>
      </c>
      <c r="AC3822" s="13">
        <f>SUMPRODUCT(N3822:Y3822,$N$4:$Y$4)*$K3822*$L3822*$M3822</f>
        <v/>
      </c>
      <c r="AD3822" s="15" t="n">
        <v>15.26666666666667</v>
      </c>
      <c r="AE3822" s="11" t="n">
        <v>1.285303431136764</v>
      </c>
      <c r="AF3822" s="16">
        <f>SUMPRODUCT(N3822:Y3822,$N$5:$Y$5)*$K3822*$L3822*$M3822</f>
        <v/>
      </c>
      <c r="AG3822" s="16">
        <f>SUMPRODUCT(N3822:Y3822,$N$6:$Y$6)*$K3822*$L3822*$M3822</f>
        <v/>
      </c>
      <c r="AH3822" s="20" t="n"/>
    </row>
    <row r="3823">
      <c r="A3823" s="9" t="n">
        <v>641343</v>
      </c>
      <c r="B3823" s="9" t="inlineStr">
        <is>
          <t>Jake Bauers</t>
        </is>
      </c>
      <c r="C3823" s="9" t="inlineStr">
        <is>
          <t>MIL</t>
        </is>
      </c>
      <c r="D3823" s="9" t="n">
        <v>31</v>
      </c>
      <c r="E3823" s="18" t="inlineStr">
        <is>
          <t>L</t>
        </is>
      </c>
      <c r="F3823" s="18" t="n"/>
      <c r="G3823" s="9" t="n">
        <v>29</v>
      </c>
      <c r="H3823" s="9" t="n">
        <v>49</v>
      </c>
      <c r="I3823" s="9" t="inlineStr">
        <is>
          <t>Bullpen Depth Arm</t>
        </is>
      </c>
      <c r="J3823" s="18" t="inlineStr">
        <is>
          <t>Opening Day</t>
        </is>
      </c>
      <c r="K3823" s="11">
        <f>IFERROR(INDEX(Roles!$B$17:$B$20,MATCH(J3823,Roles!$A$17:$A$20,0)),1)</f>
        <v/>
      </c>
      <c r="L3823" s="19" t="n">
        <v>1</v>
      </c>
      <c r="M3823" s="11" t="n">
        <v>1</v>
      </c>
      <c r="N3823" s="19" t="n"/>
      <c r="O3823" s="19" t="n"/>
      <c r="P3823" s="19" t="n"/>
      <c r="Q3823" s="19" t="n"/>
      <c r="R3823" s="19" t="n"/>
      <c r="S3823" s="19" t="n"/>
      <c r="T3823" s="19" t="n"/>
      <c r="U3823" s="19" t="n"/>
      <c r="V3823" s="19" t="n"/>
      <c r="W3823" s="19" t="n">
        <v>1</v>
      </c>
      <c r="X3823" s="19" t="n"/>
      <c r="Y3823" s="19" t="n"/>
      <c r="Z3823" s="13">
        <f>SUMPRODUCT(N3823:Y3823,$N$2:$Y$2)*$K3823*$L3823*$M3823</f>
        <v/>
      </c>
      <c r="AA3823" s="14">
        <f>SUM(N3823:Y3823)</f>
        <v/>
      </c>
      <c r="AB3823" s="13">
        <f>SUMPRODUCT(N3823:Y3823,$N$3:$Y$3)*$K3823*$L3823*$M3823</f>
        <v/>
      </c>
      <c r="AC3823" s="13">
        <f>SUMPRODUCT(N3823:Y3823,$N$4:$Y$4)*$K3823*$L3823*$M3823</f>
        <v/>
      </c>
      <c r="AD3823" s="15" t="n">
        <v>8.466666666666665</v>
      </c>
      <c r="AE3823" s="11" t="n">
        <v>1.134840468173802</v>
      </c>
      <c r="AF3823" s="16">
        <f>SUMPRODUCT(N3823:Y3823,$N$5:$Y$5)*$K3823*$L3823*$M3823</f>
        <v/>
      </c>
      <c r="AG3823" s="16">
        <f>SUMPRODUCT(N3823:Y3823,$N$6:$Y$6)*$K3823*$L3823*$M3823</f>
        <v/>
      </c>
      <c r="AH3823" s="20" t="n"/>
    </row>
    <row r="3824">
      <c r="A3824" s="9" t="n">
        <v>702885</v>
      </c>
      <c r="B3824" s="9" t="inlineStr">
        <is>
          <t>Cesar Perdomo</t>
        </is>
      </c>
      <c r="C3824" s="9" t="inlineStr">
        <is>
          <t>SF</t>
        </is>
      </c>
      <c r="D3824" s="9" t="n">
        <v>25</v>
      </c>
      <c r="E3824" s="18" t="inlineStr">
        <is>
          <t>L</t>
        </is>
      </c>
      <c r="F3824" s="18" t="n"/>
      <c r="G3824" s="9" t="n">
        <v>104</v>
      </c>
      <c r="H3824" s="9" t="n">
        <v>104</v>
      </c>
      <c r="I3824" s="9" t="inlineStr">
        <is>
          <t>End-of-Rotation Starter (SP4-5)</t>
        </is>
      </c>
      <c r="J3824" s="18" t="inlineStr">
        <is>
          <t>Opening Day</t>
        </is>
      </c>
      <c r="K3824" s="11">
        <f>IFERROR(INDEX(Roles!$B$17:$B$20,MATCH(J3824,Roles!$A$17:$A$20,0)),1)</f>
        <v/>
      </c>
      <c r="L3824" s="19" t="n">
        <v>1</v>
      </c>
      <c r="M3824" s="11" t="n">
        <v>1</v>
      </c>
      <c r="N3824" s="19" t="n"/>
      <c r="O3824" s="19" t="n"/>
      <c r="P3824" s="19" t="n">
        <v>1</v>
      </c>
      <c r="Q3824" s="19" t="n"/>
      <c r="R3824" s="19" t="n"/>
      <c r="S3824" s="19" t="n"/>
      <c r="T3824" s="19" t="n"/>
      <c r="U3824" s="19" t="n"/>
      <c r="V3824" s="19" t="n"/>
      <c r="W3824" s="19" t="n"/>
      <c r="X3824" s="19" t="n"/>
      <c r="Y3824" s="19" t="n"/>
      <c r="Z3824" s="13">
        <f>SUMPRODUCT(N3824:Y3824,$N$2:$Y$2)*$K3824*$L3824*$M3824</f>
        <v/>
      </c>
      <c r="AA3824" s="14">
        <f>SUM(N3824:Y3824)</f>
        <v/>
      </c>
      <c r="AB3824" s="13">
        <f>SUMPRODUCT(N3824:Y3824,$N$3:$Y$3)*$K3824*$L3824*$M3824</f>
        <v/>
      </c>
      <c r="AC3824" s="13">
        <f>SUMPRODUCT(N3824:Y3824,$N$4:$Y$4)*$K3824*$L3824*$M3824</f>
        <v/>
      </c>
      <c r="AD3824" s="15" t="n">
        <v>9.4</v>
      </c>
      <c r="AE3824" s="11" t="n">
        <v>4.681481481481481</v>
      </c>
      <c r="AF3824" s="16">
        <f>SUMPRODUCT(N3824:Y3824,$N$5:$Y$5)*$K3824*$L3824*$M3824</f>
        <v/>
      </c>
      <c r="AG3824" s="16">
        <f>SUMPRODUCT(N3824:Y3824,$N$6:$Y$6)*$K3824*$L3824*$M3824</f>
        <v/>
      </c>
      <c r="AH3824" s="20" t="n"/>
    </row>
    <row r="3825">
      <c r="A3825" s="9" t="n">
        <v>606930</v>
      </c>
      <c r="B3825" s="9" t="inlineStr">
        <is>
          <t>Jacob Barnes</t>
        </is>
      </c>
      <c r="C3825" s="9" t="inlineStr">
        <is>
          <t>TOR</t>
        </is>
      </c>
      <c r="D3825" s="9" t="n">
        <v>37</v>
      </c>
      <c r="E3825" s="18" t="inlineStr">
        <is>
          <t>R</t>
        </is>
      </c>
      <c r="F3825" s="18" t="n"/>
      <c r="G3825" s="9" t="n">
        <v>36</v>
      </c>
      <c r="H3825" s="9" t="n">
        <v>471</v>
      </c>
      <c r="I3825" s="9" t="inlineStr">
        <is>
          <t>Bullpen Depth Arm</t>
        </is>
      </c>
      <c r="J3825" s="18" t="inlineStr">
        <is>
          <t>Opening Day</t>
        </is>
      </c>
      <c r="K3825" s="11">
        <f>IFERROR(INDEX(Roles!$B$17:$B$20,MATCH(J3825,Roles!$A$17:$A$20,0)),1)</f>
        <v/>
      </c>
      <c r="L3825" s="19" t="n">
        <v>1</v>
      </c>
      <c r="M3825" s="11" t="n">
        <v>1</v>
      </c>
      <c r="N3825" s="19" t="n"/>
      <c r="O3825" s="19" t="n"/>
      <c r="P3825" s="19" t="n"/>
      <c r="Q3825" s="19" t="n"/>
      <c r="R3825" s="19" t="n"/>
      <c r="S3825" s="19" t="n"/>
      <c r="T3825" s="19" t="n"/>
      <c r="U3825" s="19" t="n"/>
      <c r="V3825" s="19" t="n"/>
      <c r="W3825" s="19" t="n">
        <v>1</v>
      </c>
      <c r="X3825" s="19" t="n"/>
      <c r="Y3825" s="19" t="n"/>
      <c r="Z3825" s="13">
        <f>SUMPRODUCT(N3825:Y3825,$N$2:$Y$2)*$K3825*$L3825*$M3825</f>
        <v/>
      </c>
      <c r="AA3825" s="14">
        <f>SUM(N3825:Y3825)</f>
        <v/>
      </c>
      <c r="AB3825" s="13">
        <f>SUMPRODUCT(N3825:Y3825,$N$3:$Y$3)*$K3825*$L3825*$M3825</f>
        <v/>
      </c>
      <c r="AC3825" s="13">
        <f>SUMPRODUCT(N3825:Y3825,$N$4:$Y$4)*$K3825*$L3825*$M3825</f>
        <v/>
      </c>
      <c r="AD3825" s="15" t="n">
        <v>20.66666666666666</v>
      </c>
      <c r="AE3825" s="11" t="n">
        <v>1.165951579284912</v>
      </c>
      <c r="AF3825" s="16">
        <f>SUMPRODUCT(N3825:Y3825,$N$5:$Y$5)*$K3825*$L3825*$M3825</f>
        <v/>
      </c>
      <c r="AG3825" s="16">
        <f>SUMPRODUCT(N3825:Y3825,$N$6:$Y$6)*$K3825*$L3825*$M3825</f>
        <v/>
      </c>
      <c r="AH3825" s="20" t="n"/>
    </row>
    <row r="3826">
      <c r="A3826" s="9" t="n">
        <v>681890</v>
      </c>
      <c r="B3826" s="9" t="inlineStr">
        <is>
          <t>Troy Watson</t>
        </is>
      </c>
      <c r="C3826" s="9" t="inlineStr">
        <is>
          <t>SEA</t>
        </is>
      </c>
      <c r="D3826" s="9" t="n">
        <v>25</v>
      </c>
      <c r="E3826" s="18" t="inlineStr">
        <is>
          <t>R</t>
        </is>
      </c>
      <c r="F3826" s="18" t="n"/>
      <c r="G3826" s="9" t="n">
        <v>165.55</v>
      </c>
      <c r="H3826" s="9" t="n">
        <v>165.55</v>
      </c>
      <c r="I3826" s="9" t="inlineStr">
        <is>
          <t>Depth (no MLB IP)</t>
        </is>
      </c>
      <c r="J3826" s="18" t="inlineStr">
        <is>
          <t>Opening Day</t>
        </is>
      </c>
      <c r="K3826" s="11">
        <f>IFERROR(INDEX(Roles!$B$17:$B$20,MATCH(J3826,Roles!$A$17:$A$20,0)),1)</f>
        <v/>
      </c>
      <c r="L3826" s="19" t="n">
        <v>1</v>
      </c>
      <c r="M3826" s="11" t="n">
        <v>1</v>
      </c>
      <c r="N3826" s="19" t="n"/>
      <c r="O3826" s="19" t="n"/>
      <c r="P3826" s="19" t="n"/>
      <c r="Q3826" s="19" t="n"/>
      <c r="R3826" s="19" t="n"/>
      <c r="S3826" s="19" t="n"/>
      <c r="T3826" s="19" t="n"/>
      <c r="U3826" s="19" t="n"/>
      <c r="V3826" s="19" t="n"/>
      <c r="W3826" s="19" t="n"/>
      <c r="X3826" s="19" t="n"/>
      <c r="Y3826" s="19" t="n">
        <v>1</v>
      </c>
      <c r="Z3826" s="13">
        <f>SUMPRODUCT(N3826:Y3826,$N$2:$Y$2)*$K3826*$L3826*$M3826</f>
        <v/>
      </c>
      <c r="AA3826" s="14">
        <f>SUM(N3826:Y3826)</f>
        <v/>
      </c>
      <c r="AB3826" s="13">
        <f>SUMPRODUCT(N3826:Y3826,$N$3:$Y$3)*$K3826*$L3826*$M3826</f>
        <v/>
      </c>
      <c r="AC3826" s="13">
        <f>SUMPRODUCT(N3826:Y3826,$N$4:$Y$4)*$K3826*$L3826*$M3826</f>
        <v/>
      </c>
      <c r="AD3826" s="15" t="n">
        <v>3</v>
      </c>
      <c r="AE3826" s="11" t="n">
        <v>1.011296296296296</v>
      </c>
      <c r="AF3826" s="16">
        <f>SUMPRODUCT(N3826:Y3826,$N$5:$Y$5)*$K3826*$L3826*$M3826</f>
        <v/>
      </c>
      <c r="AG3826" s="16">
        <f>SUMPRODUCT(N3826:Y3826,$N$6:$Y$6)*$K3826*$L3826*$M3826</f>
        <v/>
      </c>
      <c r="AH3826" s="20" t="n"/>
    </row>
    <row r="3827">
      <c r="A3827" s="9" t="n">
        <v>547943</v>
      </c>
      <c r="B3827" s="9" t="inlineStr">
        <is>
          <t>Hyun Jin Ryu</t>
        </is>
      </c>
      <c r="C3827" s="9" t="inlineStr">
        <is>
          <t>TOR</t>
        </is>
      </c>
      <c r="D3827" s="9" t="n">
        <v>40</v>
      </c>
      <c r="E3827" s="18" t="inlineStr">
        <is>
          <t>L</t>
        </is>
      </c>
      <c r="F3827" s="18" t="n"/>
      <c r="G3827" s="9" t="n">
        <v>224</v>
      </c>
      <c r="H3827" s="9" t="n">
        <v>337</v>
      </c>
      <c r="I3827" s="9" t="inlineStr">
        <is>
          <t>Depth (no MLB IP)</t>
        </is>
      </c>
      <c r="J3827" s="18" t="inlineStr">
        <is>
          <t>Opening Day</t>
        </is>
      </c>
      <c r="K3827" s="11">
        <f>IFERROR(INDEX(Roles!$B$17:$B$20,MATCH(J3827,Roles!$A$17:$A$20,0)),1)</f>
        <v/>
      </c>
      <c r="L3827" s="19" t="n">
        <v>1</v>
      </c>
      <c r="M3827" s="11" t="n">
        <v>1</v>
      </c>
      <c r="N3827" s="19" t="n"/>
      <c r="O3827" s="19" t="n"/>
      <c r="P3827" s="19" t="n"/>
      <c r="Q3827" s="19" t="n"/>
      <c r="R3827" s="19" t="n"/>
      <c r="S3827" s="19" t="n"/>
      <c r="T3827" s="19" t="n"/>
      <c r="U3827" s="19" t="n"/>
      <c r="V3827" s="19" t="n"/>
      <c r="W3827" s="19" t="n"/>
      <c r="X3827" s="19" t="n"/>
      <c r="Y3827" s="19" t="n">
        <v>1</v>
      </c>
      <c r="Z3827" s="13">
        <f>SUMPRODUCT(N3827:Y3827,$N$2:$Y$2)*$K3827*$L3827*$M3827</f>
        <v/>
      </c>
      <c r="AA3827" s="14">
        <f>SUM(N3827:Y3827)</f>
        <v/>
      </c>
      <c r="AB3827" s="13">
        <f>SUMPRODUCT(N3827:Y3827,$N$3:$Y$3)*$K3827*$L3827*$M3827</f>
        <v/>
      </c>
      <c r="AC3827" s="13">
        <f>SUMPRODUCT(N3827:Y3827,$N$4:$Y$4)*$K3827*$L3827*$M3827</f>
        <v/>
      </c>
      <c r="AD3827" s="15" t="n">
        <v>3</v>
      </c>
      <c r="AE3827" s="11" t="n">
        <v>1.011296296296296</v>
      </c>
      <c r="AF3827" s="16">
        <f>SUMPRODUCT(N3827:Y3827,$N$5:$Y$5)*$K3827*$L3827*$M3827</f>
        <v/>
      </c>
      <c r="AG3827" s="16">
        <f>SUMPRODUCT(N3827:Y3827,$N$6:$Y$6)*$K3827*$L3827*$M3827</f>
        <v/>
      </c>
      <c r="AH3827" s="20" t="n"/>
    </row>
    <row r="3828">
      <c r="A3828" s="9" t="n">
        <v>801078</v>
      </c>
      <c r="B3828" s="9" t="inlineStr">
        <is>
          <t>Braden Davis</t>
        </is>
      </c>
      <c r="C3828" s="9" t="inlineStr">
        <is>
          <t>STL</t>
        </is>
      </c>
      <c r="D3828" s="9" t="n">
        <v>25</v>
      </c>
      <c r="E3828" s="18" t="inlineStr">
        <is>
          <t>L</t>
        </is>
      </c>
      <c r="F3828" s="18" t="n"/>
      <c r="G3828" s="9" t="n">
        <v>165.55</v>
      </c>
      <c r="H3828" s="9" t="n">
        <v>165.55</v>
      </c>
      <c r="I3828" s="9" t="inlineStr">
        <is>
          <t>Depth (no MLB IP)</t>
        </is>
      </c>
      <c r="J3828" s="18" t="inlineStr">
        <is>
          <t>Opening Day</t>
        </is>
      </c>
      <c r="K3828" s="11">
        <f>IFERROR(INDEX(Roles!$B$17:$B$20,MATCH(J3828,Roles!$A$17:$A$20,0)),1)</f>
        <v/>
      </c>
      <c r="L3828" s="19" t="n">
        <v>1</v>
      </c>
      <c r="M3828" s="11" t="n">
        <v>1</v>
      </c>
      <c r="N3828" s="19" t="n"/>
      <c r="O3828" s="19" t="n"/>
      <c r="P3828" s="19" t="n"/>
      <c r="Q3828" s="19" t="n"/>
      <c r="R3828" s="19" t="n"/>
      <c r="S3828" s="19" t="n"/>
      <c r="T3828" s="19" t="n"/>
      <c r="U3828" s="19" t="n"/>
      <c r="V3828" s="19" t="n"/>
      <c r="W3828" s="19" t="n"/>
      <c r="X3828" s="19" t="n"/>
      <c r="Y3828" s="19" t="n">
        <v>1</v>
      </c>
      <c r="Z3828" s="13">
        <f>SUMPRODUCT(N3828:Y3828,$N$2:$Y$2)*$K3828*$L3828*$M3828</f>
        <v/>
      </c>
      <c r="AA3828" s="14">
        <f>SUM(N3828:Y3828)</f>
        <v/>
      </c>
      <c r="AB3828" s="13">
        <f>SUMPRODUCT(N3828:Y3828,$N$3:$Y$3)*$K3828*$L3828*$M3828</f>
        <v/>
      </c>
      <c r="AC3828" s="13">
        <f>SUMPRODUCT(N3828:Y3828,$N$4:$Y$4)*$K3828*$L3828*$M3828</f>
        <v/>
      </c>
      <c r="AD3828" s="15" t="n">
        <v>3</v>
      </c>
      <c r="AE3828" s="11" t="n">
        <v>1.011296296296296</v>
      </c>
      <c r="AF3828" s="16">
        <f>SUMPRODUCT(N3828:Y3828,$N$5:$Y$5)*$K3828*$L3828*$M3828</f>
        <v/>
      </c>
      <c r="AG3828" s="16">
        <f>SUMPRODUCT(N3828:Y3828,$N$6:$Y$6)*$K3828*$L3828*$M3828</f>
        <v/>
      </c>
      <c r="AH3828" s="20" t="n"/>
    </row>
    <row r="3829">
      <c r="A3829" s="9" t="n">
        <v>805661</v>
      </c>
      <c r="B3829" s="9" t="inlineStr">
        <is>
          <t>Greg Farone</t>
        </is>
      </c>
      <c r="C3829" s="9" t="inlineStr">
        <is>
          <t>SF</t>
        </is>
      </c>
      <c r="D3829" s="9" t="n">
        <v>25</v>
      </c>
      <c r="E3829" s="18" t="inlineStr">
        <is>
          <t>L</t>
        </is>
      </c>
      <c r="F3829" s="18" t="n"/>
      <c r="G3829" s="9" t="n">
        <v>165.55</v>
      </c>
      <c r="H3829" s="9" t="n">
        <v>165.55</v>
      </c>
      <c r="I3829" s="9" t="inlineStr">
        <is>
          <t>Depth (no MLB IP)</t>
        </is>
      </c>
      <c r="J3829" s="18" t="inlineStr">
        <is>
          <t>Opening Day</t>
        </is>
      </c>
      <c r="K3829" s="11">
        <f>IFERROR(INDEX(Roles!$B$17:$B$20,MATCH(J3829,Roles!$A$17:$A$20,0)),1)</f>
        <v/>
      </c>
      <c r="L3829" s="19" t="n">
        <v>1</v>
      </c>
      <c r="M3829" s="11" t="n">
        <v>1</v>
      </c>
      <c r="N3829" s="19" t="n"/>
      <c r="O3829" s="19" t="n"/>
      <c r="P3829" s="19" t="n"/>
      <c r="Q3829" s="19" t="n"/>
      <c r="R3829" s="19" t="n"/>
      <c r="S3829" s="19" t="n"/>
      <c r="T3829" s="19" t="n"/>
      <c r="U3829" s="19" t="n"/>
      <c r="V3829" s="19" t="n"/>
      <c r="W3829" s="19" t="n"/>
      <c r="X3829" s="19" t="n"/>
      <c r="Y3829" s="19" t="n">
        <v>1</v>
      </c>
      <c r="Z3829" s="13">
        <f>SUMPRODUCT(N3829:Y3829,$N$2:$Y$2)*$K3829*$L3829*$M3829</f>
        <v/>
      </c>
      <c r="AA3829" s="14">
        <f>SUM(N3829:Y3829)</f>
        <v/>
      </c>
      <c r="AB3829" s="13">
        <f>SUMPRODUCT(N3829:Y3829,$N$3:$Y$3)*$K3829*$L3829*$M3829</f>
        <v/>
      </c>
      <c r="AC3829" s="13">
        <f>SUMPRODUCT(N3829:Y3829,$N$4:$Y$4)*$K3829*$L3829*$M3829</f>
        <v/>
      </c>
      <c r="AD3829" s="15" t="n">
        <v>3</v>
      </c>
      <c r="AE3829" s="11" t="n">
        <v>1.011296296296296</v>
      </c>
      <c r="AF3829" s="16">
        <f>SUMPRODUCT(N3829:Y3829,$N$5:$Y$5)*$K3829*$L3829*$M3829</f>
        <v/>
      </c>
      <c r="AG3829" s="16">
        <f>SUMPRODUCT(N3829:Y3829,$N$6:$Y$6)*$K3829*$L3829*$M3829</f>
        <v/>
      </c>
      <c r="AH3829" s="20" t="n"/>
    </row>
    <row r="3830">
      <c r="A3830" s="9" t="n">
        <v>545121</v>
      </c>
      <c r="B3830" s="9" t="inlineStr">
        <is>
          <t>Ildemaro Vargas</t>
        </is>
      </c>
      <c r="C3830" s="9" t="inlineStr">
        <is>
          <t>ARI</t>
        </is>
      </c>
      <c r="D3830" s="9" t="n">
        <v>35</v>
      </c>
      <c r="E3830" s="18" t="inlineStr">
        <is>
          <t>R</t>
        </is>
      </c>
      <c r="F3830" s="18" t="n"/>
      <c r="G3830" s="9" t="n">
        <v>17</v>
      </c>
      <c r="H3830" s="9" t="n">
        <v>39</v>
      </c>
      <c r="I3830" s="9" t="inlineStr">
        <is>
          <t>Depth (no MLB IP)</t>
        </is>
      </c>
      <c r="J3830" s="18" t="inlineStr">
        <is>
          <t>Opening Day</t>
        </is>
      </c>
      <c r="K3830" s="11">
        <f>IFERROR(INDEX(Roles!$B$17:$B$20,MATCH(J3830,Roles!$A$17:$A$20,0)),1)</f>
        <v/>
      </c>
      <c r="L3830" s="19" t="n">
        <v>1</v>
      </c>
      <c r="M3830" s="11" t="n">
        <v>1</v>
      </c>
      <c r="N3830" s="19" t="n"/>
      <c r="O3830" s="19" t="n"/>
      <c r="P3830" s="19" t="n"/>
      <c r="Q3830" s="19" t="n"/>
      <c r="R3830" s="19" t="n"/>
      <c r="S3830" s="19" t="n"/>
      <c r="T3830" s="19" t="n"/>
      <c r="U3830" s="19" t="n"/>
      <c r="V3830" s="19" t="n"/>
      <c r="W3830" s="19" t="n"/>
      <c r="X3830" s="19" t="n"/>
      <c r="Y3830" s="19" t="n">
        <v>1</v>
      </c>
      <c r="Z3830" s="13">
        <f>SUMPRODUCT(N3830:Y3830,$N$2:$Y$2)*$K3830*$L3830*$M3830</f>
        <v/>
      </c>
      <c r="AA3830" s="14">
        <f>SUM(N3830:Y3830)</f>
        <v/>
      </c>
      <c r="AB3830" s="13">
        <f>SUMPRODUCT(N3830:Y3830,$N$3:$Y$3)*$K3830*$L3830*$M3830</f>
        <v/>
      </c>
      <c r="AC3830" s="13">
        <f>SUMPRODUCT(N3830:Y3830,$N$4:$Y$4)*$K3830*$L3830*$M3830</f>
        <v/>
      </c>
      <c r="AD3830" s="15" t="n">
        <v>2.85</v>
      </c>
      <c r="AE3830" s="11" t="n">
        <v>1.068136924803591</v>
      </c>
      <c r="AF3830" s="16">
        <f>SUMPRODUCT(N3830:Y3830,$N$5:$Y$5)*$K3830*$L3830*$M3830</f>
        <v/>
      </c>
      <c r="AG3830" s="16">
        <f>SUMPRODUCT(N3830:Y3830,$N$6:$Y$6)*$K3830*$L3830*$M3830</f>
        <v/>
      </c>
      <c r="AH3830" s="20" t="n"/>
    </row>
    <row r="3831">
      <c r="A3831" s="9" t="n">
        <v>607067</v>
      </c>
      <c r="B3831" s="9" t="inlineStr">
        <is>
          <t>Colin Rea</t>
        </is>
      </c>
      <c r="C3831" s="9" t="inlineStr">
        <is>
          <t>CHC</t>
        </is>
      </c>
      <c r="D3831" s="9" t="n">
        <v>36</v>
      </c>
      <c r="E3831" s="18" t="inlineStr">
        <is>
          <t>R</t>
        </is>
      </c>
      <c r="F3831" s="18" t="n"/>
      <c r="G3831" s="9" t="n">
        <v>587</v>
      </c>
      <c r="H3831" s="9" t="n">
        <v>2480</v>
      </c>
      <c r="I3831" s="9" t="inlineStr">
        <is>
          <t>Swing Arm / Long Relief</t>
        </is>
      </c>
      <c r="J3831" s="18" t="inlineStr">
        <is>
          <t>Opening Day</t>
        </is>
      </c>
      <c r="K3831" s="11">
        <f>IFERROR(INDEX(Roles!$B$17:$B$20,MATCH(J3831,Roles!$A$17:$A$20,0)),1)</f>
        <v/>
      </c>
      <c r="L3831" s="19" t="n">
        <v>1</v>
      </c>
      <c r="M3831" s="11" t="n">
        <v>1</v>
      </c>
      <c r="N3831" s="19" t="n"/>
      <c r="O3831" s="19" t="n"/>
      <c r="P3831" s="19" t="n"/>
      <c r="Q3831" s="19" t="n"/>
      <c r="R3831" s="19" t="n">
        <v>0.6</v>
      </c>
      <c r="S3831" s="19" t="n"/>
      <c r="T3831" s="19" t="n"/>
      <c r="U3831" s="19" t="n"/>
      <c r="V3831" s="19" t="n"/>
      <c r="W3831" s="19" t="n">
        <v>0.4</v>
      </c>
      <c r="X3831" s="19" t="n"/>
      <c r="Y3831" s="19" t="n"/>
      <c r="Z3831" s="13">
        <f>SUMPRODUCT(N3831:Y3831,$N$2:$Y$2)*$K3831*$L3831*$M3831</f>
        <v/>
      </c>
      <c r="AA3831" s="14">
        <f>SUM(N3831:Y3831)</f>
        <v/>
      </c>
      <c r="AB3831" s="13">
        <f>SUMPRODUCT(N3831:Y3831,$N$3:$Y$3)*$K3831*$L3831*$M3831</f>
        <v/>
      </c>
      <c r="AC3831" s="13">
        <f>SUMPRODUCT(N3831:Y3831,$N$4:$Y$4)*$K3831*$L3831*$M3831</f>
        <v/>
      </c>
      <c r="AD3831" s="15" t="n">
        <v>27.93333333333333</v>
      </c>
      <c r="AE3831" s="11" t="n">
        <v>3.179150337620283</v>
      </c>
      <c r="AF3831" s="16">
        <f>SUMPRODUCT(N3831:Y3831,$N$5:$Y$5)*$K3831*$L3831*$M3831</f>
        <v/>
      </c>
      <c r="AG3831" s="16">
        <f>SUMPRODUCT(N3831:Y3831,$N$6:$Y$6)*$K3831*$L3831*$M3831</f>
        <v/>
      </c>
      <c r="AH3831" s="20" t="n"/>
    </row>
    <row r="3832">
      <c r="A3832" s="9" t="n">
        <v>502179</v>
      </c>
      <c r="B3832" s="9" t="inlineStr">
        <is>
          <t>Paolo Espino</t>
        </is>
      </c>
      <c r="C3832" s="9" t="inlineStr">
        <is>
          <t>TOR</t>
        </is>
      </c>
      <c r="D3832" s="9" t="n">
        <v>40</v>
      </c>
      <c r="E3832" s="18" t="inlineStr">
        <is>
          <t>R</t>
        </is>
      </c>
      <c r="F3832" s="18" t="n"/>
      <c r="G3832" s="9" t="n">
        <v>44</v>
      </c>
      <c r="H3832" s="9" t="n">
        <v>559</v>
      </c>
      <c r="I3832" s="9" t="inlineStr">
        <is>
          <t>Depth (no MLB IP)</t>
        </is>
      </c>
      <c r="J3832" s="18" t="inlineStr">
        <is>
          <t>Opening Day</t>
        </is>
      </c>
      <c r="K3832" s="11">
        <f>IFERROR(INDEX(Roles!$B$17:$B$20,MATCH(J3832,Roles!$A$17:$A$20,0)),1)</f>
        <v/>
      </c>
      <c r="L3832" s="19" t="n">
        <v>1</v>
      </c>
      <c r="M3832" s="11" t="n">
        <v>1</v>
      </c>
      <c r="N3832" s="19" t="n"/>
      <c r="O3832" s="19" t="n"/>
      <c r="P3832" s="19" t="n"/>
      <c r="Q3832" s="19" t="n"/>
      <c r="R3832" s="19" t="n"/>
      <c r="S3832" s="19" t="n"/>
      <c r="T3832" s="19" t="n"/>
      <c r="U3832" s="19" t="n"/>
      <c r="V3832" s="19" t="n"/>
      <c r="W3832" s="19" t="n"/>
      <c r="X3832" s="19" t="n"/>
      <c r="Y3832" s="19" t="n">
        <v>1</v>
      </c>
      <c r="Z3832" s="13">
        <f>SUMPRODUCT(N3832:Y3832,$N$2:$Y$2)*$K3832*$L3832*$M3832</f>
        <v/>
      </c>
      <c r="AA3832" s="14">
        <f>SUM(N3832:Y3832)</f>
        <v/>
      </c>
      <c r="AB3832" s="13">
        <f>SUMPRODUCT(N3832:Y3832,$N$3:$Y$3)*$K3832*$L3832*$M3832</f>
        <v/>
      </c>
      <c r="AC3832" s="13">
        <f>SUMPRODUCT(N3832:Y3832,$N$4:$Y$4)*$K3832*$L3832*$M3832</f>
        <v/>
      </c>
      <c r="AD3832" s="15" t="n">
        <v>3</v>
      </c>
      <c r="AE3832" s="11" t="n">
        <v>1.63716049382716</v>
      </c>
      <c r="AF3832" s="16">
        <f>SUMPRODUCT(N3832:Y3832,$N$5:$Y$5)*$K3832*$L3832*$M3832</f>
        <v/>
      </c>
      <c r="AG3832" s="16">
        <f>SUMPRODUCT(N3832:Y3832,$N$6:$Y$6)*$K3832*$L3832*$M3832</f>
        <v/>
      </c>
      <c r="AH3832" s="20" t="n"/>
    </row>
    <row r="3833">
      <c r="A3833" s="9" t="n">
        <v>621111</v>
      </c>
      <c r="B3833" s="9" t="inlineStr">
        <is>
          <t>Walker Buehler</t>
        </is>
      </c>
      <c r="C3833" s="9" t="inlineStr">
        <is>
          <t>SD</t>
        </is>
      </c>
      <c r="D3833" s="9" t="n">
        <v>32</v>
      </c>
      <c r="E3833" s="18" t="inlineStr">
        <is>
          <t>R</t>
        </is>
      </c>
      <c r="F3833" s="18" t="n"/>
      <c r="G3833" s="9" t="n">
        <v>651</v>
      </c>
      <c r="H3833" s="9" t="n">
        <v>1834</v>
      </c>
      <c r="I3833" s="9" t="inlineStr">
        <is>
          <t>End-of-Rotation Starter (SP4-5)</t>
        </is>
      </c>
      <c r="J3833" s="18" t="inlineStr">
        <is>
          <t>Opening Day</t>
        </is>
      </c>
      <c r="K3833" s="11">
        <f>IFERROR(INDEX(Roles!$B$17:$B$20,MATCH(J3833,Roles!$A$17:$A$20,0)),1)</f>
        <v/>
      </c>
      <c r="L3833" s="19" t="n">
        <v>1</v>
      </c>
      <c r="M3833" s="11" t="n">
        <v>1</v>
      </c>
      <c r="N3833" s="19" t="n"/>
      <c r="O3833" s="19" t="n"/>
      <c r="P3833" s="19" t="n">
        <v>0.5</v>
      </c>
      <c r="Q3833" s="19" t="n"/>
      <c r="R3833" s="19" t="n">
        <v>0.5</v>
      </c>
      <c r="S3833" s="19" t="n"/>
      <c r="T3833" s="19" t="n"/>
      <c r="U3833" s="19" t="n"/>
      <c r="V3833" s="19" t="n"/>
      <c r="W3833" s="19" t="n"/>
      <c r="X3833" s="19" t="n"/>
      <c r="Y3833" s="19" t="n"/>
      <c r="Z3833" s="13">
        <f>SUMPRODUCT(N3833:Y3833,$N$2:$Y$2)*$K3833*$L3833*$M3833</f>
        <v/>
      </c>
      <c r="AA3833" s="14">
        <f>SUM(N3833:Y3833)</f>
        <v/>
      </c>
      <c r="AB3833" s="13">
        <f>SUMPRODUCT(N3833:Y3833,$N$3:$Y$3)*$K3833*$L3833*$M3833</f>
        <v/>
      </c>
      <c r="AC3833" s="13">
        <f>SUMPRODUCT(N3833:Y3833,$N$4:$Y$4)*$K3833*$L3833*$M3833</f>
        <v/>
      </c>
      <c r="AD3833" s="15" t="n">
        <v>22.8</v>
      </c>
      <c r="AE3833" s="11" t="n">
        <v>4.639340560072267</v>
      </c>
      <c r="AF3833" s="16">
        <f>SUMPRODUCT(N3833:Y3833,$N$5:$Y$5)*$K3833*$L3833*$M3833</f>
        <v/>
      </c>
      <c r="AG3833" s="16">
        <f>SUMPRODUCT(N3833:Y3833,$N$6:$Y$6)*$K3833*$L3833*$M3833</f>
        <v/>
      </c>
      <c r="AH3833" s="20" t="n"/>
    </row>
    <row r="3834">
      <c r="A3834" s="9" t="n">
        <v>656818</v>
      </c>
      <c r="B3834" s="9" t="inlineStr">
        <is>
          <t>Connor Overton</t>
        </is>
      </c>
      <c r="C3834" s="9" t="inlineStr">
        <is>
          <t>CIN</t>
        </is>
      </c>
      <c r="D3834" s="9" t="n">
        <v>33</v>
      </c>
      <c r="E3834" s="18" t="inlineStr">
        <is>
          <t>R</t>
        </is>
      </c>
      <c r="F3834" s="18" t="n"/>
      <c r="G3834" s="9" t="n">
        <v>55</v>
      </c>
      <c r="H3834" s="9" t="n">
        <v>179</v>
      </c>
      <c r="I3834" s="9" t="inlineStr">
        <is>
          <t>Depth (no MLB IP)</t>
        </is>
      </c>
      <c r="J3834" s="18" t="inlineStr">
        <is>
          <t>Opening Day</t>
        </is>
      </c>
      <c r="K3834" s="11">
        <f>IFERROR(INDEX(Roles!$B$17:$B$20,MATCH(J3834,Roles!$A$17:$A$20,0)),1)</f>
        <v/>
      </c>
      <c r="L3834" s="19" t="n">
        <v>1</v>
      </c>
      <c r="M3834" s="11" t="n">
        <v>1</v>
      </c>
      <c r="N3834" s="19" t="n"/>
      <c r="O3834" s="19" t="n"/>
      <c r="P3834" s="19" t="n"/>
      <c r="Q3834" s="19" t="n"/>
      <c r="R3834" s="19" t="n"/>
      <c r="S3834" s="19" t="n"/>
      <c r="T3834" s="19" t="n"/>
      <c r="U3834" s="19" t="n"/>
      <c r="V3834" s="19" t="n"/>
      <c r="W3834" s="19" t="n"/>
      <c r="X3834" s="19" t="n"/>
      <c r="Y3834" s="19" t="n">
        <v>1</v>
      </c>
      <c r="Z3834" s="13">
        <f>SUMPRODUCT(N3834:Y3834,$N$2:$Y$2)*$K3834*$L3834*$M3834</f>
        <v/>
      </c>
      <c r="AA3834" s="14">
        <f>SUM(N3834:Y3834)</f>
        <v/>
      </c>
      <c r="AB3834" s="13">
        <f>SUMPRODUCT(N3834:Y3834,$N$3:$Y$3)*$K3834*$L3834*$M3834</f>
        <v/>
      </c>
      <c r="AC3834" s="13">
        <f>SUMPRODUCT(N3834:Y3834,$N$4:$Y$4)*$K3834*$L3834*$M3834</f>
        <v/>
      </c>
      <c r="AD3834" s="15" t="n">
        <v>3</v>
      </c>
      <c r="AE3834" s="11" t="n">
        <v>1.011296296296296</v>
      </c>
      <c r="AF3834" s="16">
        <f>SUMPRODUCT(N3834:Y3834,$N$5:$Y$5)*$K3834*$L3834*$M3834</f>
        <v/>
      </c>
      <c r="AG3834" s="16">
        <f>SUMPRODUCT(N3834:Y3834,$N$6:$Y$6)*$K3834*$L3834*$M3834</f>
        <v/>
      </c>
      <c r="AH3834" s="20" t="n"/>
    </row>
    <row r="3835">
      <c r="A3835" s="9" t="n">
        <v>670810</v>
      </c>
      <c r="B3835" s="9" t="inlineStr">
        <is>
          <t>Logan Gillaspie</t>
        </is>
      </c>
      <c r="C3835" s="9" t="inlineStr">
        <is>
          <t>SD</t>
        </is>
      </c>
      <c r="D3835" s="9" t="n">
        <v>30</v>
      </c>
      <c r="E3835" s="18" t="inlineStr">
        <is>
          <t>R</t>
        </is>
      </c>
      <c r="F3835" s="18" t="n"/>
      <c r="G3835" s="9" t="n">
        <v>31</v>
      </c>
      <c r="H3835" s="9" t="n">
        <v>200</v>
      </c>
      <c r="I3835" s="9" t="inlineStr">
        <is>
          <t>Bullpen Depth Arm</t>
        </is>
      </c>
      <c r="J3835" s="18" t="inlineStr">
        <is>
          <t>Opening Day</t>
        </is>
      </c>
      <c r="K3835" s="11">
        <f>IFERROR(INDEX(Roles!$B$17:$B$20,MATCH(J3835,Roles!$A$17:$A$20,0)),1)</f>
        <v/>
      </c>
      <c r="L3835" s="19" t="n">
        <v>1</v>
      </c>
      <c r="M3835" s="11" t="n">
        <v>1</v>
      </c>
      <c r="N3835" s="19" t="n"/>
      <c r="O3835" s="19" t="n"/>
      <c r="P3835" s="19" t="n"/>
      <c r="Q3835" s="19" t="n"/>
      <c r="R3835" s="19" t="n"/>
      <c r="S3835" s="19" t="n"/>
      <c r="T3835" s="19" t="n"/>
      <c r="U3835" s="19" t="n"/>
      <c r="V3835" s="19" t="n"/>
      <c r="W3835" s="19" t="n">
        <v>1</v>
      </c>
      <c r="X3835" s="19" t="n"/>
      <c r="Y3835" s="19" t="n"/>
      <c r="Z3835" s="13">
        <f>SUMPRODUCT(N3835:Y3835,$N$2:$Y$2)*$K3835*$L3835*$M3835</f>
        <v/>
      </c>
      <c r="AA3835" s="14">
        <f>SUM(N3835:Y3835)</f>
        <v/>
      </c>
      <c r="AB3835" s="13">
        <f>SUMPRODUCT(N3835:Y3835,$N$3:$Y$3)*$K3835*$L3835*$M3835</f>
        <v/>
      </c>
      <c r="AC3835" s="13">
        <f>SUMPRODUCT(N3835:Y3835,$N$4:$Y$4)*$K3835*$L3835*$M3835</f>
        <v/>
      </c>
      <c r="AD3835" s="15" t="n">
        <v>8.666666666666666</v>
      </c>
      <c r="AE3835" s="11" t="n">
        <v>1.364470097803431</v>
      </c>
      <c r="AF3835" s="16">
        <f>SUMPRODUCT(N3835:Y3835,$N$5:$Y$5)*$K3835*$L3835*$M3835</f>
        <v/>
      </c>
      <c r="AG3835" s="16">
        <f>SUMPRODUCT(N3835:Y3835,$N$6:$Y$6)*$K3835*$L3835*$M3835</f>
        <v/>
      </c>
      <c r="AH3835" s="20" t="n"/>
    </row>
    <row r="3836">
      <c r="A3836" s="9" t="n">
        <v>656212</v>
      </c>
      <c r="B3836" s="9" t="inlineStr">
        <is>
          <t>Charlie Barnes</t>
        </is>
      </c>
      <c r="C3836" s="9" t="inlineStr">
        <is>
          <t>LAD</t>
        </is>
      </c>
      <c r="D3836" s="9" t="n">
        <v>31</v>
      </c>
      <c r="E3836" s="18" t="inlineStr">
        <is>
          <t>L</t>
        </is>
      </c>
      <c r="F3836" s="18" t="n"/>
      <c r="G3836" s="9" t="n">
        <v>63</v>
      </c>
      <c r="H3836" s="9" t="n">
        <v>63</v>
      </c>
      <c r="I3836" s="9" t="inlineStr">
        <is>
          <t>Bullpen Depth Arm</t>
        </is>
      </c>
      <c r="J3836" s="18" t="inlineStr">
        <is>
          <t>Opening Day</t>
        </is>
      </c>
      <c r="K3836" s="11">
        <f>IFERROR(INDEX(Roles!$B$17:$B$20,MATCH(J3836,Roles!$A$17:$A$20,0)),1)</f>
        <v/>
      </c>
      <c r="L3836" s="19" t="n">
        <v>1</v>
      </c>
      <c r="M3836" s="11" t="n">
        <v>1</v>
      </c>
      <c r="N3836" s="19" t="n"/>
      <c r="O3836" s="19" t="n"/>
      <c r="P3836" s="19" t="n"/>
      <c r="Q3836" s="19" t="n"/>
      <c r="R3836" s="19" t="n"/>
      <c r="S3836" s="19" t="n"/>
      <c r="T3836" s="19" t="n"/>
      <c r="U3836" s="19" t="n"/>
      <c r="V3836" s="19" t="n"/>
      <c r="W3836" s="19" t="n">
        <v>1</v>
      </c>
      <c r="X3836" s="19" t="n"/>
      <c r="Y3836" s="19" t="n"/>
      <c r="Z3836" s="13">
        <f>SUMPRODUCT(N3836:Y3836,$N$2:$Y$2)*$K3836*$L3836*$M3836</f>
        <v/>
      </c>
      <c r="AA3836" s="14">
        <f>SUM(N3836:Y3836)</f>
        <v/>
      </c>
      <c r="AB3836" s="13">
        <f>SUMPRODUCT(N3836:Y3836,$N$3:$Y$3)*$K3836*$L3836*$M3836</f>
        <v/>
      </c>
      <c r="AC3836" s="13">
        <f>SUMPRODUCT(N3836:Y3836,$N$4:$Y$4)*$K3836*$L3836*$M3836</f>
        <v/>
      </c>
      <c r="AD3836" s="15" t="n">
        <v>8.666666666666666</v>
      </c>
      <c r="AE3836" s="11" t="n">
        <v>1.668173801507135</v>
      </c>
      <c r="AF3836" s="16">
        <f>SUMPRODUCT(N3836:Y3836,$N$5:$Y$5)*$K3836*$L3836*$M3836</f>
        <v/>
      </c>
      <c r="AG3836" s="16">
        <f>SUMPRODUCT(N3836:Y3836,$N$6:$Y$6)*$K3836*$L3836*$M3836</f>
        <v/>
      </c>
      <c r="AH3836" s="20" t="n"/>
    </row>
    <row r="3837">
      <c r="A3837" s="9" t="n">
        <v>682990</v>
      </c>
      <c r="B3837" s="9" t="inlineStr">
        <is>
          <t>Quinn Priester</t>
        </is>
      </c>
      <c r="C3837" s="9" t="inlineStr">
        <is>
          <t>MIL</t>
        </is>
      </c>
      <c r="D3837" s="9" t="n">
        <v>26</v>
      </c>
      <c r="E3837" s="18" t="inlineStr">
        <is>
          <t>R</t>
        </is>
      </c>
      <c r="F3837" s="18" t="n"/>
      <c r="G3837" s="9" t="n">
        <v>653</v>
      </c>
      <c r="H3837" s="9" t="n">
        <v>1108</v>
      </c>
      <c r="I3837" s="9" t="inlineStr">
        <is>
          <t>Swing Arm / Long Relief</t>
        </is>
      </c>
      <c r="J3837" s="18" t="inlineStr">
        <is>
          <t>Opening Day</t>
        </is>
      </c>
      <c r="K3837" s="11">
        <f>IFERROR(INDEX(Roles!$B$17:$B$20,MATCH(J3837,Roles!$A$17:$A$20,0)),1)</f>
        <v/>
      </c>
      <c r="L3837" s="19" t="n">
        <v>1</v>
      </c>
      <c r="M3837" s="11" t="n">
        <v>1</v>
      </c>
      <c r="N3837" s="19" t="n"/>
      <c r="O3837" s="19" t="n"/>
      <c r="P3837" s="19" t="n"/>
      <c r="Q3837" s="19" t="n"/>
      <c r="R3837" s="19" t="n">
        <v>0.5</v>
      </c>
      <c r="S3837" s="19" t="n"/>
      <c r="T3837" s="19" t="n"/>
      <c r="U3837" s="19" t="n"/>
      <c r="V3837" s="19" t="n">
        <v>0.5</v>
      </c>
      <c r="W3837" s="19" t="n"/>
      <c r="X3837" s="19" t="n"/>
      <c r="Y3837" s="19" t="n"/>
      <c r="Z3837" s="13">
        <f>SUMPRODUCT(N3837:Y3837,$N$2:$Y$2)*$K3837*$L3837*$M3837</f>
        <v/>
      </c>
      <c r="AA3837" s="14">
        <f>SUM(N3837:Y3837)</f>
        <v/>
      </c>
      <c r="AB3837" s="13">
        <f>SUMPRODUCT(N3837:Y3837,$N$3:$Y$3)*$K3837*$L3837*$M3837</f>
        <v/>
      </c>
      <c r="AC3837" s="13">
        <f>SUMPRODUCT(N3837:Y3837,$N$4:$Y$4)*$K3837*$L3837*$M3837</f>
        <v/>
      </c>
      <c r="AD3837" s="15" t="n">
        <v>21.93333333333333</v>
      </c>
      <c r="AE3837" s="11" t="n">
        <v>3.428552572529765</v>
      </c>
      <c r="AF3837" s="16">
        <f>SUMPRODUCT(N3837:Y3837,$N$5:$Y$5)*$K3837*$L3837*$M3837</f>
        <v/>
      </c>
      <c r="AG3837" s="16">
        <f>SUMPRODUCT(N3837:Y3837,$N$6:$Y$6)*$K3837*$L3837*$M3837</f>
        <v/>
      </c>
      <c r="AH3837" s="20" t="n"/>
    </row>
    <row r="3838">
      <c r="A3838" s="9" t="n">
        <v>701552</v>
      </c>
      <c r="B3838" s="9" t="inlineStr">
        <is>
          <t>Andre Granillo</t>
        </is>
      </c>
      <c r="C3838" s="9" t="inlineStr">
        <is>
          <t>WSH</t>
        </is>
      </c>
      <c r="D3838" s="9" t="n">
        <v>27</v>
      </c>
      <c r="E3838" s="18" t="inlineStr">
        <is>
          <t>R</t>
        </is>
      </c>
      <c r="F3838" s="18" t="n"/>
      <c r="G3838" s="9" t="n">
        <v>50</v>
      </c>
      <c r="H3838" s="9" t="n">
        <v>141</v>
      </c>
      <c r="I3838" s="9" t="inlineStr">
        <is>
          <t>Bullpen Depth Arm</t>
        </is>
      </c>
      <c r="J3838" s="18" t="inlineStr">
        <is>
          <t>Opening Day</t>
        </is>
      </c>
      <c r="K3838" s="11">
        <f>IFERROR(INDEX(Roles!$B$17:$B$20,MATCH(J3838,Roles!$A$17:$A$20,0)),1)</f>
        <v/>
      </c>
      <c r="L3838" s="19" t="n">
        <v>1</v>
      </c>
      <c r="M3838" s="11" t="n">
        <v>1</v>
      </c>
      <c r="N3838" s="19" t="n"/>
      <c r="O3838" s="19" t="n"/>
      <c r="P3838" s="19" t="n"/>
      <c r="Q3838" s="19" t="n"/>
      <c r="R3838" s="19" t="n"/>
      <c r="S3838" s="19" t="n"/>
      <c r="T3838" s="19" t="n"/>
      <c r="U3838" s="19" t="n"/>
      <c r="V3838" s="19" t="n"/>
      <c r="W3838" s="19" t="n">
        <v>1</v>
      </c>
      <c r="X3838" s="19" t="n"/>
      <c r="Y3838" s="19" t="n"/>
      <c r="Z3838" s="13">
        <f>SUMPRODUCT(N3838:Y3838,$N$2:$Y$2)*$K3838*$L3838*$M3838</f>
        <v/>
      </c>
      <c r="AA3838" s="14">
        <f>SUM(N3838:Y3838)</f>
        <v/>
      </c>
      <c r="AB3838" s="13">
        <f>SUMPRODUCT(N3838:Y3838,$N$3:$Y$3)*$K3838*$L3838*$M3838</f>
        <v/>
      </c>
      <c r="AC3838" s="13">
        <f>SUMPRODUCT(N3838:Y3838,$N$4:$Y$4)*$K3838*$L3838*$M3838</f>
        <v/>
      </c>
      <c r="AD3838" s="15" t="n">
        <v>11.90666666666667</v>
      </c>
      <c r="AE3838" s="11" t="n">
        <v>1.250225083558417</v>
      </c>
      <c r="AF3838" s="16">
        <f>SUMPRODUCT(N3838:Y3838,$N$5:$Y$5)*$K3838*$L3838*$M3838</f>
        <v/>
      </c>
      <c r="AG3838" s="16">
        <f>SUMPRODUCT(N3838:Y3838,$N$6:$Y$6)*$K3838*$L3838*$M3838</f>
        <v/>
      </c>
      <c r="AH3838" s="20" t="n"/>
    </row>
    <row r="3839">
      <c r="A3839" s="9" t="n">
        <v>682051</v>
      </c>
      <c r="B3839" s="9" t="inlineStr">
        <is>
          <t>Garrett Hill</t>
        </is>
      </c>
      <c r="C3839" s="9" t="inlineStr">
        <is>
          <t>DET</t>
        </is>
      </c>
      <c r="D3839" s="9" t="n">
        <v>31</v>
      </c>
      <c r="E3839" s="18" t="inlineStr">
        <is>
          <t>R</t>
        </is>
      </c>
      <c r="F3839" s="18" t="n"/>
      <c r="G3839" s="9" t="n">
        <v>80</v>
      </c>
      <c r="H3839" s="9" t="n">
        <v>343</v>
      </c>
      <c r="I3839" s="9" t="inlineStr">
        <is>
          <t>Depth (no MLB IP)</t>
        </is>
      </c>
      <c r="J3839" s="18" t="inlineStr">
        <is>
          <t>Opening Day</t>
        </is>
      </c>
      <c r="K3839" s="11">
        <f>IFERROR(INDEX(Roles!$B$17:$B$20,MATCH(J3839,Roles!$A$17:$A$20,0)),1)</f>
        <v/>
      </c>
      <c r="L3839" s="19" t="n">
        <v>1</v>
      </c>
      <c r="M3839" s="11" t="n">
        <v>1</v>
      </c>
      <c r="N3839" s="19" t="n"/>
      <c r="O3839" s="19" t="n"/>
      <c r="P3839" s="19" t="n"/>
      <c r="Q3839" s="19" t="n"/>
      <c r="R3839" s="19" t="n"/>
      <c r="S3839" s="19" t="n"/>
      <c r="T3839" s="19" t="n"/>
      <c r="U3839" s="19" t="n"/>
      <c r="V3839" s="19" t="n"/>
      <c r="W3839" s="19" t="n"/>
      <c r="X3839" s="19" t="n"/>
      <c r="Y3839" s="19" t="n">
        <v>1</v>
      </c>
      <c r="Z3839" s="13">
        <f>SUMPRODUCT(N3839:Y3839,$N$2:$Y$2)*$K3839*$L3839*$M3839</f>
        <v/>
      </c>
      <c r="AA3839" s="14">
        <f>SUM(N3839:Y3839)</f>
        <v/>
      </c>
      <c r="AB3839" s="13">
        <f>SUMPRODUCT(N3839:Y3839,$N$3:$Y$3)*$K3839*$L3839*$M3839</f>
        <v/>
      </c>
      <c r="AC3839" s="13">
        <f>SUMPRODUCT(N3839:Y3839,$N$4:$Y$4)*$K3839*$L3839*$M3839</f>
        <v/>
      </c>
      <c r="AD3839" s="15" t="n">
        <v>3</v>
      </c>
      <c r="AE3839" s="11" t="n">
        <v>1.011296296296296</v>
      </c>
      <c r="AF3839" s="16">
        <f>SUMPRODUCT(N3839:Y3839,$N$5:$Y$5)*$K3839*$L3839*$M3839</f>
        <v/>
      </c>
      <c r="AG3839" s="16">
        <f>SUMPRODUCT(N3839:Y3839,$N$6:$Y$6)*$K3839*$L3839*$M3839</f>
        <v/>
      </c>
      <c r="AH3839" s="20" t="n"/>
    </row>
    <row r="3840">
      <c r="A3840" s="9" t="n">
        <v>664942</v>
      </c>
      <c r="B3840" s="9" t="inlineStr">
        <is>
          <t>James Naile</t>
        </is>
      </c>
      <c r="C3840" s="9" t="inlineStr">
        <is>
          <t>STL</t>
        </is>
      </c>
      <c r="D3840" s="9" t="n">
        <v>34</v>
      </c>
      <c r="E3840" s="18" t="inlineStr">
        <is>
          <t>R</t>
        </is>
      </c>
      <c r="F3840" s="18" t="n"/>
      <c r="G3840" s="9" t="n">
        <v>80</v>
      </c>
      <c r="H3840" s="9" t="n">
        <v>117</v>
      </c>
      <c r="I3840" s="9" t="inlineStr">
        <is>
          <t>Depth (no MLB IP)</t>
        </is>
      </c>
      <c r="J3840" s="18" t="inlineStr">
        <is>
          <t>Opening Day</t>
        </is>
      </c>
      <c r="K3840" s="11">
        <f>IFERROR(INDEX(Roles!$B$17:$B$20,MATCH(J3840,Roles!$A$17:$A$20,0)),1)</f>
        <v/>
      </c>
      <c r="L3840" s="19" t="n">
        <v>1</v>
      </c>
      <c r="M3840" s="11" t="n">
        <v>1</v>
      </c>
      <c r="N3840" s="19" t="n"/>
      <c r="O3840" s="19" t="n"/>
      <c r="P3840" s="19" t="n"/>
      <c r="Q3840" s="19" t="n"/>
      <c r="R3840" s="19" t="n"/>
      <c r="S3840" s="19" t="n"/>
      <c r="T3840" s="19" t="n"/>
      <c r="U3840" s="19" t="n"/>
      <c r="V3840" s="19" t="n"/>
      <c r="W3840" s="19" t="n"/>
      <c r="X3840" s="19" t="n"/>
      <c r="Y3840" s="19" t="n">
        <v>1</v>
      </c>
      <c r="Z3840" s="13">
        <f>SUMPRODUCT(N3840:Y3840,$N$2:$Y$2)*$K3840*$L3840*$M3840</f>
        <v/>
      </c>
      <c r="AA3840" s="14">
        <f>SUM(N3840:Y3840)</f>
        <v/>
      </c>
      <c r="AB3840" s="13">
        <f>SUMPRODUCT(N3840:Y3840,$N$3:$Y$3)*$K3840*$L3840*$M3840</f>
        <v/>
      </c>
      <c r="AC3840" s="13">
        <f>SUMPRODUCT(N3840:Y3840,$N$4:$Y$4)*$K3840*$L3840*$M3840</f>
        <v/>
      </c>
      <c r="AD3840" s="15" t="n">
        <v>3</v>
      </c>
      <c r="AE3840" s="11" t="n">
        <v>1.011296296296296</v>
      </c>
      <c r="AF3840" s="16">
        <f>SUMPRODUCT(N3840:Y3840,$N$5:$Y$5)*$K3840*$L3840*$M3840</f>
        <v/>
      </c>
      <c r="AG3840" s="16">
        <f>SUMPRODUCT(N3840:Y3840,$N$6:$Y$6)*$K3840*$L3840*$M3840</f>
        <v/>
      </c>
      <c r="AH3840" s="20" t="n"/>
    </row>
    <row r="3841">
      <c r="A3841" s="9" t="n">
        <v>689441</v>
      </c>
      <c r="B3841" s="9" t="inlineStr">
        <is>
          <t>Coleman Crow</t>
        </is>
      </c>
      <c r="C3841" s="9" t="inlineStr">
        <is>
          <t>MIL</t>
        </is>
      </c>
      <c r="D3841" s="9" t="n">
        <v>26</v>
      </c>
      <c r="E3841" s="18" t="inlineStr">
        <is>
          <t>R</t>
        </is>
      </c>
      <c r="F3841" s="18" t="n"/>
      <c r="G3841" s="9" t="n">
        <v>85</v>
      </c>
      <c r="H3841" s="9" t="n">
        <v>85</v>
      </c>
      <c r="I3841" s="9" t="inlineStr">
        <is>
          <t>End-of-Rotation Starter (SP4-5)</t>
        </is>
      </c>
      <c r="J3841" s="18" t="inlineStr">
        <is>
          <t>Opening Day</t>
        </is>
      </c>
      <c r="K3841" s="11">
        <f>IFERROR(INDEX(Roles!$B$17:$B$20,MATCH(J3841,Roles!$A$17:$A$20,0)),1)</f>
        <v/>
      </c>
      <c r="L3841" s="19" t="n">
        <v>1</v>
      </c>
      <c r="M3841" s="11" t="n">
        <v>1</v>
      </c>
      <c r="N3841" s="19" t="n"/>
      <c r="O3841" s="19" t="n"/>
      <c r="P3841" s="19" t="n">
        <v>1</v>
      </c>
      <c r="Q3841" s="19" t="n"/>
      <c r="R3841" s="19" t="n"/>
      <c r="S3841" s="19" t="n"/>
      <c r="T3841" s="19" t="n"/>
      <c r="U3841" s="19" t="n"/>
      <c r="V3841" s="19" t="n"/>
      <c r="W3841" s="19" t="n"/>
      <c r="X3841" s="19" t="n"/>
      <c r="Y3841" s="19" t="n"/>
      <c r="Z3841" s="13">
        <f>SUMPRODUCT(N3841:Y3841,$N$2:$Y$2)*$K3841*$L3841*$M3841</f>
        <v/>
      </c>
      <c r="AA3841" s="14">
        <f>SUM(N3841:Y3841)</f>
        <v/>
      </c>
      <c r="AB3841" s="13">
        <f>SUMPRODUCT(N3841:Y3841,$N$3:$Y$3)*$K3841*$L3841*$M3841</f>
        <v/>
      </c>
      <c r="AC3841" s="13">
        <f>SUMPRODUCT(N3841:Y3841,$N$4:$Y$4)*$K3841*$L3841*$M3841</f>
        <v/>
      </c>
      <c r="AD3841" s="15" t="n">
        <v>9.4</v>
      </c>
      <c r="AE3841" s="11" t="n">
        <v>4.281481481481482</v>
      </c>
      <c r="AF3841" s="16">
        <f>SUMPRODUCT(N3841:Y3841,$N$5:$Y$5)*$K3841*$L3841*$M3841</f>
        <v/>
      </c>
      <c r="AG3841" s="16">
        <f>SUMPRODUCT(N3841:Y3841,$N$6:$Y$6)*$K3841*$L3841*$M3841</f>
        <v/>
      </c>
      <c r="AH3841" s="20" t="n"/>
    </row>
    <row r="3842">
      <c r="A3842" s="9" t="n">
        <v>573186</v>
      </c>
      <c r="B3842" s="9" t="inlineStr">
        <is>
          <t>Marcus Stroman</t>
        </is>
      </c>
      <c r="C3842" s="9" t="inlineStr">
        <is>
          <t>NYY</t>
        </is>
      </c>
      <c r="D3842" s="9" t="n">
        <v>36</v>
      </c>
      <c r="E3842" s="18" t="inlineStr">
        <is>
          <t>R</t>
        </is>
      </c>
      <c r="F3842" s="18" t="n"/>
      <c r="G3842" s="9" t="n">
        <v>175</v>
      </c>
      <c r="H3842" s="9" t="n">
        <v>1994</v>
      </c>
      <c r="I3842" s="9" t="inlineStr">
        <is>
          <t>End-of-Rotation Starter (SP4-5)</t>
        </is>
      </c>
      <c r="J3842" s="18" t="inlineStr">
        <is>
          <t>Opening Day</t>
        </is>
      </c>
      <c r="K3842" s="11">
        <f>IFERROR(INDEX(Roles!$B$17:$B$20,MATCH(J3842,Roles!$A$17:$A$20,0)),1)</f>
        <v/>
      </c>
      <c r="L3842" s="19" t="n">
        <v>1</v>
      </c>
      <c r="M3842" s="11" t="n">
        <v>1</v>
      </c>
      <c r="N3842" s="19" t="n"/>
      <c r="O3842" s="19" t="n"/>
      <c r="P3842" s="19" t="n">
        <v>1</v>
      </c>
      <c r="Q3842" s="19" t="n"/>
      <c r="R3842" s="19" t="n"/>
      <c r="S3842" s="19" t="n"/>
      <c r="T3842" s="19" t="n"/>
      <c r="U3842" s="19" t="n"/>
      <c r="V3842" s="19" t="n"/>
      <c r="W3842" s="19" t="n"/>
      <c r="X3842" s="19" t="n"/>
      <c r="Y3842" s="19" t="n"/>
      <c r="Z3842" s="13">
        <f>SUMPRODUCT(N3842:Y3842,$N$2:$Y$2)*$K3842*$L3842*$M3842</f>
        <v/>
      </c>
      <c r="AA3842" s="14">
        <f>SUM(N3842:Y3842)</f>
        <v/>
      </c>
      <c r="AB3842" s="13">
        <f>SUMPRODUCT(N3842:Y3842,$N$3:$Y$3)*$K3842*$L3842*$M3842</f>
        <v/>
      </c>
      <c r="AC3842" s="13">
        <f>SUMPRODUCT(N3842:Y3842,$N$4:$Y$4)*$K3842*$L3842*$M3842</f>
        <v/>
      </c>
      <c r="AD3842" s="15" t="n">
        <v>16</v>
      </c>
      <c r="AE3842" s="11" t="n">
        <v>4.652777777777778</v>
      </c>
      <c r="AF3842" s="16">
        <f>SUMPRODUCT(N3842:Y3842,$N$5:$Y$5)*$K3842*$L3842*$M3842</f>
        <v/>
      </c>
      <c r="AG3842" s="16">
        <f>SUMPRODUCT(N3842:Y3842,$N$6:$Y$6)*$K3842*$L3842*$M3842</f>
        <v/>
      </c>
      <c r="AH3842" s="20" t="n"/>
    </row>
    <row r="3843">
      <c r="A3843" s="9" t="n">
        <v>687924</v>
      </c>
      <c r="B3843" s="9" t="inlineStr">
        <is>
          <t>Julian Aguiar</t>
        </is>
      </c>
      <c r="C3843" s="9" t="inlineStr">
        <is>
          <t>CIN</t>
        </is>
      </c>
      <c r="D3843" s="9" t="n">
        <v>26</v>
      </c>
      <c r="E3843" s="18" t="inlineStr">
        <is>
          <t>R</t>
        </is>
      </c>
      <c r="F3843" s="18" t="n"/>
      <c r="G3843" s="9" t="n">
        <v>14</v>
      </c>
      <c r="H3843" s="9" t="n">
        <v>154</v>
      </c>
      <c r="I3843" s="9" t="inlineStr">
        <is>
          <t>Depth (no MLB IP)</t>
        </is>
      </c>
      <c r="J3843" s="18" t="inlineStr">
        <is>
          <t>Opening Day</t>
        </is>
      </c>
      <c r="K3843" s="11">
        <f>IFERROR(INDEX(Roles!$B$17:$B$20,MATCH(J3843,Roles!$A$17:$A$20,0)),1)</f>
        <v/>
      </c>
      <c r="L3843" s="19" t="n">
        <v>1</v>
      </c>
      <c r="M3843" s="11" t="n">
        <v>1</v>
      </c>
      <c r="N3843" s="19" t="n"/>
      <c r="O3843" s="19" t="n"/>
      <c r="P3843" s="19" t="n"/>
      <c r="Q3843" s="19" t="n"/>
      <c r="R3843" s="19" t="n"/>
      <c r="S3843" s="19" t="n"/>
      <c r="T3843" s="19" t="n"/>
      <c r="U3843" s="19" t="n"/>
      <c r="V3843" s="19" t="n"/>
      <c r="W3843" s="19" t="n"/>
      <c r="X3843" s="19" t="n"/>
      <c r="Y3843" s="19" t="n">
        <v>1</v>
      </c>
      <c r="Z3843" s="13">
        <f>SUMPRODUCT(N3843:Y3843,$N$2:$Y$2)*$K3843*$L3843*$M3843</f>
        <v/>
      </c>
      <c r="AA3843" s="14">
        <f>SUM(N3843:Y3843)</f>
        <v/>
      </c>
      <c r="AB3843" s="13">
        <f>SUMPRODUCT(N3843:Y3843,$N$3:$Y$3)*$K3843*$L3843*$M3843</f>
        <v/>
      </c>
      <c r="AC3843" s="13">
        <f>SUMPRODUCT(N3843:Y3843,$N$4:$Y$4)*$K3843*$L3843*$M3843</f>
        <v/>
      </c>
      <c r="AD3843" s="15" t="n">
        <v>2.7</v>
      </c>
      <c r="AE3843" s="11" t="n">
        <v>2.029753086419753</v>
      </c>
      <c r="AF3843" s="16">
        <f>SUMPRODUCT(N3843:Y3843,$N$5:$Y$5)*$K3843*$L3843*$M3843</f>
        <v/>
      </c>
      <c r="AG3843" s="16">
        <f>SUMPRODUCT(N3843:Y3843,$N$6:$Y$6)*$K3843*$L3843*$M3843</f>
        <v/>
      </c>
      <c r="AH3843" s="20" t="n"/>
    </row>
    <row r="3844">
      <c r="A3844" s="9" t="n">
        <v>684725</v>
      </c>
      <c r="B3844" s="9" t="inlineStr">
        <is>
          <t>Zach Messinger</t>
        </is>
      </c>
      <c r="C3844" s="9" t="inlineStr">
        <is>
          <t>NYY</t>
        </is>
      </c>
      <c r="D3844" s="9" t="n">
        <v>25</v>
      </c>
      <c r="E3844" s="18" t="inlineStr">
        <is>
          <t>R</t>
        </is>
      </c>
      <c r="F3844" s="18" t="n"/>
      <c r="G3844" s="9" t="n">
        <v>171.8566666666667</v>
      </c>
      <c r="H3844" s="9" t="n">
        <v>171.8566666666667</v>
      </c>
      <c r="I3844" s="9" t="inlineStr">
        <is>
          <t>Depth (no MLB IP)</t>
        </is>
      </c>
      <c r="J3844" s="18" t="inlineStr">
        <is>
          <t>Opening Day</t>
        </is>
      </c>
      <c r="K3844" s="11">
        <f>IFERROR(INDEX(Roles!$B$17:$B$20,MATCH(J3844,Roles!$A$17:$A$20,0)),1)</f>
        <v/>
      </c>
      <c r="L3844" s="19" t="n">
        <v>1</v>
      </c>
      <c r="M3844" s="11" t="n">
        <v>1</v>
      </c>
      <c r="N3844" s="19" t="n"/>
      <c r="O3844" s="19" t="n"/>
      <c r="P3844" s="19" t="n"/>
      <c r="Q3844" s="19" t="n"/>
      <c r="R3844" s="19" t="n"/>
      <c r="S3844" s="19" t="n"/>
      <c r="T3844" s="19" t="n"/>
      <c r="U3844" s="19" t="n"/>
      <c r="V3844" s="19" t="n"/>
      <c r="W3844" s="19" t="n"/>
      <c r="X3844" s="19" t="n"/>
      <c r="Y3844" s="19" t="n">
        <v>1</v>
      </c>
      <c r="Z3844" s="13">
        <f>SUMPRODUCT(N3844:Y3844,$N$2:$Y$2)*$K3844*$L3844*$M3844</f>
        <v/>
      </c>
      <c r="AA3844" s="14">
        <f>SUM(N3844:Y3844)</f>
        <v/>
      </c>
      <c r="AB3844" s="13">
        <f>SUMPRODUCT(N3844:Y3844,$N$3:$Y$3)*$K3844*$L3844*$M3844</f>
        <v/>
      </c>
      <c r="AC3844" s="13">
        <f>SUMPRODUCT(N3844:Y3844,$N$4:$Y$4)*$K3844*$L3844*$M3844</f>
        <v/>
      </c>
      <c r="AD3844" s="15" t="n">
        <v>3</v>
      </c>
      <c r="AE3844" s="11" t="n">
        <v>1.011296296296296</v>
      </c>
      <c r="AF3844" s="16">
        <f>SUMPRODUCT(N3844:Y3844,$N$5:$Y$5)*$K3844*$L3844*$M3844</f>
        <v/>
      </c>
      <c r="AG3844" s="16">
        <f>SUMPRODUCT(N3844:Y3844,$N$6:$Y$6)*$K3844*$L3844*$M3844</f>
        <v/>
      </c>
      <c r="AH3844" s="20" t="n"/>
    </row>
    <row r="3845">
      <c r="A3845" s="9" t="n">
        <v>681449</v>
      </c>
      <c r="B3845" s="9" t="inlineStr">
        <is>
          <t>Brandon White</t>
        </is>
      </c>
      <c r="C3845" s="9" t="inlineStr">
        <is>
          <t>MIA</t>
        </is>
      </c>
      <c r="D3845" s="9" t="n">
        <v>25</v>
      </c>
      <c r="E3845" s="18" t="inlineStr">
        <is>
          <t>R</t>
        </is>
      </c>
      <c r="F3845" s="18" t="n"/>
      <c r="G3845" s="9" t="n">
        <v>171.8566666666667</v>
      </c>
      <c r="H3845" s="9" t="n">
        <v>171.8566666666667</v>
      </c>
      <c r="I3845" s="9" t="inlineStr">
        <is>
          <t>Depth (no MLB IP)</t>
        </is>
      </c>
      <c r="J3845" s="18" t="inlineStr">
        <is>
          <t>Opening Day</t>
        </is>
      </c>
      <c r="K3845" s="11">
        <f>IFERROR(INDEX(Roles!$B$17:$B$20,MATCH(J3845,Roles!$A$17:$A$20,0)),1)</f>
        <v/>
      </c>
      <c r="L3845" s="19" t="n">
        <v>1</v>
      </c>
      <c r="M3845" s="11" t="n">
        <v>1</v>
      </c>
      <c r="N3845" s="19" t="n"/>
      <c r="O3845" s="19" t="n"/>
      <c r="P3845" s="19" t="n"/>
      <c r="Q3845" s="19" t="n"/>
      <c r="R3845" s="19" t="n"/>
      <c r="S3845" s="19" t="n"/>
      <c r="T3845" s="19" t="n"/>
      <c r="U3845" s="19" t="n"/>
      <c r="V3845" s="19" t="n"/>
      <c r="W3845" s="19" t="n"/>
      <c r="X3845" s="19" t="n"/>
      <c r="Y3845" s="19" t="n">
        <v>1</v>
      </c>
      <c r="Z3845" s="13">
        <f>SUMPRODUCT(N3845:Y3845,$N$2:$Y$2)*$K3845*$L3845*$M3845</f>
        <v/>
      </c>
      <c r="AA3845" s="14">
        <f>SUM(N3845:Y3845)</f>
        <v/>
      </c>
      <c r="AB3845" s="13">
        <f>SUMPRODUCT(N3845:Y3845,$N$3:$Y$3)*$K3845*$L3845*$M3845</f>
        <v/>
      </c>
      <c r="AC3845" s="13">
        <f>SUMPRODUCT(N3845:Y3845,$N$4:$Y$4)*$K3845*$L3845*$M3845</f>
        <v/>
      </c>
      <c r="AD3845" s="15" t="n">
        <v>3</v>
      </c>
      <c r="AE3845" s="11" t="n">
        <v>1.011296296296296</v>
      </c>
      <c r="AF3845" s="16">
        <f>SUMPRODUCT(N3845:Y3845,$N$5:$Y$5)*$K3845*$L3845*$M3845</f>
        <v/>
      </c>
      <c r="AG3845" s="16">
        <f>SUMPRODUCT(N3845:Y3845,$N$6:$Y$6)*$K3845*$L3845*$M3845</f>
        <v/>
      </c>
      <c r="AH3845" s="20" t="n"/>
    </row>
    <row r="3846">
      <c r="A3846" s="9" t="n">
        <v>679977</v>
      </c>
      <c r="B3846" s="9" t="inlineStr">
        <is>
          <t>Noah Song</t>
        </is>
      </c>
      <c r="C3846" s="9" t="inlineStr">
        <is>
          <t>BOS</t>
        </is>
      </c>
      <c r="D3846" s="9" t="n">
        <v>25</v>
      </c>
      <c r="E3846" s="18" t="inlineStr">
        <is>
          <t>R</t>
        </is>
      </c>
      <c r="F3846" s="18" t="n"/>
      <c r="G3846" s="9" t="n">
        <v>172.645</v>
      </c>
      <c r="H3846" s="9" t="n">
        <v>172.645</v>
      </c>
      <c r="I3846" s="9" t="inlineStr">
        <is>
          <t>Depth (no MLB IP)</t>
        </is>
      </c>
      <c r="J3846" s="18" t="inlineStr">
        <is>
          <t>Opening Day</t>
        </is>
      </c>
      <c r="K3846" s="11">
        <f>IFERROR(INDEX(Roles!$B$17:$B$20,MATCH(J3846,Roles!$A$17:$A$20,0)),1)</f>
        <v/>
      </c>
      <c r="L3846" s="19" t="n">
        <v>1</v>
      </c>
      <c r="M3846" s="11" t="n">
        <v>1</v>
      </c>
      <c r="N3846" s="19" t="n"/>
      <c r="O3846" s="19" t="n"/>
      <c r="P3846" s="19" t="n"/>
      <c r="Q3846" s="19" t="n"/>
      <c r="R3846" s="19" t="n"/>
      <c r="S3846" s="19" t="n"/>
      <c r="T3846" s="19" t="n"/>
      <c r="U3846" s="19" t="n"/>
      <c r="V3846" s="19" t="n"/>
      <c r="W3846" s="19" t="n"/>
      <c r="X3846" s="19" t="n"/>
      <c r="Y3846" s="19" t="n">
        <v>1</v>
      </c>
      <c r="Z3846" s="13">
        <f>SUMPRODUCT(N3846:Y3846,$N$2:$Y$2)*$K3846*$L3846*$M3846</f>
        <v/>
      </c>
      <c r="AA3846" s="14">
        <f>SUM(N3846:Y3846)</f>
        <v/>
      </c>
      <c r="AB3846" s="13">
        <f>SUMPRODUCT(N3846:Y3846,$N$3:$Y$3)*$K3846*$L3846*$M3846</f>
        <v/>
      </c>
      <c r="AC3846" s="13">
        <f>SUMPRODUCT(N3846:Y3846,$N$4:$Y$4)*$K3846*$L3846*$M3846</f>
        <v/>
      </c>
      <c r="AD3846" s="15" t="n">
        <v>3</v>
      </c>
      <c r="AE3846" s="11" t="n">
        <v>1.011296296296296</v>
      </c>
      <c r="AF3846" s="16">
        <f>SUMPRODUCT(N3846:Y3846,$N$5:$Y$5)*$K3846*$L3846*$M3846</f>
        <v/>
      </c>
      <c r="AG3846" s="16">
        <f>SUMPRODUCT(N3846:Y3846,$N$6:$Y$6)*$K3846*$L3846*$M3846</f>
        <v/>
      </c>
      <c r="AH3846" s="20" t="n"/>
    </row>
    <row r="3847">
      <c r="A3847" s="9" t="n">
        <v>686475</v>
      </c>
      <c r="B3847" s="9" t="inlineStr">
        <is>
          <t>Tyler Tolbert</t>
        </is>
      </c>
      <c r="C3847" s="9" t="inlineStr">
        <is>
          <t>KC</t>
        </is>
      </c>
      <c r="D3847" s="9" t="n">
        <v>29</v>
      </c>
      <c r="E3847" s="18" t="inlineStr">
        <is>
          <t>R</t>
        </is>
      </c>
      <c r="F3847" s="18" t="n"/>
      <c r="G3847" s="9" t="n">
        <v>33</v>
      </c>
      <c r="H3847" s="9" t="n">
        <v>33</v>
      </c>
      <c r="I3847" s="9" t="inlineStr">
        <is>
          <t>Bullpen Depth Arm</t>
        </is>
      </c>
      <c r="J3847" s="18" t="inlineStr">
        <is>
          <t>Opening Day</t>
        </is>
      </c>
      <c r="K3847" s="11">
        <f>IFERROR(INDEX(Roles!$B$17:$B$20,MATCH(J3847,Roles!$A$17:$A$20,0)),1)</f>
        <v/>
      </c>
      <c r="L3847" s="19" t="n">
        <v>1</v>
      </c>
      <c r="M3847" s="11" t="n">
        <v>1</v>
      </c>
      <c r="N3847" s="19" t="n"/>
      <c r="O3847" s="19" t="n"/>
      <c r="P3847" s="19" t="n"/>
      <c r="Q3847" s="19" t="n"/>
      <c r="R3847" s="19" t="n"/>
      <c r="S3847" s="19" t="n"/>
      <c r="T3847" s="19" t="n"/>
      <c r="U3847" s="19" t="n"/>
      <c r="V3847" s="19" t="n"/>
      <c r="W3847" s="19" t="n">
        <v>1</v>
      </c>
      <c r="X3847" s="19" t="n"/>
      <c r="Y3847" s="19" t="n"/>
      <c r="Z3847" s="13">
        <f>SUMPRODUCT(N3847:Y3847,$N$2:$Y$2)*$K3847*$L3847*$M3847</f>
        <v/>
      </c>
      <c r="AA3847" s="14">
        <f>SUM(N3847:Y3847)</f>
        <v/>
      </c>
      <c r="AB3847" s="13">
        <f>SUMPRODUCT(N3847:Y3847,$N$3:$Y$3)*$K3847*$L3847*$M3847</f>
        <v/>
      </c>
      <c r="AC3847" s="13">
        <f>SUMPRODUCT(N3847:Y3847,$N$4:$Y$4)*$K3847*$L3847*$M3847</f>
        <v/>
      </c>
      <c r="AD3847" s="15" t="n">
        <v>8.666666666666666</v>
      </c>
      <c r="AE3847" s="11" t="n">
        <v>1.112618245951579</v>
      </c>
      <c r="AF3847" s="16">
        <f>SUMPRODUCT(N3847:Y3847,$N$5:$Y$5)*$K3847*$L3847*$M3847</f>
        <v/>
      </c>
      <c r="AG3847" s="16">
        <f>SUMPRODUCT(N3847:Y3847,$N$6:$Y$6)*$K3847*$L3847*$M3847</f>
        <v/>
      </c>
      <c r="AH3847" s="20" t="n"/>
    </row>
    <row r="3848">
      <c r="A3848" s="9" t="n">
        <v>605507</v>
      </c>
      <c r="B3848" s="9" t="inlineStr">
        <is>
          <t>Zach Thompson</t>
        </is>
      </c>
      <c r="C3848" s="9" t="inlineStr">
        <is>
          <t>PIT</t>
        </is>
      </c>
      <c r="D3848" s="9" t="n">
        <v>33</v>
      </c>
      <c r="E3848" s="18" t="inlineStr">
        <is>
          <t>R</t>
        </is>
      </c>
      <c r="F3848" s="18" t="n"/>
      <c r="G3848" s="9" t="n">
        <v>12</v>
      </c>
      <c r="H3848" s="9" t="n">
        <v>555</v>
      </c>
      <c r="I3848" s="9" t="inlineStr">
        <is>
          <t>Depth (no MLB IP)</t>
        </is>
      </c>
      <c r="J3848" s="18" t="inlineStr">
        <is>
          <t>Opening Day</t>
        </is>
      </c>
      <c r="K3848" s="11">
        <f>IFERROR(INDEX(Roles!$B$17:$B$20,MATCH(J3848,Roles!$A$17:$A$20,0)),1)</f>
        <v/>
      </c>
      <c r="L3848" s="19" t="n">
        <v>1</v>
      </c>
      <c r="M3848" s="11" t="n">
        <v>1</v>
      </c>
      <c r="N3848" s="19" t="n"/>
      <c r="O3848" s="19" t="n"/>
      <c r="P3848" s="19" t="n"/>
      <c r="Q3848" s="19" t="n"/>
      <c r="R3848" s="19" t="n"/>
      <c r="S3848" s="19" t="n"/>
      <c r="T3848" s="19" t="n"/>
      <c r="U3848" s="19" t="n"/>
      <c r="V3848" s="19" t="n"/>
      <c r="W3848" s="19" t="n"/>
      <c r="X3848" s="19" t="n"/>
      <c r="Y3848" s="19" t="n">
        <v>1</v>
      </c>
      <c r="Z3848" s="13">
        <f>SUMPRODUCT(N3848:Y3848,$N$2:$Y$2)*$K3848*$L3848*$M3848</f>
        <v/>
      </c>
      <c r="AA3848" s="14">
        <f>SUM(N3848:Y3848)</f>
        <v/>
      </c>
      <c r="AB3848" s="13">
        <f>SUMPRODUCT(N3848:Y3848,$N$3:$Y$3)*$K3848*$L3848*$M3848</f>
        <v/>
      </c>
      <c r="AC3848" s="13">
        <f>SUMPRODUCT(N3848:Y3848,$N$4:$Y$4)*$K3848*$L3848*$M3848</f>
        <v/>
      </c>
      <c r="AD3848" s="15" t="n">
        <v>2.4</v>
      </c>
      <c r="AE3848" s="11" t="n">
        <v>1.285308641975309</v>
      </c>
      <c r="AF3848" s="16">
        <f>SUMPRODUCT(N3848:Y3848,$N$5:$Y$5)*$K3848*$L3848*$M3848</f>
        <v/>
      </c>
      <c r="AG3848" s="16">
        <f>SUMPRODUCT(N3848:Y3848,$N$6:$Y$6)*$K3848*$L3848*$M3848</f>
        <v/>
      </c>
      <c r="AH3848" s="20" t="n"/>
    </row>
    <row r="3849">
      <c r="A3849" s="9" t="n">
        <v>695741</v>
      </c>
      <c r="B3849" s="9" t="inlineStr">
        <is>
          <t>Jackson Wentworth</t>
        </is>
      </c>
      <c r="C3849" s="9" t="inlineStr">
        <is>
          <t>TOR</t>
        </is>
      </c>
      <c r="D3849" s="9" t="n">
        <v>25</v>
      </c>
      <c r="E3849" s="18" t="inlineStr">
        <is>
          <t>R</t>
        </is>
      </c>
      <c r="F3849" s="18" t="n"/>
      <c r="G3849" s="9" t="n">
        <v>173.075</v>
      </c>
      <c r="H3849" s="9" t="n">
        <v>173.075</v>
      </c>
      <c r="I3849" s="9" t="inlineStr">
        <is>
          <t>Depth (no MLB IP)</t>
        </is>
      </c>
      <c r="J3849" s="18" t="inlineStr">
        <is>
          <t>Opening Day</t>
        </is>
      </c>
      <c r="K3849" s="11">
        <f>IFERROR(INDEX(Roles!$B$17:$B$20,MATCH(J3849,Roles!$A$17:$A$20,0)),1)</f>
        <v/>
      </c>
      <c r="L3849" s="19" t="n">
        <v>1</v>
      </c>
      <c r="M3849" s="11" t="n">
        <v>1</v>
      </c>
      <c r="N3849" s="19" t="n"/>
      <c r="O3849" s="19" t="n"/>
      <c r="P3849" s="19" t="n"/>
      <c r="Q3849" s="19" t="n"/>
      <c r="R3849" s="19" t="n"/>
      <c r="S3849" s="19" t="n"/>
      <c r="T3849" s="19" t="n"/>
      <c r="U3849" s="19" t="n"/>
      <c r="V3849" s="19" t="n"/>
      <c r="W3849" s="19" t="n"/>
      <c r="X3849" s="19" t="n"/>
      <c r="Y3849" s="19" t="n">
        <v>1</v>
      </c>
      <c r="Z3849" s="13">
        <f>SUMPRODUCT(N3849:Y3849,$N$2:$Y$2)*$K3849*$L3849*$M3849</f>
        <v/>
      </c>
      <c r="AA3849" s="14">
        <f>SUM(N3849:Y3849)</f>
        <v/>
      </c>
      <c r="AB3849" s="13">
        <f>SUMPRODUCT(N3849:Y3849,$N$3:$Y$3)*$K3849*$L3849*$M3849</f>
        <v/>
      </c>
      <c r="AC3849" s="13">
        <f>SUMPRODUCT(N3849:Y3849,$N$4:$Y$4)*$K3849*$L3849*$M3849</f>
        <v/>
      </c>
      <c r="AD3849" s="15" t="n">
        <v>3</v>
      </c>
      <c r="AE3849" s="11" t="n">
        <v>1.011296296296296</v>
      </c>
      <c r="AF3849" s="16">
        <f>SUMPRODUCT(N3849:Y3849,$N$5:$Y$5)*$K3849*$L3849*$M3849</f>
        <v/>
      </c>
      <c r="AG3849" s="16">
        <f>SUMPRODUCT(N3849:Y3849,$N$6:$Y$6)*$K3849*$L3849*$M3849</f>
        <v/>
      </c>
      <c r="AH3849" s="20" t="n"/>
    </row>
    <row r="3850">
      <c r="A3850" s="9" t="n">
        <v>813895</v>
      </c>
      <c r="B3850" s="9" t="inlineStr">
        <is>
          <t>Corey Avant</t>
        </is>
      </c>
      <c r="C3850" s="9" t="inlineStr">
        <is>
          <t>OAK</t>
        </is>
      </c>
      <c r="D3850" s="9" t="n">
        <v>25</v>
      </c>
      <c r="E3850" s="18" t="inlineStr">
        <is>
          <t>R</t>
        </is>
      </c>
      <c r="F3850" s="18" t="n"/>
      <c r="G3850" s="9" t="n">
        <v>173.5766666666667</v>
      </c>
      <c r="H3850" s="9" t="n">
        <v>173.5766666666667</v>
      </c>
      <c r="I3850" s="9" t="inlineStr">
        <is>
          <t>Depth (no MLB IP)</t>
        </is>
      </c>
      <c r="J3850" s="18" t="inlineStr">
        <is>
          <t>Opening Day</t>
        </is>
      </c>
      <c r="K3850" s="11">
        <f>IFERROR(INDEX(Roles!$B$17:$B$20,MATCH(J3850,Roles!$A$17:$A$20,0)),1)</f>
        <v/>
      </c>
      <c r="L3850" s="19" t="n">
        <v>1</v>
      </c>
      <c r="M3850" s="11" t="n">
        <v>1</v>
      </c>
      <c r="N3850" s="19" t="n"/>
      <c r="O3850" s="19" t="n"/>
      <c r="P3850" s="19" t="n"/>
      <c r="Q3850" s="19" t="n"/>
      <c r="R3850" s="19" t="n"/>
      <c r="S3850" s="19" t="n"/>
      <c r="T3850" s="19" t="n"/>
      <c r="U3850" s="19" t="n"/>
      <c r="V3850" s="19" t="n"/>
      <c r="W3850" s="19" t="n"/>
      <c r="X3850" s="19" t="n"/>
      <c r="Y3850" s="19" t="n">
        <v>1</v>
      </c>
      <c r="Z3850" s="13">
        <f>SUMPRODUCT(N3850:Y3850,$N$2:$Y$2)*$K3850*$L3850*$M3850</f>
        <v/>
      </c>
      <c r="AA3850" s="14">
        <f>SUM(N3850:Y3850)</f>
        <v/>
      </c>
      <c r="AB3850" s="13">
        <f>SUMPRODUCT(N3850:Y3850,$N$3:$Y$3)*$K3850*$L3850*$M3850</f>
        <v/>
      </c>
      <c r="AC3850" s="13">
        <f>SUMPRODUCT(N3850:Y3850,$N$4:$Y$4)*$K3850*$L3850*$M3850</f>
        <v/>
      </c>
      <c r="AD3850" s="15" t="n">
        <v>3</v>
      </c>
      <c r="AE3850" s="11" t="n">
        <v>1.011296296296296</v>
      </c>
      <c r="AF3850" s="16">
        <f>SUMPRODUCT(N3850:Y3850,$N$5:$Y$5)*$K3850*$L3850*$M3850</f>
        <v/>
      </c>
      <c r="AG3850" s="16">
        <f>SUMPRODUCT(N3850:Y3850,$N$6:$Y$6)*$K3850*$L3850*$M3850</f>
        <v/>
      </c>
      <c r="AH3850" s="20" t="n"/>
    </row>
    <row r="3851">
      <c r="A3851" s="9" t="n">
        <v>641743</v>
      </c>
      <c r="B3851" s="9" t="inlineStr">
        <is>
          <t>Anthony Kay</t>
        </is>
      </c>
      <c r="C3851" s="9" t="inlineStr">
        <is>
          <t>CWS</t>
        </is>
      </c>
      <c r="D3851" s="9" t="n">
        <v>32</v>
      </c>
      <c r="E3851" s="18" t="inlineStr">
        <is>
          <t>L</t>
        </is>
      </c>
      <c r="F3851" s="18" t="n"/>
      <c r="G3851" s="9" t="n">
        <v>710</v>
      </c>
      <c r="H3851" s="9" t="n">
        <v>786</v>
      </c>
      <c r="I3851" s="9" t="inlineStr">
        <is>
          <t>Mid-Rotation Starter (SP2-3)</t>
        </is>
      </c>
      <c r="J3851" s="18" t="inlineStr">
        <is>
          <t>Opening Day</t>
        </is>
      </c>
      <c r="K3851" s="11">
        <f>IFERROR(INDEX(Roles!$B$17:$B$20,MATCH(J3851,Roles!$A$17:$A$20,0)),1)</f>
        <v/>
      </c>
      <c r="L3851" s="19" t="n">
        <v>1</v>
      </c>
      <c r="M3851" s="11" t="n">
        <v>1</v>
      </c>
      <c r="N3851" s="19" t="n"/>
      <c r="O3851" s="19" t="n">
        <v>0.5</v>
      </c>
      <c r="P3851" s="19" t="n">
        <v>0.5</v>
      </c>
      <c r="Q3851" s="19" t="n"/>
      <c r="R3851" s="19" t="n"/>
      <c r="S3851" s="19" t="n"/>
      <c r="T3851" s="19" t="n"/>
      <c r="U3851" s="19" t="n"/>
      <c r="V3851" s="19" t="n"/>
      <c r="W3851" s="19" t="n"/>
      <c r="X3851" s="19" t="n"/>
      <c r="Y3851" s="19" t="n"/>
      <c r="Z3851" s="13">
        <f>SUMPRODUCT(N3851:Y3851,$N$2:$Y$2)*$K3851*$L3851*$M3851</f>
        <v/>
      </c>
      <c r="AA3851" s="14">
        <f>SUM(N3851:Y3851)</f>
        <v/>
      </c>
      <c r="AB3851" s="13">
        <f>SUMPRODUCT(N3851:Y3851,$N$3:$Y$3)*$K3851*$L3851*$M3851</f>
        <v/>
      </c>
      <c r="AC3851" s="13">
        <f>SUMPRODUCT(N3851:Y3851,$N$4:$Y$4)*$K3851*$L3851*$M3851</f>
        <v/>
      </c>
      <c r="AD3851" s="15" t="n">
        <v>30.2</v>
      </c>
      <c r="AE3851" s="11" t="n">
        <v>5.065493646138808</v>
      </c>
      <c r="AF3851" s="16">
        <f>SUMPRODUCT(N3851:Y3851,$N$5:$Y$5)*$K3851*$L3851*$M3851</f>
        <v/>
      </c>
      <c r="AG3851" s="16">
        <f>SUMPRODUCT(N3851:Y3851,$N$6:$Y$6)*$K3851*$L3851*$M3851</f>
        <v/>
      </c>
      <c r="AH3851" s="20" t="n"/>
    </row>
    <row r="3852">
      <c r="A3852" s="9" t="n">
        <v>608348</v>
      </c>
      <c r="B3852" s="9" t="inlineStr">
        <is>
          <t>Carson Kelly</t>
        </is>
      </c>
      <c r="C3852" s="9" t="inlineStr">
        <is>
          <t>CHC</t>
        </is>
      </c>
      <c r="D3852" s="9" t="n">
        <v>32</v>
      </c>
      <c r="E3852" s="18" t="inlineStr">
        <is>
          <t>R</t>
        </is>
      </c>
      <c r="F3852" s="18" t="n"/>
      <c r="G3852" s="9" t="n">
        <v>13</v>
      </c>
      <c r="H3852" s="9" t="n">
        <v>55</v>
      </c>
      <c r="I3852" s="9" t="inlineStr">
        <is>
          <t>Depth (no MLB IP)</t>
        </is>
      </c>
      <c r="J3852" s="18" t="inlineStr">
        <is>
          <t>Opening Day</t>
        </is>
      </c>
      <c r="K3852" s="11">
        <f>IFERROR(INDEX(Roles!$B$17:$B$20,MATCH(J3852,Roles!$A$17:$A$20,0)),1)</f>
        <v/>
      </c>
      <c r="L3852" s="19" t="n">
        <v>1</v>
      </c>
      <c r="M3852" s="11" t="n">
        <v>1</v>
      </c>
      <c r="N3852" s="19" t="n"/>
      <c r="O3852" s="19" t="n"/>
      <c r="P3852" s="19" t="n"/>
      <c r="Q3852" s="19" t="n"/>
      <c r="R3852" s="19" t="n"/>
      <c r="S3852" s="19" t="n"/>
      <c r="T3852" s="19" t="n"/>
      <c r="U3852" s="19" t="n"/>
      <c r="V3852" s="19" t="n"/>
      <c r="W3852" s="19" t="n"/>
      <c r="X3852" s="19" t="n"/>
      <c r="Y3852" s="19" t="n">
        <v>1</v>
      </c>
      <c r="Z3852" s="13">
        <f>SUMPRODUCT(N3852:Y3852,$N$2:$Y$2)*$K3852*$L3852*$M3852</f>
        <v/>
      </c>
      <c r="AA3852" s="14">
        <f>SUM(N3852:Y3852)</f>
        <v/>
      </c>
      <c r="AB3852" s="13">
        <f>SUMPRODUCT(N3852:Y3852,$N$3:$Y$3)*$K3852*$L3852*$M3852</f>
        <v/>
      </c>
      <c r="AC3852" s="13">
        <f>SUMPRODUCT(N3852:Y3852,$N$4:$Y$4)*$K3852*$L3852*$M3852</f>
        <v/>
      </c>
      <c r="AD3852" s="15" t="n">
        <v>3</v>
      </c>
      <c r="AE3852" s="11" t="n">
        <v>1.007530864197531</v>
      </c>
      <c r="AF3852" s="16">
        <f>SUMPRODUCT(N3852:Y3852,$N$5:$Y$5)*$K3852*$L3852*$M3852</f>
        <v/>
      </c>
      <c r="AG3852" s="16">
        <f>SUMPRODUCT(N3852:Y3852,$N$6:$Y$6)*$K3852*$L3852*$M3852</f>
        <v/>
      </c>
      <c r="AH3852" s="20" t="n"/>
    </row>
    <row r="3853">
      <c r="A3853" s="9" t="n">
        <v>688138</v>
      </c>
      <c r="B3853" s="9" t="inlineStr">
        <is>
          <t>Logan Evans</t>
        </is>
      </c>
      <c r="C3853" s="9" t="inlineStr">
        <is>
          <t>SEA</t>
        </is>
      </c>
      <c r="D3853" s="9" t="n">
        <v>26</v>
      </c>
      <c r="E3853" s="18" t="inlineStr">
        <is>
          <t>R</t>
        </is>
      </c>
      <c r="F3853" s="18" t="n"/>
      <c r="G3853" s="9" t="n">
        <v>350</v>
      </c>
      <c r="H3853" s="9" t="n">
        <v>350</v>
      </c>
      <c r="I3853" s="9" t="inlineStr">
        <is>
          <t>Swing Arm / Long Relief</t>
        </is>
      </c>
      <c r="J3853" s="18" t="inlineStr">
        <is>
          <t>Opening Day</t>
        </is>
      </c>
      <c r="K3853" s="11">
        <f>IFERROR(INDEX(Roles!$B$17:$B$20,MATCH(J3853,Roles!$A$17:$A$20,0)),1)</f>
        <v/>
      </c>
      <c r="L3853" s="19" t="n">
        <v>1</v>
      </c>
      <c r="M3853" s="11" t="n">
        <v>1</v>
      </c>
      <c r="N3853" s="19" t="n"/>
      <c r="O3853" s="19" t="n"/>
      <c r="P3853" s="19" t="n"/>
      <c r="Q3853" s="19" t="n"/>
      <c r="R3853" s="19" t="n">
        <v>0.5</v>
      </c>
      <c r="S3853" s="19" t="n"/>
      <c r="T3853" s="19" t="n"/>
      <c r="U3853" s="19" t="n"/>
      <c r="V3853" s="19" t="n">
        <v>0.5</v>
      </c>
      <c r="W3853" s="19" t="n"/>
      <c r="X3853" s="19" t="n"/>
      <c r="Y3853" s="19" t="n"/>
      <c r="Z3853" s="13">
        <f>SUMPRODUCT(N3853:Y3853,$N$2:$Y$2)*$K3853*$L3853*$M3853</f>
        <v/>
      </c>
      <c r="AA3853" s="14">
        <f>SUM(N3853:Y3853)</f>
        <v/>
      </c>
      <c r="AB3853" s="13">
        <f>SUMPRODUCT(N3853:Y3853,$N$3:$Y$3)*$K3853*$L3853*$M3853</f>
        <v/>
      </c>
      <c r="AC3853" s="13">
        <f>SUMPRODUCT(N3853:Y3853,$N$4:$Y$4)*$K3853*$L3853*$M3853</f>
        <v/>
      </c>
      <c r="AD3853" s="15" t="n">
        <v>17.73333333333333</v>
      </c>
      <c r="AE3853" s="11" t="n">
        <v>3.362932604735883</v>
      </c>
      <c r="AF3853" s="16">
        <f>SUMPRODUCT(N3853:Y3853,$N$5:$Y$5)*$K3853*$L3853*$M3853</f>
        <v/>
      </c>
      <c r="AG3853" s="16">
        <f>SUMPRODUCT(N3853:Y3853,$N$6:$Y$6)*$K3853*$L3853*$M3853</f>
        <v/>
      </c>
      <c r="AH3853" s="20" t="n"/>
    </row>
    <row r="3854">
      <c r="A3854" s="9" t="n">
        <v>690939</v>
      </c>
      <c r="B3854" s="9" t="inlineStr">
        <is>
          <t>Connor Noland</t>
        </is>
      </c>
      <c r="C3854" s="9" t="inlineStr">
        <is>
          <t>CHC</t>
        </is>
      </c>
      <c r="D3854" s="9" t="n">
        <v>25</v>
      </c>
      <c r="E3854" s="18" t="inlineStr">
        <is>
          <t>R</t>
        </is>
      </c>
      <c r="F3854" s="18" t="n"/>
      <c r="G3854" s="9" t="n">
        <v>174.2216666666667</v>
      </c>
      <c r="H3854" s="9" t="n">
        <v>174.2216666666667</v>
      </c>
      <c r="I3854" s="9" t="inlineStr">
        <is>
          <t>Depth (no MLB IP)</t>
        </is>
      </c>
      <c r="J3854" s="18" t="inlineStr">
        <is>
          <t>Opening Day</t>
        </is>
      </c>
      <c r="K3854" s="11">
        <f>IFERROR(INDEX(Roles!$B$17:$B$20,MATCH(J3854,Roles!$A$17:$A$20,0)),1)</f>
        <v/>
      </c>
      <c r="L3854" s="19" t="n">
        <v>1</v>
      </c>
      <c r="M3854" s="11" t="n">
        <v>1</v>
      </c>
      <c r="N3854" s="19" t="n"/>
      <c r="O3854" s="19" t="n"/>
      <c r="P3854" s="19" t="n"/>
      <c r="Q3854" s="19" t="n"/>
      <c r="R3854" s="19" t="n"/>
      <c r="S3854" s="19" t="n"/>
      <c r="T3854" s="19" t="n"/>
      <c r="U3854" s="19" t="n"/>
      <c r="V3854" s="19" t="n"/>
      <c r="W3854" s="19" t="n"/>
      <c r="X3854" s="19" t="n"/>
      <c r="Y3854" s="19" t="n">
        <v>1</v>
      </c>
      <c r="Z3854" s="13">
        <f>SUMPRODUCT(N3854:Y3854,$N$2:$Y$2)*$K3854*$L3854*$M3854</f>
        <v/>
      </c>
      <c r="AA3854" s="14">
        <f>SUM(N3854:Y3854)</f>
        <v/>
      </c>
      <c r="AB3854" s="13">
        <f>SUMPRODUCT(N3854:Y3854,$N$3:$Y$3)*$K3854*$L3854*$M3854</f>
        <v/>
      </c>
      <c r="AC3854" s="13">
        <f>SUMPRODUCT(N3854:Y3854,$N$4:$Y$4)*$K3854*$L3854*$M3854</f>
        <v/>
      </c>
      <c r="AD3854" s="15" t="n">
        <v>3</v>
      </c>
      <c r="AE3854" s="11" t="n">
        <v>1.011296296296296</v>
      </c>
      <c r="AF3854" s="16">
        <f>SUMPRODUCT(N3854:Y3854,$N$5:$Y$5)*$K3854*$L3854*$M3854</f>
        <v/>
      </c>
      <c r="AG3854" s="16">
        <f>SUMPRODUCT(N3854:Y3854,$N$6:$Y$6)*$K3854*$L3854*$M3854</f>
        <v/>
      </c>
      <c r="AH3854" s="20" t="n"/>
    </row>
    <row r="3855">
      <c r="A3855" s="9" t="n">
        <v>814527</v>
      </c>
      <c r="B3855" s="9" t="inlineStr">
        <is>
          <t>Patrick Copen</t>
        </is>
      </c>
      <c r="C3855" s="9" t="inlineStr">
        <is>
          <t>LAD</t>
        </is>
      </c>
      <c r="D3855" s="9" t="n">
        <v>25</v>
      </c>
      <c r="E3855" s="18" t="inlineStr">
        <is>
          <t>R</t>
        </is>
      </c>
      <c r="F3855" s="18" t="n"/>
      <c r="G3855" s="9" t="n">
        <v>174.58</v>
      </c>
      <c r="H3855" s="9" t="n">
        <v>174.58</v>
      </c>
      <c r="I3855" s="9" t="inlineStr">
        <is>
          <t>Depth (no MLB IP)</t>
        </is>
      </c>
      <c r="J3855" s="18" t="inlineStr">
        <is>
          <t>Opening Day</t>
        </is>
      </c>
      <c r="K3855" s="11">
        <f>IFERROR(INDEX(Roles!$B$17:$B$20,MATCH(J3855,Roles!$A$17:$A$20,0)),1)</f>
        <v/>
      </c>
      <c r="L3855" s="19" t="n">
        <v>1</v>
      </c>
      <c r="M3855" s="11" t="n">
        <v>1</v>
      </c>
      <c r="N3855" s="19" t="n"/>
      <c r="O3855" s="19" t="n"/>
      <c r="P3855" s="19" t="n"/>
      <c r="Q3855" s="19" t="n"/>
      <c r="R3855" s="19" t="n"/>
      <c r="S3855" s="19" t="n"/>
      <c r="T3855" s="19" t="n"/>
      <c r="U3855" s="19" t="n"/>
      <c r="V3855" s="19" t="n"/>
      <c r="W3855" s="19" t="n"/>
      <c r="X3855" s="19" t="n"/>
      <c r="Y3855" s="19" t="n">
        <v>1</v>
      </c>
      <c r="Z3855" s="13">
        <f>SUMPRODUCT(N3855:Y3855,$N$2:$Y$2)*$K3855*$L3855*$M3855</f>
        <v/>
      </c>
      <c r="AA3855" s="14">
        <f>SUM(N3855:Y3855)</f>
        <v/>
      </c>
      <c r="AB3855" s="13">
        <f>SUMPRODUCT(N3855:Y3855,$N$3:$Y$3)*$K3855*$L3855*$M3855</f>
        <v/>
      </c>
      <c r="AC3855" s="13">
        <f>SUMPRODUCT(N3855:Y3855,$N$4:$Y$4)*$K3855*$L3855*$M3855</f>
        <v/>
      </c>
      <c r="AD3855" s="15" t="n">
        <v>3</v>
      </c>
      <c r="AE3855" s="11" t="n">
        <v>1.011296296296296</v>
      </c>
      <c r="AF3855" s="16">
        <f>SUMPRODUCT(N3855:Y3855,$N$5:$Y$5)*$K3855*$L3855*$M3855</f>
        <v/>
      </c>
      <c r="AG3855" s="16">
        <f>SUMPRODUCT(N3855:Y3855,$N$6:$Y$6)*$K3855*$L3855*$M3855</f>
        <v/>
      </c>
      <c r="AH3855" s="20" t="n"/>
    </row>
    <row r="3856">
      <c r="A3856" s="9" t="n">
        <v>663372</v>
      </c>
      <c r="B3856" s="9" t="inlineStr">
        <is>
          <t>Ryan Feltner</t>
        </is>
      </c>
      <c r="C3856" s="9" t="inlineStr">
        <is>
          <t>COL</t>
        </is>
      </c>
      <c r="D3856" s="9" t="n">
        <v>30</v>
      </c>
      <c r="E3856" s="18" t="inlineStr">
        <is>
          <t>R</t>
        </is>
      </c>
      <c r="F3856" s="18" t="n"/>
      <c r="G3856" s="9" t="n">
        <v>548</v>
      </c>
      <c r="H3856" s="9" t="n">
        <v>2004</v>
      </c>
      <c r="I3856" s="9" t="inlineStr">
        <is>
          <t>End-of-Rotation Starter (SP4-5)</t>
        </is>
      </c>
      <c r="J3856" s="18" t="inlineStr">
        <is>
          <t>Opening Day</t>
        </is>
      </c>
      <c r="K3856" s="11">
        <f>IFERROR(INDEX(Roles!$B$17:$B$20,MATCH(J3856,Roles!$A$17:$A$20,0)),1)</f>
        <v/>
      </c>
      <c r="L3856" s="19" t="n">
        <v>1</v>
      </c>
      <c r="M3856" s="11" t="n">
        <v>1</v>
      </c>
      <c r="N3856" s="19" t="n"/>
      <c r="O3856" s="19" t="n"/>
      <c r="P3856" s="19" t="n">
        <v>0.5</v>
      </c>
      <c r="Q3856" s="19" t="n"/>
      <c r="R3856" s="19" t="n">
        <v>0.5</v>
      </c>
      <c r="S3856" s="19" t="n"/>
      <c r="T3856" s="19" t="n"/>
      <c r="U3856" s="19" t="n"/>
      <c r="V3856" s="19" t="n"/>
      <c r="W3856" s="19" t="n"/>
      <c r="X3856" s="19" t="n"/>
      <c r="Y3856" s="19" t="n"/>
      <c r="Z3856" s="13">
        <f>SUMPRODUCT(N3856:Y3856,$N$2:$Y$2)*$K3856*$L3856*$M3856</f>
        <v/>
      </c>
      <c r="AA3856" s="14">
        <f>SUM(N3856:Y3856)</f>
        <v/>
      </c>
      <c r="AB3856" s="13">
        <f>SUMPRODUCT(N3856:Y3856,$N$3:$Y$3)*$K3856*$L3856*$M3856</f>
        <v/>
      </c>
      <c r="AC3856" s="13">
        <f>SUMPRODUCT(N3856:Y3856,$N$4:$Y$4)*$K3856*$L3856*$M3856</f>
        <v/>
      </c>
      <c r="AD3856" s="15" t="n">
        <v>18.4</v>
      </c>
      <c r="AE3856" s="11" t="n">
        <v>4.684259259259259</v>
      </c>
      <c r="AF3856" s="16">
        <f>SUMPRODUCT(N3856:Y3856,$N$5:$Y$5)*$K3856*$L3856*$M3856</f>
        <v/>
      </c>
      <c r="AG3856" s="16">
        <f>SUMPRODUCT(N3856:Y3856,$N$6:$Y$6)*$K3856*$L3856*$M3856</f>
        <v/>
      </c>
      <c r="AH3856" s="20" t="n"/>
    </row>
    <row r="3857">
      <c r="A3857" s="9" t="n">
        <v>683177</v>
      </c>
      <c r="B3857" s="9" t="inlineStr">
        <is>
          <t>Jared Southard</t>
        </is>
      </c>
      <c r="C3857" s="9" t="inlineStr">
        <is>
          <t>LAA</t>
        </is>
      </c>
      <c r="D3857" s="9" t="n">
        <v>25</v>
      </c>
      <c r="E3857" s="18" t="inlineStr">
        <is>
          <t>R</t>
        </is>
      </c>
      <c r="F3857" s="18" t="n"/>
      <c r="G3857" s="9" t="n">
        <v>175.01</v>
      </c>
      <c r="H3857" s="9" t="n">
        <v>175.01</v>
      </c>
      <c r="I3857" s="9" t="inlineStr">
        <is>
          <t>Depth (no MLB IP)</t>
        </is>
      </c>
      <c r="J3857" s="18" t="inlineStr">
        <is>
          <t>Opening Day</t>
        </is>
      </c>
      <c r="K3857" s="11">
        <f>IFERROR(INDEX(Roles!$B$17:$B$20,MATCH(J3857,Roles!$A$17:$A$20,0)),1)</f>
        <v/>
      </c>
      <c r="L3857" s="19" t="n">
        <v>1</v>
      </c>
      <c r="M3857" s="11" t="n">
        <v>1</v>
      </c>
      <c r="N3857" s="19" t="n"/>
      <c r="O3857" s="19" t="n"/>
      <c r="P3857" s="19" t="n"/>
      <c r="Q3857" s="19" t="n"/>
      <c r="R3857" s="19" t="n"/>
      <c r="S3857" s="19" t="n"/>
      <c r="T3857" s="19" t="n"/>
      <c r="U3857" s="19" t="n"/>
      <c r="V3857" s="19" t="n"/>
      <c r="W3857" s="19" t="n"/>
      <c r="X3857" s="19" t="n"/>
      <c r="Y3857" s="19" t="n">
        <v>1</v>
      </c>
      <c r="Z3857" s="13">
        <f>SUMPRODUCT(N3857:Y3857,$N$2:$Y$2)*$K3857*$L3857*$M3857</f>
        <v/>
      </c>
      <c r="AA3857" s="14">
        <f>SUM(N3857:Y3857)</f>
        <v/>
      </c>
      <c r="AB3857" s="13">
        <f>SUMPRODUCT(N3857:Y3857,$N$3:$Y$3)*$K3857*$L3857*$M3857</f>
        <v/>
      </c>
      <c r="AC3857" s="13">
        <f>SUMPRODUCT(N3857:Y3857,$N$4:$Y$4)*$K3857*$L3857*$M3857</f>
        <v/>
      </c>
      <c r="AD3857" s="15" t="n">
        <v>3</v>
      </c>
      <c r="AE3857" s="11" t="n">
        <v>1.011296296296296</v>
      </c>
      <c r="AF3857" s="16">
        <f>SUMPRODUCT(N3857:Y3857,$N$5:$Y$5)*$K3857*$L3857*$M3857</f>
        <v/>
      </c>
      <c r="AG3857" s="16">
        <f>SUMPRODUCT(N3857:Y3857,$N$6:$Y$6)*$K3857*$L3857*$M3857</f>
        <v/>
      </c>
      <c r="AH3857" s="20" t="n"/>
    </row>
    <row r="3858">
      <c r="A3858" s="9" t="n">
        <v>641585</v>
      </c>
      <c r="B3858" s="9" t="inlineStr">
        <is>
          <t>J.P. France</t>
        </is>
      </c>
      <c r="C3858" s="9" t="inlineStr">
        <is>
          <t>HOU</t>
        </is>
      </c>
      <c r="D3858" s="9" t="n">
        <v>32</v>
      </c>
      <c r="E3858" s="18" t="inlineStr">
        <is>
          <t>R</t>
        </is>
      </c>
      <c r="F3858" s="18" t="n"/>
      <c r="G3858" s="9" t="n">
        <v>31</v>
      </c>
      <c r="H3858" s="9" t="n">
        <v>749</v>
      </c>
      <c r="I3858" s="9" t="inlineStr">
        <is>
          <t>End-of-Rotation Starter (SP4-5)</t>
        </is>
      </c>
      <c r="J3858" s="18" t="inlineStr">
        <is>
          <t>Opening Day</t>
        </is>
      </c>
      <c r="K3858" s="11">
        <f>IFERROR(INDEX(Roles!$B$17:$B$20,MATCH(J3858,Roles!$A$17:$A$20,0)),1)</f>
        <v/>
      </c>
      <c r="L3858" s="19" t="n">
        <v>1</v>
      </c>
      <c r="M3858" s="11" t="n">
        <v>1</v>
      </c>
      <c r="N3858" s="19" t="n"/>
      <c r="O3858" s="19" t="n"/>
      <c r="P3858" s="19" t="n">
        <v>1</v>
      </c>
      <c r="Q3858" s="19" t="n"/>
      <c r="R3858" s="19" t="n"/>
      <c r="S3858" s="19" t="n"/>
      <c r="T3858" s="19" t="n"/>
      <c r="U3858" s="19" t="n"/>
      <c r="V3858" s="19" t="n"/>
      <c r="W3858" s="19" t="n"/>
      <c r="X3858" s="19" t="n"/>
      <c r="Y3858" s="19" t="n"/>
      <c r="Z3858" s="13">
        <f>SUMPRODUCT(N3858:Y3858,$N$2:$Y$2)*$K3858*$L3858*$M3858</f>
        <v/>
      </c>
      <c r="AA3858" s="14">
        <f>SUM(N3858:Y3858)</f>
        <v/>
      </c>
      <c r="AB3858" s="13">
        <f>SUMPRODUCT(N3858:Y3858,$N$3:$Y$3)*$K3858*$L3858*$M3858</f>
        <v/>
      </c>
      <c r="AC3858" s="13">
        <f>SUMPRODUCT(N3858:Y3858,$N$4:$Y$4)*$K3858*$L3858*$M3858</f>
        <v/>
      </c>
      <c r="AD3858" s="15" t="n">
        <v>8.199999999999999</v>
      </c>
      <c r="AE3858" s="11" t="n">
        <v>4.024691358024692</v>
      </c>
      <c r="AF3858" s="16">
        <f>SUMPRODUCT(N3858:Y3858,$N$5:$Y$5)*$K3858*$L3858*$M3858</f>
        <v/>
      </c>
      <c r="AG3858" s="16">
        <f>SUMPRODUCT(N3858:Y3858,$N$6:$Y$6)*$K3858*$L3858*$M3858</f>
        <v/>
      </c>
      <c r="AH3858" s="20" t="n"/>
    </row>
    <row r="3859">
      <c r="A3859" s="9" t="n">
        <v>593974</v>
      </c>
      <c r="B3859" s="9" t="inlineStr">
        <is>
          <t>Wandy Peralta</t>
        </is>
      </c>
      <c r="C3859" s="9" t="inlineStr">
        <is>
          <t>SD</t>
        </is>
      </c>
      <c r="D3859" s="9" t="n">
        <v>35</v>
      </c>
      <c r="E3859" s="18" t="inlineStr">
        <is>
          <t>L</t>
        </is>
      </c>
      <c r="F3859" s="18" t="n"/>
      <c r="G3859" s="9" t="n">
        <v>321</v>
      </c>
      <c r="H3859" s="9" t="n">
        <v>1246</v>
      </c>
      <c r="I3859" s="9" t="inlineStr">
        <is>
          <t>Middle Relief</t>
        </is>
      </c>
      <c r="J3859" s="18" t="inlineStr">
        <is>
          <t>Opening Day</t>
        </is>
      </c>
      <c r="K3859" s="11">
        <f>IFERROR(INDEX(Roles!$B$17:$B$20,MATCH(J3859,Roles!$A$17:$A$20,0)),1)</f>
        <v/>
      </c>
      <c r="L3859" s="19" t="n">
        <v>1</v>
      </c>
      <c r="M3859" s="11" t="n">
        <v>1</v>
      </c>
      <c r="N3859" s="19" t="n"/>
      <c r="O3859" s="19" t="n"/>
      <c r="P3859" s="19" t="n"/>
      <c r="Q3859" s="19" t="n"/>
      <c r="R3859" s="19" t="n"/>
      <c r="S3859" s="19" t="n"/>
      <c r="T3859" s="19" t="n"/>
      <c r="U3859" s="19" t="n"/>
      <c r="V3859" s="19" t="n">
        <v>0.85</v>
      </c>
      <c r="W3859" s="19" t="n">
        <v>0.15</v>
      </c>
      <c r="X3859" s="19" t="n"/>
      <c r="Y3859" s="19" t="n"/>
      <c r="Z3859" s="13">
        <f>SUMPRODUCT(N3859:Y3859,$N$2:$Y$2)*$K3859*$L3859*$M3859</f>
        <v/>
      </c>
      <c r="AA3859" s="14">
        <f>SUM(N3859:Y3859)</f>
        <v/>
      </c>
      <c r="AB3859" s="13">
        <f>SUMPRODUCT(N3859:Y3859,$N$3:$Y$3)*$K3859*$L3859*$M3859</f>
        <v/>
      </c>
      <c r="AC3859" s="13">
        <f>SUMPRODUCT(N3859:Y3859,$N$4:$Y$4)*$K3859*$L3859*$M3859</f>
        <v/>
      </c>
      <c r="AD3859" s="15" t="n">
        <v>53.03333333333333</v>
      </c>
      <c r="AE3859" s="11" t="n">
        <v>1.049166973362591</v>
      </c>
      <c r="AF3859" s="16">
        <f>SUMPRODUCT(N3859:Y3859,$N$5:$Y$5)*$K3859*$L3859*$M3859</f>
        <v/>
      </c>
      <c r="AG3859" s="16">
        <f>SUMPRODUCT(N3859:Y3859,$N$6:$Y$6)*$K3859*$L3859*$M3859</f>
        <v/>
      </c>
      <c r="AH3859" s="20" t="n"/>
    </row>
    <row r="3860">
      <c r="A3860" s="9" t="n">
        <v>690981</v>
      </c>
      <c r="B3860" s="9" t="inlineStr">
        <is>
          <t>Lucas Gordon</t>
        </is>
      </c>
      <c r="C3860" s="9" t="inlineStr">
        <is>
          <t>CWS</t>
        </is>
      </c>
      <c r="D3860" s="9" t="n">
        <v>25</v>
      </c>
      <c r="E3860" s="18" t="inlineStr">
        <is>
          <t>L</t>
        </is>
      </c>
      <c r="F3860" s="18" t="n"/>
      <c r="G3860" s="9" t="n">
        <v>176.5866666666666</v>
      </c>
      <c r="H3860" s="9" t="n">
        <v>176.5866666666666</v>
      </c>
      <c r="I3860" s="9" t="inlineStr">
        <is>
          <t>Depth (no MLB IP)</t>
        </is>
      </c>
      <c r="J3860" s="18" t="inlineStr">
        <is>
          <t>Opening Day</t>
        </is>
      </c>
      <c r="K3860" s="11">
        <f>IFERROR(INDEX(Roles!$B$17:$B$20,MATCH(J3860,Roles!$A$17:$A$20,0)),1)</f>
        <v/>
      </c>
      <c r="L3860" s="19" t="n">
        <v>1</v>
      </c>
      <c r="M3860" s="11" t="n">
        <v>1</v>
      </c>
      <c r="N3860" s="19" t="n"/>
      <c r="O3860" s="19" t="n"/>
      <c r="P3860" s="19" t="n"/>
      <c r="Q3860" s="19" t="n"/>
      <c r="R3860" s="19" t="n"/>
      <c r="S3860" s="19" t="n"/>
      <c r="T3860" s="19" t="n"/>
      <c r="U3860" s="19" t="n"/>
      <c r="V3860" s="19" t="n"/>
      <c r="W3860" s="19" t="n"/>
      <c r="X3860" s="19" t="n"/>
      <c r="Y3860" s="19" t="n">
        <v>1</v>
      </c>
      <c r="Z3860" s="13">
        <f>SUMPRODUCT(N3860:Y3860,$N$2:$Y$2)*$K3860*$L3860*$M3860</f>
        <v/>
      </c>
      <c r="AA3860" s="14">
        <f>SUM(N3860:Y3860)</f>
        <v/>
      </c>
      <c r="AB3860" s="13">
        <f>SUMPRODUCT(N3860:Y3860,$N$3:$Y$3)*$K3860*$L3860*$M3860</f>
        <v/>
      </c>
      <c r="AC3860" s="13">
        <f>SUMPRODUCT(N3860:Y3860,$N$4:$Y$4)*$K3860*$L3860*$M3860</f>
        <v/>
      </c>
      <c r="AD3860" s="15" t="n">
        <v>3</v>
      </c>
      <c r="AE3860" s="11" t="n">
        <v>1.011296296296296</v>
      </c>
      <c r="AF3860" s="16">
        <f>SUMPRODUCT(N3860:Y3860,$N$5:$Y$5)*$K3860*$L3860*$M3860</f>
        <v/>
      </c>
      <c r="AG3860" s="16">
        <f>SUMPRODUCT(N3860:Y3860,$N$6:$Y$6)*$K3860*$L3860*$M3860</f>
        <v/>
      </c>
      <c r="AH3860" s="20" t="n"/>
    </row>
    <row r="3861">
      <c r="A3861" s="9" t="n">
        <v>665871</v>
      </c>
      <c r="B3861" s="9" t="inlineStr">
        <is>
          <t>Javier Assad</t>
        </is>
      </c>
      <c r="C3861" s="9" t="inlineStr">
        <is>
          <t>CHC</t>
        </is>
      </c>
      <c r="D3861" s="9" t="n">
        <v>29</v>
      </c>
      <c r="E3861" s="18" t="inlineStr">
        <is>
          <t>R</t>
        </is>
      </c>
      <c r="F3861" s="18" t="n"/>
      <c r="G3861" s="9" t="n">
        <v>378</v>
      </c>
      <c r="H3861" s="9" t="n">
        <v>1784</v>
      </c>
      <c r="I3861" s="9" t="inlineStr">
        <is>
          <t>Bullpen Depth Arm</t>
        </is>
      </c>
      <c r="J3861" s="18" t="inlineStr">
        <is>
          <t>Opening Day</t>
        </is>
      </c>
      <c r="K3861" s="11">
        <f>IFERROR(INDEX(Roles!$B$17:$B$20,MATCH(J3861,Roles!$A$17:$A$20,0)),1)</f>
        <v/>
      </c>
      <c r="L3861" s="19" t="n">
        <v>1</v>
      </c>
      <c r="M3861" s="11" t="n">
        <v>1</v>
      </c>
      <c r="N3861" s="19" t="n"/>
      <c r="O3861" s="19" t="n"/>
      <c r="P3861" s="19" t="n"/>
      <c r="Q3861" s="19" t="n"/>
      <c r="R3861" s="19" t="n"/>
      <c r="S3861" s="19" t="n"/>
      <c r="T3861" s="19" t="n"/>
      <c r="U3861" s="19" t="n"/>
      <c r="V3861" s="19" t="n">
        <v>0.15</v>
      </c>
      <c r="W3861" s="19" t="n">
        <v>0.85</v>
      </c>
      <c r="X3861" s="19" t="n"/>
      <c r="Y3861" s="19" t="n"/>
      <c r="Z3861" s="13">
        <f>SUMPRODUCT(N3861:Y3861,$N$2:$Y$2)*$K3861*$L3861*$M3861</f>
        <v/>
      </c>
      <c r="AA3861" s="14">
        <f>SUM(N3861:Y3861)</f>
        <v/>
      </c>
      <c r="AB3861" s="13">
        <f>SUMPRODUCT(N3861:Y3861,$N$3:$Y$3)*$K3861*$L3861*$M3861</f>
        <v/>
      </c>
      <c r="AC3861" s="13">
        <f>SUMPRODUCT(N3861:Y3861,$N$4:$Y$4)*$K3861*$L3861*$M3861</f>
        <v/>
      </c>
      <c r="AD3861" s="15" t="n">
        <v>18.56666666666666</v>
      </c>
      <c r="AE3861" s="11" t="n">
        <v>2.103832716235817</v>
      </c>
      <c r="AF3861" s="16">
        <f>SUMPRODUCT(N3861:Y3861,$N$5:$Y$5)*$K3861*$L3861*$M3861</f>
        <v/>
      </c>
      <c r="AG3861" s="16">
        <f>SUMPRODUCT(N3861:Y3861,$N$6:$Y$6)*$K3861*$L3861*$M3861</f>
        <v/>
      </c>
      <c r="AH3861" s="20" t="n"/>
    </row>
    <row r="3862">
      <c r="A3862" s="9" t="n">
        <v>642215</v>
      </c>
      <c r="B3862" s="9" t="inlineStr">
        <is>
          <t>Weston Wilson</t>
        </is>
      </c>
      <c r="C3862" s="9" t="inlineStr">
        <is>
          <t>SEA</t>
        </is>
      </c>
      <c r="D3862" s="9" t="n">
        <v>32</v>
      </c>
      <c r="E3862" s="18" t="inlineStr">
        <is>
          <t>R</t>
        </is>
      </c>
      <c r="F3862" s="18" t="n"/>
      <c r="G3862" s="9" t="n">
        <v>21</v>
      </c>
      <c r="H3862" s="9" t="n">
        <v>37</v>
      </c>
      <c r="I3862" s="9" t="inlineStr">
        <is>
          <t>Depth (no MLB IP)</t>
        </is>
      </c>
      <c r="J3862" s="18" t="inlineStr">
        <is>
          <t>Opening Day</t>
        </is>
      </c>
      <c r="K3862" s="11">
        <f>IFERROR(INDEX(Roles!$B$17:$B$20,MATCH(J3862,Roles!$A$17:$A$20,0)),1)</f>
        <v/>
      </c>
      <c r="L3862" s="19" t="n">
        <v>1</v>
      </c>
      <c r="M3862" s="11" t="n">
        <v>1</v>
      </c>
      <c r="N3862" s="19" t="n"/>
      <c r="O3862" s="19" t="n"/>
      <c r="P3862" s="19" t="n"/>
      <c r="Q3862" s="19" t="n"/>
      <c r="R3862" s="19" t="n"/>
      <c r="S3862" s="19" t="n"/>
      <c r="T3862" s="19" t="n"/>
      <c r="U3862" s="19" t="n"/>
      <c r="V3862" s="19" t="n"/>
      <c r="W3862" s="19" t="n"/>
      <c r="X3862" s="19" t="n"/>
      <c r="Y3862" s="19" t="n">
        <v>1</v>
      </c>
      <c r="Z3862" s="13">
        <f>SUMPRODUCT(N3862:Y3862,$N$2:$Y$2)*$K3862*$L3862*$M3862</f>
        <v/>
      </c>
      <c r="AA3862" s="14">
        <f>SUM(N3862:Y3862)</f>
        <v/>
      </c>
      <c r="AB3862" s="13">
        <f>SUMPRODUCT(N3862:Y3862,$N$3:$Y$3)*$K3862*$L3862*$M3862</f>
        <v/>
      </c>
      <c r="AC3862" s="13">
        <f>SUMPRODUCT(N3862:Y3862,$N$4:$Y$4)*$K3862*$L3862*$M3862</f>
        <v/>
      </c>
      <c r="AD3862" s="15" t="n">
        <v>2.9</v>
      </c>
      <c r="AE3862" s="11" t="n">
        <v>1.007530864197531</v>
      </c>
      <c r="AF3862" s="16">
        <f>SUMPRODUCT(N3862:Y3862,$N$5:$Y$5)*$K3862*$L3862*$M3862</f>
        <v/>
      </c>
      <c r="AG3862" s="16">
        <f>SUMPRODUCT(N3862:Y3862,$N$6:$Y$6)*$K3862*$L3862*$M3862</f>
        <v/>
      </c>
      <c r="AH3862" s="20" t="n"/>
    </row>
    <row r="3863">
      <c r="A3863" s="9" t="n">
        <v>693313</v>
      </c>
      <c r="B3863" s="9" t="inlineStr">
        <is>
          <t>Carson Seymour</t>
        </is>
      </c>
      <c r="C3863" s="9" t="inlineStr">
        <is>
          <t>SF</t>
        </is>
      </c>
      <c r="D3863" s="9" t="n">
        <v>28</v>
      </c>
      <c r="E3863" s="18" t="inlineStr">
        <is>
          <t>R</t>
        </is>
      </c>
      <c r="F3863" s="18" t="n"/>
      <c r="G3863" s="9" t="n">
        <v>140</v>
      </c>
      <c r="H3863" s="9" t="n">
        <v>296</v>
      </c>
      <c r="I3863" s="9" t="inlineStr">
        <is>
          <t>Late Inning RP (Setup)</t>
        </is>
      </c>
      <c r="J3863" s="18" t="inlineStr">
        <is>
          <t>Opening Day</t>
        </is>
      </c>
      <c r="K3863" s="11">
        <f>IFERROR(INDEX(Roles!$B$17:$B$20,MATCH(J3863,Roles!$A$17:$A$20,0)),1)</f>
        <v/>
      </c>
      <c r="L3863" s="19" t="n">
        <v>1</v>
      </c>
      <c r="M3863" s="11" t="n">
        <v>1</v>
      </c>
      <c r="N3863" s="19" t="n"/>
      <c r="O3863" s="19" t="n"/>
      <c r="P3863" s="19" t="n"/>
      <c r="Q3863" s="19" t="n"/>
      <c r="R3863" s="19" t="n"/>
      <c r="S3863" s="19" t="n"/>
      <c r="T3863" s="19" t="n"/>
      <c r="U3863" s="19" t="n">
        <v>0.85</v>
      </c>
      <c r="V3863" s="19" t="n">
        <v>0.15</v>
      </c>
      <c r="W3863" s="19" t="n"/>
      <c r="X3863" s="19" t="n"/>
      <c r="Y3863" s="19" t="n"/>
      <c r="Z3863" s="13">
        <f>SUMPRODUCT(N3863:Y3863,$N$2:$Y$2)*$K3863*$L3863*$M3863</f>
        <v/>
      </c>
      <c r="AA3863" s="14">
        <f>SUM(N3863:Y3863)</f>
        <v/>
      </c>
      <c r="AB3863" s="13">
        <f>SUMPRODUCT(N3863:Y3863,$N$3:$Y$3)*$K3863*$L3863*$M3863</f>
        <v/>
      </c>
      <c r="AC3863" s="13">
        <f>SUMPRODUCT(N3863:Y3863,$N$4:$Y$4)*$K3863*$L3863*$M3863</f>
        <v/>
      </c>
      <c r="AD3863" s="15" t="n">
        <v>32.04</v>
      </c>
      <c r="AE3863" s="11" t="n">
        <v>1.179971443406023</v>
      </c>
      <c r="AF3863" s="16">
        <f>SUMPRODUCT(N3863:Y3863,$N$5:$Y$5)*$K3863*$L3863*$M3863</f>
        <v/>
      </c>
      <c r="AG3863" s="16">
        <f>SUMPRODUCT(N3863:Y3863,$N$6:$Y$6)*$K3863*$L3863*$M3863</f>
        <v/>
      </c>
      <c r="AH3863" s="20" t="n"/>
    </row>
    <row r="3864">
      <c r="A3864" s="9" t="n">
        <v>814098</v>
      </c>
      <c r="B3864" s="9" t="inlineStr">
        <is>
          <t>Sam Armstrong</t>
        </is>
      </c>
      <c r="C3864" s="9" t="inlineStr">
        <is>
          <t>MIN</t>
        </is>
      </c>
      <c r="D3864" s="9" t="n">
        <v>25</v>
      </c>
      <c r="E3864" s="18" t="inlineStr">
        <is>
          <t>R</t>
        </is>
      </c>
      <c r="F3864" s="18" t="n"/>
      <c r="G3864" s="9" t="n">
        <v>177.5899999999999</v>
      </c>
      <c r="H3864" s="9" t="n">
        <v>177.5899999999999</v>
      </c>
      <c r="I3864" s="9" t="inlineStr">
        <is>
          <t>Depth (no MLB IP)</t>
        </is>
      </c>
      <c r="J3864" s="18" t="inlineStr">
        <is>
          <t>Opening Day</t>
        </is>
      </c>
      <c r="K3864" s="11">
        <f>IFERROR(INDEX(Roles!$B$17:$B$20,MATCH(J3864,Roles!$A$17:$A$20,0)),1)</f>
        <v/>
      </c>
      <c r="L3864" s="19" t="n">
        <v>1</v>
      </c>
      <c r="M3864" s="11" t="n">
        <v>1</v>
      </c>
      <c r="N3864" s="19" t="n"/>
      <c r="O3864" s="19" t="n"/>
      <c r="P3864" s="19" t="n"/>
      <c r="Q3864" s="19" t="n"/>
      <c r="R3864" s="19" t="n"/>
      <c r="S3864" s="19" t="n"/>
      <c r="T3864" s="19" t="n"/>
      <c r="U3864" s="19" t="n"/>
      <c r="V3864" s="19" t="n"/>
      <c r="W3864" s="19" t="n"/>
      <c r="X3864" s="19" t="n"/>
      <c r="Y3864" s="19" t="n">
        <v>1</v>
      </c>
      <c r="Z3864" s="13">
        <f>SUMPRODUCT(N3864:Y3864,$N$2:$Y$2)*$K3864*$L3864*$M3864</f>
        <v/>
      </c>
      <c r="AA3864" s="14">
        <f>SUM(N3864:Y3864)</f>
        <v/>
      </c>
      <c r="AB3864" s="13">
        <f>SUMPRODUCT(N3864:Y3864,$N$3:$Y$3)*$K3864*$L3864*$M3864</f>
        <v/>
      </c>
      <c r="AC3864" s="13">
        <f>SUMPRODUCT(N3864:Y3864,$N$4:$Y$4)*$K3864*$L3864*$M3864</f>
        <v/>
      </c>
      <c r="AD3864" s="15" t="n">
        <v>3</v>
      </c>
      <c r="AE3864" s="11" t="n">
        <v>1.011296296296296</v>
      </c>
      <c r="AF3864" s="16">
        <f>SUMPRODUCT(N3864:Y3864,$N$5:$Y$5)*$K3864*$L3864*$M3864</f>
        <v/>
      </c>
      <c r="AG3864" s="16">
        <f>SUMPRODUCT(N3864:Y3864,$N$6:$Y$6)*$K3864*$L3864*$M3864</f>
        <v/>
      </c>
      <c r="AH3864" s="20" t="n"/>
    </row>
    <row r="3865">
      <c r="A3865" s="9" t="n">
        <v>683627</v>
      </c>
      <c r="B3865" s="9" t="inlineStr">
        <is>
          <t>Anthony Molina</t>
        </is>
      </c>
      <c r="C3865" s="9" t="inlineStr">
        <is>
          <t>SF</t>
        </is>
      </c>
      <c r="D3865" s="9" t="n">
        <v>25</v>
      </c>
      <c r="E3865" s="18" t="inlineStr">
        <is>
          <t>R</t>
        </is>
      </c>
      <c r="F3865" s="18" t="n"/>
      <c r="G3865" s="9" t="n">
        <v>136</v>
      </c>
      <c r="H3865" s="9" t="n">
        <v>560</v>
      </c>
      <c r="I3865" s="9" t="inlineStr">
        <is>
          <t>Ace (SP1)</t>
        </is>
      </c>
      <c r="J3865" s="18" t="inlineStr">
        <is>
          <t>Opening Day</t>
        </is>
      </c>
      <c r="K3865" s="11">
        <f>IFERROR(INDEX(Roles!$B$17:$B$20,MATCH(J3865,Roles!$A$17:$A$20,0)),1)</f>
        <v/>
      </c>
      <c r="L3865" s="19" t="n">
        <v>1</v>
      </c>
      <c r="M3865" s="11" t="n">
        <v>1</v>
      </c>
      <c r="N3865" s="19" t="n">
        <v>0.5</v>
      </c>
      <c r="O3865" s="19" t="n">
        <v>0.5</v>
      </c>
      <c r="P3865" s="19" t="n"/>
      <c r="Q3865" s="19" t="n"/>
      <c r="R3865" s="19" t="n"/>
      <c r="S3865" s="19" t="n"/>
      <c r="T3865" s="19" t="n"/>
      <c r="U3865" s="19" t="n"/>
      <c r="V3865" s="19" t="n"/>
      <c r="W3865" s="19" t="n"/>
      <c r="X3865" s="19" t="n"/>
      <c r="Y3865" s="19" t="n"/>
      <c r="Z3865" s="13">
        <f>SUMPRODUCT(N3865:Y3865,$N$2:$Y$2)*$K3865*$L3865*$M3865</f>
        <v/>
      </c>
      <c r="AA3865" s="14">
        <f>SUM(N3865:Y3865)</f>
        <v/>
      </c>
      <c r="AB3865" s="13">
        <f>SUMPRODUCT(N3865:Y3865,$N$3:$Y$3)*$K3865*$L3865*$M3865</f>
        <v/>
      </c>
      <c r="AC3865" s="13">
        <f>SUMPRODUCT(N3865:Y3865,$N$4:$Y$4)*$K3865*$L3865*$M3865</f>
        <v/>
      </c>
      <c r="AD3865" s="15" t="n">
        <v>19.8</v>
      </c>
      <c r="AE3865" s="11" t="n">
        <v>4.548115079365079</v>
      </c>
      <c r="AF3865" s="16">
        <f>SUMPRODUCT(N3865:Y3865,$N$5:$Y$5)*$K3865*$L3865*$M3865</f>
        <v/>
      </c>
      <c r="AG3865" s="16">
        <f>SUMPRODUCT(N3865:Y3865,$N$6:$Y$6)*$K3865*$L3865*$M3865</f>
        <v/>
      </c>
      <c r="AH3865" s="20" t="n"/>
    </row>
    <row r="3866">
      <c r="A3866" s="9" t="n">
        <v>669947</v>
      </c>
      <c r="B3866" s="9" t="inlineStr">
        <is>
          <t>Jesse Scholtens</t>
        </is>
      </c>
      <c r="C3866" s="9" t="inlineStr">
        <is>
          <t>TB</t>
        </is>
      </c>
      <c r="D3866" s="9" t="n">
        <v>33</v>
      </c>
      <c r="E3866" s="18" t="inlineStr">
        <is>
          <t>R</t>
        </is>
      </c>
      <c r="F3866" s="18" t="n"/>
      <c r="G3866" s="9" t="n">
        <v>209</v>
      </c>
      <c r="H3866" s="9" t="n">
        <v>624</v>
      </c>
      <c r="I3866" s="9" t="inlineStr">
        <is>
          <t>Bullpen Depth Arm</t>
        </is>
      </c>
      <c r="J3866" s="18" t="inlineStr">
        <is>
          <t>Opening Day</t>
        </is>
      </c>
      <c r="K3866" s="11">
        <f>IFERROR(INDEX(Roles!$B$17:$B$20,MATCH(J3866,Roles!$A$17:$A$20,0)),1)</f>
        <v/>
      </c>
      <c r="L3866" s="19" t="n">
        <v>1</v>
      </c>
      <c r="M3866" s="11" t="n">
        <v>1</v>
      </c>
      <c r="N3866" s="19" t="n"/>
      <c r="O3866" s="19" t="n"/>
      <c r="P3866" s="19" t="n"/>
      <c r="Q3866" s="19" t="n"/>
      <c r="R3866" s="19" t="n"/>
      <c r="S3866" s="19" t="n"/>
      <c r="T3866" s="19" t="n"/>
      <c r="U3866" s="19" t="n"/>
      <c r="V3866" s="19" t="n">
        <v>0.15</v>
      </c>
      <c r="W3866" s="19" t="n">
        <v>0.85</v>
      </c>
      <c r="X3866" s="19" t="n"/>
      <c r="Y3866" s="19" t="n"/>
      <c r="Z3866" s="13">
        <f>SUMPRODUCT(N3866:Y3866,$N$2:$Y$2)*$K3866*$L3866*$M3866</f>
        <v/>
      </c>
      <c r="AA3866" s="14">
        <f>SUM(N3866:Y3866)</f>
        <v/>
      </c>
      <c r="AB3866" s="13">
        <f>SUMPRODUCT(N3866:Y3866,$N$3:$Y$3)*$K3866*$L3866*$M3866</f>
        <v/>
      </c>
      <c r="AC3866" s="13">
        <f>SUMPRODUCT(N3866:Y3866,$N$4:$Y$4)*$K3866*$L3866*$M3866</f>
        <v/>
      </c>
      <c r="AD3866" s="15" t="n">
        <v>10.46666666666666</v>
      </c>
      <c r="AE3866" s="11" t="n">
        <v>2.132062690396024</v>
      </c>
      <c r="AF3866" s="16">
        <f>SUMPRODUCT(N3866:Y3866,$N$5:$Y$5)*$K3866*$L3866*$M3866</f>
        <v/>
      </c>
      <c r="AG3866" s="16">
        <f>SUMPRODUCT(N3866:Y3866,$N$6:$Y$6)*$K3866*$L3866*$M3866</f>
        <v/>
      </c>
      <c r="AH3866" s="20" t="n"/>
    </row>
    <row r="3867">
      <c r="A3867" s="9" t="n">
        <v>687765</v>
      </c>
      <c r="B3867" s="9" t="inlineStr">
        <is>
          <t>Mitch Spence</t>
        </is>
      </c>
      <c r="C3867" s="9" t="inlineStr">
        <is>
          <t>KC</t>
        </is>
      </c>
      <c r="D3867" s="9" t="n">
        <v>29</v>
      </c>
      <c r="E3867" s="18" t="inlineStr">
        <is>
          <t>R</t>
        </is>
      </c>
      <c r="F3867" s="18" t="n"/>
      <c r="G3867" s="9" t="n">
        <v>56</v>
      </c>
      <c r="H3867" s="9" t="n">
        <v>1082</v>
      </c>
      <c r="I3867" s="9" t="inlineStr">
        <is>
          <t>End-of-Rotation Starter (SP4-5)</t>
        </is>
      </c>
      <c r="J3867" s="18" t="inlineStr">
        <is>
          <t>Opening Day</t>
        </is>
      </c>
      <c r="K3867" s="11">
        <f>IFERROR(INDEX(Roles!$B$17:$B$20,MATCH(J3867,Roles!$A$17:$A$20,0)),1)</f>
        <v/>
      </c>
      <c r="L3867" s="19" t="n">
        <v>1</v>
      </c>
      <c r="M3867" s="11" t="n">
        <v>1</v>
      </c>
      <c r="N3867" s="19" t="n"/>
      <c r="O3867" s="19" t="n"/>
      <c r="P3867" s="19" t="n">
        <v>1</v>
      </c>
      <c r="Q3867" s="19" t="n"/>
      <c r="R3867" s="19" t="n"/>
      <c r="S3867" s="19" t="n"/>
      <c r="T3867" s="19" t="n"/>
      <c r="U3867" s="19" t="n"/>
      <c r="V3867" s="19" t="n"/>
      <c r="W3867" s="19" t="n"/>
      <c r="X3867" s="19" t="n"/>
      <c r="Y3867" s="19" t="n"/>
      <c r="Z3867" s="13">
        <f>SUMPRODUCT(N3867:Y3867,$N$2:$Y$2)*$K3867*$L3867*$M3867</f>
        <v/>
      </c>
      <c r="AA3867" s="14">
        <f>SUM(N3867:Y3867)</f>
        <v/>
      </c>
      <c r="AB3867" s="13">
        <f>SUMPRODUCT(N3867:Y3867,$N$3:$Y$3)*$K3867*$L3867*$M3867</f>
        <v/>
      </c>
      <c r="AC3867" s="13">
        <f>SUMPRODUCT(N3867:Y3867,$N$4:$Y$4)*$K3867*$L3867*$M3867</f>
        <v/>
      </c>
      <c r="AD3867" s="15" t="n">
        <v>17.2</v>
      </c>
      <c r="AE3867" s="11" t="n">
        <v>4.113168724279835</v>
      </c>
      <c r="AF3867" s="16">
        <f>SUMPRODUCT(N3867:Y3867,$N$5:$Y$5)*$K3867*$L3867*$M3867</f>
        <v/>
      </c>
      <c r="AG3867" s="16">
        <f>SUMPRODUCT(N3867:Y3867,$N$6:$Y$6)*$K3867*$L3867*$M3867</f>
        <v/>
      </c>
      <c r="AH3867" s="20" t="n"/>
    </row>
    <row r="3868">
      <c r="A3868" s="9" t="n">
        <v>502624</v>
      </c>
      <c r="B3868" s="9" t="inlineStr">
        <is>
          <t>Chase Anderson</t>
        </is>
      </c>
      <c r="C3868" s="9" t="inlineStr">
        <is>
          <t>TEX</t>
        </is>
      </c>
      <c r="D3868" s="9" t="n">
        <v>39</v>
      </c>
      <c r="E3868" s="18" t="inlineStr">
        <is>
          <t>R</t>
        </is>
      </c>
      <c r="F3868" s="18" t="n"/>
      <c r="G3868" s="9" t="n">
        <v>255</v>
      </c>
      <c r="H3868" s="9" t="n">
        <v>730</v>
      </c>
      <c r="I3868" s="9" t="inlineStr">
        <is>
          <t>Depth (no MLB IP)</t>
        </is>
      </c>
      <c r="J3868" s="18" t="inlineStr">
        <is>
          <t>Opening Day</t>
        </is>
      </c>
      <c r="K3868" s="11">
        <f>IFERROR(INDEX(Roles!$B$17:$B$20,MATCH(J3868,Roles!$A$17:$A$20,0)),1)</f>
        <v/>
      </c>
      <c r="L3868" s="19" t="n">
        <v>1</v>
      </c>
      <c r="M3868" s="11" t="n">
        <v>1</v>
      </c>
      <c r="N3868" s="19" t="n"/>
      <c r="O3868" s="19" t="n"/>
      <c r="P3868" s="19" t="n"/>
      <c r="Q3868" s="19" t="n"/>
      <c r="R3868" s="19" t="n"/>
      <c r="S3868" s="19" t="n"/>
      <c r="T3868" s="19" t="n"/>
      <c r="U3868" s="19" t="n"/>
      <c r="V3868" s="19" t="n"/>
      <c r="W3868" s="19" t="n"/>
      <c r="X3868" s="19" t="n"/>
      <c r="Y3868" s="19" t="n">
        <v>1</v>
      </c>
      <c r="Z3868" s="13">
        <f>SUMPRODUCT(N3868:Y3868,$N$2:$Y$2)*$K3868*$L3868*$M3868</f>
        <v/>
      </c>
      <c r="AA3868" s="14">
        <f>SUM(N3868:Y3868)</f>
        <v/>
      </c>
      <c r="AB3868" s="13">
        <f>SUMPRODUCT(N3868:Y3868,$N$3:$Y$3)*$K3868*$L3868*$M3868</f>
        <v/>
      </c>
      <c r="AC3868" s="13">
        <f>SUMPRODUCT(N3868:Y3868,$N$4:$Y$4)*$K3868*$L3868*$M3868</f>
        <v/>
      </c>
      <c r="AD3868" s="15" t="n">
        <v>18.6</v>
      </c>
      <c r="AE3868" s="11" t="n">
        <v>1.344695615155385</v>
      </c>
      <c r="AF3868" s="16">
        <f>SUMPRODUCT(N3868:Y3868,$N$5:$Y$5)*$K3868*$L3868*$M3868</f>
        <v/>
      </c>
      <c r="AG3868" s="16">
        <f>SUMPRODUCT(N3868:Y3868,$N$6:$Y$6)*$K3868*$L3868*$M3868</f>
        <v/>
      </c>
      <c r="AH3868" s="20" t="n"/>
    </row>
    <row r="3869">
      <c r="A3869" s="9" t="n">
        <v>676661</v>
      </c>
      <c r="B3869" s="9" t="inlineStr">
        <is>
          <t>Max Lazar</t>
        </is>
      </c>
      <c r="C3869" s="9" t="inlineStr">
        <is>
          <t>PHI</t>
        </is>
      </c>
      <c r="D3869" s="9" t="n">
        <v>28</v>
      </c>
      <c r="E3869" s="18" t="inlineStr">
        <is>
          <t>R</t>
        </is>
      </c>
      <c r="F3869" s="18" t="n"/>
      <c r="G3869" s="9" t="n">
        <v>45</v>
      </c>
      <c r="H3869" s="9" t="n">
        <v>269</v>
      </c>
      <c r="I3869" s="9" t="inlineStr">
        <is>
          <t>Bullpen Depth Arm</t>
        </is>
      </c>
      <c r="J3869" s="18" t="inlineStr">
        <is>
          <t>Opening Day</t>
        </is>
      </c>
      <c r="K3869" s="11">
        <f>IFERROR(INDEX(Roles!$B$17:$B$20,MATCH(J3869,Roles!$A$17:$A$20,0)),1)</f>
        <v/>
      </c>
      <c r="L3869" s="19" t="n">
        <v>1</v>
      </c>
      <c r="M3869" s="11" t="n">
        <v>1</v>
      </c>
      <c r="N3869" s="19" t="n"/>
      <c r="O3869" s="19" t="n"/>
      <c r="P3869" s="19" t="n"/>
      <c r="Q3869" s="19" t="n"/>
      <c r="R3869" s="19" t="n"/>
      <c r="S3869" s="19" t="n"/>
      <c r="T3869" s="19" t="n"/>
      <c r="U3869" s="19" t="n"/>
      <c r="V3869" s="19" t="n">
        <v>0.15</v>
      </c>
      <c r="W3869" s="19" t="n">
        <v>0.85</v>
      </c>
      <c r="X3869" s="19" t="n"/>
      <c r="Y3869" s="19" t="n"/>
      <c r="Z3869" s="13">
        <f>SUMPRODUCT(N3869:Y3869,$N$2:$Y$2)*$K3869*$L3869*$M3869</f>
        <v/>
      </c>
      <c r="AA3869" s="14">
        <f>SUM(N3869:Y3869)</f>
        <v/>
      </c>
      <c r="AB3869" s="13">
        <f>SUMPRODUCT(N3869:Y3869,$N$3:$Y$3)*$K3869*$L3869*$M3869</f>
        <v/>
      </c>
      <c r="AC3869" s="13">
        <f>SUMPRODUCT(N3869:Y3869,$N$4:$Y$4)*$K3869*$L3869*$M3869</f>
        <v/>
      </c>
      <c r="AD3869" s="15" t="n">
        <v>16.36666666666667</v>
      </c>
      <c r="AE3869" s="11" t="n">
        <v>1.195068920925619</v>
      </c>
      <c r="AF3869" s="16">
        <f>SUMPRODUCT(N3869:Y3869,$N$5:$Y$5)*$K3869*$L3869*$M3869</f>
        <v/>
      </c>
      <c r="AG3869" s="16">
        <f>SUMPRODUCT(N3869:Y3869,$N$6:$Y$6)*$K3869*$L3869*$M3869</f>
        <v/>
      </c>
      <c r="AH3869" s="20" t="n"/>
    </row>
    <row r="3870">
      <c r="A3870" s="9" t="n">
        <v>801802</v>
      </c>
      <c r="B3870" s="9" t="inlineStr">
        <is>
          <t>James Hicks</t>
        </is>
      </c>
      <c r="C3870" s="9" t="inlineStr">
        <is>
          <t>HOU</t>
        </is>
      </c>
      <c r="D3870" s="9" t="n">
        <v>25</v>
      </c>
      <c r="E3870" s="18" t="inlineStr">
        <is>
          <t>R</t>
        </is>
      </c>
      <c r="F3870" s="18" t="n"/>
      <c r="G3870" s="9" t="n">
        <v>179.095</v>
      </c>
      <c r="H3870" s="9" t="n">
        <v>179.095</v>
      </c>
      <c r="I3870" s="9" t="inlineStr">
        <is>
          <t>Depth (no MLB IP)</t>
        </is>
      </c>
      <c r="J3870" s="18" t="inlineStr">
        <is>
          <t>Opening Day</t>
        </is>
      </c>
      <c r="K3870" s="11">
        <f>IFERROR(INDEX(Roles!$B$17:$B$20,MATCH(J3870,Roles!$A$17:$A$20,0)),1)</f>
        <v/>
      </c>
      <c r="L3870" s="19" t="n">
        <v>1</v>
      </c>
      <c r="M3870" s="11" t="n">
        <v>1</v>
      </c>
      <c r="N3870" s="19" t="n"/>
      <c r="O3870" s="19" t="n"/>
      <c r="P3870" s="19" t="n"/>
      <c r="Q3870" s="19" t="n"/>
      <c r="R3870" s="19" t="n"/>
      <c r="S3870" s="19" t="n"/>
      <c r="T3870" s="19" t="n"/>
      <c r="U3870" s="19" t="n"/>
      <c r="V3870" s="19" t="n"/>
      <c r="W3870" s="19" t="n"/>
      <c r="X3870" s="19" t="n"/>
      <c r="Y3870" s="19" t="n">
        <v>1</v>
      </c>
      <c r="Z3870" s="13">
        <f>SUMPRODUCT(N3870:Y3870,$N$2:$Y$2)*$K3870*$L3870*$M3870</f>
        <v/>
      </c>
      <c r="AA3870" s="14">
        <f>SUM(N3870:Y3870)</f>
        <v/>
      </c>
      <c r="AB3870" s="13">
        <f>SUMPRODUCT(N3870:Y3870,$N$3:$Y$3)*$K3870*$L3870*$M3870</f>
        <v/>
      </c>
      <c r="AC3870" s="13">
        <f>SUMPRODUCT(N3870:Y3870,$N$4:$Y$4)*$K3870*$L3870*$M3870</f>
        <v/>
      </c>
      <c r="AD3870" s="15" t="n">
        <v>3</v>
      </c>
      <c r="AE3870" s="11" t="n">
        <v>1.011296296296296</v>
      </c>
      <c r="AF3870" s="16">
        <f>SUMPRODUCT(N3870:Y3870,$N$5:$Y$5)*$K3870*$L3870*$M3870</f>
        <v/>
      </c>
      <c r="AG3870" s="16">
        <f>SUMPRODUCT(N3870:Y3870,$N$6:$Y$6)*$K3870*$L3870*$M3870</f>
        <v/>
      </c>
      <c r="AH3870" s="20" t="n"/>
    </row>
    <row r="3871">
      <c r="A3871" s="9" t="n">
        <v>686563</v>
      </c>
      <c r="B3871" s="9" t="inlineStr">
        <is>
          <t>Jonathan Cannon</t>
        </is>
      </c>
      <c r="C3871" s="9" t="inlineStr">
        <is>
          <t>CWS</t>
        </is>
      </c>
      <c r="D3871" s="9" t="n">
        <v>26</v>
      </c>
      <c r="E3871" s="18" t="inlineStr">
        <is>
          <t>R</t>
        </is>
      </c>
      <c r="F3871" s="18" t="n"/>
      <c r="G3871" s="9" t="n">
        <v>18</v>
      </c>
      <c r="H3871" s="9" t="n">
        <v>1006</v>
      </c>
      <c r="I3871" s="9" t="inlineStr">
        <is>
          <t>Mid-Rotation Starter (SP2-3)</t>
        </is>
      </c>
      <c r="J3871" s="18" t="inlineStr">
        <is>
          <t>Opening Day</t>
        </is>
      </c>
      <c r="K3871" s="11">
        <f>IFERROR(INDEX(Roles!$B$17:$B$20,MATCH(J3871,Roles!$A$17:$A$20,0)),1)</f>
        <v/>
      </c>
      <c r="L3871" s="19" t="n">
        <v>1</v>
      </c>
      <c r="M3871" s="11" t="n">
        <v>1</v>
      </c>
      <c r="N3871" s="19" t="n"/>
      <c r="O3871" s="19" t="n">
        <v>1</v>
      </c>
      <c r="P3871" s="19" t="n"/>
      <c r="Q3871" s="19" t="n"/>
      <c r="R3871" s="19" t="n"/>
      <c r="S3871" s="19" t="n"/>
      <c r="T3871" s="19" t="n"/>
      <c r="U3871" s="19" t="n"/>
      <c r="V3871" s="19" t="n"/>
      <c r="W3871" s="19" t="n"/>
      <c r="X3871" s="19" t="n"/>
      <c r="Y3871" s="19" t="n"/>
      <c r="Z3871" s="13">
        <f>SUMPRODUCT(N3871:Y3871,$N$2:$Y$2)*$K3871*$L3871*$M3871</f>
        <v/>
      </c>
      <c r="AA3871" s="14">
        <f>SUM(N3871:Y3871)</f>
        <v/>
      </c>
      <c r="AB3871" s="13">
        <f>SUMPRODUCT(N3871:Y3871,$N$3:$Y$3)*$K3871*$L3871*$M3871</f>
        <v/>
      </c>
      <c r="AC3871" s="13">
        <f>SUMPRODUCT(N3871:Y3871,$N$4:$Y$4)*$K3871*$L3871*$M3871</f>
        <v/>
      </c>
      <c r="AD3871" s="15" t="n">
        <v>17.7</v>
      </c>
      <c r="AE3871" s="11" t="n">
        <v>5.025089605734768</v>
      </c>
      <c r="AF3871" s="16">
        <f>SUMPRODUCT(N3871:Y3871,$N$5:$Y$5)*$K3871*$L3871*$M3871</f>
        <v/>
      </c>
      <c r="AG3871" s="16">
        <f>SUMPRODUCT(N3871:Y3871,$N$6:$Y$6)*$K3871*$L3871*$M3871</f>
        <v/>
      </c>
      <c r="AH3871" s="20" t="n"/>
    </row>
    <row r="3872">
      <c r="A3872" s="9" t="n">
        <v>807792</v>
      </c>
      <c r="B3872" s="9" t="inlineStr">
        <is>
          <t>Sebastian Gongora</t>
        </is>
      </c>
      <c r="C3872" s="9" t="inlineStr">
        <is>
          <t>BAL</t>
        </is>
      </c>
      <c r="D3872" s="9" t="n">
        <v>25</v>
      </c>
      <c r="E3872" s="18" t="inlineStr">
        <is>
          <t>L</t>
        </is>
      </c>
      <c r="F3872" s="18" t="n"/>
      <c r="G3872" s="9" t="n">
        <v>179.5966666666667</v>
      </c>
      <c r="H3872" s="9" t="n">
        <v>179.5966666666667</v>
      </c>
      <c r="I3872" s="9" t="inlineStr">
        <is>
          <t>Depth (no MLB IP)</t>
        </is>
      </c>
      <c r="J3872" s="18" t="inlineStr">
        <is>
          <t>Opening Day</t>
        </is>
      </c>
      <c r="K3872" s="11">
        <f>IFERROR(INDEX(Roles!$B$17:$B$20,MATCH(J3872,Roles!$A$17:$A$20,0)),1)</f>
        <v/>
      </c>
      <c r="L3872" s="19" t="n">
        <v>1</v>
      </c>
      <c r="M3872" s="11" t="n">
        <v>1</v>
      </c>
      <c r="N3872" s="19" t="n"/>
      <c r="O3872" s="19" t="n"/>
      <c r="P3872" s="19" t="n"/>
      <c r="Q3872" s="19" t="n"/>
      <c r="R3872" s="19" t="n"/>
      <c r="S3872" s="19" t="n"/>
      <c r="T3872" s="19" t="n"/>
      <c r="U3872" s="19" t="n"/>
      <c r="V3872" s="19" t="n"/>
      <c r="W3872" s="19" t="n"/>
      <c r="X3872" s="19" t="n"/>
      <c r="Y3872" s="19" t="n">
        <v>1</v>
      </c>
      <c r="Z3872" s="13">
        <f>SUMPRODUCT(N3872:Y3872,$N$2:$Y$2)*$K3872*$L3872*$M3872</f>
        <v/>
      </c>
      <c r="AA3872" s="14">
        <f>SUM(N3872:Y3872)</f>
        <v/>
      </c>
      <c r="AB3872" s="13">
        <f>SUMPRODUCT(N3872:Y3872,$N$3:$Y$3)*$K3872*$L3872*$M3872</f>
        <v/>
      </c>
      <c r="AC3872" s="13">
        <f>SUMPRODUCT(N3872:Y3872,$N$4:$Y$4)*$K3872*$L3872*$M3872</f>
        <v/>
      </c>
      <c r="AD3872" s="15" t="n">
        <v>3</v>
      </c>
      <c r="AE3872" s="11" t="n">
        <v>1.011296296296296</v>
      </c>
      <c r="AF3872" s="16">
        <f>SUMPRODUCT(N3872:Y3872,$N$5:$Y$5)*$K3872*$L3872*$M3872</f>
        <v/>
      </c>
      <c r="AG3872" s="16">
        <f>SUMPRODUCT(N3872:Y3872,$N$6:$Y$6)*$K3872*$L3872*$M3872</f>
        <v/>
      </c>
      <c r="AH3872" s="20" t="n"/>
    </row>
    <row r="3873">
      <c r="A3873" s="9" t="n">
        <v>595978</v>
      </c>
      <c r="B3873" s="9" t="inlineStr">
        <is>
          <t>Austin Hedges</t>
        </is>
      </c>
      <c r="C3873" s="9" t="inlineStr">
        <is>
          <t>CLE</t>
        </is>
      </c>
      <c r="D3873" s="9" t="n">
        <v>34</v>
      </c>
      <c r="E3873" s="18" t="inlineStr">
        <is>
          <t>R</t>
        </is>
      </c>
      <c r="F3873" s="18" t="n"/>
      <c r="G3873" s="9" t="n">
        <v>20</v>
      </c>
      <c r="H3873" s="9" t="n">
        <v>58</v>
      </c>
      <c r="I3873" s="9" t="inlineStr">
        <is>
          <t>Depth (no MLB IP)</t>
        </is>
      </c>
      <c r="J3873" s="18" t="inlineStr">
        <is>
          <t>Opening Day</t>
        </is>
      </c>
      <c r="K3873" s="11">
        <f>IFERROR(INDEX(Roles!$B$17:$B$20,MATCH(J3873,Roles!$A$17:$A$20,0)),1)</f>
        <v/>
      </c>
      <c r="L3873" s="19" t="n">
        <v>1</v>
      </c>
      <c r="M3873" s="11" t="n">
        <v>1</v>
      </c>
      <c r="N3873" s="19" t="n"/>
      <c r="O3873" s="19" t="n"/>
      <c r="P3873" s="19" t="n"/>
      <c r="Q3873" s="19" t="n"/>
      <c r="R3873" s="19" t="n"/>
      <c r="S3873" s="19" t="n"/>
      <c r="T3873" s="19" t="n"/>
      <c r="U3873" s="19" t="n"/>
      <c r="V3873" s="19" t="n"/>
      <c r="W3873" s="19" t="n"/>
      <c r="X3873" s="19" t="n"/>
      <c r="Y3873" s="19" t="n">
        <v>1</v>
      </c>
      <c r="Z3873" s="13">
        <f>SUMPRODUCT(N3873:Y3873,$N$2:$Y$2)*$K3873*$L3873*$M3873</f>
        <v/>
      </c>
      <c r="AA3873" s="14">
        <f>SUM(N3873:Y3873)</f>
        <v/>
      </c>
      <c r="AB3873" s="13">
        <f>SUMPRODUCT(N3873:Y3873,$N$3:$Y$3)*$K3873*$L3873*$M3873</f>
        <v/>
      </c>
      <c r="AC3873" s="13">
        <f>SUMPRODUCT(N3873:Y3873,$N$4:$Y$4)*$K3873*$L3873*$M3873</f>
        <v/>
      </c>
      <c r="AD3873" s="15" t="n">
        <v>3.1</v>
      </c>
      <c r="AE3873" s="11" t="n">
        <v>1.042618583495776</v>
      </c>
      <c r="AF3873" s="16">
        <f>SUMPRODUCT(N3873:Y3873,$N$5:$Y$5)*$K3873*$L3873*$M3873</f>
        <v/>
      </c>
      <c r="AG3873" s="16">
        <f>SUMPRODUCT(N3873:Y3873,$N$6:$Y$6)*$K3873*$L3873*$M3873</f>
        <v/>
      </c>
      <c r="AH3873" s="20" t="n"/>
    </row>
    <row r="3874">
      <c r="A3874" s="9" t="n">
        <v>571912</v>
      </c>
      <c r="B3874" s="9" t="inlineStr">
        <is>
          <t>Luke Maile</t>
        </is>
      </c>
      <c r="C3874" s="9" t="inlineStr">
        <is>
          <t>CIN</t>
        </is>
      </c>
      <c r="D3874" s="9" t="n">
        <v>36</v>
      </c>
      <c r="E3874" s="18" t="inlineStr">
        <is>
          <t>R</t>
        </is>
      </c>
      <c r="F3874" s="18" t="n"/>
      <c r="G3874" s="9" t="n">
        <v>3</v>
      </c>
      <c r="H3874" s="9" t="n">
        <v>50</v>
      </c>
      <c r="I3874" s="9" t="inlineStr">
        <is>
          <t>Depth (no MLB IP)</t>
        </is>
      </c>
      <c r="J3874" s="18" t="inlineStr">
        <is>
          <t>Opening Day</t>
        </is>
      </c>
      <c r="K3874" s="11">
        <f>IFERROR(INDEX(Roles!$B$17:$B$20,MATCH(J3874,Roles!$A$17:$A$20,0)),1)</f>
        <v/>
      </c>
      <c r="L3874" s="19" t="n">
        <v>1</v>
      </c>
      <c r="M3874" s="11" t="n">
        <v>1</v>
      </c>
      <c r="N3874" s="19" t="n"/>
      <c r="O3874" s="19" t="n"/>
      <c r="P3874" s="19" t="n"/>
      <c r="Q3874" s="19" t="n"/>
      <c r="R3874" s="19" t="n"/>
      <c r="S3874" s="19" t="n"/>
      <c r="T3874" s="19" t="n"/>
      <c r="U3874" s="19" t="n"/>
      <c r="V3874" s="19" t="n"/>
      <c r="W3874" s="19" t="n"/>
      <c r="X3874" s="19" t="n"/>
      <c r="Y3874" s="19" t="n">
        <v>1</v>
      </c>
      <c r="Z3874" s="13">
        <f>SUMPRODUCT(N3874:Y3874,$N$2:$Y$2)*$K3874*$L3874*$M3874</f>
        <v/>
      </c>
      <c r="AA3874" s="14">
        <f>SUM(N3874:Y3874)</f>
        <v/>
      </c>
      <c r="AB3874" s="13">
        <f>SUMPRODUCT(N3874:Y3874,$N$3:$Y$3)*$K3874*$L3874*$M3874</f>
        <v/>
      </c>
      <c r="AC3874" s="13">
        <f>SUMPRODUCT(N3874:Y3874,$N$4:$Y$4)*$K3874*$L3874*$M3874</f>
        <v/>
      </c>
      <c r="AD3874" s="15" t="n">
        <v>2</v>
      </c>
      <c r="AE3874" s="11" t="n">
        <v>1.035308641975309</v>
      </c>
      <c r="AF3874" s="16">
        <f>SUMPRODUCT(N3874:Y3874,$N$5:$Y$5)*$K3874*$L3874*$M3874</f>
        <v/>
      </c>
      <c r="AG3874" s="16">
        <f>SUMPRODUCT(N3874:Y3874,$N$6:$Y$6)*$K3874*$L3874*$M3874</f>
        <v/>
      </c>
      <c r="AH3874" s="20" t="n"/>
    </row>
    <row r="3875">
      <c r="A3875" s="9" t="n">
        <v>542881</v>
      </c>
      <c r="B3875" s="9" t="inlineStr">
        <is>
          <t>Tyler Anderson</t>
        </is>
      </c>
      <c r="C3875" s="9" t="inlineStr">
        <is>
          <t>LAA</t>
        </is>
      </c>
      <c r="D3875" s="9" t="n">
        <v>37</v>
      </c>
      <c r="E3875" s="18" t="inlineStr">
        <is>
          <t>L</t>
        </is>
      </c>
      <c r="F3875" s="18" t="n"/>
      <c r="G3875" s="9" t="n">
        <v>599</v>
      </c>
      <c r="H3875" s="9" t="n">
        <v>2700</v>
      </c>
      <c r="I3875" s="9" t="inlineStr">
        <is>
          <t>Mid-Rotation Starter (SP2-3)</t>
        </is>
      </c>
      <c r="J3875" s="18" t="inlineStr">
        <is>
          <t>Opening Day</t>
        </is>
      </c>
      <c r="K3875" s="11">
        <f>IFERROR(INDEX(Roles!$B$17:$B$20,MATCH(J3875,Roles!$A$17:$A$20,0)),1)</f>
        <v/>
      </c>
      <c r="L3875" s="19" t="n">
        <v>1</v>
      </c>
      <c r="M3875" s="11" t="n">
        <v>1</v>
      </c>
      <c r="N3875" s="19" t="n"/>
      <c r="O3875" s="19" t="n">
        <v>1</v>
      </c>
      <c r="P3875" s="19" t="n"/>
      <c r="Q3875" s="19" t="n"/>
      <c r="R3875" s="19" t="n"/>
      <c r="S3875" s="19" t="n"/>
      <c r="T3875" s="19" t="n"/>
      <c r="U3875" s="19" t="n"/>
      <c r="V3875" s="19" t="n"/>
      <c r="W3875" s="19" t="n"/>
      <c r="X3875" s="19" t="n"/>
      <c r="Y3875" s="19" t="n"/>
      <c r="Z3875" s="13">
        <f>SUMPRODUCT(N3875:Y3875,$N$2:$Y$2)*$K3875*$L3875*$M3875</f>
        <v/>
      </c>
      <c r="AA3875" s="14">
        <f>SUM(N3875:Y3875)</f>
        <v/>
      </c>
      <c r="AB3875" s="13">
        <f>SUMPRODUCT(N3875:Y3875,$N$3:$Y$3)*$K3875*$L3875*$M3875</f>
        <v/>
      </c>
      <c r="AC3875" s="13">
        <f>SUMPRODUCT(N3875:Y3875,$N$4:$Y$4)*$K3875*$L3875*$M3875</f>
        <v/>
      </c>
      <c r="AD3875" s="15" t="n">
        <v>27</v>
      </c>
      <c r="AE3875" s="11" t="n">
        <v>5.284795094355919</v>
      </c>
      <c r="AF3875" s="16">
        <f>SUMPRODUCT(N3875:Y3875,$N$5:$Y$5)*$K3875*$L3875*$M3875</f>
        <v/>
      </c>
      <c r="AG3875" s="16">
        <f>SUMPRODUCT(N3875:Y3875,$N$6:$Y$6)*$K3875*$L3875*$M3875</f>
        <v/>
      </c>
      <c r="AH3875" s="20" t="n"/>
    </row>
    <row r="3876">
      <c r="A3876" s="9" t="n">
        <v>683352</v>
      </c>
      <c r="B3876" s="9" t="inlineStr">
        <is>
          <t>Mitch Bratt</t>
        </is>
      </c>
      <c r="C3876" s="9" t="inlineStr">
        <is>
          <t>ARI</t>
        </is>
      </c>
      <c r="D3876" s="9" t="n">
        <v>23</v>
      </c>
      <c r="E3876" s="18" t="inlineStr">
        <is>
          <t>L</t>
        </is>
      </c>
      <c r="F3876" s="18" t="n"/>
      <c r="G3876" s="9" t="n">
        <v>194</v>
      </c>
      <c r="H3876" s="9" t="n">
        <v>194</v>
      </c>
      <c r="I3876" s="9" t="inlineStr">
        <is>
          <t>End-of-Rotation Starter (SP4-5)</t>
        </is>
      </c>
      <c r="J3876" s="18" t="inlineStr">
        <is>
          <t>Opening Day</t>
        </is>
      </c>
      <c r="K3876" s="11">
        <f>IFERROR(INDEX(Roles!$B$17:$B$20,MATCH(J3876,Roles!$A$17:$A$20,0)),1)</f>
        <v/>
      </c>
      <c r="L3876" s="19" t="n">
        <v>1</v>
      </c>
      <c r="M3876" s="11" t="n">
        <v>1</v>
      </c>
      <c r="N3876" s="19" t="n"/>
      <c r="O3876" s="19" t="n"/>
      <c r="P3876" s="19" t="n">
        <v>1</v>
      </c>
      <c r="Q3876" s="19" t="n"/>
      <c r="R3876" s="19" t="n"/>
      <c r="S3876" s="19" t="n"/>
      <c r="T3876" s="19" t="n"/>
      <c r="U3876" s="19" t="n"/>
      <c r="V3876" s="19" t="n"/>
      <c r="W3876" s="19" t="n"/>
      <c r="X3876" s="19" t="n"/>
      <c r="Y3876" s="19" t="n"/>
      <c r="Z3876" s="13">
        <f>SUMPRODUCT(N3876:Y3876,$N$2:$Y$2)*$K3876*$L3876*$M3876</f>
        <v/>
      </c>
      <c r="AA3876" s="14">
        <f>SUM(N3876:Y3876)</f>
        <v/>
      </c>
      <c r="AB3876" s="13">
        <f>SUMPRODUCT(N3876:Y3876,$N$3:$Y$3)*$K3876*$L3876*$M3876</f>
        <v/>
      </c>
      <c r="AC3876" s="13">
        <f>SUMPRODUCT(N3876:Y3876,$N$4:$Y$4)*$K3876*$L3876*$M3876</f>
        <v/>
      </c>
      <c r="AD3876" s="15" t="n">
        <v>12.4</v>
      </c>
      <c r="AE3876" s="11" t="n">
        <v>4.503703703703703</v>
      </c>
      <c r="AF3876" s="16">
        <f>SUMPRODUCT(N3876:Y3876,$N$5:$Y$5)*$K3876*$L3876*$M3876</f>
        <v/>
      </c>
      <c r="AG3876" s="16">
        <f>SUMPRODUCT(N3876:Y3876,$N$6:$Y$6)*$K3876*$L3876*$M3876</f>
        <v/>
      </c>
      <c r="AH3876" s="20" t="n"/>
    </row>
    <row r="3877">
      <c r="A3877" s="9" t="n">
        <v>694536</v>
      </c>
      <c r="B3877" s="9" t="inlineStr">
        <is>
          <t>Trent Baker</t>
        </is>
      </c>
      <c r="C3877" s="9" t="inlineStr">
        <is>
          <t>MIN</t>
        </is>
      </c>
      <c r="D3877" s="9" t="n">
        <v>25</v>
      </c>
      <c r="E3877" s="18" t="inlineStr">
        <is>
          <t>R</t>
        </is>
      </c>
      <c r="F3877" s="18" t="n"/>
      <c r="G3877" s="9" t="n">
        <v>180.5283333333333</v>
      </c>
      <c r="H3877" s="9" t="n">
        <v>180.5283333333333</v>
      </c>
      <c r="I3877" s="9" t="inlineStr">
        <is>
          <t>Depth (no MLB IP)</t>
        </is>
      </c>
      <c r="J3877" s="18" t="inlineStr">
        <is>
          <t>Opening Day</t>
        </is>
      </c>
      <c r="K3877" s="11">
        <f>IFERROR(INDEX(Roles!$B$17:$B$20,MATCH(J3877,Roles!$A$17:$A$20,0)),1)</f>
        <v/>
      </c>
      <c r="L3877" s="19" t="n">
        <v>1</v>
      </c>
      <c r="M3877" s="11" t="n">
        <v>1</v>
      </c>
      <c r="N3877" s="19" t="n"/>
      <c r="O3877" s="19" t="n"/>
      <c r="P3877" s="19" t="n"/>
      <c r="Q3877" s="19" t="n"/>
      <c r="R3877" s="19" t="n"/>
      <c r="S3877" s="19" t="n"/>
      <c r="T3877" s="19" t="n"/>
      <c r="U3877" s="19" t="n"/>
      <c r="V3877" s="19" t="n"/>
      <c r="W3877" s="19" t="n"/>
      <c r="X3877" s="19" t="n"/>
      <c r="Y3877" s="19" t="n">
        <v>1</v>
      </c>
      <c r="Z3877" s="13">
        <f>SUMPRODUCT(N3877:Y3877,$N$2:$Y$2)*$K3877*$L3877*$M3877</f>
        <v/>
      </c>
      <c r="AA3877" s="14">
        <f>SUM(N3877:Y3877)</f>
        <v/>
      </c>
      <c r="AB3877" s="13">
        <f>SUMPRODUCT(N3877:Y3877,$N$3:$Y$3)*$K3877*$L3877*$M3877</f>
        <v/>
      </c>
      <c r="AC3877" s="13">
        <f>SUMPRODUCT(N3877:Y3877,$N$4:$Y$4)*$K3877*$L3877*$M3877</f>
        <v/>
      </c>
      <c r="AD3877" s="15" t="n">
        <v>3</v>
      </c>
      <c r="AE3877" s="11" t="n">
        <v>1.011296296296296</v>
      </c>
      <c r="AF3877" s="16">
        <f>SUMPRODUCT(N3877:Y3877,$N$5:$Y$5)*$K3877*$L3877*$M3877</f>
        <v/>
      </c>
      <c r="AG3877" s="16">
        <f>SUMPRODUCT(N3877:Y3877,$N$6:$Y$6)*$K3877*$L3877*$M3877</f>
        <v/>
      </c>
      <c r="AH3877" s="20" t="n"/>
    </row>
    <row r="3878">
      <c r="A3878" s="9" t="n">
        <v>674072</v>
      </c>
      <c r="B3878" s="9" t="inlineStr">
        <is>
          <t>Tommy Henry</t>
        </is>
      </c>
      <c r="C3878" s="9" t="inlineStr">
        <is>
          <t>ARI</t>
        </is>
      </c>
      <c r="D3878" s="9" t="n">
        <v>29</v>
      </c>
      <c r="E3878" s="18" t="inlineStr">
        <is>
          <t>L</t>
        </is>
      </c>
      <c r="F3878" s="18" t="n"/>
      <c r="G3878" s="9" t="n">
        <v>26</v>
      </c>
      <c r="H3878" s="9" t="n">
        <v>794</v>
      </c>
      <c r="I3878" s="9" t="inlineStr">
        <is>
          <t>End-of-Rotation Starter (SP4-5)</t>
        </is>
      </c>
      <c r="J3878" s="18" t="inlineStr">
        <is>
          <t>Opening Day</t>
        </is>
      </c>
      <c r="K3878" s="11">
        <f>IFERROR(INDEX(Roles!$B$17:$B$20,MATCH(J3878,Roles!$A$17:$A$20,0)),1)</f>
        <v/>
      </c>
      <c r="L3878" s="19" t="n">
        <v>1</v>
      </c>
      <c r="M3878" s="11" t="n">
        <v>1</v>
      </c>
      <c r="N3878" s="19" t="n"/>
      <c r="O3878" s="19" t="n"/>
      <c r="P3878" s="19" t="n">
        <v>1</v>
      </c>
      <c r="Q3878" s="19" t="n"/>
      <c r="R3878" s="19" t="n"/>
      <c r="S3878" s="19" t="n"/>
      <c r="T3878" s="19" t="n"/>
      <c r="U3878" s="19" t="n"/>
      <c r="V3878" s="19" t="n"/>
      <c r="W3878" s="19" t="n"/>
      <c r="X3878" s="19" t="n"/>
      <c r="Y3878" s="19" t="n"/>
      <c r="Z3878" s="13">
        <f>SUMPRODUCT(N3878:Y3878,$N$2:$Y$2)*$K3878*$L3878*$M3878</f>
        <v/>
      </c>
      <c r="AA3878" s="14">
        <f>SUM(N3878:Y3878)</f>
        <v/>
      </c>
      <c r="AB3878" s="13">
        <f>SUMPRODUCT(N3878:Y3878,$N$3:$Y$3)*$K3878*$L3878*$M3878</f>
        <v/>
      </c>
      <c r="AC3878" s="13">
        <f>SUMPRODUCT(N3878:Y3878,$N$4:$Y$4)*$K3878*$L3878*$M3878</f>
        <v/>
      </c>
      <c r="AD3878" s="15" t="n">
        <v>9</v>
      </c>
      <c r="AE3878" s="11" t="n">
        <v>4.361823361823362</v>
      </c>
      <c r="AF3878" s="16">
        <f>SUMPRODUCT(N3878:Y3878,$N$5:$Y$5)*$K3878*$L3878*$M3878</f>
        <v/>
      </c>
      <c r="AG3878" s="16">
        <f>SUMPRODUCT(N3878:Y3878,$N$6:$Y$6)*$K3878*$L3878*$M3878</f>
        <v/>
      </c>
      <c r="AH3878" s="20" t="n"/>
    </row>
    <row r="3879">
      <c r="A3879" s="9" t="n">
        <v>657756</v>
      </c>
      <c r="B3879" s="9" t="inlineStr">
        <is>
          <t>Connor Seabold</t>
        </is>
      </c>
      <c r="C3879" s="9" t="inlineStr">
        <is>
          <t>KC</t>
        </is>
      </c>
      <c r="D3879" s="9" t="n">
        <v>31</v>
      </c>
      <c r="E3879" s="18" t="inlineStr">
        <is>
          <t>R</t>
        </is>
      </c>
      <c r="F3879" s="18" t="n"/>
      <c r="G3879" s="9" t="n">
        <v>115</v>
      </c>
      <c r="H3879" s="9" t="n">
        <v>669</v>
      </c>
      <c r="I3879" s="9" t="inlineStr">
        <is>
          <t>Bullpen Depth Arm</t>
        </is>
      </c>
      <c r="J3879" s="18" t="inlineStr">
        <is>
          <t>Opening Day</t>
        </is>
      </c>
      <c r="K3879" s="11">
        <f>IFERROR(INDEX(Roles!$B$17:$B$20,MATCH(J3879,Roles!$A$17:$A$20,0)),1)</f>
        <v/>
      </c>
      <c r="L3879" s="19" t="n">
        <v>1</v>
      </c>
      <c r="M3879" s="11" t="n">
        <v>1</v>
      </c>
      <c r="N3879" s="19" t="n"/>
      <c r="O3879" s="19" t="n"/>
      <c r="P3879" s="19" t="n"/>
      <c r="Q3879" s="19" t="n"/>
      <c r="R3879" s="19" t="n"/>
      <c r="S3879" s="19" t="n"/>
      <c r="T3879" s="19" t="n"/>
      <c r="U3879" s="19" t="n"/>
      <c r="V3879" s="19" t="n">
        <v>0.15</v>
      </c>
      <c r="W3879" s="19" t="n">
        <v>0.85</v>
      </c>
      <c r="X3879" s="19" t="n"/>
      <c r="Y3879" s="19" t="n"/>
      <c r="Z3879" s="13">
        <f>SUMPRODUCT(N3879:Y3879,$N$2:$Y$2)*$K3879*$L3879*$M3879</f>
        <v/>
      </c>
      <c r="AA3879" s="14">
        <f>SUM(N3879:Y3879)</f>
        <v/>
      </c>
      <c r="AB3879" s="13">
        <f>SUMPRODUCT(N3879:Y3879,$N$3:$Y$3)*$K3879*$L3879*$M3879</f>
        <v/>
      </c>
      <c r="AC3879" s="13">
        <f>SUMPRODUCT(N3879:Y3879,$N$4:$Y$4)*$K3879*$L3879*$M3879</f>
        <v/>
      </c>
      <c r="AD3879" s="15" t="n">
        <v>14.90666666666667</v>
      </c>
      <c r="AE3879" s="11" t="n">
        <v>1.202661535994869</v>
      </c>
      <c r="AF3879" s="16">
        <f>SUMPRODUCT(N3879:Y3879,$N$5:$Y$5)*$K3879*$L3879*$M3879</f>
        <v/>
      </c>
      <c r="AG3879" s="16">
        <f>SUMPRODUCT(N3879:Y3879,$N$6:$Y$6)*$K3879*$L3879*$M3879</f>
        <v/>
      </c>
      <c r="AH3879" s="20" t="n"/>
    </row>
    <row r="3880">
      <c r="A3880" s="9" t="n">
        <v>642545</v>
      </c>
      <c r="B3880" s="9" t="inlineStr">
        <is>
          <t>Jaime Barria</t>
        </is>
      </c>
      <c r="C3880" s="9" t="inlineStr">
        <is>
          <t>LAA</t>
        </is>
      </c>
      <c r="D3880" s="9" t="n">
        <v>30</v>
      </c>
      <c r="E3880" s="18" t="inlineStr">
        <is>
          <t>R</t>
        </is>
      </c>
      <c r="F3880" s="18" t="n"/>
      <c r="G3880" s="9" t="n">
        <v>362</v>
      </c>
      <c r="H3880" s="9" t="n">
        <v>678</v>
      </c>
      <c r="I3880" s="9" t="inlineStr">
        <is>
          <t>Depth (no MLB IP)</t>
        </is>
      </c>
      <c r="J3880" s="18" t="inlineStr">
        <is>
          <t>Opening Day</t>
        </is>
      </c>
      <c r="K3880" s="11">
        <f>IFERROR(INDEX(Roles!$B$17:$B$20,MATCH(J3880,Roles!$A$17:$A$20,0)),1)</f>
        <v/>
      </c>
      <c r="L3880" s="19" t="n">
        <v>1</v>
      </c>
      <c r="M3880" s="11" t="n">
        <v>1</v>
      </c>
      <c r="N3880" s="19" t="n"/>
      <c r="O3880" s="19" t="n"/>
      <c r="P3880" s="19" t="n"/>
      <c r="Q3880" s="19" t="n"/>
      <c r="R3880" s="19" t="n"/>
      <c r="S3880" s="19" t="n"/>
      <c r="T3880" s="19" t="n"/>
      <c r="U3880" s="19" t="n"/>
      <c r="V3880" s="19" t="n"/>
      <c r="W3880" s="19" t="n"/>
      <c r="X3880" s="19" t="n"/>
      <c r="Y3880" s="19" t="n">
        <v>1</v>
      </c>
      <c r="Z3880" s="13">
        <f>SUMPRODUCT(N3880:Y3880,$N$2:$Y$2)*$K3880*$L3880*$M3880</f>
        <v/>
      </c>
      <c r="AA3880" s="14">
        <f>SUM(N3880:Y3880)</f>
        <v/>
      </c>
      <c r="AB3880" s="13">
        <f>SUMPRODUCT(N3880:Y3880,$N$3:$Y$3)*$K3880*$L3880*$M3880</f>
        <v/>
      </c>
      <c r="AC3880" s="13">
        <f>SUMPRODUCT(N3880:Y3880,$N$4:$Y$4)*$K3880*$L3880*$M3880</f>
        <v/>
      </c>
      <c r="AD3880" s="15" t="n">
        <v>3</v>
      </c>
      <c r="AE3880" s="11" t="n">
        <v>1.011296296296296</v>
      </c>
      <c r="AF3880" s="16">
        <f>SUMPRODUCT(N3880:Y3880,$N$5:$Y$5)*$K3880*$L3880*$M3880</f>
        <v/>
      </c>
      <c r="AG3880" s="16">
        <f>SUMPRODUCT(N3880:Y3880,$N$6:$Y$6)*$K3880*$L3880*$M3880</f>
        <v/>
      </c>
      <c r="AH3880" s="20" t="n"/>
    </row>
    <row r="3881">
      <c r="A3881" s="9" t="n">
        <v>666159</v>
      </c>
      <c r="B3881" s="9" t="inlineStr">
        <is>
          <t>Matt Manning</t>
        </is>
      </c>
      <c r="C3881" s="9" t="inlineStr">
        <is>
          <t>DET</t>
        </is>
      </c>
      <c r="D3881" s="9" t="n">
        <v>29</v>
      </c>
      <c r="E3881" s="18" t="inlineStr">
        <is>
          <t>R</t>
        </is>
      </c>
      <c r="F3881" s="18" t="n"/>
      <c r="G3881" s="9" t="n">
        <v>123</v>
      </c>
      <c r="H3881" s="9" t="n">
        <v>702</v>
      </c>
      <c r="I3881" s="9" t="inlineStr">
        <is>
          <t>Depth (no MLB IP)</t>
        </is>
      </c>
      <c r="J3881" s="18" t="inlineStr">
        <is>
          <t>Opening Day</t>
        </is>
      </c>
      <c r="K3881" s="11">
        <f>IFERROR(INDEX(Roles!$B$17:$B$20,MATCH(J3881,Roles!$A$17:$A$20,0)),1)</f>
        <v/>
      </c>
      <c r="L3881" s="19" t="n">
        <v>1</v>
      </c>
      <c r="M3881" s="11" t="n">
        <v>1</v>
      </c>
      <c r="N3881" s="19" t="n"/>
      <c r="O3881" s="19" t="n"/>
      <c r="P3881" s="19" t="n"/>
      <c r="Q3881" s="19" t="n"/>
      <c r="R3881" s="19" t="n"/>
      <c r="S3881" s="19" t="n"/>
      <c r="T3881" s="19" t="n"/>
      <c r="U3881" s="19" t="n"/>
      <c r="V3881" s="19" t="n"/>
      <c r="W3881" s="19" t="n"/>
      <c r="X3881" s="19" t="n"/>
      <c r="Y3881" s="19" t="n">
        <v>1</v>
      </c>
      <c r="Z3881" s="13">
        <f>SUMPRODUCT(N3881:Y3881,$N$2:$Y$2)*$K3881*$L3881*$M3881</f>
        <v/>
      </c>
      <c r="AA3881" s="14">
        <f>SUM(N3881:Y3881)</f>
        <v/>
      </c>
      <c r="AB3881" s="13">
        <f>SUMPRODUCT(N3881:Y3881,$N$3:$Y$3)*$K3881*$L3881*$M3881</f>
        <v/>
      </c>
      <c r="AC3881" s="13">
        <f>SUMPRODUCT(N3881:Y3881,$N$4:$Y$4)*$K3881*$L3881*$M3881</f>
        <v/>
      </c>
      <c r="AD3881" s="15" t="n">
        <v>4.2</v>
      </c>
      <c r="AE3881" s="11" t="n">
        <v>2.518641975308642</v>
      </c>
      <c r="AF3881" s="16">
        <f>SUMPRODUCT(N3881:Y3881,$N$5:$Y$5)*$K3881*$L3881*$M3881</f>
        <v/>
      </c>
      <c r="AG3881" s="16">
        <f>SUMPRODUCT(N3881:Y3881,$N$6:$Y$6)*$K3881*$L3881*$M3881</f>
        <v/>
      </c>
      <c r="AH3881" s="20" t="n"/>
    </row>
    <row r="3882">
      <c r="A3882" s="9" t="n">
        <v>641703</v>
      </c>
      <c r="B3882" s="9" t="inlineStr">
        <is>
          <t>Brent Honeywell</t>
        </is>
      </c>
      <c r="C3882" s="9" t="inlineStr">
        <is>
          <t>LAD</t>
        </is>
      </c>
      <c r="D3882" s="9" t="n">
        <v>32</v>
      </c>
      <c r="E3882" s="18" t="inlineStr">
        <is>
          <t>R</t>
        </is>
      </c>
      <c r="F3882" s="18" t="n"/>
      <c r="G3882" s="9" t="n">
        <v>149</v>
      </c>
      <c r="H3882" s="9" t="n">
        <v>383</v>
      </c>
      <c r="I3882" s="9" t="inlineStr">
        <is>
          <t>Depth (no MLB IP)</t>
        </is>
      </c>
      <c r="J3882" s="18" t="inlineStr">
        <is>
          <t>Opening Day</t>
        </is>
      </c>
      <c r="K3882" s="11">
        <f>IFERROR(INDEX(Roles!$B$17:$B$20,MATCH(J3882,Roles!$A$17:$A$20,0)),1)</f>
        <v/>
      </c>
      <c r="L3882" s="19" t="n">
        <v>1</v>
      </c>
      <c r="M3882" s="11" t="n">
        <v>1</v>
      </c>
      <c r="N3882" s="19" t="n"/>
      <c r="O3882" s="19" t="n"/>
      <c r="P3882" s="19" t="n"/>
      <c r="Q3882" s="19" t="n"/>
      <c r="R3882" s="19" t="n"/>
      <c r="S3882" s="19" t="n"/>
      <c r="T3882" s="19" t="n"/>
      <c r="U3882" s="19" t="n"/>
      <c r="V3882" s="19" t="n"/>
      <c r="W3882" s="19" t="n"/>
      <c r="X3882" s="19" t="n"/>
      <c r="Y3882" s="19" t="n">
        <v>1</v>
      </c>
      <c r="Z3882" s="13">
        <f>SUMPRODUCT(N3882:Y3882,$N$2:$Y$2)*$K3882*$L3882*$M3882</f>
        <v/>
      </c>
      <c r="AA3882" s="14">
        <f>SUM(N3882:Y3882)</f>
        <v/>
      </c>
      <c r="AB3882" s="13">
        <f>SUMPRODUCT(N3882:Y3882,$N$3:$Y$3)*$K3882*$L3882*$M3882</f>
        <v/>
      </c>
      <c r="AC3882" s="13">
        <f>SUMPRODUCT(N3882:Y3882,$N$4:$Y$4)*$K3882*$L3882*$M3882</f>
        <v/>
      </c>
      <c r="AD3882" s="15" t="n">
        <v>13.2</v>
      </c>
      <c r="AE3882" s="11" t="n">
        <v>1.301975308641975</v>
      </c>
      <c r="AF3882" s="16">
        <f>SUMPRODUCT(N3882:Y3882,$N$5:$Y$5)*$K3882*$L3882*$M3882</f>
        <v/>
      </c>
      <c r="AG3882" s="16">
        <f>SUMPRODUCT(N3882:Y3882,$N$6:$Y$6)*$K3882*$L3882*$M3882</f>
        <v/>
      </c>
      <c r="AH3882" s="20" t="n"/>
    </row>
    <row r="3883">
      <c r="A3883" s="9" t="n">
        <v>689726</v>
      </c>
      <c r="B3883" s="9" t="inlineStr">
        <is>
          <t>Luke Russo</t>
        </is>
      </c>
      <c r="C3883" s="9" t="inlineStr">
        <is>
          <t>PHI</t>
        </is>
      </c>
      <c r="D3883" s="9" t="n">
        <v>25</v>
      </c>
      <c r="E3883" s="18" t="inlineStr">
        <is>
          <t>R</t>
        </is>
      </c>
      <c r="F3883" s="18" t="n"/>
      <c r="G3883" s="9" t="n">
        <v>182.6066666666666</v>
      </c>
      <c r="H3883" s="9" t="n">
        <v>182.6066666666666</v>
      </c>
      <c r="I3883" s="9" t="inlineStr">
        <is>
          <t>Depth (no MLB IP)</t>
        </is>
      </c>
      <c r="J3883" s="18" t="inlineStr">
        <is>
          <t>Opening Day</t>
        </is>
      </c>
      <c r="K3883" s="11">
        <f>IFERROR(INDEX(Roles!$B$17:$B$20,MATCH(J3883,Roles!$A$17:$A$20,0)),1)</f>
        <v/>
      </c>
      <c r="L3883" s="19" t="n">
        <v>1</v>
      </c>
      <c r="M3883" s="11" t="n">
        <v>1</v>
      </c>
      <c r="N3883" s="19" t="n"/>
      <c r="O3883" s="19" t="n"/>
      <c r="P3883" s="19" t="n"/>
      <c r="Q3883" s="19" t="n"/>
      <c r="R3883" s="19" t="n"/>
      <c r="S3883" s="19" t="n"/>
      <c r="T3883" s="19" t="n"/>
      <c r="U3883" s="19" t="n"/>
      <c r="V3883" s="19" t="n"/>
      <c r="W3883" s="19" t="n"/>
      <c r="X3883" s="19" t="n"/>
      <c r="Y3883" s="19" t="n">
        <v>1</v>
      </c>
      <c r="Z3883" s="13">
        <f>SUMPRODUCT(N3883:Y3883,$N$2:$Y$2)*$K3883*$L3883*$M3883</f>
        <v/>
      </c>
      <c r="AA3883" s="14">
        <f>SUM(N3883:Y3883)</f>
        <v/>
      </c>
      <c r="AB3883" s="13">
        <f>SUMPRODUCT(N3883:Y3883,$N$3:$Y$3)*$K3883*$L3883*$M3883</f>
        <v/>
      </c>
      <c r="AC3883" s="13">
        <f>SUMPRODUCT(N3883:Y3883,$N$4:$Y$4)*$K3883*$L3883*$M3883</f>
        <v/>
      </c>
      <c r="AD3883" s="15" t="n">
        <v>3</v>
      </c>
      <c r="AE3883" s="11" t="n">
        <v>1.011296296296296</v>
      </c>
      <c r="AF3883" s="16">
        <f>SUMPRODUCT(N3883:Y3883,$N$5:$Y$5)*$K3883*$L3883*$M3883</f>
        <v/>
      </c>
      <c r="AG3883" s="16">
        <f>SUMPRODUCT(N3883:Y3883,$N$6:$Y$6)*$K3883*$L3883*$M3883</f>
        <v/>
      </c>
      <c r="AH3883" s="20" t="n"/>
    </row>
    <row r="3884">
      <c r="A3884" s="9" t="n">
        <v>814482</v>
      </c>
      <c r="B3884" s="9" t="inlineStr">
        <is>
          <t>Peyton Stumbo</t>
        </is>
      </c>
      <c r="C3884" s="9" t="inlineStr">
        <is>
          <t>PIT</t>
        </is>
      </c>
      <c r="D3884" s="9" t="n">
        <v>25</v>
      </c>
      <c r="E3884" s="18" t="inlineStr">
        <is>
          <t>R</t>
        </is>
      </c>
      <c r="F3884" s="18" t="n"/>
      <c r="G3884" s="9" t="n">
        <v>182.6066666666666</v>
      </c>
      <c r="H3884" s="9" t="n">
        <v>182.6066666666666</v>
      </c>
      <c r="I3884" s="9" t="inlineStr">
        <is>
          <t>Depth (no MLB IP)</t>
        </is>
      </c>
      <c r="J3884" s="18" t="inlineStr">
        <is>
          <t>Opening Day</t>
        </is>
      </c>
      <c r="K3884" s="11">
        <f>IFERROR(INDEX(Roles!$B$17:$B$20,MATCH(J3884,Roles!$A$17:$A$20,0)),1)</f>
        <v/>
      </c>
      <c r="L3884" s="19" t="n">
        <v>1</v>
      </c>
      <c r="M3884" s="11" t="n">
        <v>1</v>
      </c>
      <c r="N3884" s="19" t="n"/>
      <c r="O3884" s="19" t="n"/>
      <c r="P3884" s="19" t="n"/>
      <c r="Q3884" s="19" t="n"/>
      <c r="R3884" s="19" t="n"/>
      <c r="S3884" s="19" t="n"/>
      <c r="T3884" s="19" t="n"/>
      <c r="U3884" s="19" t="n"/>
      <c r="V3884" s="19" t="n"/>
      <c r="W3884" s="19" t="n"/>
      <c r="X3884" s="19" t="n"/>
      <c r="Y3884" s="19" t="n">
        <v>1</v>
      </c>
      <c r="Z3884" s="13">
        <f>SUMPRODUCT(N3884:Y3884,$N$2:$Y$2)*$K3884*$L3884*$M3884</f>
        <v/>
      </c>
      <c r="AA3884" s="14">
        <f>SUM(N3884:Y3884)</f>
        <v/>
      </c>
      <c r="AB3884" s="13">
        <f>SUMPRODUCT(N3884:Y3884,$N$3:$Y$3)*$K3884*$L3884*$M3884</f>
        <v/>
      </c>
      <c r="AC3884" s="13">
        <f>SUMPRODUCT(N3884:Y3884,$N$4:$Y$4)*$K3884*$L3884*$M3884</f>
        <v/>
      </c>
      <c r="AD3884" s="15" t="n">
        <v>3</v>
      </c>
      <c r="AE3884" s="11" t="n">
        <v>1.011296296296296</v>
      </c>
      <c r="AF3884" s="16">
        <f>SUMPRODUCT(N3884:Y3884,$N$5:$Y$5)*$K3884*$L3884*$M3884</f>
        <v/>
      </c>
      <c r="AG3884" s="16">
        <f>SUMPRODUCT(N3884:Y3884,$N$6:$Y$6)*$K3884*$L3884*$M3884</f>
        <v/>
      </c>
      <c r="AH3884" s="20" t="n"/>
    </row>
    <row r="3885">
      <c r="A3885" s="9" t="n">
        <v>642528</v>
      </c>
      <c r="B3885" s="9" t="inlineStr">
        <is>
          <t>Jonathan Loáisiga</t>
        </is>
      </c>
      <c r="C3885" s="9" t="inlineStr">
        <is>
          <t>ARI</t>
        </is>
      </c>
      <c r="D3885" s="9" t="n">
        <v>32</v>
      </c>
      <c r="E3885" s="18" t="inlineStr">
        <is>
          <t>R</t>
        </is>
      </c>
      <c r="F3885" s="18" t="n"/>
      <c r="G3885" s="9" t="n">
        <v>261</v>
      </c>
      <c r="H3885" s="9" t="n">
        <v>688</v>
      </c>
      <c r="I3885" s="9" t="inlineStr">
        <is>
          <t>Middle Relief</t>
        </is>
      </c>
      <c r="J3885" s="18" t="inlineStr">
        <is>
          <t>Opening Day</t>
        </is>
      </c>
      <c r="K3885" s="11">
        <f>IFERROR(INDEX(Roles!$B$17:$B$20,MATCH(J3885,Roles!$A$17:$A$20,0)),1)</f>
        <v/>
      </c>
      <c r="L3885" s="19" t="n">
        <v>1</v>
      </c>
      <c r="M3885" s="11" t="n">
        <v>1</v>
      </c>
      <c r="N3885" s="19" t="n"/>
      <c r="O3885" s="19" t="n"/>
      <c r="P3885" s="19" t="n"/>
      <c r="Q3885" s="19" t="n"/>
      <c r="R3885" s="19" t="n"/>
      <c r="S3885" s="19" t="n"/>
      <c r="T3885" s="19" t="n"/>
      <c r="U3885" s="19" t="n">
        <v>0.4</v>
      </c>
      <c r="V3885" s="19" t="n">
        <v>0.6</v>
      </c>
      <c r="W3885" s="19" t="n"/>
      <c r="X3885" s="19" t="n"/>
      <c r="Y3885" s="19" t="n"/>
      <c r="Z3885" s="13">
        <f>SUMPRODUCT(N3885:Y3885,$N$2:$Y$2)*$K3885*$L3885*$M3885</f>
        <v/>
      </c>
      <c r="AA3885" s="14">
        <f>SUM(N3885:Y3885)</f>
        <v/>
      </c>
      <c r="AB3885" s="13">
        <f>SUMPRODUCT(N3885:Y3885,$N$3:$Y$3)*$K3885*$L3885*$M3885</f>
        <v/>
      </c>
      <c r="AC3885" s="13">
        <f>SUMPRODUCT(N3885:Y3885,$N$4:$Y$4)*$K3885*$L3885*$M3885</f>
        <v/>
      </c>
      <c r="AD3885" s="15" t="n">
        <v>41.13333333333333</v>
      </c>
      <c r="AE3885" s="11" t="n">
        <v>1.022897973529623</v>
      </c>
      <c r="AF3885" s="16">
        <f>SUMPRODUCT(N3885:Y3885,$N$5:$Y$5)*$K3885*$L3885*$M3885</f>
        <v/>
      </c>
      <c r="AG3885" s="16">
        <f>SUMPRODUCT(N3885:Y3885,$N$6:$Y$6)*$K3885*$L3885*$M3885</f>
        <v/>
      </c>
      <c r="AH3885" s="20" t="n"/>
    </row>
    <row r="3886">
      <c r="A3886" s="9" t="n">
        <v>811666</v>
      </c>
      <c r="B3886" s="9" t="inlineStr">
        <is>
          <t>Daniel Eagen</t>
        </is>
      </c>
      <c r="C3886" s="9" t="inlineStr">
        <is>
          <t>STL</t>
        </is>
      </c>
      <c r="D3886" s="9" t="n">
        <v>25</v>
      </c>
      <c r="E3886" s="18" t="inlineStr">
        <is>
          <t>R</t>
        </is>
      </c>
      <c r="F3886" s="18" t="n"/>
      <c r="G3886" s="9" t="n">
        <v>183.61</v>
      </c>
      <c r="H3886" s="9" t="n">
        <v>183.61</v>
      </c>
      <c r="I3886" s="9" t="inlineStr">
        <is>
          <t>Innings-Limited Starter</t>
        </is>
      </c>
      <c r="J3886" s="18" t="inlineStr">
        <is>
          <t>Mid Season (~July)</t>
        </is>
      </c>
      <c r="K3886" s="11">
        <f>IFERROR(INDEX(Roles!$B$17:$B$20,MATCH(J3886,Roles!$A$17:$A$20,0)),1)</f>
        <v/>
      </c>
      <c r="L3886" s="19" t="n">
        <v>1</v>
      </c>
      <c r="M3886" s="11" t="n">
        <v>1</v>
      </c>
      <c r="N3886" s="19" t="n"/>
      <c r="O3886" s="19" t="n"/>
      <c r="P3886" s="19" t="n"/>
      <c r="Q3886" s="19" t="n">
        <v>0.46</v>
      </c>
      <c r="R3886" s="19" t="n">
        <v>0.3</v>
      </c>
      <c r="S3886" s="19" t="n"/>
      <c r="T3886" s="19" t="n"/>
      <c r="U3886" s="19" t="n"/>
      <c r="V3886" s="19" t="n"/>
      <c r="W3886" s="19" t="n">
        <v>0.24</v>
      </c>
      <c r="X3886" s="19" t="n"/>
      <c r="Y3886" s="19" t="n"/>
      <c r="Z3886" s="13">
        <f>SUMPRODUCT(N3886:Y3886,$N$2:$Y$2)*$K3886*$L3886*$M3886</f>
        <v/>
      </c>
      <c r="AA3886" s="14">
        <f>SUM(N3886:Y3886)</f>
        <v/>
      </c>
      <c r="AB3886" s="13">
        <f>SUMPRODUCT(N3886:Y3886,$N$3:$Y$3)*$K3886*$L3886*$M3886</f>
        <v/>
      </c>
      <c r="AC3886" s="13">
        <f>SUMPRODUCT(N3886:Y3886,$N$4:$Y$4)*$K3886*$L3886*$M3886</f>
        <v/>
      </c>
      <c r="AD3886" s="15" t="n">
        <v>27.52</v>
      </c>
      <c r="AE3886" s="11" t="n">
        <v>3.223110465116278</v>
      </c>
      <c r="AF3886" s="16">
        <f>SUMPRODUCT(N3886:Y3886,$N$5:$Y$5)*$K3886*$L3886*$M3886</f>
        <v/>
      </c>
      <c r="AG3886" s="16">
        <f>SUMPRODUCT(N3886:Y3886,$N$6:$Y$6)*$K3886*$L3886*$M3886</f>
        <v/>
      </c>
      <c r="AH3886" s="20" t="n"/>
    </row>
    <row r="3887">
      <c r="A3887" s="9" t="n">
        <v>663941</v>
      </c>
      <c r="B3887" s="9" t="inlineStr">
        <is>
          <t>Tristan Beck</t>
        </is>
      </c>
      <c r="C3887" s="9" t="inlineStr">
        <is>
          <t>SF</t>
        </is>
      </c>
      <c r="D3887" s="9" t="n">
        <v>31</v>
      </c>
      <c r="E3887" s="18" t="inlineStr">
        <is>
          <t>R</t>
        </is>
      </c>
      <c r="F3887" s="18" t="n"/>
      <c r="G3887" s="9" t="n">
        <v>83</v>
      </c>
      <c r="H3887" s="9" t="n">
        <v>736</v>
      </c>
      <c r="I3887" s="9" t="inlineStr">
        <is>
          <t>Bullpen Depth Arm</t>
        </is>
      </c>
      <c r="J3887" s="18" t="inlineStr">
        <is>
          <t>Opening Day</t>
        </is>
      </c>
      <c r="K3887" s="11">
        <f>IFERROR(INDEX(Roles!$B$17:$B$20,MATCH(J3887,Roles!$A$17:$A$20,0)),1)</f>
        <v/>
      </c>
      <c r="L3887" s="19" t="n">
        <v>1</v>
      </c>
      <c r="M3887" s="11" t="n">
        <v>1</v>
      </c>
      <c r="N3887" s="19" t="n"/>
      <c r="O3887" s="19" t="n"/>
      <c r="P3887" s="19" t="n"/>
      <c r="Q3887" s="19" t="n"/>
      <c r="R3887" s="19" t="n"/>
      <c r="S3887" s="19" t="n"/>
      <c r="T3887" s="19" t="n"/>
      <c r="U3887" s="19" t="n"/>
      <c r="V3887" s="19" t="n">
        <v>0.15</v>
      </c>
      <c r="W3887" s="19" t="n">
        <v>0.85</v>
      </c>
      <c r="X3887" s="19" t="n"/>
      <c r="Y3887" s="19" t="n"/>
      <c r="Z3887" s="13">
        <f>SUMPRODUCT(N3887:Y3887,$N$2:$Y$2)*$K3887*$L3887*$M3887</f>
        <v/>
      </c>
      <c r="AA3887" s="14">
        <f>SUM(N3887:Y3887)</f>
        <v/>
      </c>
      <c r="AB3887" s="13">
        <f>SUMPRODUCT(N3887:Y3887,$N$3:$Y$3)*$K3887*$L3887*$M3887</f>
        <v/>
      </c>
      <c r="AC3887" s="13">
        <f>SUMPRODUCT(N3887:Y3887,$N$4:$Y$4)*$K3887*$L3887*$M3887</f>
        <v/>
      </c>
      <c r="AD3887" s="15" t="n">
        <v>16.76666666666667</v>
      </c>
      <c r="AE3887" s="11" t="n">
        <v>1.361066694400028</v>
      </c>
      <c r="AF3887" s="16">
        <f>SUMPRODUCT(N3887:Y3887,$N$5:$Y$5)*$K3887*$L3887*$M3887</f>
        <v/>
      </c>
      <c r="AG3887" s="16">
        <f>SUMPRODUCT(N3887:Y3887,$N$6:$Y$6)*$K3887*$L3887*$M3887</f>
        <v/>
      </c>
      <c r="AH3887" s="20" t="n"/>
    </row>
    <row r="3888">
      <c r="A3888" s="9" t="n">
        <v>695034</v>
      </c>
      <c r="B3888" s="9" t="inlineStr">
        <is>
          <t>Kade Morris</t>
        </is>
      </c>
      <c r="C3888" s="9" t="inlineStr">
        <is>
          <t>OAK</t>
        </is>
      </c>
      <c r="D3888" s="9" t="n">
        <v>25</v>
      </c>
      <c r="E3888" s="18" t="inlineStr">
        <is>
          <t>R</t>
        </is>
      </c>
      <c r="F3888" s="18" t="n"/>
      <c r="G3888" s="9" t="n">
        <v>89</v>
      </c>
      <c r="H3888" s="9" t="n">
        <v>89</v>
      </c>
      <c r="I3888" s="9" t="inlineStr">
        <is>
          <t>Bullpen Depth Arm</t>
        </is>
      </c>
      <c r="J3888" s="18" t="inlineStr">
        <is>
          <t>Opening Day</t>
        </is>
      </c>
      <c r="K3888" s="11">
        <f>IFERROR(INDEX(Roles!$B$17:$B$20,MATCH(J3888,Roles!$A$17:$A$20,0)),1)</f>
        <v/>
      </c>
      <c r="L3888" s="19" t="n">
        <v>1</v>
      </c>
      <c r="M3888" s="11" t="n">
        <v>1</v>
      </c>
      <c r="N3888" s="19" t="n"/>
      <c r="O3888" s="19" t="n"/>
      <c r="P3888" s="19" t="n"/>
      <c r="Q3888" s="19" t="n"/>
      <c r="R3888" s="19" t="n"/>
      <c r="S3888" s="19" t="n"/>
      <c r="T3888" s="19" t="n"/>
      <c r="U3888" s="19" t="n"/>
      <c r="V3888" s="19" t="n"/>
      <c r="W3888" s="19" t="n">
        <v>1</v>
      </c>
      <c r="X3888" s="19" t="n"/>
      <c r="Y3888" s="19" t="n"/>
      <c r="Z3888" s="13">
        <f>SUMPRODUCT(N3888:Y3888,$N$2:$Y$2)*$K3888*$L3888*$M3888</f>
        <v/>
      </c>
      <c r="AA3888" s="14">
        <f>SUM(N3888:Y3888)</f>
        <v/>
      </c>
      <c r="AB3888" s="13">
        <f>SUMPRODUCT(N3888:Y3888,$N$3:$Y$3)*$K3888*$L3888*$M3888</f>
        <v/>
      </c>
      <c r="AC3888" s="13">
        <f>SUMPRODUCT(N3888:Y3888,$N$4:$Y$4)*$K3888*$L3888*$M3888</f>
        <v/>
      </c>
      <c r="AD3888" s="15" t="n">
        <v>9.266666666666666</v>
      </c>
      <c r="AE3888" s="11" t="n">
        <v>1.764470097803431</v>
      </c>
      <c r="AF3888" s="16">
        <f>SUMPRODUCT(N3888:Y3888,$N$5:$Y$5)*$K3888*$L3888*$M3888</f>
        <v/>
      </c>
      <c r="AG3888" s="16">
        <f>SUMPRODUCT(N3888:Y3888,$N$6:$Y$6)*$K3888*$L3888*$M3888</f>
        <v/>
      </c>
      <c r="AH3888" s="20" t="n"/>
    </row>
    <row r="3889">
      <c r="A3889" s="9" t="n">
        <v>691776</v>
      </c>
      <c r="B3889" s="9" t="inlineStr">
        <is>
          <t>Josh Hartle</t>
        </is>
      </c>
      <c r="C3889" s="9" t="inlineStr">
        <is>
          <t>WSH</t>
        </is>
      </c>
      <c r="D3889" s="9" t="n">
        <v>25</v>
      </c>
      <c r="E3889" s="18" t="inlineStr">
        <is>
          <t>L</t>
        </is>
      </c>
      <c r="F3889" s="18" t="n"/>
      <c r="G3889" s="9" t="n">
        <v>184.6133333333333</v>
      </c>
      <c r="H3889" s="9" t="n">
        <v>184.6133333333333</v>
      </c>
      <c r="I3889" s="9" t="inlineStr">
        <is>
          <t>Depth (no MLB IP)</t>
        </is>
      </c>
      <c r="J3889" s="18" t="inlineStr">
        <is>
          <t>Opening Day</t>
        </is>
      </c>
      <c r="K3889" s="11">
        <f>IFERROR(INDEX(Roles!$B$17:$B$20,MATCH(J3889,Roles!$A$17:$A$20,0)),1)</f>
        <v/>
      </c>
      <c r="L3889" s="19" t="n">
        <v>1</v>
      </c>
      <c r="M3889" s="11" t="n">
        <v>1</v>
      </c>
      <c r="N3889" s="19" t="n"/>
      <c r="O3889" s="19" t="n"/>
      <c r="P3889" s="19" t="n"/>
      <c r="Q3889" s="19" t="n"/>
      <c r="R3889" s="19" t="n"/>
      <c r="S3889" s="19" t="n"/>
      <c r="T3889" s="19" t="n"/>
      <c r="U3889" s="19" t="n"/>
      <c r="V3889" s="19" t="n"/>
      <c r="W3889" s="19" t="n"/>
      <c r="X3889" s="19" t="n"/>
      <c r="Y3889" s="19" t="n">
        <v>1</v>
      </c>
      <c r="Z3889" s="13">
        <f>SUMPRODUCT(N3889:Y3889,$N$2:$Y$2)*$K3889*$L3889*$M3889</f>
        <v/>
      </c>
      <c r="AA3889" s="14">
        <f>SUM(N3889:Y3889)</f>
        <v/>
      </c>
      <c r="AB3889" s="13">
        <f>SUMPRODUCT(N3889:Y3889,$N$3:$Y$3)*$K3889*$L3889*$M3889</f>
        <v/>
      </c>
      <c r="AC3889" s="13">
        <f>SUMPRODUCT(N3889:Y3889,$N$4:$Y$4)*$K3889*$L3889*$M3889</f>
        <v/>
      </c>
      <c r="AD3889" s="15" t="n">
        <v>3</v>
      </c>
      <c r="AE3889" s="11" t="n">
        <v>1.011296296296296</v>
      </c>
      <c r="AF3889" s="16">
        <f>SUMPRODUCT(N3889:Y3889,$N$5:$Y$5)*$K3889*$L3889*$M3889</f>
        <v/>
      </c>
      <c r="AG3889" s="16">
        <f>SUMPRODUCT(N3889:Y3889,$N$6:$Y$6)*$K3889*$L3889*$M3889</f>
        <v/>
      </c>
      <c r="AH3889" s="20" t="n"/>
    </row>
    <row r="3890">
      <c r="A3890" s="9" t="n">
        <v>669952</v>
      </c>
      <c r="B3890" s="9" t="inlineStr">
        <is>
          <t>Mitch White</t>
        </is>
      </c>
      <c r="C3890" s="9" t="inlineStr">
        <is>
          <t>MIL</t>
        </is>
      </c>
      <c r="D3890" s="9" t="n">
        <v>32</v>
      </c>
      <c r="E3890" s="18" t="inlineStr">
        <is>
          <t>R</t>
        </is>
      </c>
      <c r="F3890" s="18" t="n"/>
      <c r="G3890" s="9" t="n">
        <v>110</v>
      </c>
      <c r="H3890" s="9" t="n">
        <v>610</v>
      </c>
      <c r="I3890" s="9" t="inlineStr">
        <is>
          <t>Depth (no MLB IP)</t>
        </is>
      </c>
      <c r="J3890" s="18" t="inlineStr">
        <is>
          <t>Opening Day</t>
        </is>
      </c>
      <c r="K3890" s="11">
        <f>IFERROR(INDEX(Roles!$B$17:$B$20,MATCH(J3890,Roles!$A$17:$A$20,0)),1)</f>
        <v/>
      </c>
      <c r="L3890" s="19" t="n">
        <v>1</v>
      </c>
      <c r="M3890" s="11" t="n">
        <v>1</v>
      </c>
      <c r="N3890" s="19" t="n"/>
      <c r="O3890" s="19" t="n"/>
      <c r="P3890" s="19" t="n"/>
      <c r="Q3890" s="19" t="n"/>
      <c r="R3890" s="19" t="n"/>
      <c r="S3890" s="19" t="n"/>
      <c r="T3890" s="19" t="n"/>
      <c r="U3890" s="19" t="n"/>
      <c r="V3890" s="19" t="n"/>
      <c r="W3890" s="19" t="n"/>
      <c r="X3890" s="19" t="n"/>
      <c r="Y3890" s="19" t="n">
        <v>1</v>
      </c>
      <c r="Z3890" s="13">
        <f>SUMPRODUCT(N3890:Y3890,$N$2:$Y$2)*$K3890*$L3890*$M3890</f>
        <v/>
      </c>
      <c r="AA3890" s="14">
        <f>SUM(N3890:Y3890)</f>
        <v/>
      </c>
      <c r="AB3890" s="13">
        <f>SUMPRODUCT(N3890:Y3890,$N$3:$Y$3)*$K3890*$L3890*$M3890</f>
        <v/>
      </c>
      <c r="AC3890" s="13">
        <f>SUMPRODUCT(N3890:Y3890,$N$4:$Y$4)*$K3890*$L3890*$M3890</f>
        <v/>
      </c>
      <c r="AD3890" s="15" t="n">
        <v>9</v>
      </c>
      <c r="AE3890" s="11" t="n">
        <v>1.281035137701804</v>
      </c>
      <c r="AF3890" s="16">
        <f>SUMPRODUCT(N3890:Y3890,$N$5:$Y$5)*$K3890*$L3890*$M3890</f>
        <v/>
      </c>
      <c r="AG3890" s="16">
        <f>SUMPRODUCT(N3890:Y3890,$N$6:$Y$6)*$K3890*$L3890*$M3890</f>
        <v/>
      </c>
      <c r="AH3890" s="20" t="n"/>
    </row>
    <row r="3891">
      <c r="A3891" s="9" t="n">
        <v>688422</v>
      </c>
      <c r="B3891" s="9" t="inlineStr">
        <is>
          <t>Connor Staine</t>
        </is>
      </c>
      <c r="C3891" s="9" t="inlineStr">
        <is>
          <t>COL</t>
        </is>
      </c>
      <c r="D3891" s="9" t="n">
        <v>25</v>
      </c>
      <c r="E3891" s="18" t="inlineStr">
        <is>
          <t>R</t>
        </is>
      </c>
      <c r="F3891" s="18" t="n"/>
      <c r="G3891" s="9" t="n">
        <v>185.6166666666666</v>
      </c>
      <c r="H3891" s="9" t="n">
        <v>185.6166666666666</v>
      </c>
      <c r="I3891" s="9" t="inlineStr">
        <is>
          <t>Depth (no MLB IP)</t>
        </is>
      </c>
      <c r="J3891" s="18" t="inlineStr">
        <is>
          <t>Opening Day</t>
        </is>
      </c>
      <c r="K3891" s="11">
        <f>IFERROR(INDEX(Roles!$B$17:$B$20,MATCH(J3891,Roles!$A$17:$A$20,0)),1)</f>
        <v/>
      </c>
      <c r="L3891" s="19" t="n">
        <v>1</v>
      </c>
      <c r="M3891" s="11" t="n">
        <v>1</v>
      </c>
      <c r="N3891" s="19" t="n"/>
      <c r="O3891" s="19" t="n"/>
      <c r="P3891" s="19" t="n"/>
      <c r="Q3891" s="19" t="n"/>
      <c r="R3891" s="19" t="n"/>
      <c r="S3891" s="19" t="n"/>
      <c r="T3891" s="19" t="n"/>
      <c r="U3891" s="19" t="n"/>
      <c r="V3891" s="19" t="n"/>
      <c r="W3891" s="19" t="n"/>
      <c r="X3891" s="19" t="n"/>
      <c r="Y3891" s="19" t="n">
        <v>1</v>
      </c>
      <c r="Z3891" s="13">
        <f>SUMPRODUCT(N3891:Y3891,$N$2:$Y$2)*$K3891*$L3891*$M3891</f>
        <v/>
      </c>
      <c r="AA3891" s="14">
        <f>SUM(N3891:Y3891)</f>
        <v/>
      </c>
      <c r="AB3891" s="13">
        <f>SUMPRODUCT(N3891:Y3891,$N$3:$Y$3)*$K3891*$L3891*$M3891</f>
        <v/>
      </c>
      <c r="AC3891" s="13">
        <f>SUMPRODUCT(N3891:Y3891,$N$4:$Y$4)*$K3891*$L3891*$M3891</f>
        <v/>
      </c>
      <c r="AD3891" s="15" t="n">
        <v>3</v>
      </c>
      <c r="AE3891" s="11" t="n">
        <v>1.011296296296296</v>
      </c>
      <c r="AF3891" s="16">
        <f>SUMPRODUCT(N3891:Y3891,$N$5:$Y$5)*$K3891*$L3891*$M3891</f>
        <v/>
      </c>
      <c r="AG3891" s="16">
        <f>SUMPRODUCT(N3891:Y3891,$N$6:$Y$6)*$K3891*$L3891*$M3891</f>
        <v/>
      </c>
      <c r="AH3891" s="20" t="n"/>
    </row>
    <row r="3892">
      <c r="A3892" s="9" t="n">
        <v>663969</v>
      </c>
      <c r="B3892" s="9" t="inlineStr">
        <is>
          <t>Tyler Phillips</t>
        </is>
      </c>
      <c r="C3892" s="9" t="inlineStr">
        <is>
          <t>MIA</t>
        </is>
      </c>
      <c r="D3892" s="9" t="n">
        <v>29</v>
      </c>
      <c r="E3892" s="18" t="inlineStr">
        <is>
          <t>R</t>
        </is>
      </c>
      <c r="F3892" s="18" t="n"/>
      <c r="G3892" s="9" t="n">
        <v>538</v>
      </c>
      <c r="H3892" s="9" t="n">
        <v>1011</v>
      </c>
      <c r="I3892" s="9" t="inlineStr">
        <is>
          <t>End-of-Rotation Starter (SP4-5)</t>
        </is>
      </c>
      <c r="J3892" s="18" t="inlineStr">
        <is>
          <t>Opening Day</t>
        </is>
      </c>
      <c r="K3892" s="11">
        <f>IFERROR(INDEX(Roles!$B$17:$B$20,MATCH(J3892,Roles!$A$17:$A$20,0)),1)</f>
        <v/>
      </c>
      <c r="L3892" s="19" t="n">
        <v>1</v>
      </c>
      <c r="M3892" s="11" t="n">
        <v>1</v>
      </c>
      <c r="N3892" s="19" t="n"/>
      <c r="O3892" s="19" t="n"/>
      <c r="P3892" s="19" t="n">
        <v>0.5</v>
      </c>
      <c r="Q3892" s="19" t="n"/>
      <c r="R3892" s="19" t="n">
        <v>0.5</v>
      </c>
      <c r="S3892" s="19" t="n"/>
      <c r="T3892" s="19" t="n"/>
      <c r="U3892" s="19" t="n"/>
      <c r="V3892" s="19" t="n"/>
      <c r="W3892" s="19" t="n"/>
      <c r="X3892" s="19" t="n"/>
      <c r="Y3892" s="19" t="n"/>
      <c r="Z3892" s="13">
        <f>SUMPRODUCT(N3892:Y3892,$N$2:$Y$2)*$K3892*$L3892*$M3892</f>
        <v/>
      </c>
      <c r="AA3892" s="14">
        <f>SUM(N3892:Y3892)</f>
        <v/>
      </c>
      <c r="AB3892" s="13">
        <f>SUMPRODUCT(N3892:Y3892,$N$3:$Y$3)*$K3892*$L3892*$M3892</f>
        <v/>
      </c>
      <c r="AC3892" s="13">
        <f>SUMPRODUCT(N3892:Y3892,$N$4:$Y$4)*$K3892*$L3892*$M3892</f>
        <v/>
      </c>
      <c r="AD3892" s="15" t="n">
        <v>29.1</v>
      </c>
      <c r="AE3892" s="11" t="n">
        <v>3.876978299885789</v>
      </c>
      <c r="AF3892" s="16">
        <f>SUMPRODUCT(N3892:Y3892,$N$5:$Y$5)*$K3892*$L3892*$M3892</f>
        <v/>
      </c>
      <c r="AG3892" s="16">
        <f>SUMPRODUCT(N3892:Y3892,$N$6:$Y$6)*$K3892*$L3892*$M3892</f>
        <v/>
      </c>
      <c r="AH3892" s="20" t="n"/>
    </row>
    <row r="3893">
      <c r="A3893" s="9" t="n">
        <v>674285</v>
      </c>
      <c r="B3893" s="9" t="inlineStr">
        <is>
          <t>Eduardo Salazar</t>
        </is>
      </c>
      <c r="C3893" s="9" t="inlineStr">
        <is>
          <t>WSH</t>
        </is>
      </c>
      <c r="D3893" s="9" t="n">
        <v>29</v>
      </c>
      <c r="E3893" s="18" t="inlineStr">
        <is>
          <t>R</t>
        </is>
      </c>
      <c r="F3893" s="18" t="n"/>
      <c r="G3893" s="9" t="n">
        <v>150</v>
      </c>
      <c r="H3893" s="9" t="n">
        <v>344</v>
      </c>
      <c r="I3893" s="9" t="inlineStr">
        <is>
          <t>Bullpen Depth Arm</t>
        </is>
      </c>
      <c r="J3893" s="18" t="inlineStr">
        <is>
          <t>Opening Day</t>
        </is>
      </c>
      <c r="K3893" s="11">
        <f>IFERROR(INDEX(Roles!$B$17:$B$20,MATCH(J3893,Roles!$A$17:$A$20,0)),1)</f>
        <v/>
      </c>
      <c r="L3893" s="19" t="n">
        <v>1</v>
      </c>
      <c r="M3893" s="11" t="n">
        <v>1</v>
      </c>
      <c r="N3893" s="19" t="n"/>
      <c r="O3893" s="19" t="n"/>
      <c r="P3893" s="19" t="n"/>
      <c r="Q3893" s="19" t="n"/>
      <c r="R3893" s="19" t="n"/>
      <c r="S3893" s="19" t="n"/>
      <c r="T3893" s="19" t="n"/>
      <c r="U3893" s="19" t="n"/>
      <c r="V3893" s="19" t="n"/>
      <c r="W3893" s="19" t="n">
        <v>1</v>
      </c>
      <c r="X3893" s="19" t="n"/>
      <c r="Y3893" s="19" t="n"/>
      <c r="Z3893" s="13">
        <f>SUMPRODUCT(N3893:Y3893,$N$2:$Y$2)*$K3893*$L3893*$M3893</f>
        <v/>
      </c>
      <c r="AA3893" s="14">
        <f>SUM(N3893:Y3893)</f>
        <v/>
      </c>
      <c r="AB3893" s="13">
        <f>SUMPRODUCT(N3893:Y3893,$N$3:$Y$3)*$K3893*$L3893*$M3893</f>
        <v/>
      </c>
      <c r="AC3893" s="13">
        <f>SUMPRODUCT(N3893:Y3893,$N$4:$Y$4)*$K3893*$L3893*$M3893</f>
        <v/>
      </c>
      <c r="AD3893" s="15" t="n">
        <v>22.86666666666667</v>
      </c>
      <c r="AE3893" s="11" t="n">
        <v>1.140008426830132</v>
      </c>
      <c r="AF3893" s="16">
        <f>SUMPRODUCT(N3893:Y3893,$N$5:$Y$5)*$K3893*$L3893*$M3893</f>
        <v/>
      </c>
      <c r="AG3893" s="16">
        <f>SUMPRODUCT(N3893:Y3893,$N$6:$Y$6)*$K3893*$L3893*$M3893</f>
        <v/>
      </c>
      <c r="AH3893" s="20" t="n"/>
    </row>
    <row r="3894">
      <c r="A3894" s="9" t="n">
        <v>696131</v>
      </c>
      <c r="B3894" s="9" t="inlineStr">
        <is>
          <t>Mason Black</t>
        </is>
      </c>
      <c r="C3894" s="9" t="inlineStr">
        <is>
          <t>KC</t>
        </is>
      </c>
      <c r="D3894" s="9" t="n">
        <v>27</v>
      </c>
      <c r="E3894" s="18" t="inlineStr">
        <is>
          <t>R</t>
        </is>
      </c>
      <c r="F3894" s="18" t="n"/>
      <c r="G3894" s="9" t="n">
        <v>142</v>
      </c>
      <c r="H3894" s="9" t="n">
        <v>330</v>
      </c>
      <c r="I3894" s="9" t="inlineStr">
        <is>
          <t>Bullpen Depth Arm</t>
        </is>
      </c>
      <c r="J3894" s="18" t="inlineStr">
        <is>
          <t>Opening Day</t>
        </is>
      </c>
      <c r="K3894" s="11">
        <f>IFERROR(INDEX(Roles!$B$17:$B$20,MATCH(J3894,Roles!$A$17:$A$20,0)),1)</f>
        <v/>
      </c>
      <c r="L3894" s="19" t="n">
        <v>1</v>
      </c>
      <c r="M3894" s="11" t="n">
        <v>1</v>
      </c>
      <c r="N3894" s="19" t="n"/>
      <c r="O3894" s="19" t="n"/>
      <c r="P3894" s="19" t="n"/>
      <c r="Q3894" s="19" t="n"/>
      <c r="R3894" s="19" t="n"/>
      <c r="S3894" s="19" t="n"/>
      <c r="T3894" s="19" t="n"/>
      <c r="U3894" s="19" t="n"/>
      <c r="V3894" s="19" t="n"/>
      <c r="W3894" s="19" t="n">
        <v>1</v>
      </c>
      <c r="X3894" s="19" t="n"/>
      <c r="Y3894" s="19" t="n"/>
      <c r="Z3894" s="13">
        <f>SUMPRODUCT(N3894:Y3894,$N$2:$Y$2)*$K3894*$L3894*$M3894</f>
        <v/>
      </c>
      <c r="AA3894" s="14">
        <f>SUM(N3894:Y3894)</f>
        <v/>
      </c>
      <c r="AB3894" s="13">
        <f>SUMPRODUCT(N3894:Y3894,$N$3:$Y$3)*$K3894*$L3894*$M3894</f>
        <v/>
      </c>
      <c r="AC3894" s="13">
        <f>SUMPRODUCT(N3894:Y3894,$N$4:$Y$4)*$K3894*$L3894*$M3894</f>
        <v/>
      </c>
      <c r="AD3894" s="15" t="n">
        <v>11.86666666666666</v>
      </c>
      <c r="AE3894" s="11" t="n">
        <v>1.545234733406776</v>
      </c>
      <c r="AF3894" s="16">
        <f>SUMPRODUCT(N3894:Y3894,$N$5:$Y$5)*$K3894*$L3894*$M3894</f>
        <v/>
      </c>
      <c r="AG3894" s="16">
        <f>SUMPRODUCT(N3894:Y3894,$N$6:$Y$6)*$K3894*$L3894*$M3894</f>
        <v/>
      </c>
      <c r="AH3894" s="20" t="n"/>
    </row>
    <row r="3895">
      <c r="A3895" s="9" t="n">
        <v>688297</v>
      </c>
      <c r="B3895" s="9" t="inlineStr">
        <is>
          <t>Chris Roycroft</t>
        </is>
      </c>
      <c r="C3895" s="9" t="inlineStr">
        <is>
          <t>OAK</t>
        </is>
      </c>
      <c r="D3895" s="9" t="n">
        <v>30</v>
      </c>
      <c r="E3895" s="18" t="inlineStr">
        <is>
          <t>R</t>
        </is>
      </c>
      <c r="F3895" s="18" t="n"/>
      <c r="G3895" s="9" t="n">
        <v>189</v>
      </c>
      <c r="H3895" s="9" t="n">
        <v>445</v>
      </c>
      <c r="I3895" s="9" t="inlineStr">
        <is>
          <t>Swing Arm / Long Relief</t>
        </is>
      </c>
      <c r="J3895" s="18" t="inlineStr">
        <is>
          <t>Opening Day</t>
        </is>
      </c>
      <c r="K3895" s="11">
        <f>IFERROR(INDEX(Roles!$B$17:$B$20,MATCH(J3895,Roles!$A$17:$A$20,0)),1)</f>
        <v/>
      </c>
      <c r="L3895" s="19" t="n">
        <v>1</v>
      </c>
      <c r="M3895" s="11" t="n">
        <v>1</v>
      </c>
      <c r="N3895" s="19" t="n"/>
      <c r="O3895" s="19" t="n"/>
      <c r="P3895" s="19" t="n"/>
      <c r="Q3895" s="19" t="n"/>
      <c r="R3895" s="19" t="n">
        <v>0.6</v>
      </c>
      <c r="S3895" s="19" t="n"/>
      <c r="T3895" s="19" t="n"/>
      <c r="U3895" s="19" t="n"/>
      <c r="V3895" s="19" t="n">
        <v>0.4</v>
      </c>
      <c r="W3895" s="19" t="n"/>
      <c r="X3895" s="19" t="n"/>
      <c r="Y3895" s="19" t="n"/>
      <c r="Z3895" s="13">
        <f>SUMPRODUCT(N3895:Y3895,$N$2:$Y$2)*$K3895*$L3895*$M3895</f>
        <v/>
      </c>
      <c r="AA3895" s="14">
        <f>SUM(N3895:Y3895)</f>
        <v/>
      </c>
      <c r="AB3895" s="13">
        <f>SUMPRODUCT(N3895:Y3895,$N$3:$Y$3)*$K3895*$L3895*$M3895</f>
        <v/>
      </c>
      <c r="AC3895" s="13">
        <f>SUMPRODUCT(N3895:Y3895,$N$4:$Y$4)*$K3895*$L3895*$M3895</f>
        <v/>
      </c>
      <c r="AD3895" s="15" t="n">
        <v>22.93333333333333</v>
      </c>
      <c r="AE3895" s="11" t="n">
        <v>2.097917589720869</v>
      </c>
      <c r="AF3895" s="16">
        <f>SUMPRODUCT(N3895:Y3895,$N$5:$Y$5)*$K3895*$L3895*$M3895</f>
        <v/>
      </c>
      <c r="AG3895" s="16">
        <f>SUMPRODUCT(N3895:Y3895,$N$6:$Y$6)*$K3895*$L3895*$M3895</f>
        <v/>
      </c>
      <c r="AH3895" s="20" t="n"/>
    </row>
    <row r="3896">
      <c r="A3896" s="9" t="n">
        <v>803135</v>
      </c>
      <c r="B3896" s="9" t="inlineStr">
        <is>
          <t>Austin Gordon</t>
        </is>
      </c>
      <c r="C3896" s="9" t="inlineStr">
        <is>
          <t>LAA</t>
        </is>
      </c>
      <c r="D3896" s="9" t="n">
        <v>25</v>
      </c>
      <c r="E3896" s="18" t="inlineStr">
        <is>
          <t>R</t>
        </is>
      </c>
      <c r="F3896" s="18" t="n"/>
      <c r="G3896" s="9" t="n">
        <v>187.1216666666666</v>
      </c>
      <c r="H3896" s="9" t="n">
        <v>187.1216666666666</v>
      </c>
      <c r="I3896" s="9" t="inlineStr">
        <is>
          <t>Depth (no MLB IP)</t>
        </is>
      </c>
      <c r="J3896" s="18" t="inlineStr">
        <is>
          <t>Opening Day</t>
        </is>
      </c>
      <c r="K3896" s="11">
        <f>IFERROR(INDEX(Roles!$B$17:$B$20,MATCH(J3896,Roles!$A$17:$A$20,0)),1)</f>
        <v/>
      </c>
      <c r="L3896" s="19" t="n">
        <v>1</v>
      </c>
      <c r="M3896" s="11" t="n">
        <v>1</v>
      </c>
      <c r="N3896" s="19" t="n"/>
      <c r="O3896" s="19" t="n"/>
      <c r="P3896" s="19" t="n"/>
      <c r="Q3896" s="19" t="n"/>
      <c r="R3896" s="19" t="n"/>
      <c r="S3896" s="19" t="n"/>
      <c r="T3896" s="19" t="n"/>
      <c r="U3896" s="19" t="n"/>
      <c r="V3896" s="19" t="n"/>
      <c r="W3896" s="19" t="n"/>
      <c r="X3896" s="19" t="n"/>
      <c r="Y3896" s="19" t="n">
        <v>1</v>
      </c>
      <c r="Z3896" s="13">
        <f>SUMPRODUCT(N3896:Y3896,$N$2:$Y$2)*$K3896*$L3896*$M3896</f>
        <v/>
      </c>
      <c r="AA3896" s="14">
        <f>SUM(N3896:Y3896)</f>
        <v/>
      </c>
      <c r="AB3896" s="13">
        <f>SUMPRODUCT(N3896:Y3896,$N$3:$Y$3)*$K3896*$L3896*$M3896</f>
        <v/>
      </c>
      <c r="AC3896" s="13">
        <f>SUMPRODUCT(N3896:Y3896,$N$4:$Y$4)*$K3896*$L3896*$M3896</f>
        <v/>
      </c>
      <c r="AD3896" s="15" t="n">
        <v>3</v>
      </c>
      <c r="AE3896" s="11" t="n">
        <v>1.011296296296296</v>
      </c>
      <c r="AF3896" s="16">
        <f>SUMPRODUCT(N3896:Y3896,$N$5:$Y$5)*$K3896*$L3896*$M3896</f>
        <v/>
      </c>
      <c r="AG3896" s="16">
        <f>SUMPRODUCT(N3896:Y3896,$N$6:$Y$6)*$K3896*$L3896*$M3896</f>
        <v/>
      </c>
      <c r="AH3896" s="20" t="n"/>
    </row>
    <row r="3897">
      <c r="A3897" s="9" t="n">
        <v>694696</v>
      </c>
      <c r="B3897" s="9" t="inlineStr">
        <is>
          <t>Cade Smith</t>
        </is>
      </c>
      <c r="C3897" s="9" t="inlineStr">
        <is>
          <t>NYY</t>
        </is>
      </c>
      <c r="D3897" s="9" t="n">
        <v>25</v>
      </c>
      <c r="E3897" s="18" t="inlineStr">
        <is>
          <t>R</t>
        </is>
      </c>
      <c r="F3897" s="18" t="n"/>
      <c r="G3897" s="9" t="n">
        <v>187.6233333333333</v>
      </c>
      <c r="H3897" s="9" t="n">
        <v>187.6233333333333</v>
      </c>
      <c r="I3897" s="9" t="inlineStr">
        <is>
          <t>Depth (no MLB IP)</t>
        </is>
      </c>
      <c r="J3897" s="18" t="inlineStr">
        <is>
          <t>Opening Day</t>
        </is>
      </c>
      <c r="K3897" s="11">
        <f>IFERROR(INDEX(Roles!$B$17:$B$20,MATCH(J3897,Roles!$A$17:$A$20,0)),1)</f>
        <v/>
      </c>
      <c r="L3897" s="19" t="n">
        <v>1</v>
      </c>
      <c r="M3897" s="11" t="n">
        <v>1</v>
      </c>
      <c r="N3897" s="19" t="n"/>
      <c r="O3897" s="19" t="n"/>
      <c r="P3897" s="19" t="n"/>
      <c r="Q3897" s="19" t="n"/>
      <c r="R3897" s="19" t="n"/>
      <c r="S3897" s="19" t="n"/>
      <c r="T3897" s="19" t="n"/>
      <c r="U3897" s="19" t="n"/>
      <c r="V3897" s="19" t="n"/>
      <c r="W3897" s="19" t="n"/>
      <c r="X3897" s="19" t="n"/>
      <c r="Y3897" s="19" t="n">
        <v>1</v>
      </c>
      <c r="Z3897" s="13">
        <f>SUMPRODUCT(N3897:Y3897,$N$2:$Y$2)*$K3897*$L3897*$M3897</f>
        <v/>
      </c>
      <c r="AA3897" s="14">
        <f>SUM(N3897:Y3897)</f>
        <v/>
      </c>
      <c r="AB3897" s="13">
        <f>SUMPRODUCT(N3897:Y3897,$N$3:$Y$3)*$K3897*$L3897*$M3897</f>
        <v/>
      </c>
      <c r="AC3897" s="13">
        <f>SUMPRODUCT(N3897:Y3897,$N$4:$Y$4)*$K3897*$L3897*$M3897</f>
        <v/>
      </c>
      <c r="AD3897" s="15" t="n">
        <v>3</v>
      </c>
      <c r="AE3897" s="11" t="n">
        <v>1.011296296296296</v>
      </c>
      <c r="AF3897" s="16">
        <f>SUMPRODUCT(N3897:Y3897,$N$5:$Y$5)*$K3897*$L3897*$M3897</f>
        <v/>
      </c>
      <c r="AG3897" s="16">
        <f>SUMPRODUCT(N3897:Y3897,$N$6:$Y$6)*$K3897*$L3897*$M3897</f>
        <v/>
      </c>
      <c r="AH3897" s="20" t="n"/>
    </row>
    <row r="3898">
      <c r="A3898" s="9" t="n">
        <v>543548</v>
      </c>
      <c r="B3898" s="9" t="inlineStr">
        <is>
          <t>Tommy Milone</t>
        </is>
      </c>
      <c r="C3898" s="9" t="inlineStr">
        <is>
          <t>SEA</t>
        </is>
      </c>
      <c r="D3898" s="9" t="n">
        <v>40</v>
      </c>
      <c r="E3898" s="18" t="inlineStr">
        <is>
          <t>L</t>
        </is>
      </c>
      <c r="F3898" s="18" t="n"/>
      <c r="G3898" s="9" t="n">
        <v>40</v>
      </c>
      <c r="H3898" s="9" t="n">
        <v>109</v>
      </c>
      <c r="I3898" s="9" t="inlineStr">
        <is>
          <t>Depth (no MLB IP)</t>
        </is>
      </c>
      <c r="J3898" s="18" t="inlineStr">
        <is>
          <t>Opening Day</t>
        </is>
      </c>
      <c r="K3898" s="11">
        <f>IFERROR(INDEX(Roles!$B$17:$B$20,MATCH(J3898,Roles!$A$17:$A$20,0)),1)</f>
        <v/>
      </c>
      <c r="L3898" s="19" t="n">
        <v>1</v>
      </c>
      <c r="M3898" s="11" t="n">
        <v>1</v>
      </c>
      <c r="N3898" s="19" t="n"/>
      <c r="O3898" s="19" t="n"/>
      <c r="P3898" s="19" t="n"/>
      <c r="Q3898" s="19" t="n"/>
      <c r="R3898" s="19" t="n"/>
      <c r="S3898" s="19" t="n"/>
      <c r="T3898" s="19" t="n"/>
      <c r="U3898" s="19" t="n"/>
      <c r="V3898" s="19" t="n"/>
      <c r="W3898" s="19" t="n"/>
      <c r="X3898" s="19" t="n"/>
      <c r="Y3898" s="19" t="n">
        <v>1</v>
      </c>
      <c r="Z3898" s="13">
        <f>SUMPRODUCT(N3898:Y3898,$N$2:$Y$2)*$K3898*$L3898*$M3898</f>
        <v/>
      </c>
      <c r="AA3898" s="14">
        <f>SUM(N3898:Y3898)</f>
        <v/>
      </c>
      <c r="AB3898" s="13">
        <f>SUMPRODUCT(N3898:Y3898,$N$3:$Y$3)*$K3898*$L3898*$M3898</f>
        <v/>
      </c>
      <c r="AC3898" s="13">
        <f>SUMPRODUCT(N3898:Y3898,$N$4:$Y$4)*$K3898*$L3898*$M3898</f>
        <v/>
      </c>
      <c r="AD3898" s="15" t="n">
        <v>3</v>
      </c>
      <c r="AE3898" s="11" t="n">
        <v>1.011296296296296</v>
      </c>
      <c r="AF3898" s="16">
        <f>SUMPRODUCT(N3898:Y3898,$N$5:$Y$5)*$K3898*$L3898*$M3898</f>
        <v/>
      </c>
      <c r="AG3898" s="16">
        <f>SUMPRODUCT(N3898:Y3898,$N$6:$Y$6)*$K3898*$L3898*$M3898</f>
        <v/>
      </c>
      <c r="AH3898" s="20" t="n"/>
    </row>
    <row r="3899">
      <c r="A3899" s="9" t="n">
        <v>680743</v>
      </c>
      <c r="B3899" s="9" t="inlineStr">
        <is>
          <t>Ryan Cusick</t>
        </is>
      </c>
      <c r="C3899" s="9" t="inlineStr">
        <is>
          <t>PHI</t>
        </is>
      </c>
      <c r="D3899" s="9" t="n">
        <v>25</v>
      </c>
      <c r="E3899" s="18" t="inlineStr">
        <is>
          <t>R</t>
        </is>
      </c>
      <c r="F3899" s="18" t="n"/>
      <c r="G3899" s="9" t="n">
        <v>188.4116666666667</v>
      </c>
      <c r="H3899" s="9" t="n">
        <v>188.4116666666667</v>
      </c>
      <c r="I3899" s="9" t="inlineStr">
        <is>
          <t>Depth (no MLB IP)</t>
        </is>
      </c>
      <c r="J3899" s="18" t="inlineStr">
        <is>
          <t>Opening Day</t>
        </is>
      </c>
      <c r="K3899" s="11">
        <f>IFERROR(INDEX(Roles!$B$17:$B$20,MATCH(J3899,Roles!$A$17:$A$20,0)),1)</f>
        <v/>
      </c>
      <c r="L3899" s="19" t="n">
        <v>1</v>
      </c>
      <c r="M3899" s="11" t="n">
        <v>1</v>
      </c>
      <c r="N3899" s="19" t="n"/>
      <c r="O3899" s="19" t="n"/>
      <c r="P3899" s="19" t="n"/>
      <c r="Q3899" s="19" t="n"/>
      <c r="R3899" s="19" t="n"/>
      <c r="S3899" s="19" t="n"/>
      <c r="T3899" s="19" t="n"/>
      <c r="U3899" s="19" t="n"/>
      <c r="V3899" s="19" t="n"/>
      <c r="W3899" s="19" t="n"/>
      <c r="X3899" s="19" t="n"/>
      <c r="Y3899" s="19" t="n">
        <v>1</v>
      </c>
      <c r="Z3899" s="13">
        <f>SUMPRODUCT(N3899:Y3899,$N$2:$Y$2)*$K3899*$L3899*$M3899</f>
        <v/>
      </c>
      <c r="AA3899" s="14">
        <f>SUM(N3899:Y3899)</f>
        <v/>
      </c>
      <c r="AB3899" s="13">
        <f>SUMPRODUCT(N3899:Y3899,$N$3:$Y$3)*$K3899*$L3899*$M3899</f>
        <v/>
      </c>
      <c r="AC3899" s="13">
        <f>SUMPRODUCT(N3899:Y3899,$N$4:$Y$4)*$K3899*$L3899*$M3899</f>
        <v/>
      </c>
      <c r="AD3899" s="15" t="n">
        <v>3</v>
      </c>
      <c r="AE3899" s="11" t="n">
        <v>1.011296296296296</v>
      </c>
      <c r="AF3899" s="16">
        <f>SUMPRODUCT(N3899:Y3899,$N$5:$Y$5)*$K3899*$L3899*$M3899</f>
        <v/>
      </c>
      <c r="AG3899" s="16">
        <f>SUMPRODUCT(N3899:Y3899,$N$6:$Y$6)*$K3899*$L3899*$M3899</f>
        <v/>
      </c>
      <c r="AH3899" s="20" t="n"/>
    </row>
    <row r="3900">
      <c r="A3900" s="9" t="n">
        <v>685299</v>
      </c>
      <c r="B3900" s="9" t="inlineStr">
        <is>
          <t>Tanner Gordon</t>
        </is>
      </c>
      <c r="C3900" s="9" t="inlineStr">
        <is>
          <t>COL</t>
        </is>
      </c>
      <c r="D3900" s="9" t="n">
        <v>29</v>
      </c>
      <c r="E3900" s="18" t="inlineStr">
        <is>
          <t>R</t>
        </is>
      </c>
      <c r="F3900" s="18" t="n"/>
      <c r="G3900" s="9" t="n">
        <v>473</v>
      </c>
      <c r="H3900" s="9" t="n">
        <v>970</v>
      </c>
      <c r="I3900" s="9" t="inlineStr">
        <is>
          <t>Swing Arm / Long Relief</t>
        </is>
      </c>
      <c r="J3900" s="18" t="inlineStr">
        <is>
          <t>Opening Day</t>
        </is>
      </c>
      <c r="K3900" s="11">
        <f>IFERROR(INDEX(Roles!$B$17:$B$20,MATCH(J3900,Roles!$A$17:$A$20,0)),1)</f>
        <v/>
      </c>
      <c r="L3900" s="19" t="n">
        <v>1</v>
      </c>
      <c r="M3900" s="11" t="n">
        <v>1</v>
      </c>
      <c r="N3900" s="19" t="n"/>
      <c r="O3900" s="19" t="n"/>
      <c r="P3900" s="19" t="n"/>
      <c r="Q3900" s="19" t="n"/>
      <c r="R3900" s="19" t="n">
        <v>0.5</v>
      </c>
      <c r="S3900" s="19" t="n"/>
      <c r="T3900" s="19" t="n"/>
      <c r="U3900" s="19" t="n"/>
      <c r="V3900" s="19" t="n">
        <v>0.5</v>
      </c>
      <c r="W3900" s="19" t="n"/>
      <c r="X3900" s="19" t="n"/>
      <c r="Y3900" s="19" t="n"/>
      <c r="Z3900" s="13">
        <f>SUMPRODUCT(N3900:Y3900,$N$2:$Y$2)*$K3900*$L3900*$M3900</f>
        <v/>
      </c>
      <c r="AA3900" s="14">
        <f>SUM(N3900:Y3900)</f>
        <v/>
      </c>
      <c r="AB3900" s="13">
        <f>SUMPRODUCT(N3900:Y3900,$N$3:$Y$3)*$K3900*$L3900*$M3900</f>
        <v/>
      </c>
      <c r="AC3900" s="13">
        <f>SUMPRODUCT(N3900:Y3900,$N$4:$Y$4)*$K3900*$L3900*$M3900</f>
        <v/>
      </c>
      <c r="AD3900" s="15" t="n">
        <v>19.13333333333333</v>
      </c>
      <c r="AE3900" s="11" t="n">
        <v>3.171518463321742</v>
      </c>
      <c r="AF3900" s="16">
        <f>SUMPRODUCT(N3900:Y3900,$N$5:$Y$5)*$K3900*$L3900*$M3900</f>
        <v/>
      </c>
      <c r="AG3900" s="16">
        <f>SUMPRODUCT(N3900:Y3900,$N$6:$Y$6)*$K3900*$L3900*$M3900</f>
        <v/>
      </c>
      <c r="AH3900" s="20" t="n"/>
    </row>
    <row r="3901">
      <c r="A3901" s="9" t="n">
        <v>669920</v>
      </c>
      <c r="B3901" s="9" t="inlineStr">
        <is>
          <t>Jason Alexander</t>
        </is>
      </c>
      <c r="C3901" s="9" t="inlineStr">
        <is>
          <t>HOU</t>
        </is>
      </c>
      <c r="D3901" s="9" t="n">
        <v>34</v>
      </c>
      <c r="E3901" s="18" t="inlineStr">
        <is>
          <t>R</t>
        </is>
      </c>
      <c r="F3901" s="18" t="n"/>
      <c r="G3901" s="9" t="n">
        <v>84</v>
      </c>
      <c r="H3901" s="9" t="n">
        <v>741</v>
      </c>
      <c r="I3901" s="9" t="inlineStr">
        <is>
          <t>End-of-Rotation Starter (SP4-5)</t>
        </is>
      </c>
      <c r="J3901" s="18" t="inlineStr">
        <is>
          <t>Opening Day</t>
        </is>
      </c>
      <c r="K3901" s="11">
        <f>IFERROR(INDEX(Roles!$B$17:$B$20,MATCH(J3901,Roles!$A$17:$A$20,0)),1)</f>
        <v/>
      </c>
      <c r="L3901" s="19" t="n">
        <v>1</v>
      </c>
      <c r="M3901" s="11" t="n">
        <v>1</v>
      </c>
      <c r="N3901" s="19" t="n"/>
      <c r="O3901" s="19" t="n"/>
      <c r="P3901" s="19" t="n">
        <v>1</v>
      </c>
      <c r="Q3901" s="19" t="n"/>
      <c r="R3901" s="19" t="n"/>
      <c r="S3901" s="19" t="n"/>
      <c r="T3901" s="19" t="n"/>
      <c r="U3901" s="19" t="n"/>
      <c r="V3901" s="19" t="n"/>
      <c r="W3901" s="19" t="n"/>
      <c r="X3901" s="19" t="n"/>
      <c r="Y3901" s="19" t="n"/>
      <c r="Z3901" s="13">
        <f>SUMPRODUCT(N3901:Y3901,$N$2:$Y$2)*$K3901*$L3901*$M3901</f>
        <v/>
      </c>
      <c r="AA3901" s="14">
        <f>SUM(N3901:Y3901)</f>
        <v/>
      </c>
      <c r="AB3901" s="13">
        <f>SUMPRODUCT(N3901:Y3901,$N$3:$Y$3)*$K3901*$L3901*$M3901</f>
        <v/>
      </c>
      <c r="AC3901" s="13">
        <f>SUMPRODUCT(N3901:Y3901,$N$4:$Y$4)*$K3901*$L3901*$M3901</f>
        <v/>
      </c>
      <c r="AD3901" s="15" t="n">
        <v>12.16</v>
      </c>
      <c r="AE3901" s="11" t="n">
        <v>4.493055555555555</v>
      </c>
      <c r="AF3901" s="16">
        <f>SUMPRODUCT(N3901:Y3901,$N$5:$Y$5)*$K3901*$L3901*$M3901</f>
        <v/>
      </c>
      <c r="AG3901" s="16">
        <f>SUMPRODUCT(N3901:Y3901,$N$6:$Y$6)*$K3901*$L3901*$M3901</f>
        <v/>
      </c>
      <c r="AH3901" s="20" t="n"/>
    </row>
    <row r="3902">
      <c r="A3902" s="9" t="n">
        <v>800571</v>
      </c>
      <c r="B3902" s="9" t="inlineStr">
        <is>
          <t>Santiago Suarez</t>
        </is>
      </c>
      <c r="C3902" s="9" t="inlineStr">
        <is>
          <t>TB</t>
        </is>
      </c>
      <c r="D3902" s="9" t="n">
        <v>22</v>
      </c>
      <c r="E3902" s="18" t="inlineStr">
        <is>
          <t>R</t>
        </is>
      </c>
      <c r="F3902" s="18" t="n"/>
      <c r="G3902" s="9" t="n">
        <v>189.63</v>
      </c>
      <c r="H3902" s="9" t="n">
        <v>189.63</v>
      </c>
      <c r="I3902" s="9" t="inlineStr">
        <is>
          <t>Depth (no MLB IP)</t>
        </is>
      </c>
      <c r="J3902" s="18" t="inlineStr">
        <is>
          <t>Opening Day</t>
        </is>
      </c>
      <c r="K3902" s="11">
        <f>IFERROR(INDEX(Roles!$B$17:$B$20,MATCH(J3902,Roles!$A$17:$A$20,0)),1)</f>
        <v/>
      </c>
      <c r="L3902" s="19" t="n">
        <v>1</v>
      </c>
      <c r="M3902" s="11" t="n">
        <v>1</v>
      </c>
      <c r="N3902" s="19" t="n"/>
      <c r="O3902" s="19" t="n"/>
      <c r="P3902" s="19" t="n"/>
      <c r="Q3902" s="19" t="n"/>
      <c r="R3902" s="19" t="n"/>
      <c r="S3902" s="19" t="n"/>
      <c r="T3902" s="19" t="n"/>
      <c r="U3902" s="19" t="n"/>
      <c r="V3902" s="19" t="n"/>
      <c r="W3902" s="19" t="n"/>
      <c r="X3902" s="19" t="n"/>
      <c r="Y3902" s="19" t="n">
        <v>1</v>
      </c>
      <c r="Z3902" s="13">
        <f>SUMPRODUCT(N3902:Y3902,$N$2:$Y$2)*$K3902*$L3902*$M3902</f>
        <v/>
      </c>
      <c r="AA3902" s="14">
        <f>SUM(N3902:Y3902)</f>
        <v/>
      </c>
      <c r="AB3902" s="13">
        <f>SUMPRODUCT(N3902:Y3902,$N$3:$Y$3)*$K3902*$L3902*$M3902</f>
        <v/>
      </c>
      <c r="AC3902" s="13">
        <f>SUMPRODUCT(N3902:Y3902,$N$4:$Y$4)*$K3902*$L3902*$M3902</f>
        <v/>
      </c>
      <c r="AD3902" s="15" t="n">
        <v>3</v>
      </c>
      <c r="AE3902" s="11" t="n">
        <v>1.011296296296296</v>
      </c>
      <c r="AF3902" s="16">
        <f>SUMPRODUCT(N3902:Y3902,$N$5:$Y$5)*$K3902*$L3902*$M3902</f>
        <v/>
      </c>
      <c r="AG3902" s="16">
        <f>SUMPRODUCT(N3902:Y3902,$N$6:$Y$6)*$K3902*$L3902*$M3902</f>
        <v/>
      </c>
      <c r="AH3902" s="20" t="n"/>
    </row>
    <row r="3903">
      <c r="A3903" s="9" t="n">
        <v>694860</v>
      </c>
      <c r="B3903" s="9" t="inlineStr">
        <is>
          <t>Jake Brooks</t>
        </is>
      </c>
      <c r="C3903" s="9" t="inlineStr">
        <is>
          <t>COL</t>
        </is>
      </c>
      <c r="D3903" s="9" t="n">
        <v>25</v>
      </c>
      <c r="E3903" s="18" t="inlineStr">
        <is>
          <t>R</t>
        </is>
      </c>
      <c r="F3903" s="18" t="n"/>
      <c r="G3903" s="9" t="n">
        <v>189.9883333333333</v>
      </c>
      <c r="H3903" s="9" t="n">
        <v>189.9883333333333</v>
      </c>
      <c r="I3903" s="9" t="inlineStr">
        <is>
          <t>Depth (no MLB IP)</t>
        </is>
      </c>
      <c r="J3903" s="18" t="inlineStr">
        <is>
          <t>Opening Day</t>
        </is>
      </c>
      <c r="K3903" s="11">
        <f>IFERROR(INDEX(Roles!$B$17:$B$20,MATCH(J3903,Roles!$A$17:$A$20,0)),1)</f>
        <v/>
      </c>
      <c r="L3903" s="19" t="n">
        <v>1</v>
      </c>
      <c r="M3903" s="11" t="n">
        <v>1</v>
      </c>
      <c r="N3903" s="19" t="n"/>
      <c r="O3903" s="19" t="n"/>
      <c r="P3903" s="19" t="n"/>
      <c r="Q3903" s="19" t="n"/>
      <c r="R3903" s="19" t="n"/>
      <c r="S3903" s="19" t="n"/>
      <c r="T3903" s="19" t="n"/>
      <c r="U3903" s="19" t="n"/>
      <c r="V3903" s="19" t="n"/>
      <c r="W3903" s="19" t="n"/>
      <c r="X3903" s="19" t="n"/>
      <c r="Y3903" s="19" t="n">
        <v>1</v>
      </c>
      <c r="Z3903" s="13">
        <f>SUMPRODUCT(N3903:Y3903,$N$2:$Y$2)*$K3903*$L3903*$M3903</f>
        <v/>
      </c>
      <c r="AA3903" s="14">
        <f>SUM(N3903:Y3903)</f>
        <v/>
      </c>
      <c r="AB3903" s="13">
        <f>SUMPRODUCT(N3903:Y3903,$N$3:$Y$3)*$K3903*$L3903*$M3903</f>
        <v/>
      </c>
      <c r="AC3903" s="13">
        <f>SUMPRODUCT(N3903:Y3903,$N$4:$Y$4)*$K3903*$L3903*$M3903</f>
        <v/>
      </c>
      <c r="AD3903" s="15" t="n">
        <v>3</v>
      </c>
      <c r="AE3903" s="11" t="n">
        <v>1.011296296296296</v>
      </c>
      <c r="AF3903" s="16">
        <f>SUMPRODUCT(N3903:Y3903,$N$5:$Y$5)*$K3903*$L3903*$M3903</f>
        <v/>
      </c>
      <c r="AG3903" s="16">
        <f>SUMPRODUCT(N3903:Y3903,$N$6:$Y$6)*$K3903*$L3903*$M3903</f>
        <v/>
      </c>
      <c r="AH3903" s="20" t="n"/>
    </row>
    <row r="3904">
      <c r="A3904" s="9" t="n">
        <v>801435</v>
      </c>
      <c r="B3904" s="9" t="inlineStr">
        <is>
          <t>Garrett Edwards</t>
        </is>
      </c>
      <c r="C3904" s="9" t="inlineStr">
        <is>
          <t>TB</t>
        </is>
      </c>
      <c r="D3904" s="9" t="n">
        <v>25</v>
      </c>
      <c r="E3904" s="18" t="inlineStr">
        <is>
          <t>R</t>
        </is>
      </c>
      <c r="F3904" s="18" t="n"/>
      <c r="G3904" s="9" t="n">
        <v>190.6333333333333</v>
      </c>
      <c r="H3904" s="9" t="n">
        <v>190.6333333333333</v>
      </c>
      <c r="I3904" s="9" t="inlineStr">
        <is>
          <t>Depth (no MLB IP)</t>
        </is>
      </c>
      <c r="J3904" s="18" t="inlineStr">
        <is>
          <t>Opening Day</t>
        </is>
      </c>
      <c r="K3904" s="11">
        <f>IFERROR(INDEX(Roles!$B$17:$B$20,MATCH(J3904,Roles!$A$17:$A$20,0)),1)</f>
        <v/>
      </c>
      <c r="L3904" s="19" t="n">
        <v>1</v>
      </c>
      <c r="M3904" s="11" t="n">
        <v>1</v>
      </c>
      <c r="N3904" s="19" t="n"/>
      <c r="O3904" s="19" t="n"/>
      <c r="P3904" s="19" t="n"/>
      <c r="Q3904" s="19" t="n"/>
      <c r="R3904" s="19" t="n"/>
      <c r="S3904" s="19" t="n"/>
      <c r="T3904" s="19" t="n"/>
      <c r="U3904" s="19" t="n"/>
      <c r="V3904" s="19" t="n"/>
      <c r="W3904" s="19" t="n"/>
      <c r="X3904" s="19" t="n"/>
      <c r="Y3904" s="19" t="n">
        <v>1</v>
      </c>
      <c r="Z3904" s="13">
        <f>SUMPRODUCT(N3904:Y3904,$N$2:$Y$2)*$K3904*$L3904*$M3904</f>
        <v/>
      </c>
      <c r="AA3904" s="14">
        <f>SUM(N3904:Y3904)</f>
        <v/>
      </c>
      <c r="AB3904" s="13">
        <f>SUMPRODUCT(N3904:Y3904,$N$3:$Y$3)*$K3904*$L3904*$M3904</f>
        <v/>
      </c>
      <c r="AC3904" s="13">
        <f>SUMPRODUCT(N3904:Y3904,$N$4:$Y$4)*$K3904*$L3904*$M3904</f>
        <v/>
      </c>
      <c r="AD3904" s="15" t="n">
        <v>3</v>
      </c>
      <c r="AE3904" s="11" t="n">
        <v>1.011296296296296</v>
      </c>
      <c r="AF3904" s="16">
        <f>SUMPRODUCT(N3904:Y3904,$N$5:$Y$5)*$K3904*$L3904*$M3904</f>
        <v/>
      </c>
      <c r="AG3904" s="16">
        <f>SUMPRODUCT(N3904:Y3904,$N$6:$Y$6)*$K3904*$L3904*$M3904</f>
        <v/>
      </c>
      <c r="AH3904" s="20" t="n"/>
    </row>
    <row r="3905">
      <c r="A3905" s="9" t="n">
        <v>656353</v>
      </c>
      <c r="B3905" s="9" t="inlineStr">
        <is>
          <t>Tucker Davidson</t>
        </is>
      </c>
      <c r="C3905" s="9" t="inlineStr">
        <is>
          <t>KC</t>
        </is>
      </c>
      <c r="D3905" s="9" t="n">
        <v>31</v>
      </c>
      <c r="E3905" s="18" t="inlineStr">
        <is>
          <t>L</t>
        </is>
      </c>
      <c r="F3905" s="18" t="n"/>
      <c r="G3905" s="9" t="n">
        <v>19</v>
      </c>
      <c r="H3905" s="9" t="n">
        <v>498</v>
      </c>
      <c r="I3905" s="9" t="inlineStr">
        <is>
          <t>Depth (no MLB IP)</t>
        </is>
      </c>
      <c r="J3905" s="18" t="inlineStr">
        <is>
          <t>Opening Day</t>
        </is>
      </c>
      <c r="K3905" s="11">
        <f>IFERROR(INDEX(Roles!$B$17:$B$20,MATCH(J3905,Roles!$A$17:$A$20,0)),1)</f>
        <v/>
      </c>
      <c r="L3905" s="19" t="n">
        <v>1</v>
      </c>
      <c r="M3905" s="11" t="n">
        <v>1</v>
      </c>
      <c r="N3905" s="19" t="n"/>
      <c r="O3905" s="19" t="n"/>
      <c r="P3905" s="19" t="n"/>
      <c r="Q3905" s="19" t="n"/>
      <c r="R3905" s="19" t="n"/>
      <c r="S3905" s="19" t="n"/>
      <c r="T3905" s="19" t="n"/>
      <c r="U3905" s="19" t="n"/>
      <c r="V3905" s="19" t="n"/>
      <c r="W3905" s="19" t="n"/>
      <c r="X3905" s="19" t="n"/>
      <c r="Y3905" s="19" t="n">
        <v>1</v>
      </c>
      <c r="Z3905" s="13">
        <f>SUMPRODUCT(N3905:Y3905,$N$2:$Y$2)*$K3905*$L3905*$M3905</f>
        <v/>
      </c>
      <c r="AA3905" s="14">
        <f>SUM(N3905:Y3905)</f>
        <v/>
      </c>
      <c r="AB3905" s="13">
        <f>SUMPRODUCT(N3905:Y3905,$N$3:$Y$3)*$K3905*$L3905*$M3905</f>
        <v/>
      </c>
      <c r="AC3905" s="13">
        <f>SUMPRODUCT(N3905:Y3905,$N$4:$Y$4)*$K3905*$L3905*$M3905</f>
        <v/>
      </c>
      <c r="AD3905" s="15" t="n">
        <v>1.8</v>
      </c>
      <c r="AE3905" s="11" t="n">
        <v>2.229753086419753</v>
      </c>
      <c r="AF3905" s="16">
        <f>SUMPRODUCT(N3905:Y3905,$N$5:$Y$5)*$K3905*$L3905*$M3905</f>
        <v/>
      </c>
      <c r="AG3905" s="16">
        <f>SUMPRODUCT(N3905:Y3905,$N$6:$Y$6)*$K3905*$L3905*$M3905</f>
        <v/>
      </c>
      <c r="AH3905" s="20" t="n"/>
    </row>
    <row r="3906">
      <c r="A3906" s="9" t="n">
        <v>703445</v>
      </c>
      <c r="B3906" s="9" t="inlineStr">
        <is>
          <t>Adam Serwinowski</t>
        </is>
      </c>
      <c r="C3906" s="9" t="inlineStr">
        <is>
          <t>LAD</t>
        </is>
      </c>
      <c r="D3906" s="9" t="n">
        <v>25</v>
      </c>
      <c r="E3906" s="18" t="inlineStr">
        <is>
          <t>L</t>
        </is>
      </c>
      <c r="F3906" s="18" t="n"/>
      <c r="G3906" s="9" t="n">
        <v>191.135</v>
      </c>
      <c r="H3906" s="9" t="n">
        <v>191.135</v>
      </c>
      <c r="I3906" s="9" t="inlineStr">
        <is>
          <t>Depth (no MLB IP)</t>
        </is>
      </c>
      <c r="J3906" s="18" t="inlineStr">
        <is>
          <t>Opening Day</t>
        </is>
      </c>
      <c r="K3906" s="11">
        <f>IFERROR(INDEX(Roles!$B$17:$B$20,MATCH(J3906,Roles!$A$17:$A$20,0)),1)</f>
        <v/>
      </c>
      <c r="L3906" s="19" t="n">
        <v>1</v>
      </c>
      <c r="M3906" s="11" t="n">
        <v>1</v>
      </c>
      <c r="N3906" s="19" t="n"/>
      <c r="O3906" s="19" t="n"/>
      <c r="P3906" s="19" t="n"/>
      <c r="Q3906" s="19" t="n"/>
      <c r="R3906" s="19" t="n"/>
      <c r="S3906" s="19" t="n"/>
      <c r="T3906" s="19" t="n"/>
      <c r="U3906" s="19" t="n"/>
      <c r="V3906" s="19" t="n"/>
      <c r="W3906" s="19" t="n"/>
      <c r="X3906" s="19" t="n"/>
      <c r="Y3906" s="19" t="n">
        <v>1</v>
      </c>
      <c r="Z3906" s="13">
        <f>SUMPRODUCT(N3906:Y3906,$N$2:$Y$2)*$K3906*$L3906*$M3906</f>
        <v/>
      </c>
      <c r="AA3906" s="14">
        <f>SUM(N3906:Y3906)</f>
        <v/>
      </c>
      <c r="AB3906" s="13">
        <f>SUMPRODUCT(N3906:Y3906,$N$3:$Y$3)*$K3906*$L3906*$M3906</f>
        <v/>
      </c>
      <c r="AC3906" s="13">
        <f>SUMPRODUCT(N3906:Y3906,$N$4:$Y$4)*$K3906*$L3906*$M3906</f>
        <v/>
      </c>
      <c r="AD3906" s="15" t="n">
        <v>3</v>
      </c>
      <c r="AE3906" s="11" t="n">
        <v>1.011296296296296</v>
      </c>
      <c r="AF3906" s="16">
        <f>SUMPRODUCT(N3906:Y3906,$N$5:$Y$5)*$K3906*$L3906*$M3906</f>
        <v/>
      </c>
      <c r="AG3906" s="16">
        <f>SUMPRODUCT(N3906:Y3906,$N$6:$Y$6)*$K3906*$L3906*$M3906</f>
        <v/>
      </c>
      <c r="AH3906" s="20" t="n"/>
    </row>
    <row r="3907">
      <c r="A3907" s="9" t="n">
        <v>642232</v>
      </c>
      <c r="B3907" s="9" t="inlineStr">
        <is>
          <t>Ryan Yarbrough</t>
        </is>
      </c>
      <c r="C3907" s="9" t="inlineStr">
        <is>
          <t>NYY</t>
        </is>
      </c>
      <c r="D3907" s="9" t="n">
        <v>35</v>
      </c>
      <c r="E3907" s="18" t="inlineStr">
        <is>
          <t>L</t>
        </is>
      </c>
      <c r="F3907" s="18" t="n"/>
      <c r="G3907" s="9" t="n">
        <v>268</v>
      </c>
      <c r="H3907" s="9" t="n">
        <v>1662</v>
      </c>
      <c r="I3907" s="9" t="inlineStr">
        <is>
          <t>Swing Arm / Long Relief</t>
        </is>
      </c>
      <c r="J3907" s="18" t="inlineStr">
        <is>
          <t>Opening Day</t>
        </is>
      </c>
      <c r="K3907" s="11">
        <f>IFERROR(INDEX(Roles!$B$17:$B$20,MATCH(J3907,Roles!$A$17:$A$20,0)),1)</f>
        <v/>
      </c>
      <c r="L3907" s="19" t="n">
        <v>1</v>
      </c>
      <c r="M3907" s="11" t="n">
        <v>1</v>
      </c>
      <c r="N3907" s="19" t="n"/>
      <c r="O3907" s="19" t="n"/>
      <c r="P3907" s="19" t="n"/>
      <c r="Q3907" s="19" t="n"/>
      <c r="R3907" s="19" t="n">
        <v>0.6</v>
      </c>
      <c r="S3907" s="19" t="n"/>
      <c r="T3907" s="19" t="n"/>
      <c r="U3907" s="19" t="n"/>
      <c r="V3907" s="19" t="n">
        <v>0.4</v>
      </c>
      <c r="W3907" s="19" t="n"/>
      <c r="X3907" s="19" t="n"/>
      <c r="Y3907" s="19" t="n"/>
      <c r="Z3907" s="13">
        <f>SUMPRODUCT(N3907:Y3907,$N$2:$Y$2)*$K3907*$L3907*$M3907</f>
        <v/>
      </c>
      <c r="AA3907" s="14">
        <f>SUM(N3907:Y3907)</f>
        <v/>
      </c>
      <c r="AB3907" s="13">
        <f>SUMPRODUCT(N3907:Y3907,$N$3:$Y$3)*$K3907*$L3907*$M3907</f>
        <v/>
      </c>
      <c r="AC3907" s="13">
        <f>SUMPRODUCT(N3907:Y3907,$N$4:$Y$4)*$K3907*$L3907*$M3907</f>
        <v/>
      </c>
      <c r="AD3907" s="15" t="n">
        <v>27.73333333333333</v>
      </c>
      <c r="AE3907" s="11" t="n">
        <v>2.377104940336791</v>
      </c>
      <c r="AF3907" s="16">
        <f>SUMPRODUCT(N3907:Y3907,$N$5:$Y$5)*$K3907*$L3907*$M3907</f>
        <v/>
      </c>
      <c r="AG3907" s="16">
        <f>SUMPRODUCT(N3907:Y3907,$N$6:$Y$6)*$K3907*$L3907*$M3907</f>
        <v/>
      </c>
      <c r="AH3907" s="20" t="n"/>
    </row>
    <row r="3908">
      <c r="A3908" s="9" t="n">
        <v>669620</v>
      </c>
      <c r="B3908" s="9" t="inlineStr">
        <is>
          <t>Brady Basso</t>
        </is>
      </c>
      <c r="C3908" s="9" t="inlineStr">
        <is>
          <t>OAK</t>
        </is>
      </c>
      <c r="D3908" s="9" t="n">
        <v>29</v>
      </c>
      <c r="E3908" s="18" t="inlineStr">
        <is>
          <t>L</t>
        </is>
      </c>
      <c r="F3908" s="18" t="n"/>
      <c r="G3908" s="9" t="n">
        <v>200</v>
      </c>
      <c r="H3908" s="9" t="n">
        <v>349</v>
      </c>
      <c r="I3908" s="9" t="inlineStr">
        <is>
          <t>End-of-Rotation Starter (SP4-5)</t>
        </is>
      </c>
      <c r="J3908" s="18" t="inlineStr">
        <is>
          <t>Opening Day</t>
        </is>
      </c>
      <c r="K3908" s="11">
        <f>IFERROR(INDEX(Roles!$B$17:$B$20,MATCH(J3908,Roles!$A$17:$A$20,0)),1)</f>
        <v/>
      </c>
      <c r="L3908" s="19" t="n">
        <v>1</v>
      </c>
      <c r="M3908" s="11" t="n">
        <v>1</v>
      </c>
      <c r="N3908" s="19" t="n"/>
      <c r="O3908" s="19" t="n"/>
      <c r="P3908" s="19" t="n">
        <v>0.5</v>
      </c>
      <c r="Q3908" s="19" t="n"/>
      <c r="R3908" s="19" t="n">
        <v>0.5</v>
      </c>
      <c r="S3908" s="19" t="n"/>
      <c r="T3908" s="19" t="n"/>
      <c r="U3908" s="19" t="n"/>
      <c r="V3908" s="19" t="n"/>
      <c r="W3908" s="19" t="n"/>
      <c r="X3908" s="19" t="n"/>
      <c r="Y3908" s="19" t="n"/>
      <c r="Z3908" s="13">
        <f>SUMPRODUCT(N3908:Y3908,$N$2:$Y$2)*$K3908*$L3908*$M3908</f>
        <v/>
      </c>
      <c r="AA3908" s="14">
        <f>SUM(N3908:Y3908)</f>
        <v/>
      </c>
      <c r="AB3908" s="13">
        <f>SUMPRODUCT(N3908:Y3908,$N$3:$Y$3)*$K3908*$L3908*$M3908</f>
        <v/>
      </c>
      <c r="AC3908" s="13">
        <f>SUMPRODUCT(N3908:Y3908,$N$4:$Y$4)*$K3908*$L3908*$M3908</f>
        <v/>
      </c>
      <c r="AD3908" s="15" t="n">
        <v>17.1</v>
      </c>
      <c r="AE3908" s="11" t="n">
        <v>3.58116995500173</v>
      </c>
      <c r="AF3908" s="16">
        <f>SUMPRODUCT(N3908:Y3908,$N$5:$Y$5)*$K3908*$L3908*$M3908</f>
        <v/>
      </c>
      <c r="AG3908" s="16">
        <f>SUMPRODUCT(N3908:Y3908,$N$6:$Y$6)*$K3908*$L3908*$M3908</f>
        <v/>
      </c>
      <c r="AH3908" s="20" t="n"/>
    </row>
    <row r="3909">
      <c r="A3909" s="9" t="n">
        <v>687931</v>
      </c>
      <c r="B3909" s="9" t="inlineStr">
        <is>
          <t>Carson Whisenhunt</t>
        </is>
      </c>
      <c r="C3909" s="9" t="inlineStr">
        <is>
          <t>SF</t>
        </is>
      </c>
      <c r="D3909" s="9" t="n">
        <v>26</v>
      </c>
      <c r="E3909" s="18" t="inlineStr">
        <is>
          <t>L</t>
        </is>
      </c>
      <c r="F3909" s="18" t="n"/>
      <c r="G3909" s="9" t="n">
        <v>164</v>
      </c>
      <c r="H3909" s="9" t="n">
        <v>266</v>
      </c>
      <c r="I3909" s="9" t="inlineStr">
        <is>
          <t>Bullpen Depth Arm</t>
        </is>
      </c>
      <c r="J3909" s="18" t="inlineStr">
        <is>
          <t>Opening Day</t>
        </is>
      </c>
      <c r="K3909" s="11">
        <f>IFERROR(INDEX(Roles!$B$17:$B$20,MATCH(J3909,Roles!$A$17:$A$20,0)),1)</f>
        <v/>
      </c>
      <c r="L3909" s="19" t="n">
        <v>1</v>
      </c>
      <c r="M3909" s="11" t="n">
        <v>1</v>
      </c>
      <c r="N3909" s="19" t="n"/>
      <c r="O3909" s="19" t="n"/>
      <c r="P3909" s="19" t="n"/>
      <c r="Q3909" s="19" t="n"/>
      <c r="R3909" s="19" t="n"/>
      <c r="S3909" s="19" t="n"/>
      <c r="T3909" s="19" t="n"/>
      <c r="U3909" s="19" t="n"/>
      <c r="V3909" s="19" t="n"/>
      <c r="W3909" s="19" t="n">
        <v>1</v>
      </c>
      <c r="X3909" s="19" t="n"/>
      <c r="Y3909" s="19" t="n"/>
      <c r="Z3909" s="13">
        <f>SUMPRODUCT(N3909:Y3909,$N$2:$Y$2)*$K3909*$L3909*$M3909</f>
        <v/>
      </c>
      <c r="AA3909" s="14">
        <f>SUM(N3909:Y3909)</f>
        <v/>
      </c>
      <c r="AB3909" s="13">
        <f>SUMPRODUCT(N3909:Y3909,$N$3:$Y$3)*$K3909*$L3909*$M3909</f>
        <v/>
      </c>
      <c r="AC3909" s="13">
        <f>SUMPRODUCT(N3909:Y3909,$N$4:$Y$4)*$K3909*$L3909*$M3909</f>
        <v/>
      </c>
      <c r="AD3909" s="15" t="n">
        <v>9.746666666666666</v>
      </c>
      <c r="AE3909" s="11" t="n">
        <v>2.278631317847004</v>
      </c>
      <c r="AF3909" s="16">
        <f>SUMPRODUCT(N3909:Y3909,$N$5:$Y$5)*$K3909*$L3909*$M3909</f>
        <v/>
      </c>
      <c r="AG3909" s="16">
        <f>SUMPRODUCT(N3909:Y3909,$N$6:$Y$6)*$K3909*$L3909*$M3909</f>
        <v/>
      </c>
      <c r="AH3909" s="20" t="n"/>
    </row>
    <row r="3910">
      <c r="A3910" s="9" t="n">
        <v>814351</v>
      </c>
      <c r="B3910" s="9" t="inlineStr">
        <is>
          <t>Lucas Braun</t>
        </is>
      </c>
      <c r="C3910" s="9" t="inlineStr">
        <is>
          <t>KC</t>
        </is>
      </c>
      <c r="D3910" s="9" t="n">
        <v>25</v>
      </c>
      <c r="E3910" s="18" t="inlineStr">
        <is>
          <t>R</t>
        </is>
      </c>
      <c r="F3910" s="18" t="n"/>
      <c r="G3910" s="9" t="n">
        <v>192.3533333333333</v>
      </c>
      <c r="H3910" s="9" t="n">
        <v>192.3533333333333</v>
      </c>
      <c r="I3910" s="9" t="inlineStr">
        <is>
          <t>Depth (no MLB IP)</t>
        </is>
      </c>
      <c r="J3910" s="18" t="inlineStr">
        <is>
          <t>Opening Day</t>
        </is>
      </c>
      <c r="K3910" s="11">
        <f>IFERROR(INDEX(Roles!$B$17:$B$20,MATCH(J3910,Roles!$A$17:$A$20,0)),1)</f>
        <v/>
      </c>
      <c r="L3910" s="19" t="n">
        <v>1</v>
      </c>
      <c r="M3910" s="11" t="n">
        <v>1</v>
      </c>
      <c r="N3910" s="19" t="n"/>
      <c r="O3910" s="19" t="n"/>
      <c r="P3910" s="19" t="n"/>
      <c r="Q3910" s="19" t="n"/>
      <c r="R3910" s="19" t="n"/>
      <c r="S3910" s="19" t="n"/>
      <c r="T3910" s="19" t="n"/>
      <c r="U3910" s="19" t="n"/>
      <c r="V3910" s="19" t="n"/>
      <c r="W3910" s="19" t="n"/>
      <c r="X3910" s="19" t="n"/>
      <c r="Y3910" s="19" t="n">
        <v>1</v>
      </c>
      <c r="Z3910" s="13">
        <f>SUMPRODUCT(N3910:Y3910,$N$2:$Y$2)*$K3910*$L3910*$M3910</f>
        <v/>
      </c>
      <c r="AA3910" s="14">
        <f>SUM(N3910:Y3910)</f>
        <v/>
      </c>
      <c r="AB3910" s="13">
        <f>SUMPRODUCT(N3910:Y3910,$N$3:$Y$3)*$K3910*$L3910*$M3910</f>
        <v/>
      </c>
      <c r="AC3910" s="13">
        <f>SUMPRODUCT(N3910:Y3910,$N$4:$Y$4)*$K3910*$L3910*$M3910</f>
        <v/>
      </c>
      <c r="AD3910" s="15" t="n">
        <v>3</v>
      </c>
      <c r="AE3910" s="11" t="n">
        <v>1.011296296296296</v>
      </c>
      <c r="AF3910" s="16">
        <f>SUMPRODUCT(N3910:Y3910,$N$5:$Y$5)*$K3910*$L3910*$M3910</f>
        <v/>
      </c>
      <c r="AG3910" s="16">
        <f>SUMPRODUCT(N3910:Y3910,$N$6:$Y$6)*$K3910*$L3910*$M3910</f>
        <v/>
      </c>
      <c r="AH3910" s="20" t="n"/>
    </row>
    <row r="3911">
      <c r="A3911" s="9" t="n">
        <v>806046</v>
      </c>
      <c r="B3911" s="9" t="inlineStr">
        <is>
          <t>Alex Clemmey</t>
        </is>
      </c>
      <c r="C3911" s="9" t="inlineStr">
        <is>
          <t>WSH</t>
        </is>
      </c>
      <c r="D3911" s="9" t="n">
        <v>25</v>
      </c>
      <c r="E3911" s="18" t="inlineStr">
        <is>
          <t>L</t>
        </is>
      </c>
      <c r="F3911" s="18" t="n"/>
      <c r="G3911" s="9" t="n">
        <v>192.64</v>
      </c>
      <c r="H3911" s="9" t="n">
        <v>192.64</v>
      </c>
      <c r="I3911" s="9" t="inlineStr">
        <is>
          <t>Depth (no MLB IP)</t>
        </is>
      </c>
      <c r="J3911" s="18" t="inlineStr">
        <is>
          <t>Opening Day</t>
        </is>
      </c>
      <c r="K3911" s="11">
        <f>IFERROR(INDEX(Roles!$B$17:$B$20,MATCH(J3911,Roles!$A$17:$A$20,0)),1)</f>
        <v/>
      </c>
      <c r="L3911" s="19" t="n">
        <v>1</v>
      </c>
      <c r="M3911" s="11" t="n">
        <v>1</v>
      </c>
      <c r="N3911" s="19" t="n"/>
      <c r="O3911" s="19" t="n"/>
      <c r="P3911" s="19" t="n"/>
      <c r="Q3911" s="19" t="n"/>
      <c r="R3911" s="19" t="n"/>
      <c r="S3911" s="19" t="n"/>
      <c r="T3911" s="19" t="n"/>
      <c r="U3911" s="19" t="n"/>
      <c r="V3911" s="19" t="n"/>
      <c r="W3911" s="19" t="n"/>
      <c r="X3911" s="19" t="n"/>
      <c r="Y3911" s="19" t="n">
        <v>1</v>
      </c>
      <c r="Z3911" s="13">
        <f>SUMPRODUCT(N3911:Y3911,$N$2:$Y$2)*$K3911*$L3911*$M3911</f>
        <v/>
      </c>
      <c r="AA3911" s="14">
        <f>SUM(N3911:Y3911)</f>
        <v/>
      </c>
      <c r="AB3911" s="13">
        <f>SUMPRODUCT(N3911:Y3911,$N$3:$Y$3)*$K3911*$L3911*$M3911</f>
        <v/>
      </c>
      <c r="AC3911" s="13">
        <f>SUMPRODUCT(N3911:Y3911,$N$4:$Y$4)*$K3911*$L3911*$M3911</f>
        <v/>
      </c>
      <c r="AD3911" s="15" t="n">
        <v>3</v>
      </c>
      <c r="AE3911" s="11" t="n">
        <v>1.011296296296296</v>
      </c>
      <c r="AF3911" s="16">
        <f>SUMPRODUCT(N3911:Y3911,$N$5:$Y$5)*$K3911*$L3911*$M3911</f>
        <v/>
      </c>
      <c r="AG3911" s="16">
        <f>SUMPRODUCT(N3911:Y3911,$N$6:$Y$6)*$K3911*$L3911*$M3911</f>
        <v/>
      </c>
      <c r="AH3911" s="20" t="n"/>
    </row>
    <row r="3912">
      <c r="A3912" s="9" t="n">
        <v>801129</v>
      </c>
      <c r="B3912" s="9" t="inlineStr">
        <is>
          <t>Caden Favors</t>
        </is>
      </c>
      <c r="C3912" s="9" t="inlineStr">
        <is>
          <t>CLE</t>
        </is>
      </c>
      <c r="D3912" s="9" t="n">
        <v>25</v>
      </c>
      <c r="E3912" s="18" t="inlineStr">
        <is>
          <t>L</t>
        </is>
      </c>
      <c r="F3912" s="18" t="n"/>
      <c r="G3912" s="9" t="n">
        <v>192.64</v>
      </c>
      <c r="H3912" s="9" t="n">
        <v>192.64</v>
      </c>
      <c r="I3912" s="9" t="inlineStr">
        <is>
          <t>Depth (no MLB IP)</t>
        </is>
      </c>
      <c r="J3912" s="18" t="inlineStr">
        <is>
          <t>Opening Day</t>
        </is>
      </c>
      <c r="K3912" s="11">
        <f>IFERROR(INDEX(Roles!$B$17:$B$20,MATCH(J3912,Roles!$A$17:$A$20,0)),1)</f>
        <v/>
      </c>
      <c r="L3912" s="19" t="n">
        <v>1</v>
      </c>
      <c r="M3912" s="11" t="n">
        <v>1</v>
      </c>
      <c r="N3912" s="19" t="n"/>
      <c r="O3912" s="19" t="n"/>
      <c r="P3912" s="19" t="n"/>
      <c r="Q3912" s="19" t="n"/>
      <c r="R3912" s="19" t="n"/>
      <c r="S3912" s="19" t="n"/>
      <c r="T3912" s="19" t="n"/>
      <c r="U3912" s="19" t="n"/>
      <c r="V3912" s="19" t="n"/>
      <c r="W3912" s="19" t="n"/>
      <c r="X3912" s="19" t="n"/>
      <c r="Y3912" s="19" t="n">
        <v>1</v>
      </c>
      <c r="Z3912" s="13">
        <f>SUMPRODUCT(N3912:Y3912,$N$2:$Y$2)*$K3912*$L3912*$M3912</f>
        <v/>
      </c>
      <c r="AA3912" s="14">
        <f>SUM(N3912:Y3912)</f>
        <v/>
      </c>
      <c r="AB3912" s="13">
        <f>SUMPRODUCT(N3912:Y3912,$N$3:$Y$3)*$K3912*$L3912*$M3912</f>
        <v/>
      </c>
      <c r="AC3912" s="13">
        <f>SUMPRODUCT(N3912:Y3912,$N$4:$Y$4)*$K3912*$L3912*$M3912</f>
        <v/>
      </c>
      <c r="AD3912" s="15" t="n">
        <v>3</v>
      </c>
      <c r="AE3912" s="11" t="n">
        <v>1.011296296296296</v>
      </c>
      <c r="AF3912" s="16">
        <f>SUMPRODUCT(N3912:Y3912,$N$5:$Y$5)*$K3912*$L3912*$M3912</f>
        <v/>
      </c>
      <c r="AG3912" s="16">
        <f>SUMPRODUCT(N3912:Y3912,$N$6:$Y$6)*$K3912*$L3912*$M3912</f>
        <v/>
      </c>
      <c r="AH3912" s="20" t="n"/>
    </row>
    <row r="3913">
      <c r="A3913" s="9" t="n">
        <v>671345</v>
      </c>
      <c r="B3913" s="9" t="inlineStr">
        <is>
          <t>Jason Foley</t>
        </is>
      </c>
      <c r="C3913" s="9" t="inlineStr">
        <is>
          <t>SF</t>
        </is>
      </c>
      <c r="D3913" s="9" t="n">
        <v>31</v>
      </c>
      <c r="E3913" s="18" t="inlineStr">
        <is>
          <t>R</t>
        </is>
      </c>
      <c r="F3913" s="18" t="n"/>
      <c r="G3913" s="9" t="n">
        <v>117</v>
      </c>
      <c r="H3913" s="9" t="n">
        <v>899</v>
      </c>
      <c r="I3913" s="9" t="inlineStr">
        <is>
          <t>Middle Relief</t>
        </is>
      </c>
      <c r="J3913" s="18" t="inlineStr">
        <is>
          <t>Opening Day</t>
        </is>
      </c>
      <c r="K3913" s="11">
        <f>IFERROR(INDEX(Roles!$B$17:$B$20,MATCH(J3913,Roles!$A$17:$A$20,0)),1)</f>
        <v/>
      </c>
      <c r="L3913" s="19" t="n">
        <v>1</v>
      </c>
      <c r="M3913" s="11" t="n">
        <v>1</v>
      </c>
      <c r="N3913" s="19" t="n"/>
      <c r="O3913" s="19" t="n"/>
      <c r="P3913" s="19" t="n"/>
      <c r="Q3913" s="19" t="n"/>
      <c r="R3913" s="19" t="n"/>
      <c r="S3913" s="19" t="n"/>
      <c r="T3913" s="19" t="n"/>
      <c r="U3913" s="19" t="n"/>
      <c r="V3913" s="19" t="n">
        <v>0.85</v>
      </c>
      <c r="W3913" s="19" t="n">
        <v>0.15</v>
      </c>
      <c r="X3913" s="19" t="n"/>
      <c r="Y3913" s="19" t="n"/>
      <c r="Z3913" s="13">
        <f>SUMPRODUCT(N3913:Y3913,$N$2:$Y$2)*$K3913*$L3913*$M3913</f>
        <v/>
      </c>
      <c r="AA3913" s="14">
        <f>SUM(N3913:Y3913)</f>
        <v/>
      </c>
      <c r="AB3913" s="13">
        <f>SUMPRODUCT(N3913:Y3913,$N$3:$Y$3)*$K3913*$L3913*$M3913</f>
        <v/>
      </c>
      <c r="AC3913" s="13">
        <f>SUMPRODUCT(N3913:Y3913,$N$4:$Y$4)*$K3913*$L3913*$M3913</f>
        <v/>
      </c>
      <c r="AD3913" s="15" t="n">
        <v>35.88333333333333</v>
      </c>
      <c r="AE3913" s="11" t="n">
        <v>1.015384899527187</v>
      </c>
      <c r="AF3913" s="16">
        <f>SUMPRODUCT(N3913:Y3913,$N$5:$Y$5)*$K3913*$L3913*$M3913</f>
        <v/>
      </c>
      <c r="AG3913" s="16">
        <f>SUMPRODUCT(N3913:Y3913,$N$6:$Y$6)*$K3913*$L3913*$M3913</f>
        <v/>
      </c>
      <c r="AH3913" s="20" t="n"/>
    </row>
    <row r="3914">
      <c r="A3914" s="9" t="n">
        <v>691009</v>
      </c>
      <c r="B3914" s="9" t="inlineStr">
        <is>
          <t>Dylan Ray</t>
        </is>
      </c>
      <c r="C3914" s="9" t="inlineStr">
        <is>
          <t>ARI</t>
        </is>
      </c>
      <c r="D3914" s="9" t="n">
        <v>25</v>
      </c>
      <c r="E3914" s="18" t="inlineStr">
        <is>
          <t>R</t>
        </is>
      </c>
      <c r="F3914" s="18" t="n"/>
      <c r="G3914" s="9" t="n">
        <v>193.1416666666667</v>
      </c>
      <c r="H3914" s="9" t="n">
        <v>193.1416666666667</v>
      </c>
      <c r="I3914" s="9" t="inlineStr">
        <is>
          <t>Depth (no MLB IP)</t>
        </is>
      </c>
      <c r="J3914" s="18" t="inlineStr">
        <is>
          <t>Opening Day</t>
        </is>
      </c>
      <c r="K3914" s="11">
        <f>IFERROR(INDEX(Roles!$B$17:$B$20,MATCH(J3914,Roles!$A$17:$A$20,0)),1)</f>
        <v/>
      </c>
      <c r="L3914" s="19" t="n">
        <v>1</v>
      </c>
      <c r="M3914" s="11" t="n">
        <v>1</v>
      </c>
      <c r="N3914" s="19" t="n"/>
      <c r="O3914" s="19" t="n"/>
      <c r="P3914" s="19" t="n"/>
      <c r="Q3914" s="19" t="n"/>
      <c r="R3914" s="19" t="n"/>
      <c r="S3914" s="19" t="n"/>
      <c r="T3914" s="19" t="n"/>
      <c r="U3914" s="19" t="n"/>
      <c r="V3914" s="19" t="n"/>
      <c r="W3914" s="19" t="n"/>
      <c r="X3914" s="19" t="n"/>
      <c r="Y3914" s="19" t="n">
        <v>1</v>
      </c>
      <c r="Z3914" s="13">
        <f>SUMPRODUCT(N3914:Y3914,$N$2:$Y$2)*$K3914*$L3914*$M3914</f>
        <v/>
      </c>
      <c r="AA3914" s="14">
        <f>SUM(N3914:Y3914)</f>
        <v/>
      </c>
      <c r="AB3914" s="13">
        <f>SUMPRODUCT(N3914:Y3914,$N$3:$Y$3)*$K3914*$L3914*$M3914</f>
        <v/>
      </c>
      <c r="AC3914" s="13">
        <f>SUMPRODUCT(N3914:Y3914,$N$4:$Y$4)*$K3914*$L3914*$M3914</f>
        <v/>
      </c>
      <c r="AD3914" s="15" t="n">
        <v>3</v>
      </c>
      <c r="AE3914" s="11" t="n">
        <v>1.011296296296296</v>
      </c>
      <c r="AF3914" s="16">
        <f>SUMPRODUCT(N3914:Y3914,$N$5:$Y$5)*$K3914*$L3914*$M3914</f>
        <v/>
      </c>
      <c r="AG3914" s="16">
        <f>SUMPRODUCT(N3914:Y3914,$N$6:$Y$6)*$K3914*$L3914*$M3914</f>
        <v/>
      </c>
      <c r="AH3914" s="20" t="n"/>
    </row>
    <row r="3915">
      <c r="A3915" s="9" t="n">
        <v>809229</v>
      </c>
      <c r="B3915" s="9" t="inlineStr">
        <is>
          <t>Jaron DeBerry</t>
        </is>
      </c>
      <c r="C3915" s="9" t="inlineStr">
        <is>
          <t>MIL</t>
        </is>
      </c>
      <c r="D3915" s="9" t="n">
        <v>25</v>
      </c>
      <c r="E3915" s="18" t="inlineStr">
        <is>
          <t>R</t>
        </is>
      </c>
      <c r="F3915" s="18" t="n"/>
      <c r="G3915" s="9" t="n">
        <v>193.6433333333333</v>
      </c>
      <c r="H3915" s="9" t="n">
        <v>193.6433333333333</v>
      </c>
      <c r="I3915" s="9" t="inlineStr">
        <is>
          <t>Depth (no MLB IP)</t>
        </is>
      </c>
      <c r="J3915" s="18" t="inlineStr">
        <is>
          <t>Opening Day</t>
        </is>
      </c>
      <c r="K3915" s="11">
        <f>IFERROR(INDEX(Roles!$B$17:$B$20,MATCH(J3915,Roles!$A$17:$A$20,0)),1)</f>
        <v/>
      </c>
      <c r="L3915" s="19" t="n">
        <v>1</v>
      </c>
      <c r="M3915" s="11" t="n">
        <v>1</v>
      </c>
      <c r="N3915" s="19" t="n"/>
      <c r="O3915" s="19" t="n"/>
      <c r="P3915" s="19" t="n"/>
      <c r="Q3915" s="19" t="n"/>
      <c r="R3915" s="19" t="n"/>
      <c r="S3915" s="19" t="n"/>
      <c r="T3915" s="19" t="n"/>
      <c r="U3915" s="19" t="n"/>
      <c r="V3915" s="19" t="n"/>
      <c r="W3915" s="19" t="n"/>
      <c r="X3915" s="19" t="n"/>
      <c r="Y3915" s="19" t="n">
        <v>1</v>
      </c>
      <c r="Z3915" s="13">
        <f>SUMPRODUCT(N3915:Y3915,$N$2:$Y$2)*$K3915*$L3915*$M3915</f>
        <v/>
      </c>
      <c r="AA3915" s="14">
        <f>SUM(N3915:Y3915)</f>
        <v/>
      </c>
      <c r="AB3915" s="13">
        <f>SUMPRODUCT(N3915:Y3915,$N$3:$Y$3)*$K3915*$L3915*$M3915</f>
        <v/>
      </c>
      <c r="AC3915" s="13">
        <f>SUMPRODUCT(N3915:Y3915,$N$4:$Y$4)*$K3915*$L3915*$M3915</f>
        <v/>
      </c>
      <c r="AD3915" s="15" t="n">
        <v>3</v>
      </c>
      <c r="AE3915" s="11" t="n">
        <v>1.011296296296296</v>
      </c>
      <c r="AF3915" s="16">
        <f>SUMPRODUCT(N3915:Y3915,$N$5:$Y$5)*$K3915*$L3915*$M3915</f>
        <v/>
      </c>
      <c r="AG3915" s="16">
        <f>SUMPRODUCT(N3915:Y3915,$N$6:$Y$6)*$K3915*$L3915*$M3915</f>
        <v/>
      </c>
      <c r="AH3915" s="20" t="n"/>
    </row>
    <row r="3916">
      <c r="A3916" s="9" t="n">
        <v>688548</v>
      </c>
      <c r="B3916" s="9" t="inlineStr">
        <is>
          <t>Nico Tellache</t>
        </is>
      </c>
      <c r="C3916" s="9" t="inlineStr">
        <is>
          <t>SEA</t>
        </is>
      </c>
      <c r="D3916" s="9" t="n">
        <v>25</v>
      </c>
      <c r="E3916" s="18" t="inlineStr">
        <is>
          <t>L</t>
        </is>
      </c>
      <c r="F3916" s="18" t="n"/>
      <c r="G3916" s="9" t="n">
        <v>194.145</v>
      </c>
      <c r="H3916" s="9" t="n">
        <v>194.145</v>
      </c>
      <c r="I3916" s="9" t="inlineStr">
        <is>
          <t>Depth (no MLB IP)</t>
        </is>
      </c>
      <c r="J3916" s="18" t="inlineStr">
        <is>
          <t>Opening Day</t>
        </is>
      </c>
      <c r="K3916" s="11">
        <f>IFERROR(INDEX(Roles!$B$17:$B$20,MATCH(J3916,Roles!$A$17:$A$20,0)),1)</f>
        <v/>
      </c>
      <c r="L3916" s="19" t="n">
        <v>1</v>
      </c>
      <c r="M3916" s="11" t="n">
        <v>1</v>
      </c>
      <c r="N3916" s="19" t="n"/>
      <c r="O3916" s="19" t="n"/>
      <c r="P3916" s="19" t="n"/>
      <c r="Q3916" s="19" t="n"/>
      <c r="R3916" s="19" t="n"/>
      <c r="S3916" s="19" t="n"/>
      <c r="T3916" s="19" t="n"/>
      <c r="U3916" s="19" t="n"/>
      <c r="V3916" s="19" t="n"/>
      <c r="W3916" s="19" t="n"/>
      <c r="X3916" s="19" t="n"/>
      <c r="Y3916" s="19" t="n">
        <v>1</v>
      </c>
      <c r="Z3916" s="13">
        <f>SUMPRODUCT(N3916:Y3916,$N$2:$Y$2)*$K3916*$L3916*$M3916</f>
        <v/>
      </c>
      <c r="AA3916" s="14">
        <f>SUM(N3916:Y3916)</f>
        <v/>
      </c>
      <c r="AB3916" s="13">
        <f>SUMPRODUCT(N3916:Y3916,$N$3:$Y$3)*$K3916*$L3916*$M3916</f>
        <v/>
      </c>
      <c r="AC3916" s="13">
        <f>SUMPRODUCT(N3916:Y3916,$N$4:$Y$4)*$K3916*$L3916*$M3916</f>
        <v/>
      </c>
      <c r="AD3916" s="15" t="n">
        <v>3</v>
      </c>
      <c r="AE3916" s="11" t="n">
        <v>1.011296296296296</v>
      </c>
      <c r="AF3916" s="16">
        <f>SUMPRODUCT(N3916:Y3916,$N$5:$Y$5)*$K3916*$L3916*$M3916</f>
        <v/>
      </c>
      <c r="AG3916" s="16">
        <f>SUMPRODUCT(N3916:Y3916,$N$6:$Y$6)*$K3916*$L3916*$M3916</f>
        <v/>
      </c>
      <c r="AH3916" s="20" t="n"/>
    </row>
    <row r="3917">
      <c r="A3917" s="9" t="n">
        <v>701795</v>
      </c>
      <c r="B3917" s="9" t="inlineStr">
        <is>
          <t>Drew Beam</t>
        </is>
      </c>
      <c r="C3917" s="9" t="inlineStr">
        <is>
          <t>KC</t>
        </is>
      </c>
      <c r="D3917" s="9" t="n">
        <v>25</v>
      </c>
      <c r="E3917" s="18" t="inlineStr">
        <is>
          <t>R</t>
        </is>
      </c>
      <c r="F3917" s="18" t="n"/>
      <c r="G3917" s="9" t="n">
        <v>194.145</v>
      </c>
      <c r="H3917" s="9" t="n">
        <v>194.145</v>
      </c>
      <c r="I3917" s="9" t="inlineStr">
        <is>
          <t>Depth (no MLB IP)</t>
        </is>
      </c>
      <c r="J3917" s="18" t="inlineStr">
        <is>
          <t>Opening Day</t>
        </is>
      </c>
      <c r="K3917" s="11">
        <f>IFERROR(INDEX(Roles!$B$17:$B$20,MATCH(J3917,Roles!$A$17:$A$20,0)),1)</f>
        <v/>
      </c>
      <c r="L3917" s="19" t="n">
        <v>1</v>
      </c>
      <c r="M3917" s="11" t="n">
        <v>1</v>
      </c>
      <c r="N3917" s="19" t="n"/>
      <c r="O3917" s="19" t="n"/>
      <c r="P3917" s="19" t="n"/>
      <c r="Q3917" s="19" t="n"/>
      <c r="R3917" s="19" t="n"/>
      <c r="S3917" s="19" t="n"/>
      <c r="T3917" s="19" t="n"/>
      <c r="U3917" s="19" t="n"/>
      <c r="V3917" s="19" t="n"/>
      <c r="W3917" s="19" t="n"/>
      <c r="X3917" s="19" t="n"/>
      <c r="Y3917" s="19" t="n">
        <v>1</v>
      </c>
      <c r="Z3917" s="13">
        <f>SUMPRODUCT(N3917:Y3917,$N$2:$Y$2)*$K3917*$L3917*$M3917</f>
        <v/>
      </c>
      <c r="AA3917" s="14">
        <f>SUM(N3917:Y3917)</f>
        <v/>
      </c>
      <c r="AB3917" s="13">
        <f>SUMPRODUCT(N3917:Y3917,$N$3:$Y$3)*$K3917*$L3917*$M3917</f>
        <v/>
      </c>
      <c r="AC3917" s="13">
        <f>SUMPRODUCT(N3917:Y3917,$N$4:$Y$4)*$K3917*$L3917*$M3917</f>
        <v/>
      </c>
      <c r="AD3917" s="15" t="n">
        <v>3</v>
      </c>
      <c r="AE3917" s="11" t="n">
        <v>1.011296296296296</v>
      </c>
      <c r="AF3917" s="16">
        <f>SUMPRODUCT(N3917:Y3917,$N$5:$Y$5)*$K3917*$L3917*$M3917</f>
        <v/>
      </c>
      <c r="AG3917" s="16">
        <f>SUMPRODUCT(N3917:Y3917,$N$6:$Y$6)*$K3917*$L3917*$M3917</f>
        <v/>
      </c>
      <c r="AH3917" s="20" t="n"/>
    </row>
    <row r="3918">
      <c r="A3918" s="9" t="n">
        <v>607259</v>
      </c>
      <c r="B3918" s="9" t="inlineStr">
        <is>
          <t>Nick Martinez</t>
        </is>
      </c>
      <c r="C3918" s="9" t="inlineStr">
        <is>
          <t>TB</t>
        </is>
      </c>
      <c r="D3918" s="9" t="n">
        <v>36</v>
      </c>
      <c r="E3918" s="18" t="inlineStr">
        <is>
          <t>R</t>
        </is>
      </c>
      <c r="F3918" s="18" t="n"/>
      <c r="G3918" s="9" t="n">
        <v>722</v>
      </c>
      <c r="H3918" s="9" t="n">
        <v>2884</v>
      </c>
      <c r="I3918" s="9" t="inlineStr">
        <is>
          <t>End-of-Rotation Starter (SP4-5)</t>
        </is>
      </c>
      <c r="J3918" s="18" t="inlineStr">
        <is>
          <t>Opening Day</t>
        </is>
      </c>
      <c r="K3918" s="11">
        <f>IFERROR(INDEX(Roles!$B$17:$B$20,MATCH(J3918,Roles!$A$17:$A$20,0)),1)</f>
        <v/>
      </c>
      <c r="L3918" s="19" t="n">
        <v>1</v>
      </c>
      <c r="M3918" s="11" t="n">
        <v>1</v>
      </c>
      <c r="N3918" s="19" t="n"/>
      <c r="O3918" s="19" t="n"/>
      <c r="P3918" s="19" t="n">
        <v>0.5</v>
      </c>
      <c r="Q3918" s="19" t="n"/>
      <c r="R3918" s="19" t="n">
        <v>0.5</v>
      </c>
      <c r="S3918" s="19" t="n"/>
      <c r="T3918" s="19" t="n"/>
      <c r="U3918" s="19" t="n"/>
      <c r="V3918" s="19" t="n"/>
      <c r="W3918" s="19" t="n"/>
      <c r="X3918" s="19" t="n"/>
      <c r="Y3918" s="19" t="n"/>
      <c r="Z3918" s="13">
        <f>SUMPRODUCT(N3918:Y3918,$N$2:$Y$2)*$K3918*$L3918*$M3918</f>
        <v/>
      </c>
      <c r="AA3918" s="14">
        <f>SUM(N3918:Y3918)</f>
        <v/>
      </c>
      <c r="AB3918" s="13">
        <f>SUMPRODUCT(N3918:Y3918,$N$3:$Y$3)*$K3918*$L3918*$M3918</f>
        <v/>
      </c>
      <c r="AC3918" s="13">
        <f>SUMPRODUCT(N3918:Y3918,$N$4:$Y$4)*$K3918*$L3918*$M3918</f>
        <v/>
      </c>
      <c r="AD3918" s="15" t="n">
        <v>27.9</v>
      </c>
      <c r="AE3918" s="11" t="n">
        <v>4.608613264427218</v>
      </c>
      <c r="AF3918" s="16">
        <f>SUMPRODUCT(N3918:Y3918,$N$5:$Y$5)*$K3918*$L3918*$M3918</f>
        <v/>
      </c>
      <c r="AG3918" s="16">
        <f>SUMPRODUCT(N3918:Y3918,$N$6:$Y$6)*$K3918*$L3918*$M3918</f>
        <v/>
      </c>
      <c r="AH3918" s="20" t="n"/>
    </row>
    <row r="3919">
      <c r="A3919" s="9" t="n">
        <v>607968</v>
      </c>
      <c r="B3919" s="9" t="inlineStr">
        <is>
          <t>Drew Rucinski</t>
        </is>
      </c>
      <c r="C3919" s="9" t="inlineStr">
        <is>
          <t>OAK</t>
        </is>
      </c>
      <c r="D3919" s="9" t="n">
        <v>38</v>
      </c>
      <c r="E3919" s="18" t="inlineStr">
        <is>
          <t>R</t>
        </is>
      </c>
      <c r="F3919" s="18" t="n"/>
      <c r="G3919" s="9" t="n">
        <v>95</v>
      </c>
      <c r="H3919" s="9" t="n">
        <v>95</v>
      </c>
      <c r="I3919" s="9" t="inlineStr">
        <is>
          <t>Depth (no MLB IP)</t>
        </is>
      </c>
      <c r="J3919" s="18" t="inlineStr">
        <is>
          <t>Opening Day</t>
        </is>
      </c>
      <c r="K3919" s="11">
        <f>IFERROR(INDEX(Roles!$B$17:$B$20,MATCH(J3919,Roles!$A$17:$A$20,0)),1)</f>
        <v/>
      </c>
      <c r="L3919" s="19" t="n">
        <v>1</v>
      </c>
      <c r="M3919" s="11" t="n">
        <v>1</v>
      </c>
      <c r="N3919" s="19" t="n"/>
      <c r="O3919" s="19" t="n"/>
      <c r="P3919" s="19" t="n"/>
      <c r="Q3919" s="19" t="n"/>
      <c r="R3919" s="19" t="n"/>
      <c r="S3919" s="19" t="n"/>
      <c r="T3919" s="19" t="n"/>
      <c r="U3919" s="19" t="n"/>
      <c r="V3919" s="19" t="n"/>
      <c r="W3919" s="19" t="n"/>
      <c r="X3919" s="19" t="n"/>
      <c r="Y3919" s="19" t="n">
        <v>1</v>
      </c>
      <c r="Z3919" s="13">
        <f>SUMPRODUCT(N3919:Y3919,$N$2:$Y$2)*$K3919*$L3919*$M3919</f>
        <v/>
      </c>
      <c r="AA3919" s="14">
        <f>SUM(N3919:Y3919)</f>
        <v/>
      </c>
      <c r="AB3919" s="13">
        <f>SUMPRODUCT(N3919:Y3919,$N$3:$Y$3)*$K3919*$L3919*$M3919</f>
        <v/>
      </c>
      <c r="AC3919" s="13">
        <f>SUMPRODUCT(N3919:Y3919,$N$4:$Y$4)*$K3919*$L3919*$M3919</f>
        <v/>
      </c>
      <c r="AD3919" s="15" t="n">
        <v>3</v>
      </c>
      <c r="AE3919" s="11" t="n">
        <v>1.011296296296296</v>
      </c>
      <c r="AF3919" s="16">
        <f>SUMPRODUCT(N3919:Y3919,$N$5:$Y$5)*$K3919*$L3919*$M3919</f>
        <v/>
      </c>
      <c r="AG3919" s="16">
        <f>SUMPRODUCT(N3919:Y3919,$N$6:$Y$6)*$K3919*$L3919*$M3919</f>
        <v/>
      </c>
      <c r="AH3919" s="20" t="n"/>
    </row>
    <row r="3920">
      <c r="A3920" s="9" t="n">
        <v>598286</v>
      </c>
      <c r="B3920" s="9" t="inlineStr">
        <is>
          <t>Nick Ramirez</t>
        </is>
      </c>
      <c r="C3920" s="9" t="inlineStr">
        <is>
          <t>LAD</t>
        </is>
      </c>
      <c r="D3920" s="9" t="n">
        <v>37</v>
      </c>
      <c r="E3920" s="18" t="inlineStr">
        <is>
          <t>L</t>
        </is>
      </c>
      <c r="F3920" s="18" t="n"/>
      <c r="G3920" s="9" t="n">
        <v>63</v>
      </c>
      <c r="H3920" s="9" t="n">
        <v>235</v>
      </c>
      <c r="I3920" s="9" t="inlineStr">
        <is>
          <t>Depth (no MLB IP)</t>
        </is>
      </c>
      <c r="J3920" s="18" t="inlineStr">
        <is>
          <t>Opening Day</t>
        </is>
      </c>
      <c r="K3920" s="11">
        <f>IFERROR(INDEX(Roles!$B$17:$B$20,MATCH(J3920,Roles!$A$17:$A$20,0)),1)</f>
        <v/>
      </c>
      <c r="L3920" s="19" t="n">
        <v>1</v>
      </c>
      <c r="M3920" s="11" t="n">
        <v>1</v>
      </c>
      <c r="N3920" s="19" t="n"/>
      <c r="O3920" s="19" t="n"/>
      <c r="P3920" s="19" t="n"/>
      <c r="Q3920" s="19" t="n"/>
      <c r="R3920" s="19" t="n"/>
      <c r="S3920" s="19" t="n"/>
      <c r="T3920" s="19" t="n"/>
      <c r="U3920" s="19" t="n"/>
      <c r="V3920" s="19" t="n"/>
      <c r="W3920" s="19" t="n"/>
      <c r="X3920" s="19" t="n"/>
      <c r="Y3920" s="19" t="n">
        <v>1</v>
      </c>
      <c r="Z3920" s="13">
        <f>SUMPRODUCT(N3920:Y3920,$N$2:$Y$2)*$K3920*$L3920*$M3920</f>
        <v/>
      </c>
      <c r="AA3920" s="14">
        <f>SUM(N3920:Y3920)</f>
        <v/>
      </c>
      <c r="AB3920" s="13">
        <f>SUMPRODUCT(N3920:Y3920,$N$3:$Y$3)*$K3920*$L3920*$M3920</f>
        <v/>
      </c>
      <c r="AC3920" s="13">
        <f>SUMPRODUCT(N3920:Y3920,$N$4:$Y$4)*$K3920*$L3920*$M3920</f>
        <v/>
      </c>
      <c r="AD3920" s="15" t="n">
        <v>6</v>
      </c>
      <c r="AE3920" s="11" t="n">
        <v>1.229753086419753</v>
      </c>
      <c r="AF3920" s="16">
        <f>SUMPRODUCT(N3920:Y3920,$N$5:$Y$5)*$K3920*$L3920*$M3920</f>
        <v/>
      </c>
      <c r="AG3920" s="16">
        <f>SUMPRODUCT(N3920:Y3920,$N$6:$Y$6)*$K3920*$L3920*$M3920</f>
        <v/>
      </c>
      <c r="AH3920" s="20" t="n"/>
    </row>
    <row r="3921">
      <c r="A3921" s="9" t="n">
        <v>669310</v>
      </c>
      <c r="B3921" s="9" t="inlineStr">
        <is>
          <t>CJ Van Eyk</t>
        </is>
      </c>
      <c r="C3921" s="9" t="inlineStr">
        <is>
          <t>TOR</t>
        </is>
      </c>
      <c r="D3921" s="9" t="n">
        <v>28</v>
      </c>
      <c r="E3921" s="18" t="inlineStr">
        <is>
          <t>R</t>
        </is>
      </c>
      <c r="F3921" s="18" t="n"/>
      <c r="G3921" s="9" t="n">
        <v>55</v>
      </c>
      <c r="H3921" s="9" t="n">
        <v>55</v>
      </c>
      <c r="I3921" s="9" t="inlineStr">
        <is>
          <t>Bullpen Depth Arm</t>
        </is>
      </c>
      <c r="J3921" s="18" t="inlineStr">
        <is>
          <t>Opening Day</t>
        </is>
      </c>
      <c r="K3921" s="11">
        <f>IFERROR(INDEX(Roles!$B$17:$B$20,MATCH(J3921,Roles!$A$17:$A$20,0)),1)</f>
        <v/>
      </c>
      <c r="L3921" s="19" t="n">
        <v>1</v>
      </c>
      <c r="M3921" s="11" t="n">
        <v>1</v>
      </c>
      <c r="N3921" s="19" t="n"/>
      <c r="O3921" s="19" t="n"/>
      <c r="P3921" s="19" t="n"/>
      <c r="Q3921" s="19" t="n"/>
      <c r="R3921" s="19" t="n"/>
      <c r="S3921" s="19" t="n"/>
      <c r="T3921" s="19" t="n"/>
      <c r="U3921" s="19" t="n"/>
      <c r="V3921" s="19" t="n"/>
      <c r="W3921" s="19" t="n">
        <v>1</v>
      </c>
      <c r="X3921" s="19" t="n"/>
      <c r="Y3921" s="19" t="n"/>
      <c r="Z3921" s="13">
        <f>SUMPRODUCT(N3921:Y3921,$N$2:$Y$2)*$K3921*$L3921*$M3921</f>
        <v/>
      </c>
      <c r="AA3921" s="14">
        <f>SUM(N3921:Y3921)</f>
        <v/>
      </c>
      <c r="AB3921" s="13">
        <f>SUMPRODUCT(N3921:Y3921,$N$3:$Y$3)*$K3921*$L3921*$M3921</f>
        <v/>
      </c>
      <c r="AC3921" s="13">
        <f>SUMPRODUCT(N3921:Y3921,$N$4:$Y$4)*$K3921*$L3921*$M3921</f>
        <v/>
      </c>
      <c r="AD3921" s="15" t="n">
        <v>8.666666666666666</v>
      </c>
      <c r="AE3921" s="11" t="n">
        <v>1.579284912618246</v>
      </c>
      <c r="AF3921" s="16">
        <f>SUMPRODUCT(N3921:Y3921,$N$5:$Y$5)*$K3921*$L3921*$M3921</f>
        <v/>
      </c>
      <c r="AG3921" s="16">
        <f>SUMPRODUCT(N3921:Y3921,$N$6:$Y$6)*$K3921*$L3921*$M3921</f>
        <v/>
      </c>
      <c r="AH3921" s="20" t="n"/>
    </row>
    <row r="3922">
      <c r="A3922" s="9" t="n">
        <v>647315</v>
      </c>
      <c r="B3922" s="9" t="inlineStr">
        <is>
          <t>Zach Pop</t>
        </is>
      </c>
      <c r="C3922" s="9" t="inlineStr">
        <is>
          <t>PHI</t>
        </is>
      </c>
      <c r="D3922" s="9" t="n">
        <v>30</v>
      </c>
      <c r="E3922" s="18" t="inlineStr">
        <is>
          <t>R</t>
        </is>
      </c>
      <c r="F3922" s="18" t="n"/>
      <c r="G3922" s="9" t="n">
        <v>31</v>
      </c>
      <c r="H3922" s="9" t="n">
        <v>492</v>
      </c>
      <c r="I3922" s="9" t="inlineStr">
        <is>
          <t>Bullpen Depth Arm</t>
        </is>
      </c>
      <c r="J3922" s="18" t="inlineStr">
        <is>
          <t>Opening Day</t>
        </is>
      </c>
      <c r="K3922" s="11">
        <f>IFERROR(INDEX(Roles!$B$17:$B$20,MATCH(J3922,Roles!$A$17:$A$20,0)),1)</f>
        <v/>
      </c>
      <c r="L3922" s="19" t="n">
        <v>1</v>
      </c>
      <c r="M3922" s="11" t="n">
        <v>1</v>
      </c>
      <c r="N3922" s="19" t="n"/>
      <c r="O3922" s="19" t="n"/>
      <c r="P3922" s="19" t="n"/>
      <c r="Q3922" s="19" t="n"/>
      <c r="R3922" s="19" t="n"/>
      <c r="S3922" s="19" t="n"/>
      <c r="T3922" s="19" t="n"/>
      <c r="U3922" s="19" t="n"/>
      <c r="V3922" s="19" t="n"/>
      <c r="W3922" s="19" t="n">
        <v>1</v>
      </c>
      <c r="X3922" s="19" t="n"/>
      <c r="Y3922" s="19" t="n"/>
      <c r="Z3922" s="13">
        <f>SUMPRODUCT(N3922:Y3922,$N$2:$Y$2)*$K3922*$L3922*$M3922</f>
        <v/>
      </c>
      <c r="AA3922" s="14">
        <f>SUM(N3922:Y3922)</f>
        <v/>
      </c>
      <c r="AB3922" s="13">
        <f>SUMPRODUCT(N3922:Y3922,$N$3:$Y$3)*$K3922*$L3922*$M3922</f>
        <v/>
      </c>
      <c r="AC3922" s="13">
        <f>SUMPRODUCT(N3922:Y3922,$N$4:$Y$4)*$K3922*$L3922*$M3922</f>
        <v/>
      </c>
      <c r="AD3922" s="15" t="n">
        <v>14.56666666666667</v>
      </c>
      <c r="AE3922" s="11" t="n">
        <v>1.114865436962815</v>
      </c>
      <c r="AF3922" s="16">
        <f>SUMPRODUCT(N3922:Y3922,$N$5:$Y$5)*$K3922*$L3922*$M3922</f>
        <v/>
      </c>
      <c r="AG3922" s="16">
        <f>SUMPRODUCT(N3922:Y3922,$N$6:$Y$6)*$K3922*$L3922*$M3922</f>
        <v/>
      </c>
      <c r="AH3922" s="20" t="n"/>
    </row>
    <row r="3923">
      <c r="A3923" s="9" t="n">
        <v>689672</v>
      </c>
      <c r="B3923" s="9" t="inlineStr">
        <is>
          <t>Drew Thorpe</t>
        </is>
      </c>
      <c r="C3923" s="9" t="inlineStr">
        <is>
          <t>CWS</t>
        </is>
      </c>
      <c r="D3923" s="9" t="n">
        <v>26</v>
      </c>
      <c r="E3923" s="18" t="inlineStr">
        <is>
          <t>R</t>
        </is>
      </c>
      <c r="F3923" s="18" t="n"/>
      <c r="G3923" s="9" t="n">
        <v>190</v>
      </c>
      <c r="H3923" s="9" t="n">
        <v>190</v>
      </c>
      <c r="I3923" s="9" t="inlineStr">
        <is>
          <t>Depth (no MLB IP)</t>
        </is>
      </c>
      <c r="J3923" s="18" t="inlineStr">
        <is>
          <t>Opening Day</t>
        </is>
      </c>
      <c r="K3923" s="11">
        <f>IFERROR(INDEX(Roles!$B$17:$B$20,MATCH(J3923,Roles!$A$17:$A$20,0)),1)</f>
        <v/>
      </c>
      <c r="L3923" s="19" t="n">
        <v>1</v>
      </c>
      <c r="M3923" s="11" t="n">
        <v>1</v>
      </c>
      <c r="N3923" s="19" t="n"/>
      <c r="O3923" s="19" t="n"/>
      <c r="P3923" s="19" t="n"/>
      <c r="Q3923" s="19" t="n"/>
      <c r="R3923" s="19" t="n"/>
      <c r="S3923" s="19" t="n"/>
      <c r="T3923" s="19" t="n"/>
      <c r="U3923" s="19" t="n"/>
      <c r="V3923" s="19" t="n"/>
      <c r="W3923" s="19" t="n"/>
      <c r="X3923" s="19" t="n"/>
      <c r="Y3923" s="19" t="n">
        <v>1</v>
      </c>
      <c r="Z3923" s="13">
        <f>SUMPRODUCT(N3923:Y3923,$N$2:$Y$2)*$K3923*$L3923*$M3923</f>
        <v/>
      </c>
      <c r="AA3923" s="14">
        <f>SUM(N3923:Y3923)</f>
        <v/>
      </c>
      <c r="AB3923" s="13">
        <f>SUMPRODUCT(N3923:Y3923,$N$3:$Y$3)*$K3923*$L3923*$M3923</f>
        <v/>
      </c>
      <c r="AC3923" s="13">
        <f>SUMPRODUCT(N3923:Y3923,$N$4:$Y$4)*$K3923*$L3923*$M3923</f>
        <v/>
      </c>
      <c r="AD3923" s="15" t="n">
        <v>6.6</v>
      </c>
      <c r="AE3923" s="11" t="n">
        <v>2.316172839506173</v>
      </c>
      <c r="AF3923" s="16">
        <f>SUMPRODUCT(N3923:Y3923,$N$5:$Y$5)*$K3923*$L3923*$M3923</f>
        <v/>
      </c>
      <c r="AG3923" s="16">
        <f>SUMPRODUCT(N3923:Y3923,$N$6:$Y$6)*$K3923*$L3923*$M3923</f>
        <v/>
      </c>
      <c r="AH3923" s="20" t="n"/>
    </row>
    <row r="3924">
      <c r="A3924" s="9" t="n">
        <v>694298</v>
      </c>
      <c r="B3924" s="9" t="inlineStr">
        <is>
          <t>Nick Dombkowski</t>
        </is>
      </c>
      <c r="C3924" s="9" t="inlineStr">
        <is>
          <t>PIT</t>
        </is>
      </c>
      <c r="D3924" s="9" t="n">
        <v>25</v>
      </c>
      <c r="E3924" s="18" t="inlineStr">
        <is>
          <t>L</t>
        </is>
      </c>
      <c r="F3924" s="18" t="n"/>
      <c r="G3924" s="9" t="n">
        <v>198.66</v>
      </c>
      <c r="H3924" s="9" t="n">
        <v>198.66</v>
      </c>
      <c r="I3924" s="9" t="inlineStr">
        <is>
          <t>Depth (no MLB IP)</t>
        </is>
      </c>
      <c r="J3924" s="18" t="inlineStr">
        <is>
          <t>Opening Day</t>
        </is>
      </c>
      <c r="K3924" s="11">
        <f>IFERROR(INDEX(Roles!$B$17:$B$20,MATCH(J3924,Roles!$A$17:$A$20,0)),1)</f>
        <v/>
      </c>
      <c r="L3924" s="19" t="n">
        <v>1</v>
      </c>
      <c r="M3924" s="11" t="n">
        <v>1</v>
      </c>
      <c r="N3924" s="19" t="n"/>
      <c r="O3924" s="19" t="n"/>
      <c r="P3924" s="19" t="n"/>
      <c r="Q3924" s="19" t="n"/>
      <c r="R3924" s="19" t="n"/>
      <c r="S3924" s="19" t="n"/>
      <c r="T3924" s="19" t="n"/>
      <c r="U3924" s="19" t="n"/>
      <c r="V3924" s="19" t="n"/>
      <c r="W3924" s="19" t="n"/>
      <c r="X3924" s="19" t="n"/>
      <c r="Y3924" s="19" t="n">
        <v>1</v>
      </c>
      <c r="Z3924" s="13">
        <f>SUMPRODUCT(N3924:Y3924,$N$2:$Y$2)*$K3924*$L3924*$M3924</f>
        <v/>
      </c>
      <c r="AA3924" s="14">
        <f>SUM(N3924:Y3924)</f>
        <v/>
      </c>
      <c r="AB3924" s="13">
        <f>SUMPRODUCT(N3924:Y3924,$N$3:$Y$3)*$K3924*$L3924*$M3924</f>
        <v/>
      </c>
      <c r="AC3924" s="13">
        <f>SUMPRODUCT(N3924:Y3924,$N$4:$Y$4)*$K3924*$L3924*$M3924</f>
        <v/>
      </c>
      <c r="AD3924" s="15" t="n">
        <v>3</v>
      </c>
      <c r="AE3924" s="11" t="n">
        <v>1.011296296296296</v>
      </c>
      <c r="AF3924" s="16">
        <f>SUMPRODUCT(N3924:Y3924,$N$5:$Y$5)*$K3924*$L3924*$M3924</f>
        <v/>
      </c>
      <c r="AG3924" s="16">
        <f>SUMPRODUCT(N3924:Y3924,$N$6:$Y$6)*$K3924*$L3924*$M3924</f>
        <v/>
      </c>
      <c r="AH3924" s="20" t="n"/>
    </row>
    <row r="3925">
      <c r="A3925" s="9" t="n">
        <v>672456</v>
      </c>
      <c r="B3925" s="9" t="inlineStr">
        <is>
          <t>Keider Montero</t>
        </is>
      </c>
      <c r="C3925" s="9" t="inlineStr">
        <is>
          <t>DET</t>
        </is>
      </c>
      <c r="D3925" s="9" t="n">
        <v>26</v>
      </c>
      <c r="E3925" s="18" t="inlineStr">
        <is>
          <t>R</t>
        </is>
      </c>
      <c r="F3925" s="18" t="n"/>
      <c r="G3925" s="9" t="n">
        <v>625</v>
      </c>
      <c r="H3925" s="9" t="n">
        <v>1426</v>
      </c>
      <c r="I3925" s="9" t="inlineStr">
        <is>
          <t>End-of-Rotation Starter (SP4-5)</t>
        </is>
      </c>
      <c r="J3925" s="18" t="inlineStr">
        <is>
          <t>Opening Day</t>
        </is>
      </c>
      <c r="K3925" s="11">
        <f>IFERROR(INDEX(Roles!$B$17:$B$20,MATCH(J3925,Roles!$A$17:$A$20,0)),1)</f>
        <v/>
      </c>
      <c r="L3925" s="19" t="n">
        <v>1</v>
      </c>
      <c r="M3925" s="11" t="n">
        <v>1</v>
      </c>
      <c r="N3925" s="19" t="n"/>
      <c r="O3925" s="19" t="n"/>
      <c r="P3925" s="19" t="n">
        <v>0.5</v>
      </c>
      <c r="Q3925" s="19" t="n"/>
      <c r="R3925" s="19" t="n">
        <v>0.5</v>
      </c>
      <c r="S3925" s="19" t="n"/>
      <c r="T3925" s="19" t="n"/>
      <c r="U3925" s="19" t="n"/>
      <c r="V3925" s="19" t="n"/>
      <c r="W3925" s="19" t="n"/>
      <c r="X3925" s="19" t="n"/>
      <c r="Y3925" s="19" t="n"/>
      <c r="Z3925" s="13">
        <f>SUMPRODUCT(N3925:Y3925,$N$2:$Y$2)*$K3925*$L3925*$M3925</f>
        <v/>
      </c>
      <c r="AA3925" s="14">
        <f>SUM(N3925:Y3925)</f>
        <v/>
      </c>
      <c r="AB3925" s="13">
        <f>SUMPRODUCT(N3925:Y3925,$N$3:$Y$3)*$K3925*$L3925*$M3925</f>
        <v/>
      </c>
      <c r="AC3925" s="13">
        <f>SUMPRODUCT(N3925:Y3925,$N$4:$Y$4)*$K3925*$L3925*$M3925</f>
        <v/>
      </c>
      <c r="AD3925" s="15" t="n">
        <v>21.9</v>
      </c>
      <c r="AE3925" s="11" t="n">
        <v>4.63847072879331</v>
      </c>
      <c r="AF3925" s="16">
        <f>SUMPRODUCT(N3925:Y3925,$N$5:$Y$5)*$K3925*$L3925*$M3925</f>
        <v/>
      </c>
      <c r="AG3925" s="16">
        <f>SUMPRODUCT(N3925:Y3925,$N$6:$Y$6)*$K3925*$L3925*$M3925</f>
        <v/>
      </c>
      <c r="AH3925" s="20" t="n"/>
    </row>
    <row r="3926">
      <c r="A3926" s="9" t="n">
        <v>802126</v>
      </c>
      <c r="B3926" s="9" t="inlineStr">
        <is>
          <t>Joe Whitman</t>
        </is>
      </c>
      <c r="C3926" s="9" t="inlineStr">
        <is>
          <t>SF</t>
        </is>
      </c>
      <c r="D3926" s="9" t="n">
        <v>25</v>
      </c>
      <c r="E3926" s="18" t="inlineStr">
        <is>
          <t>L</t>
        </is>
      </c>
      <c r="F3926" s="18" t="n"/>
      <c r="G3926" s="9" t="n">
        <v>199.4483333333333</v>
      </c>
      <c r="H3926" s="9" t="n">
        <v>199.4483333333333</v>
      </c>
      <c r="I3926" s="9" t="inlineStr">
        <is>
          <t>Depth (no MLB IP)</t>
        </is>
      </c>
      <c r="J3926" s="18" t="inlineStr">
        <is>
          <t>Opening Day</t>
        </is>
      </c>
      <c r="K3926" s="11">
        <f>IFERROR(INDEX(Roles!$B$17:$B$20,MATCH(J3926,Roles!$A$17:$A$20,0)),1)</f>
        <v/>
      </c>
      <c r="L3926" s="19" t="n">
        <v>1</v>
      </c>
      <c r="M3926" s="11" t="n">
        <v>1</v>
      </c>
      <c r="N3926" s="19" t="n"/>
      <c r="O3926" s="19" t="n"/>
      <c r="P3926" s="19" t="n"/>
      <c r="Q3926" s="19" t="n"/>
      <c r="R3926" s="19" t="n"/>
      <c r="S3926" s="19" t="n"/>
      <c r="T3926" s="19" t="n"/>
      <c r="U3926" s="19" t="n"/>
      <c r="V3926" s="19" t="n"/>
      <c r="W3926" s="19" t="n"/>
      <c r="X3926" s="19" t="n"/>
      <c r="Y3926" s="19" t="n">
        <v>1</v>
      </c>
      <c r="Z3926" s="13">
        <f>SUMPRODUCT(N3926:Y3926,$N$2:$Y$2)*$K3926*$L3926*$M3926</f>
        <v/>
      </c>
      <c r="AA3926" s="14">
        <f>SUM(N3926:Y3926)</f>
        <v/>
      </c>
      <c r="AB3926" s="13">
        <f>SUMPRODUCT(N3926:Y3926,$N$3:$Y$3)*$K3926*$L3926*$M3926</f>
        <v/>
      </c>
      <c r="AC3926" s="13">
        <f>SUMPRODUCT(N3926:Y3926,$N$4:$Y$4)*$K3926*$L3926*$M3926</f>
        <v/>
      </c>
      <c r="AD3926" s="15" t="n">
        <v>3</v>
      </c>
      <c r="AE3926" s="11" t="n">
        <v>1.011296296296296</v>
      </c>
      <c r="AF3926" s="16">
        <f>SUMPRODUCT(N3926:Y3926,$N$5:$Y$5)*$K3926*$L3926*$M3926</f>
        <v/>
      </c>
      <c r="AG3926" s="16">
        <f>SUMPRODUCT(N3926:Y3926,$N$6:$Y$6)*$K3926*$L3926*$M3926</f>
        <v/>
      </c>
      <c r="AH3926" s="20" t="n"/>
    </row>
    <row r="3927">
      <c r="A3927" s="9" t="n">
        <v>809733</v>
      </c>
      <c r="B3927" s="9" t="inlineStr">
        <is>
          <t>Connor Wietgrefe</t>
        </is>
      </c>
      <c r="C3927" s="9" t="inlineStr">
        <is>
          <t>PIT</t>
        </is>
      </c>
      <c r="D3927" s="9" t="n">
        <v>25</v>
      </c>
      <c r="E3927" s="18" t="inlineStr">
        <is>
          <t>L</t>
        </is>
      </c>
      <c r="F3927" s="18" t="n"/>
      <c r="G3927" s="9" t="n">
        <v>200.2366666666667</v>
      </c>
      <c r="H3927" s="9" t="n">
        <v>200.2366666666667</v>
      </c>
      <c r="I3927" s="9" t="inlineStr">
        <is>
          <t>Depth (no MLB IP)</t>
        </is>
      </c>
      <c r="J3927" s="18" t="inlineStr">
        <is>
          <t>Opening Day</t>
        </is>
      </c>
      <c r="K3927" s="11">
        <f>IFERROR(INDEX(Roles!$B$17:$B$20,MATCH(J3927,Roles!$A$17:$A$20,0)),1)</f>
        <v/>
      </c>
      <c r="L3927" s="19" t="n">
        <v>1</v>
      </c>
      <c r="M3927" s="11" t="n">
        <v>1</v>
      </c>
      <c r="N3927" s="19" t="n"/>
      <c r="O3927" s="19" t="n"/>
      <c r="P3927" s="19" t="n"/>
      <c r="Q3927" s="19" t="n"/>
      <c r="R3927" s="19" t="n"/>
      <c r="S3927" s="19" t="n"/>
      <c r="T3927" s="19" t="n"/>
      <c r="U3927" s="19" t="n"/>
      <c r="V3927" s="19" t="n"/>
      <c r="W3927" s="19" t="n"/>
      <c r="X3927" s="19" t="n"/>
      <c r="Y3927" s="19" t="n">
        <v>1</v>
      </c>
      <c r="Z3927" s="13">
        <f>SUMPRODUCT(N3927:Y3927,$N$2:$Y$2)*$K3927*$L3927*$M3927</f>
        <v/>
      </c>
      <c r="AA3927" s="14">
        <f>SUM(N3927:Y3927)</f>
        <v/>
      </c>
      <c r="AB3927" s="13">
        <f>SUMPRODUCT(N3927:Y3927,$N$3:$Y$3)*$K3927*$L3927*$M3927</f>
        <v/>
      </c>
      <c r="AC3927" s="13">
        <f>SUMPRODUCT(N3927:Y3927,$N$4:$Y$4)*$K3927*$L3927*$M3927</f>
        <v/>
      </c>
      <c r="AD3927" s="15" t="n">
        <v>3</v>
      </c>
      <c r="AE3927" s="11" t="n">
        <v>1.011296296296296</v>
      </c>
      <c r="AF3927" s="16">
        <f>SUMPRODUCT(N3927:Y3927,$N$5:$Y$5)*$K3927*$L3927*$M3927</f>
        <v/>
      </c>
      <c r="AG3927" s="16">
        <f>SUMPRODUCT(N3927:Y3927,$N$6:$Y$6)*$K3927*$L3927*$M3927</f>
        <v/>
      </c>
      <c r="AH3927" s="20" t="n"/>
    </row>
    <row r="3928">
      <c r="A3928" s="9" t="n">
        <v>804973</v>
      </c>
      <c r="B3928" s="9" t="inlineStr">
        <is>
          <t>Manuel Rodriguez</t>
        </is>
      </c>
      <c r="C3928" s="9" t="inlineStr">
        <is>
          <t>MIL</t>
        </is>
      </c>
      <c r="D3928" s="9" t="n">
        <v>25</v>
      </c>
      <c r="E3928" s="18" t="inlineStr">
        <is>
          <t>R</t>
        </is>
      </c>
      <c r="F3928" s="18" t="n"/>
      <c r="G3928" s="9" t="n">
        <v>200.165</v>
      </c>
      <c r="H3928" s="9" t="n">
        <v>200.165</v>
      </c>
      <c r="I3928" s="9" t="inlineStr">
        <is>
          <t>Depth (no MLB IP)</t>
        </is>
      </c>
      <c r="J3928" s="18" t="inlineStr">
        <is>
          <t>Opening Day</t>
        </is>
      </c>
      <c r="K3928" s="11">
        <f>IFERROR(INDEX(Roles!$B$17:$B$20,MATCH(J3928,Roles!$A$17:$A$20,0)),1)</f>
        <v/>
      </c>
      <c r="L3928" s="19" t="n">
        <v>1</v>
      </c>
      <c r="M3928" s="11" t="n">
        <v>1</v>
      </c>
      <c r="N3928" s="19" t="n"/>
      <c r="O3928" s="19" t="n"/>
      <c r="P3928" s="19" t="n"/>
      <c r="Q3928" s="19" t="n"/>
      <c r="R3928" s="19" t="n"/>
      <c r="S3928" s="19" t="n"/>
      <c r="T3928" s="19" t="n"/>
      <c r="U3928" s="19" t="n"/>
      <c r="V3928" s="19" t="n"/>
      <c r="W3928" s="19" t="n"/>
      <c r="X3928" s="19" t="n"/>
      <c r="Y3928" s="19" t="n">
        <v>1</v>
      </c>
      <c r="Z3928" s="13">
        <f>SUMPRODUCT(N3928:Y3928,$N$2:$Y$2)*$K3928*$L3928*$M3928</f>
        <v/>
      </c>
      <c r="AA3928" s="14">
        <f>SUM(N3928:Y3928)</f>
        <v/>
      </c>
      <c r="AB3928" s="13">
        <f>SUMPRODUCT(N3928:Y3928,$N$3:$Y$3)*$K3928*$L3928*$M3928</f>
        <v/>
      </c>
      <c r="AC3928" s="13">
        <f>SUMPRODUCT(N3928:Y3928,$N$4:$Y$4)*$K3928*$L3928*$M3928</f>
        <v/>
      </c>
      <c r="AD3928" s="15" t="n">
        <v>3</v>
      </c>
      <c r="AE3928" s="11" t="n">
        <v>1.011296296296296</v>
      </c>
      <c r="AF3928" s="16">
        <f>SUMPRODUCT(N3928:Y3928,$N$5:$Y$5)*$K3928*$L3928*$M3928</f>
        <v/>
      </c>
      <c r="AG3928" s="16">
        <f>SUMPRODUCT(N3928:Y3928,$N$6:$Y$6)*$K3928*$L3928*$M3928</f>
        <v/>
      </c>
      <c r="AH3928" s="20" t="n"/>
    </row>
    <row r="3929">
      <c r="A3929" s="9" t="n">
        <v>686826</v>
      </c>
      <c r="B3929" s="9" t="inlineStr">
        <is>
          <t>Bryce Jarvis</t>
        </is>
      </c>
      <c r="C3929" s="9" t="inlineStr">
        <is>
          <t>ARI</t>
        </is>
      </c>
      <c r="D3929" s="9" t="n">
        <v>29</v>
      </c>
      <c r="E3929" s="18" t="inlineStr">
        <is>
          <t>R</t>
        </is>
      </c>
      <c r="F3929" s="18" t="n"/>
      <c r="G3929" s="9" t="n">
        <v>98</v>
      </c>
      <c r="H3929" s="9" t="n">
        <v>448</v>
      </c>
      <c r="I3929" s="9" t="inlineStr">
        <is>
          <t>Bullpen Depth Arm</t>
        </is>
      </c>
      <c r="J3929" s="18" t="inlineStr">
        <is>
          <t>Opening Day</t>
        </is>
      </c>
      <c r="K3929" s="11">
        <f>IFERROR(INDEX(Roles!$B$17:$B$20,MATCH(J3929,Roles!$A$17:$A$20,0)),1)</f>
        <v/>
      </c>
      <c r="L3929" s="19" t="n">
        <v>1</v>
      </c>
      <c r="M3929" s="11" t="n">
        <v>1</v>
      </c>
      <c r="N3929" s="19" t="n"/>
      <c r="O3929" s="19" t="n"/>
      <c r="P3929" s="19" t="n"/>
      <c r="Q3929" s="19" t="n"/>
      <c r="R3929" s="19" t="n"/>
      <c r="S3929" s="19" t="n"/>
      <c r="T3929" s="19" t="n"/>
      <c r="U3929" s="19" t="n"/>
      <c r="V3929" s="19" t="n"/>
      <c r="W3929" s="19" t="n">
        <v>1</v>
      </c>
      <c r="X3929" s="19" t="n"/>
      <c r="Y3929" s="19" t="n"/>
      <c r="Z3929" s="13">
        <f>SUMPRODUCT(N3929:Y3929,$N$2:$Y$2)*$K3929*$L3929*$M3929</f>
        <v/>
      </c>
      <c r="AA3929" s="14">
        <f>SUM(N3929:Y3929)</f>
        <v/>
      </c>
      <c r="AB3929" s="13">
        <f>SUMPRODUCT(N3929:Y3929,$N$3:$Y$3)*$K3929*$L3929*$M3929</f>
        <v/>
      </c>
      <c r="AC3929" s="13">
        <f>SUMPRODUCT(N3929:Y3929,$N$4:$Y$4)*$K3929*$L3929*$M3929</f>
        <v/>
      </c>
      <c r="AD3929" s="15" t="n">
        <v>19.26666666666667</v>
      </c>
      <c r="AE3929" s="11" t="n">
        <v>1.308043082552887</v>
      </c>
      <c r="AF3929" s="16">
        <f>SUMPRODUCT(N3929:Y3929,$N$5:$Y$5)*$K3929*$L3929*$M3929</f>
        <v/>
      </c>
      <c r="AG3929" s="16">
        <f>SUMPRODUCT(N3929:Y3929,$N$6:$Y$6)*$K3929*$L3929*$M3929</f>
        <v/>
      </c>
      <c r="AH3929" s="20" t="n"/>
    </row>
    <row r="3930">
      <c r="A3930" s="9" t="n">
        <v>621295</v>
      </c>
      <c r="B3930" s="9" t="inlineStr">
        <is>
          <t>Nick Wittgren</t>
        </is>
      </c>
      <c r="C3930" s="9" t="inlineStr">
        <is>
          <t>KC</t>
        </is>
      </c>
      <c r="D3930" s="9" t="n">
        <v>36</v>
      </c>
      <c r="E3930" s="18" t="inlineStr">
        <is>
          <t>R</t>
        </is>
      </c>
      <c r="F3930" s="18" t="n"/>
      <c r="G3930" s="9" t="n">
        <v>128</v>
      </c>
      <c r="H3930" s="9" t="n">
        <v>262</v>
      </c>
      <c r="I3930" s="9" t="inlineStr">
        <is>
          <t>Depth (no MLB IP)</t>
        </is>
      </c>
      <c r="J3930" s="18" t="inlineStr">
        <is>
          <t>Opening Day</t>
        </is>
      </c>
      <c r="K3930" s="11">
        <f>IFERROR(INDEX(Roles!$B$17:$B$20,MATCH(J3930,Roles!$A$17:$A$20,0)),1)</f>
        <v/>
      </c>
      <c r="L3930" s="19" t="n">
        <v>1</v>
      </c>
      <c r="M3930" s="11" t="n">
        <v>1</v>
      </c>
      <c r="N3930" s="19" t="n"/>
      <c r="O3930" s="19" t="n"/>
      <c r="P3930" s="19" t="n"/>
      <c r="Q3930" s="19" t="n"/>
      <c r="R3930" s="19" t="n"/>
      <c r="S3930" s="19" t="n"/>
      <c r="T3930" s="19" t="n"/>
      <c r="U3930" s="19" t="n"/>
      <c r="V3930" s="19" t="n"/>
      <c r="W3930" s="19" t="n"/>
      <c r="X3930" s="19" t="n"/>
      <c r="Y3930" s="19" t="n">
        <v>1</v>
      </c>
      <c r="Z3930" s="13">
        <f>SUMPRODUCT(N3930:Y3930,$N$2:$Y$2)*$K3930*$L3930*$M3930</f>
        <v/>
      </c>
      <c r="AA3930" s="14">
        <f>SUM(N3930:Y3930)</f>
        <v/>
      </c>
      <c r="AB3930" s="13">
        <f>SUMPRODUCT(N3930:Y3930,$N$3:$Y$3)*$K3930*$L3930*$M3930</f>
        <v/>
      </c>
      <c r="AC3930" s="13">
        <f>SUMPRODUCT(N3930:Y3930,$N$4:$Y$4)*$K3930*$L3930*$M3930</f>
        <v/>
      </c>
      <c r="AD3930" s="15" t="n">
        <v>3</v>
      </c>
      <c r="AE3930" s="11" t="n">
        <v>1.011296296296296</v>
      </c>
      <c r="AF3930" s="16">
        <f>SUMPRODUCT(N3930:Y3930,$N$5:$Y$5)*$K3930*$L3930*$M3930</f>
        <v/>
      </c>
      <c r="AG3930" s="16">
        <f>SUMPRODUCT(N3930:Y3930,$N$6:$Y$6)*$K3930*$L3930*$M3930</f>
        <v/>
      </c>
      <c r="AH3930" s="20" t="n"/>
    </row>
    <row r="3931">
      <c r="A3931" s="9" t="n">
        <v>679057</v>
      </c>
      <c r="B3931" s="9" t="inlineStr">
        <is>
          <t>Mason Green</t>
        </is>
      </c>
      <c r="C3931" s="9" t="inlineStr">
        <is>
          <t>COL</t>
        </is>
      </c>
      <c r="D3931" s="9" t="n">
        <v>25</v>
      </c>
      <c r="E3931" s="18" t="inlineStr">
        <is>
          <t>L</t>
        </is>
      </c>
      <c r="F3931" s="18" t="n"/>
      <c r="G3931" s="9" t="n">
        <v>204.1783333333333</v>
      </c>
      <c r="H3931" s="9" t="n">
        <v>204.1783333333333</v>
      </c>
      <c r="I3931" s="9" t="inlineStr">
        <is>
          <t>Depth (no MLB IP)</t>
        </is>
      </c>
      <c r="J3931" s="18" t="inlineStr">
        <is>
          <t>Opening Day</t>
        </is>
      </c>
      <c r="K3931" s="11">
        <f>IFERROR(INDEX(Roles!$B$17:$B$20,MATCH(J3931,Roles!$A$17:$A$20,0)),1)</f>
        <v/>
      </c>
      <c r="L3931" s="19" t="n">
        <v>1</v>
      </c>
      <c r="M3931" s="11" t="n">
        <v>1</v>
      </c>
      <c r="N3931" s="19" t="n"/>
      <c r="O3931" s="19" t="n"/>
      <c r="P3931" s="19" t="n"/>
      <c r="Q3931" s="19" t="n"/>
      <c r="R3931" s="19" t="n"/>
      <c r="S3931" s="19" t="n"/>
      <c r="T3931" s="19" t="n"/>
      <c r="U3931" s="19" t="n"/>
      <c r="V3931" s="19" t="n"/>
      <c r="W3931" s="19" t="n"/>
      <c r="X3931" s="19" t="n"/>
      <c r="Y3931" s="19" t="n">
        <v>1</v>
      </c>
      <c r="Z3931" s="13">
        <f>SUMPRODUCT(N3931:Y3931,$N$2:$Y$2)*$K3931*$L3931*$M3931</f>
        <v/>
      </c>
      <c r="AA3931" s="14">
        <f>SUM(N3931:Y3931)</f>
        <v/>
      </c>
      <c r="AB3931" s="13">
        <f>SUMPRODUCT(N3931:Y3931,$N$3:$Y$3)*$K3931*$L3931*$M3931</f>
        <v/>
      </c>
      <c r="AC3931" s="13">
        <f>SUMPRODUCT(N3931:Y3931,$N$4:$Y$4)*$K3931*$L3931*$M3931</f>
        <v/>
      </c>
      <c r="AD3931" s="15" t="n">
        <v>3</v>
      </c>
      <c r="AE3931" s="11" t="n">
        <v>1.011296296296296</v>
      </c>
      <c r="AF3931" s="16">
        <f>SUMPRODUCT(N3931:Y3931,$N$5:$Y$5)*$K3931*$L3931*$M3931</f>
        <v/>
      </c>
      <c r="AG3931" s="16">
        <f>SUMPRODUCT(N3931:Y3931,$N$6:$Y$6)*$K3931*$L3931*$M3931</f>
        <v/>
      </c>
      <c r="AH3931" s="20" t="n"/>
    </row>
    <row r="3932">
      <c r="A3932" s="9" t="n">
        <v>527048</v>
      </c>
      <c r="B3932" s="9" t="inlineStr">
        <is>
          <t>Martín Pérez</t>
        </is>
      </c>
      <c r="C3932" s="9" t="inlineStr">
        <is>
          <t>ATL</t>
        </is>
      </c>
      <c r="D3932" s="9" t="n">
        <v>36</v>
      </c>
      <c r="E3932" s="18" t="inlineStr">
        <is>
          <t>L</t>
        </is>
      </c>
      <c r="F3932" s="18" t="n"/>
      <c r="G3932" s="9" t="n">
        <v>596</v>
      </c>
      <c r="H3932" s="9" t="n">
        <v>2843</v>
      </c>
      <c r="I3932" s="9" t="inlineStr">
        <is>
          <t>Mid-Rotation Starter (SP2-3)</t>
        </is>
      </c>
      <c r="J3932" s="18" t="inlineStr">
        <is>
          <t>Opening Day</t>
        </is>
      </c>
      <c r="K3932" s="11">
        <f>IFERROR(INDEX(Roles!$B$17:$B$20,MATCH(J3932,Roles!$A$17:$A$20,0)),1)</f>
        <v/>
      </c>
      <c r="L3932" s="19" t="n">
        <v>1</v>
      </c>
      <c r="M3932" s="11" t="n">
        <v>1</v>
      </c>
      <c r="N3932" s="19" t="n"/>
      <c r="O3932" s="19" t="n">
        <v>0.5</v>
      </c>
      <c r="P3932" s="19" t="n">
        <v>0.5</v>
      </c>
      <c r="Q3932" s="19" t="n"/>
      <c r="R3932" s="19" t="n"/>
      <c r="S3932" s="19" t="n"/>
      <c r="T3932" s="19" t="n"/>
      <c r="U3932" s="19" t="n"/>
      <c r="V3932" s="19" t="n"/>
      <c r="W3932" s="19" t="n"/>
      <c r="X3932" s="19" t="n"/>
      <c r="Y3932" s="19" t="n"/>
      <c r="Z3932" s="13">
        <f>SUMPRODUCT(N3932:Y3932,$N$2:$Y$2)*$K3932*$L3932*$M3932</f>
        <v/>
      </c>
      <c r="AA3932" s="14">
        <f>SUM(N3932:Y3932)</f>
        <v/>
      </c>
      <c r="AB3932" s="13">
        <f>SUMPRODUCT(N3932:Y3932,$N$3:$Y$3)*$K3932*$L3932*$M3932</f>
        <v/>
      </c>
      <c r="AC3932" s="13">
        <f>SUMPRODUCT(N3932:Y3932,$N$4:$Y$4)*$K3932*$L3932*$M3932</f>
        <v/>
      </c>
      <c r="AD3932" s="15" t="n">
        <v>24.2</v>
      </c>
      <c r="AE3932" s="11" t="n">
        <v>5.095137914913511</v>
      </c>
      <c r="AF3932" s="16">
        <f>SUMPRODUCT(N3932:Y3932,$N$5:$Y$5)*$K3932*$L3932*$M3932</f>
        <v/>
      </c>
      <c r="AG3932" s="16">
        <f>SUMPRODUCT(N3932:Y3932,$N$6:$Y$6)*$K3932*$L3932*$M3932</f>
        <v/>
      </c>
      <c r="AH3932" s="20" t="n"/>
    </row>
    <row r="3933">
      <c r="A3933" s="9" t="n">
        <v>666205</v>
      </c>
      <c r="B3933" s="9" t="inlineStr">
        <is>
          <t>Kyle Muller</t>
        </is>
      </c>
      <c r="C3933" s="9" t="inlineStr">
        <is>
          <t>OAK</t>
        </is>
      </c>
      <c r="D3933" s="9" t="n">
        <v>29</v>
      </c>
      <c r="E3933" s="18" t="inlineStr">
        <is>
          <t>L</t>
        </is>
      </c>
      <c r="F3933" s="18" t="n"/>
      <c r="G3933" s="9" t="n">
        <v>202</v>
      </c>
      <c r="H3933" s="9" t="n">
        <v>633</v>
      </c>
      <c r="I3933" s="9" t="inlineStr">
        <is>
          <t>Depth (no MLB IP)</t>
        </is>
      </c>
      <c r="J3933" s="18" t="inlineStr">
        <is>
          <t>Opening Day</t>
        </is>
      </c>
      <c r="K3933" s="11">
        <f>IFERROR(INDEX(Roles!$B$17:$B$20,MATCH(J3933,Roles!$A$17:$A$20,0)),1)</f>
        <v/>
      </c>
      <c r="L3933" s="19" t="n">
        <v>1</v>
      </c>
      <c r="M3933" s="11" t="n">
        <v>1</v>
      </c>
      <c r="N3933" s="19" t="n"/>
      <c r="O3933" s="19" t="n"/>
      <c r="P3933" s="19" t="n"/>
      <c r="Q3933" s="19" t="n"/>
      <c r="R3933" s="19" t="n"/>
      <c r="S3933" s="19" t="n"/>
      <c r="T3933" s="19" t="n"/>
      <c r="U3933" s="19" t="n"/>
      <c r="V3933" s="19" t="n"/>
      <c r="W3933" s="19" t="n"/>
      <c r="X3933" s="19" t="n"/>
      <c r="Y3933" s="19" t="n">
        <v>1</v>
      </c>
      <c r="Z3933" s="13">
        <f>SUMPRODUCT(N3933:Y3933,$N$2:$Y$2)*$K3933*$L3933*$M3933</f>
        <v/>
      </c>
      <c r="AA3933" s="14">
        <f>SUM(N3933:Y3933)</f>
        <v/>
      </c>
      <c r="AB3933" s="13">
        <f>SUMPRODUCT(N3933:Y3933,$N$3:$Y$3)*$K3933*$L3933*$M3933</f>
        <v/>
      </c>
      <c r="AC3933" s="13">
        <f>SUMPRODUCT(N3933:Y3933,$N$4:$Y$4)*$K3933*$L3933*$M3933</f>
        <v/>
      </c>
      <c r="AD3933" s="15" t="n">
        <v>13.8</v>
      </c>
      <c r="AE3933" s="11" t="n">
        <v>1.457266313932981</v>
      </c>
      <c r="AF3933" s="16">
        <f>SUMPRODUCT(N3933:Y3933,$N$5:$Y$5)*$K3933*$L3933*$M3933</f>
        <v/>
      </c>
      <c r="AG3933" s="16">
        <f>SUMPRODUCT(N3933:Y3933,$N$6:$Y$6)*$K3933*$L3933*$M3933</f>
        <v/>
      </c>
      <c r="AH3933" s="20" t="n"/>
    </row>
    <row r="3934">
      <c r="A3934" s="9" t="n">
        <v>547179</v>
      </c>
      <c r="B3934" s="9" t="inlineStr">
        <is>
          <t>Michael Lorenzen</t>
        </is>
      </c>
      <c r="C3934" s="9" t="inlineStr">
        <is>
          <t>TOR</t>
        </is>
      </c>
      <c r="D3934" s="9" t="n">
        <v>35</v>
      </c>
      <c r="E3934" s="18" t="inlineStr">
        <is>
          <t>R</t>
        </is>
      </c>
      <c r="F3934" s="18" t="n"/>
      <c r="G3934" s="9" t="n">
        <v>619</v>
      </c>
      <c r="H3934" s="9" t="n">
        <v>2796</v>
      </c>
      <c r="I3934" s="9" t="inlineStr">
        <is>
          <t>End-of-Rotation Starter (SP4-5)</t>
        </is>
      </c>
      <c r="J3934" s="18" t="inlineStr">
        <is>
          <t>Opening Day</t>
        </is>
      </c>
      <c r="K3934" s="11">
        <f>IFERROR(INDEX(Roles!$B$17:$B$20,MATCH(J3934,Roles!$A$17:$A$20,0)),1)</f>
        <v/>
      </c>
      <c r="L3934" s="19" t="n">
        <v>1</v>
      </c>
      <c r="M3934" s="11" t="n">
        <v>1</v>
      </c>
      <c r="N3934" s="19" t="n"/>
      <c r="O3934" s="19" t="n"/>
      <c r="P3934" s="19" t="n">
        <v>1</v>
      </c>
      <c r="Q3934" s="19" t="n"/>
      <c r="R3934" s="19" t="n"/>
      <c r="S3934" s="19" t="n"/>
      <c r="T3934" s="19" t="n"/>
      <c r="U3934" s="19" t="n"/>
      <c r="V3934" s="19" t="n"/>
      <c r="W3934" s="19" t="n"/>
      <c r="X3934" s="19" t="n"/>
      <c r="Y3934" s="19" t="n"/>
      <c r="Z3934" s="13">
        <f>SUMPRODUCT(N3934:Y3934,$N$2:$Y$2)*$K3934*$L3934*$M3934</f>
        <v/>
      </c>
      <c r="AA3934" s="14">
        <f>SUM(N3934:Y3934)</f>
        <v/>
      </c>
      <c r="AB3934" s="13">
        <f>SUMPRODUCT(N3934:Y3934,$N$3:$Y$3)*$K3934*$L3934*$M3934</f>
        <v/>
      </c>
      <c r="AC3934" s="13">
        <f>SUMPRODUCT(N3934:Y3934,$N$4:$Y$4)*$K3934*$L3934*$M3934</f>
        <v/>
      </c>
      <c r="AD3934" s="15" t="n">
        <v>24</v>
      </c>
      <c r="AE3934" s="11" t="n">
        <v>4.543981481481481</v>
      </c>
      <c r="AF3934" s="16">
        <f>SUMPRODUCT(N3934:Y3934,$N$5:$Y$5)*$K3934*$L3934*$M3934</f>
        <v/>
      </c>
      <c r="AG3934" s="16">
        <f>SUMPRODUCT(N3934:Y3934,$N$6:$Y$6)*$K3934*$L3934*$M3934</f>
        <v/>
      </c>
      <c r="AH3934" s="20" t="n"/>
    </row>
    <row r="3935">
      <c r="A3935" s="9" t="n">
        <v>663978</v>
      </c>
      <c r="B3935" s="9" t="inlineStr">
        <is>
          <t>Chris Paddack</t>
        </is>
      </c>
      <c r="C3935" s="9" t="inlineStr">
        <is>
          <t>TEX</t>
        </is>
      </c>
      <c r="D3935" s="9" t="n">
        <v>31</v>
      </c>
      <c r="E3935" s="18" t="inlineStr">
        <is>
          <t>R</t>
        </is>
      </c>
      <c r="F3935" s="18" t="n"/>
      <c r="G3935" s="9" t="n">
        <v>267</v>
      </c>
      <c r="H3935" s="9" t="n">
        <v>1436</v>
      </c>
      <c r="I3935" s="9" t="inlineStr">
        <is>
          <t>End-of-Rotation Starter (SP4-5)</t>
        </is>
      </c>
      <c r="J3935" s="18" t="inlineStr">
        <is>
          <t>Opening Day</t>
        </is>
      </c>
      <c r="K3935" s="11">
        <f>IFERROR(INDEX(Roles!$B$17:$B$20,MATCH(J3935,Roles!$A$17:$A$20,0)),1)</f>
        <v/>
      </c>
      <c r="L3935" s="19" t="n">
        <v>1</v>
      </c>
      <c r="M3935" s="11" t="n">
        <v>1</v>
      </c>
      <c r="N3935" s="19" t="n"/>
      <c r="O3935" s="19" t="n"/>
      <c r="P3935" s="19" t="n">
        <v>1</v>
      </c>
      <c r="Q3935" s="19" t="n"/>
      <c r="R3935" s="19" t="n"/>
      <c r="S3935" s="19" t="n"/>
      <c r="T3935" s="19" t="n"/>
      <c r="U3935" s="19" t="n"/>
      <c r="V3935" s="19" t="n"/>
      <c r="W3935" s="19" t="n"/>
      <c r="X3935" s="19" t="n"/>
      <c r="Y3935" s="19" t="n"/>
      <c r="Z3935" s="13">
        <f>SUMPRODUCT(N3935:Y3935,$N$2:$Y$2)*$K3935*$L3935*$M3935</f>
        <v/>
      </c>
      <c r="AA3935" s="14">
        <f>SUM(N3935:Y3935)</f>
        <v/>
      </c>
      <c r="AB3935" s="13">
        <f>SUMPRODUCT(N3935:Y3935,$N$3:$Y$3)*$K3935*$L3935*$M3935</f>
        <v/>
      </c>
      <c r="AC3935" s="13">
        <f>SUMPRODUCT(N3935:Y3935,$N$4:$Y$4)*$K3935*$L3935*$M3935</f>
        <v/>
      </c>
      <c r="AD3935" s="15" t="n">
        <v>18.9</v>
      </c>
      <c r="AE3935" s="11" t="n">
        <v>4.571259259259259</v>
      </c>
      <c r="AF3935" s="16">
        <f>SUMPRODUCT(N3935:Y3935,$N$5:$Y$5)*$K3935*$L3935*$M3935</f>
        <v/>
      </c>
      <c r="AG3935" s="16">
        <f>SUMPRODUCT(N3935:Y3935,$N$6:$Y$6)*$K3935*$L3935*$M3935</f>
        <v/>
      </c>
      <c r="AH3935" s="20" t="n"/>
    </row>
    <row r="3936">
      <c r="A3936" s="9" t="n">
        <v>643493</v>
      </c>
      <c r="B3936" s="9" t="inlineStr">
        <is>
          <t>Austin Pruitt</t>
        </is>
      </c>
      <c r="C3936" s="9" t="inlineStr">
        <is>
          <t>OAK</t>
        </is>
      </c>
      <c r="D3936" s="9" t="n">
        <v>37</v>
      </c>
      <c r="E3936" s="18" t="inlineStr">
        <is>
          <t>R</t>
        </is>
      </c>
      <c r="F3936" s="18" t="n"/>
      <c r="G3936" s="9" t="n">
        <v>24</v>
      </c>
      <c r="H3936" s="9" t="n">
        <v>444</v>
      </c>
      <c r="I3936" s="9" t="inlineStr">
        <is>
          <t>Depth (no MLB IP)</t>
        </is>
      </c>
      <c r="J3936" s="18" t="inlineStr">
        <is>
          <t>Opening Day</t>
        </is>
      </c>
      <c r="K3936" s="11">
        <f>IFERROR(INDEX(Roles!$B$17:$B$20,MATCH(J3936,Roles!$A$17:$A$20,0)),1)</f>
        <v/>
      </c>
      <c r="L3936" s="19" t="n">
        <v>1</v>
      </c>
      <c r="M3936" s="11" t="n">
        <v>1</v>
      </c>
      <c r="N3936" s="19" t="n"/>
      <c r="O3936" s="19" t="n"/>
      <c r="P3936" s="19" t="n"/>
      <c r="Q3936" s="19" t="n"/>
      <c r="R3936" s="19" t="n"/>
      <c r="S3936" s="19" t="n"/>
      <c r="T3936" s="19" t="n"/>
      <c r="U3936" s="19" t="n"/>
      <c r="V3936" s="19" t="n"/>
      <c r="W3936" s="19" t="n"/>
      <c r="X3936" s="19" t="n"/>
      <c r="Y3936" s="19" t="n">
        <v>1</v>
      </c>
      <c r="Z3936" s="13">
        <f>SUMPRODUCT(N3936:Y3936,$N$2:$Y$2)*$K3936*$L3936*$M3936</f>
        <v/>
      </c>
      <c r="AA3936" s="14">
        <f>SUM(N3936:Y3936)</f>
        <v/>
      </c>
      <c r="AB3936" s="13">
        <f>SUMPRODUCT(N3936:Y3936,$N$3:$Y$3)*$K3936*$L3936*$M3936</f>
        <v/>
      </c>
      <c r="AC3936" s="13">
        <f>SUMPRODUCT(N3936:Y3936,$N$4:$Y$4)*$K3936*$L3936*$M3936</f>
        <v/>
      </c>
      <c r="AD3936" s="15" t="n">
        <v>3.6</v>
      </c>
      <c r="AE3936" s="11" t="n">
        <v>1.035308641975309</v>
      </c>
      <c r="AF3936" s="16">
        <f>SUMPRODUCT(N3936:Y3936,$N$5:$Y$5)*$K3936*$L3936*$M3936</f>
        <v/>
      </c>
      <c r="AG3936" s="16">
        <f>SUMPRODUCT(N3936:Y3936,$N$6:$Y$6)*$K3936*$L3936*$M3936</f>
        <v/>
      </c>
      <c r="AH3936" s="20" t="n"/>
    </row>
    <row r="3937">
      <c r="A3937" s="9" t="n">
        <v>668820</v>
      </c>
      <c r="B3937" s="9" t="inlineStr">
        <is>
          <t>Max Kranick</t>
        </is>
      </c>
      <c r="C3937" s="9" t="inlineStr">
        <is>
          <t>WSH</t>
        </is>
      </c>
      <c r="D3937" s="9" t="n">
        <v>29</v>
      </c>
      <c r="E3937" s="18" t="inlineStr">
        <is>
          <t>R</t>
        </is>
      </c>
      <c r="F3937" s="18" t="n"/>
      <c r="G3937" s="9" t="n">
        <v>94</v>
      </c>
      <c r="H3937" s="9" t="n">
        <v>261</v>
      </c>
      <c r="I3937" s="9" t="inlineStr">
        <is>
          <t>Bullpen Depth Arm</t>
        </is>
      </c>
      <c r="J3937" s="18" t="inlineStr">
        <is>
          <t>Opening Day</t>
        </is>
      </c>
      <c r="K3937" s="11">
        <f>IFERROR(INDEX(Roles!$B$17:$B$20,MATCH(J3937,Roles!$A$17:$A$20,0)),1)</f>
        <v/>
      </c>
      <c r="L3937" s="19" t="n">
        <v>1</v>
      </c>
      <c r="M3937" s="11" t="n">
        <v>1</v>
      </c>
      <c r="N3937" s="19" t="n"/>
      <c r="O3937" s="19" t="n"/>
      <c r="P3937" s="19" t="n"/>
      <c r="Q3937" s="19" t="n"/>
      <c r="R3937" s="19" t="n"/>
      <c r="S3937" s="19" t="n"/>
      <c r="T3937" s="19" t="n"/>
      <c r="U3937" s="19" t="n"/>
      <c r="V3937" s="19" t="n"/>
      <c r="W3937" s="19" t="n">
        <v>1</v>
      </c>
      <c r="X3937" s="19" t="n"/>
      <c r="Y3937" s="19" t="n"/>
      <c r="Z3937" s="13">
        <f>SUMPRODUCT(N3937:Y3937,$N$2:$Y$2)*$K3937*$L3937*$M3937</f>
        <v/>
      </c>
      <c r="AA3937" s="14">
        <f>SUM(N3937:Y3937)</f>
        <v/>
      </c>
      <c r="AB3937" s="13">
        <f>SUMPRODUCT(N3937:Y3937,$N$3:$Y$3)*$K3937*$L3937*$M3937</f>
        <v/>
      </c>
      <c r="AC3937" s="13">
        <f>SUMPRODUCT(N3937:Y3937,$N$4:$Y$4)*$K3937*$L3937*$M3937</f>
        <v/>
      </c>
      <c r="AD3937" s="15" t="n">
        <v>17.54666666666667</v>
      </c>
      <c r="AE3937" s="11" t="n">
        <v>1.235850569183902</v>
      </c>
      <c r="AF3937" s="16">
        <f>SUMPRODUCT(N3937:Y3937,$N$5:$Y$5)*$K3937*$L3937*$M3937</f>
        <v/>
      </c>
      <c r="AG3937" s="16">
        <f>SUMPRODUCT(N3937:Y3937,$N$6:$Y$6)*$K3937*$L3937*$M3937</f>
        <v/>
      </c>
      <c r="AH3937" s="20" t="n"/>
    </row>
    <row r="3938">
      <c r="A3938" s="9" t="n">
        <v>548389</v>
      </c>
      <c r="B3938" s="9" t="inlineStr">
        <is>
          <t>Ross Stripling</t>
        </is>
      </c>
      <c r="C3938" s="9" t="inlineStr">
        <is>
          <t>OAK</t>
        </is>
      </c>
      <c r="D3938" s="9" t="n">
        <v>37</v>
      </c>
      <c r="E3938" s="18" t="inlineStr">
        <is>
          <t>R</t>
        </is>
      </c>
      <c r="F3938" s="18" t="n"/>
      <c r="G3938" s="9" t="n">
        <v>381</v>
      </c>
      <c r="H3938" s="9" t="n">
        <v>1298</v>
      </c>
      <c r="I3938" s="9" t="inlineStr">
        <is>
          <t>Depth (no MLB IP)</t>
        </is>
      </c>
      <c r="J3938" s="18" t="inlineStr">
        <is>
          <t>Opening Day</t>
        </is>
      </c>
      <c r="K3938" s="11">
        <f>IFERROR(INDEX(Roles!$B$17:$B$20,MATCH(J3938,Roles!$A$17:$A$20,0)),1)</f>
        <v/>
      </c>
      <c r="L3938" s="19" t="n">
        <v>1</v>
      </c>
      <c r="M3938" s="11" t="n">
        <v>1</v>
      </c>
      <c r="N3938" s="19" t="n"/>
      <c r="O3938" s="19" t="n"/>
      <c r="P3938" s="19" t="n"/>
      <c r="Q3938" s="19" t="n"/>
      <c r="R3938" s="19" t="n"/>
      <c r="S3938" s="19" t="n"/>
      <c r="T3938" s="19" t="n"/>
      <c r="U3938" s="19" t="n"/>
      <c r="V3938" s="19" t="n"/>
      <c r="W3938" s="19" t="n"/>
      <c r="X3938" s="19" t="n"/>
      <c r="Y3938" s="19" t="n">
        <v>1</v>
      </c>
      <c r="Z3938" s="13">
        <f>SUMPRODUCT(N3938:Y3938,$N$2:$Y$2)*$K3938*$L3938*$M3938</f>
        <v/>
      </c>
      <c r="AA3938" s="14">
        <f>SUM(N3938:Y3938)</f>
        <v/>
      </c>
      <c r="AB3938" s="13">
        <f>SUMPRODUCT(N3938:Y3938,$N$3:$Y$3)*$K3938*$L3938*$M3938</f>
        <v/>
      </c>
      <c r="AC3938" s="13">
        <f>SUMPRODUCT(N3938:Y3938,$N$4:$Y$4)*$K3938*$L3938*$M3938</f>
        <v/>
      </c>
      <c r="AD3938" s="15" t="n">
        <v>14.4</v>
      </c>
      <c r="AE3938" s="11" t="n">
        <v>1.96712682379349</v>
      </c>
      <c r="AF3938" s="16">
        <f>SUMPRODUCT(N3938:Y3938,$N$5:$Y$5)*$K3938*$L3938*$M3938</f>
        <v/>
      </c>
      <c r="AG3938" s="16">
        <f>SUMPRODUCT(N3938:Y3938,$N$6:$Y$6)*$K3938*$L3938*$M3938</f>
        <v/>
      </c>
      <c r="AH3938" s="20" t="n"/>
    </row>
    <row r="3939">
      <c r="A3939" s="9" t="n">
        <v>694372</v>
      </c>
      <c r="B3939" s="9" t="inlineStr">
        <is>
          <t>Adam Seminaris</t>
        </is>
      </c>
      <c r="C3939" s="9" t="inlineStr">
        <is>
          <t>PHI</t>
        </is>
      </c>
      <c r="D3939" s="9" t="n">
        <v>25</v>
      </c>
      <c r="E3939" s="18" t="inlineStr">
        <is>
          <t>L</t>
        </is>
      </c>
      <c r="F3939" s="18" t="n"/>
      <c r="G3939" s="9" t="n">
        <v>208.1916666666666</v>
      </c>
      <c r="H3939" s="9" t="n">
        <v>208.1916666666666</v>
      </c>
      <c r="I3939" s="9" t="inlineStr">
        <is>
          <t>Depth (no MLB IP)</t>
        </is>
      </c>
      <c r="J3939" s="18" t="inlineStr">
        <is>
          <t>Opening Day</t>
        </is>
      </c>
      <c r="K3939" s="11">
        <f>IFERROR(INDEX(Roles!$B$17:$B$20,MATCH(J3939,Roles!$A$17:$A$20,0)),1)</f>
        <v/>
      </c>
      <c r="L3939" s="19" t="n">
        <v>1</v>
      </c>
      <c r="M3939" s="11" t="n">
        <v>1</v>
      </c>
      <c r="N3939" s="19" t="n"/>
      <c r="O3939" s="19" t="n"/>
      <c r="P3939" s="19" t="n"/>
      <c r="Q3939" s="19" t="n"/>
      <c r="R3939" s="19" t="n"/>
      <c r="S3939" s="19" t="n"/>
      <c r="T3939" s="19" t="n"/>
      <c r="U3939" s="19" t="n"/>
      <c r="V3939" s="19" t="n"/>
      <c r="W3939" s="19" t="n"/>
      <c r="X3939" s="19" t="n"/>
      <c r="Y3939" s="19" t="n">
        <v>1</v>
      </c>
      <c r="Z3939" s="13">
        <f>SUMPRODUCT(N3939:Y3939,$N$2:$Y$2)*$K3939*$L3939*$M3939</f>
        <v/>
      </c>
      <c r="AA3939" s="14">
        <f>SUM(N3939:Y3939)</f>
        <v/>
      </c>
      <c r="AB3939" s="13">
        <f>SUMPRODUCT(N3939:Y3939,$N$3:$Y$3)*$K3939*$L3939*$M3939</f>
        <v/>
      </c>
      <c r="AC3939" s="13">
        <f>SUMPRODUCT(N3939:Y3939,$N$4:$Y$4)*$K3939*$L3939*$M3939</f>
        <v/>
      </c>
      <c r="AD3939" s="15" t="n">
        <v>3</v>
      </c>
      <c r="AE3939" s="11" t="n">
        <v>1.011296296296296</v>
      </c>
      <c r="AF3939" s="16">
        <f>SUMPRODUCT(N3939:Y3939,$N$5:$Y$5)*$K3939*$L3939*$M3939</f>
        <v/>
      </c>
      <c r="AG3939" s="16">
        <f>SUMPRODUCT(N3939:Y3939,$N$6:$Y$6)*$K3939*$L3939*$M3939</f>
        <v/>
      </c>
      <c r="AH3939" s="20" t="n"/>
    </row>
    <row r="3940">
      <c r="A3940" s="9" t="n">
        <v>677865</v>
      </c>
      <c r="B3940" s="9" t="inlineStr">
        <is>
          <t>Justin Bruihl</t>
        </is>
      </c>
      <c r="C3940" s="9" t="inlineStr">
        <is>
          <t>STL</t>
        </is>
      </c>
      <c r="D3940" s="9" t="n">
        <v>30</v>
      </c>
      <c r="E3940" s="18" t="inlineStr">
        <is>
          <t>L</t>
        </is>
      </c>
      <c r="F3940" s="18" t="n"/>
      <c r="G3940" s="9" t="n">
        <v>346</v>
      </c>
      <c r="H3940" s="9" t="n">
        <v>659</v>
      </c>
      <c r="I3940" s="9" t="inlineStr">
        <is>
          <t>Middle Relief</t>
        </is>
      </c>
      <c r="J3940" s="18" t="inlineStr">
        <is>
          <t>Opening Day</t>
        </is>
      </c>
      <c r="K3940" s="11">
        <f>IFERROR(INDEX(Roles!$B$17:$B$20,MATCH(J3940,Roles!$A$17:$A$20,0)),1)</f>
        <v/>
      </c>
      <c r="L3940" s="19" t="n">
        <v>1</v>
      </c>
      <c r="M3940" s="11" t="n">
        <v>1</v>
      </c>
      <c r="N3940" s="19" t="n"/>
      <c r="O3940" s="19" t="n"/>
      <c r="P3940" s="19" t="n"/>
      <c r="Q3940" s="19" t="n"/>
      <c r="R3940" s="19" t="n"/>
      <c r="S3940" s="19" t="n"/>
      <c r="T3940" s="19" t="n"/>
      <c r="U3940" s="19" t="n">
        <v>0.4</v>
      </c>
      <c r="V3940" s="19" t="n">
        <v>0.6</v>
      </c>
      <c r="W3940" s="19" t="n"/>
      <c r="X3940" s="19" t="n"/>
      <c r="Y3940" s="19" t="n"/>
      <c r="Z3940" s="13">
        <f>SUMPRODUCT(N3940:Y3940,$N$2:$Y$2)*$K3940*$L3940*$M3940</f>
        <v/>
      </c>
      <c r="AA3940" s="14">
        <f>SUM(N3940:Y3940)</f>
        <v/>
      </c>
      <c r="AB3940" s="13">
        <f>SUMPRODUCT(N3940:Y3940,$N$3:$Y$3)*$K3940*$L3940*$M3940</f>
        <v/>
      </c>
      <c r="AC3940" s="13">
        <f>SUMPRODUCT(N3940:Y3940,$N$4:$Y$4)*$K3940*$L3940*$M3940</f>
        <v/>
      </c>
      <c r="AD3940" s="15" t="n">
        <v>40.33333333333333</v>
      </c>
      <c r="AE3940" s="11" t="n">
        <v>1.03549793144208</v>
      </c>
      <c r="AF3940" s="16">
        <f>SUMPRODUCT(N3940:Y3940,$N$5:$Y$5)*$K3940*$L3940*$M3940</f>
        <v/>
      </c>
      <c r="AG3940" s="16">
        <f>SUMPRODUCT(N3940:Y3940,$N$6:$Y$6)*$K3940*$L3940*$M3940</f>
        <v/>
      </c>
      <c r="AH3940" s="20" t="n"/>
    </row>
    <row r="3941">
      <c r="A3941" s="9" t="n">
        <v>571578</v>
      </c>
      <c r="B3941" s="9" t="inlineStr">
        <is>
          <t>Patrick Corbin</t>
        </is>
      </c>
      <c r="C3941" s="9" t="inlineStr">
        <is>
          <t>TOR</t>
        </is>
      </c>
      <c r="D3941" s="9" t="n">
        <v>37</v>
      </c>
      <c r="E3941" s="18" t="inlineStr">
        <is>
          <t>L</t>
        </is>
      </c>
      <c r="F3941" s="18" t="n"/>
      <c r="G3941" s="9" t="n">
        <v>360</v>
      </c>
      <c r="H3941" s="9" t="n">
        <v>3290</v>
      </c>
      <c r="I3941" s="9" t="inlineStr">
        <is>
          <t>Bullpen Depth Arm</t>
        </is>
      </c>
      <c r="J3941" s="18" t="inlineStr">
        <is>
          <t>Opening Day</t>
        </is>
      </c>
      <c r="K3941" s="11">
        <f>IFERROR(INDEX(Roles!$B$17:$B$20,MATCH(J3941,Roles!$A$17:$A$20,0)),1)</f>
        <v/>
      </c>
      <c r="L3941" s="19" t="n">
        <v>1</v>
      </c>
      <c r="M3941" s="11" t="n">
        <v>1</v>
      </c>
      <c r="N3941" s="19" t="n"/>
      <c r="O3941" s="19" t="n"/>
      <c r="P3941" s="19" t="n"/>
      <c r="Q3941" s="19" t="n"/>
      <c r="R3941" s="19" t="n"/>
      <c r="S3941" s="19" t="n"/>
      <c r="T3941" s="19" t="n"/>
      <c r="U3941" s="19" t="n"/>
      <c r="V3941" s="19" t="n"/>
      <c r="W3941" s="19" t="n">
        <v>1</v>
      </c>
      <c r="X3941" s="19" t="n"/>
      <c r="Y3941" s="19" t="n"/>
      <c r="Z3941" s="13">
        <f>SUMPRODUCT(N3941:Y3941,$N$2:$Y$2)*$K3941*$L3941*$M3941</f>
        <v/>
      </c>
      <c r="AA3941" s="14">
        <f>SUM(N3941:Y3941)</f>
        <v/>
      </c>
      <c r="AB3941" s="13">
        <f>SUMPRODUCT(N3941:Y3941,$N$3:$Y$3)*$K3941*$L3941*$M3941</f>
        <v/>
      </c>
      <c r="AC3941" s="13">
        <f>SUMPRODUCT(N3941:Y3941,$N$4:$Y$4)*$K3941*$L3941*$M3941</f>
        <v/>
      </c>
      <c r="AD3941" s="15" t="n">
        <v>20.76666666666667</v>
      </c>
      <c r="AE3941" s="11" t="n">
        <v>2.402684471117142</v>
      </c>
      <c r="AF3941" s="16">
        <f>SUMPRODUCT(N3941:Y3941,$N$5:$Y$5)*$K3941*$L3941*$M3941</f>
        <v/>
      </c>
      <c r="AG3941" s="16">
        <f>SUMPRODUCT(N3941:Y3941,$N$6:$Y$6)*$K3941*$L3941*$M3941</f>
        <v/>
      </c>
      <c r="AH3941" s="20" t="n"/>
    </row>
    <row r="3942">
      <c r="A3942" s="9" t="n">
        <v>663738</v>
      </c>
      <c r="B3942" s="9" t="inlineStr">
        <is>
          <t>Daniel Lynch IV</t>
        </is>
      </c>
      <c r="C3942" s="9" t="inlineStr">
        <is>
          <t>KC</t>
        </is>
      </c>
      <c r="D3942" s="9" t="n">
        <v>30</v>
      </c>
      <c r="E3942" s="18" t="inlineStr">
        <is>
          <t>L</t>
        </is>
      </c>
      <c r="F3942" s="18" t="n"/>
      <c r="G3942" s="9" t="n">
        <v>356</v>
      </c>
      <c r="H3942" s="9" t="n">
        <v>1642</v>
      </c>
      <c r="I3942" s="9" t="inlineStr">
        <is>
          <t>End-of-Rotation Starter (SP4-5)</t>
        </is>
      </c>
      <c r="J3942" s="18" t="inlineStr">
        <is>
          <t>Opening Day</t>
        </is>
      </c>
      <c r="K3942" s="11">
        <f>IFERROR(INDEX(Roles!$B$17:$B$20,MATCH(J3942,Roles!$A$17:$A$20,0)),1)</f>
        <v/>
      </c>
      <c r="L3942" s="19" t="n">
        <v>1</v>
      </c>
      <c r="M3942" s="11" t="n">
        <v>1</v>
      </c>
      <c r="N3942" s="19" t="n"/>
      <c r="O3942" s="19" t="n"/>
      <c r="P3942" s="19" t="n">
        <v>0.5</v>
      </c>
      <c r="Q3942" s="19" t="n"/>
      <c r="R3942" s="19" t="n">
        <v>0.5</v>
      </c>
      <c r="S3942" s="19" t="n"/>
      <c r="T3942" s="19" t="n"/>
      <c r="U3942" s="19" t="n"/>
      <c r="V3942" s="19" t="n"/>
      <c r="W3942" s="19" t="n"/>
      <c r="X3942" s="19" t="n"/>
      <c r="Y3942" s="19" t="n"/>
      <c r="Z3942" s="13">
        <f>SUMPRODUCT(N3942:Y3942,$N$2:$Y$2)*$K3942*$L3942*$M3942</f>
        <v/>
      </c>
      <c r="AA3942" s="14">
        <f>SUM(N3942:Y3942)</f>
        <v/>
      </c>
      <c r="AB3942" s="13">
        <f>SUMPRODUCT(N3942:Y3942,$N$3:$Y$3)*$K3942*$L3942*$M3942</f>
        <v/>
      </c>
      <c r="AC3942" s="13">
        <f>SUMPRODUCT(N3942:Y3942,$N$4:$Y$4)*$K3942*$L3942*$M3942</f>
        <v/>
      </c>
      <c r="AD3942" s="15" t="n">
        <v>36.2</v>
      </c>
      <c r="AE3942" s="11" t="n">
        <v>3.525478498632861</v>
      </c>
      <c r="AF3942" s="16">
        <f>SUMPRODUCT(N3942:Y3942,$N$5:$Y$5)*$K3942*$L3942*$M3942</f>
        <v/>
      </c>
      <c r="AG3942" s="16">
        <f>SUMPRODUCT(N3942:Y3942,$N$6:$Y$6)*$K3942*$L3942*$M3942</f>
        <v/>
      </c>
      <c r="AH3942" s="20" t="n"/>
    </row>
    <row r="3943">
      <c r="A3943" s="9" t="n">
        <v>681867</v>
      </c>
      <c r="B3943" s="9" t="inlineStr">
        <is>
          <t>Cooper Criswell</t>
        </is>
      </c>
      <c r="C3943" s="9" t="inlineStr">
        <is>
          <t>SEA</t>
        </is>
      </c>
      <c r="D3943" s="9" t="n">
        <v>30</v>
      </c>
      <c r="E3943" s="18" t="inlineStr">
        <is>
          <t>R</t>
        </is>
      </c>
      <c r="F3943" s="18" t="n"/>
      <c r="G3943" s="9" t="n">
        <v>172</v>
      </c>
      <c r="H3943" s="9" t="n">
        <v>840</v>
      </c>
      <c r="I3943" s="9" t="inlineStr">
        <is>
          <t>Swing Arm / Long Relief</t>
        </is>
      </c>
      <c r="J3943" s="18" t="inlineStr">
        <is>
          <t>Opening Day</t>
        </is>
      </c>
      <c r="K3943" s="11">
        <f>IFERROR(INDEX(Roles!$B$17:$B$20,MATCH(J3943,Roles!$A$17:$A$20,0)),1)</f>
        <v/>
      </c>
      <c r="L3943" s="19" t="n">
        <v>1</v>
      </c>
      <c r="M3943" s="11" t="n">
        <v>1</v>
      </c>
      <c r="N3943" s="19" t="n"/>
      <c r="O3943" s="19" t="n"/>
      <c r="P3943" s="19" t="n"/>
      <c r="Q3943" s="19" t="n"/>
      <c r="R3943" s="19" t="n">
        <v>0.6</v>
      </c>
      <c r="S3943" s="19" t="n"/>
      <c r="T3943" s="19" t="n"/>
      <c r="U3943" s="19" t="n"/>
      <c r="V3943" s="19" t="n">
        <v>0.4</v>
      </c>
      <c r="W3943" s="19" t="n"/>
      <c r="X3943" s="19" t="n"/>
      <c r="Y3943" s="19" t="n"/>
      <c r="Z3943" s="13">
        <f>SUMPRODUCT(N3943:Y3943,$N$2:$Y$2)*$K3943*$L3943*$M3943</f>
        <v/>
      </c>
      <c r="AA3943" s="14">
        <f>SUM(N3943:Y3943)</f>
        <v/>
      </c>
      <c r="AB3943" s="13">
        <f>SUMPRODUCT(N3943:Y3943,$N$3:$Y$3)*$K3943*$L3943*$M3943</f>
        <v/>
      </c>
      <c r="AC3943" s="13">
        <f>SUMPRODUCT(N3943:Y3943,$N$4:$Y$4)*$K3943*$L3943*$M3943</f>
        <v/>
      </c>
      <c r="AD3943" s="15" t="n">
        <v>23.23333333333333</v>
      </c>
      <c r="AE3943" s="11" t="n">
        <v>2.235081243440814</v>
      </c>
      <c r="AF3943" s="16">
        <f>SUMPRODUCT(N3943:Y3943,$N$5:$Y$5)*$K3943*$L3943*$M3943</f>
        <v/>
      </c>
      <c r="AG3943" s="16">
        <f>SUMPRODUCT(N3943:Y3943,$N$6:$Y$6)*$K3943*$L3943*$M3943</f>
        <v/>
      </c>
      <c r="AH3943" s="20" t="n"/>
    </row>
    <row r="3944">
      <c r="A3944" s="9" t="n">
        <v>695076</v>
      </c>
      <c r="B3944" s="9" t="inlineStr">
        <is>
          <t>Rhett Lowder</t>
        </is>
      </c>
      <c r="C3944" s="9" t="inlineStr">
        <is>
          <t>CIN</t>
        </is>
      </c>
      <c r="D3944" s="9" t="n">
        <v>25</v>
      </c>
      <c r="E3944" s="18" t="inlineStr">
        <is>
          <t>R</t>
        </is>
      </c>
      <c r="F3944" s="18" t="n"/>
      <c r="G3944" s="9" t="n">
        <v>603</v>
      </c>
      <c r="H3944" s="9" t="n">
        <v>731</v>
      </c>
      <c r="I3944" s="9" t="inlineStr">
        <is>
          <t>End-of-Rotation Starter (SP4-5)</t>
        </is>
      </c>
      <c r="J3944" s="18" t="inlineStr">
        <is>
          <t>Opening Day</t>
        </is>
      </c>
      <c r="K3944" s="11">
        <f>IFERROR(INDEX(Roles!$B$17:$B$20,MATCH(J3944,Roles!$A$17:$A$20,0)),1)</f>
        <v/>
      </c>
      <c r="L3944" s="19" t="n">
        <v>1</v>
      </c>
      <c r="M3944" s="11" t="n">
        <v>1</v>
      </c>
      <c r="N3944" s="19" t="n"/>
      <c r="O3944" s="19" t="n"/>
      <c r="P3944" s="19" t="n">
        <v>0.5</v>
      </c>
      <c r="Q3944" s="19" t="n"/>
      <c r="R3944" s="19" t="n">
        <v>0.5</v>
      </c>
      <c r="S3944" s="19" t="n"/>
      <c r="T3944" s="19" t="n"/>
      <c r="U3944" s="19" t="n"/>
      <c r="V3944" s="19" t="n"/>
      <c r="W3944" s="19" t="n"/>
      <c r="X3944" s="19" t="n"/>
      <c r="Y3944" s="19" t="n"/>
      <c r="Z3944" s="13">
        <f>SUMPRODUCT(N3944:Y3944,$N$2:$Y$2)*$K3944*$L3944*$M3944</f>
        <v/>
      </c>
      <c r="AA3944" s="14">
        <f>SUM(N3944:Y3944)</f>
        <v/>
      </c>
      <c r="AB3944" s="13">
        <f>SUMPRODUCT(N3944:Y3944,$N$3:$Y$3)*$K3944*$L3944*$M3944</f>
        <v/>
      </c>
      <c r="AC3944" s="13">
        <f>SUMPRODUCT(N3944:Y3944,$N$4:$Y$4)*$K3944*$L3944*$M3944</f>
        <v/>
      </c>
      <c r="AD3944" s="15" t="n">
        <v>20.35</v>
      </c>
      <c r="AE3944" s="11" t="n">
        <v>4.580645161290323</v>
      </c>
      <c r="AF3944" s="16">
        <f>SUMPRODUCT(N3944:Y3944,$N$5:$Y$5)*$K3944*$L3944*$M3944</f>
        <v/>
      </c>
      <c r="AG3944" s="16">
        <f>SUMPRODUCT(N3944:Y3944,$N$6:$Y$6)*$K3944*$L3944*$M3944</f>
        <v/>
      </c>
      <c r="AH3944" s="20" t="n"/>
    </row>
    <row r="3945">
      <c r="A3945" s="9" t="n">
        <v>656970</v>
      </c>
      <c r="B3945" s="9" t="inlineStr">
        <is>
          <t>Devin Smeltzer</t>
        </is>
      </c>
      <c r="C3945" s="9" t="inlineStr">
        <is>
          <t>MIA</t>
        </is>
      </c>
      <c r="D3945" s="9" t="n">
        <v>31</v>
      </c>
      <c r="E3945" s="18" t="inlineStr">
        <is>
          <t>L</t>
        </is>
      </c>
      <c r="F3945" s="18" t="n"/>
      <c r="G3945" s="9" t="n">
        <v>100</v>
      </c>
      <c r="H3945" s="9" t="n">
        <v>387</v>
      </c>
      <c r="I3945" s="9" t="inlineStr">
        <is>
          <t>Depth (no MLB IP)</t>
        </is>
      </c>
      <c r="J3945" s="18" t="inlineStr">
        <is>
          <t>Opening Day</t>
        </is>
      </c>
      <c r="K3945" s="11">
        <f>IFERROR(INDEX(Roles!$B$17:$B$20,MATCH(J3945,Roles!$A$17:$A$20,0)),1)</f>
        <v/>
      </c>
      <c r="L3945" s="19" t="n">
        <v>1</v>
      </c>
      <c r="M3945" s="11" t="n">
        <v>1</v>
      </c>
      <c r="N3945" s="19" t="n"/>
      <c r="O3945" s="19" t="n"/>
      <c r="P3945" s="19" t="n"/>
      <c r="Q3945" s="19" t="n"/>
      <c r="R3945" s="19" t="n"/>
      <c r="S3945" s="19" t="n"/>
      <c r="T3945" s="19" t="n"/>
      <c r="U3945" s="19" t="n"/>
      <c r="V3945" s="19" t="n"/>
      <c r="W3945" s="19" t="n"/>
      <c r="X3945" s="19" t="n"/>
      <c r="Y3945" s="19" t="n">
        <v>1</v>
      </c>
      <c r="Z3945" s="13">
        <f>SUMPRODUCT(N3945:Y3945,$N$2:$Y$2)*$K3945*$L3945*$M3945</f>
        <v/>
      </c>
      <c r="AA3945" s="14">
        <f>SUM(N3945:Y3945)</f>
        <v/>
      </c>
      <c r="AB3945" s="13">
        <f>SUMPRODUCT(N3945:Y3945,$N$3:$Y$3)*$K3945*$L3945*$M3945</f>
        <v/>
      </c>
      <c r="AC3945" s="13">
        <f>SUMPRODUCT(N3945:Y3945,$N$4:$Y$4)*$K3945*$L3945*$M3945</f>
        <v/>
      </c>
      <c r="AD3945" s="15" t="n">
        <v>3</v>
      </c>
      <c r="AE3945" s="11" t="n">
        <v>1.011296296296296</v>
      </c>
      <c r="AF3945" s="16">
        <f>SUMPRODUCT(N3945:Y3945,$N$5:$Y$5)*$K3945*$L3945*$M3945</f>
        <v/>
      </c>
      <c r="AG3945" s="16">
        <f>SUMPRODUCT(N3945:Y3945,$N$6:$Y$6)*$K3945*$L3945*$M3945</f>
        <v/>
      </c>
      <c r="AH3945" s="20" t="n"/>
    </row>
    <row r="3946">
      <c r="A3946" s="9" t="n">
        <v>643361</v>
      </c>
      <c r="B3946" s="9" t="inlineStr">
        <is>
          <t>Kevin Herget</t>
        </is>
      </c>
      <c r="C3946" s="9" t="inlineStr">
        <is>
          <t>NYM</t>
        </is>
      </c>
      <c r="D3946" s="9" t="n">
        <v>36</v>
      </c>
      <c r="E3946" s="18" t="inlineStr">
        <is>
          <t>R</t>
        </is>
      </c>
      <c r="F3946" s="18" t="n"/>
      <c r="G3946" s="9" t="n">
        <v>3</v>
      </c>
      <c r="H3946" s="9" t="n">
        <v>237</v>
      </c>
      <c r="I3946" s="9" t="inlineStr">
        <is>
          <t>Bullpen Depth Arm</t>
        </is>
      </c>
      <c r="J3946" s="18" t="inlineStr">
        <is>
          <t>Opening Day</t>
        </is>
      </c>
      <c r="K3946" s="11">
        <f>IFERROR(INDEX(Roles!$B$17:$B$20,MATCH(J3946,Roles!$A$17:$A$20,0)),1)</f>
        <v/>
      </c>
      <c r="L3946" s="19" t="n">
        <v>1</v>
      </c>
      <c r="M3946" s="11" t="n">
        <v>1</v>
      </c>
      <c r="N3946" s="19" t="n"/>
      <c r="O3946" s="19" t="n"/>
      <c r="P3946" s="19" t="n"/>
      <c r="Q3946" s="19" t="n"/>
      <c r="R3946" s="19" t="n"/>
      <c r="S3946" s="19" t="n"/>
      <c r="T3946" s="19" t="n"/>
      <c r="U3946" s="19" t="n"/>
      <c r="V3946" s="19" t="n"/>
      <c r="W3946" s="19" t="n">
        <v>1</v>
      </c>
      <c r="X3946" s="19" t="n"/>
      <c r="Y3946" s="19" t="n"/>
      <c r="Z3946" s="13">
        <f>SUMPRODUCT(N3946:Y3946,$N$2:$Y$2)*$K3946*$L3946*$M3946</f>
        <v/>
      </c>
      <c r="AA3946" s="14">
        <f>SUM(N3946:Y3946)</f>
        <v/>
      </c>
      <c r="AB3946" s="13">
        <f>SUMPRODUCT(N3946:Y3946,$N$3:$Y$3)*$K3946*$L3946*$M3946</f>
        <v/>
      </c>
      <c r="AC3946" s="13">
        <f>SUMPRODUCT(N3946:Y3946,$N$4:$Y$4)*$K3946*$L3946*$M3946</f>
        <v/>
      </c>
      <c r="AD3946" s="15" t="n">
        <v>8.066666666666666</v>
      </c>
      <c r="AE3946" s="11" t="n">
        <v>1.361692320025653</v>
      </c>
      <c r="AF3946" s="16">
        <f>SUMPRODUCT(N3946:Y3946,$N$5:$Y$5)*$K3946*$L3946*$M3946</f>
        <v/>
      </c>
      <c r="AG3946" s="16">
        <f>SUMPRODUCT(N3946:Y3946,$N$6:$Y$6)*$K3946*$L3946*$M3946</f>
        <v/>
      </c>
      <c r="AH3946" s="20" t="n"/>
    </row>
    <row r="3947">
      <c r="A3947" s="9" t="n">
        <v>656786</v>
      </c>
      <c r="B3947" s="9" t="inlineStr">
        <is>
          <t>Parker Mushinski</t>
        </is>
      </c>
      <c r="C3947" s="9" t="inlineStr">
        <is>
          <t>COL</t>
        </is>
      </c>
      <c r="D3947" s="9" t="n">
        <v>31</v>
      </c>
      <c r="E3947" s="18" t="inlineStr">
        <is>
          <t>L</t>
        </is>
      </c>
      <c r="F3947" s="18" t="n"/>
      <c r="G3947" s="9" t="n">
        <v>34</v>
      </c>
      <c r="H3947" s="9" t="n">
        <v>183</v>
      </c>
      <c r="I3947" s="9" t="inlineStr">
        <is>
          <t>Bullpen Depth Arm</t>
        </is>
      </c>
      <c r="J3947" s="18" t="inlineStr">
        <is>
          <t>Opening Day</t>
        </is>
      </c>
      <c r="K3947" s="11">
        <f>IFERROR(INDEX(Roles!$B$17:$B$20,MATCH(J3947,Roles!$A$17:$A$20,0)),1)</f>
        <v/>
      </c>
      <c r="L3947" s="19" t="n">
        <v>1</v>
      </c>
      <c r="M3947" s="11" t="n">
        <v>1</v>
      </c>
      <c r="N3947" s="19" t="n"/>
      <c r="O3947" s="19" t="n"/>
      <c r="P3947" s="19" t="n"/>
      <c r="Q3947" s="19" t="n"/>
      <c r="R3947" s="19" t="n"/>
      <c r="S3947" s="19" t="n"/>
      <c r="T3947" s="19" t="n"/>
      <c r="U3947" s="19" t="n"/>
      <c r="V3947" s="19" t="n"/>
      <c r="W3947" s="19" t="n">
        <v>1</v>
      </c>
      <c r="X3947" s="19" t="n"/>
      <c r="Y3947" s="19" t="n"/>
      <c r="Z3947" s="13">
        <f>SUMPRODUCT(N3947:Y3947,$N$2:$Y$2)*$K3947*$L3947*$M3947</f>
        <v/>
      </c>
      <c r="AA3947" s="14">
        <f>SUM(N3947:Y3947)</f>
        <v/>
      </c>
      <c r="AB3947" s="13">
        <f>SUMPRODUCT(N3947:Y3947,$N$3:$Y$3)*$K3947*$L3947*$M3947</f>
        <v/>
      </c>
      <c r="AC3947" s="13">
        <f>SUMPRODUCT(N3947:Y3947,$N$4:$Y$4)*$K3947*$L3947*$M3947</f>
        <v/>
      </c>
      <c r="AD3947" s="15" t="n">
        <v>10.76666666666667</v>
      </c>
      <c r="AE3947" s="11" t="n">
        <v>1.105428703467919</v>
      </c>
      <c r="AF3947" s="16">
        <f>SUMPRODUCT(N3947:Y3947,$N$5:$Y$5)*$K3947*$L3947*$M3947</f>
        <v/>
      </c>
      <c r="AG3947" s="16">
        <f>SUMPRODUCT(N3947:Y3947,$N$6:$Y$6)*$K3947*$L3947*$M3947</f>
        <v/>
      </c>
      <c r="AH3947" s="20" t="n"/>
    </row>
    <row r="3948">
      <c r="A3948" s="9" t="n">
        <v>541640</v>
      </c>
      <c r="B3948" s="9" t="inlineStr">
        <is>
          <t>Erasmo Ramírez</t>
        </is>
      </c>
      <c r="C3948" s="9" t="inlineStr">
        <is>
          <t>MIN</t>
        </is>
      </c>
      <c r="D3948" s="9" t="n">
        <v>37</v>
      </c>
      <c r="E3948" s="18" t="inlineStr">
        <is>
          <t>R</t>
        </is>
      </c>
      <c r="F3948" s="18" t="n"/>
      <c r="G3948" s="9" t="n">
        <v>42</v>
      </c>
      <c r="H3948" s="9" t="n">
        <v>748</v>
      </c>
      <c r="I3948" s="9" t="inlineStr">
        <is>
          <t>Bullpen Depth Arm</t>
        </is>
      </c>
      <c r="J3948" s="18" t="inlineStr">
        <is>
          <t>Opening Day</t>
        </is>
      </c>
      <c r="K3948" s="11">
        <f>IFERROR(INDEX(Roles!$B$17:$B$20,MATCH(J3948,Roles!$A$17:$A$20,0)),1)</f>
        <v/>
      </c>
      <c r="L3948" s="19" t="n">
        <v>1</v>
      </c>
      <c r="M3948" s="11" t="n">
        <v>1</v>
      </c>
      <c r="N3948" s="19" t="n"/>
      <c r="O3948" s="19" t="n"/>
      <c r="P3948" s="19" t="n"/>
      <c r="Q3948" s="19" t="n"/>
      <c r="R3948" s="19" t="n"/>
      <c r="S3948" s="19" t="n"/>
      <c r="T3948" s="19" t="n"/>
      <c r="U3948" s="19" t="n"/>
      <c r="V3948" s="19" t="n"/>
      <c r="W3948" s="19" t="n">
        <v>1</v>
      </c>
      <c r="X3948" s="19" t="n"/>
      <c r="Y3948" s="19" t="n"/>
      <c r="Z3948" s="13">
        <f>SUMPRODUCT(N3948:Y3948,$N$2:$Y$2)*$K3948*$L3948*$M3948</f>
        <v/>
      </c>
      <c r="AA3948" s="14">
        <f>SUM(N3948:Y3948)</f>
        <v/>
      </c>
      <c r="AB3948" s="13">
        <f>SUMPRODUCT(N3948:Y3948,$N$3:$Y$3)*$K3948*$L3948*$M3948</f>
        <v/>
      </c>
      <c r="AC3948" s="13">
        <f>SUMPRODUCT(N3948:Y3948,$N$4:$Y$4)*$K3948*$L3948*$M3948</f>
        <v/>
      </c>
      <c r="AD3948" s="15" t="n">
        <v>11.86666666666666</v>
      </c>
      <c r="AE3948" s="11" t="n">
        <v>1.260288496847637</v>
      </c>
      <c r="AF3948" s="16">
        <f>SUMPRODUCT(N3948:Y3948,$N$5:$Y$5)*$K3948*$L3948*$M3948</f>
        <v/>
      </c>
      <c r="AG3948" s="16">
        <f>SUMPRODUCT(N3948:Y3948,$N$6:$Y$6)*$K3948*$L3948*$M3948</f>
        <v/>
      </c>
      <c r="AH3948" s="20" t="n"/>
    </row>
    <row r="3949">
      <c r="A3949" s="9" t="n">
        <v>608344</v>
      </c>
      <c r="B3949" s="9" t="inlineStr">
        <is>
          <t>Cole Irvin</t>
        </is>
      </c>
      <c r="C3949" s="9" t="inlineStr">
        <is>
          <t>LAD</t>
        </is>
      </c>
      <c r="D3949" s="9" t="n">
        <v>33</v>
      </c>
      <c r="E3949" s="18" t="inlineStr">
        <is>
          <t>L</t>
        </is>
      </c>
      <c r="F3949" s="18" t="n"/>
      <c r="G3949" s="9" t="n">
        <v>30</v>
      </c>
      <c r="H3949" s="9" t="n">
        <v>1599</v>
      </c>
      <c r="I3949" s="9" t="inlineStr">
        <is>
          <t>End-of-Rotation Starter (SP4-5)</t>
        </is>
      </c>
      <c r="J3949" s="18" t="inlineStr">
        <is>
          <t>Opening Day</t>
        </is>
      </c>
      <c r="K3949" s="11">
        <f>IFERROR(INDEX(Roles!$B$17:$B$20,MATCH(J3949,Roles!$A$17:$A$20,0)),1)</f>
        <v/>
      </c>
      <c r="L3949" s="19" t="n">
        <v>1</v>
      </c>
      <c r="M3949" s="11" t="n">
        <v>1</v>
      </c>
      <c r="N3949" s="19" t="n"/>
      <c r="O3949" s="19" t="n"/>
      <c r="P3949" s="19" t="n">
        <v>1</v>
      </c>
      <c r="Q3949" s="19" t="n"/>
      <c r="R3949" s="19" t="n"/>
      <c r="S3949" s="19" t="n"/>
      <c r="T3949" s="19" t="n"/>
      <c r="U3949" s="19" t="n"/>
      <c r="V3949" s="19" t="n"/>
      <c r="W3949" s="19" t="n"/>
      <c r="X3949" s="19" t="n"/>
      <c r="Y3949" s="19" t="n"/>
      <c r="Z3949" s="13">
        <f>SUMPRODUCT(N3949:Y3949,$N$2:$Y$2)*$K3949*$L3949*$M3949</f>
        <v/>
      </c>
      <c r="AA3949" s="14">
        <f>SUM(N3949:Y3949)</f>
        <v/>
      </c>
      <c r="AB3949" s="13">
        <f>SUMPRODUCT(N3949:Y3949,$N$3:$Y$3)*$K3949*$L3949*$M3949</f>
        <v/>
      </c>
      <c r="AC3949" s="13">
        <f>SUMPRODUCT(N3949:Y3949,$N$4:$Y$4)*$K3949*$L3949*$M3949</f>
        <v/>
      </c>
      <c r="AD3949" s="15" t="n">
        <v>11.2</v>
      </c>
      <c r="AE3949" s="11" t="n">
        <v>4.380787037037036</v>
      </c>
      <c r="AF3949" s="16">
        <f>SUMPRODUCT(N3949:Y3949,$N$5:$Y$5)*$K3949*$L3949*$M3949</f>
        <v/>
      </c>
      <c r="AG3949" s="16">
        <f>SUMPRODUCT(N3949:Y3949,$N$6:$Y$6)*$K3949*$L3949*$M3949</f>
        <v/>
      </c>
      <c r="AH3949" s="20" t="n"/>
    </row>
    <row r="3950">
      <c r="A3950" s="9" t="n">
        <v>666154</v>
      </c>
      <c r="B3950" s="9" t="inlineStr">
        <is>
          <t>Karl Kauffmann</t>
        </is>
      </c>
      <c r="C3950" s="9" t="inlineStr">
        <is>
          <t>COL</t>
        </is>
      </c>
      <c r="D3950" s="9" t="n">
        <v>29</v>
      </c>
      <c r="E3950" s="18" t="inlineStr">
        <is>
          <t>R</t>
        </is>
      </c>
      <c r="F3950" s="18" t="n"/>
      <c r="G3950" s="9" t="n">
        <v>158</v>
      </c>
      <c r="H3950" s="9" t="n">
        <v>158</v>
      </c>
      <c r="I3950" s="9" t="inlineStr">
        <is>
          <t>Depth (no MLB IP)</t>
        </is>
      </c>
      <c r="J3950" s="18" t="inlineStr">
        <is>
          <t>Opening Day</t>
        </is>
      </c>
      <c r="K3950" s="11">
        <f>IFERROR(INDEX(Roles!$B$17:$B$20,MATCH(J3950,Roles!$A$17:$A$20,0)),1)</f>
        <v/>
      </c>
      <c r="L3950" s="19" t="n">
        <v>1</v>
      </c>
      <c r="M3950" s="11" t="n">
        <v>1</v>
      </c>
      <c r="N3950" s="19" t="n"/>
      <c r="O3950" s="19" t="n"/>
      <c r="P3950" s="19" t="n"/>
      <c r="Q3950" s="19" t="n"/>
      <c r="R3950" s="19" t="n"/>
      <c r="S3950" s="19" t="n"/>
      <c r="T3950" s="19" t="n"/>
      <c r="U3950" s="19" t="n"/>
      <c r="V3950" s="19" t="n"/>
      <c r="W3950" s="19" t="n"/>
      <c r="X3950" s="19" t="n"/>
      <c r="Y3950" s="19" t="n">
        <v>1</v>
      </c>
      <c r="Z3950" s="13">
        <f>SUMPRODUCT(N3950:Y3950,$N$2:$Y$2)*$K3950*$L3950*$M3950</f>
        <v/>
      </c>
      <c r="AA3950" s="14">
        <f>SUM(N3950:Y3950)</f>
        <v/>
      </c>
      <c r="AB3950" s="13">
        <f>SUMPRODUCT(N3950:Y3950,$N$3:$Y$3)*$K3950*$L3950*$M3950</f>
        <v/>
      </c>
      <c r="AC3950" s="13">
        <f>SUMPRODUCT(N3950:Y3950,$N$4:$Y$4)*$K3950*$L3950*$M3950</f>
        <v/>
      </c>
      <c r="AD3950" s="15" t="n">
        <v>3</v>
      </c>
      <c r="AE3950" s="11" t="n">
        <v>1.011296296296296</v>
      </c>
      <c r="AF3950" s="16">
        <f>SUMPRODUCT(N3950:Y3950,$N$5:$Y$5)*$K3950*$L3950*$M3950</f>
        <v/>
      </c>
      <c r="AG3950" s="16">
        <f>SUMPRODUCT(N3950:Y3950,$N$6:$Y$6)*$K3950*$L3950*$M3950</f>
        <v/>
      </c>
      <c r="AH3950" s="20" t="n"/>
    </row>
    <row r="3951">
      <c r="A3951" s="9" t="n">
        <v>824620</v>
      </c>
      <c r="B3951" s="9" t="inlineStr">
        <is>
          <t>Tyson Hardin</t>
        </is>
      </c>
      <c r="C3951" s="9" t="inlineStr">
        <is>
          <t>MIL</t>
        </is>
      </c>
      <c r="D3951" s="9" t="n">
        <v>26</v>
      </c>
      <c r="E3951" s="18" t="inlineStr">
        <is>
          <t>R</t>
        </is>
      </c>
      <c r="F3951" s="18" t="n"/>
      <c r="G3951" s="9" t="n">
        <v>213.6383333333333</v>
      </c>
      <c r="H3951" s="9" t="n">
        <v>213.6383333333333</v>
      </c>
      <c r="I3951" s="9" t="inlineStr">
        <is>
          <t>Depth (no MLB IP)</t>
        </is>
      </c>
      <c r="J3951" s="18" t="inlineStr">
        <is>
          <t>Opening Day</t>
        </is>
      </c>
      <c r="K3951" s="11">
        <f>IFERROR(INDEX(Roles!$B$17:$B$20,MATCH(J3951,Roles!$A$17:$A$20,0)),1)</f>
        <v/>
      </c>
      <c r="L3951" s="19" t="n">
        <v>1</v>
      </c>
      <c r="M3951" s="11" t="n">
        <v>1</v>
      </c>
      <c r="N3951" s="19" t="n"/>
      <c r="O3951" s="19" t="n"/>
      <c r="P3951" s="19" t="n"/>
      <c r="Q3951" s="19" t="n"/>
      <c r="R3951" s="19" t="n"/>
      <c r="S3951" s="19" t="n"/>
      <c r="T3951" s="19" t="n"/>
      <c r="U3951" s="19" t="n"/>
      <c r="V3951" s="19" t="n"/>
      <c r="W3951" s="19" t="n"/>
      <c r="X3951" s="19" t="n"/>
      <c r="Y3951" s="19" t="n">
        <v>1</v>
      </c>
      <c r="Z3951" s="13">
        <f>SUMPRODUCT(N3951:Y3951,$N$2:$Y$2)*$K3951*$L3951*$M3951</f>
        <v/>
      </c>
      <c r="AA3951" s="14">
        <f>SUM(N3951:Y3951)</f>
        <v/>
      </c>
      <c r="AB3951" s="13">
        <f>SUMPRODUCT(N3951:Y3951,$N$3:$Y$3)*$K3951*$L3951*$M3951</f>
        <v/>
      </c>
      <c r="AC3951" s="13">
        <f>SUMPRODUCT(N3951:Y3951,$N$4:$Y$4)*$K3951*$L3951*$M3951</f>
        <v/>
      </c>
      <c r="AD3951" s="15" t="n">
        <v>3</v>
      </c>
      <c r="AE3951" s="11" t="n">
        <v>1.011296296296296</v>
      </c>
      <c r="AF3951" s="16">
        <f>SUMPRODUCT(N3951:Y3951,$N$5:$Y$5)*$K3951*$L3951*$M3951</f>
        <v/>
      </c>
      <c r="AG3951" s="16">
        <f>SUMPRODUCT(N3951:Y3951,$N$6:$Y$6)*$K3951*$L3951*$M3951</f>
        <v/>
      </c>
      <c r="AH3951" s="20" t="n"/>
    </row>
    <row r="3952">
      <c r="A3952" s="9" t="n">
        <v>543475</v>
      </c>
      <c r="B3952" s="9" t="inlineStr">
        <is>
          <t>Jordan Lyles</t>
        </is>
      </c>
      <c r="C3952" s="9" t="inlineStr">
        <is>
          <t>KC</t>
        </is>
      </c>
      <c r="D3952" s="9" t="n">
        <v>36</v>
      </c>
      <c r="E3952" s="18" t="inlineStr">
        <is>
          <t>R</t>
        </is>
      </c>
      <c r="F3952" s="18" t="n"/>
      <c r="G3952" s="9" t="n">
        <v>19</v>
      </c>
      <c r="H3952" s="9" t="n">
        <v>1541</v>
      </c>
      <c r="I3952" s="9" t="inlineStr">
        <is>
          <t>Depth (no MLB IP)</t>
        </is>
      </c>
      <c r="J3952" s="18" t="inlineStr">
        <is>
          <t>Opening Day</t>
        </is>
      </c>
      <c r="K3952" s="11">
        <f>IFERROR(INDEX(Roles!$B$17:$B$20,MATCH(J3952,Roles!$A$17:$A$20,0)),1)</f>
        <v/>
      </c>
      <c r="L3952" s="19" t="n">
        <v>1</v>
      </c>
      <c r="M3952" s="11" t="n">
        <v>1</v>
      </c>
      <c r="N3952" s="19" t="n"/>
      <c r="O3952" s="19" t="n"/>
      <c r="P3952" s="19" t="n"/>
      <c r="Q3952" s="19" t="n"/>
      <c r="R3952" s="19" t="n"/>
      <c r="S3952" s="19" t="n"/>
      <c r="T3952" s="19" t="n"/>
      <c r="U3952" s="19" t="n"/>
      <c r="V3952" s="19" t="n"/>
      <c r="W3952" s="19" t="n"/>
      <c r="X3952" s="19" t="n"/>
      <c r="Y3952" s="19" t="n">
        <v>1</v>
      </c>
      <c r="Z3952" s="13">
        <f>SUMPRODUCT(N3952:Y3952,$N$2:$Y$2)*$K3952*$L3952*$M3952</f>
        <v/>
      </c>
      <c r="AA3952" s="14">
        <f>SUM(N3952:Y3952)</f>
        <v/>
      </c>
      <c r="AB3952" s="13">
        <f>SUMPRODUCT(N3952:Y3952,$N$3:$Y$3)*$K3952*$L3952*$M3952</f>
        <v/>
      </c>
      <c r="AC3952" s="13">
        <f>SUMPRODUCT(N3952:Y3952,$N$4:$Y$4)*$K3952*$L3952*$M3952</f>
        <v/>
      </c>
      <c r="AD3952" s="15" t="n">
        <v>4.2</v>
      </c>
      <c r="AE3952" s="11" t="n">
        <v>1.007530864197531</v>
      </c>
      <c r="AF3952" s="16">
        <f>SUMPRODUCT(N3952:Y3952,$N$5:$Y$5)*$K3952*$L3952*$M3952</f>
        <v/>
      </c>
      <c r="AG3952" s="16">
        <f>SUMPRODUCT(N3952:Y3952,$N$6:$Y$6)*$K3952*$L3952*$M3952</f>
        <v/>
      </c>
      <c r="AH3952" s="20" t="n"/>
    </row>
    <row r="3953">
      <c r="A3953" s="9" t="n">
        <v>676083</v>
      </c>
      <c r="B3953" s="9" t="inlineStr">
        <is>
          <t>Janson Junk</t>
        </is>
      </c>
      <c r="C3953" s="9" t="inlineStr">
        <is>
          <t>MIA</t>
        </is>
      </c>
      <c r="D3953" s="9" t="n">
        <v>31</v>
      </c>
      <c r="E3953" s="18" t="inlineStr">
        <is>
          <t>R</t>
        </is>
      </c>
      <c r="F3953" s="18" t="n"/>
      <c r="G3953" s="9" t="n">
        <v>523</v>
      </c>
      <c r="H3953" s="9" t="n">
        <v>1088</v>
      </c>
      <c r="I3953" s="9" t="inlineStr">
        <is>
          <t>Mid-Rotation Starter (SP2-3)</t>
        </is>
      </c>
      <c r="J3953" s="18" t="inlineStr">
        <is>
          <t>Opening Day</t>
        </is>
      </c>
      <c r="K3953" s="11">
        <f>IFERROR(INDEX(Roles!$B$17:$B$20,MATCH(J3953,Roles!$A$17:$A$20,0)),1)</f>
        <v/>
      </c>
      <c r="L3953" s="19" t="n">
        <v>1</v>
      </c>
      <c r="M3953" s="11" t="n">
        <v>1</v>
      </c>
      <c r="N3953" s="19" t="n"/>
      <c r="O3953" s="19" t="n">
        <v>0.5</v>
      </c>
      <c r="P3953" s="19" t="n">
        <v>0.5</v>
      </c>
      <c r="Q3953" s="19" t="n"/>
      <c r="R3953" s="19" t="n"/>
      <c r="S3953" s="19" t="n"/>
      <c r="T3953" s="19" t="n"/>
      <c r="U3953" s="19" t="n"/>
      <c r="V3953" s="19" t="n"/>
      <c r="W3953" s="19" t="n"/>
      <c r="X3953" s="19" t="n"/>
      <c r="Y3953" s="19" t="n"/>
      <c r="Z3953" s="13">
        <f>SUMPRODUCT(N3953:Y3953,$N$2:$Y$2)*$K3953*$L3953*$M3953</f>
        <v/>
      </c>
      <c r="AA3953" s="14">
        <f>SUM(N3953:Y3953)</f>
        <v/>
      </c>
      <c r="AB3953" s="13">
        <f>SUMPRODUCT(N3953:Y3953,$N$3:$Y$3)*$K3953*$L3953*$M3953</f>
        <v/>
      </c>
      <c r="AC3953" s="13">
        <f>SUMPRODUCT(N3953:Y3953,$N$4:$Y$4)*$K3953*$L3953*$M3953</f>
        <v/>
      </c>
      <c r="AD3953" s="15" t="n">
        <v>23</v>
      </c>
      <c r="AE3953" s="11" t="n">
        <v>5.054190134835297</v>
      </c>
      <c r="AF3953" s="16">
        <f>SUMPRODUCT(N3953:Y3953,$N$5:$Y$5)*$K3953*$L3953*$M3953</f>
        <v/>
      </c>
      <c r="AG3953" s="16">
        <f>SUMPRODUCT(N3953:Y3953,$N$6:$Y$6)*$K3953*$L3953*$M3953</f>
        <v/>
      </c>
      <c r="AH3953" s="20" t="n"/>
    </row>
    <row r="3954">
      <c r="A3954" s="9" t="n">
        <v>666126</v>
      </c>
      <c r="B3954" s="9" t="inlineStr">
        <is>
          <t>Carlos Cortes</t>
        </is>
      </c>
      <c r="C3954" s="9" t="inlineStr">
        <is>
          <t>OAK</t>
        </is>
      </c>
      <c r="D3954" s="9" t="n">
        <v>30</v>
      </c>
      <c r="E3954" s="18" t="inlineStr">
        <is>
          <t>S</t>
        </is>
      </c>
      <c r="F3954" s="18" t="n"/>
      <c r="G3954" s="9" t="n">
        <v>49</v>
      </c>
      <c r="H3954" s="9" t="n">
        <v>49</v>
      </c>
      <c r="I3954" s="9" t="inlineStr">
        <is>
          <t>Bullpen Depth Arm</t>
        </is>
      </c>
      <c r="J3954" s="18" t="inlineStr">
        <is>
          <t>Opening Day</t>
        </is>
      </c>
      <c r="K3954" s="11">
        <f>IFERROR(INDEX(Roles!$B$17:$B$20,MATCH(J3954,Roles!$A$17:$A$20,0)),1)</f>
        <v/>
      </c>
      <c r="L3954" s="19" t="n">
        <v>1</v>
      </c>
      <c r="M3954" s="11" t="n">
        <v>1</v>
      </c>
      <c r="N3954" s="19" t="n"/>
      <c r="O3954" s="19" t="n"/>
      <c r="P3954" s="19" t="n"/>
      <c r="Q3954" s="19" t="n"/>
      <c r="R3954" s="19" t="n"/>
      <c r="S3954" s="19" t="n"/>
      <c r="T3954" s="19" t="n"/>
      <c r="U3954" s="19" t="n"/>
      <c r="V3954" s="19" t="n"/>
      <c r="W3954" s="19" t="n">
        <v>1</v>
      </c>
      <c r="X3954" s="19" t="n"/>
      <c r="Y3954" s="19" t="n"/>
      <c r="Z3954" s="13">
        <f>SUMPRODUCT(N3954:Y3954,$N$2:$Y$2)*$K3954*$L3954*$M3954</f>
        <v/>
      </c>
      <c r="AA3954" s="14">
        <f>SUM(N3954:Y3954)</f>
        <v/>
      </c>
      <c r="AB3954" s="13">
        <f>SUMPRODUCT(N3954:Y3954,$N$3:$Y$3)*$K3954*$L3954*$M3954</f>
        <v/>
      </c>
      <c r="AC3954" s="13">
        <f>SUMPRODUCT(N3954:Y3954,$N$4:$Y$4)*$K3954*$L3954*$M3954</f>
        <v/>
      </c>
      <c r="AD3954" s="15" t="n">
        <v>11.06666666666667</v>
      </c>
      <c r="AE3954" s="11" t="n">
        <v>1.147186147186147</v>
      </c>
      <c r="AF3954" s="16">
        <f>SUMPRODUCT(N3954:Y3954,$N$5:$Y$5)*$K3954*$L3954*$M3954</f>
        <v/>
      </c>
      <c r="AG3954" s="16">
        <f>SUMPRODUCT(N3954:Y3954,$N$6:$Y$6)*$K3954*$L3954*$M3954</f>
        <v/>
      </c>
      <c r="AH3954" s="20" t="n"/>
    </row>
    <row r="3955">
      <c r="A3955" s="9" t="n">
        <v>668676</v>
      </c>
      <c r="B3955" s="9" t="inlineStr">
        <is>
          <t>Zach Plesac</t>
        </is>
      </c>
      <c r="C3955" s="9" t="inlineStr">
        <is>
          <t>LAA</t>
        </is>
      </c>
      <c r="D3955" s="9" t="n">
        <v>32</v>
      </c>
      <c r="E3955" s="18" t="inlineStr">
        <is>
          <t>R</t>
        </is>
      </c>
      <c r="F3955" s="18" t="n"/>
      <c r="G3955" s="9" t="n">
        <v>54</v>
      </c>
      <c r="H3955" s="9" t="n">
        <v>727</v>
      </c>
      <c r="I3955" s="9" t="inlineStr">
        <is>
          <t>Depth (no MLB IP)</t>
        </is>
      </c>
      <c r="J3955" s="18" t="inlineStr">
        <is>
          <t>Opening Day</t>
        </is>
      </c>
      <c r="K3955" s="11">
        <f>IFERROR(INDEX(Roles!$B$17:$B$20,MATCH(J3955,Roles!$A$17:$A$20,0)),1)</f>
        <v/>
      </c>
      <c r="L3955" s="19" t="n">
        <v>1</v>
      </c>
      <c r="M3955" s="11" t="n">
        <v>1</v>
      </c>
      <c r="N3955" s="19" t="n"/>
      <c r="O3955" s="19" t="n"/>
      <c r="P3955" s="19" t="n"/>
      <c r="Q3955" s="19" t="n"/>
      <c r="R3955" s="19" t="n"/>
      <c r="S3955" s="19" t="n"/>
      <c r="T3955" s="19" t="n"/>
      <c r="U3955" s="19" t="n"/>
      <c r="V3955" s="19" t="n"/>
      <c r="W3955" s="19" t="n"/>
      <c r="X3955" s="19" t="n"/>
      <c r="Y3955" s="19" t="n">
        <v>1</v>
      </c>
      <c r="Z3955" s="13">
        <f>SUMPRODUCT(N3955:Y3955,$N$2:$Y$2)*$K3955*$L3955*$M3955</f>
        <v/>
      </c>
      <c r="AA3955" s="14">
        <f>SUM(N3955:Y3955)</f>
        <v/>
      </c>
      <c r="AB3955" s="13">
        <f>SUMPRODUCT(N3955:Y3955,$N$3:$Y$3)*$K3955*$L3955*$M3955</f>
        <v/>
      </c>
      <c r="AC3955" s="13">
        <f>SUMPRODUCT(N3955:Y3955,$N$4:$Y$4)*$K3955*$L3955*$M3955</f>
        <v/>
      </c>
      <c r="AD3955" s="15" t="n">
        <v>3</v>
      </c>
      <c r="AE3955" s="11" t="n">
        <v>2.007530864197531</v>
      </c>
      <c r="AF3955" s="16">
        <f>SUMPRODUCT(N3955:Y3955,$N$5:$Y$5)*$K3955*$L3955*$M3955</f>
        <v/>
      </c>
      <c r="AG3955" s="16">
        <f>SUMPRODUCT(N3955:Y3955,$N$6:$Y$6)*$K3955*$L3955*$M3955</f>
        <v/>
      </c>
      <c r="AH3955" s="20" t="n"/>
    </row>
    <row r="3956">
      <c r="A3956" s="9" t="n">
        <v>691951</v>
      </c>
      <c r="B3956" s="9" t="inlineStr">
        <is>
          <t>Sam Aldegheri</t>
        </is>
      </c>
      <c r="C3956" s="9" t="inlineStr">
        <is>
          <t>LAA</t>
        </is>
      </c>
      <c r="D3956" s="9" t="n">
        <v>25</v>
      </c>
      <c r="E3956" s="18" t="inlineStr">
        <is>
          <t>L</t>
        </is>
      </c>
      <c r="F3956" s="18" t="n"/>
      <c r="G3956" s="9" t="n">
        <v>151</v>
      </c>
      <c r="H3956" s="9" t="n">
        <v>291</v>
      </c>
      <c r="I3956" s="9" t="inlineStr">
        <is>
          <t>End-of-Rotation Starter (SP4-5)</t>
        </is>
      </c>
      <c r="J3956" s="18" t="inlineStr">
        <is>
          <t>Opening Day</t>
        </is>
      </c>
      <c r="K3956" s="11">
        <f>IFERROR(INDEX(Roles!$B$17:$B$20,MATCH(J3956,Roles!$A$17:$A$20,0)),1)</f>
        <v/>
      </c>
      <c r="L3956" s="19" t="n">
        <v>1</v>
      </c>
      <c r="M3956" s="11" t="n">
        <v>1</v>
      </c>
      <c r="N3956" s="19" t="n"/>
      <c r="O3956" s="19" t="n"/>
      <c r="P3956" s="19" t="n">
        <v>1</v>
      </c>
      <c r="Q3956" s="19" t="n"/>
      <c r="R3956" s="19" t="n"/>
      <c r="S3956" s="19" t="n"/>
      <c r="T3956" s="19" t="n"/>
      <c r="U3956" s="19" t="n"/>
      <c r="V3956" s="19" t="n"/>
      <c r="W3956" s="19" t="n"/>
      <c r="X3956" s="19" t="n"/>
      <c r="Y3956" s="19" t="n"/>
      <c r="Z3956" s="13">
        <f>SUMPRODUCT(N3956:Y3956,$N$2:$Y$2)*$K3956*$L3956*$M3956</f>
        <v/>
      </c>
      <c r="AA3956" s="14">
        <f>SUM(N3956:Y3956)</f>
        <v/>
      </c>
      <c r="AB3956" s="13">
        <f>SUMPRODUCT(N3956:Y3956,$N$3:$Y$3)*$K3956*$L3956*$M3956</f>
        <v/>
      </c>
      <c r="AC3956" s="13">
        <f>SUMPRODUCT(N3956:Y3956,$N$4:$Y$4)*$K3956*$L3956*$M3956</f>
        <v/>
      </c>
      <c r="AD3956" s="15" t="n">
        <v>10.2</v>
      </c>
      <c r="AE3956" s="11" t="n">
        <v>4.276803118908382</v>
      </c>
      <c r="AF3956" s="16">
        <f>SUMPRODUCT(N3956:Y3956,$N$5:$Y$5)*$K3956*$L3956*$M3956</f>
        <v/>
      </c>
      <c r="AG3956" s="16">
        <f>SUMPRODUCT(N3956:Y3956,$N$6:$Y$6)*$K3956*$L3956*$M3956</f>
        <v/>
      </c>
      <c r="AH3956" s="20" t="n"/>
    </row>
    <row r="3957">
      <c r="A3957" s="9" t="n">
        <v>571771</v>
      </c>
      <c r="B3957" s="9" t="inlineStr">
        <is>
          <t>Enrique Hernández</t>
        </is>
      </c>
      <c r="C3957" s="9" t="inlineStr">
        <is>
          <t>LAD</t>
        </is>
      </c>
      <c r="D3957" s="9" t="n">
        <v>35</v>
      </c>
      <c r="E3957" s="18" t="inlineStr">
        <is>
          <t>R</t>
        </is>
      </c>
      <c r="F3957" s="18" t="n"/>
      <c r="G3957" s="9" t="n">
        <v>4</v>
      </c>
      <c r="H3957" s="9" t="n">
        <v>59</v>
      </c>
      <c r="I3957" s="9" t="inlineStr">
        <is>
          <t>Bullpen Depth Arm</t>
        </is>
      </c>
      <c r="J3957" s="18" t="inlineStr">
        <is>
          <t>Opening Day</t>
        </is>
      </c>
      <c r="K3957" s="11">
        <f>IFERROR(INDEX(Roles!$B$17:$B$20,MATCH(J3957,Roles!$A$17:$A$20,0)),1)</f>
        <v/>
      </c>
      <c r="L3957" s="19" t="n">
        <v>1</v>
      </c>
      <c r="M3957" s="11" t="n">
        <v>1</v>
      </c>
      <c r="N3957" s="19" t="n"/>
      <c r="O3957" s="19" t="n"/>
      <c r="P3957" s="19" t="n"/>
      <c r="Q3957" s="19" t="n"/>
      <c r="R3957" s="19" t="n"/>
      <c r="S3957" s="19" t="n"/>
      <c r="T3957" s="19" t="n"/>
      <c r="U3957" s="19" t="n"/>
      <c r="V3957" s="19" t="n"/>
      <c r="W3957" s="19" t="n">
        <v>1</v>
      </c>
      <c r="X3957" s="19" t="n"/>
      <c r="Y3957" s="19" t="n"/>
      <c r="Z3957" s="13">
        <f>SUMPRODUCT(N3957:Y3957,$N$2:$Y$2)*$K3957*$L3957*$M3957</f>
        <v/>
      </c>
      <c r="AA3957" s="14">
        <f>SUM(N3957:Y3957)</f>
        <v/>
      </c>
      <c r="AB3957" s="13">
        <f>SUMPRODUCT(N3957:Y3957,$N$3:$Y$3)*$K3957*$L3957*$M3957</f>
        <v/>
      </c>
      <c r="AC3957" s="13">
        <f>SUMPRODUCT(N3957:Y3957,$N$4:$Y$4)*$K3957*$L3957*$M3957</f>
        <v/>
      </c>
      <c r="AD3957" s="15" t="n">
        <v>7.366666666666665</v>
      </c>
      <c r="AE3957" s="11" t="n">
        <v>1.154448311311056</v>
      </c>
      <c r="AF3957" s="16">
        <f>SUMPRODUCT(N3957:Y3957,$N$5:$Y$5)*$K3957*$L3957*$M3957</f>
        <v/>
      </c>
      <c r="AG3957" s="16">
        <f>SUMPRODUCT(N3957:Y3957,$N$6:$Y$6)*$K3957*$L3957*$M3957</f>
        <v/>
      </c>
      <c r="AH3957" s="20" t="n"/>
    </row>
    <row r="3958">
      <c r="A3958" s="9" t="n">
        <v>669145</v>
      </c>
      <c r="B3958" s="9" t="inlineStr">
        <is>
          <t>Bruce Zimmermann</t>
        </is>
      </c>
      <c r="C3958" s="9" t="inlineStr">
        <is>
          <t>MIL</t>
        </is>
      </c>
      <c r="D3958" s="9" t="n">
        <v>32</v>
      </c>
      <c r="E3958" s="18" t="inlineStr">
        <is>
          <t>L</t>
        </is>
      </c>
      <c r="F3958" s="18" t="n"/>
      <c r="G3958" s="9" t="n">
        <v>21</v>
      </c>
      <c r="H3958" s="9" t="n">
        <v>430</v>
      </c>
      <c r="I3958" s="9" t="inlineStr">
        <is>
          <t>Mid-Rotation Starter (SP2-3)</t>
        </is>
      </c>
      <c r="J3958" s="18" t="inlineStr">
        <is>
          <t>Opening Day</t>
        </is>
      </c>
      <c r="K3958" s="11">
        <f>IFERROR(INDEX(Roles!$B$17:$B$20,MATCH(J3958,Roles!$A$17:$A$20,0)),1)</f>
        <v/>
      </c>
      <c r="L3958" s="19" t="n">
        <v>1</v>
      </c>
      <c r="M3958" s="11" t="n">
        <v>1</v>
      </c>
      <c r="N3958" s="19" t="n"/>
      <c r="O3958" s="19" t="n">
        <v>1</v>
      </c>
      <c r="P3958" s="19" t="n"/>
      <c r="Q3958" s="19" t="n"/>
      <c r="R3958" s="19" t="n"/>
      <c r="S3958" s="19" t="n"/>
      <c r="T3958" s="19" t="n"/>
      <c r="U3958" s="19" t="n"/>
      <c r="V3958" s="19" t="n"/>
      <c r="W3958" s="19" t="n"/>
      <c r="X3958" s="19" t="n"/>
      <c r="Y3958" s="19" t="n"/>
      <c r="Z3958" s="13">
        <f>SUMPRODUCT(N3958:Y3958,$N$2:$Y$2)*$K3958*$L3958*$M3958</f>
        <v/>
      </c>
      <c r="AA3958" s="14">
        <f>SUM(N3958:Y3958)</f>
        <v/>
      </c>
      <c r="AB3958" s="13">
        <f>SUMPRODUCT(N3958:Y3958,$N$3:$Y$3)*$K3958*$L3958*$M3958</f>
        <v/>
      </c>
      <c r="AC3958" s="13">
        <f>SUMPRODUCT(N3958:Y3958,$N$4:$Y$4)*$K3958*$L3958*$M3958</f>
        <v/>
      </c>
      <c r="AD3958" s="15" t="n">
        <v>11</v>
      </c>
      <c r="AE3958" s="11" t="n">
        <v>5.269534050179213</v>
      </c>
      <c r="AF3958" s="16">
        <f>SUMPRODUCT(N3958:Y3958,$N$5:$Y$5)*$K3958*$L3958*$M3958</f>
        <v/>
      </c>
      <c r="AG3958" s="16">
        <f>SUMPRODUCT(N3958:Y3958,$N$6:$Y$6)*$K3958*$L3958*$M3958</f>
        <v/>
      </c>
      <c r="AH3958" s="20" t="n"/>
    </row>
    <row r="3959">
      <c r="A3959" s="9" t="n">
        <v>605156</v>
      </c>
      <c r="B3959" s="9" t="inlineStr">
        <is>
          <t>Aaron Brooks</t>
        </is>
      </c>
      <c r="C3959" s="9" t="inlineStr">
        <is>
          <t>OAK</t>
        </is>
      </c>
      <c r="D3959" s="9" t="n">
        <v>37</v>
      </c>
      <c r="E3959" s="18" t="inlineStr">
        <is>
          <t>R</t>
        </is>
      </c>
      <c r="F3959" s="18" t="n"/>
      <c r="G3959" s="9" t="n">
        <v>4</v>
      </c>
      <c r="H3959" s="9" t="n">
        <v>166</v>
      </c>
      <c r="I3959" s="9" t="inlineStr">
        <is>
          <t>Depth (no MLB IP)</t>
        </is>
      </c>
      <c r="J3959" s="18" t="inlineStr">
        <is>
          <t>Opening Day</t>
        </is>
      </c>
      <c r="K3959" s="11">
        <f>IFERROR(INDEX(Roles!$B$17:$B$20,MATCH(J3959,Roles!$A$17:$A$20,0)),1)</f>
        <v/>
      </c>
      <c r="L3959" s="19" t="n">
        <v>1</v>
      </c>
      <c r="M3959" s="11" t="n">
        <v>1</v>
      </c>
      <c r="N3959" s="19" t="n"/>
      <c r="O3959" s="19" t="n"/>
      <c r="P3959" s="19" t="n"/>
      <c r="Q3959" s="19" t="n"/>
      <c r="R3959" s="19" t="n"/>
      <c r="S3959" s="19" t="n"/>
      <c r="T3959" s="19" t="n"/>
      <c r="U3959" s="19" t="n"/>
      <c r="V3959" s="19" t="n"/>
      <c r="W3959" s="19" t="n"/>
      <c r="X3959" s="19" t="n"/>
      <c r="Y3959" s="19" t="n">
        <v>1</v>
      </c>
      <c r="Z3959" s="13">
        <f>SUMPRODUCT(N3959:Y3959,$N$2:$Y$2)*$K3959*$L3959*$M3959</f>
        <v/>
      </c>
      <c r="AA3959" s="14">
        <f>SUM(N3959:Y3959)</f>
        <v/>
      </c>
      <c r="AB3959" s="13">
        <f>SUMPRODUCT(N3959:Y3959,$N$3:$Y$3)*$K3959*$L3959*$M3959</f>
        <v/>
      </c>
      <c r="AC3959" s="13">
        <f>SUMPRODUCT(N3959:Y3959,$N$4:$Y$4)*$K3959*$L3959*$M3959</f>
        <v/>
      </c>
      <c r="AD3959" s="15" t="n">
        <v>2.4</v>
      </c>
      <c r="AE3959" s="11" t="n">
        <v>1.826975308641976</v>
      </c>
      <c r="AF3959" s="16">
        <f>SUMPRODUCT(N3959:Y3959,$N$5:$Y$5)*$K3959*$L3959*$M3959</f>
        <v/>
      </c>
      <c r="AG3959" s="16">
        <f>SUMPRODUCT(N3959:Y3959,$N$6:$Y$6)*$K3959*$L3959*$M3959</f>
        <v/>
      </c>
      <c r="AH3959" s="20" t="n"/>
    </row>
    <row r="3960">
      <c r="A3960" s="9" t="n">
        <v>596117</v>
      </c>
      <c r="B3960" s="9" t="inlineStr">
        <is>
          <t>Garrett Stubbs</t>
        </is>
      </c>
      <c r="C3960" s="9" t="inlineStr">
        <is>
          <t>PHI</t>
        </is>
      </c>
      <c r="D3960" s="9" t="n">
        <v>34</v>
      </c>
      <c r="E3960" s="18" t="inlineStr">
        <is>
          <t>R</t>
        </is>
      </c>
      <c r="F3960" s="18" t="n"/>
      <c r="G3960" s="9" t="n">
        <v>24</v>
      </c>
      <c r="H3960" s="9" t="n">
        <v>61</v>
      </c>
      <c r="I3960" s="9" t="inlineStr">
        <is>
          <t>Depth (no MLB IP)</t>
        </is>
      </c>
      <c r="J3960" s="18" t="inlineStr">
        <is>
          <t>Opening Day</t>
        </is>
      </c>
      <c r="K3960" s="11">
        <f>IFERROR(INDEX(Roles!$B$17:$B$20,MATCH(J3960,Roles!$A$17:$A$20,0)),1)</f>
        <v/>
      </c>
      <c r="L3960" s="19" t="n">
        <v>1</v>
      </c>
      <c r="M3960" s="11" t="n">
        <v>1</v>
      </c>
      <c r="N3960" s="19" t="n"/>
      <c r="O3960" s="19" t="n"/>
      <c r="P3960" s="19" t="n"/>
      <c r="Q3960" s="19" t="n"/>
      <c r="R3960" s="19" t="n"/>
      <c r="S3960" s="19" t="n"/>
      <c r="T3960" s="19" t="n"/>
      <c r="U3960" s="19" t="n"/>
      <c r="V3960" s="19" t="n"/>
      <c r="W3960" s="19" t="n"/>
      <c r="X3960" s="19" t="n"/>
      <c r="Y3960" s="19" t="n">
        <v>1</v>
      </c>
      <c r="Z3960" s="13">
        <f>SUMPRODUCT(N3960:Y3960,$N$2:$Y$2)*$K3960*$L3960*$M3960</f>
        <v/>
      </c>
      <c r="AA3960" s="14">
        <f>SUM(N3960:Y3960)</f>
        <v/>
      </c>
      <c r="AB3960" s="13">
        <f>SUMPRODUCT(N3960:Y3960,$N$3:$Y$3)*$K3960*$L3960*$M3960</f>
        <v/>
      </c>
      <c r="AC3960" s="13">
        <f>SUMPRODUCT(N3960:Y3960,$N$4:$Y$4)*$K3960*$L3960*$M3960</f>
        <v/>
      </c>
      <c r="AD3960" s="15" t="n">
        <v>4.05</v>
      </c>
      <c r="AE3960" s="11" t="n">
        <v>0.989987004548408</v>
      </c>
      <c r="AF3960" s="16">
        <f>SUMPRODUCT(N3960:Y3960,$N$5:$Y$5)*$K3960*$L3960*$M3960</f>
        <v/>
      </c>
      <c r="AG3960" s="16">
        <f>SUMPRODUCT(N3960:Y3960,$N$6:$Y$6)*$K3960*$L3960*$M3960</f>
        <v/>
      </c>
      <c r="AH3960" s="20" t="n"/>
    </row>
    <row r="3961">
      <c r="A3961" s="9" t="n">
        <v>641793</v>
      </c>
      <c r="B3961" s="9" t="inlineStr">
        <is>
          <t>Zack Littell</t>
        </is>
      </c>
      <c r="C3961" s="9" t="inlineStr">
        <is>
          <t>ARI</t>
        </is>
      </c>
      <c r="D3961" s="9" t="n">
        <v>31</v>
      </c>
      <c r="E3961" s="18" t="inlineStr">
        <is>
          <t>R</t>
        </is>
      </c>
      <c r="F3961" s="18" t="n"/>
      <c r="G3961" s="9" t="n">
        <v>540</v>
      </c>
      <c r="H3961" s="9" t="n">
        <v>2524</v>
      </c>
      <c r="I3961" s="9" t="inlineStr">
        <is>
          <t>Mid-Rotation Starter (SP2-3)</t>
        </is>
      </c>
      <c r="J3961" s="18" t="inlineStr">
        <is>
          <t>Opening Day</t>
        </is>
      </c>
      <c r="K3961" s="11">
        <f>IFERROR(INDEX(Roles!$B$17:$B$20,MATCH(J3961,Roles!$A$17:$A$20,0)),1)</f>
        <v/>
      </c>
      <c r="L3961" s="19" t="n">
        <v>1</v>
      </c>
      <c r="M3961" s="11" t="n">
        <v>1</v>
      </c>
      <c r="N3961" s="19" t="n"/>
      <c r="O3961" s="19" t="n">
        <v>1</v>
      </c>
      <c r="P3961" s="19" t="n"/>
      <c r="Q3961" s="19" t="n"/>
      <c r="R3961" s="19" t="n"/>
      <c r="S3961" s="19" t="n"/>
      <c r="T3961" s="19" t="n"/>
      <c r="U3961" s="19" t="n"/>
      <c r="V3961" s="19" t="n"/>
      <c r="W3961" s="19" t="n"/>
      <c r="X3961" s="19" t="n"/>
      <c r="Y3961" s="19" t="n"/>
      <c r="Z3961" s="13">
        <f>SUMPRODUCT(N3961:Y3961,$N$2:$Y$2)*$K3961*$L3961*$M3961</f>
        <v/>
      </c>
      <c r="AA3961" s="14">
        <f>SUM(N3961:Y3961)</f>
        <v/>
      </c>
      <c r="AB3961" s="13">
        <f>SUMPRODUCT(N3961:Y3961,$N$3:$Y$3)*$K3961*$L3961*$M3961</f>
        <v/>
      </c>
      <c r="AC3961" s="13">
        <f>SUMPRODUCT(N3961:Y3961,$N$4:$Y$4)*$K3961*$L3961*$M3961</f>
        <v/>
      </c>
      <c r="AD3961" s="15" t="n">
        <v>27.5</v>
      </c>
      <c r="AE3961" s="11" t="n">
        <v>5.22911819572827</v>
      </c>
      <c r="AF3961" s="16">
        <f>SUMPRODUCT(N3961:Y3961,$N$5:$Y$5)*$K3961*$L3961*$M3961</f>
        <v/>
      </c>
      <c r="AG3961" s="16">
        <f>SUMPRODUCT(N3961:Y3961,$N$6:$Y$6)*$K3961*$L3961*$M3961</f>
        <v/>
      </c>
      <c r="AH3961" s="20" t="n"/>
    </row>
    <row r="3962">
      <c r="A3962" s="9" t="n">
        <v>656232</v>
      </c>
      <c r="B3962" s="9" t="inlineStr">
        <is>
          <t>Brandon Bielak</t>
        </is>
      </c>
      <c r="C3962" s="9" t="inlineStr">
        <is>
          <t>OAK</t>
        </is>
      </c>
      <c r="D3962" s="9" t="n">
        <v>31</v>
      </c>
      <c r="E3962" s="18" t="inlineStr">
        <is>
          <t>R</t>
        </is>
      </c>
      <c r="F3962" s="18" t="n"/>
      <c r="G3962" s="9" t="n">
        <v>140</v>
      </c>
      <c r="H3962" s="9" t="n">
        <v>547</v>
      </c>
      <c r="I3962" s="9" t="inlineStr">
        <is>
          <t>Depth (no MLB IP)</t>
        </is>
      </c>
      <c r="J3962" s="18" t="inlineStr">
        <is>
          <t>Opening Day</t>
        </is>
      </c>
      <c r="K3962" s="11">
        <f>IFERROR(INDEX(Roles!$B$17:$B$20,MATCH(J3962,Roles!$A$17:$A$20,0)),1)</f>
        <v/>
      </c>
      <c r="L3962" s="19" t="n">
        <v>1</v>
      </c>
      <c r="M3962" s="11" t="n">
        <v>1</v>
      </c>
      <c r="N3962" s="19" t="n"/>
      <c r="O3962" s="19" t="n"/>
      <c r="P3962" s="19" t="n"/>
      <c r="Q3962" s="19" t="n"/>
      <c r="R3962" s="19" t="n"/>
      <c r="S3962" s="19" t="n"/>
      <c r="T3962" s="19" t="n"/>
      <c r="U3962" s="19" t="n"/>
      <c r="V3962" s="19" t="n"/>
      <c r="W3962" s="19" t="n"/>
      <c r="X3962" s="19" t="n"/>
      <c r="Y3962" s="19" t="n">
        <v>1</v>
      </c>
      <c r="Z3962" s="13">
        <f>SUMPRODUCT(N3962:Y3962,$N$2:$Y$2)*$K3962*$L3962*$M3962</f>
        <v/>
      </c>
      <c r="AA3962" s="14">
        <f>SUM(N3962:Y3962)</f>
        <v/>
      </c>
      <c r="AB3962" s="13">
        <f>SUMPRODUCT(N3962:Y3962,$N$3:$Y$3)*$K3962*$L3962*$M3962</f>
        <v/>
      </c>
      <c r="AC3962" s="13">
        <f>SUMPRODUCT(N3962:Y3962,$N$4:$Y$4)*$K3962*$L3962*$M3962</f>
        <v/>
      </c>
      <c r="AD3962" s="15" t="n">
        <v>10.8</v>
      </c>
      <c r="AE3962" s="11" t="n">
        <v>1.292253086419753</v>
      </c>
      <c r="AF3962" s="16">
        <f>SUMPRODUCT(N3962:Y3962,$N$5:$Y$5)*$K3962*$L3962*$M3962</f>
        <v/>
      </c>
      <c r="AG3962" s="16">
        <f>SUMPRODUCT(N3962:Y3962,$N$6:$Y$6)*$K3962*$L3962*$M3962</f>
        <v/>
      </c>
      <c r="AH3962" s="20" t="n"/>
    </row>
    <row r="3963">
      <c r="A3963" s="9" t="n">
        <v>687238</v>
      </c>
      <c r="B3963" s="9" t="inlineStr">
        <is>
          <t>Trace Bright</t>
        </is>
      </c>
      <c r="C3963" s="9" t="inlineStr">
        <is>
          <t>BAL</t>
        </is>
      </c>
      <c r="D3963" s="9" t="n">
        <v>25</v>
      </c>
      <c r="E3963" s="18" t="inlineStr">
        <is>
          <t>R</t>
        </is>
      </c>
      <c r="F3963" s="18" t="n"/>
      <c r="G3963" s="9" t="n">
        <v>218.3683333333333</v>
      </c>
      <c r="H3963" s="9" t="n">
        <v>218.3683333333333</v>
      </c>
      <c r="I3963" s="9" t="inlineStr">
        <is>
          <t>Depth (no MLB IP)</t>
        </is>
      </c>
      <c r="J3963" s="18" t="inlineStr">
        <is>
          <t>Opening Day</t>
        </is>
      </c>
      <c r="K3963" s="11">
        <f>IFERROR(INDEX(Roles!$B$17:$B$20,MATCH(J3963,Roles!$A$17:$A$20,0)),1)</f>
        <v/>
      </c>
      <c r="L3963" s="19" t="n">
        <v>1</v>
      </c>
      <c r="M3963" s="11" t="n">
        <v>1</v>
      </c>
      <c r="N3963" s="19" t="n"/>
      <c r="O3963" s="19" t="n"/>
      <c r="P3963" s="19" t="n"/>
      <c r="Q3963" s="19" t="n"/>
      <c r="R3963" s="19" t="n"/>
      <c r="S3963" s="19" t="n"/>
      <c r="T3963" s="19" t="n"/>
      <c r="U3963" s="19" t="n"/>
      <c r="V3963" s="19" t="n"/>
      <c r="W3963" s="19" t="n"/>
      <c r="X3963" s="19" t="n"/>
      <c r="Y3963" s="19" t="n">
        <v>1</v>
      </c>
      <c r="Z3963" s="13">
        <f>SUMPRODUCT(N3963:Y3963,$N$2:$Y$2)*$K3963*$L3963*$M3963</f>
        <v/>
      </c>
      <c r="AA3963" s="14">
        <f>SUM(N3963:Y3963)</f>
        <v/>
      </c>
      <c r="AB3963" s="13">
        <f>SUMPRODUCT(N3963:Y3963,$N$3:$Y$3)*$K3963*$L3963*$M3963</f>
        <v/>
      </c>
      <c r="AC3963" s="13">
        <f>SUMPRODUCT(N3963:Y3963,$N$4:$Y$4)*$K3963*$L3963*$M3963</f>
        <v/>
      </c>
      <c r="AD3963" s="15" t="n">
        <v>3</v>
      </c>
      <c r="AE3963" s="11" t="n">
        <v>1.011296296296296</v>
      </c>
      <c r="AF3963" s="16">
        <f>SUMPRODUCT(N3963:Y3963,$N$5:$Y$5)*$K3963*$L3963*$M3963</f>
        <v/>
      </c>
      <c r="AG3963" s="16">
        <f>SUMPRODUCT(N3963:Y3963,$N$6:$Y$6)*$K3963*$L3963*$M3963</f>
        <v/>
      </c>
      <c r="AH3963" s="20" t="n"/>
    </row>
    <row r="3964">
      <c r="A3964" s="9" t="n">
        <v>657022</v>
      </c>
      <c r="B3964" s="9" t="inlineStr">
        <is>
          <t>Trey Supak</t>
        </is>
      </c>
      <c r="C3964" s="9" t="inlineStr">
        <is>
          <t>TEX</t>
        </is>
      </c>
      <c r="D3964" s="9" t="n">
        <v>25</v>
      </c>
      <c r="E3964" s="18" t="inlineStr">
        <is>
          <t>R</t>
        </is>
      </c>
      <c r="F3964" s="18" t="n"/>
      <c r="G3964" s="9" t="n">
        <v>219.945</v>
      </c>
      <c r="H3964" s="9" t="n">
        <v>219.945</v>
      </c>
      <c r="I3964" s="9" t="inlineStr">
        <is>
          <t>Depth (no MLB IP)</t>
        </is>
      </c>
      <c r="J3964" s="18" t="inlineStr">
        <is>
          <t>Opening Day</t>
        </is>
      </c>
      <c r="K3964" s="11">
        <f>IFERROR(INDEX(Roles!$B$17:$B$20,MATCH(J3964,Roles!$A$17:$A$20,0)),1)</f>
        <v/>
      </c>
      <c r="L3964" s="19" t="n">
        <v>1</v>
      </c>
      <c r="M3964" s="11" t="n">
        <v>1</v>
      </c>
      <c r="N3964" s="19" t="n"/>
      <c r="O3964" s="19" t="n"/>
      <c r="P3964" s="19" t="n"/>
      <c r="Q3964" s="19" t="n"/>
      <c r="R3964" s="19" t="n"/>
      <c r="S3964" s="19" t="n"/>
      <c r="T3964" s="19" t="n"/>
      <c r="U3964" s="19" t="n"/>
      <c r="V3964" s="19" t="n"/>
      <c r="W3964" s="19" t="n"/>
      <c r="X3964" s="19" t="n"/>
      <c r="Y3964" s="19" t="n">
        <v>1</v>
      </c>
      <c r="Z3964" s="13">
        <f>SUMPRODUCT(N3964:Y3964,$N$2:$Y$2)*$K3964*$L3964*$M3964</f>
        <v/>
      </c>
      <c r="AA3964" s="14">
        <f>SUM(N3964:Y3964)</f>
        <v/>
      </c>
      <c r="AB3964" s="13">
        <f>SUMPRODUCT(N3964:Y3964,$N$3:$Y$3)*$K3964*$L3964*$M3964</f>
        <v/>
      </c>
      <c r="AC3964" s="13">
        <f>SUMPRODUCT(N3964:Y3964,$N$4:$Y$4)*$K3964*$L3964*$M3964</f>
        <v/>
      </c>
      <c r="AD3964" s="15" t="n">
        <v>3</v>
      </c>
      <c r="AE3964" s="11" t="n">
        <v>1.011296296296296</v>
      </c>
      <c r="AF3964" s="16">
        <f>SUMPRODUCT(N3964:Y3964,$N$5:$Y$5)*$K3964*$L3964*$M3964</f>
        <v/>
      </c>
      <c r="AG3964" s="16">
        <f>SUMPRODUCT(N3964:Y3964,$N$6:$Y$6)*$K3964*$L3964*$M3964</f>
        <v/>
      </c>
      <c r="AH3964" s="20" t="n"/>
    </row>
    <row r="3965">
      <c r="A3965" s="9" t="n">
        <v>690294</v>
      </c>
      <c r="B3965" s="9" t="inlineStr">
        <is>
          <t>Shane Murphy</t>
        </is>
      </c>
      <c r="C3965" s="9" t="inlineStr">
        <is>
          <t>CWS</t>
        </is>
      </c>
      <c r="D3965" s="9" t="n">
        <v>25</v>
      </c>
      <c r="E3965" s="18" t="inlineStr">
        <is>
          <t>L</t>
        </is>
      </c>
      <c r="F3965" s="18" t="n"/>
      <c r="G3965" s="9" t="n">
        <v>219.945</v>
      </c>
      <c r="H3965" s="9" t="n">
        <v>219.945</v>
      </c>
      <c r="I3965" s="9" t="inlineStr">
        <is>
          <t>Depth (no MLB IP)</t>
        </is>
      </c>
      <c r="J3965" s="18" t="inlineStr">
        <is>
          <t>Opening Day</t>
        </is>
      </c>
      <c r="K3965" s="11">
        <f>IFERROR(INDEX(Roles!$B$17:$B$20,MATCH(J3965,Roles!$A$17:$A$20,0)),1)</f>
        <v/>
      </c>
      <c r="L3965" s="19" t="n">
        <v>1</v>
      </c>
      <c r="M3965" s="11" t="n">
        <v>1</v>
      </c>
      <c r="N3965" s="19" t="n"/>
      <c r="O3965" s="19" t="n"/>
      <c r="P3965" s="19" t="n"/>
      <c r="Q3965" s="19" t="n"/>
      <c r="R3965" s="19" t="n"/>
      <c r="S3965" s="19" t="n"/>
      <c r="T3965" s="19" t="n"/>
      <c r="U3965" s="19" t="n"/>
      <c r="V3965" s="19" t="n"/>
      <c r="W3965" s="19" t="n"/>
      <c r="X3965" s="19" t="n"/>
      <c r="Y3965" s="19" t="n">
        <v>1</v>
      </c>
      <c r="Z3965" s="13">
        <f>SUMPRODUCT(N3965:Y3965,$N$2:$Y$2)*$K3965*$L3965*$M3965</f>
        <v/>
      </c>
      <c r="AA3965" s="14">
        <f>SUM(N3965:Y3965)</f>
        <v/>
      </c>
      <c r="AB3965" s="13">
        <f>SUMPRODUCT(N3965:Y3965,$N$3:$Y$3)*$K3965*$L3965*$M3965</f>
        <v/>
      </c>
      <c r="AC3965" s="13">
        <f>SUMPRODUCT(N3965:Y3965,$N$4:$Y$4)*$K3965*$L3965*$M3965</f>
        <v/>
      </c>
      <c r="AD3965" s="15" t="n">
        <v>3</v>
      </c>
      <c r="AE3965" s="11" t="n">
        <v>1.011296296296296</v>
      </c>
      <c r="AF3965" s="16">
        <f>SUMPRODUCT(N3965:Y3965,$N$5:$Y$5)*$K3965*$L3965*$M3965</f>
        <v/>
      </c>
      <c r="AG3965" s="16">
        <f>SUMPRODUCT(N3965:Y3965,$N$6:$Y$6)*$K3965*$L3965*$M3965</f>
        <v/>
      </c>
      <c r="AH3965" s="20" t="n"/>
    </row>
    <row r="3966">
      <c r="A3966" s="9" t="n">
        <v>500779</v>
      </c>
      <c r="B3966" s="9" t="inlineStr">
        <is>
          <t>Jose Quintana</t>
        </is>
      </c>
      <c r="C3966" s="9" t="inlineStr">
        <is>
          <t>COL</t>
        </is>
      </c>
      <c r="D3966" s="9" t="n">
        <v>38</v>
      </c>
      <c r="E3966" s="18" t="inlineStr">
        <is>
          <t>L</t>
        </is>
      </c>
      <c r="F3966" s="18" t="n"/>
      <c r="G3966" s="9" t="n">
        <v>212</v>
      </c>
      <c r="H3966" s="9" t="n">
        <v>2483</v>
      </c>
      <c r="I3966" s="9" t="inlineStr">
        <is>
          <t>Mid-Rotation Starter (SP2-3)</t>
        </is>
      </c>
      <c r="J3966" s="18" t="inlineStr">
        <is>
          <t>Opening Day</t>
        </is>
      </c>
      <c r="K3966" s="11">
        <f>IFERROR(INDEX(Roles!$B$17:$B$20,MATCH(J3966,Roles!$A$17:$A$20,0)),1)</f>
        <v/>
      </c>
      <c r="L3966" s="19" t="n">
        <v>1</v>
      </c>
      <c r="M3966" s="11" t="n">
        <v>1</v>
      </c>
      <c r="N3966" s="19" t="n"/>
      <c r="O3966" s="19" t="n">
        <v>0.5</v>
      </c>
      <c r="P3966" s="19" t="n">
        <v>0.5</v>
      </c>
      <c r="Q3966" s="19" t="n"/>
      <c r="R3966" s="19" t="n"/>
      <c r="S3966" s="19" t="n"/>
      <c r="T3966" s="19" t="n"/>
      <c r="U3966" s="19" t="n"/>
      <c r="V3966" s="19" t="n"/>
      <c r="W3966" s="19" t="n"/>
      <c r="X3966" s="19" t="n"/>
      <c r="Y3966" s="19" t="n"/>
      <c r="Z3966" s="13">
        <f>SUMPRODUCT(N3966:Y3966,$N$2:$Y$2)*$K3966*$L3966*$M3966</f>
        <v/>
      </c>
      <c r="AA3966" s="14">
        <f>SUM(N3966:Y3966)</f>
        <v/>
      </c>
      <c r="AB3966" s="13">
        <f>SUMPRODUCT(N3966:Y3966,$N$3:$Y$3)*$K3966*$L3966*$M3966</f>
        <v/>
      </c>
      <c r="AC3966" s="13">
        <f>SUMPRODUCT(N3966:Y3966,$N$4:$Y$4)*$K3966*$L3966*$M3966</f>
        <v/>
      </c>
      <c r="AD3966" s="15" t="n">
        <v>21.6</v>
      </c>
      <c r="AE3966" s="11" t="n">
        <v>5.188780081925244</v>
      </c>
      <c r="AF3966" s="16">
        <f>SUMPRODUCT(N3966:Y3966,$N$5:$Y$5)*$K3966*$L3966*$M3966</f>
        <v/>
      </c>
      <c r="AG3966" s="16">
        <f>SUMPRODUCT(N3966:Y3966,$N$6:$Y$6)*$K3966*$L3966*$M3966</f>
        <v/>
      </c>
      <c r="AH3966" s="20" t="n"/>
    </row>
    <row r="3967">
      <c r="A3967" s="9" t="n">
        <v>592836</v>
      </c>
      <c r="B3967" s="9" t="inlineStr">
        <is>
          <t>Taijuan Walker</t>
        </is>
      </c>
      <c r="C3967" s="9" t="inlineStr">
        <is>
          <t>PHI</t>
        </is>
      </c>
      <c r="D3967" s="9" t="n">
        <v>34</v>
      </c>
      <c r="E3967" s="18" t="inlineStr">
        <is>
          <t>R</t>
        </is>
      </c>
      <c r="F3967" s="18" t="n"/>
      <c r="G3967" s="9" t="n">
        <v>115</v>
      </c>
      <c r="H3967" s="9" t="n">
        <v>2416</v>
      </c>
      <c r="I3967" s="9" t="inlineStr">
        <is>
          <t>End-of-Rotation Starter (SP4-5)</t>
        </is>
      </c>
      <c r="J3967" s="18" t="inlineStr">
        <is>
          <t>Opening Day</t>
        </is>
      </c>
      <c r="K3967" s="11">
        <f>IFERROR(INDEX(Roles!$B$17:$B$20,MATCH(J3967,Roles!$A$17:$A$20,0)),1)</f>
        <v/>
      </c>
      <c r="L3967" s="19" t="n">
        <v>1</v>
      </c>
      <c r="M3967" s="11" t="n">
        <v>1</v>
      </c>
      <c r="N3967" s="19" t="n"/>
      <c r="O3967" s="19" t="n"/>
      <c r="P3967" s="19" t="n">
        <v>1</v>
      </c>
      <c r="Q3967" s="19" t="n"/>
      <c r="R3967" s="19" t="n"/>
      <c r="S3967" s="19" t="n"/>
      <c r="T3967" s="19" t="n"/>
      <c r="U3967" s="19" t="n"/>
      <c r="V3967" s="19" t="n"/>
      <c r="W3967" s="19" t="n"/>
      <c r="X3967" s="19" t="n"/>
      <c r="Y3967" s="19" t="n"/>
      <c r="Z3967" s="13">
        <f>SUMPRODUCT(N3967:Y3967,$N$2:$Y$2)*$K3967*$L3967*$M3967</f>
        <v/>
      </c>
      <c r="AA3967" s="14">
        <f>SUM(N3967:Y3967)</f>
        <v/>
      </c>
      <c r="AB3967" s="13">
        <f>SUMPRODUCT(N3967:Y3967,$N$3:$Y$3)*$K3967*$L3967*$M3967</f>
        <v/>
      </c>
      <c r="AC3967" s="13">
        <f>SUMPRODUCT(N3967:Y3967,$N$4:$Y$4)*$K3967*$L3967*$M3967</f>
        <v/>
      </c>
      <c r="AD3967" s="15" t="n">
        <v>16.6</v>
      </c>
      <c r="AE3967" s="11" t="n">
        <v>4.340958605664488</v>
      </c>
      <c r="AF3967" s="16">
        <f>SUMPRODUCT(N3967:Y3967,$N$5:$Y$5)*$K3967*$L3967*$M3967</f>
        <v/>
      </c>
      <c r="AG3967" s="16">
        <f>SUMPRODUCT(N3967:Y3967,$N$6:$Y$6)*$K3967*$L3967*$M3967</f>
        <v/>
      </c>
      <c r="AH3967" s="20" t="n"/>
    </row>
    <row r="3968">
      <c r="A3968" s="9" t="n">
        <v>669060</v>
      </c>
      <c r="B3968" s="9" t="inlineStr">
        <is>
          <t>Bryse Wilson</t>
        </is>
      </c>
      <c r="C3968" s="9" t="inlineStr">
        <is>
          <t>MIL</t>
        </is>
      </c>
      <c r="D3968" s="9" t="n">
        <v>29</v>
      </c>
      <c r="E3968" s="18" t="inlineStr">
        <is>
          <t>R</t>
        </is>
      </c>
      <c r="F3968" s="18" t="n"/>
      <c r="G3968" s="9" t="n">
        <v>151</v>
      </c>
      <c r="H3968" s="9" t="n">
        <v>1640</v>
      </c>
      <c r="I3968" s="9" t="inlineStr">
        <is>
          <t>Swing Arm / Long Relief</t>
        </is>
      </c>
      <c r="J3968" s="18" t="inlineStr">
        <is>
          <t>Opening Day</t>
        </is>
      </c>
      <c r="K3968" s="11">
        <f>IFERROR(INDEX(Roles!$B$17:$B$20,MATCH(J3968,Roles!$A$17:$A$20,0)),1)</f>
        <v/>
      </c>
      <c r="L3968" s="19" t="n">
        <v>1</v>
      </c>
      <c r="M3968" s="11" t="n">
        <v>1</v>
      </c>
      <c r="N3968" s="19" t="n"/>
      <c r="O3968" s="19" t="n"/>
      <c r="P3968" s="19" t="n"/>
      <c r="Q3968" s="19" t="n"/>
      <c r="R3968" s="19" t="n">
        <v>0.6</v>
      </c>
      <c r="S3968" s="19" t="n"/>
      <c r="T3968" s="19" t="n"/>
      <c r="U3968" s="19" t="n"/>
      <c r="V3968" s="19" t="n"/>
      <c r="W3968" s="19" t="n">
        <v>0.4</v>
      </c>
      <c r="X3968" s="19" t="n"/>
      <c r="Y3968" s="19" t="n"/>
      <c r="Z3968" s="13">
        <f>SUMPRODUCT(N3968:Y3968,$N$2:$Y$2)*$K3968*$L3968*$M3968</f>
        <v/>
      </c>
      <c r="AA3968" s="14">
        <f>SUM(N3968:Y3968)</f>
        <v/>
      </c>
      <c r="AB3968" s="13">
        <f>SUMPRODUCT(N3968:Y3968,$N$3:$Y$3)*$K3968*$L3968*$M3968</f>
        <v/>
      </c>
      <c r="AC3968" s="13">
        <f>SUMPRODUCT(N3968:Y3968,$N$4:$Y$4)*$K3968*$L3968*$M3968</f>
        <v/>
      </c>
      <c r="AD3968" s="15" t="n">
        <v>20.33333333333333</v>
      </c>
      <c r="AE3968" s="11" t="n">
        <v>2.502732240437159</v>
      </c>
      <c r="AF3968" s="16">
        <f>SUMPRODUCT(N3968:Y3968,$N$5:$Y$5)*$K3968*$L3968*$M3968</f>
        <v/>
      </c>
      <c r="AG3968" s="16">
        <f>SUMPRODUCT(N3968:Y3968,$N$6:$Y$6)*$K3968*$L3968*$M3968</f>
        <v/>
      </c>
      <c r="AH3968" s="20" t="n"/>
    </row>
    <row r="3969">
      <c r="A3969" s="9" t="n">
        <v>666148</v>
      </c>
      <c r="B3969" s="9" t="inlineStr">
        <is>
          <t>Drake Fellows</t>
        </is>
      </c>
      <c r="C3969" s="9" t="inlineStr">
        <is>
          <t>PHI</t>
        </is>
      </c>
      <c r="D3969" s="9" t="n">
        <v>25</v>
      </c>
      <c r="E3969" s="18" t="inlineStr">
        <is>
          <t>R</t>
        </is>
      </c>
      <c r="F3969" s="18" t="n"/>
      <c r="G3969" s="9" t="n">
        <v>223.0983333333333</v>
      </c>
      <c r="H3969" s="9" t="n">
        <v>223.0983333333333</v>
      </c>
      <c r="I3969" s="9" t="inlineStr">
        <is>
          <t>Depth (no MLB IP)</t>
        </is>
      </c>
      <c r="J3969" s="18" t="inlineStr">
        <is>
          <t>Opening Day</t>
        </is>
      </c>
      <c r="K3969" s="11">
        <f>IFERROR(INDEX(Roles!$B$17:$B$20,MATCH(J3969,Roles!$A$17:$A$20,0)),1)</f>
        <v/>
      </c>
      <c r="L3969" s="19" t="n">
        <v>1</v>
      </c>
      <c r="M3969" s="11" t="n">
        <v>1</v>
      </c>
      <c r="N3969" s="19" t="n"/>
      <c r="O3969" s="19" t="n"/>
      <c r="P3969" s="19" t="n"/>
      <c r="Q3969" s="19" t="n"/>
      <c r="R3969" s="19" t="n"/>
      <c r="S3969" s="19" t="n"/>
      <c r="T3969" s="19" t="n"/>
      <c r="U3969" s="19" t="n"/>
      <c r="V3969" s="19" t="n"/>
      <c r="W3969" s="19" t="n"/>
      <c r="X3969" s="19" t="n"/>
      <c r="Y3969" s="19" t="n">
        <v>1</v>
      </c>
      <c r="Z3969" s="13">
        <f>SUMPRODUCT(N3969:Y3969,$N$2:$Y$2)*$K3969*$L3969*$M3969</f>
        <v/>
      </c>
      <c r="AA3969" s="14">
        <f>SUM(N3969:Y3969)</f>
        <v/>
      </c>
      <c r="AB3969" s="13">
        <f>SUMPRODUCT(N3969:Y3969,$N$3:$Y$3)*$K3969*$L3969*$M3969</f>
        <v/>
      </c>
      <c r="AC3969" s="13">
        <f>SUMPRODUCT(N3969:Y3969,$N$4:$Y$4)*$K3969*$L3969*$M3969</f>
        <v/>
      </c>
      <c r="AD3969" s="15" t="n">
        <v>3</v>
      </c>
      <c r="AE3969" s="11" t="n">
        <v>1.011296296296296</v>
      </c>
      <c r="AF3969" s="16">
        <f>SUMPRODUCT(N3969:Y3969,$N$5:$Y$5)*$K3969*$L3969*$M3969</f>
        <v/>
      </c>
      <c r="AG3969" s="16">
        <f>SUMPRODUCT(N3969:Y3969,$N$6:$Y$6)*$K3969*$L3969*$M3969</f>
        <v/>
      </c>
      <c r="AH3969" s="20" t="n"/>
    </row>
    <row r="3970">
      <c r="A3970" s="9" t="n">
        <v>630023</v>
      </c>
      <c r="B3970" s="9" t="inlineStr">
        <is>
          <t>Yonny Chirinos</t>
        </is>
      </c>
      <c r="C3970" s="9" t="inlineStr">
        <is>
          <t>MIA</t>
        </is>
      </c>
      <c r="D3970" s="9" t="n">
        <v>33</v>
      </c>
      <c r="E3970" s="18" t="inlineStr">
        <is>
          <t>R</t>
        </is>
      </c>
      <c r="F3970" s="18" t="n"/>
      <c r="G3970" s="9" t="n">
        <v>144</v>
      </c>
      <c r="H3970" s="9" t="n">
        <v>541</v>
      </c>
      <c r="I3970" s="9" t="inlineStr">
        <is>
          <t>Depth (no MLB IP)</t>
        </is>
      </c>
      <c r="J3970" s="18" t="inlineStr">
        <is>
          <t>Opening Day</t>
        </is>
      </c>
      <c r="K3970" s="11">
        <f>IFERROR(INDEX(Roles!$B$17:$B$20,MATCH(J3970,Roles!$A$17:$A$20,0)),1)</f>
        <v/>
      </c>
      <c r="L3970" s="19" t="n">
        <v>1</v>
      </c>
      <c r="M3970" s="11" t="n">
        <v>1</v>
      </c>
      <c r="N3970" s="19" t="n"/>
      <c r="O3970" s="19" t="n"/>
      <c r="P3970" s="19" t="n"/>
      <c r="Q3970" s="19" t="n"/>
      <c r="R3970" s="19" t="n"/>
      <c r="S3970" s="19" t="n"/>
      <c r="T3970" s="19" t="n"/>
      <c r="U3970" s="19" t="n"/>
      <c r="V3970" s="19" t="n"/>
      <c r="W3970" s="19" t="n"/>
      <c r="X3970" s="19" t="n"/>
      <c r="Y3970" s="19" t="n">
        <v>1</v>
      </c>
      <c r="Z3970" s="13">
        <f>SUMPRODUCT(N3970:Y3970,$N$2:$Y$2)*$K3970*$L3970*$M3970</f>
        <v/>
      </c>
      <c r="AA3970" s="14">
        <f>SUM(N3970:Y3970)</f>
        <v/>
      </c>
      <c r="AB3970" s="13">
        <f>SUMPRODUCT(N3970:Y3970,$N$3:$Y$3)*$K3970*$L3970*$M3970</f>
        <v/>
      </c>
      <c r="AC3970" s="13">
        <f>SUMPRODUCT(N3970:Y3970,$N$4:$Y$4)*$K3970*$L3970*$M3970</f>
        <v/>
      </c>
      <c r="AD3970" s="15" t="n">
        <v>4.8</v>
      </c>
      <c r="AE3970" s="11" t="n">
        <v>2.340864197530864</v>
      </c>
      <c r="AF3970" s="16">
        <f>SUMPRODUCT(N3970:Y3970,$N$5:$Y$5)*$K3970*$L3970*$M3970</f>
        <v/>
      </c>
      <c r="AG3970" s="16">
        <f>SUMPRODUCT(N3970:Y3970,$N$6:$Y$6)*$K3970*$L3970*$M3970</f>
        <v/>
      </c>
      <c r="AH3970" s="20" t="n"/>
    </row>
    <row r="3971">
      <c r="A3971" s="9" t="n">
        <v>680730</v>
      </c>
      <c r="B3971" s="9" t="inlineStr">
        <is>
          <t>Mitchell Parker</t>
        </is>
      </c>
      <c r="C3971" s="9" t="inlineStr">
        <is>
          <t>WSH</t>
        </is>
      </c>
      <c r="D3971" s="9" t="n">
        <v>27</v>
      </c>
      <c r="E3971" s="18" t="inlineStr">
        <is>
          <t>L</t>
        </is>
      </c>
      <c r="F3971" s="18" t="n"/>
      <c r="G3971" s="9" t="n">
        <v>178</v>
      </c>
      <c r="H3971" s="9" t="n">
        <v>1549</v>
      </c>
      <c r="I3971" s="9" t="inlineStr">
        <is>
          <t>Bullpen Depth Arm</t>
        </is>
      </c>
      <c r="J3971" s="18" t="inlineStr">
        <is>
          <t>Opening Day</t>
        </is>
      </c>
      <c r="K3971" s="11">
        <f>IFERROR(INDEX(Roles!$B$17:$B$20,MATCH(J3971,Roles!$A$17:$A$20,0)),1)</f>
        <v/>
      </c>
      <c r="L3971" s="19" t="n">
        <v>1</v>
      </c>
      <c r="M3971" s="11" t="n">
        <v>1</v>
      </c>
      <c r="N3971" s="19" t="n"/>
      <c r="O3971" s="19" t="n"/>
      <c r="P3971" s="19" t="n"/>
      <c r="Q3971" s="19" t="n"/>
      <c r="R3971" s="19" t="n"/>
      <c r="S3971" s="19" t="n"/>
      <c r="T3971" s="19" t="n"/>
      <c r="U3971" s="19" t="n"/>
      <c r="V3971" s="19" t="n">
        <v>0.15</v>
      </c>
      <c r="W3971" s="19" t="n">
        <v>0.85</v>
      </c>
      <c r="X3971" s="19" t="n"/>
      <c r="Y3971" s="19" t="n"/>
      <c r="Z3971" s="13">
        <f>SUMPRODUCT(N3971:Y3971,$N$2:$Y$2)*$K3971*$L3971*$M3971</f>
        <v/>
      </c>
      <c r="AA3971" s="14">
        <f>SUM(N3971:Y3971)</f>
        <v/>
      </c>
      <c r="AB3971" s="13">
        <f>SUMPRODUCT(N3971:Y3971,$N$3:$Y$3)*$K3971*$L3971*$M3971</f>
        <v/>
      </c>
      <c r="AC3971" s="13">
        <f>SUMPRODUCT(N3971:Y3971,$N$4:$Y$4)*$K3971*$L3971*$M3971</f>
        <v/>
      </c>
      <c r="AD3971" s="15" t="n">
        <v>21.76666666666667</v>
      </c>
      <c r="AE3971" s="11" t="n">
        <v>2.042362897435361</v>
      </c>
      <c r="AF3971" s="16">
        <f>SUMPRODUCT(N3971:Y3971,$N$5:$Y$5)*$K3971*$L3971*$M3971</f>
        <v/>
      </c>
      <c r="AG3971" s="16">
        <f>SUMPRODUCT(N3971:Y3971,$N$6:$Y$6)*$K3971*$L3971*$M3971</f>
        <v/>
      </c>
      <c r="AH3971" s="20" t="n"/>
    </row>
    <row r="3972">
      <c r="A3972" s="9" t="n">
        <v>683157</v>
      </c>
      <c r="B3972" s="9" t="inlineStr">
        <is>
          <t>Evan Fitterer</t>
        </is>
      </c>
      <c r="C3972" s="9" t="inlineStr">
        <is>
          <t>SD</t>
        </is>
      </c>
      <c r="D3972" s="9" t="n">
        <v>25</v>
      </c>
      <c r="E3972" s="18" t="inlineStr">
        <is>
          <t>R</t>
        </is>
      </c>
      <c r="F3972" s="18" t="n"/>
      <c r="G3972" s="9" t="n">
        <v>225.4633333333333</v>
      </c>
      <c r="H3972" s="9" t="n">
        <v>225.4633333333333</v>
      </c>
      <c r="I3972" s="9" t="inlineStr">
        <is>
          <t>Depth (no MLB IP)</t>
        </is>
      </c>
      <c r="J3972" s="18" t="inlineStr">
        <is>
          <t>Opening Day</t>
        </is>
      </c>
      <c r="K3972" s="11">
        <f>IFERROR(INDEX(Roles!$B$17:$B$20,MATCH(J3972,Roles!$A$17:$A$20,0)),1)</f>
        <v/>
      </c>
      <c r="L3972" s="19" t="n">
        <v>1</v>
      </c>
      <c r="M3972" s="11" t="n">
        <v>1</v>
      </c>
      <c r="N3972" s="19" t="n"/>
      <c r="O3972" s="19" t="n"/>
      <c r="P3972" s="19" t="n"/>
      <c r="Q3972" s="19" t="n"/>
      <c r="R3972" s="19" t="n"/>
      <c r="S3972" s="19" t="n"/>
      <c r="T3972" s="19" t="n"/>
      <c r="U3972" s="19" t="n"/>
      <c r="V3972" s="19" t="n"/>
      <c r="W3972" s="19" t="n"/>
      <c r="X3972" s="19" t="n"/>
      <c r="Y3972" s="19" t="n">
        <v>1</v>
      </c>
      <c r="Z3972" s="13">
        <f>SUMPRODUCT(N3972:Y3972,$N$2:$Y$2)*$K3972*$L3972*$M3972</f>
        <v/>
      </c>
      <c r="AA3972" s="14">
        <f>SUM(N3972:Y3972)</f>
        <v/>
      </c>
      <c r="AB3972" s="13">
        <f>SUMPRODUCT(N3972:Y3972,$N$3:$Y$3)*$K3972*$L3972*$M3972</f>
        <v/>
      </c>
      <c r="AC3972" s="13">
        <f>SUMPRODUCT(N3972:Y3972,$N$4:$Y$4)*$K3972*$L3972*$M3972</f>
        <v/>
      </c>
      <c r="AD3972" s="15" t="n">
        <v>3</v>
      </c>
      <c r="AE3972" s="11" t="n">
        <v>1.011296296296296</v>
      </c>
      <c r="AF3972" s="16">
        <f>SUMPRODUCT(N3972:Y3972,$N$5:$Y$5)*$K3972*$L3972*$M3972</f>
        <v/>
      </c>
      <c r="AG3972" s="16">
        <f>SUMPRODUCT(N3972:Y3972,$N$6:$Y$6)*$K3972*$L3972*$M3972</f>
        <v/>
      </c>
      <c r="AH3972" s="20" t="n"/>
    </row>
    <row r="3973">
      <c r="A3973" s="9" t="n">
        <v>518397</v>
      </c>
      <c r="B3973" s="9" t="inlineStr">
        <is>
          <t>Scott Alexander</t>
        </is>
      </c>
      <c r="C3973" s="9" t="inlineStr">
        <is>
          <t>SF</t>
        </is>
      </c>
      <c r="D3973" s="9" t="n">
        <v>37</v>
      </c>
      <c r="E3973" s="18" t="inlineStr">
        <is>
          <t>L</t>
        </is>
      </c>
      <c r="F3973" s="18" t="n"/>
      <c r="G3973" s="9" t="n">
        <v>81</v>
      </c>
      <c r="H3973" s="9" t="n">
        <v>512</v>
      </c>
      <c r="I3973" s="9" t="inlineStr">
        <is>
          <t>Bullpen Depth Arm</t>
        </is>
      </c>
      <c r="J3973" s="18" t="inlineStr">
        <is>
          <t>Opening Day</t>
        </is>
      </c>
      <c r="K3973" s="11">
        <f>IFERROR(INDEX(Roles!$B$17:$B$20,MATCH(J3973,Roles!$A$17:$A$20,0)),1)</f>
        <v/>
      </c>
      <c r="L3973" s="19" t="n">
        <v>1</v>
      </c>
      <c r="M3973" s="11" t="n">
        <v>1</v>
      </c>
      <c r="N3973" s="19" t="n"/>
      <c r="O3973" s="19" t="n"/>
      <c r="P3973" s="19" t="n"/>
      <c r="Q3973" s="19" t="n"/>
      <c r="R3973" s="19" t="n"/>
      <c r="S3973" s="19" t="n"/>
      <c r="T3973" s="19" t="n"/>
      <c r="U3973" s="19" t="n"/>
      <c r="V3973" s="19" t="n"/>
      <c r="W3973" s="19" t="n">
        <v>1</v>
      </c>
      <c r="X3973" s="19" t="n"/>
      <c r="Y3973" s="19" t="n"/>
      <c r="Z3973" s="13">
        <f>SUMPRODUCT(N3973:Y3973,$N$2:$Y$2)*$K3973*$L3973*$M3973</f>
        <v/>
      </c>
      <c r="AA3973" s="14">
        <f>SUM(N3973:Y3973)</f>
        <v/>
      </c>
      <c r="AB3973" s="13">
        <f>SUMPRODUCT(N3973:Y3973,$N$3:$Y$3)*$K3973*$L3973*$M3973</f>
        <v/>
      </c>
      <c r="AC3973" s="13">
        <f>SUMPRODUCT(N3973:Y3973,$N$4:$Y$4)*$K3973*$L3973*$M3973</f>
        <v/>
      </c>
      <c r="AD3973" s="15" t="n">
        <v>23.06666666666666</v>
      </c>
      <c r="AE3973" s="11" t="n">
        <v>1.085032039055027</v>
      </c>
      <c r="AF3973" s="16">
        <f>SUMPRODUCT(N3973:Y3973,$N$5:$Y$5)*$K3973*$L3973*$M3973</f>
        <v/>
      </c>
      <c r="AG3973" s="16">
        <f>SUMPRODUCT(N3973:Y3973,$N$6:$Y$6)*$K3973*$L3973*$M3973</f>
        <v/>
      </c>
      <c r="AH3973" s="20" t="n"/>
    </row>
    <row r="3974">
      <c r="A3974" s="9" t="n">
        <v>570666</v>
      </c>
      <c r="B3974" s="9" t="inlineStr">
        <is>
          <t>Luis Cessa</t>
        </is>
      </c>
      <c r="C3974" s="9" t="inlineStr">
        <is>
          <t>CIN</t>
        </is>
      </c>
      <c r="D3974" s="9" t="n">
        <v>35</v>
      </c>
      <c r="E3974" s="18" t="inlineStr">
        <is>
          <t>R</t>
        </is>
      </c>
      <c r="F3974" s="18" t="n"/>
      <c r="G3974" s="9" t="n">
        <v>132</v>
      </c>
      <c r="H3974" s="9" t="n">
        <v>468</v>
      </c>
      <c r="I3974" s="9" t="inlineStr">
        <is>
          <t>Depth (no MLB IP)</t>
        </is>
      </c>
      <c r="J3974" s="18" t="inlineStr">
        <is>
          <t>Opening Day</t>
        </is>
      </c>
      <c r="K3974" s="11">
        <f>IFERROR(INDEX(Roles!$B$17:$B$20,MATCH(J3974,Roles!$A$17:$A$20,0)),1)</f>
        <v/>
      </c>
      <c r="L3974" s="19" t="n">
        <v>1</v>
      </c>
      <c r="M3974" s="11" t="n">
        <v>1</v>
      </c>
      <c r="N3974" s="19" t="n"/>
      <c r="O3974" s="19" t="n"/>
      <c r="P3974" s="19" t="n"/>
      <c r="Q3974" s="19" t="n"/>
      <c r="R3974" s="19" t="n"/>
      <c r="S3974" s="19" t="n"/>
      <c r="T3974" s="19" t="n"/>
      <c r="U3974" s="19" t="n"/>
      <c r="V3974" s="19" t="n"/>
      <c r="W3974" s="19" t="n"/>
      <c r="X3974" s="19" t="n"/>
      <c r="Y3974" s="19" t="n">
        <v>1</v>
      </c>
      <c r="Z3974" s="13">
        <f>SUMPRODUCT(N3974:Y3974,$N$2:$Y$2)*$K3974*$L3974*$M3974</f>
        <v/>
      </c>
      <c r="AA3974" s="14">
        <f>SUM(N3974:Y3974)</f>
        <v/>
      </c>
      <c r="AB3974" s="13">
        <f>SUMPRODUCT(N3974:Y3974,$N$3:$Y$3)*$K3974*$L3974*$M3974</f>
        <v/>
      </c>
      <c r="AC3974" s="13">
        <f>SUMPRODUCT(N3974:Y3974,$N$4:$Y$4)*$K3974*$L3974*$M3974</f>
        <v/>
      </c>
      <c r="AD3974" s="15" t="n">
        <v>3</v>
      </c>
      <c r="AE3974" s="11" t="n">
        <v>1.011296296296296</v>
      </c>
      <c r="AF3974" s="16">
        <f>SUMPRODUCT(N3974:Y3974,$N$5:$Y$5)*$K3974*$L3974*$M3974</f>
        <v/>
      </c>
      <c r="AG3974" s="16">
        <f>SUMPRODUCT(N3974:Y3974,$N$6:$Y$6)*$K3974*$L3974*$M3974</f>
        <v/>
      </c>
      <c r="AH3974" s="20" t="n"/>
    </row>
    <row r="3975">
      <c r="A3975" s="9" t="n">
        <v>689546</v>
      </c>
      <c r="B3975" s="9" t="inlineStr">
        <is>
          <t>Nick Davila</t>
        </is>
      </c>
      <c r="C3975" s="9" t="inlineStr">
        <is>
          <t>SEA</t>
        </is>
      </c>
      <c r="D3975" s="9" t="n">
        <v>28</v>
      </c>
      <c r="E3975" s="18" t="inlineStr">
        <is>
          <t>R</t>
        </is>
      </c>
      <c r="F3975" s="18" t="n"/>
      <c r="G3975" s="9" t="n">
        <v>119</v>
      </c>
      <c r="H3975" s="9" t="n">
        <v>119</v>
      </c>
      <c r="I3975" s="9" t="inlineStr">
        <is>
          <t>Bullpen Depth Arm</t>
        </is>
      </c>
      <c r="J3975" s="18" t="inlineStr">
        <is>
          <t>Opening Day</t>
        </is>
      </c>
      <c r="K3975" s="11">
        <f>IFERROR(INDEX(Roles!$B$17:$B$20,MATCH(J3975,Roles!$A$17:$A$20,0)),1)</f>
        <v/>
      </c>
      <c r="L3975" s="19" t="n">
        <v>1</v>
      </c>
      <c r="M3975" s="11" t="n">
        <v>1</v>
      </c>
      <c r="N3975" s="19" t="n"/>
      <c r="O3975" s="19" t="n"/>
      <c r="P3975" s="19" t="n"/>
      <c r="Q3975" s="19" t="n"/>
      <c r="R3975" s="19" t="n"/>
      <c r="S3975" s="19" t="n"/>
      <c r="T3975" s="19" t="n"/>
      <c r="U3975" s="19" t="n"/>
      <c r="V3975" s="19" t="n">
        <v>0.15</v>
      </c>
      <c r="W3975" s="19" t="n">
        <v>0.85</v>
      </c>
      <c r="X3975" s="19" t="n"/>
      <c r="Y3975" s="19" t="n"/>
      <c r="Z3975" s="13">
        <f>SUMPRODUCT(N3975:Y3975,$N$2:$Y$2)*$K3975*$L3975*$M3975</f>
        <v/>
      </c>
      <c r="AA3975" s="14">
        <f>SUM(N3975:Y3975)</f>
        <v/>
      </c>
      <c r="AB3975" s="13">
        <f>SUMPRODUCT(N3975:Y3975,$N$3:$Y$3)*$K3975*$L3975*$M3975</f>
        <v/>
      </c>
      <c r="AC3975" s="13">
        <f>SUMPRODUCT(N3975:Y3975,$N$4:$Y$4)*$K3975*$L3975*$M3975</f>
        <v/>
      </c>
      <c r="AD3975" s="15" t="n">
        <v>20.06666666666666</v>
      </c>
      <c r="AE3975" s="11" t="n">
        <v>1.181136764470098</v>
      </c>
      <c r="AF3975" s="16">
        <f>SUMPRODUCT(N3975:Y3975,$N$5:$Y$5)*$K3975*$L3975*$M3975</f>
        <v/>
      </c>
      <c r="AG3975" s="16">
        <f>SUMPRODUCT(N3975:Y3975,$N$6:$Y$6)*$K3975*$L3975*$M3975</f>
        <v/>
      </c>
      <c r="AH3975" s="20" t="n"/>
    </row>
    <row r="3976">
      <c r="A3976" s="9" t="n">
        <v>624431</v>
      </c>
      <c r="B3976" s="9" t="inlineStr">
        <is>
          <t>Jose Trevino</t>
        </is>
      </c>
      <c r="C3976" s="9" t="inlineStr">
        <is>
          <t>CIN</t>
        </is>
      </c>
      <c r="D3976" s="9" t="n">
        <v>34</v>
      </c>
      <c r="E3976" s="18" t="inlineStr">
        <is>
          <t>R</t>
        </is>
      </c>
      <c r="F3976" s="18" t="n"/>
      <c r="G3976" s="9" t="n">
        <v>49</v>
      </c>
      <c r="H3976" s="9" t="n">
        <v>74</v>
      </c>
      <c r="I3976" s="9" t="inlineStr">
        <is>
          <t>Bullpen Depth Arm</t>
        </is>
      </c>
      <c r="J3976" s="18" t="inlineStr">
        <is>
          <t>Opening Day</t>
        </is>
      </c>
      <c r="K3976" s="11">
        <f>IFERROR(INDEX(Roles!$B$17:$B$20,MATCH(J3976,Roles!$A$17:$A$20,0)),1)</f>
        <v/>
      </c>
      <c r="L3976" s="19" t="n">
        <v>1</v>
      </c>
      <c r="M3976" s="11" t="n">
        <v>1</v>
      </c>
      <c r="N3976" s="19" t="n"/>
      <c r="O3976" s="19" t="n"/>
      <c r="P3976" s="19" t="n"/>
      <c r="Q3976" s="19" t="n"/>
      <c r="R3976" s="19" t="n"/>
      <c r="S3976" s="19" t="n"/>
      <c r="T3976" s="19" t="n"/>
      <c r="U3976" s="19" t="n"/>
      <c r="V3976" s="19" t="n"/>
      <c r="W3976" s="19" t="n">
        <v>1</v>
      </c>
      <c r="X3976" s="19" t="n"/>
      <c r="Y3976" s="19" t="n"/>
      <c r="Z3976" s="13">
        <f>SUMPRODUCT(N3976:Y3976,$N$2:$Y$2)*$K3976*$L3976*$M3976</f>
        <v/>
      </c>
      <c r="AA3976" s="14">
        <f>SUM(N3976:Y3976)</f>
        <v/>
      </c>
      <c r="AB3976" s="13">
        <f>SUMPRODUCT(N3976:Y3976,$N$3:$Y$3)*$K3976*$L3976*$M3976</f>
        <v/>
      </c>
      <c r="AC3976" s="13">
        <f>SUMPRODUCT(N3976:Y3976,$N$4:$Y$4)*$K3976*$L3976*$M3976</f>
        <v/>
      </c>
      <c r="AD3976" s="15" t="n">
        <v>8.366666666666665</v>
      </c>
      <c r="AE3976" s="11" t="n">
        <v>1.217144994922773</v>
      </c>
      <c r="AF3976" s="16">
        <f>SUMPRODUCT(N3976:Y3976,$N$5:$Y$5)*$K3976*$L3976*$M3976</f>
        <v/>
      </c>
      <c r="AG3976" s="16">
        <f>SUMPRODUCT(N3976:Y3976,$N$6:$Y$6)*$K3976*$L3976*$M3976</f>
        <v/>
      </c>
      <c r="AH3976" s="20" t="n"/>
    </row>
    <row r="3977">
      <c r="A3977" s="9" t="n">
        <v>669270</v>
      </c>
      <c r="B3977" s="9" t="inlineStr">
        <is>
          <t>Joel Kuhnel</t>
        </is>
      </c>
      <c r="C3977" s="9" t="inlineStr">
        <is>
          <t>SF</t>
        </is>
      </c>
      <c r="D3977" s="9" t="n">
        <v>32</v>
      </c>
      <c r="E3977" s="18" t="inlineStr">
        <is>
          <t>R</t>
        </is>
      </c>
      <c r="F3977" s="18" t="n"/>
      <c r="G3977" s="9" t="n">
        <v>202</v>
      </c>
      <c r="H3977" s="9" t="n">
        <v>554</v>
      </c>
      <c r="I3977" s="9" t="inlineStr">
        <is>
          <t>Middle Relief</t>
        </is>
      </c>
      <c r="J3977" s="18" t="inlineStr">
        <is>
          <t>Opening Day</t>
        </is>
      </c>
      <c r="K3977" s="11">
        <f>IFERROR(INDEX(Roles!$B$17:$B$20,MATCH(J3977,Roles!$A$17:$A$20,0)),1)</f>
        <v/>
      </c>
      <c r="L3977" s="19" t="n">
        <v>1</v>
      </c>
      <c r="M3977" s="11" t="n">
        <v>1</v>
      </c>
      <c r="N3977" s="19" t="n"/>
      <c r="O3977" s="19" t="n"/>
      <c r="P3977" s="19" t="n"/>
      <c r="Q3977" s="19" t="n"/>
      <c r="R3977" s="19" t="n"/>
      <c r="S3977" s="19" t="n"/>
      <c r="T3977" s="19" t="n">
        <v>0.4</v>
      </c>
      <c r="U3977" s="19" t="n"/>
      <c r="V3977" s="19" t="n">
        <v>0.6</v>
      </c>
      <c r="W3977" s="19" t="n"/>
      <c r="X3977" s="19" t="n"/>
      <c r="Y3977" s="19" t="n"/>
      <c r="Z3977" s="13">
        <f>SUMPRODUCT(N3977:Y3977,$N$2:$Y$2)*$K3977*$L3977*$M3977</f>
        <v/>
      </c>
      <c r="AA3977" s="14">
        <f>SUM(N3977:Y3977)</f>
        <v/>
      </c>
      <c r="AB3977" s="13">
        <f>SUMPRODUCT(N3977:Y3977,$N$3:$Y$3)*$K3977*$L3977*$M3977</f>
        <v/>
      </c>
      <c r="AC3977" s="13">
        <f>SUMPRODUCT(N3977:Y3977,$N$4:$Y$4)*$K3977*$L3977*$M3977</f>
        <v/>
      </c>
      <c r="AD3977" s="15" t="n">
        <v>35.88333333333333</v>
      </c>
      <c r="AE3977" s="11" t="n">
        <v>1.031933362884161</v>
      </c>
      <c r="AF3977" s="16">
        <f>SUMPRODUCT(N3977:Y3977,$N$5:$Y$5)*$K3977*$L3977*$M3977</f>
        <v/>
      </c>
      <c r="AG3977" s="16">
        <f>SUMPRODUCT(N3977:Y3977,$N$6:$Y$6)*$K3977*$L3977*$M3977</f>
        <v/>
      </c>
      <c r="AH3977" s="20" t="n"/>
    </row>
    <row r="3978">
      <c r="A3978" s="9" t="n">
        <v>702474</v>
      </c>
      <c r="B3978" s="9" t="inlineStr">
        <is>
          <t>Mike Paredes</t>
        </is>
      </c>
      <c r="C3978" s="9" t="inlineStr">
        <is>
          <t>MIN</t>
        </is>
      </c>
      <c r="D3978" s="9" t="n">
        <v>26</v>
      </c>
      <c r="E3978" s="18" t="inlineStr">
        <is>
          <t>R</t>
        </is>
      </c>
      <c r="F3978" s="18" t="n"/>
      <c r="G3978" s="9" t="n">
        <v>154</v>
      </c>
      <c r="H3978" s="9" t="n">
        <v>154</v>
      </c>
      <c r="I3978" s="9" t="inlineStr">
        <is>
          <t>Bullpen Depth Arm</t>
        </is>
      </c>
      <c r="J3978" s="18" t="inlineStr">
        <is>
          <t>Opening Day</t>
        </is>
      </c>
      <c r="K3978" s="11">
        <f>IFERROR(INDEX(Roles!$B$17:$B$20,MATCH(J3978,Roles!$A$17:$A$20,0)),1)</f>
        <v/>
      </c>
      <c r="L3978" s="19" t="n">
        <v>1</v>
      </c>
      <c r="M3978" s="11" t="n">
        <v>1</v>
      </c>
      <c r="N3978" s="19" t="n"/>
      <c r="O3978" s="19" t="n"/>
      <c r="P3978" s="19" t="n"/>
      <c r="Q3978" s="19" t="n"/>
      <c r="R3978" s="19" t="n"/>
      <c r="S3978" s="19" t="n"/>
      <c r="T3978" s="19" t="n"/>
      <c r="U3978" s="19" t="n"/>
      <c r="V3978" s="19" t="n">
        <v>0.15</v>
      </c>
      <c r="W3978" s="19" t="n">
        <v>0.85</v>
      </c>
      <c r="X3978" s="19" t="n"/>
      <c r="Y3978" s="19" t="n"/>
      <c r="Z3978" s="13">
        <f>SUMPRODUCT(N3978:Y3978,$N$2:$Y$2)*$K3978*$L3978*$M3978</f>
        <v/>
      </c>
      <c r="AA3978" s="14">
        <f>SUM(N3978:Y3978)</f>
        <v/>
      </c>
      <c r="AB3978" s="13">
        <f>SUMPRODUCT(N3978:Y3978,$N$3:$Y$3)*$K3978*$L3978*$M3978</f>
        <v/>
      </c>
      <c r="AC3978" s="13">
        <f>SUMPRODUCT(N3978:Y3978,$N$4:$Y$4)*$K3978*$L3978*$M3978</f>
        <v/>
      </c>
      <c r="AD3978" s="15" t="n">
        <v>11.06666666666667</v>
      </c>
      <c r="AE3978" s="11" t="n">
        <v>2.073112073112073</v>
      </c>
      <c r="AF3978" s="16">
        <f>SUMPRODUCT(N3978:Y3978,$N$5:$Y$5)*$K3978*$L3978*$M3978</f>
        <v/>
      </c>
      <c r="AG3978" s="16">
        <f>SUMPRODUCT(N3978:Y3978,$N$6:$Y$6)*$K3978*$L3978*$M3978</f>
        <v/>
      </c>
      <c r="AH3978" s="20" t="n"/>
    </row>
    <row r="3979">
      <c r="A3979" s="9" t="n">
        <v>696522</v>
      </c>
      <c r="B3979" s="9" t="inlineStr">
        <is>
          <t>Hayden Juenger</t>
        </is>
      </c>
      <c r="C3979" s="9" t="inlineStr">
        <is>
          <t>OAK</t>
        </is>
      </c>
      <c r="D3979" s="9" t="n">
        <v>26</v>
      </c>
      <c r="E3979" s="18" t="inlineStr">
        <is>
          <t>R</t>
        </is>
      </c>
      <c r="F3979" s="18" t="n"/>
      <c r="G3979" s="9" t="n">
        <v>81</v>
      </c>
      <c r="H3979" s="9" t="n">
        <v>81</v>
      </c>
      <c r="I3979" s="9" t="inlineStr">
        <is>
          <t>Bullpen Depth Arm</t>
        </is>
      </c>
      <c r="J3979" s="18" t="inlineStr">
        <is>
          <t>Opening Day</t>
        </is>
      </c>
      <c r="K3979" s="11">
        <f>IFERROR(INDEX(Roles!$B$17:$B$20,MATCH(J3979,Roles!$A$17:$A$20,0)),1)</f>
        <v/>
      </c>
      <c r="L3979" s="19" t="n">
        <v>1</v>
      </c>
      <c r="M3979" s="11" t="n">
        <v>1</v>
      </c>
      <c r="N3979" s="19" t="n"/>
      <c r="O3979" s="19" t="n"/>
      <c r="P3979" s="19" t="n"/>
      <c r="Q3979" s="19" t="n"/>
      <c r="R3979" s="19" t="n"/>
      <c r="S3979" s="19" t="n"/>
      <c r="T3979" s="19" t="n"/>
      <c r="U3979" s="19" t="n"/>
      <c r="V3979" s="19" t="n"/>
      <c r="W3979" s="19" t="n">
        <v>1</v>
      </c>
      <c r="X3979" s="19" t="n"/>
      <c r="Y3979" s="19" t="n"/>
      <c r="Z3979" s="13">
        <f>SUMPRODUCT(N3979:Y3979,$N$2:$Y$2)*$K3979*$L3979*$M3979</f>
        <v/>
      </c>
      <c r="AA3979" s="14">
        <f>SUM(N3979:Y3979)</f>
        <v/>
      </c>
      <c r="AB3979" s="13">
        <f>SUMPRODUCT(N3979:Y3979,$N$3:$Y$3)*$K3979*$L3979*$M3979</f>
        <v/>
      </c>
      <c r="AC3979" s="13">
        <f>SUMPRODUCT(N3979:Y3979,$N$4:$Y$4)*$K3979*$L3979*$M3979</f>
        <v/>
      </c>
      <c r="AD3979" s="15" t="n">
        <v>14.66666666666667</v>
      </c>
      <c r="AE3979" s="11" t="n">
        <v>1.157062690396023</v>
      </c>
      <c r="AF3979" s="16">
        <f>SUMPRODUCT(N3979:Y3979,$N$5:$Y$5)*$K3979*$L3979*$M3979</f>
        <v/>
      </c>
      <c r="AG3979" s="16">
        <f>SUMPRODUCT(N3979:Y3979,$N$6:$Y$6)*$K3979*$L3979*$M3979</f>
        <v/>
      </c>
      <c r="AH3979" s="20" t="n"/>
    </row>
    <row r="3980">
      <c r="A3980" s="9" t="n">
        <v>683155</v>
      </c>
      <c r="B3980" s="9" t="inlineStr">
        <is>
          <t>Joey Estes</t>
        </is>
      </c>
      <c r="C3980" s="9" t="inlineStr">
        <is>
          <t>OAK</t>
        </is>
      </c>
      <c r="D3980" s="9" t="n">
        <v>25</v>
      </c>
      <c r="E3980" s="18" t="inlineStr">
        <is>
          <t>R</t>
        </is>
      </c>
      <c r="F3980" s="18" t="n"/>
      <c r="G3980" s="9" t="n">
        <v>34</v>
      </c>
      <c r="H3980" s="9" t="n">
        <v>679</v>
      </c>
      <c r="I3980" s="9" t="inlineStr">
        <is>
          <t>End-of-Rotation Starter (SP4-5)</t>
        </is>
      </c>
      <c r="J3980" s="18" t="inlineStr">
        <is>
          <t>Opening Day</t>
        </is>
      </c>
      <c r="K3980" s="11">
        <f>IFERROR(INDEX(Roles!$B$17:$B$20,MATCH(J3980,Roles!$A$17:$A$20,0)),1)</f>
        <v/>
      </c>
      <c r="L3980" s="19" t="n">
        <v>1</v>
      </c>
      <c r="M3980" s="11" t="n">
        <v>1</v>
      </c>
      <c r="N3980" s="19" t="n"/>
      <c r="O3980" s="19" t="n"/>
      <c r="P3980" s="19" t="n">
        <v>1</v>
      </c>
      <c r="Q3980" s="19" t="n"/>
      <c r="R3980" s="19" t="n"/>
      <c r="S3980" s="19" t="n"/>
      <c r="T3980" s="19" t="n"/>
      <c r="U3980" s="19" t="n"/>
      <c r="V3980" s="19" t="n"/>
      <c r="W3980" s="19" t="n"/>
      <c r="X3980" s="19" t="n"/>
      <c r="Y3980" s="19" t="n"/>
      <c r="Z3980" s="13">
        <f>SUMPRODUCT(N3980:Y3980,$N$2:$Y$2)*$K3980*$L3980*$M3980</f>
        <v/>
      </c>
      <c r="AA3980" s="14">
        <f>SUM(N3980:Y3980)</f>
        <v/>
      </c>
      <c r="AB3980" s="13">
        <f>SUMPRODUCT(N3980:Y3980,$N$3:$Y$3)*$K3980*$L3980*$M3980</f>
        <v/>
      </c>
      <c r="AC3980" s="13">
        <f>SUMPRODUCT(N3980:Y3980,$N$4:$Y$4)*$K3980*$L3980*$M3980</f>
        <v/>
      </c>
      <c r="AD3980" s="15" t="n">
        <v>10.1</v>
      </c>
      <c r="AE3980" s="11" t="n">
        <v>4.583583583583583</v>
      </c>
      <c r="AF3980" s="16">
        <f>SUMPRODUCT(N3980:Y3980,$N$5:$Y$5)*$K3980*$L3980*$M3980</f>
        <v/>
      </c>
      <c r="AG3980" s="16">
        <f>SUMPRODUCT(N3980:Y3980,$N$6:$Y$6)*$K3980*$L3980*$M3980</f>
        <v/>
      </c>
      <c r="AH3980" s="20" t="n"/>
    </row>
    <row r="3981">
      <c r="A3981" s="9" t="n">
        <v>689275</v>
      </c>
      <c r="B3981" s="9" t="inlineStr">
        <is>
          <t>Henry Williams</t>
        </is>
      </c>
      <c r="C3981" s="9" t="inlineStr">
        <is>
          <t>KC</t>
        </is>
      </c>
      <c r="D3981" s="9" t="n">
        <v>25</v>
      </c>
      <c r="E3981" s="18" t="inlineStr">
        <is>
          <t>R</t>
        </is>
      </c>
      <c r="F3981" s="18" t="n"/>
      <c r="G3981" s="9" t="n">
        <v>230.9816666666667</v>
      </c>
      <c r="H3981" s="9" t="n">
        <v>230.9816666666667</v>
      </c>
      <c r="I3981" s="9" t="inlineStr">
        <is>
          <t>Depth (no MLB IP)</t>
        </is>
      </c>
      <c r="J3981" s="18" t="inlineStr">
        <is>
          <t>Opening Day</t>
        </is>
      </c>
      <c r="K3981" s="11">
        <f>IFERROR(INDEX(Roles!$B$17:$B$20,MATCH(J3981,Roles!$A$17:$A$20,0)),1)</f>
        <v/>
      </c>
      <c r="L3981" s="19" t="n">
        <v>1</v>
      </c>
      <c r="M3981" s="11" t="n">
        <v>1</v>
      </c>
      <c r="N3981" s="19" t="n"/>
      <c r="O3981" s="19" t="n"/>
      <c r="P3981" s="19" t="n"/>
      <c r="Q3981" s="19" t="n"/>
      <c r="R3981" s="19" t="n"/>
      <c r="S3981" s="19" t="n"/>
      <c r="T3981" s="19" t="n"/>
      <c r="U3981" s="19" t="n"/>
      <c r="V3981" s="19" t="n"/>
      <c r="W3981" s="19" t="n"/>
      <c r="X3981" s="19" t="n"/>
      <c r="Y3981" s="19" t="n">
        <v>1</v>
      </c>
      <c r="Z3981" s="13">
        <f>SUMPRODUCT(N3981:Y3981,$N$2:$Y$2)*$K3981*$L3981*$M3981</f>
        <v/>
      </c>
      <c r="AA3981" s="14">
        <f>SUM(N3981:Y3981)</f>
        <v/>
      </c>
      <c r="AB3981" s="13">
        <f>SUMPRODUCT(N3981:Y3981,$N$3:$Y$3)*$K3981*$L3981*$M3981</f>
        <v/>
      </c>
      <c r="AC3981" s="13">
        <f>SUMPRODUCT(N3981:Y3981,$N$4:$Y$4)*$K3981*$L3981*$M3981</f>
        <v/>
      </c>
      <c r="AD3981" s="15" t="n">
        <v>3</v>
      </c>
      <c r="AE3981" s="11" t="n">
        <v>1.011296296296296</v>
      </c>
      <c r="AF3981" s="16">
        <f>SUMPRODUCT(N3981:Y3981,$N$5:$Y$5)*$K3981*$L3981*$M3981</f>
        <v/>
      </c>
      <c r="AG3981" s="16">
        <f>SUMPRODUCT(N3981:Y3981,$N$6:$Y$6)*$K3981*$L3981*$M3981</f>
        <v/>
      </c>
      <c r="AH3981" s="20" t="n"/>
    </row>
    <row r="3982">
      <c r="A3982" s="9" t="n">
        <v>542947</v>
      </c>
      <c r="B3982" s="9" t="inlineStr">
        <is>
          <t>Richard Bleier</t>
        </is>
      </c>
      <c r="C3982" s="9" t="inlineStr">
        <is>
          <t>BOS</t>
        </is>
      </c>
      <c r="D3982" s="9" t="n">
        <v>40</v>
      </c>
      <c r="E3982" s="18" t="inlineStr">
        <is>
          <t>L</t>
        </is>
      </c>
      <c r="F3982" s="18" t="n"/>
      <c r="G3982" s="9" t="n">
        <v>132</v>
      </c>
      <c r="H3982" s="9" t="n">
        <v>354</v>
      </c>
      <c r="I3982" s="9" t="inlineStr">
        <is>
          <t>Depth (no MLB IP)</t>
        </is>
      </c>
      <c r="J3982" s="18" t="inlineStr">
        <is>
          <t>Opening Day</t>
        </is>
      </c>
      <c r="K3982" s="11">
        <f>IFERROR(INDEX(Roles!$B$17:$B$20,MATCH(J3982,Roles!$A$17:$A$20,0)),1)</f>
        <v/>
      </c>
      <c r="L3982" s="19" t="n">
        <v>1</v>
      </c>
      <c r="M3982" s="11" t="n">
        <v>1</v>
      </c>
      <c r="N3982" s="19" t="n"/>
      <c r="O3982" s="19" t="n"/>
      <c r="P3982" s="19" t="n"/>
      <c r="Q3982" s="19" t="n"/>
      <c r="R3982" s="19" t="n"/>
      <c r="S3982" s="19" t="n"/>
      <c r="T3982" s="19" t="n"/>
      <c r="U3982" s="19" t="n"/>
      <c r="V3982" s="19" t="n"/>
      <c r="W3982" s="19" t="n"/>
      <c r="X3982" s="19" t="n"/>
      <c r="Y3982" s="19" t="n">
        <v>1</v>
      </c>
      <c r="Z3982" s="13">
        <f>SUMPRODUCT(N3982:Y3982,$N$2:$Y$2)*$K3982*$L3982*$M3982</f>
        <v/>
      </c>
      <c r="AA3982" s="14">
        <f>SUM(N3982:Y3982)</f>
        <v/>
      </c>
      <c r="AB3982" s="13">
        <f>SUMPRODUCT(N3982:Y3982,$N$3:$Y$3)*$K3982*$L3982*$M3982</f>
        <v/>
      </c>
      <c r="AC3982" s="13">
        <f>SUMPRODUCT(N3982:Y3982,$N$4:$Y$4)*$K3982*$L3982*$M3982</f>
        <v/>
      </c>
      <c r="AD3982" s="15" t="n">
        <v>3</v>
      </c>
      <c r="AE3982" s="11" t="n">
        <v>1.011296296296296</v>
      </c>
      <c r="AF3982" s="16">
        <f>SUMPRODUCT(N3982:Y3982,$N$5:$Y$5)*$K3982*$L3982*$M3982</f>
        <v/>
      </c>
      <c r="AG3982" s="16">
        <f>SUMPRODUCT(N3982:Y3982,$N$6:$Y$6)*$K3982*$L3982*$M3982</f>
        <v/>
      </c>
      <c r="AH3982" s="20" t="n"/>
    </row>
    <row r="3983">
      <c r="A3983" s="9" t="n">
        <v>642028</v>
      </c>
      <c r="B3983" s="9" t="inlineStr">
        <is>
          <t>Josh Rogers</t>
        </is>
      </c>
      <c r="C3983" s="9" t="inlineStr">
        <is>
          <t>COL</t>
        </is>
      </c>
      <c r="D3983" s="9" t="n">
        <v>32</v>
      </c>
      <c r="E3983" s="18" t="inlineStr">
        <is>
          <t>L</t>
        </is>
      </c>
      <c r="F3983" s="18" t="n"/>
      <c r="G3983" s="9" t="n">
        <v>50</v>
      </c>
      <c r="H3983" s="9" t="n">
        <v>163</v>
      </c>
      <c r="I3983" s="9" t="inlineStr">
        <is>
          <t>Depth (no MLB IP)</t>
        </is>
      </c>
      <c r="J3983" s="18" t="inlineStr">
        <is>
          <t>Opening Day</t>
        </is>
      </c>
      <c r="K3983" s="11">
        <f>IFERROR(INDEX(Roles!$B$17:$B$20,MATCH(J3983,Roles!$A$17:$A$20,0)),1)</f>
        <v/>
      </c>
      <c r="L3983" s="19" t="n">
        <v>1</v>
      </c>
      <c r="M3983" s="11" t="n">
        <v>1</v>
      </c>
      <c r="N3983" s="19" t="n"/>
      <c r="O3983" s="19" t="n"/>
      <c r="P3983" s="19" t="n"/>
      <c r="Q3983" s="19" t="n"/>
      <c r="R3983" s="19" t="n"/>
      <c r="S3983" s="19" t="n"/>
      <c r="T3983" s="19" t="n"/>
      <c r="U3983" s="19" t="n"/>
      <c r="V3983" s="19" t="n"/>
      <c r="W3983" s="19" t="n"/>
      <c r="X3983" s="19" t="n"/>
      <c r="Y3983" s="19" t="n">
        <v>1</v>
      </c>
      <c r="Z3983" s="13">
        <f>SUMPRODUCT(N3983:Y3983,$N$2:$Y$2)*$K3983*$L3983*$M3983</f>
        <v/>
      </c>
      <c r="AA3983" s="14">
        <f>SUM(N3983:Y3983)</f>
        <v/>
      </c>
      <c r="AB3983" s="13">
        <f>SUMPRODUCT(N3983:Y3983,$N$3:$Y$3)*$K3983*$L3983*$M3983</f>
        <v/>
      </c>
      <c r="AC3983" s="13">
        <f>SUMPRODUCT(N3983:Y3983,$N$4:$Y$4)*$K3983*$L3983*$M3983</f>
        <v/>
      </c>
      <c r="AD3983" s="15" t="n">
        <v>4.8</v>
      </c>
      <c r="AE3983" s="11" t="n">
        <v>1.285308641975309</v>
      </c>
      <c r="AF3983" s="16">
        <f>SUMPRODUCT(N3983:Y3983,$N$5:$Y$5)*$K3983*$L3983*$M3983</f>
        <v/>
      </c>
      <c r="AG3983" s="16">
        <f>SUMPRODUCT(N3983:Y3983,$N$6:$Y$6)*$K3983*$L3983*$M3983</f>
        <v/>
      </c>
      <c r="AH3983" s="20" t="n"/>
    </row>
    <row r="3984">
      <c r="A3984" s="9" t="n">
        <v>664350</v>
      </c>
      <c r="B3984" s="9" t="inlineStr">
        <is>
          <t>Sixto Sánchez</t>
        </is>
      </c>
      <c r="C3984" s="9" t="inlineStr">
        <is>
          <t>MIA</t>
        </is>
      </c>
      <c r="D3984" s="9" t="n">
        <v>28</v>
      </c>
      <c r="E3984" s="18" t="inlineStr">
        <is>
          <t>R</t>
        </is>
      </c>
      <c r="F3984" s="18" t="n"/>
      <c r="G3984" s="9" t="n">
        <v>162</v>
      </c>
      <c r="H3984" s="9" t="n">
        <v>162</v>
      </c>
      <c r="I3984" s="9" t="inlineStr">
        <is>
          <t>Depth (no MLB IP)</t>
        </is>
      </c>
      <c r="J3984" s="18" t="inlineStr">
        <is>
          <t>Opening Day</t>
        </is>
      </c>
      <c r="K3984" s="11">
        <f>IFERROR(INDEX(Roles!$B$17:$B$20,MATCH(J3984,Roles!$A$17:$A$20,0)),1)</f>
        <v/>
      </c>
      <c r="L3984" s="19" t="n">
        <v>1</v>
      </c>
      <c r="M3984" s="11" t="n">
        <v>1</v>
      </c>
      <c r="N3984" s="19" t="n"/>
      <c r="O3984" s="19" t="n"/>
      <c r="P3984" s="19" t="n"/>
      <c r="Q3984" s="19" t="n"/>
      <c r="R3984" s="19" t="n"/>
      <c r="S3984" s="19" t="n"/>
      <c r="T3984" s="19" t="n"/>
      <c r="U3984" s="19" t="n"/>
      <c r="V3984" s="19" t="n"/>
      <c r="W3984" s="19" t="n"/>
      <c r="X3984" s="19" t="n"/>
      <c r="Y3984" s="19" t="n">
        <v>1</v>
      </c>
      <c r="Z3984" s="13">
        <f>SUMPRODUCT(N3984:Y3984,$N$2:$Y$2)*$K3984*$L3984*$M3984</f>
        <v/>
      </c>
      <c r="AA3984" s="14">
        <f>SUM(N3984:Y3984)</f>
        <v/>
      </c>
      <c r="AB3984" s="13">
        <f>SUMPRODUCT(N3984:Y3984,$N$3:$Y$3)*$K3984*$L3984*$M3984</f>
        <v/>
      </c>
      <c r="AC3984" s="13">
        <f>SUMPRODUCT(N3984:Y3984,$N$4:$Y$4)*$K3984*$L3984*$M3984</f>
        <v/>
      </c>
      <c r="AD3984" s="15" t="n">
        <v>9.6</v>
      </c>
      <c r="AE3984" s="11" t="n">
        <v>1.523403880070547</v>
      </c>
      <c r="AF3984" s="16">
        <f>SUMPRODUCT(N3984:Y3984,$N$5:$Y$5)*$K3984*$L3984*$M3984</f>
        <v/>
      </c>
      <c r="AG3984" s="16">
        <f>SUMPRODUCT(N3984:Y3984,$N$6:$Y$6)*$K3984*$L3984*$M3984</f>
        <v/>
      </c>
      <c r="AH3984" s="20" t="n"/>
    </row>
    <row r="3985">
      <c r="A3985" s="9" t="n">
        <v>670124</v>
      </c>
      <c r="B3985" s="9" t="inlineStr">
        <is>
          <t>Adam Oller</t>
        </is>
      </c>
      <c r="C3985" s="9" t="inlineStr">
        <is>
          <t>MIA</t>
        </is>
      </c>
      <c r="D3985" s="9" t="n">
        <v>32</v>
      </c>
      <c r="E3985" s="18" t="inlineStr">
        <is>
          <t>R</t>
        </is>
      </c>
      <c r="F3985" s="18" t="n"/>
      <c r="G3985" s="9" t="n">
        <v>189</v>
      </c>
      <c r="H3985" s="9" t="n">
        <v>627</v>
      </c>
      <c r="I3985" s="9" t="inlineStr">
        <is>
          <t>Depth (no MLB IP)</t>
        </is>
      </c>
      <c r="J3985" s="18" t="inlineStr">
        <is>
          <t>Opening Day</t>
        </is>
      </c>
      <c r="K3985" s="11">
        <f>IFERROR(INDEX(Roles!$B$17:$B$20,MATCH(J3985,Roles!$A$17:$A$20,0)),1)</f>
        <v/>
      </c>
      <c r="L3985" s="19" t="n">
        <v>1</v>
      </c>
      <c r="M3985" s="11" t="n">
        <v>1</v>
      </c>
      <c r="N3985" s="19" t="n"/>
      <c r="O3985" s="19" t="n"/>
      <c r="P3985" s="19" t="n"/>
      <c r="Q3985" s="19" t="n"/>
      <c r="R3985" s="19" t="n"/>
      <c r="S3985" s="19" t="n"/>
      <c r="T3985" s="19" t="n"/>
      <c r="U3985" s="19" t="n"/>
      <c r="V3985" s="19" t="n"/>
      <c r="W3985" s="19" t="n"/>
      <c r="X3985" s="19" t="n"/>
      <c r="Y3985" s="19" t="n">
        <v>1</v>
      </c>
      <c r="Z3985" s="13">
        <f>SUMPRODUCT(N3985:Y3985,$N$2:$Y$2)*$K3985*$L3985*$M3985</f>
        <v/>
      </c>
      <c r="AA3985" s="14">
        <f>SUM(N3985:Y3985)</f>
        <v/>
      </c>
      <c r="AB3985" s="13">
        <f>SUMPRODUCT(N3985:Y3985,$N$3:$Y$3)*$K3985*$L3985*$M3985</f>
        <v/>
      </c>
      <c r="AC3985" s="13">
        <f>SUMPRODUCT(N3985:Y3985,$N$4:$Y$4)*$K3985*$L3985*$M3985</f>
        <v/>
      </c>
      <c r="AD3985" s="15" t="n">
        <v>6</v>
      </c>
      <c r="AE3985" s="11" t="n">
        <v>2.438086419753086</v>
      </c>
      <c r="AF3985" s="16">
        <f>SUMPRODUCT(N3985:Y3985,$N$5:$Y$5)*$K3985*$L3985*$M3985</f>
        <v/>
      </c>
      <c r="AG3985" s="16">
        <f>SUMPRODUCT(N3985:Y3985,$N$6:$Y$6)*$K3985*$L3985*$M3985</f>
        <v/>
      </c>
      <c r="AH3985" s="20" t="n"/>
    </row>
    <row r="3986">
      <c r="A3986" s="9" t="n">
        <v>663568</v>
      </c>
      <c r="B3986" s="9" t="inlineStr">
        <is>
          <t>Stephen Kolek</t>
        </is>
      </c>
      <c r="C3986" s="9" t="inlineStr">
        <is>
          <t>KC</t>
        </is>
      </c>
      <c r="D3986" s="9" t="n">
        <v>30</v>
      </c>
      <c r="E3986" s="18" t="inlineStr">
        <is>
          <t>R</t>
        </is>
      </c>
      <c r="F3986" s="18" t="n"/>
      <c r="G3986" s="9" t="n">
        <v>224</v>
      </c>
      <c r="H3986" s="9" t="n">
        <v>896</v>
      </c>
      <c r="I3986" s="9" t="inlineStr">
        <is>
          <t>Bullpen Depth Arm</t>
        </is>
      </c>
      <c r="J3986" s="18" t="inlineStr">
        <is>
          <t>Opening Day</t>
        </is>
      </c>
      <c r="K3986" s="11">
        <f>IFERROR(INDEX(Roles!$B$17:$B$20,MATCH(J3986,Roles!$A$17:$A$20,0)),1)</f>
        <v/>
      </c>
      <c r="L3986" s="19" t="n">
        <v>1</v>
      </c>
      <c r="M3986" s="11" t="n">
        <v>1</v>
      </c>
      <c r="N3986" s="19" t="n"/>
      <c r="O3986" s="19" t="n"/>
      <c r="P3986" s="19" t="n"/>
      <c r="Q3986" s="19" t="n"/>
      <c r="R3986" s="19" t="n"/>
      <c r="S3986" s="19" t="n"/>
      <c r="T3986" s="19" t="n"/>
      <c r="U3986" s="19" t="n"/>
      <c r="V3986" s="19" t="n"/>
      <c r="W3986" s="19" t="n">
        <v>1</v>
      </c>
      <c r="X3986" s="19" t="n"/>
      <c r="Y3986" s="19" t="n"/>
      <c r="Z3986" s="13">
        <f>SUMPRODUCT(N3986:Y3986,$N$2:$Y$2)*$K3986*$L3986*$M3986</f>
        <v/>
      </c>
      <c r="AA3986" s="14">
        <f>SUM(N3986:Y3986)</f>
        <v/>
      </c>
      <c r="AB3986" s="13">
        <f>SUMPRODUCT(N3986:Y3986,$N$3:$Y$3)*$K3986*$L3986*$M3986</f>
        <v/>
      </c>
      <c r="AC3986" s="13">
        <f>SUMPRODUCT(N3986:Y3986,$N$4:$Y$4)*$K3986*$L3986*$M3986</f>
        <v/>
      </c>
      <c r="AD3986" s="15" t="n">
        <v>16.66666666666666</v>
      </c>
      <c r="AE3986" s="11" t="n">
        <v>2.116658649991983</v>
      </c>
      <c r="AF3986" s="16">
        <f>SUMPRODUCT(N3986:Y3986,$N$5:$Y$5)*$K3986*$L3986*$M3986</f>
        <v/>
      </c>
      <c r="AG3986" s="16">
        <f>SUMPRODUCT(N3986:Y3986,$N$6:$Y$6)*$K3986*$L3986*$M3986</f>
        <v/>
      </c>
      <c r="AH3986" s="20" t="n"/>
    </row>
    <row r="3987">
      <c r="A3987" s="9" t="n">
        <v>596271</v>
      </c>
      <c r="B3987" s="9" t="inlineStr">
        <is>
          <t>Casey Lawrence</t>
        </is>
      </c>
      <c r="C3987" s="9" t="inlineStr">
        <is>
          <t>SEA</t>
        </is>
      </c>
      <c r="D3987" s="9" t="n">
        <v>39</v>
      </c>
      <c r="E3987" s="18" t="inlineStr">
        <is>
          <t>R</t>
        </is>
      </c>
      <c r="F3987" s="18" t="n"/>
      <c r="G3987" s="9" t="n">
        <v>80</v>
      </c>
      <c r="H3987" s="9" t="n">
        <v>281</v>
      </c>
      <c r="I3987" s="9" t="inlineStr">
        <is>
          <t>Bullpen Depth Arm</t>
        </is>
      </c>
      <c r="J3987" s="18" t="inlineStr">
        <is>
          <t>Opening Day</t>
        </is>
      </c>
      <c r="K3987" s="11">
        <f>IFERROR(INDEX(Roles!$B$17:$B$20,MATCH(J3987,Roles!$A$17:$A$20,0)),1)</f>
        <v/>
      </c>
      <c r="L3987" s="19" t="n">
        <v>1</v>
      </c>
      <c r="M3987" s="11" t="n">
        <v>1</v>
      </c>
      <c r="N3987" s="19" t="n"/>
      <c r="O3987" s="19" t="n"/>
      <c r="P3987" s="19" t="n"/>
      <c r="Q3987" s="19" t="n"/>
      <c r="R3987" s="19" t="n"/>
      <c r="S3987" s="19" t="n"/>
      <c r="T3987" s="19" t="n"/>
      <c r="U3987" s="19" t="n"/>
      <c r="V3987" s="19" t="n"/>
      <c r="W3987" s="19" t="n">
        <v>1</v>
      </c>
      <c r="X3987" s="19" t="n"/>
      <c r="Y3987" s="19" t="n"/>
      <c r="Z3987" s="13">
        <f>SUMPRODUCT(N3987:Y3987,$N$2:$Y$2)*$K3987*$L3987*$M3987</f>
        <v/>
      </c>
      <c r="AA3987" s="14">
        <f>SUM(N3987:Y3987)</f>
        <v/>
      </c>
      <c r="AB3987" s="13">
        <f>SUMPRODUCT(N3987:Y3987,$N$3:$Y$3)*$K3987*$L3987*$M3987</f>
        <v/>
      </c>
      <c r="AC3987" s="13">
        <f>SUMPRODUCT(N3987:Y3987,$N$4:$Y$4)*$K3987*$L3987*$M3987</f>
        <v/>
      </c>
      <c r="AD3987" s="15" t="n">
        <v>9.266666666666666</v>
      </c>
      <c r="AE3987" s="11" t="n">
        <v>1.782988616321949</v>
      </c>
      <c r="AF3987" s="16">
        <f>SUMPRODUCT(N3987:Y3987,$N$5:$Y$5)*$K3987*$L3987*$M3987</f>
        <v/>
      </c>
      <c r="AG3987" s="16">
        <f>SUMPRODUCT(N3987:Y3987,$N$6:$Y$6)*$K3987*$L3987*$M3987</f>
        <v/>
      </c>
      <c r="AH3987" s="20" t="n"/>
    </row>
    <row r="3988">
      <c r="A3988" s="9" t="n">
        <v>456501</v>
      </c>
      <c r="B3988" s="9" t="inlineStr">
        <is>
          <t>Johnny Cueto</t>
        </is>
      </c>
      <c r="C3988" s="9" t="inlineStr">
        <is>
          <t>LAA</t>
        </is>
      </c>
      <c r="D3988" s="9" t="n">
        <v>41</v>
      </c>
      <c r="E3988" s="18" t="inlineStr">
        <is>
          <t>R</t>
        </is>
      </c>
      <c r="F3988" s="18" t="n"/>
      <c r="G3988" s="9" t="n">
        <v>50</v>
      </c>
      <c r="H3988" s="9" t="n">
        <v>919</v>
      </c>
      <c r="I3988" s="9" t="inlineStr">
        <is>
          <t>Depth (no MLB IP)</t>
        </is>
      </c>
      <c r="J3988" s="18" t="inlineStr">
        <is>
          <t>Opening Day</t>
        </is>
      </c>
      <c r="K3988" s="11">
        <f>IFERROR(INDEX(Roles!$B$17:$B$20,MATCH(J3988,Roles!$A$17:$A$20,0)),1)</f>
        <v/>
      </c>
      <c r="L3988" s="19" t="n">
        <v>1</v>
      </c>
      <c r="M3988" s="11" t="n">
        <v>1</v>
      </c>
      <c r="N3988" s="19" t="n"/>
      <c r="O3988" s="19" t="n"/>
      <c r="P3988" s="19" t="n"/>
      <c r="Q3988" s="19" t="n"/>
      <c r="R3988" s="19" t="n"/>
      <c r="S3988" s="19" t="n"/>
      <c r="T3988" s="19" t="n"/>
      <c r="U3988" s="19" t="n"/>
      <c r="V3988" s="19" t="n"/>
      <c r="W3988" s="19" t="n"/>
      <c r="X3988" s="19" t="n"/>
      <c r="Y3988" s="19" t="n">
        <v>1</v>
      </c>
      <c r="Z3988" s="13">
        <f>SUMPRODUCT(N3988:Y3988,$N$2:$Y$2)*$K3988*$L3988*$M3988</f>
        <v/>
      </c>
      <c r="AA3988" s="14">
        <f>SUM(N3988:Y3988)</f>
        <v/>
      </c>
      <c r="AB3988" s="13">
        <f>SUMPRODUCT(N3988:Y3988,$N$3:$Y$3)*$K3988*$L3988*$M3988</f>
        <v/>
      </c>
      <c r="AC3988" s="13">
        <f>SUMPRODUCT(N3988:Y3988,$N$4:$Y$4)*$K3988*$L3988*$M3988</f>
        <v/>
      </c>
      <c r="AD3988" s="15" t="n">
        <v>2.4</v>
      </c>
      <c r="AE3988" s="11" t="n">
        <v>2.563086419753086</v>
      </c>
      <c r="AF3988" s="16">
        <f>SUMPRODUCT(N3988:Y3988,$N$5:$Y$5)*$K3988*$L3988*$M3988</f>
        <v/>
      </c>
      <c r="AG3988" s="16">
        <f>SUMPRODUCT(N3988:Y3988,$N$6:$Y$6)*$K3988*$L3988*$M3988</f>
        <v/>
      </c>
      <c r="AH3988" s="20" t="n"/>
    </row>
    <row r="3989">
      <c r="A3989" s="9" t="n">
        <v>677337</v>
      </c>
      <c r="B3989" s="9" t="inlineStr">
        <is>
          <t>Pete Hansen</t>
        </is>
      </c>
      <c r="C3989" s="9" t="inlineStr">
        <is>
          <t>STL</t>
        </is>
      </c>
      <c r="D3989" s="9" t="n">
        <v>25</v>
      </c>
      <c r="E3989" s="18" t="inlineStr">
        <is>
          <t>L</t>
        </is>
      </c>
      <c r="F3989" s="18" t="n"/>
      <c r="G3989" s="9" t="n">
        <v>239.6533333333333</v>
      </c>
      <c r="H3989" s="9" t="n">
        <v>239.6533333333333</v>
      </c>
      <c r="I3989" s="9" t="inlineStr">
        <is>
          <t>Depth (no MLB IP)</t>
        </is>
      </c>
      <c r="J3989" s="18" t="inlineStr">
        <is>
          <t>Opening Day</t>
        </is>
      </c>
      <c r="K3989" s="11">
        <f>IFERROR(INDEX(Roles!$B$17:$B$20,MATCH(J3989,Roles!$A$17:$A$20,0)),1)</f>
        <v/>
      </c>
      <c r="L3989" s="19" t="n">
        <v>1</v>
      </c>
      <c r="M3989" s="11" t="n">
        <v>1</v>
      </c>
      <c r="N3989" s="19" t="n"/>
      <c r="O3989" s="19" t="n"/>
      <c r="P3989" s="19" t="n"/>
      <c r="Q3989" s="19" t="n"/>
      <c r="R3989" s="19" t="n"/>
      <c r="S3989" s="19" t="n"/>
      <c r="T3989" s="19" t="n"/>
      <c r="U3989" s="19" t="n"/>
      <c r="V3989" s="19" t="n"/>
      <c r="W3989" s="19" t="n"/>
      <c r="X3989" s="19" t="n"/>
      <c r="Y3989" s="19" t="n">
        <v>1</v>
      </c>
      <c r="Z3989" s="13">
        <f>SUMPRODUCT(N3989:Y3989,$N$2:$Y$2)*$K3989*$L3989*$M3989</f>
        <v/>
      </c>
      <c r="AA3989" s="14">
        <f>SUM(N3989:Y3989)</f>
        <v/>
      </c>
      <c r="AB3989" s="13">
        <f>SUMPRODUCT(N3989:Y3989,$N$3:$Y$3)*$K3989*$L3989*$M3989</f>
        <v/>
      </c>
      <c r="AC3989" s="13">
        <f>SUMPRODUCT(N3989:Y3989,$N$4:$Y$4)*$K3989*$L3989*$M3989</f>
        <v/>
      </c>
      <c r="AD3989" s="15" t="n">
        <v>3</v>
      </c>
      <c r="AE3989" s="11" t="n">
        <v>1.011296296296296</v>
      </c>
      <c r="AF3989" s="16">
        <f>SUMPRODUCT(N3989:Y3989,$N$5:$Y$5)*$K3989*$L3989*$M3989</f>
        <v/>
      </c>
      <c r="AG3989" s="16">
        <f>SUMPRODUCT(N3989:Y3989,$N$6:$Y$6)*$K3989*$L3989*$M3989</f>
        <v/>
      </c>
      <c r="AH3989" s="20" t="n"/>
    </row>
    <row r="3990">
      <c r="A3990" s="9" t="n">
        <v>801594</v>
      </c>
      <c r="B3990" s="9" t="inlineStr">
        <is>
          <t>Ryan Gallagher</t>
        </is>
      </c>
      <c r="C3990" s="9" t="inlineStr">
        <is>
          <t>MIN</t>
        </is>
      </c>
      <c r="D3990" s="9" t="n">
        <v>25</v>
      </c>
      <c r="E3990" s="18" t="inlineStr">
        <is>
          <t>R</t>
        </is>
      </c>
      <c r="F3990" s="18" t="n"/>
      <c r="G3990" s="9" t="n">
        <v>241.23</v>
      </c>
      <c r="H3990" s="9" t="n">
        <v>241.23</v>
      </c>
      <c r="I3990" s="9" t="inlineStr">
        <is>
          <t>Depth (no MLB IP)</t>
        </is>
      </c>
      <c r="J3990" s="18" t="inlineStr">
        <is>
          <t>Opening Day</t>
        </is>
      </c>
      <c r="K3990" s="11">
        <f>IFERROR(INDEX(Roles!$B$17:$B$20,MATCH(J3990,Roles!$A$17:$A$20,0)),1)</f>
        <v/>
      </c>
      <c r="L3990" s="19" t="n">
        <v>1</v>
      </c>
      <c r="M3990" s="11" t="n">
        <v>1</v>
      </c>
      <c r="N3990" s="19" t="n"/>
      <c r="O3990" s="19" t="n"/>
      <c r="P3990" s="19" t="n"/>
      <c r="Q3990" s="19" t="n"/>
      <c r="R3990" s="19" t="n"/>
      <c r="S3990" s="19" t="n"/>
      <c r="T3990" s="19" t="n"/>
      <c r="U3990" s="19" t="n"/>
      <c r="V3990" s="19" t="n"/>
      <c r="W3990" s="19" t="n"/>
      <c r="X3990" s="19" t="n"/>
      <c r="Y3990" s="19" t="n">
        <v>1</v>
      </c>
      <c r="Z3990" s="13">
        <f>SUMPRODUCT(N3990:Y3990,$N$2:$Y$2)*$K3990*$L3990*$M3990</f>
        <v/>
      </c>
      <c r="AA3990" s="14">
        <f>SUM(N3990:Y3990)</f>
        <v/>
      </c>
      <c r="AB3990" s="13">
        <f>SUMPRODUCT(N3990:Y3990,$N$3:$Y$3)*$K3990*$L3990*$M3990</f>
        <v/>
      </c>
      <c r="AC3990" s="13">
        <f>SUMPRODUCT(N3990:Y3990,$N$4:$Y$4)*$K3990*$L3990*$M3990</f>
        <v/>
      </c>
      <c r="AD3990" s="15" t="n">
        <v>3</v>
      </c>
      <c r="AE3990" s="11" t="n">
        <v>1.011296296296296</v>
      </c>
      <c r="AF3990" s="16">
        <f>SUMPRODUCT(N3990:Y3990,$N$5:$Y$5)*$K3990*$L3990*$M3990</f>
        <v/>
      </c>
      <c r="AG3990" s="16">
        <f>SUMPRODUCT(N3990:Y3990,$N$6:$Y$6)*$K3990*$L3990*$M3990</f>
        <v/>
      </c>
      <c r="AH3990" s="20" t="n"/>
    </row>
    <row r="3991">
      <c r="A3991" s="9" t="n">
        <v>800049</v>
      </c>
      <c r="B3991" s="9" t="inlineStr">
        <is>
          <t>Adam Mazur</t>
        </is>
      </c>
      <c r="C3991" s="9" t="inlineStr">
        <is>
          <t>MIA</t>
        </is>
      </c>
      <c r="D3991" s="9" t="n">
        <v>26</v>
      </c>
      <c r="E3991" s="18" t="inlineStr">
        <is>
          <t>R</t>
        </is>
      </c>
      <c r="F3991" s="18" t="n"/>
      <c r="G3991" s="9" t="n">
        <v>139</v>
      </c>
      <c r="H3991" s="9" t="n">
        <v>297</v>
      </c>
      <c r="I3991" s="9" t="inlineStr">
        <is>
          <t>Swing Arm / Long Relief</t>
        </is>
      </c>
      <c r="J3991" s="18" t="inlineStr">
        <is>
          <t>Opening Day</t>
        </is>
      </c>
      <c r="K3991" s="11">
        <f>IFERROR(INDEX(Roles!$B$17:$B$20,MATCH(J3991,Roles!$A$17:$A$20,0)),1)</f>
        <v/>
      </c>
      <c r="L3991" s="19" t="n">
        <v>1</v>
      </c>
      <c r="M3991" s="11" t="n">
        <v>1</v>
      </c>
      <c r="N3991" s="19" t="n"/>
      <c r="O3991" s="19" t="n"/>
      <c r="P3991" s="19" t="n"/>
      <c r="Q3991" s="19" t="n"/>
      <c r="R3991" s="19" t="n">
        <v>0.5</v>
      </c>
      <c r="S3991" s="19" t="n"/>
      <c r="T3991" s="19" t="n"/>
      <c r="U3991" s="19" t="n"/>
      <c r="V3991" s="19" t="n">
        <v>0.5</v>
      </c>
      <c r="W3991" s="19" t="n"/>
      <c r="X3991" s="19" t="n"/>
      <c r="Y3991" s="19" t="n"/>
      <c r="Z3991" s="13">
        <f>SUMPRODUCT(N3991:Y3991,$N$2:$Y$2)*$K3991*$L3991*$M3991</f>
        <v/>
      </c>
      <c r="AA3991" s="14">
        <f>SUM(N3991:Y3991)</f>
        <v/>
      </c>
      <c r="AB3991" s="13">
        <f>SUMPRODUCT(N3991:Y3991,$N$3:$Y$3)*$K3991*$L3991*$M3991</f>
        <v/>
      </c>
      <c r="AC3991" s="13">
        <f>SUMPRODUCT(N3991:Y3991,$N$4:$Y$4)*$K3991*$L3991*$M3991</f>
        <v/>
      </c>
      <c r="AD3991" s="15" t="n">
        <v>12.13333333333333</v>
      </c>
      <c r="AE3991" s="11" t="n">
        <v>3.22959927140255</v>
      </c>
      <c r="AF3991" s="16">
        <f>SUMPRODUCT(N3991:Y3991,$N$5:$Y$5)*$K3991*$L3991*$M3991</f>
        <v/>
      </c>
      <c r="AG3991" s="16">
        <f>SUMPRODUCT(N3991:Y3991,$N$6:$Y$6)*$K3991*$L3991*$M3991</f>
        <v/>
      </c>
      <c r="AH3991" s="20" t="n"/>
    </row>
    <row r="3992">
      <c r="A3992" s="9" t="n">
        <v>489119</v>
      </c>
      <c r="B3992" s="9" t="inlineStr">
        <is>
          <t>Wade Miley</t>
        </is>
      </c>
      <c r="C3992" s="9" t="inlineStr">
        <is>
          <t>CIN</t>
        </is>
      </c>
      <c r="D3992" s="9" t="n">
        <v>40</v>
      </c>
      <c r="E3992" s="18" t="inlineStr">
        <is>
          <t>L</t>
        </is>
      </c>
      <c r="F3992" s="18" t="n"/>
      <c r="G3992" s="9" t="n">
        <v>55</v>
      </c>
      <c r="H3992" s="9" t="n">
        <v>734</v>
      </c>
      <c r="I3992" s="9" t="inlineStr">
        <is>
          <t>End-of-Rotation Starter (SP4-5)</t>
        </is>
      </c>
      <c r="J3992" s="18" t="inlineStr">
        <is>
          <t>Opening Day</t>
        </is>
      </c>
      <c r="K3992" s="11">
        <f>IFERROR(INDEX(Roles!$B$17:$B$20,MATCH(J3992,Roles!$A$17:$A$20,0)),1)</f>
        <v/>
      </c>
      <c r="L3992" s="19" t="n">
        <v>1</v>
      </c>
      <c r="M3992" s="11" t="n">
        <v>1</v>
      </c>
      <c r="N3992" s="19" t="n"/>
      <c r="O3992" s="19" t="n"/>
      <c r="P3992" s="19" t="n">
        <v>1</v>
      </c>
      <c r="Q3992" s="19" t="n"/>
      <c r="R3992" s="19" t="n"/>
      <c r="S3992" s="19" t="n"/>
      <c r="T3992" s="19" t="n"/>
      <c r="U3992" s="19" t="n"/>
      <c r="V3992" s="19" t="n"/>
      <c r="W3992" s="19" t="n"/>
      <c r="X3992" s="19" t="n"/>
      <c r="Y3992" s="19" t="n"/>
      <c r="Z3992" s="13">
        <f>SUMPRODUCT(N3992:Y3992,$N$2:$Y$2)*$K3992*$L3992*$M3992</f>
        <v/>
      </c>
      <c r="AA3992" s="14">
        <f>SUM(N3992:Y3992)</f>
        <v/>
      </c>
      <c r="AB3992" s="13">
        <f>SUMPRODUCT(N3992:Y3992,$N$3:$Y$3)*$K3992*$L3992*$M3992</f>
        <v/>
      </c>
      <c r="AC3992" s="13">
        <f>SUMPRODUCT(N3992:Y3992,$N$4:$Y$4)*$K3992*$L3992*$M3992</f>
        <v/>
      </c>
      <c r="AD3992" s="15" t="n">
        <v>8</v>
      </c>
      <c r="AE3992" s="11" t="n">
        <v>4.328703703703703</v>
      </c>
      <c r="AF3992" s="16">
        <f>SUMPRODUCT(N3992:Y3992,$N$5:$Y$5)*$K3992*$L3992*$M3992</f>
        <v/>
      </c>
      <c r="AG3992" s="16">
        <f>SUMPRODUCT(N3992:Y3992,$N$6:$Y$6)*$K3992*$L3992*$M3992</f>
        <v/>
      </c>
      <c r="AH3992" s="20" t="n"/>
    </row>
    <row r="3993">
      <c r="A3993" s="9" t="n">
        <v>657093</v>
      </c>
      <c r="B3993" s="9" t="inlineStr">
        <is>
          <t>Spenser Watkins</t>
        </is>
      </c>
      <c r="C3993" s="9" t="inlineStr">
        <is>
          <t>BAL</t>
        </is>
      </c>
      <c r="D3993" s="9" t="n">
        <v>34</v>
      </c>
      <c r="E3993" s="18" t="inlineStr">
        <is>
          <t>R</t>
        </is>
      </c>
      <c r="F3993" s="18" t="n"/>
      <c r="G3993" s="9" t="n">
        <v>21</v>
      </c>
      <c r="H3993" s="9" t="n">
        <v>480</v>
      </c>
      <c r="I3993" s="9" t="inlineStr">
        <is>
          <t>Depth (no MLB IP)</t>
        </is>
      </c>
      <c r="J3993" s="18" t="inlineStr">
        <is>
          <t>Opening Day</t>
        </is>
      </c>
      <c r="K3993" s="11">
        <f>IFERROR(INDEX(Roles!$B$17:$B$20,MATCH(J3993,Roles!$A$17:$A$20,0)),1)</f>
        <v/>
      </c>
      <c r="L3993" s="19" t="n">
        <v>1</v>
      </c>
      <c r="M3993" s="11" t="n">
        <v>1</v>
      </c>
      <c r="N3993" s="19" t="n"/>
      <c r="O3993" s="19" t="n"/>
      <c r="P3993" s="19" t="n"/>
      <c r="Q3993" s="19" t="n"/>
      <c r="R3993" s="19" t="n"/>
      <c r="S3993" s="19" t="n"/>
      <c r="T3993" s="19" t="n"/>
      <c r="U3993" s="19" t="n"/>
      <c r="V3993" s="19" t="n"/>
      <c r="W3993" s="19" t="n"/>
      <c r="X3993" s="19" t="n"/>
      <c r="Y3993" s="19" t="n">
        <v>1</v>
      </c>
      <c r="Z3993" s="13">
        <f>SUMPRODUCT(N3993:Y3993,$N$2:$Y$2)*$K3993*$L3993*$M3993</f>
        <v/>
      </c>
      <c r="AA3993" s="14">
        <f>SUM(N3993:Y3993)</f>
        <v/>
      </c>
      <c r="AB3993" s="13">
        <f>SUMPRODUCT(N3993:Y3993,$N$3:$Y$3)*$K3993*$L3993*$M3993</f>
        <v/>
      </c>
      <c r="AC3993" s="13">
        <f>SUMPRODUCT(N3993:Y3993,$N$4:$Y$4)*$K3993*$L3993*$M3993</f>
        <v/>
      </c>
      <c r="AD3993" s="15" t="n">
        <v>3</v>
      </c>
      <c r="AE3993" s="11" t="n">
        <v>1.011296296296296</v>
      </c>
      <c r="AF3993" s="16">
        <f>SUMPRODUCT(N3993:Y3993,$N$5:$Y$5)*$K3993*$L3993*$M3993</f>
        <v/>
      </c>
      <c r="AG3993" s="16">
        <f>SUMPRODUCT(N3993:Y3993,$N$6:$Y$6)*$K3993*$L3993*$M3993</f>
        <v/>
      </c>
      <c r="AH3993" s="20" t="n"/>
    </row>
    <row r="3994">
      <c r="A3994" s="9" t="n">
        <v>518516</v>
      </c>
      <c r="B3994" s="9" t="inlineStr">
        <is>
          <t>Madison Bumgarner</t>
        </is>
      </c>
      <c r="C3994" s="9" t="inlineStr">
        <is>
          <t>ARI</t>
        </is>
      </c>
      <c r="D3994" s="9" t="n">
        <v>37</v>
      </c>
      <c r="E3994" s="18" t="inlineStr">
        <is>
          <t>L</t>
        </is>
      </c>
      <c r="F3994" s="18" t="n"/>
      <c r="G3994" s="9" t="n">
        <v>90</v>
      </c>
      <c r="H3994" s="9" t="n">
        <v>788</v>
      </c>
      <c r="I3994" s="9" t="inlineStr">
        <is>
          <t>Depth (no MLB IP)</t>
        </is>
      </c>
      <c r="J3994" s="18" t="inlineStr">
        <is>
          <t>Opening Day</t>
        </is>
      </c>
      <c r="K3994" s="11">
        <f>IFERROR(INDEX(Roles!$B$17:$B$20,MATCH(J3994,Roles!$A$17:$A$20,0)),1)</f>
        <v/>
      </c>
      <c r="L3994" s="19" t="n">
        <v>1</v>
      </c>
      <c r="M3994" s="11" t="n">
        <v>1</v>
      </c>
      <c r="N3994" s="19" t="n"/>
      <c r="O3994" s="19" t="n"/>
      <c r="P3994" s="19" t="n"/>
      <c r="Q3994" s="19" t="n"/>
      <c r="R3994" s="19" t="n"/>
      <c r="S3994" s="19" t="n"/>
      <c r="T3994" s="19" t="n"/>
      <c r="U3994" s="19" t="n"/>
      <c r="V3994" s="19" t="n"/>
      <c r="W3994" s="19" t="n"/>
      <c r="X3994" s="19" t="n"/>
      <c r="Y3994" s="19" t="n">
        <v>1</v>
      </c>
      <c r="Z3994" s="13">
        <f>SUMPRODUCT(N3994:Y3994,$N$2:$Y$2)*$K3994*$L3994*$M3994</f>
        <v/>
      </c>
      <c r="AA3994" s="14">
        <f>SUM(N3994:Y3994)</f>
        <v/>
      </c>
      <c r="AB3994" s="13">
        <f>SUMPRODUCT(N3994:Y3994,$N$3:$Y$3)*$K3994*$L3994*$M3994</f>
        <v/>
      </c>
      <c r="AC3994" s="13">
        <f>SUMPRODUCT(N3994:Y3994,$N$4:$Y$4)*$K3994*$L3994*$M3994</f>
        <v/>
      </c>
      <c r="AD3994" s="15" t="n">
        <v>3</v>
      </c>
      <c r="AE3994" s="11" t="n">
        <v>1.011296296296296</v>
      </c>
      <c r="AF3994" s="16">
        <f>SUMPRODUCT(N3994:Y3994,$N$5:$Y$5)*$K3994*$L3994*$M3994</f>
        <v/>
      </c>
      <c r="AG3994" s="16">
        <f>SUMPRODUCT(N3994:Y3994,$N$6:$Y$6)*$K3994*$L3994*$M3994</f>
        <v/>
      </c>
      <c r="AH3994" s="20" t="n"/>
    </row>
    <row r="3995">
      <c r="A3995" s="9" t="n">
        <v>694312</v>
      </c>
      <c r="B3995" s="9" t="inlineStr">
        <is>
          <t>Logan Workman</t>
        </is>
      </c>
      <c r="C3995" s="9" t="inlineStr">
        <is>
          <t>TB</t>
        </is>
      </c>
      <c r="D3995" s="9" t="n">
        <v>25</v>
      </c>
      <c r="E3995" s="18" t="inlineStr">
        <is>
          <t>R</t>
        </is>
      </c>
      <c r="F3995" s="18" t="n"/>
      <c r="G3995" s="9" t="n">
        <v>245.1716666666667</v>
      </c>
      <c r="H3995" s="9" t="n">
        <v>245.1716666666667</v>
      </c>
      <c r="I3995" s="9" t="inlineStr">
        <is>
          <t>Depth (no MLB IP)</t>
        </is>
      </c>
      <c r="J3995" s="18" t="inlineStr">
        <is>
          <t>Opening Day</t>
        </is>
      </c>
      <c r="K3995" s="11">
        <f>IFERROR(INDEX(Roles!$B$17:$B$20,MATCH(J3995,Roles!$A$17:$A$20,0)),1)</f>
        <v/>
      </c>
      <c r="L3995" s="19" t="n">
        <v>1</v>
      </c>
      <c r="M3995" s="11" t="n">
        <v>1</v>
      </c>
      <c r="N3995" s="19" t="n"/>
      <c r="O3995" s="19" t="n"/>
      <c r="P3995" s="19" t="n"/>
      <c r="Q3995" s="19" t="n"/>
      <c r="R3995" s="19" t="n"/>
      <c r="S3995" s="19" t="n"/>
      <c r="T3995" s="19" t="n"/>
      <c r="U3995" s="19" t="n"/>
      <c r="V3995" s="19" t="n"/>
      <c r="W3995" s="19" t="n"/>
      <c r="X3995" s="19" t="n"/>
      <c r="Y3995" s="19" t="n">
        <v>1</v>
      </c>
      <c r="Z3995" s="13">
        <f>SUMPRODUCT(N3995:Y3995,$N$2:$Y$2)*$K3995*$L3995*$M3995</f>
        <v/>
      </c>
      <c r="AA3995" s="14">
        <f>SUM(N3995:Y3995)</f>
        <v/>
      </c>
      <c r="AB3995" s="13">
        <f>SUMPRODUCT(N3995:Y3995,$N$3:$Y$3)*$K3995*$L3995*$M3995</f>
        <v/>
      </c>
      <c r="AC3995" s="13">
        <f>SUMPRODUCT(N3995:Y3995,$N$4:$Y$4)*$K3995*$L3995*$M3995</f>
        <v/>
      </c>
      <c r="AD3995" s="15" t="n">
        <v>3</v>
      </c>
      <c r="AE3995" s="11" t="n">
        <v>1.011296296296296</v>
      </c>
      <c r="AF3995" s="16">
        <f>SUMPRODUCT(N3995:Y3995,$N$5:$Y$5)*$K3995*$L3995*$M3995</f>
        <v/>
      </c>
      <c r="AG3995" s="16">
        <f>SUMPRODUCT(N3995:Y3995,$N$6:$Y$6)*$K3995*$L3995*$M3995</f>
        <v/>
      </c>
      <c r="AH3995" s="20" t="n"/>
    </row>
    <row r="3996">
      <c r="A3996" s="9" t="n">
        <v>805326</v>
      </c>
      <c r="B3996" s="9" t="inlineStr">
        <is>
          <t>Tyler Schweitzer</t>
        </is>
      </c>
      <c r="C3996" s="9" t="inlineStr">
        <is>
          <t>CWS</t>
        </is>
      </c>
      <c r="D3996" s="9" t="n">
        <v>26</v>
      </c>
      <c r="E3996" s="18" t="inlineStr">
        <is>
          <t>L</t>
        </is>
      </c>
      <c r="F3996" s="18" t="n"/>
      <c r="G3996" s="9" t="n">
        <v>154</v>
      </c>
      <c r="H3996" s="9" t="n">
        <v>154</v>
      </c>
      <c r="I3996" s="9" t="inlineStr">
        <is>
          <t>Swing Arm / Long Relief</t>
        </is>
      </c>
      <c r="J3996" s="18" t="inlineStr">
        <is>
          <t>Opening Day</t>
        </is>
      </c>
      <c r="K3996" s="11">
        <f>IFERROR(INDEX(Roles!$B$17:$B$20,MATCH(J3996,Roles!$A$17:$A$20,0)),1)</f>
        <v/>
      </c>
      <c r="L3996" s="19" t="n">
        <v>1</v>
      </c>
      <c r="M3996" s="11" t="n">
        <v>1</v>
      </c>
      <c r="N3996" s="19" t="n"/>
      <c r="O3996" s="19" t="n"/>
      <c r="P3996" s="19" t="n"/>
      <c r="Q3996" s="19" t="n"/>
      <c r="R3996" s="19" t="n">
        <v>0.6</v>
      </c>
      <c r="S3996" s="19" t="n"/>
      <c r="T3996" s="19" t="n"/>
      <c r="U3996" s="19" t="n"/>
      <c r="V3996" s="19" t="n"/>
      <c r="W3996" s="19" t="n">
        <v>0.4</v>
      </c>
      <c r="X3996" s="19" t="n"/>
      <c r="Y3996" s="19" t="n"/>
      <c r="Z3996" s="13">
        <f>SUMPRODUCT(N3996:Y3996,$N$2:$Y$2)*$K3996*$L3996*$M3996</f>
        <v/>
      </c>
      <c r="AA3996" s="14">
        <f>SUM(N3996:Y3996)</f>
        <v/>
      </c>
      <c r="AB3996" s="13">
        <f>SUMPRODUCT(N3996:Y3996,$N$3:$Y$3)*$K3996*$L3996*$M3996</f>
        <v/>
      </c>
      <c r="AC3996" s="13">
        <f>SUMPRODUCT(N3996:Y3996,$N$4:$Y$4)*$K3996*$L3996*$M3996</f>
        <v/>
      </c>
      <c r="AD3996" s="15" t="n">
        <v>18.93333333333333</v>
      </c>
      <c r="AE3996" s="11" t="n">
        <v>2.359846184982798</v>
      </c>
      <c r="AF3996" s="16">
        <f>SUMPRODUCT(N3996:Y3996,$N$5:$Y$5)*$K3996*$L3996*$M3996</f>
        <v/>
      </c>
      <c r="AG3996" s="16">
        <f>SUMPRODUCT(N3996:Y3996,$N$6:$Y$6)*$K3996*$L3996*$M3996</f>
        <v/>
      </c>
      <c r="AH3996" s="20" t="n"/>
    </row>
    <row r="3997">
      <c r="A3997" s="9" t="n">
        <v>623168</v>
      </c>
      <c r="B3997" s="9" t="inlineStr">
        <is>
          <t>Tyler Heineman</t>
        </is>
      </c>
      <c r="C3997" s="9" t="inlineStr">
        <is>
          <t>LAA</t>
        </is>
      </c>
      <c r="D3997" s="9" t="n">
        <v>36</v>
      </c>
      <c r="E3997" s="18" t="inlineStr">
        <is>
          <t>R</t>
        </is>
      </c>
      <c r="F3997" s="18" t="n"/>
      <c r="G3997" s="9" t="n">
        <v>26</v>
      </c>
      <c r="H3997" s="9" t="n">
        <v>57</v>
      </c>
      <c r="I3997" s="9" t="inlineStr">
        <is>
          <t>Bullpen Depth Arm</t>
        </is>
      </c>
      <c r="J3997" s="18" t="inlineStr">
        <is>
          <t>Opening Day</t>
        </is>
      </c>
      <c r="K3997" s="11">
        <f>IFERROR(INDEX(Roles!$B$17:$B$20,MATCH(J3997,Roles!$A$17:$A$20,0)),1)</f>
        <v/>
      </c>
      <c r="L3997" s="19" t="n">
        <v>1</v>
      </c>
      <c r="M3997" s="11" t="n">
        <v>1</v>
      </c>
      <c r="N3997" s="19" t="n"/>
      <c r="O3997" s="19" t="n"/>
      <c r="P3997" s="19" t="n"/>
      <c r="Q3997" s="19" t="n"/>
      <c r="R3997" s="19" t="n"/>
      <c r="S3997" s="19" t="n"/>
      <c r="T3997" s="19" t="n"/>
      <c r="U3997" s="19" t="n"/>
      <c r="V3997" s="19" t="n"/>
      <c r="W3997" s="19" t="n">
        <v>1</v>
      </c>
      <c r="X3997" s="19" t="n"/>
      <c r="Y3997" s="19" t="n"/>
      <c r="Z3997" s="13">
        <f>SUMPRODUCT(N3997:Y3997,$N$2:$Y$2)*$K3997*$L3997*$M3997</f>
        <v/>
      </c>
      <c r="AA3997" s="14">
        <f>SUM(N3997:Y3997)</f>
        <v/>
      </c>
      <c r="AB3997" s="13">
        <f>SUMPRODUCT(N3997:Y3997,$N$3:$Y$3)*$K3997*$L3997*$M3997</f>
        <v/>
      </c>
      <c r="AC3997" s="13">
        <f>SUMPRODUCT(N3997:Y3997,$N$4:$Y$4)*$K3997*$L3997*$M3997</f>
        <v/>
      </c>
      <c r="AD3997" s="15" t="n">
        <v>7.866666666666665</v>
      </c>
      <c r="AE3997" s="11" t="n">
        <v>1.160092993426327</v>
      </c>
      <c r="AF3997" s="16">
        <f>SUMPRODUCT(N3997:Y3997,$N$5:$Y$5)*$K3997*$L3997*$M3997</f>
        <v/>
      </c>
      <c r="AG3997" s="16">
        <f>SUMPRODUCT(N3997:Y3997,$N$6:$Y$6)*$K3997*$L3997*$M3997</f>
        <v/>
      </c>
      <c r="AH3997" s="20" t="n"/>
    </row>
    <row r="3998">
      <c r="A3998" s="9" t="n">
        <v>669169</v>
      </c>
      <c r="B3998" s="9" t="inlineStr">
        <is>
          <t>Jonathan Heasley</t>
        </is>
      </c>
      <c r="C3998" s="9" t="inlineStr">
        <is>
          <t>BAL</t>
        </is>
      </c>
      <c r="D3998" s="9" t="n">
        <v>30</v>
      </c>
      <c r="E3998" s="18" t="inlineStr">
        <is>
          <t>R</t>
        </is>
      </c>
      <c r="F3998" s="18" t="n"/>
      <c r="G3998" s="9" t="n">
        <v>19</v>
      </c>
      <c r="H3998" s="9" t="n">
        <v>576</v>
      </c>
      <c r="I3998" s="9" t="inlineStr">
        <is>
          <t>Bullpen Depth Arm</t>
        </is>
      </c>
      <c r="J3998" s="18" t="inlineStr">
        <is>
          <t>Opening Day</t>
        </is>
      </c>
      <c r="K3998" s="11">
        <f>IFERROR(INDEX(Roles!$B$17:$B$20,MATCH(J3998,Roles!$A$17:$A$20,0)),1)</f>
        <v/>
      </c>
      <c r="L3998" s="19" t="n">
        <v>1</v>
      </c>
      <c r="M3998" s="11" t="n">
        <v>1</v>
      </c>
      <c r="N3998" s="19" t="n"/>
      <c r="O3998" s="19" t="n"/>
      <c r="P3998" s="19" t="n"/>
      <c r="Q3998" s="19" t="n"/>
      <c r="R3998" s="19" t="n"/>
      <c r="S3998" s="19" t="n"/>
      <c r="T3998" s="19" t="n"/>
      <c r="U3998" s="19" t="n"/>
      <c r="V3998" s="19" t="n"/>
      <c r="W3998" s="19" t="n">
        <v>0.5</v>
      </c>
      <c r="X3998" s="19" t="n"/>
      <c r="Y3998" s="19" t="n">
        <v>0.5</v>
      </c>
      <c r="Z3998" s="13">
        <f>SUMPRODUCT(N3998:Y3998,$N$2:$Y$2)*$K3998*$L3998*$M3998</f>
        <v/>
      </c>
      <c r="AA3998" s="14">
        <f>SUM(N3998:Y3998)</f>
        <v/>
      </c>
      <c r="AB3998" s="13">
        <f>SUMPRODUCT(N3998:Y3998,$N$3:$Y$3)*$K3998*$L3998*$M3998</f>
        <v/>
      </c>
      <c r="AC3998" s="13">
        <f>SUMPRODUCT(N3998:Y3998,$N$4:$Y$4)*$K3998*$L3998*$M3998</f>
        <v/>
      </c>
      <c r="AD3998" s="15" t="n">
        <v>6.716666666666666</v>
      </c>
      <c r="AE3998" s="11" t="n">
        <v>1.626903960237293</v>
      </c>
      <c r="AF3998" s="16">
        <f>SUMPRODUCT(N3998:Y3998,$N$5:$Y$5)*$K3998*$L3998*$M3998</f>
        <v/>
      </c>
      <c r="AG3998" s="16">
        <f>SUMPRODUCT(N3998:Y3998,$N$6:$Y$6)*$K3998*$L3998*$M3998</f>
        <v/>
      </c>
      <c r="AH3998" s="20" t="n"/>
    </row>
    <row r="3999">
      <c r="A3999" s="9" t="n">
        <v>675540</v>
      </c>
      <c r="B3999" s="9" t="inlineStr">
        <is>
          <t>Xzavion Curry</t>
        </is>
      </c>
      <c r="C3999" s="9" t="inlineStr">
        <is>
          <t>NYM</t>
        </is>
      </c>
      <c r="D3999" s="9" t="n">
        <v>28</v>
      </c>
      <c r="E3999" s="18" t="inlineStr">
        <is>
          <t>R</t>
        </is>
      </c>
      <c r="F3999" s="18" t="n"/>
      <c r="G3999" s="9" t="n">
        <v>94</v>
      </c>
      <c r="H3999" s="9" t="n">
        <v>733</v>
      </c>
      <c r="I3999" s="9" t="inlineStr">
        <is>
          <t>Bullpen Depth Arm</t>
        </is>
      </c>
      <c r="J3999" s="18" t="inlineStr">
        <is>
          <t>Opening Day</t>
        </is>
      </c>
      <c r="K3999" s="11">
        <f>IFERROR(INDEX(Roles!$B$17:$B$20,MATCH(J3999,Roles!$A$17:$A$20,0)),1)</f>
        <v/>
      </c>
      <c r="L3999" s="19" t="n">
        <v>1</v>
      </c>
      <c r="M3999" s="11" t="n">
        <v>1</v>
      </c>
      <c r="N3999" s="19" t="n"/>
      <c r="O3999" s="19" t="n"/>
      <c r="P3999" s="19" t="n"/>
      <c r="Q3999" s="19" t="n"/>
      <c r="R3999" s="19" t="n"/>
      <c r="S3999" s="19" t="n"/>
      <c r="T3999" s="19" t="n"/>
      <c r="U3999" s="19" t="n"/>
      <c r="V3999" s="19" t="n"/>
      <c r="W3999" s="19" t="n">
        <v>1</v>
      </c>
      <c r="X3999" s="19" t="n"/>
      <c r="Y3999" s="19" t="n"/>
      <c r="Z3999" s="13">
        <f>SUMPRODUCT(N3999:Y3999,$N$2:$Y$2)*$K3999*$L3999*$M3999</f>
        <v/>
      </c>
      <c r="AA3999" s="14">
        <f>SUM(N3999:Y3999)</f>
        <v/>
      </c>
      <c r="AB3999" s="13">
        <f>SUMPRODUCT(N3999:Y3999,$N$3:$Y$3)*$K3999*$L3999*$M3999</f>
        <v/>
      </c>
      <c r="AC3999" s="13">
        <f>SUMPRODUCT(N3999:Y3999,$N$4:$Y$4)*$K3999*$L3999*$M3999</f>
        <v/>
      </c>
      <c r="AD3999" s="15" t="n">
        <v>10.56666666666667</v>
      </c>
      <c r="AE3999" s="11" t="n">
        <v>1.56794704413752</v>
      </c>
      <c r="AF3999" s="16">
        <f>SUMPRODUCT(N3999:Y3999,$N$5:$Y$5)*$K3999*$L3999*$M3999</f>
        <v/>
      </c>
      <c r="AG3999" s="16">
        <f>SUMPRODUCT(N3999:Y3999,$N$6:$Y$6)*$K3999*$L3999*$M3999</f>
        <v/>
      </c>
      <c r="AH3999" s="20" t="n"/>
    </row>
    <row r="4000">
      <c r="A4000" s="9" t="n">
        <v>572971</v>
      </c>
      <c r="B4000" s="9" t="inlineStr">
        <is>
          <t>Dallas Keuchel</t>
        </is>
      </c>
      <c r="C4000" s="9" t="inlineStr">
        <is>
          <t>MIL</t>
        </is>
      </c>
      <c r="D4000" s="9" t="n">
        <v>39</v>
      </c>
      <c r="E4000" s="18" t="inlineStr">
        <is>
          <t>L</t>
        </is>
      </c>
      <c r="F4000" s="18" t="n"/>
      <c r="G4000" s="9" t="n">
        <v>79</v>
      </c>
      <c r="H4000" s="9" t="n">
        <v>554</v>
      </c>
      <c r="I4000" s="9" t="inlineStr">
        <is>
          <t>Depth (no MLB IP)</t>
        </is>
      </c>
      <c r="J4000" s="18" t="inlineStr">
        <is>
          <t>Opening Day</t>
        </is>
      </c>
      <c r="K4000" s="11">
        <f>IFERROR(INDEX(Roles!$B$17:$B$20,MATCH(J4000,Roles!$A$17:$A$20,0)),1)</f>
        <v/>
      </c>
      <c r="L4000" s="19" t="n">
        <v>1</v>
      </c>
      <c r="M4000" s="11" t="n">
        <v>1</v>
      </c>
      <c r="N4000" s="19" t="n"/>
      <c r="O4000" s="19" t="n"/>
      <c r="P4000" s="19" t="n"/>
      <c r="Q4000" s="19" t="n"/>
      <c r="R4000" s="19" t="n"/>
      <c r="S4000" s="19" t="n"/>
      <c r="T4000" s="19" t="n"/>
      <c r="U4000" s="19" t="n"/>
      <c r="V4000" s="19" t="n"/>
      <c r="W4000" s="19" t="n"/>
      <c r="X4000" s="19" t="n"/>
      <c r="Y4000" s="19" t="n">
        <v>1</v>
      </c>
      <c r="Z4000" s="13">
        <f>SUMPRODUCT(N4000:Y4000,$N$2:$Y$2)*$K4000*$L4000*$M4000</f>
        <v/>
      </c>
      <c r="AA4000" s="14">
        <f>SUM(N4000:Y4000)</f>
        <v/>
      </c>
      <c r="AB4000" s="13">
        <f>SUMPRODUCT(N4000:Y4000,$N$3:$Y$3)*$K4000*$L4000*$M4000</f>
        <v/>
      </c>
      <c r="AC4000" s="13">
        <f>SUMPRODUCT(N4000:Y4000,$N$4:$Y$4)*$K4000*$L4000*$M4000</f>
        <v/>
      </c>
      <c r="AD4000" s="15" t="n">
        <v>3.6</v>
      </c>
      <c r="AE4000" s="11" t="n">
        <v>2.063086419753086</v>
      </c>
      <c r="AF4000" s="16">
        <f>SUMPRODUCT(N4000:Y4000,$N$5:$Y$5)*$K4000*$L4000*$M4000</f>
        <v/>
      </c>
      <c r="AG4000" s="16">
        <f>SUMPRODUCT(N4000:Y4000,$N$6:$Y$6)*$K4000*$L4000*$M4000</f>
        <v/>
      </c>
      <c r="AH4000" s="20" t="n"/>
    </row>
    <row r="4001">
      <c r="A4001" s="9" t="n">
        <v>663559</v>
      </c>
      <c r="B4001" s="9" t="inlineStr">
        <is>
          <t>Bailey Falter</t>
        </is>
      </c>
      <c r="C4001" s="9" t="inlineStr">
        <is>
          <t>ATL</t>
        </is>
      </c>
      <c r="D4001" s="9" t="n">
        <v>30</v>
      </c>
      <c r="E4001" s="18" t="inlineStr">
        <is>
          <t>L</t>
        </is>
      </c>
      <c r="F4001" s="18" t="n"/>
      <c r="G4001" s="9" t="n">
        <v>69</v>
      </c>
      <c r="H4001" s="9" t="n">
        <v>1872</v>
      </c>
      <c r="I4001" s="9" t="inlineStr">
        <is>
          <t>End-of-Rotation Starter (SP4-5)</t>
        </is>
      </c>
      <c r="J4001" s="18" t="inlineStr">
        <is>
          <t>Opening Day</t>
        </is>
      </c>
      <c r="K4001" s="11">
        <f>IFERROR(INDEX(Roles!$B$17:$B$20,MATCH(J4001,Roles!$A$17:$A$20,0)),1)</f>
        <v/>
      </c>
      <c r="L4001" s="19" t="n">
        <v>1</v>
      </c>
      <c r="M4001" s="11" t="n">
        <v>1</v>
      </c>
      <c r="N4001" s="19" t="n"/>
      <c r="O4001" s="19" t="n"/>
      <c r="P4001" s="19" t="n">
        <v>1</v>
      </c>
      <c r="Q4001" s="19" t="n"/>
      <c r="R4001" s="19" t="n"/>
      <c r="S4001" s="19" t="n"/>
      <c r="T4001" s="19" t="n"/>
      <c r="U4001" s="19" t="n"/>
      <c r="V4001" s="19" t="n"/>
      <c r="W4001" s="19" t="n"/>
      <c r="X4001" s="19" t="n"/>
      <c r="Y4001" s="19" t="n"/>
      <c r="Z4001" s="13">
        <f>SUMPRODUCT(N4001:Y4001,$N$2:$Y$2)*$K4001*$L4001*$M4001</f>
        <v/>
      </c>
      <c r="AA4001" s="14">
        <f>SUM(N4001:Y4001)</f>
        <v/>
      </c>
      <c r="AB4001" s="13">
        <f>SUMPRODUCT(N4001:Y4001,$N$3:$Y$3)*$K4001*$L4001*$M4001</f>
        <v/>
      </c>
      <c r="AC4001" s="13">
        <f>SUMPRODUCT(N4001:Y4001,$N$4:$Y$4)*$K4001*$L4001*$M4001</f>
        <v/>
      </c>
      <c r="AD4001" s="15" t="n">
        <v>16.5</v>
      </c>
      <c r="AE4001" s="11" t="n">
        <v>4.462779611294462</v>
      </c>
      <c r="AF4001" s="16">
        <f>SUMPRODUCT(N4001:Y4001,$N$5:$Y$5)*$K4001*$L4001*$M4001</f>
        <v/>
      </c>
      <c r="AG4001" s="16">
        <f>SUMPRODUCT(N4001:Y4001,$N$6:$Y$6)*$K4001*$L4001*$M4001</f>
        <v/>
      </c>
      <c r="AH4001" s="20" t="n"/>
    </row>
    <row r="4002">
      <c r="A4002" s="9" t="n">
        <v>592789</v>
      </c>
      <c r="B4002" s="9" t="inlineStr">
        <is>
          <t>Noah Syndergaard</t>
        </is>
      </c>
      <c r="C4002" s="9" t="inlineStr">
        <is>
          <t>CLE</t>
        </is>
      </c>
      <c r="D4002" s="9" t="n">
        <v>34</v>
      </c>
      <c r="E4002" s="18" t="inlineStr">
        <is>
          <t>R</t>
        </is>
      </c>
      <c r="F4002" s="18" t="n"/>
      <c r="G4002" s="9" t="n">
        <v>391</v>
      </c>
      <c r="H4002" s="9" t="n">
        <v>956</v>
      </c>
      <c r="I4002" s="9" t="inlineStr">
        <is>
          <t>Depth (no MLB IP)</t>
        </is>
      </c>
      <c r="J4002" s="18" t="inlineStr">
        <is>
          <t>Opening Day</t>
        </is>
      </c>
      <c r="K4002" s="11">
        <f>IFERROR(INDEX(Roles!$B$17:$B$20,MATCH(J4002,Roles!$A$17:$A$20,0)),1)</f>
        <v/>
      </c>
      <c r="L4002" s="19" t="n">
        <v>1</v>
      </c>
      <c r="M4002" s="11" t="n">
        <v>1</v>
      </c>
      <c r="N4002" s="19" t="n"/>
      <c r="O4002" s="19" t="n"/>
      <c r="P4002" s="19" t="n"/>
      <c r="Q4002" s="19" t="n"/>
      <c r="R4002" s="19" t="n"/>
      <c r="S4002" s="19" t="n"/>
      <c r="T4002" s="19" t="n"/>
      <c r="U4002" s="19" t="n"/>
      <c r="V4002" s="19" t="n"/>
      <c r="W4002" s="19" t="n"/>
      <c r="X4002" s="19" t="n"/>
      <c r="Y4002" s="19" t="n">
        <v>1</v>
      </c>
      <c r="Z4002" s="13">
        <f>SUMPRODUCT(N4002:Y4002,$N$2:$Y$2)*$K4002*$L4002*$M4002</f>
        <v/>
      </c>
      <c r="AA4002" s="14">
        <f>SUM(N4002:Y4002)</f>
        <v/>
      </c>
      <c r="AB4002" s="13">
        <f>SUMPRODUCT(N4002:Y4002,$N$3:$Y$3)*$K4002*$L4002*$M4002</f>
        <v/>
      </c>
      <c r="AC4002" s="13">
        <f>SUMPRODUCT(N4002:Y4002,$N$4:$Y$4)*$K4002*$L4002*$M4002</f>
        <v/>
      </c>
      <c r="AD4002" s="15" t="n">
        <v>3</v>
      </c>
      <c r="AE4002" s="11" t="n">
        <v>1.011296296296296</v>
      </c>
      <c r="AF4002" s="16">
        <f>SUMPRODUCT(N4002:Y4002,$N$5:$Y$5)*$K4002*$L4002*$M4002</f>
        <v/>
      </c>
      <c r="AG4002" s="16">
        <f>SUMPRODUCT(N4002:Y4002,$N$6:$Y$6)*$K4002*$L4002*$M4002</f>
        <v/>
      </c>
      <c r="AH4002" s="20" t="n"/>
    </row>
    <row r="4003">
      <c r="A4003" s="9" t="n">
        <v>605288</v>
      </c>
      <c r="B4003" s="9" t="inlineStr">
        <is>
          <t>Adrian Houser</t>
        </is>
      </c>
      <c r="C4003" s="9" t="inlineStr">
        <is>
          <t>SF</t>
        </is>
      </c>
      <c r="D4003" s="9" t="n">
        <v>34</v>
      </c>
      <c r="E4003" s="18" t="inlineStr">
        <is>
          <t>R</t>
        </is>
      </c>
      <c r="F4003" s="18" t="n"/>
      <c r="G4003" s="9" t="n">
        <v>470</v>
      </c>
      <c r="H4003" s="9" t="n">
        <v>2233</v>
      </c>
      <c r="I4003" s="9" t="inlineStr">
        <is>
          <t>End-of-Rotation Starter (SP4-5)</t>
        </is>
      </c>
      <c r="J4003" s="18" t="inlineStr">
        <is>
          <t>Opening Day</t>
        </is>
      </c>
      <c r="K4003" s="11">
        <f>IFERROR(INDEX(Roles!$B$17:$B$20,MATCH(J4003,Roles!$A$17:$A$20,0)),1)</f>
        <v/>
      </c>
      <c r="L4003" s="19" t="n">
        <v>1</v>
      </c>
      <c r="M4003" s="11" t="n">
        <v>1</v>
      </c>
      <c r="N4003" s="19" t="n"/>
      <c r="O4003" s="19" t="n"/>
      <c r="P4003" s="19" t="n">
        <v>0.5</v>
      </c>
      <c r="Q4003" s="19" t="n"/>
      <c r="R4003" s="19" t="n">
        <v>0.5</v>
      </c>
      <c r="S4003" s="19" t="n"/>
      <c r="T4003" s="19" t="n"/>
      <c r="U4003" s="19" t="n"/>
      <c r="V4003" s="19" t="n"/>
      <c r="W4003" s="19" t="n"/>
      <c r="X4003" s="19" t="n"/>
      <c r="Y4003" s="19" t="n"/>
      <c r="Z4003" s="13">
        <f>SUMPRODUCT(N4003:Y4003,$N$2:$Y$2)*$K4003*$L4003*$M4003</f>
        <v/>
      </c>
      <c r="AA4003" s="14">
        <f>SUM(N4003:Y4003)</f>
        <v/>
      </c>
      <c r="AB4003" s="13">
        <f>SUMPRODUCT(N4003:Y4003,$N$3:$Y$3)*$K4003*$L4003*$M4003</f>
        <v/>
      </c>
      <c r="AC4003" s="13">
        <f>SUMPRODUCT(N4003:Y4003,$N$4:$Y$4)*$K4003*$L4003*$M4003</f>
        <v/>
      </c>
      <c r="AD4003" s="15" t="n">
        <v>20.7</v>
      </c>
      <c r="AE4003" s="11" t="n">
        <v>4.548303548303548</v>
      </c>
      <c r="AF4003" s="16">
        <f>SUMPRODUCT(N4003:Y4003,$N$5:$Y$5)*$K4003*$L4003*$M4003</f>
        <v/>
      </c>
      <c r="AG4003" s="16">
        <f>SUMPRODUCT(N4003:Y4003,$N$6:$Y$6)*$K4003*$L4003*$M4003</f>
        <v/>
      </c>
      <c r="AH4003" s="20" t="n"/>
    </row>
    <row r="4004">
      <c r="A4004" s="9" t="n">
        <v>695534</v>
      </c>
      <c r="B4004" s="9" t="inlineStr">
        <is>
          <t>Chase Petty</t>
        </is>
      </c>
      <c r="C4004" s="9" t="inlineStr">
        <is>
          <t>CIN</t>
        </is>
      </c>
      <c r="D4004" s="9" t="n">
        <v>24</v>
      </c>
      <c r="E4004" s="18" t="inlineStr">
        <is>
          <t>R</t>
        </is>
      </c>
      <c r="F4004" s="18" t="n"/>
      <c r="G4004" s="9" t="n">
        <v>139</v>
      </c>
      <c r="H4004" s="9" t="n">
        <v>179</v>
      </c>
      <c r="I4004" s="9" t="inlineStr">
        <is>
          <t>Bullpen Depth Arm</t>
        </is>
      </c>
      <c r="J4004" s="18" t="inlineStr">
        <is>
          <t>Opening Day</t>
        </is>
      </c>
      <c r="K4004" s="11">
        <f>IFERROR(INDEX(Roles!$B$17:$B$20,MATCH(J4004,Roles!$A$17:$A$20,0)),1)</f>
        <v/>
      </c>
      <c r="L4004" s="19" t="n">
        <v>1</v>
      </c>
      <c r="M4004" s="11" t="n">
        <v>1</v>
      </c>
      <c r="N4004" s="19" t="n"/>
      <c r="O4004" s="19" t="n"/>
      <c r="P4004" s="19" t="n"/>
      <c r="Q4004" s="19" t="n"/>
      <c r="R4004" s="19" t="n"/>
      <c r="S4004" s="19" t="n"/>
      <c r="T4004" s="19" t="n"/>
      <c r="U4004" s="19" t="n"/>
      <c r="V4004" s="19" t="n"/>
      <c r="W4004" s="19" t="n">
        <v>1</v>
      </c>
      <c r="X4004" s="19" t="n"/>
      <c r="Y4004" s="19" t="n"/>
      <c r="Z4004" s="13">
        <f>SUMPRODUCT(N4004:Y4004,$N$2:$Y$2)*$K4004*$L4004*$M4004</f>
        <v/>
      </c>
      <c r="AA4004" s="14">
        <f>SUM(N4004:Y4004)</f>
        <v/>
      </c>
      <c r="AB4004" s="13">
        <f>SUMPRODUCT(N4004:Y4004,$N$3:$Y$3)*$K4004*$L4004*$M4004</f>
        <v/>
      </c>
      <c r="AC4004" s="13">
        <f>SUMPRODUCT(N4004:Y4004,$N$4:$Y$4)*$K4004*$L4004*$M4004</f>
        <v/>
      </c>
      <c r="AD4004" s="15" t="n">
        <v>12.14666666666667</v>
      </c>
      <c r="AE4004" s="11" t="n">
        <v>1.462000962000962</v>
      </c>
      <c r="AF4004" s="16">
        <f>SUMPRODUCT(N4004:Y4004,$N$5:$Y$5)*$K4004*$L4004*$M4004</f>
        <v/>
      </c>
      <c r="AG4004" s="16">
        <f>SUMPRODUCT(N4004:Y4004,$N$6:$Y$6)*$K4004*$L4004*$M4004</f>
        <v/>
      </c>
      <c r="AH4004" s="20" t="n"/>
    </row>
    <row r="4005">
      <c r="A4005" s="9" t="n">
        <v>677976</v>
      </c>
      <c r="B4005" s="9" t="inlineStr">
        <is>
          <t>Randy Dobnak</t>
        </is>
      </c>
      <c r="C4005" s="9" t="inlineStr">
        <is>
          <t>KC</t>
        </is>
      </c>
      <c r="D4005" s="9" t="n">
        <v>32</v>
      </c>
      <c r="E4005" s="18" t="inlineStr">
        <is>
          <t>R</t>
        </is>
      </c>
      <c r="F4005" s="18" t="n"/>
      <c r="G4005" s="9" t="n">
        <v>321</v>
      </c>
      <c r="H4005" s="9" t="n">
        <v>385</v>
      </c>
      <c r="I4005" s="9" t="inlineStr">
        <is>
          <t>End-of-Rotation Starter (SP4-5)</t>
        </is>
      </c>
      <c r="J4005" s="18" t="inlineStr">
        <is>
          <t>Opening Day</t>
        </is>
      </c>
      <c r="K4005" s="11">
        <f>IFERROR(INDEX(Roles!$B$17:$B$20,MATCH(J4005,Roles!$A$17:$A$20,0)),1)</f>
        <v/>
      </c>
      <c r="L4005" s="19" t="n">
        <v>1</v>
      </c>
      <c r="M4005" s="11" t="n">
        <v>1</v>
      </c>
      <c r="N4005" s="19" t="n"/>
      <c r="O4005" s="19" t="n"/>
      <c r="P4005" s="19" t="n">
        <v>0.5</v>
      </c>
      <c r="Q4005" s="19" t="n"/>
      <c r="R4005" s="19" t="n">
        <v>0.5</v>
      </c>
      <c r="S4005" s="19" t="n"/>
      <c r="T4005" s="19" t="n"/>
      <c r="U4005" s="19" t="n"/>
      <c r="V4005" s="19" t="n"/>
      <c r="W4005" s="19" t="n"/>
      <c r="X4005" s="19" t="n"/>
      <c r="Y4005" s="19" t="n"/>
      <c r="Z4005" s="13">
        <f>SUMPRODUCT(N4005:Y4005,$N$2:$Y$2)*$K4005*$L4005*$M4005</f>
        <v/>
      </c>
      <c r="AA4005" s="14">
        <f>SUM(N4005:Y4005)</f>
        <v/>
      </c>
      <c r="AB4005" s="13">
        <f>SUMPRODUCT(N4005:Y4005,$N$3:$Y$3)*$K4005*$L4005*$M4005</f>
        <v/>
      </c>
      <c r="AC4005" s="13">
        <f>SUMPRODUCT(N4005:Y4005,$N$4:$Y$4)*$K4005*$L4005*$M4005</f>
        <v/>
      </c>
      <c r="AD4005" s="15" t="n">
        <v>11.6</v>
      </c>
      <c r="AE4005" s="11" t="n">
        <v>4.596866096866097</v>
      </c>
      <c r="AF4005" s="16">
        <f>SUMPRODUCT(N4005:Y4005,$N$5:$Y$5)*$K4005*$L4005*$M4005</f>
        <v/>
      </c>
      <c r="AG4005" s="16">
        <f>SUMPRODUCT(N4005:Y4005,$N$6:$Y$6)*$K4005*$L4005*$M4005</f>
        <v/>
      </c>
      <c r="AH4005" s="20" t="n"/>
    </row>
    <row r="4006">
      <c r="A4006" s="9" t="n">
        <v>607200</v>
      </c>
      <c r="B4006" s="9" t="inlineStr">
        <is>
          <t>Erick Fedde</t>
        </is>
      </c>
      <c r="C4006" s="9" t="inlineStr">
        <is>
          <t>CWS</t>
        </is>
      </c>
      <c r="D4006" s="9" t="n">
        <v>34</v>
      </c>
      <c r="E4006" s="18" t="inlineStr">
        <is>
          <t>R</t>
        </is>
      </c>
      <c r="F4006" s="18" t="n"/>
      <c r="G4006" s="9" t="n">
        <v>606</v>
      </c>
      <c r="H4006" s="9" t="n">
        <v>2528</v>
      </c>
      <c r="I4006" s="9" t="inlineStr">
        <is>
          <t>End-of-Rotation Starter (SP4-5)</t>
        </is>
      </c>
      <c r="J4006" s="18" t="inlineStr">
        <is>
          <t>Opening Day</t>
        </is>
      </c>
      <c r="K4006" s="11">
        <f>IFERROR(INDEX(Roles!$B$17:$B$20,MATCH(J4006,Roles!$A$17:$A$20,0)),1)</f>
        <v/>
      </c>
      <c r="L4006" s="19" t="n">
        <v>1</v>
      </c>
      <c r="M4006" s="11" t="n">
        <v>1</v>
      </c>
      <c r="N4006" s="19" t="n"/>
      <c r="O4006" s="19" t="n"/>
      <c r="P4006" s="19" t="n">
        <v>0.5</v>
      </c>
      <c r="Q4006" s="19" t="n"/>
      <c r="R4006" s="19" t="n">
        <v>0.5</v>
      </c>
      <c r="S4006" s="19" t="n"/>
      <c r="T4006" s="19" t="n"/>
      <c r="U4006" s="19" t="n"/>
      <c r="V4006" s="19" t="n"/>
      <c r="W4006" s="19" t="n"/>
      <c r="X4006" s="19" t="n"/>
      <c r="Y4006" s="19" t="n"/>
      <c r="Z4006" s="13">
        <f>SUMPRODUCT(N4006:Y4006,$N$2:$Y$2)*$K4006*$L4006*$M4006</f>
        <v/>
      </c>
      <c r="AA4006" s="14">
        <f>SUM(N4006:Y4006)</f>
        <v/>
      </c>
      <c r="AB4006" s="13">
        <f>SUMPRODUCT(N4006:Y4006,$N$3:$Y$3)*$K4006*$L4006*$M4006</f>
        <v/>
      </c>
      <c r="AC4006" s="13">
        <f>SUMPRODUCT(N4006:Y4006,$N$4:$Y$4)*$K4006*$L4006*$M4006</f>
        <v/>
      </c>
      <c r="AD4006" s="15" t="n">
        <v>25.8</v>
      </c>
      <c r="AE4006" s="11" t="n">
        <v>4.55307369224895</v>
      </c>
      <c r="AF4006" s="16">
        <f>SUMPRODUCT(N4006:Y4006,$N$5:$Y$5)*$K4006*$L4006*$M4006</f>
        <v/>
      </c>
      <c r="AG4006" s="16">
        <f>SUMPRODUCT(N4006:Y4006,$N$6:$Y$6)*$K4006*$L4006*$M4006</f>
        <v/>
      </c>
      <c r="AH4006" s="20" t="n"/>
    </row>
    <row r="4007">
      <c r="A4007" s="9" t="n">
        <v>669724</v>
      </c>
      <c r="B4007" s="9" t="inlineStr">
        <is>
          <t>Brenan Hanifee</t>
        </is>
      </c>
      <c r="C4007" s="9" t="inlineStr">
        <is>
          <t>DET</t>
        </is>
      </c>
      <c r="D4007" s="9" t="n">
        <v>29</v>
      </c>
      <c r="E4007" s="18" t="inlineStr">
        <is>
          <t>R</t>
        </is>
      </c>
      <c r="F4007" s="18" t="n"/>
      <c r="G4007" s="9" t="n">
        <v>93</v>
      </c>
      <c r="H4007" s="9" t="n">
        <v>496</v>
      </c>
      <c r="I4007" s="9" t="inlineStr">
        <is>
          <t>Bullpen Depth Arm</t>
        </is>
      </c>
      <c r="J4007" s="18" t="inlineStr">
        <is>
          <t>Opening Day</t>
        </is>
      </c>
      <c r="K4007" s="11">
        <f>IFERROR(INDEX(Roles!$B$17:$B$20,MATCH(J4007,Roles!$A$17:$A$20,0)),1)</f>
        <v/>
      </c>
      <c r="L4007" s="19" t="n">
        <v>1</v>
      </c>
      <c r="M4007" s="11" t="n">
        <v>1</v>
      </c>
      <c r="N4007" s="19" t="n"/>
      <c r="O4007" s="19" t="n"/>
      <c r="P4007" s="19" t="n"/>
      <c r="Q4007" s="19" t="n"/>
      <c r="R4007" s="19" t="n"/>
      <c r="S4007" s="19" t="n"/>
      <c r="T4007" s="19" t="n"/>
      <c r="U4007" s="19" t="n"/>
      <c r="V4007" s="19" t="n"/>
      <c r="W4007" s="19" t="n">
        <v>1</v>
      </c>
      <c r="X4007" s="19" t="n"/>
      <c r="Y4007" s="19" t="n"/>
      <c r="Z4007" s="13">
        <f>SUMPRODUCT(N4007:Y4007,$N$2:$Y$2)*$K4007*$L4007*$M4007</f>
        <v/>
      </c>
      <c r="AA4007" s="14">
        <f>SUM(N4007:Y4007)</f>
        <v/>
      </c>
      <c r="AB4007" s="13">
        <f>SUMPRODUCT(N4007:Y4007,$N$3:$Y$3)*$K4007*$L4007*$M4007</f>
        <v/>
      </c>
      <c r="AC4007" s="13">
        <f>SUMPRODUCT(N4007:Y4007,$N$4:$Y$4)*$K4007*$L4007*$M4007</f>
        <v/>
      </c>
      <c r="AD4007" s="15" t="n">
        <v>25.46666666666667</v>
      </c>
      <c r="AE4007" s="11" t="n">
        <v>1.16065416065416</v>
      </c>
      <c r="AF4007" s="16">
        <f>SUMPRODUCT(N4007:Y4007,$N$5:$Y$5)*$K4007*$L4007*$M4007</f>
        <v/>
      </c>
      <c r="AG4007" s="16">
        <f>SUMPRODUCT(N4007:Y4007,$N$6:$Y$6)*$K4007*$L4007*$M4007</f>
        <v/>
      </c>
      <c r="AH4007" s="20" t="n"/>
    </row>
    <row r="4008">
      <c r="A4008" s="9" t="n">
        <v>701328</v>
      </c>
      <c r="B4008" s="9" t="inlineStr">
        <is>
          <t>Jackson Ferris</t>
        </is>
      </c>
      <c r="C4008" s="9" t="inlineStr">
        <is>
          <t>LAD</t>
        </is>
      </c>
      <c r="D4008" s="9" t="n">
        <v>23</v>
      </c>
      <c r="E4008" s="18" t="inlineStr">
        <is>
          <t>L</t>
        </is>
      </c>
      <c r="F4008" s="18" t="n"/>
      <c r="G4008" s="9" t="n">
        <v>257.785</v>
      </c>
      <c r="H4008" s="9" t="n">
        <v>257.785</v>
      </c>
      <c r="I4008" s="9" t="inlineStr">
        <is>
          <t>Depth (no MLB IP)</t>
        </is>
      </c>
      <c r="J4008" s="18" t="inlineStr">
        <is>
          <t>Opening Day</t>
        </is>
      </c>
      <c r="K4008" s="11">
        <f>IFERROR(INDEX(Roles!$B$17:$B$20,MATCH(J4008,Roles!$A$17:$A$20,0)),1)</f>
        <v/>
      </c>
      <c r="L4008" s="19" t="n">
        <v>1</v>
      </c>
      <c r="M4008" s="11" t="n">
        <v>1</v>
      </c>
      <c r="N4008" s="19" t="n"/>
      <c r="O4008" s="19" t="n"/>
      <c r="P4008" s="19" t="n"/>
      <c r="Q4008" s="19" t="n"/>
      <c r="R4008" s="19" t="n"/>
      <c r="S4008" s="19" t="n"/>
      <c r="T4008" s="19" t="n"/>
      <c r="U4008" s="19" t="n"/>
      <c r="V4008" s="19" t="n"/>
      <c r="W4008" s="19" t="n"/>
      <c r="X4008" s="19" t="n"/>
      <c r="Y4008" s="19" t="n">
        <v>1</v>
      </c>
      <c r="Z4008" s="13">
        <f>SUMPRODUCT(N4008:Y4008,$N$2:$Y$2)*$K4008*$L4008*$M4008</f>
        <v/>
      </c>
      <c r="AA4008" s="14">
        <f>SUM(N4008:Y4008)</f>
        <v/>
      </c>
      <c r="AB4008" s="13">
        <f>SUMPRODUCT(N4008:Y4008,$N$3:$Y$3)*$K4008*$L4008*$M4008</f>
        <v/>
      </c>
      <c r="AC4008" s="13">
        <f>SUMPRODUCT(N4008:Y4008,$N$4:$Y$4)*$K4008*$L4008*$M4008</f>
        <v/>
      </c>
      <c r="AD4008" s="15" t="n">
        <v>3</v>
      </c>
      <c r="AE4008" s="11" t="n">
        <v>1.011296296296296</v>
      </c>
      <c r="AF4008" s="16">
        <f>SUMPRODUCT(N4008:Y4008,$N$5:$Y$5)*$K4008*$L4008*$M4008</f>
        <v/>
      </c>
      <c r="AG4008" s="16">
        <f>SUMPRODUCT(N4008:Y4008,$N$6:$Y$6)*$K4008*$L4008*$M4008</f>
        <v/>
      </c>
      <c r="AH4008" s="20" t="n"/>
    </row>
    <row r="4009">
      <c r="A4009" s="9" t="n">
        <v>702065</v>
      </c>
      <c r="B4009" s="9" t="inlineStr">
        <is>
          <t>Aaron Rozek</t>
        </is>
      </c>
      <c r="C4009" s="9" t="inlineStr">
        <is>
          <t>MIN</t>
        </is>
      </c>
      <c r="D4009" s="9" t="n">
        <v>25</v>
      </c>
      <c r="E4009" s="18" t="inlineStr">
        <is>
          <t>L</t>
        </is>
      </c>
      <c r="F4009" s="18" t="n"/>
      <c r="G4009" s="9" t="n">
        <v>260.15</v>
      </c>
      <c r="H4009" s="9" t="n">
        <v>260.15</v>
      </c>
      <c r="I4009" s="9" t="inlineStr">
        <is>
          <t>Depth (no MLB IP)</t>
        </is>
      </c>
      <c r="J4009" s="18" t="inlineStr">
        <is>
          <t>Opening Day</t>
        </is>
      </c>
      <c r="K4009" s="11">
        <f>IFERROR(INDEX(Roles!$B$17:$B$20,MATCH(J4009,Roles!$A$17:$A$20,0)),1)</f>
        <v/>
      </c>
      <c r="L4009" s="19" t="n">
        <v>1</v>
      </c>
      <c r="M4009" s="11" t="n">
        <v>1</v>
      </c>
      <c r="N4009" s="19" t="n"/>
      <c r="O4009" s="19" t="n"/>
      <c r="P4009" s="19" t="n"/>
      <c r="Q4009" s="19" t="n"/>
      <c r="R4009" s="19" t="n"/>
      <c r="S4009" s="19" t="n"/>
      <c r="T4009" s="19" t="n"/>
      <c r="U4009" s="19" t="n"/>
      <c r="V4009" s="19" t="n"/>
      <c r="W4009" s="19" t="n"/>
      <c r="X4009" s="19" t="n"/>
      <c r="Y4009" s="19" t="n">
        <v>1</v>
      </c>
      <c r="Z4009" s="13">
        <f>SUMPRODUCT(N4009:Y4009,$N$2:$Y$2)*$K4009*$L4009*$M4009</f>
        <v/>
      </c>
      <c r="AA4009" s="14">
        <f>SUM(N4009:Y4009)</f>
        <v/>
      </c>
      <c r="AB4009" s="13">
        <f>SUMPRODUCT(N4009:Y4009,$N$3:$Y$3)*$K4009*$L4009*$M4009</f>
        <v/>
      </c>
      <c r="AC4009" s="13">
        <f>SUMPRODUCT(N4009:Y4009,$N$4:$Y$4)*$K4009*$L4009*$M4009</f>
        <v/>
      </c>
      <c r="AD4009" s="15" t="n">
        <v>3</v>
      </c>
      <c r="AE4009" s="11" t="n">
        <v>1.011296296296296</v>
      </c>
      <c r="AF4009" s="16">
        <f>SUMPRODUCT(N4009:Y4009,$N$5:$Y$5)*$K4009*$L4009*$M4009</f>
        <v/>
      </c>
      <c r="AG4009" s="16">
        <f>SUMPRODUCT(N4009:Y4009,$N$6:$Y$6)*$K4009*$L4009*$M4009</f>
        <v/>
      </c>
      <c r="AH4009" s="20" t="n"/>
    </row>
    <row r="4010">
      <c r="A4010" s="9" t="n">
        <v>607536</v>
      </c>
      <c r="B4010" s="9" t="inlineStr">
        <is>
          <t>Kyle Freeland</t>
        </is>
      </c>
      <c r="C4010" s="9" t="inlineStr">
        <is>
          <t>COL</t>
        </is>
      </c>
      <c r="D4010" s="9" t="n">
        <v>34</v>
      </c>
      <c r="E4010" s="18" t="inlineStr">
        <is>
          <t>L</t>
        </is>
      </c>
      <c r="F4010" s="18" t="n"/>
      <c r="G4010" s="9" t="n">
        <v>613</v>
      </c>
      <c r="H4010" s="9" t="n">
        <v>3255</v>
      </c>
      <c r="I4010" s="9" t="inlineStr">
        <is>
          <t>Ace (SP1)</t>
        </is>
      </c>
      <c r="J4010" s="18" t="inlineStr">
        <is>
          <t>Opening Day</t>
        </is>
      </c>
      <c r="K4010" s="11">
        <f>IFERROR(INDEX(Roles!$B$17:$B$20,MATCH(J4010,Roles!$A$17:$A$20,0)),1)</f>
        <v/>
      </c>
      <c r="L4010" s="19" t="n">
        <v>1</v>
      </c>
      <c r="M4010" s="11" t="n">
        <v>1</v>
      </c>
      <c r="N4010" s="19" t="n">
        <v>0.5</v>
      </c>
      <c r="O4010" s="19" t="n">
        <v>0.5</v>
      </c>
      <c r="P4010" s="19" t="n"/>
      <c r="Q4010" s="19" t="n"/>
      <c r="R4010" s="19" t="n"/>
      <c r="S4010" s="19" t="n"/>
      <c r="T4010" s="19" t="n"/>
      <c r="U4010" s="19" t="n"/>
      <c r="V4010" s="19" t="n"/>
      <c r="W4010" s="19" t="n"/>
      <c r="X4010" s="19" t="n"/>
      <c r="Y4010" s="19" t="n"/>
      <c r="Z4010" s="13">
        <f>SUMPRODUCT(N4010:Y4010,$N$2:$Y$2)*$K4010*$L4010*$M4010</f>
        <v/>
      </c>
      <c r="AA4010" s="14">
        <f>SUM(N4010:Y4010)</f>
        <v/>
      </c>
      <c r="AB4010" s="13">
        <f>SUMPRODUCT(N4010:Y4010,$N$3:$Y$3)*$K4010*$L4010*$M4010</f>
        <v/>
      </c>
      <c r="AC4010" s="13">
        <f>SUMPRODUCT(N4010:Y4010,$N$4:$Y$4)*$K4010*$L4010*$M4010</f>
        <v/>
      </c>
      <c r="AD4010" s="15" t="n">
        <v>26.3</v>
      </c>
      <c r="AE4010" s="11" t="n">
        <v>5.494824016563147</v>
      </c>
      <c r="AF4010" s="16">
        <f>SUMPRODUCT(N4010:Y4010,$N$5:$Y$5)*$K4010*$L4010*$M4010</f>
        <v/>
      </c>
      <c r="AG4010" s="16">
        <f>SUMPRODUCT(N4010:Y4010,$N$6:$Y$6)*$K4010*$L4010*$M4010</f>
        <v/>
      </c>
      <c r="AH4010" s="20" t="n"/>
    </row>
    <row r="4011">
      <c r="A4011" s="9" t="n">
        <v>608566</v>
      </c>
      <c r="B4011" s="9" t="inlineStr">
        <is>
          <t>Germán Márquez</t>
        </is>
      </c>
      <c r="C4011" s="9" t="inlineStr">
        <is>
          <t>SD</t>
        </is>
      </c>
      <c r="D4011" s="9" t="n">
        <v>32</v>
      </c>
      <c r="E4011" s="18" t="inlineStr">
        <is>
          <t>R</t>
        </is>
      </c>
      <c r="F4011" s="18" t="n"/>
      <c r="G4011" s="9" t="n">
        <v>236</v>
      </c>
      <c r="H4011" s="9" t="n">
        <v>1706</v>
      </c>
      <c r="I4011" s="9" t="inlineStr">
        <is>
          <t>End-of-Rotation Starter (SP4-5)</t>
        </is>
      </c>
      <c r="J4011" s="18" t="inlineStr">
        <is>
          <t>Opening Day</t>
        </is>
      </c>
      <c r="K4011" s="11">
        <f>IFERROR(INDEX(Roles!$B$17:$B$20,MATCH(J4011,Roles!$A$17:$A$20,0)),1)</f>
        <v/>
      </c>
      <c r="L4011" s="19" t="n">
        <v>1</v>
      </c>
      <c r="M4011" s="11" t="n">
        <v>1</v>
      </c>
      <c r="N4011" s="19" t="n"/>
      <c r="O4011" s="19" t="n"/>
      <c r="P4011" s="19" t="n">
        <v>1</v>
      </c>
      <c r="Q4011" s="19" t="n"/>
      <c r="R4011" s="19" t="n"/>
      <c r="S4011" s="19" t="n"/>
      <c r="T4011" s="19" t="n"/>
      <c r="U4011" s="19" t="n"/>
      <c r="V4011" s="19" t="n"/>
      <c r="W4011" s="19" t="n"/>
      <c r="X4011" s="19" t="n"/>
      <c r="Y4011" s="19" t="n"/>
      <c r="Z4011" s="13">
        <f>SUMPRODUCT(N4011:Y4011,$N$2:$Y$2)*$K4011*$L4011*$M4011</f>
        <v/>
      </c>
      <c r="AA4011" s="14">
        <f>SUM(N4011:Y4011)</f>
        <v/>
      </c>
      <c r="AB4011" s="13">
        <f>SUMPRODUCT(N4011:Y4011,$N$3:$Y$3)*$K4011*$L4011*$M4011</f>
        <v/>
      </c>
      <c r="AC4011" s="13">
        <f>SUMPRODUCT(N4011:Y4011,$N$4:$Y$4)*$K4011*$L4011*$M4011</f>
        <v/>
      </c>
      <c r="AD4011" s="15" t="n">
        <v>15.6</v>
      </c>
      <c r="AE4011" s="11" t="n">
        <v>4.543075684380032</v>
      </c>
      <c r="AF4011" s="16">
        <f>SUMPRODUCT(N4011:Y4011,$N$5:$Y$5)*$K4011*$L4011*$M4011</f>
        <v/>
      </c>
      <c r="AG4011" s="16">
        <f>SUMPRODUCT(N4011:Y4011,$N$6:$Y$6)*$K4011*$L4011*$M4011</f>
        <v/>
      </c>
      <c r="AH4011" s="20" t="n"/>
    </row>
    <row r="4012">
      <c r="A4012" s="9" t="n">
        <v>678368</v>
      </c>
      <c r="B4012" s="9" t="inlineStr">
        <is>
          <t>Valente Bellozo</t>
        </is>
      </c>
      <c r="C4012" s="9" t="inlineStr">
        <is>
          <t>COL</t>
        </is>
      </c>
      <c r="D4012" s="9" t="n">
        <v>27</v>
      </c>
      <c r="E4012" s="18" t="inlineStr">
        <is>
          <t>R</t>
        </is>
      </c>
      <c r="F4012" s="18" t="n"/>
      <c r="G4012" s="9" t="n">
        <v>48</v>
      </c>
      <c r="H4012" s="9" t="n">
        <v>691</v>
      </c>
      <c r="I4012" s="9" t="inlineStr">
        <is>
          <t>End-of-Rotation Starter (SP4-5)</t>
        </is>
      </c>
      <c r="J4012" s="18" t="inlineStr">
        <is>
          <t>Opening Day</t>
        </is>
      </c>
      <c r="K4012" s="11">
        <f>IFERROR(INDEX(Roles!$B$17:$B$20,MATCH(J4012,Roles!$A$17:$A$20,0)),1)</f>
        <v/>
      </c>
      <c r="L4012" s="19" t="n">
        <v>1</v>
      </c>
      <c r="M4012" s="11" t="n">
        <v>1</v>
      </c>
      <c r="N4012" s="19" t="n"/>
      <c r="O4012" s="19" t="n"/>
      <c r="P4012" s="19" t="n">
        <v>1</v>
      </c>
      <c r="Q4012" s="19" t="n"/>
      <c r="R4012" s="19" t="n"/>
      <c r="S4012" s="19" t="n"/>
      <c r="T4012" s="19" t="n"/>
      <c r="U4012" s="19" t="n"/>
      <c r="V4012" s="19" t="n"/>
      <c r="W4012" s="19" t="n"/>
      <c r="X4012" s="19" t="n"/>
      <c r="Y4012" s="19" t="n"/>
      <c r="Z4012" s="13">
        <f>SUMPRODUCT(N4012:Y4012,$N$2:$Y$2)*$K4012*$L4012*$M4012</f>
        <v/>
      </c>
      <c r="AA4012" s="14">
        <f>SUM(N4012:Y4012)</f>
        <v/>
      </c>
      <c r="AB4012" s="13">
        <f>SUMPRODUCT(N4012:Y4012,$N$3:$Y$3)*$K4012*$L4012*$M4012</f>
        <v/>
      </c>
      <c r="AC4012" s="13">
        <f>SUMPRODUCT(N4012:Y4012,$N$4:$Y$4)*$K4012*$L4012*$M4012</f>
        <v/>
      </c>
      <c r="AD4012" s="15" t="n">
        <v>15</v>
      </c>
      <c r="AE4012" s="11" t="n">
        <v>4.05770887166236</v>
      </c>
      <c r="AF4012" s="16">
        <f>SUMPRODUCT(N4012:Y4012,$N$5:$Y$5)*$K4012*$L4012*$M4012</f>
        <v/>
      </c>
      <c r="AG4012" s="16">
        <f>SUMPRODUCT(N4012:Y4012,$N$6:$Y$6)*$K4012*$L4012*$M4012</f>
        <v/>
      </c>
      <c r="AH4012" s="20" t="n"/>
    </row>
    <row r="4013">
      <c r="A4013" s="9" t="n">
        <v>643511</v>
      </c>
      <c r="B4013" s="9" t="inlineStr">
        <is>
          <t>Tyler Rogers</t>
        </is>
      </c>
      <c r="C4013" s="9" t="inlineStr">
        <is>
          <t>TOR</t>
        </is>
      </c>
      <c r="D4013" s="9" t="n">
        <v>36</v>
      </c>
      <c r="E4013" s="18" t="inlineStr">
        <is>
          <t>R</t>
        </is>
      </c>
      <c r="F4013" s="18" t="n"/>
      <c r="G4013" s="9" t="n">
        <v>294</v>
      </c>
      <c r="H4013" s="9" t="n">
        <v>1511</v>
      </c>
      <c r="I4013" s="9" t="inlineStr">
        <is>
          <t>Late Inning RP (Setup)</t>
        </is>
      </c>
      <c r="J4013" s="18" t="inlineStr">
        <is>
          <t>Opening Day</t>
        </is>
      </c>
      <c r="K4013" s="11">
        <f>IFERROR(INDEX(Roles!$B$17:$B$20,MATCH(J4013,Roles!$A$17:$A$20,0)),1)</f>
        <v/>
      </c>
      <c r="L4013" s="19" t="n">
        <v>1</v>
      </c>
      <c r="M4013" s="11" t="n">
        <v>1</v>
      </c>
      <c r="N4013" s="19" t="n"/>
      <c r="O4013" s="19" t="n"/>
      <c r="P4013" s="19" t="n"/>
      <c r="Q4013" s="19" t="n"/>
      <c r="R4013" s="19" t="n"/>
      <c r="S4013" s="19" t="n"/>
      <c r="T4013" s="19" t="n"/>
      <c r="U4013" s="19" t="n">
        <v>0.85</v>
      </c>
      <c r="V4013" s="19" t="n">
        <v>0.15</v>
      </c>
      <c r="W4013" s="19" t="n"/>
      <c r="X4013" s="19" t="n"/>
      <c r="Y4013" s="19" t="n"/>
      <c r="Z4013" s="13">
        <f>SUMPRODUCT(N4013:Y4013,$N$2:$Y$2)*$K4013*$L4013*$M4013</f>
        <v/>
      </c>
      <c r="AA4013" s="14">
        <f>SUM(N4013:Y4013)</f>
        <v/>
      </c>
      <c r="AB4013" s="13">
        <f>SUMPRODUCT(N4013:Y4013,$N$3:$Y$3)*$K4013*$L4013*$M4013</f>
        <v/>
      </c>
      <c r="AC4013" s="13">
        <f>SUMPRODUCT(N4013:Y4013,$N$4:$Y$4)*$K4013*$L4013*$M4013</f>
        <v/>
      </c>
      <c r="AD4013" s="15" t="n">
        <v>65.3</v>
      </c>
      <c r="AE4013" s="11" t="n">
        <v>0.9764250421788382</v>
      </c>
      <c r="AF4013" s="16">
        <f>SUMPRODUCT(N4013:Y4013,$N$5:$Y$5)*$K4013*$L4013*$M4013</f>
        <v/>
      </c>
      <c r="AG4013" s="16">
        <f>SUMPRODUCT(N4013:Y4013,$N$6:$Y$6)*$K4013*$L4013*$M4013</f>
        <v/>
      </c>
      <c r="AH4013" s="20" t="n"/>
    </row>
    <row r="4014">
      <c r="A4014" s="9" t="n">
        <v>811307</v>
      </c>
      <c r="B4014" s="9" t="inlineStr">
        <is>
          <t>Jack Wenninger</t>
        </is>
      </c>
      <c r="C4014" s="9" t="inlineStr">
        <is>
          <t>NYM</t>
        </is>
      </c>
      <c r="D4014" s="9" t="n">
        <v>25</v>
      </c>
      <c r="E4014" s="18" t="inlineStr">
        <is>
          <t>R</t>
        </is>
      </c>
      <c r="F4014" s="18" t="n"/>
      <c r="G4014" s="9" t="n">
        <v>271.975</v>
      </c>
      <c r="H4014" s="9" t="n">
        <v>271.975</v>
      </c>
      <c r="I4014" s="9" t="inlineStr">
        <is>
          <t>Innings-Limited Starter</t>
        </is>
      </c>
      <c r="J4014" s="18" t="inlineStr">
        <is>
          <t>Mid Season (~July)</t>
        </is>
      </c>
      <c r="K4014" s="11">
        <f>IFERROR(INDEX(Roles!$B$17:$B$20,MATCH(J4014,Roles!$A$17:$A$20,0)),1)</f>
        <v/>
      </c>
      <c r="L4014" s="19" t="n">
        <v>1</v>
      </c>
      <c r="M4014" s="11" t="n">
        <v>1</v>
      </c>
      <c r="N4014" s="19" t="n"/>
      <c r="O4014" s="19" t="n"/>
      <c r="P4014" s="19" t="n"/>
      <c r="Q4014" s="19" t="n">
        <v>0.47</v>
      </c>
      <c r="R4014" s="19" t="n">
        <v>0.3</v>
      </c>
      <c r="S4014" s="19" t="n"/>
      <c r="T4014" s="19" t="n"/>
      <c r="U4014" s="19" t="n"/>
      <c r="V4014" s="19" t="n"/>
      <c r="W4014" s="19" t="n">
        <v>0.23</v>
      </c>
      <c r="X4014" s="19" t="n"/>
      <c r="Y4014" s="19" t="n"/>
      <c r="Z4014" s="13">
        <f>SUMPRODUCT(N4014:Y4014,$N$2:$Y$2)*$K4014*$L4014*$M4014</f>
        <v/>
      </c>
      <c r="AA4014" s="14">
        <f>SUM(N4014:Y4014)</f>
        <v/>
      </c>
      <c r="AB4014" s="13">
        <f>SUMPRODUCT(N4014:Y4014,$N$3:$Y$3)*$K4014*$L4014*$M4014</f>
        <v/>
      </c>
      <c r="AC4014" s="13">
        <f>SUMPRODUCT(N4014:Y4014,$N$4:$Y$4)*$K4014*$L4014*$M4014</f>
        <v/>
      </c>
      <c r="AD4014" s="15" t="n">
        <v>27.39</v>
      </c>
      <c r="AE4014" s="11" t="n">
        <v>3.263964950711938</v>
      </c>
      <c r="AF4014" s="16">
        <f>SUMPRODUCT(N4014:Y4014,$N$5:$Y$5)*$K4014*$L4014*$M4014</f>
        <v/>
      </c>
      <c r="AG4014" s="16">
        <f>SUMPRODUCT(N4014:Y4014,$N$6:$Y$6)*$K4014*$L4014*$M4014</f>
        <v/>
      </c>
      <c r="AH4014" s="20" t="n"/>
    </row>
    <row r="4015">
      <c r="A4015" s="9" t="n">
        <v>694363</v>
      </c>
      <c r="B4015" s="9" t="inlineStr">
        <is>
          <t>Jared Shuster</t>
        </is>
      </c>
      <c r="C4015" s="9" t="inlineStr">
        <is>
          <t>STL</t>
        </is>
      </c>
      <c r="D4015" s="9" t="n">
        <v>28</v>
      </c>
      <c r="E4015" s="18" t="inlineStr">
        <is>
          <t>L</t>
        </is>
      </c>
      <c r="F4015" s="18" t="n"/>
      <c r="G4015" s="9" t="n">
        <v>44</v>
      </c>
      <c r="H4015" s="9" t="n">
        <v>677</v>
      </c>
      <c r="I4015" s="9" t="inlineStr">
        <is>
          <t>Bullpen Depth Arm</t>
        </is>
      </c>
      <c r="J4015" s="18" t="inlineStr">
        <is>
          <t>Opening Day</t>
        </is>
      </c>
      <c r="K4015" s="11">
        <f>IFERROR(INDEX(Roles!$B$17:$B$20,MATCH(J4015,Roles!$A$17:$A$20,0)),1)</f>
        <v/>
      </c>
      <c r="L4015" s="19" t="n">
        <v>1</v>
      </c>
      <c r="M4015" s="11" t="n">
        <v>1</v>
      </c>
      <c r="N4015" s="19" t="n"/>
      <c r="O4015" s="19" t="n"/>
      <c r="P4015" s="19" t="n"/>
      <c r="Q4015" s="19" t="n"/>
      <c r="R4015" s="19" t="n"/>
      <c r="S4015" s="19" t="n"/>
      <c r="T4015" s="19" t="n"/>
      <c r="U4015" s="19" t="n"/>
      <c r="V4015" s="19" t="n"/>
      <c r="W4015" s="19" t="n">
        <v>1</v>
      </c>
      <c r="X4015" s="19" t="n"/>
      <c r="Y4015" s="19" t="n"/>
      <c r="Z4015" s="13">
        <f>SUMPRODUCT(N4015:Y4015,$N$2:$Y$2)*$K4015*$L4015*$M4015</f>
        <v/>
      </c>
      <c r="AA4015" s="14">
        <f>SUM(N4015:Y4015)</f>
        <v/>
      </c>
      <c r="AB4015" s="13">
        <f>SUMPRODUCT(N4015:Y4015,$N$3:$Y$3)*$K4015*$L4015*$M4015</f>
        <v/>
      </c>
      <c r="AC4015" s="13">
        <f>SUMPRODUCT(N4015:Y4015,$N$4:$Y$4)*$K4015*$L4015*$M4015</f>
        <v/>
      </c>
      <c r="AD4015" s="15" t="n">
        <v>13.46666666666666</v>
      </c>
      <c r="AE4015" s="11" t="n">
        <v>1.364185197518531</v>
      </c>
      <c r="AF4015" s="16">
        <f>SUMPRODUCT(N4015:Y4015,$N$5:$Y$5)*$K4015*$L4015*$M4015</f>
        <v/>
      </c>
      <c r="AG4015" s="16">
        <f>SUMPRODUCT(N4015:Y4015,$N$6:$Y$6)*$K4015*$L4015*$M4015</f>
        <v/>
      </c>
      <c r="AH4015" s="20" t="n"/>
    </row>
    <row r="4016">
      <c r="A4016" s="9" t="n">
        <v>615698</v>
      </c>
      <c r="B4016" s="9" t="inlineStr">
        <is>
          <t>Cal Quantrill</t>
        </is>
      </c>
      <c r="C4016" s="9" t="inlineStr">
        <is>
          <t>TEX</t>
        </is>
      </c>
      <c r="D4016" s="9" t="n">
        <v>32</v>
      </c>
      <c r="E4016" s="18" t="inlineStr">
        <is>
          <t>R</t>
        </is>
      </c>
      <c r="F4016" s="18" t="n"/>
      <c r="G4016" s="9" t="n">
        <v>443</v>
      </c>
      <c r="H4016" s="9" t="n">
        <v>2826</v>
      </c>
      <c r="I4016" s="9" t="inlineStr">
        <is>
          <t>Swing Arm / Long Relief</t>
        </is>
      </c>
      <c r="J4016" s="18" t="inlineStr">
        <is>
          <t>Opening Day</t>
        </is>
      </c>
      <c r="K4016" s="11">
        <f>IFERROR(INDEX(Roles!$B$17:$B$20,MATCH(J4016,Roles!$A$17:$A$20,0)),1)</f>
        <v/>
      </c>
      <c r="L4016" s="19" t="n">
        <v>1</v>
      </c>
      <c r="M4016" s="11" t="n">
        <v>1</v>
      </c>
      <c r="N4016" s="19" t="n"/>
      <c r="O4016" s="19" t="n"/>
      <c r="P4016" s="19" t="n"/>
      <c r="Q4016" s="19" t="n"/>
      <c r="R4016" s="19" t="n">
        <v>0.5</v>
      </c>
      <c r="S4016" s="19" t="n"/>
      <c r="T4016" s="19" t="n"/>
      <c r="U4016" s="19" t="n"/>
      <c r="V4016" s="19" t="n">
        <v>0.5</v>
      </c>
      <c r="W4016" s="19" t="n"/>
      <c r="X4016" s="19" t="n"/>
      <c r="Y4016" s="19" t="n"/>
      <c r="Z4016" s="13">
        <f>SUMPRODUCT(N4016:Y4016,$N$2:$Y$2)*$K4016*$L4016*$M4016</f>
        <v/>
      </c>
      <c r="AA4016" s="14">
        <f>SUM(N4016:Y4016)</f>
        <v/>
      </c>
      <c r="AB4016" s="13">
        <f>SUMPRODUCT(N4016:Y4016,$N$3:$Y$3)*$K4016*$L4016*$M4016</f>
        <v/>
      </c>
      <c r="AC4016" s="13">
        <f>SUMPRODUCT(N4016:Y4016,$N$4:$Y$4)*$K4016*$L4016*$M4016</f>
        <v/>
      </c>
      <c r="AD4016" s="15" t="n">
        <v>25.83333333333333</v>
      </c>
      <c r="AE4016" s="11" t="n">
        <v>3.012493182262563</v>
      </c>
      <c r="AF4016" s="16">
        <f>SUMPRODUCT(N4016:Y4016,$N$5:$Y$5)*$K4016*$L4016*$M4016</f>
        <v/>
      </c>
      <c r="AG4016" s="16">
        <f>SUMPRODUCT(N4016:Y4016,$N$6:$Y$6)*$K4016*$L4016*$M4016</f>
        <v/>
      </c>
      <c r="AH4016" s="20" t="n"/>
    </row>
    <row r="4017">
      <c r="A4017" s="9" t="n">
        <v>519008</v>
      </c>
      <c r="B4017" s="9" t="inlineStr">
        <is>
          <t>T.J. McFarland</t>
        </is>
      </c>
      <c r="C4017" s="9" t="inlineStr">
        <is>
          <t>OAK</t>
        </is>
      </c>
      <c r="D4017" s="9" t="n">
        <v>38</v>
      </c>
      <c r="E4017" s="18" t="inlineStr">
        <is>
          <t>L</t>
        </is>
      </c>
      <c r="F4017" s="18" t="n"/>
      <c r="G4017" s="9" t="n">
        <v>74</v>
      </c>
      <c r="H4017" s="9" t="n">
        <v>465</v>
      </c>
      <c r="I4017" s="9" t="inlineStr">
        <is>
          <t>Bullpen Depth Arm</t>
        </is>
      </c>
      <c r="J4017" s="18" t="inlineStr">
        <is>
          <t>Opening Day</t>
        </is>
      </c>
      <c r="K4017" s="11">
        <f>IFERROR(INDEX(Roles!$B$17:$B$20,MATCH(J4017,Roles!$A$17:$A$20,0)),1)</f>
        <v/>
      </c>
      <c r="L4017" s="19" t="n">
        <v>1</v>
      </c>
      <c r="M4017" s="11" t="n">
        <v>1</v>
      </c>
      <c r="N4017" s="19" t="n"/>
      <c r="O4017" s="19" t="n"/>
      <c r="P4017" s="19" t="n"/>
      <c r="Q4017" s="19" t="n"/>
      <c r="R4017" s="19" t="n"/>
      <c r="S4017" s="19" t="n"/>
      <c r="T4017" s="19" t="n"/>
      <c r="U4017" s="19" t="n"/>
      <c r="V4017" s="19" t="n"/>
      <c r="W4017" s="19" t="n">
        <v>1</v>
      </c>
      <c r="X4017" s="19" t="n"/>
      <c r="Y4017" s="19" t="n"/>
      <c r="Z4017" s="13">
        <f>SUMPRODUCT(N4017:Y4017,$N$2:$Y$2)*$K4017*$L4017*$M4017</f>
        <v/>
      </c>
      <c r="AA4017" s="14">
        <f>SUM(N4017:Y4017)</f>
        <v/>
      </c>
      <c r="AB4017" s="13">
        <f>SUMPRODUCT(N4017:Y4017,$N$3:$Y$3)*$K4017*$L4017*$M4017</f>
        <v/>
      </c>
      <c r="AC4017" s="13">
        <f>SUMPRODUCT(N4017:Y4017,$N$4:$Y$4)*$K4017*$L4017*$M4017</f>
        <v/>
      </c>
      <c r="AD4017" s="15" t="n">
        <v>32.26666666666667</v>
      </c>
      <c r="AE4017" s="11" t="n">
        <v>1.022058513286583</v>
      </c>
      <c r="AF4017" s="16">
        <f>SUMPRODUCT(N4017:Y4017,$N$5:$Y$5)*$K4017*$L4017*$M4017</f>
        <v/>
      </c>
      <c r="AG4017" s="16">
        <f>SUMPRODUCT(N4017:Y4017,$N$6:$Y$6)*$K4017*$L4017*$M4017</f>
        <v/>
      </c>
      <c r="AH4017" s="20" t="n"/>
    </row>
    <row r="4018">
      <c r="A4018" s="9" t="n">
        <v>687547</v>
      </c>
      <c r="B4018" s="9" t="inlineStr">
        <is>
          <t>Ryan Ramsey</t>
        </is>
      </c>
      <c r="C4018" s="9" t="inlineStr">
        <is>
          <t>KC</t>
        </is>
      </c>
      <c r="D4018" s="9" t="n">
        <v>25</v>
      </c>
      <c r="E4018" s="18" t="inlineStr">
        <is>
          <t>L</t>
        </is>
      </c>
      <c r="F4018" s="18" t="n"/>
      <c r="G4018" s="9" t="n">
        <v>273.5516666666667</v>
      </c>
      <c r="H4018" s="9" t="n">
        <v>273.5516666666667</v>
      </c>
      <c r="I4018" s="9" t="inlineStr">
        <is>
          <t>Depth (no MLB IP)</t>
        </is>
      </c>
      <c r="J4018" s="18" t="inlineStr">
        <is>
          <t>Opening Day</t>
        </is>
      </c>
      <c r="K4018" s="11">
        <f>IFERROR(INDEX(Roles!$B$17:$B$20,MATCH(J4018,Roles!$A$17:$A$20,0)),1)</f>
        <v/>
      </c>
      <c r="L4018" s="19" t="n">
        <v>1</v>
      </c>
      <c r="M4018" s="11" t="n">
        <v>1</v>
      </c>
      <c r="N4018" s="19" t="n"/>
      <c r="O4018" s="19" t="n"/>
      <c r="P4018" s="19" t="n"/>
      <c r="Q4018" s="19" t="n"/>
      <c r="R4018" s="19" t="n"/>
      <c r="S4018" s="19" t="n"/>
      <c r="T4018" s="19" t="n"/>
      <c r="U4018" s="19" t="n"/>
      <c r="V4018" s="19" t="n"/>
      <c r="W4018" s="19" t="n"/>
      <c r="X4018" s="19" t="n"/>
      <c r="Y4018" s="19" t="n">
        <v>1</v>
      </c>
      <c r="Z4018" s="13">
        <f>SUMPRODUCT(N4018:Y4018,$N$2:$Y$2)*$K4018*$L4018*$M4018</f>
        <v/>
      </c>
      <c r="AA4018" s="14">
        <f>SUM(N4018:Y4018)</f>
        <v/>
      </c>
      <c r="AB4018" s="13">
        <f>SUMPRODUCT(N4018:Y4018,$N$3:$Y$3)*$K4018*$L4018*$M4018</f>
        <v/>
      </c>
      <c r="AC4018" s="13">
        <f>SUMPRODUCT(N4018:Y4018,$N$4:$Y$4)*$K4018*$L4018*$M4018</f>
        <v/>
      </c>
      <c r="AD4018" s="15" t="n">
        <v>3</v>
      </c>
      <c r="AE4018" s="11" t="n">
        <v>1.011296296296296</v>
      </c>
      <c r="AF4018" s="16">
        <f>SUMPRODUCT(N4018:Y4018,$N$5:$Y$5)*$K4018*$L4018*$M4018</f>
        <v/>
      </c>
      <c r="AG4018" s="16">
        <f>SUMPRODUCT(N4018:Y4018,$N$6:$Y$6)*$K4018*$L4018*$M4018</f>
        <v/>
      </c>
      <c r="AH4018" s="20" t="n"/>
    </row>
    <row r="4019">
      <c r="A4019" s="9" t="n">
        <v>500743</v>
      </c>
      <c r="B4019" s="9" t="inlineStr">
        <is>
          <t>Miguel Rojas</t>
        </is>
      </c>
      <c r="C4019" s="9" t="inlineStr">
        <is>
          <t>LAD</t>
        </is>
      </c>
      <c r="D4019" s="9" t="n">
        <v>38</v>
      </c>
      <c r="E4019" s="18" t="inlineStr">
        <is>
          <t>R</t>
        </is>
      </c>
      <c r="F4019" s="18" t="n"/>
      <c r="G4019" s="9" t="n">
        <v>23</v>
      </c>
      <c r="H4019" s="9" t="n">
        <v>69</v>
      </c>
      <c r="I4019" s="9" t="inlineStr">
        <is>
          <t>Bullpen Depth Arm</t>
        </is>
      </c>
      <c r="J4019" s="18" t="inlineStr">
        <is>
          <t>Opening Day</t>
        </is>
      </c>
      <c r="K4019" s="11">
        <f>IFERROR(INDEX(Roles!$B$17:$B$20,MATCH(J4019,Roles!$A$17:$A$20,0)),1)</f>
        <v/>
      </c>
      <c r="L4019" s="19" t="n">
        <v>1</v>
      </c>
      <c r="M4019" s="11" t="n">
        <v>1</v>
      </c>
      <c r="N4019" s="19" t="n"/>
      <c r="O4019" s="19" t="n"/>
      <c r="P4019" s="19" t="n"/>
      <c r="Q4019" s="19" t="n"/>
      <c r="R4019" s="19" t="n"/>
      <c r="S4019" s="19" t="n"/>
      <c r="T4019" s="19" t="n"/>
      <c r="U4019" s="19" t="n"/>
      <c r="V4019" s="19" t="n"/>
      <c r="W4019" s="19" t="n">
        <v>1</v>
      </c>
      <c r="X4019" s="19" t="n"/>
      <c r="Y4019" s="19" t="n"/>
      <c r="Z4019" s="13">
        <f>SUMPRODUCT(N4019:Y4019,$N$2:$Y$2)*$K4019*$L4019*$M4019</f>
        <v/>
      </c>
      <c r="AA4019" s="14">
        <f>SUM(N4019:Y4019)</f>
        <v/>
      </c>
      <c r="AB4019" s="13">
        <f>SUMPRODUCT(N4019:Y4019,$N$3:$Y$3)*$K4019*$L4019*$M4019</f>
        <v/>
      </c>
      <c r="AC4019" s="13">
        <f>SUMPRODUCT(N4019:Y4019,$N$4:$Y$4)*$K4019*$L4019*$M4019</f>
        <v/>
      </c>
      <c r="AD4019" s="15" t="n">
        <v>7.766666666666666</v>
      </c>
      <c r="AE4019" s="11" t="n">
        <v>1.166586499919833</v>
      </c>
      <c r="AF4019" s="16">
        <f>SUMPRODUCT(N4019:Y4019,$N$5:$Y$5)*$K4019*$L4019*$M4019</f>
        <v/>
      </c>
      <c r="AG4019" s="16">
        <f>SUMPRODUCT(N4019:Y4019,$N$6:$Y$6)*$K4019*$L4019*$M4019</f>
        <v/>
      </c>
      <c r="AH4019" s="20" t="n"/>
    </row>
    <row r="4020">
      <c r="A4020" s="9" t="n">
        <v>700241</v>
      </c>
      <c r="B4020" s="9" t="inlineStr">
        <is>
          <t>Michael McGreevy</t>
        </is>
      </c>
      <c r="C4020" s="9" t="inlineStr">
        <is>
          <t>STL</t>
        </is>
      </c>
      <c r="D4020" s="9" t="n">
        <v>26</v>
      </c>
      <c r="E4020" s="18" t="inlineStr">
        <is>
          <t>R</t>
        </is>
      </c>
      <c r="F4020" s="18" t="n"/>
      <c r="G4020" s="9" t="n">
        <v>702</v>
      </c>
      <c r="H4020" s="9" t="n">
        <v>1188</v>
      </c>
      <c r="I4020" s="9" t="inlineStr">
        <is>
          <t>Ace (SP1)</t>
        </is>
      </c>
      <c r="J4020" s="18" t="inlineStr">
        <is>
          <t>Opening Day</t>
        </is>
      </c>
      <c r="K4020" s="11">
        <f>IFERROR(INDEX(Roles!$B$17:$B$20,MATCH(J4020,Roles!$A$17:$A$20,0)),1)</f>
        <v/>
      </c>
      <c r="L4020" s="19" t="n">
        <v>1</v>
      </c>
      <c r="M4020" s="11" t="n">
        <v>1</v>
      </c>
      <c r="N4020" s="19" t="n">
        <v>0.5</v>
      </c>
      <c r="O4020" s="19" t="n">
        <v>0.5</v>
      </c>
      <c r="P4020" s="19" t="n"/>
      <c r="Q4020" s="19" t="n"/>
      <c r="R4020" s="19" t="n"/>
      <c r="S4020" s="19" t="n"/>
      <c r="T4020" s="19" t="n"/>
      <c r="U4020" s="19" t="n"/>
      <c r="V4020" s="19" t="n"/>
      <c r="W4020" s="19" t="n"/>
      <c r="X4020" s="19" t="n"/>
      <c r="Y4020" s="19" t="n"/>
      <c r="Z4020" s="13">
        <f>SUMPRODUCT(N4020:Y4020,$N$2:$Y$2)*$K4020*$L4020*$M4020</f>
        <v/>
      </c>
      <c r="AA4020" s="14">
        <f>SUM(N4020:Y4020)</f>
        <v/>
      </c>
      <c r="AB4020" s="13">
        <f>SUMPRODUCT(N4020:Y4020,$N$3:$Y$3)*$K4020*$L4020*$M4020</f>
        <v/>
      </c>
      <c r="AC4020" s="13">
        <f>SUMPRODUCT(N4020:Y4020,$N$4:$Y$4)*$K4020*$L4020*$M4020</f>
        <v/>
      </c>
      <c r="AD4020" s="15" t="n">
        <v>23.3</v>
      </c>
      <c r="AE4020" s="11" t="n">
        <v>5.578940991154731</v>
      </c>
      <c r="AF4020" s="16">
        <f>SUMPRODUCT(N4020:Y4020,$N$5:$Y$5)*$K4020*$L4020*$M4020</f>
        <v/>
      </c>
      <c r="AG4020" s="16">
        <f>SUMPRODUCT(N4020:Y4020,$N$6:$Y$6)*$K4020*$L4020*$M4020</f>
        <v/>
      </c>
      <c r="AH4020" s="20" t="n"/>
    </row>
    <row r="4021">
      <c r="A4021" s="9" t="n">
        <v>543294</v>
      </c>
      <c r="B4021" s="9" t="inlineStr">
        <is>
          <t>Kyle Hendricks</t>
        </is>
      </c>
      <c r="C4021" s="9" t="inlineStr">
        <is>
          <t>LAA</t>
        </is>
      </c>
      <c r="D4021" s="9" t="n">
        <v>37</v>
      </c>
      <c r="E4021" s="18" t="inlineStr">
        <is>
          <t>R</t>
        </is>
      </c>
      <c r="F4021" s="18" t="n"/>
      <c r="G4021" s="9" t="n">
        <v>695</v>
      </c>
      <c r="H4021" s="9" t="n">
        <v>2196</v>
      </c>
      <c r="I4021" s="9" t="inlineStr">
        <is>
          <t>End-of-Rotation Starter (SP4-5)</t>
        </is>
      </c>
      <c r="J4021" s="18" t="inlineStr">
        <is>
          <t>Opening Day</t>
        </is>
      </c>
      <c r="K4021" s="11">
        <f>IFERROR(INDEX(Roles!$B$17:$B$20,MATCH(J4021,Roles!$A$17:$A$20,0)),1)</f>
        <v/>
      </c>
      <c r="L4021" s="19" t="n">
        <v>1</v>
      </c>
      <c r="M4021" s="11" t="n">
        <v>1</v>
      </c>
      <c r="N4021" s="19" t="n"/>
      <c r="O4021" s="19" t="n"/>
      <c r="P4021" s="19" t="n">
        <v>1</v>
      </c>
      <c r="Q4021" s="19" t="n"/>
      <c r="R4021" s="19" t="n"/>
      <c r="S4021" s="19" t="n"/>
      <c r="T4021" s="19" t="n"/>
      <c r="U4021" s="19" t="n"/>
      <c r="V4021" s="19" t="n"/>
      <c r="W4021" s="19" t="n"/>
      <c r="X4021" s="19" t="n"/>
      <c r="Y4021" s="19" t="n"/>
      <c r="Z4021" s="13">
        <f>SUMPRODUCT(N4021:Y4021,$N$2:$Y$2)*$K4021*$L4021*$M4021</f>
        <v/>
      </c>
      <c r="AA4021" s="14">
        <f>SUM(N4021:Y4021)</f>
        <v/>
      </c>
      <c r="AB4021" s="13">
        <f>SUMPRODUCT(N4021:Y4021,$N$3:$Y$3)*$K4021*$L4021*$M4021</f>
        <v/>
      </c>
      <c r="AC4021" s="13">
        <f>SUMPRODUCT(N4021:Y4021,$N$4:$Y$4)*$K4021*$L4021*$M4021</f>
        <v/>
      </c>
      <c r="AD4021" s="15" t="n">
        <v>24.6</v>
      </c>
      <c r="AE4021" s="11" t="n">
        <v>4.722018722018722</v>
      </c>
      <c r="AF4021" s="16">
        <f>SUMPRODUCT(N4021:Y4021,$N$5:$Y$5)*$K4021*$L4021*$M4021</f>
        <v/>
      </c>
      <c r="AG4021" s="16">
        <f>SUMPRODUCT(N4021:Y4021,$N$6:$Y$6)*$K4021*$L4021*$M4021</f>
        <v/>
      </c>
      <c r="AH4021" s="20" t="n"/>
    </row>
    <row r="4022">
      <c r="A4022" s="9" t="n">
        <v>815148</v>
      </c>
      <c r="B4022" s="9" t="inlineStr">
        <is>
          <t>Nestor German</t>
        </is>
      </c>
      <c r="C4022" s="9" t="inlineStr">
        <is>
          <t>BAL</t>
        </is>
      </c>
      <c r="D4022" s="9" t="n">
        <v>25</v>
      </c>
      <c r="E4022" s="18" t="inlineStr">
        <is>
          <t>R</t>
        </is>
      </c>
      <c r="F4022" s="18" t="n"/>
      <c r="G4022" s="9" t="n">
        <v>276.705</v>
      </c>
      <c r="H4022" s="9" t="n">
        <v>276.705</v>
      </c>
      <c r="I4022" s="9" t="inlineStr">
        <is>
          <t>Depth (no MLB IP)</t>
        </is>
      </c>
      <c r="J4022" s="18" t="inlineStr">
        <is>
          <t>Opening Day</t>
        </is>
      </c>
      <c r="K4022" s="11">
        <f>IFERROR(INDEX(Roles!$B$17:$B$20,MATCH(J4022,Roles!$A$17:$A$20,0)),1)</f>
        <v/>
      </c>
      <c r="L4022" s="19" t="n">
        <v>1</v>
      </c>
      <c r="M4022" s="11" t="n">
        <v>1</v>
      </c>
      <c r="N4022" s="19" t="n"/>
      <c r="O4022" s="19" t="n"/>
      <c r="P4022" s="19" t="n"/>
      <c r="Q4022" s="19" t="n"/>
      <c r="R4022" s="19" t="n"/>
      <c r="S4022" s="19" t="n"/>
      <c r="T4022" s="19" t="n"/>
      <c r="U4022" s="19" t="n"/>
      <c r="V4022" s="19" t="n"/>
      <c r="W4022" s="19" t="n"/>
      <c r="X4022" s="19" t="n"/>
      <c r="Y4022" s="19" t="n">
        <v>1</v>
      </c>
      <c r="Z4022" s="13">
        <f>SUMPRODUCT(N4022:Y4022,$N$2:$Y$2)*$K4022*$L4022*$M4022</f>
        <v/>
      </c>
      <c r="AA4022" s="14">
        <f>SUM(N4022:Y4022)</f>
        <v/>
      </c>
      <c r="AB4022" s="13">
        <f>SUMPRODUCT(N4022:Y4022,$N$3:$Y$3)*$K4022*$L4022*$M4022</f>
        <v/>
      </c>
      <c r="AC4022" s="13">
        <f>SUMPRODUCT(N4022:Y4022,$N$4:$Y$4)*$K4022*$L4022*$M4022</f>
        <v/>
      </c>
      <c r="AD4022" s="15" t="n">
        <v>3</v>
      </c>
      <c r="AE4022" s="11" t="n">
        <v>1.011296296296296</v>
      </c>
      <c r="AF4022" s="16">
        <f>SUMPRODUCT(N4022:Y4022,$N$5:$Y$5)*$K4022*$L4022*$M4022</f>
        <v/>
      </c>
      <c r="AG4022" s="16">
        <f>SUMPRODUCT(N4022:Y4022,$N$6:$Y$6)*$K4022*$L4022*$M4022</f>
        <v/>
      </c>
      <c r="AH4022" s="20" t="n"/>
    </row>
    <row r="4023">
      <c r="A4023" s="9" t="n">
        <v>623167</v>
      </c>
      <c r="B4023" s="9" t="inlineStr">
        <is>
          <t>Chris Flexen</t>
        </is>
      </c>
      <c r="C4023" s="9" t="inlineStr">
        <is>
          <t>CHC</t>
        </is>
      </c>
      <c r="D4023" s="9" t="n">
        <v>32</v>
      </c>
      <c r="E4023" s="18" t="inlineStr">
        <is>
          <t>R</t>
        </is>
      </c>
      <c r="F4023" s="18" t="n"/>
      <c r="G4023" s="9" t="n">
        <v>178</v>
      </c>
      <c r="H4023" s="9" t="n">
        <v>1941</v>
      </c>
      <c r="I4023" s="9" t="inlineStr">
        <is>
          <t>End-of-Rotation Starter (SP4-5)</t>
        </is>
      </c>
      <c r="J4023" s="18" t="inlineStr">
        <is>
          <t>Opening Day</t>
        </is>
      </c>
      <c r="K4023" s="11">
        <f>IFERROR(INDEX(Roles!$B$17:$B$20,MATCH(J4023,Roles!$A$17:$A$20,0)),1)</f>
        <v/>
      </c>
      <c r="L4023" s="19" t="n">
        <v>1</v>
      </c>
      <c r="M4023" s="11" t="n">
        <v>1</v>
      </c>
      <c r="N4023" s="19" t="n"/>
      <c r="O4023" s="19" t="n"/>
      <c r="P4023" s="19" t="n">
        <v>1</v>
      </c>
      <c r="Q4023" s="19" t="n"/>
      <c r="R4023" s="19" t="n"/>
      <c r="S4023" s="19" t="n"/>
      <c r="T4023" s="19" t="n"/>
      <c r="U4023" s="19" t="n"/>
      <c r="V4023" s="19" t="n"/>
      <c r="W4023" s="19" t="n"/>
      <c r="X4023" s="19" t="n"/>
      <c r="Y4023" s="19" t="n"/>
      <c r="Z4023" s="13">
        <f>SUMPRODUCT(N4023:Y4023,$N$2:$Y$2)*$K4023*$L4023*$M4023</f>
        <v/>
      </c>
      <c r="AA4023" s="14">
        <f>SUM(N4023:Y4023)</f>
        <v/>
      </c>
      <c r="AB4023" s="13">
        <f>SUMPRODUCT(N4023:Y4023,$N$3:$Y$3)*$K4023*$L4023*$M4023</f>
        <v/>
      </c>
      <c r="AC4023" s="13">
        <f>SUMPRODUCT(N4023:Y4023,$N$4:$Y$4)*$K4023*$L4023*$M4023</f>
        <v/>
      </c>
      <c r="AD4023" s="15" t="n">
        <v>21.4</v>
      </c>
      <c r="AE4023" s="11" t="n">
        <v>4.136296296296297</v>
      </c>
      <c r="AF4023" s="16">
        <f>SUMPRODUCT(N4023:Y4023,$N$5:$Y$5)*$K4023*$L4023*$M4023</f>
        <v/>
      </c>
      <c r="AG4023" s="16">
        <f>SUMPRODUCT(N4023:Y4023,$N$6:$Y$6)*$K4023*$L4023*$M4023</f>
        <v/>
      </c>
      <c r="AH4023" s="20" t="n"/>
    </row>
    <row r="4024">
      <c r="A4024" s="9" t="n">
        <v>666155</v>
      </c>
      <c r="B4024" s="9" t="inlineStr">
        <is>
          <t>Chuck King</t>
        </is>
      </c>
      <c r="C4024" s="9" t="inlineStr">
        <is>
          <t>PHI</t>
        </is>
      </c>
      <c r="D4024" s="9" t="n">
        <v>25</v>
      </c>
      <c r="E4024" s="18" t="inlineStr">
        <is>
          <t>R</t>
        </is>
      </c>
      <c r="F4024" s="18" t="n"/>
      <c r="G4024" s="9" t="n">
        <v>283.0116666666667</v>
      </c>
      <c r="H4024" s="9" t="n">
        <v>283.0116666666667</v>
      </c>
      <c r="I4024" s="9" t="inlineStr">
        <is>
          <t>Depth (no MLB IP)</t>
        </is>
      </c>
      <c r="J4024" s="18" t="inlineStr">
        <is>
          <t>Opening Day</t>
        </is>
      </c>
      <c r="K4024" s="11">
        <f>IFERROR(INDEX(Roles!$B$17:$B$20,MATCH(J4024,Roles!$A$17:$A$20,0)),1)</f>
        <v/>
      </c>
      <c r="L4024" s="19" t="n">
        <v>1</v>
      </c>
      <c r="M4024" s="11" t="n">
        <v>1</v>
      </c>
      <c r="N4024" s="19" t="n"/>
      <c r="O4024" s="19" t="n"/>
      <c r="P4024" s="19" t="n"/>
      <c r="Q4024" s="19" t="n"/>
      <c r="R4024" s="19" t="n"/>
      <c r="S4024" s="19" t="n"/>
      <c r="T4024" s="19" t="n"/>
      <c r="U4024" s="19" t="n"/>
      <c r="V4024" s="19" t="n"/>
      <c r="W4024" s="19" t="n"/>
      <c r="X4024" s="19" t="n"/>
      <c r="Y4024" s="19" t="n">
        <v>1</v>
      </c>
      <c r="Z4024" s="13">
        <f>SUMPRODUCT(N4024:Y4024,$N$2:$Y$2)*$K4024*$L4024*$M4024</f>
        <v/>
      </c>
      <c r="AA4024" s="14">
        <f>SUM(N4024:Y4024)</f>
        <v/>
      </c>
      <c r="AB4024" s="13">
        <f>SUMPRODUCT(N4024:Y4024,$N$3:$Y$3)*$K4024*$L4024*$M4024</f>
        <v/>
      </c>
      <c r="AC4024" s="13">
        <f>SUMPRODUCT(N4024:Y4024,$N$4:$Y$4)*$K4024*$L4024*$M4024</f>
        <v/>
      </c>
      <c r="AD4024" s="15" t="n">
        <v>3</v>
      </c>
      <c r="AE4024" s="11" t="n">
        <v>1.011296296296296</v>
      </c>
      <c r="AF4024" s="16">
        <f>SUMPRODUCT(N4024:Y4024,$N$5:$Y$5)*$K4024*$L4024*$M4024</f>
        <v/>
      </c>
      <c r="AG4024" s="16">
        <f>SUMPRODUCT(N4024:Y4024,$N$6:$Y$6)*$K4024*$L4024*$M4024</f>
        <v/>
      </c>
      <c r="AH4024" s="20" t="n"/>
    </row>
    <row r="4025">
      <c r="A4025" s="9" t="n">
        <v>682044</v>
      </c>
      <c r="B4025" s="9" t="inlineStr">
        <is>
          <t>Sean Boyle</t>
        </is>
      </c>
      <c r="C4025" s="9" t="inlineStr">
        <is>
          <t>SD</t>
        </is>
      </c>
      <c r="D4025" s="9" t="n">
        <v>25</v>
      </c>
      <c r="E4025" s="18" t="inlineStr">
        <is>
          <t>R</t>
        </is>
      </c>
      <c r="F4025" s="18" t="n"/>
      <c r="G4025" s="9" t="n">
        <v>289.3183333333333</v>
      </c>
      <c r="H4025" s="9" t="n">
        <v>289.3183333333333</v>
      </c>
      <c r="I4025" s="9" t="inlineStr">
        <is>
          <t>Depth (no MLB IP)</t>
        </is>
      </c>
      <c r="J4025" s="18" t="inlineStr">
        <is>
          <t>Opening Day</t>
        </is>
      </c>
      <c r="K4025" s="11">
        <f>IFERROR(INDEX(Roles!$B$17:$B$20,MATCH(J4025,Roles!$A$17:$A$20,0)),1)</f>
        <v/>
      </c>
      <c r="L4025" s="19" t="n">
        <v>1</v>
      </c>
      <c r="M4025" s="11" t="n">
        <v>1</v>
      </c>
      <c r="N4025" s="19" t="n"/>
      <c r="O4025" s="19" t="n"/>
      <c r="P4025" s="19" t="n"/>
      <c r="Q4025" s="19" t="n"/>
      <c r="R4025" s="19" t="n"/>
      <c r="S4025" s="19" t="n"/>
      <c r="T4025" s="19" t="n"/>
      <c r="U4025" s="19" t="n"/>
      <c r="V4025" s="19" t="n"/>
      <c r="W4025" s="19" t="n"/>
      <c r="X4025" s="19" t="n"/>
      <c r="Y4025" s="19" t="n">
        <v>1</v>
      </c>
      <c r="Z4025" s="13">
        <f>SUMPRODUCT(N4025:Y4025,$N$2:$Y$2)*$K4025*$L4025*$M4025</f>
        <v/>
      </c>
      <c r="AA4025" s="14">
        <f>SUM(N4025:Y4025)</f>
        <v/>
      </c>
      <c r="AB4025" s="13">
        <f>SUMPRODUCT(N4025:Y4025,$N$3:$Y$3)*$K4025*$L4025*$M4025</f>
        <v/>
      </c>
      <c r="AC4025" s="13">
        <f>SUMPRODUCT(N4025:Y4025,$N$4:$Y$4)*$K4025*$L4025*$M4025</f>
        <v/>
      </c>
      <c r="AD4025" s="15" t="n">
        <v>3</v>
      </c>
      <c r="AE4025" s="11" t="n">
        <v>1.011296296296296</v>
      </c>
      <c r="AF4025" s="16">
        <f>SUMPRODUCT(N4025:Y4025,$N$5:$Y$5)*$K4025*$L4025*$M4025</f>
        <v/>
      </c>
      <c r="AG4025" s="16">
        <f>SUMPRODUCT(N4025:Y4025,$N$6:$Y$6)*$K4025*$L4025*$M4025</f>
        <v/>
      </c>
      <c r="AH4025" s="20" t="n"/>
    </row>
    <row r="4026">
      <c r="A4026" s="9" t="n">
        <v>691594</v>
      </c>
      <c r="B4026" s="9" t="inlineStr">
        <is>
          <t>Javier Sanoja</t>
        </is>
      </c>
      <c r="C4026" s="9" t="inlineStr">
        <is>
          <t>MIA</t>
        </is>
      </c>
      <c r="D4026" s="9" t="n">
        <v>24</v>
      </c>
      <c r="E4026" s="18" t="inlineStr">
        <is>
          <t>R</t>
        </is>
      </c>
      <c r="F4026" s="18" t="n"/>
      <c r="G4026" s="9" t="n">
        <v>27</v>
      </c>
      <c r="H4026" s="9" t="n">
        <v>81</v>
      </c>
      <c r="I4026" s="9" t="inlineStr">
        <is>
          <t>Bullpen Depth Arm</t>
        </is>
      </c>
      <c r="J4026" s="18" t="inlineStr">
        <is>
          <t>Opening Day</t>
        </is>
      </c>
      <c r="K4026" s="11">
        <f>IFERROR(INDEX(Roles!$B$17:$B$20,MATCH(J4026,Roles!$A$17:$A$20,0)),1)</f>
        <v/>
      </c>
      <c r="L4026" s="19" t="n">
        <v>1</v>
      </c>
      <c r="M4026" s="11" t="n">
        <v>1</v>
      </c>
      <c r="N4026" s="19" t="n"/>
      <c r="O4026" s="19" t="n"/>
      <c r="P4026" s="19" t="n"/>
      <c r="Q4026" s="19" t="n"/>
      <c r="R4026" s="19" t="n"/>
      <c r="S4026" s="19" t="n"/>
      <c r="T4026" s="19" t="n"/>
      <c r="U4026" s="19" t="n"/>
      <c r="V4026" s="19" t="n"/>
      <c r="W4026" s="19" t="n">
        <v>1</v>
      </c>
      <c r="X4026" s="19" t="n"/>
      <c r="Y4026" s="19" t="n"/>
      <c r="Z4026" s="13">
        <f>SUMPRODUCT(N4026:Y4026,$N$2:$Y$2)*$K4026*$L4026*$M4026</f>
        <v/>
      </c>
      <c r="AA4026" s="14">
        <f>SUM(N4026:Y4026)</f>
        <v/>
      </c>
      <c r="AB4026" s="13">
        <f>SUMPRODUCT(N4026:Y4026,$N$3:$Y$3)*$K4026*$L4026*$M4026</f>
        <v/>
      </c>
      <c r="AC4026" s="13">
        <f>SUMPRODUCT(N4026:Y4026,$N$4:$Y$4)*$K4026*$L4026*$M4026</f>
        <v/>
      </c>
      <c r="AD4026" s="15" t="n">
        <v>9.386666666666668</v>
      </c>
      <c r="AE4026" s="11" t="n">
        <v>1.152761615127207</v>
      </c>
      <c r="AF4026" s="16">
        <f>SUMPRODUCT(N4026:Y4026,$N$5:$Y$5)*$K4026*$L4026*$M4026</f>
        <v/>
      </c>
      <c r="AG4026" s="16">
        <f>SUMPRODUCT(N4026:Y4026,$N$6:$Y$6)*$K4026*$L4026*$M4026</f>
        <v/>
      </c>
      <c r="AH4026" s="20" t="n"/>
    </row>
    <row r="4027">
      <c r="A4027" s="9" t="n">
        <v>669467</v>
      </c>
      <c r="B4027" s="9" t="inlineStr">
        <is>
          <t>Andre Pallante</t>
        </is>
      </c>
      <c r="C4027" s="9" t="inlineStr">
        <is>
          <t>STL</t>
        </is>
      </c>
      <c r="D4027" s="9" t="n">
        <v>28</v>
      </c>
      <c r="E4027" s="18" t="inlineStr">
        <is>
          <t>R</t>
        </is>
      </c>
      <c r="F4027" s="18" t="n"/>
      <c r="G4027" s="9" t="n">
        <v>679</v>
      </c>
      <c r="H4027" s="9" t="n">
        <v>2662</v>
      </c>
      <c r="I4027" s="9" t="inlineStr">
        <is>
          <t>End-of-Rotation Starter (SP4-5)</t>
        </is>
      </c>
      <c r="J4027" s="18" t="inlineStr">
        <is>
          <t>Opening Day</t>
        </is>
      </c>
      <c r="K4027" s="11">
        <f>IFERROR(INDEX(Roles!$B$17:$B$20,MATCH(J4027,Roles!$A$17:$A$20,0)),1)</f>
        <v/>
      </c>
      <c r="L4027" s="19" t="n">
        <v>1</v>
      </c>
      <c r="M4027" s="11" t="n">
        <v>1</v>
      </c>
      <c r="N4027" s="19" t="n"/>
      <c r="O4027" s="19" t="n"/>
      <c r="P4027" s="19" t="n">
        <v>0.5</v>
      </c>
      <c r="Q4027" s="19" t="n"/>
      <c r="R4027" s="19" t="n">
        <v>0.5</v>
      </c>
      <c r="S4027" s="19" t="n"/>
      <c r="T4027" s="19" t="n"/>
      <c r="U4027" s="19" t="n"/>
      <c r="V4027" s="19" t="n"/>
      <c r="W4027" s="19" t="n"/>
      <c r="X4027" s="19" t="n"/>
      <c r="Y4027" s="19" t="n"/>
      <c r="Z4027" s="13">
        <f>SUMPRODUCT(N4027:Y4027,$N$2:$Y$2)*$K4027*$L4027*$M4027</f>
        <v/>
      </c>
      <c r="AA4027" s="14">
        <f>SUM(N4027:Y4027)</f>
        <v/>
      </c>
      <c r="AB4027" s="13">
        <f>SUMPRODUCT(N4027:Y4027,$N$3:$Y$3)*$K4027*$L4027*$M4027</f>
        <v/>
      </c>
      <c r="AC4027" s="13">
        <f>SUMPRODUCT(N4027:Y4027,$N$4:$Y$4)*$K4027*$L4027*$M4027</f>
        <v/>
      </c>
      <c r="AD4027" s="15" t="n">
        <v>24.2</v>
      </c>
      <c r="AE4027" s="11" t="n">
        <v>4.783603828547649</v>
      </c>
      <c r="AF4027" s="16">
        <f>SUMPRODUCT(N4027:Y4027,$N$5:$Y$5)*$K4027*$L4027*$M4027</f>
        <v/>
      </c>
      <c r="AG4027" s="16">
        <f>SUMPRODUCT(N4027:Y4027,$N$6:$Y$6)*$K4027*$L4027*$M4027</f>
        <v/>
      </c>
      <c r="AH4027" s="20" t="n"/>
    </row>
    <row r="4028">
      <c r="A4028" s="9" t="n">
        <v>425794</v>
      </c>
      <c r="B4028" s="9" t="inlineStr">
        <is>
          <t>Adam Wainwright</t>
        </is>
      </c>
      <c r="C4028" s="9" t="inlineStr">
        <is>
          <t>STL</t>
        </is>
      </c>
      <c r="D4028" s="9" t="n">
        <v>45</v>
      </c>
      <c r="E4028" s="18" t="inlineStr">
        <is>
          <t>R</t>
        </is>
      </c>
      <c r="F4028" s="18" t="n"/>
      <c r="G4028" s="9" t="n">
        <v>484</v>
      </c>
      <c r="H4028" s="9" t="n">
        <v>1287</v>
      </c>
      <c r="I4028" s="9" t="inlineStr">
        <is>
          <t>Depth (no MLB IP)</t>
        </is>
      </c>
      <c r="J4028" s="18" t="inlineStr">
        <is>
          <t>Opening Day</t>
        </is>
      </c>
      <c r="K4028" s="11">
        <f>IFERROR(INDEX(Roles!$B$17:$B$20,MATCH(J4028,Roles!$A$17:$A$20,0)),1)</f>
        <v/>
      </c>
      <c r="L4028" s="19" t="n">
        <v>1</v>
      </c>
      <c r="M4028" s="11" t="n">
        <v>1</v>
      </c>
      <c r="N4028" s="19" t="n"/>
      <c r="O4028" s="19" t="n"/>
      <c r="P4028" s="19" t="n"/>
      <c r="Q4028" s="19" t="n"/>
      <c r="R4028" s="19" t="n"/>
      <c r="S4028" s="19" t="n"/>
      <c r="T4028" s="19" t="n"/>
      <c r="U4028" s="19" t="n"/>
      <c r="V4028" s="19" t="n"/>
      <c r="W4028" s="19" t="n"/>
      <c r="X4028" s="19" t="n"/>
      <c r="Y4028" s="19" t="n">
        <v>1</v>
      </c>
      <c r="Z4028" s="13">
        <f>SUMPRODUCT(N4028:Y4028,$N$2:$Y$2)*$K4028*$L4028*$M4028</f>
        <v/>
      </c>
      <c r="AA4028" s="14">
        <f>SUM(N4028:Y4028)</f>
        <v/>
      </c>
      <c r="AB4028" s="13">
        <f>SUMPRODUCT(N4028:Y4028,$N$3:$Y$3)*$K4028*$L4028*$M4028</f>
        <v/>
      </c>
      <c r="AC4028" s="13">
        <f>SUMPRODUCT(N4028:Y4028,$N$4:$Y$4)*$K4028*$L4028*$M4028</f>
        <v/>
      </c>
      <c r="AD4028" s="15" t="n">
        <v>3</v>
      </c>
      <c r="AE4028" s="11" t="n">
        <v>1.011296296296296</v>
      </c>
      <c r="AF4028" s="16">
        <f>SUMPRODUCT(N4028:Y4028,$N$5:$Y$5)*$K4028*$L4028*$M4028</f>
        <v/>
      </c>
      <c r="AG4028" s="16">
        <f>SUMPRODUCT(N4028:Y4028,$N$6:$Y$6)*$K4028*$L4028*$M4028</f>
        <v/>
      </c>
      <c r="AH4028" s="20" t="n"/>
    </row>
    <row r="4029">
      <c r="A4029" s="9" t="n">
        <v>669441</v>
      </c>
      <c r="B4029" s="9" t="inlineStr">
        <is>
          <t>Chandler Champlain</t>
        </is>
      </c>
      <c r="C4029" s="9" t="inlineStr">
        <is>
          <t>WSH</t>
        </is>
      </c>
      <c r="D4029" s="9" t="n">
        <v>25</v>
      </c>
      <c r="E4029" s="18" t="inlineStr">
        <is>
          <t>R</t>
        </is>
      </c>
      <c r="F4029" s="18" t="n"/>
      <c r="G4029" s="9" t="n">
        <v>301.9316666666668</v>
      </c>
      <c r="H4029" s="9" t="n">
        <v>301.9316666666668</v>
      </c>
      <c r="I4029" s="9" t="inlineStr">
        <is>
          <t>Depth (no MLB IP)</t>
        </is>
      </c>
      <c r="J4029" s="18" t="inlineStr">
        <is>
          <t>Opening Day</t>
        </is>
      </c>
      <c r="K4029" s="11">
        <f>IFERROR(INDEX(Roles!$B$17:$B$20,MATCH(J4029,Roles!$A$17:$A$20,0)),1)</f>
        <v/>
      </c>
      <c r="L4029" s="19" t="n">
        <v>1</v>
      </c>
      <c r="M4029" s="11" t="n">
        <v>1</v>
      </c>
      <c r="N4029" s="19" t="n"/>
      <c r="O4029" s="19" t="n"/>
      <c r="P4029" s="19" t="n"/>
      <c r="Q4029" s="19" t="n"/>
      <c r="R4029" s="19" t="n"/>
      <c r="S4029" s="19" t="n"/>
      <c r="T4029" s="19" t="n"/>
      <c r="U4029" s="19" t="n"/>
      <c r="V4029" s="19" t="n"/>
      <c r="W4029" s="19" t="n"/>
      <c r="X4029" s="19" t="n"/>
      <c r="Y4029" s="19" t="n">
        <v>1</v>
      </c>
      <c r="Z4029" s="13">
        <f>SUMPRODUCT(N4029:Y4029,$N$2:$Y$2)*$K4029*$L4029*$M4029</f>
        <v/>
      </c>
      <c r="AA4029" s="14">
        <f>SUM(N4029:Y4029)</f>
        <v/>
      </c>
      <c r="AB4029" s="13">
        <f>SUMPRODUCT(N4029:Y4029,$N$3:$Y$3)*$K4029*$L4029*$M4029</f>
        <v/>
      </c>
      <c r="AC4029" s="13">
        <f>SUMPRODUCT(N4029:Y4029,$N$4:$Y$4)*$K4029*$L4029*$M4029</f>
        <v/>
      </c>
      <c r="AD4029" s="15" t="n">
        <v>3</v>
      </c>
      <c r="AE4029" s="11" t="n">
        <v>1.011296296296296</v>
      </c>
      <c r="AF4029" s="16">
        <f>SUMPRODUCT(N4029:Y4029,$N$5:$Y$5)*$K4029*$L4029*$M4029</f>
        <v/>
      </c>
      <c r="AG4029" s="16">
        <f>SUMPRODUCT(N4029:Y4029,$N$6:$Y$6)*$K4029*$L4029*$M4029</f>
        <v/>
      </c>
      <c r="AH4029" s="20" t="n"/>
    </row>
    <row r="4030">
      <c r="A4030" s="9" t="n">
        <v>663765</v>
      </c>
      <c r="B4030" s="9" t="inlineStr">
        <is>
          <t>Jake Woodford</t>
        </is>
      </c>
      <c r="C4030" s="9" t="inlineStr">
        <is>
          <t>TB</t>
        </is>
      </c>
      <c r="D4030" s="9" t="n">
        <v>30</v>
      </c>
      <c r="E4030" s="18" t="inlineStr">
        <is>
          <t>R</t>
        </is>
      </c>
      <c r="F4030" s="18" t="n"/>
      <c r="G4030" s="9" t="n">
        <v>134</v>
      </c>
      <c r="H4030" s="9" t="n">
        <v>881</v>
      </c>
      <c r="I4030" s="9" t="inlineStr">
        <is>
          <t>Bullpen Depth Arm</t>
        </is>
      </c>
      <c r="J4030" s="18" t="inlineStr">
        <is>
          <t>Opening Day</t>
        </is>
      </c>
      <c r="K4030" s="11">
        <f>IFERROR(INDEX(Roles!$B$17:$B$20,MATCH(J4030,Roles!$A$17:$A$20,0)),1)</f>
        <v/>
      </c>
      <c r="L4030" s="19" t="n">
        <v>1</v>
      </c>
      <c r="M4030" s="11" t="n">
        <v>1</v>
      </c>
      <c r="N4030" s="19" t="n"/>
      <c r="O4030" s="19" t="n"/>
      <c r="P4030" s="19" t="n"/>
      <c r="Q4030" s="19" t="n"/>
      <c r="R4030" s="19" t="n"/>
      <c r="S4030" s="19" t="n"/>
      <c r="T4030" s="19" t="n"/>
      <c r="U4030" s="19" t="n"/>
      <c r="V4030" s="19" t="n"/>
      <c r="W4030" s="19" t="n">
        <v>1</v>
      </c>
      <c r="X4030" s="19" t="n"/>
      <c r="Y4030" s="19" t="n"/>
      <c r="Z4030" s="13">
        <f>SUMPRODUCT(N4030:Y4030,$N$2:$Y$2)*$K4030*$L4030*$M4030</f>
        <v/>
      </c>
      <c r="AA4030" s="14">
        <f>SUM(N4030:Y4030)</f>
        <v/>
      </c>
      <c r="AB4030" s="13">
        <f>SUMPRODUCT(N4030:Y4030,$N$3:$Y$3)*$K4030*$L4030*$M4030</f>
        <v/>
      </c>
      <c r="AC4030" s="13">
        <f>SUMPRODUCT(N4030:Y4030,$N$4:$Y$4)*$K4030*$L4030*$M4030</f>
        <v/>
      </c>
      <c r="AD4030" s="15" t="n">
        <v>16.66666666666666</v>
      </c>
      <c r="AE4030" s="11" t="n">
        <v>1.379284912618246</v>
      </c>
      <c r="AF4030" s="16">
        <f>SUMPRODUCT(N4030:Y4030,$N$5:$Y$5)*$K4030*$L4030*$M4030</f>
        <v/>
      </c>
      <c r="AG4030" s="16">
        <f>SUMPRODUCT(N4030:Y4030,$N$6:$Y$6)*$K4030*$L4030*$M4030</f>
        <v/>
      </c>
      <c r="AH4030" s="20" t="n"/>
    </row>
    <row r="4031">
      <c r="A4031" s="9" t="n">
        <v>801179</v>
      </c>
      <c r="B4031" s="9" t="inlineStr">
        <is>
          <t>Yu-Min Lin</t>
        </is>
      </c>
      <c r="C4031" s="9" t="inlineStr">
        <is>
          <t>ARI</t>
        </is>
      </c>
      <c r="D4031" s="9" t="n">
        <v>25</v>
      </c>
      <c r="E4031" s="18" t="inlineStr">
        <is>
          <t>L</t>
        </is>
      </c>
      <c r="F4031" s="18" t="n"/>
      <c r="G4031" s="9" t="n">
        <v>305.085</v>
      </c>
      <c r="H4031" s="9" t="n">
        <v>305.085</v>
      </c>
      <c r="I4031" s="9" t="inlineStr">
        <is>
          <t>Depth (no MLB IP)</t>
        </is>
      </c>
      <c r="J4031" s="18" t="inlineStr">
        <is>
          <t>Opening Day</t>
        </is>
      </c>
      <c r="K4031" s="11">
        <f>IFERROR(INDEX(Roles!$B$17:$B$20,MATCH(J4031,Roles!$A$17:$A$20,0)),1)</f>
        <v/>
      </c>
      <c r="L4031" s="19" t="n">
        <v>1</v>
      </c>
      <c r="M4031" s="11" t="n">
        <v>1</v>
      </c>
      <c r="N4031" s="19" t="n"/>
      <c r="O4031" s="19" t="n"/>
      <c r="P4031" s="19" t="n"/>
      <c r="Q4031" s="19" t="n"/>
      <c r="R4031" s="19" t="n"/>
      <c r="S4031" s="19" t="n"/>
      <c r="T4031" s="19" t="n"/>
      <c r="U4031" s="19" t="n"/>
      <c r="V4031" s="19" t="n"/>
      <c r="W4031" s="19" t="n"/>
      <c r="X4031" s="19" t="n"/>
      <c r="Y4031" s="19" t="n">
        <v>1</v>
      </c>
      <c r="Z4031" s="13">
        <f>SUMPRODUCT(N4031:Y4031,$N$2:$Y$2)*$K4031*$L4031*$M4031</f>
        <v/>
      </c>
      <c r="AA4031" s="14">
        <f>SUM(N4031:Y4031)</f>
        <v/>
      </c>
      <c r="AB4031" s="13">
        <f>SUMPRODUCT(N4031:Y4031,$N$3:$Y$3)*$K4031*$L4031*$M4031</f>
        <v/>
      </c>
      <c r="AC4031" s="13">
        <f>SUMPRODUCT(N4031:Y4031,$N$4:$Y$4)*$K4031*$L4031*$M4031</f>
        <v/>
      </c>
      <c r="AD4031" s="15" t="n">
        <v>3</v>
      </c>
      <c r="AE4031" s="11" t="n">
        <v>1.011296296296296</v>
      </c>
      <c r="AF4031" s="16">
        <f>SUMPRODUCT(N4031:Y4031,$N$5:$Y$5)*$K4031*$L4031*$M4031</f>
        <v/>
      </c>
      <c r="AG4031" s="16">
        <f>SUMPRODUCT(N4031:Y4031,$N$6:$Y$6)*$K4031*$L4031*$M4031</f>
        <v/>
      </c>
      <c r="AH4031" s="20" t="n"/>
    </row>
    <row r="4032">
      <c r="A4032" s="9" t="n">
        <v>702045</v>
      </c>
      <c r="B4032" s="9" t="inlineStr">
        <is>
          <t>Rorik Maltrud</t>
        </is>
      </c>
      <c r="C4032" s="9" t="inlineStr">
        <is>
          <t>CLE</t>
        </is>
      </c>
      <c r="D4032" s="9" t="n">
        <v>25</v>
      </c>
      <c r="E4032" s="18" t="inlineStr">
        <is>
          <t>R</t>
        </is>
      </c>
      <c r="F4032" s="18" t="n"/>
      <c r="G4032" s="9" t="n">
        <v>305.8733333333333</v>
      </c>
      <c r="H4032" s="9" t="n">
        <v>305.8733333333333</v>
      </c>
      <c r="I4032" s="9" t="inlineStr">
        <is>
          <t>Depth (no MLB IP)</t>
        </is>
      </c>
      <c r="J4032" s="18" t="inlineStr">
        <is>
          <t>Opening Day</t>
        </is>
      </c>
      <c r="K4032" s="11">
        <f>IFERROR(INDEX(Roles!$B$17:$B$20,MATCH(J4032,Roles!$A$17:$A$20,0)),1)</f>
        <v/>
      </c>
      <c r="L4032" s="19" t="n">
        <v>1</v>
      </c>
      <c r="M4032" s="11" t="n">
        <v>1</v>
      </c>
      <c r="N4032" s="19" t="n"/>
      <c r="O4032" s="19" t="n"/>
      <c r="P4032" s="19" t="n"/>
      <c r="Q4032" s="19" t="n"/>
      <c r="R4032" s="19" t="n"/>
      <c r="S4032" s="19" t="n"/>
      <c r="T4032" s="19" t="n"/>
      <c r="U4032" s="19" t="n"/>
      <c r="V4032" s="19" t="n"/>
      <c r="W4032" s="19" t="n"/>
      <c r="X4032" s="19" t="n"/>
      <c r="Y4032" s="19" t="n">
        <v>1</v>
      </c>
      <c r="Z4032" s="13">
        <f>SUMPRODUCT(N4032:Y4032,$N$2:$Y$2)*$K4032*$L4032*$M4032</f>
        <v/>
      </c>
      <c r="AA4032" s="14">
        <f>SUM(N4032:Y4032)</f>
        <v/>
      </c>
      <c r="AB4032" s="13">
        <f>SUMPRODUCT(N4032:Y4032,$N$3:$Y$3)*$K4032*$L4032*$M4032</f>
        <v/>
      </c>
      <c r="AC4032" s="13">
        <f>SUMPRODUCT(N4032:Y4032,$N$4:$Y$4)*$K4032*$L4032*$M4032</f>
        <v/>
      </c>
      <c r="AD4032" s="15" t="n">
        <v>3</v>
      </c>
      <c r="AE4032" s="11" t="n">
        <v>1.011296296296296</v>
      </c>
      <c r="AF4032" s="16">
        <f>SUMPRODUCT(N4032:Y4032,$N$5:$Y$5)*$K4032*$L4032*$M4032</f>
        <v/>
      </c>
      <c r="AG4032" s="16">
        <f>SUMPRODUCT(N4032:Y4032,$N$6:$Y$6)*$K4032*$L4032*$M4032</f>
        <v/>
      </c>
      <c r="AH4032" s="20" t="n"/>
    </row>
    <row r="4033">
      <c r="A4033" s="9" t="n">
        <v>671143</v>
      </c>
      <c r="B4033" s="9" t="inlineStr">
        <is>
          <t>Trenton Denholm</t>
        </is>
      </c>
      <c r="C4033" s="9" t="inlineStr">
        <is>
          <t>CLE</t>
        </is>
      </c>
      <c r="D4033" s="9" t="n">
        <v>25</v>
      </c>
      <c r="E4033" s="18" t="inlineStr">
        <is>
          <t>R</t>
        </is>
      </c>
      <c r="F4033" s="18" t="n"/>
      <c r="G4033" s="9" t="n">
        <v>305.8733333333333</v>
      </c>
      <c r="H4033" s="9" t="n">
        <v>305.8733333333333</v>
      </c>
      <c r="I4033" s="9" t="inlineStr">
        <is>
          <t>Depth (no MLB IP)</t>
        </is>
      </c>
      <c r="J4033" s="18" t="inlineStr">
        <is>
          <t>Opening Day</t>
        </is>
      </c>
      <c r="K4033" s="11">
        <f>IFERROR(INDEX(Roles!$B$17:$B$20,MATCH(J4033,Roles!$A$17:$A$20,0)),1)</f>
        <v/>
      </c>
      <c r="L4033" s="19" t="n">
        <v>1</v>
      </c>
      <c r="M4033" s="11" t="n">
        <v>1</v>
      </c>
      <c r="N4033" s="19" t="n"/>
      <c r="O4033" s="19" t="n"/>
      <c r="P4033" s="19" t="n"/>
      <c r="Q4033" s="19" t="n"/>
      <c r="R4033" s="19" t="n"/>
      <c r="S4033" s="19" t="n"/>
      <c r="T4033" s="19" t="n"/>
      <c r="U4033" s="19" t="n"/>
      <c r="V4033" s="19" t="n"/>
      <c r="W4033" s="19" t="n"/>
      <c r="X4033" s="19" t="n"/>
      <c r="Y4033" s="19" t="n">
        <v>1</v>
      </c>
      <c r="Z4033" s="13">
        <f>SUMPRODUCT(N4033:Y4033,$N$2:$Y$2)*$K4033*$L4033*$M4033</f>
        <v/>
      </c>
      <c r="AA4033" s="14">
        <f>SUM(N4033:Y4033)</f>
        <v/>
      </c>
      <c r="AB4033" s="13">
        <f>SUMPRODUCT(N4033:Y4033,$N$3:$Y$3)*$K4033*$L4033*$M4033</f>
        <v/>
      </c>
      <c r="AC4033" s="13">
        <f>SUMPRODUCT(N4033:Y4033,$N$4:$Y$4)*$K4033*$L4033*$M4033</f>
        <v/>
      </c>
      <c r="AD4033" s="15" t="n">
        <v>3</v>
      </c>
      <c r="AE4033" s="11" t="n">
        <v>1.011296296296296</v>
      </c>
      <c r="AF4033" s="16">
        <f>SUMPRODUCT(N4033:Y4033,$N$5:$Y$5)*$K4033*$L4033*$M4033</f>
        <v/>
      </c>
      <c r="AG4033" s="16">
        <f>SUMPRODUCT(N4033:Y4033,$N$6:$Y$6)*$K4033*$L4033*$M4033</f>
        <v/>
      </c>
      <c r="AH4033" s="20" t="n"/>
    </row>
    <row r="4034">
      <c r="A4034" s="9" t="n">
        <v>814804</v>
      </c>
      <c r="B4034" s="9" t="inlineStr">
        <is>
          <t>Grant Rogers</t>
        </is>
      </c>
      <c r="C4034" s="9" t="inlineStr">
        <is>
          <t>TOR</t>
        </is>
      </c>
      <c r="D4034" s="9" t="n">
        <v>25</v>
      </c>
      <c r="E4034" s="18" t="inlineStr">
        <is>
          <t>R</t>
        </is>
      </c>
      <c r="F4034" s="18" t="n"/>
      <c r="G4034" s="9" t="n">
        <v>306.6616666666666</v>
      </c>
      <c r="H4034" s="9" t="n">
        <v>306.6616666666666</v>
      </c>
      <c r="I4034" s="9" t="inlineStr">
        <is>
          <t>Depth (no MLB IP)</t>
        </is>
      </c>
      <c r="J4034" s="18" t="inlineStr">
        <is>
          <t>Opening Day</t>
        </is>
      </c>
      <c r="K4034" s="11">
        <f>IFERROR(INDEX(Roles!$B$17:$B$20,MATCH(J4034,Roles!$A$17:$A$20,0)),1)</f>
        <v/>
      </c>
      <c r="L4034" s="19" t="n">
        <v>1</v>
      </c>
      <c r="M4034" s="11" t="n">
        <v>1</v>
      </c>
      <c r="N4034" s="19" t="n"/>
      <c r="O4034" s="19" t="n"/>
      <c r="P4034" s="19" t="n"/>
      <c r="Q4034" s="19" t="n"/>
      <c r="R4034" s="19" t="n"/>
      <c r="S4034" s="19" t="n"/>
      <c r="T4034" s="19" t="n"/>
      <c r="U4034" s="19" t="n"/>
      <c r="V4034" s="19" t="n"/>
      <c r="W4034" s="19" t="n"/>
      <c r="X4034" s="19" t="n"/>
      <c r="Y4034" s="19" t="n">
        <v>1</v>
      </c>
      <c r="Z4034" s="13">
        <f>SUMPRODUCT(N4034:Y4034,$N$2:$Y$2)*$K4034*$L4034*$M4034</f>
        <v/>
      </c>
      <c r="AA4034" s="14">
        <f>SUM(N4034:Y4034)</f>
        <v/>
      </c>
      <c r="AB4034" s="13">
        <f>SUMPRODUCT(N4034:Y4034,$N$3:$Y$3)*$K4034*$L4034*$M4034</f>
        <v/>
      </c>
      <c r="AC4034" s="13">
        <f>SUMPRODUCT(N4034:Y4034,$N$4:$Y$4)*$K4034*$L4034*$M4034</f>
        <v/>
      </c>
      <c r="AD4034" s="15" t="n">
        <v>3</v>
      </c>
      <c r="AE4034" s="11" t="n">
        <v>1.011296296296296</v>
      </c>
      <c r="AF4034" s="16">
        <f>SUMPRODUCT(N4034:Y4034,$N$5:$Y$5)*$K4034*$L4034*$M4034</f>
        <v/>
      </c>
      <c r="AG4034" s="16">
        <f>SUMPRODUCT(N4034:Y4034,$N$6:$Y$6)*$K4034*$L4034*$M4034</f>
        <v/>
      </c>
      <c r="AH4034" s="20" t="n"/>
    </row>
    <row r="4035">
      <c r="A4035" s="9" t="n">
        <v>596295</v>
      </c>
      <c r="B4035" s="9" t="inlineStr">
        <is>
          <t>Austin Gomber</t>
        </is>
      </c>
      <c r="C4035" s="9" t="inlineStr">
        <is>
          <t>COL</t>
        </is>
      </c>
      <c r="D4035" s="9" t="n">
        <v>33</v>
      </c>
      <c r="E4035" s="18" t="inlineStr">
        <is>
          <t>L</t>
        </is>
      </c>
      <c r="F4035" s="18" t="n"/>
      <c r="G4035" s="9" t="n">
        <v>272</v>
      </c>
      <c r="H4035" s="9" t="n">
        <v>2100</v>
      </c>
      <c r="I4035" s="9" t="inlineStr">
        <is>
          <t>Mid-Rotation Starter (SP2-3)</t>
        </is>
      </c>
      <c r="J4035" s="18" t="inlineStr">
        <is>
          <t>Opening Day</t>
        </is>
      </c>
      <c r="K4035" s="11">
        <f>IFERROR(INDEX(Roles!$B$17:$B$20,MATCH(J4035,Roles!$A$17:$A$20,0)),1)</f>
        <v/>
      </c>
      <c r="L4035" s="19" t="n">
        <v>1</v>
      </c>
      <c r="M4035" s="11" t="n">
        <v>1</v>
      </c>
      <c r="N4035" s="19" t="n"/>
      <c r="O4035" s="19" t="n">
        <v>1</v>
      </c>
      <c r="P4035" s="19" t="n"/>
      <c r="Q4035" s="19" t="n"/>
      <c r="R4035" s="19" t="n"/>
      <c r="S4035" s="19" t="n"/>
      <c r="T4035" s="19" t="n"/>
      <c r="U4035" s="19" t="n"/>
      <c r="V4035" s="19" t="n"/>
      <c r="W4035" s="19" t="n"/>
      <c r="X4035" s="19" t="n"/>
      <c r="Y4035" s="19" t="n"/>
      <c r="Z4035" s="13">
        <f>SUMPRODUCT(N4035:Y4035,$N$2:$Y$2)*$K4035*$L4035*$M4035</f>
        <v/>
      </c>
      <c r="AA4035" s="14">
        <f>SUM(N4035:Y4035)</f>
        <v/>
      </c>
      <c r="AB4035" s="13">
        <f>SUMPRODUCT(N4035:Y4035,$N$3:$Y$3)*$K4035*$L4035*$M4035</f>
        <v/>
      </c>
      <c r="AC4035" s="13">
        <f>SUMPRODUCT(N4035:Y4035,$N$4:$Y$4)*$K4035*$L4035*$M4035</f>
        <v/>
      </c>
      <c r="AD4035" s="15" t="n">
        <v>21.2</v>
      </c>
      <c r="AE4035" s="11" t="n">
        <v>5.199986725076332</v>
      </c>
      <c r="AF4035" s="16">
        <f>SUMPRODUCT(N4035:Y4035,$N$5:$Y$5)*$K4035*$L4035*$M4035</f>
        <v/>
      </c>
      <c r="AG4035" s="16">
        <f>SUMPRODUCT(N4035:Y4035,$N$6:$Y$6)*$K4035*$L4035*$M4035</f>
        <v/>
      </c>
      <c r="AH4035" s="20" t="n"/>
    </row>
    <row r="4036">
      <c r="A4036" s="9" t="n">
        <v>668766</v>
      </c>
      <c r="B4036" s="9" t="inlineStr">
        <is>
          <t>Dylan File</t>
        </is>
      </c>
      <c r="C4036" s="9" t="inlineStr">
        <is>
          <t>DET</t>
        </is>
      </c>
      <c r="D4036" s="9" t="n">
        <v>25</v>
      </c>
      <c r="E4036" s="18" t="inlineStr">
        <is>
          <t>R</t>
        </is>
      </c>
      <c r="F4036" s="18" t="n"/>
      <c r="G4036" s="9" t="n">
        <v>310.6033333333333</v>
      </c>
      <c r="H4036" s="9" t="n">
        <v>310.6033333333333</v>
      </c>
      <c r="I4036" s="9" t="inlineStr">
        <is>
          <t>Depth (no MLB IP)</t>
        </is>
      </c>
      <c r="J4036" s="18" t="inlineStr">
        <is>
          <t>Opening Day</t>
        </is>
      </c>
      <c r="K4036" s="11">
        <f>IFERROR(INDEX(Roles!$B$17:$B$20,MATCH(J4036,Roles!$A$17:$A$20,0)),1)</f>
        <v/>
      </c>
      <c r="L4036" s="19" t="n">
        <v>1</v>
      </c>
      <c r="M4036" s="11" t="n">
        <v>1</v>
      </c>
      <c r="N4036" s="19" t="n"/>
      <c r="O4036" s="19" t="n"/>
      <c r="P4036" s="19" t="n"/>
      <c r="Q4036" s="19" t="n"/>
      <c r="R4036" s="19" t="n"/>
      <c r="S4036" s="19" t="n"/>
      <c r="T4036" s="19" t="n"/>
      <c r="U4036" s="19" t="n"/>
      <c r="V4036" s="19" t="n"/>
      <c r="W4036" s="19" t="n"/>
      <c r="X4036" s="19" t="n"/>
      <c r="Y4036" s="19" t="n">
        <v>1</v>
      </c>
      <c r="Z4036" s="13">
        <f>SUMPRODUCT(N4036:Y4036,$N$2:$Y$2)*$K4036*$L4036*$M4036</f>
        <v/>
      </c>
      <c r="AA4036" s="14">
        <f>SUM(N4036:Y4036)</f>
        <v/>
      </c>
      <c r="AB4036" s="13">
        <f>SUMPRODUCT(N4036:Y4036,$N$3:$Y$3)*$K4036*$L4036*$M4036</f>
        <v/>
      </c>
      <c r="AC4036" s="13">
        <f>SUMPRODUCT(N4036:Y4036,$N$4:$Y$4)*$K4036*$L4036*$M4036</f>
        <v/>
      </c>
      <c r="AD4036" s="15" t="n">
        <v>3</v>
      </c>
      <c r="AE4036" s="11" t="n">
        <v>1.011296296296296</v>
      </c>
      <c r="AF4036" s="16">
        <f>SUMPRODUCT(N4036:Y4036,$N$5:$Y$5)*$K4036*$L4036*$M4036</f>
        <v/>
      </c>
      <c r="AG4036" s="16">
        <f>SUMPRODUCT(N4036:Y4036,$N$6:$Y$6)*$K4036*$L4036*$M4036</f>
        <v/>
      </c>
      <c r="AH4036" s="20" t="n"/>
    </row>
    <row r="4037">
      <c r="A4037" s="9" t="n">
        <v>425844</v>
      </c>
      <c r="B4037" s="9" t="inlineStr">
        <is>
          <t>Zack Greinke</t>
        </is>
      </c>
      <c r="C4037" s="9" t="inlineStr">
        <is>
          <t>KC</t>
        </is>
      </c>
      <c r="D4037" s="9" t="n">
        <v>43</v>
      </c>
      <c r="E4037" s="18" t="inlineStr">
        <is>
          <t>R</t>
        </is>
      </c>
      <c r="F4037" s="18" t="n"/>
      <c r="G4037" s="9" t="n">
        <v>593</v>
      </c>
      <c r="H4037" s="9" t="n">
        <v>1178</v>
      </c>
      <c r="I4037" s="9" t="inlineStr">
        <is>
          <t>Depth (no MLB IP)</t>
        </is>
      </c>
      <c r="J4037" s="18" t="inlineStr">
        <is>
          <t>Opening Day</t>
        </is>
      </c>
      <c r="K4037" s="11">
        <f>IFERROR(INDEX(Roles!$B$17:$B$20,MATCH(J4037,Roles!$A$17:$A$20,0)),1)</f>
        <v/>
      </c>
      <c r="L4037" s="19" t="n">
        <v>1</v>
      </c>
      <c r="M4037" s="11" t="n">
        <v>1</v>
      </c>
      <c r="N4037" s="19" t="n"/>
      <c r="O4037" s="19" t="n"/>
      <c r="P4037" s="19" t="n"/>
      <c r="Q4037" s="19" t="n"/>
      <c r="R4037" s="19" t="n"/>
      <c r="S4037" s="19" t="n"/>
      <c r="T4037" s="19" t="n"/>
      <c r="U4037" s="19" t="n"/>
      <c r="V4037" s="19" t="n"/>
      <c r="W4037" s="19" t="n"/>
      <c r="X4037" s="19" t="n"/>
      <c r="Y4037" s="19" t="n">
        <v>1</v>
      </c>
      <c r="Z4037" s="13">
        <f>SUMPRODUCT(N4037:Y4037,$N$2:$Y$2)*$K4037*$L4037*$M4037</f>
        <v/>
      </c>
      <c r="AA4037" s="14">
        <f>SUM(N4037:Y4037)</f>
        <v/>
      </c>
      <c r="AB4037" s="13">
        <f>SUMPRODUCT(N4037:Y4037,$N$3:$Y$3)*$K4037*$L4037*$M4037</f>
        <v/>
      </c>
      <c r="AC4037" s="13">
        <f>SUMPRODUCT(N4037:Y4037,$N$4:$Y$4)*$K4037*$L4037*$M4037</f>
        <v/>
      </c>
      <c r="AD4037" s="15" t="n">
        <v>3</v>
      </c>
      <c r="AE4037" s="11" t="n">
        <v>1.011296296296296</v>
      </c>
      <c r="AF4037" s="16">
        <f>SUMPRODUCT(N4037:Y4037,$N$5:$Y$5)*$K4037*$L4037*$M4037</f>
        <v/>
      </c>
      <c r="AG4037" s="16">
        <f>SUMPRODUCT(N4037:Y4037,$N$6:$Y$6)*$K4037*$L4037*$M4037</f>
        <v/>
      </c>
      <c r="AH4037" s="20" t="n"/>
    </row>
    <row r="4038">
      <c r="A4038" s="9" t="n">
        <v>688642</v>
      </c>
      <c r="B4038" s="9" t="inlineStr">
        <is>
          <t>Zach Agnos</t>
        </is>
      </c>
      <c r="C4038" s="9" t="inlineStr">
        <is>
          <t>COL</t>
        </is>
      </c>
      <c r="D4038" s="9" t="n">
        <v>26</v>
      </c>
      <c r="E4038" s="18" t="inlineStr">
        <is>
          <t>R</t>
        </is>
      </c>
      <c r="F4038" s="18" t="n"/>
      <c r="G4038" s="9" t="n">
        <v>407</v>
      </c>
      <c r="H4038" s="9" t="n">
        <v>545</v>
      </c>
      <c r="I4038" s="9" t="inlineStr">
        <is>
          <t>Swing Arm / Long Relief</t>
        </is>
      </c>
      <c r="J4038" s="18" t="inlineStr">
        <is>
          <t>Opening Day</t>
        </is>
      </c>
      <c r="K4038" s="11">
        <f>IFERROR(INDEX(Roles!$B$17:$B$20,MATCH(J4038,Roles!$A$17:$A$20,0)),1)</f>
        <v/>
      </c>
      <c r="L4038" s="19" t="n">
        <v>1</v>
      </c>
      <c r="M4038" s="11" t="n">
        <v>1</v>
      </c>
      <c r="N4038" s="19" t="n"/>
      <c r="O4038" s="19" t="n"/>
      <c r="P4038" s="19" t="n"/>
      <c r="Q4038" s="19" t="n"/>
      <c r="R4038" s="19" t="n">
        <v>0.6</v>
      </c>
      <c r="S4038" s="19" t="n"/>
      <c r="T4038" s="19" t="n"/>
      <c r="U4038" s="19" t="n"/>
      <c r="V4038" s="19" t="n"/>
      <c r="W4038" s="19" t="n">
        <v>0.4</v>
      </c>
      <c r="X4038" s="19" t="n"/>
      <c r="Y4038" s="19" t="n"/>
      <c r="Z4038" s="13">
        <f>SUMPRODUCT(N4038:Y4038,$N$2:$Y$2)*$K4038*$L4038*$M4038</f>
        <v/>
      </c>
      <c r="AA4038" s="14">
        <f>SUM(N4038:Y4038)</f>
        <v/>
      </c>
      <c r="AB4038" s="13">
        <f>SUMPRODUCT(N4038:Y4038,$N$3:$Y$3)*$K4038*$L4038*$M4038</f>
        <v/>
      </c>
      <c r="AC4038" s="13">
        <f>SUMPRODUCT(N4038:Y4038,$N$4:$Y$4)*$K4038*$L4038*$M4038</f>
        <v/>
      </c>
      <c r="AD4038" s="15" t="n">
        <v>30.09333333333333</v>
      </c>
      <c r="AE4038" s="11" t="n">
        <v>2.279902853673346</v>
      </c>
      <c r="AF4038" s="16">
        <f>SUMPRODUCT(N4038:Y4038,$N$5:$Y$5)*$K4038*$L4038*$M4038</f>
        <v/>
      </c>
      <c r="AG4038" s="16">
        <f>SUMPRODUCT(N4038:Y4038,$N$6:$Y$6)*$K4038*$L4038*$M4038</f>
        <v/>
      </c>
      <c r="AH4038" s="20" t="n"/>
    </row>
    <row r="4039">
      <c r="A4039" s="9" t="n">
        <v>699071</v>
      </c>
      <c r="B4039" s="9" t="inlineStr">
        <is>
          <t>Christian Romero</t>
        </is>
      </c>
      <c r="C4039" s="9" t="inlineStr">
        <is>
          <t>LAD</t>
        </is>
      </c>
      <c r="D4039" s="9" t="n">
        <v>25</v>
      </c>
      <c r="E4039" s="18" t="inlineStr">
        <is>
          <t>R</t>
        </is>
      </c>
      <c r="F4039" s="18" t="n"/>
      <c r="G4039" s="9" t="n">
        <v>320.0633333333334</v>
      </c>
      <c r="H4039" s="9" t="n">
        <v>320.0633333333334</v>
      </c>
      <c r="I4039" s="9" t="inlineStr">
        <is>
          <t>Depth (no MLB IP)</t>
        </is>
      </c>
      <c r="J4039" s="18" t="inlineStr">
        <is>
          <t>Opening Day</t>
        </is>
      </c>
      <c r="K4039" s="11">
        <f>IFERROR(INDEX(Roles!$B$17:$B$20,MATCH(J4039,Roles!$A$17:$A$20,0)),1)</f>
        <v/>
      </c>
      <c r="L4039" s="19" t="n">
        <v>1</v>
      </c>
      <c r="M4039" s="11" t="n">
        <v>1</v>
      </c>
      <c r="N4039" s="19" t="n"/>
      <c r="O4039" s="19" t="n"/>
      <c r="P4039" s="19" t="n"/>
      <c r="Q4039" s="19" t="n"/>
      <c r="R4039" s="19" t="n"/>
      <c r="S4039" s="19" t="n"/>
      <c r="T4039" s="19" t="n"/>
      <c r="U4039" s="19" t="n"/>
      <c r="V4039" s="19" t="n"/>
      <c r="W4039" s="19" t="n"/>
      <c r="X4039" s="19" t="n"/>
      <c r="Y4039" s="19" t="n">
        <v>1</v>
      </c>
      <c r="Z4039" s="13">
        <f>SUMPRODUCT(N4039:Y4039,$N$2:$Y$2)*$K4039*$L4039*$M4039</f>
        <v/>
      </c>
      <c r="AA4039" s="14">
        <f>SUM(N4039:Y4039)</f>
        <v/>
      </c>
      <c r="AB4039" s="13">
        <f>SUMPRODUCT(N4039:Y4039,$N$3:$Y$3)*$K4039*$L4039*$M4039</f>
        <v/>
      </c>
      <c r="AC4039" s="13">
        <f>SUMPRODUCT(N4039:Y4039,$N$4:$Y$4)*$K4039*$L4039*$M4039</f>
        <v/>
      </c>
      <c r="AD4039" s="15" t="n">
        <v>3</v>
      </c>
      <c r="AE4039" s="11" t="n">
        <v>1.011296296296296</v>
      </c>
      <c r="AF4039" s="16">
        <f>SUMPRODUCT(N4039:Y4039,$N$5:$Y$5)*$K4039*$L4039*$M4039</f>
        <v/>
      </c>
      <c r="AG4039" s="16">
        <f>SUMPRODUCT(N4039:Y4039,$N$6:$Y$6)*$K4039*$L4039*$M4039</f>
        <v/>
      </c>
      <c r="AH4039" s="20" t="n"/>
    </row>
    <row r="4040">
      <c r="A4040" s="9" t="n">
        <v>676596</v>
      </c>
      <c r="B4040" s="9" t="inlineStr">
        <is>
          <t>Josh Fleming</t>
        </is>
      </c>
      <c r="C4040" s="9" t="inlineStr">
        <is>
          <t>PIT</t>
        </is>
      </c>
      <c r="D4040" s="9" t="n">
        <v>31</v>
      </c>
      <c r="E4040" s="18" t="inlineStr">
        <is>
          <t>L</t>
        </is>
      </c>
      <c r="F4040" s="18" t="n"/>
      <c r="G4040" s="9" t="n">
        <v>18</v>
      </c>
      <c r="H4040" s="9" t="n">
        <v>546</v>
      </c>
      <c r="I4040" s="9" t="inlineStr">
        <is>
          <t>Depth (no MLB IP)</t>
        </is>
      </c>
      <c r="J4040" s="18" t="inlineStr">
        <is>
          <t>Opening Day</t>
        </is>
      </c>
      <c r="K4040" s="11">
        <f>IFERROR(INDEX(Roles!$B$17:$B$20,MATCH(J4040,Roles!$A$17:$A$20,0)),1)</f>
        <v/>
      </c>
      <c r="L4040" s="19" t="n">
        <v>1</v>
      </c>
      <c r="M4040" s="11" t="n">
        <v>1</v>
      </c>
      <c r="N4040" s="19" t="n"/>
      <c r="O4040" s="19" t="n"/>
      <c r="P4040" s="19" t="n"/>
      <c r="Q4040" s="19" t="n"/>
      <c r="R4040" s="19" t="n"/>
      <c r="S4040" s="19" t="n"/>
      <c r="T4040" s="19" t="n"/>
      <c r="U4040" s="19" t="n"/>
      <c r="V4040" s="19" t="n"/>
      <c r="W4040" s="19" t="n"/>
      <c r="X4040" s="19" t="n"/>
      <c r="Y4040" s="19" t="n">
        <v>1</v>
      </c>
      <c r="Z4040" s="13">
        <f>SUMPRODUCT(N4040:Y4040,$N$2:$Y$2)*$K4040*$L4040*$M4040</f>
        <v/>
      </c>
      <c r="AA4040" s="14">
        <f>SUM(N4040:Y4040)</f>
        <v/>
      </c>
      <c r="AB4040" s="13">
        <f>SUMPRODUCT(N4040:Y4040,$N$3:$Y$3)*$K4040*$L4040*$M4040</f>
        <v/>
      </c>
      <c r="AC4040" s="13">
        <f>SUMPRODUCT(N4040:Y4040,$N$4:$Y$4)*$K4040*$L4040*$M4040</f>
        <v/>
      </c>
      <c r="AD4040" s="15" t="n">
        <v>5.4</v>
      </c>
      <c r="AE4040" s="11" t="n">
        <v>1.154356261022927</v>
      </c>
      <c r="AF4040" s="16">
        <f>SUMPRODUCT(N4040:Y4040,$N$5:$Y$5)*$K4040*$L4040*$M4040</f>
        <v/>
      </c>
      <c r="AG4040" s="16">
        <f>SUMPRODUCT(N4040:Y4040,$N$6:$Y$6)*$K4040*$L4040*$M4040</f>
        <v/>
      </c>
      <c r="AH4040" s="20" t="n"/>
    </row>
    <row r="4041">
      <c r="A4041" s="9" t="n">
        <v>682077</v>
      </c>
      <c r="B4041" s="9" t="inlineStr">
        <is>
          <t>Gabe Mosser</t>
        </is>
      </c>
      <c r="C4041" s="9" t="inlineStr">
        <is>
          <t>SEA</t>
        </is>
      </c>
      <c r="D4041" s="9" t="n">
        <v>25</v>
      </c>
      <c r="E4041" s="18" t="inlineStr">
        <is>
          <t>R</t>
        </is>
      </c>
      <c r="F4041" s="18" t="n"/>
      <c r="G4041" s="9" t="n">
        <v>327.1583333333334</v>
      </c>
      <c r="H4041" s="9" t="n">
        <v>327.1583333333334</v>
      </c>
      <c r="I4041" s="9" t="inlineStr">
        <is>
          <t>Depth (no MLB IP)</t>
        </is>
      </c>
      <c r="J4041" s="18" t="inlineStr">
        <is>
          <t>Opening Day</t>
        </is>
      </c>
      <c r="K4041" s="11">
        <f>IFERROR(INDEX(Roles!$B$17:$B$20,MATCH(J4041,Roles!$A$17:$A$20,0)),1)</f>
        <v/>
      </c>
      <c r="L4041" s="19" t="n">
        <v>1</v>
      </c>
      <c r="M4041" s="11" t="n">
        <v>1</v>
      </c>
      <c r="N4041" s="19" t="n"/>
      <c r="O4041" s="19" t="n"/>
      <c r="P4041" s="19" t="n"/>
      <c r="Q4041" s="19" t="n"/>
      <c r="R4041" s="19" t="n"/>
      <c r="S4041" s="19" t="n"/>
      <c r="T4041" s="19" t="n"/>
      <c r="U4041" s="19" t="n"/>
      <c r="V4041" s="19" t="n"/>
      <c r="W4041" s="19" t="n"/>
      <c r="X4041" s="19" t="n"/>
      <c r="Y4041" s="19" t="n">
        <v>1</v>
      </c>
      <c r="Z4041" s="13">
        <f>SUMPRODUCT(N4041:Y4041,$N$2:$Y$2)*$K4041*$L4041*$M4041</f>
        <v/>
      </c>
      <c r="AA4041" s="14">
        <f>SUM(N4041:Y4041)</f>
        <v/>
      </c>
      <c r="AB4041" s="13">
        <f>SUMPRODUCT(N4041:Y4041,$N$3:$Y$3)*$K4041*$L4041*$M4041</f>
        <v/>
      </c>
      <c r="AC4041" s="13">
        <f>SUMPRODUCT(N4041:Y4041,$N$4:$Y$4)*$K4041*$L4041*$M4041</f>
        <v/>
      </c>
      <c r="AD4041" s="15" t="n">
        <v>3</v>
      </c>
      <c r="AE4041" s="11" t="n">
        <v>1.011296296296296</v>
      </c>
      <c r="AF4041" s="16">
        <f>SUMPRODUCT(N4041:Y4041,$N$5:$Y$5)*$K4041*$L4041*$M4041</f>
        <v/>
      </c>
      <c r="AG4041" s="16">
        <f>SUMPRODUCT(N4041:Y4041,$N$6:$Y$6)*$K4041*$L4041*$M4041</f>
        <v/>
      </c>
      <c r="AH4041" s="20" t="n"/>
    </row>
    <row r="4042">
      <c r="A4042" s="9" t="n">
        <v>608372</v>
      </c>
      <c r="B4042" s="9" t="inlineStr">
        <is>
          <t>Tomoyuki Sugano</t>
        </is>
      </c>
      <c r="C4042" s="9" t="inlineStr">
        <is>
          <t>COL</t>
        </is>
      </c>
      <c r="D4042" s="9" t="n">
        <v>37</v>
      </c>
      <c r="E4042" s="18" t="inlineStr">
        <is>
          <t>R</t>
        </is>
      </c>
      <c r="F4042" s="18" t="n"/>
      <c r="G4042" s="9" t="n">
        <v>656</v>
      </c>
      <c r="H4042" s="9" t="n">
        <v>1331</v>
      </c>
      <c r="I4042" s="9" t="inlineStr">
        <is>
          <t>Mid-Rotation Starter (SP2-3)</t>
        </is>
      </c>
      <c r="J4042" s="18" t="inlineStr">
        <is>
          <t>Opening Day</t>
        </is>
      </c>
      <c r="K4042" s="11">
        <f>IFERROR(INDEX(Roles!$B$17:$B$20,MATCH(J4042,Roles!$A$17:$A$20,0)),1)</f>
        <v/>
      </c>
      <c r="L4042" s="19" t="n">
        <v>1</v>
      </c>
      <c r="M4042" s="11" t="n">
        <v>1</v>
      </c>
      <c r="N4042" s="19" t="n"/>
      <c r="O4042" s="19" t="n">
        <v>0.5</v>
      </c>
      <c r="P4042" s="19" t="n">
        <v>0.5</v>
      </c>
      <c r="Q4042" s="19" t="n"/>
      <c r="R4042" s="19" t="n"/>
      <c r="S4042" s="19" t="n"/>
      <c r="T4042" s="19" t="n"/>
      <c r="U4042" s="19" t="n"/>
      <c r="V4042" s="19" t="n"/>
      <c r="W4042" s="19" t="n"/>
      <c r="X4042" s="19" t="n"/>
      <c r="Y4042" s="19" t="n"/>
      <c r="Z4042" s="13">
        <f>SUMPRODUCT(N4042:Y4042,$N$2:$Y$2)*$K4042*$L4042*$M4042</f>
        <v/>
      </c>
      <c r="AA4042" s="14">
        <f>SUM(N4042:Y4042)</f>
        <v/>
      </c>
      <c r="AB4042" s="13">
        <f>SUMPRODUCT(N4042:Y4042,$N$3:$Y$3)*$K4042*$L4042*$M4042</f>
        <v/>
      </c>
      <c r="AC4042" s="13">
        <f>SUMPRODUCT(N4042:Y4042,$N$4:$Y$4)*$K4042*$L4042*$M4042</f>
        <v/>
      </c>
      <c r="AD4042" s="15" t="n">
        <v>28.04</v>
      </c>
      <c r="AE4042" s="11" t="n">
        <v>5.231438812083975</v>
      </c>
      <c r="AF4042" s="16">
        <f>SUMPRODUCT(N4042:Y4042,$N$5:$Y$5)*$K4042*$L4042*$M4042</f>
        <v/>
      </c>
      <c r="AG4042" s="16">
        <f>SUMPRODUCT(N4042:Y4042,$N$6:$Y$6)*$K4042*$L4042*$M4042</f>
        <v/>
      </c>
      <c r="AH4042" s="20" t="n"/>
    </row>
    <row r="4043">
      <c r="A4043" s="9" t="n">
        <v>571945</v>
      </c>
      <c r="B4043" s="9" t="inlineStr">
        <is>
          <t>Miles Mikolas</t>
        </is>
      </c>
      <c r="C4043" s="9" t="inlineStr">
        <is>
          <t>WSH</t>
        </is>
      </c>
      <c r="D4043" s="9" t="n">
        <v>38</v>
      </c>
      <c r="E4043" s="18" t="inlineStr">
        <is>
          <t>R</t>
        </is>
      </c>
      <c r="F4043" s="18" t="n"/>
      <c r="G4043" s="9" t="n">
        <v>498</v>
      </c>
      <c r="H4043" s="9" t="n">
        <v>3552</v>
      </c>
      <c r="I4043" s="9" t="inlineStr">
        <is>
          <t>Mid-Rotation Starter (SP2-3)</t>
        </is>
      </c>
      <c r="J4043" s="18" t="inlineStr">
        <is>
          <t>Opening Day</t>
        </is>
      </c>
      <c r="K4043" s="11">
        <f>IFERROR(INDEX(Roles!$B$17:$B$20,MATCH(J4043,Roles!$A$17:$A$20,0)),1)</f>
        <v/>
      </c>
      <c r="L4043" s="19" t="n">
        <v>1</v>
      </c>
      <c r="M4043" s="11" t="n">
        <v>1</v>
      </c>
      <c r="N4043" s="19" t="n"/>
      <c r="O4043" s="19" t="n">
        <v>1</v>
      </c>
      <c r="P4043" s="19" t="n"/>
      <c r="Q4043" s="19" t="n"/>
      <c r="R4043" s="19" t="n"/>
      <c r="S4043" s="19" t="n"/>
      <c r="T4043" s="19" t="n"/>
      <c r="U4043" s="19" t="n"/>
      <c r="V4043" s="19" t="n"/>
      <c r="W4043" s="19" t="n"/>
      <c r="X4043" s="19" t="n"/>
      <c r="Y4043" s="19" t="n"/>
      <c r="Z4043" s="13">
        <f>SUMPRODUCT(N4043:Y4043,$N$2:$Y$2)*$K4043*$L4043*$M4043</f>
        <v/>
      </c>
      <c r="AA4043" s="14">
        <f>SUM(N4043:Y4043)</f>
        <v/>
      </c>
      <c r="AB4043" s="13">
        <f>SUMPRODUCT(N4043:Y4043,$N$3:$Y$3)*$K4043*$L4043*$M4043</f>
        <v/>
      </c>
      <c r="AC4043" s="13">
        <f>SUMPRODUCT(N4043:Y4043,$N$4:$Y$4)*$K4043*$L4043*$M4043</f>
        <v/>
      </c>
      <c r="AD4043" s="15" t="n">
        <v>27.3</v>
      </c>
      <c r="AE4043" s="11" t="n">
        <v>5.111217153400777</v>
      </c>
      <c r="AF4043" s="16">
        <f>SUMPRODUCT(N4043:Y4043,$N$5:$Y$5)*$K4043*$L4043*$M4043</f>
        <v/>
      </c>
      <c r="AG4043" s="16">
        <f>SUMPRODUCT(N4043:Y4043,$N$6:$Y$6)*$K4043*$L4043*$M4043</f>
        <v/>
      </c>
      <c r="AH4043" s="20" t="n"/>
    </row>
    <row r="4044">
      <c r="A4044" s="9" t="n">
        <v>695776</v>
      </c>
      <c r="B4044" s="9" t="inlineStr">
        <is>
          <t>Josh Stephan</t>
        </is>
      </c>
      <c r="C4044" s="9" t="inlineStr">
        <is>
          <t>TOR</t>
        </is>
      </c>
      <c r="D4044" s="9" t="n">
        <v>25</v>
      </c>
      <c r="E4044" s="18" t="inlineStr">
        <is>
          <t>R</t>
        </is>
      </c>
      <c r="F4044" s="18" t="n"/>
      <c r="G4044" s="9" t="n">
        <v>331.8883333333334</v>
      </c>
      <c r="H4044" s="9" t="n">
        <v>331.8883333333334</v>
      </c>
      <c r="I4044" s="9" t="inlineStr">
        <is>
          <t>Depth (no MLB IP)</t>
        </is>
      </c>
      <c r="J4044" s="18" t="inlineStr">
        <is>
          <t>Opening Day</t>
        </is>
      </c>
      <c r="K4044" s="11">
        <f>IFERROR(INDEX(Roles!$B$17:$B$20,MATCH(J4044,Roles!$A$17:$A$20,0)),1)</f>
        <v/>
      </c>
      <c r="L4044" s="19" t="n">
        <v>1</v>
      </c>
      <c r="M4044" s="11" t="n">
        <v>1</v>
      </c>
      <c r="N4044" s="19" t="n"/>
      <c r="O4044" s="19" t="n"/>
      <c r="P4044" s="19" t="n"/>
      <c r="Q4044" s="19" t="n"/>
      <c r="R4044" s="19" t="n"/>
      <c r="S4044" s="19" t="n"/>
      <c r="T4044" s="19" t="n"/>
      <c r="U4044" s="19" t="n"/>
      <c r="V4044" s="19" t="n"/>
      <c r="W4044" s="19" t="n"/>
      <c r="X4044" s="19" t="n"/>
      <c r="Y4044" s="19" t="n">
        <v>1</v>
      </c>
      <c r="Z4044" s="13">
        <f>SUMPRODUCT(N4044:Y4044,$N$2:$Y$2)*$K4044*$L4044*$M4044</f>
        <v/>
      </c>
      <c r="AA4044" s="14">
        <f>SUM(N4044:Y4044)</f>
        <v/>
      </c>
      <c r="AB4044" s="13">
        <f>SUMPRODUCT(N4044:Y4044,$N$3:$Y$3)*$K4044*$L4044*$M4044</f>
        <v/>
      </c>
      <c r="AC4044" s="13">
        <f>SUMPRODUCT(N4044:Y4044,$N$4:$Y$4)*$K4044*$L4044*$M4044</f>
        <v/>
      </c>
      <c r="AD4044" s="15" t="n">
        <v>3</v>
      </c>
      <c r="AE4044" s="11" t="n">
        <v>1.011296296296296</v>
      </c>
      <c r="AF4044" s="16">
        <f>SUMPRODUCT(N4044:Y4044,$N$5:$Y$5)*$K4044*$L4044*$M4044</f>
        <v/>
      </c>
      <c r="AG4044" s="16">
        <f>SUMPRODUCT(N4044:Y4044,$N$6:$Y$6)*$K4044*$L4044*$M4044</f>
        <v/>
      </c>
      <c r="AH4044" s="20" t="n"/>
    </row>
    <row r="4045">
      <c r="A4045" s="9" t="n">
        <v>667463</v>
      </c>
      <c r="B4045" s="9" t="inlineStr">
        <is>
          <t>John King</t>
        </is>
      </c>
      <c r="C4045" s="9" t="inlineStr">
        <is>
          <t>MIA</t>
        </is>
      </c>
      <c r="D4045" s="9" t="n">
        <v>32</v>
      </c>
      <c r="E4045" s="18" t="inlineStr">
        <is>
          <t>L</t>
        </is>
      </c>
      <c r="F4045" s="18" t="n"/>
      <c r="G4045" s="9" t="n">
        <v>197</v>
      </c>
      <c r="H4045" s="9" t="n">
        <v>1046</v>
      </c>
      <c r="I4045" s="9" t="inlineStr">
        <is>
          <t>Bullpen Depth Arm</t>
        </is>
      </c>
      <c r="J4045" s="18" t="inlineStr">
        <is>
          <t>Opening Day</t>
        </is>
      </c>
      <c r="K4045" s="11">
        <f>IFERROR(INDEX(Roles!$B$17:$B$20,MATCH(J4045,Roles!$A$17:$A$20,0)),1)</f>
        <v/>
      </c>
      <c r="L4045" s="19" t="n">
        <v>1</v>
      </c>
      <c r="M4045" s="11" t="n">
        <v>1</v>
      </c>
      <c r="N4045" s="19" t="n"/>
      <c r="O4045" s="19" t="n"/>
      <c r="P4045" s="19" t="n"/>
      <c r="Q4045" s="19" t="n"/>
      <c r="R4045" s="19" t="n"/>
      <c r="S4045" s="19" t="n"/>
      <c r="T4045" s="19" t="n"/>
      <c r="U4045" s="19" t="n"/>
      <c r="V4045" s="19" t="n"/>
      <c r="W4045" s="19" t="n">
        <v>1</v>
      </c>
      <c r="X4045" s="19" t="n"/>
      <c r="Y4045" s="19" t="n"/>
      <c r="Z4045" s="13">
        <f>SUMPRODUCT(N4045:Y4045,$N$2:$Y$2)*$K4045*$L4045*$M4045</f>
        <v/>
      </c>
      <c r="AA4045" s="14">
        <f>SUM(N4045:Y4045)</f>
        <v/>
      </c>
      <c r="AB4045" s="13">
        <f>SUMPRODUCT(N4045:Y4045,$N$3:$Y$3)*$K4045*$L4045*$M4045</f>
        <v/>
      </c>
      <c r="AC4045" s="13">
        <f>SUMPRODUCT(N4045:Y4045,$N$4:$Y$4)*$K4045*$L4045*$M4045</f>
        <v/>
      </c>
      <c r="AD4045" s="15" t="n">
        <v>36.46666666666667</v>
      </c>
      <c r="AE4045" s="11" t="n">
        <v>1.132315215648549</v>
      </c>
      <c r="AF4045" s="16">
        <f>SUMPRODUCT(N4045:Y4045,$N$5:$Y$5)*$K4045*$L4045*$M4045</f>
        <v/>
      </c>
      <c r="AG4045" s="16">
        <f>SUMPRODUCT(N4045:Y4045,$N$6:$Y$6)*$K4045*$L4045*$M4045</f>
        <v/>
      </c>
      <c r="AH4045" s="20" t="n"/>
    </row>
    <row r="4046">
      <c r="A4046" s="9" t="n">
        <v>570632</v>
      </c>
      <c r="B4046" s="9" t="inlineStr">
        <is>
          <t>José Ureña</t>
        </is>
      </c>
      <c r="C4046" s="9" t="inlineStr">
        <is>
          <t>LAA</t>
        </is>
      </c>
      <c r="D4046" s="9" t="n">
        <v>35</v>
      </c>
      <c r="E4046" s="18" t="inlineStr">
        <is>
          <t>R</t>
        </is>
      </c>
      <c r="F4046" s="18" t="n"/>
      <c r="G4046" s="9" t="n">
        <v>245</v>
      </c>
      <c r="H4046" s="9" t="n">
        <v>1343</v>
      </c>
      <c r="I4046" s="9" t="inlineStr">
        <is>
          <t>Bullpen Depth Arm</t>
        </is>
      </c>
      <c r="J4046" s="18" t="inlineStr">
        <is>
          <t>Opening Day</t>
        </is>
      </c>
      <c r="K4046" s="11">
        <f>IFERROR(INDEX(Roles!$B$17:$B$20,MATCH(J4046,Roles!$A$17:$A$20,0)),1)</f>
        <v/>
      </c>
      <c r="L4046" s="19" t="n">
        <v>1</v>
      </c>
      <c r="M4046" s="11" t="n">
        <v>1</v>
      </c>
      <c r="N4046" s="19" t="n"/>
      <c r="O4046" s="19" t="n"/>
      <c r="P4046" s="19" t="n"/>
      <c r="Q4046" s="19" t="n"/>
      <c r="R4046" s="19" t="n"/>
      <c r="S4046" s="19" t="n"/>
      <c r="T4046" s="19" t="n"/>
      <c r="U4046" s="19" t="n"/>
      <c r="V4046" s="19" t="n"/>
      <c r="W4046" s="19" t="n">
        <v>1</v>
      </c>
      <c r="X4046" s="19" t="n"/>
      <c r="Y4046" s="19" t="n"/>
      <c r="Z4046" s="13">
        <f>SUMPRODUCT(N4046:Y4046,$N$2:$Y$2)*$K4046*$L4046*$M4046</f>
        <v/>
      </c>
      <c r="AA4046" s="14">
        <f>SUM(N4046:Y4046)</f>
        <v/>
      </c>
      <c r="AB4046" s="13">
        <f>SUMPRODUCT(N4046:Y4046,$N$3:$Y$3)*$K4046*$L4046*$M4046</f>
        <v/>
      </c>
      <c r="AC4046" s="13">
        <f>SUMPRODUCT(N4046:Y4046,$N$4:$Y$4)*$K4046*$L4046*$M4046</f>
        <v/>
      </c>
      <c r="AD4046" s="15" t="n">
        <v>19.86666666666667</v>
      </c>
      <c r="AE4046" s="11" t="n">
        <v>1.829676148924976</v>
      </c>
      <c r="AF4046" s="16">
        <f>SUMPRODUCT(N4046:Y4046,$N$5:$Y$5)*$K4046*$L4046*$M4046</f>
        <v/>
      </c>
      <c r="AG4046" s="16">
        <f>SUMPRODUCT(N4046:Y4046,$N$6:$Y$6)*$K4046*$L4046*$M4046</f>
        <v/>
      </c>
      <c r="AH4046" s="20" t="n"/>
    </row>
    <row r="4047">
      <c r="A4047" s="9" t="n">
        <v>687134</v>
      </c>
      <c r="B4047" s="9" t="inlineStr">
        <is>
          <t>Bradley Blalock</t>
        </is>
      </c>
      <c r="C4047" s="9" t="inlineStr">
        <is>
          <t>MIA</t>
        </is>
      </c>
      <c r="D4047" s="9" t="n">
        <v>26</v>
      </c>
      <c r="E4047" s="18" t="inlineStr">
        <is>
          <t>R</t>
        </is>
      </c>
      <c r="F4047" s="18" t="n"/>
      <c r="G4047" s="9" t="n">
        <v>48</v>
      </c>
      <c r="H4047" s="9" t="n">
        <v>470</v>
      </c>
      <c r="I4047" s="9" t="inlineStr">
        <is>
          <t>Swing Arm / Long Relief</t>
        </is>
      </c>
      <c r="J4047" s="18" t="inlineStr">
        <is>
          <t>Opening Day</t>
        </is>
      </c>
      <c r="K4047" s="11">
        <f>IFERROR(INDEX(Roles!$B$17:$B$20,MATCH(J4047,Roles!$A$17:$A$20,0)),1)</f>
        <v/>
      </c>
      <c r="L4047" s="19" t="n">
        <v>1</v>
      </c>
      <c r="M4047" s="11" t="n">
        <v>1</v>
      </c>
      <c r="N4047" s="19" t="n"/>
      <c r="O4047" s="19" t="n"/>
      <c r="P4047" s="19" t="n"/>
      <c r="Q4047" s="19" t="n"/>
      <c r="R4047" s="19" t="n">
        <v>0.6</v>
      </c>
      <c r="S4047" s="19" t="n"/>
      <c r="T4047" s="19" t="n"/>
      <c r="U4047" s="19" t="n"/>
      <c r="V4047" s="19" t="n"/>
      <c r="W4047" s="19" t="n">
        <v>0.4</v>
      </c>
      <c r="X4047" s="19" t="n"/>
      <c r="Y4047" s="19" t="n"/>
      <c r="Z4047" s="13">
        <f>SUMPRODUCT(N4047:Y4047,$N$2:$Y$2)*$K4047*$L4047*$M4047</f>
        <v/>
      </c>
      <c r="AA4047" s="14">
        <f>SUM(N4047:Y4047)</f>
        <v/>
      </c>
      <c r="AB4047" s="13">
        <f>SUMPRODUCT(N4047:Y4047,$N$3:$Y$3)*$K4047*$L4047*$M4047</f>
        <v/>
      </c>
      <c r="AC4047" s="13">
        <f>SUMPRODUCT(N4047:Y4047,$N$4:$Y$4)*$K4047*$L4047*$M4047</f>
        <v/>
      </c>
      <c r="AD4047" s="15" t="n">
        <v>12.83333333333333</v>
      </c>
      <c r="AE4047" s="11" t="n">
        <v>2.959268302135411</v>
      </c>
      <c r="AF4047" s="16">
        <f>SUMPRODUCT(N4047:Y4047,$N$5:$Y$5)*$K4047*$L4047*$M4047</f>
        <v/>
      </c>
      <c r="AG4047" s="16">
        <f>SUMPRODUCT(N4047:Y4047,$N$6:$Y$6)*$K4047*$L4047*$M4047</f>
        <v/>
      </c>
      <c r="AH4047" s="20" t="n"/>
    </row>
    <row r="4048">
      <c r="A4048" s="9" t="n">
        <v>594835</v>
      </c>
      <c r="B4048" s="9" t="inlineStr">
        <is>
          <t>Marco Gonzales</t>
        </is>
      </c>
      <c r="C4048" s="9" t="inlineStr">
        <is>
          <t>TEX</t>
        </is>
      </c>
      <c r="D4048" s="9" t="n">
        <v>35</v>
      </c>
      <c r="E4048" s="18" t="inlineStr">
        <is>
          <t>L</t>
        </is>
      </c>
      <c r="F4048" s="18" t="n"/>
      <c r="G4048" s="9" t="n">
        <v>29</v>
      </c>
      <c r="H4048" s="9" t="n">
        <v>1178</v>
      </c>
      <c r="I4048" s="9" t="inlineStr">
        <is>
          <t>End-of-Rotation Starter (SP4-5)</t>
        </is>
      </c>
      <c r="J4048" s="18" t="inlineStr">
        <is>
          <t>Opening Day</t>
        </is>
      </c>
      <c r="K4048" s="11">
        <f>IFERROR(INDEX(Roles!$B$17:$B$20,MATCH(J4048,Roles!$A$17:$A$20,0)),1)</f>
        <v/>
      </c>
      <c r="L4048" s="19" t="n">
        <v>1</v>
      </c>
      <c r="M4048" s="11" t="n">
        <v>1</v>
      </c>
      <c r="N4048" s="19" t="n"/>
      <c r="O4048" s="19" t="n"/>
      <c r="P4048" s="19" t="n">
        <v>1</v>
      </c>
      <c r="Q4048" s="19" t="n"/>
      <c r="R4048" s="19" t="n"/>
      <c r="S4048" s="19" t="n"/>
      <c r="T4048" s="19" t="n"/>
      <c r="U4048" s="19" t="n"/>
      <c r="V4048" s="19" t="n"/>
      <c r="W4048" s="19" t="n"/>
      <c r="X4048" s="19" t="n"/>
      <c r="Y4048" s="19" t="n"/>
      <c r="Z4048" s="13">
        <f>SUMPRODUCT(N4048:Y4048,$N$2:$Y$2)*$K4048*$L4048*$M4048</f>
        <v/>
      </c>
      <c r="AA4048" s="14">
        <f>SUM(N4048:Y4048)</f>
        <v/>
      </c>
      <c r="AB4048" s="13">
        <f>SUMPRODUCT(N4048:Y4048,$N$3:$Y$3)*$K4048*$L4048*$M4048</f>
        <v/>
      </c>
      <c r="AC4048" s="13">
        <f>SUMPRODUCT(N4048:Y4048,$N$4:$Y$4)*$K4048*$L4048*$M4048</f>
        <v/>
      </c>
      <c r="AD4048" s="15" t="n">
        <v>8.800000000000001</v>
      </c>
      <c r="AE4048" s="11" t="n">
        <v>4.155092592592592</v>
      </c>
      <c r="AF4048" s="16">
        <f>SUMPRODUCT(N4048:Y4048,$N$5:$Y$5)*$K4048*$L4048*$M4048</f>
        <v/>
      </c>
      <c r="AG4048" s="16">
        <f>SUMPRODUCT(N4048:Y4048,$N$6:$Y$6)*$K4048*$L4048*$M4048</f>
        <v/>
      </c>
      <c r="AH4048" s="20" t="n"/>
    </row>
    <row r="4049">
      <c r="A4049" s="9" t="n">
        <v>681190</v>
      </c>
      <c r="B4049" s="9" t="inlineStr">
        <is>
          <t>Randy Vásquez</t>
        </is>
      </c>
      <c r="C4049" s="9" t="inlineStr">
        <is>
          <t>SD</t>
        </is>
      </c>
      <c r="D4049" s="9" t="n">
        <v>28</v>
      </c>
      <c r="E4049" s="18" t="inlineStr">
        <is>
          <t>R</t>
        </is>
      </c>
      <c r="F4049" s="18" t="n"/>
      <c r="G4049" s="9" t="n">
        <v>587</v>
      </c>
      <c r="H4049" s="9" t="n">
        <v>1754</v>
      </c>
      <c r="I4049" s="9" t="inlineStr">
        <is>
          <t>Swing Arm / Long Relief</t>
        </is>
      </c>
      <c r="J4049" s="18" t="inlineStr">
        <is>
          <t>Opening Day</t>
        </is>
      </c>
      <c r="K4049" s="11">
        <f>IFERROR(INDEX(Roles!$B$17:$B$20,MATCH(J4049,Roles!$A$17:$A$20,0)),1)</f>
        <v/>
      </c>
      <c r="L4049" s="19" t="n">
        <v>1</v>
      </c>
      <c r="M4049" s="11" t="n">
        <v>1</v>
      </c>
      <c r="N4049" s="19" t="n"/>
      <c r="O4049" s="19" t="n"/>
      <c r="P4049" s="19" t="n"/>
      <c r="Q4049" s="19" t="n"/>
      <c r="R4049" s="19" t="n">
        <v>0.6</v>
      </c>
      <c r="S4049" s="19" t="n"/>
      <c r="T4049" s="19" t="n"/>
      <c r="U4049" s="19" t="n"/>
      <c r="V4049" s="19" t="n"/>
      <c r="W4049" s="19" t="n">
        <v>0.4</v>
      </c>
      <c r="X4049" s="19" t="n"/>
      <c r="Y4049" s="19" t="n"/>
      <c r="Z4049" s="13">
        <f>SUMPRODUCT(N4049:Y4049,$N$2:$Y$2)*$K4049*$L4049*$M4049</f>
        <v/>
      </c>
      <c r="AA4049" s="14">
        <f>SUM(N4049:Y4049)</f>
        <v/>
      </c>
      <c r="AB4049" s="13">
        <f>SUMPRODUCT(N4049:Y4049,$N$3:$Y$3)*$K4049*$L4049*$M4049</f>
        <v/>
      </c>
      <c r="AC4049" s="13">
        <f>SUMPRODUCT(N4049:Y4049,$N$4:$Y$4)*$K4049*$L4049*$M4049</f>
        <v/>
      </c>
      <c r="AD4049" s="15" t="n">
        <v>25.33333333333333</v>
      </c>
      <c r="AE4049" s="11" t="n">
        <v>3.194327953573092</v>
      </c>
      <c r="AF4049" s="16">
        <f>SUMPRODUCT(N4049:Y4049,$N$5:$Y$5)*$K4049*$L4049*$M4049</f>
        <v/>
      </c>
      <c r="AG4049" s="16">
        <f>SUMPRODUCT(N4049:Y4049,$N$6:$Y$6)*$K4049*$L4049*$M4049</f>
        <v/>
      </c>
      <c r="AH4049" s="20" t="n"/>
    </row>
    <row r="4050">
      <c r="A4050" s="9" t="n">
        <v>622608</v>
      </c>
      <c r="B4050" s="9" t="inlineStr">
        <is>
          <t>Antonio Senzatela</t>
        </is>
      </c>
      <c r="C4050" s="9" t="inlineStr">
        <is>
          <t>MIL</t>
        </is>
      </c>
      <c r="D4050" s="9" t="n">
        <v>32</v>
      </c>
      <c r="E4050" s="18" t="inlineStr">
        <is>
          <t>R</t>
        </is>
      </c>
      <c r="F4050" s="18" t="n"/>
      <c r="G4050" s="9" t="n">
        <v>311</v>
      </c>
      <c r="H4050" s="9" t="n">
        <v>1426</v>
      </c>
      <c r="I4050" s="9" t="inlineStr">
        <is>
          <t>Late Inning RP (Setup)</t>
        </is>
      </c>
      <c r="J4050" s="18" t="inlineStr">
        <is>
          <t>Opening Day</t>
        </is>
      </c>
      <c r="K4050" s="11">
        <f>IFERROR(INDEX(Roles!$B$17:$B$20,MATCH(J4050,Roles!$A$17:$A$20,0)),1)</f>
        <v/>
      </c>
      <c r="L4050" s="19" t="n">
        <v>1</v>
      </c>
      <c r="M4050" s="11" t="n">
        <v>1</v>
      </c>
      <c r="N4050" s="19" t="n"/>
      <c r="O4050" s="19" t="n"/>
      <c r="P4050" s="19" t="n"/>
      <c r="Q4050" s="19" t="n"/>
      <c r="R4050" s="19" t="n"/>
      <c r="S4050" s="19" t="n"/>
      <c r="T4050" s="19" t="n"/>
      <c r="U4050" s="19" t="n">
        <v>0.6</v>
      </c>
      <c r="V4050" s="19" t="n">
        <v>0.4</v>
      </c>
      <c r="W4050" s="19" t="n"/>
      <c r="X4050" s="19" t="n"/>
      <c r="Y4050" s="19" t="n"/>
      <c r="Z4050" s="13">
        <f>SUMPRODUCT(N4050:Y4050,$N$2:$Y$2)*$K4050*$L4050*$M4050</f>
        <v/>
      </c>
      <c r="AA4050" s="14">
        <f>SUM(N4050:Y4050)</f>
        <v/>
      </c>
      <c r="AB4050" s="13">
        <f>SUMPRODUCT(N4050:Y4050,$N$3:$Y$3)*$K4050*$L4050*$M4050</f>
        <v/>
      </c>
      <c r="AC4050" s="13">
        <f>SUMPRODUCT(N4050:Y4050,$N$4:$Y$4)*$K4050*$L4050*$M4050</f>
        <v/>
      </c>
      <c r="AD4050" s="15" t="n">
        <v>42.6</v>
      </c>
      <c r="AE4050" s="11" t="n">
        <v>1.36105175688509</v>
      </c>
      <c r="AF4050" s="16">
        <f>SUMPRODUCT(N4050:Y4050,$N$5:$Y$5)*$K4050*$L4050*$M4050</f>
        <v/>
      </c>
      <c r="AG4050" s="16">
        <f>SUMPRODUCT(N4050:Y4050,$N$6:$Y$6)*$K4050*$L4050*$M4050</f>
        <v/>
      </c>
      <c r="AH4050" s="20" t="n"/>
    </row>
    <row r="4051">
      <c r="A4051" s="9" t="n">
        <v>621389</v>
      </c>
      <c r="B4051" s="9" t="inlineStr">
        <is>
          <t>Ty Blach</t>
        </is>
      </c>
      <c r="C4051" s="9" t="inlineStr">
        <is>
          <t>COL</t>
        </is>
      </c>
      <c r="D4051" s="9" t="n">
        <v>36</v>
      </c>
      <c r="E4051" s="18" t="inlineStr">
        <is>
          <t>L</t>
        </is>
      </c>
      <c r="F4051" s="18" t="n"/>
      <c r="G4051" s="9" t="n">
        <v>9</v>
      </c>
      <c r="H4051" s="9" t="n">
        <v>884</v>
      </c>
      <c r="I4051" s="9" t="inlineStr">
        <is>
          <t>Depth (no MLB IP)</t>
        </is>
      </c>
      <c r="J4051" s="18" t="inlineStr">
        <is>
          <t>Opening Day</t>
        </is>
      </c>
      <c r="K4051" s="11">
        <f>IFERROR(INDEX(Roles!$B$17:$B$20,MATCH(J4051,Roles!$A$17:$A$20,0)),1)</f>
        <v/>
      </c>
      <c r="L4051" s="19" t="n">
        <v>1</v>
      </c>
      <c r="M4051" s="11" t="n">
        <v>1</v>
      </c>
      <c r="N4051" s="19" t="n"/>
      <c r="O4051" s="19" t="n"/>
      <c r="P4051" s="19" t="n"/>
      <c r="Q4051" s="19" t="n"/>
      <c r="R4051" s="19" t="n"/>
      <c r="S4051" s="19" t="n"/>
      <c r="T4051" s="19" t="n"/>
      <c r="U4051" s="19" t="n"/>
      <c r="V4051" s="19" t="n"/>
      <c r="W4051" s="19" t="n"/>
      <c r="X4051" s="19" t="n"/>
      <c r="Y4051" s="19" t="n">
        <v>1</v>
      </c>
      <c r="Z4051" s="13">
        <f>SUMPRODUCT(N4051:Y4051,$N$2:$Y$2)*$K4051*$L4051*$M4051</f>
        <v/>
      </c>
      <c r="AA4051" s="14">
        <f>SUM(N4051:Y4051)</f>
        <v/>
      </c>
      <c r="AB4051" s="13">
        <f>SUMPRODUCT(N4051:Y4051,$N$3:$Y$3)*$K4051*$L4051*$M4051</f>
        <v/>
      </c>
      <c r="AC4051" s="13">
        <f>SUMPRODUCT(N4051:Y4051,$N$4:$Y$4)*$K4051*$L4051*$M4051</f>
        <v/>
      </c>
      <c r="AD4051" s="15" t="n">
        <v>4.65</v>
      </c>
      <c r="AE4051" s="11" t="n">
        <v>1.838448738593666</v>
      </c>
      <c r="AF4051" s="16">
        <f>SUMPRODUCT(N4051:Y4051,$N$5:$Y$5)*$K4051*$L4051*$M4051</f>
        <v/>
      </c>
      <c r="AG4051" s="16">
        <f>SUMPRODUCT(N4051:Y4051,$N$6:$Y$6)*$K4051*$L4051*$M4051</f>
        <v/>
      </c>
      <c r="AH4051" s="20" t="n"/>
    </row>
    <row r="4052">
      <c r="A4052" s="9" t="n">
        <v>686799</v>
      </c>
      <c r="B4052" s="9" t="inlineStr">
        <is>
          <t>Jack Kochanowicz</t>
        </is>
      </c>
      <c r="C4052" s="9" t="inlineStr">
        <is>
          <t>LAA</t>
        </is>
      </c>
      <c r="D4052" s="9" t="n">
        <v>26</v>
      </c>
      <c r="E4052" s="18" t="inlineStr">
        <is>
          <t>R</t>
        </is>
      </c>
      <c r="F4052" s="18" t="n"/>
      <c r="G4052" s="9" t="n">
        <v>296</v>
      </c>
      <c r="H4052" s="9" t="n">
        <v>1074</v>
      </c>
      <c r="I4052" s="9" t="inlineStr">
        <is>
          <t>Swing Arm / Long Relief</t>
        </is>
      </c>
      <c r="J4052" s="18" t="inlineStr">
        <is>
          <t>Opening Day</t>
        </is>
      </c>
      <c r="K4052" s="11">
        <f>IFERROR(INDEX(Roles!$B$17:$B$20,MATCH(J4052,Roles!$A$17:$A$20,0)),1)</f>
        <v/>
      </c>
      <c r="L4052" s="19" t="n">
        <v>1</v>
      </c>
      <c r="M4052" s="11" t="n">
        <v>1</v>
      </c>
      <c r="N4052" s="19" t="n"/>
      <c r="O4052" s="19" t="n"/>
      <c r="P4052" s="19" t="n"/>
      <c r="Q4052" s="19" t="n"/>
      <c r="R4052" s="19" t="n">
        <v>0.5</v>
      </c>
      <c r="S4052" s="19" t="n"/>
      <c r="T4052" s="19" t="n"/>
      <c r="U4052" s="19" t="n"/>
      <c r="V4052" s="19" t="n">
        <v>0.5</v>
      </c>
      <c r="W4052" s="19" t="n"/>
      <c r="X4052" s="19" t="n"/>
      <c r="Y4052" s="19" t="n"/>
      <c r="Z4052" s="13">
        <f>SUMPRODUCT(N4052:Y4052,$N$2:$Y$2)*$K4052*$L4052*$M4052</f>
        <v/>
      </c>
      <c r="AA4052" s="14">
        <f>SUM(N4052:Y4052)</f>
        <v/>
      </c>
      <c r="AB4052" s="13">
        <f>SUMPRODUCT(N4052:Y4052,$N$3:$Y$3)*$K4052*$L4052*$M4052</f>
        <v/>
      </c>
      <c r="AC4052" s="13">
        <f>SUMPRODUCT(N4052:Y4052,$N$4:$Y$4)*$K4052*$L4052*$M4052</f>
        <v/>
      </c>
      <c r="AD4052" s="15" t="n">
        <v>17.73333333333333</v>
      </c>
      <c r="AE4052" s="11" t="n">
        <v>3.332840012143292</v>
      </c>
      <c r="AF4052" s="16">
        <f>SUMPRODUCT(N4052:Y4052,$N$5:$Y$5)*$K4052*$L4052*$M4052</f>
        <v/>
      </c>
      <c r="AG4052" s="16">
        <f>SUMPRODUCT(N4052:Y4052,$N$6:$Y$6)*$K4052*$L4052*$M4052</f>
        <v/>
      </c>
      <c r="AH4052" s="20" t="n"/>
    </row>
    <row r="4053">
      <c r="A4053" s="9" t="n">
        <v>641712</v>
      </c>
      <c r="B4053" s="9" t="inlineStr">
        <is>
          <t>Dakota Hudson</t>
        </is>
      </c>
      <c r="C4053" s="9" t="inlineStr">
        <is>
          <t>COL</t>
        </is>
      </c>
      <c r="D4053" s="9" t="n">
        <v>32</v>
      </c>
      <c r="E4053" s="18" t="inlineStr">
        <is>
          <t>R</t>
        </is>
      </c>
      <c r="F4053" s="18" t="n"/>
      <c r="G4053" s="9" t="n">
        <v>404</v>
      </c>
      <c r="H4053" s="9" t="n">
        <v>1354</v>
      </c>
      <c r="I4053" s="9" t="inlineStr">
        <is>
          <t>Depth (no MLB IP)</t>
        </is>
      </c>
      <c r="J4053" s="18" t="inlineStr">
        <is>
          <t>Opening Day</t>
        </is>
      </c>
      <c r="K4053" s="11">
        <f>IFERROR(INDEX(Roles!$B$17:$B$20,MATCH(J4053,Roles!$A$17:$A$20,0)),1)</f>
        <v/>
      </c>
      <c r="L4053" s="19" t="n">
        <v>1</v>
      </c>
      <c r="M4053" s="11" t="n">
        <v>1</v>
      </c>
      <c r="N4053" s="19" t="n"/>
      <c r="O4053" s="19" t="n"/>
      <c r="P4053" s="19" t="n"/>
      <c r="Q4053" s="19" t="n"/>
      <c r="R4053" s="19" t="n"/>
      <c r="S4053" s="19" t="n"/>
      <c r="T4053" s="19" t="n"/>
      <c r="U4053" s="19" t="n"/>
      <c r="V4053" s="19" t="n"/>
      <c r="W4053" s="19" t="n"/>
      <c r="X4053" s="19" t="n"/>
      <c r="Y4053" s="19" t="n">
        <v>1</v>
      </c>
      <c r="Z4053" s="13">
        <f>SUMPRODUCT(N4053:Y4053,$N$2:$Y$2)*$K4053*$L4053*$M4053</f>
        <v/>
      </c>
      <c r="AA4053" s="14">
        <f>SUM(N4053:Y4053)</f>
        <v/>
      </c>
      <c r="AB4053" s="13">
        <f>SUMPRODUCT(N4053:Y4053,$N$3:$Y$3)*$K4053*$L4053*$M4053</f>
        <v/>
      </c>
      <c r="AC4053" s="13">
        <f>SUMPRODUCT(N4053:Y4053,$N$4:$Y$4)*$K4053*$L4053*$M4053</f>
        <v/>
      </c>
      <c r="AD4053" s="15" t="n">
        <v>12</v>
      </c>
      <c r="AE4053" s="11" t="n">
        <v>2.322345679012345</v>
      </c>
      <c r="AF4053" s="16">
        <f>SUMPRODUCT(N4053:Y4053,$N$5:$Y$5)*$K4053*$L4053*$M4053</f>
        <v/>
      </c>
      <c r="AG4053" s="16">
        <f>SUMPRODUCT(N4053:Y4053,$N$6:$Y$6)*$K4053*$L4053*$M4053</f>
        <v/>
      </c>
      <c r="AH4053" s="20" t="n"/>
    </row>
    <row r="4054">
      <c r="A4054" s="9" t="n">
        <v>657612</v>
      </c>
      <c r="B4054" s="9" t="inlineStr">
        <is>
          <t>Tim Hill</t>
        </is>
      </c>
      <c r="C4054" s="9" t="inlineStr">
        <is>
          <t>NYY</t>
        </is>
      </c>
      <c r="D4054" s="9" t="n">
        <v>37</v>
      </c>
      <c r="E4054" s="18" t="inlineStr">
        <is>
          <t>L</t>
        </is>
      </c>
      <c r="F4054" s="18" t="n"/>
      <c r="G4054" s="9" t="n">
        <v>241</v>
      </c>
      <c r="H4054" s="9" t="n">
        <v>1202</v>
      </c>
      <c r="I4054" s="9" t="inlineStr">
        <is>
          <t>Late Inning RP (Setup)</t>
        </is>
      </c>
      <c r="J4054" s="18" t="inlineStr">
        <is>
          <t>Opening Day</t>
        </is>
      </c>
      <c r="K4054" s="11">
        <f>IFERROR(INDEX(Roles!$B$17:$B$20,MATCH(J4054,Roles!$A$17:$A$20,0)),1)</f>
        <v/>
      </c>
      <c r="L4054" s="19" t="n">
        <v>1</v>
      </c>
      <c r="M4054" s="11" t="n">
        <v>1</v>
      </c>
      <c r="N4054" s="19" t="n"/>
      <c r="O4054" s="19" t="n"/>
      <c r="P4054" s="19" t="n"/>
      <c r="Q4054" s="19" t="n"/>
      <c r="R4054" s="19" t="n"/>
      <c r="S4054" s="19" t="n"/>
      <c r="T4054" s="19" t="n"/>
      <c r="U4054" s="19" t="n">
        <v>0.6</v>
      </c>
      <c r="V4054" s="19" t="n">
        <v>0.4</v>
      </c>
      <c r="W4054" s="19" t="n"/>
      <c r="X4054" s="19" t="n"/>
      <c r="Y4054" s="19" t="n"/>
      <c r="Z4054" s="13">
        <f>SUMPRODUCT(N4054:Y4054,$N$2:$Y$2)*$K4054*$L4054*$M4054</f>
        <v/>
      </c>
      <c r="AA4054" s="14">
        <f>SUM(N4054:Y4054)</f>
        <v/>
      </c>
      <c r="AB4054" s="13">
        <f>SUMPRODUCT(N4054:Y4054,$N$3:$Y$3)*$K4054*$L4054*$M4054</f>
        <v/>
      </c>
      <c r="AC4054" s="13">
        <f>SUMPRODUCT(N4054:Y4054,$N$4:$Y$4)*$K4054*$L4054*$M4054</f>
        <v/>
      </c>
      <c r="AD4054" s="15" t="n">
        <v>59.5</v>
      </c>
      <c r="AE4054" s="11" t="n">
        <v>0.9715501792114696</v>
      </c>
      <c r="AF4054" s="16">
        <f>SUMPRODUCT(N4054:Y4054,$N$5:$Y$5)*$K4054*$L4054*$M4054</f>
        <v/>
      </c>
      <c r="AG4054" s="16">
        <f>SUMPRODUCT(N4054:Y4054,$N$6:$Y$6)*$K4054*$L4054*$M4054</f>
        <v/>
      </c>
      <c r="AH4054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0" customWidth="1" min="4" max="4"/>
    <col width="13" customWidth="1" min="5" max="5"/>
    <col width="13" customWidth="1" min="6" max="6"/>
    <col width="78" customWidth="1" min="7" max="7"/>
  </cols>
  <sheetData>
    <row r="1" ht="46" customHeight="1">
      <c r="A1" s="3" t="inlineStr">
        <is>
          <t>Role</t>
        </is>
      </c>
      <c r="B1" s="3" t="inlineStr">
        <is>
          <t>IP Anchor</t>
        </is>
      </c>
      <c r="C1" s="3" t="inlineStr">
        <is>
          <t>GS Anchor</t>
        </is>
      </c>
      <c r="D1" s="3" t="inlineStr">
        <is>
          <t>G Anchor</t>
        </is>
      </c>
      <c r="E1" s="3" t="inlineStr">
        <is>
          <t>Save Share Wt</t>
        </is>
      </c>
      <c r="F1" s="3" t="inlineStr">
        <is>
          <t>Hold Share Wt</t>
        </is>
      </c>
      <c r="G1" s="3" t="inlineStr">
        <is>
          <t>Definition / notes</t>
        </is>
      </c>
    </row>
    <row r="2" ht="30" customHeight="1">
      <c r="A2" s="9" t="inlineStr">
        <is>
          <t>Ace (SP1)</t>
        </is>
      </c>
      <c r="B2" s="21" t="n">
        <v>195</v>
      </c>
      <c r="C2" s="21" t="n">
        <v>32</v>
      </c>
      <c r="D2" s="21" t="n">
        <v>32</v>
      </c>
      <c r="E2" s="22" t="n">
        <v>0</v>
      </c>
      <c r="F2" s="22" t="n">
        <v>0</v>
      </c>
      <c r="G2" s="23" t="inlineStr">
        <is>
          <t>Front-line starter, ~6.1 IP per start.</t>
        </is>
      </c>
    </row>
    <row r="3" ht="30" customHeight="1">
      <c r="A3" s="9" t="inlineStr">
        <is>
          <t>Mid-Rotation Starter (SP2-3)</t>
        </is>
      </c>
      <c r="B3" s="21" t="n">
        <v>170</v>
      </c>
      <c r="C3" s="21" t="n">
        <v>30</v>
      </c>
      <c r="D3" s="21" t="n">
        <v>30</v>
      </c>
      <c r="E3" s="22" t="n">
        <v>0</v>
      </c>
      <c r="F3" s="22" t="n">
        <v>0</v>
      </c>
      <c r="G3" s="23" t="inlineStr">
        <is>
          <t>~5.2 IP per start.</t>
        </is>
      </c>
    </row>
    <row r="4" ht="30" customHeight="1">
      <c r="A4" s="9" t="inlineStr">
        <is>
          <t>End-of-Rotation Starter (SP4-5)</t>
        </is>
      </c>
      <c r="B4" s="21" t="n">
        <v>110</v>
      </c>
      <c r="C4" s="21" t="n">
        <v>21</v>
      </c>
      <c r="D4" s="21" t="n">
        <v>26</v>
      </c>
      <c r="E4" s="22" t="n">
        <v>0</v>
      </c>
      <c r="F4" s="22" t="n">
        <v>0.002</v>
      </c>
      <c r="G4" s="23" t="inlineStr">
        <is>
          <t>Shorter leash; occasional bullpen appearance. The hold weight is tiny because a club carries 5+ of these and 0.01 each came to more hold weight than its closer.</t>
        </is>
      </c>
    </row>
    <row r="5" ht="30" customHeight="1">
      <c r="A5" s="9" t="inlineStr">
        <is>
          <t>Innings-Limited Starter</t>
        </is>
      </c>
      <c r="B5" s="21" t="n">
        <v>110</v>
      </c>
      <c r="C5" s="21" t="n">
        <v>22</v>
      </c>
      <c r="D5" s="21" t="n">
        <v>22</v>
      </c>
      <c r="E5" s="22" t="n">
        <v>0</v>
      </c>
      <c r="F5" s="22" t="n">
        <v>0</v>
      </c>
      <c r="G5" s="23" t="inlineStr">
        <is>
          <t>Young arm on a workload cap, or a post-surgery ramp. Common now and materially different from End-of-Rotation.</t>
        </is>
      </c>
    </row>
    <row r="6" ht="30" customHeight="1">
      <c r="A6" s="9" t="inlineStr">
        <is>
          <t>Swing Arm / Long Relief</t>
        </is>
      </c>
      <c r="B6" s="21" t="n">
        <v>95</v>
      </c>
      <c r="C6" s="21" t="n">
        <v>8</v>
      </c>
      <c r="D6" s="21" t="n">
        <v>30</v>
      </c>
      <c r="E6" s="22" t="n">
        <v>0.005</v>
      </c>
      <c r="F6" s="22" t="n">
        <v>0.02</v>
      </c>
      <c r="G6" s="23" t="inlineStr">
        <is>
          <t>Moves between rotation and bullpen.</t>
        </is>
      </c>
    </row>
    <row r="7" ht="30" customHeight="1">
      <c r="A7" s="9" t="inlineStr">
        <is>
          <t>Opener</t>
        </is>
      </c>
      <c r="B7" s="21" t="n">
        <v>55</v>
      </c>
      <c r="C7" s="21" t="n">
        <v>18</v>
      </c>
      <c r="D7" s="21" t="n">
        <v>45</v>
      </c>
      <c r="E7" s="22" t="n">
        <v>0</v>
      </c>
      <c r="F7" s="22" t="n">
        <v>0.01</v>
      </c>
      <c r="G7" s="23" t="inlineStr">
        <is>
          <t>Already modelled on the daily side (OPENER_BF_MEAN = 4.6 in slate_config), so it belongs here for consistency. Takes the start but faces ~4-5 batters.</t>
        </is>
      </c>
    </row>
    <row r="8" ht="30" customHeight="1">
      <c r="A8" s="9" t="inlineStr">
        <is>
          <t>Closer</t>
        </is>
      </c>
      <c r="B8" s="21" t="n">
        <v>62</v>
      </c>
      <c r="C8" s="21" t="n">
        <v>0</v>
      </c>
      <c r="D8" s="21" t="n">
        <v>60</v>
      </c>
      <c r="E8" s="22" t="n">
        <v>0.8</v>
      </c>
      <c r="F8" s="22" t="n">
        <v>0.02</v>
      </c>
      <c r="G8" s="23" t="inlineStr">
        <is>
          <t>Takes ~80% of his club's saves — one arm, one job, and the reason this role exists. Note IP is NEARLY FLAT across bullpen roles (62 / 65 / 60): what separates them is save and hold context, which is why they are worth distinguishing at all.</t>
        </is>
      </c>
    </row>
    <row r="9" ht="30" customHeight="1">
      <c r="A9" s="9" t="inlineStr">
        <is>
          <t>Late Inning RP (Setup)</t>
        </is>
      </c>
      <c r="B9" s="21" t="n">
        <v>65</v>
      </c>
      <c r="C9" s="21" t="n">
        <v>0</v>
      </c>
      <c r="D9" s="21" t="n">
        <v>65</v>
      </c>
      <c r="E9" s="22" t="n">
        <v>0.06</v>
      </c>
      <c r="F9" s="22" t="n">
        <v>0.29</v>
      </c>
      <c r="G9" s="23" t="inlineStr">
        <is>
          <t>Primary hold earner — two of them take ~59% of the hold pool between them. Fills in for the closer, hence the save share.</t>
        </is>
      </c>
    </row>
    <row r="10" ht="30" customHeight="1">
      <c r="A10" s="9" t="inlineStr">
        <is>
          <t>Middle Relief</t>
        </is>
      </c>
      <c r="B10" s="21" t="n">
        <v>60</v>
      </c>
      <c r="C10" s="21" t="n">
        <v>0</v>
      </c>
      <c r="D10" s="21" t="n">
        <v>58</v>
      </c>
      <c r="E10" s="22" t="n">
        <v>0.017</v>
      </c>
      <c r="F10" s="22" t="n">
        <v>0.09</v>
      </c>
      <c r="G10" s="23" t="inlineStr">
        <is>
          <t>Bridge innings, lower leverage.</t>
        </is>
      </c>
    </row>
    <row r="11" ht="30" customHeight="1">
      <c r="A11" s="9" t="inlineStr">
        <is>
          <t>Bullpen Depth Arm</t>
        </is>
      </c>
      <c r="B11" s="21" t="n">
        <v>40</v>
      </c>
      <c r="C11" s="21" t="n">
        <v>0</v>
      </c>
      <c r="D11" s="21" t="n">
        <v>35</v>
      </c>
      <c r="E11" s="22" t="n">
        <v>0.004</v>
      </c>
      <c r="F11" s="22" t="n">
        <v>0.006</v>
      </c>
      <c r="G11" s="23" t="inlineStr">
        <is>
          <t>Up and down from AAA; mop-up and spot duty. These weights are SMALL ON PURPOSE: a club carries ~15 of them, so anything larger swamps the roles that actually finish games.</t>
        </is>
      </c>
    </row>
    <row r="12" ht="30" customHeight="1">
      <c r="A12" s="9" t="inlineStr">
        <is>
          <t>Rehab / Injury Return</t>
        </is>
      </c>
      <c r="B12" s="21" t="n">
        <v>60</v>
      </c>
      <c r="C12" s="21" t="n">
        <v>10</v>
      </c>
      <c r="D12" s="21" t="n">
        <v>14</v>
      </c>
      <c r="E12" s="22" t="n">
        <v>0.01</v>
      </c>
      <c r="F12" s="22" t="n">
        <v>0.02</v>
      </c>
      <c r="G12" s="23" t="inlineStr">
        <is>
          <t>Expected back mid-season. Pair with a Role Start of Mid or Late rather than discounting the anchor twice.</t>
        </is>
      </c>
    </row>
    <row r="13" ht="30" customHeight="1">
      <c r="A13" s="9" t="inlineStr">
        <is>
          <t>Depth (no MLB IP)</t>
        </is>
      </c>
      <c r="B13" s="21" t="n">
        <v>1</v>
      </c>
      <c r="C13" s="21" t="n">
        <v>0</v>
      </c>
      <c r="D13" s="21" t="n">
        <v>1</v>
      </c>
      <c r="E13" s="22" t="n">
        <v>0</v>
      </c>
      <c r="F13" s="22" t="n">
        <v>0</v>
      </c>
      <c r="G13" s="23" t="inlineStr">
        <is>
          <t>Organizational depth. Hits the 1 IP floor (PT_FLOOR_IP).</t>
        </is>
      </c>
    </row>
    <row r="15">
      <c r="A15" s="1" t="inlineStr">
        <is>
          <t>Role Start -&gt; Role Share</t>
        </is>
      </c>
    </row>
    <row r="16" ht="46" customHeight="1">
      <c r="A16" s="3" t="inlineStr">
        <is>
          <t>Role Start</t>
        </is>
      </c>
      <c r="B16" s="3" t="inlineStr">
        <is>
          <t>Role Share</t>
        </is>
      </c>
      <c r="C16" s="3" t="inlineStr">
        <is>
          <t>Meaning</t>
        </is>
      </c>
    </row>
    <row r="17">
      <c r="A17" s="9" t="inlineStr">
        <is>
          <t>Opening Day</t>
        </is>
      </c>
      <c r="B17" s="22" t="n">
        <v>1</v>
      </c>
      <c r="C17" s="9" t="inlineStr">
        <is>
          <t>On the roster from day one.</t>
        </is>
      </c>
    </row>
    <row r="18">
      <c r="A18" s="9" t="inlineStr">
        <is>
          <t>Early Season (~May)</t>
        </is>
      </c>
      <c r="B18" s="22" t="n">
        <v>0.8</v>
      </c>
      <c r="C18" s="9" t="inlineStr">
        <is>
          <t>Called up or activated in April/May.</t>
        </is>
      </c>
    </row>
    <row r="19">
      <c r="A19" s="9" t="inlineStr">
        <is>
          <t>Mid Season (~July)</t>
        </is>
      </c>
      <c r="B19" s="22" t="n">
        <v>0.5</v>
      </c>
      <c r="C19" s="9" t="inlineStr">
        <is>
          <t>Mid-season callup, or back from a long IL stay.</t>
        </is>
      </c>
    </row>
    <row r="20">
      <c r="A20" s="9" t="inlineStr">
        <is>
          <t>Late Season (~Sept)</t>
        </is>
      </c>
      <c r="B20" s="22" t="n">
        <v>0.2</v>
      </c>
      <c r="C20" s="9" t="inlineStr">
        <is>
          <t>September callup / late activation.</t>
        </is>
      </c>
    </row>
    <row r="22">
      <c r="A22" s="24" t="inlineStr">
        <is>
          <t>Share weights are RELATIVE within a team — the allocator normalizes them to that club's save/hold pool from team_wins.py, so they need not sum to 1. They are scaled by Role Share x Availability first, so a closer who misses half the season claims half as much of the pool.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</cols>
  <sheetData>
    <row r="1" ht="46" customHeight="1">
      <c r="A1" s="3" t="inlineStr">
        <is>
          <t>Team</t>
        </is>
      </c>
      <c r="B1" s="3" t="inlineStr">
        <is>
          <t>ip_share</t>
        </is>
      </c>
      <c r="C1" s="3" t="inlineStr">
        <is>
          <t>Expected signing / note</t>
        </is>
      </c>
    </row>
    <row r="2">
      <c r="A2" s="9" t="inlineStr">
        <is>
          <t>ARI</t>
        </is>
      </c>
      <c r="B2" s="25" t="n">
        <v>0</v>
      </c>
      <c r="C2" s="26" t="n"/>
    </row>
    <row r="3">
      <c r="A3" s="9" t="inlineStr">
        <is>
          <t>ATL</t>
        </is>
      </c>
      <c r="B3" s="25" t="n">
        <v>0</v>
      </c>
      <c r="C3" s="26" t="n"/>
    </row>
    <row r="4">
      <c r="A4" s="9" t="inlineStr">
        <is>
          <t>BAL</t>
        </is>
      </c>
      <c r="B4" s="25" t="n">
        <v>0</v>
      </c>
      <c r="C4" s="26" t="n"/>
    </row>
    <row r="5">
      <c r="A5" s="9" t="inlineStr">
        <is>
          <t>BOS</t>
        </is>
      </c>
      <c r="B5" s="25" t="n">
        <v>0</v>
      </c>
      <c r="C5" s="26" t="n"/>
    </row>
    <row r="6">
      <c r="A6" s="9" t="inlineStr">
        <is>
          <t>CHC</t>
        </is>
      </c>
      <c r="B6" s="25" t="n">
        <v>0</v>
      </c>
      <c r="C6" s="26" t="n"/>
    </row>
    <row r="7">
      <c r="A7" s="9" t="inlineStr">
        <is>
          <t>CIN</t>
        </is>
      </c>
      <c r="B7" s="25" t="n">
        <v>0</v>
      </c>
      <c r="C7" s="26" t="n"/>
    </row>
    <row r="8">
      <c r="A8" s="9" t="inlineStr">
        <is>
          <t>CLE</t>
        </is>
      </c>
      <c r="B8" s="25" t="n">
        <v>0</v>
      </c>
      <c r="C8" s="26" t="n"/>
    </row>
    <row r="9">
      <c r="A9" s="9" t="inlineStr">
        <is>
          <t>COL</t>
        </is>
      </c>
      <c r="B9" s="25" t="n">
        <v>0</v>
      </c>
      <c r="C9" s="26" t="n"/>
    </row>
    <row r="10">
      <c r="A10" s="9" t="inlineStr">
        <is>
          <t>CWS</t>
        </is>
      </c>
      <c r="B10" s="25" t="n">
        <v>0</v>
      </c>
      <c r="C10" s="26" t="n"/>
    </row>
    <row r="11">
      <c r="A11" s="9" t="inlineStr">
        <is>
          <t>DET</t>
        </is>
      </c>
      <c r="B11" s="25" t="n">
        <v>0</v>
      </c>
      <c r="C11" s="26" t="n"/>
    </row>
    <row r="12">
      <c r="A12" s="9" t="inlineStr">
        <is>
          <t>HOU</t>
        </is>
      </c>
      <c r="B12" s="25" t="n">
        <v>0</v>
      </c>
      <c r="C12" s="26" t="n"/>
    </row>
    <row r="13">
      <c r="A13" s="9" t="inlineStr">
        <is>
          <t>KC</t>
        </is>
      </c>
      <c r="B13" s="25" t="n">
        <v>0</v>
      </c>
      <c r="C13" s="26" t="n"/>
    </row>
    <row r="14">
      <c r="A14" s="9" t="inlineStr">
        <is>
          <t>LAA</t>
        </is>
      </c>
      <c r="B14" s="25" t="n">
        <v>0</v>
      </c>
      <c r="C14" s="26" t="n"/>
    </row>
    <row r="15">
      <c r="A15" s="9" t="inlineStr">
        <is>
          <t>LAD</t>
        </is>
      </c>
      <c r="B15" s="25" t="n">
        <v>0</v>
      </c>
      <c r="C15" s="26" t="n"/>
    </row>
    <row r="16">
      <c r="A16" s="9" t="inlineStr">
        <is>
          <t>MIA</t>
        </is>
      </c>
      <c r="B16" s="25" t="n">
        <v>0</v>
      </c>
      <c r="C16" s="26" t="n"/>
    </row>
    <row r="17">
      <c r="A17" s="9" t="inlineStr">
        <is>
          <t>MIL</t>
        </is>
      </c>
      <c r="B17" s="25" t="n">
        <v>0</v>
      </c>
      <c r="C17" s="26" t="n"/>
    </row>
    <row r="18">
      <c r="A18" s="9" t="inlineStr">
        <is>
          <t>MIN</t>
        </is>
      </c>
      <c r="B18" s="25" t="n">
        <v>0</v>
      </c>
      <c r="C18" s="26" t="n"/>
    </row>
    <row r="19">
      <c r="A19" s="9" t="inlineStr">
        <is>
          <t>NYM</t>
        </is>
      </c>
      <c r="B19" s="25" t="n">
        <v>0</v>
      </c>
      <c r="C19" s="26" t="n"/>
    </row>
    <row r="20">
      <c r="A20" s="9" t="inlineStr">
        <is>
          <t>NYY</t>
        </is>
      </c>
      <c r="B20" s="25" t="n">
        <v>0</v>
      </c>
      <c r="C20" s="26" t="n"/>
    </row>
    <row r="21">
      <c r="A21" s="9" t="inlineStr">
        <is>
          <t>OAK</t>
        </is>
      </c>
      <c r="B21" s="25" t="n">
        <v>0</v>
      </c>
      <c r="C21" s="26" t="n"/>
    </row>
    <row r="22">
      <c r="A22" s="9" t="inlineStr">
        <is>
          <t>PHI</t>
        </is>
      </c>
      <c r="B22" s="25" t="n">
        <v>0</v>
      </c>
      <c r="C22" s="26" t="n"/>
    </row>
    <row r="23">
      <c r="A23" s="9" t="inlineStr">
        <is>
          <t>PIT</t>
        </is>
      </c>
      <c r="B23" s="25" t="n">
        <v>0</v>
      </c>
      <c r="C23" s="26" t="n"/>
    </row>
    <row r="24">
      <c r="A24" s="9" t="inlineStr">
        <is>
          <t>SD</t>
        </is>
      </c>
      <c r="B24" s="25" t="n">
        <v>0</v>
      </c>
      <c r="C24" s="26" t="n"/>
    </row>
    <row r="25">
      <c r="A25" s="9" t="inlineStr">
        <is>
          <t>SEA</t>
        </is>
      </c>
      <c r="B25" s="25" t="n">
        <v>0</v>
      </c>
      <c r="C25" s="26" t="n"/>
    </row>
    <row r="26">
      <c r="A26" s="9" t="inlineStr">
        <is>
          <t>SF</t>
        </is>
      </c>
      <c r="B26" s="25" t="n">
        <v>0</v>
      </c>
      <c r="C26" s="26" t="n"/>
    </row>
    <row r="27">
      <c r="A27" s="9" t="inlineStr">
        <is>
          <t>STL</t>
        </is>
      </c>
      <c r="B27" s="25" t="n">
        <v>0</v>
      </c>
      <c r="C27" s="26" t="n"/>
    </row>
    <row r="28">
      <c r="A28" s="9" t="inlineStr">
        <is>
          <t>TB</t>
        </is>
      </c>
      <c r="B28" s="25" t="n">
        <v>0</v>
      </c>
      <c r="C28" s="26" t="n"/>
    </row>
    <row r="29">
      <c r="A29" s="9" t="inlineStr">
        <is>
          <t>TEX</t>
        </is>
      </c>
      <c r="B29" s="25" t="n">
        <v>0</v>
      </c>
      <c r="C29" s="26" t="n"/>
    </row>
    <row r="30">
      <c r="A30" s="9" t="inlineStr">
        <is>
          <t>TOR</t>
        </is>
      </c>
      <c r="B30" s="25" t="n">
        <v>0</v>
      </c>
      <c r="C30" s="26" t="n"/>
    </row>
    <row r="31">
      <c r="A31" s="9" t="inlineStr">
        <is>
          <t>WSH</t>
        </is>
      </c>
      <c r="B31" s="25" t="n">
        <v>0</v>
      </c>
      <c r="C31" s="26" t="n"/>
    </row>
    <row r="33">
      <c r="A33" s="24" t="inlineStr">
        <is>
          <t>Fraction of each club's IP budget held back for a signing it has not made yet. 0 to 0.5.</t>
        </is>
      </c>
    </row>
    <row r="34">
      <c r="A34" s="24" t="inlineStr">
        <is>
          <t>Without a reserve the allocator spreads the full budget across the players currently on hand, so every incumbent absorbs the playing time that will actually go to the free agent.</t>
        </is>
      </c>
    </row>
    <row r="35">
      <c r="A35" s="24" t="inlineStr">
        <is>
          <t>A reserve says 'this club's playing time is not all accounted for'. It does NOT say the club is better than its roster looks — the quality of an unsigned player is unknowable, so reserves never touch the rate projections.</t>
        </is>
      </c>
    </row>
    <row r="36">
      <c r="A36" s="24" t="inlineStr">
        <is>
          <t>Copy these into the "reserves" block of rosters/team_assignments_&lt;year&gt;.json, which is what the pipeline reads.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2026-10-07T17:15:40Z</dcterms:created>
  <dcterms:modified xsi:type="dcterms:W3CDTF">2026-10-07T17:15:43Z</dcterms:modified>
</cp:coreProperties>
</file>